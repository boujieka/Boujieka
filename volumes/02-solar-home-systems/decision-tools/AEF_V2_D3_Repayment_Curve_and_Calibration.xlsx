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Curve" sheetId="2" state="visible" r:id="rId2"/>
    <sheet xmlns:r="http://schemas.openxmlformats.org/officeDocument/2006/relationships" name="Calibration" sheetId="3" state="visible" r:id="rId3"/>
    <sheet xmlns:r="http://schemas.openxmlformats.org/officeDocument/2006/relationships" name="Portfolio_Effe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%;(0.00%);0.00%"/>
    <numFmt numFmtId="165" formatCode="0.0%;(0.0%);0.0%"/>
    <numFmt numFmtId="166" formatCode="#,##0;(#,##0);0"/>
    <numFmt numFmtId="167" formatCode="#,##0.0;(#,##0.0);0.0"/>
    <numFmt numFmtId="168" formatCode="0.000000"/>
    <numFmt numFmtId="169" formatCode="0.0000"/>
  </numFmts>
  <fonts count="11">
    <font>
      <name val="Calibri"/>
      <family val="2"/>
      <color theme="1"/>
      <sz val="11"/>
      <scheme val="minor"/>
    </font>
    <font>
      <name val="Arial"/>
      <b val="1"/>
      <color rgb="00E3C27A"/>
      <sz val="8"/>
    </font>
    <font>
      <name val="Arial"/>
      <b val="1"/>
      <color rgb="00FFFFFF"/>
      <sz val="15"/>
    </font>
    <font>
      <name val="Arial"/>
      <i val="1"/>
      <color rgb="00E8E8E8"/>
      <sz val="9"/>
    </font>
    <font>
      <name val="Arial"/>
      <color rgb="00666666"/>
      <sz val="8"/>
    </font>
    <font>
      <name val="Arial"/>
      <b val="1"/>
      <color rgb="000B3020"/>
      <sz val="11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020"/>
      </patternFill>
    </fill>
    <fill>
      <patternFill patternType="solid">
        <fgColor rgb="00FFF8E1"/>
      </patternFill>
    </fill>
  </fills>
  <borders count="3">
    <border>
      <left/>
      <right/>
      <top/>
      <bottom/>
      <diagonal/>
    </border>
    <border>
      <bottom style="medium">
        <color rgb="00B07C0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3" borderId="2" pivotButton="0" quotePrefix="0" xfId="0"/>
    <xf numFmtId="0" fontId="6" fillId="0" borderId="0" pivotButton="0" quotePrefix="0" xfId="0"/>
    <xf numFmtId="0" fontId="6" fillId="0" borderId="2" pivotButton="0" quotePrefix="0" xfId="0"/>
    <xf numFmtId="0" fontId="9" fillId="0" borderId="0" applyAlignment="1" pivotButton="0" quotePrefix="0" xfId="0">
      <alignment vertical="top" wrapText="1"/>
    </xf>
    <xf numFmtId="0" fontId="10" fillId="0" borderId="2" applyAlignment="1" pivotButton="0" quotePrefix="0" xfId="0">
      <alignment vertical="center" wrapText="1"/>
    </xf>
    <xf numFmtId="0" fontId="10" fillId="2" borderId="2" applyAlignment="1" pivotButton="0" quotePrefix="0" xfId="0">
      <alignment vertical="center" wrapText="1"/>
    </xf>
    <xf numFmtId="164" fontId="8" fillId="3" borderId="2" pivotButton="0" quotePrefix="0" xfId="0"/>
    <xf numFmtId="166" fontId="6" fillId="0" borderId="2" pivotButton="0" quotePrefix="0" xfId="0"/>
    <xf numFmtId="165" fontId="6" fillId="0" borderId="2" pivotButton="0" quotePrefix="0" xfId="0"/>
    <xf numFmtId="165" fontId="8" fillId="3" borderId="2" pivotButton="0" quotePrefix="0" xfId="0"/>
    <xf numFmtId="166" fontId="8" fillId="3" borderId="2" pivotButton="0" quotePrefix="0" xfId="0"/>
    <xf numFmtId="165" fontId="7" fillId="0" borderId="2" pivotButton="0" quotePrefix="0" xfId="0"/>
    <xf numFmtId="167" fontId="8" fillId="3" borderId="2" pivotButton="0" quotePrefix="0" xfId="0"/>
    <xf numFmtId="164" fontId="7" fillId="0" borderId="2" pivotButton="0" quotePrefix="0" xfId="0"/>
    <xf numFmtId="0" fontId="9" fillId="0" borderId="0" pivotButton="0" quotePrefix="0" xfId="0"/>
    <xf numFmtId="165" fontId="10" fillId="2" borderId="2" applyAlignment="1" pivotButton="0" quotePrefix="0" xfId="0">
      <alignment vertical="center" wrapText="1"/>
    </xf>
    <xf numFmtId="164" fontId="6" fillId="0" borderId="2" pivotButton="0" quotePrefix="0" xfId="0"/>
    <xf numFmtId="168" fontId="6" fillId="0" borderId="2" pivotButton="0" quotePrefix="0" xfId="0"/>
    <xf numFmtId="169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repayment by age</a:t>
            </a:r>
          </a:p>
        </rich>
      </tx>
    </title>
    <plotArea>
      <lineChart>
        <grouping val="standard"/>
        <ser>
          <idx val="0"/>
          <order val="0"/>
          <tx>
            <v>Cumulative repayment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'Curve'!$D$7:$D$54</f>
            </numRef>
          </cat>
          <val>
            <numRef>
              <f>'Curve'!$G$7:$G$54</f>
            </numRef>
          </val>
        </ser>
        <ser>
          <idx val="1"/>
          <order val="1"/>
          <tx>
            <v>Share still paying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'Curve'!$D$7:$D$54</f>
            </numRef>
          </cat>
          <val>
            <numRef>
              <f>'Curve'!$E$7:$E$54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6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10" customWidth="1" min="5" max="5"/>
    <col width="10" customWidth="1" min="6" max="6"/>
  </cols>
  <sheetData>
    <row r="1">
      <c r="A1" s="1" t="inlineStr">
        <is>
          <t>AFRICA ENERGY FINANCE  |  BOOK 2  |  PAYGO SOLAR FINANCE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Repayment curve and cohort calibration</t>
        </is>
      </c>
      <c r="B2" s="2" t="n"/>
      <c r="C2" s="2" t="n"/>
      <c r="D2" s="2" t="n"/>
      <c r="E2" s="2" t="n"/>
      <c r="F2" s="2" t="n"/>
    </row>
    <row r="3">
      <c r="A3" s="4" t="inlineStr">
        <is>
          <t>How to use this template</t>
        </is>
      </c>
      <c r="B3" s="2" t="n"/>
      <c r="C3" s="2" t="n"/>
      <c r="D3" s="2" t="n"/>
      <c r="E3" s="2" t="n"/>
      <c r="F3" s="2" t="n"/>
    </row>
    <row r="4">
      <c r="A4" s="5" t="inlineStr">
        <is>
          <t>Decision tool D3  |  Version 0.9 (pre-release)  |  Author &amp; ideation: Emmanuel Boujieka Kamga</t>
        </is>
      </c>
      <c r="B4" s="6" t="n"/>
      <c r="C4" s="6" t="n"/>
      <c r="D4" s="6" t="n"/>
      <c r="E4" s="6" t="n"/>
      <c r="F4" s="6" t="n"/>
    </row>
    <row r="5"/>
    <row r="6">
      <c r="A6" s="7" t="inlineStr">
        <is>
          <t>Purpose</t>
        </is>
      </c>
      <c r="B6" s="6" t="n"/>
      <c r="C6" s="6" t="n"/>
      <c r="D6" s="6" t="n"/>
      <c r="E6" s="6" t="n"/>
      <c r="F6" s="6" t="n"/>
    </row>
    <row r="7">
      <c r="A7" s="8" t="inlineStr">
        <is>
          <t>Draws the expected repayment curve of a cohort from a monthly default hazard and a collection rate, estimates the hazard and collection rate that fit observed cohort repayment most closely, and shows how portfolio growth flatters the portfolio collection rate.</t>
        </is>
      </c>
    </row>
    <row r="8"/>
    <row r="9"/>
    <row r="10"/>
    <row r="11">
      <c r="A11" s="7" t="inlineStr">
        <is>
          <t>How to use it</t>
        </is>
      </c>
      <c r="B11" s="6" t="n"/>
      <c r="C11" s="6" t="n"/>
      <c r="D11" s="6" t="n"/>
      <c r="E11" s="6" t="n"/>
      <c r="F11" s="6" t="n"/>
    </row>
    <row r="12" ht="30" customHeight="1">
      <c r="A12" s="9" t="inlineStr">
        <is>
          <t>Step 1</t>
        </is>
      </c>
      <c r="B12" s="8" t="inlineStr">
        <is>
          <t>On Curve, enter a hazard, a collection rate and a tenor to see survival and cumulative repayment by age.</t>
        </is>
      </c>
    </row>
    <row r="13" ht="30" customHeight="1">
      <c r="A13" s="9" t="inlineStr">
        <is>
          <t>Step 2</t>
        </is>
      </c>
      <c r="B13" s="8" t="inlineStr">
        <is>
          <t>On Calibration, enter observed cumulative repayment at M3, M6, M12 and M18 (deposits excluded), with weights.</t>
        </is>
      </c>
    </row>
    <row r="14" ht="30" customHeight="1">
      <c r="A14" s="9" t="inlineStr">
        <is>
          <t>Step 3</t>
        </is>
      </c>
      <c r="B14" s="8" t="inlineStr">
        <is>
          <t>Read the closest fitting hazard and collection rate, and compare the fitted curve with the observations.</t>
        </is>
      </c>
    </row>
    <row r="15" ht="30" customHeight="1">
      <c r="A15" s="9" t="inlineStr">
        <is>
          <t>Step 4</t>
        </is>
      </c>
      <c r="B15" s="8" t="inlineStr">
        <is>
          <t>Several pairs can fit one checkpoint; use at least three checkpoints and check the fit at each.</t>
        </is>
      </c>
    </row>
    <row r="16" ht="30" customHeight="1">
      <c r="A16" s="9" t="inlineStr">
        <is>
          <t>Step 5</t>
        </is>
      </c>
      <c r="B16" s="8" t="inlineStr">
        <is>
          <t>On Portfolio_Effect, see how the same customers produce a higher portfolio collection rate when sales grow.</t>
        </is>
      </c>
    </row>
    <row r="17"/>
    <row r="18">
      <c r="A18" s="7" t="inlineStr">
        <is>
          <t>Colour code</t>
        </is>
      </c>
      <c r="B18" s="6" t="n"/>
      <c r="C18" s="6" t="n"/>
      <c r="D18" s="6" t="n"/>
      <c r="E18" s="6" t="n"/>
      <c r="F18" s="6" t="n"/>
    </row>
    <row r="19">
      <c r="A19" s="10" t="inlineStr">
        <is>
          <t>Input</t>
        </is>
      </c>
      <c r="B19" s="11" t="inlineStr">
        <is>
          <t>Blue font on cream: the only cells to edit</t>
        </is>
      </c>
    </row>
    <row r="20">
      <c r="A20" s="12" t="inlineStr">
        <is>
          <t>Formula</t>
        </is>
      </c>
      <c r="B20" s="11" t="inlineStr">
        <is>
          <t>Black font: calculated, do not overwrite</t>
        </is>
      </c>
    </row>
    <row r="21"/>
    <row r="22">
      <c r="A22" s="7" t="inlineStr">
        <is>
          <t>Links to Book 2 and MODEL 2</t>
        </is>
      </c>
      <c r="B22" s="6" t="n"/>
      <c r="C22" s="6" t="n"/>
      <c r="D22" s="6" t="n"/>
      <c r="E22" s="6" t="n"/>
      <c r="F22" s="6" t="n"/>
    </row>
    <row r="23">
      <c r="A23" s="9" t="inlineStr">
        <is>
          <t>Book</t>
        </is>
      </c>
      <c r="B23" s="8" t="inlineStr">
        <is>
          <t>Chapter 6 (survival model, calibration, denominator effect), Chapter 16 (SolaraPay recalibration)</t>
        </is>
      </c>
    </row>
    <row r="24">
      <c r="A24" s="9" t="inlineStr">
        <is>
          <t>Model</t>
        </is>
      </c>
      <c r="B24" s="8" t="inlineStr">
        <is>
          <t>Curves, Vintage_Input, Vintage_Dashboard; calibrated values go on Products</t>
        </is>
      </c>
    </row>
    <row r="25">
      <c r="A25" s="9" t="inlineStr">
        <is>
          <t>Default inputs</t>
        </is>
      </c>
      <c r="B25" s="8" t="inlineStr">
        <is>
          <t>Curve: default Tier 2 (2.6% hazard, 88% collection, 24 months). Calibration: average observed Tier 2 repayment of the synthetic SolaraPay cohorts.</t>
        </is>
      </c>
    </row>
    <row r="26"/>
    <row r="27">
      <c r="A27" s="13" t="inlineStr">
        <is>
          <t>Decision support material; not investment, legal, tax or accounting advice. Example values are illustrative and refer to the book's worked examples or to the fictional SolaraPay case. (c) 2026 Emmanuel Boujieka Kamga.</t>
        </is>
      </c>
    </row>
    <row r="28"/>
  </sheetData>
  <mergeCells count="10">
    <mergeCell ref="B12:F12"/>
    <mergeCell ref="B24:F24"/>
    <mergeCell ref="B16:F16"/>
    <mergeCell ref="B15:F15"/>
    <mergeCell ref="B25:F25"/>
    <mergeCell ref="A27:F28"/>
    <mergeCell ref="A7:F9"/>
    <mergeCell ref="B23:F23"/>
    <mergeCell ref="B14:F14"/>
    <mergeCell ref="B13:F13"/>
  </mergeCells>
  <printOptions horizontalCentered="1"/>
  <pageMargins left="0.5" right="0.5" top="0.6" bottom="0.7" header="0.5" footer="0.5"/>
  <pageSetup orientation="portrait" paperSize="9" fitToHeight="0" fitToWidth="1"/>
  <headerFooter>
    <oddHeader/>
    <oddFooter>&amp;L&amp;"Arial"&amp;8 Africa Energy Finance | Book 2 Decision tool D3 | Version 0.9 (pre-release)&amp;C&amp;"Arial"&amp;8 &amp;A&amp;R&amp;"Arial"&amp;8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" customWidth="1" min="3" max="3"/>
    <col width="12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AFRICA ENERGY FINANCE  |  BOOK 2  |  PAYGO SOLAR FINANCE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Repayment curve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Expected behaviour of one cohort by account age</t>
        </is>
      </c>
      <c r="B3" s="2" t="n"/>
      <c r="C3" s="2" t="n"/>
      <c r="D3" s="2" t="n"/>
      <c r="E3" s="2" t="n"/>
      <c r="F3" s="2" t="n"/>
      <c r="G3" s="2" t="n"/>
    </row>
    <row r="4">
      <c r="A4" s="5" t="inlineStr">
        <is>
          <t>Decision tool D3  |  Version 0.9 (pre-release)  |  Author &amp; ideation: Emmanuel Boujieka Kamga</t>
        </is>
      </c>
      <c r="B4" s="6" t="n"/>
      <c r="C4" s="6" t="n"/>
      <c r="D4" s="6" t="n"/>
      <c r="E4" s="6" t="n"/>
      <c r="F4" s="6" t="n"/>
      <c r="G4" s="6" t="n"/>
    </row>
    <row r="5"/>
    <row r="6" ht="30" customHeight="1">
      <c r="A6" s="14" t="n"/>
      <c r="B6" s="14" t="n"/>
      <c r="C6" s="14" t="n"/>
      <c r="D6" s="15" t="inlineStr">
        <is>
          <t>Age (months)</t>
        </is>
      </c>
      <c r="E6" s="15" t="inlineStr">
        <is>
          <t>Share still paying</t>
        </is>
      </c>
      <c r="F6" s="15" t="inlineStr">
        <is>
          <t>Expected payment, share of instalment</t>
        </is>
      </c>
      <c r="G6" s="15" t="inlineStr">
        <is>
          <t>Cumulative repayment</t>
        </is>
      </c>
    </row>
    <row r="7">
      <c r="A7" s="11" t="inlineStr">
        <is>
          <t>Monthly default hazard</t>
        </is>
      </c>
      <c r="B7" s="16" t="n">
        <v>0.026</v>
      </c>
      <c r="D7" s="17" t="n">
        <v>1</v>
      </c>
      <c r="E7" s="18">
        <f>(1-'Curve'!$B$7)^D7</f>
        <v/>
      </c>
      <c r="F7" s="18">
        <f>IF(D7&lt;='Curve'!$B$9,'Curve'!$B$8*E7,0)</f>
        <v/>
      </c>
      <c r="G7" s="18">
        <f>SUM($F$7:F7)/MIN(D7,'Curve'!$B$9)</f>
        <v/>
      </c>
    </row>
    <row r="8">
      <c r="A8" s="11" t="inlineStr">
        <is>
          <t>Collection rate on paying accounts</t>
        </is>
      </c>
      <c r="B8" s="19" t="n">
        <v>0.88</v>
      </c>
      <c r="D8" s="17" t="n">
        <v>2</v>
      </c>
      <c r="E8" s="18">
        <f>(1-'Curve'!$B$7)^D8</f>
        <v/>
      </c>
      <c r="F8" s="18">
        <f>IF(D8&lt;='Curve'!$B$9,'Curve'!$B$8*E8,0)</f>
        <v/>
      </c>
      <c r="G8" s="18">
        <f>SUM($F$7:F8)/MIN(D8,'Curve'!$B$9)</f>
        <v/>
      </c>
    </row>
    <row r="9">
      <c r="A9" s="11" t="inlineStr">
        <is>
          <t>Tenor (months)</t>
        </is>
      </c>
      <c r="B9" s="20" t="n">
        <v>24</v>
      </c>
      <c r="D9" s="17" t="n">
        <v>3</v>
      </c>
      <c r="E9" s="18">
        <f>(1-'Curve'!$B$7)^D9</f>
        <v/>
      </c>
      <c r="F9" s="18">
        <f>IF(D9&lt;='Curve'!$B$9,'Curve'!$B$8*E9,0)</f>
        <v/>
      </c>
      <c r="G9" s="18">
        <f>SUM($F$7:F9)/MIN(D9,'Curve'!$B$9)</f>
        <v/>
      </c>
    </row>
    <row r="10">
      <c r="D10" s="17" t="n">
        <v>4</v>
      </c>
      <c r="E10" s="18">
        <f>(1-'Curve'!$B$7)^D10</f>
        <v/>
      </c>
      <c r="F10" s="18">
        <f>IF(D10&lt;='Curve'!$B$9,'Curve'!$B$8*E10,0)</f>
        <v/>
      </c>
      <c r="G10" s="18">
        <f>SUM($F$7:F10)/MIN(D10,'Curve'!$B$9)</f>
        <v/>
      </c>
    </row>
    <row r="11">
      <c r="A11" s="9" t="inlineStr">
        <is>
          <t>Expected share of scheduled instalments collected over the tenor</t>
        </is>
      </c>
      <c r="B11" s="21">
        <f>'Curve'!$B$8*(1-'Curve'!$B$7)*(1-(1-'Curve'!$B$7)^'Curve'!$B$9)/('Curve'!$B$7*'Curve'!$B$9)</f>
        <v/>
      </c>
      <c r="D11" s="17" t="n">
        <v>5</v>
      </c>
      <c r="E11" s="18">
        <f>(1-'Curve'!$B$7)^D11</f>
        <v/>
      </c>
      <c r="F11" s="18">
        <f>IF(D11&lt;='Curve'!$B$9,'Curve'!$B$8*E11,0)</f>
        <v/>
      </c>
      <c r="G11" s="18">
        <f>SUM($F$7:F11)/MIN(D11,'Curve'!$B$9)</f>
        <v/>
      </c>
    </row>
    <row r="12">
      <c r="A12" s="11" t="inlineStr">
        <is>
          <t>Share of accounts still paying at the end of the tenor</t>
        </is>
      </c>
      <c r="B12" s="18">
        <f>(1-'Curve'!$B$7)^'Curve'!$B$9</f>
        <v/>
      </c>
      <c r="D12" s="17" t="n">
        <v>6</v>
      </c>
      <c r="E12" s="18">
        <f>(1-'Curve'!$B$7)^D12</f>
        <v/>
      </c>
      <c r="F12" s="18">
        <f>IF(D12&lt;='Curve'!$B$9,'Curve'!$B$8*E12,0)</f>
        <v/>
      </c>
      <c r="G12" s="18">
        <f>SUM($F$7:F12)/MIN(D12,'Curve'!$B$9)</f>
        <v/>
      </c>
    </row>
    <row r="13">
      <c r="D13" s="17" t="n">
        <v>7</v>
      </c>
      <c r="E13" s="18">
        <f>(1-'Curve'!$B$7)^D13</f>
        <v/>
      </c>
      <c r="F13" s="18">
        <f>IF(D13&lt;='Curve'!$B$9,'Curve'!$B$8*E13,0)</f>
        <v/>
      </c>
      <c r="G13" s="18">
        <f>SUM($F$7:F13)/MIN(D13,'Curve'!$B$9)</f>
        <v/>
      </c>
    </row>
    <row r="14">
      <c r="D14" s="17" t="n">
        <v>8</v>
      </c>
      <c r="E14" s="18">
        <f>(1-'Curve'!$B$7)^D14</f>
        <v/>
      </c>
      <c r="F14" s="18">
        <f>IF(D14&lt;='Curve'!$B$9,'Curve'!$B$8*E14,0)</f>
        <v/>
      </c>
      <c r="G14" s="18">
        <f>SUM($F$7:F14)/MIN(D14,'Curve'!$B$9)</f>
        <v/>
      </c>
    </row>
    <row r="15">
      <c r="D15" s="17" t="n">
        <v>9</v>
      </c>
      <c r="E15" s="18">
        <f>(1-'Curve'!$B$7)^D15</f>
        <v/>
      </c>
      <c r="F15" s="18">
        <f>IF(D15&lt;='Curve'!$B$9,'Curve'!$B$8*E15,0)</f>
        <v/>
      </c>
      <c r="G15" s="18">
        <f>SUM($F$7:F15)/MIN(D15,'Curve'!$B$9)</f>
        <v/>
      </c>
    </row>
    <row r="16">
      <c r="D16" s="17" t="n">
        <v>10</v>
      </c>
      <c r="E16" s="18">
        <f>(1-'Curve'!$B$7)^D16</f>
        <v/>
      </c>
      <c r="F16" s="18">
        <f>IF(D16&lt;='Curve'!$B$9,'Curve'!$B$8*E16,0)</f>
        <v/>
      </c>
      <c r="G16" s="18">
        <f>SUM($F$7:F16)/MIN(D16,'Curve'!$B$9)</f>
        <v/>
      </c>
    </row>
    <row r="17">
      <c r="D17" s="17" t="n">
        <v>11</v>
      </c>
      <c r="E17" s="18">
        <f>(1-'Curve'!$B$7)^D17</f>
        <v/>
      </c>
      <c r="F17" s="18">
        <f>IF(D17&lt;='Curve'!$B$9,'Curve'!$B$8*E17,0)</f>
        <v/>
      </c>
      <c r="G17" s="18">
        <f>SUM($F$7:F17)/MIN(D17,'Curve'!$B$9)</f>
        <v/>
      </c>
    </row>
    <row r="18">
      <c r="D18" s="17" t="n">
        <v>12</v>
      </c>
      <c r="E18" s="18">
        <f>(1-'Curve'!$B$7)^D18</f>
        <v/>
      </c>
      <c r="F18" s="18">
        <f>IF(D18&lt;='Curve'!$B$9,'Curve'!$B$8*E18,0)</f>
        <v/>
      </c>
      <c r="G18" s="18">
        <f>SUM($F$7:F18)/MIN(D18,'Curve'!$B$9)</f>
        <v/>
      </c>
    </row>
    <row r="19">
      <c r="D19" s="17" t="n">
        <v>13</v>
      </c>
      <c r="E19" s="18">
        <f>(1-'Curve'!$B$7)^D19</f>
        <v/>
      </c>
      <c r="F19" s="18">
        <f>IF(D19&lt;='Curve'!$B$9,'Curve'!$B$8*E19,0)</f>
        <v/>
      </c>
      <c r="G19" s="18">
        <f>SUM($F$7:F19)/MIN(D19,'Curve'!$B$9)</f>
        <v/>
      </c>
    </row>
    <row r="20">
      <c r="D20" s="17" t="n">
        <v>14</v>
      </c>
      <c r="E20" s="18">
        <f>(1-'Curve'!$B$7)^D20</f>
        <v/>
      </c>
      <c r="F20" s="18">
        <f>IF(D20&lt;='Curve'!$B$9,'Curve'!$B$8*E20,0)</f>
        <v/>
      </c>
      <c r="G20" s="18">
        <f>SUM($F$7:F20)/MIN(D20,'Curve'!$B$9)</f>
        <v/>
      </c>
    </row>
    <row r="21">
      <c r="D21" s="17" t="n">
        <v>15</v>
      </c>
      <c r="E21" s="18">
        <f>(1-'Curve'!$B$7)^D21</f>
        <v/>
      </c>
      <c r="F21" s="18">
        <f>IF(D21&lt;='Curve'!$B$9,'Curve'!$B$8*E21,0)</f>
        <v/>
      </c>
      <c r="G21" s="18">
        <f>SUM($F$7:F21)/MIN(D21,'Curve'!$B$9)</f>
        <v/>
      </c>
    </row>
    <row r="22">
      <c r="D22" s="17" t="n">
        <v>16</v>
      </c>
      <c r="E22" s="18">
        <f>(1-'Curve'!$B$7)^D22</f>
        <v/>
      </c>
      <c r="F22" s="18">
        <f>IF(D22&lt;='Curve'!$B$9,'Curve'!$B$8*E22,0)</f>
        <v/>
      </c>
      <c r="G22" s="18">
        <f>SUM($F$7:F22)/MIN(D22,'Curve'!$B$9)</f>
        <v/>
      </c>
    </row>
    <row r="23">
      <c r="D23" s="17" t="n">
        <v>17</v>
      </c>
      <c r="E23" s="18">
        <f>(1-'Curve'!$B$7)^D23</f>
        <v/>
      </c>
      <c r="F23" s="18">
        <f>IF(D23&lt;='Curve'!$B$9,'Curve'!$B$8*E23,0)</f>
        <v/>
      </c>
      <c r="G23" s="18">
        <f>SUM($F$7:F23)/MIN(D23,'Curve'!$B$9)</f>
        <v/>
      </c>
    </row>
    <row r="24">
      <c r="D24" s="17" t="n">
        <v>18</v>
      </c>
      <c r="E24" s="18">
        <f>(1-'Curve'!$B$7)^D24</f>
        <v/>
      </c>
      <c r="F24" s="18">
        <f>IF(D24&lt;='Curve'!$B$9,'Curve'!$B$8*E24,0)</f>
        <v/>
      </c>
      <c r="G24" s="18">
        <f>SUM($F$7:F24)/MIN(D24,'Curve'!$B$9)</f>
        <v/>
      </c>
    </row>
    <row r="25">
      <c r="D25" s="17" t="n">
        <v>19</v>
      </c>
      <c r="E25" s="18">
        <f>(1-'Curve'!$B$7)^D25</f>
        <v/>
      </c>
      <c r="F25" s="18">
        <f>IF(D25&lt;='Curve'!$B$9,'Curve'!$B$8*E25,0)</f>
        <v/>
      </c>
      <c r="G25" s="18">
        <f>SUM($F$7:F25)/MIN(D25,'Curve'!$B$9)</f>
        <v/>
      </c>
    </row>
    <row r="26">
      <c r="D26" s="17" t="n">
        <v>20</v>
      </c>
      <c r="E26" s="18">
        <f>(1-'Curve'!$B$7)^D26</f>
        <v/>
      </c>
      <c r="F26" s="18">
        <f>IF(D26&lt;='Curve'!$B$9,'Curve'!$B$8*E26,0)</f>
        <v/>
      </c>
      <c r="G26" s="18">
        <f>SUM($F$7:F26)/MIN(D26,'Curve'!$B$9)</f>
        <v/>
      </c>
    </row>
    <row r="27">
      <c r="D27" s="17" t="n">
        <v>21</v>
      </c>
      <c r="E27" s="18">
        <f>(1-'Curve'!$B$7)^D27</f>
        <v/>
      </c>
      <c r="F27" s="18">
        <f>IF(D27&lt;='Curve'!$B$9,'Curve'!$B$8*E27,0)</f>
        <v/>
      </c>
      <c r="G27" s="18">
        <f>SUM($F$7:F27)/MIN(D27,'Curve'!$B$9)</f>
        <v/>
      </c>
    </row>
    <row r="28">
      <c r="D28" s="17" t="n">
        <v>22</v>
      </c>
      <c r="E28" s="18">
        <f>(1-'Curve'!$B$7)^D28</f>
        <v/>
      </c>
      <c r="F28" s="18">
        <f>IF(D28&lt;='Curve'!$B$9,'Curve'!$B$8*E28,0)</f>
        <v/>
      </c>
      <c r="G28" s="18">
        <f>SUM($F$7:F28)/MIN(D28,'Curve'!$B$9)</f>
        <v/>
      </c>
    </row>
    <row r="29">
      <c r="D29" s="17" t="n">
        <v>23</v>
      </c>
      <c r="E29" s="18">
        <f>(1-'Curve'!$B$7)^D29</f>
        <v/>
      </c>
      <c r="F29" s="18">
        <f>IF(D29&lt;='Curve'!$B$9,'Curve'!$B$8*E29,0)</f>
        <v/>
      </c>
      <c r="G29" s="18">
        <f>SUM($F$7:F29)/MIN(D29,'Curve'!$B$9)</f>
        <v/>
      </c>
    </row>
    <row r="30">
      <c r="D30" s="17" t="n">
        <v>24</v>
      </c>
      <c r="E30" s="18">
        <f>(1-'Curve'!$B$7)^D30</f>
        <v/>
      </c>
      <c r="F30" s="18">
        <f>IF(D30&lt;='Curve'!$B$9,'Curve'!$B$8*E30,0)</f>
        <v/>
      </c>
      <c r="G30" s="18">
        <f>SUM($F$7:F30)/MIN(D30,'Curve'!$B$9)</f>
        <v/>
      </c>
    </row>
    <row r="31">
      <c r="D31" s="17" t="n">
        <v>25</v>
      </c>
      <c r="E31" s="18">
        <f>(1-'Curve'!$B$7)^D31</f>
        <v/>
      </c>
      <c r="F31" s="18">
        <f>IF(D31&lt;='Curve'!$B$9,'Curve'!$B$8*E31,0)</f>
        <v/>
      </c>
      <c r="G31" s="18">
        <f>SUM($F$7:F31)/MIN(D31,'Curve'!$B$9)</f>
        <v/>
      </c>
    </row>
    <row r="32">
      <c r="D32" s="17" t="n">
        <v>26</v>
      </c>
      <c r="E32" s="18">
        <f>(1-'Curve'!$B$7)^D32</f>
        <v/>
      </c>
      <c r="F32" s="18">
        <f>IF(D32&lt;='Curve'!$B$9,'Curve'!$B$8*E32,0)</f>
        <v/>
      </c>
      <c r="G32" s="18">
        <f>SUM($F$7:F32)/MIN(D32,'Curve'!$B$9)</f>
        <v/>
      </c>
    </row>
    <row r="33">
      <c r="D33" s="17" t="n">
        <v>27</v>
      </c>
      <c r="E33" s="18">
        <f>(1-'Curve'!$B$7)^D33</f>
        <v/>
      </c>
      <c r="F33" s="18">
        <f>IF(D33&lt;='Curve'!$B$9,'Curve'!$B$8*E33,0)</f>
        <v/>
      </c>
      <c r="G33" s="18">
        <f>SUM($F$7:F33)/MIN(D33,'Curve'!$B$9)</f>
        <v/>
      </c>
    </row>
    <row r="34">
      <c r="D34" s="17" t="n">
        <v>28</v>
      </c>
      <c r="E34" s="18">
        <f>(1-'Curve'!$B$7)^D34</f>
        <v/>
      </c>
      <c r="F34" s="18">
        <f>IF(D34&lt;='Curve'!$B$9,'Curve'!$B$8*E34,0)</f>
        <v/>
      </c>
      <c r="G34" s="18">
        <f>SUM($F$7:F34)/MIN(D34,'Curve'!$B$9)</f>
        <v/>
      </c>
    </row>
    <row r="35">
      <c r="D35" s="17" t="n">
        <v>29</v>
      </c>
      <c r="E35" s="18">
        <f>(1-'Curve'!$B$7)^D35</f>
        <v/>
      </c>
      <c r="F35" s="18">
        <f>IF(D35&lt;='Curve'!$B$9,'Curve'!$B$8*E35,0)</f>
        <v/>
      </c>
      <c r="G35" s="18">
        <f>SUM($F$7:F35)/MIN(D35,'Curve'!$B$9)</f>
        <v/>
      </c>
    </row>
    <row r="36">
      <c r="D36" s="17" t="n">
        <v>30</v>
      </c>
      <c r="E36" s="18">
        <f>(1-'Curve'!$B$7)^D36</f>
        <v/>
      </c>
      <c r="F36" s="18">
        <f>IF(D36&lt;='Curve'!$B$9,'Curve'!$B$8*E36,0)</f>
        <v/>
      </c>
      <c r="G36" s="18">
        <f>SUM($F$7:F36)/MIN(D36,'Curve'!$B$9)</f>
        <v/>
      </c>
    </row>
    <row r="37">
      <c r="D37" s="17" t="n">
        <v>31</v>
      </c>
      <c r="E37" s="18">
        <f>(1-'Curve'!$B$7)^D37</f>
        <v/>
      </c>
      <c r="F37" s="18">
        <f>IF(D37&lt;='Curve'!$B$9,'Curve'!$B$8*E37,0)</f>
        <v/>
      </c>
      <c r="G37" s="18">
        <f>SUM($F$7:F37)/MIN(D37,'Curve'!$B$9)</f>
        <v/>
      </c>
    </row>
    <row r="38">
      <c r="D38" s="17" t="n">
        <v>32</v>
      </c>
      <c r="E38" s="18">
        <f>(1-'Curve'!$B$7)^D38</f>
        <v/>
      </c>
      <c r="F38" s="18">
        <f>IF(D38&lt;='Curve'!$B$9,'Curve'!$B$8*E38,0)</f>
        <v/>
      </c>
      <c r="G38" s="18">
        <f>SUM($F$7:F38)/MIN(D38,'Curve'!$B$9)</f>
        <v/>
      </c>
    </row>
    <row r="39">
      <c r="D39" s="17" t="n">
        <v>33</v>
      </c>
      <c r="E39" s="18">
        <f>(1-'Curve'!$B$7)^D39</f>
        <v/>
      </c>
      <c r="F39" s="18">
        <f>IF(D39&lt;='Curve'!$B$9,'Curve'!$B$8*E39,0)</f>
        <v/>
      </c>
      <c r="G39" s="18">
        <f>SUM($F$7:F39)/MIN(D39,'Curve'!$B$9)</f>
        <v/>
      </c>
    </row>
    <row r="40">
      <c r="D40" s="17" t="n">
        <v>34</v>
      </c>
      <c r="E40" s="18">
        <f>(1-'Curve'!$B$7)^D40</f>
        <v/>
      </c>
      <c r="F40" s="18">
        <f>IF(D40&lt;='Curve'!$B$9,'Curve'!$B$8*E40,0)</f>
        <v/>
      </c>
      <c r="G40" s="18">
        <f>SUM($F$7:F40)/MIN(D40,'Curve'!$B$9)</f>
        <v/>
      </c>
    </row>
    <row r="41">
      <c r="D41" s="17" t="n">
        <v>35</v>
      </c>
      <c r="E41" s="18">
        <f>(1-'Curve'!$B$7)^D41</f>
        <v/>
      </c>
      <c r="F41" s="18">
        <f>IF(D41&lt;='Curve'!$B$9,'Curve'!$B$8*E41,0)</f>
        <v/>
      </c>
      <c r="G41" s="18">
        <f>SUM($F$7:F41)/MIN(D41,'Curve'!$B$9)</f>
        <v/>
      </c>
    </row>
    <row r="42">
      <c r="D42" s="17" t="n">
        <v>36</v>
      </c>
      <c r="E42" s="18">
        <f>(1-'Curve'!$B$7)^D42</f>
        <v/>
      </c>
      <c r="F42" s="18">
        <f>IF(D42&lt;='Curve'!$B$9,'Curve'!$B$8*E42,0)</f>
        <v/>
      </c>
      <c r="G42" s="18">
        <f>SUM($F$7:F42)/MIN(D42,'Curve'!$B$9)</f>
        <v/>
      </c>
    </row>
    <row r="43">
      <c r="D43" s="17" t="n">
        <v>37</v>
      </c>
      <c r="E43" s="18">
        <f>(1-'Curve'!$B$7)^D43</f>
        <v/>
      </c>
      <c r="F43" s="18">
        <f>IF(D43&lt;='Curve'!$B$9,'Curve'!$B$8*E43,0)</f>
        <v/>
      </c>
      <c r="G43" s="18">
        <f>SUM($F$7:F43)/MIN(D43,'Curve'!$B$9)</f>
        <v/>
      </c>
    </row>
    <row r="44">
      <c r="D44" s="17" t="n">
        <v>38</v>
      </c>
      <c r="E44" s="18">
        <f>(1-'Curve'!$B$7)^D44</f>
        <v/>
      </c>
      <c r="F44" s="18">
        <f>IF(D44&lt;='Curve'!$B$9,'Curve'!$B$8*E44,0)</f>
        <v/>
      </c>
      <c r="G44" s="18">
        <f>SUM($F$7:F44)/MIN(D44,'Curve'!$B$9)</f>
        <v/>
      </c>
    </row>
    <row r="45">
      <c r="D45" s="17" t="n">
        <v>39</v>
      </c>
      <c r="E45" s="18">
        <f>(1-'Curve'!$B$7)^D45</f>
        <v/>
      </c>
      <c r="F45" s="18">
        <f>IF(D45&lt;='Curve'!$B$9,'Curve'!$B$8*E45,0)</f>
        <v/>
      </c>
      <c r="G45" s="18">
        <f>SUM($F$7:F45)/MIN(D45,'Curve'!$B$9)</f>
        <v/>
      </c>
    </row>
    <row r="46">
      <c r="D46" s="17" t="n">
        <v>40</v>
      </c>
      <c r="E46" s="18">
        <f>(1-'Curve'!$B$7)^D46</f>
        <v/>
      </c>
      <c r="F46" s="18">
        <f>IF(D46&lt;='Curve'!$B$9,'Curve'!$B$8*E46,0)</f>
        <v/>
      </c>
      <c r="G46" s="18">
        <f>SUM($F$7:F46)/MIN(D46,'Curve'!$B$9)</f>
        <v/>
      </c>
    </row>
    <row r="47">
      <c r="D47" s="17" t="n">
        <v>41</v>
      </c>
      <c r="E47" s="18">
        <f>(1-'Curve'!$B$7)^D47</f>
        <v/>
      </c>
      <c r="F47" s="18">
        <f>IF(D47&lt;='Curve'!$B$9,'Curve'!$B$8*E47,0)</f>
        <v/>
      </c>
      <c r="G47" s="18">
        <f>SUM($F$7:F47)/MIN(D47,'Curve'!$B$9)</f>
        <v/>
      </c>
    </row>
    <row r="48">
      <c r="D48" s="17" t="n">
        <v>42</v>
      </c>
      <c r="E48" s="18">
        <f>(1-'Curve'!$B$7)^D48</f>
        <v/>
      </c>
      <c r="F48" s="18">
        <f>IF(D48&lt;='Curve'!$B$9,'Curve'!$B$8*E48,0)</f>
        <v/>
      </c>
      <c r="G48" s="18">
        <f>SUM($F$7:F48)/MIN(D48,'Curve'!$B$9)</f>
        <v/>
      </c>
    </row>
    <row r="49">
      <c r="D49" s="17" t="n">
        <v>43</v>
      </c>
      <c r="E49" s="18">
        <f>(1-'Curve'!$B$7)^D49</f>
        <v/>
      </c>
      <c r="F49" s="18">
        <f>IF(D49&lt;='Curve'!$B$9,'Curve'!$B$8*E49,0)</f>
        <v/>
      </c>
      <c r="G49" s="18">
        <f>SUM($F$7:F49)/MIN(D49,'Curve'!$B$9)</f>
        <v/>
      </c>
    </row>
    <row r="50">
      <c r="D50" s="17" t="n">
        <v>44</v>
      </c>
      <c r="E50" s="18">
        <f>(1-'Curve'!$B$7)^D50</f>
        <v/>
      </c>
      <c r="F50" s="18">
        <f>IF(D50&lt;='Curve'!$B$9,'Curve'!$B$8*E50,0)</f>
        <v/>
      </c>
      <c r="G50" s="18">
        <f>SUM($F$7:F50)/MIN(D50,'Curve'!$B$9)</f>
        <v/>
      </c>
    </row>
    <row r="51">
      <c r="D51" s="17" t="n">
        <v>45</v>
      </c>
      <c r="E51" s="18">
        <f>(1-'Curve'!$B$7)^D51</f>
        <v/>
      </c>
      <c r="F51" s="18">
        <f>IF(D51&lt;='Curve'!$B$9,'Curve'!$B$8*E51,0)</f>
        <v/>
      </c>
      <c r="G51" s="18">
        <f>SUM($F$7:F51)/MIN(D51,'Curve'!$B$9)</f>
        <v/>
      </c>
    </row>
    <row r="52">
      <c r="D52" s="17" t="n">
        <v>46</v>
      </c>
      <c r="E52" s="18">
        <f>(1-'Curve'!$B$7)^D52</f>
        <v/>
      </c>
      <c r="F52" s="18">
        <f>IF(D52&lt;='Curve'!$B$9,'Curve'!$B$8*E52,0)</f>
        <v/>
      </c>
      <c r="G52" s="18">
        <f>SUM($F$7:F52)/MIN(D52,'Curve'!$B$9)</f>
        <v/>
      </c>
    </row>
    <row r="53">
      <c r="D53" s="17" t="n">
        <v>47</v>
      </c>
      <c r="E53" s="18">
        <f>(1-'Curve'!$B$7)^D53</f>
        <v/>
      </c>
      <c r="F53" s="18">
        <f>IF(D53&lt;='Curve'!$B$9,'Curve'!$B$8*E53,0)</f>
        <v/>
      </c>
      <c r="G53" s="18">
        <f>SUM($F$7:F53)/MIN(D53,'Curve'!$B$9)</f>
        <v/>
      </c>
    </row>
    <row r="54">
      <c r="D54" s="17" t="n">
        <v>48</v>
      </c>
      <c r="E54" s="18">
        <f>(1-'Curve'!$B$7)^D54</f>
        <v/>
      </c>
      <c r="F54" s="18">
        <f>IF(D54&lt;='Curve'!$B$9,'Curve'!$B$8*E54,0)</f>
        <v/>
      </c>
      <c r="G54" s="18">
        <f>SUM($F$7:F54)/MIN(D54,'Curve'!$B$9)</f>
        <v/>
      </c>
    </row>
    <row r="55">
      <c r="D55" s="17" t="n">
        <v>49</v>
      </c>
      <c r="E55" s="18">
        <f>(1-'Curve'!$B$7)^D55</f>
        <v/>
      </c>
      <c r="F55" s="18">
        <f>IF(D55&lt;='Curve'!$B$9,'Curve'!$B$8*E55,0)</f>
        <v/>
      </c>
      <c r="G55" s="18">
        <f>SUM($F$7:F55)/MIN(D55,'Curve'!$B$9)</f>
        <v/>
      </c>
    </row>
    <row r="56">
      <c r="D56" s="17" t="n">
        <v>50</v>
      </c>
      <c r="E56" s="18">
        <f>(1-'Curve'!$B$7)^D56</f>
        <v/>
      </c>
      <c r="F56" s="18">
        <f>IF(D56&lt;='Curve'!$B$9,'Curve'!$B$8*E56,0)</f>
        <v/>
      </c>
      <c r="G56" s="18">
        <f>SUM($F$7:F56)/MIN(D56,'Curve'!$B$9)</f>
        <v/>
      </c>
    </row>
    <row r="57">
      <c r="D57" s="17" t="n">
        <v>51</v>
      </c>
      <c r="E57" s="18">
        <f>(1-'Curve'!$B$7)^D57</f>
        <v/>
      </c>
      <c r="F57" s="18">
        <f>IF(D57&lt;='Curve'!$B$9,'Curve'!$B$8*E57,0)</f>
        <v/>
      </c>
      <c r="G57" s="18">
        <f>SUM($F$7:F57)/MIN(D57,'Curve'!$B$9)</f>
        <v/>
      </c>
    </row>
    <row r="58">
      <c r="D58" s="17" t="n">
        <v>52</v>
      </c>
      <c r="E58" s="18">
        <f>(1-'Curve'!$B$7)^D58</f>
        <v/>
      </c>
      <c r="F58" s="18">
        <f>IF(D58&lt;='Curve'!$B$9,'Curve'!$B$8*E58,0)</f>
        <v/>
      </c>
      <c r="G58" s="18">
        <f>SUM($F$7:F58)/MIN(D58,'Curve'!$B$9)</f>
        <v/>
      </c>
    </row>
    <row r="59">
      <c r="D59" s="17" t="n">
        <v>53</v>
      </c>
      <c r="E59" s="18">
        <f>(1-'Curve'!$B$7)^D59</f>
        <v/>
      </c>
      <c r="F59" s="18">
        <f>IF(D59&lt;='Curve'!$B$9,'Curve'!$B$8*E59,0)</f>
        <v/>
      </c>
      <c r="G59" s="18">
        <f>SUM($F$7:F59)/MIN(D59,'Curve'!$B$9)</f>
        <v/>
      </c>
    </row>
    <row r="60">
      <c r="D60" s="17" t="n">
        <v>54</v>
      </c>
      <c r="E60" s="18">
        <f>(1-'Curve'!$B$7)^D60</f>
        <v/>
      </c>
      <c r="F60" s="18">
        <f>IF(D60&lt;='Curve'!$B$9,'Curve'!$B$8*E60,0)</f>
        <v/>
      </c>
      <c r="G60" s="18">
        <f>SUM($F$7:F60)/MIN(D60,'Curve'!$B$9)</f>
        <v/>
      </c>
    </row>
    <row r="61">
      <c r="D61" s="17" t="n">
        <v>55</v>
      </c>
      <c r="E61" s="18">
        <f>(1-'Curve'!$B$7)^D61</f>
        <v/>
      </c>
      <c r="F61" s="18">
        <f>IF(D61&lt;='Curve'!$B$9,'Curve'!$B$8*E61,0)</f>
        <v/>
      </c>
      <c r="G61" s="18">
        <f>SUM($F$7:F61)/MIN(D61,'Curve'!$B$9)</f>
        <v/>
      </c>
    </row>
    <row r="62">
      <c r="D62" s="17" t="n">
        <v>56</v>
      </c>
      <c r="E62" s="18">
        <f>(1-'Curve'!$B$7)^D62</f>
        <v/>
      </c>
      <c r="F62" s="18">
        <f>IF(D62&lt;='Curve'!$B$9,'Curve'!$B$8*E62,0)</f>
        <v/>
      </c>
      <c r="G62" s="18">
        <f>SUM($F$7:F62)/MIN(D62,'Curve'!$B$9)</f>
        <v/>
      </c>
    </row>
    <row r="63">
      <c r="D63" s="17" t="n">
        <v>57</v>
      </c>
      <c r="E63" s="18">
        <f>(1-'Curve'!$B$7)^D63</f>
        <v/>
      </c>
      <c r="F63" s="18">
        <f>IF(D63&lt;='Curve'!$B$9,'Curve'!$B$8*E63,0)</f>
        <v/>
      </c>
      <c r="G63" s="18">
        <f>SUM($F$7:F63)/MIN(D63,'Curve'!$B$9)</f>
        <v/>
      </c>
    </row>
    <row r="64">
      <c r="D64" s="17" t="n">
        <v>58</v>
      </c>
      <c r="E64" s="18">
        <f>(1-'Curve'!$B$7)^D64</f>
        <v/>
      </c>
      <c r="F64" s="18">
        <f>IF(D64&lt;='Curve'!$B$9,'Curve'!$B$8*E64,0)</f>
        <v/>
      </c>
      <c r="G64" s="18">
        <f>SUM($F$7:F64)/MIN(D64,'Curve'!$B$9)</f>
        <v/>
      </c>
    </row>
    <row r="65">
      <c r="D65" s="17" t="n">
        <v>59</v>
      </c>
      <c r="E65" s="18">
        <f>(1-'Curve'!$B$7)^D65</f>
        <v/>
      </c>
      <c r="F65" s="18">
        <f>IF(D65&lt;='Curve'!$B$9,'Curve'!$B$8*E65,0)</f>
        <v/>
      </c>
      <c r="G65" s="18">
        <f>SUM($F$7:F65)/MIN(D65,'Curve'!$B$9)</f>
        <v/>
      </c>
    </row>
    <row r="66">
      <c r="D66" s="17" t="n">
        <v>60</v>
      </c>
      <c r="E66" s="18">
        <f>(1-'Curve'!$B$7)^D66</f>
        <v/>
      </c>
      <c r="F66" s="18">
        <f>IF(D66&lt;='Curve'!$B$9,'Curve'!$B$8*E66,0)</f>
        <v/>
      </c>
      <c r="G66" s="18">
        <f>SUM($F$7:F66)/MIN(D66,'Curve'!$B$9)</f>
        <v/>
      </c>
    </row>
  </sheetData>
  <printOptions horizontalCentered="1"/>
  <pageMargins left="0.5" right="0.5" top="0.6" bottom="0.7" header="0.5" footer="0.5"/>
  <pageSetup orientation="landscape" paperSize="9" fitToHeight="0" fitToWidth="1"/>
  <headerFooter>
    <oddHeader/>
    <oddFooter>&amp;L&amp;"Arial"&amp;8 Africa Energy Finance | Book 2 Decision tool D3 | Version 0.9 (pre-release)&amp;C&amp;"Arial"&amp;8 &amp;A&amp;R&amp;"Arial"&amp;8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6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>
      <c r="A1" s="1" t="inlineStr">
        <is>
          <t>AFRICA ENERGY FINANCE  |  BOOK 2  |  PAYGO SOLAR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22" customHeight="1">
      <c r="A2" s="3" t="inlineStr">
        <is>
          <t>Cohort calibration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4" t="inlineStr">
        <is>
          <t>Grid search over hazard and collection rate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5" t="inlineStr">
        <is>
          <t>Decision tool D3  |  Version 0.9 (pre-release)  |  Author &amp; ideation: Emmanuel Boujieka Kamga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/>
    <row r="6">
      <c r="A6" s="15" t="inlineStr">
        <is>
          <t>Checkpoint (months)</t>
        </is>
      </c>
      <c r="B6" s="15" t="n">
        <v>3</v>
      </c>
      <c r="C6" s="15" t="n">
        <v>6</v>
      </c>
      <c r="D6" s="15" t="n">
        <v>12</v>
      </c>
      <c r="E6" s="15" t="n">
        <v>18</v>
      </c>
    </row>
    <row r="7">
      <c r="A7" s="9" t="inlineStr">
        <is>
          <t>Observed cumulative repayment</t>
        </is>
      </c>
      <c r="B7" s="19" t="n">
        <v>0.8145</v>
      </c>
      <c r="C7" s="19" t="n">
        <v>0.7691</v>
      </c>
      <c r="D7" s="19" t="n">
        <v>0.6941000000000001</v>
      </c>
      <c r="E7" s="19" t="n">
        <v>0.6343</v>
      </c>
    </row>
    <row r="8">
      <c r="A8" s="11" t="inlineStr">
        <is>
          <t>Weight</t>
        </is>
      </c>
      <c r="B8" s="22" t="n">
        <v>1</v>
      </c>
      <c r="C8" s="22" t="n">
        <v>1</v>
      </c>
      <c r="D8" s="22" t="n">
        <v>1</v>
      </c>
      <c r="E8" s="22" t="n">
        <v>1</v>
      </c>
    </row>
    <row r="9">
      <c r="A9" s="11" t="inlineStr">
        <is>
          <t>Fitted</t>
        </is>
      </c>
      <c r="B9" s="18">
        <f>$F$12*(1-$F$11)*(1-(1-$F$11)^MIN(B6,$B$11))/($F$11*MIN(B6,$B$11))</f>
        <v/>
      </c>
      <c r="C9" s="18">
        <f>$F$12*(1-$F$11)*(1-(1-$F$11)^MIN(C6,$B$11))/($F$11*MIN(C6,$B$11))</f>
        <v/>
      </c>
      <c r="D9" s="18">
        <f>$F$12*(1-$F$11)*(1-(1-$F$11)^MIN(D6,$B$11))/($F$11*MIN(D6,$B$11))</f>
        <v/>
      </c>
      <c r="E9" s="18">
        <f>$F$12*(1-$F$11)*(1-(1-$F$11)^MIN(E6,$B$11))/($F$11*MIN(E6,$B$11))</f>
        <v/>
      </c>
    </row>
    <row r="10">
      <c r="A10" s="11" t="inlineStr">
        <is>
          <t>Fit error (points)</t>
        </is>
      </c>
      <c r="B10" s="18">
        <f>IF(B7="","",B9-B7)</f>
        <v/>
      </c>
      <c r="C10" s="18">
        <f>IF(C7="","",C9-C7)</f>
        <v/>
      </c>
      <c r="D10" s="18">
        <f>IF(D7="","",D9-D7)</f>
        <v/>
      </c>
      <c r="E10" s="18">
        <f>IF(E7="","",E9-E7)</f>
        <v/>
      </c>
    </row>
    <row r="11">
      <c r="A11" s="11" t="inlineStr">
        <is>
          <t>Tenor of the product (months)</t>
        </is>
      </c>
      <c r="B11" s="20" t="n">
        <v>24</v>
      </c>
      <c r="D11" s="9" t="inlineStr">
        <is>
          <t>Closest fit</t>
        </is>
      </c>
      <c r="E11" s="11" t="inlineStr">
        <is>
          <t>Hazard</t>
        </is>
      </c>
      <c r="F11" s="23">
        <f>INDEX($A$17:$A$167,MATCH(MIN($U$17:$U$167),$U$17:$U$167,0))</f>
        <v/>
      </c>
    </row>
    <row r="12">
      <c r="E12" s="11" t="inlineStr">
        <is>
          <t>Collection rate on paying accounts</t>
        </is>
      </c>
      <c r="F12" s="21">
        <f>INDEX($B$16:$S$16,INDEX($V$17:$V$167,MATCH(MIN($U$17:$U$167),$U$17:$U$167,0)))</f>
        <v/>
      </c>
    </row>
    <row r="13">
      <c r="E13" s="11" t="inlineStr">
        <is>
          <t>Grid limits</t>
        </is>
      </c>
      <c r="F13" s="12">
        <f>IF(OR(F11=$A$17,F11=$A$167,F12=$B$16,F12=$S$16),"At the edge of the grid: widen it","Inside the grid")</f>
        <v/>
      </c>
    </row>
    <row r="14"/>
    <row r="15">
      <c r="A15" s="24" t="inlineStr">
        <is>
          <t>Hazard (rows) × collection rate (columns): weighted sum of squared errors</t>
        </is>
      </c>
    </row>
    <row r="16">
      <c r="A16" s="15" t="inlineStr">
        <is>
          <t>Hazard</t>
        </is>
      </c>
      <c r="B16" s="25" t="n">
        <v>0.8</v>
      </c>
      <c r="C16" s="25" t="n">
        <v>0.8100000000000001</v>
      </c>
      <c r="D16" s="25" t="n">
        <v>0.82</v>
      </c>
      <c r="E16" s="25" t="n">
        <v>0.83</v>
      </c>
      <c r="F16" s="25" t="n">
        <v>0.84</v>
      </c>
      <c r="G16" s="25" t="n">
        <v>0.85</v>
      </c>
      <c r="H16" s="25" t="n">
        <v>0.86</v>
      </c>
      <c r="I16" s="25" t="n">
        <v>0.87</v>
      </c>
      <c r="J16" s="25" t="n">
        <v>0.88</v>
      </c>
      <c r="K16" s="25" t="n">
        <v>0.89</v>
      </c>
      <c r="L16" s="25" t="n">
        <v>0.9</v>
      </c>
      <c r="M16" s="25" t="n">
        <v>0.91</v>
      </c>
      <c r="N16" s="25" t="n">
        <v>0.92</v>
      </c>
      <c r="O16" s="25" t="n">
        <v>0.93</v>
      </c>
      <c r="P16" s="25" t="n">
        <v>0.9399999999999999</v>
      </c>
      <c r="Q16" s="25" t="n">
        <v>0.95</v>
      </c>
      <c r="R16" s="25" t="n">
        <v>0.96</v>
      </c>
      <c r="S16" s="25" t="n">
        <v>0.97</v>
      </c>
      <c r="U16" s="15" t="inlineStr">
        <is>
          <t>Row minimum</t>
        </is>
      </c>
      <c r="V16" s="15" t="inlineStr">
        <is>
          <t>Column of minimum</t>
        </is>
      </c>
    </row>
    <row r="17">
      <c r="A17" s="26" t="n">
        <v>0.005</v>
      </c>
      <c r="B17" s="27">
        <f>IF(OR(B$7="",B$8=0),0,B$8*(B$7-B$16*(1-$A17)*(1-(1-$A17)^MIN(B$6,$B$11))/($A17*MIN(B$6,$B$11)))^2)+IF(OR(C$7="",C$8=0),0,C$8*(C$7-B$16*(1-$A17)*(1-(1-$A17)^MIN(C$6,$B$11))/($A17*MIN(C$6,$B$11)))^2)+IF(OR(D$7="",D$8=0),0,D$8*(D$7-B$16*(1-$A17)*(1-(1-$A17)^MIN(D$6,$B$11))/($A17*MIN(D$6,$B$11)))^2)+IF(OR(E$7="",E$8=0),0,E$8*(E$7-B$16*(1-$A17)*(1-(1-$A17)^MIN(E$6,$B$11))/($A17*MIN(E$6,$B$11)))^2)</f>
        <v/>
      </c>
      <c r="C17" s="27">
        <f>IF(OR(B$7="",B$8=0),0,B$8*(B$7-C$16*(1-$A17)*(1-(1-$A17)^MIN(B$6,$B$11))/($A17*MIN(B$6,$B$11)))^2)+IF(OR(C$7="",C$8=0),0,C$8*(C$7-C$16*(1-$A17)*(1-(1-$A17)^MIN(C$6,$B$11))/($A17*MIN(C$6,$B$11)))^2)+IF(OR(D$7="",D$8=0),0,D$8*(D$7-C$16*(1-$A17)*(1-(1-$A17)^MIN(D$6,$B$11))/($A17*MIN(D$6,$B$11)))^2)+IF(OR(E$7="",E$8=0),0,E$8*(E$7-C$16*(1-$A17)*(1-(1-$A17)^MIN(E$6,$B$11))/($A17*MIN(E$6,$B$11)))^2)</f>
        <v/>
      </c>
      <c r="D17" s="27">
        <f>IF(OR(B$7="",B$8=0),0,B$8*(B$7-D$16*(1-$A17)*(1-(1-$A17)^MIN(B$6,$B$11))/($A17*MIN(B$6,$B$11)))^2)+IF(OR(C$7="",C$8=0),0,C$8*(C$7-D$16*(1-$A17)*(1-(1-$A17)^MIN(C$6,$B$11))/($A17*MIN(C$6,$B$11)))^2)+IF(OR(D$7="",D$8=0),0,D$8*(D$7-D$16*(1-$A17)*(1-(1-$A17)^MIN(D$6,$B$11))/($A17*MIN(D$6,$B$11)))^2)+IF(OR(E$7="",E$8=0),0,E$8*(E$7-D$16*(1-$A17)*(1-(1-$A17)^MIN(E$6,$B$11))/($A17*MIN(E$6,$B$11)))^2)</f>
        <v/>
      </c>
      <c r="E17" s="27">
        <f>IF(OR(B$7="",B$8=0),0,B$8*(B$7-E$16*(1-$A17)*(1-(1-$A17)^MIN(B$6,$B$11))/($A17*MIN(B$6,$B$11)))^2)+IF(OR(C$7="",C$8=0),0,C$8*(C$7-E$16*(1-$A17)*(1-(1-$A17)^MIN(C$6,$B$11))/($A17*MIN(C$6,$B$11)))^2)+IF(OR(D$7="",D$8=0),0,D$8*(D$7-E$16*(1-$A17)*(1-(1-$A17)^MIN(D$6,$B$11))/($A17*MIN(D$6,$B$11)))^2)+IF(OR(E$7="",E$8=0),0,E$8*(E$7-E$16*(1-$A17)*(1-(1-$A17)^MIN(E$6,$B$11))/($A17*MIN(E$6,$B$11)))^2)</f>
        <v/>
      </c>
      <c r="F17" s="27">
        <f>IF(OR(B$7="",B$8=0),0,B$8*(B$7-F$16*(1-$A17)*(1-(1-$A17)^MIN(B$6,$B$11))/($A17*MIN(B$6,$B$11)))^2)+IF(OR(C$7="",C$8=0),0,C$8*(C$7-F$16*(1-$A17)*(1-(1-$A17)^MIN(C$6,$B$11))/($A17*MIN(C$6,$B$11)))^2)+IF(OR(D$7="",D$8=0),0,D$8*(D$7-F$16*(1-$A17)*(1-(1-$A17)^MIN(D$6,$B$11))/($A17*MIN(D$6,$B$11)))^2)+IF(OR(E$7="",E$8=0),0,E$8*(E$7-F$16*(1-$A17)*(1-(1-$A17)^MIN(E$6,$B$11))/($A17*MIN(E$6,$B$11)))^2)</f>
        <v/>
      </c>
      <c r="G17" s="27">
        <f>IF(OR(B$7="",B$8=0),0,B$8*(B$7-G$16*(1-$A17)*(1-(1-$A17)^MIN(B$6,$B$11))/($A17*MIN(B$6,$B$11)))^2)+IF(OR(C$7="",C$8=0),0,C$8*(C$7-G$16*(1-$A17)*(1-(1-$A17)^MIN(C$6,$B$11))/($A17*MIN(C$6,$B$11)))^2)+IF(OR(D$7="",D$8=0),0,D$8*(D$7-G$16*(1-$A17)*(1-(1-$A17)^MIN(D$6,$B$11))/($A17*MIN(D$6,$B$11)))^2)+IF(OR(E$7="",E$8=0),0,E$8*(E$7-G$16*(1-$A17)*(1-(1-$A17)^MIN(E$6,$B$11))/($A17*MIN(E$6,$B$11)))^2)</f>
        <v/>
      </c>
      <c r="H17" s="27">
        <f>IF(OR(B$7="",B$8=0),0,B$8*(B$7-H$16*(1-$A17)*(1-(1-$A17)^MIN(B$6,$B$11))/($A17*MIN(B$6,$B$11)))^2)+IF(OR(C$7="",C$8=0),0,C$8*(C$7-H$16*(1-$A17)*(1-(1-$A17)^MIN(C$6,$B$11))/($A17*MIN(C$6,$B$11)))^2)+IF(OR(D$7="",D$8=0),0,D$8*(D$7-H$16*(1-$A17)*(1-(1-$A17)^MIN(D$6,$B$11))/($A17*MIN(D$6,$B$11)))^2)+IF(OR(E$7="",E$8=0),0,E$8*(E$7-H$16*(1-$A17)*(1-(1-$A17)^MIN(E$6,$B$11))/($A17*MIN(E$6,$B$11)))^2)</f>
        <v/>
      </c>
      <c r="I17" s="27">
        <f>IF(OR(B$7="",B$8=0),0,B$8*(B$7-I$16*(1-$A17)*(1-(1-$A17)^MIN(B$6,$B$11))/($A17*MIN(B$6,$B$11)))^2)+IF(OR(C$7="",C$8=0),0,C$8*(C$7-I$16*(1-$A17)*(1-(1-$A17)^MIN(C$6,$B$11))/($A17*MIN(C$6,$B$11)))^2)+IF(OR(D$7="",D$8=0),0,D$8*(D$7-I$16*(1-$A17)*(1-(1-$A17)^MIN(D$6,$B$11))/($A17*MIN(D$6,$B$11)))^2)+IF(OR(E$7="",E$8=0),0,E$8*(E$7-I$16*(1-$A17)*(1-(1-$A17)^MIN(E$6,$B$11))/($A17*MIN(E$6,$B$11)))^2)</f>
        <v/>
      </c>
      <c r="J17" s="27">
        <f>IF(OR(B$7="",B$8=0),0,B$8*(B$7-J$16*(1-$A17)*(1-(1-$A17)^MIN(B$6,$B$11))/($A17*MIN(B$6,$B$11)))^2)+IF(OR(C$7="",C$8=0),0,C$8*(C$7-J$16*(1-$A17)*(1-(1-$A17)^MIN(C$6,$B$11))/($A17*MIN(C$6,$B$11)))^2)+IF(OR(D$7="",D$8=0),0,D$8*(D$7-J$16*(1-$A17)*(1-(1-$A17)^MIN(D$6,$B$11))/($A17*MIN(D$6,$B$11)))^2)+IF(OR(E$7="",E$8=0),0,E$8*(E$7-J$16*(1-$A17)*(1-(1-$A17)^MIN(E$6,$B$11))/($A17*MIN(E$6,$B$11)))^2)</f>
        <v/>
      </c>
      <c r="K17" s="27">
        <f>IF(OR(B$7="",B$8=0),0,B$8*(B$7-K$16*(1-$A17)*(1-(1-$A17)^MIN(B$6,$B$11))/($A17*MIN(B$6,$B$11)))^2)+IF(OR(C$7="",C$8=0),0,C$8*(C$7-K$16*(1-$A17)*(1-(1-$A17)^MIN(C$6,$B$11))/($A17*MIN(C$6,$B$11)))^2)+IF(OR(D$7="",D$8=0),0,D$8*(D$7-K$16*(1-$A17)*(1-(1-$A17)^MIN(D$6,$B$11))/($A17*MIN(D$6,$B$11)))^2)+IF(OR(E$7="",E$8=0),0,E$8*(E$7-K$16*(1-$A17)*(1-(1-$A17)^MIN(E$6,$B$11))/($A17*MIN(E$6,$B$11)))^2)</f>
        <v/>
      </c>
      <c r="L17" s="27">
        <f>IF(OR(B$7="",B$8=0),0,B$8*(B$7-L$16*(1-$A17)*(1-(1-$A17)^MIN(B$6,$B$11))/($A17*MIN(B$6,$B$11)))^2)+IF(OR(C$7="",C$8=0),0,C$8*(C$7-L$16*(1-$A17)*(1-(1-$A17)^MIN(C$6,$B$11))/($A17*MIN(C$6,$B$11)))^2)+IF(OR(D$7="",D$8=0),0,D$8*(D$7-L$16*(1-$A17)*(1-(1-$A17)^MIN(D$6,$B$11))/($A17*MIN(D$6,$B$11)))^2)+IF(OR(E$7="",E$8=0),0,E$8*(E$7-L$16*(1-$A17)*(1-(1-$A17)^MIN(E$6,$B$11))/($A17*MIN(E$6,$B$11)))^2)</f>
        <v/>
      </c>
      <c r="M17" s="27">
        <f>IF(OR(B$7="",B$8=0),0,B$8*(B$7-M$16*(1-$A17)*(1-(1-$A17)^MIN(B$6,$B$11))/($A17*MIN(B$6,$B$11)))^2)+IF(OR(C$7="",C$8=0),0,C$8*(C$7-M$16*(1-$A17)*(1-(1-$A17)^MIN(C$6,$B$11))/($A17*MIN(C$6,$B$11)))^2)+IF(OR(D$7="",D$8=0),0,D$8*(D$7-M$16*(1-$A17)*(1-(1-$A17)^MIN(D$6,$B$11))/($A17*MIN(D$6,$B$11)))^2)+IF(OR(E$7="",E$8=0),0,E$8*(E$7-M$16*(1-$A17)*(1-(1-$A17)^MIN(E$6,$B$11))/($A17*MIN(E$6,$B$11)))^2)</f>
        <v/>
      </c>
      <c r="N17" s="27">
        <f>IF(OR(B$7="",B$8=0),0,B$8*(B$7-N$16*(1-$A17)*(1-(1-$A17)^MIN(B$6,$B$11))/($A17*MIN(B$6,$B$11)))^2)+IF(OR(C$7="",C$8=0),0,C$8*(C$7-N$16*(1-$A17)*(1-(1-$A17)^MIN(C$6,$B$11))/($A17*MIN(C$6,$B$11)))^2)+IF(OR(D$7="",D$8=0),0,D$8*(D$7-N$16*(1-$A17)*(1-(1-$A17)^MIN(D$6,$B$11))/($A17*MIN(D$6,$B$11)))^2)+IF(OR(E$7="",E$8=0),0,E$8*(E$7-N$16*(1-$A17)*(1-(1-$A17)^MIN(E$6,$B$11))/($A17*MIN(E$6,$B$11)))^2)</f>
        <v/>
      </c>
      <c r="O17" s="27">
        <f>IF(OR(B$7="",B$8=0),0,B$8*(B$7-O$16*(1-$A17)*(1-(1-$A17)^MIN(B$6,$B$11))/($A17*MIN(B$6,$B$11)))^2)+IF(OR(C$7="",C$8=0),0,C$8*(C$7-O$16*(1-$A17)*(1-(1-$A17)^MIN(C$6,$B$11))/($A17*MIN(C$6,$B$11)))^2)+IF(OR(D$7="",D$8=0),0,D$8*(D$7-O$16*(1-$A17)*(1-(1-$A17)^MIN(D$6,$B$11))/($A17*MIN(D$6,$B$11)))^2)+IF(OR(E$7="",E$8=0),0,E$8*(E$7-O$16*(1-$A17)*(1-(1-$A17)^MIN(E$6,$B$11))/($A17*MIN(E$6,$B$11)))^2)</f>
        <v/>
      </c>
      <c r="P17" s="27">
        <f>IF(OR(B$7="",B$8=0),0,B$8*(B$7-P$16*(1-$A17)*(1-(1-$A17)^MIN(B$6,$B$11))/($A17*MIN(B$6,$B$11)))^2)+IF(OR(C$7="",C$8=0),0,C$8*(C$7-P$16*(1-$A17)*(1-(1-$A17)^MIN(C$6,$B$11))/($A17*MIN(C$6,$B$11)))^2)+IF(OR(D$7="",D$8=0),0,D$8*(D$7-P$16*(1-$A17)*(1-(1-$A17)^MIN(D$6,$B$11))/($A17*MIN(D$6,$B$11)))^2)+IF(OR(E$7="",E$8=0),0,E$8*(E$7-P$16*(1-$A17)*(1-(1-$A17)^MIN(E$6,$B$11))/($A17*MIN(E$6,$B$11)))^2)</f>
        <v/>
      </c>
      <c r="Q17" s="27">
        <f>IF(OR(B$7="",B$8=0),0,B$8*(B$7-Q$16*(1-$A17)*(1-(1-$A17)^MIN(B$6,$B$11))/($A17*MIN(B$6,$B$11)))^2)+IF(OR(C$7="",C$8=0),0,C$8*(C$7-Q$16*(1-$A17)*(1-(1-$A17)^MIN(C$6,$B$11))/($A17*MIN(C$6,$B$11)))^2)+IF(OR(D$7="",D$8=0),0,D$8*(D$7-Q$16*(1-$A17)*(1-(1-$A17)^MIN(D$6,$B$11))/($A17*MIN(D$6,$B$11)))^2)+IF(OR(E$7="",E$8=0),0,E$8*(E$7-Q$16*(1-$A17)*(1-(1-$A17)^MIN(E$6,$B$11))/($A17*MIN(E$6,$B$11)))^2)</f>
        <v/>
      </c>
      <c r="R17" s="27">
        <f>IF(OR(B$7="",B$8=0),0,B$8*(B$7-R$16*(1-$A17)*(1-(1-$A17)^MIN(B$6,$B$11))/($A17*MIN(B$6,$B$11)))^2)+IF(OR(C$7="",C$8=0),0,C$8*(C$7-R$16*(1-$A17)*(1-(1-$A17)^MIN(C$6,$B$11))/($A17*MIN(C$6,$B$11)))^2)+IF(OR(D$7="",D$8=0),0,D$8*(D$7-R$16*(1-$A17)*(1-(1-$A17)^MIN(D$6,$B$11))/($A17*MIN(D$6,$B$11)))^2)+IF(OR(E$7="",E$8=0),0,E$8*(E$7-R$16*(1-$A17)*(1-(1-$A17)^MIN(E$6,$B$11))/($A17*MIN(E$6,$B$11)))^2)</f>
        <v/>
      </c>
      <c r="S17" s="27">
        <f>IF(OR(B$7="",B$8=0),0,B$8*(B$7-S$16*(1-$A17)*(1-(1-$A17)^MIN(B$6,$B$11))/($A17*MIN(B$6,$B$11)))^2)+IF(OR(C$7="",C$8=0),0,C$8*(C$7-S$16*(1-$A17)*(1-(1-$A17)^MIN(C$6,$B$11))/($A17*MIN(C$6,$B$11)))^2)+IF(OR(D$7="",D$8=0),0,D$8*(D$7-S$16*(1-$A17)*(1-(1-$A17)^MIN(D$6,$B$11))/($A17*MIN(D$6,$B$11)))^2)+IF(OR(E$7="",E$8=0),0,E$8*(E$7-S$16*(1-$A17)*(1-(1-$A17)^MIN(E$6,$B$11))/($A17*MIN(E$6,$B$11)))^2)</f>
        <v/>
      </c>
      <c r="U17" s="27">
        <f>MIN(B17:S17)</f>
        <v/>
      </c>
      <c r="V17" s="17">
        <f>MATCH(U17,B17:S17,0)</f>
        <v/>
      </c>
    </row>
    <row r="18">
      <c r="A18" s="26" t="n">
        <v>0.0055</v>
      </c>
      <c r="B18" s="27">
        <f>IF(OR(B$7="",B$8=0),0,B$8*(B$7-B$16*(1-$A18)*(1-(1-$A18)^MIN(B$6,$B$11))/($A18*MIN(B$6,$B$11)))^2)+IF(OR(C$7="",C$8=0),0,C$8*(C$7-B$16*(1-$A18)*(1-(1-$A18)^MIN(C$6,$B$11))/($A18*MIN(C$6,$B$11)))^2)+IF(OR(D$7="",D$8=0),0,D$8*(D$7-B$16*(1-$A18)*(1-(1-$A18)^MIN(D$6,$B$11))/($A18*MIN(D$6,$B$11)))^2)+IF(OR(E$7="",E$8=0),0,E$8*(E$7-B$16*(1-$A18)*(1-(1-$A18)^MIN(E$6,$B$11))/($A18*MIN(E$6,$B$11)))^2)</f>
        <v/>
      </c>
      <c r="C18" s="27">
        <f>IF(OR(B$7="",B$8=0),0,B$8*(B$7-C$16*(1-$A18)*(1-(1-$A18)^MIN(B$6,$B$11))/($A18*MIN(B$6,$B$11)))^2)+IF(OR(C$7="",C$8=0),0,C$8*(C$7-C$16*(1-$A18)*(1-(1-$A18)^MIN(C$6,$B$11))/($A18*MIN(C$6,$B$11)))^2)+IF(OR(D$7="",D$8=0),0,D$8*(D$7-C$16*(1-$A18)*(1-(1-$A18)^MIN(D$6,$B$11))/($A18*MIN(D$6,$B$11)))^2)+IF(OR(E$7="",E$8=0),0,E$8*(E$7-C$16*(1-$A18)*(1-(1-$A18)^MIN(E$6,$B$11))/($A18*MIN(E$6,$B$11)))^2)</f>
        <v/>
      </c>
      <c r="D18" s="27">
        <f>IF(OR(B$7="",B$8=0),0,B$8*(B$7-D$16*(1-$A18)*(1-(1-$A18)^MIN(B$6,$B$11))/($A18*MIN(B$6,$B$11)))^2)+IF(OR(C$7="",C$8=0),0,C$8*(C$7-D$16*(1-$A18)*(1-(1-$A18)^MIN(C$6,$B$11))/($A18*MIN(C$6,$B$11)))^2)+IF(OR(D$7="",D$8=0),0,D$8*(D$7-D$16*(1-$A18)*(1-(1-$A18)^MIN(D$6,$B$11))/($A18*MIN(D$6,$B$11)))^2)+IF(OR(E$7="",E$8=0),0,E$8*(E$7-D$16*(1-$A18)*(1-(1-$A18)^MIN(E$6,$B$11))/($A18*MIN(E$6,$B$11)))^2)</f>
        <v/>
      </c>
      <c r="E18" s="27">
        <f>IF(OR(B$7="",B$8=0),0,B$8*(B$7-E$16*(1-$A18)*(1-(1-$A18)^MIN(B$6,$B$11))/($A18*MIN(B$6,$B$11)))^2)+IF(OR(C$7="",C$8=0),0,C$8*(C$7-E$16*(1-$A18)*(1-(1-$A18)^MIN(C$6,$B$11))/($A18*MIN(C$6,$B$11)))^2)+IF(OR(D$7="",D$8=0),0,D$8*(D$7-E$16*(1-$A18)*(1-(1-$A18)^MIN(D$6,$B$11))/($A18*MIN(D$6,$B$11)))^2)+IF(OR(E$7="",E$8=0),0,E$8*(E$7-E$16*(1-$A18)*(1-(1-$A18)^MIN(E$6,$B$11))/($A18*MIN(E$6,$B$11)))^2)</f>
        <v/>
      </c>
      <c r="F18" s="27">
        <f>IF(OR(B$7="",B$8=0),0,B$8*(B$7-F$16*(1-$A18)*(1-(1-$A18)^MIN(B$6,$B$11))/($A18*MIN(B$6,$B$11)))^2)+IF(OR(C$7="",C$8=0),0,C$8*(C$7-F$16*(1-$A18)*(1-(1-$A18)^MIN(C$6,$B$11))/($A18*MIN(C$6,$B$11)))^2)+IF(OR(D$7="",D$8=0),0,D$8*(D$7-F$16*(1-$A18)*(1-(1-$A18)^MIN(D$6,$B$11))/($A18*MIN(D$6,$B$11)))^2)+IF(OR(E$7="",E$8=0),0,E$8*(E$7-F$16*(1-$A18)*(1-(1-$A18)^MIN(E$6,$B$11))/($A18*MIN(E$6,$B$11)))^2)</f>
        <v/>
      </c>
      <c r="G18" s="27">
        <f>IF(OR(B$7="",B$8=0),0,B$8*(B$7-G$16*(1-$A18)*(1-(1-$A18)^MIN(B$6,$B$11))/($A18*MIN(B$6,$B$11)))^2)+IF(OR(C$7="",C$8=0),0,C$8*(C$7-G$16*(1-$A18)*(1-(1-$A18)^MIN(C$6,$B$11))/($A18*MIN(C$6,$B$11)))^2)+IF(OR(D$7="",D$8=0),0,D$8*(D$7-G$16*(1-$A18)*(1-(1-$A18)^MIN(D$6,$B$11))/($A18*MIN(D$6,$B$11)))^2)+IF(OR(E$7="",E$8=0),0,E$8*(E$7-G$16*(1-$A18)*(1-(1-$A18)^MIN(E$6,$B$11))/($A18*MIN(E$6,$B$11)))^2)</f>
        <v/>
      </c>
      <c r="H18" s="27">
        <f>IF(OR(B$7="",B$8=0),0,B$8*(B$7-H$16*(1-$A18)*(1-(1-$A18)^MIN(B$6,$B$11))/($A18*MIN(B$6,$B$11)))^2)+IF(OR(C$7="",C$8=0),0,C$8*(C$7-H$16*(1-$A18)*(1-(1-$A18)^MIN(C$6,$B$11))/($A18*MIN(C$6,$B$11)))^2)+IF(OR(D$7="",D$8=0),0,D$8*(D$7-H$16*(1-$A18)*(1-(1-$A18)^MIN(D$6,$B$11))/($A18*MIN(D$6,$B$11)))^2)+IF(OR(E$7="",E$8=0),0,E$8*(E$7-H$16*(1-$A18)*(1-(1-$A18)^MIN(E$6,$B$11))/($A18*MIN(E$6,$B$11)))^2)</f>
        <v/>
      </c>
      <c r="I18" s="27">
        <f>IF(OR(B$7="",B$8=0),0,B$8*(B$7-I$16*(1-$A18)*(1-(1-$A18)^MIN(B$6,$B$11))/($A18*MIN(B$6,$B$11)))^2)+IF(OR(C$7="",C$8=0),0,C$8*(C$7-I$16*(1-$A18)*(1-(1-$A18)^MIN(C$6,$B$11))/($A18*MIN(C$6,$B$11)))^2)+IF(OR(D$7="",D$8=0),0,D$8*(D$7-I$16*(1-$A18)*(1-(1-$A18)^MIN(D$6,$B$11))/($A18*MIN(D$6,$B$11)))^2)+IF(OR(E$7="",E$8=0),0,E$8*(E$7-I$16*(1-$A18)*(1-(1-$A18)^MIN(E$6,$B$11))/($A18*MIN(E$6,$B$11)))^2)</f>
        <v/>
      </c>
      <c r="J18" s="27">
        <f>IF(OR(B$7="",B$8=0),0,B$8*(B$7-J$16*(1-$A18)*(1-(1-$A18)^MIN(B$6,$B$11))/($A18*MIN(B$6,$B$11)))^2)+IF(OR(C$7="",C$8=0),0,C$8*(C$7-J$16*(1-$A18)*(1-(1-$A18)^MIN(C$6,$B$11))/($A18*MIN(C$6,$B$11)))^2)+IF(OR(D$7="",D$8=0),0,D$8*(D$7-J$16*(1-$A18)*(1-(1-$A18)^MIN(D$6,$B$11))/($A18*MIN(D$6,$B$11)))^2)+IF(OR(E$7="",E$8=0),0,E$8*(E$7-J$16*(1-$A18)*(1-(1-$A18)^MIN(E$6,$B$11))/($A18*MIN(E$6,$B$11)))^2)</f>
        <v/>
      </c>
      <c r="K18" s="27">
        <f>IF(OR(B$7="",B$8=0),0,B$8*(B$7-K$16*(1-$A18)*(1-(1-$A18)^MIN(B$6,$B$11))/($A18*MIN(B$6,$B$11)))^2)+IF(OR(C$7="",C$8=0),0,C$8*(C$7-K$16*(1-$A18)*(1-(1-$A18)^MIN(C$6,$B$11))/($A18*MIN(C$6,$B$11)))^2)+IF(OR(D$7="",D$8=0),0,D$8*(D$7-K$16*(1-$A18)*(1-(1-$A18)^MIN(D$6,$B$11))/($A18*MIN(D$6,$B$11)))^2)+IF(OR(E$7="",E$8=0),0,E$8*(E$7-K$16*(1-$A18)*(1-(1-$A18)^MIN(E$6,$B$11))/($A18*MIN(E$6,$B$11)))^2)</f>
        <v/>
      </c>
      <c r="L18" s="27">
        <f>IF(OR(B$7="",B$8=0),0,B$8*(B$7-L$16*(1-$A18)*(1-(1-$A18)^MIN(B$6,$B$11))/($A18*MIN(B$6,$B$11)))^2)+IF(OR(C$7="",C$8=0),0,C$8*(C$7-L$16*(1-$A18)*(1-(1-$A18)^MIN(C$6,$B$11))/($A18*MIN(C$6,$B$11)))^2)+IF(OR(D$7="",D$8=0),0,D$8*(D$7-L$16*(1-$A18)*(1-(1-$A18)^MIN(D$6,$B$11))/($A18*MIN(D$6,$B$11)))^2)+IF(OR(E$7="",E$8=0),0,E$8*(E$7-L$16*(1-$A18)*(1-(1-$A18)^MIN(E$6,$B$11))/($A18*MIN(E$6,$B$11)))^2)</f>
        <v/>
      </c>
      <c r="M18" s="27">
        <f>IF(OR(B$7="",B$8=0),0,B$8*(B$7-M$16*(1-$A18)*(1-(1-$A18)^MIN(B$6,$B$11))/($A18*MIN(B$6,$B$11)))^2)+IF(OR(C$7="",C$8=0),0,C$8*(C$7-M$16*(1-$A18)*(1-(1-$A18)^MIN(C$6,$B$11))/($A18*MIN(C$6,$B$11)))^2)+IF(OR(D$7="",D$8=0),0,D$8*(D$7-M$16*(1-$A18)*(1-(1-$A18)^MIN(D$6,$B$11))/($A18*MIN(D$6,$B$11)))^2)+IF(OR(E$7="",E$8=0),0,E$8*(E$7-M$16*(1-$A18)*(1-(1-$A18)^MIN(E$6,$B$11))/($A18*MIN(E$6,$B$11)))^2)</f>
        <v/>
      </c>
      <c r="N18" s="27">
        <f>IF(OR(B$7="",B$8=0),0,B$8*(B$7-N$16*(1-$A18)*(1-(1-$A18)^MIN(B$6,$B$11))/($A18*MIN(B$6,$B$11)))^2)+IF(OR(C$7="",C$8=0),0,C$8*(C$7-N$16*(1-$A18)*(1-(1-$A18)^MIN(C$6,$B$11))/($A18*MIN(C$6,$B$11)))^2)+IF(OR(D$7="",D$8=0),0,D$8*(D$7-N$16*(1-$A18)*(1-(1-$A18)^MIN(D$6,$B$11))/($A18*MIN(D$6,$B$11)))^2)+IF(OR(E$7="",E$8=0),0,E$8*(E$7-N$16*(1-$A18)*(1-(1-$A18)^MIN(E$6,$B$11))/($A18*MIN(E$6,$B$11)))^2)</f>
        <v/>
      </c>
      <c r="O18" s="27">
        <f>IF(OR(B$7="",B$8=0),0,B$8*(B$7-O$16*(1-$A18)*(1-(1-$A18)^MIN(B$6,$B$11))/($A18*MIN(B$6,$B$11)))^2)+IF(OR(C$7="",C$8=0),0,C$8*(C$7-O$16*(1-$A18)*(1-(1-$A18)^MIN(C$6,$B$11))/($A18*MIN(C$6,$B$11)))^2)+IF(OR(D$7="",D$8=0),0,D$8*(D$7-O$16*(1-$A18)*(1-(1-$A18)^MIN(D$6,$B$11))/($A18*MIN(D$6,$B$11)))^2)+IF(OR(E$7="",E$8=0),0,E$8*(E$7-O$16*(1-$A18)*(1-(1-$A18)^MIN(E$6,$B$11))/($A18*MIN(E$6,$B$11)))^2)</f>
        <v/>
      </c>
      <c r="P18" s="27">
        <f>IF(OR(B$7="",B$8=0),0,B$8*(B$7-P$16*(1-$A18)*(1-(1-$A18)^MIN(B$6,$B$11))/($A18*MIN(B$6,$B$11)))^2)+IF(OR(C$7="",C$8=0),0,C$8*(C$7-P$16*(1-$A18)*(1-(1-$A18)^MIN(C$6,$B$11))/($A18*MIN(C$6,$B$11)))^2)+IF(OR(D$7="",D$8=0),0,D$8*(D$7-P$16*(1-$A18)*(1-(1-$A18)^MIN(D$6,$B$11))/($A18*MIN(D$6,$B$11)))^2)+IF(OR(E$7="",E$8=0),0,E$8*(E$7-P$16*(1-$A18)*(1-(1-$A18)^MIN(E$6,$B$11))/($A18*MIN(E$6,$B$11)))^2)</f>
        <v/>
      </c>
      <c r="Q18" s="27">
        <f>IF(OR(B$7="",B$8=0),0,B$8*(B$7-Q$16*(1-$A18)*(1-(1-$A18)^MIN(B$6,$B$11))/($A18*MIN(B$6,$B$11)))^2)+IF(OR(C$7="",C$8=0),0,C$8*(C$7-Q$16*(1-$A18)*(1-(1-$A18)^MIN(C$6,$B$11))/($A18*MIN(C$6,$B$11)))^2)+IF(OR(D$7="",D$8=0),0,D$8*(D$7-Q$16*(1-$A18)*(1-(1-$A18)^MIN(D$6,$B$11))/($A18*MIN(D$6,$B$11)))^2)+IF(OR(E$7="",E$8=0),0,E$8*(E$7-Q$16*(1-$A18)*(1-(1-$A18)^MIN(E$6,$B$11))/($A18*MIN(E$6,$B$11)))^2)</f>
        <v/>
      </c>
      <c r="R18" s="27">
        <f>IF(OR(B$7="",B$8=0),0,B$8*(B$7-R$16*(1-$A18)*(1-(1-$A18)^MIN(B$6,$B$11))/($A18*MIN(B$6,$B$11)))^2)+IF(OR(C$7="",C$8=0),0,C$8*(C$7-R$16*(1-$A18)*(1-(1-$A18)^MIN(C$6,$B$11))/($A18*MIN(C$6,$B$11)))^2)+IF(OR(D$7="",D$8=0),0,D$8*(D$7-R$16*(1-$A18)*(1-(1-$A18)^MIN(D$6,$B$11))/($A18*MIN(D$6,$B$11)))^2)+IF(OR(E$7="",E$8=0),0,E$8*(E$7-R$16*(1-$A18)*(1-(1-$A18)^MIN(E$6,$B$11))/($A18*MIN(E$6,$B$11)))^2)</f>
        <v/>
      </c>
      <c r="S18" s="27">
        <f>IF(OR(B$7="",B$8=0),0,B$8*(B$7-S$16*(1-$A18)*(1-(1-$A18)^MIN(B$6,$B$11))/($A18*MIN(B$6,$B$11)))^2)+IF(OR(C$7="",C$8=0),0,C$8*(C$7-S$16*(1-$A18)*(1-(1-$A18)^MIN(C$6,$B$11))/($A18*MIN(C$6,$B$11)))^2)+IF(OR(D$7="",D$8=0),0,D$8*(D$7-S$16*(1-$A18)*(1-(1-$A18)^MIN(D$6,$B$11))/($A18*MIN(D$6,$B$11)))^2)+IF(OR(E$7="",E$8=0),0,E$8*(E$7-S$16*(1-$A18)*(1-(1-$A18)^MIN(E$6,$B$11))/($A18*MIN(E$6,$B$11)))^2)</f>
        <v/>
      </c>
      <c r="U18" s="27">
        <f>MIN(B18:S18)</f>
        <v/>
      </c>
      <c r="V18" s="17">
        <f>MATCH(U18,B18:S18,0)</f>
        <v/>
      </c>
    </row>
    <row r="19">
      <c r="A19" s="26" t="n">
        <v>0.006</v>
      </c>
      <c r="B19" s="27">
        <f>IF(OR(B$7="",B$8=0),0,B$8*(B$7-B$16*(1-$A19)*(1-(1-$A19)^MIN(B$6,$B$11))/($A19*MIN(B$6,$B$11)))^2)+IF(OR(C$7="",C$8=0),0,C$8*(C$7-B$16*(1-$A19)*(1-(1-$A19)^MIN(C$6,$B$11))/($A19*MIN(C$6,$B$11)))^2)+IF(OR(D$7="",D$8=0),0,D$8*(D$7-B$16*(1-$A19)*(1-(1-$A19)^MIN(D$6,$B$11))/($A19*MIN(D$6,$B$11)))^2)+IF(OR(E$7="",E$8=0),0,E$8*(E$7-B$16*(1-$A19)*(1-(1-$A19)^MIN(E$6,$B$11))/($A19*MIN(E$6,$B$11)))^2)</f>
        <v/>
      </c>
      <c r="C19" s="27">
        <f>IF(OR(B$7="",B$8=0),0,B$8*(B$7-C$16*(1-$A19)*(1-(1-$A19)^MIN(B$6,$B$11))/($A19*MIN(B$6,$B$11)))^2)+IF(OR(C$7="",C$8=0),0,C$8*(C$7-C$16*(1-$A19)*(1-(1-$A19)^MIN(C$6,$B$11))/($A19*MIN(C$6,$B$11)))^2)+IF(OR(D$7="",D$8=0),0,D$8*(D$7-C$16*(1-$A19)*(1-(1-$A19)^MIN(D$6,$B$11))/($A19*MIN(D$6,$B$11)))^2)+IF(OR(E$7="",E$8=0),0,E$8*(E$7-C$16*(1-$A19)*(1-(1-$A19)^MIN(E$6,$B$11))/($A19*MIN(E$6,$B$11)))^2)</f>
        <v/>
      </c>
      <c r="D19" s="27">
        <f>IF(OR(B$7="",B$8=0),0,B$8*(B$7-D$16*(1-$A19)*(1-(1-$A19)^MIN(B$6,$B$11))/($A19*MIN(B$6,$B$11)))^2)+IF(OR(C$7="",C$8=0),0,C$8*(C$7-D$16*(1-$A19)*(1-(1-$A19)^MIN(C$6,$B$11))/($A19*MIN(C$6,$B$11)))^2)+IF(OR(D$7="",D$8=0),0,D$8*(D$7-D$16*(1-$A19)*(1-(1-$A19)^MIN(D$6,$B$11))/($A19*MIN(D$6,$B$11)))^2)+IF(OR(E$7="",E$8=0),0,E$8*(E$7-D$16*(1-$A19)*(1-(1-$A19)^MIN(E$6,$B$11))/($A19*MIN(E$6,$B$11)))^2)</f>
        <v/>
      </c>
      <c r="E19" s="27">
        <f>IF(OR(B$7="",B$8=0),0,B$8*(B$7-E$16*(1-$A19)*(1-(1-$A19)^MIN(B$6,$B$11))/($A19*MIN(B$6,$B$11)))^2)+IF(OR(C$7="",C$8=0),0,C$8*(C$7-E$16*(1-$A19)*(1-(1-$A19)^MIN(C$6,$B$11))/($A19*MIN(C$6,$B$11)))^2)+IF(OR(D$7="",D$8=0),0,D$8*(D$7-E$16*(1-$A19)*(1-(1-$A19)^MIN(D$6,$B$11))/($A19*MIN(D$6,$B$11)))^2)+IF(OR(E$7="",E$8=0),0,E$8*(E$7-E$16*(1-$A19)*(1-(1-$A19)^MIN(E$6,$B$11))/($A19*MIN(E$6,$B$11)))^2)</f>
        <v/>
      </c>
      <c r="F19" s="27">
        <f>IF(OR(B$7="",B$8=0),0,B$8*(B$7-F$16*(1-$A19)*(1-(1-$A19)^MIN(B$6,$B$11))/($A19*MIN(B$6,$B$11)))^2)+IF(OR(C$7="",C$8=0),0,C$8*(C$7-F$16*(1-$A19)*(1-(1-$A19)^MIN(C$6,$B$11))/($A19*MIN(C$6,$B$11)))^2)+IF(OR(D$7="",D$8=0),0,D$8*(D$7-F$16*(1-$A19)*(1-(1-$A19)^MIN(D$6,$B$11))/($A19*MIN(D$6,$B$11)))^2)+IF(OR(E$7="",E$8=0),0,E$8*(E$7-F$16*(1-$A19)*(1-(1-$A19)^MIN(E$6,$B$11))/($A19*MIN(E$6,$B$11)))^2)</f>
        <v/>
      </c>
      <c r="G19" s="27">
        <f>IF(OR(B$7="",B$8=0),0,B$8*(B$7-G$16*(1-$A19)*(1-(1-$A19)^MIN(B$6,$B$11))/($A19*MIN(B$6,$B$11)))^2)+IF(OR(C$7="",C$8=0),0,C$8*(C$7-G$16*(1-$A19)*(1-(1-$A19)^MIN(C$6,$B$11))/($A19*MIN(C$6,$B$11)))^2)+IF(OR(D$7="",D$8=0),0,D$8*(D$7-G$16*(1-$A19)*(1-(1-$A19)^MIN(D$6,$B$11))/($A19*MIN(D$6,$B$11)))^2)+IF(OR(E$7="",E$8=0),0,E$8*(E$7-G$16*(1-$A19)*(1-(1-$A19)^MIN(E$6,$B$11))/($A19*MIN(E$6,$B$11)))^2)</f>
        <v/>
      </c>
      <c r="H19" s="27">
        <f>IF(OR(B$7="",B$8=0),0,B$8*(B$7-H$16*(1-$A19)*(1-(1-$A19)^MIN(B$6,$B$11))/($A19*MIN(B$6,$B$11)))^2)+IF(OR(C$7="",C$8=0),0,C$8*(C$7-H$16*(1-$A19)*(1-(1-$A19)^MIN(C$6,$B$11))/($A19*MIN(C$6,$B$11)))^2)+IF(OR(D$7="",D$8=0),0,D$8*(D$7-H$16*(1-$A19)*(1-(1-$A19)^MIN(D$6,$B$11))/($A19*MIN(D$6,$B$11)))^2)+IF(OR(E$7="",E$8=0),0,E$8*(E$7-H$16*(1-$A19)*(1-(1-$A19)^MIN(E$6,$B$11))/($A19*MIN(E$6,$B$11)))^2)</f>
        <v/>
      </c>
      <c r="I19" s="27">
        <f>IF(OR(B$7="",B$8=0),0,B$8*(B$7-I$16*(1-$A19)*(1-(1-$A19)^MIN(B$6,$B$11))/($A19*MIN(B$6,$B$11)))^2)+IF(OR(C$7="",C$8=0),0,C$8*(C$7-I$16*(1-$A19)*(1-(1-$A19)^MIN(C$6,$B$11))/($A19*MIN(C$6,$B$11)))^2)+IF(OR(D$7="",D$8=0),0,D$8*(D$7-I$16*(1-$A19)*(1-(1-$A19)^MIN(D$6,$B$11))/($A19*MIN(D$6,$B$11)))^2)+IF(OR(E$7="",E$8=0),0,E$8*(E$7-I$16*(1-$A19)*(1-(1-$A19)^MIN(E$6,$B$11))/($A19*MIN(E$6,$B$11)))^2)</f>
        <v/>
      </c>
      <c r="J19" s="27">
        <f>IF(OR(B$7="",B$8=0),0,B$8*(B$7-J$16*(1-$A19)*(1-(1-$A19)^MIN(B$6,$B$11))/($A19*MIN(B$6,$B$11)))^2)+IF(OR(C$7="",C$8=0),0,C$8*(C$7-J$16*(1-$A19)*(1-(1-$A19)^MIN(C$6,$B$11))/($A19*MIN(C$6,$B$11)))^2)+IF(OR(D$7="",D$8=0),0,D$8*(D$7-J$16*(1-$A19)*(1-(1-$A19)^MIN(D$6,$B$11))/($A19*MIN(D$6,$B$11)))^2)+IF(OR(E$7="",E$8=0),0,E$8*(E$7-J$16*(1-$A19)*(1-(1-$A19)^MIN(E$6,$B$11))/($A19*MIN(E$6,$B$11)))^2)</f>
        <v/>
      </c>
      <c r="K19" s="27">
        <f>IF(OR(B$7="",B$8=0),0,B$8*(B$7-K$16*(1-$A19)*(1-(1-$A19)^MIN(B$6,$B$11))/($A19*MIN(B$6,$B$11)))^2)+IF(OR(C$7="",C$8=0),0,C$8*(C$7-K$16*(1-$A19)*(1-(1-$A19)^MIN(C$6,$B$11))/($A19*MIN(C$6,$B$11)))^2)+IF(OR(D$7="",D$8=0),0,D$8*(D$7-K$16*(1-$A19)*(1-(1-$A19)^MIN(D$6,$B$11))/($A19*MIN(D$6,$B$11)))^2)+IF(OR(E$7="",E$8=0),0,E$8*(E$7-K$16*(1-$A19)*(1-(1-$A19)^MIN(E$6,$B$11))/($A19*MIN(E$6,$B$11)))^2)</f>
        <v/>
      </c>
      <c r="L19" s="27">
        <f>IF(OR(B$7="",B$8=0),0,B$8*(B$7-L$16*(1-$A19)*(1-(1-$A19)^MIN(B$6,$B$11))/($A19*MIN(B$6,$B$11)))^2)+IF(OR(C$7="",C$8=0),0,C$8*(C$7-L$16*(1-$A19)*(1-(1-$A19)^MIN(C$6,$B$11))/($A19*MIN(C$6,$B$11)))^2)+IF(OR(D$7="",D$8=0),0,D$8*(D$7-L$16*(1-$A19)*(1-(1-$A19)^MIN(D$6,$B$11))/($A19*MIN(D$6,$B$11)))^2)+IF(OR(E$7="",E$8=0),0,E$8*(E$7-L$16*(1-$A19)*(1-(1-$A19)^MIN(E$6,$B$11))/($A19*MIN(E$6,$B$11)))^2)</f>
        <v/>
      </c>
      <c r="M19" s="27">
        <f>IF(OR(B$7="",B$8=0),0,B$8*(B$7-M$16*(1-$A19)*(1-(1-$A19)^MIN(B$6,$B$11))/($A19*MIN(B$6,$B$11)))^2)+IF(OR(C$7="",C$8=0),0,C$8*(C$7-M$16*(1-$A19)*(1-(1-$A19)^MIN(C$6,$B$11))/($A19*MIN(C$6,$B$11)))^2)+IF(OR(D$7="",D$8=0),0,D$8*(D$7-M$16*(1-$A19)*(1-(1-$A19)^MIN(D$6,$B$11))/($A19*MIN(D$6,$B$11)))^2)+IF(OR(E$7="",E$8=0),0,E$8*(E$7-M$16*(1-$A19)*(1-(1-$A19)^MIN(E$6,$B$11))/($A19*MIN(E$6,$B$11)))^2)</f>
        <v/>
      </c>
      <c r="N19" s="27">
        <f>IF(OR(B$7="",B$8=0),0,B$8*(B$7-N$16*(1-$A19)*(1-(1-$A19)^MIN(B$6,$B$11))/($A19*MIN(B$6,$B$11)))^2)+IF(OR(C$7="",C$8=0),0,C$8*(C$7-N$16*(1-$A19)*(1-(1-$A19)^MIN(C$6,$B$11))/($A19*MIN(C$6,$B$11)))^2)+IF(OR(D$7="",D$8=0),0,D$8*(D$7-N$16*(1-$A19)*(1-(1-$A19)^MIN(D$6,$B$11))/($A19*MIN(D$6,$B$11)))^2)+IF(OR(E$7="",E$8=0),0,E$8*(E$7-N$16*(1-$A19)*(1-(1-$A19)^MIN(E$6,$B$11))/($A19*MIN(E$6,$B$11)))^2)</f>
        <v/>
      </c>
      <c r="O19" s="27">
        <f>IF(OR(B$7="",B$8=0),0,B$8*(B$7-O$16*(1-$A19)*(1-(1-$A19)^MIN(B$6,$B$11))/($A19*MIN(B$6,$B$11)))^2)+IF(OR(C$7="",C$8=0),0,C$8*(C$7-O$16*(1-$A19)*(1-(1-$A19)^MIN(C$6,$B$11))/($A19*MIN(C$6,$B$11)))^2)+IF(OR(D$7="",D$8=0),0,D$8*(D$7-O$16*(1-$A19)*(1-(1-$A19)^MIN(D$6,$B$11))/($A19*MIN(D$6,$B$11)))^2)+IF(OR(E$7="",E$8=0),0,E$8*(E$7-O$16*(1-$A19)*(1-(1-$A19)^MIN(E$6,$B$11))/($A19*MIN(E$6,$B$11)))^2)</f>
        <v/>
      </c>
      <c r="P19" s="27">
        <f>IF(OR(B$7="",B$8=0),0,B$8*(B$7-P$16*(1-$A19)*(1-(1-$A19)^MIN(B$6,$B$11))/($A19*MIN(B$6,$B$11)))^2)+IF(OR(C$7="",C$8=0),0,C$8*(C$7-P$16*(1-$A19)*(1-(1-$A19)^MIN(C$6,$B$11))/($A19*MIN(C$6,$B$11)))^2)+IF(OR(D$7="",D$8=0),0,D$8*(D$7-P$16*(1-$A19)*(1-(1-$A19)^MIN(D$6,$B$11))/($A19*MIN(D$6,$B$11)))^2)+IF(OR(E$7="",E$8=0),0,E$8*(E$7-P$16*(1-$A19)*(1-(1-$A19)^MIN(E$6,$B$11))/($A19*MIN(E$6,$B$11)))^2)</f>
        <v/>
      </c>
      <c r="Q19" s="27">
        <f>IF(OR(B$7="",B$8=0),0,B$8*(B$7-Q$16*(1-$A19)*(1-(1-$A19)^MIN(B$6,$B$11))/($A19*MIN(B$6,$B$11)))^2)+IF(OR(C$7="",C$8=0),0,C$8*(C$7-Q$16*(1-$A19)*(1-(1-$A19)^MIN(C$6,$B$11))/($A19*MIN(C$6,$B$11)))^2)+IF(OR(D$7="",D$8=0),0,D$8*(D$7-Q$16*(1-$A19)*(1-(1-$A19)^MIN(D$6,$B$11))/($A19*MIN(D$6,$B$11)))^2)+IF(OR(E$7="",E$8=0),0,E$8*(E$7-Q$16*(1-$A19)*(1-(1-$A19)^MIN(E$6,$B$11))/($A19*MIN(E$6,$B$11)))^2)</f>
        <v/>
      </c>
      <c r="R19" s="27">
        <f>IF(OR(B$7="",B$8=0),0,B$8*(B$7-R$16*(1-$A19)*(1-(1-$A19)^MIN(B$6,$B$11))/($A19*MIN(B$6,$B$11)))^2)+IF(OR(C$7="",C$8=0),0,C$8*(C$7-R$16*(1-$A19)*(1-(1-$A19)^MIN(C$6,$B$11))/($A19*MIN(C$6,$B$11)))^2)+IF(OR(D$7="",D$8=0),0,D$8*(D$7-R$16*(1-$A19)*(1-(1-$A19)^MIN(D$6,$B$11))/($A19*MIN(D$6,$B$11)))^2)+IF(OR(E$7="",E$8=0),0,E$8*(E$7-R$16*(1-$A19)*(1-(1-$A19)^MIN(E$6,$B$11))/($A19*MIN(E$6,$B$11)))^2)</f>
        <v/>
      </c>
      <c r="S19" s="27">
        <f>IF(OR(B$7="",B$8=0),0,B$8*(B$7-S$16*(1-$A19)*(1-(1-$A19)^MIN(B$6,$B$11))/($A19*MIN(B$6,$B$11)))^2)+IF(OR(C$7="",C$8=0),0,C$8*(C$7-S$16*(1-$A19)*(1-(1-$A19)^MIN(C$6,$B$11))/($A19*MIN(C$6,$B$11)))^2)+IF(OR(D$7="",D$8=0),0,D$8*(D$7-S$16*(1-$A19)*(1-(1-$A19)^MIN(D$6,$B$11))/($A19*MIN(D$6,$B$11)))^2)+IF(OR(E$7="",E$8=0),0,E$8*(E$7-S$16*(1-$A19)*(1-(1-$A19)^MIN(E$6,$B$11))/($A19*MIN(E$6,$B$11)))^2)</f>
        <v/>
      </c>
      <c r="U19" s="27">
        <f>MIN(B19:S19)</f>
        <v/>
      </c>
      <c r="V19" s="17">
        <f>MATCH(U19,B19:S19,0)</f>
        <v/>
      </c>
    </row>
    <row r="20">
      <c r="A20" s="26" t="n">
        <v>0.0065</v>
      </c>
      <c r="B20" s="27">
        <f>IF(OR(B$7="",B$8=0),0,B$8*(B$7-B$16*(1-$A20)*(1-(1-$A20)^MIN(B$6,$B$11))/($A20*MIN(B$6,$B$11)))^2)+IF(OR(C$7="",C$8=0),0,C$8*(C$7-B$16*(1-$A20)*(1-(1-$A20)^MIN(C$6,$B$11))/($A20*MIN(C$6,$B$11)))^2)+IF(OR(D$7="",D$8=0),0,D$8*(D$7-B$16*(1-$A20)*(1-(1-$A20)^MIN(D$6,$B$11))/($A20*MIN(D$6,$B$11)))^2)+IF(OR(E$7="",E$8=0),0,E$8*(E$7-B$16*(1-$A20)*(1-(1-$A20)^MIN(E$6,$B$11))/($A20*MIN(E$6,$B$11)))^2)</f>
        <v/>
      </c>
      <c r="C20" s="27">
        <f>IF(OR(B$7="",B$8=0),0,B$8*(B$7-C$16*(1-$A20)*(1-(1-$A20)^MIN(B$6,$B$11))/($A20*MIN(B$6,$B$11)))^2)+IF(OR(C$7="",C$8=0),0,C$8*(C$7-C$16*(1-$A20)*(1-(1-$A20)^MIN(C$6,$B$11))/($A20*MIN(C$6,$B$11)))^2)+IF(OR(D$7="",D$8=0),0,D$8*(D$7-C$16*(1-$A20)*(1-(1-$A20)^MIN(D$6,$B$11))/($A20*MIN(D$6,$B$11)))^2)+IF(OR(E$7="",E$8=0),0,E$8*(E$7-C$16*(1-$A20)*(1-(1-$A20)^MIN(E$6,$B$11))/($A20*MIN(E$6,$B$11)))^2)</f>
        <v/>
      </c>
      <c r="D20" s="27">
        <f>IF(OR(B$7="",B$8=0),0,B$8*(B$7-D$16*(1-$A20)*(1-(1-$A20)^MIN(B$6,$B$11))/($A20*MIN(B$6,$B$11)))^2)+IF(OR(C$7="",C$8=0),0,C$8*(C$7-D$16*(1-$A20)*(1-(1-$A20)^MIN(C$6,$B$11))/($A20*MIN(C$6,$B$11)))^2)+IF(OR(D$7="",D$8=0),0,D$8*(D$7-D$16*(1-$A20)*(1-(1-$A20)^MIN(D$6,$B$11))/($A20*MIN(D$6,$B$11)))^2)+IF(OR(E$7="",E$8=0),0,E$8*(E$7-D$16*(1-$A20)*(1-(1-$A20)^MIN(E$6,$B$11))/($A20*MIN(E$6,$B$11)))^2)</f>
        <v/>
      </c>
      <c r="E20" s="27">
        <f>IF(OR(B$7="",B$8=0),0,B$8*(B$7-E$16*(1-$A20)*(1-(1-$A20)^MIN(B$6,$B$11))/($A20*MIN(B$6,$B$11)))^2)+IF(OR(C$7="",C$8=0),0,C$8*(C$7-E$16*(1-$A20)*(1-(1-$A20)^MIN(C$6,$B$11))/($A20*MIN(C$6,$B$11)))^2)+IF(OR(D$7="",D$8=0),0,D$8*(D$7-E$16*(1-$A20)*(1-(1-$A20)^MIN(D$6,$B$11))/($A20*MIN(D$6,$B$11)))^2)+IF(OR(E$7="",E$8=0),0,E$8*(E$7-E$16*(1-$A20)*(1-(1-$A20)^MIN(E$6,$B$11))/($A20*MIN(E$6,$B$11)))^2)</f>
        <v/>
      </c>
      <c r="F20" s="27">
        <f>IF(OR(B$7="",B$8=0),0,B$8*(B$7-F$16*(1-$A20)*(1-(1-$A20)^MIN(B$6,$B$11))/($A20*MIN(B$6,$B$11)))^2)+IF(OR(C$7="",C$8=0),0,C$8*(C$7-F$16*(1-$A20)*(1-(1-$A20)^MIN(C$6,$B$11))/($A20*MIN(C$6,$B$11)))^2)+IF(OR(D$7="",D$8=0),0,D$8*(D$7-F$16*(1-$A20)*(1-(1-$A20)^MIN(D$6,$B$11))/($A20*MIN(D$6,$B$11)))^2)+IF(OR(E$7="",E$8=0),0,E$8*(E$7-F$16*(1-$A20)*(1-(1-$A20)^MIN(E$6,$B$11))/($A20*MIN(E$6,$B$11)))^2)</f>
        <v/>
      </c>
      <c r="G20" s="27">
        <f>IF(OR(B$7="",B$8=0),0,B$8*(B$7-G$16*(1-$A20)*(1-(1-$A20)^MIN(B$6,$B$11))/($A20*MIN(B$6,$B$11)))^2)+IF(OR(C$7="",C$8=0),0,C$8*(C$7-G$16*(1-$A20)*(1-(1-$A20)^MIN(C$6,$B$11))/($A20*MIN(C$6,$B$11)))^2)+IF(OR(D$7="",D$8=0),0,D$8*(D$7-G$16*(1-$A20)*(1-(1-$A20)^MIN(D$6,$B$11))/($A20*MIN(D$6,$B$11)))^2)+IF(OR(E$7="",E$8=0),0,E$8*(E$7-G$16*(1-$A20)*(1-(1-$A20)^MIN(E$6,$B$11))/($A20*MIN(E$6,$B$11)))^2)</f>
        <v/>
      </c>
      <c r="H20" s="27">
        <f>IF(OR(B$7="",B$8=0),0,B$8*(B$7-H$16*(1-$A20)*(1-(1-$A20)^MIN(B$6,$B$11))/($A20*MIN(B$6,$B$11)))^2)+IF(OR(C$7="",C$8=0),0,C$8*(C$7-H$16*(1-$A20)*(1-(1-$A20)^MIN(C$6,$B$11))/($A20*MIN(C$6,$B$11)))^2)+IF(OR(D$7="",D$8=0),0,D$8*(D$7-H$16*(1-$A20)*(1-(1-$A20)^MIN(D$6,$B$11))/($A20*MIN(D$6,$B$11)))^2)+IF(OR(E$7="",E$8=0),0,E$8*(E$7-H$16*(1-$A20)*(1-(1-$A20)^MIN(E$6,$B$11))/($A20*MIN(E$6,$B$11)))^2)</f>
        <v/>
      </c>
      <c r="I20" s="27">
        <f>IF(OR(B$7="",B$8=0),0,B$8*(B$7-I$16*(1-$A20)*(1-(1-$A20)^MIN(B$6,$B$11))/($A20*MIN(B$6,$B$11)))^2)+IF(OR(C$7="",C$8=0),0,C$8*(C$7-I$16*(1-$A20)*(1-(1-$A20)^MIN(C$6,$B$11))/($A20*MIN(C$6,$B$11)))^2)+IF(OR(D$7="",D$8=0),0,D$8*(D$7-I$16*(1-$A20)*(1-(1-$A20)^MIN(D$6,$B$11))/($A20*MIN(D$6,$B$11)))^2)+IF(OR(E$7="",E$8=0),0,E$8*(E$7-I$16*(1-$A20)*(1-(1-$A20)^MIN(E$6,$B$11))/($A20*MIN(E$6,$B$11)))^2)</f>
        <v/>
      </c>
      <c r="J20" s="27">
        <f>IF(OR(B$7="",B$8=0),0,B$8*(B$7-J$16*(1-$A20)*(1-(1-$A20)^MIN(B$6,$B$11))/($A20*MIN(B$6,$B$11)))^2)+IF(OR(C$7="",C$8=0),0,C$8*(C$7-J$16*(1-$A20)*(1-(1-$A20)^MIN(C$6,$B$11))/($A20*MIN(C$6,$B$11)))^2)+IF(OR(D$7="",D$8=0),0,D$8*(D$7-J$16*(1-$A20)*(1-(1-$A20)^MIN(D$6,$B$11))/($A20*MIN(D$6,$B$11)))^2)+IF(OR(E$7="",E$8=0),0,E$8*(E$7-J$16*(1-$A20)*(1-(1-$A20)^MIN(E$6,$B$11))/($A20*MIN(E$6,$B$11)))^2)</f>
        <v/>
      </c>
      <c r="K20" s="27">
        <f>IF(OR(B$7="",B$8=0),0,B$8*(B$7-K$16*(1-$A20)*(1-(1-$A20)^MIN(B$6,$B$11))/($A20*MIN(B$6,$B$11)))^2)+IF(OR(C$7="",C$8=0),0,C$8*(C$7-K$16*(1-$A20)*(1-(1-$A20)^MIN(C$6,$B$11))/($A20*MIN(C$6,$B$11)))^2)+IF(OR(D$7="",D$8=0),0,D$8*(D$7-K$16*(1-$A20)*(1-(1-$A20)^MIN(D$6,$B$11))/($A20*MIN(D$6,$B$11)))^2)+IF(OR(E$7="",E$8=0),0,E$8*(E$7-K$16*(1-$A20)*(1-(1-$A20)^MIN(E$6,$B$11))/($A20*MIN(E$6,$B$11)))^2)</f>
        <v/>
      </c>
      <c r="L20" s="27">
        <f>IF(OR(B$7="",B$8=0),0,B$8*(B$7-L$16*(1-$A20)*(1-(1-$A20)^MIN(B$6,$B$11))/($A20*MIN(B$6,$B$11)))^2)+IF(OR(C$7="",C$8=0),0,C$8*(C$7-L$16*(1-$A20)*(1-(1-$A20)^MIN(C$6,$B$11))/($A20*MIN(C$6,$B$11)))^2)+IF(OR(D$7="",D$8=0),0,D$8*(D$7-L$16*(1-$A20)*(1-(1-$A20)^MIN(D$6,$B$11))/($A20*MIN(D$6,$B$11)))^2)+IF(OR(E$7="",E$8=0),0,E$8*(E$7-L$16*(1-$A20)*(1-(1-$A20)^MIN(E$6,$B$11))/($A20*MIN(E$6,$B$11)))^2)</f>
        <v/>
      </c>
      <c r="M20" s="27">
        <f>IF(OR(B$7="",B$8=0),0,B$8*(B$7-M$16*(1-$A20)*(1-(1-$A20)^MIN(B$6,$B$11))/($A20*MIN(B$6,$B$11)))^2)+IF(OR(C$7="",C$8=0),0,C$8*(C$7-M$16*(1-$A20)*(1-(1-$A20)^MIN(C$6,$B$11))/($A20*MIN(C$6,$B$11)))^2)+IF(OR(D$7="",D$8=0),0,D$8*(D$7-M$16*(1-$A20)*(1-(1-$A20)^MIN(D$6,$B$11))/($A20*MIN(D$6,$B$11)))^2)+IF(OR(E$7="",E$8=0),0,E$8*(E$7-M$16*(1-$A20)*(1-(1-$A20)^MIN(E$6,$B$11))/($A20*MIN(E$6,$B$11)))^2)</f>
        <v/>
      </c>
      <c r="N20" s="27">
        <f>IF(OR(B$7="",B$8=0),0,B$8*(B$7-N$16*(1-$A20)*(1-(1-$A20)^MIN(B$6,$B$11))/($A20*MIN(B$6,$B$11)))^2)+IF(OR(C$7="",C$8=0),0,C$8*(C$7-N$16*(1-$A20)*(1-(1-$A20)^MIN(C$6,$B$11))/($A20*MIN(C$6,$B$11)))^2)+IF(OR(D$7="",D$8=0),0,D$8*(D$7-N$16*(1-$A20)*(1-(1-$A20)^MIN(D$6,$B$11))/($A20*MIN(D$6,$B$11)))^2)+IF(OR(E$7="",E$8=0),0,E$8*(E$7-N$16*(1-$A20)*(1-(1-$A20)^MIN(E$6,$B$11))/($A20*MIN(E$6,$B$11)))^2)</f>
        <v/>
      </c>
      <c r="O20" s="27">
        <f>IF(OR(B$7="",B$8=0),0,B$8*(B$7-O$16*(1-$A20)*(1-(1-$A20)^MIN(B$6,$B$11))/($A20*MIN(B$6,$B$11)))^2)+IF(OR(C$7="",C$8=0),0,C$8*(C$7-O$16*(1-$A20)*(1-(1-$A20)^MIN(C$6,$B$11))/($A20*MIN(C$6,$B$11)))^2)+IF(OR(D$7="",D$8=0),0,D$8*(D$7-O$16*(1-$A20)*(1-(1-$A20)^MIN(D$6,$B$11))/($A20*MIN(D$6,$B$11)))^2)+IF(OR(E$7="",E$8=0),0,E$8*(E$7-O$16*(1-$A20)*(1-(1-$A20)^MIN(E$6,$B$11))/($A20*MIN(E$6,$B$11)))^2)</f>
        <v/>
      </c>
      <c r="P20" s="27">
        <f>IF(OR(B$7="",B$8=0),0,B$8*(B$7-P$16*(1-$A20)*(1-(1-$A20)^MIN(B$6,$B$11))/($A20*MIN(B$6,$B$11)))^2)+IF(OR(C$7="",C$8=0),0,C$8*(C$7-P$16*(1-$A20)*(1-(1-$A20)^MIN(C$6,$B$11))/($A20*MIN(C$6,$B$11)))^2)+IF(OR(D$7="",D$8=0),0,D$8*(D$7-P$16*(1-$A20)*(1-(1-$A20)^MIN(D$6,$B$11))/($A20*MIN(D$6,$B$11)))^2)+IF(OR(E$7="",E$8=0),0,E$8*(E$7-P$16*(1-$A20)*(1-(1-$A20)^MIN(E$6,$B$11))/($A20*MIN(E$6,$B$11)))^2)</f>
        <v/>
      </c>
      <c r="Q20" s="27">
        <f>IF(OR(B$7="",B$8=0),0,B$8*(B$7-Q$16*(1-$A20)*(1-(1-$A20)^MIN(B$6,$B$11))/($A20*MIN(B$6,$B$11)))^2)+IF(OR(C$7="",C$8=0),0,C$8*(C$7-Q$16*(1-$A20)*(1-(1-$A20)^MIN(C$6,$B$11))/($A20*MIN(C$6,$B$11)))^2)+IF(OR(D$7="",D$8=0),0,D$8*(D$7-Q$16*(1-$A20)*(1-(1-$A20)^MIN(D$6,$B$11))/($A20*MIN(D$6,$B$11)))^2)+IF(OR(E$7="",E$8=0),0,E$8*(E$7-Q$16*(1-$A20)*(1-(1-$A20)^MIN(E$6,$B$11))/($A20*MIN(E$6,$B$11)))^2)</f>
        <v/>
      </c>
      <c r="R20" s="27">
        <f>IF(OR(B$7="",B$8=0),0,B$8*(B$7-R$16*(1-$A20)*(1-(1-$A20)^MIN(B$6,$B$11))/($A20*MIN(B$6,$B$11)))^2)+IF(OR(C$7="",C$8=0),0,C$8*(C$7-R$16*(1-$A20)*(1-(1-$A20)^MIN(C$6,$B$11))/($A20*MIN(C$6,$B$11)))^2)+IF(OR(D$7="",D$8=0),0,D$8*(D$7-R$16*(1-$A20)*(1-(1-$A20)^MIN(D$6,$B$11))/($A20*MIN(D$6,$B$11)))^2)+IF(OR(E$7="",E$8=0),0,E$8*(E$7-R$16*(1-$A20)*(1-(1-$A20)^MIN(E$6,$B$11))/($A20*MIN(E$6,$B$11)))^2)</f>
        <v/>
      </c>
      <c r="S20" s="27">
        <f>IF(OR(B$7="",B$8=0),0,B$8*(B$7-S$16*(1-$A20)*(1-(1-$A20)^MIN(B$6,$B$11))/($A20*MIN(B$6,$B$11)))^2)+IF(OR(C$7="",C$8=0),0,C$8*(C$7-S$16*(1-$A20)*(1-(1-$A20)^MIN(C$6,$B$11))/($A20*MIN(C$6,$B$11)))^2)+IF(OR(D$7="",D$8=0),0,D$8*(D$7-S$16*(1-$A20)*(1-(1-$A20)^MIN(D$6,$B$11))/($A20*MIN(D$6,$B$11)))^2)+IF(OR(E$7="",E$8=0),0,E$8*(E$7-S$16*(1-$A20)*(1-(1-$A20)^MIN(E$6,$B$11))/($A20*MIN(E$6,$B$11)))^2)</f>
        <v/>
      </c>
      <c r="U20" s="27">
        <f>MIN(B20:S20)</f>
        <v/>
      </c>
      <c r="V20" s="17">
        <f>MATCH(U20,B20:S20,0)</f>
        <v/>
      </c>
    </row>
    <row r="21">
      <c r="A21" s="26" t="n">
        <v>0.007</v>
      </c>
      <c r="B21" s="27">
        <f>IF(OR(B$7="",B$8=0),0,B$8*(B$7-B$16*(1-$A21)*(1-(1-$A21)^MIN(B$6,$B$11))/($A21*MIN(B$6,$B$11)))^2)+IF(OR(C$7="",C$8=0),0,C$8*(C$7-B$16*(1-$A21)*(1-(1-$A21)^MIN(C$6,$B$11))/($A21*MIN(C$6,$B$11)))^2)+IF(OR(D$7="",D$8=0),0,D$8*(D$7-B$16*(1-$A21)*(1-(1-$A21)^MIN(D$6,$B$11))/($A21*MIN(D$6,$B$11)))^2)+IF(OR(E$7="",E$8=0),0,E$8*(E$7-B$16*(1-$A21)*(1-(1-$A21)^MIN(E$6,$B$11))/($A21*MIN(E$6,$B$11)))^2)</f>
        <v/>
      </c>
      <c r="C21" s="27">
        <f>IF(OR(B$7="",B$8=0),0,B$8*(B$7-C$16*(1-$A21)*(1-(1-$A21)^MIN(B$6,$B$11))/($A21*MIN(B$6,$B$11)))^2)+IF(OR(C$7="",C$8=0),0,C$8*(C$7-C$16*(1-$A21)*(1-(1-$A21)^MIN(C$6,$B$11))/($A21*MIN(C$6,$B$11)))^2)+IF(OR(D$7="",D$8=0),0,D$8*(D$7-C$16*(1-$A21)*(1-(1-$A21)^MIN(D$6,$B$11))/($A21*MIN(D$6,$B$11)))^2)+IF(OR(E$7="",E$8=0),0,E$8*(E$7-C$16*(1-$A21)*(1-(1-$A21)^MIN(E$6,$B$11))/($A21*MIN(E$6,$B$11)))^2)</f>
        <v/>
      </c>
      <c r="D21" s="27">
        <f>IF(OR(B$7="",B$8=0),0,B$8*(B$7-D$16*(1-$A21)*(1-(1-$A21)^MIN(B$6,$B$11))/($A21*MIN(B$6,$B$11)))^2)+IF(OR(C$7="",C$8=0),0,C$8*(C$7-D$16*(1-$A21)*(1-(1-$A21)^MIN(C$6,$B$11))/($A21*MIN(C$6,$B$11)))^2)+IF(OR(D$7="",D$8=0),0,D$8*(D$7-D$16*(1-$A21)*(1-(1-$A21)^MIN(D$6,$B$11))/($A21*MIN(D$6,$B$11)))^2)+IF(OR(E$7="",E$8=0),0,E$8*(E$7-D$16*(1-$A21)*(1-(1-$A21)^MIN(E$6,$B$11))/($A21*MIN(E$6,$B$11)))^2)</f>
        <v/>
      </c>
      <c r="E21" s="27">
        <f>IF(OR(B$7="",B$8=0),0,B$8*(B$7-E$16*(1-$A21)*(1-(1-$A21)^MIN(B$6,$B$11))/($A21*MIN(B$6,$B$11)))^2)+IF(OR(C$7="",C$8=0),0,C$8*(C$7-E$16*(1-$A21)*(1-(1-$A21)^MIN(C$6,$B$11))/($A21*MIN(C$6,$B$11)))^2)+IF(OR(D$7="",D$8=0),0,D$8*(D$7-E$16*(1-$A21)*(1-(1-$A21)^MIN(D$6,$B$11))/($A21*MIN(D$6,$B$11)))^2)+IF(OR(E$7="",E$8=0),0,E$8*(E$7-E$16*(1-$A21)*(1-(1-$A21)^MIN(E$6,$B$11))/($A21*MIN(E$6,$B$11)))^2)</f>
        <v/>
      </c>
      <c r="F21" s="27">
        <f>IF(OR(B$7="",B$8=0),0,B$8*(B$7-F$16*(1-$A21)*(1-(1-$A21)^MIN(B$6,$B$11))/($A21*MIN(B$6,$B$11)))^2)+IF(OR(C$7="",C$8=0),0,C$8*(C$7-F$16*(1-$A21)*(1-(1-$A21)^MIN(C$6,$B$11))/($A21*MIN(C$6,$B$11)))^2)+IF(OR(D$7="",D$8=0),0,D$8*(D$7-F$16*(1-$A21)*(1-(1-$A21)^MIN(D$6,$B$11))/($A21*MIN(D$6,$B$11)))^2)+IF(OR(E$7="",E$8=0),0,E$8*(E$7-F$16*(1-$A21)*(1-(1-$A21)^MIN(E$6,$B$11))/($A21*MIN(E$6,$B$11)))^2)</f>
        <v/>
      </c>
      <c r="G21" s="27">
        <f>IF(OR(B$7="",B$8=0),0,B$8*(B$7-G$16*(1-$A21)*(1-(1-$A21)^MIN(B$6,$B$11))/($A21*MIN(B$6,$B$11)))^2)+IF(OR(C$7="",C$8=0),0,C$8*(C$7-G$16*(1-$A21)*(1-(1-$A21)^MIN(C$6,$B$11))/($A21*MIN(C$6,$B$11)))^2)+IF(OR(D$7="",D$8=0),0,D$8*(D$7-G$16*(1-$A21)*(1-(1-$A21)^MIN(D$6,$B$11))/($A21*MIN(D$6,$B$11)))^2)+IF(OR(E$7="",E$8=0),0,E$8*(E$7-G$16*(1-$A21)*(1-(1-$A21)^MIN(E$6,$B$11))/($A21*MIN(E$6,$B$11)))^2)</f>
        <v/>
      </c>
      <c r="H21" s="27">
        <f>IF(OR(B$7="",B$8=0),0,B$8*(B$7-H$16*(1-$A21)*(1-(1-$A21)^MIN(B$6,$B$11))/($A21*MIN(B$6,$B$11)))^2)+IF(OR(C$7="",C$8=0),0,C$8*(C$7-H$16*(1-$A21)*(1-(1-$A21)^MIN(C$6,$B$11))/($A21*MIN(C$6,$B$11)))^2)+IF(OR(D$7="",D$8=0),0,D$8*(D$7-H$16*(1-$A21)*(1-(1-$A21)^MIN(D$6,$B$11))/($A21*MIN(D$6,$B$11)))^2)+IF(OR(E$7="",E$8=0),0,E$8*(E$7-H$16*(1-$A21)*(1-(1-$A21)^MIN(E$6,$B$11))/($A21*MIN(E$6,$B$11)))^2)</f>
        <v/>
      </c>
      <c r="I21" s="27">
        <f>IF(OR(B$7="",B$8=0),0,B$8*(B$7-I$16*(1-$A21)*(1-(1-$A21)^MIN(B$6,$B$11))/($A21*MIN(B$6,$B$11)))^2)+IF(OR(C$7="",C$8=0),0,C$8*(C$7-I$16*(1-$A21)*(1-(1-$A21)^MIN(C$6,$B$11))/($A21*MIN(C$6,$B$11)))^2)+IF(OR(D$7="",D$8=0),0,D$8*(D$7-I$16*(1-$A21)*(1-(1-$A21)^MIN(D$6,$B$11))/($A21*MIN(D$6,$B$11)))^2)+IF(OR(E$7="",E$8=0),0,E$8*(E$7-I$16*(1-$A21)*(1-(1-$A21)^MIN(E$6,$B$11))/($A21*MIN(E$6,$B$11)))^2)</f>
        <v/>
      </c>
      <c r="J21" s="27">
        <f>IF(OR(B$7="",B$8=0),0,B$8*(B$7-J$16*(1-$A21)*(1-(1-$A21)^MIN(B$6,$B$11))/($A21*MIN(B$6,$B$11)))^2)+IF(OR(C$7="",C$8=0),0,C$8*(C$7-J$16*(1-$A21)*(1-(1-$A21)^MIN(C$6,$B$11))/($A21*MIN(C$6,$B$11)))^2)+IF(OR(D$7="",D$8=0),0,D$8*(D$7-J$16*(1-$A21)*(1-(1-$A21)^MIN(D$6,$B$11))/($A21*MIN(D$6,$B$11)))^2)+IF(OR(E$7="",E$8=0),0,E$8*(E$7-J$16*(1-$A21)*(1-(1-$A21)^MIN(E$6,$B$11))/($A21*MIN(E$6,$B$11)))^2)</f>
        <v/>
      </c>
      <c r="K21" s="27">
        <f>IF(OR(B$7="",B$8=0),0,B$8*(B$7-K$16*(1-$A21)*(1-(1-$A21)^MIN(B$6,$B$11))/($A21*MIN(B$6,$B$11)))^2)+IF(OR(C$7="",C$8=0),0,C$8*(C$7-K$16*(1-$A21)*(1-(1-$A21)^MIN(C$6,$B$11))/($A21*MIN(C$6,$B$11)))^2)+IF(OR(D$7="",D$8=0),0,D$8*(D$7-K$16*(1-$A21)*(1-(1-$A21)^MIN(D$6,$B$11))/($A21*MIN(D$6,$B$11)))^2)+IF(OR(E$7="",E$8=0),0,E$8*(E$7-K$16*(1-$A21)*(1-(1-$A21)^MIN(E$6,$B$11))/($A21*MIN(E$6,$B$11)))^2)</f>
        <v/>
      </c>
      <c r="L21" s="27">
        <f>IF(OR(B$7="",B$8=0),0,B$8*(B$7-L$16*(1-$A21)*(1-(1-$A21)^MIN(B$6,$B$11))/($A21*MIN(B$6,$B$11)))^2)+IF(OR(C$7="",C$8=0),0,C$8*(C$7-L$16*(1-$A21)*(1-(1-$A21)^MIN(C$6,$B$11))/($A21*MIN(C$6,$B$11)))^2)+IF(OR(D$7="",D$8=0),0,D$8*(D$7-L$16*(1-$A21)*(1-(1-$A21)^MIN(D$6,$B$11))/($A21*MIN(D$6,$B$11)))^2)+IF(OR(E$7="",E$8=0),0,E$8*(E$7-L$16*(1-$A21)*(1-(1-$A21)^MIN(E$6,$B$11))/($A21*MIN(E$6,$B$11)))^2)</f>
        <v/>
      </c>
      <c r="M21" s="27">
        <f>IF(OR(B$7="",B$8=0),0,B$8*(B$7-M$16*(1-$A21)*(1-(1-$A21)^MIN(B$6,$B$11))/($A21*MIN(B$6,$B$11)))^2)+IF(OR(C$7="",C$8=0),0,C$8*(C$7-M$16*(1-$A21)*(1-(1-$A21)^MIN(C$6,$B$11))/($A21*MIN(C$6,$B$11)))^2)+IF(OR(D$7="",D$8=0),0,D$8*(D$7-M$16*(1-$A21)*(1-(1-$A21)^MIN(D$6,$B$11))/($A21*MIN(D$6,$B$11)))^2)+IF(OR(E$7="",E$8=0),0,E$8*(E$7-M$16*(1-$A21)*(1-(1-$A21)^MIN(E$6,$B$11))/($A21*MIN(E$6,$B$11)))^2)</f>
        <v/>
      </c>
      <c r="N21" s="27">
        <f>IF(OR(B$7="",B$8=0),0,B$8*(B$7-N$16*(1-$A21)*(1-(1-$A21)^MIN(B$6,$B$11))/($A21*MIN(B$6,$B$11)))^2)+IF(OR(C$7="",C$8=0),0,C$8*(C$7-N$16*(1-$A21)*(1-(1-$A21)^MIN(C$6,$B$11))/($A21*MIN(C$6,$B$11)))^2)+IF(OR(D$7="",D$8=0),0,D$8*(D$7-N$16*(1-$A21)*(1-(1-$A21)^MIN(D$6,$B$11))/($A21*MIN(D$6,$B$11)))^2)+IF(OR(E$7="",E$8=0),0,E$8*(E$7-N$16*(1-$A21)*(1-(1-$A21)^MIN(E$6,$B$11))/($A21*MIN(E$6,$B$11)))^2)</f>
        <v/>
      </c>
      <c r="O21" s="27">
        <f>IF(OR(B$7="",B$8=0),0,B$8*(B$7-O$16*(1-$A21)*(1-(1-$A21)^MIN(B$6,$B$11))/($A21*MIN(B$6,$B$11)))^2)+IF(OR(C$7="",C$8=0),0,C$8*(C$7-O$16*(1-$A21)*(1-(1-$A21)^MIN(C$6,$B$11))/($A21*MIN(C$6,$B$11)))^2)+IF(OR(D$7="",D$8=0),0,D$8*(D$7-O$16*(1-$A21)*(1-(1-$A21)^MIN(D$6,$B$11))/($A21*MIN(D$6,$B$11)))^2)+IF(OR(E$7="",E$8=0),0,E$8*(E$7-O$16*(1-$A21)*(1-(1-$A21)^MIN(E$6,$B$11))/($A21*MIN(E$6,$B$11)))^2)</f>
        <v/>
      </c>
      <c r="P21" s="27">
        <f>IF(OR(B$7="",B$8=0),0,B$8*(B$7-P$16*(1-$A21)*(1-(1-$A21)^MIN(B$6,$B$11))/($A21*MIN(B$6,$B$11)))^2)+IF(OR(C$7="",C$8=0),0,C$8*(C$7-P$16*(1-$A21)*(1-(1-$A21)^MIN(C$6,$B$11))/($A21*MIN(C$6,$B$11)))^2)+IF(OR(D$7="",D$8=0),0,D$8*(D$7-P$16*(1-$A21)*(1-(1-$A21)^MIN(D$6,$B$11))/($A21*MIN(D$6,$B$11)))^2)+IF(OR(E$7="",E$8=0),0,E$8*(E$7-P$16*(1-$A21)*(1-(1-$A21)^MIN(E$6,$B$11))/($A21*MIN(E$6,$B$11)))^2)</f>
        <v/>
      </c>
      <c r="Q21" s="27">
        <f>IF(OR(B$7="",B$8=0),0,B$8*(B$7-Q$16*(1-$A21)*(1-(1-$A21)^MIN(B$6,$B$11))/($A21*MIN(B$6,$B$11)))^2)+IF(OR(C$7="",C$8=0),0,C$8*(C$7-Q$16*(1-$A21)*(1-(1-$A21)^MIN(C$6,$B$11))/($A21*MIN(C$6,$B$11)))^2)+IF(OR(D$7="",D$8=0),0,D$8*(D$7-Q$16*(1-$A21)*(1-(1-$A21)^MIN(D$6,$B$11))/($A21*MIN(D$6,$B$11)))^2)+IF(OR(E$7="",E$8=0),0,E$8*(E$7-Q$16*(1-$A21)*(1-(1-$A21)^MIN(E$6,$B$11))/($A21*MIN(E$6,$B$11)))^2)</f>
        <v/>
      </c>
      <c r="R21" s="27">
        <f>IF(OR(B$7="",B$8=0),0,B$8*(B$7-R$16*(1-$A21)*(1-(1-$A21)^MIN(B$6,$B$11))/($A21*MIN(B$6,$B$11)))^2)+IF(OR(C$7="",C$8=0),0,C$8*(C$7-R$16*(1-$A21)*(1-(1-$A21)^MIN(C$6,$B$11))/($A21*MIN(C$6,$B$11)))^2)+IF(OR(D$7="",D$8=0),0,D$8*(D$7-R$16*(1-$A21)*(1-(1-$A21)^MIN(D$6,$B$11))/($A21*MIN(D$6,$B$11)))^2)+IF(OR(E$7="",E$8=0),0,E$8*(E$7-R$16*(1-$A21)*(1-(1-$A21)^MIN(E$6,$B$11))/($A21*MIN(E$6,$B$11)))^2)</f>
        <v/>
      </c>
      <c r="S21" s="27">
        <f>IF(OR(B$7="",B$8=0),0,B$8*(B$7-S$16*(1-$A21)*(1-(1-$A21)^MIN(B$6,$B$11))/($A21*MIN(B$6,$B$11)))^2)+IF(OR(C$7="",C$8=0),0,C$8*(C$7-S$16*(1-$A21)*(1-(1-$A21)^MIN(C$6,$B$11))/($A21*MIN(C$6,$B$11)))^2)+IF(OR(D$7="",D$8=0),0,D$8*(D$7-S$16*(1-$A21)*(1-(1-$A21)^MIN(D$6,$B$11))/($A21*MIN(D$6,$B$11)))^2)+IF(OR(E$7="",E$8=0),0,E$8*(E$7-S$16*(1-$A21)*(1-(1-$A21)^MIN(E$6,$B$11))/($A21*MIN(E$6,$B$11)))^2)</f>
        <v/>
      </c>
      <c r="U21" s="27">
        <f>MIN(B21:S21)</f>
        <v/>
      </c>
      <c r="V21" s="17">
        <f>MATCH(U21,B21:S21,0)</f>
        <v/>
      </c>
    </row>
    <row r="22">
      <c r="A22" s="26" t="n">
        <v>0.0075</v>
      </c>
      <c r="B22" s="27">
        <f>IF(OR(B$7="",B$8=0),0,B$8*(B$7-B$16*(1-$A22)*(1-(1-$A22)^MIN(B$6,$B$11))/($A22*MIN(B$6,$B$11)))^2)+IF(OR(C$7="",C$8=0),0,C$8*(C$7-B$16*(1-$A22)*(1-(1-$A22)^MIN(C$6,$B$11))/($A22*MIN(C$6,$B$11)))^2)+IF(OR(D$7="",D$8=0),0,D$8*(D$7-B$16*(1-$A22)*(1-(1-$A22)^MIN(D$6,$B$11))/($A22*MIN(D$6,$B$11)))^2)+IF(OR(E$7="",E$8=0),0,E$8*(E$7-B$16*(1-$A22)*(1-(1-$A22)^MIN(E$6,$B$11))/($A22*MIN(E$6,$B$11)))^2)</f>
        <v/>
      </c>
      <c r="C22" s="27">
        <f>IF(OR(B$7="",B$8=0),0,B$8*(B$7-C$16*(1-$A22)*(1-(1-$A22)^MIN(B$6,$B$11))/($A22*MIN(B$6,$B$11)))^2)+IF(OR(C$7="",C$8=0),0,C$8*(C$7-C$16*(1-$A22)*(1-(1-$A22)^MIN(C$6,$B$11))/($A22*MIN(C$6,$B$11)))^2)+IF(OR(D$7="",D$8=0),0,D$8*(D$7-C$16*(1-$A22)*(1-(1-$A22)^MIN(D$6,$B$11))/($A22*MIN(D$6,$B$11)))^2)+IF(OR(E$7="",E$8=0),0,E$8*(E$7-C$16*(1-$A22)*(1-(1-$A22)^MIN(E$6,$B$11))/($A22*MIN(E$6,$B$11)))^2)</f>
        <v/>
      </c>
      <c r="D22" s="27">
        <f>IF(OR(B$7="",B$8=0),0,B$8*(B$7-D$16*(1-$A22)*(1-(1-$A22)^MIN(B$6,$B$11))/($A22*MIN(B$6,$B$11)))^2)+IF(OR(C$7="",C$8=0),0,C$8*(C$7-D$16*(1-$A22)*(1-(1-$A22)^MIN(C$6,$B$11))/($A22*MIN(C$6,$B$11)))^2)+IF(OR(D$7="",D$8=0),0,D$8*(D$7-D$16*(1-$A22)*(1-(1-$A22)^MIN(D$6,$B$11))/($A22*MIN(D$6,$B$11)))^2)+IF(OR(E$7="",E$8=0),0,E$8*(E$7-D$16*(1-$A22)*(1-(1-$A22)^MIN(E$6,$B$11))/($A22*MIN(E$6,$B$11)))^2)</f>
        <v/>
      </c>
      <c r="E22" s="27">
        <f>IF(OR(B$7="",B$8=0),0,B$8*(B$7-E$16*(1-$A22)*(1-(1-$A22)^MIN(B$6,$B$11))/($A22*MIN(B$6,$B$11)))^2)+IF(OR(C$7="",C$8=0),0,C$8*(C$7-E$16*(1-$A22)*(1-(1-$A22)^MIN(C$6,$B$11))/($A22*MIN(C$6,$B$11)))^2)+IF(OR(D$7="",D$8=0),0,D$8*(D$7-E$16*(1-$A22)*(1-(1-$A22)^MIN(D$6,$B$11))/($A22*MIN(D$6,$B$11)))^2)+IF(OR(E$7="",E$8=0),0,E$8*(E$7-E$16*(1-$A22)*(1-(1-$A22)^MIN(E$6,$B$11))/($A22*MIN(E$6,$B$11)))^2)</f>
        <v/>
      </c>
      <c r="F22" s="27">
        <f>IF(OR(B$7="",B$8=0),0,B$8*(B$7-F$16*(1-$A22)*(1-(1-$A22)^MIN(B$6,$B$11))/($A22*MIN(B$6,$B$11)))^2)+IF(OR(C$7="",C$8=0),0,C$8*(C$7-F$16*(1-$A22)*(1-(1-$A22)^MIN(C$6,$B$11))/($A22*MIN(C$6,$B$11)))^2)+IF(OR(D$7="",D$8=0),0,D$8*(D$7-F$16*(1-$A22)*(1-(1-$A22)^MIN(D$6,$B$11))/($A22*MIN(D$6,$B$11)))^2)+IF(OR(E$7="",E$8=0),0,E$8*(E$7-F$16*(1-$A22)*(1-(1-$A22)^MIN(E$6,$B$11))/($A22*MIN(E$6,$B$11)))^2)</f>
        <v/>
      </c>
      <c r="G22" s="27">
        <f>IF(OR(B$7="",B$8=0),0,B$8*(B$7-G$16*(1-$A22)*(1-(1-$A22)^MIN(B$6,$B$11))/($A22*MIN(B$6,$B$11)))^2)+IF(OR(C$7="",C$8=0),0,C$8*(C$7-G$16*(1-$A22)*(1-(1-$A22)^MIN(C$6,$B$11))/($A22*MIN(C$6,$B$11)))^2)+IF(OR(D$7="",D$8=0),0,D$8*(D$7-G$16*(1-$A22)*(1-(1-$A22)^MIN(D$6,$B$11))/($A22*MIN(D$6,$B$11)))^2)+IF(OR(E$7="",E$8=0),0,E$8*(E$7-G$16*(1-$A22)*(1-(1-$A22)^MIN(E$6,$B$11))/($A22*MIN(E$6,$B$11)))^2)</f>
        <v/>
      </c>
      <c r="H22" s="27">
        <f>IF(OR(B$7="",B$8=0),0,B$8*(B$7-H$16*(1-$A22)*(1-(1-$A22)^MIN(B$6,$B$11))/($A22*MIN(B$6,$B$11)))^2)+IF(OR(C$7="",C$8=0),0,C$8*(C$7-H$16*(1-$A22)*(1-(1-$A22)^MIN(C$6,$B$11))/($A22*MIN(C$6,$B$11)))^2)+IF(OR(D$7="",D$8=0),0,D$8*(D$7-H$16*(1-$A22)*(1-(1-$A22)^MIN(D$6,$B$11))/($A22*MIN(D$6,$B$11)))^2)+IF(OR(E$7="",E$8=0),0,E$8*(E$7-H$16*(1-$A22)*(1-(1-$A22)^MIN(E$6,$B$11))/($A22*MIN(E$6,$B$11)))^2)</f>
        <v/>
      </c>
      <c r="I22" s="27">
        <f>IF(OR(B$7="",B$8=0),0,B$8*(B$7-I$16*(1-$A22)*(1-(1-$A22)^MIN(B$6,$B$11))/($A22*MIN(B$6,$B$11)))^2)+IF(OR(C$7="",C$8=0),0,C$8*(C$7-I$16*(1-$A22)*(1-(1-$A22)^MIN(C$6,$B$11))/($A22*MIN(C$6,$B$11)))^2)+IF(OR(D$7="",D$8=0),0,D$8*(D$7-I$16*(1-$A22)*(1-(1-$A22)^MIN(D$6,$B$11))/($A22*MIN(D$6,$B$11)))^2)+IF(OR(E$7="",E$8=0),0,E$8*(E$7-I$16*(1-$A22)*(1-(1-$A22)^MIN(E$6,$B$11))/($A22*MIN(E$6,$B$11)))^2)</f>
        <v/>
      </c>
      <c r="J22" s="27">
        <f>IF(OR(B$7="",B$8=0),0,B$8*(B$7-J$16*(1-$A22)*(1-(1-$A22)^MIN(B$6,$B$11))/($A22*MIN(B$6,$B$11)))^2)+IF(OR(C$7="",C$8=0),0,C$8*(C$7-J$16*(1-$A22)*(1-(1-$A22)^MIN(C$6,$B$11))/($A22*MIN(C$6,$B$11)))^2)+IF(OR(D$7="",D$8=0),0,D$8*(D$7-J$16*(1-$A22)*(1-(1-$A22)^MIN(D$6,$B$11))/($A22*MIN(D$6,$B$11)))^2)+IF(OR(E$7="",E$8=0),0,E$8*(E$7-J$16*(1-$A22)*(1-(1-$A22)^MIN(E$6,$B$11))/($A22*MIN(E$6,$B$11)))^2)</f>
        <v/>
      </c>
      <c r="K22" s="27">
        <f>IF(OR(B$7="",B$8=0),0,B$8*(B$7-K$16*(1-$A22)*(1-(1-$A22)^MIN(B$6,$B$11))/($A22*MIN(B$6,$B$11)))^2)+IF(OR(C$7="",C$8=0),0,C$8*(C$7-K$16*(1-$A22)*(1-(1-$A22)^MIN(C$6,$B$11))/($A22*MIN(C$6,$B$11)))^2)+IF(OR(D$7="",D$8=0),0,D$8*(D$7-K$16*(1-$A22)*(1-(1-$A22)^MIN(D$6,$B$11))/($A22*MIN(D$6,$B$11)))^2)+IF(OR(E$7="",E$8=0),0,E$8*(E$7-K$16*(1-$A22)*(1-(1-$A22)^MIN(E$6,$B$11))/($A22*MIN(E$6,$B$11)))^2)</f>
        <v/>
      </c>
      <c r="L22" s="27">
        <f>IF(OR(B$7="",B$8=0),0,B$8*(B$7-L$16*(1-$A22)*(1-(1-$A22)^MIN(B$6,$B$11))/($A22*MIN(B$6,$B$11)))^2)+IF(OR(C$7="",C$8=0),0,C$8*(C$7-L$16*(1-$A22)*(1-(1-$A22)^MIN(C$6,$B$11))/($A22*MIN(C$6,$B$11)))^2)+IF(OR(D$7="",D$8=0),0,D$8*(D$7-L$16*(1-$A22)*(1-(1-$A22)^MIN(D$6,$B$11))/($A22*MIN(D$6,$B$11)))^2)+IF(OR(E$7="",E$8=0),0,E$8*(E$7-L$16*(1-$A22)*(1-(1-$A22)^MIN(E$6,$B$11))/($A22*MIN(E$6,$B$11)))^2)</f>
        <v/>
      </c>
      <c r="M22" s="27">
        <f>IF(OR(B$7="",B$8=0),0,B$8*(B$7-M$16*(1-$A22)*(1-(1-$A22)^MIN(B$6,$B$11))/($A22*MIN(B$6,$B$11)))^2)+IF(OR(C$7="",C$8=0),0,C$8*(C$7-M$16*(1-$A22)*(1-(1-$A22)^MIN(C$6,$B$11))/($A22*MIN(C$6,$B$11)))^2)+IF(OR(D$7="",D$8=0),0,D$8*(D$7-M$16*(1-$A22)*(1-(1-$A22)^MIN(D$6,$B$11))/($A22*MIN(D$6,$B$11)))^2)+IF(OR(E$7="",E$8=0),0,E$8*(E$7-M$16*(1-$A22)*(1-(1-$A22)^MIN(E$6,$B$11))/($A22*MIN(E$6,$B$11)))^2)</f>
        <v/>
      </c>
      <c r="N22" s="27">
        <f>IF(OR(B$7="",B$8=0),0,B$8*(B$7-N$16*(1-$A22)*(1-(1-$A22)^MIN(B$6,$B$11))/($A22*MIN(B$6,$B$11)))^2)+IF(OR(C$7="",C$8=0),0,C$8*(C$7-N$16*(1-$A22)*(1-(1-$A22)^MIN(C$6,$B$11))/($A22*MIN(C$6,$B$11)))^2)+IF(OR(D$7="",D$8=0),0,D$8*(D$7-N$16*(1-$A22)*(1-(1-$A22)^MIN(D$6,$B$11))/($A22*MIN(D$6,$B$11)))^2)+IF(OR(E$7="",E$8=0),0,E$8*(E$7-N$16*(1-$A22)*(1-(1-$A22)^MIN(E$6,$B$11))/($A22*MIN(E$6,$B$11)))^2)</f>
        <v/>
      </c>
      <c r="O22" s="27">
        <f>IF(OR(B$7="",B$8=0),0,B$8*(B$7-O$16*(1-$A22)*(1-(1-$A22)^MIN(B$6,$B$11))/($A22*MIN(B$6,$B$11)))^2)+IF(OR(C$7="",C$8=0),0,C$8*(C$7-O$16*(1-$A22)*(1-(1-$A22)^MIN(C$6,$B$11))/($A22*MIN(C$6,$B$11)))^2)+IF(OR(D$7="",D$8=0),0,D$8*(D$7-O$16*(1-$A22)*(1-(1-$A22)^MIN(D$6,$B$11))/($A22*MIN(D$6,$B$11)))^2)+IF(OR(E$7="",E$8=0),0,E$8*(E$7-O$16*(1-$A22)*(1-(1-$A22)^MIN(E$6,$B$11))/($A22*MIN(E$6,$B$11)))^2)</f>
        <v/>
      </c>
      <c r="P22" s="27">
        <f>IF(OR(B$7="",B$8=0),0,B$8*(B$7-P$16*(1-$A22)*(1-(1-$A22)^MIN(B$6,$B$11))/($A22*MIN(B$6,$B$11)))^2)+IF(OR(C$7="",C$8=0),0,C$8*(C$7-P$16*(1-$A22)*(1-(1-$A22)^MIN(C$6,$B$11))/($A22*MIN(C$6,$B$11)))^2)+IF(OR(D$7="",D$8=0),0,D$8*(D$7-P$16*(1-$A22)*(1-(1-$A22)^MIN(D$6,$B$11))/($A22*MIN(D$6,$B$11)))^2)+IF(OR(E$7="",E$8=0),0,E$8*(E$7-P$16*(1-$A22)*(1-(1-$A22)^MIN(E$6,$B$11))/($A22*MIN(E$6,$B$11)))^2)</f>
        <v/>
      </c>
      <c r="Q22" s="27">
        <f>IF(OR(B$7="",B$8=0),0,B$8*(B$7-Q$16*(1-$A22)*(1-(1-$A22)^MIN(B$6,$B$11))/($A22*MIN(B$6,$B$11)))^2)+IF(OR(C$7="",C$8=0),0,C$8*(C$7-Q$16*(1-$A22)*(1-(1-$A22)^MIN(C$6,$B$11))/($A22*MIN(C$6,$B$11)))^2)+IF(OR(D$7="",D$8=0),0,D$8*(D$7-Q$16*(1-$A22)*(1-(1-$A22)^MIN(D$6,$B$11))/($A22*MIN(D$6,$B$11)))^2)+IF(OR(E$7="",E$8=0),0,E$8*(E$7-Q$16*(1-$A22)*(1-(1-$A22)^MIN(E$6,$B$11))/($A22*MIN(E$6,$B$11)))^2)</f>
        <v/>
      </c>
      <c r="R22" s="27">
        <f>IF(OR(B$7="",B$8=0),0,B$8*(B$7-R$16*(1-$A22)*(1-(1-$A22)^MIN(B$6,$B$11))/($A22*MIN(B$6,$B$11)))^2)+IF(OR(C$7="",C$8=0),0,C$8*(C$7-R$16*(1-$A22)*(1-(1-$A22)^MIN(C$6,$B$11))/($A22*MIN(C$6,$B$11)))^2)+IF(OR(D$7="",D$8=0),0,D$8*(D$7-R$16*(1-$A22)*(1-(1-$A22)^MIN(D$6,$B$11))/($A22*MIN(D$6,$B$11)))^2)+IF(OR(E$7="",E$8=0),0,E$8*(E$7-R$16*(1-$A22)*(1-(1-$A22)^MIN(E$6,$B$11))/($A22*MIN(E$6,$B$11)))^2)</f>
        <v/>
      </c>
      <c r="S22" s="27">
        <f>IF(OR(B$7="",B$8=0),0,B$8*(B$7-S$16*(1-$A22)*(1-(1-$A22)^MIN(B$6,$B$11))/($A22*MIN(B$6,$B$11)))^2)+IF(OR(C$7="",C$8=0),0,C$8*(C$7-S$16*(1-$A22)*(1-(1-$A22)^MIN(C$6,$B$11))/($A22*MIN(C$6,$B$11)))^2)+IF(OR(D$7="",D$8=0),0,D$8*(D$7-S$16*(1-$A22)*(1-(1-$A22)^MIN(D$6,$B$11))/($A22*MIN(D$6,$B$11)))^2)+IF(OR(E$7="",E$8=0),0,E$8*(E$7-S$16*(1-$A22)*(1-(1-$A22)^MIN(E$6,$B$11))/($A22*MIN(E$6,$B$11)))^2)</f>
        <v/>
      </c>
      <c r="U22" s="27">
        <f>MIN(B22:S22)</f>
        <v/>
      </c>
      <c r="V22" s="17">
        <f>MATCH(U22,B22:S22,0)</f>
        <v/>
      </c>
    </row>
    <row r="23">
      <c r="A23" s="26" t="n">
        <v>0.008</v>
      </c>
      <c r="B23" s="27">
        <f>IF(OR(B$7="",B$8=0),0,B$8*(B$7-B$16*(1-$A23)*(1-(1-$A23)^MIN(B$6,$B$11))/($A23*MIN(B$6,$B$11)))^2)+IF(OR(C$7="",C$8=0),0,C$8*(C$7-B$16*(1-$A23)*(1-(1-$A23)^MIN(C$6,$B$11))/($A23*MIN(C$6,$B$11)))^2)+IF(OR(D$7="",D$8=0),0,D$8*(D$7-B$16*(1-$A23)*(1-(1-$A23)^MIN(D$6,$B$11))/($A23*MIN(D$6,$B$11)))^2)+IF(OR(E$7="",E$8=0),0,E$8*(E$7-B$16*(1-$A23)*(1-(1-$A23)^MIN(E$6,$B$11))/($A23*MIN(E$6,$B$11)))^2)</f>
        <v/>
      </c>
      <c r="C23" s="27">
        <f>IF(OR(B$7="",B$8=0),0,B$8*(B$7-C$16*(1-$A23)*(1-(1-$A23)^MIN(B$6,$B$11))/($A23*MIN(B$6,$B$11)))^2)+IF(OR(C$7="",C$8=0),0,C$8*(C$7-C$16*(1-$A23)*(1-(1-$A23)^MIN(C$6,$B$11))/($A23*MIN(C$6,$B$11)))^2)+IF(OR(D$7="",D$8=0),0,D$8*(D$7-C$16*(1-$A23)*(1-(1-$A23)^MIN(D$6,$B$11))/($A23*MIN(D$6,$B$11)))^2)+IF(OR(E$7="",E$8=0),0,E$8*(E$7-C$16*(1-$A23)*(1-(1-$A23)^MIN(E$6,$B$11))/($A23*MIN(E$6,$B$11)))^2)</f>
        <v/>
      </c>
      <c r="D23" s="27">
        <f>IF(OR(B$7="",B$8=0),0,B$8*(B$7-D$16*(1-$A23)*(1-(1-$A23)^MIN(B$6,$B$11))/($A23*MIN(B$6,$B$11)))^2)+IF(OR(C$7="",C$8=0),0,C$8*(C$7-D$16*(1-$A23)*(1-(1-$A23)^MIN(C$6,$B$11))/($A23*MIN(C$6,$B$11)))^2)+IF(OR(D$7="",D$8=0),0,D$8*(D$7-D$16*(1-$A23)*(1-(1-$A23)^MIN(D$6,$B$11))/($A23*MIN(D$6,$B$11)))^2)+IF(OR(E$7="",E$8=0),0,E$8*(E$7-D$16*(1-$A23)*(1-(1-$A23)^MIN(E$6,$B$11))/($A23*MIN(E$6,$B$11)))^2)</f>
        <v/>
      </c>
      <c r="E23" s="27">
        <f>IF(OR(B$7="",B$8=0),0,B$8*(B$7-E$16*(1-$A23)*(1-(1-$A23)^MIN(B$6,$B$11))/($A23*MIN(B$6,$B$11)))^2)+IF(OR(C$7="",C$8=0),0,C$8*(C$7-E$16*(1-$A23)*(1-(1-$A23)^MIN(C$6,$B$11))/($A23*MIN(C$6,$B$11)))^2)+IF(OR(D$7="",D$8=0),0,D$8*(D$7-E$16*(1-$A23)*(1-(1-$A23)^MIN(D$6,$B$11))/($A23*MIN(D$6,$B$11)))^2)+IF(OR(E$7="",E$8=0),0,E$8*(E$7-E$16*(1-$A23)*(1-(1-$A23)^MIN(E$6,$B$11))/($A23*MIN(E$6,$B$11)))^2)</f>
        <v/>
      </c>
      <c r="F23" s="27">
        <f>IF(OR(B$7="",B$8=0),0,B$8*(B$7-F$16*(1-$A23)*(1-(1-$A23)^MIN(B$6,$B$11))/($A23*MIN(B$6,$B$11)))^2)+IF(OR(C$7="",C$8=0),0,C$8*(C$7-F$16*(1-$A23)*(1-(1-$A23)^MIN(C$6,$B$11))/($A23*MIN(C$6,$B$11)))^2)+IF(OR(D$7="",D$8=0),0,D$8*(D$7-F$16*(1-$A23)*(1-(1-$A23)^MIN(D$6,$B$11))/($A23*MIN(D$6,$B$11)))^2)+IF(OR(E$7="",E$8=0),0,E$8*(E$7-F$16*(1-$A23)*(1-(1-$A23)^MIN(E$6,$B$11))/($A23*MIN(E$6,$B$11)))^2)</f>
        <v/>
      </c>
      <c r="G23" s="27">
        <f>IF(OR(B$7="",B$8=0),0,B$8*(B$7-G$16*(1-$A23)*(1-(1-$A23)^MIN(B$6,$B$11))/($A23*MIN(B$6,$B$11)))^2)+IF(OR(C$7="",C$8=0),0,C$8*(C$7-G$16*(1-$A23)*(1-(1-$A23)^MIN(C$6,$B$11))/($A23*MIN(C$6,$B$11)))^2)+IF(OR(D$7="",D$8=0),0,D$8*(D$7-G$16*(1-$A23)*(1-(1-$A23)^MIN(D$6,$B$11))/($A23*MIN(D$6,$B$11)))^2)+IF(OR(E$7="",E$8=0),0,E$8*(E$7-G$16*(1-$A23)*(1-(1-$A23)^MIN(E$6,$B$11))/($A23*MIN(E$6,$B$11)))^2)</f>
        <v/>
      </c>
      <c r="H23" s="27">
        <f>IF(OR(B$7="",B$8=0),0,B$8*(B$7-H$16*(1-$A23)*(1-(1-$A23)^MIN(B$6,$B$11))/($A23*MIN(B$6,$B$11)))^2)+IF(OR(C$7="",C$8=0),0,C$8*(C$7-H$16*(1-$A23)*(1-(1-$A23)^MIN(C$6,$B$11))/($A23*MIN(C$6,$B$11)))^2)+IF(OR(D$7="",D$8=0),0,D$8*(D$7-H$16*(1-$A23)*(1-(1-$A23)^MIN(D$6,$B$11))/($A23*MIN(D$6,$B$11)))^2)+IF(OR(E$7="",E$8=0),0,E$8*(E$7-H$16*(1-$A23)*(1-(1-$A23)^MIN(E$6,$B$11))/($A23*MIN(E$6,$B$11)))^2)</f>
        <v/>
      </c>
      <c r="I23" s="27">
        <f>IF(OR(B$7="",B$8=0),0,B$8*(B$7-I$16*(1-$A23)*(1-(1-$A23)^MIN(B$6,$B$11))/($A23*MIN(B$6,$B$11)))^2)+IF(OR(C$7="",C$8=0),0,C$8*(C$7-I$16*(1-$A23)*(1-(1-$A23)^MIN(C$6,$B$11))/($A23*MIN(C$6,$B$11)))^2)+IF(OR(D$7="",D$8=0),0,D$8*(D$7-I$16*(1-$A23)*(1-(1-$A23)^MIN(D$6,$B$11))/($A23*MIN(D$6,$B$11)))^2)+IF(OR(E$7="",E$8=0),0,E$8*(E$7-I$16*(1-$A23)*(1-(1-$A23)^MIN(E$6,$B$11))/($A23*MIN(E$6,$B$11)))^2)</f>
        <v/>
      </c>
      <c r="J23" s="27">
        <f>IF(OR(B$7="",B$8=0),0,B$8*(B$7-J$16*(1-$A23)*(1-(1-$A23)^MIN(B$6,$B$11))/($A23*MIN(B$6,$B$11)))^2)+IF(OR(C$7="",C$8=0),0,C$8*(C$7-J$16*(1-$A23)*(1-(1-$A23)^MIN(C$6,$B$11))/($A23*MIN(C$6,$B$11)))^2)+IF(OR(D$7="",D$8=0),0,D$8*(D$7-J$16*(1-$A23)*(1-(1-$A23)^MIN(D$6,$B$11))/($A23*MIN(D$6,$B$11)))^2)+IF(OR(E$7="",E$8=0),0,E$8*(E$7-J$16*(1-$A23)*(1-(1-$A23)^MIN(E$6,$B$11))/($A23*MIN(E$6,$B$11)))^2)</f>
        <v/>
      </c>
      <c r="K23" s="27">
        <f>IF(OR(B$7="",B$8=0),0,B$8*(B$7-K$16*(1-$A23)*(1-(1-$A23)^MIN(B$6,$B$11))/($A23*MIN(B$6,$B$11)))^2)+IF(OR(C$7="",C$8=0),0,C$8*(C$7-K$16*(1-$A23)*(1-(1-$A23)^MIN(C$6,$B$11))/($A23*MIN(C$6,$B$11)))^2)+IF(OR(D$7="",D$8=0),0,D$8*(D$7-K$16*(1-$A23)*(1-(1-$A23)^MIN(D$6,$B$11))/($A23*MIN(D$6,$B$11)))^2)+IF(OR(E$7="",E$8=0),0,E$8*(E$7-K$16*(1-$A23)*(1-(1-$A23)^MIN(E$6,$B$11))/($A23*MIN(E$6,$B$11)))^2)</f>
        <v/>
      </c>
      <c r="L23" s="27">
        <f>IF(OR(B$7="",B$8=0),0,B$8*(B$7-L$16*(1-$A23)*(1-(1-$A23)^MIN(B$6,$B$11))/($A23*MIN(B$6,$B$11)))^2)+IF(OR(C$7="",C$8=0),0,C$8*(C$7-L$16*(1-$A23)*(1-(1-$A23)^MIN(C$6,$B$11))/($A23*MIN(C$6,$B$11)))^2)+IF(OR(D$7="",D$8=0),0,D$8*(D$7-L$16*(1-$A23)*(1-(1-$A23)^MIN(D$6,$B$11))/($A23*MIN(D$6,$B$11)))^2)+IF(OR(E$7="",E$8=0),0,E$8*(E$7-L$16*(1-$A23)*(1-(1-$A23)^MIN(E$6,$B$11))/($A23*MIN(E$6,$B$11)))^2)</f>
        <v/>
      </c>
      <c r="M23" s="27">
        <f>IF(OR(B$7="",B$8=0),0,B$8*(B$7-M$16*(1-$A23)*(1-(1-$A23)^MIN(B$6,$B$11))/($A23*MIN(B$6,$B$11)))^2)+IF(OR(C$7="",C$8=0),0,C$8*(C$7-M$16*(1-$A23)*(1-(1-$A23)^MIN(C$6,$B$11))/($A23*MIN(C$6,$B$11)))^2)+IF(OR(D$7="",D$8=0),0,D$8*(D$7-M$16*(1-$A23)*(1-(1-$A23)^MIN(D$6,$B$11))/($A23*MIN(D$6,$B$11)))^2)+IF(OR(E$7="",E$8=0),0,E$8*(E$7-M$16*(1-$A23)*(1-(1-$A23)^MIN(E$6,$B$11))/($A23*MIN(E$6,$B$11)))^2)</f>
        <v/>
      </c>
      <c r="N23" s="27">
        <f>IF(OR(B$7="",B$8=0),0,B$8*(B$7-N$16*(1-$A23)*(1-(1-$A23)^MIN(B$6,$B$11))/($A23*MIN(B$6,$B$11)))^2)+IF(OR(C$7="",C$8=0),0,C$8*(C$7-N$16*(1-$A23)*(1-(1-$A23)^MIN(C$6,$B$11))/($A23*MIN(C$6,$B$11)))^2)+IF(OR(D$7="",D$8=0),0,D$8*(D$7-N$16*(1-$A23)*(1-(1-$A23)^MIN(D$6,$B$11))/($A23*MIN(D$6,$B$11)))^2)+IF(OR(E$7="",E$8=0),0,E$8*(E$7-N$16*(1-$A23)*(1-(1-$A23)^MIN(E$6,$B$11))/($A23*MIN(E$6,$B$11)))^2)</f>
        <v/>
      </c>
      <c r="O23" s="27">
        <f>IF(OR(B$7="",B$8=0),0,B$8*(B$7-O$16*(1-$A23)*(1-(1-$A23)^MIN(B$6,$B$11))/($A23*MIN(B$6,$B$11)))^2)+IF(OR(C$7="",C$8=0),0,C$8*(C$7-O$16*(1-$A23)*(1-(1-$A23)^MIN(C$6,$B$11))/($A23*MIN(C$6,$B$11)))^2)+IF(OR(D$7="",D$8=0),0,D$8*(D$7-O$16*(1-$A23)*(1-(1-$A23)^MIN(D$6,$B$11))/($A23*MIN(D$6,$B$11)))^2)+IF(OR(E$7="",E$8=0),0,E$8*(E$7-O$16*(1-$A23)*(1-(1-$A23)^MIN(E$6,$B$11))/($A23*MIN(E$6,$B$11)))^2)</f>
        <v/>
      </c>
      <c r="P23" s="27">
        <f>IF(OR(B$7="",B$8=0),0,B$8*(B$7-P$16*(1-$A23)*(1-(1-$A23)^MIN(B$6,$B$11))/($A23*MIN(B$6,$B$11)))^2)+IF(OR(C$7="",C$8=0),0,C$8*(C$7-P$16*(1-$A23)*(1-(1-$A23)^MIN(C$6,$B$11))/($A23*MIN(C$6,$B$11)))^2)+IF(OR(D$7="",D$8=0),0,D$8*(D$7-P$16*(1-$A23)*(1-(1-$A23)^MIN(D$6,$B$11))/($A23*MIN(D$6,$B$11)))^2)+IF(OR(E$7="",E$8=0),0,E$8*(E$7-P$16*(1-$A23)*(1-(1-$A23)^MIN(E$6,$B$11))/($A23*MIN(E$6,$B$11)))^2)</f>
        <v/>
      </c>
      <c r="Q23" s="27">
        <f>IF(OR(B$7="",B$8=0),0,B$8*(B$7-Q$16*(1-$A23)*(1-(1-$A23)^MIN(B$6,$B$11))/($A23*MIN(B$6,$B$11)))^2)+IF(OR(C$7="",C$8=0),0,C$8*(C$7-Q$16*(1-$A23)*(1-(1-$A23)^MIN(C$6,$B$11))/($A23*MIN(C$6,$B$11)))^2)+IF(OR(D$7="",D$8=0),0,D$8*(D$7-Q$16*(1-$A23)*(1-(1-$A23)^MIN(D$6,$B$11))/($A23*MIN(D$6,$B$11)))^2)+IF(OR(E$7="",E$8=0),0,E$8*(E$7-Q$16*(1-$A23)*(1-(1-$A23)^MIN(E$6,$B$11))/($A23*MIN(E$6,$B$11)))^2)</f>
        <v/>
      </c>
      <c r="R23" s="27">
        <f>IF(OR(B$7="",B$8=0),0,B$8*(B$7-R$16*(1-$A23)*(1-(1-$A23)^MIN(B$6,$B$11))/($A23*MIN(B$6,$B$11)))^2)+IF(OR(C$7="",C$8=0),0,C$8*(C$7-R$16*(1-$A23)*(1-(1-$A23)^MIN(C$6,$B$11))/($A23*MIN(C$6,$B$11)))^2)+IF(OR(D$7="",D$8=0),0,D$8*(D$7-R$16*(1-$A23)*(1-(1-$A23)^MIN(D$6,$B$11))/($A23*MIN(D$6,$B$11)))^2)+IF(OR(E$7="",E$8=0),0,E$8*(E$7-R$16*(1-$A23)*(1-(1-$A23)^MIN(E$6,$B$11))/($A23*MIN(E$6,$B$11)))^2)</f>
        <v/>
      </c>
      <c r="S23" s="27">
        <f>IF(OR(B$7="",B$8=0),0,B$8*(B$7-S$16*(1-$A23)*(1-(1-$A23)^MIN(B$6,$B$11))/($A23*MIN(B$6,$B$11)))^2)+IF(OR(C$7="",C$8=0),0,C$8*(C$7-S$16*(1-$A23)*(1-(1-$A23)^MIN(C$6,$B$11))/($A23*MIN(C$6,$B$11)))^2)+IF(OR(D$7="",D$8=0),0,D$8*(D$7-S$16*(1-$A23)*(1-(1-$A23)^MIN(D$6,$B$11))/($A23*MIN(D$6,$B$11)))^2)+IF(OR(E$7="",E$8=0),0,E$8*(E$7-S$16*(1-$A23)*(1-(1-$A23)^MIN(E$6,$B$11))/($A23*MIN(E$6,$B$11)))^2)</f>
        <v/>
      </c>
      <c r="U23" s="27">
        <f>MIN(B23:S23)</f>
        <v/>
      </c>
      <c r="V23" s="17">
        <f>MATCH(U23,B23:S23,0)</f>
        <v/>
      </c>
    </row>
    <row r="24">
      <c r="A24" s="26" t="n">
        <v>0.008500000000000001</v>
      </c>
      <c r="B24" s="27">
        <f>IF(OR(B$7="",B$8=0),0,B$8*(B$7-B$16*(1-$A24)*(1-(1-$A24)^MIN(B$6,$B$11))/($A24*MIN(B$6,$B$11)))^2)+IF(OR(C$7="",C$8=0),0,C$8*(C$7-B$16*(1-$A24)*(1-(1-$A24)^MIN(C$6,$B$11))/($A24*MIN(C$6,$B$11)))^2)+IF(OR(D$7="",D$8=0),0,D$8*(D$7-B$16*(1-$A24)*(1-(1-$A24)^MIN(D$6,$B$11))/($A24*MIN(D$6,$B$11)))^2)+IF(OR(E$7="",E$8=0),0,E$8*(E$7-B$16*(1-$A24)*(1-(1-$A24)^MIN(E$6,$B$11))/($A24*MIN(E$6,$B$11)))^2)</f>
        <v/>
      </c>
      <c r="C24" s="27">
        <f>IF(OR(B$7="",B$8=0),0,B$8*(B$7-C$16*(1-$A24)*(1-(1-$A24)^MIN(B$6,$B$11))/($A24*MIN(B$6,$B$11)))^2)+IF(OR(C$7="",C$8=0),0,C$8*(C$7-C$16*(1-$A24)*(1-(1-$A24)^MIN(C$6,$B$11))/($A24*MIN(C$6,$B$11)))^2)+IF(OR(D$7="",D$8=0),0,D$8*(D$7-C$16*(1-$A24)*(1-(1-$A24)^MIN(D$6,$B$11))/($A24*MIN(D$6,$B$11)))^2)+IF(OR(E$7="",E$8=0),0,E$8*(E$7-C$16*(1-$A24)*(1-(1-$A24)^MIN(E$6,$B$11))/($A24*MIN(E$6,$B$11)))^2)</f>
        <v/>
      </c>
      <c r="D24" s="27">
        <f>IF(OR(B$7="",B$8=0),0,B$8*(B$7-D$16*(1-$A24)*(1-(1-$A24)^MIN(B$6,$B$11))/($A24*MIN(B$6,$B$11)))^2)+IF(OR(C$7="",C$8=0),0,C$8*(C$7-D$16*(1-$A24)*(1-(1-$A24)^MIN(C$6,$B$11))/($A24*MIN(C$6,$B$11)))^2)+IF(OR(D$7="",D$8=0),0,D$8*(D$7-D$16*(1-$A24)*(1-(1-$A24)^MIN(D$6,$B$11))/($A24*MIN(D$6,$B$11)))^2)+IF(OR(E$7="",E$8=0),0,E$8*(E$7-D$16*(1-$A24)*(1-(1-$A24)^MIN(E$6,$B$11))/($A24*MIN(E$6,$B$11)))^2)</f>
        <v/>
      </c>
      <c r="E24" s="27">
        <f>IF(OR(B$7="",B$8=0),0,B$8*(B$7-E$16*(1-$A24)*(1-(1-$A24)^MIN(B$6,$B$11))/($A24*MIN(B$6,$B$11)))^2)+IF(OR(C$7="",C$8=0),0,C$8*(C$7-E$16*(1-$A24)*(1-(1-$A24)^MIN(C$6,$B$11))/($A24*MIN(C$6,$B$11)))^2)+IF(OR(D$7="",D$8=0),0,D$8*(D$7-E$16*(1-$A24)*(1-(1-$A24)^MIN(D$6,$B$11))/($A24*MIN(D$6,$B$11)))^2)+IF(OR(E$7="",E$8=0),0,E$8*(E$7-E$16*(1-$A24)*(1-(1-$A24)^MIN(E$6,$B$11))/($A24*MIN(E$6,$B$11)))^2)</f>
        <v/>
      </c>
      <c r="F24" s="27">
        <f>IF(OR(B$7="",B$8=0),0,B$8*(B$7-F$16*(1-$A24)*(1-(1-$A24)^MIN(B$6,$B$11))/($A24*MIN(B$6,$B$11)))^2)+IF(OR(C$7="",C$8=0),0,C$8*(C$7-F$16*(1-$A24)*(1-(1-$A24)^MIN(C$6,$B$11))/($A24*MIN(C$6,$B$11)))^2)+IF(OR(D$7="",D$8=0),0,D$8*(D$7-F$16*(1-$A24)*(1-(1-$A24)^MIN(D$6,$B$11))/($A24*MIN(D$6,$B$11)))^2)+IF(OR(E$7="",E$8=0),0,E$8*(E$7-F$16*(1-$A24)*(1-(1-$A24)^MIN(E$6,$B$11))/($A24*MIN(E$6,$B$11)))^2)</f>
        <v/>
      </c>
      <c r="G24" s="27">
        <f>IF(OR(B$7="",B$8=0),0,B$8*(B$7-G$16*(1-$A24)*(1-(1-$A24)^MIN(B$6,$B$11))/($A24*MIN(B$6,$B$11)))^2)+IF(OR(C$7="",C$8=0),0,C$8*(C$7-G$16*(1-$A24)*(1-(1-$A24)^MIN(C$6,$B$11))/($A24*MIN(C$6,$B$11)))^2)+IF(OR(D$7="",D$8=0),0,D$8*(D$7-G$16*(1-$A24)*(1-(1-$A24)^MIN(D$6,$B$11))/($A24*MIN(D$6,$B$11)))^2)+IF(OR(E$7="",E$8=0),0,E$8*(E$7-G$16*(1-$A24)*(1-(1-$A24)^MIN(E$6,$B$11))/($A24*MIN(E$6,$B$11)))^2)</f>
        <v/>
      </c>
      <c r="H24" s="27">
        <f>IF(OR(B$7="",B$8=0),0,B$8*(B$7-H$16*(1-$A24)*(1-(1-$A24)^MIN(B$6,$B$11))/($A24*MIN(B$6,$B$11)))^2)+IF(OR(C$7="",C$8=0),0,C$8*(C$7-H$16*(1-$A24)*(1-(1-$A24)^MIN(C$6,$B$11))/($A24*MIN(C$6,$B$11)))^2)+IF(OR(D$7="",D$8=0),0,D$8*(D$7-H$16*(1-$A24)*(1-(1-$A24)^MIN(D$6,$B$11))/($A24*MIN(D$6,$B$11)))^2)+IF(OR(E$7="",E$8=0),0,E$8*(E$7-H$16*(1-$A24)*(1-(1-$A24)^MIN(E$6,$B$11))/($A24*MIN(E$6,$B$11)))^2)</f>
        <v/>
      </c>
      <c r="I24" s="27">
        <f>IF(OR(B$7="",B$8=0),0,B$8*(B$7-I$16*(1-$A24)*(1-(1-$A24)^MIN(B$6,$B$11))/($A24*MIN(B$6,$B$11)))^2)+IF(OR(C$7="",C$8=0),0,C$8*(C$7-I$16*(1-$A24)*(1-(1-$A24)^MIN(C$6,$B$11))/($A24*MIN(C$6,$B$11)))^2)+IF(OR(D$7="",D$8=0),0,D$8*(D$7-I$16*(1-$A24)*(1-(1-$A24)^MIN(D$6,$B$11))/($A24*MIN(D$6,$B$11)))^2)+IF(OR(E$7="",E$8=0),0,E$8*(E$7-I$16*(1-$A24)*(1-(1-$A24)^MIN(E$6,$B$11))/($A24*MIN(E$6,$B$11)))^2)</f>
        <v/>
      </c>
      <c r="J24" s="27">
        <f>IF(OR(B$7="",B$8=0),0,B$8*(B$7-J$16*(1-$A24)*(1-(1-$A24)^MIN(B$6,$B$11))/($A24*MIN(B$6,$B$11)))^2)+IF(OR(C$7="",C$8=0),0,C$8*(C$7-J$16*(1-$A24)*(1-(1-$A24)^MIN(C$6,$B$11))/($A24*MIN(C$6,$B$11)))^2)+IF(OR(D$7="",D$8=0),0,D$8*(D$7-J$16*(1-$A24)*(1-(1-$A24)^MIN(D$6,$B$11))/($A24*MIN(D$6,$B$11)))^2)+IF(OR(E$7="",E$8=0),0,E$8*(E$7-J$16*(1-$A24)*(1-(1-$A24)^MIN(E$6,$B$11))/($A24*MIN(E$6,$B$11)))^2)</f>
        <v/>
      </c>
      <c r="K24" s="27">
        <f>IF(OR(B$7="",B$8=0),0,B$8*(B$7-K$16*(1-$A24)*(1-(1-$A24)^MIN(B$6,$B$11))/($A24*MIN(B$6,$B$11)))^2)+IF(OR(C$7="",C$8=0),0,C$8*(C$7-K$16*(1-$A24)*(1-(1-$A24)^MIN(C$6,$B$11))/($A24*MIN(C$6,$B$11)))^2)+IF(OR(D$7="",D$8=0),0,D$8*(D$7-K$16*(1-$A24)*(1-(1-$A24)^MIN(D$6,$B$11))/($A24*MIN(D$6,$B$11)))^2)+IF(OR(E$7="",E$8=0),0,E$8*(E$7-K$16*(1-$A24)*(1-(1-$A24)^MIN(E$6,$B$11))/($A24*MIN(E$6,$B$11)))^2)</f>
        <v/>
      </c>
      <c r="L24" s="27">
        <f>IF(OR(B$7="",B$8=0),0,B$8*(B$7-L$16*(1-$A24)*(1-(1-$A24)^MIN(B$6,$B$11))/($A24*MIN(B$6,$B$11)))^2)+IF(OR(C$7="",C$8=0),0,C$8*(C$7-L$16*(1-$A24)*(1-(1-$A24)^MIN(C$6,$B$11))/($A24*MIN(C$6,$B$11)))^2)+IF(OR(D$7="",D$8=0),0,D$8*(D$7-L$16*(1-$A24)*(1-(1-$A24)^MIN(D$6,$B$11))/($A24*MIN(D$6,$B$11)))^2)+IF(OR(E$7="",E$8=0),0,E$8*(E$7-L$16*(1-$A24)*(1-(1-$A24)^MIN(E$6,$B$11))/($A24*MIN(E$6,$B$11)))^2)</f>
        <v/>
      </c>
      <c r="M24" s="27">
        <f>IF(OR(B$7="",B$8=0),0,B$8*(B$7-M$16*(1-$A24)*(1-(1-$A24)^MIN(B$6,$B$11))/($A24*MIN(B$6,$B$11)))^2)+IF(OR(C$7="",C$8=0),0,C$8*(C$7-M$16*(1-$A24)*(1-(1-$A24)^MIN(C$6,$B$11))/($A24*MIN(C$6,$B$11)))^2)+IF(OR(D$7="",D$8=0),0,D$8*(D$7-M$16*(1-$A24)*(1-(1-$A24)^MIN(D$6,$B$11))/($A24*MIN(D$6,$B$11)))^2)+IF(OR(E$7="",E$8=0),0,E$8*(E$7-M$16*(1-$A24)*(1-(1-$A24)^MIN(E$6,$B$11))/($A24*MIN(E$6,$B$11)))^2)</f>
        <v/>
      </c>
      <c r="N24" s="27">
        <f>IF(OR(B$7="",B$8=0),0,B$8*(B$7-N$16*(1-$A24)*(1-(1-$A24)^MIN(B$6,$B$11))/($A24*MIN(B$6,$B$11)))^2)+IF(OR(C$7="",C$8=0),0,C$8*(C$7-N$16*(1-$A24)*(1-(1-$A24)^MIN(C$6,$B$11))/($A24*MIN(C$6,$B$11)))^2)+IF(OR(D$7="",D$8=0),0,D$8*(D$7-N$16*(1-$A24)*(1-(1-$A24)^MIN(D$6,$B$11))/($A24*MIN(D$6,$B$11)))^2)+IF(OR(E$7="",E$8=0),0,E$8*(E$7-N$16*(1-$A24)*(1-(1-$A24)^MIN(E$6,$B$11))/($A24*MIN(E$6,$B$11)))^2)</f>
        <v/>
      </c>
      <c r="O24" s="27">
        <f>IF(OR(B$7="",B$8=0),0,B$8*(B$7-O$16*(1-$A24)*(1-(1-$A24)^MIN(B$6,$B$11))/($A24*MIN(B$6,$B$11)))^2)+IF(OR(C$7="",C$8=0),0,C$8*(C$7-O$16*(1-$A24)*(1-(1-$A24)^MIN(C$6,$B$11))/($A24*MIN(C$6,$B$11)))^2)+IF(OR(D$7="",D$8=0),0,D$8*(D$7-O$16*(1-$A24)*(1-(1-$A24)^MIN(D$6,$B$11))/($A24*MIN(D$6,$B$11)))^2)+IF(OR(E$7="",E$8=0),0,E$8*(E$7-O$16*(1-$A24)*(1-(1-$A24)^MIN(E$6,$B$11))/($A24*MIN(E$6,$B$11)))^2)</f>
        <v/>
      </c>
      <c r="P24" s="27">
        <f>IF(OR(B$7="",B$8=0),0,B$8*(B$7-P$16*(1-$A24)*(1-(1-$A24)^MIN(B$6,$B$11))/($A24*MIN(B$6,$B$11)))^2)+IF(OR(C$7="",C$8=0),0,C$8*(C$7-P$16*(1-$A24)*(1-(1-$A24)^MIN(C$6,$B$11))/($A24*MIN(C$6,$B$11)))^2)+IF(OR(D$7="",D$8=0),0,D$8*(D$7-P$16*(1-$A24)*(1-(1-$A24)^MIN(D$6,$B$11))/($A24*MIN(D$6,$B$11)))^2)+IF(OR(E$7="",E$8=0),0,E$8*(E$7-P$16*(1-$A24)*(1-(1-$A24)^MIN(E$6,$B$11))/($A24*MIN(E$6,$B$11)))^2)</f>
        <v/>
      </c>
      <c r="Q24" s="27">
        <f>IF(OR(B$7="",B$8=0),0,B$8*(B$7-Q$16*(1-$A24)*(1-(1-$A24)^MIN(B$6,$B$11))/($A24*MIN(B$6,$B$11)))^2)+IF(OR(C$7="",C$8=0),0,C$8*(C$7-Q$16*(1-$A24)*(1-(1-$A24)^MIN(C$6,$B$11))/($A24*MIN(C$6,$B$11)))^2)+IF(OR(D$7="",D$8=0),0,D$8*(D$7-Q$16*(1-$A24)*(1-(1-$A24)^MIN(D$6,$B$11))/($A24*MIN(D$6,$B$11)))^2)+IF(OR(E$7="",E$8=0),0,E$8*(E$7-Q$16*(1-$A24)*(1-(1-$A24)^MIN(E$6,$B$11))/($A24*MIN(E$6,$B$11)))^2)</f>
        <v/>
      </c>
      <c r="R24" s="27">
        <f>IF(OR(B$7="",B$8=0),0,B$8*(B$7-R$16*(1-$A24)*(1-(1-$A24)^MIN(B$6,$B$11))/($A24*MIN(B$6,$B$11)))^2)+IF(OR(C$7="",C$8=0),0,C$8*(C$7-R$16*(1-$A24)*(1-(1-$A24)^MIN(C$6,$B$11))/($A24*MIN(C$6,$B$11)))^2)+IF(OR(D$7="",D$8=0),0,D$8*(D$7-R$16*(1-$A24)*(1-(1-$A24)^MIN(D$6,$B$11))/($A24*MIN(D$6,$B$11)))^2)+IF(OR(E$7="",E$8=0),0,E$8*(E$7-R$16*(1-$A24)*(1-(1-$A24)^MIN(E$6,$B$11))/($A24*MIN(E$6,$B$11)))^2)</f>
        <v/>
      </c>
      <c r="S24" s="27">
        <f>IF(OR(B$7="",B$8=0),0,B$8*(B$7-S$16*(1-$A24)*(1-(1-$A24)^MIN(B$6,$B$11))/($A24*MIN(B$6,$B$11)))^2)+IF(OR(C$7="",C$8=0),0,C$8*(C$7-S$16*(1-$A24)*(1-(1-$A24)^MIN(C$6,$B$11))/($A24*MIN(C$6,$B$11)))^2)+IF(OR(D$7="",D$8=0),0,D$8*(D$7-S$16*(1-$A24)*(1-(1-$A24)^MIN(D$6,$B$11))/($A24*MIN(D$6,$B$11)))^2)+IF(OR(E$7="",E$8=0),0,E$8*(E$7-S$16*(1-$A24)*(1-(1-$A24)^MIN(E$6,$B$11))/($A24*MIN(E$6,$B$11)))^2)</f>
        <v/>
      </c>
      <c r="U24" s="27">
        <f>MIN(B24:S24)</f>
        <v/>
      </c>
      <c r="V24" s="17">
        <f>MATCH(U24,B24:S24,0)</f>
        <v/>
      </c>
    </row>
    <row r="25">
      <c r="A25" s="26" t="n">
        <v>0.008999999999999999</v>
      </c>
      <c r="B25" s="27">
        <f>IF(OR(B$7="",B$8=0),0,B$8*(B$7-B$16*(1-$A25)*(1-(1-$A25)^MIN(B$6,$B$11))/($A25*MIN(B$6,$B$11)))^2)+IF(OR(C$7="",C$8=0),0,C$8*(C$7-B$16*(1-$A25)*(1-(1-$A25)^MIN(C$6,$B$11))/($A25*MIN(C$6,$B$11)))^2)+IF(OR(D$7="",D$8=0),0,D$8*(D$7-B$16*(1-$A25)*(1-(1-$A25)^MIN(D$6,$B$11))/($A25*MIN(D$6,$B$11)))^2)+IF(OR(E$7="",E$8=0),0,E$8*(E$7-B$16*(1-$A25)*(1-(1-$A25)^MIN(E$6,$B$11))/($A25*MIN(E$6,$B$11)))^2)</f>
        <v/>
      </c>
      <c r="C25" s="27">
        <f>IF(OR(B$7="",B$8=0),0,B$8*(B$7-C$16*(1-$A25)*(1-(1-$A25)^MIN(B$6,$B$11))/($A25*MIN(B$6,$B$11)))^2)+IF(OR(C$7="",C$8=0),0,C$8*(C$7-C$16*(1-$A25)*(1-(1-$A25)^MIN(C$6,$B$11))/($A25*MIN(C$6,$B$11)))^2)+IF(OR(D$7="",D$8=0),0,D$8*(D$7-C$16*(1-$A25)*(1-(1-$A25)^MIN(D$6,$B$11))/($A25*MIN(D$6,$B$11)))^2)+IF(OR(E$7="",E$8=0),0,E$8*(E$7-C$16*(1-$A25)*(1-(1-$A25)^MIN(E$6,$B$11))/($A25*MIN(E$6,$B$11)))^2)</f>
        <v/>
      </c>
      <c r="D25" s="27">
        <f>IF(OR(B$7="",B$8=0),0,B$8*(B$7-D$16*(1-$A25)*(1-(1-$A25)^MIN(B$6,$B$11))/($A25*MIN(B$6,$B$11)))^2)+IF(OR(C$7="",C$8=0),0,C$8*(C$7-D$16*(1-$A25)*(1-(1-$A25)^MIN(C$6,$B$11))/($A25*MIN(C$6,$B$11)))^2)+IF(OR(D$7="",D$8=0),0,D$8*(D$7-D$16*(1-$A25)*(1-(1-$A25)^MIN(D$6,$B$11))/($A25*MIN(D$6,$B$11)))^2)+IF(OR(E$7="",E$8=0),0,E$8*(E$7-D$16*(1-$A25)*(1-(1-$A25)^MIN(E$6,$B$11))/($A25*MIN(E$6,$B$11)))^2)</f>
        <v/>
      </c>
      <c r="E25" s="27">
        <f>IF(OR(B$7="",B$8=0),0,B$8*(B$7-E$16*(1-$A25)*(1-(1-$A25)^MIN(B$6,$B$11))/($A25*MIN(B$6,$B$11)))^2)+IF(OR(C$7="",C$8=0),0,C$8*(C$7-E$16*(1-$A25)*(1-(1-$A25)^MIN(C$6,$B$11))/($A25*MIN(C$6,$B$11)))^2)+IF(OR(D$7="",D$8=0),0,D$8*(D$7-E$16*(1-$A25)*(1-(1-$A25)^MIN(D$6,$B$11))/($A25*MIN(D$6,$B$11)))^2)+IF(OR(E$7="",E$8=0),0,E$8*(E$7-E$16*(1-$A25)*(1-(1-$A25)^MIN(E$6,$B$11))/($A25*MIN(E$6,$B$11)))^2)</f>
        <v/>
      </c>
      <c r="F25" s="27">
        <f>IF(OR(B$7="",B$8=0),0,B$8*(B$7-F$16*(1-$A25)*(1-(1-$A25)^MIN(B$6,$B$11))/($A25*MIN(B$6,$B$11)))^2)+IF(OR(C$7="",C$8=0),0,C$8*(C$7-F$16*(1-$A25)*(1-(1-$A25)^MIN(C$6,$B$11))/($A25*MIN(C$6,$B$11)))^2)+IF(OR(D$7="",D$8=0),0,D$8*(D$7-F$16*(1-$A25)*(1-(1-$A25)^MIN(D$6,$B$11))/($A25*MIN(D$6,$B$11)))^2)+IF(OR(E$7="",E$8=0),0,E$8*(E$7-F$16*(1-$A25)*(1-(1-$A25)^MIN(E$6,$B$11))/($A25*MIN(E$6,$B$11)))^2)</f>
        <v/>
      </c>
      <c r="G25" s="27">
        <f>IF(OR(B$7="",B$8=0),0,B$8*(B$7-G$16*(1-$A25)*(1-(1-$A25)^MIN(B$6,$B$11))/($A25*MIN(B$6,$B$11)))^2)+IF(OR(C$7="",C$8=0),0,C$8*(C$7-G$16*(1-$A25)*(1-(1-$A25)^MIN(C$6,$B$11))/($A25*MIN(C$6,$B$11)))^2)+IF(OR(D$7="",D$8=0),0,D$8*(D$7-G$16*(1-$A25)*(1-(1-$A25)^MIN(D$6,$B$11))/($A25*MIN(D$6,$B$11)))^2)+IF(OR(E$7="",E$8=0),0,E$8*(E$7-G$16*(1-$A25)*(1-(1-$A25)^MIN(E$6,$B$11))/($A25*MIN(E$6,$B$11)))^2)</f>
        <v/>
      </c>
      <c r="H25" s="27">
        <f>IF(OR(B$7="",B$8=0),0,B$8*(B$7-H$16*(1-$A25)*(1-(1-$A25)^MIN(B$6,$B$11))/($A25*MIN(B$6,$B$11)))^2)+IF(OR(C$7="",C$8=0),0,C$8*(C$7-H$16*(1-$A25)*(1-(1-$A25)^MIN(C$6,$B$11))/($A25*MIN(C$6,$B$11)))^2)+IF(OR(D$7="",D$8=0),0,D$8*(D$7-H$16*(1-$A25)*(1-(1-$A25)^MIN(D$6,$B$11))/($A25*MIN(D$6,$B$11)))^2)+IF(OR(E$7="",E$8=0),0,E$8*(E$7-H$16*(1-$A25)*(1-(1-$A25)^MIN(E$6,$B$11))/($A25*MIN(E$6,$B$11)))^2)</f>
        <v/>
      </c>
      <c r="I25" s="27">
        <f>IF(OR(B$7="",B$8=0),0,B$8*(B$7-I$16*(1-$A25)*(1-(1-$A25)^MIN(B$6,$B$11))/($A25*MIN(B$6,$B$11)))^2)+IF(OR(C$7="",C$8=0),0,C$8*(C$7-I$16*(1-$A25)*(1-(1-$A25)^MIN(C$6,$B$11))/($A25*MIN(C$6,$B$11)))^2)+IF(OR(D$7="",D$8=0),0,D$8*(D$7-I$16*(1-$A25)*(1-(1-$A25)^MIN(D$6,$B$11))/($A25*MIN(D$6,$B$11)))^2)+IF(OR(E$7="",E$8=0),0,E$8*(E$7-I$16*(1-$A25)*(1-(1-$A25)^MIN(E$6,$B$11))/($A25*MIN(E$6,$B$11)))^2)</f>
        <v/>
      </c>
      <c r="J25" s="27">
        <f>IF(OR(B$7="",B$8=0),0,B$8*(B$7-J$16*(1-$A25)*(1-(1-$A25)^MIN(B$6,$B$11))/($A25*MIN(B$6,$B$11)))^2)+IF(OR(C$7="",C$8=0),0,C$8*(C$7-J$16*(1-$A25)*(1-(1-$A25)^MIN(C$6,$B$11))/($A25*MIN(C$6,$B$11)))^2)+IF(OR(D$7="",D$8=0),0,D$8*(D$7-J$16*(1-$A25)*(1-(1-$A25)^MIN(D$6,$B$11))/($A25*MIN(D$6,$B$11)))^2)+IF(OR(E$7="",E$8=0),0,E$8*(E$7-J$16*(1-$A25)*(1-(1-$A25)^MIN(E$6,$B$11))/($A25*MIN(E$6,$B$11)))^2)</f>
        <v/>
      </c>
      <c r="K25" s="27">
        <f>IF(OR(B$7="",B$8=0),0,B$8*(B$7-K$16*(1-$A25)*(1-(1-$A25)^MIN(B$6,$B$11))/($A25*MIN(B$6,$B$11)))^2)+IF(OR(C$7="",C$8=0),0,C$8*(C$7-K$16*(1-$A25)*(1-(1-$A25)^MIN(C$6,$B$11))/($A25*MIN(C$6,$B$11)))^2)+IF(OR(D$7="",D$8=0),0,D$8*(D$7-K$16*(1-$A25)*(1-(1-$A25)^MIN(D$6,$B$11))/($A25*MIN(D$6,$B$11)))^2)+IF(OR(E$7="",E$8=0),0,E$8*(E$7-K$16*(1-$A25)*(1-(1-$A25)^MIN(E$6,$B$11))/($A25*MIN(E$6,$B$11)))^2)</f>
        <v/>
      </c>
      <c r="L25" s="27">
        <f>IF(OR(B$7="",B$8=0),0,B$8*(B$7-L$16*(1-$A25)*(1-(1-$A25)^MIN(B$6,$B$11))/($A25*MIN(B$6,$B$11)))^2)+IF(OR(C$7="",C$8=0),0,C$8*(C$7-L$16*(1-$A25)*(1-(1-$A25)^MIN(C$6,$B$11))/($A25*MIN(C$6,$B$11)))^2)+IF(OR(D$7="",D$8=0),0,D$8*(D$7-L$16*(1-$A25)*(1-(1-$A25)^MIN(D$6,$B$11))/($A25*MIN(D$6,$B$11)))^2)+IF(OR(E$7="",E$8=0),0,E$8*(E$7-L$16*(1-$A25)*(1-(1-$A25)^MIN(E$6,$B$11))/($A25*MIN(E$6,$B$11)))^2)</f>
        <v/>
      </c>
      <c r="M25" s="27">
        <f>IF(OR(B$7="",B$8=0),0,B$8*(B$7-M$16*(1-$A25)*(1-(1-$A25)^MIN(B$6,$B$11))/($A25*MIN(B$6,$B$11)))^2)+IF(OR(C$7="",C$8=0),0,C$8*(C$7-M$16*(1-$A25)*(1-(1-$A25)^MIN(C$6,$B$11))/($A25*MIN(C$6,$B$11)))^2)+IF(OR(D$7="",D$8=0),0,D$8*(D$7-M$16*(1-$A25)*(1-(1-$A25)^MIN(D$6,$B$11))/($A25*MIN(D$6,$B$11)))^2)+IF(OR(E$7="",E$8=0),0,E$8*(E$7-M$16*(1-$A25)*(1-(1-$A25)^MIN(E$6,$B$11))/($A25*MIN(E$6,$B$11)))^2)</f>
        <v/>
      </c>
      <c r="N25" s="27">
        <f>IF(OR(B$7="",B$8=0),0,B$8*(B$7-N$16*(1-$A25)*(1-(1-$A25)^MIN(B$6,$B$11))/($A25*MIN(B$6,$B$11)))^2)+IF(OR(C$7="",C$8=0),0,C$8*(C$7-N$16*(1-$A25)*(1-(1-$A25)^MIN(C$6,$B$11))/($A25*MIN(C$6,$B$11)))^2)+IF(OR(D$7="",D$8=0),0,D$8*(D$7-N$16*(1-$A25)*(1-(1-$A25)^MIN(D$6,$B$11))/($A25*MIN(D$6,$B$11)))^2)+IF(OR(E$7="",E$8=0),0,E$8*(E$7-N$16*(1-$A25)*(1-(1-$A25)^MIN(E$6,$B$11))/($A25*MIN(E$6,$B$11)))^2)</f>
        <v/>
      </c>
      <c r="O25" s="27">
        <f>IF(OR(B$7="",B$8=0),0,B$8*(B$7-O$16*(1-$A25)*(1-(1-$A25)^MIN(B$6,$B$11))/($A25*MIN(B$6,$B$11)))^2)+IF(OR(C$7="",C$8=0),0,C$8*(C$7-O$16*(1-$A25)*(1-(1-$A25)^MIN(C$6,$B$11))/($A25*MIN(C$6,$B$11)))^2)+IF(OR(D$7="",D$8=0),0,D$8*(D$7-O$16*(1-$A25)*(1-(1-$A25)^MIN(D$6,$B$11))/($A25*MIN(D$6,$B$11)))^2)+IF(OR(E$7="",E$8=0),0,E$8*(E$7-O$16*(1-$A25)*(1-(1-$A25)^MIN(E$6,$B$11))/($A25*MIN(E$6,$B$11)))^2)</f>
        <v/>
      </c>
      <c r="P25" s="27">
        <f>IF(OR(B$7="",B$8=0),0,B$8*(B$7-P$16*(1-$A25)*(1-(1-$A25)^MIN(B$6,$B$11))/($A25*MIN(B$6,$B$11)))^2)+IF(OR(C$7="",C$8=0),0,C$8*(C$7-P$16*(1-$A25)*(1-(1-$A25)^MIN(C$6,$B$11))/($A25*MIN(C$6,$B$11)))^2)+IF(OR(D$7="",D$8=0),0,D$8*(D$7-P$16*(1-$A25)*(1-(1-$A25)^MIN(D$6,$B$11))/($A25*MIN(D$6,$B$11)))^2)+IF(OR(E$7="",E$8=0),0,E$8*(E$7-P$16*(1-$A25)*(1-(1-$A25)^MIN(E$6,$B$11))/($A25*MIN(E$6,$B$11)))^2)</f>
        <v/>
      </c>
      <c r="Q25" s="27">
        <f>IF(OR(B$7="",B$8=0),0,B$8*(B$7-Q$16*(1-$A25)*(1-(1-$A25)^MIN(B$6,$B$11))/($A25*MIN(B$6,$B$11)))^2)+IF(OR(C$7="",C$8=0),0,C$8*(C$7-Q$16*(1-$A25)*(1-(1-$A25)^MIN(C$6,$B$11))/($A25*MIN(C$6,$B$11)))^2)+IF(OR(D$7="",D$8=0),0,D$8*(D$7-Q$16*(1-$A25)*(1-(1-$A25)^MIN(D$6,$B$11))/($A25*MIN(D$6,$B$11)))^2)+IF(OR(E$7="",E$8=0),0,E$8*(E$7-Q$16*(1-$A25)*(1-(1-$A25)^MIN(E$6,$B$11))/($A25*MIN(E$6,$B$11)))^2)</f>
        <v/>
      </c>
      <c r="R25" s="27">
        <f>IF(OR(B$7="",B$8=0),0,B$8*(B$7-R$16*(1-$A25)*(1-(1-$A25)^MIN(B$6,$B$11))/($A25*MIN(B$6,$B$11)))^2)+IF(OR(C$7="",C$8=0),0,C$8*(C$7-R$16*(1-$A25)*(1-(1-$A25)^MIN(C$6,$B$11))/($A25*MIN(C$6,$B$11)))^2)+IF(OR(D$7="",D$8=0),0,D$8*(D$7-R$16*(1-$A25)*(1-(1-$A25)^MIN(D$6,$B$11))/($A25*MIN(D$6,$B$11)))^2)+IF(OR(E$7="",E$8=0),0,E$8*(E$7-R$16*(1-$A25)*(1-(1-$A25)^MIN(E$6,$B$11))/($A25*MIN(E$6,$B$11)))^2)</f>
        <v/>
      </c>
      <c r="S25" s="27">
        <f>IF(OR(B$7="",B$8=0),0,B$8*(B$7-S$16*(1-$A25)*(1-(1-$A25)^MIN(B$6,$B$11))/($A25*MIN(B$6,$B$11)))^2)+IF(OR(C$7="",C$8=0),0,C$8*(C$7-S$16*(1-$A25)*(1-(1-$A25)^MIN(C$6,$B$11))/($A25*MIN(C$6,$B$11)))^2)+IF(OR(D$7="",D$8=0),0,D$8*(D$7-S$16*(1-$A25)*(1-(1-$A25)^MIN(D$6,$B$11))/($A25*MIN(D$6,$B$11)))^2)+IF(OR(E$7="",E$8=0),0,E$8*(E$7-S$16*(1-$A25)*(1-(1-$A25)^MIN(E$6,$B$11))/($A25*MIN(E$6,$B$11)))^2)</f>
        <v/>
      </c>
      <c r="U25" s="27">
        <f>MIN(B25:S25)</f>
        <v/>
      </c>
      <c r="V25" s="17">
        <f>MATCH(U25,B25:S25,0)</f>
        <v/>
      </c>
    </row>
    <row r="26">
      <c r="A26" s="26" t="n">
        <v>0.0095</v>
      </c>
      <c r="B26" s="27">
        <f>IF(OR(B$7="",B$8=0),0,B$8*(B$7-B$16*(1-$A26)*(1-(1-$A26)^MIN(B$6,$B$11))/($A26*MIN(B$6,$B$11)))^2)+IF(OR(C$7="",C$8=0),0,C$8*(C$7-B$16*(1-$A26)*(1-(1-$A26)^MIN(C$6,$B$11))/($A26*MIN(C$6,$B$11)))^2)+IF(OR(D$7="",D$8=0),0,D$8*(D$7-B$16*(1-$A26)*(1-(1-$A26)^MIN(D$6,$B$11))/($A26*MIN(D$6,$B$11)))^2)+IF(OR(E$7="",E$8=0),0,E$8*(E$7-B$16*(1-$A26)*(1-(1-$A26)^MIN(E$6,$B$11))/($A26*MIN(E$6,$B$11)))^2)</f>
        <v/>
      </c>
      <c r="C26" s="27">
        <f>IF(OR(B$7="",B$8=0),0,B$8*(B$7-C$16*(1-$A26)*(1-(1-$A26)^MIN(B$6,$B$11))/($A26*MIN(B$6,$B$11)))^2)+IF(OR(C$7="",C$8=0),0,C$8*(C$7-C$16*(1-$A26)*(1-(1-$A26)^MIN(C$6,$B$11))/($A26*MIN(C$6,$B$11)))^2)+IF(OR(D$7="",D$8=0),0,D$8*(D$7-C$16*(1-$A26)*(1-(1-$A26)^MIN(D$6,$B$11))/($A26*MIN(D$6,$B$11)))^2)+IF(OR(E$7="",E$8=0),0,E$8*(E$7-C$16*(1-$A26)*(1-(1-$A26)^MIN(E$6,$B$11))/($A26*MIN(E$6,$B$11)))^2)</f>
        <v/>
      </c>
      <c r="D26" s="27">
        <f>IF(OR(B$7="",B$8=0),0,B$8*(B$7-D$16*(1-$A26)*(1-(1-$A26)^MIN(B$6,$B$11))/($A26*MIN(B$6,$B$11)))^2)+IF(OR(C$7="",C$8=0),0,C$8*(C$7-D$16*(1-$A26)*(1-(1-$A26)^MIN(C$6,$B$11))/($A26*MIN(C$6,$B$11)))^2)+IF(OR(D$7="",D$8=0),0,D$8*(D$7-D$16*(1-$A26)*(1-(1-$A26)^MIN(D$6,$B$11))/($A26*MIN(D$6,$B$11)))^2)+IF(OR(E$7="",E$8=0),0,E$8*(E$7-D$16*(1-$A26)*(1-(1-$A26)^MIN(E$6,$B$11))/($A26*MIN(E$6,$B$11)))^2)</f>
        <v/>
      </c>
      <c r="E26" s="27">
        <f>IF(OR(B$7="",B$8=0),0,B$8*(B$7-E$16*(1-$A26)*(1-(1-$A26)^MIN(B$6,$B$11))/($A26*MIN(B$6,$B$11)))^2)+IF(OR(C$7="",C$8=0),0,C$8*(C$7-E$16*(1-$A26)*(1-(1-$A26)^MIN(C$6,$B$11))/($A26*MIN(C$6,$B$11)))^2)+IF(OR(D$7="",D$8=0),0,D$8*(D$7-E$16*(1-$A26)*(1-(1-$A26)^MIN(D$6,$B$11))/($A26*MIN(D$6,$B$11)))^2)+IF(OR(E$7="",E$8=0),0,E$8*(E$7-E$16*(1-$A26)*(1-(1-$A26)^MIN(E$6,$B$11))/($A26*MIN(E$6,$B$11)))^2)</f>
        <v/>
      </c>
      <c r="F26" s="27">
        <f>IF(OR(B$7="",B$8=0),0,B$8*(B$7-F$16*(1-$A26)*(1-(1-$A26)^MIN(B$6,$B$11))/($A26*MIN(B$6,$B$11)))^2)+IF(OR(C$7="",C$8=0),0,C$8*(C$7-F$16*(1-$A26)*(1-(1-$A26)^MIN(C$6,$B$11))/($A26*MIN(C$6,$B$11)))^2)+IF(OR(D$7="",D$8=0),0,D$8*(D$7-F$16*(1-$A26)*(1-(1-$A26)^MIN(D$6,$B$11))/($A26*MIN(D$6,$B$11)))^2)+IF(OR(E$7="",E$8=0),0,E$8*(E$7-F$16*(1-$A26)*(1-(1-$A26)^MIN(E$6,$B$11))/($A26*MIN(E$6,$B$11)))^2)</f>
        <v/>
      </c>
      <c r="G26" s="27">
        <f>IF(OR(B$7="",B$8=0),0,B$8*(B$7-G$16*(1-$A26)*(1-(1-$A26)^MIN(B$6,$B$11))/($A26*MIN(B$6,$B$11)))^2)+IF(OR(C$7="",C$8=0),0,C$8*(C$7-G$16*(1-$A26)*(1-(1-$A26)^MIN(C$6,$B$11))/($A26*MIN(C$6,$B$11)))^2)+IF(OR(D$7="",D$8=0),0,D$8*(D$7-G$16*(1-$A26)*(1-(1-$A26)^MIN(D$6,$B$11))/($A26*MIN(D$6,$B$11)))^2)+IF(OR(E$7="",E$8=0),0,E$8*(E$7-G$16*(1-$A26)*(1-(1-$A26)^MIN(E$6,$B$11))/($A26*MIN(E$6,$B$11)))^2)</f>
        <v/>
      </c>
      <c r="H26" s="27">
        <f>IF(OR(B$7="",B$8=0),0,B$8*(B$7-H$16*(1-$A26)*(1-(1-$A26)^MIN(B$6,$B$11))/($A26*MIN(B$6,$B$11)))^2)+IF(OR(C$7="",C$8=0),0,C$8*(C$7-H$16*(1-$A26)*(1-(1-$A26)^MIN(C$6,$B$11))/($A26*MIN(C$6,$B$11)))^2)+IF(OR(D$7="",D$8=0),0,D$8*(D$7-H$16*(1-$A26)*(1-(1-$A26)^MIN(D$6,$B$11))/($A26*MIN(D$6,$B$11)))^2)+IF(OR(E$7="",E$8=0),0,E$8*(E$7-H$16*(1-$A26)*(1-(1-$A26)^MIN(E$6,$B$11))/($A26*MIN(E$6,$B$11)))^2)</f>
        <v/>
      </c>
      <c r="I26" s="27">
        <f>IF(OR(B$7="",B$8=0),0,B$8*(B$7-I$16*(1-$A26)*(1-(1-$A26)^MIN(B$6,$B$11))/($A26*MIN(B$6,$B$11)))^2)+IF(OR(C$7="",C$8=0),0,C$8*(C$7-I$16*(1-$A26)*(1-(1-$A26)^MIN(C$6,$B$11))/($A26*MIN(C$6,$B$11)))^2)+IF(OR(D$7="",D$8=0),0,D$8*(D$7-I$16*(1-$A26)*(1-(1-$A26)^MIN(D$6,$B$11))/($A26*MIN(D$6,$B$11)))^2)+IF(OR(E$7="",E$8=0),0,E$8*(E$7-I$16*(1-$A26)*(1-(1-$A26)^MIN(E$6,$B$11))/($A26*MIN(E$6,$B$11)))^2)</f>
        <v/>
      </c>
      <c r="J26" s="27">
        <f>IF(OR(B$7="",B$8=0),0,B$8*(B$7-J$16*(1-$A26)*(1-(1-$A26)^MIN(B$6,$B$11))/($A26*MIN(B$6,$B$11)))^2)+IF(OR(C$7="",C$8=0),0,C$8*(C$7-J$16*(1-$A26)*(1-(1-$A26)^MIN(C$6,$B$11))/($A26*MIN(C$6,$B$11)))^2)+IF(OR(D$7="",D$8=0),0,D$8*(D$7-J$16*(1-$A26)*(1-(1-$A26)^MIN(D$6,$B$11))/($A26*MIN(D$6,$B$11)))^2)+IF(OR(E$7="",E$8=0),0,E$8*(E$7-J$16*(1-$A26)*(1-(1-$A26)^MIN(E$6,$B$11))/($A26*MIN(E$6,$B$11)))^2)</f>
        <v/>
      </c>
      <c r="K26" s="27">
        <f>IF(OR(B$7="",B$8=0),0,B$8*(B$7-K$16*(1-$A26)*(1-(1-$A26)^MIN(B$6,$B$11))/($A26*MIN(B$6,$B$11)))^2)+IF(OR(C$7="",C$8=0),0,C$8*(C$7-K$16*(1-$A26)*(1-(1-$A26)^MIN(C$6,$B$11))/($A26*MIN(C$6,$B$11)))^2)+IF(OR(D$7="",D$8=0),0,D$8*(D$7-K$16*(1-$A26)*(1-(1-$A26)^MIN(D$6,$B$11))/($A26*MIN(D$6,$B$11)))^2)+IF(OR(E$7="",E$8=0),0,E$8*(E$7-K$16*(1-$A26)*(1-(1-$A26)^MIN(E$6,$B$11))/($A26*MIN(E$6,$B$11)))^2)</f>
        <v/>
      </c>
      <c r="L26" s="27">
        <f>IF(OR(B$7="",B$8=0),0,B$8*(B$7-L$16*(1-$A26)*(1-(1-$A26)^MIN(B$6,$B$11))/($A26*MIN(B$6,$B$11)))^2)+IF(OR(C$7="",C$8=0),0,C$8*(C$7-L$16*(1-$A26)*(1-(1-$A26)^MIN(C$6,$B$11))/($A26*MIN(C$6,$B$11)))^2)+IF(OR(D$7="",D$8=0),0,D$8*(D$7-L$16*(1-$A26)*(1-(1-$A26)^MIN(D$6,$B$11))/($A26*MIN(D$6,$B$11)))^2)+IF(OR(E$7="",E$8=0),0,E$8*(E$7-L$16*(1-$A26)*(1-(1-$A26)^MIN(E$6,$B$11))/($A26*MIN(E$6,$B$11)))^2)</f>
        <v/>
      </c>
      <c r="M26" s="27">
        <f>IF(OR(B$7="",B$8=0),0,B$8*(B$7-M$16*(1-$A26)*(1-(1-$A26)^MIN(B$6,$B$11))/($A26*MIN(B$6,$B$11)))^2)+IF(OR(C$7="",C$8=0),0,C$8*(C$7-M$16*(1-$A26)*(1-(1-$A26)^MIN(C$6,$B$11))/($A26*MIN(C$6,$B$11)))^2)+IF(OR(D$7="",D$8=0),0,D$8*(D$7-M$16*(1-$A26)*(1-(1-$A26)^MIN(D$6,$B$11))/($A26*MIN(D$6,$B$11)))^2)+IF(OR(E$7="",E$8=0),0,E$8*(E$7-M$16*(1-$A26)*(1-(1-$A26)^MIN(E$6,$B$11))/($A26*MIN(E$6,$B$11)))^2)</f>
        <v/>
      </c>
      <c r="N26" s="27">
        <f>IF(OR(B$7="",B$8=0),0,B$8*(B$7-N$16*(1-$A26)*(1-(1-$A26)^MIN(B$6,$B$11))/($A26*MIN(B$6,$B$11)))^2)+IF(OR(C$7="",C$8=0),0,C$8*(C$7-N$16*(1-$A26)*(1-(1-$A26)^MIN(C$6,$B$11))/($A26*MIN(C$6,$B$11)))^2)+IF(OR(D$7="",D$8=0),0,D$8*(D$7-N$16*(1-$A26)*(1-(1-$A26)^MIN(D$6,$B$11))/($A26*MIN(D$6,$B$11)))^2)+IF(OR(E$7="",E$8=0),0,E$8*(E$7-N$16*(1-$A26)*(1-(1-$A26)^MIN(E$6,$B$11))/($A26*MIN(E$6,$B$11)))^2)</f>
        <v/>
      </c>
      <c r="O26" s="27">
        <f>IF(OR(B$7="",B$8=0),0,B$8*(B$7-O$16*(1-$A26)*(1-(1-$A26)^MIN(B$6,$B$11))/($A26*MIN(B$6,$B$11)))^2)+IF(OR(C$7="",C$8=0),0,C$8*(C$7-O$16*(1-$A26)*(1-(1-$A26)^MIN(C$6,$B$11))/($A26*MIN(C$6,$B$11)))^2)+IF(OR(D$7="",D$8=0),0,D$8*(D$7-O$16*(1-$A26)*(1-(1-$A26)^MIN(D$6,$B$11))/($A26*MIN(D$6,$B$11)))^2)+IF(OR(E$7="",E$8=0),0,E$8*(E$7-O$16*(1-$A26)*(1-(1-$A26)^MIN(E$6,$B$11))/($A26*MIN(E$6,$B$11)))^2)</f>
        <v/>
      </c>
      <c r="P26" s="27">
        <f>IF(OR(B$7="",B$8=0),0,B$8*(B$7-P$16*(1-$A26)*(1-(1-$A26)^MIN(B$6,$B$11))/($A26*MIN(B$6,$B$11)))^2)+IF(OR(C$7="",C$8=0),0,C$8*(C$7-P$16*(1-$A26)*(1-(1-$A26)^MIN(C$6,$B$11))/($A26*MIN(C$6,$B$11)))^2)+IF(OR(D$7="",D$8=0),0,D$8*(D$7-P$16*(1-$A26)*(1-(1-$A26)^MIN(D$6,$B$11))/($A26*MIN(D$6,$B$11)))^2)+IF(OR(E$7="",E$8=0),0,E$8*(E$7-P$16*(1-$A26)*(1-(1-$A26)^MIN(E$6,$B$11))/($A26*MIN(E$6,$B$11)))^2)</f>
        <v/>
      </c>
      <c r="Q26" s="27">
        <f>IF(OR(B$7="",B$8=0),0,B$8*(B$7-Q$16*(1-$A26)*(1-(1-$A26)^MIN(B$6,$B$11))/($A26*MIN(B$6,$B$11)))^2)+IF(OR(C$7="",C$8=0),0,C$8*(C$7-Q$16*(1-$A26)*(1-(1-$A26)^MIN(C$6,$B$11))/($A26*MIN(C$6,$B$11)))^2)+IF(OR(D$7="",D$8=0),0,D$8*(D$7-Q$16*(1-$A26)*(1-(1-$A26)^MIN(D$6,$B$11))/($A26*MIN(D$6,$B$11)))^2)+IF(OR(E$7="",E$8=0),0,E$8*(E$7-Q$16*(1-$A26)*(1-(1-$A26)^MIN(E$6,$B$11))/($A26*MIN(E$6,$B$11)))^2)</f>
        <v/>
      </c>
      <c r="R26" s="27">
        <f>IF(OR(B$7="",B$8=0),0,B$8*(B$7-R$16*(1-$A26)*(1-(1-$A26)^MIN(B$6,$B$11))/($A26*MIN(B$6,$B$11)))^2)+IF(OR(C$7="",C$8=0),0,C$8*(C$7-R$16*(1-$A26)*(1-(1-$A26)^MIN(C$6,$B$11))/($A26*MIN(C$6,$B$11)))^2)+IF(OR(D$7="",D$8=0),0,D$8*(D$7-R$16*(1-$A26)*(1-(1-$A26)^MIN(D$6,$B$11))/($A26*MIN(D$6,$B$11)))^2)+IF(OR(E$7="",E$8=0),0,E$8*(E$7-R$16*(1-$A26)*(1-(1-$A26)^MIN(E$6,$B$11))/($A26*MIN(E$6,$B$11)))^2)</f>
        <v/>
      </c>
      <c r="S26" s="27">
        <f>IF(OR(B$7="",B$8=0),0,B$8*(B$7-S$16*(1-$A26)*(1-(1-$A26)^MIN(B$6,$B$11))/($A26*MIN(B$6,$B$11)))^2)+IF(OR(C$7="",C$8=0),0,C$8*(C$7-S$16*(1-$A26)*(1-(1-$A26)^MIN(C$6,$B$11))/($A26*MIN(C$6,$B$11)))^2)+IF(OR(D$7="",D$8=0),0,D$8*(D$7-S$16*(1-$A26)*(1-(1-$A26)^MIN(D$6,$B$11))/($A26*MIN(D$6,$B$11)))^2)+IF(OR(E$7="",E$8=0),0,E$8*(E$7-S$16*(1-$A26)*(1-(1-$A26)^MIN(E$6,$B$11))/($A26*MIN(E$6,$B$11)))^2)</f>
        <v/>
      </c>
      <c r="U26" s="27">
        <f>MIN(B26:S26)</f>
        <v/>
      </c>
      <c r="V26" s="17">
        <f>MATCH(U26,B26:S26,0)</f>
        <v/>
      </c>
    </row>
    <row r="27">
      <c r="A27" s="26" t="n">
        <v>0.01</v>
      </c>
      <c r="B27" s="27">
        <f>IF(OR(B$7="",B$8=0),0,B$8*(B$7-B$16*(1-$A27)*(1-(1-$A27)^MIN(B$6,$B$11))/($A27*MIN(B$6,$B$11)))^2)+IF(OR(C$7="",C$8=0),0,C$8*(C$7-B$16*(1-$A27)*(1-(1-$A27)^MIN(C$6,$B$11))/($A27*MIN(C$6,$B$11)))^2)+IF(OR(D$7="",D$8=0),0,D$8*(D$7-B$16*(1-$A27)*(1-(1-$A27)^MIN(D$6,$B$11))/($A27*MIN(D$6,$B$11)))^2)+IF(OR(E$7="",E$8=0),0,E$8*(E$7-B$16*(1-$A27)*(1-(1-$A27)^MIN(E$6,$B$11))/($A27*MIN(E$6,$B$11)))^2)</f>
        <v/>
      </c>
      <c r="C27" s="27">
        <f>IF(OR(B$7="",B$8=0),0,B$8*(B$7-C$16*(1-$A27)*(1-(1-$A27)^MIN(B$6,$B$11))/($A27*MIN(B$6,$B$11)))^2)+IF(OR(C$7="",C$8=0),0,C$8*(C$7-C$16*(1-$A27)*(1-(1-$A27)^MIN(C$6,$B$11))/($A27*MIN(C$6,$B$11)))^2)+IF(OR(D$7="",D$8=0),0,D$8*(D$7-C$16*(1-$A27)*(1-(1-$A27)^MIN(D$6,$B$11))/($A27*MIN(D$6,$B$11)))^2)+IF(OR(E$7="",E$8=0),0,E$8*(E$7-C$16*(1-$A27)*(1-(1-$A27)^MIN(E$6,$B$11))/($A27*MIN(E$6,$B$11)))^2)</f>
        <v/>
      </c>
      <c r="D27" s="27">
        <f>IF(OR(B$7="",B$8=0),0,B$8*(B$7-D$16*(1-$A27)*(1-(1-$A27)^MIN(B$6,$B$11))/($A27*MIN(B$6,$B$11)))^2)+IF(OR(C$7="",C$8=0),0,C$8*(C$7-D$16*(1-$A27)*(1-(1-$A27)^MIN(C$6,$B$11))/($A27*MIN(C$6,$B$11)))^2)+IF(OR(D$7="",D$8=0),0,D$8*(D$7-D$16*(1-$A27)*(1-(1-$A27)^MIN(D$6,$B$11))/($A27*MIN(D$6,$B$11)))^2)+IF(OR(E$7="",E$8=0),0,E$8*(E$7-D$16*(1-$A27)*(1-(1-$A27)^MIN(E$6,$B$11))/($A27*MIN(E$6,$B$11)))^2)</f>
        <v/>
      </c>
      <c r="E27" s="27">
        <f>IF(OR(B$7="",B$8=0),0,B$8*(B$7-E$16*(1-$A27)*(1-(1-$A27)^MIN(B$6,$B$11))/($A27*MIN(B$6,$B$11)))^2)+IF(OR(C$7="",C$8=0),0,C$8*(C$7-E$16*(1-$A27)*(1-(1-$A27)^MIN(C$6,$B$11))/($A27*MIN(C$6,$B$11)))^2)+IF(OR(D$7="",D$8=0),0,D$8*(D$7-E$16*(1-$A27)*(1-(1-$A27)^MIN(D$6,$B$11))/($A27*MIN(D$6,$B$11)))^2)+IF(OR(E$7="",E$8=0),0,E$8*(E$7-E$16*(1-$A27)*(1-(1-$A27)^MIN(E$6,$B$11))/($A27*MIN(E$6,$B$11)))^2)</f>
        <v/>
      </c>
      <c r="F27" s="27">
        <f>IF(OR(B$7="",B$8=0),0,B$8*(B$7-F$16*(1-$A27)*(1-(1-$A27)^MIN(B$6,$B$11))/($A27*MIN(B$6,$B$11)))^2)+IF(OR(C$7="",C$8=0),0,C$8*(C$7-F$16*(1-$A27)*(1-(1-$A27)^MIN(C$6,$B$11))/($A27*MIN(C$6,$B$11)))^2)+IF(OR(D$7="",D$8=0),0,D$8*(D$7-F$16*(1-$A27)*(1-(1-$A27)^MIN(D$6,$B$11))/($A27*MIN(D$6,$B$11)))^2)+IF(OR(E$7="",E$8=0),0,E$8*(E$7-F$16*(1-$A27)*(1-(1-$A27)^MIN(E$6,$B$11))/($A27*MIN(E$6,$B$11)))^2)</f>
        <v/>
      </c>
      <c r="G27" s="27">
        <f>IF(OR(B$7="",B$8=0),0,B$8*(B$7-G$16*(1-$A27)*(1-(1-$A27)^MIN(B$6,$B$11))/($A27*MIN(B$6,$B$11)))^2)+IF(OR(C$7="",C$8=0),0,C$8*(C$7-G$16*(1-$A27)*(1-(1-$A27)^MIN(C$6,$B$11))/($A27*MIN(C$6,$B$11)))^2)+IF(OR(D$7="",D$8=0),0,D$8*(D$7-G$16*(1-$A27)*(1-(1-$A27)^MIN(D$6,$B$11))/($A27*MIN(D$6,$B$11)))^2)+IF(OR(E$7="",E$8=0),0,E$8*(E$7-G$16*(1-$A27)*(1-(1-$A27)^MIN(E$6,$B$11))/($A27*MIN(E$6,$B$11)))^2)</f>
        <v/>
      </c>
      <c r="H27" s="27">
        <f>IF(OR(B$7="",B$8=0),0,B$8*(B$7-H$16*(1-$A27)*(1-(1-$A27)^MIN(B$6,$B$11))/($A27*MIN(B$6,$B$11)))^2)+IF(OR(C$7="",C$8=0),0,C$8*(C$7-H$16*(1-$A27)*(1-(1-$A27)^MIN(C$6,$B$11))/($A27*MIN(C$6,$B$11)))^2)+IF(OR(D$7="",D$8=0),0,D$8*(D$7-H$16*(1-$A27)*(1-(1-$A27)^MIN(D$6,$B$11))/($A27*MIN(D$6,$B$11)))^2)+IF(OR(E$7="",E$8=0),0,E$8*(E$7-H$16*(1-$A27)*(1-(1-$A27)^MIN(E$6,$B$11))/($A27*MIN(E$6,$B$11)))^2)</f>
        <v/>
      </c>
      <c r="I27" s="27">
        <f>IF(OR(B$7="",B$8=0),0,B$8*(B$7-I$16*(1-$A27)*(1-(1-$A27)^MIN(B$6,$B$11))/($A27*MIN(B$6,$B$11)))^2)+IF(OR(C$7="",C$8=0),0,C$8*(C$7-I$16*(1-$A27)*(1-(1-$A27)^MIN(C$6,$B$11))/($A27*MIN(C$6,$B$11)))^2)+IF(OR(D$7="",D$8=0),0,D$8*(D$7-I$16*(1-$A27)*(1-(1-$A27)^MIN(D$6,$B$11))/($A27*MIN(D$6,$B$11)))^2)+IF(OR(E$7="",E$8=0),0,E$8*(E$7-I$16*(1-$A27)*(1-(1-$A27)^MIN(E$6,$B$11))/($A27*MIN(E$6,$B$11)))^2)</f>
        <v/>
      </c>
      <c r="J27" s="27">
        <f>IF(OR(B$7="",B$8=0),0,B$8*(B$7-J$16*(1-$A27)*(1-(1-$A27)^MIN(B$6,$B$11))/($A27*MIN(B$6,$B$11)))^2)+IF(OR(C$7="",C$8=0),0,C$8*(C$7-J$16*(1-$A27)*(1-(1-$A27)^MIN(C$6,$B$11))/($A27*MIN(C$6,$B$11)))^2)+IF(OR(D$7="",D$8=0),0,D$8*(D$7-J$16*(1-$A27)*(1-(1-$A27)^MIN(D$6,$B$11))/($A27*MIN(D$6,$B$11)))^2)+IF(OR(E$7="",E$8=0),0,E$8*(E$7-J$16*(1-$A27)*(1-(1-$A27)^MIN(E$6,$B$11))/($A27*MIN(E$6,$B$11)))^2)</f>
        <v/>
      </c>
      <c r="K27" s="27">
        <f>IF(OR(B$7="",B$8=0),0,B$8*(B$7-K$16*(1-$A27)*(1-(1-$A27)^MIN(B$6,$B$11))/($A27*MIN(B$6,$B$11)))^2)+IF(OR(C$7="",C$8=0),0,C$8*(C$7-K$16*(1-$A27)*(1-(1-$A27)^MIN(C$6,$B$11))/($A27*MIN(C$6,$B$11)))^2)+IF(OR(D$7="",D$8=0),0,D$8*(D$7-K$16*(1-$A27)*(1-(1-$A27)^MIN(D$6,$B$11))/($A27*MIN(D$6,$B$11)))^2)+IF(OR(E$7="",E$8=0),0,E$8*(E$7-K$16*(1-$A27)*(1-(1-$A27)^MIN(E$6,$B$11))/($A27*MIN(E$6,$B$11)))^2)</f>
        <v/>
      </c>
      <c r="L27" s="27">
        <f>IF(OR(B$7="",B$8=0),0,B$8*(B$7-L$16*(1-$A27)*(1-(1-$A27)^MIN(B$6,$B$11))/($A27*MIN(B$6,$B$11)))^2)+IF(OR(C$7="",C$8=0),0,C$8*(C$7-L$16*(1-$A27)*(1-(1-$A27)^MIN(C$6,$B$11))/($A27*MIN(C$6,$B$11)))^2)+IF(OR(D$7="",D$8=0),0,D$8*(D$7-L$16*(1-$A27)*(1-(1-$A27)^MIN(D$6,$B$11))/($A27*MIN(D$6,$B$11)))^2)+IF(OR(E$7="",E$8=0),0,E$8*(E$7-L$16*(1-$A27)*(1-(1-$A27)^MIN(E$6,$B$11))/($A27*MIN(E$6,$B$11)))^2)</f>
        <v/>
      </c>
      <c r="M27" s="27">
        <f>IF(OR(B$7="",B$8=0),0,B$8*(B$7-M$16*(1-$A27)*(1-(1-$A27)^MIN(B$6,$B$11))/($A27*MIN(B$6,$B$11)))^2)+IF(OR(C$7="",C$8=0),0,C$8*(C$7-M$16*(1-$A27)*(1-(1-$A27)^MIN(C$6,$B$11))/($A27*MIN(C$6,$B$11)))^2)+IF(OR(D$7="",D$8=0),0,D$8*(D$7-M$16*(1-$A27)*(1-(1-$A27)^MIN(D$6,$B$11))/($A27*MIN(D$6,$B$11)))^2)+IF(OR(E$7="",E$8=0),0,E$8*(E$7-M$16*(1-$A27)*(1-(1-$A27)^MIN(E$6,$B$11))/($A27*MIN(E$6,$B$11)))^2)</f>
        <v/>
      </c>
      <c r="N27" s="27">
        <f>IF(OR(B$7="",B$8=0),0,B$8*(B$7-N$16*(1-$A27)*(1-(1-$A27)^MIN(B$6,$B$11))/($A27*MIN(B$6,$B$11)))^2)+IF(OR(C$7="",C$8=0),0,C$8*(C$7-N$16*(1-$A27)*(1-(1-$A27)^MIN(C$6,$B$11))/($A27*MIN(C$6,$B$11)))^2)+IF(OR(D$7="",D$8=0),0,D$8*(D$7-N$16*(1-$A27)*(1-(1-$A27)^MIN(D$6,$B$11))/($A27*MIN(D$6,$B$11)))^2)+IF(OR(E$7="",E$8=0),0,E$8*(E$7-N$16*(1-$A27)*(1-(1-$A27)^MIN(E$6,$B$11))/($A27*MIN(E$6,$B$11)))^2)</f>
        <v/>
      </c>
      <c r="O27" s="27">
        <f>IF(OR(B$7="",B$8=0),0,B$8*(B$7-O$16*(1-$A27)*(1-(1-$A27)^MIN(B$6,$B$11))/($A27*MIN(B$6,$B$11)))^2)+IF(OR(C$7="",C$8=0),0,C$8*(C$7-O$16*(1-$A27)*(1-(1-$A27)^MIN(C$6,$B$11))/($A27*MIN(C$6,$B$11)))^2)+IF(OR(D$7="",D$8=0),0,D$8*(D$7-O$16*(1-$A27)*(1-(1-$A27)^MIN(D$6,$B$11))/($A27*MIN(D$6,$B$11)))^2)+IF(OR(E$7="",E$8=0),0,E$8*(E$7-O$16*(1-$A27)*(1-(1-$A27)^MIN(E$6,$B$11))/($A27*MIN(E$6,$B$11)))^2)</f>
        <v/>
      </c>
      <c r="P27" s="27">
        <f>IF(OR(B$7="",B$8=0),0,B$8*(B$7-P$16*(1-$A27)*(1-(1-$A27)^MIN(B$6,$B$11))/($A27*MIN(B$6,$B$11)))^2)+IF(OR(C$7="",C$8=0),0,C$8*(C$7-P$16*(1-$A27)*(1-(1-$A27)^MIN(C$6,$B$11))/($A27*MIN(C$6,$B$11)))^2)+IF(OR(D$7="",D$8=0),0,D$8*(D$7-P$16*(1-$A27)*(1-(1-$A27)^MIN(D$6,$B$11))/($A27*MIN(D$6,$B$11)))^2)+IF(OR(E$7="",E$8=0),0,E$8*(E$7-P$16*(1-$A27)*(1-(1-$A27)^MIN(E$6,$B$11))/($A27*MIN(E$6,$B$11)))^2)</f>
        <v/>
      </c>
      <c r="Q27" s="27">
        <f>IF(OR(B$7="",B$8=0),0,B$8*(B$7-Q$16*(1-$A27)*(1-(1-$A27)^MIN(B$6,$B$11))/($A27*MIN(B$6,$B$11)))^2)+IF(OR(C$7="",C$8=0),0,C$8*(C$7-Q$16*(1-$A27)*(1-(1-$A27)^MIN(C$6,$B$11))/($A27*MIN(C$6,$B$11)))^2)+IF(OR(D$7="",D$8=0),0,D$8*(D$7-Q$16*(1-$A27)*(1-(1-$A27)^MIN(D$6,$B$11))/($A27*MIN(D$6,$B$11)))^2)+IF(OR(E$7="",E$8=0),0,E$8*(E$7-Q$16*(1-$A27)*(1-(1-$A27)^MIN(E$6,$B$11))/($A27*MIN(E$6,$B$11)))^2)</f>
        <v/>
      </c>
      <c r="R27" s="27">
        <f>IF(OR(B$7="",B$8=0),0,B$8*(B$7-R$16*(1-$A27)*(1-(1-$A27)^MIN(B$6,$B$11))/($A27*MIN(B$6,$B$11)))^2)+IF(OR(C$7="",C$8=0),0,C$8*(C$7-R$16*(1-$A27)*(1-(1-$A27)^MIN(C$6,$B$11))/($A27*MIN(C$6,$B$11)))^2)+IF(OR(D$7="",D$8=0),0,D$8*(D$7-R$16*(1-$A27)*(1-(1-$A27)^MIN(D$6,$B$11))/($A27*MIN(D$6,$B$11)))^2)+IF(OR(E$7="",E$8=0),0,E$8*(E$7-R$16*(1-$A27)*(1-(1-$A27)^MIN(E$6,$B$11))/($A27*MIN(E$6,$B$11)))^2)</f>
        <v/>
      </c>
      <c r="S27" s="27">
        <f>IF(OR(B$7="",B$8=0),0,B$8*(B$7-S$16*(1-$A27)*(1-(1-$A27)^MIN(B$6,$B$11))/($A27*MIN(B$6,$B$11)))^2)+IF(OR(C$7="",C$8=0),0,C$8*(C$7-S$16*(1-$A27)*(1-(1-$A27)^MIN(C$6,$B$11))/($A27*MIN(C$6,$B$11)))^2)+IF(OR(D$7="",D$8=0),0,D$8*(D$7-S$16*(1-$A27)*(1-(1-$A27)^MIN(D$6,$B$11))/($A27*MIN(D$6,$B$11)))^2)+IF(OR(E$7="",E$8=0),0,E$8*(E$7-S$16*(1-$A27)*(1-(1-$A27)^MIN(E$6,$B$11))/($A27*MIN(E$6,$B$11)))^2)</f>
        <v/>
      </c>
      <c r="U27" s="27">
        <f>MIN(B27:S27)</f>
        <v/>
      </c>
      <c r="V27" s="17">
        <f>MATCH(U27,B27:S27,0)</f>
        <v/>
      </c>
    </row>
    <row r="28">
      <c r="A28" s="26" t="n">
        <v>0.0105</v>
      </c>
      <c r="B28" s="27">
        <f>IF(OR(B$7="",B$8=0),0,B$8*(B$7-B$16*(1-$A28)*(1-(1-$A28)^MIN(B$6,$B$11))/($A28*MIN(B$6,$B$11)))^2)+IF(OR(C$7="",C$8=0),0,C$8*(C$7-B$16*(1-$A28)*(1-(1-$A28)^MIN(C$6,$B$11))/($A28*MIN(C$6,$B$11)))^2)+IF(OR(D$7="",D$8=0),0,D$8*(D$7-B$16*(1-$A28)*(1-(1-$A28)^MIN(D$6,$B$11))/($A28*MIN(D$6,$B$11)))^2)+IF(OR(E$7="",E$8=0),0,E$8*(E$7-B$16*(1-$A28)*(1-(1-$A28)^MIN(E$6,$B$11))/($A28*MIN(E$6,$B$11)))^2)</f>
        <v/>
      </c>
      <c r="C28" s="27">
        <f>IF(OR(B$7="",B$8=0),0,B$8*(B$7-C$16*(1-$A28)*(1-(1-$A28)^MIN(B$6,$B$11))/($A28*MIN(B$6,$B$11)))^2)+IF(OR(C$7="",C$8=0),0,C$8*(C$7-C$16*(1-$A28)*(1-(1-$A28)^MIN(C$6,$B$11))/($A28*MIN(C$6,$B$11)))^2)+IF(OR(D$7="",D$8=0),0,D$8*(D$7-C$16*(1-$A28)*(1-(1-$A28)^MIN(D$6,$B$11))/($A28*MIN(D$6,$B$11)))^2)+IF(OR(E$7="",E$8=0),0,E$8*(E$7-C$16*(1-$A28)*(1-(1-$A28)^MIN(E$6,$B$11))/($A28*MIN(E$6,$B$11)))^2)</f>
        <v/>
      </c>
      <c r="D28" s="27">
        <f>IF(OR(B$7="",B$8=0),0,B$8*(B$7-D$16*(1-$A28)*(1-(1-$A28)^MIN(B$6,$B$11))/($A28*MIN(B$6,$B$11)))^2)+IF(OR(C$7="",C$8=0),0,C$8*(C$7-D$16*(1-$A28)*(1-(1-$A28)^MIN(C$6,$B$11))/($A28*MIN(C$6,$B$11)))^2)+IF(OR(D$7="",D$8=0),0,D$8*(D$7-D$16*(1-$A28)*(1-(1-$A28)^MIN(D$6,$B$11))/($A28*MIN(D$6,$B$11)))^2)+IF(OR(E$7="",E$8=0),0,E$8*(E$7-D$16*(1-$A28)*(1-(1-$A28)^MIN(E$6,$B$11))/($A28*MIN(E$6,$B$11)))^2)</f>
        <v/>
      </c>
      <c r="E28" s="27">
        <f>IF(OR(B$7="",B$8=0),0,B$8*(B$7-E$16*(1-$A28)*(1-(1-$A28)^MIN(B$6,$B$11))/($A28*MIN(B$6,$B$11)))^2)+IF(OR(C$7="",C$8=0),0,C$8*(C$7-E$16*(1-$A28)*(1-(1-$A28)^MIN(C$6,$B$11))/($A28*MIN(C$6,$B$11)))^2)+IF(OR(D$7="",D$8=0),0,D$8*(D$7-E$16*(1-$A28)*(1-(1-$A28)^MIN(D$6,$B$11))/($A28*MIN(D$6,$B$11)))^2)+IF(OR(E$7="",E$8=0),0,E$8*(E$7-E$16*(1-$A28)*(1-(1-$A28)^MIN(E$6,$B$11))/($A28*MIN(E$6,$B$11)))^2)</f>
        <v/>
      </c>
      <c r="F28" s="27">
        <f>IF(OR(B$7="",B$8=0),0,B$8*(B$7-F$16*(1-$A28)*(1-(1-$A28)^MIN(B$6,$B$11))/($A28*MIN(B$6,$B$11)))^2)+IF(OR(C$7="",C$8=0),0,C$8*(C$7-F$16*(1-$A28)*(1-(1-$A28)^MIN(C$6,$B$11))/($A28*MIN(C$6,$B$11)))^2)+IF(OR(D$7="",D$8=0),0,D$8*(D$7-F$16*(1-$A28)*(1-(1-$A28)^MIN(D$6,$B$11))/($A28*MIN(D$6,$B$11)))^2)+IF(OR(E$7="",E$8=0),0,E$8*(E$7-F$16*(1-$A28)*(1-(1-$A28)^MIN(E$6,$B$11))/($A28*MIN(E$6,$B$11)))^2)</f>
        <v/>
      </c>
      <c r="G28" s="27">
        <f>IF(OR(B$7="",B$8=0),0,B$8*(B$7-G$16*(1-$A28)*(1-(1-$A28)^MIN(B$6,$B$11))/($A28*MIN(B$6,$B$11)))^2)+IF(OR(C$7="",C$8=0),0,C$8*(C$7-G$16*(1-$A28)*(1-(1-$A28)^MIN(C$6,$B$11))/($A28*MIN(C$6,$B$11)))^2)+IF(OR(D$7="",D$8=0),0,D$8*(D$7-G$16*(1-$A28)*(1-(1-$A28)^MIN(D$6,$B$11))/($A28*MIN(D$6,$B$11)))^2)+IF(OR(E$7="",E$8=0),0,E$8*(E$7-G$16*(1-$A28)*(1-(1-$A28)^MIN(E$6,$B$11))/($A28*MIN(E$6,$B$11)))^2)</f>
        <v/>
      </c>
      <c r="H28" s="27">
        <f>IF(OR(B$7="",B$8=0),0,B$8*(B$7-H$16*(1-$A28)*(1-(1-$A28)^MIN(B$6,$B$11))/($A28*MIN(B$6,$B$11)))^2)+IF(OR(C$7="",C$8=0),0,C$8*(C$7-H$16*(1-$A28)*(1-(1-$A28)^MIN(C$6,$B$11))/($A28*MIN(C$6,$B$11)))^2)+IF(OR(D$7="",D$8=0),0,D$8*(D$7-H$16*(1-$A28)*(1-(1-$A28)^MIN(D$6,$B$11))/($A28*MIN(D$6,$B$11)))^2)+IF(OR(E$7="",E$8=0),0,E$8*(E$7-H$16*(1-$A28)*(1-(1-$A28)^MIN(E$6,$B$11))/($A28*MIN(E$6,$B$11)))^2)</f>
        <v/>
      </c>
      <c r="I28" s="27">
        <f>IF(OR(B$7="",B$8=0),0,B$8*(B$7-I$16*(1-$A28)*(1-(1-$A28)^MIN(B$6,$B$11))/($A28*MIN(B$6,$B$11)))^2)+IF(OR(C$7="",C$8=0),0,C$8*(C$7-I$16*(1-$A28)*(1-(1-$A28)^MIN(C$6,$B$11))/($A28*MIN(C$6,$B$11)))^2)+IF(OR(D$7="",D$8=0),0,D$8*(D$7-I$16*(1-$A28)*(1-(1-$A28)^MIN(D$6,$B$11))/($A28*MIN(D$6,$B$11)))^2)+IF(OR(E$7="",E$8=0),0,E$8*(E$7-I$16*(1-$A28)*(1-(1-$A28)^MIN(E$6,$B$11))/($A28*MIN(E$6,$B$11)))^2)</f>
        <v/>
      </c>
      <c r="J28" s="27">
        <f>IF(OR(B$7="",B$8=0),0,B$8*(B$7-J$16*(1-$A28)*(1-(1-$A28)^MIN(B$6,$B$11))/($A28*MIN(B$6,$B$11)))^2)+IF(OR(C$7="",C$8=0),0,C$8*(C$7-J$16*(1-$A28)*(1-(1-$A28)^MIN(C$6,$B$11))/($A28*MIN(C$6,$B$11)))^2)+IF(OR(D$7="",D$8=0),0,D$8*(D$7-J$16*(1-$A28)*(1-(1-$A28)^MIN(D$6,$B$11))/($A28*MIN(D$6,$B$11)))^2)+IF(OR(E$7="",E$8=0),0,E$8*(E$7-J$16*(1-$A28)*(1-(1-$A28)^MIN(E$6,$B$11))/($A28*MIN(E$6,$B$11)))^2)</f>
        <v/>
      </c>
      <c r="K28" s="27">
        <f>IF(OR(B$7="",B$8=0),0,B$8*(B$7-K$16*(1-$A28)*(1-(1-$A28)^MIN(B$6,$B$11))/($A28*MIN(B$6,$B$11)))^2)+IF(OR(C$7="",C$8=0),0,C$8*(C$7-K$16*(1-$A28)*(1-(1-$A28)^MIN(C$6,$B$11))/($A28*MIN(C$6,$B$11)))^2)+IF(OR(D$7="",D$8=0),0,D$8*(D$7-K$16*(1-$A28)*(1-(1-$A28)^MIN(D$6,$B$11))/($A28*MIN(D$6,$B$11)))^2)+IF(OR(E$7="",E$8=0),0,E$8*(E$7-K$16*(1-$A28)*(1-(1-$A28)^MIN(E$6,$B$11))/($A28*MIN(E$6,$B$11)))^2)</f>
        <v/>
      </c>
      <c r="L28" s="27">
        <f>IF(OR(B$7="",B$8=0),0,B$8*(B$7-L$16*(1-$A28)*(1-(1-$A28)^MIN(B$6,$B$11))/($A28*MIN(B$6,$B$11)))^2)+IF(OR(C$7="",C$8=0),0,C$8*(C$7-L$16*(1-$A28)*(1-(1-$A28)^MIN(C$6,$B$11))/($A28*MIN(C$6,$B$11)))^2)+IF(OR(D$7="",D$8=0),0,D$8*(D$7-L$16*(1-$A28)*(1-(1-$A28)^MIN(D$6,$B$11))/($A28*MIN(D$6,$B$11)))^2)+IF(OR(E$7="",E$8=0),0,E$8*(E$7-L$16*(1-$A28)*(1-(1-$A28)^MIN(E$6,$B$11))/($A28*MIN(E$6,$B$11)))^2)</f>
        <v/>
      </c>
      <c r="M28" s="27">
        <f>IF(OR(B$7="",B$8=0),0,B$8*(B$7-M$16*(1-$A28)*(1-(1-$A28)^MIN(B$6,$B$11))/($A28*MIN(B$6,$B$11)))^2)+IF(OR(C$7="",C$8=0),0,C$8*(C$7-M$16*(1-$A28)*(1-(1-$A28)^MIN(C$6,$B$11))/($A28*MIN(C$6,$B$11)))^2)+IF(OR(D$7="",D$8=0),0,D$8*(D$7-M$16*(1-$A28)*(1-(1-$A28)^MIN(D$6,$B$11))/($A28*MIN(D$6,$B$11)))^2)+IF(OR(E$7="",E$8=0),0,E$8*(E$7-M$16*(1-$A28)*(1-(1-$A28)^MIN(E$6,$B$11))/($A28*MIN(E$6,$B$11)))^2)</f>
        <v/>
      </c>
      <c r="N28" s="27">
        <f>IF(OR(B$7="",B$8=0),0,B$8*(B$7-N$16*(1-$A28)*(1-(1-$A28)^MIN(B$6,$B$11))/($A28*MIN(B$6,$B$11)))^2)+IF(OR(C$7="",C$8=0),0,C$8*(C$7-N$16*(1-$A28)*(1-(1-$A28)^MIN(C$6,$B$11))/($A28*MIN(C$6,$B$11)))^2)+IF(OR(D$7="",D$8=0),0,D$8*(D$7-N$16*(1-$A28)*(1-(1-$A28)^MIN(D$6,$B$11))/($A28*MIN(D$6,$B$11)))^2)+IF(OR(E$7="",E$8=0),0,E$8*(E$7-N$16*(1-$A28)*(1-(1-$A28)^MIN(E$6,$B$11))/($A28*MIN(E$6,$B$11)))^2)</f>
        <v/>
      </c>
      <c r="O28" s="27">
        <f>IF(OR(B$7="",B$8=0),0,B$8*(B$7-O$16*(1-$A28)*(1-(1-$A28)^MIN(B$6,$B$11))/($A28*MIN(B$6,$B$11)))^2)+IF(OR(C$7="",C$8=0),0,C$8*(C$7-O$16*(1-$A28)*(1-(1-$A28)^MIN(C$6,$B$11))/($A28*MIN(C$6,$B$11)))^2)+IF(OR(D$7="",D$8=0),0,D$8*(D$7-O$16*(1-$A28)*(1-(1-$A28)^MIN(D$6,$B$11))/($A28*MIN(D$6,$B$11)))^2)+IF(OR(E$7="",E$8=0),0,E$8*(E$7-O$16*(1-$A28)*(1-(1-$A28)^MIN(E$6,$B$11))/($A28*MIN(E$6,$B$11)))^2)</f>
        <v/>
      </c>
      <c r="P28" s="27">
        <f>IF(OR(B$7="",B$8=0),0,B$8*(B$7-P$16*(1-$A28)*(1-(1-$A28)^MIN(B$6,$B$11))/($A28*MIN(B$6,$B$11)))^2)+IF(OR(C$7="",C$8=0),0,C$8*(C$7-P$16*(1-$A28)*(1-(1-$A28)^MIN(C$6,$B$11))/($A28*MIN(C$6,$B$11)))^2)+IF(OR(D$7="",D$8=0),0,D$8*(D$7-P$16*(1-$A28)*(1-(1-$A28)^MIN(D$6,$B$11))/($A28*MIN(D$6,$B$11)))^2)+IF(OR(E$7="",E$8=0),0,E$8*(E$7-P$16*(1-$A28)*(1-(1-$A28)^MIN(E$6,$B$11))/($A28*MIN(E$6,$B$11)))^2)</f>
        <v/>
      </c>
      <c r="Q28" s="27">
        <f>IF(OR(B$7="",B$8=0),0,B$8*(B$7-Q$16*(1-$A28)*(1-(1-$A28)^MIN(B$6,$B$11))/($A28*MIN(B$6,$B$11)))^2)+IF(OR(C$7="",C$8=0),0,C$8*(C$7-Q$16*(1-$A28)*(1-(1-$A28)^MIN(C$6,$B$11))/($A28*MIN(C$6,$B$11)))^2)+IF(OR(D$7="",D$8=0),0,D$8*(D$7-Q$16*(1-$A28)*(1-(1-$A28)^MIN(D$6,$B$11))/($A28*MIN(D$6,$B$11)))^2)+IF(OR(E$7="",E$8=0),0,E$8*(E$7-Q$16*(1-$A28)*(1-(1-$A28)^MIN(E$6,$B$11))/($A28*MIN(E$6,$B$11)))^2)</f>
        <v/>
      </c>
      <c r="R28" s="27">
        <f>IF(OR(B$7="",B$8=0),0,B$8*(B$7-R$16*(1-$A28)*(1-(1-$A28)^MIN(B$6,$B$11))/($A28*MIN(B$6,$B$11)))^2)+IF(OR(C$7="",C$8=0),0,C$8*(C$7-R$16*(1-$A28)*(1-(1-$A28)^MIN(C$6,$B$11))/($A28*MIN(C$6,$B$11)))^2)+IF(OR(D$7="",D$8=0),0,D$8*(D$7-R$16*(1-$A28)*(1-(1-$A28)^MIN(D$6,$B$11))/($A28*MIN(D$6,$B$11)))^2)+IF(OR(E$7="",E$8=0),0,E$8*(E$7-R$16*(1-$A28)*(1-(1-$A28)^MIN(E$6,$B$11))/($A28*MIN(E$6,$B$11)))^2)</f>
        <v/>
      </c>
      <c r="S28" s="27">
        <f>IF(OR(B$7="",B$8=0),0,B$8*(B$7-S$16*(1-$A28)*(1-(1-$A28)^MIN(B$6,$B$11))/($A28*MIN(B$6,$B$11)))^2)+IF(OR(C$7="",C$8=0),0,C$8*(C$7-S$16*(1-$A28)*(1-(1-$A28)^MIN(C$6,$B$11))/($A28*MIN(C$6,$B$11)))^2)+IF(OR(D$7="",D$8=0),0,D$8*(D$7-S$16*(1-$A28)*(1-(1-$A28)^MIN(D$6,$B$11))/($A28*MIN(D$6,$B$11)))^2)+IF(OR(E$7="",E$8=0),0,E$8*(E$7-S$16*(1-$A28)*(1-(1-$A28)^MIN(E$6,$B$11))/($A28*MIN(E$6,$B$11)))^2)</f>
        <v/>
      </c>
      <c r="U28" s="27">
        <f>MIN(B28:S28)</f>
        <v/>
      </c>
      <c r="V28" s="17">
        <f>MATCH(U28,B28:S28,0)</f>
        <v/>
      </c>
    </row>
    <row r="29">
      <c r="A29" s="26" t="n">
        <v>0.011</v>
      </c>
      <c r="B29" s="27">
        <f>IF(OR(B$7="",B$8=0),0,B$8*(B$7-B$16*(1-$A29)*(1-(1-$A29)^MIN(B$6,$B$11))/($A29*MIN(B$6,$B$11)))^2)+IF(OR(C$7="",C$8=0),0,C$8*(C$7-B$16*(1-$A29)*(1-(1-$A29)^MIN(C$6,$B$11))/($A29*MIN(C$6,$B$11)))^2)+IF(OR(D$7="",D$8=0),0,D$8*(D$7-B$16*(1-$A29)*(1-(1-$A29)^MIN(D$6,$B$11))/($A29*MIN(D$6,$B$11)))^2)+IF(OR(E$7="",E$8=0),0,E$8*(E$7-B$16*(1-$A29)*(1-(1-$A29)^MIN(E$6,$B$11))/($A29*MIN(E$6,$B$11)))^2)</f>
        <v/>
      </c>
      <c r="C29" s="27">
        <f>IF(OR(B$7="",B$8=0),0,B$8*(B$7-C$16*(1-$A29)*(1-(1-$A29)^MIN(B$6,$B$11))/($A29*MIN(B$6,$B$11)))^2)+IF(OR(C$7="",C$8=0),0,C$8*(C$7-C$16*(1-$A29)*(1-(1-$A29)^MIN(C$6,$B$11))/($A29*MIN(C$6,$B$11)))^2)+IF(OR(D$7="",D$8=0),0,D$8*(D$7-C$16*(1-$A29)*(1-(1-$A29)^MIN(D$6,$B$11))/($A29*MIN(D$6,$B$11)))^2)+IF(OR(E$7="",E$8=0),0,E$8*(E$7-C$16*(1-$A29)*(1-(1-$A29)^MIN(E$6,$B$11))/($A29*MIN(E$6,$B$11)))^2)</f>
        <v/>
      </c>
      <c r="D29" s="27">
        <f>IF(OR(B$7="",B$8=0),0,B$8*(B$7-D$16*(1-$A29)*(1-(1-$A29)^MIN(B$6,$B$11))/($A29*MIN(B$6,$B$11)))^2)+IF(OR(C$7="",C$8=0),0,C$8*(C$7-D$16*(1-$A29)*(1-(1-$A29)^MIN(C$6,$B$11))/($A29*MIN(C$6,$B$11)))^2)+IF(OR(D$7="",D$8=0),0,D$8*(D$7-D$16*(1-$A29)*(1-(1-$A29)^MIN(D$6,$B$11))/($A29*MIN(D$6,$B$11)))^2)+IF(OR(E$7="",E$8=0),0,E$8*(E$7-D$16*(1-$A29)*(1-(1-$A29)^MIN(E$6,$B$11))/($A29*MIN(E$6,$B$11)))^2)</f>
        <v/>
      </c>
      <c r="E29" s="27">
        <f>IF(OR(B$7="",B$8=0),0,B$8*(B$7-E$16*(1-$A29)*(1-(1-$A29)^MIN(B$6,$B$11))/($A29*MIN(B$6,$B$11)))^2)+IF(OR(C$7="",C$8=0),0,C$8*(C$7-E$16*(1-$A29)*(1-(1-$A29)^MIN(C$6,$B$11))/($A29*MIN(C$6,$B$11)))^2)+IF(OR(D$7="",D$8=0),0,D$8*(D$7-E$16*(1-$A29)*(1-(1-$A29)^MIN(D$6,$B$11))/($A29*MIN(D$6,$B$11)))^2)+IF(OR(E$7="",E$8=0),0,E$8*(E$7-E$16*(1-$A29)*(1-(1-$A29)^MIN(E$6,$B$11))/($A29*MIN(E$6,$B$11)))^2)</f>
        <v/>
      </c>
      <c r="F29" s="27">
        <f>IF(OR(B$7="",B$8=0),0,B$8*(B$7-F$16*(1-$A29)*(1-(1-$A29)^MIN(B$6,$B$11))/($A29*MIN(B$6,$B$11)))^2)+IF(OR(C$7="",C$8=0),0,C$8*(C$7-F$16*(1-$A29)*(1-(1-$A29)^MIN(C$6,$B$11))/($A29*MIN(C$6,$B$11)))^2)+IF(OR(D$7="",D$8=0),0,D$8*(D$7-F$16*(1-$A29)*(1-(1-$A29)^MIN(D$6,$B$11))/($A29*MIN(D$6,$B$11)))^2)+IF(OR(E$7="",E$8=0),0,E$8*(E$7-F$16*(1-$A29)*(1-(1-$A29)^MIN(E$6,$B$11))/($A29*MIN(E$6,$B$11)))^2)</f>
        <v/>
      </c>
      <c r="G29" s="27">
        <f>IF(OR(B$7="",B$8=0),0,B$8*(B$7-G$16*(1-$A29)*(1-(1-$A29)^MIN(B$6,$B$11))/($A29*MIN(B$6,$B$11)))^2)+IF(OR(C$7="",C$8=0),0,C$8*(C$7-G$16*(1-$A29)*(1-(1-$A29)^MIN(C$6,$B$11))/($A29*MIN(C$6,$B$11)))^2)+IF(OR(D$7="",D$8=0),0,D$8*(D$7-G$16*(1-$A29)*(1-(1-$A29)^MIN(D$6,$B$11))/($A29*MIN(D$6,$B$11)))^2)+IF(OR(E$7="",E$8=0),0,E$8*(E$7-G$16*(1-$A29)*(1-(1-$A29)^MIN(E$6,$B$11))/($A29*MIN(E$6,$B$11)))^2)</f>
        <v/>
      </c>
      <c r="H29" s="27">
        <f>IF(OR(B$7="",B$8=0),0,B$8*(B$7-H$16*(1-$A29)*(1-(1-$A29)^MIN(B$6,$B$11))/($A29*MIN(B$6,$B$11)))^2)+IF(OR(C$7="",C$8=0),0,C$8*(C$7-H$16*(1-$A29)*(1-(1-$A29)^MIN(C$6,$B$11))/($A29*MIN(C$6,$B$11)))^2)+IF(OR(D$7="",D$8=0),0,D$8*(D$7-H$16*(1-$A29)*(1-(1-$A29)^MIN(D$6,$B$11))/($A29*MIN(D$6,$B$11)))^2)+IF(OR(E$7="",E$8=0),0,E$8*(E$7-H$16*(1-$A29)*(1-(1-$A29)^MIN(E$6,$B$11))/($A29*MIN(E$6,$B$11)))^2)</f>
        <v/>
      </c>
      <c r="I29" s="27">
        <f>IF(OR(B$7="",B$8=0),0,B$8*(B$7-I$16*(1-$A29)*(1-(1-$A29)^MIN(B$6,$B$11))/($A29*MIN(B$6,$B$11)))^2)+IF(OR(C$7="",C$8=0),0,C$8*(C$7-I$16*(1-$A29)*(1-(1-$A29)^MIN(C$6,$B$11))/($A29*MIN(C$6,$B$11)))^2)+IF(OR(D$7="",D$8=0),0,D$8*(D$7-I$16*(1-$A29)*(1-(1-$A29)^MIN(D$6,$B$11))/($A29*MIN(D$6,$B$11)))^2)+IF(OR(E$7="",E$8=0),0,E$8*(E$7-I$16*(1-$A29)*(1-(1-$A29)^MIN(E$6,$B$11))/($A29*MIN(E$6,$B$11)))^2)</f>
        <v/>
      </c>
      <c r="J29" s="27">
        <f>IF(OR(B$7="",B$8=0),0,B$8*(B$7-J$16*(1-$A29)*(1-(1-$A29)^MIN(B$6,$B$11))/($A29*MIN(B$6,$B$11)))^2)+IF(OR(C$7="",C$8=0),0,C$8*(C$7-J$16*(1-$A29)*(1-(1-$A29)^MIN(C$6,$B$11))/($A29*MIN(C$6,$B$11)))^2)+IF(OR(D$7="",D$8=0),0,D$8*(D$7-J$16*(1-$A29)*(1-(1-$A29)^MIN(D$6,$B$11))/($A29*MIN(D$6,$B$11)))^2)+IF(OR(E$7="",E$8=0),0,E$8*(E$7-J$16*(1-$A29)*(1-(1-$A29)^MIN(E$6,$B$11))/($A29*MIN(E$6,$B$11)))^2)</f>
        <v/>
      </c>
      <c r="K29" s="27">
        <f>IF(OR(B$7="",B$8=0),0,B$8*(B$7-K$16*(1-$A29)*(1-(1-$A29)^MIN(B$6,$B$11))/($A29*MIN(B$6,$B$11)))^2)+IF(OR(C$7="",C$8=0),0,C$8*(C$7-K$16*(1-$A29)*(1-(1-$A29)^MIN(C$6,$B$11))/($A29*MIN(C$6,$B$11)))^2)+IF(OR(D$7="",D$8=0),0,D$8*(D$7-K$16*(1-$A29)*(1-(1-$A29)^MIN(D$6,$B$11))/($A29*MIN(D$6,$B$11)))^2)+IF(OR(E$7="",E$8=0),0,E$8*(E$7-K$16*(1-$A29)*(1-(1-$A29)^MIN(E$6,$B$11))/($A29*MIN(E$6,$B$11)))^2)</f>
        <v/>
      </c>
      <c r="L29" s="27">
        <f>IF(OR(B$7="",B$8=0),0,B$8*(B$7-L$16*(1-$A29)*(1-(1-$A29)^MIN(B$6,$B$11))/($A29*MIN(B$6,$B$11)))^2)+IF(OR(C$7="",C$8=0),0,C$8*(C$7-L$16*(1-$A29)*(1-(1-$A29)^MIN(C$6,$B$11))/($A29*MIN(C$6,$B$11)))^2)+IF(OR(D$7="",D$8=0),0,D$8*(D$7-L$16*(1-$A29)*(1-(1-$A29)^MIN(D$6,$B$11))/($A29*MIN(D$6,$B$11)))^2)+IF(OR(E$7="",E$8=0),0,E$8*(E$7-L$16*(1-$A29)*(1-(1-$A29)^MIN(E$6,$B$11))/($A29*MIN(E$6,$B$11)))^2)</f>
        <v/>
      </c>
      <c r="M29" s="27">
        <f>IF(OR(B$7="",B$8=0),0,B$8*(B$7-M$16*(1-$A29)*(1-(1-$A29)^MIN(B$6,$B$11))/($A29*MIN(B$6,$B$11)))^2)+IF(OR(C$7="",C$8=0),0,C$8*(C$7-M$16*(1-$A29)*(1-(1-$A29)^MIN(C$6,$B$11))/($A29*MIN(C$6,$B$11)))^2)+IF(OR(D$7="",D$8=0),0,D$8*(D$7-M$16*(1-$A29)*(1-(1-$A29)^MIN(D$6,$B$11))/($A29*MIN(D$6,$B$11)))^2)+IF(OR(E$7="",E$8=0),0,E$8*(E$7-M$16*(1-$A29)*(1-(1-$A29)^MIN(E$6,$B$11))/($A29*MIN(E$6,$B$11)))^2)</f>
        <v/>
      </c>
      <c r="N29" s="27">
        <f>IF(OR(B$7="",B$8=0),0,B$8*(B$7-N$16*(1-$A29)*(1-(1-$A29)^MIN(B$6,$B$11))/($A29*MIN(B$6,$B$11)))^2)+IF(OR(C$7="",C$8=0),0,C$8*(C$7-N$16*(1-$A29)*(1-(1-$A29)^MIN(C$6,$B$11))/($A29*MIN(C$6,$B$11)))^2)+IF(OR(D$7="",D$8=0),0,D$8*(D$7-N$16*(1-$A29)*(1-(1-$A29)^MIN(D$6,$B$11))/($A29*MIN(D$6,$B$11)))^2)+IF(OR(E$7="",E$8=0),0,E$8*(E$7-N$16*(1-$A29)*(1-(1-$A29)^MIN(E$6,$B$11))/($A29*MIN(E$6,$B$11)))^2)</f>
        <v/>
      </c>
      <c r="O29" s="27">
        <f>IF(OR(B$7="",B$8=0),0,B$8*(B$7-O$16*(1-$A29)*(1-(1-$A29)^MIN(B$6,$B$11))/($A29*MIN(B$6,$B$11)))^2)+IF(OR(C$7="",C$8=0),0,C$8*(C$7-O$16*(1-$A29)*(1-(1-$A29)^MIN(C$6,$B$11))/($A29*MIN(C$6,$B$11)))^2)+IF(OR(D$7="",D$8=0),0,D$8*(D$7-O$16*(1-$A29)*(1-(1-$A29)^MIN(D$6,$B$11))/($A29*MIN(D$6,$B$11)))^2)+IF(OR(E$7="",E$8=0),0,E$8*(E$7-O$16*(1-$A29)*(1-(1-$A29)^MIN(E$6,$B$11))/($A29*MIN(E$6,$B$11)))^2)</f>
        <v/>
      </c>
      <c r="P29" s="27">
        <f>IF(OR(B$7="",B$8=0),0,B$8*(B$7-P$16*(1-$A29)*(1-(1-$A29)^MIN(B$6,$B$11))/($A29*MIN(B$6,$B$11)))^2)+IF(OR(C$7="",C$8=0),0,C$8*(C$7-P$16*(1-$A29)*(1-(1-$A29)^MIN(C$6,$B$11))/($A29*MIN(C$6,$B$11)))^2)+IF(OR(D$7="",D$8=0),0,D$8*(D$7-P$16*(1-$A29)*(1-(1-$A29)^MIN(D$6,$B$11))/($A29*MIN(D$6,$B$11)))^2)+IF(OR(E$7="",E$8=0),0,E$8*(E$7-P$16*(1-$A29)*(1-(1-$A29)^MIN(E$6,$B$11))/($A29*MIN(E$6,$B$11)))^2)</f>
        <v/>
      </c>
      <c r="Q29" s="27">
        <f>IF(OR(B$7="",B$8=0),0,B$8*(B$7-Q$16*(1-$A29)*(1-(1-$A29)^MIN(B$6,$B$11))/($A29*MIN(B$6,$B$11)))^2)+IF(OR(C$7="",C$8=0),0,C$8*(C$7-Q$16*(1-$A29)*(1-(1-$A29)^MIN(C$6,$B$11))/($A29*MIN(C$6,$B$11)))^2)+IF(OR(D$7="",D$8=0),0,D$8*(D$7-Q$16*(1-$A29)*(1-(1-$A29)^MIN(D$6,$B$11))/($A29*MIN(D$6,$B$11)))^2)+IF(OR(E$7="",E$8=0),0,E$8*(E$7-Q$16*(1-$A29)*(1-(1-$A29)^MIN(E$6,$B$11))/($A29*MIN(E$6,$B$11)))^2)</f>
        <v/>
      </c>
      <c r="R29" s="27">
        <f>IF(OR(B$7="",B$8=0),0,B$8*(B$7-R$16*(1-$A29)*(1-(1-$A29)^MIN(B$6,$B$11))/($A29*MIN(B$6,$B$11)))^2)+IF(OR(C$7="",C$8=0),0,C$8*(C$7-R$16*(1-$A29)*(1-(1-$A29)^MIN(C$6,$B$11))/($A29*MIN(C$6,$B$11)))^2)+IF(OR(D$7="",D$8=0),0,D$8*(D$7-R$16*(1-$A29)*(1-(1-$A29)^MIN(D$6,$B$11))/($A29*MIN(D$6,$B$11)))^2)+IF(OR(E$7="",E$8=0),0,E$8*(E$7-R$16*(1-$A29)*(1-(1-$A29)^MIN(E$6,$B$11))/($A29*MIN(E$6,$B$11)))^2)</f>
        <v/>
      </c>
      <c r="S29" s="27">
        <f>IF(OR(B$7="",B$8=0),0,B$8*(B$7-S$16*(1-$A29)*(1-(1-$A29)^MIN(B$6,$B$11))/($A29*MIN(B$6,$B$11)))^2)+IF(OR(C$7="",C$8=0),0,C$8*(C$7-S$16*(1-$A29)*(1-(1-$A29)^MIN(C$6,$B$11))/($A29*MIN(C$6,$B$11)))^2)+IF(OR(D$7="",D$8=0),0,D$8*(D$7-S$16*(1-$A29)*(1-(1-$A29)^MIN(D$6,$B$11))/($A29*MIN(D$6,$B$11)))^2)+IF(OR(E$7="",E$8=0),0,E$8*(E$7-S$16*(1-$A29)*(1-(1-$A29)^MIN(E$6,$B$11))/($A29*MIN(E$6,$B$11)))^2)</f>
        <v/>
      </c>
      <c r="U29" s="27">
        <f>MIN(B29:S29)</f>
        <v/>
      </c>
      <c r="V29" s="17">
        <f>MATCH(U29,B29:S29,0)</f>
        <v/>
      </c>
    </row>
    <row r="30">
      <c r="A30" s="26" t="n">
        <v>0.0115</v>
      </c>
      <c r="B30" s="27">
        <f>IF(OR(B$7="",B$8=0),0,B$8*(B$7-B$16*(1-$A30)*(1-(1-$A30)^MIN(B$6,$B$11))/($A30*MIN(B$6,$B$11)))^2)+IF(OR(C$7="",C$8=0),0,C$8*(C$7-B$16*(1-$A30)*(1-(1-$A30)^MIN(C$6,$B$11))/($A30*MIN(C$6,$B$11)))^2)+IF(OR(D$7="",D$8=0),0,D$8*(D$7-B$16*(1-$A30)*(1-(1-$A30)^MIN(D$6,$B$11))/($A30*MIN(D$6,$B$11)))^2)+IF(OR(E$7="",E$8=0),0,E$8*(E$7-B$16*(1-$A30)*(1-(1-$A30)^MIN(E$6,$B$11))/($A30*MIN(E$6,$B$11)))^2)</f>
        <v/>
      </c>
      <c r="C30" s="27">
        <f>IF(OR(B$7="",B$8=0),0,B$8*(B$7-C$16*(1-$A30)*(1-(1-$A30)^MIN(B$6,$B$11))/($A30*MIN(B$6,$B$11)))^2)+IF(OR(C$7="",C$8=0),0,C$8*(C$7-C$16*(1-$A30)*(1-(1-$A30)^MIN(C$6,$B$11))/($A30*MIN(C$6,$B$11)))^2)+IF(OR(D$7="",D$8=0),0,D$8*(D$7-C$16*(1-$A30)*(1-(1-$A30)^MIN(D$6,$B$11))/($A30*MIN(D$6,$B$11)))^2)+IF(OR(E$7="",E$8=0),0,E$8*(E$7-C$16*(1-$A30)*(1-(1-$A30)^MIN(E$6,$B$11))/($A30*MIN(E$6,$B$11)))^2)</f>
        <v/>
      </c>
      <c r="D30" s="27">
        <f>IF(OR(B$7="",B$8=0),0,B$8*(B$7-D$16*(1-$A30)*(1-(1-$A30)^MIN(B$6,$B$11))/($A30*MIN(B$6,$B$11)))^2)+IF(OR(C$7="",C$8=0),0,C$8*(C$7-D$16*(1-$A30)*(1-(1-$A30)^MIN(C$6,$B$11))/($A30*MIN(C$6,$B$11)))^2)+IF(OR(D$7="",D$8=0),0,D$8*(D$7-D$16*(1-$A30)*(1-(1-$A30)^MIN(D$6,$B$11))/($A30*MIN(D$6,$B$11)))^2)+IF(OR(E$7="",E$8=0),0,E$8*(E$7-D$16*(1-$A30)*(1-(1-$A30)^MIN(E$6,$B$11))/($A30*MIN(E$6,$B$11)))^2)</f>
        <v/>
      </c>
      <c r="E30" s="27">
        <f>IF(OR(B$7="",B$8=0),0,B$8*(B$7-E$16*(1-$A30)*(1-(1-$A30)^MIN(B$6,$B$11))/($A30*MIN(B$6,$B$11)))^2)+IF(OR(C$7="",C$8=0),0,C$8*(C$7-E$16*(1-$A30)*(1-(1-$A30)^MIN(C$6,$B$11))/($A30*MIN(C$6,$B$11)))^2)+IF(OR(D$7="",D$8=0),0,D$8*(D$7-E$16*(1-$A30)*(1-(1-$A30)^MIN(D$6,$B$11))/($A30*MIN(D$6,$B$11)))^2)+IF(OR(E$7="",E$8=0),0,E$8*(E$7-E$16*(1-$A30)*(1-(1-$A30)^MIN(E$6,$B$11))/($A30*MIN(E$6,$B$11)))^2)</f>
        <v/>
      </c>
      <c r="F30" s="27">
        <f>IF(OR(B$7="",B$8=0),0,B$8*(B$7-F$16*(1-$A30)*(1-(1-$A30)^MIN(B$6,$B$11))/($A30*MIN(B$6,$B$11)))^2)+IF(OR(C$7="",C$8=0),0,C$8*(C$7-F$16*(1-$A30)*(1-(1-$A30)^MIN(C$6,$B$11))/($A30*MIN(C$6,$B$11)))^2)+IF(OR(D$7="",D$8=0),0,D$8*(D$7-F$16*(1-$A30)*(1-(1-$A30)^MIN(D$6,$B$11))/($A30*MIN(D$6,$B$11)))^2)+IF(OR(E$7="",E$8=0),0,E$8*(E$7-F$16*(1-$A30)*(1-(1-$A30)^MIN(E$6,$B$11))/($A30*MIN(E$6,$B$11)))^2)</f>
        <v/>
      </c>
      <c r="G30" s="27">
        <f>IF(OR(B$7="",B$8=0),0,B$8*(B$7-G$16*(1-$A30)*(1-(1-$A30)^MIN(B$6,$B$11))/($A30*MIN(B$6,$B$11)))^2)+IF(OR(C$7="",C$8=0),0,C$8*(C$7-G$16*(1-$A30)*(1-(1-$A30)^MIN(C$6,$B$11))/($A30*MIN(C$6,$B$11)))^2)+IF(OR(D$7="",D$8=0),0,D$8*(D$7-G$16*(1-$A30)*(1-(1-$A30)^MIN(D$6,$B$11))/($A30*MIN(D$6,$B$11)))^2)+IF(OR(E$7="",E$8=0),0,E$8*(E$7-G$16*(1-$A30)*(1-(1-$A30)^MIN(E$6,$B$11))/($A30*MIN(E$6,$B$11)))^2)</f>
        <v/>
      </c>
      <c r="H30" s="27">
        <f>IF(OR(B$7="",B$8=0),0,B$8*(B$7-H$16*(1-$A30)*(1-(1-$A30)^MIN(B$6,$B$11))/($A30*MIN(B$6,$B$11)))^2)+IF(OR(C$7="",C$8=0),0,C$8*(C$7-H$16*(1-$A30)*(1-(1-$A30)^MIN(C$6,$B$11))/($A30*MIN(C$6,$B$11)))^2)+IF(OR(D$7="",D$8=0),0,D$8*(D$7-H$16*(1-$A30)*(1-(1-$A30)^MIN(D$6,$B$11))/($A30*MIN(D$6,$B$11)))^2)+IF(OR(E$7="",E$8=0),0,E$8*(E$7-H$16*(1-$A30)*(1-(1-$A30)^MIN(E$6,$B$11))/($A30*MIN(E$6,$B$11)))^2)</f>
        <v/>
      </c>
      <c r="I30" s="27">
        <f>IF(OR(B$7="",B$8=0),0,B$8*(B$7-I$16*(1-$A30)*(1-(1-$A30)^MIN(B$6,$B$11))/($A30*MIN(B$6,$B$11)))^2)+IF(OR(C$7="",C$8=0),0,C$8*(C$7-I$16*(1-$A30)*(1-(1-$A30)^MIN(C$6,$B$11))/($A30*MIN(C$6,$B$11)))^2)+IF(OR(D$7="",D$8=0),0,D$8*(D$7-I$16*(1-$A30)*(1-(1-$A30)^MIN(D$6,$B$11))/($A30*MIN(D$6,$B$11)))^2)+IF(OR(E$7="",E$8=0),0,E$8*(E$7-I$16*(1-$A30)*(1-(1-$A30)^MIN(E$6,$B$11))/($A30*MIN(E$6,$B$11)))^2)</f>
        <v/>
      </c>
      <c r="J30" s="27">
        <f>IF(OR(B$7="",B$8=0),0,B$8*(B$7-J$16*(1-$A30)*(1-(1-$A30)^MIN(B$6,$B$11))/($A30*MIN(B$6,$B$11)))^2)+IF(OR(C$7="",C$8=0),0,C$8*(C$7-J$16*(1-$A30)*(1-(1-$A30)^MIN(C$6,$B$11))/($A30*MIN(C$6,$B$11)))^2)+IF(OR(D$7="",D$8=0),0,D$8*(D$7-J$16*(1-$A30)*(1-(1-$A30)^MIN(D$6,$B$11))/($A30*MIN(D$6,$B$11)))^2)+IF(OR(E$7="",E$8=0),0,E$8*(E$7-J$16*(1-$A30)*(1-(1-$A30)^MIN(E$6,$B$11))/($A30*MIN(E$6,$B$11)))^2)</f>
        <v/>
      </c>
      <c r="K30" s="27">
        <f>IF(OR(B$7="",B$8=0),0,B$8*(B$7-K$16*(1-$A30)*(1-(1-$A30)^MIN(B$6,$B$11))/($A30*MIN(B$6,$B$11)))^2)+IF(OR(C$7="",C$8=0),0,C$8*(C$7-K$16*(1-$A30)*(1-(1-$A30)^MIN(C$6,$B$11))/($A30*MIN(C$6,$B$11)))^2)+IF(OR(D$7="",D$8=0),0,D$8*(D$7-K$16*(1-$A30)*(1-(1-$A30)^MIN(D$6,$B$11))/($A30*MIN(D$6,$B$11)))^2)+IF(OR(E$7="",E$8=0),0,E$8*(E$7-K$16*(1-$A30)*(1-(1-$A30)^MIN(E$6,$B$11))/($A30*MIN(E$6,$B$11)))^2)</f>
        <v/>
      </c>
      <c r="L30" s="27">
        <f>IF(OR(B$7="",B$8=0),0,B$8*(B$7-L$16*(1-$A30)*(1-(1-$A30)^MIN(B$6,$B$11))/($A30*MIN(B$6,$B$11)))^2)+IF(OR(C$7="",C$8=0),0,C$8*(C$7-L$16*(1-$A30)*(1-(1-$A30)^MIN(C$6,$B$11))/($A30*MIN(C$6,$B$11)))^2)+IF(OR(D$7="",D$8=0),0,D$8*(D$7-L$16*(1-$A30)*(1-(1-$A30)^MIN(D$6,$B$11))/($A30*MIN(D$6,$B$11)))^2)+IF(OR(E$7="",E$8=0),0,E$8*(E$7-L$16*(1-$A30)*(1-(1-$A30)^MIN(E$6,$B$11))/($A30*MIN(E$6,$B$11)))^2)</f>
        <v/>
      </c>
      <c r="M30" s="27">
        <f>IF(OR(B$7="",B$8=0),0,B$8*(B$7-M$16*(1-$A30)*(1-(1-$A30)^MIN(B$6,$B$11))/($A30*MIN(B$6,$B$11)))^2)+IF(OR(C$7="",C$8=0),0,C$8*(C$7-M$16*(1-$A30)*(1-(1-$A30)^MIN(C$6,$B$11))/($A30*MIN(C$6,$B$11)))^2)+IF(OR(D$7="",D$8=0),0,D$8*(D$7-M$16*(1-$A30)*(1-(1-$A30)^MIN(D$6,$B$11))/($A30*MIN(D$6,$B$11)))^2)+IF(OR(E$7="",E$8=0),0,E$8*(E$7-M$16*(1-$A30)*(1-(1-$A30)^MIN(E$6,$B$11))/($A30*MIN(E$6,$B$11)))^2)</f>
        <v/>
      </c>
      <c r="N30" s="27">
        <f>IF(OR(B$7="",B$8=0),0,B$8*(B$7-N$16*(1-$A30)*(1-(1-$A30)^MIN(B$6,$B$11))/($A30*MIN(B$6,$B$11)))^2)+IF(OR(C$7="",C$8=0),0,C$8*(C$7-N$16*(1-$A30)*(1-(1-$A30)^MIN(C$6,$B$11))/($A30*MIN(C$6,$B$11)))^2)+IF(OR(D$7="",D$8=0),0,D$8*(D$7-N$16*(1-$A30)*(1-(1-$A30)^MIN(D$6,$B$11))/($A30*MIN(D$6,$B$11)))^2)+IF(OR(E$7="",E$8=0),0,E$8*(E$7-N$16*(1-$A30)*(1-(1-$A30)^MIN(E$6,$B$11))/($A30*MIN(E$6,$B$11)))^2)</f>
        <v/>
      </c>
      <c r="O30" s="27">
        <f>IF(OR(B$7="",B$8=0),0,B$8*(B$7-O$16*(1-$A30)*(1-(1-$A30)^MIN(B$6,$B$11))/($A30*MIN(B$6,$B$11)))^2)+IF(OR(C$7="",C$8=0),0,C$8*(C$7-O$16*(1-$A30)*(1-(1-$A30)^MIN(C$6,$B$11))/($A30*MIN(C$6,$B$11)))^2)+IF(OR(D$7="",D$8=0),0,D$8*(D$7-O$16*(1-$A30)*(1-(1-$A30)^MIN(D$6,$B$11))/($A30*MIN(D$6,$B$11)))^2)+IF(OR(E$7="",E$8=0),0,E$8*(E$7-O$16*(1-$A30)*(1-(1-$A30)^MIN(E$6,$B$11))/($A30*MIN(E$6,$B$11)))^2)</f>
        <v/>
      </c>
      <c r="P30" s="27">
        <f>IF(OR(B$7="",B$8=0),0,B$8*(B$7-P$16*(1-$A30)*(1-(1-$A30)^MIN(B$6,$B$11))/($A30*MIN(B$6,$B$11)))^2)+IF(OR(C$7="",C$8=0),0,C$8*(C$7-P$16*(1-$A30)*(1-(1-$A30)^MIN(C$6,$B$11))/($A30*MIN(C$6,$B$11)))^2)+IF(OR(D$7="",D$8=0),0,D$8*(D$7-P$16*(1-$A30)*(1-(1-$A30)^MIN(D$6,$B$11))/($A30*MIN(D$6,$B$11)))^2)+IF(OR(E$7="",E$8=0),0,E$8*(E$7-P$16*(1-$A30)*(1-(1-$A30)^MIN(E$6,$B$11))/($A30*MIN(E$6,$B$11)))^2)</f>
        <v/>
      </c>
      <c r="Q30" s="27">
        <f>IF(OR(B$7="",B$8=0),0,B$8*(B$7-Q$16*(1-$A30)*(1-(1-$A30)^MIN(B$6,$B$11))/($A30*MIN(B$6,$B$11)))^2)+IF(OR(C$7="",C$8=0),0,C$8*(C$7-Q$16*(1-$A30)*(1-(1-$A30)^MIN(C$6,$B$11))/($A30*MIN(C$6,$B$11)))^2)+IF(OR(D$7="",D$8=0),0,D$8*(D$7-Q$16*(1-$A30)*(1-(1-$A30)^MIN(D$6,$B$11))/($A30*MIN(D$6,$B$11)))^2)+IF(OR(E$7="",E$8=0),0,E$8*(E$7-Q$16*(1-$A30)*(1-(1-$A30)^MIN(E$6,$B$11))/($A30*MIN(E$6,$B$11)))^2)</f>
        <v/>
      </c>
      <c r="R30" s="27">
        <f>IF(OR(B$7="",B$8=0),0,B$8*(B$7-R$16*(1-$A30)*(1-(1-$A30)^MIN(B$6,$B$11))/($A30*MIN(B$6,$B$11)))^2)+IF(OR(C$7="",C$8=0),0,C$8*(C$7-R$16*(1-$A30)*(1-(1-$A30)^MIN(C$6,$B$11))/($A30*MIN(C$6,$B$11)))^2)+IF(OR(D$7="",D$8=0),0,D$8*(D$7-R$16*(1-$A30)*(1-(1-$A30)^MIN(D$6,$B$11))/($A30*MIN(D$6,$B$11)))^2)+IF(OR(E$7="",E$8=0),0,E$8*(E$7-R$16*(1-$A30)*(1-(1-$A30)^MIN(E$6,$B$11))/($A30*MIN(E$6,$B$11)))^2)</f>
        <v/>
      </c>
      <c r="S30" s="27">
        <f>IF(OR(B$7="",B$8=0),0,B$8*(B$7-S$16*(1-$A30)*(1-(1-$A30)^MIN(B$6,$B$11))/($A30*MIN(B$6,$B$11)))^2)+IF(OR(C$7="",C$8=0),0,C$8*(C$7-S$16*(1-$A30)*(1-(1-$A30)^MIN(C$6,$B$11))/($A30*MIN(C$6,$B$11)))^2)+IF(OR(D$7="",D$8=0),0,D$8*(D$7-S$16*(1-$A30)*(1-(1-$A30)^MIN(D$6,$B$11))/($A30*MIN(D$6,$B$11)))^2)+IF(OR(E$7="",E$8=0),0,E$8*(E$7-S$16*(1-$A30)*(1-(1-$A30)^MIN(E$6,$B$11))/($A30*MIN(E$6,$B$11)))^2)</f>
        <v/>
      </c>
      <c r="U30" s="27">
        <f>MIN(B30:S30)</f>
        <v/>
      </c>
      <c r="V30" s="17">
        <f>MATCH(U30,B30:S30,0)</f>
        <v/>
      </c>
    </row>
    <row r="31">
      <c r="A31" s="26" t="n">
        <v>0.012</v>
      </c>
      <c r="B31" s="27">
        <f>IF(OR(B$7="",B$8=0),0,B$8*(B$7-B$16*(1-$A31)*(1-(1-$A31)^MIN(B$6,$B$11))/($A31*MIN(B$6,$B$11)))^2)+IF(OR(C$7="",C$8=0),0,C$8*(C$7-B$16*(1-$A31)*(1-(1-$A31)^MIN(C$6,$B$11))/($A31*MIN(C$6,$B$11)))^2)+IF(OR(D$7="",D$8=0),0,D$8*(D$7-B$16*(1-$A31)*(1-(1-$A31)^MIN(D$6,$B$11))/($A31*MIN(D$6,$B$11)))^2)+IF(OR(E$7="",E$8=0),0,E$8*(E$7-B$16*(1-$A31)*(1-(1-$A31)^MIN(E$6,$B$11))/($A31*MIN(E$6,$B$11)))^2)</f>
        <v/>
      </c>
      <c r="C31" s="27">
        <f>IF(OR(B$7="",B$8=0),0,B$8*(B$7-C$16*(1-$A31)*(1-(1-$A31)^MIN(B$6,$B$11))/($A31*MIN(B$6,$B$11)))^2)+IF(OR(C$7="",C$8=0),0,C$8*(C$7-C$16*(1-$A31)*(1-(1-$A31)^MIN(C$6,$B$11))/($A31*MIN(C$6,$B$11)))^2)+IF(OR(D$7="",D$8=0),0,D$8*(D$7-C$16*(1-$A31)*(1-(1-$A31)^MIN(D$6,$B$11))/($A31*MIN(D$6,$B$11)))^2)+IF(OR(E$7="",E$8=0),0,E$8*(E$7-C$16*(1-$A31)*(1-(1-$A31)^MIN(E$6,$B$11))/($A31*MIN(E$6,$B$11)))^2)</f>
        <v/>
      </c>
      <c r="D31" s="27">
        <f>IF(OR(B$7="",B$8=0),0,B$8*(B$7-D$16*(1-$A31)*(1-(1-$A31)^MIN(B$6,$B$11))/($A31*MIN(B$6,$B$11)))^2)+IF(OR(C$7="",C$8=0),0,C$8*(C$7-D$16*(1-$A31)*(1-(1-$A31)^MIN(C$6,$B$11))/($A31*MIN(C$6,$B$11)))^2)+IF(OR(D$7="",D$8=0),0,D$8*(D$7-D$16*(1-$A31)*(1-(1-$A31)^MIN(D$6,$B$11))/($A31*MIN(D$6,$B$11)))^2)+IF(OR(E$7="",E$8=0),0,E$8*(E$7-D$16*(1-$A31)*(1-(1-$A31)^MIN(E$6,$B$11))/($A31*MIN(E$6,$B$11)))^2)</f>
        <v/>
      </c>
      <c r="E31" s="27">
        <f>IF(OR(B$7="",B$8=0),0,B$8*(B$7-E$16*(1-$A31)*(1-(1-$A31)^MIN(B$6,$B$11))/($A31*MIN(B$6,$B$11)))^2)+IF(OR(C$7="",C$8=0),0,C$8*(C$7-E$16*(1-$A31)*(1-(1-$A31)^MIN(C$6,$B$11))/($A31*MIN(C$6,$B$11)))^2)+IF(OR(D$7="",D$8=0),0,D$8*(D$7-E$16*(1-$A31)*(1-(1-$A31)^MIN(D$6,$B$11))/($A31*MIN(D$6,$B$11)))^2)+IF(OR(E$7="",E$8=0),0,E$8*(E$7-E$16*(1-$A31)*(1-(1-$A31)^MIN(E$6,$B$11))/($A31*MIN(E$6,$B$11)))^2)</f>
        <v/>
      </c>
      <c r="F31" s="27">
        <f>IF(OR(B$7="",B$8=0),0,B$8*(B$7-F$16*(1-$A31)*(1-(1-$A31)^MIN(B$6,$B$11))/($A31*MIN(B$6,$B$11)))^2)+IF(OR(C$7="",C$8=0),0,C$8*(C$7-F$16*(1-$A31)*(1-(1-$A31)^MIN(C$6,$B$11))/($A31*MIN(C$6,$B$11)))^2)+IF(OR(D$7="",D$8=0),0,D$8*(D$7-F$16*(1-$A31)*(1-(1-$A31)^MIN(D$6,$B$11))/($A31*MIN(D$6,$B$11)))^2)+IF(OR(E$7="",E$8=0),0,E$8*(E$7-F$16*(1-$A31)*(1-(1-$A31)^MIN(E$6,$B$11))/($A31*MIN(E$6,$B$11)))^2)</f>
        <v/>
      </c>
      <c r="G31" s="27">
        <f>IF(OR(B$7="",B$8=0),0,B$8*(B$7-G$16*(1-$A31)*(1-(1-$A31)^MIN(B$6,$B$11))/($A31*MIN(B$6,$B$11)))^2)+IF(OR(C$7="",C$8=0),0,C$8*(C$7-G$16*(1-$A31)*(1-(1-$A31)^MIN(C$6,$B$11))/($A31*MIN(C$6,$B$11)))^2)+IF(OR(D$7="",D$8=0),0,D$8*(D$7-G$16*(1-$A31)*(1-(1-$A31)^MIN(D$6,$B$11))/($A31*MIN(D$6,$B$11)))^2)+IF(OR(E$7="",E$8=0),0,E$8*(E$7-G$16*(1-$A31)*(1-(1-$A31)^MIN(E$6,$B$11))/($A31*MIN(E$6,$B$11)))^2)</f>
        <v/>
      </c>
      <c r="H31" s="27">
        <f>IF(OR(B$7="",B$8=0),0,B$8*(B$7-H$16*(1-$A31)*(1-(1-$A31)^MIN(B$6,$B$11))/($A31*MIN(B$6,$B$11)))^2)+IF(OR(C$7="",C$8=0),0,C$8*(C$7-H$16*(1-$A31)*(1-(1-$A31)^MIN(C$6,$B$11))/($A31*MIN(C$6,$B$11)))^2)+IF(OR(D$7="",D$8=0),0,D$8*(D$7-H$16*(1-$A31)*(1-(1-$A31)^MIN(D$6,$B$11))/($A31*MIN(D$6,$B$11)))^2)+IF(OR(E$7="",E$8=0),0,E$8*(E$7-H$16*(1-$A31)*(1-(1-$A31)^MIN(E$6,$B$11))/($A31*MIN(E$6,$B$11)))^2)</f>
        <v/>
      </c>
      <c r="I31" s="27">
        <f>IF(OR(B$7="",B$8=0),0,B$8*(B$7-I$16*(1-$A31)*(1-(1-$A31)^MIN(B$6,$B$11))/($A31*MIN(B$6,$B$11)))^2)+IF(OR(C$7="",C$8=0),0,C$8*(C$7-I$16*(1-$A31)*(1-(1-$A31)^MIN(C$6,$B$11))/($A31*MIN(C$6,$B$11)))^2)+IF(OR(D$7="",D$8=0),0,D$8*(D$7-I$16*(1-$A31)*(1-(1-$A31)^MIN(D$6,$B$11))/($A31*MIN(D$6,$B$11)))^2)+IF(OR(E$7="",E$8=0),0,E$8*(E$7-I$16*(1-$A31)*(1-(1-$A31)^MIN(E$6,$B$11))/($A31*MIN(E$6,$B$11)))^2)</f>
        <v/>
      </c>
      <c r="J31" s="27">
        <f>IF(OR(B$7="",B$8=0),0,B$8*(B$7-J$16*(1-$A31)*(1-(1-$A31)^MIN(B$6,$B$11))/($A31*MIN(B$6,$B$11)))^2)+IF(OR(C$7="",C$8=0),0,C$8*(C$7-J$16*(1-$A31)*(1-(1-$A31)^MIN(C$6,$B$11))/($A31*MIN(C$6,$B$11)))^2)+IF(OR(D$7="",D$8=0),0,D$8*(D$7-J$16*(1-$A31)*(1-(1-$A31)^MIN(D$6,$B$11))/($A31*MIN(D$6,$B$11)))^2)+IF(OR(E$7="",E$8=0),0,E$8*(E$7-J$16*(1-$A31)*(1-(1-$A31)^MIN(E$6,$B$11))/($A31*MIN(E$6,$B$11)))^2)</f>
        <v/>
      </c>
      <c r="K31" s="27">
        <f>IF(OR(B$7="",B$8=0),0,B$8*(B$7-K$16*(1-$A31)*(1-(1-$A31)^MIN(B$6,$B$11))/($A31*MIN(B$6,$B$11)))^2)+IF(OR(C$7="",C$8=0),0,C$8*(C$7-K$16*(1-$A31)*(1-(1-$A31)^MIN(C$6,$B$11))/($A31*MIN(C$6,$B$11)))^2)+IF(OR(D$7="",D$8=0),0,D$8*(D$7-K$16*(1-$A31)*(1-(1-$A31)^MIN(D$6,$B$11))/($A31*MIN(D$6,$B$11)))^2)+IF(OR(E$7="",E$8=0),0,E$8*(E$7-K$16*(1-$A31)*(1-(1-$A31)^MIN(E$6,$B$11))/($A31*MIN(E$6,$B$11)))^2)</f>
        <v/>
      </c>
      <c r="L31" s="27">
        <f>IF(OR(B$7="",B$8=0),0,B$8*(B$7-L$16*(1-$A31)*(1-(1-$A31)^MIN(B$6,$B$11))/($A31*MIN(B$6,$B$11)))^2)+IF(OR(C$7="",C$8=0),0,C$8*(C$7-L$16*(1-$A31)*(1-(1-$A31)^MIN(C$6,$B$11))/($A31*MIN(C$6,$B$11)))^2)+IF(OR(D$7="",D$8=0),0,D$8*(D$7-L$16*(1-$A31)*(1-(1-$A31)^MIN(D$6,$B$11))/($A31*MIN(D$6,$B$11)))^2)+IF(OR(E$7="",E$8=0),0,E$8*(E$7-L$16*(1-$A31)*(1-(1-$A31)^MIN(E$6,$B$11))/($A31*MIN(E$6,$B$11)))^2)</f>
        <v/>
      </c>
      <c r="M31" s="27">
        <f>IF(OR(B$7="",B$8=0),0,B$8*(B$7-M$16*(1-$A31)*(1-(1-$A31)^MIN(B$6,$B$11))/($A31*MIN(B$6,$B$11)))^2)+IF(OR(C$7="",C$8=0),0,C$8*(C$7-M$16*(1-$A31)*(1-(1-$A31)^MIN(C$6,$B$11))/($A31*MIN(C$6,$B$11)))^2)+IF(OR(D$7="",D$8=0),0,D$8*(D$7-M$16*(1-$A31)*(1-(1-$A31)^MIN(D$6,$B$11))/($A31*MIN(D$6,$B$11)))^2)+IF(OR(E$7="",E$8=0),0,E$8*(E$7-M$16*(1-$A31)*(1-(1-$A31)^MIN(E$6,$B$11))/($A31*MIN(E$6,$B$11)))^2)</f>
        <v/>
      </c>
      <c r="N31" s="27">
        <f>IF(OR(B$7="",B$8=0),0,B$8*(B$7-N$16*(1-$A31)*(1-(1-$A31)^MIN(B$6,$B$11))/($A31*MIN(B$6,$B$11)))^2)+IF(OR(C$7="",C$8=0),0,C$8*(C$7-N$16*(1-$A31)*(1-(1-$A31)^MIN(C$6,$B$11))/($A31*MIN(C$6,$B$11)))^2)+IF(OR(D$7="",D$8=0),0,D$8*(D$7-N$16*(1-$A31)*(1-(1-$A31)^MIN(D$6,$B$11))/($A31*MIN(D$6,$B$11)))^2)+IF(OR(E$7="",E$8=0),0,E$8*(E$7-N$16*(1-$A31)*(1-(1-$A31)^MIN(E$6,$B$11))/($A31*MIN(E$6,$B$11)))^2)</f>
        <v/>
      </c>
      <c r="O31" s="27">
        <f>IF(OR(B$7="",B$8=0),0,B$8*(B$7-O$16*(1-$A31)*(1-(1-$A31)^MIN(B$6,$B$11))/($A31*MIN(B$6,$B$11)))^2)+IF(OR(C$7="",C$8=0),0,C$8*(C$7-O$16*(1-$A31)*(1-(1-$A31)^MIN(C$6,$B$11))/($A31*MIN(C$6,$B$11)))^2)+IF(OR(D$7="",D$8=0),0,D$8*(D$7-O$16*(1-$A31)*(1-(1-$A31)^MIN(D$6,$B$11))/($A31*MIN(D$6,$B$11)))^2)+IF(OR(E$7="",E$8=0),0,E$8*(E$7-O$16*(1-$A31)*(1-(1-$A31)^MIN(E$6,$B$11))/($A31*MIN(E$6,$B$11)))^2)</f>
        <v/>
      </c>
      <c r="P31" s="27">
        <f>IF(OR(B$7="",B$8=0),0,B$8*(B$7-P$16*(1-$A31)*(1-(1-$A31)^MIN(B$6,$B$11))/($A31*MIN(B$6,$B$11)))^2)+IF(OR(C$7="",C$8=0),0,C$8*(C$7-P$16*(1-$A31)*(1-(1-$A31)^MIN(C$6,$B$11))/($A31*MIN(C$6,$B$11)))^2)+IF(OR(D$7="",D$8=0),0,D$8*(D$7-P$16*(1-$A31)*(1-(1-$A31)^MIN(D$6,$B$11))/($A31*MIN(D$6,$B$11)))^2)+IF(OR(E$7="",E$8=0),0,E$8*(E$7-P$16*(1-$A31)*(1-(1-$A31)^MIN(E$6,$B$11))/($A31*MIN(E$6,$B$11)))^2)</f>
        <v/>
      </c>
      <c r="Q31" s="27">
        <f>IF(OR(B$7="",B$8=0),0,B$8*(B$7-Q$16*(1-$A31)*(1-(1-$A31)^MIN(B$6,$B$11))/($A31*MIN(B$6,$B$11)))^2)+IF(OR(C$7="",C$8=0),0,C$8*(C$7-Q$16*(1-$A31)*(1-(1-$A31)^MIN(C$6,$B$11))/($A31*MIN(C$6,$B$11)))^2)+IF(OR(D$7="",D$8=0),0,D$8*(D$7-Q$16*(1-$A31)*(1-(1-$A31)^MIN(D$6,$B$11))/($A31*MIN(D$6,$B$11)))^2)+IF(OR(E$7="",E$8=0),0,E$8*(E$7-Q$16*(1-$A31)*(1-(1-$A31)^MIN(E$6,$B$11))/($A31*MIN(E$6,$B$11)))^2)</f>
        <v/>
      </c>
      <c r="R31" s="27">
        <f>IF(OR(B$7="",B$8=0),0,B$8*(B$7-R$16*(1-$A31)*(1-(1-$A31)^MIN(B$6,$B$11))/($A31*MIN(B$6,$B$11)))^2)+IF(OR(C$7="",C$8=0),0,C$8*(C$7-R$16*(1-$A31)*(1-(1-$A31)^MIN(C$6,$B$11))/($A31*MIN(C$6,$B$11)))^2)+IF(OR(D$7="",D$8=0),0,D$8*(D$7-R$16*(1-$A31)*(1-(1-$A31)^MIN(D$6,$B$11))/($A31*MIN(D$6,$B$11)))^2)+IF(OR(E$7="",E$8=0),0,E$8*(E$7-R$16*(1-$A31)*(1-(1-$A31)^MIN(E$6,$B$11))/($A31*MIN(E$6,$B$11)))^2)</f>
        <v/>
      </c>
      <c r="S31" s="27">
        <f>IF(OR(B$7="",B$8=0),0,B$8*(B$7-S$16*(1-$A31)*(1-(1-$A31)^MIN(B$6,$B$11))/($A31*MIN(B$6,$B$11)))^2)+IF(OR(C$7="",C$8=0),0,C$8*(C$7-S$16*(1-$A31)*(1-(1-$A31)^MIN(C$6,$B$11))/($A31*MIN(C$6,$B$11)))^2)+IF(OR(D$7="",D$8=0),0,D$8*(D$7-S$16*(1-$A31)*(1-(1-$A31)^MIN(D$6,$B$11))/($A31*MIN(D$6,$B$11)))^2)+IF(OR(E$7="",E$8=0),0,E$8*(E$7-S$16*(1-$A31)*(1-(1-$A31)^MIN(E$6,$B$11))/($A31*MIN(E$6,$B$11)))^2)</f>
        <v/>
      </c>
      <c r="U31" s="27">
        <f>MIN(B31:S31)</f>
        <v/>
      </c>
      <c r="V31" s="17">
        <f>MATCH(U31,B31:S31,0)</f>
        <v/>
      </c>
    </row>
    <row r="32">
      <c r="A32" s="26" t="n">
        <v>0.0125</v>
      </c>
      <c r="B32" s="27">
        <f>IF(OR(B$7="",B$8=0),0,B$8*(B$7-B$16*(1-$A32)*(1-(1-$A32)^MIN(B$6,$B$11))/($A32*MIN(B$6,$B$11)))^2)+IF(OR(C$7="",C$8=0),0,C$8*(C$7-B$16*(1-$A32)*(1-(1-$A32)^MIN(C$6,$B$11))/($A32*MIN(C$6,$B$11)))^2)+IF(OR(D$7="",D$8=0),0,D$8*(D$7-B$16*(1-$A32)*(1-(1-$A32)^MIN(D$6,$B$11))/($A32*MIN(D$6,$B$11)))^2)+IF(OR(E$7="",E$8=0),0,E$8*(E$7-B$16*(1-$A32)*(1-(1-$A32)^MIN(E$6,$B$11))/($A32*MIN(E$6,$B$11)))^2)</f>
        <v/>
      </c>
      <c r="C32" s="27">
        <f>IF(OR(B$7="",B$8=0),0,B$8*(B$7-C$16*(1-$A32)*(1-(1-$A32)^MIN(B$6,$B$11))/($A32*MIN(B$6,$B$11)))^2)+IF(OR(C$7="",C$8=0),0,C$8*(C$7-C$16*(1-$A32)*(1-(1-$A32)^MIN(C$6,$B$11))/($A32*MIN(C$6,$B$11)))^2)+IF(OR(D$7="",D$8=0),0,D$8*(D$7-C$16*(1-$A32)*(1-(1-$A32)^MIN(D$6,$B$11))/($A32*MIN(D$6,$B$11)))^2)+IF(OR(E$7="",E$8=0),0,E$8*(E$7-C$16*(1-$A32)*(1-(1-$A32)^MIN(E$6,$B$11))/($A32*MIN(E$6,$B$11)))^2)</f>
        <v/>
      </c>
      <c r="D32" s="27">
        <f>IF(OR(B$7="",B$8=0),0,B$8*(B$7-D$16*(1-$A32)*(1-(1-$A32)^MIN(B$6,$B$11))/($A32*MIN(B$6,$B$11)))^2)+IF(OR(C$7="",C$8=0),0,C$8*(C$7-D$16*(1-$A32)*(1-(1-$A32)^MIN(C$6,$B$11))/($A32*MIN(C$6,$B$11)))^2)+IF(OR(D$7="",D$8=0),0,D$8*(D$7-D$16*(1-$A32)*(1-(1-$A32)^MIN(D$6,$B$11))/($A32*MIN(D$6,$B$11)))^2)+IF(OR(E$7="",E$8=0),0,E$8*(E$7-D$16*(1-$A32)*(1-(1-$A32)^MIN(E$6,$B$11))/($A32*MIN(E$6,$B$11)))^2)</f>
        <v/>
      </c>
      <c r="E32" s="27">
        <f>IF(OR(B$7="",B$8=0),0,B$8*(B$7-E$16*(1-$A32)*(1-(1-$A32)^MIN(B$6,$B$11))/($A32*MIN(B$6,$B$11)))^2)+IF(OR(C$7="",C$8=0),0,C$8*(C$7-E$16*(1-$A32)*(1-(1-$A32)^MIN(C$6,$B$11))/($A32*MIN(C$6,$B$11)))^2)+IF(OR(D$7="",D$8=0),0,D$8*(D$7-E$16*(1-$A32)*(1-(1-$A32)^MIN(D$6,$B$11))/($A32*MIN(D$6,$B$11)))^2)+IF(OR(E$7="",E$8=0),0,E$8*(E$7-E$16*(1-$A32)*(1-(1-$A32)^MIN(E$6,$B$11))/($A32*MIN(E$6,$B$11)))^2)</f>
        <v/>
      </c>
      <c r="F32" s="27">
        <f>IF(OR(B$7="",B$8=0),0,B$8*(B$7-F$16*(1-$A32)*(1-(1-$A32)^MIN(B$6,$B$11))/($A32*MIN(B$6,$B$11)))^2)+IF(OR(C$7="",C$8=0),0,C$8*(C$7-F$16*(1-$A32)*(1-(1-$A32)^MIN(C$6,$B$11))/($A32*MIN(C$6,$B$11)))^2)+IF(OR(D$7="",D$8=0),0,D$8*(D$7-F$16*(1-$A32)*(1-(1-$A32)^MIN(D$6,$B$11))/($A32*MIN(D$6,$B$11)))^2)+IF(OR(E$7="",E$8=0),0,E$8*(E$7-F$16*(1-$A32)*(1-(1-$A32)^MIN(E$6,$B$11))/($A32*MIN(E$6,$B$11)))^2)</f>
        <v/>
      </c>
      <c r="G32" s="27">
        <f>IF(OR(B$7="",B$8=0),0,B$8*(B$7-G$16*(1-$A32)*(1-(1-$A32)^MIN(B$6,$B$11))/($A32*MIN(B$6,$B$11)))^2)+IF(OR(C$7="",C$8=0),0,C$8*(C$7-G$16*(1-$A32)*(1-(1-$A32)^MIN(C$6,$B$11))/($A32*MIN(C$6,$B$11)))^2)+IF(OR(D$7="",D$8=0),0,D$8*(D$7-G$16*(1-$A32)*(1-(1-$A32)^MIN(D$6,$B$11))/($A32*MIN(D$6,$B$11)))^2)+IF(OR(E$7="",E$8=0),0,E$8*(E$7-G$16*(1-$A32)*(1-(1-$A32)^MIN(E$6,$B$11))/($A32*MIN(E$6,$B$11)))^2)</f>
        <v/>
      </c>
      <c r="H32" s="27">
        <f>IF(OR(B$7="",B$8=0),0,B$8*(B$7-H$16*(1-$A32)*(1-(1-$A32)^MIN(B$6,$B$11))/($A32*MIN(B$6,$B$11)))^2)+IF(OR(C$7="",C$8=0),0,C$8*(C$7-H$16*(1-$A32)*(1-(1-$A32)^MIN(C$6,$B$11))/($A32*MIN(C$6,$B$11)))^2)+IF(OR(D$7="",D$8=0),0,D$8*(D$7-H$16*(1-$A32)*(1-(1-$A32)^MIN(D$6,$B$11))/($A32*MIN(D$6,$B$11)))^2)+IF(OR(E$7="",E$8=0),0,E$8*(E$7-H$16*(1-$A32)*(1-(1-$A32)^MIN(E$6,$B$11))/($A32*MIN(E$6,$B$11)))^2)</f>
        <v/>
      </c>
      <c r="I32" s="27">
        <f>IF(OR(B$7="",B$8=0),0,B$8*(B$7-I$16*(1-$A32)*(1-(1-$A32)^MIN(B$6,$B$11))/($A32*MIN(B$6,$B$11)))^2)+IF(OR(C$7="",C$8=0),0,C$8*(C$7-I$16*(1-$A32)*(1-(1-$A32)^MIN(C$6,$B$11))/($A32*MIN(C$6,$B$11)))^2)+IF(OR(D$7="",D$8=0),0,D$8*(D$7-I$16*(1-$A32)*(1-(1-$A32)^MIN(D$6,$B$11))/($A32*MIN(D$6,$B$11)))^2)+IF(OR(E$7="",E$8=0),0,E$8*(E$7-I$16*(1-$A32)*(1-(1-$A32)^MIN(E$6,$B$11))/($A32*MIN(E$6,$B$11)))^2)</f>
        <v/>
      </c>
      <c r="J32" s="27">
        <f>IF(OR(B$7="",B$8=0),0,B$8*(B$7-J$16*(1-$A32)*(1-(1-$A32)^MIN(B$6,$B$11))/($A32*MIN(B$6,$B$11)))^2)+IF(OR(C$7="",C$8=0),0,C$8*(C$7-J$16*(1-$A32)*(1-(1-$A32)^MIN(C$6,$B$11))/($A32*MIN(C$6,$B$11)))^2)+IF(OR(D$7="",D$8=0),0,D$8*(D$7-J$16*(1-$A32)*(1-(1-$A32)^MIN(D$6,$B$11))/($A32*MIN(D$6,$B$11)))^2)+IF(OR(E$7="",E$8=0),0,E$8*(E$7-J$16*(1-$A32)*(1-(1-$A32)^MIN(E$6,$B$11))/($A32*MIN(E$6,$B$11)))^2)</f>
        <v/>
      </c>
      <c r="K32" s="27">
        <f>IF(OR(B$7="",B$8=0),0,B$8*(B$7-K$16*(1-$A32)*(1-(1-$A32)^MIN(B$6,$B$11))/($A32*MIN(B$6,$B$11)))^2)+IF(OR(C$7="",C$8=0),0,C$8*(C$7-K$16*(1-$A32)*(1-(1-$A32)^MIN(C$6,$B$11))/($A32*MIN(C$6,$B$11)))^2)+IF(OR(D$7="",D$8=0),0,D$8*(D$7-K$16*(1-$A32)*(1-(1-$A32)^MIN(D$6,$B$11))/($A32*MIN(D$6,$B$11)))^2)+IF(OR(E$7="",E$8=0),0,E$8*(E$7-K$16*(1-$A32)*(1-(1-$A32)^MIN(E$6,$B$11))/($A32*MIN(E$6,$B$11)))^2)</f>
        <v/>
      </c>
      <c r="L32" s="27">
        <f>IF(OR(B$7="",B$8=0),0,B$8*(B$7-L$16*(1-$A32)*(1-(1-$A32)^MIN(B$6,$B$11))/($A32*MIN(B$6,$B$11)))^2)+IF(OR(C$7="",C$8=0),0,C$8*(C$7-L$16*(1-$A32)*(1-(1-$A32)^MIN(C$6,$B$11))/($A32*MIN(C$6,$B$11)))^2)+IF(OR(D$7="",D$8=0),0,D$8*(D$7-L$16*(1-$A32)*(1-(1-$A32)^MIN(D$6,$B$11))/($A32*MIN(D$6,$B$11)))^2)+IF(OR(E$7="",E$8=0),0,E$8*(E$7-L$16*(1-$A32)*(1-(1-$A32)^MIN(E$6,$B$11))/($A32*MIN(E$6,$B$11)))^2)</f>
        <v/>
      </c>
      <c r="M32" s="27">
        <f>IF(OR(B$7="",B$8=0),0,B$8*(B$7-M$16*(1-$A32)*(1-(1-$A32)^MIN(B$6,$B$11))/($A32*MIN(B$6,$B$11)))^2)+IF(OR(C$7="",C$8=0),0,C$8*(C$7-M$16*(1-$A32)*(1-(1-$A32)^MIN(C$6,$B$11))/($A32*MIN(C$6,$B$11)))^2)+IF(OR(D$7="",D$8=0),0,D$8*(D$7-M$16*(1-$A32)*(1-(1-$A32)^MIN(D$6,$B$11))/($A32*MIN(D$6,$B$11)))^2)+IF(OR(E$7="",E$8=0),0,E$8*(E$7-M$16*(1-$A32)*(1-(1-$A32)^MIN(E$6,$B$11))/($A32*MIN(E$6,$B$11)))^2)</f>
        <v/>
      </c>
      <c r="N32" s="27">
        <f>IF(OR(B$7="",B$8=0),0,B$8*(B$7-N$16*(1-$A32)*(1-(1-$A32)^MIN(B$6,$B$11))/($A32*MIN(B$6,$B$11)))^2)+IF(OR(C$7="",C$8=0),0,C$8*(C$7-N$16*(1-$A32)*(1-(1-$A32)^MIN(C$6,$B$11))/($A32*MIN(C$6,$B$11)))^2)+IF(OR(D$7="",D$8=0),0,D$8*(D$7-N$16*(1-$A32)*(1-(1-$A32)^MIN(D$6,$B$11))/($A32*MIN(D$6,$B$11)))^2)+IF(OR(E$7="",E$8=0),0,E$8*(E$7-N$16*(1-$A32)*(1-(1-$A32)^MIN(E$6,$B$11))/($A32*MIN(E$6,$B$11)))^2)</f>
        <v/>
      </c>
      <c r="O32" s="27">
        <f>IF(OR(B$7="",B$8=0),0,B$8*(B$7-O$16*(1-$A32)*(1-(1-$A32)^MIN(B$6,$B$11))/($A32*MIN(B$6,$B$11)))^2)+IF(OR(C$7="",C$8=0),0,C$8*(C$7-O$16*(1-$A32)*(1-(1-$A32)^MIN(C$6,$B$11))/($A32*MIN(C$6,$B$11)))^2)+IF(OR(D$7="",D$8=0),0,D$8*(D$7-O$16*(1-$A32)*(1-(1-$A32)^MIN(D$6,$B$11))/($A32*MIN(D$6,$B$11)))^2)+IF(OR(E$7="",E$8=0),0,E$8*(E$7-O$16*(1-$A32)*(1-(1-$A32)^MIN(E$6,$B$11))/($A32*MIN(E$6,$B$11)))^2)</f>
        <v/>
      </c>
      <c r="P32" s="27">
        <f>IF(OR(B$7="",B$8=0),0,B$8*(B$7-P$16*(1-$A32)*(1-(1-$A32)^MIN(B$6,$B$11))/($A32*MIN(B$6,$B$11)))^2)+IF(OR(C$7="",C$8=0),0,C$8*(C$7-P$16*(1-$A32)*(1-(1-$A32)^MIN(C$6,$B$11))/($A32*MIN(C$6,$B$11)))^2)+IF(OR(D$7="",D$8=0),0,D$8*(D$7-P$16*(1-$A32)*(1-(1-$A32)^MIN(D$6,$B$11))/($A32*MIN(D$6,$B$11)))^2)+IF(OR(E$7="",E$8=0),0,E$8*(E$7-P$16*(1-$A32)*(1-(1-$A32)^MIN(E$6,$B$11))/($A32*MIN(E$6,$B$11)))^2)</f>
        <v/>
      </c>
      <c r="Q32" s="27">
        <f>IF(OR(B$7="",B$8=0),0,B$8*(B$7-Q$16*(1-$A32)*(1-(1-$A32)^MIN(B$6,$B$11))/($A32*MIN(B$6,$B$11)))^2)+IF(OR(C$7="",C$8=0),0,C$8*(C$7-Q$16*(1-$A32)*(1-(1-$A32)^MIN(C$6,$B$11))/($A32*MIN(C$6,$B$11)))^2)+IF(OR(D$7="",D$8=0),0,D$8*(D$7-Q$16*(1-$A32)*(1-(1-$A32)^MIN(D$6,$B$11))/($A32*MIN(D$6,$B$11)))^2)+IF(OR(E$7="",E$8=0),0,E$8*(E$7-Q$16*(1-$A32)*(1-(1-$A32)^MIN(E$6,$B$11))/($A32*MIN(E$6,$B$11)))^2)</f>
        <v/>
      </c>
      <c r="R32" s="27">
        <f>IF(OR(B$7="",B$8=0),0,B$8*(B$7-R$16*(1-$A32)*(1-(1-$A32)^MIN(B$6,$B$11))/($A32*MIN(B$6,$B$11)))^2)+IF(OR(C$7="",C$8=0),0,C$8*(C$7-R$16*(1-$A32)*(1-(1-$A32)^MIN(C$6,$B$11))/($A32*MIN(C$6,$B$11)))^2)+IF(OR(D$7="",D$8=0),0,D$8*(D$7-R$16*(1-$A32)*(1-(1-$A32)^MIN(D$6,$B$11))/($A32*MIN(D$6,$B$11)))^2)+IF(OR(E$7="",E$8=0),0,E$8*(E$7-R$16*(1-$A32)*(1-(1-$A32)^MIN(E$6,$B$11))/($A32*MIN(E$6,$B$11)))^2)</f>
        <v/>
      </c>
      <c r="S32" s="27">
        <f>IF(OR(B$7="",B$8=0),0,B$8*(B$7-S$16*(1-$A32)*(1-(1-$A32)^MIN(B$6,$B$11))/($A32*MIN(B$6,$B$11)))^2)+IF(OR(C$7="",C$8=0),0,C$8*(C$7-S$16*(1-$A32)*(1-(1-$A32)^MIN(C$6,$B$11))/($A32*MIN(C$6,$B$11)))^2)+IF(OR(D$7="",D$8=0),0,D$8*(D$7-S$16*(1-$A32)*(1-(1-$A32)^MIN(D$6,$B$11))/($A32*MIN(D$6,$B$11)))^2)+IF(OR(E$7="",E$8=0),0,E$8*(E$7-S$16*(1-$A32)*(1-(1-$A32)^MIN(E$6,$B$11))/($A32*MIN(E$6,$B$11)))^2)</f>
        <v/>
      </c>
      <c r="U32" s="27">
        <f>MIN(B32:S32)</f>
        <v/>
      </c>
      <c r="V32" s="17">
        <f>MATCH(U32,B32:S32,0)</f>
        <v/>
      </c>
    </row>
    <row r="33">
      <c r="A33" s="26" t="n">
        <v>0.013</v>
      </c>
      <c r="B33" s="27">
        <f>IF(OR(B$7="",B$8=0),0,B$8*(B$7-B$16*(1-$A33)*(1-(1-$A33)^MIN(B$6,$B$11))/($A33*MIN(B$6,$B$11)))^2)+IF(OR(C$7="",C$8=0),0,C$8*(C$7-B$16*(1-$A33)*(1-(1-$A33)^MIN(C$6,$B$11))/($A33*MIN(C$6,$B$11)))^2)+IF(OR(D$7="",D$8=0),0,D$8*(D$7-B$16*(1-$A33)*(1-(1-$A33)^MIN(D$6,$B$11))/($A33*MIN(D$6,$B$11)))^2)+IF(OR(E$7="",E$8=0),0,E$8*(E$7-B$16*(1-$A33)*(1-(1-$A33)^MIN(E$6,$B$11))/($A33*MIN(E$6,$B$11)))^2)</f>
        <v/>
      </c>
      <c r="C33" s="27">
        <f>IF(OR(B$7="",B$8=0),0,B$8*(B$7-C$16*(1-$A33)*(1-(1-$A33)^MIN(B$6,$B$11))/($A33*MIN(B$6,$B$11)))^2)+IF(OR(C$7="",C$8=0),0,C$8*(C$7-C$16*(1-$A33)*(1-(1-$A33)^MIN(C$6,$B$11))/($A33*MIN(C$6,$B$11)))^2)+IF(OR(D$7="",D$8=0),0,D$8*(D$7-C$16*(1-$A33)*(1-(1-$A33)^MIN(D$6,$B$11))/($A33*MIN(D$6,$B$11)))^2)+IF(OR(E$7="",E$8=0),0,E$8*(E$7-C$16*(1-$A33)*(1-(1-$A33)^MIN(E$6,$B$11))/($A33*MIN(E$6,$B$11)))^2)</f>
        <v/>
      </c>
      <c r="D33" s="27">
        <f>IF(OR(B$7="",B$8=0),0,B$8*(B$7-D$16*(1-$A33)*(1-(1-$A33)^MIN(B$6,$B$11))/($A33*MIN(B$6,$B$11)))^2)+IF(OR(C$7="",C$8=0),0,C$8*(C$7-D$16*(1-$A33)*(1-(1-$A33)^MIN(C$6,$B$11))/($A33*MIN(C$6,$B$11)))^2)+IF(OR(D$7="",D$8=0),0,D$8*(D$7-D$16*(1-$A33)*(1-(1-$A33)^MIN(D$6,$B$11))/($A33*MIN(D$6,$B$11)))^2)+IF(OR(E$7="",E$8=0),0,E$8*(E$7-D$16*(1-$A33)*(1-(1-$A33)^MIN(E$6,$B$11))/($A33*MIN(E$6,$B$11)))^2)</f>
        <v/>
      </c>
      <c r="E33" s="27">
        <f>IF(OR(B$7="",B$8=0),0,B$8*(B$7-E$16*(1-$A33)*(1-(1-$A33)^MIN(B$6,$B$11))/($A33*MIN(B$6,$B$11)))^2)+IF(OR(C$7="",C$8=0),0,C$8*(C$7-E$16*(1-$A33)*(1-(1-$A33)^MIN(C$6,$B$11))/($A33*MIN(C$6,$B$11)))^2)+IF(OR(D$7="",D$8=0),0,D$8*(D$7-E$16*(1-$A33)*(1-(1-$A33)^MIN(D$6,$B$11))/($A33*MIN(D$6,$B$11)))^2)+IF(OR(E$7="",E$8=0),0,E$8*(E$7-E$16*(1-$A33)*(1-(1-$A33)^MIN(E$6,$B$11))/($A33*MIN(E$6,$B$11)))^2)</f>
        <v/>
      </c>
      <c r="F33" s="27">
        <f>IF(OR(B$7="",B$8=0),0,B$8*(B$7-F$16*(1-$A33)*(1-(1-$A33)^MIN(B$6,$B$11))/($A33*MIN(B$6,$B$11)))^2)+IF(OR(C$7="",C$8=0),0,C$8*(C$7-F$16*(1-$A33)*(1-(1-$A33)^MIN(C$6,$B$11))/($A33*MIN(C$6,$B$11)))^2)+IF(OR(D$7="",D$8=0),0,D$8*(D$7-F$16*(1-$A33)*(1-(1-$A33)^MIN(D$6,$B$11))/($A33*MIN(D$6,$B$11)))^2)+IF(OR(E$7="",E$8=0),0,E$8*(E$7-F$16*(1-$A33)*(1-(1-$A33)^MIN(E$6,$B$11))/($A33*MIN(E$6,$B$11)))^2)</f>
        <v/>
      </c>
      <c r="G33" s="27">
        <f>IF(OR(B$7="",B$8=0),0,B$8*(B$7-G$16*(1-$A33)*(1-(1-$A33)^MIN(B$6,$B$11))/($A33*MIN(B$6,$B$11)))^2)+IF(OR(C$7="",C$8=0),0,C$8*(C$7-G$16*(1-$A33)*(1-(1-$A33)^MIN(C$6,$B$11))/($A33*MIN(C$6,$B$11)))^2)+IF(OR(D$7="",D$8=0),0,D$8*(D$7-G$16*(1-$A33)*(1-(1-$A33)^MIN(D$6,$B$11))/($A33*MIN(D$6,$B$11)))^2)+IF(OR(E$7="",E$8=0),0,E$8*(E$7-G$16*(1-$A33)*(1-(1-$A33)^MIN(E$6,$B$11))/($A33*MIN(E$6,$B$11)))^2)</f>
        <v/>
      </c>
      <c r="H33" s="27">
        <f>IF(OR(B$7="",B$8=0),0,B$8*(B$7-H$16*(1-$A33)*(1-(1-$A33)^MIN(B$6,$B$11))/($A33*MIN(B$6,$B$11)))^2)+IF(OR(C$7="",C$8=0),0,C$8*(C$7-H$16*(1-$A33)*(1-(1-$A33)^MIN(C$6,$B$11))/($A33*MIN(C$6,$B$11)))^2)+IF(OR(D$7="",D$8=0),0,D$8*(D$7-H$16*(1-$A33)*(1-(1-$A33)^MIN(D$6,$B$11))/($A33*MIN(D$6,$B$11)))^2)+IF(OR(E$7="",E$8=0),0,E$8*(E$7-H$16*(1-$A33)*(1-(1-$A33)^MIN(E$6,$B$11))/($A33*MIN(E$6,$B$11)))^2)</f>
        <v/>
      </c>
      <c r="I33" s="27">
        <f>IF(OR(B$7="",B$8=0),0,B$8*(B$7-I$16*(1-$A33)*(1-(1-$A33)^MIN(B$6,$B$11))/($A33*MIN(B$6,$B$11)))^2)+IF(OR(C$7="",C$8=0),0,C$8*(C$7-I$16*(1-$A33)*(1-(1-$A33)^MIN(C$6,$B$11))/($A33*MIN(C$6,$B$11)))^2)+IF(OR(D$7="",D$8=0),0,D$8*(D$7-I$16*(1-$A33)*(1-(1-$A33)^MIN(D$6,$B$11))/($A33*MIN(D$6,$B$11)))^2)+IF(OR(E$7="",E$8=0),0,E$8*(E$7-I$16*(1-$A33)*(1-(1-$A33)^MIN(E$6,$B$11))/($A33*MIN(E$6,$B$11)))^2)</f>
        <v/>
      </c>
      <c r="J33" s="27">
        <f>IF(OR(B$7="",B$8=0),0,B$8*(B$7-J$16*(1-$A33)*(1-(1-$A33)^MIN(B$6,$B$11))/($A33*MIN(B$6,$B$11)))^2)+IF(OR(C$7="",C$8=0),0,C$8*(C$7-J$16*(1-$A33)*(1-(1-$A33)^MIN(C$6,$B$11))/($A33*MIN(C$6,$B$11)))^2)+IF(OR(D$7="",D$8=0),0,D$8*(D$7-J$16*(1-$A33)*(1-(1-$A33)^MIN(D$6,$B$11))/($A33*MIN(D$6,$B$11)))^2)+IF(OR(E$7="",E$8=0),0,E$8*(E$7-J$16*(1-$A33)*(1-(1-$A33)^MIN(E$6,$B$11))/($A33*MIN(E$6,$B$11)))^2)</f>
        <v/>
      </c>
      <c r="K33" s="27">
        <f>IF(OR(B$7="",B$8=0),0,B$8*(B$7-K$16*(1-$A33)*(1-(1-$A33)^MIN(B$6,$B$11))/($A33*MIN(B$6,$B$11)))^2)+IF(OR(C$7="",C$8=0),0,C$8*(C$7-K$16*(1-$A33)*(1-(1-$A33)^MIN(C$6,$B$11))/($A33*MIN(C$6,$B$11)))^2)+IF(OR(D$7="",D$8=0),0,D$8*(D$7-K$16*(1-$A33)*(1-(1-$A33)^MIN(D$6,$B$11))/($A33*MIN(D$6,$B$11)))^2)+IF(OR(E$7="",E$8=0),0,E$8*(E$7-K$16*(1-$A33)*(1-(1-$A33)^MIN(E$6,$B$11))/($A33*MIN(E$6,$B$11)))^2)</f>
        <v/>
      </c>
      <c r="L33" s="27">
        <f>IF(OR(B$7="",B$8=0),0,B$8*(B$7-L$16*(1-$A33)*(1-(1-$A33)^MIN(B$6,$B$11))/($A33*MIN(B$6,$B$11)))^2)+IF(OR(C$7="",C$8=0),0,C$8*(C$7-L$16*(1-$A33)*(1-(1-$A33)^MIN(C$6,$B$11))/($A33*MIN(C$6,$B$11)))^2)+IF(OR(D$7="",D$8=0),0,D$8*(D$7-L$16*(1-$A33)*(1-(1-$A33)^MIN(D$6,$B$11))/($A33*MIN(D$6,$B$11)))^2)+IF(OR(E$7="",E$8=0),0,E$8*(E$7-L$16*(1-$A33)*(1-(1-$A33)^MIN(E$6,$B$11))/($A33*MIN(E$6,$B$11)))^2)</f>
        <v/>
      </c>
      <c r="M33" s="27">
        <f>IF(OR(B$7="",B$8=0),0,B$8*(B$7-M$16*(1-$A33)*(1-(1-$A33)^MIN(B$6,$B$11))/($A33*MIN(B$6,$B$11)))^2)+IF(OR(C$7="",C$8=0),0,C$8*(C$7-M$16*(1-$A33)*(1-(1-$A33)^MIN(C$6,$B$11))/($A33*MIN(C$6,$B$11)))^2)+IF(OR(D$7="",D$8=0),0,D$8*(D$7-M$16*(1-$A33)*(1-(1-$A33)^MIN(D$6,$B$11))/($A33*MIN(D$6,$B$11)))^2)+IF(OR(E$7="",E$8=0),0,E$8*(E$7-M$16*(1-$A33)*(1-(1-$A33)^MIN(E$6,$B$11))/($A33*MIN(E$6,$B$11)))^2)</f>
        <v/>
      </c>
      <c r="N33" s="27">
        <f>IF(OR(B$7="",B$8=0),0,B$8*(B$7-N$16*(1-$A33)*(1-(1-$A33)^MIN(B$6,$B$11))/($A33*MIN(B$6,$B$11)))^2)+IF(OR(C$7="",C$8=0),0,C$8*(C$7-N$16*(1-$A33)*(1-(1-$A33)^MIN(C$6,$B$11))/($A33*MIN(C$6,$B$11)))^2)+IF(OR(D$7="",D$8=0),0,D$8*(D$7-N$16*(1-$A33)*(1-(1-$A33)^MIN(D$6,$B$11))/($A33*MIN(D$6,$B$11)))^2)+IF(OR(E$7="",E$8=0),0,E$8*(E$7-N$16*(1-$A33)*(1-(1-$A33)^MIN(E$6,$B$11))/($A33*MIN(E$6,$B$11)))^2)</f>
        <v/>
      </c>
      <c r="O33" s="27">
        <f>IF(OR(B$7="",B$8=0),0,B$8*(B$7-O$16*(1-$A33)*(1-(1-$A33)^MIN(B$6,$B$11))/($A33*MIN(B$6,$B$11)))^2)+IF(OR(C$7="",C$8=0),0,C$8*(C$7-O$16*(1-$A33)*(1-(1-$A33)^MIN(C$6,$B$11))/($A33*MIN(C$6,$B$11)))^2)+IF(OR(D$7="",D$8=0),0,D$8*(D$7-O$16*(1-$A33)*(1-(1-$A33)^MIN(D$6,$B$11))/($A33*MIN(D$6,$B$11)))^2)+IF(OR(E$7="",E$8=0),0,E$8*(E$7-O$16*(1-$A33)*(1-(1-$A33)^MIN(E$6,$B$11))/($A33*MIN(E$6,$B$11)))^2)</f>
        <v/>
      </c>
      <c r="P33" s="27">
        <f>IF(OR(B$7="",B$8=0),0,B$8*(B$7-P$16*(1-$A33)*(1-(1-$A33)^MIN(B$6,$B$11))/($A33*MIN(B$6,$B$11)))^2)+IF(OR(C$7="",C$8=0),0,C$8*(C$7-P$16*(1-$A33)*(1-(1-$A33)^MIN(C$6,$B$11))/($A33*MIN(C$6,$B$11)))^2)+IF(OR(D$7="",D$8=0),0,D$8*(D$7-P$16*(1-$A33)*(1-(1-$A33)^MIN(D$6,$B$11))/($A33*MIN(D$6,$B$11)))^2)+IF(OR(E$7="",E$8=0),0,E$8*(E$7-P$16*(1-$A33)*(1-(1-$A33)^MIN(E$6,$B$11))/($A33*MIN(E$6,$B$11)))^2)</f>
        <v/>
      </c>
      <c r="Q33" s="27">
        <f>IF(OR(B$7="",B$8=0),0,B$8*(B$7-Q$16*(1-$A33)*(1-(1-$A33)^MIN(B$6,$B$11))/($A33*MIN(B$6,$B$11)))^2)+IF(OR(C$7="",C$8=0),0,C$8*(C$7-Q$16*(1-$A33)*(1-(1-$A33)^MIN(C$6,$B$11))/($A33*MIN(C$6,$B$11)))^2)+IF(OR(D$7="",D$8=0),0,D$8*(D$7-Q$16*(1-$A33)*(1-(1-$A33)^MIN(D$6,$B$11))/($A33*MIN(D$6,$B$11)))^2)+IF(OR(E$7="",E$8=0),0,E$8*(E$7-Q$16*(1-$A33)*(1-(1-$A33)^MIN(E$6,$B$11))/($A33*MIN(E$6,$B$11)))^2)</f>
        <v/>
      </c>
      <c r="R33" s="27">
        <f>IF(OR(B$7="",B$8=0),0,B$8*(B$7-R$16*(1-$A33)*(1-(1-$A33)^MIN(B$6,$B$11))/($A33*MIN(B$6,$B$11)))^2)+IF(OR(C$7="",C$8=0),0,C$8*(C$7-R$16*(1-$A33)*(1-(1-$A33)^MIN(C$6,$B$11))/($A33*MIN(C$6,$B$11)))^2)+IF(OR(D$7="",D$8=0),0,D$8*(D$7-R$16*(1-$A33)*(1-(1-$A33)^MIN(D$6,$B$11))/($A33*MIN(D$6,$B$11)))^2)+IF(OR(E$7="",E$8=0),0,E$8*(E$7-R$16*(1-$A33)*(1-(1-$A33)^MIN(E$6,$B$11))/($A33*MIN(E$6,$B$11)))^2)</f>
        <v/>
      </c>
      <c r="S33" s="27">
        <f>IF(OR(B$7="",B$8=0),0,B$8*(B$7-S$16*(1-$A33)*(1-(1-$A33)^MIN(B$6,$B$11))/($A33*MIN(B$6,$B$11)))^2)+IF(OR(C$7="",C$8=0),0,C$8*(C$7-S$16*(1-$A33)*(1-(1-$A33)^MIN(C$6,$B$11))/($A33*MIN(C$6,$B$11)))^2)+IF(OR(D$7="",D$8=0),0,D$8*(D$7-S$16*(1-$A33)*(1-(1-$A33)^MIN(D$6,$B$11))/($A33*MIN(D$6,$B$11)))^2)+IF(OR(E$7="",E$8=0),0,E$8*(E$7-S$16*(1-$A33)*(1-(1-$A33)^MIN(E$6,$B$11))/($A33*MIN(E$6,$B$11)))^2)</f>
        <v/>
      </c>
      <c r="U33" s="27">
        <f>MIN(B33:S33)</f>
        <v/>
      </c>
      <c r="V33" s="17">
        <f>MATCH(U33,B33:S33,0)</f>
        <v/>
      </c>
    </row>
    <row r="34">
      <c r="A34" s="26" t="n">
        <v>0.0135</v>
      </c>
      <c r="B34" s="27">
        <f>IF(OR(B$7="",B$8=0),0,B$8*(B$7-B$16*(1-$A34)*(1-(1-$A34)^MIN(B$6,$B$11))/($A34*MIN(B$6,$B$11)))^2)+IF(OR(C$7="",C$8=0),0,C$8*(C$7-B$16*(1-$A34)*(1-(1-$A34)^MIN(C$6,$B$11))/($A34*MIN(C$6,$B$11)))^2)+IF(OR(D$7="",D$8=0),0,D$8*(D$7-B$16*(1-$A34)*(1-(1-$A34)^MIN(D$6,$B$11))/($A34*MIN(D$6,$B$11)))^2)+IF(OR(E$7="",E$8=0),0,E$8*(E$7-B$16*(1-$A34)*(1-(1-$A34)^MIN(E$6,$B$11))/($A34*MIN(E$6,$B$11)))^2)</f>
        <v/>
      </c>
      <c r="C34" s="27">
        <f>IF(OR(B$7="",B$8=0),0,B$8*(B$7-C$16*(1-$A34)*(1-(1-$A34)^MIN(B$6,$B$11))/($A34*MIN(B$6,$B$11)))^2)+IF(OR(C$7="",C$8=0),0,C$8*(C$7-C$16*(1-$A34)*(1-(1-$A34)^MIN(C$6,$B$11))/($A34*MIN(C$6,$B$11)))^2)+IF(OR(D$7="",D$8=0),0,D$8*(D$7-C$16*(1-$A34)*(1-(1-$A34)^MIN(D$6,$B$11))/($A34*MIN(D$6,$B$11)))^2)+IF(OR(E$7="",E$8=0),0,E$8*(E$7-C$16*(1-$A34)*(1-(1-$A34)^MIN(E$6,$B$11))/($A34*MIN(E$6,$B$11)))^2)</f>
        <v/>
      </c>
      <c r="D34" s="27">
        <f>IF(OR(B$7="",B$8=0),0,B$8*(B$7-D$16*(1-$A34)*(1-(1-$A34)^MIN(B$6,$B$11))/($A34*MIN(B$6,$B$11)))^2)+IF(OR(C$7="",C$8=0),0,C$8*(C$7-D$16*(1-$A34)*(1-(1-$A34)^MIN(C$6,$B$11))/($A34*MIN(C$6,$B$11)))^2)+IF(OR(D$7="",D$8=0),0,D$8*(D$7-D$16*(1-$A34)*(1-(1-$A34)^MIN(D$6,$B$11))/($A34*MIN(D$6,$B$11)))^2)+IF(OR(E$7="",E$8=0),0,E$8*(E$7-D$16*(1-$A34)*(1-(1-$A34)^MIN(E$6,$B$11))/($A34*MIN(E$6,$B$11)))^2)</f>
        <v/>
      </c>
      <c r="E34" s="27">
        <f>IF(OR(B$7="",B$8=0),0,B$8*(B$7-E$16*(1-$A34)*(1-(1-$A34)^MIN(B$6,$B$11))/($A34*MIN(B$6,$B$11)))^2)+IF(OR(C$7="",C$8=0),0,C$8*(C$7-E$16*(1-$A34)*(1-(1-$A34)^MIN(C$6,$B$11))/($A34*MIN(C$6,$B$11)))^2)+IF(OR(D$7="",D$8=0),0,D$8*(D$7-E$16*(1-$A34)*(1-(1-$A34)^MIN(D$6,$B$11))/($A34*MIN(D$6,$B$11)))^2)+IF(OR(E$7="",E$8=0),0,E$8*(E$7-E$16*(1-$A34)*(1-(1-$A34)^MIN(E$6,$B$11))/($A34*MIN(E$6,$B$11)))^2)</f>
        <v/>
      </c>
      <c r="F34" s="27">
        <f>IF(OR(B$7="",B$8=0),0,B$8*(B$7-F$16*(1-$A34)*(1-(1-$A34)^MIN(B$6,$B$11))/($A34*MIN(B$6,$B$11)))^2)+IF(OR(C$7="",C$8=0),0,C$8*(C$7-F$16*(1-$A34)*(1-(1-$A34)^MIN(C$6,$B$11))/($A34*MIN(C$6,$B$11)))^2)+IF(OR(D$7="",D$8=0),0,D$8*(D$7-F$16*(1-$A34)*(1-(1-$A34)^MIN(D$6,$B$11))/($A34*MIN(D$6,$B$11)))^2)+IF(OR(E$7="",E$8=0),0,E$8*(E$7-F$16*(1-$A34)*(1-(1-$A34)^MIN(E$6,$B$11))/($A34*MIN(E$6,$B$11)))^2)</f>
        <v/>
      </c>
      <c r="G34" s="27">
        <f>IF(OR(B$7="",B$8=0),0,B$8*(B$7-G$16*(1-$A34)*(1-(1-$A34)^MIN(B$6,$B$11))/($A34*MIN(B$6,$B$11)))^2)+IF(OR(C$7="",C$8=0),0,C$8*(C$7-G$16*(1-$A34)*(1-(1-$A34)^MIN(C$6,$B$11))/($A34*MIN(C$6,$B$11)))^2)+IF(OR(D$7="",D$8=0),0,D$8*(D$7-G$16*(1-$A34)*(1-(1-$A34)^MIN(D$6,$B$11))/($A34*MIN(D$6,$B$11)))^2)+IF(OR(E$7="",E$8=0),0,E$8*(E$7-G$16*(1-$A34)*(1-(1-$A34)^MIN(E$6,$B$11))/($A34*MIN(E$6,$B$11)))^2)</f>
        <v/>
      </c>
      <c r="H34" s="27">
        <f>IF(OR(B$7="",B$8=0),0,B$8*(B$7-H$16*(1-$A34)*(1-(1-$A34)^MIN(B$6,$B$11))/($A34*MIN(B$6,$B$11)))^2)+IF(OR(C$7="",C$8=0),0,C$8*(C$7-H$16*(1-$A34)*(1-(1-$A34)^MIN(C$6,$B$11))/($A34*MIN(C$6,$B$11)))^2)+IF(OR(D$7="",D$8=0),0,D$8*(D$7-H$16*(1-$A34)*(1-(1-$A34)^MIN(D$6,$B$11))/($A34*MIN(D$6,$B$11)))^2)+IF(OR(E$7="",E$8=0),0,E$8*(E$7-H$16*(1-$A34)*(1-(1-$A34)^MIN(E$6,$B$11))/($A34*MIN(E$6,$B$11)))^2)</f>
        <v/>
      </c>
      <c r="I34" s="27">
        <f>IF(OR(B$7="",B$8=0),0,B$8*(B$7-I$16*(1-$A34)*(1-(1-$A34)^MIN(B$6,$B$11))/($A34*MIN(B$6,$B$11)))^2)+IF(OR(C$7="",C$8=0),0,C$8*(C$7-I$16*(1-$A34)*(1-(1-$A34)^MIN(C$6,$B$11))/($A34*MIN(C$6,$B$11)))^2)+IF(OR(D$7="",D$8=0),0,D$8*(D$7-I$16*(1-$A34)*(1-(1-$A34)^MIN(D$6,$B$11))/($A34*MIN(D$6,$B$11)))^2)+IF(OR(E$7="",E$8=0),0,E$8*(E$7-I$16*(1-$A34)*(1-(1-$A34)^MIN(E$6,$B$11))/($A34*MIN(E$6,$B$11)))^2)</f>
        <v/>
      </c>
      <c r="J34" s="27">
        <f>IF(OR(B$7="",B$8=0),0,B$8*(B$7-J$16*(1-$A34)*(1-(1-$A34)^MIN(B$6,$B$11))/($A34*MIN(B$6,$B$11)))^2)+IF(OR(C$7="",C$8=0),0,C$8*(C$7-J$16*(1-$A34)*(1-(1-$A34)^MIN(C$6,$B$11))/($A34*MIN(C$6,$B$11)))^2)+IF(OR(D$7="",D$8=0),0,D$8*(D$7-J$16*(1-$A34)*(1-(1-$A34)^MIN(D$6,$B$11))/($A34*MIN(D$6,$B$11)))^2)+IF(OR(E$7="",E$8=0),0,E$8*(E$7-J$16*(1-$A34)*(1-(1-$A34)^MIN(E$6,$B$11))/($A34*MIN(E$6,$B$11)))^2)</f>
        <v/>
      </c>
      <c r="K34" s="27">
        <f>IF(OR(B$7="",B$8=0),0,B$8*(B$7-K$16*(1-$A34)*(1-(1-$A34)^MIN(B$6,$B$11))/($A34*MIN(B$6,$B$11)))^2)+IF(OR(C$7="",C$8=0),0,C$8*(C$7-K$16*(1-$A34)*(1-(1-$A34)^MIN(C$6,$B$11))/($A34*MIN(C$6,$B$11)))^2)+IF(OR(D$7="",D$8=0),0,D$8*(D$7-K$16*(1-$A34)*(1-(1-$A34)^MIN(D$6,$B$11))/($A34*MIN(D$6,$B$11)))^2)+IF(OR(E$7="",E$8=0),0,E$8*(E$7-K$16*(1-$A34)*(1-(1-$A34)^MIN(E$6,$B$11))/($A34*MIN(E$6,$B$11)))^2)</f>
        <v/>
      </c>
      <c r="L34" s="27">
        <f>IF(OR(B$7="",B$8=0),0,B$8*(B$7-L$16*(1-$A34)*(1-(1-$A34)^MIN(B$6,$B$11))/($A34*MIN(B$6,$B$11)))^2)+IF(OR(C$7="",C$8=0),0,C$8*(C$7-L$16*(1-$A34)*(1-(1-$A34)^MIN(C$6,$B$11))/($A34*MIN(C$6,$B$11)))^2)+IF(OR(D$7="",D$8=0),0,D$8*(D$7-L$16*(1-$A34)*(1-(1-$A34)^MIN(D$6,$B$11))/($A34*MIN(D$6,$B$11)))^2)+IF(OR(E$7="",E$8=0),0,E$8*(E$7-L$16*(1-$A34)*(1-(1-$A34)^MIN(E$6,$B$11))/($A34*MIN(E$6,$B$11)))^2)</f>
        <v/>
      </c>
      <c r="M34" s="27">
        <f>IF(OR(B$7="",B$8=0),0,B$8*(B$7-M$16*(1-$A34)*(1-(1-$A34)^MIN(B$6,$B$11))/($A34*MIN(B$6,$B$11)))^2)+IF(OR(C$7="",C$8=0),0,C$8*(C$7-M$16*(1-$A34)*(1-(1-$A34)^MIN(C$6,$B$11))/($A34*MIN(C$6,$B$11)))^2)+IF(OR(D$7="",D$8=0),0,D$8*(D$7-M$16*(1-$A34)*(1-(1-$A34)^MIN(D$6,$B$11))/($A34*MIN(D$6,$B$11)))^2)+IF(OR(E$7="",E$8=0),0,E$8*(E$7-M$16*(1-$A34)*(1-(1-$A34)^MIN(E$6,$B$11))/($A34*MIN(E$6,$B$11)))^2)</f>
        <v/>
      </c>
      <c r="N34" s="27">
        <f>IF(OR(B$7="",B$8=0),0,B$8*(B$7-N$16*(1-$A34)*(1-(1-$A34)^MIN(B$6,$B$11))/($A34*MIN(B$6,$B$11)))^2)+IF(OR(C$7="",C$8=0),0,C$8*(C$7-N$16*(1-$A34)*(1-(1-$A34)^MIN(C$6,$B$11))/($A34*MIN(C$6,$B$11)))^2)+IF(OR(D$7="",D$8=0),0,D$8*(D$7-N$16*(1-$A34)*(1-(1-$A34)^MIN(D$6,$B$11))/($A34*MIN(D$6,$B$11)))^2)+IF(OR(E$7="",E$8=0),0,E$8*(E$7-N$16*(1-$A34)*(1-(1-$A34)^MIN(E$6,$B$11))/($A34*MIN(E$6,$B$11)))^2)</f>
        <v/>
      </c>
      <c r="O34" s="27">
        <f>IF(OR(B$7="",B$8=0),0,B$8*(B$7-O$16*(1-$A34)*(1-(1-$A34)^MIN(B$6,$B$11))/($A34*MIN(B$6,$B$11)))^2)+IF(OR(C$7="",C$8=0),0,C$8*(C$7-O$16*(1-$A34)*(1-(1-$A34)^MIN(C$6,$B$11))/($A34*MIN(C$6,$B$11)))^2)+IF(OR(D$7="",D$8=0),0,D$8*(D$7-O$16*(1-$A34)*(1-(1-$A34)^MIN(D$6,$B$11))/($A34*MIN(D$6,$B$11)))^2)+IF(OR(E$7="",E$8=0),0,E$8*(E$7-O$16*(1-$A34)*(1-(1-$A34)^MIN(E$6,$B$11))/($A34*MIN(E$6,$B$11)))^2)</f>
        <v/>
      </c>
      <c r="P34" s="27">
        <f>IF(OR(B$7="",B$8=0),0,B$8*(B$7-P$16*(1-$A34)*(1-(1-$A34)^MIN(B$6,$B$11))/($A34*MIN(B$6,$B$11)))^2)+IF(OR(C$7="",C$8=0),0,C$8*(C$7-P$16*(1-$A34)*(1-(1-$A34)^MIN(C$6,$B$11))/($A34*MIN(C$6,$B$11)))^2)+IF(OR(D$7="",D$8=0),0,D$8*(D$7-P$16*(1-$A34)*(1-(1-$A34)^MIN(D$6,$B$11))/($A34*MIN(D$6,$B$11)))^2)+IF(OR(E$7="",E$8=0),0,E$8*(E$7-P$16*(1-$A34)*(1-(1-$A34)^MIN(E$6,$B$11))/($A34*MIN(E$6,$B$11)))^2)</f>
        <v/>
      </c>
      <c r="Q34" s="27">
        <f>IF(OR(B$7="",B$8=0),0,B$8*(B$7-Q$16*(1-$A34)*(1-(1-$A34)^MIN(B$6,$B$11))/($A34*MIN(B$6,$B$11)))^2)+IF(OR(C$7="",C$8=0),0,C$8*(C$7-Q$16*(1-$A34)*(1-(1-$A34)^MIN(C$6,$B$11))/($A34*MIN(C$6,$B$11)))^2)+IF(OR(D$7="",D$8=0),0,D$8*(D$7-Q$16*(1-$A34)*(1-(1-$A34)^MIN(D$6,$B$11))/($A34*MIN(D$6,$B$11)))^2)+IF(OR(E$7="",E$8=0),0,E$8*(E$7-Q$16*(1-$A34)*(1-(1-$A34)^MIN(E$6,$B$11))/($A34*MIN(E$6,$B$11)))^2)</f>
        <v/>
      </c>
      <c r="R34" s="27">
        <f>IF(OR(B$7="",B$8=0),0,B$8*(B$7-R$16*(1-$A34)*(1-(1-$A34)^MIN(B$6,$B$11))/($A34*MIN(B$6,$B$11)))^2)+IF(OR(C$7="",C$8=0),0,C$8*(C$7-R$16*(1-$A34)*(1-(1-$A34)^MIN(C$6,$B$11))/($A34*MIN(C$6,$B$11)))^2)+IF(OR(D$7="",D$8=0),0,D$8*(D$7-R$16*(1-$A34)*(1-(1-$A34)^MIN(D$6,$B$11))/($A34*MIN(D$6,$B$11)))^2)+IF(OR(E$7="",E$8=0),0,E$8*(E$7-R$16*(1-$A34)*(1-(1-$A34)^MIN(E$6,$B$11))/($A34*MIN(E$6,$B$11)))^2)</f>
        <v/>
      </c>
      <c r="S34" s="27">
        <f>IF(OR(B$7="",B$8=0),0,B$8*(B$7-S$16*(1-$A34)*(1-(1-$A34)^MIN(B$6,$B$11))/($A34*MIN(B$6,$B$11)))^2)+IF(OR(C$7="",C$8=0),0,C$8*(C$7-S$16*(1-$A34)*(1-(1-$A34)^MIN(C$6,$B$11))/($A34*MIN(C$6,$B$11)))^2)+IF(OR(D$7="",D$8=0),0,D$8*(D$7-S$16*(1-$A34)*(1-(1-$A34)^MIN(D$6,$B$11))/($A34*MIN(D$6,$B$11)))^2)+IF(OR(E$7="",E$8=0),0,E$8*(E$7-S$16*(1-$A34)*(1-(1-$A34)^MIN(E$6,$B$11))/($A34*MIN(E$6,$B$11)))^2)</f>
        <v/>
      </c>
      <c r="U34" s="27">
        <f>MIN(B34:S34)</f>
        <v/>
      </c>
      <c r="V34" s="17">
        <f>MATCH(U34,B34:S34,0)</f>
        <v/>
      </c>
    </row>
    <row r="35">
      <c r="A35" s="26" t="n">
        <v>0.014</v>
      </c>
      <c r="B35" s="27">
        <f>IF(OR(B$7="",B$8=0),0,B$8*(B$7-B$16*(1-$A35)*(1-(1-$A35)^MIN(B$6,$B$11))/($A35*MIN(B$6,$B$11)))^2)+IF(OR(C$7="",C$8=0),0,C$8*(C$7-B$16*(1-$A35)*(1-(1-$A35)^MIN(C$6,$B$11))/($A35*MIN(C$6,$B$11)))^2)+IF(OR(D$7="",D$8=0),0,D$8*(D$7-B$16*(1-$A35)*(1-(1-$A35)^MIN(D$6,$B$11))/($A35*MIN(D$6,$B$11)))^2)+IF(OR(E$7="",E$8=0),0,E$8*(E$7-B$16*(1-$A35)*(1-(1-$A35)^MIN(E$6,$B$11))/($A35*MIN(E$6,$B$11)))^2)</f>
        <v/>
      </c>
      <c r="C35" s="27">
        <f>IF(OR(B$7="",B$8=0),0,B$8*(B$7-C$16*(1-$A35)*(1-(1-$A35)^MIN(B$6,$B$11))/($A35*MIN(B$6,$B$11)))^2)+IF(OR(C$7="",C$8=0),0,C$8*(C$7-C$16*(1-$A35)*(1-(1-$A35)^MIN(C$6,$B$11))/($A35*MIN(C$6,$B$11)))^2)+IF(OR(D$7="",D$8=0),0,D$8*(D$7-C$16*(1-$A35)*(1-(1-$A35)^MIN(D$6,$B$11))/($A35*MIN(D$6,$B$11)))^2)+IF(OR(E$7="",E$8=0),0,E$8*(E$7-C$16*(1-$A35)*(1-(1-$A35)^MIN(E$6,$B$11))/($A35*MIN(E$6,$B$11)))^2)</f>
        <v/>
      </c>
      <c r="D35" s="27">
        <f>IF(OR(B$7="",B$8=0),0,B$8*(B$7-D$16*(1-$A35)*(1-(1-$A35)^MIN(B$6,$B$11))/($A35*MIN(B$6,$B$11)))^2)+IF(OR(C$7="",C$8=0),0,C$8*(C$7-D$16*(1-$A35)*(1-(1-$A35)^MIN(C$6,$B$11))/($A35*MIN(C$6,$B$11)))^2)+IF(OR(D$7="",D$8=0),0,D$8*(D$7-D$16*(1-$A35)*(1-(1-$A35)^MIN(D$6,$B$11))/($A35*MIN(D$6,$B$11)))^2)+IF(OR(E$7="",E$8=0),0,E$8*(E$7-D$16*(1-$A35)*(1-(1-$A35)^MIN(E$6,$B$11))/($A35*MIN(E$6,$B$11)))^2)</f>
        <v/>
      </c>
      <c r="E35" s="27">
        <f>IF(OR(B$7="",B$8=0),0,B$8*(B$7-E$16*(1-$A35)*(1-(1-$A35)^MIN(B$6,$B$11))/($A35*MIN(B$6,$B$11)))^2)+IF(OR(C$7="",C$8=0),0,C$8*(C$7-E$16*(1-$A35)*(1-(1-$A35)^MIN(C$6,$B$11))/($A35*MIN(C$6,$B$11)))^2)+IF(OR(D$7="",D$8=0),0,D$8*(D$7-E$16*(1-$A35)*(1-(1-$A35)^MIN(D$6,$B$11))/($A35*MIN(D$6,$B$11)))^2)+IF(OR(E$7="",E$8=0),0,E$8*(E$7-E$16*(1-$A35)*(1-(1-$A35)^MIN(E$6,$B$11))/($A35*MIN(E$6,$B$11)))^2)</f>
        <v/>
      </c>
      <c r="F35" s="27">
        <f>IF(OR(B$7="",B$8=0),0,B$8*(B$7-F$16*(1-$A35)*(1-(1-$A35)^MIN(B$6,$B$11))/($A35*MIN(B$6,$B$11)))^2)+IF(OR(C$7="",C$8=0),0,C$8*(C$7-F$16*(1-$A35)*(1-(1-$A35)^MIN(C$6,$B$11))/($A35*MIN(C$6,$B$11)))^2)+IF(OR(D$7="",D$8=0),0,D$8*(D$7-F$16*(1-$A35)*(1-(1-$A35)^MIN(D$6,$B$11))/($A35*MIN(D$6,$B$11)))^2)+IF(OR(E$7="",E$8=0),0,E$8*(E$7-F$16*(1-$A35)*(1-(1-$A35)^MIN(E$6,$B$11))/($A35*MIN(E$6,$B$11)))^2)</f>
        <v/>
      </c>
      <c r="G35" s="27">
        <f>IF(OR(B$7="",B$8=0),0,B$8*(B$7-G$16*(1-$A35)*(1-(1-$A35)^MIN(B$6,$B$11))/($A35*MIN(B$6,$B$11)))^2)+IF(OR(C$7="",C$8=0),0,C$8*(C$7-G$16*(1-$A35)*(1-(1-$A35)^MIN(C$6,$B$11))/($A35*MIN(C$6,$B$11)))^2)+IF(OR(D$7="",D$8=0),0,D$8*(D$7-G$16*(1-$A35)*(1-(1-$A35)^MIN(D$6,$B$11))/($A35*MIN(D$6,$B$11)))^2)+IF(OR(E$7="",E$8=0),0,E$8*(E$7-G$16*(1-$A35)*(1-(1-$A35)^MIN(E$6,$B$11))/($A35*MIN(E$6,$B$11)))^2)</f>
        <v/>
      </c>
      <c r="H35" s="27">
        <f>IF(OR(B$7="",B$8=0),0,B$8*(B$7-H$16*(1-$A35)*(1-(1-$A35)^MIN(B$6,$B$11))/($A35*MIN(B$6,$B$11)))^2)+IF(OR(C$7="",C$8=0),0,C$8*(C$7-H$16*(1-$A35)*(1-(1-$A35)^MIN(C$6,$B$11))/($A35*MIN(C$6,$B$11)))^2)+IF(OR(D$7="",D$8=0),0,D$8*(D$7-H$16*(1-$A35)*(1-(1-$A35)^MIN(D$6,$B$11))/($A35*MIN(D$6,$B$11)))^2)+IF(OR(E$7="",E$8=0),0,E$8*(E$7-H$16*(1-$A35)*(1-(1-$A35)^MIN(E$6,$B$11))/($A35*MIN(E$6,$B$11)))^2)</f>
        <v/>
      </c>
      <c r="I35" s="27">
        <f>IF(OR(B$7="",B$8=0),0,B$8*(B$7-I$16*(1-$A35)*(1-(1-$A35)^MIN(B$6,$B$11))/($A35*MIN(B$6,$B$11)))^2)+IF(OR(C$7="",C$8=0),0,C$8*(C$7-I$16*(1-$A35)*(1-(1-$A35)^MIN(C$6,$B$11))/($A35*MIN(C$6,$B$11)))^2)+IF(OR(D$7="",D$8=0),0,D$8*(D$7-I$16*(1-$A35)*(1-(1-$A35)^MIN(D$6,$B$11))/($A35*MIN(D$6,$B$11)))^2)+IF(OR(E$7="",E$8=0),0,E$8*(E$7-I$16*(1-$A35)*(1-(1-$A35)^MIN(E$6,$B$11))/($A35*MIN(E$6,$B$11)))^2)</f>
        <v/>
      </c>
      <c r="J35" s="27">
        <f>IF(OR(B$7="",B$8=0),0,B$8*(B$7-J$16*(1-$A35)*(1-(1-$A35)^MIN(B$6,$B$11))/($A35*MIN(B$6,$B$11)))^2)+IF(OR(C$7="",C$8=0),0,C$8*(C$7-J$16*(1-$A35)*(1-(1-$A35)^MIN(C$6,$B$11))/($A35*MIN(C$6,$B$11)))^2)+IF(OR(D$7="",D$8=0),0,D$8*(D$7-J$16*(1-$A35)*(1-(1-$A35)^MIN(D$6,$B$11))/($A35*MIN(D$6,$B$11)))^2)+IF(OR(E$7="",E$8=0),0,E$8*(E$7-J$16*(1-$A35)*(1-(1-$A35)^MIN(E$6,$B$11))/($A35*MIN(E$6,$B$11)))^2)</f>
        <v/>
      </c>
      <c r="K35" s="27">
        <f>IF(OR(B$7="",B$8=0),0,B$8*(B$7-K$16*(1-$A35)*(1-(1-$A35)^MIN(B$6,$B$11))/($A35*MIN(B$6,$B$11)))^2)+IF(OR(C$7="",C$8=0),0,C$8*(C$7-K$16*(1-$A35)*(1-(1-$A35)^MIN(C$6,$B$11))/($A35*MIN(C$6,$B$11)))^2)+IF(OR(D$7="",D$8=0),0,D$8*(D$7-K$16*(1-$A35)*(1-(1-$A35)^MIN(D$6,$B$11))/($A35*MIN(D$6,$B$11)))^2)+IF(OR(E$7="",E$8=0),0,E$8*(E$7-K$16*(1-$A35)*(1-(1-$A35)^MIN(E$6,$B$11))/($A35*MIN(E$6,$B$11)))^2)</f>
        <v/>
      </c>
      <c r="L35" s="27">
        <f>IF(OR(B$7="",B$8=0),0,B$8*(B$7-L$16*(1-$A35)*(1-(1-$A35)^MIN(B$6,$B$11))/($A35*MIN(B$6,$B$11)))^2)+IF(OR(C$7="",C$8=0),0,C$8*(C$7-L$16*(1-$A35)*(1-(1-$A35)^MIN(C$6,$B$11))/($A35*MIN(C$6,$B$11)))^2)+IF(OR(D$7="",D$8=0),0,D$8*(D$7-L$16*(1-$A35)*(1-(1-$A35)^MIN(D$6,$B$11))/($A35*MIN(D$6,$B$11)))^2)+IF(OR(E$7="",E$8=0),0,E$8*(E$7-L$16*(1-$A35)*(1-(1-$A35)^MIN(E$6,$B$11))/($A35*MIN(E$6,$B$11)))^2)</f>
        <v/>
      </c>
      <c r="M35" s="27">
        <f>IF(OR(B$7="",B$8=0),0,B$8*(B$7-M$16*(1-$A35)*(1-(1-$A35)^MIN(B$6,$B$11))/($A35*MIN(B$6,$B$11)))^2)+IF(OR(C$7="",C$8=0),0,C$8*(C$7-M$16*(1-$A35)*(1-(1-$A35)^MIN(C$6,$B$11))/($A35*MIN(C$6,$B$11)))^2)+IF(OR(D$7="",D$8=0),0,D$8*(D$7-M$16*(1-$A35)*(1-(1-$A35)^MIN(D$6,$B$11))/($A35*MIN(D$6,$B$11)))^2)+IF(OR(E$7="",E$8=0),0,E$8*(E$7-M$16*(1-$A35)*(1-(1-$A35)^MIN(E$6,$B$11))/($A35*MIN(E$6,$B$11)))^2)</f>
        <v/>
      </c>
      <c r="N35" s="27">
        <f>IF(OR(B$7="",B$8=0),0,B$8*(B$7-N$16*(1-$A35)*(1-(1-$A35)^MIN(B$6,$B$11))/($A35*MIN(B$6,$B$11)))^2)+IF(OR(C$7="",C$8=0),0,C$8*(C$7-N$16*(1-$A35)*(1-(1-$A35)^MIN(C$6,$B$11))/($A35*MIN(C$6,$B$11)))^2)+IF(OR(D$7="",D$8=0),0,D$8*(D$7-N$16*(1-$A35)*(1-(1-$A35)^MIN(D$6,$B$11))/($A35*MIN(D$6,$B$11)))^2)+IF(OR(E$7="",E$8=0),0,E$8*(E$7-N$16*(1-$A35)*(1-(1-$A35)^MIN(E$6,$B$11))/($A35*MIN(E$6,$B$11)))^2)</f>
        <v/>
      </c>
      <c r="O35" s="27">
        <f>IF(OR(B$7="",B$8=0),0,B$8*(B$7-O$16*(1-$A35)*(1-(1-$A35)^MIN(B$6,$B$11))/($A35*MIN(B$6,$B$11)))^2)+IF(OR(C$7="",C$8=0),0,C$8*(C$7-O$16*(1-$A35)*(1-(1-$A35)^MIN(C$6,$B$11))/($A35*MIN(C$6,$B$11)))^2)+IF(OR(D$7="",D$8=0),0,D$8*(D$7-O$16*(1-$A35)*(1-(1-$A35)^MIN(D$6,$B$11))/($A35*MIN(D$6,$B$11)))^2)+IF(OR(E$7="",E$8=0),0,E$8*(E$7-O$16*(1-$A35)*(1-(1-$A35)^MIN(E$6,$B$11))/($A35*MIN(E$6,$B$11)))^2)</f>
        <v/>
      </c>
      <c r="P35" s="27">
        <f>IF(OR(B$7="",B$8=0),0,B$8*(B$7-P$16*(1-$A35)*(1-(1-$A35)^MIN(B$6,$B$11))/($A35*MIN(B$6,$B$11)))^2)+IF(OR(C$7="",C$8=0),0,C$8*(C$7-P$16*(1-$A35)*(1-(1-$A35)^MIN(C$6,$B$11))/($A35*MIN(C$6,$B$11)))^2)+IF(OR(D$7="",D$8=0),0,D$8*(D$7-P$16*(1-$A35)*(1-(1-$A35)^MIN(D$6,$B$11))/($A35*MIN(D$6,$B$11)))^2)+IF(OR(E$7="",E$8=0),0,E$8*(E$7-P$16*(1-$A35)*(1-(1-$A35)^MIN(E$6,$B$11))/($A35*MIN(E$6,$B$11)))^2)</f>
        <v/>
      </c>
      <c r="Q35" s="27">
        <f>IF(OR(B$7="",B$8=0),0,B$8*(B$7-Q$16*(1-$A35)*(1-(1-$A35)^MIN(B$6,$B$11))/($A35*MIN(B$6,$B$11)))^2)+IF(OR(C$7="",C$8=0),0,C$8*(C$7-Q$16*(1-$A35)*(1-(1-$A35)^MIN(C$6,$B$11))/($A35*MIN(C$6,$B$11)))^2)+IF(OR(D$7="",D$8=0),0,D$8*(D$7-Q$16*(1-$A35)*(1-(1-$A35)^MIN(D$6,$B$11))/($A35*MIN(D$6,$B$11)))^2)+IF(OR(E$7="",E$8=0),0,E$8*(E$7-Q$16*(1-$A35)*(1-(1-$A35)^MIN(E$6,$B$11))/($A35*MIN(E$6,$B$11)))^2)</f>
        <v/>
      </c>
      <c r="R35" s="27">
        <f>IF(OR(B$7="",B$8=0),0,B$8*(B$7-R$16*(1-$A35)*(1-(1-$A35)^MIN(B$6,$B$11))/($A35*MIN(B$6,$B$11)))^2)+IF(OR(C$7="",C$8=0),0,C$8*(C$7-R$16*(1-$A35)*(1-(1-$A35)^MIN(C$6,$B$11))/($A35*MIN(C$6,$B$11)))^2)+IF(OR(D$7="",D$8=0),0,D$8*(D$7-R$16*(1-$A35)*(1-(1-$A35)^MIN(D$6,$B$11))/($A35*MIN(D$6,$B$11)))^2)+IF(OR(E$7="",E$8=0),0,E$8*(E$7-R$16*(1-$A35)*(1-(1-$A35)^MIN(E$6,$B$11))/($A35*MIN(E$6,$B$11)))^2)</f>
        <v/>
      </c>
      <c r="S35" s="27">
        <f>IF(OR(B$7="",B$8=0),0,B$8*(B$7-S$16*(1-$A35)*(1-(1-$A35)^MIN(B$6,$B$11))/($A35*MIN(B$6,$B$11)))^2)+IF(OR(C$7="",C$8=0),0,C$8*(C$7-S$16*(1-$A35)*(1-(1-$A35)^MIN(C$6,$B$11))/($A35*MIN(C$6,$B$11)))^2)+IF(OR(D$7="",D$8=0),0,D$8*(D$7-S$16*(1-$A35)*(1-(1-$A35)^MIN(D$6,$B$11))/($A35*MIN(D$6,$B$11)))^2)+IF(OR(E$7="",E$8=0),0,E$8*(E$7-S$16*(1-$A35)*(1-(1-$A35)^MIN(E$6,$B$11))/($A35*MIN(E$6,$B$11)))^2)</f>
        <v/>
      </c>
      <c r="U35" s="27">
        <f>MIN(B35:S35)</f>
        <v/>
      </c>
      <c r="V35" s="17">
        <f>MATCH(U35,B35:S35,0)</f>
        <v/>
      </c>
    </row>
    <row r="36">
      <c r="A36" s="26" t="n">
        <v>0.0145</v>
      </c>
      <c r="B36" s="27">
        <f>IF(OR(B$7="",B$8=0),0,B$8*(B$7-B$16*(1-$A36)*(1-(1-$A36)^MIN(B$6,$B$11))/($A36*MIN(B$6,$B$11)))^2)+IF(OR(C$7="",C$8=0),0,C$8*(C$7-B$16*(1-$A36)*(1-(1-$A36)^MIN(C$6,$B$11))/($A36*MIN(C$6,$B$11)))^2)+IF(OR(D$7="",D$8=0),0,D$8*(D$7-B$16*(1-$A36)*(1-(1-$A36)^MIN(D$6,$B$11))/($A36*MIN(D$6,$B$11)))^2)+IF(OR(E$7="",E$8=0),0,E$8*(E$7-B$16*(1-$A36)*(1-(1-$A36)^MIN(E$6,$B$11))/($A36*MIN(E$6,$B$11)))^2)</f>
        <v/>
      </c>
      <c r="C36" s="27">
        <f>IF(OR(B$7="",B$8=0),0,B$8*(B$7-C$16*(1-$A36)*(1-(1-$A36)^MIN(B$6,$B$11))/($A36*MIN(B$6,$B$11)))^2)+IF(OR(C$7="",C$8=0),0,C$8*(C$7-C$16*(1-$A36)*(1-(1-$A36)^MIN(C$6,$B$11))/($A36*MIN(C$6,$B$11)))^2)+IF(OR(D$7="",D$8=0),0,D$8*(D$7-C$16*(1-$A36)*(1-(1-$A36)^MIN(D$6,$B$11))/($A36*MIN(D$6,$B$11)))^2)+IF(OR(E$7="",E$8=0),0,E$8*(E$7-C$16*(1-$A36)*(1-(1-$A36)^MIN(E$6,$B$11))/($A36*MIN(E$6,$B$11)))^2)</f>
        <v/>
      </c>
      <c r="D36" s="27">
        <f>IF(OR(B$7="",B$8=0),0,B$8*(B$7-D$16*(1-$A36)*(1-(1-$A36)^MIN(B$6,$B$11))/($A36*MIN(B$6,$B$11)))^2)+IF(OR(C$7="",C$8=0),0,C$8*(C$7-D$16*(1-$A36)*(1-(1-$A36)^MIN(C$6,$B$11))/($A36*MIN(C$6,$B$11)))^2)+IF(OR(D$7="",D$8=0),0,D$8*(D$7-D$16*(1-$A36)*(1-(1-$A36)^MIN(D$6,$B$11))/($A36*MIN(D$6,$B$11)))^2)+IF(OR(E$7="",E$8=0),0,E$8*(E$7-D$16*(1-$A36)*(1-(1-$A36)^MIN(E$6,$B$11))/($A36*MIN(E$6,$B$11)))^2)</f>
        <v/>
      </c>
      <c r="E36" s="27">
        <f>IF(OR(B$7="",B$8=0),0,B$8*(B$7-E$16*(1-$A36)*(1-(1-$A36)^MIN(B$6,$B$11))/($A36*MIN(B$6,$B$11)))^2)+IF(OR(C$7="",C$8=0),0,C$8*(C$7-E$16*(1-$A36)*(1-(1-$A36)^MIN(C$6,$B$11))/($A36*MIN(C$6,$B$11)))^2)+IF(OR(D$7="",D$8=0),0,D$8*(D$7-E$16*(1-$A36)*(1-(1-$A36)^MIN(D$6,$B$11))/($A36*MIN(D$6,$B$11)))^2)+IF(OR(E$7="",E$8=0),0,E$8*(E$7-E$16*(1-$A36)*(1-(1-$A36)^MIN(E$6,$B$11))/($A36*MIN(E$6,$B$11)))^2)</f>
        <v/>
      </c>
      <c r="F36" s="27">
        <f>IF(OR(B$7="",B$8=0),0,B$8*(B$7-F$16*(1-$A36)*(1-(1-$A36)^MIN(B$6,$B$11))/($A36*MIN(B$6,$B$11)))^2)+IF(OR(C$7="",C$8=0),0,C$8*(C$7-F$16*(1-$A36)*(1-(1-$A36)^MIN(C$6,$B$11))/($A36*MIN(C$6,$B$11)))^2)+IF(OR(D$7="",D$8=0),0,D$8*(D$7-F$16*(1-$A36)*(1-(1-$A36)^MIN(D$6,$B$11))/($A36*MIN(D$6,$B$11)))^2)+IF(OR(E$7="",E$8=0),0,E$8*(E$7-F$16*(1-$A36)*(1-(1-$A36)^MIN(E$6,$B$11))/($A36*MIN(E$6,$B$11)))^2)</f>
        <v/>
      </c>
      <c r="G36" s="27">
        <f>IF(OR(B$7="",B$8=0),0,B$8*(B$7-G$16*(1-$A36)*(1-(1-$A36)^MIN(B$6,$B$11))/($A36*MIN(B$6,$B$11)))^2)+IF(OR(C$7="",C$8=0),0,C$8*(C$7-G$16*(1-$A36)*(1-(1-$A36)^MIN(C$6,$B$11))/($A36*MIN(C$6,$B$11)))^2)+IF(OR(D$7="",D$8=0),0,D$8*(D$7-G$16*(1-$A36)*(1-(1-$A36)^MIN(D$6,$B$11))/($A36*MIN(D$6,$B$11)))^2)+IF(OR(E$7="",E$8=0),0,E$8*(E$7-G$16*(1-$A36)*(1-(1-$A36)^MIN(E$6,$B$11))/($A36*MIN(E$6,$B$11)))^2)</f>
        <v/>
      </c>
      <c r="H36" s="27">
        <f>IF(OR(B$7="",B$8=0),0,B$8*(B$7-H$16*(1-$A36)*(1-(1-$A36)^MIN(B$6,$B$11))/($A36*MIN(B$6,$B$11)))^2)+IF(OR(C$7="",C$8=0),0,C$8*(C$7-H$16*(1-$A36)*(1-(1-$A36)^MIN(C$6,$B$11))/($A36*MIN(C$6,$B$11)))^2)+IF(OR(D$7="",D$8=0),0,D$8*(D$7-H$16*(1-$A36)*(1-(1-$A36)^MIN(D$6,$B$11))/($A36*MIN(D$6,$B$11)))^2)+IF(OR(E$7="",E$8=0),0,E$8*(E$7-H$16*(1-$A36)*(1-(1-$A36)^MIN(E$6,$B$11))/($A36*MIN(E$6,$B$11)))^2)</f>
        <v/>
      </c>
      <c r="I36" s="27">
        <f>IF(OR(B$7="",B$8=0),0,B$8*(B$7-I$16*(1-$A36)*(1-(1-$A36)^MIN(B$6,$B$11))/($A36*MIN(B$6,$B$11)))^2)+IF(OR(C$7="",C$8=0),0,C$8*(C$7-I$16*(1-$A36)*(1-(1-$A36)^MIN(C$6,$B$11))/($A36*MIN(C$6,$B$11)))^2)+IF(OR(D$7="",D$8=0),0,D$8*(D$7-I$16*(1-$A36)*(1-(1-$A36)^MIN(D$6,$B$11))/($A36*MIN(D$6,$B$11)))^2)+IF(OR(E$7="",E$8=0),0,E$8*(E$7-I$16*(1-$A36)*(1-(1-$A36)^MIN(E$6,$B$11))/($A36*MIN(E$6,$B$11)))^2)</f>
        <v/>
      </c>
      <c r="J36" s="27">
        <f>IF(OR(B$7="",B$8=0),0,B$8*(B$7-J$16*(1-$A36)*(1-(1-$A36)^MIN(B$6,$B$11))/($A36*MIN(B$6,$B$11)))^2)+IF(OR(C$7="",C$8=0),0,C$8*(C$7-J$16*(1-$A36)*(1-(1-$A36)^MIN(C$6,$B$11))/($A36*MIN(C$6,$B$11)))^2)+IF(OR(D$7="",D$8=0),0,D$8*(D$7-J$16*(1-$A36)*(1-(1-$A36)^MIN(D$6,$B$11))/($A36*MIN(D$6,$B$11)))^2)+IF(OR(E$7="",E$8=0),0,E$8*(E$7-J$16*(1-$A36)*(1-(1-$A36)^MIN(E$6,$B$11))/($A36*MIN(E$6,$B$11)))^2)</f>
        <v/>
      </c>
      <c r="K36" s="27">
        <f>IF(OR(B$7="",B$8=0),0,B$8*(B$7-K$16*(1-$A36)*(1-(1-$A36)^MIN(B$6,$B$11))/($A36*MIN(B$6,$B$11)))^2)+IF(OR(C$7="",C$8=0),0,C$8*(C$7-K$16*(1-$A36)*(1-(1-$A36)^MIN(C$6,$B$11))/($A36*MIN(C$6,$B$11)))^2)+IF(OR(D$7="",D$8=0),0,D$8*(D$7-K$16*(1-$A36)*(1-(1-$A36)^MIN(D$6,$B$11))/($A36*MIN(D$6,$B$11)))^2)+IF(OR(E$7="",E$8=0),0,E$8*(E$7-K$16*(1-$A36)*(1-(1-$A36)^MIN(E$6,$B$11))/($A36*MIN(E$6,$B$11)))^2)</f>
        <v/>
      </c>
      <c r="L36" s="27">
        <f>IF(OR(B$7="",B$8=0),0,B$8*(B$7-L$16*(1-$A36)*(1-(1-$A36)^MIN(B$6,$B$11))/($A36*MIN(B$6,$B$11)))^2)+IF(OR(C$7="",C$8=0),0,C$8*(C$7-L$16*(1-$A36)*(1-(1-$A36)^MIN(C$6,$B$11))/($A36*MIN(C$6,$B$11)))^2)+IF(OR(D$7="",D$8=0),0,D$8*(D$7-L$16*(1-$A36)*(1-(1-$A36)^MIN(D$6,$B$11))/($A36*MIN(D$6,$B$11)))^2)+IF(OR(E$7="",E$8=0),0,E$8*(E$7-L$16*(1-$A36)*(1-(1-$A36)^MIN(E$6,$B$11))/($A36*MIN(E$6,$B$11)))^2)</f>
        <v/>
      </c>
      <c r="M36" s="27">
        <f>IF(OR(B$7="",B$8=0),0,B$8*(B$7-M$16*(1-$A36)*(1-(1-$A36)^MIN(B$6,$B$11))/($A36*MIN(B$6,$B$11)))^2)+IF(OR(C$7="",C$8=0),0,C$8*(C$7-M$16*(1-$A36)*(1-(1-$A36)^MIN(C$6,$B$11))/($A36*MIN(C$6,$B$11)))^2)+IF(OR(D$7="",D$8=0),0,D$8*(D$7-M$16*(1-$A36)*(1-(1-$A36)^MIN(D$6,$B$11))/($A36*MIN(D$6,$B$11)))^2)+IF(OR(E$7="",E$8=0),0,E$8*(E$7-M$16*(1-$A36)*(1-(1-$A36)^MIN(E$6,$B$11))/($A36*MIN(E$6,$B$11)))^2)</f>
        <v/>
      </c>
      <c r="N36" s="27">
        <f>IF(OR(B$7="",B$8=0),0,B$8*(B$7-N$16*(1-$A36)*(1-(1-$A36)^MIN(B$6,$B$11))/($A36*MIN(B$6,$B$11)))^2)+IF(OR(C$7="",C$8=0),0,C$8*(C$7-N$16*(1-$A36)*(1-(1-$A36)^MIN(C$6,$B$11))/($A36*MIN(C$6,$B$11)))^2)+IF(OR(D$7="",D$8=0),0,D$8*(D$7-N$16*(1-$A36)*(1-(1-$A36)^MIN(D$6,$B$11))/($A36*MIN(D$6,$B$11)))^2)+IF(OR(E$7="",E$8=0),0,E$8*(E$7-N$16*(1-$A36)*(1-(1-$A36)^MIN(E$6,$B$11))/($A36*MIN(E$6,$B$11)))^2)</f>
        <v/>
      </c>
      <c r="O36" s="27">
        <f>IF(OR(B$7="",B$8=0),0,B$8*(B$7-O$16*(1-$A36)*(1-(1-$A36)^MIN(B$6,$B$11))/($A36*MIN(B$6,$B$11)))^2)+IF(OR(C$7="",C$8=0),0,C$8*(C$7-O$16*(1-$A36)*(1-(1-$A36)^MIN(C$6,$B$11))/($A36*MIN(C$6,$B$11)))^2)+IF(OR(D$7="",D$8=0),0,D$8*(D$7-O$16*(1-$A36)*(1-(1-$A36)^MIN(D$6,$B$11))/($A36*MIN(D$6,$B$11)))^2)+IF(OR(E$7="",E$8=0),0,E$8*(E$7-O$16*(1-$A36)*(1-(1-$A36)^MIN(E$6,$B$11))/($A36*MIN(E$6,$B$11)))^2)</f>
        <v/>
      </c>
      <c r="P36" s="27">
        <f>IF(OR(B$7="",B$8=0),0,B$8*(B$7-P$16*(1-$A36)*(1-(1-$A36)^MIN(B$6,$B$11))/($A36*MIN(B$6,$B$11)))^2)+IF(OR(C$7="",C$8=0),0,C$8*(C$7-P$16*(1-$A36)*(1-(1-$A36)^MIN(C$6,$B$11))/($A36*MIN(C$6,$B$11)))^2)+IF(OR(D$7="",D$8=0),0,D$8*(D$7-P$16*(1-$A36)*(1-(1-$A36)^MIN(D$6,$B$11))/($A36*MIN(D$6,$B$11)))^2)+IF(OR(E$7="",E$8=0),0,E$8*(E$7-P$16*(1-$A36)*(1-(1-$A36)^MIN(E$6,$B$11))/($A36*MIN(E$6,$B$11)))^2)</f>
        <v/>
      </c>
      <c r="Q36" s="27">
        <f>IF(OR(B$7="",B$8=0),0,B$8*(B$7-Q$16*(1-$A36)*(1-(1-$A36)^MIN(B$6,$B$11))/($A36*MIN(B$6,$B$11)))^2)+IF(OR(C$7="",C$8=0),0,C$8*(C$7-Q$16*(1-$A36)*(1-(1-$A36)^MIN(C$6,$B$11))/($A36*MIN(C$6,$B$11)))^2)+IF(OR(D$7="",D$8=0),0,D$8*(D$7-Q$16*(1-$A36)*(1-(1-$A36)^MIN(D$6,$B$11))/($A36*MIN(D$6,$B$11)))^2)+IF(OR(E$7="",E$8=0),0,E$8*(E$7-Q$16*(1-$A36)*(1-(1-$A36)^MIN(E$6,$B$11))/($A36*MIN(E$6,$B$11)))^2)</f>
        <v/>
      </c>
      <c r="R36" s="27">
        <f>IF(OR(B$7="",B$8=0),0,B$8*(B$7-R$16*(1-$A36)*(1-(1-$A36)^MIN(B$6,$B$11))/($A36*MIN(B$6,$B$11)))^2)+IF(OR(C$7="",C$8=0),0,C$8*(C$7-R$16*(1-$A36)*(1-(1-$A36)^MIN(C$6,$B$11))/($A36*MIN(C$6,$B$11)))^2)+IF(OR(D$7="",D$8=0),0,D$8*(D$7-R$16*(1-$A36)*(1-(1-$A36)^MIN(D$6,$B$11))/($A36*MIN(D$6,$B$11)))^2)+IF(OR(E$7="",E$8=0),0,E$8*(E$7-R$16*(1-$A36)*(1-(1-$A36)^MIN(E$6,$B$11))/($A36*MIN(E$6,$B$11)))^2)</f>
        <v/>
      </c>
      <c r="S36" s="27">
        <f>IF(OR(B$7="",B$8=0),0,B$8*(B$7-S$16*(1-$A36)*(1-(1-$A36)^MIN(B$6,$B$11))/($A36*MIN(B$6,$B$11)))^2)+IF(OR(C$7="",C$8=0),0,C$8*(C$7-S$16*(1-$A36)*(1-(1-$A36)^MIN(C$6,$B$11))/($A36*MIN(C$6,$B$11)))^2)+IF(OR(D$7="",D$8=0),0,D$8*(D$7-S$16*(1-$A36)*(1-(1-$A36)^MIN(D$6,$B$11))/($A36*MIN(D$6,$B$11)))^2)+IF(OR(E$7="",E$8=0),0,E$8*(E$7-S$16*(1-$A36)*(1-(1-$A36)^MIN(E$6,$B$11))/($A36*MIN(E$6,$B$11)))^2)</f>
        <v/>
      </c>
      <c r="U36" s="27">
        <f>MIN(B36:S36)</f>
        <v/>
      </c>
      <c r="V36" s="17">
        <f>MATCH(U36,B36:S36,0)</f>
        <v/>
      </c>
    </row>
    <row r="37">
      <c r="A37" s="26" t="n">
        <v>0.015</v>
      </c>
      <c r="B37" s="27">
        <f>IF(OR(B$7="",B$8=0),0,B$8*(B$7-B$16*(1-$A37)*(1-(1-$A37)^MIN(B$6,$B$11))/($A37*MIN(B$6,$B$11)))^2)+IF(OR(C$7="",C$8=0),0,C$8*(C$7-B$16*(1-$A37)*(1-(1-$A37)^MIN(C$6,$B$11))/($A37*MIN(C$6,$B$11)))^2)+IF(OR(D$7="",D$8=0),0,D$8*(D$7-B$16*(1-$A37)*(1-(1-$A37)^MIN(D$6,$B$11))/($A37*MIN(D$6,$B$11)))^2)+IF(OR(E$7="",E$8=0),0,E$8*(E$7-B$16*(1-$A37)*(1-(1-$A37)^MIN(E$6,$B$11))/($A37*MIN(E$6,$B$11)))^2)</f>
        <v/>
      </c>
      <c r="C37" s="27">
        <f>IF(OR(B$7="",B$8=0),0,B$8*(B$7-C$16*(1-$A37)*(1-(1-$A37)^MIN(B$6,$B$11))/($A37*MIN(B$6,$B$11)))^2)+IF(OR(C$7="",C$8=0),0,C$8*(C$7-C$16*(1-$A37)*(1-(1-$A37)^MIN(C$6,$B$11))/($A37*MIN(C$6,$B$11)))^2)+IF(OR(D$7="",D$8=0),0,D$8*(D$7-C$16*(1-$A37)*(1-(1-$A37)^MIN(D$6,$B$11))/($A37*MIN(D$6,$B$11)))^2)+IF(OR(E$7="",E$8=0),0,E$8*(E$7-C$16*(1-$A37)*(1-(1-$A37)^MIN(E$6,$B$11))/($A37*MIN(E$6,$B$11)))^2)</f>
        <v/>
      </c>
      <c r="D37" s="27">
        <f>IF(OR(B$7="",B$8=0),0,B$8*(B$7-D$16*(1-$A37)*(1-(1-$A37)^MIN(B$6,$B$11))/($A37*MIN(B$6,$B$11)))^2)+IF(OR(C$7="",C$8=0),0,C$8*(C$7-D$16*(1-$A37)*(1-(1-$A37)^MIN(C$6,$B$11))/($A37*MIN(C$6,$B$11)))^2)+IF(OR(D$7="",D$8=0),0,D$8*(D$7-D$16*(1-$A37)*(1-(1-$A37)^MIN(D$6,$B$11))/($A37*MIN(D$6,$B$11)))^2)+IF(OR(E$7="",E$8=0),0,E$8*(E$7-D$16*(1-$A37)*(1-(1-$A37)^MIN(E$6,$B$11))/($A37*MIN(E$6,$B$11)))^2)</f>
        <v/>
      </c>
      <c r="E37" s="27">
        <f>IF(OR(B$7="",B$8=0),0,B$8*(B$7-E$16*(1-$A37)*(1-(1-$A37)^MIN(B$6,$B$11))/($A37*MIN(B$6,$B$11)))^2)+IF(OR(C$7="",C$8=0),0,C$8*(C$7-E$16*(1-$A37)*(1-(1-$A37)^MIN(C$6,$B$11))/($A37*MIN(C$6,$B$11)))^2)+IF(OR(D$7="",D$8=0),0,D$8*(D$7-E$16*(1-$A37)*(1-(1-$A37)^MIN(D$6,$B$11))/($A37*MIN(D$6,$B$11)))^2)+IF(OR(E$7="",E$8=0),0,E$8*(E$7-E$16*(1-$A37)*(1-(1-$A37)^MIN(E$6,$B$11))/($A37*MIN(E$6,$B$11)))^2)</f>
        <v/>
      </c>
      <c r="F37" s="27">
        <f>IF(OR(B$7="",B$8=0),0,B$8*(B$7-F$16*(1-$A37)*(1-(1-$A37)^MIN(B$6,$B$11))/($A37*MIN(B$6,$B$11)))^2)+IF(OR(C$7="",C$8=0),0,C$8*(C$7-F$16*(1-$A37)*(1-(1-$A37)^MIN(C$6,$B$11))/($A37*MIN(C$6,$B$11)))^2)+IF(OR(D$7="",D$8=0),0,D$8*(D$7-F$16*(1-$A37)*(1-(1-$A37)^MIN(D$6,$B$11))/($A37*MIN(D$6,$B$11)))^2)+IF(OR(E$7="",E$8=0),0,E$8*(E$7-F$16*(1-$A37)*(1-(1-$A37)^MIN(E$6,$B$11))/($A37*MIN(E$6,$B$11)))^2)</f>
        <v/>
      </c>
      <c r="G37" s="27">
        <f>IF(OR(B$7="",B$8=0),0,B$8*(B$7-G$16*(1-$A37)*(1-(1-$A37)^MIN(B$6,$B$11))/($A37*MIN(B$6,$B$11)))^2)+IF(OR(C$7="",C$8=0),0,C$8*(C$7-G$16*(1-$A37)*(1-(1-$A37)^MIN(C$6,$B$11))/($A37*MIN(C$6,$B$11)))^2)+IF(OR(D$7="",D$8=0),0,D$8*(D$7-G$16*(1-$A37)*(1-(1-$A37)^MIN(D$6,$B$11))/($A37*MIN(D$6,$B$11)))^2)+IF(OR(E$7="",E$8=0),0,E$8*(E$7-G$16*(1-$A37)*(1-(1-$A37)^MIN(E$6,$B$11))/($A37*MIN(E$6,$B$11)))^2)</f>
        <v/>
      </c>
      <c r="H37" s="27">
        <f>IF(OR(B$7="",B$8=0),0,B$8*(B$7-H$16*(1-$A37)*(1-(1-$A37)^MIN(B$6,$B$11))/($A37*MIN(B$6,$B$11)))^2)+IF(OR(C$7="",C$8=0),0,C$8*(C$7-H$16*(1-$A37)*(1-(1-$A37)^MIN(C$6,$B$11))/($A37*MIN(C$6,$B$11)))^2)+IF(OR(D$7="",D$8=0),0,D$8*(D$7-H$16*(1-$A37)*(1-(1-$A37)^MIN(D$6,$B$11))/($A37*MIN(D$6,$B$11)))^2)+IF(OR(E$7="",E$8=0),0,E$8*(E$7-H$16*(1-$A37)*(1-(1-$A37)^MIN(E$6,$B$11))/($A37*MIN(E$6,$B$11)))^2)</f>
        <v/>
      </c>
      <c r="I37" s="27">
        <f>IF(OR(B$7="",B$8=0),0,B$8*(B$7-I$16*(1-$A37)*(1-(1-$A37)^MIN(B$6,$B$11))/($A37*MIN(B$6,$B$11)))^2)+IF(OR(C$7="",C$8=0),0,C$8*(C$7-I$16*(1-$A37)*(1-(1-$A37)^MIN(C$6,$B$11))/($A37*MIN(C$6,$B$11)))^2)+IF(OR(D$7="",D$8=0),0,D$8*(D$7-I$16*(1-$A37)*(1-(1-$A37)^MIN(D$6,$B$11))/($A37*MIN(D$6,$B$11)))^2)+IF(OR(E$7="",E$8=0),0,E$8*(E$7-I$16*(1-$A37)*(1-(1-$A37)^MIN(E$6,$B$11))/($A37*MIN(E$6,$B$11)))^2)</f>
        <v/>
      </c>
      <c r="J37" s="27">
        <f>IF(OR(B$7="",B$8=0),0,B$8*(B$7-J$16*(1-$A37)*(1-(1-$A37)^MIN(B$6,$B$11))/($A37*MIN(B$6,$B$11)))^2)+IF(OR(C$7="",C$8=0),0,C$8*(C$7-J$16*(1-$A37)*(1-(1-$A37)^MIN(C$6,$B$11))/($A37*MIN(C$6,$B$11)))^2)+IF(OR(D$7="",D$8=0),0,D$8*(D$7-J$16*(1-$A37)*(1-(1-$A37)^MIN(D$6,$B$11))/($A37*MIN(D$6,$B$11)))^2)+IF(OR(E$7="",E$8=0),0,E$8*(E$7-J$16*(1-$A37)*(1-(1-$A37)^MIN(E$6,$B$11))/($A37*MIN(E$6,$B$11)))^2)</f>
        <v/>
      </c>
      <c r="K37" s="27">
        <f>IF(OR(B$7="",B$8=0),0,B$8*(B$7-K$16*(1-$A37)*(1-(1-$A37)^MIN(B$6,$B$11))/($A37*MIN(B$6,$B$11)))^2)+IF(OR(C$7="",C$8=0),0,C$8*(C$7-K$16*(1-$A37)*(1-(1-$A37)^MIN(C$6,$B$11))/($A37*MIN(C$6,$B$11)))^2)+IF(OR(D$7="",D$8=0),0,D$8*(D$7-K$16*(1-$A37)*(1-(1-$A37)^MIN(D$6,$B$11))/($A37*MIN(D$6,$B$11)))^2)+IF(OR(E$7="",E$8=0),0,E$8*(E$7-K$16*(1-$A37)*(1-(1-$A37)^MIN(E$6,$B$11))/($A37*MIN(E$6,$B$11)))^2)</f>
        <v/>
      </c>
      <c r="L37" s="27">
        <f>IF(OR(B$7="",B$8=0),0,B$8*(B$7-L$16*(1-$A37)*(1-(1-$A37)^MIN(B$6,$B$11))/($A37*MIN(B$6,$B$11)))^2)+IF(OR(C$7="",C$8=0),0,C$8*(C$7-L$16*(1-$A37)*(1-(1-$A37)^MIN(C$6,$B$11))/($A37*MIN(C$6,$B$11)))^2)+IF(OR(D$7="",D$8=0),0,D$8*(D$7-L$16*(1-$A37)*(1-(1-$A37)^MIN(D$6,$B$11))/($A37*MIN(D$6,$B$11)))^2)+IF(OR(E$7="",E$8=0),0,E$8*(E$7-L$16*(1-$A37)*(1-(1-$A37)^MIN(E$6,$B$11))/($A37*MIN(E$6,$B$11)))^2)</f>
        <v/>
      </c>
      <c r="M37" s="27">
        <f>IF(OR(B$7="",B$8=0),0,B$8*(B$7-M$16*(1-$A37)*(1-(1-$A37)^MIN(B$6,$B$11))/($A37*MIN(B$6,$B$11)))^2)+IF(OR(C$7="",C$8=0),0,C$8*(C$7-M$16*(1-$A37)*(1-(1-$A37)^MIN(C$6,$B$11))/($A37*MIN(C$6,$B$11)))^2)+IF(OR(D$7="",D$8=0),0,D$8*(D$7-M$16*(1-$A37)*(1-(1-$A37)^MIN(D$6,$B$11))/($A37*MIN(D$6,$B$11)))^2)+IF(OR(E$7="",E$8=0),0,E$8*(E$7-M$16*(1-$A37)*(1-(1-$A37)^MIN(E$6,$B$11))/($A37*MIN(E$6,$B$11)))^2)</f>
        <v/>
      </c>
      <c r="N37" s="27">
        <f>IF(OR(B$7="",B$8=0),0,B$8*(B$7-N$16*(1-$A37)*(1-(1-$A37)^MIN(B$6,$B$11))/($A37*MIN(B$6,$B$11)))^2)+IF(OR(C$7="",C$8=0),0,C$8*(C$7-N$16*(1-$A37)*(1-(1-$A37)^MIN(C$6,$B$11))/($A37*MIN(C$6,$B$11)))^2)+IF(OR(D$7="",D$8=0),0,D$8*(D$7-N$16*(1-$A37)*(1-(1-$A37)^MIN(D$6,$B$11))/($A37*MIN(D$6,$B$11)))^2)+IF(OR(E$7="",E$8=0),0,E$8*(E$7-N$16*(1-$A37)*(1-(1-$A37)^MIN(E$6,$B$11))/($A37*MIN(E$6,$B$11)))^2)</f>
        <v/>
      </c>
      <c r="O37" s="27">
        <f>IF(OR(B$7="",B$8=0),0,B$8*(B$7-O$16*(1-$A37)*(1-(1-$A37)^MIN(B$6,$B$11))/($A37*MIN(B$6,$B$11)))^2)+IF(OR(C$7="",C$8=0),0,C$8*(C$7-O$16*(1-$A37)*(1-(1-$A37)^MIN(C$6,$B$11))/($A37*MIN(C$6,$B$11)))^2)+IF(OR(D$7="",D$8=0),0,D$8*(D$7-O$16*(1-$A37)*(1-(1-$A37)^MIN(D$6,$B$11))/($A37*MIN(D$6,$B$11)))^2)+IF(OR(E$7="",E$8=0),0,E$8*(E$7-O$16*(1-$A37)*(1-(1-$A37)^MIN(E$6,$B$11))/($A37*MIN(E$6,$B$11)))^2)</f>
        <v/>
      </c>
      <c r="P37" s="27">
        <f>IF(OR(B$7="",B$8=0),0,B$8*(B$7-P$16*(1-$A37)*(1-(1-$A37)^MIN(B$6,$B$11))/($A37*MIN(B$6,$B$11)))^2)+IF(OR(C$7="",C$8=0),0,C$8*(C$7-P$16*(1-$A37)*(1-(1-$A37)^MIN(C$6,$B$11))/($A37*MIN(C$6,$B$11)))^2)+IF(OR(D$7="",D$8=0),0,D$8*(D$7-P$16*(1-$A37)*(1-(1-$A37)^MIN(D$6,$B$11))/($A37*MIN(D$6,$B$11)))^2)+IF(OR(E$7="",E$8=0),0,E$8*(E$7-P$16*(1-$A37)*(1-(1-$A37)^MIN(E$6,$B$11))/($A37*MIN(E$6,$B$11)))^2)</f>
        <v/>
      </c>
      <c r="Q37" s="27">
        <f>IF(OR(B$7="",B$8=0),0,B$8*(B$7-Q$16*(1-$A37)*(1-(1-$A37)^MIN(B$6,$B$11))/($A37*MIN(B$6,$B$11)))^2)+IF(OR(C$7="",C$8=0),0,C$8*(C$7-Q$16*(1-$A37)*(1-(1-$A37)^MIN(C$6,$B$11))/($A37*MIN(C$6,$B$11)))^2)+IF(OR(D$7="",D$8=0),0,D$8*(D$7-Q$16*(1-$A37)*(1-(1-$A37)^MIN(D$6,$B$11))/($A37*MIN(D$6,$B$11)))^2)+IF(OR(E$7="",E$8=0),0,E$8*(E$7-Q$16*(1-$A37)*(1-(1-$A37)^MIN(E$6,$B$11))/($A37*MIN(E$6,$B$11)))^2)</f>
        <v/>
      </c>
      <c r="R37" s="27">
        <f>IF(OR(B$7="",B$8=0),0,B$8*(B$7-R$16*(1-$A37)*(1-(1-$A37)^MIN(B$6,$B$11))/($A37*MIN(B$6,$B$11)))^2)+IF(OR(C$7="",C$8=0),0,C$8*(C$7-R$16*(1-$A37)*(1-(1-$A37)^MIN(C$6,$B$11))/($A37*MIN(C$6,$B$11)))^2)+IF(OR(D$7="",D$8=0),0,D$8*(D$7-R$16*(1-$A37)*(1-(1-$A37)^MIN(D$6,$B$11))/($A37*MIN(D$6,$B$11)))^2)+IF(OR(E$7="",E$8=0),0,E$8*(E$7-R$16*(1-$A37)*(1-(1-$A37)^MIN(E$6,$B$11))/($A37*MIN(E$6,$B$11)))^2)</f>
        <v/>
      </c>
      <c r="S37" s="27">
        <f>IF(OR(B$7="",B$8=0),0,B$8*(B$7-S$16*(1-$A37)*(1-(1-$A37)^MIN(B$6,$B$11))/($A37*MIN(B$6,$B$11)))^2)+IF(OR(C$7="",C$8=0),0,C$8*(C$7-S$16*(1-$A37)*(1-(1-$A37)^MIN(C$6,$B$11))/($A37*MIN(C$6,$B$11)))^2)+IF(OR(D$7="",D$8=0),0,D$8*(D$7-S$16*(1-$A37)*(1-(1-$A37)^MIN(D$6,$B$11))/($A37*MIN(D$6,$B$11)))^2)+IF(OR(E$7="",E$8=0),0,E$8*(E$7-S$16*(1-$A37)*(1-(1-$A37)^MIN(E$6,$B$11))/($A37*MIN(E$6,$B$11)))^2)</f>
        <v/>
      </c>
      <c r="U37" s="27">
        <f>MIN(B37:S37)</f>
        <v/>
      </c>
      <c r="V37" s="17">
        <f>MATCH(U37,B37:S37,0)</f>
        <v/>
      </c>
    </row>
    <row r="38">
      <c r="A38" s="26" t="n">
        <v>0.0155</v>
      </c>
      <c r="B38" s="27">
        <f>IF(OR(B$7="",B$8=0),0,B$8*(B$7-B$16*(1-$A38)*(1-(1-$A38)^MIN(B$6,$B$11))/($A38*MIN(B$6,$B$11)))^2)+IF(OR(C$7="",C$8=0),0,C$8*(C$7-B$16*(1-$A38)*(1-(1-$A38)^MIN(C$6,$B$11))/($A38*MIN(C$6,$B$11)))^2)+IF(OR(D$7="",D$8=0),0,D$8*(D$7-B$16*(1-$A38)*(1-(1-$A38)^MIN(D$6,$B$11))/($A38*MIN(D$6,$B$11)))^2)+IF(OR(E$7="",E$8=0),0,E$8*(E$7-B$16*(1-$A38)*(1-(1-$A38)^MIN(E$6,$B$11))/($A38*MIN(E$6,$B$11)))^2)</f>
        <v/>
      </c>
      <c r="C38" s="27">
        <f>IF(OR(B$7="",B$8=0),0,B$8*(B$7-C$16*(1-$A38)*(1-(1-$A38)^MIN(B$6,$B$11))/($A38*MIN(B$6,$B$11)))^2)+IF(OR(C$7="",C$8=0),0,C$8*(C$7-C$16*(1-$A38)*(1-(1-$A38)^MIN(C$6,$B$11))/($A38*MIN(C$6,$B$11)))^2)+IF(OR(D$7="",D$8=0),0,D$8*(D$7-C$16*(1-$A38)*(1-(1-$A38)^MIN(D$6,$B$11))/($A38*MIN(D$6,$B$11)))^2)+IF(OR(E$7="",E$8=0),0,E$8*(E$7-C$16*(1-$A38)*(1-(1-$A38)^MIN(E$6,$B$11))/($A38*MIN(E$6,$B$11)))^2)</f>
        <v/>
      </c>
      <c r="D38" s="27">
        <f>IF(OR(B$7="",B$8=0),0,B$8*(B$7-D$16*(1-$A38)*(1-(1-$A38)^MIN(B$6,$B$11))/($A38*MIN(B$6,$B$11)))^2)+IF(OR(C$7="",C$8=0),0,C$8*(C$7-D$16*(1-$A38)*(1-(1-$A38)^MIN(C$6,$B$11))/($A38*MIN(C$6,$B$11)))^2)+IF(OR(D$7="",D$8=0),0,D$8*(D$7-D$16*(1-$A38)*(1-(1-$A38)^MIN(D$6,$B$11))/($A38*MIN(D$6,$B$11)))^2)+IF(OR(E$7="",E$8=0),0,E$8*(E$7-D$16*(1-$A38)*(1-(1-$A38)^MIN(E$6,$B$11))/($A38*MIN(E$6,$B$11)))^2)</f>
        <v/>
      </c>
      <c r="E38" s="27">
        <f>IF(OR(B$7="",B$8=0),0,B$8*(B$7-E$16*(1-$A38)*(1-(1-$A38)^MIN(B$6,$B$11))/($A38*MIN(B$6,$B$11)))^2)+IF(OR(C$7="",C$8=0),0,C$8*(C$7-E$16*(1-$A38)*(1-(1-$A38)^MIN(C$6,$B$11))/($A38*MIN(C$6,$B$11)))^2)+IF(OR(D$7="",D$8=0),0,D$8*(D$7-E$16*(1-$A38)*(1-(1-$A38)^MIN(D$6,$B$11))/($A38*MIN(D$6,$B$11)))^2)+IF(OR(E$7="",E$8=0),0,E$8*(E$7-E$16*(1-$A38)*(1-(1-$A38)^MIN(E$6,$B$11))/($A38*MIN(E$6,$B$11)))^2)</f>
        <v/>
      </c>
      <c r="F38" s="27">
        <f>IF(OR(B$7="",B$8=0),0,B$8*(B$7-F$16*(1-$A38)*(1-(1-$A38)^MIN(B$6,$B$11))/($A38*MIN(B$6,$B$11)))^2)+IF(OR(C$7="",C$8=0),0,C$8*(C$7-F$16*(1-$A38)*(1-(1-$A38)^MIN(C$6,$B$11))/($A38*MIN(C$6,$B$11)))^2)+IF(OR(D$7="",D$8=0),0,D$8*(D$7-F$16*(1-$A38)*(1-(1-$A38)^MIN(D$6,$B$11))/($A38*MIN(D$6,$B$11)))^2)+IF(OR(E$7="",E$8=0),0,E$8*(E$7-F$16*(1-$A38)*(1-(1-$A38)^MIN(E$6,$B$11))/($A38*MIN(E$6,$B$11)))^2)</f>
        <v/>
      </c>
      <c r="G38" s="27">
        <f>IF(OR(B$7="",B$8=0),0,B$8*(B$7-G$16*(1-$A38)*(1-(1-$A38)^MIN(B$6,$B$11))/($A38*MIN(B$6,$B$11)))^2)+IF(OR(C$7="",C$8=0),0,C$8*(C$7-G$16*(1-$A38)*(1-(1-$A38)^MIN(C$6,$B$11))/($A38*MIN(C$6,$B$11)))^2)+IF(OR(D$7="",D$8=0),0,D$8*(D$7-G$16*(1-$A38)*(1-(1-$A38)^MIN(D$6,$B$11))/($A38*MIN(D$6,$B$11)))^2)+IF(OR(E$7="",E$8=0),0,E$8*(E$7-G$16*(1-$A38)*(1-(1-$A38)^MIN(E$6,$B$11))/($A38*MIN(E$6,$B$11)))^2)</f>
        <v/>
      </c>
      <c r="H38" s="27">
        <f>IF(OR(B$7="",B$8=0),0,B$8*(B$7-H$16*(1-$A38)*(1-(1-$A38)^MIN(B$6,$B$11))/($A38*MIN(B$6,$B$11)))^2)+IF(OR(C$7="",C$8=0),0,C$8*(C$7-H$16*(1-$A38)*(1-(1-$A38)^MIN(C$6,$B$11))/($A38*MIN(C$6,$B$11)))^2)+IF(OR(D$7="",D$8=0),0,D$8*(D$7-H$16*(1-$A38)*(1-(1-$A38)^MIN(D$6,$B$11))/($A38*MIN(D$6,$B$11)))^2)+IF(OR(E$7="",E$8=0),0,E$8*(E$7-H$16*(1-$A38)*(1-(1-$A38)^MIN(E$6,$B$11))/($A38*MIN(E$6,$B$11)))^2)</f>
        <v/>
      </c>
      <c r="I38" s="27">
        <f>IF(OR(B$7="",B$8=0),0,B$8*(B$7-I$16*(1-$A38)*(1-(1-$A38)^MIN(B$6,$B$11))/($A38*MIN(B$6,$B$11)))^2)+IF(OR(C$7="",C$8=0),0,C$8*(C$7-I$16*(1-$A38)*(1-(1-$A38)^MIN(C$6,$B$11))/($A38*MIN(C$6,$B$11)))^2)+IF(OR(D$7="",D$8=0),0,D$8*(D$7-I$16*(1-$A38)*(1-(1-$A38)^MIN(D$6,$B$11))/($A38*MIN(D$6,$B$11)))^2)+IF(OR(E$7="",E$8=0),0,E$8*(E$7-I$16*(1-$A38)*(1-(1-$A38)^MIN(E$6,$B$11))/($A38*MIN(E$6,$B$11)))^2)</f>
        <v/>
      </c>
      <c r="J38" s="27">
        <f>IF(OR(B$7="",B$8=0),0,B$8*(B$7-J$16*(1-$A38)*(1-(1-$A38)^MIN(B$6,$B$11))/($A38*MIN(B$6,$B$11)))^2)+IF(OR(C$7="",C$8=0),0,C$8*(C$7-J$16*(1-$A38)*(1-(1-$A38)^MIN(C$6,$B$11))/($A38*MIN(C$6,$B$11)))^2)+IF(OR(D$7="",D$8=0),0,D$8*(D$7-J$16*(1-$A38)*(1-(1-$A38)^MIN(D$6,$B$11))/($A38*MIN(D$6,$B$11)))^2)+IF(OR(E$7="",E$8=0),0,E$8*(E$7-J$16*(1-$A38)*(1-(1-$A38)^MIN(E$6,$B$11))/($A38*MIN(E$6,$B$11)))^2)</f>
        <v/>
      </c>
      <c r="K38" s="27">
        <f>IF(OR(B$7="",B$8=0),0,B$8*(B$7-K$16*(1-$A38)*(1-(1-$A38)^MIN(B$6,$B$11))/($A38*MIN(B$6,$B$11)))^2)+IF(OR(C$7="",C$8=0),0,C$8*(C$7-K$16*(1-$A38)*(1-(1-$A38)^MIN(C$6,$B$11))/($A38*MIN(C$6,$B$11)))^2)+IF(OR(D$7="",D$8=0),0,D$8*(D$7-K$16*(1-$A38)*(1-(1-$A38)^MIN(D$6,$B$11))/($A38*MIN(D$6,$B$11)))^2)+IF(OR(E$7="",E$8=0),0,E$8*(E$7-K$16*(1-$A38)*(1-(1-$A38)^MIN(E$6,$B$11))/($A38*MIN(E$6,$B$11)))^2)</f>
        <v/>
      </c>
      <c r="L38" s="27">
        <f>IF(OR(B$7="",B$8=0),0,B$8*(B$7-L$16*(1-$A38)*(1-(1-$A38)^MIN(B$6,$B$11))/($A38*MIN(B$6,$B$11)))^2)+IF(OR(C$7="",C$8=0),0,C$8*(C$7-L$16*(1-$A38)*(1-(1-$A38)^MIN(C$6,$B$11))/($A38*MIN(C$6,$B$11)))^2)+IF(OR(D$7="",D$8=0),0,D$8*(D$7-L$16*(1-$A38)*(1-(1-$A38)^MIN(D$6,$B$11))/($A38*MIN(D$6,$B$11)))^2)+IF(OR(E$7="",E$8=0),0,E$8*(E$7-L$16*(1-$A38)*(1-(1-$A38)^MIN(E$6,$B$11))/($A38*MIN(E$6,$B$11)))^2)</f>
        <v/>
      </c>
      <c r="M38" s="27">
        <f>IF(OR(B$7="",B$8=0),0,B$8*(B$7-M$16*(1-$A38)*(1-(1-$A38)^MIN(B$6,$B$11))/($A38*MIN(B$6,$B$11)))^2)+IF(OR(C$7="",C$8=0),0,C$8*(C$7-M$16*(1-$A38)*(1-(1-$A38)^MIN(C$6,$B$11))/($A38*MIN(C$6,$B$11)))^2)+IF(OR(D$7="",D$8=0),0,D$8*(D$7-M$16*(1-$A38)*(1-(1-$A38)^MIN(D$6,$B$11))/($A38*MIN(D$6,$B$11)))^2)+IF(OR(E$7="",E$8=0),0,E$8*(E$7-M$16*(1-$A38)*(1-(1-$A38)^MIN(E$6,$B$11))/($A38*MIN(E$6,$B$11)))^2)</f>
        <v/>
      </c>
      <c r="N38" s="27">
        <f>IF(OR(B$7="",B$8=0),0,B$8*(B$7-N$16*(1-$A38)*(1-(1-$A38)^MIN(B$6,$B$11))/($A38*MIN(B$6,$B$11)))^2)+IF(OR(C$7="",C$8=0),0,C$8*(C$7-N$16*(1-$A38)*(1-(1-$A38)^MIN(C$6,$B$11))/($A38*MIN(C$6,$B$11)))^2)+IF(OR(D$7="",D$8=0),0,D$8*(D$7-N$16*(1-$A38)*(1-(1-$A38)^MIN(D$6,$B$11))/($A38*MIN(D$6,$B$11)))^2)+IF(OR(E$7="",E$8=0),0,E$8*(E$7-N$16*(1-$A38)*(1-(1-$A38)^MIN(E$6,$B$11))/($A38*MIN(E$6,$B$11)))^2)</f>
        <v/>
      </c>
      <c r="O38" s="27">
        <f>IF(OR(B$7="",B$8=0),0,B$8*(B$7-O$16*(1-$A38)*(1-(1-$A38)^MIN(B$6,$B$11))/($A38*MIN(B$6,$B$11)))^2)+IF(OR(C$7="",C$8=0),0,C$8*(C$7-O$16*(1-$A38)*(1-(1-$A38)^MIN(C$6,$B$11))/($A38*MIN(C$6,$B$11)))^2)+IF(OR(D$7="",D$8=0),0,D$8*(D$7-O$16*(1-$A38)*(1-(1-$A38)^MIN(D$6,$B$11))/($A38*MIN(D$6,$B$11)))^2)+IF(OR(E$7="",E$8=0),0,E$8*(E$7-O$16*(1-$A38)*(1-(1-$A38)^MIN(E$6,$B$11))/($A38*MIN(E$6,$B$11)))^2)</f>
        <v/>
      </c>
      <c r="P38" s="27">
        <f>IF(OR(B$7="",B$8=0),0,B$8*(B$7-P$16*(1-$A38)*(1-(1-$A38)^MIN(B$6,$B$11))/($A38*MIN(B$6,$B$11)))^2)+IF(OR(C$7="",C$8=0),0,C$8*(C$7-P$16*(1-$A38)*(1-(1-$A38)^MIN(C$6,$B$11))/($A38*MIN(C$6,$B$11)))^2)+IF(OR(D$7="",D$8=0),0,D$8*(D$7-P$16*(1-$A38)*(1-(1-$A38)^MIN(D$6,$B$11))/($A38*MIN(D$6,$B$11)))^2)+IF(OR(E$7="",E$8=0),0,E$8*(E$7-P$16*(1-$A38)*(1-(1-$A38)^MIN(E$6,$B$11))/($A38*MIN(E$6,$B$11)))^2)</f>
        <v/>
      </c>
      <c r="Q38" s="27">
        <f>IF(OR(B$7="",B$8=0),0,B$8*(B$7-Q$16*(1-$A38)*(1-(1-$A38)^MIN(B$6,$B$11))/($A38*MIN(B$6,$B$11)))^2)+IF(OR(C$7="",C$8=0),0,C$8*(C$7-Q$16*(1-$A38)*(1-(1-$A38)^MIN(C$6,$B$11))/($A38*MIN(C$6,$B$11)))^2)+IF(OR(D$7="",D$8=0),0,D$8*(D$7-Q$16*(1-$A38)*(1-(1-$A38)^MIN(D$6,$B$11))/($A38*MIN(D$6,$B$11)))^2)+IF(OR(E$7="",E$8=0),0,E$8*(E$7-Q$16*(1-$A38)*(1-(1-$A38)^MIN(E$6,$B$11))/($A38*MIN(E$6,$B$11)))^2)</f>
        <v/>
      </c>
      <c r="R38" s="27">
        <f>IF(OR(B$7="",B$8=0),0,B$8*(B$7-R$16*(1-$A38)*(1-(1-$A38)^MIN(B$6,$B$11))/($A38*MIN(B$6,$B$11)))^2)+IF(OR(C$7="",C$8=0),0,C$8*(C$7-R$16*(1-$A38)*(1-(1-$A38)^MIN(C$6,$B$11))/($A38*MIN(C$6,$B$11)))^2)+IF(OR(D$7="",D$8=0),0,D$8*(D$7-R$16*(1-$A38)*(1-(1-$A38)^MIN(D$6,$B$11))/($A38*MIN(D$6,$B$11)))^2)+IF(OR(E$7="",E$8=0),0,E$8*(E$7-R$16*(1-$A38)*(1-(1-$A38)^MIN(E$6,$B$11))/($A38*MIN(E$6,$B$11)))^2)</f>
        <v/>
      </c>
      <c r="S38" s="27">
        <f>IF(OR(B$7="",B$8=0),0,B$8*(B$7-S$16*(1-$A38)*(1-(1-$A38)^MIN(B$6,$B$11))/($A38*MIN(B$6,$B$11)))^2)+IF(OR(C$7="",C$8=0),0,C$8*(C$7-S$16*(1-$A38)*(1-(1-$A38)^MIN(C$6,$B$11))/($A38*MIN(C$6,$B$11)))^2)+IF(OR(D$7="",D$8=0),0,D$8*(D$7-S$16*(1-$A38)*(1-(1-$A38)^MIN(D$6,$B$11))/($A38*MIN(D$6,$B$11)))^2)+IF(OR(E$7="",E$8=0),0,E$8*(E$7-S$16*(1-$A38)*(1-(1-$A38)^MIN(E$6,$B$11))/($A38*MIN(E$6,$B$11)))^2)</f>
        <v/>
      </c>
      <c r="U38" s="27">
        <f>MIN(B38:S38)</f>
        <v/>
      </c>
      <c r="V38" s="17">
        <f>MATCH(U38,B38:S38,0)</f>
        <v/>
      </c>
    </row>
    <row r="39">
      <c r="A39" s="26" t="n">
        <v>0.016</v>
      </c>
      <c r="B39" s="27">
        <f>IF(OR(B$7="",B$8=0),0,B$8*(B$7-B$16*(1-$A39)*(1-(1-$A39)^MIN(B$6,$B$11))/($A39*MIN(B$6,$B$11)))^2)+IF(OR(C$7="",C$8=0),0,C$8*(C$7-B$16*(1-$A39)*(1-(1-$A39)^MIN(C$6,$B$11))/($A39*MIN(C$6,$B$11)))^2)+IF(OR(D$7="",D$8=0),0,D$8*(D$7-B$16*(1-$A39)*(1-(1-$A39)^MIN(D$6,$B$11))/($A39*MIN(D$6,$B$11)))^2)+IF(OR(E$7="",E$8=0),0,E$8*(E$7-B$16*(1-$A39)*(1-(1-$A39)^MIN(E$6,$B$11))/($A39*MIN(E$6,$B$11)))^2)</f>
        <v/>
      </c>
      <c r="C39" s="27">
        <f>IF(OR(B$7="",B$8=0),0,B$8*(B$7-C$16*(1-$A39)*(1-(1-$A39)^MIN(B$6,$B$11))/($A39*MIN(B$6,$B$11)))^2)+IF(OR(C$7="",C$8=0),0,C$8*(C$7-C$16*(1-$A39)*(1-(1-$A39)^MIN(C$6,$B$11))/($A39*MIN(C$6,$B$11)))^2)+IF(OR(D$7="",D$8=0),0,D$8*(D$7-C$16*(1-$A39)*(1-(1-$A39)^MIN(D$6,$B$11))/($A39*MIN(D$6,$B$11)))^2)+IF(OR(E$7="",E$8=0),0,E$8*(E$7-C$16*(1-$A39)*(1-(1-$A39)^MIN(E$6,$B$11))/($A39*MIN(E$6,$B$11)))^2)</f>
        <v/>
      </c>
      <c r="D39" s="27">
        <f>IF(OR(B$7="",B$8=0),0,B$8*(B$7-D$16*(1-$A39)*(1-(1-$A39)^MIN(B$6,$B$11))/($A39*MIN(B$6,$B$11)))^2)+IF(OR(C$7="",C$8=0),0,C$8*(C$7-D$16*(1-$A39)*(1-(1-$A39)^MIN(C$6,$B$11))/($A39*MIN(C$6,$B$11)))^2)+IF(OR(D$7="",D$8=0),0,D$8*(D$7-D$16*(1-$A39)*(1-(1-$A39)^MIN(D$6,$B$11))/($A39*MIN(D$6,$B$11)))^2)+IF(OR(E$7="",E$8=0),0,E$8*(E$7-D$16*(1-$A39)*(1-(1-$A39)^MIN(E$6,$B$11))/($A39*MIN(E$6,$B$11)))^2)</f>
        <v/>
      </c>
      <c r="E39" s="27">
        <f>IF(OR(B$7="",B$8=0),0,B$8*(B$7-E$16*(1-$A39)*(1-(1-$A39)^MIN(B$6,$B$11))/($A39*MIN(B$6,$B$11)))^2)+IF(OR(C$7="",C$8=0),0,C$8*(C$7-E$16*(1-$A39)*(1-(1-$A39)^MIN(C$6,$B$11))/($A39*MIN(C$6,$B$11)))^2)+IF(OR(D$7="",D$8=0),0,D$8*(D$7-E$16*(1-$A39)*(1-(1-$A39)^MIN(D$6,$B$11))/($A39*MIN(D$6,$B$11)))^2)+IF(OR(E$7="",E$8=0),0,E$8*(E$7-E$16*(1-$A39)*(1-(1-$A39)^MIN(E$6,$B$11))/($A39*MIN(E$6,$B$11)))^2)</f>
        <v/>
      </c>
      <c r="F39" s="27">
        <f>IF(OR(B$7="",B$8=0),0,B$8*(B$7-F$16*(1-$A39)*(1-(1-$A39)^MIN(B$6,$B$11))/($A39*MIN(B$6,$B$11)))^2)+IF(OR(C$7="",C$8=0),0,C$8*(C$7-F$16*(1-$A39)*(1-(1-$A39)^MIN(C$6,$B$11))/($A39*MIN(C$6,$B$11)))^2)+IF(OR(D$7="",D$8=0),0,D$8*(D$7-F$16*(1-$A39)*(1-(1-$A39)^MIN(D$6,$B$11))/($A39*MIN(D$6,$B$11)))^2)+IF(OR(E$7="",E$8=0),0,E$8*(E$7-F$16*(1-$A39)*(1-(1-$A39)^MIN(E$6,$B$11))/($A39*MIN(E$6,$B$11)))^2)</f>
        <v/>
      </c>
      <c r="G39" s="27">
        <f>IF(OR(B$7="",B$8=0),0,B$8*(B$7-G$16*(1-$A39)*(1-(1-$A39)^MIN(B$6,$B$11))/($A39*MIN(B$6,$B$11)))^2)+IF(OR(C$7="",C$8=0),0,C$8*(C$7-G$16*(1-$A39)*(1-(1-$A39)^MIN(C$6,$B$11))/($A39*MIN(C$6,$B$11)))^2)+IF(OR(D$7="",D$8=0),0,D$8*(D$7-G$16*(1-$A39)*(1-(1-$A39)^MIN(D$6,$B$11))/($A39*MIN(D$6,$B$11)))^2)+IF(OR(E$7="",E$8=0),0,E$8*(E$7-G$16*(1-$A39)*(1-(1-$A39)^MIN(E$6,$B$11))/($A39*MIN(E$6,$B$11)))^2)</f>
        <v/>
      </c>
      <c r="H39" s="27">
        <f>IF(OR(B$7="",B$8=0),0,B$8*(B$7-H$16*(1-$A39)*(1-(1-$A39)^MIN(B$6,$B$11))/($A39*MIN(B$6,$B$11)))^2)+IF(OR(C$7="",C$8=0),0,C$8*(C$7-H$16*(1-$A39)*(1-(1-$A39)^MIN(C$6,$B$11))/($A39*MIN(C$6,$B$11)))^2)+IF(OR(D$7="",D$8=0),0,D$8*(D$7-H$16*(1-$A39)*(1-(1-$A39)^MIN(D$6,$B$11))/($A39*MIN(D$6,$B$11)))^2)+IF(OR(E$7="",E$8=0),0,E$8*(E$7-H$16*(1-$A39)*(1-(1-$A39)^MIN(E$6,$B$11))/($A39*MIN(E$6,$B$11)))^2)</f>
        <v/>
      </c>
      <c r="I39" s="27">
        <f>IF(OR(B$7="",B$8=0),0,B$8*(B$7-I$16*(1-$A39)*(1-(1-$A39)^MIN(B$6,$B$11))/($A39*MIN(B$6,$B$11)))^2)+IF(OR(C$7="",C$8=0),0,C$8*(C$7-I$16*(1-$A39)*(1-(1-$A39)^MIN(C$6,$B$11))/($A39*MIN(C$6,$B$11)))^2)+IF(OR(D$7="",D$8=0),0,D$8*(D$7-I$16*(1-$A39)*(1-(1-$A39)^MIN(D$6,$B$11))/($A39*MIN(D$6,$B$11)))^2)+IF(OR(E$7="",E$8=0),0,E$8*(E$7-I$16*(1-$A39)*(1-(1-$A39)^MIN(E$6,$B$11))/($A39*MIN(E$6,$B$11)))^2)</f>
        <v/>
      </c>
      <c r="J39" s="27">
        <f>IF(OR(B$7="",B$8=0),0,B$8*(B$7-J$16*(1-$A39)*(1-(1-$A39)^MIN(B$6,$B$11))/($A39*MIN(B$6,$B$11)))^2)+IF(OR(C$7="",C$8=0),0,C$8*(C$7-J$16*(1-$A39)*(1-(1-$A39)^MIN(C$6,$B$11))/($A39*MIN(C$6,$B$11)))^2)+IF(OR(D$7="",D$8=0),0,D$8*(D$7-J$16*(1-$A39)*(1-(1-$A39)^MIN(D$6,$B$11))/($A39*MIN(D$6,$B$11)))^2)+IF(OR(E$7="",E$8=0),0,E$8*(E$7-J$16*(1-$A39)*(1-(1-$A39)^MIN(E$6,$B$11))/($A39*MIN(E$6,$B$11)))^2)</f>
        <v/>
      </c>
      <c r="K39" s="27">
        <f>IF(OR(B$7="",B$8=0),0,B$8*(B$7-K$16*(1-$A39)*(1-(1-$A39)^MIN(B$6,$B$11))/($A39*MIN(B$6,$B$11)))^2)+IF(OR(C$7="",C$8=0),0,C$8*(C$7-K$16*(1-$A39)*(1-(1-$A39)^MIN(C$6,$B$11))/($A39*MIN(C$6,$B$11)))^2)+IF(OR(D$7="",D$8=0),0,D$8*(D$7-K$16*(1-$A39)*(1-(1-$A39)^MIN(D$6,$B$11))/($A39*MIN(D$6,$B$11)))^2)+IF(OR(E$7="",E$8=0),0,E$8*(E$7-K$16*(1-$A39)*(1-(1-$A39)^MIN(E$6,$B$11))/($A39*MIN(E$6,$B$11)))^2)</f>
        <v/>
      </c>
      <c r="L39" s="27">
        <f>IF(OR(B$7="",B$8=0),0,B$8*(B$7-L$16*(1-$A39)*(1-(1-$A39)^MIN(B$6,$B$11))/($A39*MIN(B$6,$B$11)))^2)+IF(OR(C$7="",C$8=0),0,C$8*(C$7-L$16*(1-$A39)*(1-(1-$A39)^MIN(C$6,$B$11))/($A39*MIN(C$6,$B$11)))^2)+IF(OR(D$7="",D$8=0),0,D$8*(D$7-L$16*(1-$A39)*(1-(1-$A39)^MIN(D$6,$B$11))/($A39*MIN(D$6,$B$11)))^2)+IF(OR(E$7="",E$8=0),0,E$8*(E$7-L$16*(1-$A39)*(1-(1-$A39)^MIN(E$6,$B$11))/($A39*MIN(E$6,$B$11)))^2)</f>
        <v/>
      </c>
      <c r="M39" s="27">
        <f>IF(OR(B$7="",B$8=0),0,B$8*(B$7-M$16*(1-$A39)*(1-(1-$A39)^MIN(B$6,$B$11))/($A39*MIN(B$6,$B$11)))^2)+IF(OR(C$7="",C$8=0),0,C$8*(C$7-M$16*(1-$A39)*(1-(1-$A39)^MIN(C$6,$B$11))/($A39*MIN(C$6,$B$11)))^2)+IF(OR(D$7="",D$8=0),0,D$8*(D$7-M$16*(1-$A39)*(1-(1-$A39)^MIN(D$6,$B$11))/($A39*MIN(D$6,$B$11)))^2)+IF(OR(E$7="",E$8=0),0,E$8*(E$7-M$16*(1-$A39)*(1-(1-$A39)^MIN(E$6,$B$11))/($A39*MIN(E$6,$B$11)))^2)</f>
        <v/>
      </c>
      <c r="N39" s="27">
        <f>IF(OR(B$7="",B$8=0),0,B$8*(B$7-N$16*(1-$A39)*(1-(1-$A39)^MIN(B$6,$B$11))/($A39*MIN(B$6,$B$11)))^2)+IF(OR(C$7="",C$8=0),0,C$8*(C$7-N$16*(1-$A39)*(1-(1-$A39)^MIN(C$6,$B$11))/($A39*MIN(C$6,$B$11)))^2)+IF(OR(D$7="",D$8=0),0,D$8*(D$7-N$16*(1-$A39)*(1-(1-$A39)^MIN(D$6,$B$11))/($A39*MIN(D$6,$B$11)))^2)+IF(OR(E$7="",E$8=0),0,E$8*(E$7-N$16*(1-$A39)*(1-(1-$A39)^MIN(E$6,$B$11))/($A39*MIN(E$6,$B$11)))^2)</f>
        <v/>
      </c>
      <c r="O39" s="27">
        <f>IF(OR(B$7="",B$8=0),0,B$8*(B$7-O$16*(1-$A39)*(1-(1-$A39)^MIN(B$6,$B$11))/($A39*MIN(B$6,$B$11)))^2)+IF(OR(C$7="",C$8=0),0,C$8*(C$7-O$16*(1-$A39)*(1-(1-$A39)^MIN(C$6,$B$11))/($A39*MIN(C$6,$B$11)))^2)+IF(OR(D$7="",D$8=0),0,D$8*(D$7-O$16*(1-$A39)*(1-(1-$A39)^MIN(D$6,$B$11))/($A39*MIN(D$6,$B$11)))^2)+IF(OR(E$7="",E$8=0),0,E$8*(E$7-O$16*(1-$A39)*(1-(1-$A39)^MIN(E$6,$B$11))/($A39*MIN(E$6,$B$11)))^2)</f>
        <v/>
      </c>
      <c r="P39" s="27">
        <f>IF(OR(B$7="",B$8=0),0,B$8*(B$7-P$16*(1-$A39)*(1-(1-$A39)^MIN(B$6,$B$11))/($A39*MIN(B$6,$B$11)))^2)+IF(OR(C$7="",C$8=0),0,C$8*(C$7-P$16*(1-$A39)*(1-(1-$A39)^MIN(C$6,$B$11))/($A39*MIN(C$6,$B$11)))^2)+IF(OR(D$7="",D$8=0),0,D$8*(D$7-P$16*(1-$A39)*(1-(1-$A39)^MIN(D$6,$B$11))/($A39*MIN(D$6,$B$11)))^2)+IF(OR(E$7="",E$8=0),0,E$8*(E$7-P$16*(1-$A39)*(1-(1-$A39)^MIN(E$6,$B$11))/($A39*MIN(E$6,$B$11)))^2)</f>
        <v/>
      </c>
      <c r="Q39" s="27">
        <f>IF(OR(B$7="",B$8=0),0,B$8*(B$7-Q$16*(1-$A39)*(1-(1-$A39)^MIN(B$6,$B$11))/($A39*MIN(B$6,$B$11)))^2)+IF(OR(C$7="",C$8=0),0,C$8*(C$7-Q$16*(1-$A39)*(1-(1-$A39)^MIN(C$6,$B$11))/($A39*MIN(C$6,$B$11)))^2)+IF(OR(D$7="",D$8=0),0,D$8*(D$7-Q$16*(1-$A39)*(1-(1-$A39)^MIN(D$6,$B$11))/($A39*MIN(D$6,$B$11)))^2)+IF(OR(E$7="",E$8=0),0,E$8*(E$7-Q$16*(1-$A39)*(1-(1-$A39)^MIN(E$6,$B$11))/($A39*MIN(E$6,$B$11)))^2)</f>
        <v/>
      </c>
      <c r="R39" s="27">
        <f>IF(OR(B$7="",B$8=0),0,B$8*(B$7-R$16*(1-$A39)*(1-(1-$A39)^MIN(B$6,$B$11))/($A39*MIN(B$6,$B$11)))^2)+IF(OR(C$7="",C$8=0),0,C$8*(C$7-R$16*(1-$A39)*(1-(1-$A39)^MIN(C$6,$B$11))/($A39*MIN(C$6,$B$11)))^2)+IF(OR(D$7="",D$8=0),0,D$8*(D$7-R$16*(1-$A39)*(1-(1-$A39)^MIN(D$6,$B$11))/($A39*MIN(D$6,$B$11)))^2)+IF(OR(E$7="",E$8=0),0,E$8*(E$7-R$16*(1-$A39)*(1-(1-$A39)^MIN(E$6,$B$11))/($A39*MIN(E$6,$B$11)))^2)</f>
        <v/>
      </c>
      <c r="S39" s="27">
        <f>IF(OR(B$7="",B$8=0),0,B$8*(B$7-S$16*(1-$A39)*(1-(1-$A39)^MIN(B$6,$B$11))/($A39*MIN(B$6,$B$11)))^2)+IF(OR(C$7="",C$8=0),0,C$8*(C$7-S$16*(1-$A39)*(1-(1-$A39)^MIN(C$6,$B$11))/($A39*MIN(C$6,$B$11)))^2)+IF(OR(D$7="",D$8=0),0,D$8*(D$7-S$16*(1-$A39)*(1-(1-$A39)^MIN(D$6,$B$11))/($A39*MIN(D$6,$B$11)))^2)+IF(OR(E$7="",E$8=0),0,E$8*(E$7-S$16*(1-$A39)*(1-(1-$A39)^MIN(E$6,$B$11))/($A39*MIN(E$6,$B$11)))^2)</f>
        <v/>
      </c>
      <c r="U39" s="27">
        <f>MIN(B39:S39)</f>
        <v/>
      </c>
      <c r="V39" s="17">
        <f>MATCH(U39,B39:S39,0)</f>
        <v/>
      </c>
    </row>
    <row r="40">
      <c r="A40" s="26" t="n">
        <v>0.0165</v>
      </c>
      <c r="B40" s="27">
        <f>IF(OR(B$7="",B$8=0),0,B$8*(B$7-B$16*(1-$A40)*(1-(1-$A40)^MIN(B$6,$B$11))/($A40*MIN(B$6,$B$11)))^2)+IF(OR(C$7="",C$8=0),0,C$8*(C$7-B$16*(1-$A40)*(1-(1-$A40)^MIN(C$6,$B$11))/($A40*MIN(C$6,$B$11)))^2)+IF(OR(D$7="",D$8=0),0,D$8*(D$7-B$16*(1-$A40)*(1-(1-$A40)^MIN(D$6,$B$11))/($A40*MIN(D$6,$B$11)))^2)+IF(OR(E$7="",E$8=0),0,E$8*(E$7-B$16*(1-$A40)*(1-(1-$A40)^MIN(E$6,$B$11))/($A40*MIN(E$6,$B$11)))^2)</f>
        <v/>
      </c>
      <c r="C40" s="27">
        <f>IF(OR(B$7="",B$8=0),0,B$8*(B$7-C$16*(1-$A40)*(1-(1-$A40)^MIN(B$6,$B$11))/($A40*MIN(B$6,$B$11)))^2)+IF(OR(C$7="",C$8=0),0,C$8*(C$7-C$16*(1-$A40)*(1-(1-$A40)^MIN(C$6,$B$11))/($A40*MIN(C$6,$B$11)))^2)+IF(OR(D$7="",D$8=0),0,D$8*(D$7-C$16*(1-$A40)*(1-(1-$A40)^MIN(D$6,$B$11))/($A40*MIN(D$6,$B$11)))^2)+IF(OR(E$7="",E$8=0),0,E$8*(E$7-C$16*(1-$A40)*(1-(1-$A40)^MIN(E$6,$B$11))/($A40*MIN(E$6,$B$11)))^2)</f>
        <v/>
      </c>
      <c r="D40" s="27">
        <f>IF(OR(B$7="",B$8=0),0,B$8*(B$7-D$16*(1-$A40)*(1-(1-$A40)^MIN(B$6,$B$11))/($A40*MIN(B$6,$B$11)))^2)+IF(OR(C$7="",C$8=0),0,C$8*(C$7-D$16*(1-$A40)*(1-(1-$A40)^MIN(C$6,$B$11))/($A40*MIN(C$6,$B$11)))^2)+IF(OR(D$7="",D$8=0),0,D$8*(D$7-D$16*(1-$A40)*(1-(1-$A40)^MIN(D$6,$B$11))/($A40*MIN(D$6,$B$11)))^2)+IF(OR(E$7="",E$8=0),0,E$8*(E$7-D$16*(1-$A40)*(1-(1-$A40)^MIN(E$6,$B$11))/($A40*MIN(E$6,$B$11)))^2)</f>
        <v/>
      </c>
      <c r="E40" s="27">
        <f>IF(OR(B$7="",B$8=0),0,B$8*(B$7-E$16*(1-$A40)*(1-(1-$A40)^MIN(B$6,$B$11))/($A40*MIN(B$6,$B$11)))^2)+IF(OR(C$7="",C$8=0),0,C$8*(C$7-E$16*(1-$A40)*(1-(1-$A40)^MIN(C$6,$B$11))/($A40*MIN(C$6,$B$11)))^2)+IF(OR(D$7="",D$8=0),0,D$8*(D$7-E$16*(1-$A40)*(1-(1-$A40)^MIN(D$6,$B$11))/($A40*MIN(D$6,$B$11)))^2)+IF(OR(E$7="",E$8=0),0,E$8*(E$7-E$16*(1-$A40)*(1-(1-$A40)^MIN(E$6,$B$11))/($A40*MIN(E$6,$B$11)))^2)</f>
        <v/>
      </c>
      <c r="F40" s="27">
        <f>IF(OR(B$7="",B$8=0),0,B$8*(B$7-F$16*(1-$A40)*(1-(1-$A40)^MIN(B$6,$B$11))/($A40*MIN(B$6,$B$11)))^2)+IF(OR(C$7="",C$8=0),0,C$8*(C$7-F$16*(1-$A40)*(1-(1-$A40)^MIN(C$6,$B$11))/($A40*MIN(C$6,$B$11)))^2)+IF(OR(D$7="",D$8=0),0,D$8*(D$7-F$16*(1-$A40)*(1-(1-$A40)^MIN(D$6,$B$11))/($A40*MIN(D$6,$B$11)))^2)+IF(OR(E$7="",E$8=0),0,E$8*(E$7-F$16*(1-$A40)*(1-(1-$A40)^MIN(E$6,$B$11))/($A40*MIN(E$6,$B$11)))^2)</f>
        <v/>
      </c>
      <c r="G40" s="27">
        <f>IF(OR(B$7="",B$8=0),0,B$8*(B$7-G$16*(1-$A40)*(1-(1-$A40)^MIN(B$6,$B$11))/($A40*MIN(B$6,$B$11)))^2)+IF(OR(C$7="",C$8=0),0,C$8*(C$7-G$16*(1-$A40)*(1-(1-$A40)^MIN(C$6,$B$11))/($A40*MIN(C$6,$B$11)))^2)+IF(OR(D$7="",D$8=0),0,D$8*(D$7-G$16*(1-$A40)*(1-(1-$A40)^MIN(D$6,$B$11))/($A40*MIN(D$6,$B$11)))^2)+IF(OR(E$7="",E$8=0),0,E$8*(E$7-G$16*(1-$A40)*(1-(1-$A40)^MIN(E$6,$B$11))/($A40*MIN(E$6,$B$11)))^2)</f>
        <v/>
      </c>
      <c r="H40" s="27">
        <f>IF(OR(B$7="",B$8=0),0,B$8*(B$7-H$16*(1-$A40)*(1-(1-$A40)^MIN(B$6,$B$11))/($A40*MIN(B$6,$B$11)))^2)+IF(OR(C$7="",C$8=0),0,C$8*(C$7-H$16*(1-$A40)*(1-(1-$A40)^MIN(C$6,$B$11))/($A40*MIN(C$6,$B$11)))^2)+IF(OR(D$7="",D$8=0),0,D$8*(D$7-H$16*(1-$A40)*(1-(1-$A40)^MIN(D$6,$B$11))/($A40*MIN(D$6,$B$11)))^2)+IF(OR(E$7="",E$8=0),0,E$8*(E$7-H$16*(1-$A40)*(1-(1-$A40)^MIN(E$6,$B$11))/($A40*MIN(E$6,$B$11)))^2)</f>
        <v/>
      </c>
      <c r="I40" s="27">
        <f>IF(OR(B$7="",B$8=0),0,B$8*(B$7-I$16*(1-$A40)*(1-(1-$A40)^MIN(B$6,$B$11))/($A40*MIN(B$6,$B$11)))^2)+IF(OR(C$7="",C$8=0),0,C$8*(C$7-I$16*(1-$A40)*(1-(1-$A40)^MIN(C$6,$B$11))/($A40*MIN(C$6,$B$11)))^2)+IF(OR(D$7="",D$8=0),0,D$8*(D$7-I$16*(1-$A40)*(1-(1-$A40)^MIN(D$6,$B$11))/($A40*MIN(D$6,$B$11)))^2)+IF(OR(E$7="",E$8=0),0,E$8*(E$7-I$16*(1-$A40)*(1-(1-$A40)^MIN(E$6,$B$11))/($A40*MIN(E$6,$B$11)))^2)</f>
        <v/>
      </c>
      <c r="J40" s="27">
        <f>IF(OR(B$7="",B$8=0),0,B$8*(B$7-J$16*(1-$A40)*(1-(1-$A40)^MIN(B$6,$B$11))/($A40*MIN(B$6,$B$11)))^2)+IF(OR(C$7="",C$8=0),0,C$8*(C$7-J$16*(1-$A40)*(1-(1-$A40)^MIN(C$6,$B$11))/($A40*MIN(C$6,$B$11)))^2)+IF(OR(D$7="",D$8=0),0,D$8*(D$7-J$16*(1-$A40)*(1-(1-$A40)^MIN(D$6,$B$11))/($A40*MIN(D$6,$B$11)))^2)+IF(OR(E$7="",E$8=0),0,E$8*(E$7-J$16*(1-$A40)*(1-(1-$A40)^MIN(E$6,$B$11))/($A40*MIN(E$6,$B$11)))^2)</f>
        <v/>
      </c>
      <c r="K40" s="27">
        <f>IF(OR(B$7="",B$8=0),0,B$8*(B$7-K$16*(1-$A40)*(1-(1-$A40)^MIN(B$6,$B$11))/($A40*MIN(B$6,$B$11)))^2)+IF(OR(C$7="",C$8=0),0,C$8*(C$7-K$16*(1-$A40)*(1-(1-$A40)^MIN(C$6,$B$11))/($A40*MIN(C$6,$B$11)))^2)+IF(OR(D$7="",D$8=0),0,D$8*(D$7-K$16*(1-$A40)*(1-(1-$A40)^MIN(D$6,$B$11))/($A40*MIN(D$6,$B$11)))^2)+IF(OR(E$7="",E$8=0),0,E$8*(E$7-K$16*(1-$A40)*(1-(1-$A40)^MIN(E$6,$B$11))/($A40*MIN(E$6,$B$11)))^2)</f>
        <v/>
      </c>
      <c r="L40" s="27">
        <f>IF(OR(B$7="",B$8=0),0,B$8*(B$7-L$16*(1-$A40)*(1-(1-$A40)^MIN(B$6,$B$11))/($A40*MIN(B$6,$B$11)))^2)+IF(OR(C$7="",C$8=0),0,C$8*(C$7-L$16*(1-$A40)*(1-(1-$A40)^MIN(C$6,$B$11))/($A40*MIN(C$6,$B$11)))^2)+IF(OR(D$7="",D$8=0),0,D$8*(D$7-L$16*(1-$A40)*(1-(1-$A40)^MIN(D$6,$B$11))/($A40*MIN(D$6,$B$11)))^2)+IF(OR(E$7="",E$8=0),0,E$8*(E$7-L$16*(1-$A40)*(1-(1-$A40)^MIN(E$6,$B$11))/($A40*MIN(E$6,$B$11)))^2)</f>
        <v/>
      </c>
      <c r="M40" s="27">
        <f>IF(OR(B$7="",B$8=0),0,B$8*(B$7-M$16*(1-$A40)*(1-(1-$A40)^MIN(B$6,$B$11))/($A40*MIN(B$6,$B$11)))^2)+IF(OR(C$7="",C$8=0),0,C$8*(C$7-M$16*(1-$A40)*(1-(1-$A40)^MIN(C$6,$B$11))/($A40*MIN(C$6,$B$11)))^2)+IF(OR(D$7="",D$8=0),0,D$8*(D$7-M$16*(1-$A40)*(1-(1-$A40)^MIN(D$6,$B$11))/($A40*MIN(D$6,$B$11)))^2)+IF(OR(E$7="",E$8=0),0,E$8*(E$7-M$16*(1-$A40)*(1-(1-$A40)^MIN(E$6,$B$11))/($A40*MIN(E$6,$B$11)))^2)</f>
        <v/>
      </c>
      <c r="N40" s="27">
        <f>IF(OR(B$7="",B$8=0),0,B$8*(B$7-N$16*(1-$A40)*(1-(1-$A40)^MIN(B$6,$B$11))/($A40*MIN(B$6,$B$11)))^2)+IF(OR(C$7="",C$8=0),0,C$8*(C$7-N$16*(1-$A40)*(1-(1-$A40)^MIN(C$6,$B$11))/($A40*MIN(C$6,$B$11)))^2)+IF(OR(D$7="",D$8=0),0,D$8*(D$7-N$16*(1-$A40)*(1-(1-$A40)^MIN(D$6,$B$11))/($A40*MIN(D$6,$B$11)))^2)+IF(OR(E$7="",E$8=0),0,E$8*(E$7-N$16*(1-$A40)*(1-(1-$A40)^MIN(E$6,$B$11))/($A40*MIN(E$6,$B$11)))^2)</f>
        <v/>
      </c>
      <c r="O40" s="27">
        <f>IF(OR(B$7="",B$8=0),0,B$8*(B$7-O$16*(1-$A40)*(1-(1-$A40)^MIN(B$6,$B$11))/($A40*MIN(B$6,$B$11)))^2)+IF(OR(C$7="",C$8=0),0,C$8*(C$7-O$16*(1-$A40)*(1-(1-$A40)^MIN(C$6,$B$11))/($A40*MIN(C$6,$B$11)))^2)+IF(OR(D$7="",D$8=0),0,D$8*(D$7-O$16*(1-$A40)*(1-(1-$A40)^MIN(D$6,$B$11))/($A40*MIN(D$6,$B$11)))^2)+IF(OR(E$7="",E$8=0),0,E$8*(E$7-O$16*(1-$A40)*(1-(1-$A40)^MIN(E$6,$B$11))/($A40*MIN(E$6,$B$11)))^2)</f>
        <v/>
      </c>
      <c r="P40" s="27">
        <f>IF(OR(B$7="",B$8=0),0,B$8*(B$7-P$16*(1-$A40)*(1-(1-$A40)^MIN(B$6,$B$11))/($A40*MIN(B$6,$B$11)))^2)+IF(OR(C$7="",C$8=0),0,C$8*(C$7-P$16*(1-$A40)*(1-(1-$A40)^MIN(C$6,$B$11))/($A40*MIN(C$6,$B$11)))^2)+IF(OR(D$7="",D$8=0),0,D$8*(D$7-P$16*(1-$A40)*(1-(1-$A40)^MIN(D$6,$B$11))/($A40*MIN(D$6,$B$11)))^2)+IF(OR(E$7="",E$8=0),0,E$8*(E$7-P$16*(1-$A40)*(1-(1-$A40)^MIN(E$6,$B$11))/($A40*MIN(E$6,$B$11)))^2)</f>
        <v/>
      </c>
      <c r="Q40" s="27">
        <f>IF(OR(B$7="",B$8=0),0,B$8*(B$7-Q$16*(1-$A40)*(1-(1-$A40)^MIN(B$6,$B$11))/($A40*MIN(B$6,$B$11)))^2)+IF(OR(C$7="",C$8=0),0,C$8*(C$7-Q$16*(1-$A40)*(1-(1-$A40)^MIN(C$6,$B$11))/($A40*MIN(C$6,$B$11)))^2)+IF(OR(D$7="",D$8=0),0,D$8*(D$7-Q$16*(1-$A40)*(1-(1-$A40)^MIN(D$6,$B$11))/($A40*MIN(D$6,$B$11)))^2)+IF(OR(E$7="",E$8=0),0,E$8*(E$7-Q$16*(1-$A40)*(1-(1-$A40)^MIN(E$6,$B$11))/($A40*MIN(E$6,$B$11)))^2)</f>
        <v/>
      </c>
      <c r="R40" s="27">
        <f>IF(OR(B$7="",B$8=0),0,B$8*(B$7-R$16*(1-$A40)*(1-(1-$A40)^MIN(B$6,$B$11))/($A40*MIN(B$6,$B$11)))^2)+IF(OR(C$7="",C$8=0),0,C$8*(C$7-R$16*(1-$A40)*(1-(1-$A40)^MIN(C$6,$B$11))/($A40*MIN(C$6,$B$11)))^2)+IF(OR(D$7="",D$8=0),0,D$8*(D$7-R$16*(1-$A40)*(1-(1-$A40)^MIN(D$6,$B$11))/($A40*MIN(D$6,$B$11)))^2)+IF(OR(E$7="",E$8=0),0,E$8*(E$7-R$16*(1-$A40)*(1-(1-$A40)^MIN(E$6,$B$11))/($A40*MIN(E$6,$B$11)))^2)</f>
        <v/>
      </c>
      <c r="S40" s="27">
        <f>IF(OR(B$7="",B$8=0),0,B$8*(B$7-S$16*(1-$A40)*(1-(1-$A40)^MIN(B$6,$B$11))/($A40*MIN(B$6,$B$11)))^2)+IF(OR(C$7="",C$8=0),0,C$8*(C$7-S$16*(1-$A40)*(1-(1-$A40)^MIN(C$6,$B$11))/($A40*MIN(C$6,$B$11)))^2)+IF(OR(D$7="",D$8=0),0,D$8*(D$7-S$16*(1-$A40)*(1-(1-$A40)^MIN(D$6,$B$11))/($A40*MIN(D$6,$B$11)))^2)+IF(OR(E$7="",E$8=0),0,E$8*(E$7-S$16*(1-$A40)*(1-(1-$A40)^MIN(E$6,$B$11))/($A40*MIN(E$6,$B$11)))^2)</f>
        <v/>
      </c>
      <c r="U40" s="27">
        <f>MIN(B40:S40)</f>
        <v/>
      </c>
      <c r="V40" s="17">
        <f>MATCH(U40,B40:S40,0)</f>
        <v/>
      </c>
    </row>
    <row r="41">
      <c r="A41" s="26" t="n">
        <v>0.017</v>
      </c>
      <c r="B41" s="27">
        <f>IF(OR(B$7="",B$8=0),0,B$8*(B$7-B$16*(1-$A41)*(1-(1-$A41)^MIN(B$6,$B$11))/($A41*MIN(B$6,$B$11)))^2)+IF(OR(C$7="",C$8=0),0,C$8*(C$7-B$16*(1-$A41)*(1-(1-$A41)^MIN(C$6,$B$11))/($A41*MIN(C$6,$B$11)))^2)+IF(OR(D$7="",D$8=0),0,D$8*(D$7-B$16*(1-$A41)*(1-(1-$A41)^MIN(D$6,$B$11))/($A41*MIN(D$6,$B$11)))^2)+IF(OR(E$7="",E$8=0),0,E$8*(E$7-B$16*(1-$A41)*(1-(1-$A41)^MIN(E$6,$B$11))/($A41*MIN(E$6,$B$11)))^2)</f>
        <v/>
      </c>
      <c r="C41" s="27">
        <f>IF(OR(B$7="",B$8=0),0,B$8*(B$7-C$16*(1-$A41)*(1-(1-$A41)^MIN(B$6,$B$11))/($A41*MIN(B$6,$B$11)))^2)+IF(OR(C$7="",C$8=0),0,C$8*(C$7-C$16*(1-$A41)*(1-(1-$A41)^MIN(C$6,$B$11))/($A41*MIN(C$6,$B$11)))^2)+IF(OR(D$7="",D$8=0),0,D$8*(D$7-C$16*(1-$A41)*(1-(1-$A41)^MIN(D$6,$B$11))/($A41*MIN(D$6,$B$11)))^2)+IF(OR(E$7="",E$8=0),0,E$8*(E$7-C$16*(1-$A41)*(1-(1-$A41)^MIN(E$6,$B$11))/($A41*MIN(E$6,$B$11)))^2)</f>
        <v/>
      </c>
      <c r="D41" s="27">
        <f>IF(OR(B$7="",B$8=0),0,B$8*(B$7-D$16*(1-$A41)*(1-(1-$A41)^MIN(B$6,$B$11))/($A41*MIN(B$6,$B$11)))^2)+IF(OR(C$7="",C$8=0),0,C$8*(C$7-D$16*(1-$A41)*(1-(1-$A41)^MIN(C$6,$B$11))/($A41*MIN(C$6,$B$11)))^2)+IF(OR(D$7="",D$8=0),0,D$8*(D$7-D$16*(1-$A41)*(1-(1-$A41)^MIN(D$6,$B$11))/($A41*MIN(D$6,$B$11)))^2)+IF(OR(E$7="",E$8=0),0,E$8*(E$7-D$16*(1-$A41)*(1-(1-$A41)^MIN(E$6,$B$11))/($A41*MIN(E$6,$B$11)))^2)</f>
        <v/>
      </c>
      <c r="E41" s="27">
        <f>IF(OR(B$7="",B$8=0),0,B$8*(B$7-E$16*(1-$A41)*(1-(1-$A41)^MIN(B$6,$B$11))/($A41*MIN(B$6,$B$11)))^2)+IF(OR(C$7="",C$8=0),0,C$8*(C$7-E$16*(1-$A41)*(1-(1-$A41)^MIN(C$6,$B$11))/($A41*MIN(C$6,$B$11)))^2)+IF(OR(D$7="",D$8=0),0,D$8*(D$7-E$16*(1-$A41)*(1-(1-$A41)^MIN(D$6,$B$11))/($A41*MIN(D$6,$B$11)))^2)+IF(OR(E$7="",E$8=0),0,E$8*(E$7-E$16*(1-$A41)*(1-(1-$A41)^MIN(E$6,$B$11))/($A41*MIN(E$6,$B$11)))^2)</f>
        <v/>
      </c>
      <c r="F41" s="27">
        <f>IF(OR(B$7="",B$8=0),0,B$8*(B$7-F$16*(1-$A41)*(1-(1-$A41)^MIN(B$6,$B$11))/($A41*MIN(B$6,$B$11)))^2)+IF(OR(C$7="",C$8=0),0,C$8*(C$7-F$16*(1-$A41)*(1-(1-$A41)^MIN(C$6,$B$11))/($A41*MIN(C$6,$B$11)))^2)+IF(OR(D$7="",D$8=0),0,D$8*(D$7-F$16*(1-$A41)*(1-(1-$A41)^MIN(D$6,$B$11))/($A41*MIN(D$6,$B$11)))^2)+IF(OR(E$7="",E$8=0),0,E$8*(E$7-F$16*(1-$A41)*(1-(1-$A41)^MIN(E$6,$B$11))/($A41*MIN(E$6,$B$11)))^2)</f>
        <v/>
      </c>
      <c r="G41" s="27">
        <f>IF(OR(B$7="",B$8=0),0,B$8*(B$7-G$16*(1-$A41)*(1-(1-$A41)^MIN(B$6,$B$11))/($A41*MIN(B$6,$B$11)))^2)+IF(OR(C$7="",C$8=0),0,C$8*(C$7-G$16*(1-$A41)*(1-(1-$A41)^MIN(C$6,$B$11))/($A41*MIN(C$6,$B$11)))^2)+IF(OR(D$7="",D$8=0),0,D$8*(D$7-G$16*(1-$A41)*(1-(1-$A41)^MIN(D$6,$B$11))/($A41*MIN(D$6,$B$11)))^2)+IF(OR(E$7="",E$8=0),0,E$8*(E$7-G$16*(1-$A41)*(1-(1-$A41)^MIN(E$6,$B$11))/($A41*MIN(E$6,$B$11)))^2)</f>
        <v/>
      </c>
      <c r="H41" s="27">
        <f>IF(OR(B$7="",B$8=0),0,B$8*(B$7-H$16*(1-$A41)*(1-(1-$A41)^MIN(B$6,$B$11))/($A41*MIN(B$6,$B$11)))^2)+IF(OR(C$7="",C$8=0),0,C$8*(C$7-H$16*(1-$A41)*(1-(1-$A41)^MIN(C$6,$B$11))/($A41*MIN(C$6,$B$11)))^2)+IF(OR(D$7="",D$8=0),0,D$8*(D$7-H$16*(1-$A41)*(1-(1-$A41)^MIN(D$6,$B$11))/($A41*MIN(D$6,$B$11)))^2)+IF(OR(E$7="",E$8=0),0,E$8*(E$7-H$16*(1-$A41)*(1-(1-$A41)^MIN(E$6,$B$11))/($A41*MIN(E$6,$B$11)))^2)</f>
        <v/>
      </c>
      <c r="I41" s="27">
        <f>IF(OR(B$7="",B$8=0),0,B$8*(B$7-I$16*(1-$A41)*(1-(1-$A41)^MIN(B$6,$B$11))/($A41*MIN(B$6,$B$11)))^2)+IF(OR(C$7="",C$8=0),0,C$8*(C$7-I$16*(1-$A41)*(1-(1-$A41)^MIN(C$6,$B$11))/($A41*MIN(C$6,$B$11)))^2)+IF(OR(D$7="",D$8=0),0,D$8*(D$7-I$16*(1-$A41)*(1-(1-$A41)^MIN(D$6,$B$11))/($A41*MIN(D$6,$B$11)))^2)+IF(OR(E$7="",E$8=0),0,E$8*(E$7-I$16*(1-$A41)*(1-(1-$A41)^MIN(E$6,$B$11))/($A41*MIN(E$6,$B$11)))^2)</f>
        <v/>
      </c>
      <c r="J41" s="27">
        <f>IF(OR(B$7="",B$8=0),0,B$8*(B$7-J$16*(1-$A41)*(1-(1-$A41)^MIN(B$6,$B$11))/($A41*MIN(B$6,$B$11)))^2)+IF(OR(C$7="",C$8=0),0,C$8*(C$7-J$16*(1-$A41)*(1-(1-$A41)^MIN(C$6,$B$11))/($A41*MIN(C$6,$B$11)))^2)+IF(OR(D$7="",D$8=0),0,D$8*(D$7-J$16*(1-$A41)*(1-(1-$A41)^MIN(D$6,$B$11))/($A41*MIN(D$6,$B$11)))^2)+IF(OR(E$7="",E$8=0),0,E$8*(E$7-J$16*(1-$A41)*(1-(1-$A41)^MIN(E$6,$B$11))/($A41*MIN(E$6,$B$11)))^2)</f>
        <v/>
      </c>
      <c r="K41" s="27">
        <f>IF(OR(B$7="",B$8=0),0,B$8*(B$7-K$16*(1-$A41)*(1-(1-$A41)^MIN(B$6,$B$11))/($A41*MIN(B$6,$B$11)))^2)+IF(OR(C$7="",C$8=0),0,C$8*(C$7-K$16*(1-$A41)*(1-(1-$A41)^MIN(C$6,$B$11))/($A41*MIN(C$6,$B$11)))^2)+IF(OR(D$7="",D$8=0),0,D$8*(D$7-K$16*(1-$A41)*(1-(1-$A41)^MIN(D$6,$B$11))/($A41*MIN(D$6,$B$11)))^2)+IF(OR(E$7="",E$8=0),0,E$8*(E$7-K$16*(1-$A41)*(1-(1-$A41)^MIN(E$6,$B$11))/($A41*MIN(E$6,$B$11)))^2)</f>
        <v/>
      </c>
      <c r="L41" s="27">
        <f>IF(OR(B$7="",B$8=0),0,B$8*(B$7-L$16*(1-$A41)*(1-(1-$A41)^MIN(B$6,$B$11))/($A41*MIN(B$6,$B$11)))^2)+IF(OR(C$7="",C$8=0),0,C$8*(C$7-L$16*(1-$A41)*(1-(1-$A41)^MIN(C$6,$B$11))/($A41*MIN(C$6,$B$11)))^2)+IF(OR(D$7="",D$8=0),0,D$8*(D$7-L$16*(1-$A41)*(1-(1-$A41)^MIN(D$6,$B$11))/($A41*MIN(D$6,$B$11)))^2)+IF(OR(E$7="",E$8=0),0,E$8*(E$7-L$16*(1-$A41)*(1-(1-$A41)^MIN(E$6,$B$11))/($A41*MIN(E$6,$B$11)))^2)</f>
        <v/>
      </c>
      <c r="M41" s="27">
        <f>IF(OR(B$7="",B$8=0),0,B$8*(B$7-M$16*(1-$A41)*(1-(1-$A41)^MIN(B$6,$B$11))/($A41*MIN(B$6,$B$11)))^2)+IF(OR(C$7="",C$8=0),0,C$8*(C$7-M$16*(1-$A41)*(1-(1-$A41)^MIN(C$6,$B$11))/($A41*MIN(C$6,$B$11)))^2)+IF(OR(D$7="",D$8=0),0,D$8*(D$7-M$16*(1-$A41)*(1-(1-$A41)^MIN(D$6,$B$11))/($A41*MIN(D$6,$B$11)))^2)+IF(OR(E$7="",E$8=0),0,E$8*(E$7-M$16*(1-$A41)*(1-(1-$A41)^MIN(E$6,$B$11))/($A41*MIN(E$6,$B$11)))^2)</f>
        <v/>
      </c>
      <c r="N41" s="27">
        <f>IF(OR(B$7="",B$8=0),0,B$8*(B$7-N$16*(1-$A41)*(1-(1-$A41)^MIN(B$6,$B$11))/($A41*MIN(B$6,$B$11)))^2)+IF(OR(C$7="",C$8=0),0,C$8*(C$7-N$16*(1-$A41)*(1-(1-$A41)^MIN(C$6,$B$11))/($A41*MIN(C$6,$B$11)))^2)+IF(OR(D$7="",D$8=0),0,D$8*(D$7-N$16*(1-$A41)*(1-(1-$A41)^MIN(D$6,$B$11))/($A41*MIN(D$6,$B$11)))^2)+IF(OR(E$7="",E$8=0),0,E$8*(E$7-N$16*(1-$A41)*(1-(1-$A41)^MIN(E$6,$B$11))/($A41*MIN(E$6,$B$11)))^2)</f>
        <v/>
      </c>
      <c r="O41" s="27">
        <f>IF(OR(B$7="",B$8=0),0,B$8*(B$7-O$16*(1-$A41)*(1-(1-$A41)^MIN(B$6,$B$11))/($A41*MIN(B$6,$B$11)))^2)+IF(OR(C$7="",C$8=0),0,C$8*(C$7-O$16*(1-$A41)*(1-(1-$A41)^MIN(C$6,$B$11))/($A41*MIN(C$6,$B$11)))^2)+IF(OR(D$7="",D$8=0),0,D$8*(D$7-O$16*(1-$A41)*(1-(1-$A41)^MIN(D$6,$B$11))/($A41*MIN(D$6,$B$11)))^2)+IF(OR(E$7="",E$8=0),0,E$8*(E$7-O$16*(1-$A41)*(1-(1-$A41)^MIN(E$6,$B$11))/($A41*MIN(E$6,$B$11)))^2)</f>
        <v/>
      </c>
      <c r="P41" s="27">
        <f>IF(OR(B$7="",B$8=0),0,B$8*(B$7-P$16*(1-$A41)*(1-(1-$A41)^MIN(B$6,$B$11))/($A41*MIN(B$6,$B$11)))^2)+IF(OR(C$7="",C$8=0),0,C$8*(C$7-P$16*(1-$A41)*(1-(1-$A41)^MIN(C$6,$B$11))/($A41*MIN(C$6,$B$11)))^2)+IF(OR(D$7="",D$8=0),0,D$8*(D$7-P$16*(1-$A41)*(1-(1-$A41)^MIN(D$6,$B$11))/($A41*MIN(D$6,$B$11)))^2)+IF(OR(E$7="",E$8=0),0,E$8*(E$7-P$16*(1-$A41)*(1-(1-$A41)^MIN(E$6,$B$11))/($A41*MIN(E$6,$B$11)))^2)</f>
        <v/>
      </c>
      <c r="Q41" s="27">
        <f>IF(OR(B$7="",B$8=0),0,B$8*(B$7-Q$16*(1-$A41)*(1-(1-$A41)^MIN(B$6,$B$11))/($A41*MIN(B$6,$B$11)))^2)+IF(OR(C$7="",C$8=0),0,C$8*(C$7-Q$16*(1-$A41)*(1-(1-$A41)^MIN(C$6,$B$11))/($A41*MIN(C$6,$B$11)))^2)+IF(OR(D$7="",D$8=0),0,D$8*(D$7-Q$16*(1-$A41)*(1-(1-$A41)^MIN(D$6,$B$11))/($A41*MIN(D$6,$B$11)))^2)+IF(OR(E$7="",E$8=0),0,E$8*(E$7-Q$16*(1-$A41)*(1-(1-$A41)^MIN(E$6,$B$11))/($A41*MIN(E$6,$B$11)))^2)</f>
        <v/>
      </c>
      <c r="R41" s="27">
        <f>IF(OR(B$7="",B$8=0),0,B$8*(B$7-R$16*(1-$A41)*(1-(1-$A41)^MIN(B$6,$B$11))/($A41*MIN(B$6,$B$11)))^2)+IF(OR(C$7="",C$8=0),0,C$8*(C$7-R$16*(1-$A41)*(1-(1-$A41)^MIN(C$6,$B$11))/($A41*MIN(C$6,$B$11)))^2)+IF(OR(D$7="",D$8=0),0,D$8*(D$7-R$16*(1-$A41)*(1-(1-$A41)^MIN(D$6,$B$11))/($A41*MIN(D$6,$B$11)))^2)+IF(OR(E$7="",E$8=0),0,E$8*(E$7-R$16*(1-$A41)*(1-(1-$A41)^MIN(E$6,$B$11))/($A41*MIN(E$6,$B$11)))^2)</f>
        <v/>
      </c>
      <c r="S41" s="27">
        <f>IF(OR(B$7="",B$8=0),0,B$8*(B$7-S$16*(1-$A41)*(1-(1-$A41)^MIN(B$6,$B$11))/($A41*MIN(B$6,$B$11)))^2)+IF(OR(C$7="",C$8=0),0,C$8*(C$7-S$16*(1-$A41)*(1-(1-$A41)^MIN(C$6,$B$11))/($A41*MIN(C$6,$B$11)))^2)+IF(OR(D$7="",D$8=0),0,D$8*(D$7-S$16*(1-$A41)*(1-(1-$A41)^MIN(D$6,$B$11))/($A41*MIN(D$6,$B$11)))^2)+IF(OR(E$7="",E$8=0),0,E$8*(E$7-S$16*(1-$A41)*(1-(1-$A41)^MIN(E$6,$B$11))/($A41*MIN(E$6,$B$11)))^2)</f>
        <v/>
      </c>
      <c r="U41" s="27">
        <f>MIN(B41:S41)</f>
        <v/>
      </c>
      <c r="V41" s="17">
        <f>MATCH(U41,B41:S41,0)</f>
        <v/>
      </c>
    </row>
    <row r="42">
      <c r="A42" s="26" t="n">
        <v>0.0175</v>
      </c>
      <c r="B42" s="27">
        <f>IF(OR(B$7="",B$8=0),0,B$8*(B$7-B$16*(1-$A42)*(1-(1-$A42)^MIN(B$6,$B$11))/($A42*MIN(B$6,$B$11)))^2)+IF(OR(C$7="",C$8=0),0,C$8*(C$7-B$16*(1-$A42)*(1-(1-$A42)^MIN(C$6,$B$11))/($A42*MIN(C$6,$B$11)))^2)+IF(OR(D$7="",D$8=0),0,D$8*(D$7-B$16*(1-$A42)*(1-(1-$A42)^MIN(D$6,$B$11))/($A42*MIN(D$6,$B$11)))^2)+IF(OR(E$7="",E$8=0),0,E$8*(E$7-B$16*(1-$A42)*(1-(1-$A42)^MIN(E$6,$B$11))/($A42*MIN(E$6,$B$11)))^2)</f>
        <v/>
      </c>
      <c r="C42" s="27">
        <f>IF(OR(B$7="",B$8=0),0,B$8*(B$7-C$16*(1-$A42)*(1-(1-$A42)^MIN(B$6,$B$11))/($A42*MIN(B$6,$B$11)))^2)+IF(OR(C$7="",C$8=0),0,C$8*(C$7-C$16*(1-$A42)*(1-(1-$A42)^MIN(C$6,$B$11))/($A42*MIN(C$6,$B$11)))^2)+IF(OR(D$7="",D$8=0),0,D$8*(D$7-C$16*(1-$A42)*(1-(1-$A42)^MIN(D$6,$B$11))/($A42*MIN(D$6,$B$11)))^2)+IF(OR(E$7="",E$8=0),0,E$8*(E$7-C$16*(1-$A42)*(1-(1-$A42)^MIN(E$6,$B$11))/($A42*MIN(E$6,$B$11)))^2)</f>
        <v/>
      </c>
      <c r="D42" s="27">
        <f>IF(OR(B$7="",B$8=0),0,B$8*(B$7-D$16*(1-$A42)*(1-(1-$A42)^MIN(B$6,$B$11))/($A42*MIN(B$6,$B$11)))^2)+IF(OR(C$7="",C$8=0),0,C$8*(C$7-D$16*(1-$A42)*(1-(1-$A42)^MIN(C$6,$B$11))/($A42*MIN(C$6,$B$11)))^2)+IF(OR(D$7="",D$8=0),0,D$8*(D$7-D$16*(1-$A42)*(1-(1-$A42)^MIN(D$6,$B$11))/($A42*MIN(D$6,$B$11)))^2)+IF(OR(E$7="",E$8=0),0,E$8*(E$7-D$16*(1-$A42)*(1-(1-$A42)^MIN(E$6,$B$11))/($A42*MIN(E$6,$B$11)))^2)</f>
        <v/>
      </c>
      <c r="E42" s="27">
        <f>IF(OR(B$7="",B$8=0),0,B$8*(B$7-E$16*(1-$A42)*(1-(1-$A42)^MIN(B$6,$B$11))/($A42*MIN(B$6,$B$11)))^2)+IF(OR(C$7="",C$8=0),0,C$8*(C$7-E$16*(1-$A42)*(1-(1-$A42)^MIN(C$6,$B$11))/($A42*MIN(C$6,$B$11)))^2)+IF(OR(D$7="",D$8=0),0,D$8*(D$7-E$16*(1-$A42)*(1-(1-$A42)^MIN(D$6,$B$11))/($A42*MIN(D$6,$B$11)))^2)+IF(OR(E$7="",E$8=0),0,E$8*(E$7-E$16*(1-$A42)*(1-(1-$A42)^MIN(E$6,$B$11))/($A42*MIN(E$6,$B$11)))^2)</f>
        <v/>
      </c>
      <c r="F42" s="27">
        <f>IF(OR(B$7="",B$8=0),0,B$8*(B$7-F$16*(1-$A42)*(1-(1-$A42)^MIN(B$6,$B$11))/($A42*MIN(B$6,$B$11)))^2)+IF(OR(C$7="",C$8=0),0,C$8*(C$7-F$16*(1-$A42)*(1-(1-$A42)^MIN(C$6,$B$11))/($A42*MIN(C$6,$B$11)))^2)+IF(OR(D$7="",D$8=0),0,D$8*(D$7-F$16*(1-$A42)*(1-(1-$A42)^MIN(D$6,$B$11))/($A42*MIN(D$6,$B$11)))^2)+IF(OR(E$7="",E$8=0),0,E$8*(E$7-F$16*(1-$A42)*(1-(1-$A42)^MIN(E$6,$B$11))/($A42*MIN(E$6,$B$11)))^2)</f>
        <v/>
      </c>
      <c r="G42" s="27">
        <f>IF(OR(B$7="",B$8=0),0,B$8*(B$7-G$16*(1-$A42)*(1-(1-$A42)^MIN(B$6,$B$11))/($A42*MIN(B$6,$B$11)))^2)+IF(OR(C$7="",C$8=0),0,C$8*(C$7-G$16*(1-$A42)*(1-(1-$A42)^MIN(C$6,$B$11))/($A42*MIN(C$6,$B$11)))^2)+IF(OR(D$7="",D$8=0),0,D$8*(D$7-G$16*(1-$A42)*(1-(1-$A42)^MIN(D$6,$B$11))/($A42*MIN(D$6,$B$11)))^2)+IF(OR(E$7="",E$8=0),0,E$8*(E$7-G$16*(1-$A42)*(1-(1-$A42)^MIN(E$6,$B$11))/($A42*MIN(E$6,$B$11)))^2)</f>
        <v/>
      </c>
      <c r="H42" s="27">
        <f>IF(OR(B$7="",B$8=0),0,B$8*(B$7-H$16*(1-$A42)*(1-(1-$A42)^MIN(B$6,$B$11))/($A42*MIN(B$6,$B$11)))^2)+IF(OR(C$7="",C$8=0),0,C$8*(C$7-H$16*(1-$A42)*(1-(1-$A42)^MIN(C$6,$B$11))/($A42*MIN(C$6,$B$11)))^2)+IF(OR(D$7="",D$8=0),0,D$8*(D$7-H$16*(1-$A42)*(1-(1-$A42)^MIN(D$6,$B$11))/($A42*MIN(D$6,$B$11)))^2)+IF(OR(E$7="",E$8=0),0,E$8*(E$7-H$16*(1-$A42)*(1-(1-$A42)^MIN(E$6,$B$11))/($A42*MIN(E$6,$B$11)))^2)</f>
        <v/>
      </c>
      <c r="I42" s="27">
        <f>IF(OR(B$7="",B$8=0),0,B$8*(B$7-I$16*(1-$A42)*(1-(1-$A42)^MIN(B$6,$B$11))/($A42*MIN(B$6,$B$11)))^2)+IF(OR(C$7="",C$8=0),0,C$8*(C$7-I$16*(1-$A42)*(1-(1-$A42)^MIN(C$6,$B$11))/($A42*MIN(C$6,$B$11)))^2)+IF(OR(D$7="",D$8=0),0,D$8*(D$7-I$16*(1-$A42)*(1-(1-$A42)^MIN(D$6,$B$11))/($A42*MIN(D$6,$B$11)))^2)+IF(OR(E$7="",E$8=0),0,E$8*(E$7-I$16*(1-$A42)*(1-(1-$A42)^MIN(E$6,$B$11))/($A42*MIN(E$6,$B$11)))^2)</f>
        <v/>
      </c>
      <c r="J42" s="27">
        <f>IF(OR(B$7="",B$8=0),0,B$8*(B$7-J$16*(1-$A42)*(1-(1-$A42)^MIN(B$6,$B$11))/($A42*MIN(B$6,$B$11)))^2)+IF(OR(C$7="",C$8=0),0,C$8*(C$7-J$16*(1-$A42)*(1-(1-$A42)^MIN(C$6,$B$11))/($A42*MIN(C$6,$B$11)))^2)+IF(OR(D$7="",D$8=0),0,D$8*(D$7-J$16*(1-$A42)*(1-(1-$A42)^MIN(D$6,$B$11))/($A42*MIN(D$6,$B$11)))^2)+IF(OR(E$7="",E$8=0),0,E$8*(E$7-J$16*(1-$A42)*(1-(1-$A42)^MIN(E$6,$B$11))/($A42*MIN(E$6,$B$11)))^2)</f>
        <v/>
      </c>
      <c r="K42" s="27">
        <f>IF(OR(B$7="",B$8=0),0,B$8*(B$7-K$16*(1-$A42)*(1-(1-$A42)^MIN(B$6,$B$11))/($A42*MIN(B$6,$B$11)))^2)+IF(OR(C$7="",C$8=0),0,C$8*(C$7-K$16*(1-$A42)*(1-(1-$A42)^MIN(C$6,$B$11))/($A42*MIN(C$6,$B$11)))^2)+IF(OR(D$7="",D$8=0),0,D$8*(D$7-K$16*(1-$A42)*(1-(1-$A42)^MIN(D$6,$B$11))/($A42*MIN(D$6,$B$11)))^2)+IF(OR(E$7="",E$8=0),0,E$8*(E$7-K$16*(1-$A42)*(1-(1-$A42)^MIN(E$6,$B$11))/($A42*MIN(E$6,$B$11)))^2)</f>
        <v/>
      </c>
      <c r="L42" s="27">
        <f>IF(OR(B$7="",B$8=0),0,B$8*(B$7-L$16*(1-$A42)*(1-(1-$A42)^MIN(B$6,$B$11))/($A42*MIN(B$6,$B$11)))^2)+IF(OR(C$7="",C$8=0),0,C$8*(C$7-L$16*(1-$A42)*(1-(1-$A42)^MIN(C$6,$B$11))/($A42*MIN(C$6,$B$11)))^2)+IF(OR(D$7="",D$8=0),0,D$8*(D$7-L$16*(1-$A42)*(1-(1-$A42)^MIN(D$6,$B$11))/($A42*MIN(D$6,$B$11)))^2)+IF(OR(E$7="",E$8=0),0,E$8*(E$7-L$16*(1-$A42)*(1-(1-$A42)^MIN(E$6,$B$11))/($A42*MIN(E$6,$B$11)))^2)</f>
        <v/>
      </c>
      <c r="M42" s="27">
        <f>IF(OR(B$7="",B$8=0),0,B$8*(B$7-M$16*(1-$A42)*(1-(1-$A42)^MIN(B$6,$B$11))/($A42*MIN(B$6,$B$11)))^2)+IF(OR(C$7="",C$8=0),0,C$8*(C$7-M$16*(1-$A42)*(1-(1-$A42)^MIN(C$6,$B$11))/($A42*MIN(C$6,$B$11)))^2)+IF(OR(D$7="",D$8=0),0,D$8*(D$7-M$16*(1-$A42)*(1-(1-$A42)^MIN(D$6,$B$11))/($A42*MIN(D$6,$B$11)))^2)+IF(OR(E$7="",E$8=0),0,E$8*(E$7-M$16*(1-$A42)*(1-(1-$A42)^MIN(E$6,$B$11))/($A42*MIN(E$6,$B$11)))^2)</f>
        <v/>
      </c>
      <c r="N42" s="27">
        <f>IF(OR(B$7="",B$8=0),0,B$8*(B$7-N$16*(1-$A42)*(1-(1-$A42)^MIN(B$6,$B$11))/($A42*MIN(B$6,$B$11)))^2)+IF(OR(C$7="",C$8=0),0,C$8*(C$7-N$16*(1-$A42)*(1-(1-$A42)^MIN(C$6,$B$11))/($A42*MIN(C$6,$B$11)))^2)+IF(OR(D$7="",D$8=0),0,D$8*(D$7-N$16*(1-$A42)*(1-(1-$A42)^MIN(D$6,$B$11))/($A42*MIN(D$6,$B$11)))^2)+IF(OR(E$7="",E$8=0),0,E$8*(E$7-N$16*(1-$A42)*(1-(1-$A42)^MIN(E$6,$B$11))/($A42*MIN(E$6,$B$11)))^2)</f>
        <v/>
      </c>
      <c r="O42" s="27">
        <f>IF(OR(B$7="",B$8=0),0,B$8*(B$7-O$16*(1-$A42)*(1-(1-$A42)^MIN(B$6,$B$11))/($A42*MIN(B$6,$B$11)))^2)+IF(OR(C$7="",C$8=0),0,C$8*(C$7-O$16*(1-$A42)*(1-(1-$A42)^MIN(C$6,$B$11))/($A42*MIN(C$6,$B$11)))^2)+IF(OR(D$7="",D$8=0),0,D$8*(D$7-O$16*(1-$A42)*(1-(1-$A42)^MIN(D$6,$B$11))/($A42*MIN(D$6,$B$11)))^2)+IF(OR(E$7="",E$8=0),0,E$8*(E$7-O$16*(1-$A42)*(1-(1-$A42)^MIN(E$6,$B$11))/($A42*MIN(E$6,$B$11)))^2)</f>
        <v/>
      </c>
      <c r="P42" s="27">
        <f>IF(OR(B$7="",B$8=0),0,B$8*(B$7-P$16*(1-$A42)*(1-(1-$A42)^MIN(B$6,$B$11))/($A42*MIN(B$6,$B$11)))^2)+IF(OR(C$7="",C$8=0),0,C$8*(C$7-P$16*(1-$A42)*(1-(1-$A42)^MIN(C$6,$B$11))/($A42*MIN(C$6,$B$11)))^2)+IF(OR(D$7="",D$8=0),0,D$8*(D$7-P$16*(1-$A42)*(1-(1-$A42)^MIN(D$6,$B$11))/($A42*MIN(D$6,$B$11)))^2)+IF(OR(E$7="",E$8=0),0,E$8*(E$7-P$16*(1-$A42)*(1-(1-$A42)^MIN(E$6,$B$11))/($A42*MIN(E$6,$B$11)))^2)</f>
        <v/>
      </c>
      <c r="Q42" s="27">
        <f>IF(OR(B$7="",B$8=0),0,B$8*(B$7-Q$16*(1-$A42)*(1-(1-$A42)^MIN(B$6,$B$11))/($A42*MIN(B$6,$B$11)))^2)+IF(OR(C$7="",C$8=0),0,C$8*(C$7-Q$16*(1-$A42)*(1-(1-$A42)^MIN(C$6,$B$11))/($A42*MIN(C$6,$B$11)))^2)+IF(OR(D$7="",D$8=0),0,D$8*(D$7-Q$16*(1-$A42)*(1-(1-$A42)^MIN(D$6,$B$11))/($A42*MIN(D$6,$B$11)))^2)+IF(OR(E$7="",E$8=0),0,E$8*(E$7-Q$16*(1-$A42)*(1-(1-$A42)^MIN(E$6,$B$11))/($A42*MIN(E$6,$B$11)))^2)</f>
        <v/>
      </c>
      <c r="R42" s="27">
        <f>IF(OR(B$7="",B$8=0),0,B$8*(B$7-R$16*(1-$A42)*(1-(1-$A42)^MIN(B$6,$B$11))/($A42*MIN(B$6,$B$11)))^2)+IF(OR(C$7="",C$8=0),0,C$8*(C$7-R$16*(1-$A42)*(1-(1-$A42)^MIN(C$6,$B$11))/($A42*MIN(C$6,$B$11)))^2)+IF(OR(D$7="",D$8=0),0,D$8*(D$7-R$16*(1-$A42)*(1-(1-$A42)^MIN(D$6,$B$11))/($A42*MIN(D$6,$B$11)))^2)+IF(OR(E$7="",E$8=0),0,E$8*(E$7-R$16*(1-$A42)*(1-(1-$A42)^MIN(E$6,$B$11))/($A42*MIN(E$6,$B$11)))^2)</f>
        <v/>
      </c>
      <c r="S42" s="27">
        <f>IF(OR(B$7="",B$8=0),0,B$8*(B$7-S$16*(1-$A42)*(1-(1-$A42)^MIN(B$6,$B$11))/($A42*MIN(B$6,$B$11)))^2)+IF(OR(C$7="",C$8=0),0,C$8*(C$7-S$16*(1-$A42)*(1-(1-$A42)^MIN(C$6,$B$11))/($A42*MIN(C$6,$B$11)))^2)+IF(OR(D$7="",D$8=0),0,D$8*(D$7-S$16*(1-$A42)*(1-(1-$A42)^MIN(D$6,$B$11))/($A42*MIN(D$6,$B$11)))^2)+IF(OR(E$7="",E$8=0),0,E$8*(E$7-S$16*(1-$A42)*(1-(1-$A42)^MIN(E$6,$B$11))/($A42*MIN(E$6,$B$11)))^2)</f>
        <v/>
      </c>
      <c r="U42" s="27">
        <f>MIN(B42:S42)</f>
        <v/>
      </c>
      <c r="V42" s="17">
        <f>MATCH(U42,B42:S42,0)</f>
        <v/>
      </c>
    </row>
    <row r="43">
      <c r="A43" s="26" t="n">
        <v>0.018</v>
      </c>
      <c r="B43" s="27">
        <f>IF(OR(B$7="",B$8=0),0,B$8*(B$7-B$16*(1-$A43)*(1-(1-$A43)^MIN(B$6,$B$11))/($A43*MIN(B$6,$B$11)))^2)+IF(OR(C$7="",C$8=0),0,C$8*(C$7-B$16*(1-$A43)*(1-(1-$A43)^MIN(C$6,$B$11))/($A43*MIN(C$6,$B$11)))^2)+IF(OR(D$7="",D$8=0),0,D$8*(D$7-B$16*(1-$A43)*(1-(1-$A43)^MIN(D$6,$B$11))/($A43*MIN(D$6,$B$11)))^2)+IF(OR(E$7="",E$8=0),0,E$8*(E$7-B$16*(1-$A43)*(1-(1-$A43)^MIN(E$6,$B$11))/($A43*MIN(E$6,$B$11)))^2)</f>
        <v/>
      </c>
      <c r="C43" s="27">
        <f>IF(OR(B$7="",B$8=0),0,B$8*(B$7-C$16*(1-$A43)*(1-(1-$A43)^MIN(B$6,$B$11))/($A43*MIN(B$6,$B$11)))^2)+IF(OR(C$7="",C$8=0),0,C$8*(C$7-C$16*(1-$A43)*(1-(1-$A43)^MIN(C$6,$B$11))/($A43*MIN(C$6,$B$11)))^2)+IF(OR(D$7="",D$8=0),0,D$8*(D$7-C$16*(1-$A43)*(1-(1-$A43)^MIN(D$6,$B$11))/($A43*MIN(D$6,$B$11)))^2)+IF(OR(E$7="",E$8=0),0,E$8*(E$7-C$16*(1-$A43)*(1-(1-$A43)^MIN(E$6,$B$11))/($A43*MIN(E$6,$B$11)))^2)</f>
        <v/>
      </c>
      <c r="D43" s="27">
        <f>IF(OR(B$7="",B$8=0),0,B$8*(B$7-D$16*(1-$A43)*(1-(1-$A43)^MIN(B$6,$B$11))/($A43*MIN(B$6,$B$11)))^2)+IF(OR(C$7="",C$8=0),0,C$8*(C$7-D$16*(1-$A43)*(1-(1-$A43)^MIN(C$6,$B$11))/($A43*MIN(C$6,$B$11)))^2)+IF(OR(D$7="",D$8=0),0,D$8*(D$7-D$16*(1-$A43)*(1-(1-$A43)^MIN(D$6,$B$11))/($A43*MIN(D$6,$B$11)))^2)+IF(OR(E$7="",E$8=0),0,E$8*(E$7-D$16*(1-$A43)*(1-(1-$A43)^MIN(E$6,$B$11))/($A43*MIN(E$6,$B$11)))^2)</f>
        <v/>
      </c>
      <c r="E43" s="27">
        <f>IF(OR(B$7="",B$8=0),0,B$8*(B$7-E$16*(1-$A43)*(1-(1-$A43)^MIN(B$6,$B$11))/($A43*MIN(B$6,$B$11)))^2)+IF(OR(C$7="",C$8=0),0,C$8*(C$7-E$16*(1-$A43)*(1-(1-$A43)^MIN(C$6,$B$11))/($A43*MIN(C$6,$B$11)))^2)+IF(OR(D$7="",D$8=0),0,D$8*(D$7-E$16*(1-$A43)*(1-(1-$A43)^MIN(D$6,$B$11))/($A43*MIN(D$6,$B$11)))^2)+IF(OR(E$7="",E$8=0),0,E$8*(E$7-E$16*(1-$A43)*(1-(1-$A43)^MIN(E$6,$B$11))/($A43*MIN(E$6,$B$11)))^2)</f>
        <v/>
      </c>
      <c r="F43" s="27">
        <f>IF(OR(B$7="",B$8=0),0,B$8*(B$7-F$16*(1-$A43)*(1-(1-$A43)^MIN(B$6,$B$11))/($A43*MIN(B$6,$B$11)))^2)+IF(OR(C$7="",C$8=0),0,C$8*(C$7-F$16*(1-$A43)*(1-(1-$A43)^MIN(C$6,$B$11))/($A43*MIN(C$6,$B$11)))^2)+IF(OR(D$7="",D$8=0),0,D$8*(D$7-F$16*(1-$A43)*(1-(1-$A43)^MIN(D$6,$B$11))/($A43*MIN(D$6,$B$11)))^2)+IF(OR(E$7="",E$8=0),0,E$8*(E$7-F$16*(1-$A43)*(1-(1-$A43)^MIN(E$6,$B$11))/($A43*MIN(E$6,$B$11)))^2)</f>
        <v/>
      </c>
      <c r="G43" s="27">
        <f>IF(OR(B$7="",B$8=0),0,B$8*(B$7-G$16*(1-$A43)*(1-(1-$A43)^MIN(B$6,$B$11))/($A43*MIN(B$6,$B$11)))^2)+IF(OR(C$7="",C$8=0),0,C$8*(C$7-G$16*(1-$A43)*(1-(1-$A43)^MIN(C$6,$B$11))/($A43*MIN(C$6,$B$11)))^2)+IF(OR(D$7="",D$8=0),0,D$8*(D$7-G$16*(1-$A43)*(1-(1-$A43)^MIN(D$6,$B$11))/($A43*MIN(D$6,$B$11)))^2)+IF(OR(E$7="",E$8=0),0,E$8*(E$7-G$16*(1-$A43)*(1-(1-$A43)^MIN(E$6,$B$11))/($A43*MIN(E$6,$B$11)))^2)</f>
        <v/>
      </c>
      <c r="H43" s="27">
        <f>IF(OR(B$7="",B$8=0),0,B$8*(B$7-H$16*(1-$A43)*(1-(1-$A43)^MIN(B$6,$B$11))/($A43*MIN(B$6,$B$11)))^2)+IF(OR(C$7="",C$8=0),0,C$8*(C$7-H$16*(1-$A43)*(1-(1-$A43)^MIN(C$6,$B$11))/($A43*MIN(C$6,$B$11)))^2)+IF(OR(D$7="",D$8=0),0,D$8*(D$7-H$16*(1-$A43)*(1-(1-$A43)^MIN(D$6,$B$11))/($A43*MIN(D$6,$B$11)))^2)+IF(OR(E$7="",E$8=0),0,E$8*(E$7-H$16*(1-$A43)*(1-(1-$A43)^MIN(E$6,$B$11))/($A43*MIN(E$6,$B$11)))^2)</f>
        <v/>
      </c>
      <c r="I43" s="27">
        <f>IF(OR(B$7="",B$8=0),0,B$8*(B$7-I$16*(1-$A43)*(1-(1-$A43)^MIN(B$6,$B$11))/($A43*MIN(B$6,$B$11)))^2)+IF(OR(C$7="",C$8=0),0,C$8*(C$7-I$16*(1-$A43)*(1-(1-$A43)^MIN(C$6,$B$11))/($A43*MIN(C$6,$B$11)))^2)+IF(OR(D$7="",D$8=0),0,D$8*(D$7-I$16*(1-$A43)*(1-(1-$A43)^MIN(D$6,$B$11))/($A43*MIN(D$6,$B$11)))^2)+IF(OR(E$7="",E$8=0),0,E$8*(E$7-I$16*(1-$A43)*(1-(1-$A43)^MIN(E$6,$B$11))/($A43*MIN(E$6,$B$11)))^2)</f>
        <v/>
      </c>
      <c r="J43" s="27">
        <f>IF(OR(B$7="",B$8=0),0,B$8*(B$7-J$16*(1-$A43)*(1-(1-$A43)^MIN(B$6,$B$11))/($A43*MIN(B$6,$B$11)))^2)+IF(OR(C$7="",C$8=0),0,C$8*(C$7-J$16*(1-$A43)*(1-(1-$A43)^MIN(C$6,$B$11))/($A43*MIN(C$6,$B$11)))^2)+IF(OR(D$7="",D$8=0),0,D$8*(D$7-J$16*(1-$A43)*(1-(1-$A43)^MIN(D$6,$B$11))/($A43*MIN(D$6,$B$11)))^2)+IF(OR(E$7="",E$8=0),0,E$8*(E$7-J$16*(1-$A43)*(1-(1-$A43)^MIN(E$6,$B$11))/($A43*MIN(E$6,$B$11)))^2)</f>
        <v/>
      </c>
      <c r="K43" s="27">
        <f>IF(OR(B$7="",B$8=0),0,B$8*(B$7-K$16*(1-$A43)*(1-(1-$A43)^MIN(B$6,$B$11))/($A43*MIN(B$6,$B$11)))^2)+IF(OR(C$7="",C$8=0),0,C$8*(C$7-K$16*(1-$A43)*(1-(1-$A43)^MIN(C$6,$B$11))/($A43*MIN(C$6,$B$11)))^2)+IF(OR(D$7="",D$8=0),0,D$8*(D$7-K$16*(1-$A43)*(1-(1-$A43)^MIN(D$6,$B$11))/($A43*MIN(D$6,$B$11)))^2)+IF(OR(E$7="",E$8=0),0,E$8*(E$7-K$16*(1-$A43)*(1-(1-$A43)^MIN(E$6,$B$11))/($A43*MIN(E$6,$B$11)))^2)</f>
        <v/>
      </c>
      <c r="L43" s="27">
        <f>IF(OR(B$7="",B$8=0),0,B$8*(B$7-L$16*(1-$A43)*(1-(1-$A43)^MIN(B$6,$B$11))/($A43*MIN(B$6,$B$11)))^2)+IF(OR(C$7="",C$8=0),0,C$8*(C$7-L$16*(1-$A43)*(1-(1-$A43)^MIN(C$6,$B$11))/($A43*MIN(C$6,$B$11)))^2)+IF(OR(D$7="",D$8=0),0,D$8*(D$7-L$16*(1-$A43)*(1-(1-$A43)^MIN(D$6,$B$11))/($A43*MIN(D$6,$B$11)))^2)+IF(OR(E$7="",E$8=0),0,E$8*(E$7-L$16*(1-$A43)*(1-(1-$A43)^MIN(E$6,$B$11))/($A43*MIN(E$6,$B$11)))^2)</f>
        <v/>
      </c>
      <c r="M43" s="27">
        <f>IF(OR(B$7="",B$8=0),0,B$8*(B$7-M$16*(1-$A43)*(1-(1-$A43)^MIN(B$6,$B$11))/($A43*MIN(B$6,$B$11)))^2)+IF(OR(C$7="",C$8=0),0,C$8*(C$7-M$16*(1-$A43)*(1-(1-$A43)^MIN(C$6,$B$11))/($A43*MIN(C$6,$B$11)))^2)+IF(OR(D$7="",D$8=0),0,D$8*(D$7-M$16*(1-$A43)*(1-(1-$A43)^MIN(D$6,$B$11))/($A43*MIN(D$6,$B$11)))^2)+IF(OR(E$7="",E$8=0),0,E$8*(E$7-M$16*(1-$A43)*(1-(1-$A43)^MIN(E$6,$B$11))/($A43*MIN(E$6,$B$11)))^2)</f>
        <v/>
      </c>
      <c r="N43" s="27">
        <f>IF(OR(B$7="",B$8=0),0,B$8*(B$7-N$16*(1-$A43)*(1-(1-$A43)^MIN(B$6,$B$11))/($A43*MIN(B$6,$B$11)))^2)+IF(OR(C$7="",C$8=0),0,C$8*(C$7-N$16*(1-$A43)*(1-(1-$A43)^MIN(C$6,$B$11))/($A43*MIN(C$6,$B$11)))^2)+IF(OR(D$7="",D$8=0),0,D$8*(D$7-N$16*(1-$A43)*(1-(1-$A43)^MIN(D$6,$B$11))/($A43*MIN(D$6,$B$11)))^2)+IF(OR(E$7="",E$8=0),0,E$8*(E$7-N$16*(1-$A43)*(1-(1-$A43)^MIN(E$6,$B$11))/($A43*MIN(E$6,$B$11)))^2)</f>
        <v/>
      </c>
      <c r="O43" s="27">
        <f>IF(OR(B$7="",B$8=0),0,B$8*(B$7-O$16*(1-$A43)*(1-(1-$A43)^MIN(B$6,$B$11))/($A43*MIN(B$6,$B$11)))^2)+IF(OR(C$7="",C$8=0),0,C$8*(C$7-O$16*(1-$A43)*(1-(1-$A43)^MIN(C$6,$B$11))/($A43*MIN(C$6,$B$11)))^2)+IF(OR(D$7="",D$8=0),0,D$8*(D$7-O$16*(1-$A43)*(1-(1-$A43)^MIN(D$6,$B$11))/($A43*MIN(D$6,$B$11)))^2)+IF(OR(E$7="",E$8=0),0,E$8*(E$7-O$16*(1-$A43)*(1-(1-$A43)^MIN(E$6,$B$11))/($A43*MIN(E$6,$B$11)))^2)</f>
        <v/>
      </c>
      <c r="P43" s="27">
        <f>IF(OR(B$7="",B$8=0),0,B$8*(B$7-P$16*(1-$A43)*(1-(1-$A43)^MIN(B$6,$B$11))/($A43*MIN(B$6,$B$11)))^2)+IF(OR(C$7="",C$8=0),0,C$8*(C$7-P$16*(1-$A43)*(1-(1-$A43)^MIN(C$6,$B$11))/($A43*MIN(C$6,$B$11)))^2)+IF(OR(D$7="",D$8=0),0,D$8*(D$7-P$16*(1-$A43)*(1-(1-$A43)^MIN(D$6,$B$11))/($A43*MIN(D$6,$B$11)))^2)+IF(OR(E$7="",E$8=0),0,E$8*(E$7-P$16*(1-$A43)*(1-(1-$A43)^MIN(E$6,$B$11))/($A43*MIN(E$6,$B$11)))^2)</f>
        <v/>
      </c>
      <c r="Q43" s="27">
        <f>IF(OR(B$7="",B$8=0),0,B$8*(B$7-Q$16*(1-$A43)*(1-(1-$A43)^MIN(B$6,$B$11))/($A43*MIN(B$6,$B$11)))^2)+IF(OR(C$7="",C$8=0),0,C$8*(C$7-Q$16*(1-$A43)*(1-(1-$A43)^MIN(C$6,$B$11))/($A43*MIN(C$6,$B$11)))^2)+IF(OR(D$7="",D$8=0),0,D$8*(D$7-Q$16*(1-$A43)*(1-(1-$A43)^MIN(D$6,$B$11))/($A43*MIN(D$6,$B$11)))^2)+IF(OR(E$7="",E$8=0),0,E$8*(E$7-Q$16*(1-$A43)*(1-(1-$A43)^MIN(E$6,$B$11))/($A43*MIN(E$6,$B$11)))^2)</f>
        <v/>
      </c>
      <c r="R43" s="27">
        <f>IF(OR(B$7="",B$8=0),0,B$8*(B$7-R$16*(1-$A43)*(1-(1-$A43)^MIN(B$6,$B$11))/($A43*MIN(B$6,$B$11)))^2)+IF(OR(C$7="",C$8=0),0,C$8*(C$7-R$16*(1-$A43)*(1-(1-$A43)^MIN(C$6,$B$11))/($A43*MIN(C$6,$B$11)))^2)+IF(OR(D$7="",D$8=0),0,D$8*(D$7-R$16*(1-$A43)*(1-(1-$A43)^MIN(D$6,$B$11))/($A43*MIN(D$6,$B$11)))^2)+IF(OR(E$7="",E$8=0),0,E$8*(E$7-R$16*(1-$A43)*(1-(1-$A43)^MIN(E$6,$B$11))/($A43*MIN(E$6,$B$11)))^2)</f>
        <v/>
      </c>
      <c r="S43" s="27">
        <f>IF(OR(B$7="",B$8=0),0,B$8*(B$7-S$16*(1-$A43)*(1-(1-$A43)^MIN(B$6,$B$11))/($A43*MIN(B$6,$B$11)))^2)+IF(OR(C$7="",C$8=0),0,C$8*(C$7-S$16*(1-$A43)*(1-(1-$A43)^MIN(C$6,$B$11))/($A43*MIN(C$6,$B$11)))^2)+IF(OR(D$7="",D$8=0),0,D$8*(D$7-S$16*(1-$A43)*(1-(1-$A43)^MIN(D$6,$B$11))/($A43*MIN(D$6,$B$11)))^2)+IF(OR(E$7="",E$8=0),0,E$8*(E$7-S$16*(1-$A43)*(1-(1-$A43)^MIN(E$6,$B$11))/($A43*MIN(E$6,$B$11)))^2)</f>
        <v/>
      </c>
      <c r="U43" s="27">
        <f>MIN(B43:S43)</f>
        <v/>
      </c>
      <c r="V43" s="17">
        <f>MATCH(U43,B43:S43,0)</f>
        <v/>
      </c>
    </row>
    <row r="44">
      <c r="A44" s="26" t="n">
        <v>0.0185</v>
      </c>
      <c r="B44" s="27">
        <f>IF(OR(B$7="",B$8=0),0,B$8*(B$7-B$16*(1-$A44)*(1-(1-$A44)^MIN(B$6,$B$11))/($A44*MIN(B$6,$B$11)))^2)+IF(OR(C$7="",C$8=0),0,C$8*(C$7-B$16*(1-$A44)*(1-(1-$A44)^MIN(C$6,$B$11))/($A44*MIN(C$6,$B$11)))^2)+IF(OR(D$7="",D$8=0),0,D$8*(D$7-B$16*(1-$A44)*(1-(1-$A44)^MIN(D$6,$B$11))/($A44*MIN(D$6,$B$11)))^2)+IF(OR(E$7="",E$8=0),0,E$8*(E$7-B$16*(1-$A44)*(1-(1-$A44)^MIN(E$6,$B$11))/($A44*MIN(E$6,$B$11)))^2)</f>
        <v/>
      </c>
      <c r="C44" s="27">
        <f>IF(OR(B$7="",B$8=0),0,B$8*(B$7-C$16*(1-$A44)*(1-(1-$A44)^MIN(B$6,$B$11))/($A44*MIN(B$6,$B$11)))^2)+IF(OR(C$7="",C$8=0),0,C$8*(C$7-C$16*(1-$A44)*(1-(1-$A44)^MIN(C$6,$B$11))/($A44*MIN(C$6,$B$11)))^2)+IF(OR(D$7="",D$8=0),0,D$8*(D$7-C$16*(1-$A44)*(1-(1-$A44)^MIN(D$6,$B$11))/($A44*MIN(D$6,$B$11)))^2)+IF(OR(E$7="",E$8=0),0,E$8*(E$7-C$16*(1-$A44)*(1-(1-$A44)^MIN(E$6,$B$11))/($A44*MIN(E$6,$B$11)))^2)</f>
        <v/>
      </c>
      <c r="D44" s="27">
        <f>IF(OR(B$7="",B$8=0),0,B$8*(B$7-D$16*(1-$A44)*(1-(1-$A44)^MIN(B$6,$B$11))/($A44*MIN(B$6,$B$11)))^2)+IF(OR(C$7="",C$8=0),0,C$8*(C$7-D$16*(1-$A44)*(1-(1-$A44)^MIN(C$6,$B$11))/($A44*MIN(C$6,$B$11)))^2)+IF(OR(D$7="",D$8=0),0,D$8*(D$7-D$16*(1-$A44)*(1-(1-$A44)^MIN(D$6,$B$11))/($A44*MIN(D$6,$B$11)))^2)+IF(OR(E$7="",E$8=0),0,E$8*(E$7-D$16*(1-$A44)*(1-(1-$A44)^MIN(E$6,$B$11))/($A44*MIN(E$6,$B$11)))^2)</f>
        <v/>
      </c>
      <c r="E44" s="27">
        <f>IF(OR(B$7="",B$8=0),0,B$8*(B$7-E$16*(1-$A44)*(1-(1-$A44)^MIN(B$6,$B$11))/($A44*MIN(B$6,$B$11)))^2)+IF(OR(C$7="",C$8=0),0,C$8*(C$7-E$16*(1-$A44)*(1-(1-$A44)^MIN(C$6,$B$11))/($A44*MIN(C$6,$B$11)))^2)+IF(OR(D$7="",D$8=0),0,D$8*(D$7-E$16*(1-$A44)*(1-(1-$A44)^MIN(D$6,$B$11))/($A44*MIN(D$6,$B$11)))^2)+IF(OR(E$7="",E$8=0),0,E$8*(E$7-E$16*(1-$A44)*(1-(1-$A44)^MIN(E$6,$B$11))/($A44*MIN(E$6,$B$11)))^2)</f>
        <v/>
      </c>
      <c r="F44" s="27">
        <f>IF(OR(B$7="",B$8=0),0,B$8*(B$7-F$16*(1-$A44)*(1-(1-$A44)^MIN(B$6,$B$11))/($A44*MIN(B$6,$B$11)))^2)+IF(OR(C$7="",C$8=0),0,C$8*(C$7-F$16*(1-$A44)*(1-(1-$A44)^MIN(C$6,$B$11))/($A44*MIN(C$6,$B$11)))^2)+IF(OR(D$7="",D$8=0),0,D$8*(D$7-F$16*(1-$A44)*(1-(1-$A44)^MIN(D$6,$B$11))/($A44*MIN(D$6,$B$11)))^2)+IF(OR(E$7="",E$8=0),0,E$8*(E$7-F$16*(1-$A44)*(1-(1-$A44)^MIN(E$6,$B$11))/($A44*MIN(E$6,$B$11)))^2)</f>
        <v/>
      </c>
      <c r="G44" s="27">
        <f>IF(OR(B$7="",B$8=0),0,B$8*(B$7-G$16*(1-$A44)*(1-(1-$A44)^MIN(B$6,$B$11))/($A44*MIN(B$6,$B$11)))^2)+IF(OR(C$7="",C$8=0),0,C$8*(C$7-G$16*(1-$A44)*(1-(1-$A44)^MIN(C$6,$B$11))/($A44*MIN(C$6,$B$11)))^2)+IF(OR(D$7="",D$8=0),0,D$8*(D$7-G$16*(1-$A44)*(1-(1-$A44)^MIN(D$6,$B$11))/($A44*MIN(D$6,$B$11)))^2)+IF(OR(E$7="",E$8=0),0,E$8*(E$7-G$16*(1-$A44)*(1-(1-$A44)^MIN(E$6,$B$11))/($A44*MIN(E$6,$B$11)))^2)</f>
        <v/>
      </c>
      <c r="H44" s="27">
        <f>IF(OR(B$7="",B$8=0),0,B$8*(B$7-H$16*(1-$A44)*(1-(1-$A44)^MIN(B$6,$B$11))/($A44*MIN(B$6,$B$11)))^2)+IF(OR(C$7="",C$8=0),0,C$8*(C$7-H$16*(1-$A44)*(1-(1-$A44)^MIN(C$6,$B$11))/($A44*MIN(C$6,$B$11)))^2)+IF(OR(D$7="",D$8=0),0,D$8*(D$7-H$16*(1-$A44)*(1-(1-$A44)^MIN(D$6,$B$11))/($A44*MIN(D$6,$B$11)))^2)+IF(OR(E$7="",E$8=0),0,E$8*(E$7-H$16*(1-$A44)*(1-(1-$A44)^MIN(E$6,$B$11))/($A44*MIN(E$6,$B$11)))^2)</f>
        <v/>
      </c>
      <c r="I44" s="27">
        <f>IF(OR(B$7="",B$8=0),0,B$8*(B$7-I$16*(1-$A44)*(1-(1-$A44)^MIN(B$6,$B$11))/($A44*MIN(B$6,$B$11)))^2)+IF(OR(C$7="",C$8=0),0,C$8*(C$7-I$16*(1-$A44)*(1-(1-$A44)^MIN(C$6,$B$11))/($A44*MIN(C$6,$B$11)))^2)+IF(OR(D$7="",D$8=0),0,D$8*(D$7-I$16*(1-$A44)*(1-(1-$A44)^MIN(D$6,$B$11))/($A44*MIN(D$6,$B$11)))^2)+IF(OR(E$7="",E$8=0),0,E$8*(E$7-I$16*(1-$A44)*(1-(1-$A44)^MIN(E$6,$B$11))/($A44*MIN(E$6,$B$11)))^2)</f>
        <v/>
      </c>
      <c r="J44" s="27">
        <f>IF(OR(B$7="",B$8=0),0,B$8*(B$7-J$16*(1-$A44)*(1-(1-$A44)^MIN(B$6,$B$11))/($A44*MIN(B$6,$B$11)))^2)+IF(OR(C$7="",C$8=0),0,C$8*(C$7-J$16*(1-$A44)*(1-(1-$A44)^MIN(C$6,$B$11))/($A44*MIN(C$6,$B$11)))^2)+IF(OR(D$7="",D$8=0),0,D$8*(D$7-J$16*(1-$A44)*(1-(1-$A44)^MIN(D$6,$B$11))/($A44*MIN(D$6,$B$11)))^2)+IF(OR(E$7="",E$8=0),0,E$8*(E$7-J$16*(1-$A44)*(1-(1-$A44)^MIN(E$6,$B$11))/($A44*MIN(E$6,$B$11)))^2)</f>
        <v/>
      </c>
      <c r="K44" s="27">
        <f>IF(OR(B$7="",B$8=0),0,B$8*(B$7-K$16*(1-$A44)*(1-(1-$A44)^MIN(B$6,$B$11))/($A44*MIN(B$6,$B$11)))^2)+IF(OR(C$7="",C$8=0),0,C$8*(C$7-K$16*(1-$A44)*(1-(1-$A44)^MIN(C$6,$B$11))/($A44*MIN(C$6,$B$11)))^2)+IF(OR(D$7="",D$8=0),0,D$8*(D$7-K$16*(1-$A44)*(1-(1-$A44)^MIN(D$6,$B$11))/($A44*MIN(D$6,$B$11)))^2)+IF(OR(E$7="",E$8=0),0,E$8*(E$7-K$16*(1-$A44)*(1-(1-$A44)^MIN(E$6,$B$11))/($A44*MIN(E$6,$B$11)))^2)</f>
        <v/>
      </c>
      <c r="L44" s="27">
        <f>IF(OR(B$7="",B$8=0),0,B$8*(B$7-L$16*(1-$A44)*(1-(1-$A44)^MIN(B$6,$B$11))/($A44*MIN(B$6,$B$11)))^2)+IF(OR(C$7="",C$8=0),0,C$8*(C$7-L$16*(1-$A44)*(1-(1-$A44)^MIN(C$6,$B$11))/($A44*MIN(C$6,$B$11)))^2)+IF(OR(D$7="",D$8=0),0,D$8*(D$7-L$16*(1-$A44)*(1-(1-$A44)^MIN(D$6,$B$11))/($A44*MIN(D$6,$B$11)))^2)+IF(OR(E$7="",E$8=0),0,E$8*(E$7-L$16*(1-$A44)*(1-(1-$A44)^MIN(E$6,$B$11))/($A44*MIN(E$6,$B$11)))^2)</f>
        <v/>
      </c>
      <c r="M44" s="27">
        <f>IF(OR(B$7="",B$8=0),0,B$8*(B$7-M$16*(1-$A44)*(1-(1-$A44)^MIN(B$6,$B$11))/($A44*MIN(B$6,$B$11)))^2)+IF(OR(C$7="",C$8=0),0,C$8*(C$7-M$16*(1-$A44)*(1-(1-$A44)^MIN(C$6,$B$11))/($A44*MIN(C$6,$B$11)))^2)+IF(OR(D$7="",D$8=0),0,D$8*(D$7-M$16*(1-$A44)*(1-(1-$A44)^MIN(D$6,$B$11))/($A44*MIN(D$6,$B$11)))^2)+IF(OR(E$7="",E$8=0),0,E$8*(E$7-M$16*(1-$A44)*(1-(1-$A44)^MIN(E$6,$B$11))/($A44*MIN(E$6,$B$11)))^2)</f>
        <v/>
      </c>
      <c r="N44" s="27">
        <f>IF(OR(B$7="",B$8=0),0,B$8*(B$7-N$16*(1-$A44)*(1-(1-$A44)^MIN(B$6,$B$11))/($A44*MIN(B$6,$B$11)))^2)+IF(OR(C$7="",C$8=0),0,C$8*(C$7-N$16*(1-$A44)*(1-(1-$A44)^MIN(C$6,$B$11))/($A44*MIN(C$6,$B$11)))^2)+IF(OR(D$7="",D$8=0),0,D$8*(D$7-N$16*(1-$A44)*(1-(1-$A44)^MIN(D$6,$B$11))/($A44*MIN(D$6,$B$11)))^2)+IF(OR(E$7="",E$8=0),0,E$8*(E$7-N$16*(1-$A44)*(1-(1-$A44)^MIN(E$6,$B$11))/($A44*MIN(E$6,$B$11)))^2)</f>
        <v/>
      </c>
      <c r="O44" s="27">
        <f>IF(OR(B$7="",B$8=0),0,B$8*(B$7-O$16*(1-$A44)*(1-(1-$A44)^MIN(B$6,$B$11))/($A44*MIN(B$6,$B$11)))^2)+IF(OR(C$7="",C$8=0),0,C$8*(C$7-O$16*(1-$A44)*(1-(1-$A44)^MIN(C$6,$B$11))/($A44*MIN(C$6,$B$11)))^2)+IF(OR(D$7="",D$8=0),0,D$8*(D$7-O$16*(1-$A44)*(1-(1-$A44)^MIN(D$6,$B$11))/($A44*MIN(D$6,$B$11)))^2)+IF(OR(E$7="",E$8=0),0,E$8*(E$7-O$16*(1-$A44)*(1-(1-$A44)^MIN(E$6,$B$11))/($A44*MIN(E$6,$B$11)))^2)</f>
        <v/>
      </c>
      <c r="P44" s="27">
        <f>IF(OR(B$7="",B$8=0),0,B$8*(B$7-P$16*(1-$A44)*(1-(1-$A44)^MIN(B$6,$B$11))/($A44*MIN(B$6,$B$11)))^2)+IF(OR(C$7="",C$8=0),0,C$8*(C$7-P$16*(1-$A44)*(1-(1-$A44)^MIN(C$6,$B$11))/($A44*MIN(C$6,$B$11)))^2)+IF(OR(D$7="",D$8=0),0,D$8*(D$7-P$16*(1-$A44)*(1-(1-$A44)^MIN(D$6,$B$11))/($A44*MIN(D$6,$B$11)))^2)+IF(OR(E$7="",E$8=0),0,E$8*(E$7-P$16*(1-$A44)*(1-(1-$A44)^MIN(E$6,$B$11))/($A44*MIN(E$6,$B$11)))^2)</f>
        <v/>
      </c>
      <c r="Q44" s="27">
        <f>IF(OR(B$7="",B$8=0),0,B$8*(B$7-Q$16*(1-$A44)*(1-(1-$A44)^MIN(B$6,$B$11))/($A44*MIN(B$6,$B$11)))^2)+IF(OR(C$7="",C$8=0),0,C$8*(C$7-Q$16*(1-$A44)*(1-(1-$A44)^MIN(C$6,$B$11))/($A44*MIN(C$6,$B$11)))^2)+IF(OR(D$7="",D$8=0),0,D$8*(D$7-Q$16*(1-$A44)*(1-(1-$A44)^MIN(D$6,$B$11))/($A44*MIN(D$6,$B$11)))^2)+IF(OR(E$7="",E$8=0),0,E$8*(E$7-Q$16*(1-$A44)*(1-(1-$A44)^MIN(E$6,$B$11))/($A44*MIN(E$6,$B$11)))^2)</f>
        <v/>
      </c>
      <c r="R44" s="27">
        <f>IF(OR(B$7="",B$8=0),0,B$8*(B$7-R$16*(1-$A44)*(1-(1-$A44)^MIN(B$6,$B$11))/($A44*MIN(B$6,$B$11)))^2)+IF(OR(C$7="",C$8=0),0,C$8*(C$7-R$16*(1-$A44)*(1-(1-$A44)^MIN(C$6,$B$11))/($A44*MIN(C$6,$B$11)))^2)+IF(OR(D$7="",D$8=0),0,D$8*(D$7-R$16*(1-$A44)*(1-(1-$A44)^MIN(D$6,$B$11))/($A44*MIN(D$6,$B$11)))^2)+IF(OR(E$7="",E$8=0),0,E$8*(E$7-R$16*(1-$A44)*(1-(1-$A44)^MIN(E$6,$B$11))/($A44*MIN(E$6,$B$11)))^2)</f>
        <v/>
      </c>
      <c r="S44" s="27">
        <f>IF(OR(B$7="",B$8=0),0,B$8*(B$7-S$16*(1-$A44)*(1-(1-$A44)^MIN(B$6,$B$11))/($A44*MIN(B$6,$B$11)))^2)+IF(OR(C$7="",C$8=0),0,C$8*(C$7-S$16*(1-$A44)*(1-(1-$A44)^MIN(C$6,$B$11))/($A44*MIN(C$6,$B$11)))^2)+IF(OR(D$7="",D$8=0),0,D$8*(D$7-S$16*(1-$A44)*(1-(1-$A44)^MIN(D$6,$B$11))/($A44*MIN(D$6,$B$11)))^2)+IF(OR(E$7="",E$8=0),0,E$8*(E$7-S$16*(1-$A44)*(1-(1-$A44)^MIN(E$6,$B$11))/($A44*MIN(E$6,$B$11)))^2)</f>
        <v/>
      </c>
      <c r="U44" s="27">
        <f>MIN(B44:S44)</f>
        <v/>
      </c>
      <c r="V44" s="17">
        <f>MATCH(U44,B44:S44,0)</f>
        <v/>
      </c>
    </row>
    <row r="45">
      <c r="A45" s="26" t="n">
        <v>0.019</v>
      </c>
      <c r="B45" s="27">
        <f>IF(OR(B$7="",B$8=0),0,B$8*(B$7-B$16*(1-$A45)*(1-(1-$A45)^MIN(B$6,$B$11))/($A45*MIN(B$6,$B$11)))^2)+IF(OR(C$7="",C$8=0),0,C$8*(C$7-B$16*(1-$A45)*(1-(1-$A45)^MIN(C$6,$B$11))/($A45*MIN(C$6,$B$11)))^2)+IF(OR(D$7="",D$8=0),0,D$8*(D$7-B$16*(1-$A45)*(1-(1-$A45)^MIN(D$6,$B$11))/($A45*MIN(D$6,$B$11)))^2)+IF(OR(E$7="",E$8=0),0,E$8*(E$7-B$16*(1-$A45)*(1-(1-$A45)^MIN(E$6,$B$11))/($A45*MIN(E$6,$B$11)))^2)</f>
        <v/>
      </c>
      <c r="C45" s="27">
        <f>IF(OR(B$7="",B$8=0),0,B$8*(B$7-C$16*(1-$A45)*(1-(1-$A45)^MIN(B$6,$B$11))/($A45*MIN(B$6,$B$11)))^2)+IF(OR(C$7="",C$8=0),0,C$8*(C$7-C$16*(1-$A45)*(1-(1-$A45)^MIN(C$6,$B$11))/($A45*MIN(C$6,$B$11)))^2)+IF(OR(D$7="",D$8=0),0,D$8*(D$7-C$16*(1-$A45)*(1-(1-$A45)^MIN(D$6,$B$11))/($A45*MIN(D$6,$B$11)))^2)+IF(OR(E$7="",E$8=0),0,E$8*(E$7-C$16*(1-$A45)*(1-(1-$A45)^MIN(E$6,$B$11))/($A45*MIN(E$6,$B$11)))^2)</f>
        <v/>
      </c>
      <c r="D45" s="27">
        <f>IF(OR(B$7="",B$8=0),0,B$8*(B$7-D$16*(1-$A45)*(1-(1-$A45)^MIN(B$6,$B$11))/($A45*MIN(B$6,$B$11)))^2)+IF(OR(C$7="",C$8=0),0,C$8*(C$7-D$16*(1-$A45)*(1-(1-$A45)^MIN(C$6,$B$11))/($A45*MIN(C$6,$B$11)))^2)+IF(OR(D$7="",D$8=0),0,D$8*(D$7-D$16*(1-$A45)*(1-(1-$A45)^MIN(D$6,$B$11))/($A45*MIN(D$6,$B$11)))^2)+IF(OR(E$7="",E$8=0),0,E$8*(E$7-D$16*(1-$A45)*(1-(1-$A45)^MIN(E$6,$B$11))/($A45*MIN(E$6,$B$11)))^2)</f>
        <v/>
      </c>
      <c r="E45" s="27">
        <f>IF(OR(B$7="",B$8=0),0,B$8*(B$7-E$16*(1-$A45)*(1-(1-$A45)^MIN(B$6,$B$11))/($A45*MIN(B$6,$B$11)))^2)+IF(OR(C$7="",C$8=0),0,C$8*(C$7-E$16*(1-$A45)*(1-(1-$A45)^MIN(C$6,$B$11))/($A45*MIN(C$6,$B$11)))^2)+IF(OR(D$7="",D$8=0),0,D$8*(D$7-E$16*(1-$A45)*(1-(1-$A45)^MIN(D$6,$B$11))/($A45*MIN(D$6,$B$11)))^2)+IF(OR(E$7="",E$8=0),0,E$8*(E$7-E$16*(1-$A45)*(1-(1-$A45)^MIN(E$6,$B$11))/($A45*MIN(E$6,$B$11)))^2)</f>
        <v/>
      </c>
      <c r="F45" s="27">
        <f>IF(OR(B$7="",B$8=0),0,B$8*(B$7-F$16*(1-$A45)*(1-(1-$A45)^MIN(B$6,$B$11))/($A45*MIN(B$6,$B$11)))^2)+IF(OR(C$7="",C$8=0),0,C$8*(C$7-F$16*(1-$A45)*(1-(1-$A45)^MIN(C$6,$B$11))/($A45*MIN(C$6,$B$11)))^2)+IF(OR(D$7="",D$8=0),0,D$8*(D$7-F$16*(1-$A45)*(1-(1-$A45)^MIN(D$6,$B$11))/($A45*MIN(D$6,$B$11)))^2)+IF(OR(E$7="",E$8=0),0,E$8*(E$7-F$16*(1-$A45)*(1-(1-$A45)^MIN(E$6,$B$11))/($A45*MIN(E$6,$B$11)))^2)</f>
        <v/>
      </c>
      <c r="G45" s="27">
        <f>IF(OR(B$7="",B$8=0),0,B$8*(B$7-G$16*(1-$A45)*(1-(1-$A45)^MIN(B$6,$B$11))/($A45*MIN(B$6,$B$11)))^2)+IF(OR(C$7="",C$8=0),0,C$8*(C$7-G$16*(1-$A45)*(1-(1-$A45)^MIN(C$6,$B$11))/($A45*MIN(C$6,$B$11)))^2)+IF(OR(D$7="",D$8=0),0,D$8*(D$7-G$16*(1-$A45)*(1-(1-$A45)^MIN(D$6,$B$11))/($A45*MIN(D$6,$B$11)))^2)+IF(OR(E$7="",E$8=0),0,E$8*(E$7-G$16*(1-$A45)*(1-(1-$A45)^MIN(E$6,$B$11))/($A45*MIN(E$6,$B$11)))^2)</f>
        <v/>
      </c>
      <c r="H45" s="27">
        <f>IF(OR(B$7="",B$8=0),0,B$8*(B$7-H$16*(1-$A45)*(1-(1-$A45)^MIN(B$6,$B$11))/($A45*MIN(B$6,$B$11)))^2)+IF(OR(C$7="",C$8=0),0,C$8*(C$7-H$16*(1-$A45)*(1-(1-$A45)^MIN(C$6,$B$11))/($A45*MIN(C$6,$B$11)))^2)+IF(OR(D$7="",D$8=0),0,D$8*(D$7-H$16*(1-$A45)*(1-(1-$A45)^MIN(D$6,$B$11))/($A45*MIN(D$6,$B$11)))^2)+IF(OR(E$7="",E$8=0),0,E$8*(E$7-H$16*(1-$A45)*(1-(1-$A45)^MIN(E$6,$B$11))/($A45*MIN(E$6,$B$11)))^2)</f>
        <v/>
      </c>
      <c r="I45" s="27">
        <f>IF(OR(B$7="",B$8=0),0,B$8*(B$7-I$16*(1-$A45)*(1-(1-$A45)^MIN(B$6,$B$11))/($A45*MIN(B$6,$B$11)))^2)+IF(OR(C$7="",C$8=0),0,C$8*(C$7-I$16*(1-$A45)*(1-(1-$A45)^MIN(C$6,$B$11))/($A45*MIN(C$6,$B$11)))^2)+IF(OR(D$7="",D$8=0),0,D$8*(D$7-I$16*(1-$A45)*(1-(1-$A45)^MIN(D$6,$B$11))/($A45*MIN(D$6,$B$11)))^2)+IF(OR(E$7="",E$8=0),0,E$8*(E$7-I$16*(1-$A45)*(1-(1-$A45)^MIN(E$6,$B$11))/($A45*MIN(E$6,$B$11)))^2)</f>
        <v/>
      </c>
      <c r="J45" s="27">
        <f>IF(OR(B$7="",B$8=0),0,B$8*(B$7-J$16*(1-$A45)*(1-(1-$A45)^MIN(B$6,$B$11))/($A45*MIN(B$6,$B$11)))^2)+IF(OR(C$7="",C$8=0),0,C$8*(C$7-J$16*(1-$A45)*(1-(1-$A45)^MIN(C$6,$B$11))/($A45*MIN(C$6,$B$11)))^2)+IF(OR(D$7="",D$8=0),0,D$8*(D$7-J$16*(1-$A45)*(1-(1-$A45)^MIN(D$6,$B$11))/($A45*MIN(D$6,$B$11)))^2)+IF(OR(E$7="",E$8=0),0,E$8*(E$7-J$16*(1-$A45)*(1-(1-$A45)^MIN(E$6,$B$11))/($A45*MIN(E$6,$B$11)))^2)</f>
        <v/>
      </c>
      <c r="K45" s="27">
        <f>IF(OR(B$7="",B$8=0),0,B$8*(B$7-K$16*(1-$A45)*(1-(1-$A45)^MIN(B$6,$B$11))/($A45*MIN(B$6,$B$11)))^2)+IF(OR(C$7="",C$8=0),0,C$8*(C$7-K$16*(1-$A45)*(1-(1-$A45)^MIN(C$6,$B$11))/($A45*MIN(C$6,$B$11)))^2)+IF(OR(D$7="",D$8=0),0,D$8*(D$7-K$16*(1-$A45)*(1-(1-$A45)^MIN(D$6,$B$11))/($A45*MIN(D$6,$B$11)))^2)+IF(OR(E$7="",E$8=0),0,E$8*(E$7-K$16*(1-$A45)*(1-(1-$A45)^MIN(E$6,$B$11))/($A45*MIN(E$6,$B$11)))^2)</f>
        <v/>
      </c>
      <c r="L45" s="27">
        <f>IF(OR(B$7="",B$8=0),0,B$8*(B$7-L$16*(1-$A45)*(1-(1-$A45)^MIN(B$6,$B$11))/($A45*MIN(B$6,$B$11)))^2)+IF(OR(C$7="",C$8=0),0,C$8*(C$7-L$16*(1-$A45)*(1-(1-$A45)^MIN(C$6,$B$11))/($A45*MIN(C$6,$B$11)))^2)+IF(OR(D$7="",D$8=0),0,D$8*(D$7-L$16*(1-$A45)*(1-(1-$A45)^MIN(D$6,$B$11))/($A45*MIN(D$6,$B$11)))^2)+IF(OR(E$7="",E$8=0),0,E$8*(E$7-L$16*(1-$A45)*(1-(1-$A45)^MIN(E$6,$B$11))/($A45*MIN(E$6,$B$11)))^2)</f>
        <v/>
      </c>
      <c r="M45" s="27">
        <f>IF(OR(B$7="",B$8=0),0,B$8*(B$7-M$16*(1-$A45)*(1-(1-$A45)^MIN(B$6,$B$11))/($A45*MIN(B$6,$B$11)))^2)+IF(OR(C$7="",C$8=0),0,C$8*(C$7-M$16*(1-$A45)*(1-(1-$A45)^MIN(C$6,$B$11))/($A45*MIN(C$6,$B$11)))^2)+IF(OR(D$7="",D$8=0),0,D$8*(D$7-M$16*(1-$A45)*(1-(1-$A45)^MIN(D$6,$B$11))/($A45*MIN(D$6,$B$11)))^2)+IF(OR(E$7="",E$8=0),0,E$8*(E$7-M$16*(1-$A45)*(1-(1-$A45)^MIN(E$6,$B$11))/($A45*MIN(E$6,$B$11)))^2)</f>
        <v/>
      </c>
      <c r="N45" s="27">
        <f>IF(OR(B$7="",B$8=0),0,B$8*(B$7-N$16*(1-$A45)*(1-(1-$A45)^MIN(B$6,$B$11))/($A45*MIN(B$6,$B$11)))^2)+IF(OR(C$7="",C$8=0),0,C$8*(C$7-N$16*(1-$A45)*(1-(1-$A45)^MIN(C$6,$B$11))/($A45*MIN(C$6,$B$11)))^2)+IF(OR(D$7="",D$8=0),0,D$8*(D$7-N$16*(1-$A45)*(1-(1-$A45)^MIN(D$6,$B$11))/($A45*MIN(D$6,$B$11)))^2)+IF(OR(E$7="",E$8=0),0,E$8*(E$7-N$16*(1-$A45)*(1-(1-$A45)^MIN(E$6,$B$11))/($A45*MIN(E$6,$B$11)))^2)</f>
        <v/>
      </c>
      <c r="O45" s="27">
        <f>IF(OR(B$7="",B$8=0),0,B$8*(B$7-O$16*(1-$A45)*(1-(1-$A45)^MIN(B$6,$B$11))/($A45*MIN(B$6,$B$11)))^2)+IF(OR(C$7="",C$8=0),0,C$8*(C$7-O$16*(1-$A45)*(1-(1-$A45)^MIN(C$6,$B$11))/($A45*MIN(C$6,$B$11)))^2)+IF(OR(D$7="",D$8=0),0,D$8*(D$7-O$16*(1-$A45)*(1-(1-$A45)^MIN(D$6,$B$11))/($A45*MIN(D$6,$B$11)))^2)+IF(OR(E$7="",E$8=0),0,E$8*(E$7-O$16*(1-$A45)*(1-(1-$A45)^MIN(E$6,$B$11))/($A45*MIN(E$6,$B$11)))^2)</f>
        <v/>
      </c>
      <c r="P45" s="27">
        <f>IF(OR(B$7="",B$8=0),0,B$8*(B$7-P$16*(1-$A45)*(1-(1-$A45)^MIN(B$6,$B$11))/($A45*MIN(B$6,$B$11)))^2)+IF(OR(C$7="",C$8=0),0,C$8*(C$7-P$16*(1-$A45)*(1-(1-$A45)^MIN(C$6,$B$11))/($A45*MIN(C$6,$B$11)))^2)+IF(OR(D$7="",D$8=0),0,D$8*(D$7-P$16*(1-$A45)*(1-(1-$A45)^MIN(D$6,$B$11))/($A45*MIN(D$6,$B$11)))^2)+IF(OR(E$7="",E$8=0),0,E$8*(E$7-P$16*(1-$A45)*(1-(1-$A45)^MIN(E$6,$B$11))/($A45*MIN(E$6,$B$11)))^2)</f>
        <v/>
      </c>
      <c r="Q45" s="27">
        <f>IF(OR(B$7="",B$8=0),0,B$8*(B$7-Q$16*(1-$A45)*(1-(1-$A45)^MIN(B$6,$B$11))/($A45*MIN(B$6,$B$11)))^2)+IF(OR(C$7="",C$8=0),0,C$8*(C$7-Q$16*(1-$A45)*(1-(1-$A45)^MIN(C$6,$B$11))/($A45*MIN(C$6,$B$11)))^2)+IF(OR(D$7="",D$8=0),0,D$8*(D$7-Q$16*(1-$A45)*(1-(1-$A45)^MIN(D$6,$B$11))/($A45*MIN(D$6,$B$11)))^2)+IF(OR(E$7="",E$8=0),0,E$8*(E$7-Q$16*(1-$A45)*(1-(1-$A45)^MIN(E$6,$B$11))/($A45*MIN(E$6,$B$11)))^2)</f>
        <v/>
      </c>
      <c r="R45" s="27">
        <f>IF(OR(B$7="",B$8=0),0,B$8*(B$7-R$16*(1-$A45)*(1-(1-$A45)^MIN(B$6,$B$11))/($A45*MIN(B$6,$B$11)))^2)+IF(OR(C$7="",C$8=0),0,C$8*(C$7-R$16*(1-$A45)*(1-(1-$A45)^MIN(C$6,$B$11))/($A45*MIN(C$6,$B$11)))^2)+IF(OR(D$7="",D$8=0),0,D$8*(D$7-R$16*(1-$A45)*(1-(1-$A45)^MIN(D$6,$B$11))/($A45*MIN(D$6,$B$11)))^2)+IF(OR(E$7="",E$8=0),0,E$8*(E$7-R$16*(1-$A45)*(1-(1-$A45)^MIN(E$6,$B$11))/($A45*MIN(E$6,$B$11)))^2)</f>
        <v/>
      </c>
      <c r="S45" s="27">
        <f>IF(OR(B$7="",B$8=0),0,B$8*(B$7-S$16*(1-$A45)*(1-(1-$A45)^MIN(B$6,$B$11))/($A45*MIN(B$6,$B$11)))^2)+IF(OR(C$7="",C$8=0),0,C$8*(C$7-S$16*(1-$A45)*(1-(1-$A45)^MIN(C$6,$B$11))/($A45*MIN(C$6,$B$11)))^2)+IF(OR(D$7="",D$8=0),0,D$8*(D$7-S$16*(1-$A45)*(1-(1-$A45)^MIN(D$6,$B$11))/($A45*MIN(D$6,$B$11)))^2)+IF(OR(E$7="",E$8=0),0,E$8*(E$7-S$16*(1-$A45)*(1-(1-$A45)^MIN(E$6,$B$11))/($A45*MIN(E$6,$B$11)))^2)</f>
        <v/>
      </c>
      <c r="U45" s="27">
        <f>MIN(B45:S45)</f>
        <v/>
      </c>
      <c r="V45" s="17">
        <f>MATCH(U45,B45:S45,0)</f>
        <v/>
      </c>
    </row>
    <row r="46">
      <c r="A46" s="26" t="n">
        <v>0.0195</v>
      </c>
      <c r="B46" s="27">
        <f>IF(OR(B$7="",B$8=0),0,B$8*(B$7-B$16*(1-$A46)*(1-(1-$A46)^MIN(B$6,$B$11))/($A46*MIN(B$6,$B$11)))^2)+IF(OR(C$7="",C$8=0),0,C$8*(C$7-B$16*(1-$A46)*(1-(1-$A46)^MIN(C$6,$B$11))/($A46*MIN(C$6,$B$11)))^2)+IF(OR(D$7="",D$8=0),0,D$8*(D$7-B$16*(1-$A46)*(1-(1-$A46)^MIN(D$6,$B$11))/($A46*MIN(D$6,$B$11)))^2)+IF(OR(E$7="",E$8=0),0,E$8*(E$7-B$16*(1-$A46)*(1-(1-$A46)^MIN(E$6,$B$11))/($A46*MIN(E$6,$B$11)))^2)</f>
        <v/>
      </c>
      <c r="C46" s="27">
        <f>IF(OR(B$7="",B$8=0),0,B$8*(B$7-C$16*(1-$A46)*(1-(1-$A46)^MIN(B$6,$B$11))/($A46*MIN(B$6,$B$11)))^2)+IF(OR(C$7="",C$8=0),0,C$8*(C$7-C$16*(1-$A46)*(1-(1-$A46)^MIN(C$6,$B$11))/($A46*MIN(C$6,$B$11)))^2)+IF(OR(D$7="",D$8=0),0,D$8*(D$7-C$16*(1-$A46)*(1-(1-$A46)^MIN(D$6,$B$11))/($A46*MIN(D$6,$B$11)))^2)+IF(OR(E$7="",E$8=0),0,E$8*(E$7-C$16*(1-$A46)*(1-(1-$A46)^MIN(E$6,$B$11))/($A46*MIN(E$6,$B$11)))^2)</f>
        <v/>
      </c>
      <c r="D46" s="27">
        <f>IF(OR(B$7="",B$8=0),0,B$8*(B$7-D$16*(1-$A46)*(1-(1-$A46)^MIN(B$6,$B$11))/($A46*MIN(B$6,$B$11)))^2)+IF(OR(C$7="",C$8=0),0,C$8*(C$7-D$16*(1-$A46)*(1-(1-$A46)^MIN(C$6,$B$11))/($A46*MIN(C$6,$B$11)))^2)+IF(OR(D$7="",D$8=0),0,D$8*(D$7-D$16*(1-$A46)*(1-(1-$A46)^MIN(D$6,$B$11))/($A46*MIN(D$6,$B$11)))^2)+IF(OR(E$7="",E$8=0),0,E$8*(E$7-D$16*(1-$A46)*(1-(1-$A46)^MIN(E$6,$B$11))/($A46*MIN(E$6,$B$11)))^2)</f>
        <v/>
      </c>
      <c r="E46" s="27">
        <f>IF(OR(B$7="",B$8=0),0,B$8*(B$7-E$16*(1-$A46)*(1-(1-$A46)^MIN(B$6,$B$11))/($A46*MIN(B$6,$B$11)))^2)+IF(OR(C$7="",C$8=0),0,C$8*(C$7-E$16*(1-$A46)*(1-(1-$A46)^MIN(C$6,$B$11))/($A46*MIN(C$6,$B$11)))^2)+IF(OR(D$7="",D$8=0),0,D$8*(D$7-E$16*(1-$A46)*(1-(1-$A46)^MIN(D$6,$B$11))/($A46*MIN(D$6,$B$11)))^2)+IF(OR(E$7="",E$8=0),0,E$8*(E$7-E$16*(1-$A46)*(1-(1-$A46)^MIN(E$6,$B$11))/($A46*MIN(E$6,$B$11)))^2)</f>
        <v/>
      </c>
      <c r="F46" s="27">
        <f>IF(OR(B$7="",B$8=0),0,B$8*(B$7-F$16*(1-$A46)*(1-(1-$A46)^MIN(B$6,$B$11))/($A46*MIN(B$6,$B$11)))^2)+IF(OR(C$7="",C$8=0),0,C$8*(C$7-F$16*(1-$A46)*(1-(1-$A46)^MIN(C$6,$B$11))/($A46*MIN(C$6,$B$11)))^2)+IF(OR(D$7="",D$8=0),0,D$8*(D$7-F$16*(1-$A46)*(1-(1-$A46)^MIN(D$6,$B$11))/($A46*MIN(D$6,$B$11)))^2)+IF(OR(E$7="",E$8=0),0,E$8*(E$7-F$16*(1-$A46)*(1-(1-$A46)^MIN(E$6,$B$11))/($A46*MIN(E$6,$B$11)))^2)</f>
        <v/>
      </c>
      <c r="G46" s="27">
        <f>IF(OR(B$7="",B$8=0),0,B$8*(B$7-G$16*(1-$A46)*(1-(1-$A46)^MIN(B$6,$B$11))/($A46*MIN(B$6,$B$11)))^2)+IF(OR(C$7="",C$8=0),0,C$8*(C$7-G$16*(1-$A46)*(1-(1-$A46)^MIN(C$6,$B$11))/($A46*MIN(C$6,$B$11)))^2)+IF(OR(D$7="",D$8=0),0,D$8*(D$7-G$16*(1-$A46)*(1-(1-$A46)^MIN(D$6,$B$11))/($A46*MIN(D$6,$B$11)))^2)+IF(OR(E$7="",E$8=0),0,E$8*(E$7-G$16*(1-$A46)*(1-(1-$A46)^MIN(E$6,$B$11))/($A46*MIN(E$6,$B$11)))^2)</f>
        <v/>
      </c>
      <c r="H46" s="27">
        <f>IF(OR(B$7="",B$8=0),0,B$8*(B$7-H$16*(1-$A46)*(1-(1-$A46)^MIN(B$6,$B$11))/($A46*MIN(B$6,$B$11)))^2)+IF(OR(C$7="",C$8=0),0,C$8*(C$7-H$16*(1-$A46)*(1-(1-$A46)^MIN(C$6,$B$11))/($A46*MIN(C$6,$B$11)))^2)+IF(OR(D$7="",D$8=0),0,D$8*(D$7-H$16*(1-$A46)*(1-(1-$A46)^MIN(D$6,$B$11))/($A46*MIN(D$6,$B$11)))^2)+IF(OR(E$7="",E$8=0),0,E$8*(E$7-H$16*(1-$A46)*(1-(1-$A46)^MIN(E$6,$B$11))/($A46*MIN(E$6,$B$11)))^2)</f>
        <v/>
      </c>
      <c r="I46" s="27">
        <f>IF(OR(B$7="",B$8=0),0,B$8*(B$7-I$16*(1-$A46)*(1-(1-$A46)^MIN(B$6,$B$11))/($A46*MIN(B$6,$B$11)))^2)+IF(OR(C$7="",C$8=0),0,C$8*(C$7-I$16*(1-$A46)*(1-(1-$A46)^MIN(C$6,$B$11))/($A46*MIN(C$6,$B$11)))^2)+IF(OR(D$7="",D$8=0),0,D$8*(D$7-I$16*(1-$A46)*(1-(1-$A46)^MIN(D$6,$B$11))/($A46*MIN(D$6,$B$11)))^2)+IF(OR(E$7="",E$8=0),0,E$8*(E$7-I$16*(1-$A46)*(1-(1-$A46)^MIN(E$6,$B$11))/($A46*MIN(E$6,$B$11)))^2)</f>
        <v/>
      </c>
      <c r="J46" s="27">
        <f>IF(OR(B$7="",B$8=0),0,B$8*(B$7-J$16*(1-$A46)*(1-(1-$A46)^MIN(B$6,$B$11))/($A46*MIN(B$6,$B$11)))^2)+IF(OR(C$7="",C$8=0),0,C$8*(C$7-J$16*(1-$A46)*(1-(1-$A46)^MIN(C$6,$B$11))/($A46*MIN(C$6,$B$11)))^2)+IF(OR(D$7="",D$8=0),0,D$8*(D$7-J$16*(1-$A46)*(1-(1-$A46)^MIN(D$6,$B$11))/($A46*MIN(D$6,$B$11)))^2)+IF(OR(E$7="",E$8=0),0,E$8*(E$7-J$16*(1-$A46)*(1-(1-$A46)^MIN(E$6,$B$11))/($A46*MIN(E$6,$B$11)))^2)</f>
        <v/>
      </c>
      <c r="K46" s="27">
        <f>IF(OR(B$7="",B$8=0),0,B$8*(B$7-K$16*(1-$A46)*(1-(1-$A46)^MIN(B$6,$B$11))/($A46*MIN(B$6,$B$11)))^2)+IF(OR(C$7="",C$8=0),0,C$8*(C$7-K$16*(1-$A46)*(1-(1-$A46)^MIN(C$6,$B$11))/($A46*MIN(C$6,$B$11)))^2)+IF(OR(D$7="",D$8=0),0,D$8*(D$7-K$16*(1-$A46)*(1-(1-$A46)^MIN(D$6,$B$11))/($A46*MIN(D$6,$B$11)))^2)+IF(OR(E$7="",E$8=0),0,E$8*(E$7-K$16*(1-$A46)*(1-(1-$A46)^MIN(E$6,$B$11))/($A46*MIN(E$6,$B$11)))^2)</f>
        <v/>
      </c>
      <c r="L46" s="27">
        <f>IF(OR(B$7="",B$8=0),0,B$8*(B$7-L$16*(1-$A46)*(1-(1-$A46)^MIN(B$6,$B$11))/($A46*MIN(B$6,$B$11)))^2)+IF(OR(C$7="",C$8=0),0,C$8*(C$7-L$16*(1-$A46)*(1-(1-$A46)^MIN(C$6,$B$11))/($A46*MIN(C$6,$B$11)))^2)+IF(OR(D$7="",D$8=0),0,D$8*(D$7-L$16*(1-$A46)*(1-(1-$A46)^MIN(D$6,$B$11))/($A46*MIN(D$6,$B$11)))^2)+IF(OR(E$7="",E$8=0),0,E$8*(E$7-L$16*(1-$A46)*(1-(1-$A46)^MIN(E$6,$B$11))/($A46*MIN(E$6,$B$11)))^2)</f>
        <v/>
      </c>
      <c r="M46" s="27">
        <f>IF(OR(B$7="",B$8=0),0,B$8*(B$7-M$16*(1-$A46)*(1-(1-$A46)^MIN(B$6,$B$11))/($A46*MIN(B$6,$B$11)))^2)+IF(OR(C$7="",C$8=0),0,C$8*(C$7-M$16*(1-$A46)*(1-(1-$A46)^MIN(C$6,$B$11))/($A46*MIN(C$6,$B$11)))^2)+IF(OR(D$7="",D$8=0),0,D$8*(D$7-M$16*(1-$A46)*(1-(1-$A46)^MIN(D$6,$B$11))/($A46*MIN(D$6,$B$11)))^2)+IF(OR(E$7="",E$8=0),0,E$8*(E$7-M$16*(1-$A46)*(1-(1-$A46)^MIN(E$6,$B$11))/($A46*MIN(E$6,$B$11)))^2)</f>
        <v/>
      </c>
      <c r="N46" s="27">
        <f>IF(OR(B$7="",B$8=0),0,B$8*(B$7-N$16*(1-$A46)*(1-(1-$A46)^MIN(B$6,$B$11))/($A46*MIN(B$6,$B$11)))^2)+IF(OR(C$7="",C$8=0),0,C$8*(C$7-N$16*(1-$A46)*(1-(1-$A46)^MIN(C$6,$B$11))/($A46*MIN(C$6,$B$11)))^2)+IF(OR(D$7="",D$8=0),0,D$8*(D$7-N$16*(1-$A46)*(1-(1-$A46)^MIN(D$6,$B$11))/($A46*MIN(D$6,$B$11)))^2)+IF(OR(E$7="",E$8=0),0,E$8*(E$7-N$16*(1-$A46)*(1-(1-$A46)^MIN(E$6,$B$11))/($A46*MIN(E$6,$B$11)))^2)</f>
        <v/>
      </c>
      <c r="O46" s="27">
        <f>IF(OR(B$7="",B$8=0),0,B$8*(B$7-O$16*(1-$A46)*(1-(1-$A46)^MIN(B$6,$B$11))/($A46*MIN(B$6,$B$11)))^2)+IF(OR(C$7="",C$8=0),0,C$8*(C$7-O$16*(1-$A46)*(1-(1-$A46)^MIN(C$6,$B$11))/($A46*MIN(C$6,$B$11)))^2)+IF(OR(D$7="",D$8=0),0,D$8*(D$7-O$16*(1-$A46)*(1-(1-$A46)^MIN(D$6,$B$11))/($A46*MIN(D$6,$B$11)))^2)+IF(OR(E$7="",E$8=0),0,E$8*(E$7-O$16*(1-$A46)*(1-(1-$A46)^MIN(E$6,$B$11))/($A46*MIN(E$6,$B$11)))^2)</f>
        <v/>
      </c>
      <c r="P46" s="27">
        <f>IF(OR(B$7="",B$8=0),0,B$8*(B$7-P$16*(1-$A46)*(1-(1-$A46)^MIN(B$6,$B$11))/($A46*MIN(B$6,$B$11)))^2)+IF(OR(C$7="",C$8=0),0,C$8*(C$7-P$16*(1-$A46)*(1-(1-$A46)^MIN(C$6,$B$11))/($A46*MIN(C$6,$B$11)))^2)+IF(OR(D$7="",D$8=0),0,D$8*(D$7-P$16*(1-$A46)*(1-(1-$A46)^MIN(D$6,$B$11))/($A46*MIN(D$6,$B$11)))^2)+IF(OR(E$7="",E$8=0),0,E$8*(E$7-P$16*(1-$A46)*(1-(1-$A46)^MIN(E$6,$B$11))/($A46*MIN(E$6,$B$11)))^2)</f>
        <v/>
      </c>
      <c r="Q46" s="27">
        <f>IF(OR(B$7="",B$8=0),0,B$8*(B$7-Q$16*(1-$A46)*(1-(1-$A46)^MIN(B$6,$B$11))/($A46*MIN(B$6,$B$11)))^2)+IF(OR(C$7="",C$8=0),0,C$8*(C$7-Q$16*(1-$A46)*(1-(1-$A46)^MIN(C$6,$B$11))/($A46*MIN(C$6,$B$11)))^2)+IF(OR(D$7="",D$8=0),0,D$8*(D$7-Q$16*(1-$A46)*(1-(1-$A46)^MIN(D$6,$B$11))/($A46*MIN(D$6,$B$11)))^2)+IF(OR(E$7="",E$8=0),0,E$8*(E$7-Q$16*(1-$A46)*(1-(1-$A46)^MIN(E$6,$B$11))/($A46*MIN(E$6,$B$11)))^2)</f>
        <v/>
      </c>
      <c r="R46" s="27">
        <f>IF(OR(B$7="",B$8=0),0,B$8*(B$7-R$16*(1-$A46)*(1-(1-$A46)^MIN(B$6,$B$11))/($A46*MIN(B$6,$B$11)))^2)+IF(OR(C$7="",C$8=0),0,C$8*(C$7-R$16*(1-$A46)*(1-(1-$A46)^MIN(C$6,$B$11))/($A46*MIN(C$6,$B$11)))^2)+IF(OR(D$7="",D$8=0),0,D$8*(D$7-R$16*(1-$A46)*(1-(1-$A46)^MIN(D$6,$B$11))/($A46*MIN(D$6,$B$11)))^2)+IF(OR(E$7="",E$8=0),0,E$8*(E$7-R$16*(1-$A46)*(1-(1-$A46)^MIN(E$6,$B$11))/($A46*MIN(E$6,$B$11)))^2)</f>
        <v/>
      </c>
      <c r="S46" s="27">
        <f>IF(OR(B$7="",B$8=0),0,B$8*(B$7-S$16*(1-$A46)*(1-(1-$A46)^MIN(B$6,$B$11))/($A46*MIN(B$6,$B$11)))^2)+IF(OR(C$7="",C$8=0),0,C$8*(C$7-S$16*(1-$A46)*(1-(1-$A46)^MIN(C$6,$B$11))/($A46*MIN(C$6,$B$11)))^2)+IF(OR(D$7="",D$8=0),0,D$8*(D$7-S$16*(1-$A46)*(1-(1-$A46)^MIN(D$6,$B$11))/($A46*MIN(D$6,$B$11)))^2)+IF(OR(E$7="",E$8=0),0,E$8*(E$7-S$16*(1-$A46)*(1-(1-$A46)^MIN(E$6,$B$11))/($A46*MIN(E$6,$B$11)))^2)</f>
        <v/>
      </c>
      <c r="U46" s="27">
        <f>MIN(B46:S46)</f>
        <v/>
      </c>
      <c r="V46" s="17">
        <f>MATCH(U46,B46:S46,0)</f>
        <v/>
      </c>
    </row>
    <row r="47">
      <c r="A47" s="26" t="n">
        <v>0.02</v>
      </c>
      <c r="B47" s="27">
        <f>IF(OR(B$7="",B$8=0),0,B$8*(B$7-B$16*(1-$A47)*(1-(1-$A47)^MIN(B$6,$B$11))/($A47*MIN(B$6,$B$11)))^2)+IF(OR(C$7="",C$8=0),0,C$8*(C$7-B$16*(1-$A47)*(1-(1-$A47)^MIN(C$6,$B$11))/($A47*MIN(C$6,$B$11)))^2)+IF(OR(D$7="",D$8=0),0,D$8*(D$7-B$16*(1-$A47)*(1-(1-$A47)^MIN(D$6,$B$11))/($A47*MIN(D$6,$B$11)))^2)+IF(OR(E$7="",E$8=0),0,E$8*(E$7-B$16*(1-$A47)*(1-(1-$A47)^MIN(E$6,$B$11))/($A47*MIN(E$6,$B$11)))^2)</f>
        <v/>
      </c>
      <c r="C47" s="27">
        <f>IF(OR(B$7="",B$8=0),0,B$8*(B$7-C$16*(1-$A47)*(1-(1-$A47)^MIN(B$6,$B$11))/($A47*MIN(B$6,$B$11)))^2)+IF(OR(C$7="",C$8=0),0,C$8*(C$7-C$16*(1-$A47)*(1-(1-$A47)^MIN(C$6,$B$11))/($A47*MIN(C$6,$B$11)))^2)+IF(OR(D$7="",D$8=0),0,D$8*(D$7-C$16*(1-$A47)*(1-(1-$A47)^MIN(D$6,$B$11))/($A47*MIN(D$6,$B$11)))^2)+IF(OR(E$7="",E$8=0),0,E$8*(E$7-C$16*(1-$A47)*(1-(1-$A47)^MIN(E$6,$B$11))/($A47*MIN(E$6,$B$11)))^2)</f>
        <v/>
      </c>
      <c r="D47" s="27">
        <f>IF(OR(B$7="",B$8=0),0,B$8*(B$7-D$16*(1-$A47)*(1-(1-$A47)^MIN(B$6,$B$11))/($A47*MIN(B$6,$B$11)))^2)+IF(OR(C$7="",C$8=0),0,C$8*(C$7-D$16*(1-$A47)*(1-(1-$A47)^MIN(C$6,$B$11))/($A47*MIN(C$6,$B$11)))^2)+IF(OR(D$7="",D$8=0),0,D$8*(D$7-D$16*(1-$A47)*(1-(1-$A47)^MIN(D$6,$B$11))/($A47*MIN(D$6,$B$11)))^2)+IF(OR(E$7="",E$8=0),0,E$8*(E$7-D$16*(1-$A47)*(1-(1-$A47)^MIN(E$6,$B$11))/($A47*MIN(E$6,$B$11)))^2)</f>
        <v/>
      </c>
      <c r="E47" s="27">
        <f>IF(OR(B$7="",B$8=0),0,B$8*(B$7-E$16*(1-$A47)*(1-(1-$A47)^MIN(B$6,$B$11))/($A47*MIN(B$6,$B$11)))^2)+IF(OR(C$7="",C$8=0),0,C$8*(C$7-E$16*(1-$A47)*(1-(1-$A47)^MIN(C$6,$B$11))/($A47*MIN(C$6,$B$11)))^2)+IF(OR(D$7="",D$8=0),0,D$8*(D$7-E$16*(1-$A47)*(1-(1-$A47)^MIN(D$6,$B$11))/($A47*MIN(D$6,$B$11)))^2)+IF(OR(E$7="",E$8=0),0,E$8*(E$7-E$16*(1-$A47)*(1-(1-$A47)^MIN(E$6,$B$11))/($A47*MIN(E$6,$B$11)))^2)</f>
        <v/>
      </c>
      <c r="F47" s="27">
        <f>IF(OR(B$7="",B$8=0),0,B$8*(B$7-F$16*(1-$A47)*(1-(1-$A47)^MIN(B$6,$B$11))/($A47*MIN(B$6,$B$11)))^2)+IF(OR(C$7="",C$8=0),0,C$8*(C$7-F$16*(1-$A47)*(1-(1-$A47)^MIN(C$6,$B$11))/($A47*MIN(C$6,$B$11)))^2)+IF(OR(D$7="",D$8=0),0,D$8*(D$7-F$16*(1-$A47)*(1-(1-$A47)^MIN(D$6,$B$11))/($A47*MIN(D$6,$B$11)))^2)+IF(OR(E$7="",E$8=0),0,E$8*(E$7-F$16*(1-$A47)*(1-(1-$A47)^MIN(E$6,$B$11))/($A47*MIN(E$6,$B$11)))^2)</f>
        <v/>
      </c>
      <c r="G47" s="27">
        <f>IF(OR(B$7="",B$8=0),0,B$8*(B$7-G$16*(1-$A47)*(1-(1-$A47)^MIN(B$6,$B$11))/($A47*MIN(B$6,$B$11)))^2)+IF(OR(C$7="",C$8=0),0,C$8*(C$7-G$16*(1-$A47)*(1-(1-$A47)^MIN(C$6,$B$11))/($A47*MIN(C$6,$B$11)))^2)+IF(OR(D$7="",D$8=0),0,D$8*(D$7-G$16*(1-$A47)*(1-(1-$A47)^MIN(D$6,$B$11))/($A47*MIN(D$6,$B$11)))^2)+IF(OR(E$7="",E$8=0),0,E$8*(E$7-G$16*(1-$A47)*(1-(1-$A47)^MIN(E$6,$B$11))/($A47*MIN(E$6,$B$11)))^2)</f>
        <v/>
      </c>
      <c r="H47" s="27">
        <f>IF(OR(B$7="",B$8=0),0,B$8*(B$7-H$16*(1-$A47)*(1-(1-$A47)^MIN(B$6,$B$11))/($A47*MIN(B$6,$B$11)))^2)+IF(OR(C$7="",C$8=0),0,C$8*(C$7-H$16*(1-$A47)*(1-(1-$A47)^MIN(C$6,$B$11))/($A47*MIN(C$6,$B$11)))^2)+IF(OR(D$7="",D$8=0),0,D$8*(D$7-H$16*(1-$A47)*(1-(1-$A47)^MIN(D$6,$B$11))/($A47*MIN(D$6,$B$11)))^2)+IF(OR(E$7="",E$8=0),0,E$8*(E$7-H$16*(1-$A47)*(1-(1-$A47)^MIN(E$6,$B$11))/($A47*MIN(E$6,$B$11)))^2)</f>
        <v/>
      </c>
      <c r="I47" s="27">
        <f>IF(OR(B$7="",B$8=0),0,B$8*(B$7-I$16*(1-$A47)*(1-(1-$A47)^MIN(B$6,$B$11))/($A47*MIN(B$6,$B$11)))^2)+IF(OR(C$7="",C$8=0),0,C$8*(C$7-I$16*(1-$A47)*(1-(1-$A47)^MIN(C$6,$B$11))/($A47*MIN(C$6,$B$11)))^2)+IF(OR(D$7="",D$8=0),0,D$8*(D$7-I$16*(1-$A47)*(1-(1-$A47)^MIN(D$6,$B$11))/($A47*MIN(D$6,$B$11)))^2)+IF(OR(E$7="",E$8=0),0,E$8*(E$7-I$16*(1-$A47)*(1-(1-$A47)^MIN(E$6,$B$11))/($A47*MIN(E$6,$B$11)))^2)</f>
        <v/>
      </c>
      <c r="J47" s="27">
        <f>IF(OR(B$7="",B$8=0),0,B$8*(B$7-J$16*(1-$A47)*(1-(1-$A47)^MIN(B$6,$B$11))/($A47*MIN(B$6,$B$11)))^2)+IF(OR(C$7="",C$8=0),0,C$8*(C$7-J$16*(1-$A47)*(1-(1-$A47)^MIN(C$6,$B$11))/($A47*MIN(C$6,$B$11)))^2)+IF(OR(D$7="",D$8=0),0,D$8*(D$7-J$16*(1-$A47)*(1-(1-$A47)^MIN(D$6,$B$11))/($A47*MIN(D$6,$B$11)))^2)+IF(OR(E$7="",E$8=0),0,E$8*(E$7-J$16*(1-$A47)*(1-(1-$A47)^MIN(E$6,$B$11))/($A47*MIN(E$6,$B$11)))^2)</f>
        <v/>
      </c>
      <c r="K47" s="27">
        <f>IF(OR(B$7="",B$8=0),0,B$8*(B$7-K$16*(1-$A47)*(1-(1-$A47)^MIN(B$6,$B$11))/($A47*MIN(B$6,$B$11)))^2)+IF(OR(C$7="",C$8=0),0,C$8*(C$7-K$16*(1-$A47)*(1-(1-$A47)^MIN(C$6,$B$11))/($A47*MIN(C$6,$B$11)))^2)+IF(OR(D$7="",D$8=0),0,D$8*(D$7-K$16*(1-$A47)*(1-(1-$A47)^MIN(D$6,$B$11))/($A47*MIN(D$6,$B$11)))^2)+IF(OR(E$7="",E$8=0),0,E$8*(E$7-K$16*(1-$A47)*(1-(1-$A47)^MIN(E$6,$B$11))/($A47*MIN(E$6,$B$11)))^2)</f>
        <v/>
      </c>
      <c r="L47" s="27">
        <f>IF(OR(B$7="",B$8=0),0,B$8*(B$7-L$16*(1-$A47)*(1-(1-$A47)^MIN(B$6,$B$11))/($A47*MIN(B$6,$B$11)))^2)+IF(OR(C$7="",C$8=0),0,C$8*(C$7-L$16*(1-$A47)*(1-(1-$A47)^MIN(C$6,$B$11))/($A47*MIN(C$6,$B$11)))^2)+IF(OR(D$7="",D$8=0),0,D$8*(D$7-L$16*(1-$A47)*(1-(1-$A47)^MIN(D$6,$B$11))/($A47*MIN(D$6,$B$11)))^2)+IF(OR(E$7="",E$8=0),0,E$8*(E$7-L$16*(1-$A47)*(1-(1-$A47)^MIN(E$6,$B$11))/($A47*MIN(E$6,$B$11)))^2)</f>
        <v/>
      </c>
      <c r="M47" s="27">
        <f>IF(OR(B$7="",B$8=0),0,B$8*(B$7-M$16*(1-$A47)*(1-(1-$A47)^MIN(B$6,$B$11))/($A47*MIN(B$6,$B$11)))^2)+IF(OR(C$7="",C$8=0),0,C$8*(C$7-M$16*(1-$A47)*(1-(1-$A47)^MIN(C$6,$B$11))/($A47*MIN(C$6,$B$11)))^2)+IF(OR(D$7="",D$8=0),0,D$8*(D$7-M$16*(1-$A47)*(1-(1-$A47)^MIN(D$6,$B$11))/($A47*MIN(D$6,$B$11)))^2)+IF(OR(E$7="",E$8=0),0,E$8*(E$7-M$16*(1-$A47)*(1-(1-$A47)^MIN(E$6,$B$11))/($A47*MIN(E$6,$B$11)))^2)</f>
        <v/>
      </c>
      <c r="N47" s="27">
        <f>IF(OR(B$7="",B$8=0),0,B$8*(B$7-N$16*(1-$A47)*(1-(1-$A47)^MIN(B$6,$B$11))/($A47*MIN(B$6,$B$11)))^2)+IF(OR(C$7="",C$8=0),0,C$8*(C$7-N$16*(1-$A47)*(1-(1-$A47)^MIN(C$6,$B$11))/($A47*MIN(C$6,$B$11)))^2)+IF(OR(D$7="",D$8=0),0,D$8*(D$7-N$16*(1-$A47)*(1-(1-$A47)^MIN(D$6,$B$11))/($A47*MIN(D$6,$B$11)))^2)+IF(OR(E$7="",E$8=0),0,E$8*(E$7-N$16*(1-$A47)*(1-(1-$A47)^MIN(E$6,$B$11))/($A47*MIN(E$6,$B$11)))^2)</f>
        <v/>
      </c>
      <c r="O47" s="27">
        <f>IF(OR(B$7="",B$8=0),0,B$8*(B$7-O$16*(1-$A47)*(1-(1-$A47)^MIN(B$6,$B$11))/($A47*MIN(B$6,$B$11)))^2)+IF(OR(C$7="",C$8=0),0,C$8*(C$7-O$16*(1-$A47)*(1-(1-$A47)^MIN(C$6,$B$11))/($A47*MIN(C$6,$B$11)))^2)+IF(OR(D$7="",D$8=0),0,D$8*(D$7-O$16*(1-$A47)*(1-(1-$A47)^MIN(D$6,$B$11))/($A47*MIN(D$6,$B$11)))^2)+IF(OR(E$7="",E$8=0),0,E$8*(E$7-O$16*(1-$A47)*(1-(1-$A47)^MIN(E$6,$B$11))/($A47*MIN(E$6,$B$11)))^2)</f>
        <v/>
      </c>
      <c r="P47" s="27">
        <f>IF(OR(B$7="",B$8=0),0,B$8*(B$7-P$16*(1-$A47)*(1-(1-$A47)^MIN(B$6,$B$11))/($A47*MIN(B$6,$B$11)))^2)+IF(OR(C$7="",C$8=0),0,C$8*(C$7-P$16*(1-$A47)*(1-(1-$A47)^MIN(C$6,$B$11))/($A47*MIN(C$6,$B$11)))^2)+IF(OR(D$7="",D$8=0),0,D$8*(D$7-P$16*(1-$A47)*(1-(1-$A47)^MIN(D$6,$B$11))/($A47*MIN(D$6,$B$11)))^2)+IF(OR(E$7="",E$8=0),0,E$8*(E$7-P$16*(1-$A47)*(1-(1-$A47)^MIN(E$6,$B$11))/($A47*MIN(E$6,$B$11)))^2)</f>
        <v/>
      </c>
      <c r="Q47" s="27">
        <f>IF(OR(B$7="",B$8=0),0,B$8*(B$7-Q$16*(1-$A47)*(1-(1-$A47)^MIN(B$6,$B$11))/($A47*MIN(B$6,$B$11)))^2)+IF(OR(C$7="",C$8=0),0,C$8*(C$7-Q$16*(1-$A47)*(1-(1-$A47)^MIN(C$6,$B$11))/($A47*MIN(C$6,$B$11)))^2)+IF(OR(D$7="",D$8=0),0,D$8*(D$7-Q$16*(1-$A47)*(1-(1-$A47)^MIN(D$6,$B$11))/($A47*MIN(D$6,$B$11)))^2)+IF(OR(E$7="",E$8=0),0,E$8*(E$7-Q$16*(1-$A47)*(1-(1-$A47)^MIN(E$6,$B$11))/($A47*MIN(E$6,$B$11)))^2)</f>
        <v/>
      </c>
      <c r="R47" s="27">
        <f>IF(OR(B$7="",B$8=0),0,B$8*(B$7-R$16*(1-$A47)*(1-(1-$A47)^MIN(B$6,$B$11))/($A47*MIN(B$6,$B$11)))^2)+IF(OR(C$7="",C$8=0),0,C$8*(C$7-R$16*(1-$A47)*(1-(1-$A47)^MIN(C$6,$B$11))/($A47*MIN(C$6,$B$11)))^2)+IF(OR(D$7="",D$8=0),0,D$8*(D$7-R$16*(1-$A47)*(1-(1-$A47)^MIN(D$6,$B$11))/($A47*MIN(D$6,$B$11)))^2)+IF(OR(E$7="",E$8=0),0,E$8*(E$7-R$16*(1-$A47)*(1-(1-$A47)^MIN(E$6,$B$11))/($A47*MIN(E$6,$B$11)))^2)</f>
        <v/>
      </c>
      <c r="S47" s="27">
        <f>IF(OR(B$7="",B$8=0),0,B$8*(B$7-S$16*(1-$A47)*(1-(1-$A47)^MIN(B$6,$B$11))/($A47*MIN(B$6,$B$11)))^2)+IF(OR(C$7="",C$8=0),0,C$8*(C$7-S$16*(1-$A47)*(1-(1-$A47)^MIN(C$6,$B$11))/($A47*MIN(C$6,$B$11)))^2)+IF(OR(D$7="",D$8=0),0,D$8*(D$7-S$16*(1-$A47)*(1-(1-$A47)^MIN(D$6,$B$11))/($A47*MIN(D$6,$B$11)))^2)+IF(OR(E$7="",E$8=0),0,E$8*(E$7-S$16*(1-$A47)*(1-(1-$A47)^MIN(E$6,$B$11))/($A47*MIN(E$6,$B$11)))^2)</f>
        <v/>
      </c>
      <c r="U47" s="27">
        <f>MIN(B47:S47)</f>
        <v/>
      </c>
      <c r="V47" s="17">
        <f>MATCH(U47,B47:S47,0)</f>
        <v/>
      </c>
    </row>
    <row r="48">
      <c r="A48" s="26" t="n">
        <v>0.0205</v>
      </c>
      <c r="B48" s="27">
        <f>IF(OR(B$7="",B$8=0),0,B$8*(B$7-B$16*(1-$A48)*(1-(1-$A48)^MIN(B$6,$B$11))/($A48*MIN(B$6,$B$11)))^2)+IF(OR(C$7="",C$8=0),0,C$8*(C$7-B$16*(1-$A48)*(1-(1-$A48)^MIN(C$6,$B$11))/($A48*MIN(C$6,$B$11)))^2)+IF(OR(D$7="",D$8=0),0,D$8*(D$7-B$16*(1-$A48)*(1-(1-$A48)^MIN(D$6,$B$11))/($A48*MIN(D$6,$B$11)))^2)+IF(OR(E$7="",E$8=0),0,E$8*(E$7-B$16*(1-$A48)*(1-(1-$A48)^MIN(E$6,$B$11))/($A48*MIN(E$6,$B$11)))^2)</f>
        <v/>
      </c>
      <c r="C48" s="27">
        <f>IF(OR(B$7="",B$8=0),0,B$8*(B$7-C$16*(1-$A48)*(1-(1-$A48)^MIN(B$6,$B$11))/($A48*MIN(B$6,$B$11)))^2)+IF(OR(C$7="",C$8=0),0,C$8*(C$7-C$16*(1-$A48)*(1-(1-$A48)^MIN(C$6,$B$11))/($A48*MIN(C$6,$B$11)))^2)+IF(OR(D$7="",D$8=0),0,D$8*(D$7-C$16*(1-$A48)*(1-(1-$A48)^MIN(D$6,$B$11))/($A48*MIN(D$6,$B$11)))^2)+IF(OR(E$7="",E$8=0),0,E$8*(E$7-C$16*(1-$A48)*(1-(1-$A48)^MIN(E$6,$B$11))/($A48*MIN(E$6,$B$11)))^2)</f>
        <v/>
      </c>
      <c r="D48" s="27">
        <f>IF(OR(B$7="",B$8=0),0,B$8*(B$7-D$16*(1-$A48)*(1-(1-$A48)^MIN(B$6,$B$11))/($A48*MIN(B$6,$B$11)))^2)+IF(OR(C$7="",C$8=0),0,C$8*(C$7-D$16*(1-$A48)*(1-(1-$A48)^MIN(C$6,$B$11))/($A48*MIN(C$6,$B$11)))^2)+IF(OR(D$7="",D$8=0),0,D$8*(D$7-D$16*(1-$A48)*(1-(1-$A48)^MIN(D$6,$B$11))/($A48*MIN(D$6,$B$11)))^2)+IF(OR(E$7="",E$8=0),0,E$8*(E$7-D$16*(1-$A48)*(1-(1-$A48)^MIN(E$6,$B$11))/($A48*MIN(E$6,$B$11)))^2)</f>
        <v/>
      </c>
      <c r="E48" s="27">
        <f>IF(OR(B$7="",B$8=0),0,B$8*(B$7-E$16*(1-$A48)*(1-(1-$A48)^MIN(B$6,$B$11))/($A48*MIN(B$6,$B$11)))^2)+IF(OR(C$7="",C$8=0),0,C$8*(C$7-E$16*(1-$A48)*(1-(1-$A48)^MIN(C$6,$B$11))/($A48*MIN(C$6,$B$11)))^2)+IF(OR(D$7="",D$8=0),0,D$8*(D$7-E$16*(1-$A48)*(1-(1-$A48)^MIN(D$6,$B$11))/($A48*MIN(D$6,$B$11)))^2)+IF(OR(E$7="",E$8=0),0,E$8*(E$7-E$16*(1-$A48)*(1-(1-$A48)^MIN(E$6,$B$11))/($A48*MIN(E$6,$B$11)))^2)</f>
        <v/>
      </c>
      <c r="F48" s="27">
        <f>IF(OR(B$7="",B$8=0),0,B$8*(B$7-F$16*(1-$A48)*(1-(1-$A48)^MIN(B$6,$B$11))/($A48*MIN(B$6,$B$11)))^2)+IF(OR(C$7="",C$8=0),0,C$8*(C$7-F$16*(1-$A48)*(1-(1-$A48)^MIN(C$6,$B$11))/($A48*MIN(C$6,$B$11)))^2)+IF(OR(D$7="",D$8=0),0,D$8*(D$7-F$16*(1-$A48)*(1-(1-$A48)^MIN(D$6,$B$11))/($A48*MIN(D$6,$B$11)))^2)+IF(OR(E$7="",E$8=0),0,E$8*(E$7-F$16*(1-$A48)*(1-(1-$A48)^MIN(E$6,$B$11))/($A48*MIN(E$6,$B$11)))^2)</f>
        <v/>
      </c>
      <c r="G48" s="27">
        <f>IF(OR(B$7="",B$8=0),0,B$8*(B$7-G$16*(1-$A48)*(1-(1-$A48)^MIN(B$6,$B$11))/($A48*MIN(B$6,$B$11)))^2)+IF(OR(C$7="",C$8=0),0,C$8*(C$7-G$16*(1-$A48)*(1-(1-$A48)^MIN(C$6,$B$11))/($A48*MIN(C$6,$B$11)))^2)+IF(OR(D$7="",D$8=0),0,D$8*(D$7-G$16*(1-$A48)*(1-(1-$A48)^MIN(D$6,$B$11))/($A48*MIN(D$6,$B$11)))^2)+IF(OR(E$7="",E$8=0),0,E$8*(E$7-G$16*(1-$A48)*(1-(1-$A48)^MIN(E$6,$B$11))/($A48*MIN(E$6,$B$11)))^2)</f>
        <v/>
      </c>
      <c r="H48" s="27">
        <f>IF(OR(B$7="",B$8=0),0,B$8*(B$7-H$16*(1-$A48)*(1-(1-$A48)^MIN(B$6,$B$11))/($A48*MIN(B$6,$B$11)))^2)+IF(OR(C$7="",C$8=0),0,C$8*(C$7-H$16*(1-$A48)*(1-(1-$A48)^MIN(C$6,$B$11))/($A48*MIN(C$6,$B$11)))^2)+IF(OR(D$7="",D$8=0),0,D$8*(D$7-H$16*(1-$A48)*(1-(1-$A48)^MIN(D$6,$B$11))/($A48*MIN(D$6,$B$11)))^2)+IF(OR(E$7="",E$8=0),0,E$8*(E$7-H$16*(1-$A48)*(1-(1-$A48)^MIN(E$6,$B$11))/($A48*MIN(E$6,$B$11)))^2)</f>
        <v/>
      </c>
      <c r="I48" s="27">
        <f>IF(OR(B$7="",B$8=0),0,B$8*(B$7-I$16*(1-$A48)*(1-(1-$A48)^MIN(B$6,$B$11))/($A48*MIN(B$6,$B$11)))^2)+IF(OR(C$7="",C$8=0),0,C$8*(C$7-I$16*(1-$A48)*(1-(1-$A48)^MIN(C$6,$B$11))/($A48*MIN(C$6,$B$11)))^2)+IF(OR(D$7="",D$8=0),0,D$8*(D$7-I$16*(1-$A48)*(1-(1-$A48)^MIN(D$6,$B$11))/($A48*MIN(D$6,$B$11)))^2)+IF(OR(E$7="",E$8=0),0,E$8*(E$7-I$16*(1-$A48)*(1-(1-$A48)^MIN(E$6,$B$11))/($A48*MIN(E$6,$B$11)))^2)</f>
        <v/>
      </c>
      <c r="J48" s="27">
        <f>IF(OR(B$7="",B$8=0),0,B$8*(B$7-J$16*(1-$A48)*(1-(1-$A48)^MIN(B$6,$B$11))/($A48*MIN(B$6,$B$11)))^2)+IF(OR(C$7="",C$8=0),0,C$8*(C$7-J$16*(1-$A48)*(1-(1-$A48)^MIN(C$6,$B$11))/($A48*MIN(C$6,$B$11)))^2)+IF(OR(D$7="",D$8=0),0,D$8*(D$7-J$16*(1-$A48)*(1-(1-$A48)^MIN(D$6,$B$11))/($A48*MIN(D$6,$B$11)))^2)+IF(OR(E$7="",E$8=0),0,E$8*(E$7-J$16*(1-$A48)*(1-(1-$A48)^MIN(E$6,$B$11))/($A48*MIN(E$6,$B$11)))^2)</f>
        <v/>
      </c>
      <c r="K48" s="27">
        <f>IF(OR(B$7="",B$8=0),0,B$8*(B$7-K$16*(1-$A48)*(1-(1-$A48)^MIN(B$6,$B$11))/($A48*MIN(B$6,$B$11)))^2)+IF(OR(C$7="",C$8=0),0,C$8*(C$7-K$16*(1-$A48)*(1-(1-$A48)^MIN(C$6,$B$11))/($A48*MIN(C$6,$B$11)))^2)+IF(OR(D$7="",D$8=0),0,D$8*(D$7-K$16*(1-$A48)*(1-(1-$A48)^MIN(D$6,$B$11))/($A48*MIN(D$6,$B$11)))^2)+IF(OR(E$7="",E$8=0),0,E$8*(E$7-K$16*(1-$A48)*(1-(1-$A48)^MIN(E$6,$B$11))/($A48*MIN(E$6,$B$11)))^2)</f>
        <v/>
      </c>
      <c r="L48" s="27">
        <f>IF(OR(B$7="",B$8=0),0,B$8*(B$7-L$16*(1-$A48)*(1-(1-$A48)^MIN(B$6,$B$11))/($A48*MIN(B$6,$B$11)))^2)+IF(OR(C$7="",C$8=0),0,C$8*(C$7-L$16*(1-$A48)*(1-(1-$A48)^MIN(C$6,$B$11))/($A48*MIN(C$6,$B$11)))^2)+IF(OR(D$7="",D$8=0),0,D$8*(D$7-L$16*(1-$A48)*(1-(1-$A48)^MIN(D$6,$B$11))/($A48*MIN(D$6,$B$11)))^2)+IF(OR(E$7="",E$8=0),0,E$8*(E$7-L$16*(1-$A48)*(1-(1-$A48)^MIN(E$6,$B$11))/($A48*MIN(E$6,$B$11)))^2)</f>
        <v/>
      </c>
      <c r="M48" s="27">
        <f>IF(OR(B$7="",B$8=0),0,B$8*(B$7-M$16*(1-$A48)*(1-(1-$A48)^MIN(B$6,$B$11))/($A48*MIN(B$6,$B$11)))^2)+IF(OR(C$7="",C$8=0),0,C$8*(C$7-M$16*(1-$A48)*(1-(1-$A48)^MIN(C$6,$B$11))/($A48*MIN(C$6,$B$11)))^2)+IF(OR(D$7="",D$8=0),0,D$8*(D$7-M$16*(1-$A48)*(1-(1-$A48)^MIN(D$6,$B$11))/($A48*MIN(D$6,$B$11)))^2)+IF(OR(E$7="",E$8=0),0,E$8*(E$7-M$16*(1-$A48)*(1-(1-$A48)^MIN(E$6,$B$11))/($A48*MIN(E$6,$B$11)))^2)</f>
        <v/>
      </c>
      <c r="N48" s="27">
        <f>IF(OR(B$7="",B$8=0),0,B$8*(B$7-N$16*(1-$A48)*(1-(1-$A48)^MIN(B$6,$B$11))/($A48*MIN(B$6,$B$11)))^2)+IF(OR(C$7="",C$8=0),0,C$8*(C$7-N$16*(1-$A48)*(1-(1-$A48)^MIN(C$6,$B$11))/($A48*MIN(C$6,$B$11)))^2)+IF(OR(D$7="",D$8=0),0,D$8*(D$7-N$16*(1-$A48)*(1-(1-$A48)^MIN(D$6,$B$11))/($A48*MIN(D$6,$B$11)))^2)+IF(OR(E$7="",E$8=0),0,E$8*(E$7-N$16*(1-$A48)*(1-(1-$A48)^MIN(E$6,$B$11))/($A48*MIN(E$6,$B$11)))^2)</f>
        <v/>
      </c>
      <c r="O48" s="27">
        <f>IF(OR(B$7="",B$8=0),0,B$8*(B$7-O$16*(1-$A48)*(1-(1-$A48)^MIN(B$6,$B$11))/($A48*MIN(B$6,$B$11)))^2)+IF(OR(C$7="",C$8=0),0,C$8*(C$7-O$16*(1-$A48)*(1-(1-$A48)^MIN(C$6,$B$11))/($A48*MIN(C$6,$B$11)))^2)+IF(OR(D$7="",D$8=0),0,D$8*(D$7-O$16*(1-$A48)*(1-(1-$A48)^MIN(D$6,$B$11))/($A48*MIN(D$6,$B$11)))^2)+IF(OR(E$7="",E$8=0),0,E$8*(E$7-O$16*(1-$A48)*(1-(1-$A48)^MIN(E$6,$B$11))/($A48*MIN(E$6,$B$11)))^2)</f>
        <v/>
      </c>
      <c r="P48" s="27">
        <f>IF(OR(B$7="",B$8=0),0,B$8*(B$7-P$16*(1-$A48)*(1-(1-$A48)^MIN(B$6,$B$11))/($A48*MIN(B$6,$B$11)))^2)+IF(OR(C$7="",C$8=0),0,C$8*(C$7-P$16*(1-$A48)*(1-(1-$A48)^MIN(C$6,$B$11))/($A48*MIN(C$6,$B$11)))^2)+IF(OR(D$7="",D$8=0),0,D$8*(D$7-P$16*(1-$A48)*(1-(1-$A48)^MIN(D$6,$B$11))/($A48*MIN(D$6,$B$11)))^2)+IF(OR(E$7="",E$8=0),0,E$8*(E$7-P$16*(1-$A48)*(1-(1-$A48)^MIN(E$6,$B$11))/($A48*MIN(E$6,$B$11)))^2)</f>
        <v/>
      </c>
      <c r="Q48" s="27">
        <f>IF(OR(B$7="",B$8=0),0,B$8*(B$7-Q$16*(1-$A48)*(1-(1-$A48)^MIN(B$6,$B$11))/($A48*MIN(B$6,$B$11)))^2)+IF(OR(C$7="",C$8=0),0,C$8*(C$7-Q$16*(1-$A48)*(1-(1-$A48)^MIN(C$6,$B$11))/($A48*MIN(C$6,$B$11)))^2)+IF(OR(D$7="",D$8=0),0,D$8*(D$7-Q$16*(1-$A48)*(1-(1-$A48)^MIN(D$6,$B$11))/($A48*MIN(D$6,$B$11)))^2)+IF(OR(E$7="",E$8=0),0,E$8*(E$7-Q$16*(1-$A48)*(1-(1-$A48)^MIN(E$6,$B$11))/($A48*MIN(E$6,$B$11)))^2)</f>
        <v/>
      </c>
      <c r="R48" s="27">
        <f>IF(OR(B$7="",B$8=0),0,B$8*(B$7-R$16*(1-$A48)*(1-(1-$A48)^MIN(B$6,$B$11))/($A48*MIN(B$6,$B$11)))^2)+IF(OR(C$7="",C$8=0),0,C$8*(C$7-R$16*(1-$A48)*(1-(1-$A48)^MIN(C$6,$B$11))/($A48*MIN(C$6,$B$11)))^2)+IF(OR(D$7="",D$8=0),0,D$8*(D$7-R$16*(1-$A48)*(1-(1-$A48)^MIN(D$6,$B$11))/($A48*MIN(D$6,$B$11)))^2)+IF(OR(E$7="",E$8=0),0,E$8*(E$7-R$16*(1-$A48)*(1-(1-$A48)^MIN(E$6,$B$11))/($A48*MIN(E$6,$B$11)))^2)</f>
        <v/>
      </c>
      <c r="S48" s="27">
        <f>IF(OR(B$7="",B$8=0),0,B$8*(B$7-S$16*(1-$A48)*(1-(1-$A48)^MIN(B$6,$B$11))/($A48*MIN(B$6,$B$11)))^2)+IF(OR(C$7="",C$8=0),0,C$8*(C$7-S$16*(1-$A48)*(1-(1-$A48)^MIN(C$6,$B$11))/($A48*MIN(C$6,$B$11)))^2)+IF(OR(D$7="",D$8=0),0,D$8*(D$7-S$16*(1-$A48)*(1-(1-$A48)^MIN(D$6,$B$11))/($A48*MIN(D$6,$B$11)))^2)+IF(OR(E$7="",E$8=0),0,E$8*(E$7-S$16*(1-$A48)*(1-(1-$A48)^MIN(E$6,$B$11))/($A48*MIN(E$6,$B$11)))^2)</f>
        <v/>
      </c>
      <c r="U48" s="27">
        <f>MIN(B48:S48)</f>
        <v/>
      </c>
      <c r="V48" s="17">
        <f>MATCH(U48,B48:S48,0)</f>
        <v/>
      </c>
    </row>
    <row r="49">
      <c r="A49" s="26" t="n">
        <v>0.021</v>
      </c>
      <c r="B49" s="27">
        <f>IF(OR(B$7="",B$8=0),0,B$8*(B$7-B$16*(1-$A49)*(1-(1-$A49)^MIN(B$6,$B$11))/($A49*MIN(B$6,$B$11)))^2)+IF(OR(C$7="",C$8=0),0,C$8*(C$7-B$16*(1-$A49)*(1-(1-$A49)^MIN(C$6,$B$11))/($A49*MIN(C$6,$B$11)))^2)+IF(OR(D$7="",D$8=0),0,D$8*(D$7-B$16*(1-$A49)*(1-(1-$A49)^MIN(D$6,$B$11))/($A49*MIN(D$6,$B$11)))^2)+IF(OR(E$7="",E$8=0),0,E$8*(E$7-B$16*(1-$A49)*(1-(1-$A49)^MIN(E$6,$B$11))/($A49*MIN(E$6,$B$11)))^2)</f>
        <v/>
      </c>
      <c r="C49" s="27">
        <f>IF(OR(B$7="",B$8=0),0,B$8*(B$7-C$16*(1-$A49)*(1-(1-$A49)^MIN(B$6,$B$11))/($A49*MIN(B$6,$B$11)))^2)+IF(OR(C$7="",C$8=0),0,C$8*(C$7-C$16*(1-$A49)*(1-(1-$A49)^MIN(C$6,$B$11))/($A49*MIN(C$6,$B$11)))^2)+IF(OR(D$7="",D$8=0),0,D$8*(D$7-C$16*(1-$A49)*(1-(1-$A49)^MIN(D$6,$B$11))/($A49*MIN(D$6,$B$11)))^2)+IF(OR(E$7="",E$8=0),0,E$8*(E$7-C$16*(1-$A49)*(1-(1-$A49)^MIN(E$6,$B$11))/($A49*MIN(E$6,$B$11)))^2)</f>
        <v/>
      </c>
      <c r="D49" s="27">
        <f>IF(OR(B$7="",B$8=0),0,B$8*(B$7-D$16*(1-$A49)*(1-(1-$A49)^MIN(B$6,$B$11))/($A49*MIN(B$6,$B$11)))^2)+IF(OR(C$7="",C$8=0),0,C$8*(C$7-D$16*(1-$A49)*(1-(1-$A49)^MIN(C$6,$B$11))/($A49*MIN(C$6,$B$11)))^2)+IF(OR(D$7="",D$8=0),0,D$8*(D$7-D$16*(1-$A49)*(1-(1-$A49)^MIN(D$6,$B$11))/($A49*MIN(D$6,$B$11)))^2)+IF(OR(E$7="",E$8=0),0,E$8*(E$7-D$16*(1-$A49)*(1-(1-$A49)^MIN(E$6,$B$11))/($A49*MIN(E$6,$B$11)))^2)</f>
        <v/>
      </c>
      <c r="E49" s="27">
        <f>IF(OR(B$7="",B$8=0),0,B$8*(B$7-E$16*(1-$A49)*(1-(1-$A49)^MIN(B$6,$B$11))/($A49*MIN(B$6,$B$11)))^2)+IF(OR(C$7="",C$8=0),0,C$8*(C$7-E$16*(1-$A49)*(1-(1-$A49)^MIN(C$6,$B$11))/($A49*MIN(C$6,$B$11)))^2)+IF(OR(D$7="",D$8=0),0,D$8*(D$7-E$16*(1-$A49)*(1-(1-$A49)^MIN(D$6,$B$11))/($A49*MIN(D$6,$B$11)))^2)+IF(OR(E$7="",E$8=0),0,E$8*(E$7-E$16*(1-$A49)*(1-(1-$A49)^MIN(E$6,$B$11))/($A49*MIN(E$6,$B$11)))^2)</f>
        <v/>
      </c>
      <c r="F49" s="27">
        <f>IF(OR(B$7="",B$8=0),0,B$8*(B$7-F$16*(1-$A49)*(1-(1-$A49)^MIN(B$6,$B$11))/($A49*MIN(B$6,$B$11)))^2)+IF(OR(C$7="",C$8=0),0,C$8*(C$7-F$16*(1-$A49)*(1-(1-$A49)^MIN(C$6,$B$11))/($A49*MIN(C$6,$B$11)))^2)+IF(OR(D$7="",D$8=0),0,D$8*(D$7-F$16*(1-$A49)*(1-(1-$A49)^MIN(D$6,$B$11))/($A49*MIN(D$6,$B$11)))^2)+IF(OR(E$7="",E$8=0),0,E$8*(E$7-F$16*(1-$A49)*(1-(1-$A49)^MIN(E$6,$B$11))/($A49*MIN(E$6,$B$11)))^2)</f>
        <v/>
      </c>
      <c r="G49" s="27">
        <f>IF(OR(B$7="",B$8=0),0,B$8*(B$7-G$16*(1-$A49)*(1-(1-$A49)^MIN(B$6,$B$11))/($A49*MIN(B$6,$B$11)))^2)+IF(OR(C$7="",C$8=0),0,C$8*(C$7-G$16*(1-$A49)*(1-(1-$A49)^MIN(C$6,$B$11))/($A49*MIN(C$6,$B$11)))^2)+IF(OR(D$7="",D$8=0),0,D$8*(D$7-G$16*(1-$A49)*(1-(1-$A49)^MIN(D$6,$B$11))/($A49*MIN(D$6,$B$11)))^2)+IF(OR(E$7="",E$8=0),0,E$8*(E$7-G$16*(1-$A49)*(1-(1-$A49)^MIN(E$6,$B$11))/($A49*MIN(E$6,$B$11)))^2)</f>
        <v/>
      </c>
      <c r="H49" s="27">
        <f>IF(OR(B$7="",B$8=0),0,B$8*(B$7-H$16*(1-$A49)*(1-(1-$A49)^MIN(B$6,$B$11))/($A49*MIN(B$6,$B$11)))^2)+IF(OR(C$7="",C$8=0),0,C$8*(C$7-H$16*(1-$A49)*(1-(1-$A49)^MIN(C$6,$B$11))/($A49*MIN(C$6,$B$11)))^2)+IF(OR(D$7="",D$8=0),0,D$8*(D$7-H$16*(1-$A49)*(1-(1-$A49)^MIN(D$6,$B$11))/($A49*MIN(D$6,$B$11)))^2)+IF(OR(E$7="",E$8=0),0,E$8*(E$7-H$16*(1-$A49)*(1-(1-$A49)^MIN(E$6,$B$11))/($A49*MIN(E$6,$B$11)))^2)</f>
        <v/>
      </c>
      <c r="I49" s="27">
        <f>IF(OR(B$7="",B$8=0),0,B$8*(B$7-I$16*(1-$A49)*(1-(1-$A49)^MIN(B$6,$B$11))/($A49*MIN(B$6,$B$11)))^2)+IF(OR(C$7="",C$8=0),0,C$8*(C$7-I$16*(1-$A49)*(1-(1-$A49)^MIN(C$6,$B$11))/($A49*MIN(C$6,$B$11)))^2)+IF(OR(D$7="",D$8=0),0,D$8*(D$7-I$16*(1-$A49)*(1-(1-$A49)^MIN(D$6,$B$11))/($A49*MIN(D$6,$B$11)))^2)+IF(OR(E$7="",E$8=0),0,E$8*(E$7-I$16*(1-$A49)*(1-(1-$A49)^MIN(E$6,$B$11))/($A49*MIN(E$6,$B$11)))^2)</f>
        <v/>
      </c>
      <c r="J49" s="27">
        <f>IF(OR(B$7="",B$8=0),0,B$8*(B$7-J$16*(1-$A49)*(1-(1-$A49)^MIN(B$6,$B$11))/($A49*MIN(B$6,$B$11)))^2)+IF(OR(C$7="",C$8=0),0,C$8*(C$7-J$16*(1-$A49)*(1-(1-$A49)^MIN(C$6,$B$11))/($A49*MIN(C$6,$B$11)))^2)+IF(OR(D$7="",D$8=0),0,D$8*(D$7-J$16*(1-$A49)*(1-(1-$A49)^MIN(D$6,$B$11))/($A49*MIN(D$6,$B$11)))^2)+IF(OR(E$7="",E$8=0),0,E$8*(E$7-J$16*(1-$A49)*(1-(1-$A49)^MIN(E$6,$B$11))/($A49*MIN(E$6,$B$11)))^2)</f>
        <v/>
      </c>
      <c r="K49" s="27">
        <f>IF(OR(B$7="",B$8=0),0,B$8*(B$7-K$16*(1-$A49)*(1-(1-$A49)^MIN(B$6,$B$11))/($A49*MIN(B$6,$B$11)))^2)+IF(OR(C$7="",C$8=0),0,C$8*(C$7-K$16*(1-$A49)*(1-(1-$A49)^MIN(C$6,$B$11))/($A49*MIN(C$6,$B$11)))^2)+IF(OR(D$7="",D$8=0),0,D$8*(D$7-K$16*(1-$A49)*(1-(1-$A49)^MIN(D$6,$B$11))/($A49*MIN(D$6,$B$11)))^2)+IF(OR(E$7="",E$8=0),0,E$8*(E$7-K$16*(1-$A49)*(1-(1-$A49)^MIN(E$6,$B$11))/($A49*MIN(E$6,$B$11)))^2)</f>
        <v/>
      </c>
      <c r="L49" s="27">
        <f>IF(OR(B$7="",B$8=0),0,B$8*(B$7-L$16*(1-$A49)*(1-(1-$A49)^MIN(B$6,$B$11))/($A49*MIN(B$6,$B$11)))^2)+IF(OR(C$7="",C$8=0),0,C$8*(C$7-L$16*(1-$A49)*(1-(1-$A49)^MIN(C$6,$B$11))/($A49*MIN(C$6,$B$11)))^2)+IF(OR(D$7="",D$8=0),0,D$8*(D$7-L$16*(1-$A49)*(1-(1-$A49)^MIN(D$6,$B$11))/($A49*MIN(D$6,$B$11)))^2)+IF(OR(E$7="",E$8=0),0,E$8*(E$7-L$16*(1-$A49)*(1-(1-$A49)^MIN(E$6,$B$11))/($A49*MIN(E$6,$B$11)))^2)</f>
        <v/>
      </c>
      <c r="M49" s="27">
        <f>IF(OR(B$7="",B$8=0),0,B$8*(B$7-M$16*(1-$A49)*(1-(1-$A49)^MIN(B$6,$B$11))/($A49*MIN(B$6,$B$11)))^2)+IF(OR(C$7="",C$8=0),0,C$8*(C$7-M$16*(1-$A49)*(1-(1-$A49)^MIN(C$6,$B$11))/($A49*MIN(C$6,$B$11)))^2)+IF(OR(D$7="",D$8=0),0,D$8*(D$7-M$16*(1-$A49)*(1-(1-$A49)^MIN(D$6,$B$11))/($A49*MIN(D$6,$B$11)))^2)+IF(OR(E$7="",E$8=0),0,E$8*(E$7-M$16*(1-$A49)*(1-(1-$A49)^MIN(E$6,$B$11))/($A49*MIN(E$6,$B$11)))^2)</f>
        <v/>
      </c>
      <c r="N49" s="27">
        <f>IF(OR(B$7="",B$8=0),0,B$8*(B$7-N$16*(1-$A49)*(1-(1-$A49)^MIN(B$6,$B$11))/($A49*MIN(B$6,$B$11)))^2)+IF(OR(C$7="",C$8=0),0,C$8*(C$7-N$16*(1-$A49)*(1-(1-$A49)^MIN(C$6,$B$11))/($A49*MIN(C$6,$B$11)))^2)+IF(OR(D$7="",D$8=0),0,D$8*(D$7-N$16*(1-$A49)*(1-(1-$A49)^MIN(D$6,$B$11))/($A49*MIN(D$6,$B$11)))^2)+IF(OR(E$7="",E$8=0),0,E$8*(E$7-N$16*(1-$A49)*(1-(1-$A49)^MIN(E$6,$B$11))/($A49*MIN(E$6,$B$11)))^2)</f>
        <v/>
      </c>
      <c r="O49" s="27">
        <f>IF(OR(B$7="",B$8=0),0,B$8*(B$7-O$16*(1-$A49)*(1-(1-$A49)^MIN(B$6,$B$11))/($A49*MIN(B$6,$B$11)))^2)+IF(OR(C$7="",C$8=0),0,C$8*(C$7-O$16*(1-$A49)*(1-(1-$A49)^MIN(C$6,$B$11))/($A49*MIN(C$6,$B$11)))^2)+IF(OR(D$7="",D$8=0),0,D$8*(D$7-O$16*(1-$A49)*(1-(1-$A49)^MIN(D$6,$B$11))/($A49*MIN(D$6,$B$11)))^2)+IF(OR(E$7="",E$8=0),0,E$8*(E$7-O$16*(1-$A49)*(1-(1-$A49)^MIN(E$6,$B$11))/($A49*MIN(E$6,$B$11)))^2)</f>
        <v/>
      </c>
      <c r="P49" s="27">
        <f>IF(OR(B$7="",B$8=0),0,B$8*(B$7-P$16*(1-$A49)*(1-(1-$A49)^MIN(B$6,$B$11))/($A49*MIN(B$6,$B$11)))^2)+IF(OR(C$7="",C$8=0),0,C$8*(C$7-P$16*(1-$A49)*(1-(1-$A49)^MIN(C$6,$B$11))/($A49*MIN(C$6,$B$11)))^2)+IF(OR(D$7="",D$8=0),0,D$8*(D$7-P$16*(1-$A49)*(1-(1-$A49)^MIN(D$6,$B$11))/($A49*MIN(D$6,$B$11)))^2)+IF(OR(E$7="",E$8=0),0,E$8*(E$7-P$16*(1-$A49)*(1-(1-$A49)^MIN(E$6,$B$11))/($A49*MIN(E$6,$B$11)))^2)</f>
        <v/>
      </c>
      <c r="Q49" s="27">
        <f>IF(OR(B$7="",B$8=0),0,B$8*(B$7-Q$16*(1-$A49)*(1-(1-$A49)^MIN(B$6,$B$11))/($A49*MIN(B$6,$B$11)))^2)+IF(OR(C$7="",C$8=0),0,C$8*(C$7-Q$16*(1-$A49)*(1-(1-$A49)^MIN(C$6,$B$11))/($A49*MIN(C$6,$B$11)))^2)+IF(OR(D$7="",D$8=0),0,D$8*(D$7-Q$16*(1-$A49)*(1-(1-$A49)^MIN(D$6,$B$11))/($A49*MIN(D$6,$B$11)))^2)+IF(OR(E$7="",E$8=0),0,E$8*(E$7-Q$16*(1-$A49)*(1-(1-$A49)^MIN(E$6,$B$11))/($A49*MIN(E$6,$B$11)))^2)</f>
        <v/>
      </c>
      <c r="R49" s="27">
        <f>IF(OR(B$7="",B$8=0),0,B$8*(B$7-R$16*(1-$A49)*(1-(1-$A49)^MIN(B$6,$B$11))/($A49*MIN(B$6,$B$11)))^2)+IF(OR(C$7="",C$8=0),0,C$8*(C$7-R$16*(1-$A49)*(1-(1-$A49)^MIN(C$6,$B$11))/($A49*MIN(C$6,$B$11)))^2)+IF(OR(D$7="",D$8=0),0,D$8*(D$7-R$16*(1-$A49)*(1-(1-$A49)^MIN(D$6,$B$11))/($A49*MIN(D$6,$B$11)))^2)+IF(OR(E$7="",E$8=0),0,E$8*(E$7-R$16*(1-$A49)*(1-(1-$A49)^MIN(E$6,$B$11))/($A49*MIN(E$6,$B$11)))^2)</f>
        <v/>
      </c>
      <c r="S49" s="27">
        <f>IF(OR(B$7="",B$8=0),0,B$8*(B$7-S$16*(1-$A49)*(1-(1-$A49)^MIN(B$6,$B$11))/($A49*MIN(B$6,$B$11)))^2)+IF(OR(C$7="",C$8=0),0,C$8*(C$7-S$16*(1-$A49)*(1-(1-$A49)^MIN(C$6,$B$11))/($A49*MIN(C$6,$B$11)))^2)+IF(OR(D$7="",D$8=0),0,D$8*(D$7-S$16*(1-$A49)*(1-(1-$A49)^MIN(D$6,$B$11))/($A49*MIN(D$6,$B$11)))^2)+IF(OR(E$7="",E$8=0),0,E$8*(E$7-S$16*(1-$A49)*(1-(1-$A49)^MIN(E$6,$B$11))/($A49*MIN(E$6,$B$11)))^2)</f>
        <v/>
      </c>
      <c r="U49" s="27">
        <f>MIN(B49:S49)</f>
        <v/>
      </c>
      <c r="V49" s="17">
        <f>MATCH(U49,B49:S49,0)</f>
        <v/>
      </c>
    </row>
    <row r="50">
      <c r="A50" s="26" t="n">
        <v>0.0215</v>
      </c>
      <c r="B50" s="27">
        <f>IF(OR(B$7="",B$8=0),0,B$8*(B$7-B$16*(1-$A50)*(1-(1-$A50)^MIN(B$6,$B$11))/($A50*MIN(B$6,$B$11)))^2)+IF(OR(C$7="",C$8=0),0,C$8*(C$7-B$16*(1-$A50)*(1-(1-$A50)^MIN(C$6,$B$11))/($A50*MIN(C$6,$B$11)))^2)+IF(OR(D$7="",D$8=0),0,D$8*(D$7-B$16*(1-$A50)*(1-(1-$A50)^MIN(D$6,$B$11))/($A50*MIN(D$6,$B$11)))^2)+IF(OR(E$7="",E$8=0),0,E$8*(E$7-B$16*(1-$A50)*(1-(1-$A50)^MIN(E$6,$B$11))/($A50*MIN(E$6,$B$11)))^2)</f>
        <v/>
      </c>
      <c r="C50" s="27">
        <f>IF(OR(B$7="",B$8=0),0,B$8*(B$7-C$16*(1-$A50)*(1-(1-$A50)^MIN(B$6,$B$11))/($A50*MIN(B$6,$B$11)))^2)+IF(OR(C$7="",C$8=0),0,C$8*(C$7-C$16*(1-$A50)*(1-(1-$A50)^MIN(C$6,$B$11))/($A50*MIN(C$6,$B$11)))^2)+IF(OR(D$7="",D$8=0),0,D$8*(D$7-C$16*(1-$A50)*(1-(1-$A50)^MIN(D$6,$B$11))/($A50*MIN(D$6,$B$11)))^2)+IF(OR(E$7="",E$8=0),0,E$8*(E$7-C$16*(1-$A50)*(1-(1-$A50)^MIN(E$6,$B$11))/($A50*MIN(E$6,$B$11)))^2)</f>
        <v/>
      </c>
      <c r="D50" s="27">
        <f>IF(OR(B$7="",B$8=0),0,B$8*(B$7-D$16*(1-$A50)*(1-(1-$A50)^MIN(B$6,$B$11))/($A50*MIN(B$6,$B$11)))^2)+IF(OR(C$7="",C$8=0),0,C$8*(C$7-D$16*(1-$A50)*(1-(1-$A50)^MIN(C$6,$B$11))/($A50*MIN(C$6,$B$11)))^2)+IF(OR(D$7="",D$8=0),0,D$8*(D$7-D$16*(1-$A50)*(1-(1-$A50)^MIN(D$6,$B$11))/($A50*MIN(D$6,$B$11)))^2)+IF(OR(E$7="",E$8=0),0,E$8*(E$7-D$16*(1-$A50)*(1-(1-$A50)^MIN(E$6,$B$11))/($A50*MIN(E$6,$B$11)))^2)</f>
        <v/>
      </c>
      <c r="E50" s="27">
        <f>IF(OR(B$7="",B$8=0),0,B$8*(B$7-E$16*(1-$A50)*(1-(1-$A50)^MIN(B$6,$B$11))/($A50*MIN(B$6,$B$11)))^2)+IF(OR(C$7="",C$8=0),0,C$8*(C$7-E$16*(1-$A50)*(1-(1-$A50)^MIN(C$6,$B$11))/($A50*MIN(C$6,$B$11)))^2)+IF(OR(D$7="",D$8=0),0,D$8*(D$7-E$16*(1-$A50)*(1-(1-$A50)^MIN(D$6,$B$11))/($A50*MIN(D$6,$B$11)))^2)+IF(OR(E$7="",E$8=0),0,E$8*(E$7-E$16*(1-$A50)*(1-(1-$A50)^MIN(E$6,$B$11))/($A50*MIN(E$6,$B$11)))^2)</f>
        <v/>
      </c>
      <c r="F50" s="27">
        <f>IF(OR(B$7="",B$8=0),0,B$8*(B$7-F$16*(1-$A50)*(1-(1-$A50)^MIN(B$6,$B$11))/($A50*MIN(B$6,$B$11)))^2)+IF(OR(C$7="",C$8=0),0,C$8*(C$7-F$16*(1-$A50)*(1-(1-$A50)^MIN(C$6,$B$11))/($A50*MIN(C$6,$B$11)))^2)+IF(OR(D$7="",D$8=0),0,D$8*(D$7-F$16*(1-$A50)*(1-(1-$A50)^MIN(D$6,$B$11))/($A50*MIN(D$6,$B$11)))^2)+IF(OR(E$7="",E$8=0),0,E$8*(E$7-F$16*(1-$A50)*(1-(1-$A50)^MIN(E$6,$B$11))/($A50*MIN(E$6,$B$11)))^2)</f>
        <v/>
      </c>
      <c r="G50" s="27">
        <f>IF(OR(B$7="",B$8=0),0,B$8*(B$7-G$16*(1-$A50)*(1-(1-$A50)^MIN(B$6,$B$11))/($A50*MIN(B$6,$B$11)))^2)+IF(OR(C$7="",C$8=0),0,C$8*(C$7-G$16*(1-$A50)*(1-(1-$A50)^MIN(C$6,$B$11))/($A50*MIN(C$6,$B$11)))^2)+IF(OR(D$7="",D$8=0),0,D$8*(D$7-G$16*(1-$A50)*(1-(1-$A50)^MIN(D$6,$B$11))/($A50*MIN(D$6,$B$11)))^2)+IF(OR(E$7="",E$8=0),0,E$8*(E$7-G$16*(1-$A50)*(1-(1-$A50)^MIN(E$6,$B$11))/($A50*MIN(E$6,$B$11)))^2)</f>
        <v/>
      </c>
      <c r="H50" s="27">
        <f>IF(OR(B$7="",B$8=0),0,B$8*(B$7-H$16*(1-$A50)*(1-(1-$A50)^MIN(B$6,$B$11))/($A50*MIN(B$6,$B$11)))^2)+IF(OR(C$7="",C$8=0),0,C$8*(C$7-H$16*(1-$A50)*(1-(1-$A50)^MIN(C$6,$B$11))/($A50*MIN(C$6,$B$11)))^2)+IF(OR(D$7="",D$8=0),0,D$8*(D$7-H$16*(1-$A50)*(1-(1-$A50)^MIN(D$6,$B$11))/($A50*MIN(D$6,$B$11)))^2)+IF(OR(E$7="",E$8=0),0,E$8*(E$7-H$16*(1-$A50)*(1-(1-$A50)^MIN(E$6,$B$11))/($A50*MIN(E$6,$B$11)))^2)</f>
        <v/>
      </c>
      <c r="I50" s="27">
        <f>IF(OR(B$7="",B$8=0),0,B$8*(B$7-I$16*(1-$A50)*(1-(1-$A50)^MIN(B$6,$B$11))/($A50*MIN(B$6,$B$11)))^2)+IF(OR(C$7="",C$8=0),0,C$8*(C$7-I$16*(1-$A50)*(1-(1-$A50)^MIN(C$6,$B$11))/($A50*MIN(C$6,$B$11)))^2)+IF(OR(D$7="",D$8=0),0,D$8*(D$7-I$16*(1-$A50)*(1-(1-$A50)^MIN(D$6,$B$11))/($A50*MIN(D$6,$B$11)))^2)+IF(OR(E$7="",E$8=0),0,E$8*(E$7-I$16*(1-$A50)*(1-(1-$A50)^MIN(E$6,$B$11))/($A50*MIN(E$6,$B$11)))^2)</f>
        <v/>
      </c>
      <c r="J50" s="27">
        <f>IF(OR(B$7="",B$8=0),0,B$8*(B$7-J$16*(1-$A50)*(1-(1-$A50)^MIN(B$6,$B$11))/($A50*MIN(B$6,$B$11)))^2)+IF(OR(C$7="",C$8=0),0,C$8*(C$7-J$16*(1-$A50)*(1-(1-$A50)^MIN(C$6,$B$11))/($A50*MIN(C$6,$B$11)))^2)+IF(OR(D$7="",D$8=0),0,D$8*(D$7-J$16*(1-$A50)*(1-(1-$A50)^MIN(D$6,$B$11))/($A50*MIN(D$6,$B$11)))^2)+IF(OR(E$7="",E$8=0),0,E$8*(E$7-J$16*(1-$A50)*(1-(1-$A50)^MIN(E$6,$B$11))/($A50*MIN(E$6,$B$11)))^2)</f>
        <v/>
      </c>
      <c r="K50" s="27">
        <f>IF(OR(B$7="",B$8=0),0,B$8*(B$7-K$16*(1-$A50)*(1-(1-$A50)^MIN(B$6,$B$11))/($A50*MIN(B$6,$B$11)))^2)+IF(OR(C$7="",C$8=0),0,C$8*(C$7-K$16*(1-$A50)*(1-(1-$A50)^MIN(C$6,$B$11))/($A50*MIN(C$6,$B$11)))^2)+IF(OR(D$7="",D$8=0),0,D$8*(D$7-K$16*(1-$A50)*(1-(1-$A50)^MIN(D$6,$B$11))/($A50*MIN(D$6,$B$11)))^2)+IF(OR(E$7="",E$8=0),0,E$8*(E$7-K$16*(1-$A50)*(1-(1-$A50)^MIN(E$6,$B$11))/($A50*MIN(E$6,$B$11)))^2)</f>
        <v/>
      </c>
      <c r="L50" s="27">
        <f>IF(OR(B$7="",B$8=0),0,B$8*(B$7-L$16*(1-$A50)*(1-(1-$A50)^MIN(B$6,$B$11))/($A50*MIN(B$6,$B$11)))^2)+IF(OR(C$7="",C$8=0),0,C$8*(C$7-L$16*(1-$A50)*(1-(1-$A50)^MIN(C$6,$B$11))/($A50*MIN(C$6,$B$11)))^2)+IF(OR(D$7="",D$8=0),0,D$8*(D$7-L$16*(1-$A50)*(1-(1-$A50)^MIN(D$6,$B$11))/($A50*MIN(D$6,$B$11)))^2)+IF(OR(E$7="",E$8=0),0,E$8*(E$7-L$16*(1-$A50)*(1-(1-$A50)^MIN(E$6,$B$11))/($A50*MIN(E$6,$B$11)))^2)</f>
        <v/>
      </c>
      <c r="M50" s="27">
        <f>IF(OR(B$7="",B$8=0),0,B$8*(B$7-M$16*(1-$A50)*(1-(1-$A50)^MIN(B$6,$B$11))/($A50*MIN(B$6,$B$11)))^2)+IF(OR(C$7="",C$8=0),0,C$8*(C$7-M$16*(1-$A50)*(1-(1-$A50)^MIN(C$6,$B$11))/($A50*MIN(C$6,$B$11)))^2)+IF(OR(D$7="",D$8=0),0,D$8*(D$7-M$16*(1-$A50)*(1-(1-$A50)^MIN(D$6,$B$11))/($A50*MIN(D$6,$B$11)))^2)+IF(OR(E$7="",E$8=0),0,E$8*(E$7-M$16*(1-$A50)*(1-(1-$A50)^MIN(E$6,$B$11))/($A50*MIN(E$6,$B$11)))^2)</f>
        <v/>
      </c>
      <c r="N50" s="27">
        <f>IF(OR(B$7="",B$8=0),0,B$8*(B$7-N$16*(1-$A50)*(1-(1-$A50)^MIN(B$6,$B$11))/($A50*MIN(B$6,$B$11)))^2)+IF(OR(C$7="",C$8=0),0,C$8*(C$7-N$16*(1-$A50)*(1-(1-$A50)^MIN(C$6,$B$11))/($A50*MIN(C$6,$B$11)))^2)+IF(OR(D$7="",D$8=0),0,D$8*(D$7-N$16*(1-$A50)*(1-(1-$A50)^MIN(D$6,$B$11))/($A50*MIN(D$6,$B$11)))^2)+IF(OR(E$7="",E$8=0),0,E$8*(E$7-N$16*(1-$A50)*(1-(1-$A50)^MIN(E$6,$B$11))/($A50*MIN(E$6,$B$11)))^2)</f>
        <v/>
      </c>
      <c r="O50" s="27">
        <f>IF(OR(B$7="",B$8=0),0,B$8*(B$7-O$16*(1-$A50)*(1-(1-$A50)^MIN(B$6,$B$11))/($A50*MIN(B$6,$B$11)))^2)+IF(OR(C$7="",C$8=0),0,C$8*(C$7-O$16*(1-$A50)*(1-(1-$A50)^MIN(C$6,$B$11))/($A50*MIN(C$6,$B$11)))^2)+IF(OR(D$7="",D$8=0),0,D$8*(D$7-O$16*(1-$A50)*(1-(1-$A50)^MIN(D$6,$B$11))/($A50*MIN(D$6,$B$11)))^2)+IF(OR(E$7="",E$8=0),0,E$8*(E$7-O$16*(1-$A50)*(1-(1-$A50)^MIN(E$6,$B$11))/($A50*MIN(E$6,$B$11)))^2)</f>
        <v/>
      </c>
      <c r="P50" s="27">
        <f>IF(OR(B$7="",B$8=0),0,B$8*(B$7-P$16*(1-$A50)*(1-(1-$A50)^MIN(B$6,$B$11))/($A50*MIN(B$6,$B$11)))^2)+IF(OR(C$7="",C$8=0),0,C$8*(C$7-P$16*(1-$A50)*(1-(1-$A50)^MIN(C$6,$B$11))/($A50*MIN(C$6,$B$11)))^2)+IF(OR(D$7="",D$8=0),0,D$8*(D$7-P$16*(1-$A50)*(1-(1-$A50)^MIN(D$6,$B$11))/($A50*MIN(D$6,$B$11)))^2)+IF(OR(E$7="",E$8=0),0,E$8*(E$7-P$16*(1-$A50)*(1-(1-$A50)^MIN(E$6,$B$11))/($A50*MIN(E$6,$B$11)))^2)</f>
        <v/>
      </c>
      <c r="Q50" s="27">
        <f>IF(OR(B$7="",B$8=0),0,B$8*(B$7-Q$16*(1-$A50)*(1-(1-$A50)^MIN(B$6,$B$11))/($A50*MIN(B$6,$B$11)))^2)+IF(OR(C$7="",C$8=0),0,C$8*(C$7-Q$16*(1-$A50)*(1-(1-$A50)^MIN(C$6,$B$11))/($A50*MIN(C$6,$B$11)))^2)+IF(OR(D$7="",D$8=0),0,D$8*(D$7-Q$16*(1-$A50)*(1-(1-$A50)^MIN(D$6,$B$11))/($A50*MIN(D$6,$B$11)))^2)+IF(OR(E$7="",E$8=0),0,E$8*(E$7-Q$16*(1-$A50)*(1-(1-$A50)^MIN(E$6,$B$11))/($A50*MIN(E$6,$B$11)))^2)</f>
        <v/>
      </c>
      <c r="R50" s="27">
        <f>IF(OR(B$7="",B$8=0),0,B$8*(B$7-R$16*(1-$A50)*(1-(1-$A50)^MIN(B$6,$B$11))/($A50*MIN(B$6,$B$11)))^2)+IF(OR(C$7="",C$8=0),0,C$8*(C$7-R$16*(1-$A50)*(1-(1-$A50)^MIN(C$6,$B$11))/($A50*MIN(C$6,$B$11)))^2)+IF(OR(D$7="",D$8=0),0,D$8*(D$7-R$16*(1-$A50)*(1-(1-$A50)^MIN(D$6,$B$11))/($A50*MIN(D$6,$B$11)))^2)+IF(OR(E$7="",E$8=0),0,E$8*(E$7-R$16*(1-$A50)*(1-(1-$A50)^MIN(E$6,$B$11))/($A50*MIN(E$6,$B$11)))^2)</f>
        <v/>
      </c>
      <c r="S50" s="27">
        <f>IF(OR(B$7="",B$8=0),0,B$8*(B$7-S$16*(1-$A50)*(1-(1-$A50)^MIN(B$6,$B$11))/($A50*MIN(B$6,$B$11)))^2)+IF(OR(C$7="",C$8=0),0,C$8*(C$7-S$16*(1-$A50)*(1-(1-$A50)^MIN(C$6,$B$11))/($A50*MIN(C$6,$B$11)))^2)+IF(OR(D$7="",D$8=0),0,D$8*(D$7-S$16*(1-$A50)*(1-(1-$A50)^MIN(D$6,$B$11))/($A50*MIN(D$6,$B$11)))^2)+IF(OR(E$7="",E$8=0),0,E$8*(E$7-S$16*(1-$A50)*(1-(1-$A50)^MIN(E$6,$B$11))/($A50*MIN(E$6,$B$11)))^2)</f>
        <v/>
      </c>
      <c r="U50" s="27">
        <f>MIN(B50:S50)</f>
        <v/>
      </c>
      <c r="V50" s="17">
        <f>MATCH(U50,B50:S50,0)</f>
        <v/>
      </c>
    </row>
    <row r="51">
      <c r="A51" s="26" t="n">
        <v>0.022</v>
      </c>
      <c r="B51" s="27">
        <f>IF(OR(B$7="",B$8=0),0,B$8*(B$7-B$16*(1-$A51)*(1-(1-$A51)^MIN(B$6,$B$11))/($A51*MIN(B$6,$B$11)))^2)+IF(OR(C$7="",C$8=0),0,C$8*(C$7-B$16*(1-$A51)*(1-(1-$A51)^MIN(C$6,$B$11))/($A51*MIN(C$6,$B$11)))^2)+IF(OR(D$7="",D$8=0),0,D$8*(D$7-B$16*(1-$A51)*(1-(1-$A51)^MIN(D$6,$B$11))/($A51*MIN(D$6,$B$11)))^2)+IF(OR(E$7="",E$8=0),0,E$8*(E$7-B$16*(1-$A51)*(1-(1-$A51)^MIN(E$6,$B$11))/($A51*MIN(E$6,$B$11)))^2)</f>
        <v/>
      </c>
      <c r="C51" s="27">
        <f>IF(OR(B$7="",B$8=0),0,B$8*(B$7-C$16*(1-$A51)*(1-(1-$A51)^MIN(B$6,$B$11))/($A51*MIN(B$6,$B$11)))^2)+IF(OR(C$7="",C$8=0),0,C$8*(C$7-C$16*(1-$A51)*(1-(1-$A51)^MIN(C$6,$B$11))/($A51*MIN(C$6,$B$11)))^2)+IF(OR(D$7="",D$8=0),0,D$8*(D$7-C$16*(1-$A51)*(1-(1-$A51)^MIN(D$6,$B$11))/($A51*MIN(D$6,$B$11)))^2)+IF(OR(E$7="",E$8=0),0,E$8*(E$7-C$16*(1-$A51)*(1-(1-$A51)^MIN(E$6,$B$11))/($A51*MIN(E$6,$B$11)))^2)</f>
        <v/>
      </c>
      <c r="D51" s="27">
        <f>IF(OR(B$7="",B$8=0),0,B$8*(B$7-D$16*(1-$A51)*(1-(1-$A51)^MIN(B$6,$B$11))/($A51*MIN(B$6,$B$11)))^2)+IF(OR(C$7="",C$8=0),0,C$8*(C$7-D$16*(1-$A51)*(1-(1-$A51)^MIN(C$6,$B$11))/($A51*MIN(C$6,$B$11)))^2)+IF(OR(D$7="",D$8=0),0,D$8*(D$7-D$16*(1-$A51)*(1-(1-$A51)^MIN(D$6,$B$11))/($A51*MIN(D$6,$B$11)))^2)+IF(OR(E$7="",E$8=0),0,E$8*(E$7-D$16*(1-$A51)*(1-(1-$A51)^MIN(E$6,$B$11))/($A51*MIN(E$6,$B$11)))^2)</f>
        <v/>
      </c>
      <c r="E51" s="27">
        <f>IF(OR(B$7="",B$8=0),0,B$8*(B$7-E$16*(1-$A51)*(1-(1-$A51)^MIN(B$6,$B$11))/($A51*MIN(B$6,$B$11)))^2)+IF(OR(C$7="",C$8=0),0,C$8*(C$7-E$16*(1-$A51)*(1-(1-$A51)^MIN(C$6,$B$11))/($A51*MIN(C$6,$B$11)))^2)+IF(OR(D$7="",D$8=0),0,D$8*(D$7-E$16*(1-$A51)*(1-(1-$A51)^MIN(D$6,$B$11))/($A51*MIN(D$6,$B$11)))^2)+IF(OR(E$7="",E$8=0),0,E$8*(E$7-E$16*(1-$A51)*(1-(1-$A51)^MIN(E$6,$B$11))/($A51*MIN(E$6,$B$11)))^2)</f>
        <v/>
      </c>
      <c r="F51" s="27">
        <f>IF(OR(B$7="",B$8=0),0,B$8*(B$7-F$16*(1-$A51)*(1-(1-$A51)^MIN(B$6,$B$11))/($A51*MIN(B$6,$B$11)))^2)+IF(OR(C$7="",C$8=0),0,C$8*(C$7-F$16*(1-$A51)*(1-(1-$A51)^MIN(C$6,$B$11))/($A51*MIN(C$6,$B$11)))^2)+IF(OR(D$7="",D$8=0),0,D$8*(D$7-F$16*(1-$A51)*(1-(1-$A51)^MIN(D$6,$B$11))/($A51*MIN(D$6,$B$11)))^2)+IF(OR(E$7="",E$8=0),0,E$8*(E$7-F$16*(1-$A51)*(1-(1-$A51)^MIN(E$6,$B$11))/($A51*MIN(E$6,$B$11)))^2)</f>
        <v/>
      </c>
      <c r="G51" s="27">
        <f>IF(OR(B$7="",B$8=0),0,B$8*(B$7-G$16*(1-$A51)*(1-(1-$A51)^MIN(B$6,$B$11))/($A51*MIN(B$6,$B$11)))^2)+IF(OR(C$7="",C$8=0),0,C$8*(C$7-G$16*(1-$A51)*(1-(1-$A51)^MIN(C$6,$B$11))/($A51*MIN(C$6,$B$11)))^2)+IF(OR(D$7="",D$8=0),0,D$8*(D$7-G$16*(1-$A51)*(1-(1-$A51)^MIN(D$6,$B$11))/($A51*MIN(D$6,$B$11)))^2)+IF(OR(E$7="",E$8=0),0,E$8*(E$7-G$16*(1-$A51)*(1-(1-$A51)^MIN(E$6,$B$11))/($A51*MIN(E$6,$B$11)))^2)</f>
        <v/>
      </c>
      <c r="H51" s="27">
        <f>IF(OR(B$7="",B$8=0),0,B$8*(B$7-H$16*(1-$A51)*(1-(1-$A51)^MIN(B$6,$B$11))/($A51*MIN(B$6,$B$11)))^2)+IF(OR(C$7="",C$8=0),0,C$8*(C$7-H$16*(1-$A51)*(1-(1-$A51)^MIN(C$6,$B$11))/($A51*MIN(C$6,$B$11)))^2)+IF(OR(D$7="",D$8=0),0,D$8*(D$7-H$16*(1-$A51)*(1-(1-$A51)^MIN(D$6,$B$11))/($A51*MIN(D$6,$B$11)))^2)+IF(OR(E$7="",E$8=0),0,E$8*(E$7-H$16*(1-$A51)*(1-(1-$A51)^MIN(E$6,$B$11))/($A51*MIN(E$6,$B$11)))^2)</f>
        <v/>
      </c>
      <c r="I51" s="27">
        <f>IF(OR(B$7="",B$8=0),0,B$8*(B$7-I$16*(1-$A51)*(1-(1-$A51)^MIN(B$6,$B$11))/($A51*MIN(B$6,$B$11)))^2)+IF(OR(C$7="",C$8=0),0,C$8*(C$7-I$16*(1-$A51)*(1-(1-$A51)^MIN(C$6,$B$11))/($A51*MIN(C$6,$B$11)))^2)+IF(OR(D$7="",D$8=0),0,D$8*(D$7-I$16*(1-$A51)*(1-(1-$A51)^MIN(D$6,$B$11))/($A51*MIN(D$6,$B$11)))^2)+IF(OR(E$7="",E$8=0),0,E$8*(E$7-I$16*(1-$A51)*(1-(1-$A51)^MIN(E$6,$B$11))/($A51*MIN(E$6,$B$11)))^2)</f>
        <v/>
      </c>
      <c r="J51" s="27">
        <f>IF(OR(B$7="",B$8=0),0,B$8*(B$7-J$16*(1-$A51)*(1-(1-$A51)^MIN(B$6,$B$11))/($A51*MIN(B$6,$B$11)))^2)+IF(OR(C$7="",C$8=0),0,C$8*(C$7-J$16*(1-$A51)*(1-(1-$A51)^MIN(C$6,$B$11))/($A51*MIN(C$6,$B$11)))^2)+IF(OR(D$7="",D$8=0),0,D$8*(D$7-J$16*(1-$A51)*(1-(1-$A51)^MIN(D$6,$B$11))/($A51*MIN(D$6,$B$11)))^2)+IF(OR(E$7="",E$8=0),0,E$8*(E$7-J$16*(1-$A51)*(1-(1-$A51)^MIN(E$6,$B$11))/($A51*MIN(E$6,$B$11)))^2)</f>
        <v/>
      </c>
      <c r="K51" s="27">
        <f>IF(OR(B$7="",B$8=0),0,B$8*(B$7-K$16*(1-$A51)*(1-(1-$A51)^MIN(B$6,$B$11))/($A51*MIN(B$6,$B$11)))^2)+IF(OR(C$7="",C$8=0),0,C$8*(C$7-K$16*(1-$A51)*(1-(1-$A51)^MIN(C$6,$B$11))/($A51*MIN(C$6,$B$11)))^2)+IF(OR(D$7="",D$8=0),0,D$8*(D$7-K$16*(1-$A51)*(1-(1-$A51)^MIN(D$6,$B$11))/($A51*MIN(D$6,$B$11)))^2)+IF(OR(E$7="",E$8=0),0,E$8*(E$7-K$16*(1-$A51)*(1-(1-$A51)^MIN(E$6,$B$11))/($A51*MIN(E$6,$B$11)))^2)</f>
        <v/>
      </c>
      <c r="L51" s="27">
        <f>IF(OR(B$7="",B$8=0),0,B$8*(B$7-L$16*(1-$A51)*(1-(1-$A51)^MIN(B$6,$B$11))/($A51*MIN(B$6,$B$11)))^2)+IF(OR(C$7="",C$8=0),0,C$8*(C$7-L$16*(1-$A51)*(1-(1-$A51)^MIN(C$6,$B$11))/($A51*MIN(C$6,$B$11)))^2)+IF(OR(D$7="",D$8=0),0,D$8*(D$7-L$16*(1-$A51)*(1-(1-$A51)^MIN(D$6,$B$11))/($A51*MIN(D$6,$B$11)))^2)+IF(OR(E$7="",E$8=0),0,E$8*(E$7-L$16*(1-$A51)*(1-(1-$A51)^MIN(E$6,$B$11))/($A51*MIN(E$6,$B$11)))^2)</f>
        <v/>
      </c>
      <c r="M51" s="27">
        <f>IF(OR(B$7="",B$8=0),0,B$8*(B$7-M$16*(1-$A51)*(1-(1-$A51)^MIN(B$6,$B$11))/($A51*MIN(B$6,$B$11)))^2)+IF(OR(C$7="",C$8=0),0,C$8*(C$7-M$16*(1-$A51)*(1-(1-$A51)^MIN(C$6,$B$11))/($A51*MIN(C$6,$B$11)))^2)+IF(OR(D$7="",D$8=0),0,D$8*(D$7-M$16*(1-$A51)*(1-(1-$A51)^MIN(D$6,$B$11))/($A51*MIN(D$6,$B$11)))^2)+IF(OR(E$7="",E$8=0),0,E$8*(E$7-M$16*(1-$A51)*(1-(1-$A51)^MIN(E$6,$B$11))/($A51*MIN(E$6,$B$11)))^2)</f>
        <v/>
      </c>
      <c r="N51" s="27">
        <f>IF(OR(B$7="",B$8=0),0,B$8*(B$7-N$16*(1-$A51)*(1-(1-$A51)^MIN(B$6,$B$11))/($A51*MIN(B$6,$B$11)))^2)+IF(OR(C$7="",C$8=0),0,C$8*(C$7-N$16*(1-$A51)*(1-(1-$A51)^MIN(C$6,$B$11))/($A51*MIN(C$6,$B$11)))^2)+IF(OR(D$7="",D$8=0),0,D$8*(D$7-N$16*(1-$A51)*(1-(1-$A51)^MIN(D$6,$B$11))/($A51*MIN(D$6,$B$11)))^2)+IF(OR(E$7="",E$8=0),0,E$8*(E$7-N$16*(1-$A51)*(1-(1-$A51)^MIN(E$6,$B$11))/($A51*MIN(E$6,$B$11)))^2)</f>
        <v/>
      </c>
      <c r="O51" s="27">
        <f>IF(OR(B$7="",B$8=0),0,B$8*(B$7-O$16*(1-$A51)*(1-(1-$A51)^MIN(B$6,$B$11))/($A51*MIN(B$6,$B$11)))^2)+IF(OR(C$7="",C$8=0),0,C$8*(C$7-O$16*(1-$A51)*(1-(1-$A51)^MIN(C$6,$B$11))/($A51*MIN(C$6,$B$11)))^2)+IF(OR(D$7="",D$8=0),0,D$8*(D$7-O$16*(1-$A51)*(1-(1-$A51)^MIN(D$6,$B$11))/($A51*MIN(D$6,$B$11)))^2)+IF(OR(E$7="",E$8=0),0,E$8*(E$7-O$16*(1-$A51)*(1-(1-$A51)^MIN(E$6,$B$11))/($A51*MIN(E$6,$B$11)))^2)</f>
        <v/>
      </c>
      <c r="P51" s="27">
        <f>IF(OR(B$7="",B$8=0),0,B$8*(B$7-P$16*(1-$A51)*(1-(1-$A51)^MIN(B$6,$B$11))/($A51*MIN(B$6,$B$11)))^2)+IF(OR(C$7="",C$8=0),0,C$8*(C$7-P$16*(1-$A51)*(1-(1-$A51)^MIN(C$6,$B$11))/($A51*MIN(C$6,$B$11)))^2)+IF(OR(D$7="",D$8=0),0,D$8*(D$7-P$16*(1-$A51)*(1-(1-$A51)^MIN(D$6,$B$11))/($A51*MIN(D$6,$B$11)))^2)+IF(OR(E$7="",E$8=0),0,E$8*(E$7-P$16*(1-$A51)*(1-(1-$A51)^MIN(E$6,$B$11))/($A51*MIN(E$6,$B$11)))^2)</f>
        <v/>
      </c>
      <c r="Q51" s="27">
        <f>IF(OR(B$7="",B$8=0),0,B$8*(B$7-Q$16*(1-$A51)*(1-(1-$A51)^MIN(B$6,$B$11))/($A51*MIN(B$6,$B$11)))^2)+IF(OR(C$7="",C$8=0),0,C$8*(C$7-Q$16*(1-$A51)*(1-(1-$A51)^MIN(C$6,$B$11))/($A51*MIN(C$6,$B$11)))^2)+IF(OR(D$7="",D$8=0),0,D$8*(D$7-Q$16*(1-$A51)*(1-(1-$A51)^MIN(D$6,$B$11))/($A51*MIN(D$6,$B$11)))^2)+IF(OR(E$7="",E$8=0),0,E$8*(E$7-Q$16*(1-$A51)*(1-(1-$A51)^MIN(E$6,$B$11))/($A51*MIN(E$6,$B$11)))^2)</f>
        <v/>
      </c>
      <c r="R51" s="27">
        <f>IF(OR(B$7="",B$8=0),0,B$8*(B$7-R$16*(1-$A51)*(1-(1-$A51)^MIN(B$6,$B$11))/($A51*MIN(B$6,$B$11)))^2)+IF(OR(C$7="",C$8=0),0,C$8*(C$7-R$16*(1-$A51)*(1-(1-$A51)^MIN(C$6,$B$11))/($A51*MIN(C$6,$B$11)))^2)+IF(OR(D$7="",D$8=0),0,D$8*(D$7-R$16*(1-$A51)*(1-(1-$A51)^MIN(D$6,$B$11))/($A51*MIN(D$6,$B$11)))^2)+IF(OR(E$7="",E$8=0),0,E$8*(E$7-R$16*(1-$A51)*(1-(1-$A51)^MIN(E$6,$B$11))/($A51*MIN(E$6,$B$11)))^2)</f>
        <v/>
      </c>
      <c r="S51" s="27">
        <f>IF(OR(B$7="",B$8=0),0,B$8*(B$7-S$16*(1-$A51)*(1-(1-$A51)^MIN(B$6,$B$11))/($A51*MIN(B$6,$B$11)))^2)+IF(OR(C$7="",C$8=0),0,C$8*(C$7-S$16*(1-$A51)*(1-(1-$A51)^MIN(C$6,$B$11))/($A51*MIN(C$6,$B$11)))^2)+IF(OR(D$7="",D$8=0),0,D$8*(D$7-S$16*(1-$A51)*(1-(1-$A51)^MIN(D$6,$B$11))/($A51*MIN(D$6,$B$11)))^2)+IF(OR(E$7="",E$8=0),0,E$8*(E$7-S$16*(1-$A51)*(1-(1-$A51)^MIN(E$6,$B$11))/($A51*MIN(E$6,$B$11)))^2)</f>
        <v/>
      </c>
      <c r="U51" s="27">
        <f>MIN(B51:S51)</f>
        <v/>
      </c>
      <c r="V51" s="17">
        <f>MATCH(U51,B51:S51,0)</f>
        <v/>
      </c>
    </row>
    <row r="52">
      <c r="A52" s="26" t="n">
        <v>0.0225</v>
      </c>
      <c r="B52" s="27">
        <f>IF(OR(B$7="",B$8=0),0,B$8*(B$7-B$16*(1-$A52)*(1-(1-$A52)^MIN(B$6,$B$11))/($A52*MIN(B$6,$B$11)))^2)+IF(OR(C$7="",C$8=0),0,C$8*(C$7-B$16*(1-$A52)*(1-(1-$A52)^MIN(C$6,$B$11))/($A52*MIN(C$6,$B$11)))^2)+IF(OR(D$7="",D$8=0),0,D$8*(D$7-B$16*(1-$A52)*(1-(1-$A52)^MIN(D$6,$B$11))/($A52*MIN(D$6,$B$11)))^2)+IF(OR(E$7="",E$8=0),0,E$8*(E$7-B$16*(1-$A52)*(1-(1-$A52)^MIN(E$6,$B$11))/($A52*MIN(E$6,$B$11)))^2)</f>
        <v/>
      </c>
      <c r="C52" s="27">
        <f>IF(OR(B$7="",B$8=0),0,B$8*(B$7-C$16*(1-$A52)*(1-(1-$A52)^MIN(B$6,$B$11))/($A52*MIN(B$6,$B$11)))^2)+IF(OR(C$7="",C$8=0),0,C$8*(C$7-C$16*(1-$A52)*(1-(1-$A52)^MIN(C$6,$B$11))/($A52*MIN(C$6,$B$11)))^2)+IF(OR(D$7="",D$8=0),0,D$8*(D$7-C$16*(1-$A52)*(1-(1-$A52)^MIN(D$6,$B$11))/($A52*MIN(D$6,$B$11)))^2)+IF(OR(E$7="",E$8=0),0,E$8*(E$7-C$16*(1-$A52)*(1-(1-$A52)^MIN(E$6,$B$11))/($A52*MIN(E$6,$B$11)))^2)</f>
        <v/>
      </c>
      <c r="D52" s="27">
        <f>IF(OR(B$7="",B$8=0),0,B$8*(B$7-D$16*(1-$A52)*(1-(1-$A52)^MIN(B$6,$B$11))/($A52*MIN(B$6,$B$11)))^2)+IF(OR(C$7="",C$8=0),0,C$8*(C$7-D$16*(1-$A52)*(1-(1-$A52)^MIN(C$6,$B$11))/($A52*MIN(C$6,$B$11)))^2)+IF(OR(D$7="",D$8=0),0,D$8*(D$7-D$16*(1-$A52)*(1-(1-$A52)^MIN(D$6,$B$11))/($A52*MIN(D$6,$B$11)))^2)+IF(OR(E$7="",E$8=0),0,E$8*(E$7-D$16*(1-$A52)*(1-(1-$A52)^MIN(E$6,$B$11))/($A52*MIN(E$6,$B$11)))^2)</f>
        <v/>
      </c>
      <c r="E52" s="27">
        <f>IF(OR(B$7="",B$8=0),0,B$8*(B$7-E$16*(1-$A52)*(1-(1-$A52)^MIN(B$6,$B$11))/($A52*MIN(B$6,$B$11)))^2)+IF(OR(C$7="",C$8=0),0,C$8*(C$7-E$16*(1-$A52)*(1-(1-$A52)^MIN(C$6,$B$11))/($A52*MIN(C$6,$B$11)))^2)+IF(OR(D$7="",D$8=0),0,D$8*(D$7-E$16*(1-$A52)*(1-(1-$A52)^MIN(D$6,$B$11))/($A52*MIN(D$6,$B$11)))^2)+IF(OR(E$7="",E$8=0),0,E$8*(E$7-E$16*(1-$A52)*(1-(1-$A52)^MIN(E$6,$B$11))/($A52*MIN(E$6,$B$11)))^2)</f>
        <v/>
      </c>
      <c r="F52" s="27">
        <f>IF(OR(B$7="",B$8=0),0,B$8*(B$7-F$16*(1-$A52)*(1-(1-$A52)^MIN(B$6,$B$11))/($A52*MIN(B$6,$B$11)))^2)+IF(OR(C$7="",C$8=0),0,C$8*(C$7-F$16*(1-$A52)*(1-(1-$A52)^MIN(C$6,$B$11))/($A52*MIN(C$6,$B$11)))^2)+IF(OR(D$7="",D$8=0),0,D$8*(D$7-F$16*(1-$A52)*(1-(1-$A52)^MIN(D$6,$B$11))/($A52*MIN(D$6,$B$11)))^2)+IF(OR(E$7="",E$8=0),0,E$8*(E$7-F$16*(1-$A52)*(1-(1-$A52)^MIN(E$6,$B$11))/($A52*MIN(E$6,$B$11)))^2)</f>
        <v/>
      </c>
      <c r="G52" s="27">
        <f>IF(OR(B$7="",B$8=0),0,B$8*(B$7-G$16*(1-$A52)*(1-(1-$A52)^MIN(B$6,$B$11))/($A52*MIN(B$6,$B$11)))^2)+IF(OR(C$7="",C$8=0),0,C$8*(C$7-G$16*(1-$A52)*(1-(1-$A52)^MIN(C$6,$B$11))/($A52*MIN(C$6,$B$11)))^2)+IF(OR(D$7="",D$8=0),0,D$8*(D$7-G$16*(1-$A52)*(1-(1-$A52)^MIN(D$6,$B$11))/($A52*MIN(D$6,$B$11)))^2)+IF(OR(E$7="",E$8=0),0,E$8*(E$7-G$16*(1-$A52)*(1-(1-$A52)^MIN(E$6,$B$11))/($A52*MIN(E$6,$B$11)))^2)</f>
        <v/>
      </c>
      <c r="H52" s="27">
        <f>IF(OR(B$7="",B$8=0),0,B$8*(B$7-H$16*(1-$A52)*(1-(1-$A52)^MIN(B$6,$B$11))/($A52*MIN(B$6,$B$11)))^2)+IF(OR(C$7="",C$8=0),0,C$8*(C$7-H$16*(1-$A52)*(1-(1-$A52)^MIN(C$6,$B$11))/($A52*MIN(C$6,$B$11)))^2)+IF(OR(D$7="",D$8=0),0,D$8*(D$7-H$16*(1-$A52)*(1-(1-$A52)^MIN(D$6,$B$11))/($A52*MIN(D$6,$B$11)))^2)+IF(OR(E$7="",E$8=0),0,E$8*(E$7-H$16*(1-$A52)*(1-(1-$A52)^MIN(E$6,$B$11))/($A52*MIN(E$6,$B$11)))^2)</f>
        <v/>
      </c>
      <c r="I52" s="27">
        <f>IF(OR(B$7="",B$8=0),0,B$8*(B$7-I$16*(1-$A52)*(1-(1-$A52)^MIN(B$6,$B$11))/($A52*MIN(B$6,$B$11)))^2)+IF(OR(C$7="",C$8=0),0,C$8*(C$7-I$16*(1-$A52)*(1-(1-$A52)^MIN(C$6,$B$11))/($A52*MIN(C$6,$B$11)))^2)+IF(OR(D$7="",D$8=0),0,D$8*(D$7-I$16*(1-$A52)*(1-(1-$A52)^MIN(D$6,$B$11))/($A52*MIN(D$6,$B$11)))^2)+IF(OR(E$7="",E$8=0),0,E$8*(E$7-I$16*(1-$A52)*(1-(1-$A52)^MIN(E$6,$B$11))/($A52*MIN(E$6,$B$11)))^2)</f>
        <v/>
      </c>
      <c r="J52" s="27">
        <f>IF(OR(B$7="",B$8=0),0,B$8*(B$7-J$16*(1-$A52)*(1-(1-$A52)^MIN(B$6,$B$11))/($A52*MIN(B$6,$B$11)))^2)+IF(OR(C$7="",C$8=0),0,C$8*(C$7-J$16*(1-$A52)*(1-(1-$A52)^MIN(C$6,$B$11))/($A52*MIN(C$6,$B$11)))^2)+IF(OR(D$7="",D$8=0),0,D$8*(D$7-J$16*(1-$A52)*(1-(1-$A52)^MIN(D$6,$B$11))/($A52*MIN(D$6,$B$11)))^2)+IF(OR(E$7="",E$8=0),0,E$8*(E$7-J$16*(1-$A52)*(1-(1-$A52)^MIN(E$6,$B$11))/($A52*MIN(E$6,$B$11)))^2)</f>
        <v/>
      </c>
      <c r="K52" s="27">
        <f>IF(OR(B$7="",B$8=0),0,B$8*(B$7-K$16*(1-$A52)*(1-(1-$A52)^MIN(B$6,$B$11))/($A52*MIN(B$6,$B$11)))^2)+IF(OR(C$7="",C$8=0),0,C$8*(C$7-K$16*(1-$A52)*(1-(1-$A52)^MIN(C$6,$B$11))/($A52*MIN(C$6,$B$11)))^2)+IF(OR(D$7="",D$8=0),0,D$8*(D$7-K$16*(1-$A52)*(1-(1-$A52)^MIN(D$6,$B$11))/($A52*MIN(D$6,$B$11)))^2)+IF(OR(E$7="",E$8=0),0,E$8*(E$7-K$16*(1-$A52)*(1-(1-$A52)^MIN(E$6,$B$11))/($A52*MIN(E$6,$B$11)))^2)</f>
        <v/>
      </c>
      <c r="L52" s="27">
        <f>IF(OR(B$7="",B$8=0),0,B$8*(B$7-L$16*(1-$A52)*(1-(1-$A52)^MIN(B$6,$B$11))/($A52*MIN(B$6,$B$11)))^2)+IF(OR(C$7="",C$8=0),0,C$8*(C$7-L$16*(1-$A52)*(1-(1-$A52)^MIN(C$6,$B$11))/($A52*MIN(C$6,$B$11)))^2)+IF(OR(D$7="",D$8=0),0,D$8*(D$7-L$16*(1-$A52)*(1-(1-$A52)^MIN(D$6,$B$11))/($A52*MIN(D$6,$B$11)))^2)+IF(OR(E$7="",E$8=0),0,E$8*(E$7-L$16*(1-$A52)*(1-(1-$A52)^MIN(E$6,$B$11))/($A52*MIN(E$6,$B$11)))^2)</f>
        <v/>
      </c>
      <c r="M52" s="27">
        <f>IF(OR(B$7="",B$8=0),0,B$8*(B$7-M$16*(1-$A52)*(1-(1-$A52)^MIN(B$6,$B$11))/($A52*MIN(B$6,$B$11)))^2)+IF(OR(C$7="",C$8=0),0,C$8*(C$7-M$16*(1-$A52)*(1-(1-$A52)^MIN(C$6,$B$11))/($A52*MIN(C$6,$B$11)))^2)+IF(OR(D$7="",D$8=0),0,D$8*(D$7-M$16*(1-$A52)*(1-(1-$A52)^MIN(D$6,$B$11))/($A52*MIN(D$6,$B$11)))^2)+IF(OR(E$7="",E$8=0),0,E$8*(E$7-M$16*(1-$A52)*(1-(1-$A52)^MIN(E$6,$B$11))/($A52*MIN(E$6,$B$11)))^2)</f>
        <v/>
      </c>
      <c r="N52" s="27">
        <f>IF(OR(B$7="",B$8=0),0,B$8*(B$7-N$16*(1-$A52)*(1-(1-$A52)^MIN(B$6,$B$11))/($A52*MIN(B$6,$B$11)))^2)+IF(OR(C$7="",C$8=0),0,C$8*(C$7-N$16*(1-$A52)*(1-(1-$A52)^MIN(C$6,$B$11))/($A52*MIN(C$6,$B$11)))^2)+IF(OR(D$7="",D$8=0),0,D$8*(D$7-N$16*(1-$A52)*(1-(1-$A52)^MIN(D$6,$B$11))/($A52*MIN(D$6,$B$11)))^2)+IF(OR(E$7="",E$8=0),0,E$8*(E$7-N$16*(1-$A52)*(1-(1-$A52)^MIN(E$6,$B$11))/($A52*MIN(E$6,$B$11)))^2)</f>
        <v/>
      </c>
      <c r="O52" s="27">
        <f>IF(OR(B$7="",B$8=0),0,B$8*(B$7-O$16*(1-$A52)*(1-(1-$A52)^MIN(B$6,$B$11))/($A52*MIN(B$6,$B$11)))^2)+IF(OR(C$7="",C$8=0),0,C$8*(C$7-O$16*(1-$A52)*(1-(1-$A52)^MIN(C$6,$B$11))/($A52*MIN(C$6,$B$11)))^2)+IF(OR(D$7="",D$8=0),0,D$8*(D$7-O$16*(1-$A52)*(1-(1-$A52)^MIN(D$6,$B$11))/($A52*MIN(D$6,$B$11)))^2)+IF(OR(E$7="",E$8=0),0,E$8*(E$7-O$16*(1-$A52)*(1-(1-$A52)^MIN(E$6,$B$11))/($A52*MIN(E$6,$B$11)))^2)</f>
        <v/>
      </c>
      <c r="P52" s="27">
        <f>IF(OR(B$7="",B$8=0),0,B$8*(B$7-P$16*(1-$A52)*(1-(1-$A52)^MIN(B$6,$B$11))/($A52*MIN(B$6,$B$11)))^2)+IF(OR(C$7="",C$8=0),0,C$8*(C$7-P$16*(1-$A52)*(1-(1-$A52)^MIN(C$6,$B$11))/($A52*MIN(C$6,$B$11)))^2)+IF(OR(D$7="",D$8=0),0,D$8*(D$7-P$16*(1-$A52)*(1-(1-$A52)^MIN(D$6,$B$11))/($A52*MIN(D$6,$B$11)))^2)+IF(OR(E$7="",E$8=0),0,E$8*(E$7-P$16*(1-$A52)*(1-(1-$A52)^MIN(E$6,$B$11))/($A52*MIN(E$6,$B$11)))^2)</f>
        <v/>
      </c>
      <c r="Q52" s="27">
        <f>IF(OR(B$7="",B$8=0),0,B$8*(B$7-Q$16*(1-$A52)*(1-(1-$A52)^MIN(B$6,$B$11))/($A52*MIN(B$6,$B$11)))^2)+IF(OR(C$7="",C$8=0),0,C$8*(C$7-Q$16*(1-$A52)*(1-(1-$A52)^MIN(C$6,$B$11))/($A52*MIN(C$6,$B$11)))^2)+IF(OR(D$7="",D$8=0),0,D$8*(D$7-Q$16*(1-$A52)*(1-(1-$A52)^MIN(D$6,$B$11))/($A52*MIN(D$6,$B$11)))^2)+IF(OR(E$7="",E$8=0),0,E$8*(E$7-Q$16*(1-$A52)*(1-(1-$A52)^MIN(E$6,$B$11))/($A52*MIN(E$6,$B$11)))^2)</f>
        <v/>
      </c>
      <c r="R52" s="27">
        <f>IF(OR(B$7="",B$8=0),0,B$8*(B$7-R$16*(1-$A52)*(1-(1-$A52)^MIN(B$6,$B$11))/($A52*MIN(B$6,$B$11)))^2)+IF(OR(C$7="",C$8=0),0,C$8*(C$7-R$16*(1-$A52)*(1-(1-$A52)^MIN(C$6,$B$11))/($A52*MIN(C$6,$B$11)))^2)+IF(OR(D$7="",D$8=0),0,D$8*(D$7-R$16*(1-$A52)*(1-(1-$A52)^MIN(D$6,$B$11))/($A52*MIN(D$6,$B$11)))^2)+IF(OR(E$7="",E$8=0),0,E$8*(E$7-R$16*(1-$A52)*(1-(1-$A52)^MIN(E$6,$B$11))/($A52*MIN(E$6,$B$11)))^2)</f>
        <v/>
      </c>
      <c r="S52" s="27">
        <f>IF(OR(B$7="",B$8=0),0,B$8*(B$7-S$16*(1-$A52)*(1-(1-$A52)^MIN(B$6,$B$11))/($A52*MIN(B$6,$B$11)))^2)+IF(OR(C$7="",C$8=0),0,C$8*(C$7-S$16*(1-$A52)*(1-(1-$A52)^MIN(C$6,$B$11))/($A52*MIN(C$6,$B$11)))^2)+IF(OR(D$7="",D$8=0),0,D$8*(D$7-S$16*(1-$A52)*(1-(1-$A52)^MIN(D$6,$B$11))/($A52*MIN(D$6,$B$11)))^2)+IF(OR(E$7="",E$8=0),0,E$8*(E$7-S$16*(1-$A52)*(1-(1-$A52)^MIN(E$6,$B$11))/($A52*MIN(E$6,$B$11)))^2)</f>
        <v/>
      </c>
      <c r="U52" s="27">
        <f>MIN(B52:S52)</f>
        <v/>
      </c>
      <c r="V52" s="17">
        <f>MATCH(U52,B52:S52,0)</f>
        <v/>
      </c>
    </row>
    <row r="53">
      <c r="A53" s="26" t="n">
        <v>0.023</v>
      </c>
      <c r="B53" s="27">
        <f>IF(OR(B$7="",B$8=0),0,B$8*(B$7-B$16*(1-$A53)*(1-(1-$A53)^MIN(B$6,$B$11))/($A53*MIN(B$6,$B$11)))^2)+IF(OR(C$7="",C$8=0),0,C$8*(C$7-B$16*(1-$A53)*(1-(1-$A53)^MIN(C$6,$B$11))/($A53*MIN(C$6,$B$11)))^2)+IF(OR(D$7="",D$8=0),0,D$8*(D$7-B$16*(1-$A53)*(1-(1-$A53)^MIN(D$6,$B$11))/($A53*MIN(D$6,$B$11)))^2)+IF(OR(E$7="",E$8=0),0,E$8*(E$7-B$16*(1-$A53)*(1-(1-$A53)^MIN(E$6,$B$11))/($A53*MIN(E$6,$B$11)))^2)</f>
        <v/>
      </c>
      <c r="C53" s="27">
        <f>IF(OR(B$7="",B$8=0),0,B$8*(B$7-C$16*(1-$A53)*(1-(1-$A53)^MIN(B$6,$B$11))/($A53*MIN(B$6,$B$11)))^2)+IF(OR(C$7="",C$8=0),0,C$8*(C$7-C$16*(1-$A53)*(1-(1-$A53)^MIN(C$6,$B$11))/($A53*MIN(C$6,$B$11)))^2)+IF(OR(D$7="",D$8=0),0,D$8*(D$7-C$16*(1-$A53)*(1-(1-$A53)^MIN(D$6,$B$11))/($A53*MIN(D$6,$B$11)))^2)+IF(OR(E$7="",E$8=0),0,E$8*(E$7-C$16*(1-$A53)*(1-(1-$A53)^MIN(E$6,$B$11))/($A53*MIN(E$6,$B$11)))^2)</f>
        <v/>
      </c>
      <c r="D53" s="27">
        <f>IF(OR(B$7="",B$8=0),0,B$8*(B$7-D$16*(1-$A53)*(1-(1-$A53)^MIN(B$6,$B$11))/($A53*MIN(B$6,$B$11)))^2)+IF(OR(C$7="",C$8=0),0,C$8*(C$7-D$16*(1-$A53)*(1-(1-$A53)^MIN(C$6,$B$11))/($A53*MIN(C$6,$B$11)))^2)+IF(OR(D$7="",D$8=0),0,D$8*(D$7-D$16*(1-$A53)*(1-(1-$A53)^MIN(D$6,$B$11))/($A53*MIN(D$6,$B$11)))^2)+IF(OR(E$7="",E$8=0),0,E$8*(E$7-D$16*(1-$A53)*(1-(1-$A53)^MIN(E$6,$B$11))/($A53*MIN(E$6,$B$11)))^2)</f>
        <v/>
      </c>
      <c r="E53" s="27">
        <f>IF(OR(B$7="",B$8=0),0,B$8*(B$7-E$16*(1-$A53)*(1-(1-$A53)^MIN(B$6,$B$11))/($A53*MIN(B$6,$B$11)))^2)+IF(OR(C$7="",C$8=0),0,C$8*(C$7-E$16*(1-$A53)*(1-(1-$A53)^MIN(C$6,$B$11))/($A53*MIN(C$6,$B$11)))^2)+IF(OR(D$7="",D$8=0),0,D$8*(D$7-E$16*(1-$A53)*(1-(1-$A53)^MIN(D$6,$B$11))/($A53*MIN(D$6,$B$11)))^2)+IF(OR(E$7="",E$8=0),0,E$8*(E$7-E$16*(1-$A53)*(1-(1-$A53)^MIN(E$6,$B$11))/($A53*MIN(E$6,$B$11)))^2)</f>
        <v/>
      </c>
      <c r="F53" s="27">
        <f>IF(OR(B$7="",B$8=0),0,B$8*(B$7-F$16*(1-$A53)*(1-(1-$A53)^MIN(B$6,$B$11))/($A53*MIN(B$6,$B$11)))^2)+IF(OR(C$7="",C$8=0),0,C$8*(C$7-F$16*(1-$A53)*(1-(1-$A53)^MIN(C$6,$B$11))/($A53*MIN(C$6,$B$11)))^2)+IF(OR(D$7="",D$8=0),0,D$8*(D$7-F$16*(1-$A53)*(1-(1-$A53)^MIN(D$6,$B$11))/($A53*MIN(D$6,$B$11)))^2)+IF(OR(E$7="",E$8=0),0,E$8*(E$7-F$16*(1-$A53)*(1-(1-$A53)^MIN(E$6,$B$11))/($A53*MIN(E$6,$B$11)))^2)</f>
        <v/>
      </c>
      <c r="G53" s="27">
        <f>IF(OR(B$7="",B$8=0),0,B$8*(B$7-G$16*(1-$A53)*(1-(1-$A53)^MIN(B$6,$B$11))/($A53*MIN(B$6,$B$11)))^2)+IF(OR(C$7="",C$8=0),0,C$8*(C$7-G$16*(1-$A53)*(1-(1-$A53)^MIN(C$6,$B$11))/($A53*MIN(C$6,$B$11)))^2)+IF(OR(D$7="",D$8=0),0,D$8*(D$7-G$16*(1-$A53)*(1-(1-$A53)^MIN(D$6,$B$11))/($A53*MIN(D$6,$B$11)))^2)+IF(OR(E$7="",E$8=0),0,E$8*(E$7-G$16*(1-$A53)*(1-(1-$A53)^MIN(E$6,$B$11))/($A53*MIN(E$6,$B$11)))^2)</f>
        <v/>
      </c>
      <c r="H53" s="27">
        <f>IF(OR(B$7="",B$8=0),0,B$8*(B$7-H$16*(1-$A53)*(1-(1-$A53)^MIN(B$6,$B$11))/($A53*MIN(B$6,$B$11)))^2)+IF(OR(C$7="",C$8=0),0,C$8*(C$7-H$16*(1-$A53)*(1-(1-$A53)^MIN(C$6,$B$11))/($A53*MIN(C$6,$B$11)))^2)+IF(OR(D$7="",D$8=0),0,D$8*(D$7-H$16*(1-$A53)*(1-(1-$A53)^MIN(D$6,$B$11))/($A53*MIN(D$6,$B$11)))^2)+IF(OR(E$7="",E$8=0),0,E$8*(E$7-H$16*(1-$A53)*(1-(1-$A53)^MIN(E$6,$B$11))/($A53*MIN(E$6,$B$11)))^2)</f>
        <v/>
      </c>
      <c r="I53" s="27">
        <f>IF(OR(B$7="",B$8=0),0,B$8*(B$7-I$16*(1-$A53)*(1-(1-$A53)^MIN(B$6,$B$11))/($A53*MIN(B$6,$B$11)))^2)+IF(OR(C$7="",C$8=0),0,C$8*(C$7-I$16*(1-$A53)*(1-(1-$A53)^MIN(C$6,$B$11))/($A53*MIN(C$6,$B$11)))^2)+IF(OR(D$7="",D$8=0),0,D$8*(D$7-I$16*(1-$A53)*(1-(1-$A53)^MIN(D$6,$B$11))/($A53*MIN(D$6,$B$11)))^2)+IF(OR(E$7="",E$8=0),0,E$8*(E$7-I$16*(1-$A53)*(1-(1-$A53)^MIN(E$6,$B$11))/($A53*MIN(E$6,$B$11)))^2)</f>
        <v/>
      </c>
      <c r="J53" s="27">
        <f>IF(OR(B$7="",B$8=0),0,B$8*(B$7-J$16*(1-$A53)*(1-(1-$A53)^MIN(B$6,$B$11))/($A53*MIN(B$6,$B$11)))^2)+IF(OR(C$7="",C$8=0),0,C$8*(C$7-J$16*(1-$A53)*(1-(1-$A53)^MIN(C$6,$B$11))/($A53*MIN(C$6,$B$11)))^2)+IF(OR(D$7="",D$8=0),0,D$8*(D$7-J$16*(1-$A53)*(1-(1-$A53)^MIN(D$6,$B$11))/($A53*MIN(D$6,$B$11)))^2)+IF(OR(E$7="",E$8=0),0,E$8*(E$7-J$16*(1-$A53)*(1-(1-$A53)^MIN(E$6,$B$11))/($A53*MIN(E$6,$B$11)))^2)</f>
        <v/>
      </c>
      <c r="K53" s="27">
        <f>IF(OR(B$7="",B$8=0),0,B$8*(B$7-K$16*(1-$A53)*(1-(1-$A53)^MIN(B$6,$B$11))/($A53*MIN(B$6,$B$11)))^2)+IF(OR(C$7="",C$8=0),0,C$8*(C$7-K$16*(1-$A53)*(1-(1-$A53)^MIN(C$6,$B$11))/($A53*MIN(C$6,$B$11)))^2)+IF(OR(D$7="",D$8=0),0,D$8*(D$7-K$16*(1-$A53)*(1-(1-$A53)^MIN(D$6,$B$11))/($A53*MIN(D$6,$B$11)))^2)+IF(OR(E$7="",E$8=0),0,E$8*(E$7-K$16*(1-$A53)*(1-(1-$A53)^MIN(E$6,$B$11))/($A53*MIN(E$6,$B$11)))^2)</f>
        <v/>
      </c>
      <c r="L53" s="27">
        <f>IF(OR(B$7="",B$8=0),0,B$8*(B$7-L$16*(1-$A53)*(1-(1-$A53)^MIN(B$6,$B$11))/($A53*MIN(B$6,$B$11)))^2)+IF(OR(C$7="",C$8=0),0,C$8*(C$7-L$16*(1-$A53)*(1-(1-$A53)^MIN(C$6,$B$11))/($A53*MIN(C$6,$B$11)))^2)+IF(OR(D$7="",D$8=0),0,D$8*(D$7-L$16*(1-$A53)*(1-(1-$A53)^MIN(D$6,$B$11))/($A53*MIN(D$6,$B$11)))^2)+IF(OR(E$7="",E$8=0),0,E$8*(E$7-L$16*(1-$A53)*(1-(1-$A53)^MIN(E$6,$B$11))/($A53*MIN(E$6,$B$11)))^2)</f>
        <v/>
      </c>
      <c r="M53" s="27">
        <f>IF(OR(B$7="",B$8=0),0,B$8*(B$7-M$16*(1-$A53)*(1-(1-$A53)^MIN(B$6,$B$11))/($A53*MIN(B$6,$B$11)))^2)+IF(OR(C$7="",C$8=0),0,C$8*(C$7-M$16*(1-$A53)*(1-(1-$A53)^MIN(C$6,$B$11))/($A53*MIN(C$6,$B$11)))^2)+IF(OR(D$7="",D$8=0),0,D$8*(D$7-M$16*(1-$A53)*(1-(1-$A53)^MIN(D$6,$B$11))/($A53*MIN(D$6,$B$11)))^2)+IF(OR(E$7="",E$8=0),0,E$8*(E$7-M$16*(1-$A53)*(1-(1-$A53)^MIN(E$6,$B$11))/($A53*MIN(E$6,$B$11)))^2)</f>
        <v/>
      </c>
      <c r="N53" s="27">
        <f>IF(OR(B$7="",B$8=0),0,B$8*(B$7-N$16*(1-$A53)*(1-(1-$A53)^MIN(B$6,$B$11))/($A53*MIN(B$6,$B$11)))^2)+IF(OR(C$7="",C$8=0),0,C$8*(C$7-N$16*(1-$A53)*(1-(1-$A53)^MIN(C$6,$B$11))/($A53*MIN(C$6,$B$11)))^2)+IF(OR(D$7="",D$8=0),0,D$8*(D$7-N$16*(1-$A53)*(1-(1-$A53)^MIN(D$6,$B$11))/($A53*MIN(D$6,$B$11)))^2)+IF(OR(E$7="",E$8=0),0,E$8*(E$7-N$16*(1-$A53)*(1-(1-$A53)^MIN(E$6,$B$11))/($A53*MIN(E$6,$B$11)))^2)</f>
        <v/>
      </c>
      <c r="O53" s="27">
        <f>IF(OR(B$7="",B$8=0),0,B$8*(B$7-O$16*(1-$A53)*(1-(1-$A53)^MIN(B$6,$B$11))/($A53*MIN(B$6,$B$11)))^2)+IF(OR(C$7="",C$8=0),0,C$8*(C$7-O$16*(1-$A53)*(1-(1-$A53)^MIN(C$6,$B$11))/($A53*MIN(C$6,$B$11)))^2)+IF(OR(D$7="",D$8=0),0,D$8*(D$7-O$16*(1-$A53)*(1-(1-$A53)^MIN(D$6,$B$11))/($A53*MIN(D$6,$B$11)))^2)+IF(OR(E$7="",E$8=0),0,E$8*(E$7-O$16*(1-$A53)*(1-(1-$A53)^MIN(E$6,$B$11))/($A53*MIN(E$6,$B$11)))^2)</f>
        <v/>
      </c>
      <c r="P53" s="27">
        <f>IF(OR(B$7="",B$8=0),0,B$8*(B$7-P$16*(1-$A53)*(1-(1-$A53)^MIN(B$6,$B$11))/($A53*MIN(B$6,$B$11)))^2)+IF(OR(C$7="",C$8=0),0,C$8*(C$7-P$16*(1-$A53)*(1-(1-$A53)^MIN(C$6,$B$11))/($A53*MIN(C$6,$B$11)))^2)+IF(OR(D$7="",D$8=0),0,D$8*(D$7-P$16*(1-$A53)*(1-(1-$A53)^MIN(D$6,$B$11))/($A53*MIN(D$6,$B$11)))^2)+IF(OR(E$7="",E$8=0),0,E$8*(E$7-P$16*(1-$A53)*(1-(1-$A53)^MIN(E$6,$B$11))/($A53*MIN(E$6,$B$11)))^2)</f>
        <v/>
      </c>
      <c r="Q53" s="27">
        <f>IF(OR(B$7="",B$8=0),0,B$8*(B$7-Q$16*(1-$A53)*(1-(1-$A53)^MIN(B$6,$B$11))/($A53*MIN(B$6,$B$11)))^2)+IF(OR(C$7="",C$8=0),0,C$8*(C$7-Q$16*(1-$A53)*(1-(1-$A53)^MIN(C$6,$B$11))/($A53*MIN(C$6,$B$11)))^2)+IF(OR(D$7="",D$8=0),0,D$8*(D$7-Q$16*(1-$A53)*(1-(1-$A53)^MIN(D$6,$B$11))/($A53*MIN(D$6,$B$11)))^2)+IF(OR(E$7="",E$8=0),0,E$8*(E$7-Q$16*(1-$A53)*(1-(1-$A53)^MIN(E$6,$B$11))/($A53*MIN(E$6,$B$11)))^2)</f>
        <v/>
      </c>
      <c r="R53" s="27">
        <f>IF(OR(B$7="",B$8=0),0,B$8*(B$7-R$16*(1-$A53)*(1-(1-$A53)^MIN(B$6,$B$11))/($A53*MIN(B$6,$B$11)))^2)+IF(OR(C$7="",C$8=0),0,C$8*(C$7-R$16*(1-$A53)*(1-(1-$A53)^MIN(C$6,$B$11))/($A53*MIN(C$6,$B$11)))^2)+IF(OR(D$7="",D$8=0),0,D$8*(D$7-R$16*(1-$A53)*(1-(1-$A53)^MIN(D$6,$B$11))/($A53*MIN(D$6,$B$11)))^2)+IF(OR(E$7="",E$8=0),0,E$8*(E$7-R$16*(1-$A53)*(1-(1-$A53)^MIN(E$6,$B$11))/($A53*MIN(E$6,$B$11)))^2)</f>
        <v/>
      </c>
      <c r="S53" s="27">
        <f>IF(OR(B$7="",B$8=0),0,B$8*(B$7-S$16*(1-$A53)*(1-(1-$A53)^MIN(B$6,$B$11))/($A53*MIN(B$6,$B$11)))^2)+IF(OR(C$7="",C$8=0),0,C$8*(C$7-S$16*(1-$A53)*(1-(1-$A53)^MIN(C$6,$B$11))/($A53*MIN(C$6,$B$11)))^2)+IF(OR(D$7="",D$8=0),0,D$8*(D$7-S$16*(1-$A53)*(1-(1-$A53)^MIN(D$6,$B$11))/($A53*MIN(D$6,$B$11)))^2)+IF(OR(E$7="",E$8=0),0,E$8*(E$7-S$16*(1-$A53)*(1-(1-$A53)^MIN(E$6,$B$11))/($A53*MIN(E$6,$B$11)))^2)</f>
        <v/>
      </c>
      <c r="U53" s="27">
        <f>MIN(B53:S53)</f>
        <v/>
      </c>
      <c r="V53" s="17">
        <f>MATCH(U53,B53:S53,0)</f>
        <v/>
      </c>
    </row>
    <row r="54">
      <c r="A54" s="26" t="n">
        <v>0.0235</v>
      </c>
      <c r="B54" s="27">
        <f>IF(OR(B$7="",B$8=0),0,B$8*(B$7-B$16*(1-$A54)*(1-(1-$A54)^MIN(B$6,$B$11))/($A54*MIN(B$6,$B$11)))^2)+IF(OR(C$7="",C$8=0),0,C$8*(C$7-B$16*(1-$A54)*(1-(1-$A54)^MIN(C$6,$B$11))/($A54*MIN(C$6,$B$11)))^2)+IF(OR(D$7="",D$8=0),0,D$8*(D$7-B$16*(1-$A54)*(1-(1-$A54)^MIN(D$6,$B$11))/($A54*MIN(D$6,$B$11)))^2)+IF(OR(E$7="",E$8=0),0,E$8*(E$7-B$16*(1-$A54)*(1-(1-$A54)^MIN(E$6,$B$11))/($A54*MIN(E$6,$B$11)))^2)</f>
        <v/>
      </c>
      <c r="C54" s="27">
        <f>IF(OR(B$7="",B$8=0),0,B$8*(B$7-C$16*(1-$A54)*(1-(1-$A54)^MIN(B$6,$B$11))/($A54*MIN(B$6,$B$11)))^2)+IF(OR(C$7="",C$8=0),0,C$8*(C$7-C$16*(1-$A54)*(1-(1-$A54)^MIN(C$6,$B$11))/($A54*MIN(C$6,$B$11)))^2)+IF(OR(D$7="",D$8=0),0,D$8*(D$7-C$16*(1-$A54)*(1-(1-$A54)^MIN(D$6,$B$11))/($A54*MIN(D$6,$B$11)))^2)+IF(OR(E$7="",E$8=0),0,E$8*(E$7-C$16*(1-$A54)*(1-(1-$A54)^MIN(E$6,$B$11))/($A54*MIN(E$6,$B$11)))^2)</f>
        <v/>
      </c>
      <c r="D54" s="27">
        <f>IF(OR(B$7="",B$8=0),0,B$8*(B$7-D$16*(1-$A54)*(1-(1-$A54)^MIN(B$6,$B$11))/($A54*MIN(B$6,$B$11)))^2)+IF(OR(C$7="",C$8=0),0,C$8*(C$7-D$16*(1-$A54)*(1-(1-$A54)^MIN(C$6,$B$11))/($A54*MIN(C$6,$B$11)))^2)+IF(OR(D$7="",D$8=0),0,D$8*(D$7-D$16*(1-$A54)*(1-(1-$A54)^MIN(D$6,$B$11))/($A54*MIN(D$6,$B$11)))^2)+IF(OR(E$7="",E$8=0),0,E$8*(E$7-D$16*(1-$A54)*(1-(1-$A54)^MIN(E$6,$B$11))/($A54*MIN(E$6,$B$11)))^2)</f>
        <v/>
      </c>
      <c r="E54" s="27">
        <f>IF(OR(B$7="",B$8=0),0,B$8*(B$7-E$16*(1-$A54)*(1-(1-$A54)^MIN(B$6,$B$11))/($A54*MIN(B$6,$B$11)))^2)+IF(OR(C$7="",C$8=0),0,C$8*(C$7-E$16*(1-$A54)*(1-(1-$A54)^MIN(C$6,$B$11))/($A54*MIN(C$6,$B$11)))^2)+IF(OR(D$7="",D$8=0),0,D$8*(D$7-E$16*(1-$A54)*(1-(1-$A54)^MIN(D$6,$B$11))/($A54*MIN(D$6,$B$11)))^2)+IF(OR(E$7="",E$8=0),0,E$8*(E$7-E$16*(1-$A54)*(1-(1-$A54)^MIN(E$6,$B$11))/($A54*MIN(E$6,$B$11)))^2)</f>
        <v/>
      </c>
      <c r="F54" s="27">
        <f>IF(OR(B$7="",B$8=0),0,B$8*(B$7-F$16*(1-$A54)*(1-(1-$A54)^MIN(B$6,$B$11))/($A54*MIN(B$6,$B$11)))^2)+IF(OR(C$7="",C$8=0),0,C$8*(C$7-F$16*(1-$A54)*(1-(1-$A54)^MIN(C$6,$B$11))/($A54*MIN(C$6,$B$11)))^2)+IF(OR(D$7="",D$8=0),0,D$8*(D$7-F$16*(1-$A54)*(1-(1-$A54)^MIN(D$6,$B$11))/($A54*MIN(D$6,$B$11)))^2)+IF(OR(E$7="",E$8=0),0,E$8*(E$7-F$16*(1-$A54)*(1-(1-$A54)^MIN(E$6,$B$11))/($A54*MIN(E$6,$B$11)))^2)</f>
        <v/>
      </c>
      <c r="G54" s="27">
        <f>IF(OR(B$7="",B$8=0),0,B$8*(B$7-G$16*(1-$A54)*(1-(1-$A54)^MIN(B$6,$B$11))/($A54*MIN(B$6,$B$11)))^2)+IF(OR(C$7="",C$8=0),0,C$8*(C$7-G$16*(1-$A54)*(1-(1-$A54)^MIN(C$6,$B$11))/($A54*MIN(C$6,$B$11)))^2)+IF(OR(D$7="",D$8=0),0,D$8*(D$7-G$16*(1-$A54)*(1-(1-$A54)^MIN(D$6,$B$11))/($A54*MIN(D$6,$B$11)))^2)+IF(OR(E$7="",E$8=0),0,E$8*(E$7-G$16*(1-$A54)*(1-(1-$A54)^MIN(E$6,$B$11))/($A54*MIN(E$6,$B$11)))^2)</f>
        <v/>
      </c>
      <c r="H54" s="27">
        <f>IF(OR(B$7="",B$8=0),0,B$8*(B$7-H$16*(1-$A54)*(1-(1-$A54)^MIN(B$6,$B$11))/($A54*MIN(B$6,$B$11)))^2)+IF(OR(C$7="",C$8=0),0,C$8*(C$7-H$16*(1-$A54)*(1-(1-$A54)^MIN(C$6,$B$11))/($A54*MIN(C$6,$B$11)))^2)+IF(OR(D$7="",D$8=0),0,D$8*(D$7-H$16*(1-$A54)*(1-(1-$A54)^MIN(D$6,$B$11))/($A54*MIN(D$6,$B$11)))^2)+IF(OR(E$7="",E$8=0),0,E$8*(E$7-H$16*(1-$A54)*(1-(1-$A54)^MIN(E$6,$B$11))/($A54*MIN(E$6,$B$11)))^2)</f>
        <v/>
      </c>
      <c r="I54" s="27">
        <f>IF(OR(B$7="",B$8=0),0,B$8*(B$7-I$16*(1-$A54)*(1-(1-$A54)^MIN(B$6,$B$11))/($A54*MIN(B$6,$B$11)))^2)+IF(OR(C$7="",C$8=0),0,C$8*(C$7-I$16*(1-$A54)*(1-(1-$A54)^MIN(C$6,$B$11))/($A54*MIN(C$6,$B$11)))^2)+IF(OR(D$7="",D$8=0),0,D$8*(D$7-I$16*(1-$A54)*(1-(1-$A54)^MIN(D$6,$B$11))/($A54*MIN(D$6,$B$11)))^2)+IF(OR(E$7="",E$8=0),0,E$8*(E$7-I$16*(1-$A54)*(1-(1-$A54)^MIN(E$6,$B$11))/($A54*MIN(E$6,$B$11)))^2)</f>
        <v/>
      </c>
      <c r="J54" s="27">
        <f>IF(OR(B$7="",B$8=0),0,B$8*(B$7-J$16*(1-$A54)*(1-(1-$A54)^MIN(B$6,$B$11))/($A54*MIN(B$6,$B$11)))^2)+IF(OR(C$7="",C$8=0),0,C$8*(C$7-J$16*(1-$A54)*(1-(1-$A54)^MIN(C$6,$B$11))/($A54*MIN(C$6,$B$11)))^2)+IF(OR(D$7="",D$8=0),0,D$8*(D$7-J$16*(1-$A54)*(1-(1-$A54)^MIN(D$6,$B$11))/($A54*MIN(D$6,$B$11)))^2)+IF(OR(E$7="",E$8=0),0,E$8*(E$7-J$16*(1-$A54)*(1-(1-$A54)^MIN(E$6,$B$11))/($A54*MIN(E$6,$B$11)))^2)</f>
        <v/>
      </c>
      <c r="K54" s="27">
        <f>IF(OR(B$7="",B$8=0),0,B$8*(B$7-K$16*(1-$A54)*(1-(1-$A54)^MIN(B$6,$B$11))/($A54*MIN(B$6,$B$11)))^2)+IF(OR(C$7="",C$8=0),0,C$8*(C$7-K$16*(1-$A54)*(1-(1-$A54)^MIN(C$6,$B$11))/($A54*MIN(C$6,$B$11)))^2)+IF(OR(D$7="",D$8=0),0,D$8*(D$7-K$16*(1-$A54)*(1-(1-$A54)^MIN(D$6,$B$11))/($A54*MIN(D$6,$B$11)))^2)+IF(OR(E$7="",E$8=0),0,E$8*(E$7-K$16*(1-$A54)*(1-(1-$A54)^MIN(E$6,$B$11))/($A54*MIN(E$6,$B$11)))^2)</f>
        <v/>
      </c>
      <c r="L54" s="27">
        <f>IF(OR(B$7="",B$8=0),0,B$8*(B$7-L$16*(1-$A54)*(1-(1-$A54)^MIN(B$6,$B$11))/($A54*MIN(B$6,$B$11)))^2)+IF(OR(C$7="",C$8=0),0,C$8*(C$7-L$16*(1-$A54)*(1-(1-$A54)^MIN(C$6,$B$11))/($A54*MIN(C$6,$B$11)))^2)+IF(OR(D$7="",D$8=0),0,D$8*(D$7-L$16*(1-$A54)*(1-(1-$A54)^MIN(D$6,$B$11))/($A54*MIN(D$6,$B$11)))^2)+IF(OR(E$7="",E$8=0),0,E$8*(E$7-L$16*(1-$A54)*(1-(1-$A54)^MIN(E$6,$B$11))/($A54*MIN(E$6,$B$11)))^2)</f>
        <v/>
      </c>
      <c r="M54" s="27">
        <f>IF(OR(B$7="",B$8=0),0,B$8*(B$7-M$16*(1-$A54)*(1-(1-$A54)^MIN(B$6,$B$11))/($A54*MIN(B$6,$B$11)))^2)+IF(OR(C$7="",C$8=0),0,C$8*(C$7-M$16*(1-$A54)*(1-(1-$A54)^MIN(C$6,$B$11))/($A54*MIN(C$6,$B$11)))^2)+IF(OR(D$7="",D$8=0),0,D$8*(D$7-M$16*(1-$A54)*(1-(1-$A54)^MIN(D$6,$B$11))/($A54*MIN(D$6,$B$11)))^2)+IF(OR(E$7="",E$8=0),0,E$8*(E$7-M$16*(1-$A54)*(1-(1-$A54)^MIN(E$6,$B$11))/($A54*MIN(E$6,$B$11)))^2)</f>
        <v/>
      </c>
      <c r="N54" s="27">
        <f>IF(OR(B$7="",B$8=0),0,B$8*(B$7-N$16*(1-$A54)*(1-(1-$A54)^MIN(B$6,$B$11))/($A54*MIN(B$6,$B$11)))^2)+IF(OR(C$7="",C$8=0),0,C$8*(C$7-N$16*(1-$A54)*(1-(1-$A54)^MIN(C$6,$B$11))/($A54*MIN(C$6,$B$11)))^2)+IF(OR(D$7="",D$8=0),0,D$8*(D$7-N$16*(1-$A54)*(1-(1-$A54)^MIN(D$6,$B$11))/($A54*MIN(D$6,$B$11)))^2)+IF(OR(E$7="",E$8=0),0,E$8*(E$7-N$16*(1-$A54)*(1-(1-$A54)^MIN(E$6,$B$11))/($A54*MIN(E$6,$B$11)))^2)</f>
        <v/>
      </c>
      <c r="O54" s="27">
        <f>IF(OR(B$7="",B$8=0),0,B$8*(B$7-O$16*(1-$A54)*(1-(1-$A54)^MIN(B$6,$B$11))/($A54*MIN(B$6,$B$11)))^2)+IF(OR(C$7="",C$8=0),0,C$8*(C$7-O$16*(1-$A54)*(1-(1-$A54)^MIN(C$6,$B$11))/($A54*MIN(C$6,$B$11)))^2)+IF(OR(D$7="",D$8=0),0,D$8*(D$7-O$16*(1-$A54)*(1-(1-$A54)^MIN(D$6,$B$11))/($A54*MIN(D$6,$B$11)))^2)+IF(OR(E$7="",E$8=0),0,E$8*(E$7-O$16*(1-$A54)*(1-(1-$A54)^MIN(E$6,$B$11))/($A54*MIN(E$6,$B$11)))^2)</f>
        <v/>
      </c>
      <c r="P54" s="27">
        <f>IF(OR(B$7="",B$8=0),0,B$8*(B$7-P$16*(1-$A54)*(1-(1-$A54)^MIN(B$6,$B$11))/($A54*MIN(B$6,$B$11)))^2)+IF(OR(C$7="",C$8=0),0,C$8*(C$7-P$16*(1-$A54)*(1-(1-$A54)^MIN(C$6,$B$11))/($A54*MIN(C$6,$B$11)))^2)+IF(OR(D$7="",D$8=0),0,D$8*(D$7-P$16*(1-$A54)*(1-(1-$A54)^MIN(D$6,$B$11))/($A54*MIN(D$6,$B$11)))^2)+IF(OR(E$7="",E$8=0),0,E$8*(E$7-P$16*(1-$A54)*(1-(1-$A54)^MIN(E$6,$B$11))/($A54*MIN(E$6,$B$11)))^2)</f>
        <v/>
      </c>
      <c r="Q54" s="27">
        <f>IF(OR(B$7="",B$8=0),0,B$8*(B$7-Q$16*(1-$A54)*(1-(1-$A54)^MIN(B$6,$B$11))/($A54*MIN(B$6,$B$11)))^2)+IF(OR(C$7="",C$8=0),0,C$8*(C$7-Q$16*(1-$A54)*(1-(1-$A54)^MIN(C$6,$B$11))/($A54*MIN(C$6,$B$11)))^2)+IF(OR(D$7="",D$8=0),0,D$8*(D$7-Q$16*(1-$A54)*(1-(1-$A54)^MIN(D$6,$B$11))/($A54*MIN(D$6,$B$11)))^2)+IF(OR(E$7="",E$8=0),0,E$8*(E$7-Q$16*(1-$A54)*(1-(1-$A54)^MIN(E$6,$B$11))/($A54*MIN(E$6,$B$11)))^2)</f>
        <v/>
      </c>
      <c r="R54" s="27">
        <f>IF(OR(B$7="",B$8=0),0,B$8*(B$7-R$16*(1-$A54)*(1-(1-$A54)^MIN(B$6,$B$11))/($A54*MIN(B$6,$B$11)))^2)+IF(OR(C$7="",C$8=0),0,C$8*(C$7-R$16*(1-$A54)*(1-(1-$A54)^MIN(C$6,$B$11))/($A54*MIN(C$6,$B$11)))^2)+IF(OR(D$7="",D$8=0),0,D$8*(D$7-R$16*(1-$A54)*(1-(1-$A54)^MIN(D$6,$B$11))/($A54*MIN(D$6,$B$11)))^2)+IF(OR(E$7="",E$8=0),0,E$8*(E$7-R$16*(1-$A54)*(1-(1-$A54)^MIN(E$6,$B$11))/($A54*MIN(E$6,$B$11)))^2)</f>
        <v/>
      </c>
      <c r="S54" s="27">
        <f>IF(OR(B$7="",B$8=0),0,B$8*(B$7-S$16*(1-$A54)*(1-(1-$A54)^MIN(B$6,$B$11))/($A54*MIN(B$6,$B$11)))^2)+IF(OR(C$7="",C$8=0),0,C$8*(C$7-S$16*(1-$A54)*(1-(1-$A54)^MIN(C$6,$B$11))/($A54*MIN(C$6,$B$11)))^2)+IF(OR(D$7="",D$8=0),0,D$8*(D$7-S$16*(1-$A54)*(1-(1-$A54)^MIN(D$6,$B$11))/($A54*MIN(D$6,$B$11)))^2)+IF(OR(E$7="",E$8=0),0,E$8*(E$7-S$16*(1-$A54)*(1-(1-$A54)^MIN(E$6,$B$11))/($A54*MIN(E$6,$B$11)))^2)</f>
        <v/>
      </c>
      <c r="U54" s="27">
        <f>MIN(B54:S54)</f>
        <v/>
      </c>
      <c r="V54" s="17">
        <f>MATCH(U54,B54:S54,0)</f>
        <v/>
      </c>
    </row>
    <row r="55">
      <c r="A55" s="26" t="n">
        <v>0.024</v>
      </c>
      <c r="B55" s="27">
        <f>IF(OR(B$7="",B$8=0),0,B$8*(B$7-B$16*(1-$A55)*(1-(1-$A55)^MIN(B$6,$B$11))/($A55*MIN(B$6,$B$11)))^2)+IF(OR(C$7="",C$8=0),0,C$8*(C$7-B$16*(1-$A55)*(1-(1-$A55)^MIN(C$6,$B$11))/($A55*MIN(C$6,$B$11)))^2)+IF(OR(D$7="",D$8=0),0,D$8*(D$7-B$16*(1-$A55)*(1-(1-$A55)^MIN(D$6,$B$11))/($A55*MIN(D$6,$B$11)))^2)+IF(OR(E$7="",E$8=0),0,E$8*(E$7-B$16*(1-$A55)*(1-(1-$A55)^MIN(E$6,$B$11))/($A55*MIN(E$6,$B$11)))^2)</f>
        <v/>
      </c>
      <c r="C55" s="27">
        <f>IF(OR(B$7="",B$8=0),0,B$8*(B$7-C$16*(1-$A55)*(1-(1-$A55)^MIN(B$6,$B$11))/($A55*MIN(B$6,$B$11)))^2)+IF(OR(C$7="",C$8=0),0,C$8*(C$7-C$16*(1-$A55)*(1-(1-$A55)^MIN(C$6,$B$11))/($A55*MIN(C$6,$B$11)))^2)+IF(OR(D$7="",D$8=0),0,D$8*(D$7-C$16*(1-$A55)*(1-(1-$A55)^MIN(D$6,$B$11))/($A55*MIN(D$6,$B$11)))^2)+IF(OR(E$7="",E$8=0),0,E$8*(E$7-C$16*(1-$A55)*(1-(1-$A55)^MIN(E$6,$B$11))/($A55*MIN(E$6,$B$11)))^2)</f>
        <v/>
      </c>
      <c r="D55" s="27">
        <f>IF(OR(B$7="",B$8=0),0,B$8*(B$7-D$16*(1-$A55)*(1-(1-$A55)^MIN(B$6,$B$11))/($A55*MIN(B$6,$B$11)))^2)+IF(OR(C$7="",C$8=0),0,C$8*(C$7-D$16*(1-$A55)*(1-(1-$A55)^MIN(C$6,$B$11))/($A55*MIN(C$6,$B$11)))^2)+IF(OR(D$7="",D$8=0),0,D$8*(D$7-D$16*(1-$A55)*(1-(1-$A55)^MIN(D$6,$B$11))/($A55*MIN(D$6,$B$11)))^2)+IF(OR(E$7="",E$8=0),0,E$8*(E$7-D$16*(1-$A55)*(1-(1-$A55)^MIN(E$6,$B$11))/($A55*MIN(E$6,$B$11)))^2)</f>
        <v/>
      </c>
      <c r="E55" s="27">
        <f>IF(OR(B$7="",B$8=0),0,B$8*(B$7-E$16*(1-$A55)*(1-(1-$A55)^MIN(B$6,$B$11))/($A55*MIN(B$6,$B$11)))^2)+IF(OR(C$7="",C$8=0),0,C$8*(C$7-E$16*(1-$A55)*(1-(1-$A55)^MIN(C$6,$B$11))/($A55*MIN(C$6,$B$11)))^2)+IF(OR(D$7="",D$8=0),0,D$8*(D$7-E$16*(1-$A55)*(1-(1-$A55)^MIN(D$6,$B$11))/($A55*MIN(D$6,$B$11)))^2)+IF(OR(E$7="",E$8=0),0,E$8*(E$7-E$16*(1-$A55)*(1-(1-$A55)^MIN(E$6,$B$11))/($A55*MIN(E$6,$B$11)))^2)</f>
        <v/>
      </c>
      <c r="F55" s="27">
        <f>IF(OR(B$7="",B$8=0),0,B$8*(B$7-F$16*(1-$A55)*(1-(1-$A55)^MIN(B$6,$B$11))/($A55*MIN(B$6,$B$11)))^2)+IF(OR(C$7="",C$8=0),0,C$8*(C$7-F$16*(1-$A55)*(1-(1-$A55)^MIN(C$6,$B$11))/($A55*MIN(C$6,$B$11)))^2)+IF(OR(D$7="",D$8=0),0,D$8*(D$7-F$16*(1-$A55)*(1-(1-$A55)^MIN(D$6,$B$11))/($A55*MIN(D$6,$B$11)))^2)+IF(OR(E$7="",E$8=0),0,E$8*(E$7-F$16*(1-$A55)*(1-(1-$A55)^MIN(E$6,$B$11))/($A55*MIN(E$6,$B$11)))^2)</f>
        <v/>
      </c>
      <c r="G55" s="27">
        <f>IF(OR(B$7="",B$8=0),0,B$8*(B$7-G$16*(1-$A55)*(1-(1-$A55)^MIN(B$6,$B$11))/($A55*MIN(B$6,$B$11)))^2)+IF(OR(C$7="",C$8=0),0,C$8*(C$7-G$16*(1-$A55)*(1-(1-$A55)^MIN(C$6,$B$11))/($A55*MIN(C$6,$B$11)))^2)+IF(OR(D$7="",D$8=0),0,D$8*(D$7-G$16*(1-$A55)*(1-(1-$A55)^MIN(D$6,$B$11))/($A55*MIN(D$6,$B$11)))^2)+IF(OR(E$7="",E$8=0),0,E$8*(E$7-G$16*(1-$A55)*(1-(1-$A55)^MIN(E$6,$B$11))/($A55*MIN(E$6,$B$11)))^2)</f>
        <v/>
      </c>
      <c r="H55" s="27">
        <f>IF(OR(B$7="",B$8=0),0,B$8*(B$7-H$16*(1-$A55)*(1-(1-$A55)^MIN(B$6,$B$11))/($A55*MIN(B$6,$B$11)))^2)+IF(OR(C$7="",C$8=0),0,C$8*(C$7-H$16*(1-$A55)*(1-(1-$A55)^MIN(C$6,$B$11))/($A55*MIN(C$6,$B$11)))^2)+IF(OR(D$7="",D$8=0),0,D$8*(D$7-H$16*(1-$A55)*(1-(1-$A55)^MIN(D$6,$B$11))/($A55*MIN(D$6,$B$11)))^2)+IF(OR(E$7="",E$8=0),0,E$8*(E$7-H$16*(1-$A55)*(1-(1-$A55)^MIN(E$6,$B$11))/($A55*MIN(E$6,$B$11)))^2)</f>
        <v/>
      </c>
      <c r="I55" s="27">
        <f>IF(OR(B$7="",B$8=0),0,B$8*(B$7-I$16*(1-$A55)*(1-(1-$A55)^MIN(B$6,$B$11))/($A55*MIN(B$6,$B$11)))^2)+IF(OR(C$7="",C$8=0),0,C$8*(C$7-I$16*(1-$A55)*(1-(1-$A55)^MIN(C$6,$B$11))/($A55*MIN(C$6,$B$11)))^2)+IF(OR(D$7="",D$8=0),0,D$8*(D$7-I$16*(1-$A55)*(1-(1-$A55)^MIN(D$6,$B$11))/($A55*MIN(D$6,$B$11)))^2)+IF(OR(E$7="",E$8=0),0,E$8*(E$7-I$16*(1-$A55)*(1-(1-$A55)^MIN(E$6,$B$11))/($A55*MIN(E$6,$B$11)))^2)</f>
        <v/>
      </c>
      <c r="J55" s="27">
        <f>IF(OR(B$7="",B$8=0),0,B$8*(B$7-J$16*(1-$A55)*(1-(1-$A55)^MIN(B$6,$B$11))/($A55*MIN(B$6,$B$11)))^2)+IF(OR(C$7="",C$8=0),0,C$8*(C$7-J$16*(1-$A55)*(1-(1-$A55)^MIN(C$6,$B$11))/($A55*MIN(C$6,$B$11)))^2)+IF(OR(D$7="",D$8=0),0,D$8*(D$7-J$16*(1-$A55)*(1-(1-$A55)^MIN(D$6,$B$11))/($A55*MIN(D$6,$B$11)))^2)+IF(OR(E$7="",E$8=0),0,E$8*(E$7-J$16*(1-$A55)*(1-(1-$A55)^MIN(E$6,$B$11))/($A55*MIN(E$6,$B$11)))^2)</f>
        <v/>
      </c>
      <c r="K55" s="27">
        <f>IF(OR(B$7="",B$8=0),0,B$8*(B$7-K$16*(1-$A55)*(1-(1-$A55)^MIN(B$6,$B$11))/($A55*MIN(B$6,$B$11)))^2)+IF(OR(C$7="",C$8=0),0,C$8*(C$7-K$16*(1-$A55)*(1-(1-$A55)^MIN(C$6,$B$11))/($A55*MIN(C$6,$B$11)))^2)+IF(OR(D$7="",D$8=0),0,D$8*(D$7-K$16*(1-$A55)*(1-(1-$A55)^MIN(D$6,$B$11))/($A55*MIN(D$6,$B$11)))^2)+IF(OR(E$7="",E$8=0),0,E$8*(E$7-K$16*(1-$A55)*(1-(1-$A55)^MIN(E$6,$B$11))/($A55*MIN(E$6,$B$11)))^2)</f>
        <v/>
      </c>
      <c r="L55" s="27">
        <f>IF(OR(B$7="",B$8=0),0,B$8*(B$7-L$16*(1-$A55)*(1-(1-$A55)^MIN(B$6,$B$11))/($A55*MIN(B$6,$B$11)))^2)+IF(OR(C$7="",C$8=0),0,C$8*(C$7-L$16*(1-$A55)*(1-(1-$A55)^MIN(C$6,$B$11))/($A55*MIN(C$6,$B$11)))^2)+IF(OR(D$7="",D$8=0),0,D$8*(D$7-L$16*(1-$A55)*(1-(1-$A55)^MIN(D$6,$B$11))/($A55*MIN(D$6,$B$11)))^2)+IF(OR(E$7="",E$8=0),0,E$8*(E$7-L$16*(1-$A55)*(1-(1-$A55)^MIN(E$6,$B$11))/($A55*MIN(E$6,$B$11)))^2)</f>
        <v/>
      </c>
      <c r="M55" s="27">
        <f>IF(OR(B$7="",B$8=0),0,B$8*(B$7-M$16*(1-$A55)*(1-(1-$A55)^MIN(B$6,$B$11))/($A55*MIN(B$6,$B$11)))^2)+IF(OR(C$7="",C$8=0),0,C$8*(C$7-M$16*(1-$A55)*(1-(1-$A55)^MIN(C$6,$B$11))/($A55*MIN(C$6,$B$11)))^2)+IF(OR(D$7="",D$8=0),0,D$8*(D$7-M$16*(1-$A55)*(1-(1-$A55)^MIN(D$6,$B$11))/($A55*MIN(D$6,$B$11)))^2)+IF(OR(E$7="",E$8=0),0,E$8*(E$7-M$16*(1-$A55)*(1-(1-$A55)^MIN(E$6,$B$11))/($A55*MIN(E$6,$B$11)))^2)</f>
        <v/>
      </c>
      <c r="N55" s="27">
        <f>IF(OR(B$7="",B$8=0),0,B$8*(B$7-N$16*(1-$A55)*(1-(1-$A55)^MIN(B$6,$B$11))/($A55*MIN(B$6,$B$11)))^2)+IF(OR(C$7="",C$8=0),0,C$8*(C$7-N$16*(1-$A55)*(1-(1-$A55)^MIN(C$6,$B$11))/($A55*MIN(C$6,$B$11)))^2)+IF(OR(D$7="",D$8=0),0,D$8*(D$7-N$16*(1-$A55)*(1-(1-$A55)^MIN(D$6,$B$11))/($A55*MIN(D$6,$B$11)))^2)+IF(OR(E$7="",E$8=0),0,E$8*(E$7-N$16*(1-$A55)*(1-(1-$A55)^MIN(E$6,$B$11))/($A55*MIN(E$6,$B$11)))^2)</f>
        <v/>
      </c>
      <c r="O55" s="27">
        <f>IF(OR(B$7="",B$8=0),0,B$8*(B$7-O$16*(1-$A55)*(1-(1-$A55)^MIN(B$6,$B$11))/($A55*MIN(B$6,$B$11)))^2)+IF(OR(C$7="",C$8=0),0,C$8*(C$7-O$16*(1-$A55)*(1-(1-$A55)^MIN(C$6,$B$11))/($A55*MIN(C$6,$B$11)))^2)+IF(OR(D$7="",D$8=0),0,D$8*(D$7-O$16*(1-$A55)*(1-(1-$A55)^MIN(D$6,$B$11))/($A55*MIN(D$6,$B$11)))^2)+IF(OR(E$7="",E$8=0),0,E$8*(E$7-O$16*(1-$A55)*(1-(1-$A55)^MIN(E$6,$B$11))/($A55*MIN(E$6,$B$11)))^2)</f>
        <v/>
      </c>
      <c r="P55" s="27">
        <f>IF(OR(B$7="",B$8=0),0,B$8*(B$7-P$16*(1-$A55)*(1-(1-$A55)^MIN(B$6,$B$11))/($A55*MIN(B$6,$B$11)))^2)+IF(OR(C$7="",C$8=0),0,C$8*(C$7-P$16*(1-$A55)*(1-(1-$A55)^MIN(C$6,$B$11))/($A55*MIN(C$6,$B$11)))^2)+IF(OR(D$7="",D$8=0),0,D$8*(D$7-P$16*(1-$A55)*(1-(1-$A55)^MIN(D$6,$B$11))/($A55*MIN(D$6,$B$11)))^2)+IF(OR(E$7="",E$8=0),0,E$8*(E$7-P$16*(1-$A55)*(1-(1-$A55)^MIN(E$6,$B$11))/($A55*MIN(E$6,$B$11)))^2)</f>
        <v/>
      </c>
      <c r="Q55" s="27">
        <f>IF(OR(B$7="",B$8=0),0,B$8*(B$7-Q$16*(1-$A55)*(1-(1-$A55)^MIN(B$6,$B$11))/($A55*MIN(B$6,$B$11)))^2)+IF(OR(C$7="",C$8=0),0,C$8*(C$7-Q$16*(1-$A55)*(1-(1-$A55)^MIN(C$6,$B$11))/($A55*MIN(C$6,$B$11)))^2)+IF(OR(D$7="",D$8=0),0,D$8*(D$7-Q$16*(1-$A55)*(1-(1-$A55)^MIN(D$6,$B$11))/($A55*MIN(D$6,$B$11)))^2)+IF(OR(E$7="",E$8=0),0,E$8*(E$7-Q$16*(1-$A55)*(1-(1-$A55)^MIN(E$6,$B$11))/($A55*MIN(E$6,$B$11)))^2)</f>
        <v/>
      </c>
      <c r="R55" s="27">
        <f>IF(OR(B$7="",B$8=0),0,B$8*(B$7-R$16*(1-$A55)*(1-(1-$A55)^MIN(B$6,$B$11))/($A55*MIN(B$6,$B$11)))^2)+IF(OR(C$7="",C$8=0),0,C$8*(C$7-R$16*(1-$A55)*(1-(1-$A55)^MIN(C$6,$B$11))/($A55*MIN(C$6,$B$11)))^2)+IF(OR(D$7="",D$8=0),0,D$8*(D$7-R$16*(1-$A55)*(1-(1-$A55)^MIN(D$6,$B$11))/($A55*MIN(D$6,$B$11)))^2)+IF(OR(E$7="",E$8=0),0,E$8*(E$7-R$16*(1-$A55)*(1-(1-$A55)^MIN(E$6,$B$11))/($A55*MIN(E$6,$B$11)))^2)</f>
        <v/>
      </c>
      <c r="S55" s="27">
        <f>IF(OR(B$7="",B$8=0),0,B$8*(B$7-S$16*(1-$A55)*(1-(1-$A55)^MIN(B$6,$B$11))/($A55*MIN(B$6,$B$11)))^2)+IF(OR(C$7="",C$8=0),0,C$8*(C$7-S$16*(1-$A55)*(1-(1-$A55)^MIN(C$6,$B$11))/($A55*MIN(C$6,$B$11)))^2)+IF(OR(D$7="",D$8=0),0,D$8*(D$7-S$16*(1-$A55)*(1-(1-$A55)^MIN(D$6,$B$11))/($A55*MIN(D$6,$B$11)))^2)+IF(OR(E$7="",E$8=0),0,E$8*(E$7-S$16*(1-$A55)*(1-(1-$A55)^MIN(E$6,$B$11))/($A55*MIN(E$6,$B$11)))^2)</f>
        <v/>
      </c>
      <c r="U55" s="27">
        <f>MIN(B55:S55)</f>
        <v/>
      </c>
      <c r="V55" s="17">
        <f>MATCH(U55,B55:S55,0)</f>
        <v/>
      </c>
    </row>
    <row r="56">
      <c r="A56" s="26" t="n">
        <v>0.0245</v>
      </c>
      <c r="B56" s="27">
        <f>IF(OR(B$7="",B$8=0),0,B$8*(B$7-B$16*(1-$A56)*(1-(1-$A56)^MIN(B$6,$B$11))/($A56*MIN(B$6,$B$11)))^2)+IF(OR(C$7="",C$8=0),0,C$8*(C$7-B$16*(1-$A56)*(1-(1-$A56)^MIN(C$6,$B$11))/($A56*MIN(C$6,$B$11)))^2)+IF(OR(D$7="",D$8=0),0,D$8*(D$7-B$16*(1-$A56)*(1-(1-$A56)^MIN(D$6,$B$11))/($A56*MIN(D$6,$B$11)))^2)+IF(OR(E$7="",E$8=0),0,E$8*(E$7-B$16*(1-$A56)*(1-(1-$A56)^MIN(E$6,$B$11))/($A56*MIN(E$6,$B$11)))^2)</f>
        <v/>
      </c>
      <c r="C56" s="27">
        <f>IF(OR(B$7="",B$8=0),0,B$8*(B$7-C$16*(1-$A56)*(1-(1-$A56)^MIN(B$6,$B$11))/($A56*MIN(B$6,$B$11)))^2)+IF(OR(C$7="",C$8=0),0,C$8*(C$7-C$16*(1-$A56)*(1-(1-$A56)^MIN(C$6,$B$11))/($A56*MIN(C$6,$B$11)))^2)+IF(OR(D$7="",D$8=0),0,D$8*(D$7-C$16*(1-$A56)*(1-(1-$A56)^MIN(D$6,$B$11))/($A56*MIN(D$6,$B$11)))^2)+IF(OR(E$7="",E$8=0),0,E$8*(E$7-C$16*(1-$A56)*(1-(1-$A56)^MIN(E$6,$B$11))/($A56*MIN(E$6,$B$11)))^2)</f>
        <v/>
      </c>
      <c r="D56" s="27">
        <f>IF(OR(B$7="",B$8=0),0,B$8*(B$7-D$16*(1-$A56)*(1-(1-$A56)^MIN(B$6,$B$11))/($A56*MIN(B$6,$B$11)))^2)+IF(OR(C$7="",C$8=0),0,C$8*(C$7-D$16*(1-$A56)*(1-(1-$A56)^MIN(C$6,$B$11))/($A56*MIN(C$6,$B$11)))^2)+IF(OR(D$7="",D$8=0),0,D$8*(D$7-D$16*(1-$A56)*(1-(1-$A56)^MIN(D$6,$B$11))/($A56*MIN(D$6,$B$11)))^2)+IF(OR(E$7="",E$8=0),0,E$8*(E$7-D$16*(1-$A56)*(1-(1-$A56)^MIN(E$6,$B$11))/($A56*MIN(E$6,$B$11)))^2)</f>
        <v/>
      </c>
      <c r="E56" s="27">
        <f>IF(OR(B$7="",B$8=0),0,B$8*(B$7-E$16*(1-$A56)*(1-(1-$A56)^MIN(B$6,$B$11))/($A56*MIN(B$6,$B$11)))^2)+IF(OR(C$7="",C$8=0),0,C$8*(C$7-E$16*(1-$A56)*(1-(1-$A56)^MIN(C$6,$B$11))/($A56*MIN(C$6,$B$11)))^2)+IF(OR(D$7="",D$8=0),0,D$8*(D$7-E$16*(1-$A56)*(1-(1-$A56)^MIN(D$6,$B$11))/($A56*MIN(D$6,$B$11)))^2)+IF(OR(E$7="",E$8=0),0,E$8*(E$7-E$16*(1-$A56)*(1-(1-$A56)^MIN(E$6,$B$11))/($A56*MIN(E$6,$B$11)))^2)</f>
        <v/>
      </c>
      <c r="F56" s="27">
        <f>IF(OR(B$7="",B$8=0),0,B$8*(B$7-F$16*(1-$A56)*(1-(1-$A56)^MIN(B$6,$B$11))/($A56*MIN(B$6,$B$11)))^2)+IF(OR(C$7="",C$8=0),0,C$8*(C$7-F$16*(1-$A56)*(1-(1-$A56)^MIN(C$6,$B$11))/($A56*MIN(C$6,$B$11)))^2)+IF(OR(D$7="",D$8=0),0,D$8*(D$7-F$16*(1-$A56)*(1-(1-$A56)^MIN(D$6,$B$11))/($A56*MIN(D$6,$B$11)))^2)+IF(OR(E$7="",E$8=0),0,E$8*(E$7-F$16*(1-$A56)*(1-(1-$A56)^MIN(E$6,$B$11))/($A56*MIN(E$6,$B$11)))^2)</f>
        <v/>
      </c>
      <c r="G56" s="27">
        <f>IF(OR(B$7="",B$8=0),0,B$8*(B$7-G$16*(1-$A56)*(1-(1-$A56)^MIN(B$6,$B$11))/($A56*MIN(B$6,$B$11)))^2)+IF(OR(C$7="",C$8=0),0,C$8*(C$7-G$16*(1-$A56)*(1-(1-$A56)^MIN(C$6,$B$11))/($A56*MIN(C$6,$B$11)))^2)+IF(OR(D$7="",D$8=0),0,D$8*(D$7-G$16*(1-$A56)*(1-(1-$A56)^MIN(D$6,$B$11))/($A56*MIN(D$6,$B$11)))^2)+IF(OR(E$7="",E$8=0),0,E$8*(E$7-G$16*(1-$A56)*(1-(1-$A56)^MIN(E$6,$B$11))/($A56*MIN(E$6,$B$11)))^2)</f>
        <v/>
      </c>
      <c r="H56" s="27">
        <f>IF(OR(B$7="",B$8=0),0,B$8*(B$7-H$16*(1-$A56)*(1-(1-$A56)^MIN(B$6,$B$11))/($A56*MIN(B$6,$B$11)))^2)+IF(OR(C$7="",C$8=0),0,C$8*(C$7-H$16*(1-$A56)*(1-(1-$A56)^MIN(C$6,$B$11))/($A56*MIN(C$6,$B$11)))^2)+IF(OR(D$7="",D$8=0),0,D$8*(D$7-H$16*(1-$A56)*(1-(1-$A56)^MIN(D$6,$B$11))/($A56*MIN(D$6,$B$11)))^2)+IF(OR(E$7="",E$8=0),0,E$8*(E$7-H$16*(1-$A56)*(1-(1-$A56)^MIN(E$6,$B$11))/($A56*MIN(E$6,$B$11)))^2)</f>
        <v/>
      </c>
      <c r="I56" s="27">
        <f>IF(OR(B$7="",B$8=0),0,B$8*(B$7-I$16*(1-$A56)*(1-(1-$A56)^MIN(B$6,$B$11))/($A56*MIN(B$6,$B$11)))^2)+IF(OR(C$7="",C$8=0),0,C$8*(C$7-I$16*(1-$A56)*(1-(1-$A56)^MIN(C$6,$B$11))/($A56*MIN(C$6,$B$11)))^2)+IF(OR(D$7="",D$8=0),0,D$8*(D$7-I$16*(1-$A56)*(1-(1-$A56)^MIN(D$6,$B$11))/($A56*MIN(D$6,$B$11)))^2)+IF(OR(E$7="",E$8=0),0,E$8*(E$7-I$16*(1-$A56)*(1-(1-$A56)^MIN(E$6,$B$11))/($A56*MIN(E$6,$B$11)))^2)</f>
        <v/>
      </c>
      <c r="J56" s="27">
        <f>IF(OR(B$7="",B$8=0),0,B$8*(B$7-J$16*(1-$A56)*(1-(1-$A56)^MIN(B$6,$B$11))/($A56*MIN(B$6,$B$11)))^2)+IF(OR(C$7="",C$8=0),0,C$8*(C$7-J$16*(1-$A56)*(1-(1-$A56)^MIN(C$6,$B$11))/($A56*MIN(C$6,$B$11)))^2)+IF(OR(D$7="",D$8=0),0,D$8*(D$7-J$16*(1-$A56)*(1-(1-$A56)^MIN(D$6,$B$11))/($A56*MIN(D$6,$B$11)))^2)+IF(OR(E$7="",E$8=0),0,E$8*(E$7-J$16*(1-$A56)*(1-(1-$A56)^MIN(E$6,$B$11))/($A56*MIN(E$6,$B$11)))^2)</f>
        <v/>
      </c>
      <c r="K56" s="27">
        <f>IF(OR(B$7="",B$8=0),0,B$8*(B$7-K$16*(1-$A56)*(1-(1-$A56)^MIN(B$6,$B$11))/($A56*MIN(B$6,$B$11)))^2)+IF(OR(C$7="",C$8=0),0,C$8*(C$7-K$16*(1-$A56)*(1-(1-$A56)^MIN(C$6,$B$11))/($A56*MIN(C$6,$B$11)))^2)+IF(OR(D$7="",D$8=0),0,D$8*(D$7-K$16*(1-$A56)*(1-(1-$A56)^MIN(D$6,$B$11))/($A56*MIN(D$6,$B$11)))^2)+IF(OR(E$7="",E$8=0),0,E$8*(E$7-K$16*(1-$A56)*(1-(1-$A56)^MIN(E$6,$B$11))/($A56*MIN(E$6,$B$11)))^2)</f>
        <v/>
      </c>
      <c r="L56" s="27">
        <f>IF(OR(B$7="",B$8=0),0,B$8*(B$7-L$16*(1-$A56)*(1-(1-$A56)^MIN(B$6,$B$11))/($A56*MIN(B$6,$B$11)))^2)+IF(OR(C$7="",C$8=0),0,C$8*(C$7-L$16*(1-$A56)*(1-(1-$A56)^MIN(C$6,$B$11))/($A56*MIN(C$6,$B$11)))^2)+IF(OR(D$7="",D$8=0),0,D$8*(D$7-L$16*(1-$A56)*(1-(1-$A56)^MIN(D$6,$B$11))/($A56*MIN(D$6,$B$11)))^2)+IF(OR(E$7="",E$8=0),0,E$8*(E$7-L$16*(1-$A56)*(1-(1-$A56)^MIN(E$6,$B$11))/($A56*MIN(E$6,$B$11)))^2)</f>
        <v/>
      </c>
      <c r="M56" s="27">
        <f>IF(OR(B$7="",B$8=0),0,B$8*(B$7-M$16*(1-$A56)*(1-(1-$A56)^MIN(B$6,$B$11))/($A56*MIN(B$6,$B$11)))^2)+IF(OR(C$7="",C$8=0),0,C$8*(C$7-M$16*(1-$A56)*(1-(1-$A56)^MIN(C$6,$B$11))/($A56*MIN(C$6,$B$11)))^2)+IF(OR(D$7="",D$8=0),0,D$8*(D$7-M$16*(1-$A56)*(1-(1-$A56)^MIN(D$6,$B$11))/($A56*MIN(D$6,$B$11)))^2)+IF(OR(E$7="",E$8=0),0,E$8*(E$7-M$16*(1-$A56)*(1-(1-$A56)^MIN(E$6,$B$11))/($A56*MIN(E$6,$B$11)))^2)</f>
        <v/>
      </c>
      <c r="N56" s="27">
        <f>IF(OR(B$7="",B$8=0),0,B$8*(B$7-N$16*(1-$A56)*(1-(1-$A56)^MIN(B$6,$B$11))/($A56*MIN(B$6,$B$11)))^2)+IF(OR(C$7="",C$8=0),0,C$8*(C$7-N$16*(1-$A56)*(1-(1-$A56)^MIN(C$6,$B$11))/($A56*MIN(C$6,$B$11)))^2)+IF(OR(D$7="",D$8=0),0,D$8*(D$7-N$16*(1-$A56)*(1-(1-$A56)^MIN(D$6,$B$11))/($A56*MIN(D$6,$B$11)))^2)+IF(OR(E$7="",E$8=0),0,E$8*(E$7-N$16*(1-$A56)*(1-(1-$A56)^MIN(E$6,$B$11))/($A56*MIN(E$6,$B$11)))^2)</f>
        <v/>
      </c>
      <c r="O56" s="27">
        <f>IF(OR(B$7="",B$8=0),0,B$8*(B$7-O$16*(1-$A56)*(1-(1-$A56)^MIN(B$6,$B$11))/($A56*MIN(B$6,$B$11)))^2)+IF(OR(C$7="",C$8=0),0,C$8*(C$7-O$16*(1-$A56)*(1-(1-$A56)^MIN(C$6,$B$11))/($A56*MIN(C$6,$B$11)))^2)+IF(OR(D$7="",D$8=0),0,D$8*(D$7-O$16*(1-$A56)*(1-(1-$A56)^MIN(D$6,$B$11))/($A56*MIN(D$6,$B$11)))^2)+IF(OR(E$7="",E$8=0),0,E$8*(E$7-O$16*(1-$A56)*(1-(1-$A56)^MIN(E$6,$B$11))/($A56*MIN(E$6,$B$11)))^2)</f>
        <v/>
      </c>
      <c r="P56" s="27">
        <f>IF(OR(B$7="",B$8=0),0,B$8*(B$7-P$16*(1-$A56)*(1-(1-$A56)^MIN(B$6,$B$11))/($A56*MIN(B$6,$B$11)))^2)+IF(OR(C$7="",C$8=0),0,C$8*(C$7-P$16*(1-$A56)*(1-(1-$A56)^MIN(C$6,$B$11))/($A56*MIN(C$6,$B$11)))^2)+IF(OR(D$7="",D$8=0),0,D$8*(D$7-P$16*(1-$A56)*(1-(1-$A56)^MIN(D$6,$B$11))/($A56*MIN(D$6,$B$11)))^2)+IF(OR(E$7="",E$8=0),0,E$8*(E$7-P$16*(1-$A56)*(1-(1-$A56)^MIN(E$6,$B$11))/($A56*MIN(E$6,$B$11)))^2)</f>
        <v/>
      </c>
      <c r="Q56" s="27">
        <f>IF(OR(B$7="",B$8=0),0,B$8*(B$7-Q$16*(1-$A56)*(1-(1-$A56)^MIN(B$6,$B$11))/($A56*MIN(B$6,$B$11)))^2)+IF(OR(C$7="",C$8=0),0,C$8*(C$7-Q$16*(1-$A56)*(1-(1-$A56)^MIN(C$6,$B$11))/($A56*MIN(C$6,$B$11)))^2)+IF(OR(D$7="",D$8=0),0,D$8*(D$7-Q$16*(1-$A56)*(1-(1-$A56)^MIN(D$6,$B$11))/($A56*MIN(D$6,$B$11)))^2)+IF(OR(E$7="",E$8=0),0,E$8*(E$7-Q$16*(1-$A56)*(1-(1-$A56)^MIN(E$6,$B$11))/($A56*MIN(E$6,$B$11)))^2)</f>
        <v/>
      </c>
      <c r="R56" s="27">
        <f>IF(OR(B$7="",B$8=0),0,B$8*(B$7-R$16*(1-$A56)*(1-(1-$A56)^MIN(B$6,$B$11))/($A56*MIN(B$6,$B$11)))^2)+IF(OR(C$7="",C$8=0),0,C$8*(C$7-R$16*(1-$A56)*(1-(1-$A56)^MIN(C$6,$B$11))/($A56*MIN(C$6,$B$11)))^2)+IF(OR(D$7="",D$8=0),0,D$8*(D$7-R$16*(1-$A56)*(1-(1-$A56)^MIN(D$6,$B$11))/($A56*MIN(D$6,$B$11)))^2)+IF(OR(E$7="",E$8=0),0,E$8*(E$7-R$16*(1-$A56)*(1-(1-$A56)^MIN(E$6,$B$11))/($A56*MIN(E$6,$B$11)))^2)</f>
        <v/>
      </c>
      <c r="S56" s="27">
        <f>IF(OR(B$7="",B$8=0),0,B$8*(B$7-S$16*(1-$A56)*(1-(1-$A56)^MIN(B$6,$B$11))/($A56*MIN(B$6,$B$11)))^2)+IF(OR(C$7="",C$8=0),0,C$8*(C$7-S$16*(1-$A56)*(1-(1-$A56)^MIN(C$6,$B$11))/($A56*MIN(C$6,$B$11)))^2)+IF(OR(D$7="",D$8=0),0,D$8*(D$7-S$16*(1-$A56)*(1-(1-$A56)^MIN(D$6,$B$11))/($A56*MIN(D$6,$B$11)))^2)+IF(OR(E$7="",E$8=0),0,E$8*(E$7-S$16*(1-$A56)*(1-(1-$A56)^MIN(E$6,$B$11))/($A56*MIN(E$6,$B$11)))^2)</f>
        <v/>
      </c>
      <c r="U56" s="27">
        <f>MIN(B56:S56)</f>
        <v/>
      </c>
      <c r="V56" s="17">
        <f>MATCH(U56,B56:S56,0)</f>
        <v/>
      </c>
    </row>
    <row r="57">
      <c r="A57" s="26" t="n">
        <v>0.025</v>
      </c>
      <c r="B57" s="27">
        <f>IF(OR(B$7="",B$8=0),0,B$8*(B$7-B$16*(1-$A57)*(1-(1-$A57)^MIN(B$6,$B$11))/($A57*MIN(B$6,$B$11)))^2)+IF(OR(C$7="",C$8=0),0,C$8*(C$7-B$16*(1-$A57)*(1-(1-$A57)^MIN(C$6,$B$11))/($A57*MIN(C$6,$B$11)))^2)+IF(OR(D$7="",D$8=0),0,D$8*(D$7-B$16*(1-$A57)*(1-(1-$A57)^MIN(D$6,$B$11))/($A57*MIN(D$6,$B$11)))^2)+IF(OR(E$7="",E$8=0),0,E$8*(E$7-B$16*(1-$A57)*(1-(1-$A57)^MIN(E$6,$B$11))/($A57*MIN(E$6,$B$11)))^2)</f>
        <v/>
      </c>
      <c r="C57" s="27">
        <f>IF(OR(B$7="",B$8=0),0,B$8*(B$7-C$16*(1-$A57)*(1-(1-$A57)^MIN(B$6,$B$11))/($A57*MIN(B$6,$B$11)))^2)+IF(OR(C$7="",C$8=0),0,C$8*(C$7-C$16*(1-$A57)*(1-(1-$A57)^MIN(C$6,$B$11))/($A57*MIN(C$6,$B$11)))^2)+IF(OR(D$7="",D$8=0),0,D$8*(D$7-C$16*(1-$A57)*(1-(1-$A57)^MIN(D$6,$B$11))/($A57*MIN(D$6,$B$11)))^2)+IF(OR(E$7="",E$8=0),0,E$8*(E$7-C$16*(1-$A57)*(1-(1-$A57)^MIN(E$6,$B$11))/($A57*MIN(E$6,$B$11)))^2)</f>
        <v/>
      </c>
      <c r="D57" s="27">
        <f>IF(OR(B$7="",B$8=0),0,B$8*(B$7-D$16*(1-$A57)*(1-(1-$A57)^MIN(B$6,$B$11))/($A57*MIN(B$6,$B$11)))^2)+IF(OR(C$7="",C$8=0),0,C$8*(C$7-D$16*(1-$A57)*(1-(1-$A57)^MIN(C$6,$B$11))/($A57*MIN(C$6,$B$11)))^2)+IF(OR(D$7="",D$8=0),0,D$8*(D$7-D$16*(1-$A57)*(1-(1-$A57)^MIN(D$6,$B$11))/($A57*MIN(D$6,$B$11)))^2)+IF(OR(E$7="",E$8=0),0,E$8*(E$7-D$16*(1-$A57)*(1-(1-$A57)^MIN(E$6,$B$11))/($A57*MIN(E$6,$B$11)))^2)</f>
        <v/>
      </c>
      <c r="E57" s="27">
        <f>IF(OR(B$7="",B$8=0),0,B$8*(B$7-E$16*(1-$A57)*(1-(1-$A57)^MIN(B$6,$B$11))/($A57*MIN(B$6,$B$11)))^2)+IF(OR(C$7="",C$8=0),0,C$8*(C$7-E$16*(1-$A57)*(1-(1-$A57)^MIN(C$6,$B$11))/($A57*MIN(C$6,$B$11)))^2)+IF(OR(D$7="",D$8=0),0,D$8*(D$7-E$16*(1-$A57)*(1-(1-$A57)^MIN(D$6,$B$11))/($A57*MIN(D$6,$B$11)))^2)+IF(OR(E$7="",E$8=0),0,E$8*(E$7-E$16*(1-$A57)*(1-(1-$A57)^MIN(E$6,$B$11))/($A57*MIN(E$6,$B$11)))^2)</f>
        <v/>
      </c>
      <c r="F57" s="27">
        <f>IF(OR(B$7="",B$8=0),0,B$8*(B$7-F$16*(1-$A57)*(1-(1-$A57)^MIN(B$6,$B$11))/($A57*MIN(B$6,$B$11)))^2)+IF(OR(C$7="",C$8=0),0,C$8*(C$7-F$16*(1-$A57)*(1-(1-$A57)^MIN(C$6,$B$11))/($A57*MIN(C$6,$B$11)))^2)+IF(OR(D$7="",D$8=0),0,D$8*(D$7-F$16*(1-$A57)*(1-(1-$A57)^MIN(D$6,$B$11))/($A57*MIN(D$6,$B$11)))^2)+IF(OR(E$7="",E$8=0),0,E$8*(E$7-F$16*(1-$A57)*(1-(1-$A57)^MIN(E$6,$B$11))/($A57*MIN(E$6,$B$11)))^2)</f>
        <v/>
      </c>
      <c r="G57" s="27">
        <f>IF(OR(B$7="",B$8=0),0,B$8*(B$7-G$16*(1-$A57)*(1-(1-$A57)^MIN(B$6,$B$11))/($A57*MIN(B$6,$B$11)))^2)+IF(OR(C$7="",C$8=0),0,C$8*(C$7-G$16*(1-$A57)*(1-(1-$A57)^MIN(C$6,$B$11))/($A57*MIN(C$6,$B$11)))^2)+IF(OR(D$7="",D$8=0),0,D$8*(D$7-G$16*(1-$A57)*(1-(1-$A57)^MIN(D$6,$B$11))/($A57*MIN(D$6,$B$11)))^2)+IF(OR(E$7="",E$8=0),0,E$8*(E$7-G$16*(1-$A57)*(1-(1-$A57)^MIN(E$6,$B$11))/($A57*MIN(E$6,$B$11)))^2)</f>
        <v/>
      </c>
      <c r="H57" s="27">
        <f>IF(OR(B$7="",B$8=0),0,B$8*(B$7-H$16*(1-$A57)*(1-(1-$A57)^MIN(B$6,$B$11))/($A57*MIN(B$6,$B$11)))^2)+IF(OR(C$7="",C$8=0),0,C$8*(C$7-H$16*(1-$A57)*(1-(1-$A57)^MIN(C$6,$B$11))/($A57*MIN(C$6,$B$11)))^2)+IF(OR(D$7="",D$8=0),0,D$8*(D$7-H$16*(1-$A57)*(1-(1-$A57)^MIN(D$6,$B$11))/($A57*MIN(D$6,$B$11)))^2)+IF(OR(E$7="",E$8=0),0,E$8*(E$7-H$16*(1-$A57)*(1-(1-$A57)^MIN(E$6,$B$11))/($A57*MIN(E$6,$B$11)))^2)</f>
        <v/>
      </c>
      <c r="I57" s="27">
        <f>IF(OR(B$7="",B$8=0),0,B$8*(B$7-I$16*(1-$A57)*(1-(1-$A57)^MIN(B$6,$B$11))/($A57*MIN(B$6,$B$11)))^2)+IF(OR(C$7="",C$8=0),0,C$8*(C$7-I$16*(1-$A57)*(1-(1-$A57)^MIN(C$6,$B$11))/($A57*MIN(C$6,$B$11)))^2)+IF(OR(D$7="",D$8=0),0,D$8*(D$7-I$16*(1-$A57)*(1-(1-$A57)^MIN(D$6,$B$11))/($A57*MIN(D$6,$B$11)))^2)+IF(OR(E$7="",E$8=0),0,E$8*(E$7-I$16*(1-$A57)*(1-(1-$A57)^MIN(E$6,$B$11))/($A57*MIN(E$6,$B$11)))^2)</f>
        <v/>
      </c>
      <c r="J57" s="27">
        <f>IF(OR(B$7="",B$8=0),0,B$8*(B$7-J$16*(1-$A57)*(1-(1-$A57)^MIN(B$6,$B$11))/($A57*MIN(B$6,$B$11)))^2)+IF(OR(C$7="",C$8=0),0,C$8*(C$7-J$16*(1-$A57)*(1-(1-$A57)^MIN(C$6,$B$11))/($A57*MIN(C$6,$B$11)))^2)+IF(OR(D$7="",D$8=0),0,D$8*(D$7-J$16*(1-$A57)*(1-(1-$A57)^MIN(D$6,$B$11))/($A57*MIN(D$6,$B$11)))^2)+IF(OR(E$7="",E$8=0),0,E$8*(E$7-J$16*(1-$A57)*(1-(1-$A57)^MIN(E$6,$B$11))/($A57*MIN(E$6,$B$11)))^2)</f>
        <v/>
      </c>
      <c r="K57" s="27">
        <f>IF(OR(B$7="",B$8=0),0,B$8*(B$7-K$16*(1-$A57)*(1-(1-$A57)^MIN(B$6,$B$11))/($A57*MIN(B$6,$B$11)))^2)+IF(OR(C$7="",C$8=0),0,C$8*(C$7-K$16*(1-$A57)*(1-(1-$A57)^MIN(C$6,$B$11))/($A57*MIN(C$6,$B$11)))^2)+IF(OR(D$7="",D$8=0),0,D$8*(D$7-K$16*(1-$A57)*(1-(1-$A57)^MIN(D$6,$B$11))/($A57*MIN(D$6,$B$11)))^2)+IF(OR(E$7="",E$8=0),0,E$8*(E$7-K$16*(1-$A57)*(1-(1-$A57)^MIN(E$6,$B$11))/($A57*MIN(E$6,$B$11)))^2)</f>
        <v/>
      </c>
      <c r="L57" s="27">
        <f>IF(OR(B$7="",B$8=0),0,B$8*(B$7-L$16*(1-$A57)*(1-(1-$A57)^MIN(B$6,$B$11))/($A57*MIN(B$6,$B$11)))^2)+IF(OR(C$7="",C$8=0),0,C$8*(C$7-L$16*(1-$A57)*(1-(1-$A57)^MIN(C$6,$B$11))/($A57*MIN(C$6,$B$11)))^2)+IF(OR(D$7="",D$8=0),0,D$8*(D$7-L$16*(1-$A57)*(1-(1-$A57)^MIN(D$6,$B$11))/($A57*MIN(D$6,$B$11)))^2)+IF(OR(E$7="",E$8=0),0,E$8*(E$7-L$16*(1-$A57)*(1-(1-$A57)^MIN(E$6,$B$11))/($A57*MIN(E$6,$B$11)))^2)</f>
        <v/>
      </c>
      <c r="M57" s="27">
        <f>IF(OR(B$7="",B$8=0),0,B$8*(B$7-M$16*(1-$A57)*(1-(1-$A57)^MIN(B$6,$B$11))/($A57*MIN(B$6,$B$11)))^2)+IF(OR(C$7="",C$8=0),0,C$8*(C$7-M$16*(1-$A57)*(1-(1-$A57)^MIN(C$6,$B$11))/($A57*MIN(C$6,$B$11)))^2)+IF(OR(D$7="",D$8=0),0,D$8*(D$7-M$16*(1-$A57)*(1-(1-$A57)^MIN(D$6,$B$11))/($A57*MIN(D$6,$B$11)))^2)+IF(OR(E$7="",E$8=0),0,E$8*(E$7-M$16*(1-$A57)*(1-(1-$A57)^MIN(E$6,$B$11))/($A57*MIN(E$6,$B$11)))^2)</f>
        <v/>
      </c>
      <c r="N57" s="27">
        <f>IF(OR(B$7="",B$8=0),0,B$8*(B$7-N$16*(1-$A57)*(1-(1-$A57)^MIN(B$6,$B$11))/($A57*MIN(B$6,$B$11)))^2)+IF(OR(C$7="",C$8=0),0,C$8*(C$7-N$16*(1-$A57)*(1-(1-$A57)^MIN(C$6,$B$11))/($A57*MIN(C$6,$B$11)))^2)+IF(OR(D$7="",D$8=0),0,D$8*(D$7-N$16*(1-$A57)*(1-(1-$A57)^MIN(D$6,$B$11))/($A57*MIN(D$6,$B$11)))^2)+IF(OR(E$7="",E$8=0),0,E$8*(E$7-N$16*(1-$A57)*(1-(1-$A57)^MIN(E$6,$B$11))/($A57*MIN(E$6,$B$11)))^2)</f>
        <v/>
      </c>
      <c r="O57" s="27">
        <f>IF(OR(B$7="",B$8=0),0,B$8*(B$7-O$16*(1-$A57)*(1-(1-$A57)^MIN(B$6,$B$11))/($A57*MIN(B$6,$B$11)))^2)+IF(OR(C$7="",C$8=0),0,C$8*(C$7-O$16*(1-$A57)*(1-(1-$A57)^MIN(C$6,$B$11))/($A57*MIN(C$6,$B$11)))^2)+IF(OR(D$7="",D$8=0),0,D$8*(D$7-O$16*(1-$A57)*(1-(1-$A57)^MIN(D$6,$B$11))/($A57*MIN(D$6,$B$11)))^2)+IF(OR(E$7="",E$8=0),0,E$8*(E$7-O$16*(1-$A57)*(1-(1-$A57)^MIN(E$6,$B$11))/($A57*MIN(E$6,$B$11)))^2)</f>
        <v/>
      </c>
      <c r="P57" s="27">
        <f>IF(OR(B$7="",B$8=0),0,B$8*(B$7-P$16*(1-$A57)*(1-(1-$A57)^MIN(B$6,$B$11))/($A57*MIN(B$6,$B$11)))^2)+IF(OR(C$7="",C$8=0),0,C$8*(C$7-P$16*(1-$A57)*(1-(1-$A57)^MIN(C$6,$B$11))/($A57*MIN(C$6,$B$11)))^2)+IF(OR(D$7="",D$8=0),0,D$8*(D$7-P$16*(1-$A57)*(1-(1-$A57)^MIN(D$6,$B$11))/($A57*MIN(D$6,$B$11)))^2)+IF(OR(E$7="",E$8=0),0,E$8*(E$7-P$16*(1-$A57)*(1-(1-$A57)^MIN(E$6,$B$11))/($A57*MIN(E$6,$B$11)))^2)</f>
        <v/>
      </c>
      <c r="Q57" s="27">
        <f>IF(OR(B$7="",B$8=0),0,B$8*(B$7-Q$16*(1-$A57)*(1-(1-$A57)^MIN(B$6,$B$11))/($A57*MIN(B$6,$B$11)))^2)+IF(OR(C$7="",C$8=0),0,C$8*(C$7-Q$16*(1-$A57)*(1-(1-$A57)^MIN(C$6,$B$11))/($A57*MIN(C$6,$B$11)))^2)+IF(OR(D$7="",D$8=0),0,D$8*(D$7-Q$16*(1-$A57)*(1-(1-$A57)^MIN(D$6,$B$11))/($A57*MIN(D$6,$B$11)))^2)+IF(OR(E$7="",E$8=0),0,E$8*(E$7-Q$16*(1-$A57)*(1-(1-$A57)^MIN(E$6,$B$11))/($A57*MIN(E$6,$B$11)))^2)</f>
        <v/>
      </c>
      <c r="R57" s="27">
        <f>IF(OR(B$7="",B$8=0),0,B$8*(B$7-R$16*(1-$A57)*(1-(1-$A57)^MIN(B$6,$B$11))/($A57*MIN(B$6,$B$11)))^2)+IF(OR(C$7="",C$8=0),0,C$8*(C$7-R$16*(1-$A57)*(1-(1-$A57)^MIN(C$6,$B$11))/($A57*MIN(C$6,$B$11)))^2)+IF(OR(D$7="",D$8=0),0,D$8*(D$7-R$16*(1-$A57)*(1-(1-$A57)^MIN(D$6,$B$11))/($A57*MIN(D$6,$B$11)))^2)+IF(OR(E$7="",E$8=0),0,E$8*(E$7-R$16*(1-$A57)*(1-(1-$A57)^MIN(E$6,$B$11))/($A57*MIN(E$6,$B$11)))^2)</f>
        <v/>
      </c>
      <c r="S57" s="27">
        <f>IF(OR(B$7="",B$8=0),0,B$8*(B$7-S$16*(1-$A57)*(1-(1-$A57)^MIN(B$6,$B$11))/($A57*MIN(B$6,$B$11)))^2)+IF(OR(C$7="",C$8=0),0,C$8*(C$7-S$16*(1-$A57)*(1-(1-$A57)^MIN(C$6,$B$11))/($A57*MIN(C$6,$B$11)))^2)+IF(OR(D$7="",D$8=0),0,D$8*(D$7-S$16*(1-$A57)*(1-(1-$A57)^MIN(D$6,$B$11))/($A57*MIN(D$6,$B$11)))^2)+IF(OR(E$7="",E$8=0),0,E$8*(E$7-S$16*(1-$A57)*(1-(1-$A57)^MIN(E$6,$B$11))/($A57*MIN(E$6,$B$11)))^2)</f>
        <v/>
      </c>
      <c r="U57" s="27">
        <f>MIN(B57:S57)</f>
        <v/>
      </c>
      <c r="V57" s="17">
        <f>MATCH(U57,B57:S57,0)</f>
        <v/>
      </c>
    </row>
    <row r="58">
      <c r="A58" s="26" t="n">
        <v>0.0255</v>
      </c>
      <c r="B58" s="27">
        <f>IF(OR(B$7="",B$8=0),0,B$8*(B$7-B$16*(1-$A58)*(1-(1-$A58)^MIN(B$6,$B$11))/($A58*MIN(B$6,$B$11)))^2)+IF(OR(C$7="",C$8=0),0,C$8*(C$7-B$16*(1-$A58)*(1-(1-$A58)^MIN(C$6,$B$11))/($A58*MIN(C$6,$B$11)))^2)+IF(OR(D$7="",D$8=0),0,D$8*(D$7-B$16*(1-$A58)*(1-(1-$A58)^MIN(D$6,$B$11))/($A58*MIN(D$6,$B$11)))^2)+IF(OR(E$7="",E$8=0),0,E$8*(E$7-B$16*(1-$A58)*(1-(1-$A58)^MIN(E$6,$B$11))/($A58*MIN(E$6,$B$11)))^2)</f>
        <v/>
      </c>
      <c r="C58" s="27">
        <f>IF(OR(B$7="",B$8=0),0,B$8*(B$7-C$16*(1-$A58)*(1-(1-$A58)^MIN(B$6,$B$11))/($A58*MIN(B$6,$B$11)))^2)+IF(OR(C$7="",C$8=0),0,C$8*(C$7-C$16*(1-$A58)*(1-(1-$A58)^MIN(C$6,$B$11))/($A58*MIN(C$6,$B$11)))^2)+IF(OR(D$7="",D$8=0),0,D$8*(D$7-C$16*(1-$A58)*(1-(1-$A58)^MIN(D$6,$B$11))/($A58*MIN(D$6,$B$11)))^2)+IF(OR(E$7="",E$8=0),0,E$8*(E$7-C$16*(1-$A58)*(1-(1-$A58)^MIN(E$6,$B$11))/($A58*MIN(E$6,$B$11)))^2)</f>
        <v/>
      </c>
      <c r="D58" s="27">
        <f>IF(OR(B$7="",B$8=0),0,B$8*(B$7-D$16*(1-$A58)*(1-(1-$A58)^MIN(B$6,$B$11))/($A58*MIN(B$6,$B$11)))^2)+IF(OR(C$7="",C$8=0),0,C$8*(C$7-D$16*(1-$A58)*(1-(1-$A58)^MIN(C$6,$B$11))/($A58*MIN(C$6,$B$11)))^2)+IF(OR(D$7="",D$8=0),0,D$8*(D$7-D$16*(1-$A58)*(1-(1-$A58)^MIN(D$6,$B$11))/($A58*MIN(D$6,$B$11)))^2)+IF(OR(E$7="",E$8=0),0,E$8*(E$7-D$16*(1-$A58)*(1-(1-$A58)^MIN(E$6,$B$11))/($A58*MIN(E$6,$B$11)))^2)</f>
        <v/>
      </c>
      <c r="E58" s="27">
        <f>IF(OR(B$7="",B$8=0),0,B$8*(B$7-E$16*(1-$A58)*(1-(1-$A58)^MIN(B$6,$B$11))/($A58*MIN(B$6,$B$11)))^2)+IF(OR(C$7="",C$8=0),0,C$8*(C$7-E$16*(1-$A58)*(1-(1-$A58)^MIN(C$6,$B$11))/($A58*MIN(C$6,$B$11)))^2)+IF(OR(D$7="",D$8=0),0,D$8*(D$7-E$16*(1-$A58)*(1-(1-$A58)^MIN(D$6,$B$11))/($A58*MIN(D$6,$B$11)))^2)+IF(OR(E$7="",E$8=0),0,E$8*(E$7-E$16*(1-$A58)*(1-(1-$A58)^MIN(E$6,$B$11))/($A58*MIN(E$6,$B$11)))^2)</f>
        <v/>
      </c>
      <c r="F58" s="27">
        <f>IF(OR(B$7="",B$8=0),0,B$8*(B$7-F$16*(1-$A58)*(1-(1-$A58)^MIN(B$6,$B$11))/($A58*MIN(B$6,$B$11)))^2)+IF(OR(C$7="",C$8=0),0,C$8*(C$7-F$16*(1-$A58)*(1-(1-$A58)^MIN(C$6,$B$11))/($A58*MIN(C$6,$B$11)))^2)+IF(OR(D$7="",D$8=0),0,D$8*(D$7-F$16*(1-$A58)*(1-(1-$A58)^MIN(D$6,$B$11))/($A58*MIN(D$6,$B$11)))^2)+IF(OR(E$7="",E$8=0),0,E$8*(E$7-F$16*(1-$A58)*(1-(1-$A58)^MIN(E$6,$B$11))/($A58*MIN(E$6,$B$11)))^2)</f>
        <v/>
      </c>
      <c r="G58" s="27">
        <f>IF(OR(B$7="",B$8=0),0,B$8*(B$7-G$16*(1-$A58)*(1-(1-$A58)^MIN(B$6,$B$11))/($A58*MIN(B$6,$B$11)))^2)+IF(OR(C$7="",C$8=0),0,C$8*(C$7-G$16*(1-$A58)*(1-(1-$A58)^MIN(C$6,$B$11))/($A58*MIN(C$6,$B$11)))^2)+IF(OR(D$7="",D$8=0),0,D$8*(D$7-G$16*(1-$A58)*(1-(1-$A58)^MIN(D$6,$B$11))/($A58*MIN(D$6,$B$11)))^2)+IF(OR(E$7="",E$8=0),0,E$8*(E$7-G$16*(1-$A58)*(1-(1-$A58)^MIN(E$6,$B$11))/($A58*MIN(E$6,$B$11)))^2)</f>
        <v/>
      </c>
      <c r="H58" s="27">
        <f>IF(OR(B$7="",B$8=0),0,B$8*(B$7-H$16*(1-$A58)*(1-(1-$A58)^MIN(B$6,$B$11))/($A58*MIN(B$6,$B$11)))^2)+IF(OR(C$7="",C$8=0),0,C$8*(C$7-H$16*(1-$A58)*(1-(1-$A58)^MIN(C$6,$B$11))/($A58*MIN(C$6,$B$11)))^2)+IF(OR(D$7="",D$8=0),0,D$8*(D$7-H$16*(1-$A58)*(1-(1-$A58)^MIN(D$6,$B$11))/($A58*MIN(D$6,$B$11)))^2)+IF(OR(E$7="",E$8=0),0,E$8*(E$7-H$16*(1-$A58)*(1-(1-$A58)^MIN(E$6,$B$11))/($A58*MIN(E$6,$B$11)))^2)</f>
        <v/>
      </c>
      <c r="I58" s="27">
        <f>IF(OR(B$7="",B$8=0),0,B$8*(B$7-I$16*(1-$A58)*(1-(1-$A58)^MIN(B$6,$B$11))/($A58*MIN(B$6,$B$11)))^2)+IF(OR(C$7="",C$8=0),0,C$8*(C$7-I$16*(1-$A58)*(1-(1-$A58)^MIN(C$6,$B$11))/($A58*MIN(C$6,$B$11)))^2)+IF(OR(D$7="",D$8=0),0,D$8*(D$7-I$16*(1-$A58)*(1-(1-$A58)^MIN(D$6,$B$11))/($A58*MIN(D$6,$B$11)))^2)+IF(OR(E$7="",E$8=0),0,E$8*(E$7-I$16*(1-$A58)*(1-(1-$A58)^MIN(E$6,$B$11))/($A58*MIN(E$6,$B$11)))^2)</f>
        <v/>
      </c>
      <c r="J58" s="27">
        <f>IF(OR(B$7="",B$8=0),0,B$8*(B$7-J$16*(1-$A58)*(1-(1-$A58)^MIN(B$6,$B$11))/($A58*MIN(B$6,$B$11)))^2)+IF(OR(C$7="",C$8=0),0,C$8*(C$7-J$16*(1-$A58)*(1-(1-$A58)^MIN(C$6,$B$11))/($A58*MIN(C$6,$B$11)))^2)+IF(OR(D$7="",D$8=0),0,D$8*(D$7-J$16*(1-$A58)*(1-(1-$A58)^MIN(D$6,$B$11))/($A58*MIN(D$6,$B$11)))^2)+IF(OR(E$7="",E$8=0),0,E$8*(E$7-J$16*(1-$A58)*(1-(1-$A58)^MIN(E$6,$B$11))/($A58*MIN(E$6,$B$11)))^2)</f>
        <v/>
      </c>
      <c r="K58" s="27">
        <f>IF(OR(B$7="",B$8=0),0,B$8*(B$7-K$16*(1-$A58)*(1-(1-$A58)^MIN(B$6,$B$11))/($A58*MIN(B$6,$B$11)))^2)+IF(OR(C$7="",C$8=0),0,C$8*(C$7-K$16*(1-$A58)*(1-(1-$A58)^MIN(C$6,$B$11))/($A58*MIN(C$6,$B$11)))^2)+IF(OR(D$7="",D$8=0),0,D$8*(D$7-K$16*(1-$A58)*(1-(1-$A58)^MIN(D$6,$B$11))/($A58*MIN(D$6,$B$11)))^2)+IF(OR(E$7="",E$8=0),0,E$8*(E$7-K$16*(1-$A58)*(1-(1-$A58)^MIN(E$6,$B$11))/($A58*MIN(E$6,$B$11)))^2)</f>
        <v/>
      </c>
      <c r="L58" s="27">
        <f>IF(OR(B$7="",B$8=0),0,B$8*(B$7-L$16*(1-$A58)*(1-(1-$A58)^MIN(B$6,$B$11))/($A58*MIN(B$6,$B$11)))^2)+IF(OR(C$7="",C$8=0),0,C$8*(C$7-L$16*(1-$A58)*(1-(1-$A58)^MIN(C$6,$B$11))/($A58*MIN(C$6,$B$11)))^2)+IF(OR(D$7="",D$8=0),0,D$8*(D$7-L$16*(1-$A58)*(1-(1-$A58)^MIN(D$6,$B$11))/($A58*MIN(D$6,$B$11)))^2)+IF(OR(E$7="",E$8=0),0,E$8*(E$7-L$16*(1-$A58)*(1-(1-$A58)^MIN(E$6,$B$11))/($A58*MIN(E$6,$B$11)))^2)</f>
        <v/>
      </c>
      <c r="M58" s="27">
        <f>IF(OR(B$7="",B$8=0),0,B$8*(B$7-M$16*(1-$A58)*(1-(1-$A58)^MIN(B$6,$B$11))/($A58*MIN(B$6,$B$11)))^2)+IF(OR(C$7="",C$8=0),0,C$8*(C$7-M$16*(1-$A58)*(1-(1-$A58)^MIN(C$6,$B$11))/($A58*MIN(C$6,$B$11)))^2)+IF(OR(D$7="",D$8=0),0,D$8*(D$7-M$16*(1-$A58)*(1-(1-$A58)^MIN(D$6,$B$11))/($A58*MIN(D$6,$B$11)))^2)+IF(OR(E$7="",E$8=0),0,E$8*(E$7-M$16*(1-$A58)*(1-(1-$A58)^MIN(E$6,$B$11))/($A58*MIN(E$6,$B$11)))^2)</f>
        <v/>
      </c>
      <c r="N58" s="27">
        <f>IF(OR(B$7="",B$8=0),0,B$8*(B$7-N$16*(1-$A58)*(1-(1-$A58)^MIN(B$6,$B$11))/($A58*MIN(B$6,$B$11)))^2)+IF(OR(C$7="",C$8=0),0,C$8*(C$7-N$16*(1-$A58)*(1-(1-$A58)^MIN(C$6,$B$11))/($A58*MIN(C$6,$B$11)))^2)+IF(OR(D$7="",D$8=0),0,D$8*(D$7-N$16*(1-$A58)*(1-(1-$A58)^MIN(D$6,$B$11))/($A58*MIN(D$6,$B$11)))^2)+IF(OR(E$7="",E$8=0),0,E$8*(E$7-N$16*(1-$A58)*(1-(1-$A58)^MIN(E$6,$B$11))/($A58*MIN(E$6,$B$11)))^2)</f>
        <v/>
      </c>
      <c r="O58" s="27">
        <f>IF(OR(B$7="",B$8=0),0,B$8*(B$7-O$16*(1-$A58)*(1-(1-$A58)^MIN(B$6,$B$11))/($A58*MIN(B$6,$B$11)))^2)+IF(OR(C$7="",C$8=0),0,C$8*(C$7-O$16*(1-$A58)*(1-(1-$A58)^MIN(C$6,$B$11))/($A58*MIN(C$6,$B$11)))^2)+IF(OR(D$7="",D$8=0),0,D$8*(D$7-O$16*(1-$A58)*(1-(1-$A58)^MIN(D$6,$B$11))/($A58*MIN(D$6,$B$11)))^2)+IF(OR(E$7="",E$8=0),0,E$8*(E$7-O$16*(1-$A58)*(1-(1-$A58)^MIN(E$6,$B$11))/($A58*MIN(E$6,$B$11)))^2)</f>
        <v/>
      </c>
      <c r="P58" s="27">
        <f>IF(OR(B$7="",B$8=0),0,B$8*(B$7-P$16*(1-$A58)*(1-(1-$A58)^MIN(B$6,$B$11))/($A58*MIN(B$6,$B$11)))^2)+IF(OR(C$7="",C$8=0),0,C$8*(C$7-P$16*(1-$A58)*(1-(1-$A58)^MIN(C$6,$B$11))/($A58*MIN(C$6,$B$11)))^2)+IF(OR(D$7="",D$8=0),0,D$8*(D$7-P$16*(1-$A58)*(1-(1-$A58)^MIN(D$6,$B$11))/($A58*MIN(D$6,$B$11)))^2)+IF(OR(E$7="",E$8=0),0,E$8*(E$7-P$16*(1-$A58)*(1-(1-$A58)^MIN(E$6,$B$11))/($A58*MIN(E$6,$B$11)))^2)</f>
        <v/>
      </c>
      <c r="Q58" s="27">
        <f>IF(OR(B$7="",B$8=0),0,B$8*(B$7-Q$16*(1-$A58)*(1-(1-$A58)^MIN(B$6,$B$11))/($A58*MIN(B$6,$B$11)))^2)+IF(OR(C$7="",C$8=0),0,C$8*(C$7-Q$16*(1-$A58)*(1-(1-$A58)^MIN(C$6,$B$11))/($A58*MIN(C$6,$B$11)))^2)+IF(OR(D$7="",D$8=0),0,D$8*(D$7-Q$16*(1-$A58)*(1-(1-$A58)^MIN(D$6,$B$11))/($A58*MIN(D$6,$B$11)))^2)+IF(OR(E$7="",E$8=0),0,E$8*(E$7-Q$16*(1-$A58)*(1-(1-$A58)^MIN(E$6,$B$11))/($A58*MIN(E$6,$B$11)))^2)</f>
        <v/>
      </c>
      <c r="R58" s="27">
        <f>IF(OR(B$7="",B$8=0),0,B$8*(B$7-R$16*(1-$A58)*(1-(1-$A58)^MIN(B$6,$B$11))/($A58*MIN(B$6,$B$11)))^2)+IF(OR(C$7="",C$8=0),0,C$8*(C$7-R$16*(1-$A58)*(1-(1-$A58)^MIN(C$6,$B$11))/($A58*MIN(C$6,$B$11)))^2)+IF(OR(D$7="",D$8=0),0,D$8*(D$7-R$16*(1-$A58)*(1-(1-$A58)^MIN(D$6,$B$11))/($A58*MIN(D$6,$B$11)))^2)+IF(OR(E$7="",E$8=0),0,E$8*(E$7-R$16*(1-$A58)*(1-(1-$A58)^MIN(E$6,$B$11))/($A58*MIN(E$6,$B$11)))^2)</f>
        <v/>
      </c>
      <c r="S58" s="27">
        <f>IF(OR(B$7="",B$8=0),0,B$8*(B$7-S$16*(1-$A58)*(1-(1-$A58)^MIN(B$6,$B$11))/($A58*MIN(B$6,$B$11)))^2)+IF(OR(C$7="",C$8=0),0,C$8*(C$7-S$16*(1-$A58)*(1-(1-$A58)^MIN(C$6,$B$11))/($A58*MIN(C$6,$B$11)))^2)+IF(OR(D$7="",D$8=0),0,D$8*(D$7-S$16*(1-$A58)*(1-(1-$A58)^MIN(D$6,$B$11))/($A58*MIN(D$6,$B$11)))^2)+IF(OR(E$7="",E$8=0),0,E$8*(E$7-S$16*(1-$A58)*(1-(1-$A58)^MIN(E$6,$B$11))/($A58*MIN(E$6,$B$11)))^2)</f>
        <v/>
      </c>
      <c r="U58" s="27">
        <f>MIN(B58:S58)</f>
        <v/>
      </c>
      <c r="V58" s="17">
        <f>MATCH(U58,B58:S58,0)</f>
        <v/>
      </c>
    </row>
    <row r="59">
      <c r="A59" s="26" t="n">
        <v>0.026</v>
      </c>
      <c r="B59" s="27">
        <f>IF(OR(B$7="",B$8=0),0,B$8*(B$7-B$16*(1-$A59)*(1-(1-$A59)^MIN(B$6,$B$11))/($A59*MIN(B$6,$B$11)))^2)+IF(OR(C$7="",C$8=0),0,C$8*(C$7-B$16*(1-$A59)*(1-(1-$A59)^MIN(C$6,$B$11))/($A59*MIN(C$6,$B$11)))^2)+IF(OR(D$7="",D$8=0),0,D$8*(D$7-B$16*(1-$A59)*(1-(1-$A59)^MIN(D$6,$B$11))/($A59*MIN(D$6,$B$11)))^2)+IF(OR(E$7="",E$8=0),0,E$8*(E$7-B$16*(1-$A59)*(1-(1-$A59)^MIN(E$6,$B$11))/($A59*MIN(E$6,$B$11)))^2)</f>
        <v/>
      </c>
      <c r="C59" s="27">
        <f>IF(OR(B$7="",B$8=0),0,B$8*(B$7-C$16*(1-$A59)*(1-(1-$A59)^MIN(B$6,$B$11))/($A59*MIN(B$6,$B$11)))^2)+IF(OR(C$7="",C$8=0),0,C$8*(C$7-C$16*(1-$A59)*(1-(1-$A59)^MIN(C$6,$B$11))/($A59*MIN(C$6,$B$11)))^2)+IF(OR(D$7="",D$8=0),0,D$8*(D$7-C$16*(1-$A59)*(1-(1-$A59)^MIN(D$6,$B$11))/($A59*MIN(D$6,$B$11)))^2)+IF(OR(E$7="",E$8=0),0,E$8*(E$7-C$16*(1-$A59)*(1-(1-$A59)^MIN(E$6,$B$11))/($A59*MIN(E$6,$B$11)))^2)</f>
        <v/>
      </c>
      <c r="D59" s="27">
        <f>IF(OR(B$7="",B$8=0),0,B$8*(B$7-D$16*(1-$A59)*(1-(1-$A59)^MIN(B$6,$B$11))/($A59*MIN(B$6,$B$11)))^2)+IF(OR(C$7="",C$8=0),0,C$8*(C$7-D$16*(1-$A59)*(1-(1-$A59)^MIN(C$6,$B$11))/($A59*MIN(C$6,$B$11)))^2)+IF(OR(D$7="",D$8=0),0,D$8*(D$7-D$16*(1-$A59)*(1-(1-$A59)^MIN(D$6,$B$11))/($A59*MIN(D$6,$B$11)))^2)+IF(OR(E$7="",E$8=0),0,E$8*(E$7-D$16*(1-$A59)*(1-(1-$A59)^MIN(E$6,$B$11))/($A59*MIN(E$6,$B$11)))^2)</f>
        <v/>
      </c>
      <c r="E59" s="27">
        <f>IF(OR(B$7="",B$8=0),0,B$8*(B$7-E$16*(1-$A59)*(1-(1-$A59)^MIN(B$6,$B$11))/($A59*MIN(B$6,$B$11)))^2)+IF(OR(C$7="",C$8=0),0,C$8*(C$7-E$16*(1-$A59)*(1-(1-$A59)^MIN(C$6,$B$11))/($A59*MIN(C$6,$B$11)))^2)+IF(OR(D$7="",D$8=0),0,D$8*(D$7-E$16*(1-$A59)*(1-(1-$A59)^MIN(D$6,$B$11))/($A59*MIN(D$6,$B$11)))^2)+IF(OR(E$7="",E$8=0),0,E$8*(E$7-E$16*(1-$A59)*(1-(1-$A59)^MIN(E$6,$B$11))/($A59*MIN(E$6,$B$11)))^2)</f>
        <v/>
      </c>
      <c r="F59" s="27">
        <f>IF(OR(B$7="",B$8=0),0,B$8*(B$7-F$16*(1-$A59)*(1-(1-$A59)^MIN(B$6,$B$11))/($A59*MIN(B$6,$B$11)))^2)+IF(OR(C$7="",C$8=0),0,C$8*(C$7-F$16*(1-$A59)*(1-(1-$A59)^MIN(C$6,$B$11))/($A59*MIN(C$6,$B$11)))^2)+IF(OR(D$7="",D$8=0),0,D$8*(D$7-F$16*(1-$A59)*(1-(1-$A59)^MIN(D$6,$B$11))/($A59*MIN(D$6,$B$11)))^2)+IF(OR(E$7="",E$8=0),0,E$8*(E$7-F$16*(1-$A59)*(1-(1-$A59)^MIN(E$6,$B$11))/($A59*MIN(E$6,$B$11)))^2)</f>
        <v/>
      </c>
      <c r="G59" s="27">
        <f>IF(OR(B$7="",B$8=0),0,B$8*(B$7-G$16*(1-$A59)*(1-(1-$A59)^MIN(B$6,$B$11))/($A59*MIN(B$6,$B$11)))^2)+IF(OR(C$7="",C$8=0),0,C$8*(C$7-G$16*(1-$A59)*(1-(1-$A59)^MIN(C$6,$B$11))/($A59*MIN(C$6,$B$11)))^2)+IF(OR(D$7="",D$8=0),0,D$8*(D$7-G$16*(1-$A59)*(1-(1-$A59)^MIN(D$6,$B$11))/($A59*MIN(D$6,$B$11)))^2)+IF(OR(E$7="",E$8=0),0,E$8*(E$7-G$16*(1-$A59)*(1-(1-$A59)^MIN(E$6,$B$11))/($A59*MIN(E$6,$B$11)))^2)</f>
        <v/>
      </c>
      <c r="H59" s="27">
        <f>IF(OR(B$7="",B$8=0),0,B$8*(B$7-H$16*(1-$A59)*(1-(1-$A59)^MIN(B$6,$B$11))/($A59*MIN(B$6,$B$11)))^2)+IF(OR(C$7="",C$8=0),0,C$8*(C$7-H$16*(1-$A59)*(1-(1-$A59)^MIN(C$6,$B$11))/($A59*MIN(C$6,$B$11)))^2)+IF(OR(D$7="",D$8=0),0,D$8*(D$7-H$16*(1-$A59)*(1-(1-$A59)^MIN(D$6,$B$11))/($A59*MIN(D$6,$B$11)))^2)+IF(OR(E$7="",E$8=0),0,E$8*(E$7-H$16*(1-$A59)*(1-(1-$A59)^MIN(E$6,$B$11))/($A59*MIN(E$6,$B$11)))^2)</f>
        <v/>
      </c>
      <c r="I59" s="27">
        <f>IF(OR(B$7="",B$8=0),0,B$8*(B$7-I$16*(1-$A59)*(1-(1-$A59)^MIN(B$6,$B$11))/($A59*MIN(B$6,$B$11)))^2)+IF(OR(C$7="",C$8=0),0,C$8*(C$7-I$16*(1-$A59)*(1-(1-$A59)^MIN(C$6,$B$11))/($A59*MIN(C$6,$B$11)))^2)+IF(OR(D$7="",D$8=0),0,D$8*(D$7-I$16*(1-$A59)*(1-(1-$A59)^MIN(D$6,$B$11))/($A59*MIN(D$6,$B$11)))^2)+IF(OR(E$7="",E$8=0),0,E$8*(E$7-I$16*(1-$A59)*(1-(1-$A59)^MIN(E$6,$B$11))/($A59*MIN(E$6,$B$11)))^2)</f>
        <v/>
      </c>
      <c r="J59" s="27">
        <f>IF(OR(B$7="",B$8=0),0,B$8*(B$7-J$16*(1-$A59)*(1-(1-$A59)^MIN(B$6,$B$11))/($A59*MIN(B$6,$B$11)))^2)+IF(OR(C$7="",C$8=0),0,C$8*(C$7-J$16*(1-$A59)*(1-(1-$A59)^MIN(C$6,$B$11))/($A59*MIN(C$6,$B$11)))^2)+IF(OR(D$7="",D$8=0),0,D$8*(D$7-J$16*(1-$A59)*(1-(1-$A59)^MIN(D$6,$B$11))/($A59*MIN(D$6,$B$11)))^2)+IF(OR(E$7="",E$8=0),0,E$8*(E$7-J$16*(1-$A59)*(1-(1-$A59)^MIN(E$6,$B$11))/($A59*MIN(E$6,$B$11)))^2)</f>
        <v/>
      </c>
      <c r="K59" s="27">
        <f>IF(OR(B$7="",B$8=0),0,B$8*(B$7-K$16*(1-$A59)*(1-(1-$A59)^MIN(B$6,$B$11))/($A59*MIN(B$6,$B$11)))^2)+IF(OR(C$7="",C$8=0),0,C$8*(C$7-K$16*(1-$A59)*(1-(1-$A59)^MIN(C$6,$B$11))/($A59*MIN(C$6,$B$11)))^2)+IF(OR(D$7="",D$8=0),0,D$8*(D$7-K$16*(1-$A59)*(1-(1-$A59)^MIN(D$6,$B$11))/($A59*MIN(D$6,$B$11)))^2)+IF(OR(E$7="",E$8=0),0,E$8*(E$7-K$16*(1-$A59)*(1-(1-$A59)^MIN(E$6,$B$11))/($A59*MIN(E$6,$B$11)))^2)</f>
        <v/>
      </c>
      <c r="L59" s="27">
        <f>IF(OR(B$7="",B$8=0),0,B$8*(B$7-L$16*(1-$A59)*(1-(1-$A59)^MIN(B$6,$B$11))/($A59*MIN(B$6,$B$11)))^2)+IF(OR(C$7="",C$8=0),0,C$8*(C$7-L$16*(1-$A59)*(1-(1-$A59)^MIN(C$6,$B$11))/($A59*MIN(C$6,$B$11)))^2)+IF(OR(D$7="",D$8=0),0,D$8*(D$7-L$16*(1-$A59)*(1-(1-$A59)^MIN(D$6,$B$11))/($A59*MIN(D$6,$B$11)))^2)+IF(OR(E$7="",E$8=0),0,E$8*(E$7-L$16*(1-$A59)*(1-(1-$A59)^MIN(E$6,$B$11))/($A59*MIN(E$6,$B$11)))^2)</f>
        <v/>
      </c>
      <c r="M59" s="27">
        <f>IF(OR(B$7="",B$8=0),0,B$8*(B$7-M$16*(1-$A59)*(1-(1-$A59)^MIN(B$6,$B$11))/($A59*MIN(B$6,$B$11)))^2)+IF(OR(C$7="",C$8=0),0,C$8*(C$7-M$16*(1-$A59)*(1-(1-$A59)^MIN(C$6,$B$11))/($A59*MIN(C$6,$B$11)))^2)+IF(OR(D$7="",D$8=0),0,D$8*(D$7-M$16*(1-$A59)*(1-(1-$A59)^MIN(D$6,$B$11))/($A59*MIN(D$6,$B$11)))^2)+IF(OR(E$7="",E$8=0),0,E$8*(E$7-M$16*(1-$A59)*(1-(1-$A59)^MIN(E$6,$B$11))/($A59*MIN(E$6,$B$11)))^2)</f>
        <v/>
      </c>
      <c r="N59" s="27">
        <f>IF(OR(B$7="",B$8=0),0,B$8*(B$7-N$16*(1-$A59)*(1-(1-$A59)^MIN(B$6,$B$11))/($A59*MIN(B$6,$B$11)))^2)+IF(OR(C$7="",C$8=0),0,C$8*(C$7-N$16*(1-$A59)*(1-(1-$A59)^MIN(C$6,$B$11))/($A59*MIN(C$6,$B$11)))^2)+IF(OR(D$7="",D$8=0),0,D$8*(D$7-N$16*(1-$A59)*(1-(1-$A59)^MIN(D$6,$B$11))/($A59*MIN(D$6,$B$11)))^2)+IF(OR(E$7="",E$8=0),0,E$8*(E$7-N$16*(1-$A59)*(1-(1-$A59)^MIN(E$6,$B$11))/($A59*MIN(E$6,$B$11)))^2)</f>
        <v/>
      </c>
      <c r="O59" s="27">
        <f>IF(OR(B$7="",B$8=0),0,B$8*(B$7-O$16*(1-$A59)*(1-(1-$A59)^MIN(B$6,$B$11))/($A59*MIN(B$6,$B$11)))^2)+IF(OR(C$7="",C$8=0),0,C$8*(C$7-O$16*(1-$A59)*(1-(1-$A59)^MIN(C$6,$B$11))/($A59*MIN(C$6,$B$11)))^2)+IF(OR(D$7="",D$8=0),0,D$8*(D$7-O$16*(1-$A59)*(1-(1-$A59)^MIN(D$6,$B$11))/($A59*MIN(D$6,$B$11)))^2)+IF(OR(E$7="",E$8=0),0,E$8*(E$7-O$16*(1-$A59)*(1-(1-$A59)^MIN(E$6,$B$11))/($A59*MIN(E$6,$B$11)))^2)</f>
        <v/>
      </c>
      <c r="P59" s="27">
        <f>IF(OR(B$7="",B$8=0),0,B$8*(B$7-P$16*(1-$A59)*(1-(1-$A59)^MIN(B$6,$B$11))/($A59*MIN(B$6,$B$11)))^2)+IF(OR(C$7="",C$8=0),0,C$8*(C$7-P$16*(1-$A59)*(1-(1-$A59)^MIN(C$6,$B$11))/($A59*MIN(C$6,$B$11)))^2)+IF(OR(D$7="",D$8=0),0,D$8*(D$7-P$16*(1-$A59)*(1-(1-$A59)^MIN(D$6,$B$11))/($A59*MIN(D$6,$B$11)))^2)+IF(OR(E$7="",E$8=0),0,E$8*(E$7-P$16*(1-$A59)*(1-(1-$A59)^MIN(E$6,$B$11))/($A59*MIN(E$6,$B$11)))^2)</f>
        <v/>
      </c>
      <c r="Q59" s="27">
        <f>IF(OR(B$7="",B$8=0),0,B$8*(B$7-Q$16*(1-$A59)*(1-(1-$A59)^MIN(B$6,$B$11))/($A59*MIN(B$6,$B$11)))^2)+IF(OR(C$7="",C$8=0),0,C$8*(C$7-Q$16*(1-$A59)*(1-(1-$A59)^MIN(C$6,$B$11))/($A59*MIN(C$6,$B$11)))^2)+IF(OR(D$7="",D$8=0),0,D$8*(D$7-Q$16*(1-$A59)*(1-(1-$A59)^MIN(D$6,$B$11))/($A59*MIN(D$6,$B$11)))^2)+IF(OR(E$7="",E$8=0),0,E$8*(E$7-Q$16*(1-$A59)*(1-(1-$A59)^MIN(E$6,$B$11))/($A59*MIN(E$6,$B$11)))^2)</f>
        <v/>
      </c>
      <c r="R59" s="27">
        <f>IF(OR(B$7="",B$8=0),0,B$8*(B$7-R$16*(1-$A59)*(1-(1-$A59)^MIN(B$6,$B$11))/($A59*MIN(B$6,$B$11)))^2)+IF(OR(C$7="",C$8=0),0,C$8*(C$7-R$16*(1-$A59)*(1-(1-$A59)^MIN(C$6,$B$11))/($A59*MIN(C$6,$B$11)))^2)+IF(OR(D$7="",D$8=0),0,D$8*(D$7-R$16*(1-$A59)*(1-(1-$A59)^MIN(D$6,$B$11))/($A59*MIN(D$6,$B$11)))^2)+IF(OR(E$7="",E$8=0),0,E$8*(E$7-R$16*(1-$A59)*(1-(1-$A59)^MIN(E$6,$B$11))/($A59*MIN(E$6,$B$11)))^2)</f>
        <v/>
      </c>
      <c r="S59" s="27">
        <f>IF(OR(B$7="",B$8=0),0,B$8*(B$7-S$16*(1-$A59)*(1-(1-$A59)^MIN(B$6,$B$11))/($A59*MIN(B$6,$B$11)))^2)+IF(OR(C$7="",C$8=0),0,C$8*(C$7-S$16*(1-$A59)*(1-(1-$A59)^MIN(C$6,$B$11))/($A59*MIN(C$6,$B$11)))^2)+IF(OR(D$7="",D$8=0),0,D$8*(D$7-S$16*(1-$A59)*(1-(1-$A59)^MIN(D$6,$B$11))/($A59*MIN(D$6,$B$11)))^2)+IF(OR(E$7="",E$8=0),0,E$8*(E$7-S$16*(1-$A59)*(1-(1-$A59)^MIN(E$6,$B$11))/($A59*MIN(E$6,$B$11)))^2)</f>
        <v/>
      </c>
      <c r="U59" s="27">
        <f>MIN(B59:S59)</f>
        <v/>
      </c>
      <c r="V59" s="17">
        <f>MATCH(U59,B59:S59,0)</f>
        <v/>
      </c>
    </row>
    <row r="60">
      <c r="A60" s="26" t="n">
        <v>0.0265</v>
      </c>
      <c r="B60" s="27">
        <f>IF(OR(B$7="",B$8=0),0,B$8*(B$7-B$16*(1-$A60)*(1-(1-$A60)^MIN(B$6,$B$11))/($A60*MIN(B$6,$B$11)))^2)+IF(OR(C$7="",C$8=0),0,C$8*(C$7-B$16*(1-$A60)*(1-(1-$A60)^MIN(C$6,$B$11))/($A60*MIN(C$6,$B$11)))^2)+IF(OR(D$7="",D$8=0),0,D$8*(D$7-B$16*(1-$A60)*(1-(1-$A60)^MIN(D$6,$B$11))/($A60*MIN(D$6,$B$11)))^2)+IF(OR(E$7="",E$8=0),0,E$8*(E$7-B$16*(1-$A60)*(1-(1-$A60)^MIN(E$6,$B$11))/($A60*MIN(E$6,$B$11)))^2)</f>
        <v/>
      </c>
      <c r="C60" s="27">
        <f>IF(OR(B$7="",B$8=0),0,B$8*(B$7-C$16*(1-$A60)*(1-(1-$A60)^MIN(B$6,$B$11))/($A60*MIN(B$6,$B$11)))^2)+IF(OR(C$7="",C$8=0),0,C$8*(C$7-C$16*(1-$A60)*(1-(1-$A60)^MIN(C$6,$B$11))/($A60*MIN(C$6,$B$11)))^2)+IF(OR(D$7="",D$8=0),0,D$8*(D$7-C$16*(1-$A60)*(1-(1-$A60)^MIN(D$6,$B$11))/($A60*MIN(D$6,$B$11)))^2)+IF(OR(E$7="",E$8=0),0,E$8*(E$7-C$16*(1-$A60)*(1-(1-$A60)^MIN(E$6,$B$11))/($A60*MIN(E$6,$B$11)))^2)</f>
        <v/>
      </c>
      <c r="D60" s="27">
        <f>IF(OR(B$7="",B$8=0),0,B$8*(B$7-D$16*(1-$A60)*(1-(1-$A60)^MIN(B$6,$B$11))/($A60*MIN(B$6,$B$11)))^2)+IF(OR(C$7="",C$8=0),0,C$8*(C$7-D$16*(1-$A60)*(1-(1-$A60)^MIN(C$6,$B$11))/($A60*MIN(C$6,$B$11)))^2)+IF(OR(D$7="",D$8=0),0,D$8*(D$7-D$16*(1-$A60)*(1-(1-$A60)^MIN(D$6,$B$11))/($A60*MIN(D$6,$B$11)))^2)+IF(OR(E$7="",E$8=0),0,E$8*(E$7-D$16*(1-$A60)*(1-(1-$A60)^MIN(E$6,$B$11))/($A60*MIN(E$6,$B$11)))^2)</f>
        <v/>
      </c>
      <c r="E60" s="27">
        <f>IF(OR(B$7="",B$8=0),0,B$8*(B$7-E$16*(1-$A60)*(1-(1-$A60)^MIN(B$6,$B$11))/($A60*MIN(B$6,$B$11)))^2)+IF(OR(C$7="",C$8=0),0,C$8*(C$7-E$16*(1-$A60)*(1-(1-$A60)^MIN(C$6,$B$11))/($A60*MIN(C$6,$B$11)))^2)+IF(OR(D$7="",D$8=0),0,D$8*(D$7-E$16*(1-$A60)*(1-(1-$A60)^MIN(D$6,$B$11))/($A60*MIN(D$6,$B$11)))^2)+IF(OR(E$7="",E$8=0),0,E$8*(E$7-E$16*(1-$A60)*(1-(1-$A60)^MIN(E$6,$B$11))/($A60*MIN(E$6,$B$11)))^2)</f>
        <v/>
      </c>
      <c r="F60" s="27">
        <f>IF(OR(B$7="",B$8=0),0,B$8*(B$7-F$16*(1-$A60)*(1-(1-$A60)^MIN(B$6,$B$11))/($A60*MIN(B$6,$B$11)))^2)+IF(OR(C$7="",C$8=0),0,C$8*(C$7-F$16*(1-$A60)*(1-(1-$A60)^MIN(C$6,$B$11))/($A60*MIN(C$6,$B$11)))^2)+IF(OR(D$7="",D$8=0),0,D$8*(D$7-F$16*(1-$A60)*(1-(1-$A60)^MIN(D$6,$B$11))/($A60*MIN(D$6,$B$11)))^2)+IF(OR(E$7="",E$8=0),0,E$8*(E$7-F$16*(1-$A60)*(1-(1-$A60)^MIN(E$6,$B$11))/($A60*MIN(E$6,$B$11)))^2)</f>
        <v/>
      </c>
      <c r="G60" s="27">
        <f>IF(OR(B$7="",B$8=0),0,B$8*(B$7-G$16*(1-$A60)*(1-(1-$A60)^MIN(B$6,$B$11))/($A60*MIN(B$6,$B$11)))^2)+IF(OR(C$7="",C$8=0),0,C$8*(C$7-G$16*(1-$A60)*(1-(1-$A60)^MIN(C$6,$B$11))/($A60*MIN(C$6,$B$11)))^2)+IF(OR(D$7="",D$8=0),0,D$8*(D$7-G$16*(1-$A60)*(1-(1-$A60)^MIN(D$6,$B$11))/($A60*MIN(D$6,$B$11)))^2)+IF(OR(E$7="",E$8=0),0,E$8*(E$7-G$16*(1-$A60)*(1-(1-$A60)^MIN(E$6,$B$11))/($A60*MIN(E$6,$B$11)))^2)</f>
        <v/>
      </c>
      <c r="H60" s="27">
        <f>IF(OR(B$7="",B$8=0),0,B$8*(B$7-H$16*(1-$A60)*(1-(1-$A60)^MIN(B$6,$B$11))/($A60*MIN(B$6,$B$11)))^2)+IF(OR(C$7="",C$8=0),0,C$8*(C$7-H$16*(1-$A60)*(1-(1-$A60)^MIN(C$6,$B$11))/($A60*MIN(C$6,$B$11)))^2)+IF(OR(D$7="",D$8=0),0,D$8*(D$7-H$16*(1-$A60)*(1-(1-$A60)^MIN(D$6,$B$11))/($A60*MIN(D$6,$B$11)))^2)+IF(OR(E$7="",E$8=0),0,E$8*(E$7-H$16*(1-$A60)*(1-(1-$A60)^MIN(E$6,$B$11))/($A60*MIN(E$6,$B$11)))^2)</f>
        <v/>
      </c>
      <c r="I60" s="27">
        <f>IF(OR(B$7="",B$8=0),0,B$8*(B$7-I$16*(1-$A60)*(1-(1-$A60)^MIN(B$6,$B$11))/($A60*MIN(B$6,$B$11)))^2)+IF(OR(C$7="",C$8=0),0,C$8*(C$7-I$16*(1-$A60)*(1-(1-$A60)^MIN(C$6,$B$11))/($A60*MIN(C$6,$B$11)))^2)+IF(OR(D$7="",D$8=0),0,D$8*(D$7-I$16*(1-$A60)*(1-(1-$A60)^MIN(D$6,$B$11))/($A60*MIN(D$6,$B$11)))^2)+IF(OR(E$7="",E$8=0),0,E$8*(E$7-I$16*(1-$A60)*(1-(1-$A60)^MIN(E$6,$B$11))/($A60*MIN(E$6,$B$11)))^2)</f>
        <v/>
      </c>
      <c r="J60" s="27">
        <f>IF(OR(B$7="",B$8=0),0,B$8*(B$7-J$16*(1-$A60)*(1-(1-$A60)^MIN(B$6,$B$11))/($A60*MIN(B$6,$B$11)))^2)+IF(OR(C$7="",C$8=0),0,C$8*(C$7-J$16*(1-$A60)*(1-(1-$A60)^MIN(C$6,$B$11))/($A60*MIN(C$6,$B$11)))^2)+IF(OR(D$7="",D$8=0),0,D$8*(D$7-J$16*(1-$A60)*(1-(1-$A60)^MIN(D$6,$B$11))/($A60*MIN(D$6,$B$11)))^2)+IF(OR(E$7="",E$8=0),0,E$8*(E$7-J$16*(1-$A60)*(1-(1-$A60)^MIN(E$6,$B$11))/($A60*MIN(E$6,$B$11)))^2)</f>
        <v/>
      </c>
      <c r="K60" s="27">
        <f>IF(OR(B$7="",B$8=0),0,B$8*(B$7-K$16*(1-$A60)*(1-(1-$A60)^MIN(B$6,$B$11))/($A60*MIN(B$6,$B$11)))^2)+IF(OR(C$7="",C$8=0),0,C$8*(C$7-K$16*(1-$A60)*(1-(1-$A60)^MIN(C$6,$B$11))/($A60*MIN(C$6,$B$11)))^2)+IF(OR(D$7="",D$8=0),0,D$8*(D$7-K$16*(1-$A60)*(1-(1-$A60)^MIN(D$6,$B$11))/($A60*MIN(D$6,$B$11)))^2)+IF(OR(E$7="",E$8=0),0,E$8*(E$7-K$16*(1-$A60)*(1-(1-$A60)^MIN(E$6,$B$11))/($A60*MIN(E$6,$B$11)))^2)</f>
        <v/>
      </c>
      <c r="L60" s="27">
        <f>IF(OR(B$7="",B$8=0),0,B$8*(B$7-L$16*(1-$A60)*(1-(1-$A60)^MIN(B$6,$B$11))/($A60*MIN(B$6,$B$11)))^2)+IF(OR(C$7="",C$8=0),0,C$8*(C$7-L$16*(1-$A60)*(1-(1-$A60)^MIN(C$6,$B$11))/($A60*MIN(C$6,$B$11)))^2)+IF(OR(D$7="",D$8=0),0,D$8*(D$7-L$16*(1-$A60)*(1-(1-$A60)^MIN(D$6,$B$11))/($A60*MIN(D$6,$B$11)))^2)+IF(OR(E$7="",E$8=0),0,E$8*(E$7-L$16*(1-$A60)*(1-(1-$A60)^MIN(E$6,$B$11))/($A60*MIN(E$6,$B$11)))^2)</f>
        <v/>
      </c>
      <c r="M60" s="27">
        <f>IF(OR(B$7="",B$8=0),0,B$8*(B$7-M$16*(1-$A60)*(1-(1-$A60)^MIN(B$6,$B$11))/($A60*MIN(B$6,$B$11)))^2)+IF(OR(C$7="",C$8=0),0,C$8*(C$7-M$16*(1-$A60)*(1-(1-$A60)^MIN(C$6,$B$11))/($A60*MIN(C$6,$B$11)))^2)+IF(OR(D$7="",D$8=0),0,D$8*(D$7-M$16*(1-$A60)*(1-(1-$A60)^MIN(D$6,$B$11))/($A60*MIN(D$6,$B$11)))^2)+IF(OR(E$7="",E$8=0),0,E$8*(E$7-M$16*(1-$A60)*(1-(1-$A60)^MIN(E$6,$B$11))/($A60*MIN(E$6,$B$11)))^2)</f>
        <v/>
      </c>
      <c r="N60" s="27">
        <f>IF(OR(B$7="",B$8=0),0,B$8*(B$7-N$16*(1-$A60)*(1-(1-$A60)^MIN(B$6,$B$11))/($A60*MIN(B$6,$B$11)))^2)+IF(OR(C$7="",C$8=0),0,C$8*(C$7-N$16*(1-$A60)*(1-(1-$A60)^MIN(C$6,$B$11))/($A60*MIN(C$6,$B$11)))^2)+IF(OR(D$7="",D$8=0),0,D$8*(D$7-N$16*(1-$A60)*(1-(1-$A60)^MIN(D$6,$B$11))/($A60*MIN(D$6,$B$11)))^2)+IF(OR(E$7="",E$8=0),0,E$8*(E$7-N$16*(1-$A60)*(1-(1-$A60)^MIN(E$6,$B$11))/($A60*MIN(E$6,$B$11)))^2)</f>
        <v/>
      </c>
      <c r="O60" s="27">
        <f>IF(OR(B$7="",B$8=0),0,B$8*(B$7-O$16*(1-$A60)*(1-(1-$A60)^MIN(B$6,$B$11))/($A60*MIN(B$6,$B$11)))^2)+IF(OR(C$7="",C$8=0),0,C$8*(C$7-O$16*(1-$A60)*(1-(1-$A60)^MIN(C$6,$B$11))/($A60*MIN(C$6,$B$11)))^2)+IF(OR(D$7="",D$8=0),0,D$8*(D$7-O$16*(1-$A60)*(1-(1-$A60)^MIN(D$6,$B$11))/($A60*MIN(D$6,$B$11)))^2)+IF(OR(E$7="",E$8=0),0,E$8*(E$7-O$16*(1-$A60)*(1-(1-$A60)^MIN(E$6,$B$11))/($A60*MIN(E$6,$B$11)))^2)</f>
        <v/>
      </c>
      <c r="P60" s="27">
        <f>IF(OR(B$7="",B$8=0),0,B$8*(B$7-P$16*(1-$A60)*(1-(1-$A60)^MIN(B$6,$B$11))/($A60*MIN(B$6,$B$11)))^2)+IF(OR(C$7="",C$8=0),0,C$8*(C$7-P$16*(1-$A60)*(1-(1-$A60)^MIN(C$6,$B$11))/($A60*MIN(C$6,$B$11)))^2)+IF(OR(D$7="",D$8=0),0,D$8*(D$7-P$16*(1-$A60)*(1-(1-$A60)^MIN(D$6,$B$11))/($A60*MIN(D$6,$B$11)))^2)+IF(OR(E$7="",E$8=0),0,E$8*(E$7-P$16*(1-$A60)*(1-(1-$A60)^MIN(E$6,$B$11))/($A60*MIN(E$6,$B$11)))^2)</f>
        <v/>
      </c>
      <c r="Q60" s="27">
        <f>IF(OR(B$7="",B$8=0),0,B$8*(B$7-Q$16*(1-$A60)*(1-(1-$A60)^MIN(B$6,$B$11))/($A60*MIN(B$6,$B$11)))^2)+IF(OR(C$7="",C$8=0),0,C$8*(C$7-Q$16*(1-$A60)*(1-(1-$A60)^MIN(C$6,$B$11))/($A60*MIN(C$6,$B$11)))^2)+IF(OR(D$7="",D$8=0),0,D$8*(D$7-Q$16*(1-$A60)*(1-(1-$A60)^MIN(D$6,$B$11))/($A60*MIN(D$6,$B$11)))^2)+IF(OR(E$7="",E$8=0),0,E$8*(E$7-Q$16*(1-$A60)*(1-(1-$A60)^MIN(E$6,$B$11))/($A60*MIN(E$6,$B$11)))^2)</f>
        <v/>
      </c>
      <c r="R60" s="27">
        <f>IF(OR(B$7="",B$8=0),0,B$8*(B$7-R$16*(1-$A60)*(1-(1-$A60)^MIN(B$6,$B$11))/($A60*MIN(B$6,$B$11)))^2)+IF(OR(C$7="",C$8=0),0,C$8*(C$7-R$16*(1-$A60)*(1-(1-$A60)^MIN(C$6,$B$11))/($A60*MIN(C$6,$B$11)))^2)+IF(OR(D$7="",D$8=0),0,D$8*(D$7-R$16*(1-$A60)*(1-(1-$A60)^MIN(D$6,$B$11))/($A60*MIN(D$6,$B$11)))^2)+IF(OR(E$7="",E$8=0),0,E$8*(E$7-R$16*(1-$A60)*(1-(1-$A60)^MIN(E$6,$B$11))/($A60*MIN(E$6,$B$11)))^2)</f>
        <v/>
      </c>
      <c r="S60" s="27">
        <f>IF(OR(B$7="",B$8=0),0,B$8*(B$7-S$16*(1-$A60)*(1-(1-$A60)^MIN(B$6,$B$11))/($A60*MIN(B$6,$B$11)))^2)+IF(OR(C$7="",C$8=0),0,C$8*(C$7-S$16*(1-$A60)*(1-(1-$A60)^MIN(C$6,$B$11))/($A60*MIN(C$6,$B$11)))^2)+IF(OR(D$7="",D$8=0),0,D$8*(D$7-S$16*(1-$A60)*(1-(1-$A60)^MIN(D$6,$B$11))/($A60*MIN(D$6,$B$11)))^2)+IF(OR(E$7="",E$8=0),0,E$8*(E$7-S$16*(1-$A60)*(1-(1-$A60)^MIN(E$6,$B$11))/($A60*MIN(E$6,$B$11)))^2)</f>
        <v/>
      </c>
      <c r="U60" s="27">
        <f>MIN(B60:S60)</f>
        <v/>
      </c>
      <c r="V60" s="17">
        <f>MATCH(U60,B60:S60,0)</f>
        <v/>
      </c>
    </row>
    <row r="61">
      <c r="A61" s="26" t="n">
        <v>0.027</v>
      </c>
      <c r="B61" s="27">
        <f>IF(OR(B$7="",B$8=0),0,B$8*(B$7-B$16*(1-$A61)*(1-(1-$A61)^MIN(B$6,$B$11))/($A61*MIN(B$6,$B$11)))^2)+IF(OR(C$7="",C$8=0),0,C$8*(C$7-B$16*(1-$A61)*(1-(1-$A61)^MIN(C$6,$B$11))/($A61*MIN(C$6,$B$11)))^2)+IF(OR(D$7="",D$8=0),0,D$8*(D$7-B$16*(1-$A61)*(1-(1-$A61)^MIN(D$6,$B$11))/($A61*MIN(D$6,$B$11)))^2)+IF(OR(E$7="",E$8=0),0,E$8*(E$7-B$16*(1-$A61)*(1-(1-$A61)^MIN(E$6,$B$11))/($A61*MIN(E$6,$B$11)))^2)</f>
        <v/>
      </c>
      <c r="C61" s="27">
        <f>IF(OR(B$7="",B$8=0),0,B$8*(B$7-C$16*(1-$A61)*(1-(1-$A61)^MIN(B$6,$B$11))/($A61*MIN(B$6,$B$11)))^2)+IF(OR(C$7="",C$8=0),0,C$8*(C$7-C$16*(1-$A61)*(1-(1-$A61)^MIN(C$6,$B$11))/($A61*MIN(C$6,$B$11)))^2)+IF(OR(D$7="",D$8=0),0,D$8*(D$7-C$16*(1-$A61)*(1-(1-$A61)^MIN(D$6,$B$11))/($A61*MIN(D$6,$B$11)))^2)+IF(OR(E$7="",E$8=0),0,E$8*(E$7-C$16*(1-$A61)*(1-(1-$A61)^MIN(E$6,$B$11))/($A61*MIN(E$6,$B$11)))^2)</f>
        <v/>
      </c>
      <c r="D61" s="27">
        <f>IF(OR(B$7="",B$8=0),0,B$8*(B$7-D$16*(1-$A61)*(1-(1-$A61)^MIN(B$6,$B$11))/($A61*MIN(B$6,$B$11)))^2)+IF(OR(C$7="",C$8=0),0,C$8*(C$7-D$16*(1-$A61)*(1-(1-$A61)^MIN(C$6,$B$11))/($A61*MIN(C$6,$B$11)))^2)+IF(OR(D$7="",D$8=0),0,D$8*(D$7-D$16*(1-$A61)*(1-(1-$A61)^MIN(D$6,$B$11))/($A61*MIN(D$6,$B$11)))^2)+IF(OR(E$7="",E$8=0),0,E$8*(E$7-D$16*(1-$A61)*(1-(1-$A61)^MIN(E$6,$B$11))/($A61*MIN(E$6,$B$11)))^2)</f>
        <v/>
      </c>
      <c r="E61" s="27">
        <f>IF(OR(B$7="",B$8=0),0,B$8*(B$7-E$16*(1-$A61)*(1-(1-$A61)^MIN(B$6,$B$11))/($A61*MIN(B$6,$B$11)))^2)+IF(OR(C$7="",C$8=0),0,C$8*(C$7-E$16*(1-$A61)*(1-(1-$A61)^MIN(C$6,$B$11))/($A61*MIN(C$6,$B$11)))^2)+IF(OR(D$7="",D$8=0),0,D$8*(D$7-E$16*(1-$A61)*(1-(1-$A61)^MIN(D$6,$B$11))/($A61*MIN(D$6,$B$11)))^2)+IF(OR(E$7="",E$8=0),0,E$8*(E$7-E$16*(1-$A61)*(1-(1-$A61)^MIN(E$6,$B$11))/($A61*MIN(E$6,$B$11)))^2)</f>
        <v/>
      </c>
      <c r="F61" s="27">
        <f>IF(OR(B$7="",B$8=0),0,B$8*(B$7-F$16*(1-$A61)*(1-(1-$A61)^MIN(B$6,$B$11))/($A61*MIN(B$6,$B$11)))^2)+IF(OR(C$7="",C$8=0),0,C$8*(C$7-F$16*(1-$A61)*(1-(1-$A61)^MIN(C$6,$B$11))/($A61*MIN(C$6,$B$11)))^2)+IF(OR(D$7="",D$8=0),0,D$8*(D$7-F$16*(1-$A61)*(1-(1-$A61)^MIN(D$6,$B$11))/($A61*MIN(D$6,$B$11)))^2)+IF(OR(E$7="",E$8=0),0,E$8*(E$7-F$16*(1-$A61)*(1-(1-$A61)^MIN(E$6,$B$11))/($A61*MIN(E$6,$B$11)))^2)</f>
        <v/>
      </c>
      <c r="G61" s="27">
        <f>IF(OR(B$7="",B$8=0),0,B$8*(B$7-G$16*(1-$A61)*(1-(1-$A61)^MIN(B$6,$B$11))/($A61*MIN(B$6,$B$11)))^2)+IF(OR(C$7="",C$8=0),0,C$8*(C$7-G$16*(1-$A61)*(1-(1-$A61)^MIN(C$6,$B$11))/($A61*MIN(C$6,$B$11)))^2)+IF(OR(D$7="",D$8=0),0,D$8*(D$7-G$16*(1-$A61)*(1-(1-$A61)^MIN(D$6,$B$11))/($A61*MIN(D$6,$B$11)))^2)+IF(OR(E$7="",E$8=0),0,E$8*(E$7-G$16*(1-$A61)*(1-(1-$A61)^MIN(E$6,$B$11))/($A61*MIN(E$6,$B$11)))^2)</f>
        <v/>
      </c>
      <c r="H61" s="27">
        <f>IF(OR(B$7="",B$8=0),0,B$8*(B$7-H$16*(1-$A61)*(1-(1-$A61)^MIN(B$6,$B$11))/($A61*MIN(B$6,$B$11)))^2)+IF(OR(C$7="",C$8=0),0,C$8*(C$7-H$16*(1-$A61)*(1-(1-$A61)^MIN(C$6,$B$11))/($A61*MIN(C$6,$B$11)))^2)+IF(OR(D$7="",D$8=0),0,D$8*(D$7-H$16*(1-$A61)*(1-(1-$A61)^MIN(D$6,$B$11))/($A61*MIN(D$6,$B$11)))^2)+IF(OR(E$7="",E$8=0),0,E$8*(E$7-H$16*(1-$A61)*(1-(1-$A61)^MIN(E$6,$B$11))/($A61*MIN(E$6,$B$11)))^2)</f>
        <v/>
      </c>
      <c r="I61" s="27">
        <f>IF(OR(B$7="",B$8=0),0,B$8*(B$7-I$16*(1-$A61)*(1-(1-$A61)^MIN(B$6,$B$11))/($A61*MIN(B$6,$B$11)))^2)+IF(OR(C$7="",C$8=0),0,C$8*(C$7-I$16*(1-$A61)*(1-(1-$A61)^MIN(C$6,$B$11))/($A61*MIN(C$6,$B$11)))^2)+IF(OR(D$7="",D$8=0),0,D$8*(D$7-I$16*(1-$A61)*(1-(1-$A61)^MIN(D$6,$B$11))/($A61*MIN(D$6,$B$11)))^2)+IF(OR(E$7="",E$8=0),0,E$8*(E$7-I$16*(1-$A61)*(1-(1-$A61)^MIN(E$6,$B$11))/($A61*MIN(E$6,$B$11)))^2)</f>
        <v/>
      </c>
      <c r="J61" s="27">
        <f>IF(OR(B$7="",B$8=0),0,B$8*(B$7-J$16*(1-$A61)*(1-(1-$A61)^MIN(B$6,$B$11))/($A61*MIN(B$6,$B$11)))^2)+IF(OR(C$7="",C$8=0),0,C$8*(C$7-J$16*(1-$A61)*(1-(1-$A61)^MIN(C$6,$B$11))/($A61*MIN(C$6,$B$11)))^2)+IF(OR(D$7="",D$8=0),0,D$8*(D$7-J$16*(1-$A61)*(1-(1-$A61)^MIN(D$6,$B$11))/($A61*MIN(D$6,$B$11)))^2)+IF(OR(E$7="",E$8=0),0,E$8*(E$7-J$16*(1-$A61)*(1-(1-$A61)^MIN(E$6,$B$11))/($A61*MIN(E$6,$B$11)))^2)</f>
        <v/>
      </c>
      <c r="K61" s="27">
        <f>IF(OR(B$7="",B$8=0),0,B$8*(B$7-K$16*(1-$A61)*(1-(1-$A61)^MIN(B$6,$B$11))/($A61*MIN(B$6,$B$11)))^2)+IF(OR(C$7="",C$8=0),0,C$8*(C$7-K$16*(1-$A61)*(1-(1-$A61)^MIN(C$6,$B$11))/($A61*MIN(C$6,$B$11)))^2)+IF(OR(D$7="",D$8=0),0,D$8*(D$7-K$16*(1-$A61)*(1-(1-$A61)^MIN(D$6,$B$11))/($A61*MIN(D$6,$B$11)))^2)+IF(OR(E$7="",E$8=0),0,E$8*(E$7-K$16*(1-$A61)*(1-(1-$A61)^MIN(E$6,$B$11))/($A61*MIN(E$6,$B$11)))^2)</f>
        <v/>
      </c>
      <c r="L61" s="27">
        <f>IF(OR(B$7="",B$8=0),0,B$8*(B$7-L$16*(1-$A61)*(1-(1-$A61)^MIN(B$6,$B$11))/($A61*MIN(B$6,$B$11)))^2)+IF(OR(C$7="",C$8=0),0,C$8*(C$7-L$16*(1-$A61)*(1-(1-$A61)^MIN(C$6,$B$11))/($A61*MIN(C$6,$B$11)))^2)+IF(OR(D$7="",D$8=0),0,D$8*(D$7-L$16*(1-$A61)*(1-(1-$A61)^MIN(D$6,$B$11))/($A61*MIN(D$6,$B$11)))^2)+IF(OR(E$7="",E$8=0),0,E$8*(E$7-L$16*(1-$A61)*(1-(1-$A61)^MIN(E$6,$B$11))/($A61*MIN(E$6,$B$11)))^2)</f>
        <v/>
      </c>
      <c r="M61" s="27">
        <f>IF(OR(B$7="",B$8=0),0,B$8*(B$7-M$16*(1-$A61)*(1-(1-$A61)^MIN(B$6,$B$11))/($A61*MIN(B$6,$B$11)))^2)+IF(OR(C$7="",C$8=0),0,C$8*(C$7-M$16*(1-$A61)*(1-(1-$A61)^MIN(C$6,$B$11))/($A61*MIN(C$6,$B$11)))^2)+IF(OR(D$7="",D$8=0),0,D$8*(D$7-M$16*(1-$A61)*(1-(1-$A61)^MIN(D$6,$B$11))/($A61*MIN(D$6,$B$11)))^2)+IF(OR(E$7="",E$8=0),0,E$8*(E$7-M$16*(1-$A61)*(1-(1-$A61)^MIN(E$6,$B$11))/($A61*MIN(E$6,$B$11)))^2)</f>
        <v/>
      </c>
      <c r="N61" s="27">
        <f>IF(OR(B$7="",B$8=0),0,B$8*(B$7-N$16*(1-$A61)*(1-(1-$A61)^MIN(B$6,$B$11))/($A61*MIN(B$6,$B$11)))^2)+IF(OR(C$7="",C$8=0),0,C$8*(C$7-N$16*(1-$A61)*(1-(1-$A61)^MIN(C$6,$B$11))/($A61*MIN(C$6,$B$11)))^2)+IF(OR(D$7="",D$8=0),0,D$8*(D$7-N$16*(1-$A61)*(1-(1-$A61)^MIN(D$6,$B$11))/($A61*MIN(D$6,$B$11)))^2)+IF(OR(E$7="",E$8=0),0,E$8*(E$7-N$16*(1-$A61)*(1-(1-$A61)^MIN(E$6,$B$11))/($A61*MIN(E$6,$B$11)))^2)</f>
        <v/>
      </c>
      <c r="O61" s="27">
        <f>IF(OR(B$7="",B$8=0),0,B$8*(B$7-O$16*(1-$A61)*(1-(1-$A61)^MIN(B$6,$B$11))/($A61*MIN(B$6,$B$11)))^2)+IF(OR(C$7="",C$8=0),0,C$8*(C$7-O$16*(1-$A61)*(1-(1-$A61)^MIN(C$6,$B$11))/($A61*MIN(C$6,$B$11)))^2)+IF(OR(D$7="",D$8=0),0,D$8*(D$7-O$16*(1-$A61)*(1-(1-$A61)^MIN(D$6,$B$11))/($A61*MIN(D$6,$B$11)))^2)+IF(OR(E$7="",E$8=0),0,E$8*(E$7-O$16*(1-$A61)*(1-(1-$A61)^MIN(E$6,$B$11))/($A61*MIN(E$6,$B$11)))^2)</f>
        <v/>
      </c>
      <c r="P61" s="27">
        <f>IF(OR(B$7="",B$8=0),0,B$8*(B$7-P$16*(1-$A61)*(1-(1-$A61)^MIN(B$6,$B$11))/($A61*MIN(B$6,$B$11)))^2)+IF(OR(C$7="",C$8=0),0,C$8*(C$7-P$16*(1-$A61)*(1-(1-$A61)^MIN(C$6,$B$11))/($A61*MIN(C$6,$B$11)))^2)+IF(OR(D$7="",D$8=0),0,D$8*(D$7-P$16*(1-$A61)*(1-(1-$A61)^MIN(D$6,$B$11))/($A61*MIN(D$6,$B$11)))^2)+IF(OR(E$7="",E$8=0),0,E$8*(E$7-P$16*(1-$A61)*(1-(1-$A61)^MIN(E$6,$B$11))/($A61*MIN(E$6,$B$11)))^2)</f>
        <v/>
      </c>
      <c r="Q61" s="27">
        <f>IF(OR(B$7="",B$8=0),0,B$8*(B$7-Q$16*(1-$A61)*(1-(1-$A61)^MIN(B$6,$B$11))/($A61*MIN(B$6,$B$11)))^2)+IF(OR(C$7="",C$8=0),0,C$8*(C$7-Q$16*(1-$A61)*(1-(1-$A61)^MIN(C$6,$B$11))/($A61*MIN(C$6,$B$11)))^2)+IF(OR(D$7="",D$8=0),0,D$8*(D$7-Q$16*(1-$A61)*(1-(1-$A61)^MIN(D$6,$B$11))/($A61*MIN(D$6,$B$11)))^2)+IF(OR(E$7="",E$8=0),0,E$8*(E$7-Q$16*(1-$A61)*(1-(1-$A61)^MIN(E$6,$B$11))/($A61*MIN(E$6,$B$11)))^2)</f>
        <v/>
      </c>
      <c r="R61" s="27">
        <f>IF(OR(B$7="",B$8=0),0,B$8*(B$7-R$16*(1-$A61)*(1-(1-$A61)^MIN(B$6,$B$11))/($A61*MIN(B$6,$B$11)))^2)+IF(OR(C$7="",C$8=0),0,C$8*(C$7-R$16*(1-$A61)*(1-(1-$A61)^MIN(C$6,$B$11))/($A61*MIN(C$6,$B$11)))^2)+IF(OR(D$7="",D$8=0),0,D$8*(D$7-R$16*(1-$A61)*(1-(1-$A61)^MIN(D$6,$B$11))/($A61*MIN(D$6,$B$11)))^2)+IF(OR(E$7="",E$8=0),0,E$8*(E$7-R$16*(1-$A61)*(1-(1-$A61)^MIN(E$6,$B$11))/($A61*MIN(E$6,$B$11)))^2)</f>
        <v/>
      </c>
      <c r="S61" s="27">
        <f>IF(OR(B$7="",B$8=0),0,B$8*(B$7-S$16*(1-$A61)*(1-(1-$A61)^MIN(B$6,$B$11))/($A61*MIN(B$6,$B$11)))^2)+IF(OR(C$7="",C$8=0),0,C$8*(C$7-S$16*(1-$A61)*(1-(1-$A61)^MIN(C$6,$B$11))/($A61*MIN(C$6,$B$11)))^2)+IF(OR(D$7="",D$8=0),0,D$8*(D$7-S$16*(1-$A61)*(1-(1-$A61)^MIN(D$6,$B$11))/($A61*MIN(D$6,$B$11)))^2)+IF(OR(E$7="",E$8=0),0,E$8*(E$7-S$16*(1-$A61)*(1-(1-$A61)^MIN(E$6,$B$11))/($A61*MIN(E$6,$B$11)))^2)</f>
        <v/>
      </c>
      <c r="U61" s="27">
        <f>MIN(B61:S61)</f>
        <v/>
      </c>
      <c r="V61" s="17">
        <f>MATCH(U61,B61:S61,0)</f>
        <v/>
      </c>
    </row>
    <row r="62">
      <c r="A62" s="26" t="n">
        <v>0.0275</v>
      </c>
      <c r="B62" s="27">
        <f>IF(OR(B$7="",B$8=0),0,B$8*(B$7-B$16*(1-$A62)*(1-(1-$A62)^MIN(B$6,$B$11))/($A62*MIN(B$6,$B$11)))^2)+IF(OR(C$7="",C$8=0),0,C$8*(C$7-B$16*(1-$A62)*(1-(1-$A62)^MIN(C$6,$B$11))/($A62*MIN(C$6,$B$11)))^2)+IF(OR(D$7="",D$8=0),0,D$8*(D$7-B$16*(1-$A62)*(1-(1-$A62)^MIN(D$6,$B$11))/($A62*MIN(D$6,$B$11)))^2)+IF(OR(E$7="",E$8=0),0,E$8*(E$7-B$16*(1-$A62)*(1-(1-$A62)^MIN(E$6,$B$11))/($A62*MIN(E$6,$B$11)))^2)</f>
        <v/>
      </c>
      <c r="C62" s="27">
        <f>IF(OR(B$7="",B$8=0),0,B$8*(B$7-C$16*(1-$A62)*(1-(1-$A62)^MIN(B$6,$B$11))/($A62*MIN(B$6,$B$11)))^2)+IF(OR(C$7="",C$8=0),0,C$8*(C$7-C$16*(1-$A62)*(1-(1-$A62)^MIN(C$6,$B$11))/($A62*MIN(C$6,$B$11)))^2)+IF(OR(D$7="",D$8=0),0,D$8*(D$7-C$16*(1-$A62)*(1-(1-$A62)^MIN(D$6,$B$11))/($A62*MIN(D$6,$B$11)))^2)+IF(OR(E$7="",E$8=0),0,E$8*(E$7-C$16*(1-$A62)*(1-(1-$A62)^MIN(E$6,$B$11))/($A62*MIN(E$6,$B$11)))^2)</f>
        <v/>
      </c>
      <c r="D62" s="27">
        <f>IF(OR(B$7="",B$8=0),0,B$8*(B$7-D$16*(1-$A62)*(1-(1-$A62)^MIN(B$6,$B$11))/($A62*MIN(B$6,$B$11)))^2)+IF(OR(C$7="",C$8=0),0,C$8*(C$7-D$16*(1-$A62)*(1-(1-$A62)^MIN(C$6,$B$11))/($A62*MIN(C$6,$B$11)))^2)+IF(OR(D$7="",D$8=0),0,D$8*(D$7-D$16*(1-$A62)*(1-(1-$A62)^MIN(D$6,$B$11))/($A62*MIN(D$6,$B$11)))^2)+IF(OR(E$7="",E$8=0),0,E$8*(E$7-D$16*(1-$A62)*(1-(1-$A62)^MIN(E$6,$B$11))/($A62*MIN(E$6,$B$11)))^2)</f>
        <v/>
      </c>
      <c r="E62" s="27">
        <f>IF(OR(B$7="",B$8=0),0,B$8*(B$7-E$16*(1-$A62)*(1-(1-$A62)^MIN(B$6,$B$11))/($A62*MIN(B$6,$B$11)))^2)+IF(OR(C$7="",C$8=0),0,C$8*(C$7-E$16*(1-$A62)*(1-(1-$A62)^MIN(C$6,$B$11))/($A62*MIN(C$6,$B$11)))^2)+IF(OR(D$7="",D$8=0),0,D$8*(D$7-E$16*(1-$A62)*(1-(1-$A62)^MIN(D$6,$B$11))/($A62*MIN(D$6,$B$11)))^2)+IF(OR(E$7="",E$8=0),0,E$8*(E$7-E$16*(1-$A62)*(1-(1-$A62)^MIN(E$6,$B$11))/($A62*MIN(E$6,$B$11)))^2)</f>
        <v/>
      </c>
      <c r="F62" s="27">
        <f>IF(OR(B$7="",B$8=0),0,B$8*(B$7-F$16*(1-$A62)*(1-(1-$A62)^MIN(B$6,$B$11))/($A62*MIN(B$6,$B$11)))^2)+IF(OR(C$7="",C$8=0),0,C$8*(C$7-F$16*(1-$A62)*(1-(1-$A62)^MIN(C$6,$B$11))/($A62*MIN(C$6,$B$11)))^2)+IF(OR(D$7="",D$8=0),0,D$8*(D$7-F$16*(1-$A62)*(1-(1-$A62)^MIN(D$6,$B$11))/($A62*MIN(D$6,$B$11)))^2)+IF(OR(E$7="",E$8=0),0,E$8*(E$7-F$16*(1-$A62)*(1-(1-$A62)^MIN(E$6,$B$11))/($A62*MIN(E$6,$B$11)))^2)</f>
        <v/>
      </c>
      <c r="G62" s="27">
        <f>IF(OR(B$7="",B$8=0),0,B$8*(B$7-G$16*(1-$A62)*(1-(1-$A62)^MIN(B$6,$B$11))/($A62*MIN(B$6,$B$11)))^2)+IF(OR(C$7="",C$8=0),0,C$8*(C$7-G$16*(1-$A62)*(1-(1-$A62)^MIN(C$6,$B$11))/($A62*MIN(C$6,$B$11)))^2)+IF(OR(D$7="",D$8=0),0,D$8*(D$7-G$16*(1-$A62)*(1-(1-$A62)^MIN(D$6,$B$11))/($A62*MIN(D$6,$B$11)))^2)+IF(OR(E$7="",E$8=0),0,E$8*(E$7-G$16*(1-$A62)*(1-(1-$A62)^MIN(E$6,$B$11))/($A62*MIN(E$6,$B$11)))^2)</f>
        <v/>
      </c>
      <c r="H62" s="27">
        <f>IF(OR(B$7="",B$8=0),0,B$8*(B$7-H$16*(1-$A62)*(1-(1-$A62)^MIN(B$6,$B$11))/($A62*MIN(B$6,$B$11)))^2)+IF(OR(C$7="",C$8=0),0,C$8*(C$7-H$16*(1-$A62)*(1-(1-$A62)^MIN(C$6,$B$11))/($A62*MIN(C$6,$B$11)))^2)+IF(OR(D$7="",D$8=0),0,D$8*(D$7-H$16*(1-$A62)*(1-(1-$A62)^MIN(D$6,$B$11))/($A62*MIN(D$6,$B$11)))^2)+IF(OR(E$7="",E$8=0),0,E$8*(E$7-H$16*(1-$A62)*(1-(1-$A62)^MIN(E$6,$B$11))/($A62*MIN(E$6,$B$11)))^2)</f>
        <v/>
      </c>
      <c r="I62" s="27">
        <f>IF(OR(B$7="",B$8=0),0,B$8*(B$7-I$16*(1-$A62)*(1-(1-$A62)^MIN(B$6,$B$11))/($A62*MIN(B$6,$B$11)))^2)+IF(OR(C$7="",C$8=0),0,C$8*(C$7-I$16*(1-$A62)*(1-(1-$A62)^MIN(C$6,$B$11))/($A62*MIN(C$6,$B$11)))^2)+IF(OR(D$7="",D$8=0),0,D$8*(D$7-I$16*(1-$A62)*(1-(1-$A62)^MIN(D$6,$B$11))/($A62*MIN(D$6,$B$11)))^2)+IF(OR(E$7="",E$8=0),0,E$8*(E$7-I$16*(1-$A62)*(1-(1-$A62)^MIN(E$6,$B$11))/($A62*MIN(E$6,$B$11)))^2)</f>
        <v/>
      </c>
      <c r="J62" s="27">
        <f>IF(OR(B$7="",B$8=0),0,B$8*(B$7-J$16*(1-$A62)*(1-(1-$A62)^MIN(B$6,$B$11))/($A62*MIN(B$6,$B$11)))^2)+IF(OR(C$7="",C$8=0),0,C$8*(C$7-J$16*(1-$A62)*(1-(1-$A62)^MIN(C$6,$B$11))/($A62*MIN(C$6,$B$11)))^2)+IF(OR(D$7="",D$8=0),0,D$8*(D$7-J$16*(1-$A62)*(1-(1-$A62)^MIN(D$6,$B$11))/($A62*MIN(D$6,$B$11)))^2)+IF(OR(E$7="",E$8=0),0,E$8*(E$7-J$16*(1-$A62)*(1-(1-$A62)^MIN(E$6,$B$11))/($A62*MIN(E$6,$B$11)))^2)</f>
        <v/>
      </c>
      <c r="K62" s="27">
        <f>IF(OR(B$7="",B$8=0),0,B$8*(B$7-K$16*(1-$A62)*(1-(1-$A62)^MIN(B$6,$B$11))/($A62*MIN(B$6,$B$11)))^2)+IF(OR(C$7="",C$8=0),0,C$8*(C$7-K$16*(1-$A62)*(1-(1-$A62)^MIN(C$6,$B$11))/($A62*MIN(C$6,$B$11)))^2)+IF(OR(D$7="",D$8=0),0,D$8*(D$7-K$16*(1-$A62)*(1-(1-$A62)^MIN(D$6,$B$11))/($A62*MIN(D$6,$B$11)))^2)+IF(OR(E$7="",E$8=0),0,E$8*(E$7-K$16*(1-$A62)*(1-(1-$A62)^MIN(E$6,$B$11))/($A62*MIN(E$6,$B$11)))^2)</f>
        <v/>
      </c>
      <c r="L62" s="27">
        <f>IF(OR(B$7="",B$8=0),0,B$8*(B$7-L$16*(1-$A62)*(1-(1-$A62)^MIN(B$6,$B$11))/($A62*MIN(B$6,$B$11)))^2)+IF(OR(C$7="",C$8=0),0,C$8*(C$7-L$16*(1-$A62)*(1-(1-$A62)^MIN(C$6,$B$11))/($A62*MIN(C$6,$B$11)))^2)+IF(OR(D$7="",D$8=0),0,D$8*(D$7-L$16*(1-$A62)*(1-(1-$A62)^MIN(D$6,$B$11))/($A62*MIN(D$6,$B$11)))^2)+IF(OR(E$7="",E$8=0),0,E$8*(E$7-L$16*(1-$A62)*(1-(1-$A62)^MIN(E$6,$B$11))/($A62*MIN(E$6,$B$11)))^2)</f>
        <v/>
      </c>
      <c r="M62" s="27">
        <f>IF(OR(B$7="",B$8=0),0,B$8*(B$7-M$16*(1-$A62)*(1-(1-$A62)^MIN(B$6,$B$11))/($A62*MIN(B$6,$B$11)))^2)+IF(OR(C$7="",C$8=0),0,C$8*(C$7-M$16*(1-$A62)*(1-(1-$A62)^MIN(C$6,$B$11))/($A62*MIN(C$6,$B$11)))^2)+IF(OR(D$7="",D$8=0),0,D$8*(D$7-M$16*(1-$A62)*(1-(1-$A62)^MIN(D$6,$B$11))/($A62*MIN(D$6,$B$11)))^2)+IF(OR(E$7="",E$8=0),0,E$8*(E$7-M$16*(1-$A62)*(1-(1-$A62)^MIN(E$6,$B$11))/($A62*MIN(E$6,$B$11)))^2)</f>
        <v/>
      </c>
      <c r="N62" s="27">
        <f>IF(OR(B$7="",B$8=0),0,B$8*(B$7-N$16*(1-$A62)*(1-(1-$A62)^MIN(B$6,$B$11))/($A62*MIN(B$6,$B$11)))^2)+IF(OR(C$7="",C$8=0),0,C$8*(C$7-N$16*(1-$A62)*(1-(1-$A62)^MIN(C$6,$B$11))/($A62*MIN(C$6,$B$11)))^2)+IF(OR(D$7="",D$8=0),0,D$8*(D$7-N$16*(1-$A62)*(1-(1-$A62)^MIN(D$6,$B$11))/($A62*MIN(D$6,$B$11)))^2)+IF(OR(E$7="",E$8=0),0,E$8*(E$7-N$16*(1-$A62)*(1-(1-$A62)^MIN(E$6,$B$11))/($A62*MIN(E$6,$B$11)))^2)</f>
        <v/>
      </c>
      <c r="O62" s="27">
        <f>IF(OR(B$7="",B$8=0),0,B$8*(B$7-O$16*(1-$A62)*(1-(1-$A62)^MIN(B$6,$B$11))/($A62*MIN(B$6,$B$11)))^2)+IF(OR(C$7="",C$8=0),0,C$8*(C$7-O$16*(1-$A62)*(1-(1-$A62)^MIN(C$6,$B$11))/($A62*MIN(C$6,$B$11)))^2)+IF(OR(D$7="",D$8=0),0,D$8*(D$7-O$16*(1-$A62)*(1-(1-$A62)^MIN(D$6,$B$11))/($A62*MIN(D$6,$B$11)))^2)+IF(OR(E$7="",E$8=0),0,E$8*(E$7-O$16*(1-$A62)*(1-(1-$A62)^MIN(E$6,$B$11))/($A62*MIN(E$6,$B$11)))^2)</f>
        <v/>
      </c>
      <c r="P62" s="27">
        <f>IF(OR(B$7="",B$8=0),0,B$8*(B$7-P$16*(1-$A62)*(1-(1-$A62)^MIN(B$6,$B$11))/($A62*MIN(B$6,$B$11)))^2)+IF(OR(C$7="",C$8=0),0,C$8*(C$7-P$16*(1-$A62)*(1-(1-$A62)^MIN(C$6,$B$11))/($A62*MIN(C$6,$B$11)))^2)+IF(OR(D$7="",D$8=0),0,D$8*(D$7-P$16*(1-$A62)*(1-(1-$A62)^MIN(D$6,$B$11))/($A62*MIN(D$6,$B$11)))^2)+IF(OR(E$7="",E$8=0),0,E$8*(E$7-P$16*(1-$A62)*(1-(1-$A62)^MIN(E$6,$B$11))/($A62*MIN(E$6,$B$11)))^2)</f>
        <v/>
      </c>
      <c r="Q62" s="27">
        <f>IF(OR(B$7="",B$8=0),0,B$8*(B$7-Q$16*(1-$A62)*(1-(1-$A62)^MIN(B$6,$B$11))/($A62*MIN(B$6,$B$11)))^2)+IF(OR(C$7="",C$8=0),0,C$8*(C$7-Q$16*(1-$A62)*(1-(1-$A62)^MIN(C$6,$B$11))/($A62*MIN(C$6,$B$11)))^2)+IF(OR(D$7="",D$8=0),0,D$8*(D$7-Q$16*(1-$A62)*(1-(1-$A62)^MIN(D$6,$B$11))/($A62*MIN(D$6,$B$11)))^2)+IF(OR(E$7="",E$8=0),0,E$8*(E$7-Q$16*(1-$A62)*(1-(1-$A62)^MIN(E$6,$B$11))/($A62*MIN(E$6,$B$11)))^2)</f>
        <v/>
      </c>
      <c r="R62" s="27">
        <f>IF(OR(B$7="",B$8=0),0,B$8*(B$7-R$16*(1-$A62)*(1-(1-$A62)^MIN(B$6,$B$11))/($A62*MIN(B$6,$B$11)))^2)+IF(OR(C$7="",C$8=0),0,C$8*(C$7-R$16*(1-$A62)*(1-(1-$A62)^MIN(C$6,$B$11))/($A62*MIN(C$6,$B$11)))^2)+IF(OR(D$7="",D$8=0),0,D$8*(D$7-R$16*(1-$A62)*(1-(1-$A62)^MIN(D$6,$B$11))/($A62*MIN(D$6,$B$11)))^2)+IF(OR(E$7="",E$8=0),0,E$8*(E$7-R$16*(1-$A62)*(1-(1-$A62)^MIN(E$6,$B$11))/($A62*MIN(E$6,$B$11)))^2)</f>
        <v/>
      </c>
      <c r="S62" s="27">
        <f>IF(OR(B$7="",B$8=0),0,B$8*(B$7-S$16*(1-$A62)*(1-(1-$A62)^MIN(B$6,$B$11))/($A62*MIN(B$6,$B$11)))^2)+IF(OR(C$7="",C$8=0),0,C$8*(C$7-S$16*(1-$A62)*(1-(1-$A62)^MIN(C$6,$B$11))/($A62*MIN(C$6,$B$11)))^2)+IF(OR(D$7="",D$8=0),0,D$8*(D$7-S$16*(1-$A62)*(1-(1-$A62)^MIN(D$6,$B$11))/($A62*MIN(D$6,$B$11)))^2)+IF(OR(E$7="",E$8=0),0,E$8*(E$7-S$16*(1-$A62)*(1-(1-$A62)^MIN(E$6,$B$11))/($A62*MIN(E$6,$B$11)))^2)</f>
        <v/>
      </c>
      <c r="U62" s="27">
        <f>MIN(B62:S62)</f>
        <v/>
      </c>
      <c r="V62" s="17">
        <f>MATCH(U62,B62:S62,0)</f>
        <v/>
      </c>
    </row>
    <row r="63">
      <c r="A63" s="26" t="n">
        <v>0.028</v>
      </c>
      <c r="B63" s="27">
        <f>IF(OR(B$7="",B$8=0),0,B$8*(B$7-B$16*(1-$A63)*(1-(1-$A63)^MIN(B$6,$B$11))/($A63*MIN(B$6,$B$11)))^2)+IF(OR(C$7="",C$8=0),0,C$8*(C$7-B$16*(1-$A63)*(1-(1-$A63)^MIN(C$6,$B$11))/($A63*MIN(C$6,$B$11)))^2)+IF(OR(D$7="",D$8=0),0,D$8*(D$7-B$16*(1-$A63)*(1-(1-$A63)^MIN(D$6,$B$11))/($A63*MIN(D$6,$B$11)))^2)+IF(OR(E$7="",E$8=0),0,E$8*(E$7-B$16*(1-$A63)*(1-(1-$A63)^MIN(E$6,$B$11))/($A63*MIN(E$6,$B$11)))^2)</f>
        <v/>
      </c>
      <c r="C63" s="27">
        <f>IF(OR(B$7="",B$8=0),0,B$8*(B$7-C$16*(1-$A63)*(1-(1-$A63)^MIN(B$6,$B$11))/($A63*MIN(B$6,$B$11)))^2)+IF(OR(C$7="",C$8=0),0,C$8*(C$7-C$16*(1-$A63)*(1-(1-$A63)^MIN(C$6,$B$11))/($A63*MIN(C$6,$B$11)))^2)+IF(OR(D$7="",D$8=0),0,D$8*(D$7-C$16*(1-$A63)*(1-(1-$A63)^MIN(D$6,$B$11))/($A63*MIN(D$6,$B$11)))^2)+IF(OR(E$7="",E$8=0),0,E$8*(E$7-C$16*(1-$A63)*(1-(1-$A63)^MIN(E$6,$B$11))/($A63*MIN(E$6,$B$11)))^2)</f>
        <v/>
      </c>
      <c r="D63" s="27">
        <f>IF(OR(B$7="",B$8=0),0,B$8*(B$7-D$16*(1-$A63)*(1-(1-$A63)^MIN(B$6,$B$11))/($A63*MIN(B$6,$B$11)))^2)+IF(OR(C$7="",C$8=0),0,C$8*(C$7-D$16*(1-$A63)*(1-(1-$A63)^MIN(C$6,$B$11))/($A63*MIN(C$6,$B$11)))^2)+IF(OR(D$7="",D$8=0),0,D$8*(D$7-D$16*(1-$A63)*(1-(1-$A63)^MIN(D$6,$B$11))/($A63*MIN(D$6,$B$11)))^2)+IF(OR(E$7="",E$8=0),0,E$8*(E$7-D$16*(1-$A63)*(1-(1-$A63)^MIN(E$6,$B$11))/($A63*MIN(E$6,$B$11)))^2)</f>
        <v/>
      </c>
      <c r="E63" s="27">
        <f>IF(OR(B$7="",B$8=0),0,B$8*(B$7-E$16*(1-$A63)*(1-(1-$A63)^MIN(B$6,$B$11))/($A63*MIN(B$6,$B$11)))^2)+IF(OR(C$7="",C$8=0),0,C$8*(C$7-E$16*(1-$A63)*(1-(1-$A63)^MIN(C$6,$B$11))/($A63*MIN(C$6,$B$11)))^2)+IF(OR(D$7="",D$8=0),0,D$8*(D$7-E$16*(1-$A63)*(1-(1-$A63)^MIN(D$6,$B$11))/($A63*MIN(D$6,$B$11)))^2)+IF(OR(E$7="",E$8=0),0,E$8*(E$7-E$16*(1-$A63)*(1-(1-$A63)^MIN(E$6,$B$11))/($A63*MIN(E$6,$B$11)))^2)</f>
        <v/>
      </c>
      <c r="F63" s="27">
        <f>IF(OR(B$7="",B$8=0),0,B$8*(B$7-F$16*(1-$A63)*(1-(1-$A63)^MIN(B$6,$B$11))/($A63*MIN(B$6,$B$11)))^2)+IF(OR(C$7="",C$8=0),0,C$8*(C$7-F$16*(1-$A63)*(1-(1-$A63)^MIN(C$6,$B$11))/($A63*MIN(C$6,$B$11)))^2)+IF(OR(D$7="",D$8=0),0,D$8*(D$7-F$16*(1-$A63)*(1-(1-$A63)^MIN(D$6,$B$11))/($A63*MIN(D$6,$B$11)))^2)+IF(OR(E$7="",E$8=0),0,E$8*(E$7-F$16*(1-$A63)*(1-(1-$A63)^MIN(E$6,$B$11))/($A63*MIN(E$6,$B$11)))^2)</f>
        <v/>
      </c>
      <c r="G63" s="27">
        <f>IF(OR(B$7="",B$8=0),0,B$8*(B$7-G$16*(1-$A63)*(1-(1-$A63)^MIN(B$6,$B$11))/($A63*MIN(B$6,$B$11)))^2)+IF(OR(C$7="",C$8=0),0,C$8*(C$7-G$16*(1-$A63)*(1-(1-$A63)^MIN(C$6,$B$11))/($A63*MIN(C$6,$B$11)))^2)+IF(OR(D$7="",D$8=0),0,D$8*(D$7-G$16*(1-$A63)*(1-(1-$A63)^MIN(D$6,$B$11))/($A63*MIN(D$6,$B$11)))^2)+IF(OR(E$7="",E$8=0),0,E$8*(E$7-G$16*(1-$A63)*(1-(1-$A63)^MIN(E$6,$B$11))/($A63*MIN(E$6,$B$11)))^2)</f>
        <v/>
      </c>
      <c r="H63" s="27">
        <f>IF(OR(B$7="",B$8=0),0,B$8*(B$7-H$16*(1-$A63)*(1-(1-$A63)^MIN(B$6,$B$11))/($A63*MIN(B$6,$B$11)))^2)+IF(OR(C$7="",C$8=0),0,C$8*(C$7-H$16*(1-$A63)*(1-(1-$A63)^MIN(C$6,$B$11))/($A63*MIN(C$6,$B$11)))^2)+IF(OR(D$7="",D$8=0),0,D$8*(D$7-H$16*(1-$A63)*(1-(1-$A63)^MIN(D$6,$B$11))/($A63*MIN(D$6,$B$11)))^2)+IF(OR(E$7="",E$8=0),0,E$8*(E$7-H$16*(1-$A63)*(1-(1-$A63)^MIN(E$6,$B$11))/($A63*MIN(E$6,$B$11)))^2)</f>
        <v/>
      </c>
      <c r="I63" s="27">
        <f>IF(OR(B$7="",B$8=0),0,B$8*(B$7-I$16*(1-$A63)*(1-(1-$A63)^MIN(B$6,$B$11))/($A63*MIN(B$6,$B$11)))^2)+IF(OR(C$7="",C$8=0),0,C$8*(C$7-I$16*(1-$A63)*(1-(1-$A63)^MIN(C$6,$B$11))/($A63*MIN(C$6,$B$11)))^2)+IF(OR(D$7="",D$8=0),0,D$8*(D$7-I$16*(1-$A63)*(1-(1-$A63)^MIN(D$6,$B$11))/($A63*MIN(D$6,$B$11)))^2)+IF(OR(E$7="",E$8=0),0,E$8*(E$7-I$16*(1-$A63)*(1-(1-$A63)^MIN(E$6,$B$11))/($A63*MIN(E$6,$B$11)))^2)</f>
        <v/>
      </c>
      <c r="J63" s="27">
        <f>IF(OR(B$7="",B$8=0),0,B$8*(B$7-J$16*(1-$A63)*(1-(1-$A63)^MIN(B$6,$B$11))/($A63*MIN(B$6,$B$11)))^2)+IF(OR(C$7="",C$8=0),0,C$8*(C$7-J$16*(1-$A63)*(1-(1-$A63)^MIN(C$6,$B$11))/($A63*MIN(C$6,$B$11)))^2)+IF(OR(D$7="",D$8=0),0,D$8*(D$7-J$16*(1-$A63)*(1-(1-$A63)^MIN(D$6,$B$11))/($A63*MIN(D$6,$B$11)))^2)+IF(OR(E$7="",E$8=0),0,E$8*(E$7-J$16*(1-$A63)*(1-(1-$A63)^MIN(E$6,$B$11))/($A63*MIN(E$6,$B$11)))^2)</f>
        <v/>
      </c>
      <c r="K63" s="27">
        <f>IF(OR(B$7="",B$8=0),0,B$8*(B$7-K$16*(1-$A63)*(1-(1-$A63)^MIN(B$6,$B$11))/($A63*MIN(B$6,$B$11)))^2)+IF(OR(C$7="",C$8=0),0,C$8*(C$7-K$16*(1-$A63)*(1-(1-$A63)^MIN(C$6,$B$11))/($A63*MIN(C$6,$B$11)))^2)+IF(OR(D$7="",D$8=0),0,D$8*(D$7-K$16*(1-$A63)*(1-(1-$A63)^MIN(D$6,$B$11))/($A63*MIN(D$6,$B$11)))^2)+IF(OR(E$7="",E$8=0),0,E$8*(E$7-K$16*(1-$A63)*(1-(1-$A63)^MIN(E$6,$B$11))/($A63*MIN(E$6,$B$11)))^2)</f>
        <v/>
      </c>
      <c r="L63" s="27">
        <f>IF(OR(B$7="",B$8=0),0,B$8*(B$7-L$16*(1-$A63)*(1-(1-$A63)^MIN(B$6,$B$11))/($A63*MIN(B$6,$B$11)))^2)+IF(OR(C$7="",C$8=0),0,C$8*(C$7-L$16*(1-$A63)*(1-(1-$A63)^MIN(C$6,$B$11))/($A63*MIN(C$6,$B$11)))^2)+IF(OR(D$7="",D$8=0),0,D$8*(D$7-L$16*(1-$A63)*(1-(1-$A63)^MIN(D$6,$B$11))/($A63*MIN(D$6,$B$11)))^2)+IF(OR(E$7="",E$8=0),0,E$8*(E$7-L$16*(1-$A63)*(1-(1-$A63)^MIN(E$6,$B$11))/($A63*MIN(E$6,$B$11)))^2)</f>
        <v/>
      </c>
      <c r="M63" s="27">
        <f>IF(OR(B$7="",B$8=0),0,B$8*(B$7-M$16*(1-$A63)*(1-(1-$A63)^MIN(B$6,$B$11))/($A63*MIN(B$6,$B$11)))^2)+IF(OR(C$7="",C$8=0),0,C$8*(C$7-M$16*(1-$A63)*(1-(1-$A63)^MIN(C$6,$B$11))/($A63*MIN(C$6,$B$11)))^2)+IF(OR(D$7="",D$8=0),0,D$8*(D$7-M$16*(1-$A63)*(1-(1-$A63)^MIN(D$6,$B$11))/($A63*MIN(D$6,$B$11)))^2)+IF(OR(E$7="",E$8=0),0,E$8*(E$7-M$16*(1-$A63)*(1-(1-$A63)^MIN(E$6,$B$11))/($A63*MIN(E$6,$B$11)))^2)</f>
        <v/>
      </c>
      <c r="N63" s="27">
        <f>IF(OR(B$7="",B$8=0),0,B$8*(B$7-N$16*(1-$A63)*(1-(1-$A63)^MIN(B$6,$B$11))/($A63*MIN(B$6,$B$11)))^2)+IF(OR(C$7="",C$8=0),0,C$8*(C$7-N$16*(1-$A63)*(1-(1-$A63)^MIN(C$6,$B$11))/($A63*MIN(C$6,$B$11)))^2)+IF(OR(D$7="",D$8=0),0,D$8*(D$7-N$16*(1-$A63)*(1-(1-$A63)^MIN(D$6,$B$11))/($A63*MIN(D$6,$B$11)))^2)+IF(OR(E$7="",E$8=0),0,E$8*(E$7-N$16*(1-$A63)*(1-(1-$A63)^MIN(E$6,$B$11))/($A63*MIN(E$6,$B$11)))^2)</f>
        <v/>
      </c>
      <c r="O63" s="27">
        <f>IF(OR(B$7="",B$8=0),0,B$8*(B$7-O$16*(1-$A63)*(1-(1-$A63)^MIN(B$6,$B$11))/($A63*MIN(B$6,$B$11)))^2)+IF(OR(C$7="",C$8=0),0,C$8*(C$7-O$16*(1-$A63)*(1-(1-$A63)^MIN(C$6,$B$11))/($A63*MIN(C$6,$B$11)))^2)+IF(OR(D$7="",D$8=0),0,D$8*(D$7-O$16*(1-$A63)*(1-(1-$A63)^MIN(D$6,$B$11))/($A63*MIN(D$6,$B$11)))^2)+IF(OR(E$7="",E$8=0),0,E$8*(E$7-O$16*(1-$A63)*(1-(1-$A63)^MIN(E$6,$B$11))/($A63*MIN(E$6,$B$11)))^2)</f>
        <v/>
      </c>
      <c r="P63" s="27">
        <f>IF(OR(B$7="",B$8=0),0,B$8*(B$7-P$16*(1-$A63)*(1-(1-$A63)^MIN(B$6,$B$11))/($A63*MIN(B$6,$B$11)))^2)+IF(OR(C$7="",C$8=0),0,C$8*(C$7-P$16*(1-$A63)*(1-(1-$A63)^MIN(C$6,$B$11))/($A63*MIN(C$6,$B$11)))^2)+IF(OR(D$7="",D$8=0),0,D$8*(D$7-P$16*(1-$A63)*(1-(1-$A63)^MIN(D$6,$B$11))/($A63*MIN(D$6,$B$11)))^2)+IF(OR(E$7="",E$8=0),0,E$8*(E$7-P$16*(1-$A63)*(1-(1-$A63)^MIN(E$6,$B$11))/($A63*MIN(E$6,$B$11)))^2)</f>
        <v/>
      </c>
      <c r="Q63" s="27">
        <f>IF(OR(B$7="",B$8=0),0,B$8*(B$7-Q$16*(1-$A63)*(1-(1-$A63)^MIN(B$6,$B$11))/($A63*MIN(B$6,$B$11)))^2)+IF(OR(C$7="",C$8=0),0,C$8*(C$7-Q$16*(1-$A63)*(1-(1-$A63)^MIN(C$6,$B$11))/($A63*MIN(C$6,$B$11)))^2)+IF(OR(D$7="",D$8=0),0,D$8*(D$7-Q$16*(1-$A63)*(1-(1-$A63)^MIN(D$6,$B$11))/($A63*MIN(D$6,$B$11)))^2)+IF(OR(E$7="",E$8=0),0,E$8*(E$7-Q$16*(1-$A63)*(1-(1-$A63)^MIN(E$6,$B$11))/($A63*MIN(E$6,$B$11)))^2)</f>
        <v/>
      </c>
      <c r="R63" s="27">
        <f>IF(OR(B$7="",B$8=0),0,B$8*(B$7-R$16*(1-$A63)*(1-(1-$A63)^MIN(B$6,$B$11))/($A63*MIN(B$6,$B$11)))^2)+IF(OR(C$7="",C$8=0),0,C$8*(C$7-R$16*(1-$A63)*(1-(1-$A63)^MIN(C$6,$B$11))/($A63*MIN(C$6,$B$11)))^2)+IF(OR(D$7="",D$8=0),0,D$8*(D$7-R$16*(1-$A63)*(1-(1-$A63)^MIN(D$6,$B$11))/($A63*MIN(D$6,$B$11)))^2)+IF(OR(E$7="",E$8=0),0,E$8*(E$7-R$16*(1-$A63)*(1-(1-$A63)^MIN(E$6,$B$11))/($A63*MIN(E$6,$B$11)))^2)</f>
        <v/>
      </c>
      <c r="S63" s="27">
        <f>IF(OR(B$7="",B$8=0),0,B$8*(B$7-S$16*(1-$A63)*(1-(1-$A63)^MIN(B$6,$B$11))/($A63*MIN(B$6,$B$11)))^2)+IF(OR(C$7="",C$8=0),0,C$8*(C$7-S$16*(1-$A63)*(1-(1-$A63)^MIN(C$6,$B$11))/($A63*MIN(C$6,$B$11)))^2)+IF(OR(D$7="",D$8=0),0,D$8*(D$7-S$16*(1-$A63)*(1-(1-$A63)^MIN(D$6,$B$11))/($A63*MIN(D$6,$B$11)))^2)+IF(OR(E$7="",E$8=0),0,E$8*(E$7-S$16*(1-$A63)*(1-(1-$A63)^MIN(E$6,$B$11))/($A63*MIN(E$6,$B$11)))^2)</f>
        <v/>
      </c>
      <c r="U63" s="27">
        <f>MIN(B63:S63)</f>
        <v/>
      </c>
      <c r="V63" s="17">
        <f>MATCH(U63,B63:S63,0)</f>
        <v/>
      </c>
    </row>
    <row r="64">
      <c r="A64" s="26" t="n">
        <v>0.0285</v>
      </c>
      <c r="B64" s="27">
        <f>IF(OR(B$7="",B$8=0),0,B$8*(B$7-B$16*(1-$A64)*(1-(1-$A64)^MIN(B$6,$B$11))/($A64*MIN(B$6,$B$11)))^2)+IF(OR(C$7="",C$8=0),0,C$8*(C$7-B$16*(1-$A64)*(1-(1-$A64)^MIN(C$6,$B$11))/($A64*MIN(C$6,$B$11)))^2)+IF(OR(D$7="",D$8=0),0,D$8*(D$7-B$16*(1-$A64)*(1-(1-$A64)^MIN(D$6,$B$11))/($A64*MIN(D$6,$B$11)))^2)+IF(OR(E$7="",E$8=0),0,E$8*(E$7-B$16*(1-$A64)*(1-(1-$A64)^MIN(E$6,$B$11))/($A64*MIN(E$6,$B$11)))^2)</f>
        <v/>
      </c>
      <c r="C64" s="27">
        <f>IF(OR(B$7="",B$8=0),0,B$8*(B$7-C$16*(1-$A64)*(1-(1-$A64)^MIN(B$6,$B$11))/($A64*MIN(B$6,$B$11)))^2)+IF(OR(C$7="",C$8=0),0,C$8*(C$7-C$16*(1-$A64)*(1-(1-$A64)^MIN(C$6,$B$11))/($A64*MIN(C$6,$B$11)))^2)+IF(OR(D$7="",D$8=0),0,D$8*(D$7-C$16*(1-$A64)*(1-(1-$A64)^MIN(D$6,$B$11))/($A64*MIN(D$6,$B$11)))^2)+IF(OR(E$7="",E$8=0),0,E$8*(E$7-C$16*(1-$A64)*(1-(1-$A64)^MIN(E$6,$B$11))/($A64*MIN(E$6,$B$11)))^2)</f>
        <v/>
      </c>
      <c r="D64" s="27">
        <f>IF(OR(B$7="",B$8=0),0,B$8*(B$7-D$16*(1-$A64)*(1-(1-$A64)^MIN(B$6,$B$11))/($A64*MIN(B$6,$B$11)))^2)+IF(OR(C$7="",C$8=0),0,C$8*(C$7-D$16*(1-$A64)*(1-(1-$A64)^MIN(C$6,$B$11))/($A64*MIN(C$6,$B$11)))^2)+IF(OR(D$7="",D$8=0),0,D$8*(D$7-D$16*(1-$A64)*(1-(1-$A64)^MIN(D$6,$B$11))/($A64*MIN(D$6,$B$11)))^2)+IF(OR(E$7="",E$8=0),0,E$8*(E$7-D$16*(1-$A64)*(1-(1-$A64)^MIN(E$6,$B$11))/($A64*MIN(E$6,$B$11)))^2)</f>
        <v/>
      </c>
      <c r="E64" s="27">
        <f>IF(OR(B$7="",B$8=0),0,B$8*(B$7-E$16*(1-$A64)*(1-(1-$A64)^MIN(B$6,$B$11))/($A64*MIN(B$6,$B$11)))^2)+IF(OR(C$7="",C$8=0),0,C$8*(C$7-E$16*(1-$A64)*(1-(1-$A64)^MIN(C$6,$B$11))/($A64*MIN(C$6,$B$11)))^2)+IF(OR(D$7="",D$8=0),0,D$8*(D$7-E$16*(1-$A64)*(1-(1-$A64)^MIN(D$6,$B$11))/($A64*MIN(D$6,$B$11)))^2)+IF(OR(E$7="",E$8=0),0,E$8*(E$7-E$16*(1-$A64)*(1-(1-$A64)^MIN(E$6,$B$11))/($A64*MIN(E$6,$B$11)))^2)</f>
        <v/>
      </c>
      <c r="F64" s="27">
        <f>IF(OR(B$7="",B$8=0),0,B$8*(B$7-F$16*(1-$A64)*(1-(1-$A64)^MIN(B$6,$B$11))/($A64*MIN(B$6,$B$11)))^2)+IF(OR(C$7="",C$8=0),0,C$8*(C$7-F$16*(1-$A64)*(1-(1-$A64)^MIN(C$6,$B$11))/($A64*MIN(C$6,$B$11)))^2)+IF(OR(D$7="",D$8=0),0,D$8*(D$7-F$16*(1-$A64)*(1-(1-$A64)^MIN(D$6,$B$11))/($A64*MIN(D$6,$B$11)))^2)+IF(OR(E$7="",E$8=0),0,E$8*(E$7-F$16*(1-$A64)*(1-(1-$A64)^MIN(E$6,$B$11))/($A64*MIN(E$6,$B$11)))^2)</f>
        <v/>
      </c>
      <c r="G64" s="27">
        <f>IF(OR(B$7="",B$8=0),0,B$8*(B$7-G$16*(1-$A64)*(1-(1-$A64)^MIN(B$6,$B$11))/($A64*MIN(B$6,$B$11)))^2)+IF(OR(C$7="",C$8=0),0,C$8*(C$7-G$16*(1-$A64)*(1-(1-$A64)^MIN(C$6,$B$11))/($A64*MIN(C$6,$B$11)))^2)+IF(OR(D$7="",D$8=0),0,D$8*(D$7-G$16*(1-$A64)*(1-(1-$A64)^MIN(D$6,$B$11))/($A64*MIN(D$6,$B$11)))^2)+IF(OR(E$7="",E$8=0),0,E$8*(E$7-G$16*(1-$A64)*(1-(1-$A64)^MIN(E$6,$B$11))/($A64*MIN(E$6,$B$11)))^2)</f>
        <v/>
      </c>
      <c r="H64" s="27">
        <f>IF(OR(B$7="",B$8=0),0,B$8*(B$7-H$16*(1-$A64)*(1-(1-$A64)^MIN(B$6,$B$11))/($A64*MIN(B$6,$B$11)))^2)+IF(OR(C$7="",C$8=0),0,C$8*(C$7-H$16*(1-$A64)*(1-(1-$A64)^MIN(C$6,$B$11))/($A64*MIN(C$6,$B$11)))^2)+IF(OR(D$7="",D$8=0),0,D$8*(D$7-H$16*(1-$A64)*(1-(1-$A64)^MIN(D$6,$B$11))/($A64*MIN(D$6,$B$11)))^2)+IF(OR(E$7="",E$8=0),0,E$8*(E$7-H$16*(1-$A64)*(1-(1-$A64)^MIN(E$6,$B$11))/($A64*MIN(E$6,$B$11)))^2)</f>
        <v/>
      </c>
      <c r="I64" s="27">
        <f>IF(OR(B$7="",B$8=0),0,B$8*(B$7-I$16*(1-$A64)*(1-(1-$A64)^MIN(B$6,$B$11))/($A64*MIN(B$6,$B$11)))^2)+IF(OR(C$7="",C$8=0),0,C$8*(C$7-I$16*(1-$A64)*(1-(1-$A64)^MIN(C$6,$B$11))/($A64*MIN(C$6,$B$11)))^2)+IF(OR(D$7="",D$8=0),0,D$8*(D$7-I$16*(1-$A64)*(1-(1-$A64)^MIN(D$6,$B$11))/($A64*MIN(D$6,$B$11)))^2)+IF(OR(E$7="",E$8=0),0,E$8*(E$7-I$16*(1-$A64)*(1-(1-$A64)^MIN(E$6,$B$11))/($A64*MIN(E$6,$B$11)))^2)</f>
        <v/>
      </c>
      <c r="J64" s="27">
        <f>IF(OR(B$7="",B$8=0),0,B$8*(B$7-J$16*(1-$A64)*(1-(1-$A64)^MIN(B$6,$B$11))/($A64*MIN(B$6,$B$11)))^2)+IF(OR(C$7="",C$8=0),0,C$8*(C$7-J$16*(1-$A64)*(1-(1-$A64)^MIN(C$6,$B$11))/($A64*MIN(C$6,$B$11)))^2)+IF(OR(D$7="",D$8=0),0,D$8*(D$7-J$16*(1-$A64)*(1-(1-$A64)^MIN(D$6,$B$11))/($A64*MIN(D$6,$B$11)))^2)+IF(OR(E$7="",E$8=0),0,E$8*(E$7-J$16*(1-$A64)*(1-(1-$A64)^MIN(E$6,$B$11))/($A64*MIN(E$6,$B$11)))^2)</f>
        <v/>
      </c>
      <c r="K64" s="27">
        <f>IF(OR(B$7="",B$8=0),0,B$8*(B$7-K$16*(1-$A64)*(1-(1-$A64)^MIN(B$6,$B$11))/($A64*MIN(B$6,$B$11)))^2)+IF(OR(C$7="",C$8=0),0,C$8*(C$7-K$16*(1-$A64)*(1-(1-$A64)^MIN(C$6,$B$11))/($A64*MIN(C$6,$B$11)))^2)+IF(OR(D$7="",D$8=0),0,D$8*(D$7-K$16*(1-$A64)*(1-(1-$A64)^MIN(D$6,$B$11))/($A64*MIN(D$6,$B$11)))^2)+IF(OR(E$7="",E$8=0),0,E$8*(E$7-K$16*(1-$A64)*(1-(1-$A64)^MIN(E$6,$B$11))/($A64*MIN(E$6,$B$11)))^2)</f>
        <v/>
      </c>
      <c r="L64" s="27">
        <f>IF(OR(B$7="",B$8=0),0,B$8*(B$7-L$16*(1-$A64)*(1-(1-$A64)^MIN(B$6,$B$11))/($A64*MIN(B$6,$B$11)))^2)+IF(OR(C$7="",C$8=0),0,C$8*(C$7-L$16*(1-$A64)*(1-(1-$A64)^MIN(C$6,$B$11))/($A64*MIN(C$6,$B$11)))^2)+IF(OR(D$7="",D$8=0),0,D$8*(D$7-L$16*(1-$A64)*(1-(1-$A64)^MIN(D$6,$B$11))/($A64*MIN(D$6,$B$11)))^2)+IF(OR(E$7="",E$8=0),0,E$8*(E$7-L$16*(1-$A64)*(1-(1-$A64)^MIN(E$6,$B$11))/($A64*MIN(E$6,$B$11)))^2)</f>
        <v/>
      </c>
      <c r="M64" s="27">
        <f>IF(OR(B$7="",B$8=0),0,B$8*(B$7-M$16*(1-$A64)*(1-(1-$A64)^MIN(B$6,$B$11))/($A64*MIN(B$6,$B$11)))^2)+IF(OR(C$7="",C$8=0),0,C$8*(C$7-M$16*(1-$A64)*(1-(1-$A64)^MIN(C$6,$B$11))/($A64*MIN(C$6,$B$11)))^2)+IF(OR(D$7="",D$8=0),0,D$8*(D$7-M$16*(1-$A64)*(1-(1-$A64)^MIN(D$6,$B$11))/($A64*MIN(D$6,$B$11)))^2)+IF(OR(E$7="",E$8=0),0,E$8*(E$7-M$16*(1-$A64)*(1-(1-$A64)^MIN(E$6,$B$11))/($A64*MIN(E$6,$B$11)))^2)</f>
        <v/>
      </c>
      <c r="N64" s="27">
        <f>IF(OR(B$7="",B$8=0),0,B$8*(B$7-N$16*(1-$A64)*(1-(1-$A64)^MIN(B$6,$B$11))/($A64*MIN(B$6,$B$11)))^2)+IF(OR(C$7="",C$8=0),0,C$8*(C$7-N$16*(1-$A64)*(1-(1-$A64)^MIN(C$6,$B$11))/($A64*MIN(C$6,$B$11)))^2)+IF(OR(D$7="",D$8=0),0,D$8*(D$7-N$16*(1-$A64)*(1-(1-$A64)^MIN(D$6,$B$11))/($A64*MIN(D$6,$B$11)))^2)+IF(OR(E$7="",E$8=0),0,E$8*(E$7-N$16*(1-$A64)*(1-(1-$A64)^MIN(E$6,$B$11))/($A64*MIN(E$6,$B$11)))^2)</f>
        <v/>
      </c>
      <c r="O64" s="27">
        <f>IF(OR(B$7="",B$8=0),0,B$8*(B$7-O$16*(1-$A64)*(1-(1-$A64)^MIN(B$6,$B$11))/($A64*MIN(B$6,$B$11)))^2)+IF(OR(C$7="",C$8=0),0,C$8*(C$7-O$16*(1-$A64)*(1-(1-$A64)^MIN(C$6,$B$11))/($A64*MIN(C$6,$B$11)))^2)+IF(OR(D$7="",D$8=0),0,D$8*(D$7-O$16*(1-$A64)*(1-(1-$A64)^MIN(D$6,$B$11))/($A64*MIN(D$6,$B$11)))^2)+IF(OR(E$7="",E$8=0),0,E$8*(E$7-O$16*(1-$A64)*(1-(1-$A64)^MIN(E$6,$B$11))/($A64*MIN(E$6,$B$11)))^2)</f>
        <v/>
      </c>
      <c r="P64" s="27">
        <f>IF(OR(B$7="",B$8=0),0,B$8*(B$7-P$16*(1-$A64)*(1-(1-$A64)^MIN(B$6,$B$11))/($A64*MIN(B$6,$B$11)))^2)+IF(OR(C$7="",C$8=0),0,C$8*(C$7-P$16*(1-$A64)*(1-(1-$A64)^MIN(C$6,$B$11))/($A64*MIN(C$6,$B$11)))^2)+IF(OR(D$7="",D$8=0),0,D$8*(D$7-P$16*(1-$A64)*(1-(1-$A64)^MIN(D$6,$B$11))/($A64*MIN(D$6,$B$11)))^2)+IF(OR(E$7="",E$8=0),0,E$8*(E$7-P$16*(1-$A64)*(1-(1-$A64)^MIN(E$6,$B$11))/($A64*MIN(E$6,$B$11)))^2)</f>
        <v/>
      </c>
      <c r="Q64" s="27">
        <f>IF(OR(B$7="",B$8=0),0,B$8*(B$7-Q$16*(1-$A64)*(1-(1-$A64)^MIN(B$6,$B$11))/($A64*MIN(B$6,$B$11)))^2)+IF(OR(C$7="",C$8=0),0,C$8*(C$7-Q$16*(1-$A64)*(1-(1-$A64)^MIN(C$6,$B$11))/($A64*MIN(C$6,$B$11)))^2)+IF(OR(D$7="",D$8=0),0,D$8*(D$7-Q$16*(1-$A64)*(1-(1-$A64)^MIN(D$6,$B$11))/($A64*MIN(D$6,$B$11)))^2)+IF(OR(E$7="",E$8=0),0,E$8*(E$7-Q$16*(1-$A64)*(1-(1-$A64)^MIN(E$6,$B$11))/($A64*MIN(E$6,$B$11)))^2)</f>
        <v/>
      </c>
      <c r="R64" s="27">
        <f>IF(OR(B$7="",B$8=0),0,B$8*(B$7-R$16*(1-$A64)*(1-(1-$A64)^MIN(B$6,$B$11))/($A64*MIN(B$6,$B$11)))^2)+IF(OR(C$7="",C$8=0),0,C$8*(C$7-R$16*(1-$A64)*(1-(1-$A64)^MIN(C$6,$B$11))/($A64*MIN(C$6,$B$11)))^2)+IF(OR(D$7="",D$8=0),0,D$8*(D$7-R$16*(1-$A64)*(1-(1-$A64)^MIN(D$6,$B$11))/($A64*MIN(D$6,$B$11)))^2)+IF(OR(E$7="",E$8=0),0,E$8*(E$7-R$16*(1-$A64)*(1-(1-$A64)^MIN(E$6,$B$11))/($A64*MIN(E$6,$B$11)))^2)</f>
        <v/>
      </c>
      <c r="S64" s="27">
        <f>IF(OR(B$7="",B$8=0),0,B$8*(B$7-S$16*(1-$A64)*(1-(1-$A64)^MIN(B$6,$B$11))/($A64*MIN(B$6,$B$11)))^2)+IF(OR(C$7="",C$8=0),0,C$8*(C$7-S$16*(1-$A64)*(1-(1-$A64)^MIN(C$6,$B$11))/($A64*MIN(C$6,$B$11)))^2)+IF(OR(D$7="",D$8=0),0,D$8*(D$7-S$16*(1-$A64)*(1-(1-$A64)^MIN(D$6,$B$11))/($A64*MIN(D$6,$B$11)))^2)+IF(OR(E$7="",E$8=0),0,E$8*(E$7-S$16*(1-$A64)*(1-(1-$A64)^MIN(E$6,$B$11))/($A64*MIN(E$6,$B$11)))^2)</f>
        <v/>
      </c>
      <c r="U64" s="27">
        <f>MIN(B64:S64)</f>
        <v/>
      </c>
      <c r="V64" s="17">
        <f>MATCH(U64,B64:S64,0)</f>
        <v/>
      </c>
    </row>
    <row r="65">
      <c r="A65" s="26" t="n">
        <v>0.029</v>
      </c>
      <c r="B65" s="27">
        <f>IF(OR(B$7="",B$8=0),0,B$8*(B$7-B$16*(1-$A65)*(1-(1-$A65)^MIN(B$6,$B$11))/($A65*MIN(B$6,$B$11)))^2)+IF(OR(C$7="",C$8=0),0,C$8*(C$7-B$16*(1-$A65)*(1-(1-$A65)^MIN(C$6,$B$11))/($A65*MIN(C$6,$B$11)))^2)+IF(OR(D$7="",D$8=0),0,D$8*(D$7-B$16*(1-$A65)*(1-(1-$A65)^MIN(D$6,$B$11))/($A65*MIN(D$6,$B$11)))^2)+IF(OR(E$7="",E$8=0),0,E$8*(E$7-B$16*(1-$A65)*(1-(1-$A65)^MIN(E$6,$B$11))/($A65*MIN(E$6,$B$11)))^2)</f>
        <v/>
      </c>
      <c r="C65" s="27">
        <f>IF(OR(B$7="",B$8=0),0,B$8*(B$7-C$16*(1-$A65)*(1-(1-$A65)^MIN(B$6,$B$11))/($A65*MIN(B$6,$B$11)))^2)+IF(OR(C$7="",C$8=0),0,C$8*(C$7-C$16*(1-$A65)*(1-(1-$A65)^MIN(C$6,$B$11))/($A65*MIN(C$6,$B$11)))^2)+IF(OR(D$7="",D$8=0),0,D$8*(D$7-C$16*(1-$A65)*(1-(1-$A65)^MIN(D$6,$B$11))/($A65*MIN(D$6,$B$11)))^2)+IF(OR(E$7="",E$8=0),0,E$8*(E$7-C$16*(1-$A65)*(1-(1-$A65)^MIN(E$6,$B$11))/($A65*MIN(E$6,$B$11)))^2)</f>
        <v/>
      </c>
      <c r="D65" s="27">
        <f>IF(OR(B$7="",B$8=0),0,B$8*(B$7-D$16*(1-$A65)*(1-(1-$A65)^MIN(B$6,$B$11))/($A65*MIN(B$6,$B$11)))^2)+IF(OR(C$7="",C$8=0),0,C$8*(C$7-D$16*(1-$A65)*(1-(1-$A65)^MIN(C$6,$B$11))/($A65*MIN(C$6,$B$11)))^2)+IF(OR(D$7="",D$8=0),0,D$8*(D$7-D$16*(1-$A65)*(1-(1-$A65)^MIN(D$6,$B$11))/($A65*MIN(D$6,$B$11)))^2)+IF(OR(E$7="",E$8=0),0,E$8*(E$7-D$16*(1-$A65)*(1-(1-$A65)^MIN(E$6,$B$11))/($A65*MIN(E$6,$B$11)))^2)</f>
        <v/>
      </c>
      <c r="E65" s="27">
        <f>IF(OR(B$7="",B$8=0),0,B$8*(B$7-E$16*(1-$A65)*(1-(1-$A65)^MIN(B$6,$B$11))/($A65*MIN(B$6,$B$11)))^2)+IF(OR(C$7="",C$8=0),0,C$8*(C$7-E$16*(1-$A65)*(1-(1-$A65)^MIN(C$6,$B$11))/($A65*MIN(C$6,$B$11)))^2)+IF(OR(D$7="",D$8=0),0,D$8*(D$7-E$16*(1-$A65)*(1-(1-$A65)^MIN(D$6,$B$11))/($A65*MIN(D$6,$B$11)))^2)+IF(OR(E$7="",E$8=0),0,E$8*(E$7-E$16*(1-$A65)*(1-(1-$A65)^MIN(E$6,$B$11))/($A65*MIN(E$6,$B$11)))^2)</f>
        <v/>
      </c>
      <c r="F65" s="27">
        <f>IF(OR(B$7="",B$8=0),0,B$8*(B$7-F$16*(1-$A65)*(1-(1-$A65)^MIN(B$6,$B$11))/($A65*MIN(B$6,$B$11)))^2)+IF(OR(C$7="",C$8=0),0,C$8*(C$7-F$16*(1-$A65)*(1-(1-$A65)^MIN(C$6,$B$11))/($A65*MIN(C$6,$B$11)))^2)+IF(OR(D$7="",D$8=0),0,D$8*(D$7-F$16*(1-$A65)*(1-(1-$A65)^MIN(D$6,$B$11))/($A65*MIN(D$6,$B$11)))^2)+IF(OR(E$7="",E$8=0),0,E$8*(E$7-F$16*(1-$A65)*(1-(1-$A65)^MIN(E$6,$B$11))/($A65*MIN(E$6,$B$11)))^2)</f>
        <v/>
      </c>
      <c r="G65" s="27">
        <f>IF(OR(B$7="",B$8=0),0,B$8*(B$7-G$16*(1-$A65)*(1-(1-$A65)^MIN(B$6,$B$11))/($A65*MIN(B$6,$B$11)))^2)+IF(OR(C$7="",C$8=0),0,C$8*(C$7-G$16*(1-$A65)*(1-(1-$A65)^MIN(C$6,$B$11))/($A65*MIN(C$6,$B$11)))^2)+IF(OR(D$7="",D$8=0),0,D$8*(D$7-G$16*(1-$A65)*(1-(1-$A65)^MIN(D$6,$B$11))/($A65*MIN(D$6,$B$11)))^2)+IF(OR(E$7="",E$8=0),0,E$8*(E$7-G$16*(1-$A65)*(1-(1-$A65)^MIN(E$6,$B$11))/($A65*MIN(E$6,$B$11)))^2)</f>
        <v/>
      </c>
      <c r="H65" s="27">
        <f>IF(OR(B$7="",B$8=0),0,B$8*(B$7-H$16*(1-$A65)*(1-(1-$A65)^MIN(B$6,$B$11))/($A65*MIN(B$6,$B$11)))^2)+IF(OR(C$7="",C$8=0),0,C$8*(C$7-H$16*(1-$A65)*(1-(1-$A65)^MIN(C$6,$B$11))/($A65*MIN(C$6,$B$11)))^2)+IF(OR(D$7="",D$8=0),0,D$8*(D$7-H$16*(1-$A65)*(1-(1-$A65)^MIN(D$6,$B$11))/($A65*MIN(D$6,$B$11)))^2)+IF(OR(E$7="",E$8=0),0,E$8*(E$7-H$16*(1-$A65)*(1-(1-$A65)^MIN(E$6,$B$11))/($A65*MIN(E$6,$B$11)))^2)</f>
        <v/>
      </c>
      <c r="I65" s="27">
        <f>IF(OR(B$7="",B$8=0),0,B$8*(B$7-I$16*(1-$A65)*(1-(1-$A65)^MIN(B$6,$B$11))/($A65*MIN(B$6,$B$11)))^2)+IF(OR(C$7="",C$8=0),0,C$8*(C$7-I$16*(1-$A65)*(1-(1-$A65)^MIN(C$6,$B$11))/($A65*MIN(C$6,$B$11)))^2)+IF(OR(D$7="",D$8=0),0,D$8*(D$7-I$16*(1-$A65)*(1-(1-$A65)^MIN(D$6,$B$11))/($A65*MIN(D$6,$B$11)))^2)+IF(OR(E$7="",E$8=0),0,E$8*(E$7-I$16*(1-$A65)*(1-(1-$A65)^MIN(E$6,$B$11))/($A65*MIN(E$6,$B$11)))^2)</f>
        <v/>
      </c>
      <c r="J65" s="27">
        <f>IF(OR(B$7="",B$8=0),0,B$8*(B$7-J$16*(1-$A65)*(1-(1-$A65)^MIN(B$6,$B$11))/($A65*MIN(B$6,$B$11)))^2)+IF(OR(C$7="",C$8=0),0,C$8*(C$7-J$16*(1-$A65)*(1-(1-$A65)^MIN(C$6,$B$11))/($A65*MIN(C$6,$B$11)))^2)+IF(OR(D$7="",D$8=0),0,D$8*(D$7-J$16*(1-$A65)*(1-(1-$A65)^MIN(D$6,$B$11))/($A65*MIN(D$6,$B$11)))^2)+IF(OR(E$7="",E$8=0),0,E$8*(E$7-J$16*(1-$A65)*(1-(1-$A65)^MIN(E$6,$B$11))/($A65*MIN(E$6,$B$11)))^2)</f>
        <v/>
      </c>
      <c r="K65" s="27">
        <f>IF(OR(B$7="",B$8=0),0,B$8*(B$7-K$16*(1-$A65)*(1-(1-$A65)^MIN(B$6,$B$11))/($A65*MIN(B$6,$B$11)))^2)+IF(OR(C$7="",C$8=0),0,C$8*(C$7-K$16*(1-$A65)*(1-(1-$A65)^MIN(C$6,$B$11))/($A65*MIN(C$6,$B$11)))^2)+IF(OR(D$7="",D$8=0),0,D$8*(D$7-K$16*(1-$A65)*(1-(1-$A65)^MIN(D$6,$B$11))/($A65*MIN(D$6,$B$11)))^2)+IF(OR(E$7="",E$8=0),0,E$8*(E$7-K$16*(1-$A65)*(1-(1-$A65)^MIN(E$6,$B$11))/($A65*MIN(E$6,$B$11)))^2)</f>
        <v/>
      </c>
      <c r="L65" s="27">
        <f>IF(OR(B$7="",B$8=0),0,B$8*(B$7-L$16*(1-$A65)*(1-(1-$A65)^MIN(B$6,$B$11))/($A65*MIN(B$6,$B$11)))^2)+IF(OR(C$7="",C$8=0),0,C$8*(C$7-L$16*(1-$A65)*(1-(1-$A65)^MIN(C$6,$B$11))/($A65*MIN(C$6,$B$11)))^2)+IF(OR(D$7="",D$8=0),0,D$8*(D$7-L$16*(1-$A65)*(1-(1-$A65)^MIN(D$6,$B$11))/($A65*MIN(D$6,$B$11)))^2)+IF(OR(E$7="",E$8=0),0,E$8*(E$7-L$16*(1-$A65)*(1-(1-$A65)^MIN(E$6,$B$11))/($A65*MIN(E$6,$B$11)))^2)</f>
        <v/>
      </c>
      <c r="M65" s="27">
        <f>IF(OR(B$7="",B$8=0),0,B$8*(B$7-M$16*(1-$A65)*(1-(1-$A65)^MIN(B$6,$B$11))/($A65*MIN(B$6,$B$11)))^2)+IF(OR(C$7="",C$8=0),0,C$8*(C$7-M$16*(1-$A65)*(1-(1-$A65)^MIN(C$6,$B$11))/($A65*MIN(C$6,$B$11)))^2)+IF(OR(D$7="",D$8=0),0,D$8*(D$7-M$16*(1-$A65)*(1-(1-$A65)^MIN(D$6,$B$11))/($A65*MIN(D$6,$B$11)))^2)+IF(OR(E$7="",E$8=0),0,E$8*(E$7-M$16*(1-$A65)*(1-(1-$A65)^MIN(E$6,$B$11))/($A65*MIN(E$6,$B$11)))^2)</f>
        <v/>
      </c>
      <c r="N65" s="27">
        <f>IF(OR(B$7="",B$8=0),0,B$8*(B$7-N$16*(1-$A65)*(1-(1-$A65)^MIN(B$6,$B$11))/($A65*MIN(B$6,$B$11)))^2)+IF(OR(C$7="",C$8=0),0,C$8*(C$7-N$16*(1-$A65)*(1-(1-$A65)^MIN(C$6,$B$11))/($A65*MIN(C$6,$B$11)))^2)+IF(OR(D$7="",D$8=0),0,D$8*(D$7-N$16*(1-$A65)*(1-(1-$A65)^MIN(D$6,$B$11))/($A65*MIN(D$6,$B$11)))^2)+IF(OR(E$7="",E$8=0),0,E$8*(E$7-N$16*(1-$A65)*(1-(1-$A65)^MIN(E$6,$B$11))/($A65*MIN(E$6,$B$11)))^2)</f>
        <v/>
      </c>
      <c r="O65" s="27">
        <f>IF(OR(B$7="",B$8=0),0,B$8*(B$7-O$16*(1-$A65)*(1-(1-$A65)^MIN(B$6,$B$11))/($A65*MIN(B$6,$B$11)))^2)+IF(OR(C$7="",C$8=0),0,C$8*(C$7-O$16*(1-$A65)*(1-(1-$A65)^MIN(C$6,$B$11))/($A65*MIN(C$6,$B$11)))^2)+IF(OR(D$7="",D$8=0),0,D$8*(D$7-O$16*(1-$A65)*(1-(1-$A65)^MIN(D$6,$B$11))/($A65*MIN(D$6,$B$11)))^2)+IF(OR(E$7="",E$8=0),0,E$8*(E$7-O$16*(1-$A65)*(1-(1-$A65)^MIN(E$6,$B$11))/($A65*MIN(E$6,$B$11)))^2)</f>
        <v/>
      </c>
      <c r="P65" s="27">
        <f>IF(OR(B$7="",B$8=0),0,B$8*(B$7-P$16*(1-$A65)*(1-(1-$A65)^MIN(B$6,$B$11))/($A65*MIN(B$6,$B$11)))^2)+IF(OR(C$7="",C$8=0),0,C$8*(C$7-P$16*(1-$A65)*(1-(1-$A65)^MIN(C$6,$B$11))/($A65*MIN(C$6,$B$11)))^2)+IF(OR(D$7="",D$8=0),0,D$8*(D$7-P$16*(1-$A65)*(1-(1-$A65)^MIN(D$6,$B$11))/($A65*MIN(D$6,$B$11)))^2)+IF(OR(E$7="",E$8=0),0,E$8*(E$7-P$16*(1-$A65)*(1-(1-$A65)^MIN(E$6,$B$11))/($A65*MIN(E$6,$B$11)))^2)</f>
        <v/>
      </c>
      <c r="Q65" s="27">
        <f>IF(OR(B$7="",B$8=0),0,B$8*(B$7-Q$16*(1-$A65)*(1-(1-$A65)^MIN(B$6,$B$11))/($A65*MIN(B$6,$B$11)))^2)+IF(OR(C$7="",C$8=0),0,C$8*(C$7-Q$16*(1-$A65)*(1-(1-$A65)^MIN(C$6,$B$11))/($A65*MIN(C$6,$B$11)))^2)+IF(OR(D$7="",D$8=0),0,D$8*(D$7-Q$16*(1-$A65)*(1-(1-$A65)^MIN(D$6,$B$11))/($A65*MIN(D$6,$B$11)))^2)+IF(OR(E$7="",E$8=0),0,E$8*(E$7-Q$16*(1-$A65)*(1-(1-$A65)^MIN(E$6,$B$11))/($A65*MIN(E$6,$B$11)))^2)</f>
        <v/>
      </c>
      <c r="R65" s="27">
        <f>IF(OR(B$7="",B$8=0),0,B$8*(B$7-R$16*(1-$A65)*(1-(1-$A65)^MIN(B$6,$B$11))/($A65*MIN(B$6,$B$11)))^2)+IF(OR(C$7="",C$8=0),0,C$8*(C$7-R$16*(1-$A65)*(1-(1-$A65)^MIN(C$6,$B$11))/($A65*MIN(C$6,$B$11)))^2)+IF(OR(D$7="",D$8=0),0,D$8*(D$7-R$16*(1-$A65)*(1-(1-$A65)^MIN(D$6,$B$11))/($A65*MIN(D$6,$B$11)))^2)+IF(OR(E$7="",E$8=0),0,E$8*(E$7-R$16*(1-$A65)*(1-(1-$A65)^MIN(E$6,$B$11))/($A65*MIN(E$6,$B$11)))^2)</f>
        <v/>
      </c>
      <c r="S65" s="27">
        <f>IF(OR(B$7="",B$8=0),0,B$8*(B$7-S$16*(1-$A65)*(1-(1-$A65)^MIN(B$6,$B$11))/($A65*MIN(B$6,$B$11)))^2)+IF(OR(C$7="",C$8=0),0,C$8*(C$7-S$16*(1-$A65)*(1-(1-$A65)^MIN(C$6,$B$11))/($A65*MIN(C$6,$B$11)))^2)+IF(OR(D$7="",D$8=0),0,D$8*(D$7-S$16*(1-$A65)*(1-(1-$A65)^MIN(D$6,$B$11))/($A65*MIN(D$6,$B$11)))^2)+IF(OR(E$7="",E$8=0),0,E$8*(E$7-S$16*(1-$A65)*(1-(1-$A65)^MIN(E$6,$B$11))/($A65*MIN(E$6,$B$11)))^2)</f>
        <v/>
      </c>
      <c r="U65" s="27">
        <f>MIN(B65:S65)</f>
        <v/>
      </c>
      <c r="V65" s="17">
        <f>MATCH(U65,B65:S65,0)</f>
        <v/>
      </c>
    </row>
    <row r="66">
      <c r="A66" s="26" t="n">
        <v>0.0295</v>
      </c>
      <c r="B66" s="27">
        <f>IF(OR(B$7="",B$8=0),0,B$8*(B$7-B$16*(1-$A66)*(1-(1-$A66)^MIN(B$6,$B$11))/($A66*MIN(B$6,$B$11)))^2)+IF(OR(C$7="",C$8=0),0,C$8*(C$7-B$16*(1-$A66)*(1-(1-$A66)^MIN(C$6,$B$11))/($A66*MIN(C$6,$B$11)))^2)+IF(OR(D$7="",D$8=0),0,D$8*(D$7-B$16*(1-$A66)*(1-(1-$A66)^MIN(D$6,$B$11))/($A66*MIN(D$6,$B$11)))^2)+IF(OR(E$7="",E$8=0),0,E$8*(E$7-B$16*(1-$A66)*(1-(1-$A66)^MIN(E$6,$B$11))/($A66*MIN(E$6,$B$11)))^2)</f>
        <v/>
      </c>
      <c r="C66" s="27">
        <f>IF(OR(B$7="",B$8=0),0,B$8*(B$7-C$16*(1-$A66)*(1-(1-$A66)^MIN(B$6,$B$11))/($A66*MIN(B$6,$B$11)))^2)+IF(OR(C$7="",C$8=0),0,C$8*(C$7-C$16*(1-$A66)*(1-(1-$A66)^MIN(C$6,$B$11))/($A66*MIN(C$6,$B$11)))^2)+IF(OR(D$7="",D$8=0),0,D$8*(D$7-C$16*(1-$A66)*(1-(1-$A66)^MIN(D$6,$B$11))/($A66*MIN(D$6,$B$11)))^2)+IF(OR(E$7="",E$8=0),0,E$8*(E$7-C$16*(1-$A66)*(1-(1-$A66)^MIN(E$6,$B$11))/($A66*MIN(E$6,$B$11)))^2)</f>
        <v/>
      </c>
      <c r="D66" s="27">
        <f>IF(OR(B$7="",B$8=0),0,B$8*(B$7-D$16*(1-$A66)*(1-(1-$A66)^MIN(B$6,$B$11))/($A66*MIN(B$6,$B$11)))^2)+IF(OR(C$7="",C$8=0),0,C$8*(C$7-D$16*(1-$A66)*(1-(1-$A66)^MIN(C$6,$B$11))/($A66*MIN(C$6,$B$11)))^2)+IF(OR(D$7="",D$8=0),0,D$8*(D$7-D$16*(1-$A66)*(1-(1-$A66)^MIN(D$6,$B$11))/($A66*MIN(D$6,$B$11)))^2)+IF(OR(E$7="",E$8=0),0,E$8*(E$7-D$16*(1-$A66)*(1-(1-$A66)^MIN(E$6,$B$11))/($A66*MIN(E$6,$B$11)))^2)</f>
        <v/>
      </c>
      <c r="E66" s="27">
        <f>IF(OR(B$7="",B$8=0),0,B$8*(B$7-E$16*(1-$A66)*(1-(1-$A66)^MIN(B$6,$B$11))/($A66*MIN(B$6,$B$11)))^2)+IF(OR(C$7="",C$8=0),0,C$8*(C$7-E$16*(1-$A66)*(1-(1-$A66)^MIN(C$6,$B$11))/($A66*MIN(C$6,$B$11)))^2)+IF(OR(D$7="",D$8=0),0,D$8*(D$7-E$16*(1-$A66)*(1-(1-$A66)^MIN(D$6,$B$11))/($A66*MIN(D$6,$B$11)))^2)+IF(OR(E$7="",E$8=0),0,E$8*(E$7-E$16*(1-$A66)*(1-(1-$A66)^MIN(E$6,$B$11))/($A66*MIN(E$6,$B$11)))^2)</f>
        <v/>
      </c>
      <c r="F66" s="27">
        <f>IF(OR(B$7="",B$8=0),0,B$8*(B$7-F$16*(1-$A66)*(1-(1-$A66)^MIN(B$6,$B$11))/($A66*MIN(B$6,$B$11)))^2)+IF(OR(C$7="",C$8=0),0,C$8*(C$7-F$16*(1-$A66)*(1-(1-$A66)^MIN(C$6,$B$11))/($A66*MIN(C$6,$B$11)))^2)+IF(OR(D$7="",D$8=0),0,D$8*(D$7-F$16*(1-$A66)*(1-(1-$A66)^MIN(D$6,$B$11))/($A66*MIN(D$6,$B$11)))^2)+IF(OR(E$7="",E$8=0),0,E$8*(E$7-F$16*(1-$A66)*(1-(1-$A66)^MIN(E$6,$B$11))/($A66*MIN(E$6,$B$11)))^2)</f>
        <v/>
      </c>
      <c r="G66" s="27">
        <f>IF(OR(B$7="",B$8=0),0,B$8*(B$7-G$16*(1-$A66)*(1-(1-$A66)^MIN(B$6,$B$11))/($A66*MIN(B$6,$B$11)))^2)+IF(OR(C$7="",C$8=0),0,C$8*(C$7-G$16*(1-$A66)*(1-(1-$A66)^MIN(C$6,$B$11))/($A66*MIN(C$6,$B$11)))^2)+IF(OR(D$7="",D$8=0),0,D$8*(D$7-G$16*(1-$A66)*(1-(1-$A66)^MIN(D$6,$B$11))/($A66*MIN(D$6,$B$11)))^2)+IF(OR(E$7="",E$8=0),0,E$8*(E$7-G$16*(1-$A66)*(1-(1-$A66)^MIN(E$6,$B$11))/($A66*MIN(E$6,$B$11)))^2)</f>
        <v/>
      </c>
      <c r="H66" s="27">
        <f>IF(OR(B$7="",B$8=0),0,B$8*(B$7-H$16*(1-$A66)*(1-(1-$A66)^MIN(B$6,$B$11))/($A66*MIN(B$6,$B$11)))^2)+IF(OR(C$7="",C$8=0),0,C$8*(C$7-H$16*(1-$A66)*(1-(1-$A66)^MIN(C$6,$B$11))/($A66*MIN(C$6,$B$11)))^2)+IF(OR(D$7="",D$8=0),0,D$8*(D$7-H$16*(1-$A66)*(1-(1-$A66)^MIN(D$6,$B$11))/($A66*MIN(D$6,$B$11)))^2)+IF(OR(E$7="",E$8=0),0,E$8*(E$7-H$16*(1-$A66)*(1-(1-$A66)^MIN(E$6,$B$11))/($A66*MIN(E$6,$B$11)))^2)</f>
        <v/>
      </c>
      <c r="I66" s="27">
        <f>IF(OR(B$7="",B$8=0),0,B$8*(B$7-I$16*(1-$A66)*(1-(1-$A66)^MIN(B$6,$B$11))/($A66*MIN(B$6,$B$11)))^2)+IF(OR(C$7="",C$8=0),0,C$8*(C$7-I$16*(1-$A66)*(1-(1-$A66)^MIN(C$6,$B$11))/($A66*MIN(C$6,$B$11)))^2)+IF(OR(D$7="",D$8=0),0,D$8*(D$7-I$16*(1-$A66)*(1-(1-$A66)^MIN(D$6,$B$11))/($A66*MIN(D$6,$B$11)))^2)+IF(OR(E$7="",E$8=0),0,E$8*(E$7-I$16*(1-$A66)*(1-(1-$A66)^MIN(E$6,$B$11))/($A66*MIN(E$6,$B$11)))^2)</f>
        <v/>
      </c>
      <c r="J66" s="27">
        <f>IF(OR(B$7="",B$8=0),0,B$8*(B$7-J$16*(1-$A66)*(1-(1-$A66)^MIN(B$6,$B$11))/($A66*MIN(B$6,$B$11)))^2)+IF(OR(C$7="",C$8=0),0,C$8*(C$7-J$16*(1-$A66)*(1-(1-$A66)^MIN(C$6,$B$11))/($A66*MIN(C$6,$B$11)))^2)+IF(OR(D$7="",D$8=0),0,D$8*(D$7-J$16*(1-$A66)*(1-(1-$A66)^MIN(D$6,$B$11))/($A66*MIN(D$6,$B$11)))^2)+IF(OR(E$7="",E$8=0),0,E$8*(E$7-J$16*(1-$A66)*(1-(1-$A66)^MIN(E$6,$B$11))/($A66*MIN(E$6,$B$11)))^2)</f>
        <v/>
      </c>
      <c r="K66" s="27">
        <f>IF(OR(B$7="",B$8=0),0,B$8*(B$7-K$16*(1-$A66)*(1-(1-$A66)^MIN(B$6,$B$11))/($A66*MIN(B$6,$B$11)))^2)+IF(OR(C$7="",C$8=0),0,C$8*(C$7-K$16*(1-$A66)*(1-(1-$A66)^MIN(C$6,$B$11))/($A66*MIN(C$6,$B$11)))^2)+IF(OR(D$7="",D$8=0),0,D$8*(D$7-K$16*(1-$A66)*(1-(1-$A66)^MIN(D$6,$B$11))/($A66*MIN(D$6,$B$11)))^2)+IF(OR(E$7="",E$8=0),0,E$8*(E$7-K$16*(1-$A66)*(1-(1-$A66)^MIN(E$6,$B$11))/($A66*MIN(E$6,$B$11)))^2)</f>
        <v/>
      </c>
      <c r="L66" s="27">
        <f>IF(OR(B$7="",B$8=0),0,B$8*(B$7-L$16*(1-$A66)*(1-(1-$A66)^MIN(B$6,$B$11))/($A66*MIN(B$6,$B$11)))^2)+IF(OR(C$7="",C$8=0),0,C$8*(C$7-L$16*(1-$A66)*(1-(1-$A66)^MIN(C$6,$B$11))/($A66*MIN(C$6,$B$11)))^2)+IF(OR(D$7="",D$8=0),0,D$8*(D$7-L$16*(1-$A66)*(1-(1-$A66)^MIN(D$6,$B$11))/($A66*MIN(D$6,$B$11)))^2)+IF(OR(E$7="",E$8=0),0,E$8*(E$7-L$16*(1-$A66)*(1-(1-$A66)^MIN(E$6,$B$11))/($A66*MIN(E$6,$B$11)))^2)</f>
        <v/>
      </c>
      <c r="M66" s="27">
        <f>IF(OR(B$7="",B$8=0),0,B$8*(B$7-M$16*(1-$A66)*(1-(1-$A66)^MIN(B$6,$B$11))/($A66*MIN(B$6,$B$11)))^2)+IF(OR(C$7="",C$8=0),0,C$8*(C$7-M$16*(1-$A66)*(1-(1-$A66)^MIN(C$6,$B$11))/($A66*MIN(C$6,$B$11)))^2)+IF(OR(D$7="",D$8=0),0,D$8*(D$7-M$16*(1-$A66)*(1-(1-$A66)^MIN(D$6,$B$11))/($A66*MIN(D$6,$B$11)))^2)+IF(OR(E$7="",E$8=0),0,E$8*(E$7-M$16*(1-$A66)*(1-(1-$A66)^MIN(E$6,$B$11))/($A66*MIN(E$6,$B$11)))^2)</f>
        <v/>
      </c>
      <c r="N66" s="27">
        <f>IF(OR(B$7="",B$8=0),0,B$8*(B$7-N$16*(1-$A66)*(1-(1-$A66)^MIN(B$6,$B$11))/($A66*MIN(B$6,$B$11)))^2)+IF(OR(C$7="",C$8=0),0,C$8*(C$7-N$16*(1-$A66)*(1-(1-$A66)^MIN(C$6,$B$11))/($A66*MIN(C$6,$B$11)))^2)+IF(OR(D$7="",D$8=0),0,D$8*(D$7-N$16*(1-$A66)*(1-(1-$A66)^MIN(D$6,$B$11))/($A66*MIN(D$6,$B$11)))^2)+IF(OR(E$7="",E$8=0),0,E$8*(E$7-N$16*(1-$A66)*(1-(1-$A66)^MIN(E$6,$B$11))/($A66*MIN(E$6,$B$11)))^2)</f>
        <v/>
      </c>
      <c r="O66" s="27">
        <f>IF(OR(B$7="",B$8=0),0,B$8*(B$7-O$16*(1-$A66)*(1-(1-$A66)^MIN(B$6,$B$11))/($A66*MIN(B$6,$B$11)))^2)+IF(OR(C$7="",C$8=0),0,C$8*(C$7-O$16*(1-$A66)*(1-(1-$A66)^MIN(C$6,$B$11))/($A66*MIN(C$6,$B$11)))^2)+IF(OR(D$7="",D$8=0),0,D$8*(D$7-O$16*(1-$A66)*(1-(1-$A66)^MIN(D$6,$B$11))/($A66*MIN(D$6,$B$11)))^2)+IF(OR(E$7="",E$8=0),0,E$8*(E$7-O$16*(1-$A66)*(1-(1-$A66)^MIN(E$6,$B$11))/($A66*MIN(E$6,$B$11)))^2)</f>
        <v/>
      </c>
      <c r="P66" s="27">
        <f>IF(OR(B$7="",B$8=0),0,B$8*(B$7-P$16*(1-$A66)*(1-(1-$A66)^MIN(B$6,$B$11))/($A66*MIN(B$6,$B$11)))^2)+IF(OR(C$7="",C$8=0),0,C$8*(C$7-P$16*(1-$A66)*(1-(1-$A66)^MIN(C$6,$B$11))/($A66*MIN(C$6,$B$11)))^2)+IF(OR(D$7="",D$8=0),0,D$8*(D$7-P$16*(1-$A66)*(1-(1-$A66)^MIN(D$6,$B$11))/($A66*MIN(D$6,$B$11)))^2)+IF(OR(E$7="",E$8=0),0,E$8*(E$7-P$16*(1-$A66)*(1-(1-$A66)^MIN(E$6,$B$11))/($A66*MIN(E$6,$B$11)))^2)</f>
        <v/>
      </c>
      <c r="Q66" s="27">
        <f>IF(OR(B$7="",B$8=0),0,B$8*(B$7-Q$16*(1-$A66)*(1-(1-$A66)^MIN(B$6,$B$11))/($A66*MIN(B$6,$B$11)))^2)+IF(OR(C$7="",C$8=0),0,C$8*(C$7-Q$16*(1-$A66)*(1-(1-$A66)^MIN(C$6,$B$11))/($A66*MIN(C$6,$B$11)))^2)+IF(OR(D$7="",D$8=0),0,D$8*(D$7-Q$16*(1-$A66)*(1-(1-$A66)^MIN(D$6,$B$11))/($A66*MIN(D$6,$B$11)))^2)+IF(OR(E$7="",E$8=0),0,E$8*(E$7-Q$16*(1-$A66)*(1-(1-$A66)^MIN(E$6,$B$11))/($A66*MIN(E$6,$B$11)))^2)</f>
        <v/>
      </c>
      <c r="R66" s="27">
        <f>IF(OR(B$7="",B$8=0),0,B$8*(B$7-R$16*(1-$A66)*(1-(1-$A66)^MIN(B$6,$B$11))/($A66*MIN(B$6,$B$11)))^2)+IF(OR(C$7="",C$8=0),0,C$8*(C$7-R$16*(1-$A66)*(1-(1-$A66)^MIN(C$6,$B$11))/($A66*MIN(C$6,$B$11)))^2)+IF(OR(D$7="",D$8=0),0,D$8*(D$7-R$16*(1-$A66)*(1-(1-$A66)^MIN(D$6,$B$11))/($A66*MIN(D$6,$B$11)))^2)+IF(OR(E$7="",E$8=0),0,E$8*(E$7-R$16*(1-$A66)*(1-(1-$A66)^MIN(E$6,$B$11))/($A66*MIN(E$6,$B$11)))^2)</f>
        <v/>
      </c>
      <c r="S66" s="27">
        <f>IF(OR(B$7="",B$8=0),0,B$8*(B$7-S$16*(1-$A66)*(1-(1-$A66)^MIN(B$6,$B$11))/($A66*MIN(B$6,$B$11)))^2)+IF(OR(C$7="",C$8=0),0,C$8*(C$7-S$16*(1-$A66)*(1-(1-$A66)^MIN(C$6,$B$11))/($A66*MIN(C$6,$B$11)))^2)+IF(OR(D$7="",D$8=0),0,D$8*(D$7-S$16*(1-$A66)*(1-(1-$A66)^MIN(D$6,$B$11))/($A66*MIN(D$6,$B$11)))^2)+IF(OR(E$7="",E$8=0),0,E$8*(E$7-S$16*(1-$A66)*(1-(1-$A66)^MIN(E$6,$B$11))/($A66*MIN(E$6,$B$11)))^2)</f>
        <v/>
      </c>
      <c r="U66" s="27">
        <f>MIN(B66:S66)</f>
        <v/>
      </c>
      <c r="V66" s="17">
        <f>MATCH(U66,B66:S66,0)</f>
        <v/>
      </c>
    </row>
    <row r="67">
      <c r="A67" s="26" t="n">
        <v>0.03</v>
      </c>
      <c r="B67" s="27">
        <f>IF(OR(B$7="",B$8=0),0,B$8*(B$7-B$16*(1-$A67)*(1-(1-$A67)^MIN(B$6,$B$11))/($A67*MIN(B$6,$B$11)))^2)+IF(OR(C$7="",C$8=0),0,C$8*(C$7-B$16*(1-$A67)*(1-(1-$A67)^MIN(C$6,$B$11))/($A67*MIN(C$6,$B$11)))^2)+IF(OR(D$7="",D$8=0),0,D$8*(D$7-B$16*(1-$A67)*(1-(1-$A67)^MIN(D$6,$B$11))/($A67*MIN(D$6,$B$11)))^2)+IF(OR(E$7="",E$8=0),0,E$8*(E$7-B$16*(1-$A67)*(1-(1-$A67)^MIN(E$6,$B$11))/($A67*MIN(E$6,$B$11)))^2)</f>
        <v/>
      </c>
      <c r="C67" s="27">
        <f>IF(OR(B$7="",B$8=0),0,B$8*(B$7-C$16*(1-$A67)*(1-(1-$A67)^MIN(B$6,$B$11))/($A67*MIN(B$6,$B$11)))^2)+IF(OR(C$7="",C$8=0),0,C$8*(C$7-C$16*(1-$A67)*(1-(1-$A67)^MIN(C$6,$B$11))/($A67*MIN(C$6,$B$11)))^2)+IF(OR(D$7="",D$8=0),0,D$8*(D$7-C$16*(1-$A67)*(1-(1-$A67)^MIN(D$6,$B$11))/($A67*MIN(D$6,$B$11)))^2)+IF(OR(E$7="",E$8=0),0,E$8*(E$7-C$16*(1-$A67)*(1-(1-$A67)^MIN(E$6,$B$11))/($A67*MIN(E$6,$B$11)))^2)</f>
        <v/>
      </c>
      <c r="D67" s="27">
        <f>IF(OR(B$7="",B$8=0),0,B$8*(B$7-D$16*(1-$A67)*(1-(1-$A67)^MIN(B$6,$B$11))/($A67*MIN(B$6,$B$11)))^2)+IF(OR(C$7="",C$8=0),0,C$8*(C$7-D$16*(1-$A67)*(1-(1-$A67)^MIN(C$6,$B$11))/($A67*MIN(C$6,$B$11)))^2)+IF(OR(D$7="",D$8=0),0,D$8*(D$7-D$16*(1-$A67)*(1-(1-$A67)^MIN(D$6,$B$11))/($A67*MIN(D$6,$B$11)))^2)+IF(OR(E$7="",E$8=0),0,E$8*(E$7-D$16*(1-$A67)*(1-(1-$A67)^MIN(E$6,$B$11))/($A67*MIN(E$6,$B$11)))^2)</f>
        <v/>
      </c>
      <c r="E67" s="27">
        <f>IF(OR(B$7="",B$8=0),0,B$8*(B$7-E$16*(1-$A67)*(1-(1-$A67)^MIN(B$6,$B$11))/($A67*MIN(B$6,$B$11)))^2)+IF(OR(C$7="",C$8=0),0,C$8*(C$7-E$16*(1-$A67)*(1-(1-$A67)^MIN(C$6,$B$11))/($A67*MIN(C$6,$B$11)))^2)+IF(OR(D$7="",D$8=0),0,D$8*(D$7-E$16*(1-$A67)*(1-(1-$A67)^MIN(D$6,$B$11))/($A67*MIN(D$6,$B$11)))^2)+IF(OR(E$7="",E$8=0),0,E$8*(E$7-E$16*(1-$A67)*(1-(1-$A67)^MIN(E$6,$B$11))/($A67*MIN(E$6,$B$11)))^2)</f>
        <v/>
      </c>
      <c r="F67" s="27">
        <f>IF(OR(B$7="",B$8=0),0,B$8*(B$7-F$16*(1-$A67)*(1-(1-$A67)^MIN(B$6,$B$11))/($A67*MIN(B$6,$B$11)))^2)+IF(OR(C$7="",C$8=0),0,C$8*(C$7-F$16*(1-$A67)*(1-(1-$A67)^MIN(C$6,$B$11))/($A67*MIN(C$6,$B$11)))^2)+IF(OR(D$7="",D$8=0),0,D$8*(D$7-F$16*(1-$A67)*(1-(1-$A67)^MIN(D$6,$B$11))/($A67*MIN(D$6,$B$11)))^2)+IF(OR(E$7="",E$8=0),0,E$8*(E$7-F$16*(1-$A67)*(1-(1-$A67)^MIN(E$6,$B$11))/($A67*MIN(E$6,$B$11)))^2)</f>
        <v/>
      </c>
      <c r="G67" s="27">
        <f>IF(OR(B$7="",B$8=0),0,B$8*(B$7-G$16*(1-$A67)*(1-(1-$A67)^MIN(B$6,$B$11))/($A67*MIN(B$6,$B$11)))^2)+IF(OR(C$7="",C$8=0),0,C$8*(C$7-G$16*(1-$A67)*(1-(1-$A67)^MIN(C$6,$B$11))/($A67*MIN(C$6,$B$11)))^2)+IF(OR(D$7="",D$8=0),0,D$8*(D$7-G$16*(1-$A67)*(1-(1-$A67)^MIN(D$6,$B$11))/($A67*MIN(D$6,$B$11)))^2)+IF(OR(E$7="",E$8=0),0,E$8*(E$7-G$16*(1-$A67)*(1-(1-$A67)^MIN(E$6,$B$11))/($A67*MIN(E$6,$B$11)))^2)</f>
        <v/>
      </c>
      <c r="H67" s="27">
        <f>IF(OR(B$7="",B$8=0),0,B$8*(B$7-H$16*(1-$A67)*(1-(1-$A67)^MIN(B$6,$B$11))/($A67*MIN(B$6,$B$11)))^2)+IF(OR(C$7="",C$8=0),0,C$8*(C$7-H$16*(1-$A67)*(1-(1-$A67)^MIN(C$6,$B$11))/($A67*MIN(C$6,$B$11)))^2)+IF(OR(D$7="",D$8=0),0,D$8*(D$7-H$16*(1-$A67)*(1-(1-$A67)^MIN(D$6,$B$11))/($A67*MIN(D$6,$B$11)))^2)+IF(OR(E$7="",E$8=0),0,E$8*(E$7-H$16*(1-$A67)*(1-(1-$A67)^MIN(E$6,$B$11))/($A67*MIN(E$6,$B$11)))^2)</f>
        <v/>
      </c>
      <c r="I67" s="27">
        <f>IF(OR(B$7="",B$8=0),0,B$8*(B$7-I$16*(1-$A67)*(1-(1-$A67)^MIN(B$6,$B$11))/($A67*MIN(B$6,$B$11)))^2)+IF(OR(C$7="",C$8=0),0,C$8*(C$7-I$16*(1-$A67)*(1-(1-$A67)^MIN(C$6,$B$11))/($A67*MIN(C$6,$B$11)))^2)+IF(OR(D$7="",D$8=0),0,D$8*(D$7-I$16*(1-$A67)*(1-(1-$A67)^MIN(D$6,$B$11))/($A67*MIN(D$6,$B$11)))^2)+IF(OR(E$7="",E$8=0),0,E$8*(E$7-I$16*(1-$A67)*(1-(1-$A67)^MIN(E$6,$B$11))/($A67*MIN(E$6,$B$11)))^2)</f>
        <v/>
      </c>
      <c r="J67" s="27">
        <f>IF(OR(B$7="",B$8=0),0,B$8*(B$7-J$16*(1-$A67)*(1-(1-$A67)^MIN(B$6,$B$11))/($A67*MIN(B$6,$B$11)))^2)+IF(OR(C$7="",C$8=0),0,C$8*(C$7-J$16*(1-$A67)*(1-(1-$A67)^MIN(C$6,$B$11))/($A67*MIN(C$6,$B$11)))^2)+IF(OR(D$7="",D$8=0),0,D$8*(D$7-J$16*(1-$A67)*(1-(1-$A67)^MIN(D$6,$B$11))/($A67*MIN(D$6,$B$11)))^2)+IF(OR(E$7="",E$8=0),0,E$8*(E$7-J$16*(1-$A67)*(1-(1-$A67)^MIN(E$6,$B$11))/($A67*MIN(E$6,$B$11)))^2)</f>
        <v/>
      </c>
      <c r="K67" s="27">
        <f>IF(OR(B$7="",B$8=0),0,B$8*(B$7-K$16*(1-$A67)*(1-(1-$A67)^MIN(B$6,$B$11))/($A67*MIN(B$6,$B$11)))^2)+IF(OR(C$7="",C$8=0),0,C$8*(C$7-K$16*(1-$A67)*(1-(1-$A67)^MIN(C$6,$B$11))/($A67*MIN(C$6,$B$11)))^2)+IF(OR(D$7="",D$8=0),0,D$8*(D$7-K$16*(1-$A67)*(1-(1-$A67)^MIN(D$6,$B$11))/($A67*MIN(D$6,$B$11)))^2)+IF(OR(E$7="",E$8=0),0,E$8*(E$7-K$16*(1-$A67)*(1-(1-$A67)^MIN(E$6,$B$11))/($A67*MIN(E$6,$B$11)))^2)</f>
        <v/>
      </c>
      <c r="L67" s="27">
        <f>IF(OR(B$7="",B$8=0),0,B$8*(B$7-L$16*(1-$A67)*(1-(1-$A67)^MIN(B$6,$B$11))/($A67*MIN(B$6,$B$11)))^2)+IF(OR(C$7="",C$8=0),0,C$8*(C$7-L$16*(1-$A67)*(1-(1-$A67)^MIN(C$6,$B$11))/($A67*MIN(C$6,$B$11)))^2)+IF(OR(D$7="",D$8=0),0,D$8*(D$7-L$16*(1-$A67)*(1-(1-$A67)^MIN(D$6,$B$11))/($A67*MIN(D$6,$B$11)))^2)+IF(OR(E$7="",E$8=0),0,E$8*(E$7-L$16*(1-$A67)*(1-(1-$A67)^MIN(E$6,$B$11))/($A67*MIN(E$6,$B$11)))^2)</f>
        <v/>
      </c>
      <c r="M67" s="27">
        <f>IF(OR(B$7="",B$8=0),0,B$8*(B$7-M$16*(1-$A67)*(1-(1-$A67)^MIN(B$6,$B$11))/($A67*MIN(B$6,$B$11)))^2)+IF(OR(C$7="",C$8=0),0,C$8*(C$7-M$16*(1-$A67)*(1-(1-$A67)^MIN(C$6,$B$11))/($A67*MIN(C$6,$B$11)))^2)+IF(OR(D$7="",D$8=0),0,D$8*(D$7-M$16*(1-$A67)*(1-(1-$A67)^MIN(D$6,$B$11))/($A67*MIN(D$6,$B$11)))^2)+IF(OR(E$7="",E$8=0),0,E$8*(E$7-M$16*(1-$A67)*(1-(1-$A67)^MIN(E$6,$B$11))/($A67*MIN(E$6,$B$11)))^2)</f>
        <v/>
      </c>
      <c r="N67" s="27">
        <f>IF(OR(B$7="",B$8=0),0,B$8*(B$7-N$16*(1-$A67)*(1-(1-$A67)^MIN(B$6,$B$11))/($A67*MIN(B$6,$B$11)))^2)+IF(OR(C$7="",C$8=0),0,C$8*(C$7-N$16*(1-$A67)*(1-(1-$A67)^MIN(C$6,$B$11))/($A67*MIN(C$6,$B$11)))^2)+IF(OR(D$7="",D$8=0),0,D$8*(D$7-N$16*(1-$A67)*(1-(1-$A67)^MIN(D$6,$B$11))/($A67*MIN(D$6,$B$11)))^2)+IF(OR(E$7="",E$8=0),0,E$8*(E$7-N$16*(1-$A67)*(1-(1-$A67)^MIN(E$6,$B$11))/($A67*MIN(E$6,$B$11)))^2)</f>
        <v/>
      </c>
      <c r="O67" s="27">
        <f>IF(OR(B$7="",B$8=0),0,B$8*(B$7-O$16*(1-$A67)*(1-(1-$A67)^MIN(B$6,$B$11))/($A67*MIN(B$6,$B$11)))^2)+IF(OR(C$7="",C$8=0),0,C$8*(C$7-O$16*(1-$A67)*(1-(1-$A67)^MIN(C$6,$B$11))/($A67*MIN(C$6,$B$11)))^2)+IF(OR(D$7="",D$8=0),0,D$8*(D$7-O$16*(1-$A67)*(1-(1-$A67)^MIN(D$6,$B$11))/($A67*MIN(D$6,$B$11)))^2)+IF(OR(E$7="",E$8=0),0,E$8*(E$7-O$16*(1-$A67)*(1-(1-$A67)^MIN(E$6,$B$11))/($A67*MIN(E$6,$B$11)))^2)</f>
        <v/>
      </c>
      <c r="P67" s="27">
        <f>IF(OR(B$7="",B$8=0),0,B$8*(B$7-P$16*(1-$A67)*(1-(1-$A67)^MIN(B$6,$B$11))/($A67*MIN(B$6,$B$11)))^2)+IF(OR(C$7="",C$8=0),0,C$8*(C$7-P$16*(1-$A67)*(1-(1-$A67)^MIN(C$6,$B$11))/($A67*MIN(C$6,$B$11)))^2)+IF(OR(D$7="",D$8=0),0,D$8*(D$7-P$16*(1-$A67)*(1-(1-$A67)^MIN(D$6,$B$11))/($A67*MIN(D$6,$B$11)))^2)+IF(OR(E$7="",E$8=0),0,E$8*(E$7-P$16*(1-$A67)*(1-(1-$A67)^MIN(E$6,$B$11))/($A67*MIN(E$6,$B$11)))^2)</f>
        <v/>
      </c>
      <c r="Q67" s="27">
        <f>IF(OR(B$7="",B$8=0),0,B$8*(B$7-Q$16*(1-$A67)*(1-(1-$A67)^MIN(B$6,$B$11))/($A67*MIN(B$6,$B$11)))^2)+IF(OR(C$7="",C$8=0),0,C$8*(C$7-Q$16*(1-$A67)*(1-(1-$A67)^MIN(C$6,$B$11))/($A67*MIN(C$6,$B$11)))^2)+IF(OR(D$7="",D$8=0),0,D$8*(D$7-Q$16*(1-$A67)*(1-(1-$A67)^MIN(D$6,$B$11))/($A67*MIN(D$6,$B$11)))^2)+IF(OR(E$7="",E$8=0),0,E$8*(E$7-Q$16*(1-$A67)*(1-(1-$A67)^MIN(E$6,$B$11))/($A67*MIN(E$6,$B$11)))^2)</f>
        <v/>
      </c>
      <c r="R67" s="27">
        <f>IF(OR(B$7="",B$8=0),0,B$8*(B$7-R$16*(1-$A67)*(1-(1-$A67)^MIN(B$6,$B$11))/($A67*MIN(B$6,$B$11)))^2)+IF(OR(C$7="",C$8=0),0,C$8*(C$7-R$16*(1-$A67)*(1-(1-$A67)^MIN(C$6,$B$11))/($A67*MIN(C$6,$B$11)))^2)+IF(OR(D$7="",D$8=0),0,D$8*(D$7-R$16*(1-$A67)*(1-(1-$A67)^MIN(D$6,$B$11))/($A67*MIN(D$6,$B$11)))^2)+IF(OR(E$7="",E$8=0),0,E$8*(E$7-R$16*(1-$A67)*(1-(1-$A67)^MIN(E$6,$B$11))/($A67*MIN(E$6,$B$11)))^2)</f>
        <v/>
      </c>
      <c r="S67" s="27">
        <f>IF(OR(B$7="",B$8=0),0,B$8*(B$7-S$16*(1-$A67)*(1-(1-$A67)^MIN(B$6,$B$11))/($A67*MIN(B$6,$B$11)))^2)+IF(OR(C$7="",C$8=0),0,C$8*(C$7-S$16*(1-$A67)*(1-(1-$A67)^MIN(C$6,$B$11))/($A67*MIN(C$6,$B$11)))^2)+IF(OR(D$7="",D$8=0),0,D$8*(D$7-S$16*(1-$A67)*(1-(1-$A67)^MIN(D$6,$B$11))/($A67*MIN(D$6,$B$11)))^2)+IF(OR(E$7="",E$8=0),0,E$8*(E$7-S$16*(1-$A67)*(1-(1-$A67)^MIN(E$6,$B$11))/($A67*MIN(E$6,$B$11)))^2)</f>
        <v/>
      </c>
      <c r="U67" s="27">
        <f>MIN(B67:S67)</f>
        <v/>
      </c>
      <c r="V67" s="17">
        <f>MATCH(U67,B67:S67,0)</f>
        <v/>
      </c>
    </row>
    <row r="68">
      <c r="A68" s="26" t="n">
        <v>0.0305</v>
      </c>
      <c r="B68" s="27">
        <f>IF(OR(B$7="",B$8=0),0,B$8*(B$7-B$16*(1-$A68)*(1-(1-$A68)^MIN(B$6,$B$11))/($A68*MIN(B$6,$B$11)))^2)+IF(OR(C$7="",C$8=0),0,C$8*(C$7-B$16*(1-$A68)*(1-(1-$A68)^MIN(C$6,$B$11))/($A68*MIN(C$6,$B$11)))^2)+IF(OR(D$7="",D$8=0),0,D$8*(D$7-B$16*(1-$A68)*(1-(1-$A68)^MIN(D$6,$B$11))/($A68*MIN(D$6,$B$11)))^2)+IF(OR(E$7="",E$8=0),0,E$8*(E$7-B$16*(1-$A68)*(1-(1-$A68)^MIN(E$6,$B$11))/($A68*MIN(E$6,$B$11)))^2)</f>
        <v/>
      </c>
      <c r="C68" s="27">
        <f>IF(OR(B$7="",B$8=0),0,B$8*(B$7-C$16*(1-$A68)*(1-(1-$A68)^MIN(B$6,$B$11))/($A68*MIN(B$6,$B$11)))^2)+IF(OR(C$7="",C$8=0),0,C$8*(C$7-C$16*(1-$A68)*(1-(1-$A68)^MIN(C$6,$B$11))/($A68*MIN(C$6,$B$11)))^2)+IF(OR(D$7="",D$8=0),0,D$8*(D$7-C$16*(1-$A68)*(1-(1-$A68)^MIN(D$6,$B$11))/($A68*MIN(D$6,$B$11)))^2)+IF(OR(E$7="",E$8=0),0,E$8*(E$7-C$16*(1-$A68)*(1-(1-$A68)^MIN(E$6,$B$11))/($A68*MIN(E$6,$B$11)))^2)</f>
        <v/>
      </c>
      <c r="D68" s="27">
        <f>IF(OR(B$7="",B$8=0),0,B$8*(B$7-D$16*(1-$A68)*(1-(1-$A68)^MIN(B$6,$B$11))/($A68*MIN(B$6,$B$11)))^2)+IF(OR(C$7="",C$8=0),0,C$8*(C$7-D$16*(1-$A68)*(1-(1-$A68)^MIN(C$6,$B$11))/($A68*MIN(C$6,$B$11)))^2)+IF(OR(D$7="",D$8=0),0,D$8*(D$7-D$16*(1-$A68)*(1-(1-$A68)^MIN(D$6,$B$11))/($A68*MIN(D$6,$B$11)))^2)+IF(OR(E$7="",E$8=0),0,E$8*(E$7-D$16*(1-$A68)*(1-(1-$A68)^MIN(E$6,$B$11))/($A68*MIN(E$6,$B$11)))^2)</f>
        <v/>
      </c>
      <c r="E68" s="27">
        <f>IF(OR(B$7="",B$8=0),0,B$8*(B$7-E$16*(1-$A68)*(1-(1-$A68)^MIN(B$6,$B$11))/($A68*MIN(B$6,$B$11)))^2)+IF(OR(C$7="",C$8=0),0,C$8*(C$7-E$16*(1-$A68)*(1-(1-$A68)^MIN(C$6,$B$11))/($A68*MIN(C$6,$B$11)))^2)+IF(OR(D$7="",D$8=0),0,D$8*(D$7-E$16*(1-$A68)*(1-(1-$A68)^MIN(D$6,$B$11))/($A68*MIN(D$6,$B$11)))^2)+IF(OR(E$7="",E$8=0),0,E$8*(E$7-E$16*(1-$A68)*(1-(1-$A68)^MIN(E$6,$B$11))/($A68*MIN(E$6,$B$11)))^2)</f>
        <v/>
      </c>
      <c r="F68" s="27">
        <f>IF(OR(B$7="",B$8=0),0,B$8*(B$7-F$16*(1-$A68)*(1-(1-$A68)^MIN(B$6,$B$11))/($A68*MIN(B$6,$B$11)))^2)+IF(OR(C$7="",C$8=0),0,C$8*(C$7-F$16*(1-$A68)*(1-(1-$A68)^MIN(C$6,$B$11))/($A68*MIN(C$6,$B$11)))^2)+IF(OR(D$7="",D$8=0),0,D$8*(D$7-F$16*(1-$A68)*(1-(1-$A68)^MIN(D$6,$B$11))/($A68*MIN(D$6,$B$11)))^2)+IF(OR(E$7="",E$8=0),0,E$8*(E$7-F$16*(1-$A68)*(1-(1-$A68)^MIN(E$6,$B$11))/($A68*MIN(E$6,$B$11)))^2)</f>
        <v/>
      </c>
      <c r="G68" s="27">
        <f>IF(OR(B$7="",B$8=0),0,B$8*(B$7-G$16*(1-$A68)*(1-(1-$A68)^MIN(B$6,$B$11))/($A68*MIN(B$6,$B$11)))^2)+IF(OR(C$7="",C$8=0),0,C$8*(C$7-G$16*(1-$A68)*(1-(1-$A68)^MIN(C$6,$B$11))/($A68*MIN(C$6,$B$11)))^2)+IF(OR(D$7="",D$8=0),0,D$8*(D$7-G$16*(1-$A68)*(1-(1-$A68)^MIN(D$6,$B$11))/($A68*MIN(D$6,$B$11)))^2)+IF(OR(E$7="",E$8=0),0,E$8*(E$7-G$16*(1-$A68)*(1-(1-$A68)^MIN(E$6,$B$11))/($A68*MIN(E$6,$B$11)))^2)</f>
        <v/>
      </c>
      <c r="H68" s="27">
        <f>IF(OR(B$7="",B$8=0),0,B$8*(B$7-H$16*(1-$A68)*(1-(1-$A68)^MIN(B$6,$B$11))/($A68*MIN(B$6,$B$11)))^2)+IF(OR(C$7="",C$8=0),0,C$8*(C$7-H$16*(1-$A68)*(1-(1-$A68)^MIN(C$6,$B$11))/($A68*MIN(C$6,$B$11)))^2)+IF(OR(D$7="",D$8=0),0,D$8*(D$7-H$16*(1-$A68)*(1-(1-$A68)^MIN(D$6,$B$11))/($A68*MIN(D$6,$B$11)))^2)+IF(OR(E$7="",E$8=0),0,E$8*(E$7-H$16*(1-$A68)*(1-(1-$A68)^MIN(E$6,$B$11))/($A68*MIN(E$6,$B$11)))^2)</f>
        <v/>
      </c>
      <c r="I68" s="27">
        <f>IF(OR(B$7="",B$8=0),0,B$8*(B$7-I$16*(1-$A68)*(1-(1-$A68)^MIN(B$6,$B$11))/($A68*MIN(B$6,$B$11)))^2)+IF(OR(C$7="",C$8=0),0,C$8*(C$7-I$16*(1-$A68)*(1-(1-$A68)^MIN(C$6,$B$11))/($A68*MIN(C$6,$B$11)))^2)+IF(OR(D$7="",D$8=0),0,D$8*(D$7-I$16*(1-$A68)*(1-(1-$A68)^MIN(D$6,$B$11))/($A68*MIN(D$6,$B$11)))^2)+IF(OR(E$7="",E$8=0),0,E$8*(E$7-I$16*(1-$A68)*(1-(1-$A68)^MIN(E$6,$B$11))/($A68*MIN(E$6,$B$11)))^2)</f>
        <v/>
      </c>
      <c r="J68" s="27">
        <f>IF(OR(B$7="",B$8=0),0,B$8*(B$7-J$16*(1-$A68)*(1-(1-$A68)^MIN(B$6,$B$11))/($A68*MIN(B$6,$B$11)))^2)+IF(OR(C$7="",C$8=0),0,C$8*(C$7-J$16*(1-$A68)*(1-(1-$A68)^MIN(C$6,$B$11))/($A68*MIN(C$6,$B$11)))^2)+IF(OR(D$7="",D$8=0),0,D$8*(D$7-J$16*(1-$A68)*(1-(1-$A68)^MIN(D$6,$B$11))/($A68*MIN(D$6,$B$11)))^2)+IF(OR(E$7="",E$8=0),0,E$8*(E$7-J$16*(1-$A68)*(1-(1-$A68)^MIN(E$6,$B$11))/($A68*MIN(E$6,$B$11)))^2)</f>
        <v/>
      </c>
      <c r="K68" s="27">
        <f>IF(OR(B$7="",B$8=0),0,B$8*(B$7-K$16*(1-$A68)*(1-(1-$A68)^MIN(B$6,$B$11))/($A68*MIN(B$6,$B$11)))^2)+IF(OR(C$7="",C$8=0),0,C$8*(C$7-K$16*(1-$A68)*(1-(1-$A68)^MIN(C$6,$B$11))/($A68*MIN(C$6,$B$11)))^2)+IF(OR(D$7="",D$8=0),0,D$8*(D$7-K$16*(1-$A68)*(1-(1-$A68)^MIN(D$6,$B$11))/($A68*MIN(D$6,$B$11)))^2)+IF(OR(E$7="",E$8=0),0,E$8*(E$7-K$16*(1-$A68)*(1-(1-$A68)^MIN(E$6,$B$11))/($A68*MIN(E$6,$B$11)))^2)</f>
        <v/>
      </c>
      <c r="L68" s="27">
        <f>IF(OR(B$7="",B$8=0),0,B$8*(B$7-L$16*(1-$A68)*(1-(1-$A68)^MIN(B$6,$B$11))/($A68*MIN(B$6,$B$11)))^2)+IF(OR(C$7="",C$8=0),0,C$8*(C$7-L$16*(1-$A68)*(1-(1-$A68)^MIN(C$6,$B$11))/($A68*MIN(C$6,$B$11)))^2)+IF(OR(D$7="",D$8=0),0,D$8*(D$7-L$16*(1-$A68)*(1-(1-$A68)^MIN(D$6,$B$11))/($A68*MIN(D$6,$B$11)))^2)+IF(OR(E$7="",E$8=0),0,E$8*(E$7-L$16*(1-$A68)*(1-(1-$A68)^MIN(E$6,$B$11))/($A68*MIN(E$6,$B$11)))^2)</f>
        <v/>
      </c>
      <c r="M68" s="27">
        <f>IF(OR(B$7="",B$8=0),0,B$8*(B$7-M$16*(1-$A68)*(1-(1-$A68)^MIN(B$6,$B$11))/($A68*MIN(B$6,$B$11)))^2)+IF(OR(C$7="",C$8=0),0,C$8*(C$7-M$16*(1-$A68)*(1-(1-$A68)^MIN(C$6,$B$11))/($A68*MIN(C$6,$B$11)))^2)+IF(OR(D$7="",D$8=0),0,D$8*(D$7-M$16*(1-$A68)*(1-(1-$A68)^MIN(D$6,$B$11))/($A68*MIN(D$6,$B$11)))^2)+IF(OR(E$7="",E$8=0),0,E$8*(E$7-M$16*(1-$A68)*(1-(1-$A68)^MIN(E$6,$B$11))/($A68*MIN(E$6,$B$11)))^2)</f>
        <v/>
      </c>
      <c r="N68" s="27">
        <f>IF(OR(B$7="",B$8=0),0,B$8*(B$7-N$16*(1-$A68)*(1-(1-$A68)^MIN(B$6,$B$11))/($A68*MIN(B$6,$B$11)))^2)+IF(OR(C$7="",C$8=0),0,C$8*(C$7-N$16*(1-$A68)*(1-(1-$A68)^MIN(C$6,$B$11))/($A68*MIN(C$6,$B$11)))^2)+IF(OR(D$7="",D$8=0),0,D$8*(D$7-N$16*(1-$A68)*(1-(1-$A68)^MIN(D$6,$B$11))/($A68*MIN(D$6,$B$11)))^2)+IF(OR(E$7="",E$8=0),0,E$8*(E$7-N$16*(1-$A68)*(1-(1-$A68)^MIN(E$6,$B$11))/($A68*MIN(E$6,$B$11)))^2)</f>
        <v/>
      </c>
      <c r="O68" s="27">
        <f>IF(OR(B$7="",B$8=0),0,B$8*(B$7-O$16*(1-$A68)*(1-(1-$A68)^MIN(B$6,$B$11))/($A68*MIN(B$6,$B$11)))^2)+IF(OR(C$7="",C$8=0),0,C$8*(C$7-O$16*(1-$A68)*(1-(1-$A68)^MIN(C$6,$B$11))/($A68*MIN(C$6,$B$11)))^2)+IF(OR(D$7="",D$8=0),0,D$8*(D$7-O$16*(1-$A68)*(1-(1-$A68)^MIN(D$6,$B$11))/($A68*MIN(D$6,$B$11)))^2)+IF(OR(E$7="",E$8=0),0,E$8*(E$7-O$16*(1-$A68)*(1-(1-$A68)^MIN(E$6,$B$11))/($A68*MIN(E$6,$B$11)))^2)</f>
        <v/>
      </c>
      <c r="P68" s="27">
        <f>IF(OR(B$7="",B$8=0),0,B$8*(B$7-P$16*(1-$A68)*(1-(1-$A68)^MIN(B$6,$B$11))/($A68*MIN(B$6,$B$11)))^2)+IF(OR(C$7="",C$8=0),0,C$8*(C$7-P$16*(1-$A68)*(1-(1-$A68)^MIN(C$6,$B$11))/($A68*MIN(C$6,$B$11)))^2)+IF(OR(D$7="",D$8=0),0,D$8*(D$7-P$16*(1-$A68)*(1-(1-$A68)^MIN(D$6,$B$11))/($A68*MIN(D$6,$B$11)))^2)+IF(OR(E$7="",E$8=0),0,E$8*(E$7-P$16*(1-$A68)*(1-(1-$A68)^MIN(E$6,$B$11))/($A68*MIN(E$6,$B$11)))^2)</f>
        <v/>
      </c>
      <c r="Q68" s="27">
        <f>IF(OR(B$7="",B$8=0),0,B$8*(B$7-Q$16*(1-$A68)*(1-(1-$A68)^MIN(B$6,$B$11))/($A68*MIN(B$6,$B$11)))^2)+IF(OR(C$7="",C$8=0),0,C$8*(C$7-Q$16*(1-$A68)*(1-(1-$A68)^MIN(C$6,$B$11))/($A68*MIN(C$6,$B$11)))^2)+IF(OR(D$7="",D$8=0),0,D$8*(D$7-Q$16*(1-$A68)*(1-(1-$A68)^MIN(D$6,$B$11))/($A68*MIN(D$6,$B$11)))^2)+IF(OR(E$7="",E$8=0),0,E$8*(E$7-Q$16*(1-$A68)*(1-(1-$A68)^MIN(E$6,$B$11))/($A68*MIN(E$6,$B$11)))^2)</f>
        <v/>
      </c>
      <c r="R68" s="27">
        <f>IF(OR(B$7="",B$8=0),0,B$8*(B$7-R$16*(1-$A68)*(1-(1-$A68)^MIN(B$6,$B$11))/($A68*MIN(B$6,$B$11)))^2)+IF(OR(C$7="",C$8=0),0,C$8*(C$7-R$16*(1-$A68)*(1-(1-$A68)^MIN(C$6,$B$11))/($A68*MIN(C$6,$B$11)))^2)+IF(OR(D$7="",D$8=0),0,D$8*(D$7-R$16*(1-$A68)*(1-(1-$A68)^MIN(D$6,$B$11))/($A68*MIN(D$6,$B$11)))^2)+IF(OR(E$7="",E$8=0),0,E$8*(E$7-R$16*(1-$A68)*(1-(1-$A68)^MIN(E$6,$B$11))/($A68*MIN(E$6,$B$11)))^2)</f>
        <v/>
      </c>
      <c r="S68" s="27">
        <f>IF(OR(B$7="",B$8=0),0,B$8*(B$7-S$16*(1-$A68)*(1-(1-$A68)^MIN(B$6,$B$11))/($A68*MIN(B$6,$B$11)))^2)+IF(OR(C$7="",C$8=0),0,C$8*(C$7-S$16*(1-$A68)*(1-(1-$A68)^MIN(C$6,$B$11))/($A68*MIN(C$6,$B$11)))^2)+IF(OR(D$7="",D$8=0),0,D$8*(D$7-S$16*(1-$A68)*(1-(1-$A68)^MIN(D$6,$B$11))/($A68*MIN(D$6,$B$11)))^2)+IF(OR(E$7="",E$8=0),0,E$8*(E$7-S$16*(1-$A68)*(1-(1-$A68)^MIN(E$6,$B$11))/($A68*MIN(E$6,$B$11)))^2)</f>
        <v/>
      </c>
      <c r="U68" s="27">
        <f>MIN(B68:S68)</f>
        <v/>
      </c>
      <c r="V68" s="17">
        <f>MATCH(U68,B68:S68,0)</f>
        <v/>
      </c>
    </row>
    <row r="69">
      <c r="A69" s="26" t="n">
        <v>0.031</v>
      </c>
      <c r="B69" s="27">
        <f>IF(OR(B$7="",B$8=0),0,B$8*(B$7-B$16*(1-$A69)*(1-(1-$A69)^MIN(B$6,$B$11))/($A69*MIN(B$6,$B$11)))^2)+IF(OR(C$7="",C$8=0),0,C$8*(C$7-B$16*(1-$A69)*(1-(1-$A69)^MIN(C$6,$B$11))/($A69*MIN(C$6,$B$11)))^2)+IF(OR(D$7="",D$8=0),0,D$8*(D$7-B$16*(1-$A69)*(1-(1-$A69)^MIN(D$6,$B$11))/($A69*MIN(D$6,$B$11)))^2)+IF(OR(E$7="",E$8=0),0,E$8*(E$7-B$16*(1-$A69)*(1-(1-$A69)^MIN(E$6,$B$11))/($A69*MIN(E$6,$B$11)))^2)</f>
        <v/>
      </c>
      <c r="C69" s="27">
        <f>IF(OR(B$7="",B$8=0),0,B$8*(B$7-C$16*(1-$A69)*(1-(1-$A69)^MIN(B$6,$B$11))/($A69*MIN(B$6,$B$11)))^2)+IF(OR(C$7="",C$8=0),0,C$8*(C$7-C$16*(1-$A69)*(1-(1-$A69)^MIN(C$6,$B$11))/($A69*MIN(C$6,$B$11)))^2)+IF(OR(D$7="",D$8=0),0,D$8*(D$7-C$16*(1-$A69)*(1-(1-$A69)^MIN(D$6,$B$11))/($A69*MIN(D$6,$B$11)))^2)+IF(OR(E$7="",E$8=0),0,E$8*(E$7-C$16*(1-$A69)*(1-(1-$A69)^MIN(E$6,$B$11))/($A69*MIN(E$6,$B$11)))^2)</f>
        <v/>
      </c>
      <c r="D69" s="27">
        <f>IF(OR(B$7="",B$8=0),0,B$8*(B$7-D$16*(1-$A69)*(1-(1-$A69)^MIN(B$6,$B$11))/($A69*MIN(B$6,$B$11)))^2)+IF(OR(C$7="",C$8=0),0,C$8*(C$7-D$16*(1-$A69)*(1-(1-$A69)^MIN(C$6,$B$11))/($A69*MIN(C$6,$B$11)))^2)+IF(OR(D$7="",D$8=0),0,D$8*(D$7-D$16*(1-$A69)*(1-(1-$A69)^MIN(D$6,$B$11))/($A69*MIN(D$6,$B$11)))^2)+IF(OR(E$7="",E$8=0),0,E$8*(E$7-D$16*(1-$A69)*(1-(1-$A69)^MIN(E$6,$B$11))/($A69*MIN(E$6,$B$11)))^2)</f>
        <v/>
      </c>
      <c r="E69" s="27">
        <f>IF(OR(B$7="",B$8=0),0,B$8*(B$7-E$16*(1-$A69)*(1-(1-$A69)^MIN(B$6,$B$11))/($A69*MIN(B$6,$B$11)))^2)+IF(OR(C$7="",C$8=0),0,C$8*(C$7-E$16*(1-$A69)*(1-(1-$A69)^MIN(C$6,$B$11))/($A69*MIN(C$6,$B$11)))^2)+IF(OR(D$7="",D$8=0),0,D$8*(D$7-E$16*(1-$A69)*(1-(1-$A69)^MIN(D$6,$B$11))/($A69*MIN(D$6,$B$11)))^2)+IF(OR(E$7="",E$8=0),0,E$8*(E$7-E$16*(1-$A69)*(1-(1-$A69)^MIN(E$6,$B$11))/($A69*MIN(E$6,$B$11)))^2)</f>
        <v/>
      </c>
      <c r="F69" s="27">
        <f>IF(OR(B$7="",B$8=0),0,B$8*(B$7-F$16*(1-$A69)*(1-(1-$A69)^MIN(B$6,$B$11))/($A69*MIN(B$6,$B$11)))^2)+IF(OR(C$7="",C$8=0),0,C$8*(C$7-F$16*(1-$A69)*(1-(1-$A69)^MIN(C$6,$B$11))/($A69*MIN(C$6,$B$11)))^2)+IF(OR(D$7="",D$8=0),0,D$8*(D$7-F$16*(1-$A69)*(1-(1-$A69)^MIN(D$6,$B$11))/($A69*MIN(D$6,$B$11)))^2)+IF(OR(E$7="",E$8=0),0,E$8*(E$7-F$16*(1-$A69)*(1-(1-$A69)^MIN(E$6,$B$11))/($A69*MIN(E$6,$B$11)))^2)</f>
        <v/>
      </c>
      <c r="G69" s="27">
        <f>IF(OR(B$7="",B$8=0),0,B$8*(B$7-G$16*(1-$A69)*(1-(1-$A69)^MIN(B$6,$B$11))/($A69*MIN(B$6,$B$11)))^2)+IF(OR(C$7="",C$8=0),0,C$8*(C$7-G$16*(1-$A69)*(1-(1-$A69)^MIN(C$6,$B$11))/($A69*MIN(C$6,$B$11)))^2)+IF(OR(D$7="",D$8=0),0,D$8*(D$7-G$16*(1-$A69)*(1-(1-$A69)^MIN(D$6,$B$11))/($A69*MIN(D$6,$B$11)))^2)+IF(OR(E$7="",E$8=0),0,E$8*(E$7-G$16*(1-$A69)*(1-(1-$A69)^MIN(E$6,$B$11))/($A69*MIN(E$6,$B$11)))^2)</f>
        <v/>
      </c>
      <c r="H69" s="27">
        <f>IF(OR(B$7="",B$8=0),0,B$8*(B$7-H$16*(1-$A69)*(1-(1-$A69)^MIN(B$6,$B$11))/($A69*MIN(B$6,$B$11)))^2)+IF(OR(C$7="",C$8=0),0,C$8*(C$7-H$16*(1-$A69)*(1-(1-$A69)^MIN(C$6,$B$11))/($A69*MIN(C$6,$B$11)))^2)+IF(OR(D$7="",D$8=0),0,D$8*(D$7-H$16*(1-$A69)*(1-(1-$A69)^MIN(D$6,$B$11))/($A69*MIN(D$6,$B$11)))^2)+IF(OR(E$7="",E$8=0),0,E$8*(E$7-H$16*(1-$A69)*(1-(1-$A69)^MIN(E$6,$B$11))/($A69*MIN(E$6,$B$11)))^2)</f>
        <v/>
      </c>
      <c r="I69" s="27">
        <f>IF(OR(B$7="",B$8=0),0,B$8*(B$7-I$16*(1-$A69)*(1-(1-$A69)^MIN(B$6,$B$11))/($A69*MIN(B$6,$B$11)))^2)+IF(OR(C$7="",C$8=0),0,C$8*(C$7-I$16*(1-$A69)*(1-(1-$A69)^MIN(C$6,$B$11))/($A69*MIN(C$6,$B$11)))^2)+IF(OR(D$7="",D$8=0),0,D$8*(D$7-I$16*(1-$A69)*(1-(1-$A69)^MIN(D$6,$B$11))/($A69*MIN(D$6,$B$11)))^2)+IF(OR(E$7="",E$8=0),0,E$8*(E$7-I$16*(1-$A69)*(1-(1-$A69)^MIN(E$6,$B$11))/($A69*MIN(E$6,$B$11)))^2)</f>
        <v/>
      </c>
      <c r="J69" s="27">
        <f>IF(OR(B$7="",B$8=0),0,B$8*(B$7-J$16*(1-$A69)*(1-(1-$A69)^MIN(B$6,$B$11))/($A69*MIN(B$6,$B$11)))^2)+IF(OR(C$7="",C$8=0),0,C$8*(C$7-J$16*(1-$A69)*(1-(1-$A69)^MIN(C$6,$B$11))/($A69*MIN(C$6,$B$11)))^2)+IF(OR(D$7="",D$8=0),0,D$8*(D$7-J$16*(1-$A69)*(1-(1-$A69)^MIN(D$6,$B$11))/($A69*MIN(D$6,$B$11)))^2)+IF(OR(E$7="",E$8=0),0,E$8*(E$7-J$16*(1-$A69)*(1-(1-$A69)^MIN(E$6,$B$11))/($A69*MIN(E$6,$B$11)))^2)</f>
        <v/>
      </c>
      <c r="K69" s="27">
        <f>IF(OR(B$7="",B$8=0),0,B$8*(B$7-K$16*(1-$A69)*(1-(1-$A69)^MIN(B$6,$B$11))/($A69*MIN(B$6,$B$11)))^2)+IF(OR(C$7="",C$8=0),0,C$8*(C$7-K$16*(1-$A69)*(1-(1-$A69)^MIN(C$6,$B$11))/($A69*MIN(C$6,$B$11)))^2)+IF(OR(D$7="",D$8=0),0,D$8*(D$7-K$16*(1-$A69)*(1-(1-$A69)^MIN(D$6,$B$11))/($A69*MIN(D$6,$B$11)))^2)+IF(OR(E$7="",E$8=0),0,E$8*(E$7-K$16*(1-$A69)*(1-(1-$A69)^MIN(E$6,$B$11))/($A69*MIN(E$6,$B$11)))^2)</f>
        <v/>
      </c>
      <c r="L69" s="27">
        <f>IF(OR(B$7="",B$8=0),0,B$8*(B$7-L$16*(1-$A69)*(1-(1-$A69)^MIN(B$6,$B$11))/($A69*MIN(B$6,$B$11)))^2)+IF(OR(C$7="",C$8=0),0,C$8*(C$7-L$16*(1-$A69)*(1-(1-$A69)^MIN(C$6,$B$11))/($A69*MIN(C$6,$B$11)))^2)+IF(OR(D$7="",D$8=0),0,D$8*(D$7-L$16*(1-$A69)*(1-(1-$A69)^MIN(D$6,$B$11))/($A69*MIN(D$6,$B$11)))^2)+IF(OR(E$7="",E$8=0),0,E$8*(E$7-L$16*(1-$A69)*(1-(1-$A69)^MIN(E$6,$B$11))/($A69*MIN(E$6,$B$11)))^2)</f>
        <v/>
      </c>
      <c r="M69" s="27">
        <f>IF(OR(B$7="",B$8=0),0,B$8*(B$7-M$16*(1-$A69)*(1-(1-$A69)^MIN(B$6,$B$11))/($A69*MIN(B$6,$B$11)))^2)+IF(OR(C$7="",C$8=0),0,C$8*(C$7-M$16*(1-$A69)*(1-(1-$A69)^MIN(C$6,$B$11))/($A69*MIN(C$6,$B$11)))^2)+IF(OR(D$7="",D$8=0),0,D$8*(D$7-M$16*(1-$A69)*(1-(1-$A69)^MIN(D$6,$B$11))/($A69*MIN(D$6,$B$11)))^2)+IF(OR(E$7="",E$8=0),0,E$8*(E$7-M$16*(1-$A69)*(1-(1-$A69)^MIN(E$6,$B$11))/($A69*MIN(E$6,$B$11)))^2)</f>
        <v/>
      </c>
      <c r="N69" s="27">
        <f>IF(OR(B$7="",B$8=0),0,B$8*(B$7-N$16*(1-$A69)*(1-(1-$A69)^MIN(B$6,$B$11))/($A69*MIN(B$6,$B$11)))^2)+IF(OR(C$7="",C$8=0),0,C$8*(C$7-N$16*(1-$A69)*(1-(1-$A69)^MIN(C$6,$B$11))/($A69*MIN(C$6,$B$11)))^2)+IF(OR(D$7="",D$8=0),0,D$8*(D$7-N$16*(1-$A69)*(1-(1-$A69)^MIN(D$6,$B$11))/($A69*MIN(D$6,$B$11)))^2)+IF(OR(E$7="",E$8=0),0,E$8*(E$7-N$16*(1-$A69)*(1-(1-$A69)^MIN(E$6,$B$11))/($A69*MIN(E$6,$B$11)))^2)</f>
        <v/>
      </c>
      <c r="O69" s="27">
        <f>IF(OR(B$7="",B$8=0),0,B$8*(B$7-O$16*(1-$A69)*(1-(1-$A69)^MIN(B$6,$B$11))/($A69*MIN(B$6,$B$11)))^2)+IF(OR(C$7="",C$8=0),0,C$8*(C$7-O$16*(1-$A69)*(1-(1-$A69)^MIN(C$6,$B$11))/($A69*MIN(C$6,$B$11)))^2)+IF(OR(D$7="",D$8=0),0,D$8*(D$7-O$16*(1-$A69)*(1-(1-$A69)^MIN(D$6,$B$11))/($A69*MIN(D$6,$B$11)))^2)+IF(OR(E$7="",E$8=0),0,E$8*(E$7-O$16*(1-$A69)*(1-(1-$A69)^MIN(E$6,$B$11))/($A69*MIN(E$6,$B$11)))^2)</f>
        <v/>
      </c>
      <c r="P69" s="27">
        <f>IF(OR(B$7="",B$8=0),0,B$8*(B$7-P$16*(1-$A69)*(1-(1-$A69)^MIN(B$6,$B$11))/($A69*MIN(B$6,$B$11)))^2)+IF(OR(C$7="",C$8=0),0,C$8*(C$7-P$16*(1-$A69)*(1-(1-$A69)^MIN(C$6,$B$11))/($A69*MIN(C$6,$B$11)))^2)+IF(OR(D$7="",D$8=0),0,D$8*(D$7-P$16*(1-$A69)*(1-(1-$A69)^MIN(D$6,$B$11))/($A69*MIN(D$6,$B$11)))^2)+IF(OR(E$7="",E$8=0),0,E$8*(E$7-P$16*(1-$A69)*(1-(1-$A69)^MIN(E$6,$B$11))/($A69*MIN(E$6,$B$11)))^2)</f>
        <v/>
      </c>
      <c r="Q69" s="27">
        <f>IF(OR(B$7="",B$8=0),0,B$8*(B$7-Q$16*(1-$A69)*(1-(1-$A69)^MIN(B$6,$B$11))/($A69*MIN(B$6,$B$11)))^2)+IF(OR(C$7="",C$8=0),0,C$8*(C$7-Q$16*(1-$A69)*(1-(1-$A69)^MIN(C$6,$B$11))/($A69*MIN(C$6,$B$11)))^2)+IF(OR(D$7="",D$8=0),0,D$8*(D$7-Q$16*(1-$A69)*(1-(1-$A69)^MIN(D$6,$B$11))/($A69*MIN(D$6,$B$11)))^2)+IF(OR(E$7="",E$8=0),0,E$8*(E$7-Q$16*(1-$A69)*(1-(1-$A69)^MIN(E$6,$B$11))/($A69*MIN(E$6,$B$11)))^2)</f>
        <v/>
      </c>
      <c r="R69" s="27">
        <f>IF(OR(B$7="",B$8=0),0,B$8*(B$7-R$16*(1-$A69)*(1-(1-$A69)^MIN(B$6,$B$11))/($A69*MIN(B$6,$B$11)))^2)+IF(OR(C$7="",C$8=0),0,C$8*(C$7-R$16*(1-$A69)*(1-(1-$A69)^MIN(C$6,$B$11))/($A69*MIN(C$6,$B$11)))^2)+IF(OR(D$7="",D$8=0),0,D$8*(D$7-R$16*(1-$A69)*(1-(1-$A69)^MIN(D$6,$B$11))/($A69*MIN(D$6,$B$11)))^2)+IF(OR(E$7="",E$8=0),0,E$8*(E$7-R$16*(1-$A69)*(1-(1-$A69)^MIN(E$6,$B$11))/($A69*MIN(E$6,$B$11)))^2)</f>
        <v/>
      </c>
      <c r="S69" s="27">
        <f>IF(OR(B$7="",B$8=0),0,B$8*(B$7-S$16*(1-$A69)*(1-(1-$A69)^MIN(B$6,$B$11))/($A69*MIN(B$6,$B$11)))^2)+IF(OR(C$7="",C$8=0),0,C$8*(C$7-S$16*(1-$A69)*(1-(1-$A69)^MIN(C$6,$B$11))/($A69*MIN(C$6,$B$11)))^2)+IF(OR(D$7="",D$8=0),0,D$8*(D$7-S$16*(1-$A69)*(1-(1-$A69)^MIN(D$6,$B$11))/($A69*MIN(D$6,$B$11)))^2)+IF(OR(E$7="",E$8=0),0,E$8*(E$7-S$16*(1-$A69)*(1-(1-$A69)^MIN(E$6,$B$11))/($A69*MIN(E$6,$B$11)))^2)</f>
        <v/>
      </c>
      <c r="U69" s="27">
        <f>MIN(B69:S69)</f>
        <v/>
      </c>
      <c r="V69" s="17">
        <f>MATCH(U69,B69:S69,0)</f>
        <v/>
      </c>
    </row>
    <row r="70">
      <c r="A70" s="26" t="n">
        <v>0.0315</v>
      </c>
      <c r="B70" s="27">
        <f>IF(OR(B$7="",B$8=0),0,B$8*(B$7-B$16*(1-$A70)*(1-(1-$A70)^MIN(B$6,$B$11))/($A70*MIN(B$6,$B$11)))^2)+IF(OR(C$7="",C$8=0),0,C$8*(C$7-B$16*(1-$A70)*(1-(1-$A70)^MIN(C$6,$B$11))/($A70*MIN(C$6,$B$11)))^2)+IF(OR(D$7="",D$8=0),0,D$8*(D$7-B$16*(1-$A70)*(1-(1-$A70)^MIN(D$6,$B$11))/($A70*MIN(D$6,$B$11)))^2)+IF(OR(E$7="",E$8=0),0,E$8*(E$7-B$16*(1-$A70)*(1-(1-$A70)^MIN(E$6,$B$11))/($A70*MIN(E$6,$B$11)))^2)</f>
        <v/>
      </c>
      <c r="C70" s="27">
        <f>IF(OR(B$7="",B$8=0),0,B$8*(B$7-C$16*(1-$A70)*(1-(1-$A70)^MIN(B$6,$B$11))/($A70*MIN(B$6,$B$11)))^2)+IF(OR(C$7="",C$8=0),0,C$8*(C$7-C$16*(1-$A70)*(1-(1-$A70)^MIN(C$6,$B$11))/($A70*MIN(C$6,$B$11)))^2)+IF(OR(D$7="",D$8=0),0,D$8*(D$7-C$16*(1-$A70)*(1-(1-$A70)^MIN(D$6,$B$11))/($A70*MIN(D$6,$B$11)))^2)+IF(OR(E$7="",E$8=0),0,E$8*(E$7-C$16*(1-$A70)*(1-(1-$A70)^MIN(E$6,$B$11))/($A70*MIN(E$6,$B$11)))^2)</f>
        <v/>
      </c>
      <c r="D70" s="27">
        <f>IF(OR(B$7="",B$8=0),0,B$8*(B$7-D$16*(1-$A70)*(1-(1-$A70)^MIN(B$6,$B$11))/($A70*MIN(B$6,$B$11)))^2)+IF(OR(C$7="",C$8=0),0,C$8*(C$7-D$16*(1-$A70)*(1-(1-$A70)^MIN(C$6,$B$11))/($A70*MIN(C$6,$B$11)))^2)+IF(OR(D$7="",D$8=0),0,D$8*(D$7-D$16*(1-$A70)*(1-(1-$A70)^MIN(D$6,$B$11))/($A70*MIN(D$6,$B$11)))^2)+IF(OR(E$7="",E$8=0),0,E$8*(E$7-D$16*(1-$A70)*(1-(1-$A70)^MIN(E$6,$B$11))/($A70*MIN(E$6,$B$11)))^2)</f>
        <v/>
      </c>
      <c r="E70" s="27">
        <f>IF(OR(B$7="",B$8=0),0,B$8*(B$7-E$16*(1-$A70)*(1-(1-$A70)^MIN(B$6,$B$11))/($A70*MIN(B$6,$B$11)))^2)+IF(OR(C$7="",C$8=0),0,C$8*(C$7-E$16*(1-$A70)*(1-(1-$A70)^MIN(C$6,$B$11))/($A70*MIN(C$6,$B$11)))^2)+IF(OR(D$7="",D$8=0),0,D$8*(D$7-E$16*(1-$A70)*(1-(1-$A70)^MIN(D$6,$B$11))/($A70*MIN(D$6,$B$11)))^2)+IF(OR(E$7="",E$8=0),0,E$8*(E$7-E$16*(1-$A70)*(1-(1-$A70)^MIN(E$6,$B$11))/($A70*MIN(E$6,$B$11)))^2)</f>
        <v/>
      </c>
      <c r="F70" s="27">
        <f>IF(OR(B$7="",B$8=0),0,B$8*(B$7-F$16*(1-$A70)*(1-(1-$A70)^MIN(B$6,$B$11))/($A70*MIN(B$6,$B$11)))^2)+IF(OR(C$7="",C$8=0),0,C$8*(C$7-F$16*(1-$A70)*(1-(1-$A70)^MIN(C$6,$B$11))/($A70*MIN(C$6,$B$11)))^2)+IF(OR(D$7="",D$8=0),0,D$8*(D$7-F$16*(1-$A70)*(1-(1-$A70)^MIN(D$6,$B$11))/($A70*MIN(D$6,$B$11)))^2)+IF(OR(E$7="",E$8=0),0,E$8*(E$7-F$16*(1-$A70)*(1-(1-$A70)^MIN(E$6,$B$11))/($A70*MIN(E$6,$B$11)))^2)</f>
        <v/>
      </c>
      <c r="G70" s="27">
        <f>IF(OR(B$7="",B$8=0),0,B$8*(B$7-G$16*(1-$A70)*(1-(1-$A70)^MIN(B$6,$B$11))/($A70*MIN(B$6,$B$11)))^2)+IF(OR(C$7="",C$8=0),0,C$8*(C$7-G$16*(1-$A70)*(1-(1-$A70)^MIN(C$6,$B$11))/($A70*MIN(C$6,$B$11)))^2)+IF(OR(D$7="",D$8=0),0,D$8*(D$7-G$16*(1-$A70)*(1-(1-$A70)^MIN(D$6,$B$11))/($A70*MIN(D$6,$B$11)))^2)+IF(OR(E$7="",E$8=0),0,E$8*(E$7-G$16*(1-$A70)*(1-(1-$A70)^MIN(E$6,$B$11))/($A70*MIN(E$6,$B$11)))^2)</f>
        <v/>
      </c>
      <c r="H70" s="27">
        <f>IF(OR(B$7="",B$8=0),0,B$8*(B$7-H$16*(1-$A70)*(1-(1-$A70)^MIN(B$6,$B$11))/($A70*MIN(B$6,$B$11)))^2)+IF(OR(C$7="",C$8=0),0,C$8*(C$7-H$16*(1-$A70)*(1-(1-$A70)^MIN(C$6,$B$11))/($A70*MIN(C$6,$B$11)))^2)+IF(OR(D$7="",D$8=0),0,D$8*(D$7-H$16*(1-$A70)*(1-(1-$A70)^MIN(D$6,$B$11))/($A70*MIN(D$6,$B$11)))^2)+IF(OR(E$7="",E$8=0),0,E$8*(E$7-H$16*(1-$A70)*(1-(1-$A70)^MIN(E$6,$B$11))/($A70*MIN(E$6,$B$11)))^2)</f>
        <v/>
      </c>
      <c r="I70" s="27">
        <f>IF(OR(B$7="",B$8=0),0,B$8*(B$7-I$16*(1-$A70)*(1-(1-$A70)^MIN(B$6,$B$11))/($A70*MIN(B$6,$B$11)))^2)+IF(OR(C$7="",C$8=0),0,C$8*(C$7-I$16*(1-$A70)*(1-(1-$A70)^MIN(C$6,$B$11))/($A70*MIN(C$6,$B$11)))^2)+IF(OR(D$7="",D$8=0),0,D$8*(D$7-I$16*(1-$A70)*(1-(1-$A70)^MIN(D$6,$B$11))/($A70*MIN(D$6,$B$11)))^2)+IF(OR(E$7="",E$8=0),0,E$8*(E$7-I$16*(1-$A70)*(1-(1-$A70)^MIN(E$6,$B$11))/($A70*MIN(E$6,$B$11)))^2)</f>
        <v/>
      </c>
      <c r="J70" s="27">
        <f>IF(OR(B$7="",B$8=0),0,B$8*(B$7-J$16*(1-$A70)*(1-(1-$A70)^MIN(B$6,$B$11))/($A70*MIN(B$6,$B$11)))^2)+IF(OR(C$7="",C$8=0),0,C$8*(C$7-J$16*(1-$A70)*(1-(1-$A70)^MIN(C$6,$B$11))/($A70*MIN(C$6,$B$11)))^2)+IF(OR(D$7="",D$8=0),0,D$8*(D$7-J$16*(1-$A70)*(1-(1-$A70)^MIN(D$6,$B$11))/($A70*MIN(D$6,$B$11)))^2)+IF(OR(E$7="",E$8=0),0,E$8*(E$7-J$16*(1-$A70)*(1-(1-$A70)^MIN(E$6,$B$11))/($A70*MIN(E$6,$B$11)))^2)</f>
        <v/>
      </c>
      <c r="K70" s="27">
        <f>IF(OR(B$7="",B$8=0),0,B$8*(B$7-K$16*(1-$A70)*(1-(1-$A70)^MIN(B$6,$B$11))/($A70*MIN(B$6,$B$11)))^2)+IF(OR(C$7="",C$8=0),0,C$8*(C$7-K$16*(1-$A70)*(1-(1-$A70)^MIN(C$6,$B$11))/($A70*MIN(C$6,$B$11)))^2)+IF(OR(D$7="",D$8=0),0,D$8*(D$7-K$16*(1-$A70)*(1-(1-$A70)^MIN(D$6,$B$11))/($A70*MIN(D$6,$B$11)))^2)+IF(OR(E$7="",E$8=0),0,E$8*(E$7-K$16*(1-$A70)*(1-(1-$A70)^MIN(E$6,$B$11))/($A70*MIN(E$6,$B$11)))^2)</f>
        <v/>
      </c>
      <c r="L70" s="27">
        <f>IF(OR(B$7="",B$8=0),0,B$8*(B$7-L$16*(1-$A70)*(1-(1-$A70)^MIN(B$6,$B$11))/($A70*MIN(B$6,$B$11)))^2)+IF(OR(C$7="",C$8=0),0,C$8*(C$7-L$16*(1-$A70)*(1-(1-$A70)^MIN(C$6,$B$11))/($A70*MIN(C$6,$B$11)))^2)+IF(OR(D$7="",D$8=0),0,D$8*(D$7-L$16*(1-$A70)*(1-(1-$A70)^MIN(D$6,$B$11))/($A70*MIN(D$6,$B$11)))^2)+IF(OR(E$7="",E$8=0),0,E$8*(E$7-L$16*(1-$A70)*(1-(1-$A70)^MIN(E$6,$B$11))/($A70*MIN(E$6,$B$11)))^2)</f>
        <v/>
      </c>
      <c r="M70" s="27">
        <f>IF(OR(B$7="",B$8=0),0,B$8*(B$7-M$16*(1-$A70)*(1-(1-$A70)^MIN(B$6,$B$11))/($A70*MIN(B$6,$B$11)))^2)+IF(OR(C$7="",C$8=0),0,C$8*(C$7-M$16*(1-$A70)*(1-(1-$A70)^MIN(C$6,$B$11))/($A70*MIN(C$6,$B$11)))^2)+IF(OR(D$7="",D$8=0),0,D$8*(D$7-M$16*(1-$A70)*(1-(1-$A70)^MIN(D$6,$B$11))/($A70*MIN(D$6,$B$11)))^2)+IF(OR(E$7="",E$8=0),0,E$8*(E$7-M$16*(1-$A70)*(1-(1-$A70)^MIN(E$6,$B$11))/($A70*MIN(E$6,$B$11)))^2)</f>
        <v/>
      </c>
      <c r="N70" s="27">
        <f>IF(OR(B$7="",B$8=0),0,B$8*(B$7-N$16*(1-$A70)*(1-(1-$A70)^MIN(B$6,$B$11))/($A70*MIN(B$6,$B$11)))^2)+IF(OR(C$7="",C$8=0),0,C$8*(C$7-N$16*(1-$A70)*(1-(1-$A70)^MIN(C$6,$B$11))/($A70*MIN(C$6,$B$11)))^2)+IF(OR(D$7="",D$8=0),0,D$8*(D$7-N$16*(1-$A70)*(1-(1-$A70)^MIN(D$6,$B$11))/($A70*MIN(D$6,$B$11)))^2)+IF(OR(E$7="",E$8=0),0,E$8*(E$7-N$16*(1-$A70)*(1-(1-$A70)^MIN(E$6,$B$11))/($A70*MIN(E$6,$B$11)))^2)</f>
        <v/>
      </c>
      <c r="O70" s="27">
        <f>IF(OR(B$7="",B$8=0),0,B$8*(B$7-O$16*(1-$A70)*(1-(1-$A70)^MIN(B$6,$B$11))/($A70*MIN(B$6,$B$11)))^2)+IF(OR(C$7="",C$8=0),0,C$8*(C$7-O$16*(1-$A70)*(1-(1-$A70)^MIN(C$6,$B$11))/($A70*MIN(C$6,$B$11)))^2)+IF(OR(D$7="",D$8=0),0,D$8*(D$7-O$16*(1-$A70)*(1-(1-$A70)^MIN(D$6,$B$11))/($A70*MIN(D$6,$B$11)))^2)+IF(OR(E$7="",E$8=0),0,E$8*(E$7-O$16*(1-$A70)*(1-(1-$A70)^MIN(E$6,$B$11))/($A70*MIN(E$6,$B$11)))^2)</f>
        <v/>
      </c>
      <c r="P70" s="27">
        <f>IF(OR(B$7="",B$8=0),0,B$8*(B$7-P$16*(1-$A70)*(1-(1-$A70)^MIN(B$6,$B$11))/($A70*MIN(B$6,$B$11)))^2)+IF(OR(C$7="",C$8=0),0,C$8*(C$7-P$16*(1-$A70)*(1-(1-$A70)^MIN(C$6,$B$11))/($A70*MIN(C$6,$B$11)))^2)+IF(OR(D$7="",D$8=0),0,D$8*(D$7-P$16*(1-$A70)*(1-(1-$A70)^MIN(D$6,$B$11))/($A70*MIN(D$6,$B$11)))^2)+IF(OR(E$7="",E$8=0),0,E$8*(E$7-P$16*(1-$A70)*(1-(1-$A70)^MIN(E$6,$B$11))/($A70*MIN(E$6,$B$11)))^2)</f>
        <v/>
      </c>
      <c r="Q70" s="27">
        <f>IF(OR(B$7="",B$8=0),0,B$8*(B$7-Q$16*(1-$A70)*(1-(1-$A70)^MIN(B$6,$B$11))/($A70*MIN(B$6,$B$11)))^2)+IF(OR(C$7="",C$8=0),0,C$8*(C$7-Q$16*(1-$A70)*(1-(1-$A70)^MIN(C$6,$B$11))/($A70*MIN(C$6,$B$11)))^2)+IF(OR(D$7="",D$8=0),0,D$8*(D$7-Q$16*(1-$A70)*(1-(1-$A70)^MIN(D$6,$B$11))/($A70*MIN(D$6,$B$11)))^2)+IF(OR(E$7="",E$8=0),0,E$8*(E$7-Q$16*(1-$A70)*(1-(1-$A70)^MIN(E$6,$B$11))/($A70*MIN(E$6,$B$11)))^2)</f>
        <v/>
      </c>
      <c r="R70" s="27">
        <f>IF(OR(B$7="",B$8=0),0,B$8*(B$7-R$16*(1-$A70)*(1-(1-$A70)^MIN(B$6,$B$11))/($A70*MIN(B$6,$B$11)))^2)+IF(OR(C$7="",C$8=0),0,C$8*(C$7-R$16*(1-$A70)*(1-(1-$A70)^MIN(C$6,$B$11))/($A70*MIN(C$6,$B$11)))^2)+IF(OR(D$7="",D$8=0),0,D$8*(D$7-R$16*(1-$A70)*(1-(1-$A70)^MIN(D$6,$B$11))/($A70*MIN(D$6,$B$11)))^2)+IF(OR(E$7="",E$8=0),0,E$8*(E$7-R$16*(1-$A70)*(1-(1-$A70)^MIN(E$6,$B$11))/($A70*MIN(E$6,$B$11)))^2)</f>
        <v/>
      </c>
      <c r="S70" s="27">
        <f>IF(OR(B$7="",B$8=0),0,B$8*(B$7-S$16*(1-$A70)*(1-(1-$A70)^MIN(B$6,$B$11))/($A70*MIN(B$6,$B$11)))^2)+IF(OR(C$7="",C$8=0),0,C$8*(C$7-S$16*(1-$A70)*(1-(1-$A70)^MIN(C$6,$B$11))/($A70*MIN(C$6,$B$11)))^2)+IF(OR(D$7="",D$8=0),0,D$8*(D$7-S$16*(1-$A70)*(1-(1-$A70)^MIN(D$6,$B$11))/($A70*MIN(D$6,$B$11)))^2)+IF(OR(E$7="",E$8=0),0,E$8*(E$7-S$16*(1-$A70)*(1-(1-$A70)^MIN(E$6,$B$11))/($A70*MIN(E$6,$B$11)))^2)</f>
        <v/>
      </c>
      <c r="U70" s="27">
        <f>MIN(B70:S70)</f>
        <v/>
      </c>
      <c r="V70" s="17">
        <f>MATCH(U70,B70:S70,0)</f>
        <v/>
      </c>
    </row>
    <row r="71">
      <c r="A71" s="26" t="n">
        <v>0.032</v>
      </c>
      <c r="B71" s="27">
        <f>IF(OR(B$7="",B$8=0),0,B$8*(B$7-B$16*(1-$A71)*(1-(1-$A71)^MIN(B$6,$B$11))/($A71*MIN(B$6,$B$11)))^2)+IF(OR(C$7="",C$8=0),0,C$8*(C$7-B$16*(1-$A71)*(1-(1-$A71)^MIN(C$6,$B$11))/($A71*MIN(C$6,$B$11)))^2)+IF(OR(D$7="",D$8=0),0,D$8*(D$7-B$16*(1-$A71)*(1-(1-$A71)^MIN(D$6,$B$11))/($A71*MIN(D$6,$B$11)))^2)+IF(OR(E$7="",E$8=0),0,E$8*(E$7-B$16*(1-$A71)*(1-(1-$A71)^MIN(E$6,$B$11))/($A71*MIN(E$6,$B$11)))^2)</f>
        <v/>
      </c>
      <c r="C71" s="27">
        <f>IF(OR(B$7="",B$8=0),0,B$8*(B$7-C$16*(1-$A71)*(1-(1-$A71)^MIN(B$6,$B$11))/($A71*MIN(B$6,$B$11)))^2)+IF(OR(C$7="",C$8=0),0,C$8*(C$7-C$16*(1-$A71)*(1-(1-$A71)^MIN(C$6,$B$11))/($A71*MIN(C$6,$B$11)))^2)+IF(OR(D$7="",D$8=0),0,D$8*(D$7-C$16*(1-$A71)*(1-(1-$A71)^MIN(D$6,$B$11))/($A71*MIN(D$6,$B$11)))^2)+IF(OR(E$7="",E$8=0),0,E$8*(E$7-C$16*(1-$A71)*(1-(1-$A71)^MIN(E$6,$B$11))/($A71*MIN(E$6,$B$11)))^2)</f>
        <v/>
      </c>
      <c r="D71" s="27">
        <f>IF(OR(B$7="",B$8=0),0,B$8*(B$7-D$16*(1-$A71)*(1-(1-$A71)^MIN(B$6,$B$11))/($A71*MIN(B$6,$B$11)))^2)+IF(OR(C$7="",C$8=0),0,C$8*(C$7-D$16*(1-$A71)*(1-(1-$A71)^MIN(C$6,$B$11))/($A71*MIN(C$6,$B$11)))^2)+IF(OR(D$7="",D$8=0),0,D$8*(D$7-D$16*(1-$A71)*(1-(1-$A71)^MIN(D$6,$B$11))/($A71*MIN(D$6,$B$11)))^2)+IF(OR(E$7="",E$8=0),0,E$8*(E$7-D$16*(1-$A71)*(1-(1-$A71)^MIN(E$6,$B$11))/($A71*MIN(E$6,$B$11)))^2)</f>
        <v/>
      </c>
      <c r="E71" s="27">
        <f>IF(OR(B$7="",B$8=0),0,B$8*(B$7-E$16*(1-$A71)*(1-(1-$A71)^MIN(B$6,$B$11))/($A71*MIN(B$6,$B$11)))^2)+IF(OR(C$7="",C$8=0),0,C$8*(C$7-E$16*(1-$A71)*(1-(1-$A71)^MIN(C$6,$B$11))/($A71*MIN(C$6,$B$11)))^2)+IF(OR(D$7="",D$8=0),0,D$8*(D$7-E$16*(1-$A71)*(1-(1-$A71)^MIN(D$6,$B$11))/($A71*MIN(D$6,$B$11)))^2)+IF(OR(E$7="",E$8=0),0,E$8*(E$7-E$16*(1-$A71)*(1-(1-$A71)^MIN(E$6,$B$11))/($A71*MIN(E$6,$B$11)))^2)</f>
        <v/>
      </c>
      <c r="F71" s="27">
        <f>IF(OR(B$7="",B$8=0),0,B$8*(B$7-F$16*(1-$A71)*(1-(1-$A71)^MIN(B$6,$B$11))/($A71*MIN(B$6,$B$11)))^2)+IF(OR(C$7="",C$8=0),0,C$8*(C$7-F$16*(1-$A71)*(1-(1-$A71)^MIN(C$6,$B$11))/($A71*MIN(C$6,$B$11)))^2)+IF(OR(D$7="",D$8=0),0,D$8*(D$7-F$16*(1-$A71)*(1-(1-$A71)^MIN(D$6,$B$11))/($A71*MIN(D$6,$B$11)))^2)+IF(OR(E$7="",E$8=0),0,E$8*(E$7-F$16*(1-$A71)*(1-(1-$A71)^MIN(E$6,$B$11))/($A71*MIN(E$6,$B$11)))^2)</f>
        <v/>
      </c>
      <c r="G71" s="27">
        <f>IF(OR(B$7="",B$8=0),0,B$8*(B$7-G$16*(1-$A71)*(1-(1-$A71)^MIN(B$6,$B$11))/($A71*MIN(B$6,$B$11)))^2)+IF(OR(C$7="",C$8=0),0,C$8*(C$7-G$16*(1-$A71)*(1-(1-$A71)^MIN(C$6,$B$11))/($A71*MIN(C$6,$B$11)))^2)+IF(OR(D$7="",D$8=0),0,D$8*(D$7-G$16*(1-$A71)*(1-(1-$A71)^MIN(D$6,$B$11))/($A71*MIN(D$6,$B$11)))^2)+IF(OR(E$7="",E$8=0),0,E$8*(E$7-G$16*(1-$A71)*(1-(1-$A71)^MIN(E$6,$B$11))/($A71*MIN(E$6,$B$11)))^2)</f>
        <v/>
      </c>
      <c r="H71" s="27">
        <f>IF(OR(B$7="",B$8=0),0,B$8*(B$7-H$16*(1-$A71)*(1-(1-$A71)^MIN(B$6,$B$11))/($A71*MIN(B$6,$B$11)))^2)+IF(OR(C$7="",C$8=0),0,C$8*(C$7-H$16*(1-$A71)*(1-(1-$A71)^MIN(C$6,$B$11))/($A71*MIN(C$6,$B$11)))^2)+IF(OR(D$7="",D$8=0),0,D$8*(D$7-H$16*(1-$A71)*(1-(1-$A71)^MIN(D$6,$B$11))/($A71*MIN(D$6,$B$11)))^2)+IF(OR(E$7="",E$8=0),0,E$8*(E$7-H$16*(1-$A71)*(1-(1-$A71)^MIN(E$6,$B$11))/($A71*MIN(E$6,$B$11)))^2)</f>
        <v/>
      </c>
      <c r="I71" s="27">
        <f>IF(OR(B$7="",B$8=0),0,B$8*(B$7-I$16*(1-$A71)*(1-(1-$A71)^MIN(B$6,$B$11))/($A71*MIN(B$6,$B$11)))^2)+IF(OR(C$7="",C$8=0),0,C$8*(C$7-I$16*(1-$A71)*(1-(1-$A71)^MIN(C$6,$B$11))/($A71*MIN(C$6,$B$11)))^2)+IF(OR(D$7="",D$8=0),0,D$8*(D$7-I$16*(1-$A71)*(1-(1-$A71)^MIN(D$6,$B$11))/($A71*MIN(D$6,$B$11)))^2)+IF(OR(E$7="",E$8=0),0,E$8*(E$7-I$16*(1-$A71)*(1-(1-$A71)^MIN(E$6,$B$11))/($A71*MIN(E$6,$B$11)))^2)</f>
        <v/>
      </c>
      <c r="J71" s="27">
        <f>IF(OR(B$7="",B$8=0),0,B$8*(B$7-J$16*(1-$A71)*(1-(1-$A71)^MIN(B$6,$B$11))/($A71*MIN(B$6,$B$11)))^2)+IF(OR(C$7="",C$8=0),0,C$8*(C$7-J$16*(1-$A71)*(1-(1-$A71)^MIN(C$6,$B$11))/($A71*MIN(C$6,$B$11)))^2)+IF(OR(D$7="",D$8=0),0,D$8*(D$7-J$16*(1-$A71)*(1-(1-$A71)^MIN(D$6,$B$11))/($A71*MIN(D$6,$B$11)))^2)+IF(OR(E$7="",E$8=0),0,E$8*(E$7-J$16*(1-$A71)*(1-(1-$A71)^MIN(E$6,$B$11))/($A71*MIN(E$6,$B$11)))^2)</f>
        <v/>
      </c>
      <c r="K71" s="27">
        <f>IF(OR(B$7="",B$8=0),0,B$8*(B$7-K$16*(1-$A71)*(1-(1-$A71)^MIN(B$6,$B$11))/($A71*MIN(B$6,$B$11)))^2)+IF(OR(C$7="",C$8=0),0,C$8*(C$7-K$16*(1-$A71)*(1-(1-$A71)^MIN(C$6,$B$11))/($A71*MIN(C$6,$B$11)))^2)+IF(OR(D$7="",D$8=0),0,D$8*(D$7-K$16*(1-$A71)*(1-(1-$A71)^MIN(D$6,$B$11))/($A71*MIN(D$6,$B$11)))^2)+IF(OR(E$7="",E$8=0),0,E$8*(E$7-K$16*(1-$A71)*(1-(1-$A71)^MIN(E$6,$B$11))/($A71*MIN(E$6,$B$11)))^2)</f>
        <v/>
      </c>
      <c r="L71" s="27">
        <f>IF(OR(B$7="",B$8=0),0,B$8*(B$7-L$16*(1-$A71)*(1-(1-$A71)^MIN(B$6,$B$11))/($A71*MIN(B$6,$B$11)))^2)+IF(OR(C$7="",C$8=0),0,C$8*(C$7-L$16*(1-$A71)*(1-(1-$A71)^MIN(C$6,$B$11))/($A71*MIN(C$6,$B$11)))^2)+IF(OR(D$7="",D$8=0),0,D$8*(D$7-L$16*(1-$A71)*(1-(1-$A71)^MIN(D$6,$B$11))/($A71*MIN(D$6,$B$11)))^2)+IF(OR(E$7="",E$8=0),0,E$8*(E$7-L$16*(1-$A71)*(1-(1-$A71)^MIN(E$6,$B$11))/($A71*MIN(E$6,$B$11)))^2)</f>
        <v/>
      </c>
      <c r="M71" s="27">
        <f>IF(OR(B$7="",B$8=0),0,B$8*(B$7-M$16*(1-$A71)*(1-(1-$A71)^MIN(B$6,$B$11))/($A71*MIN(B$6,$B$11)))^2)+IF(OR(C$7="",C$8=0),0,C$8*(C$7-M$16*(1-$A71)*(1-(1-$A71)^MIN(C$6,$B$11))/($A71*MIN(C$6,$B$11)))^2)+IF(OR(D$7="",D$8=0),0,D$8*(D$7-M$16*(1-$A71)*(1-(1-$A71)^MIN(D$6,$B$11))/($A71*MIN(D$6,$B$11)))^2)+IF(OR(E$7="",E$8=0),0,E$8*(E$7-M$16*(1-$A71)*(1-(1-$A71)^MIN(E$6,$B$11))/($A71*MIN(E$6,$B$11)))^2)</f>
        <v/>
      </c>
      <c r="N71" s="27">
        <f>IF(OR(B$7="",B$8=0),0,B$8*(B$7-N$16*(1-$A71)*(1-(1-$A71)^MIN(B$6,$B$11))/($A71*MIN(B$6,$B$11)))^2)+IF(OR(C$7="",C$8=0),0,C$8*(C$7-N$16*(1-$A71)*(1-(1-$A71)^MIN(C$6,$B$11))/($A71*MIN(C$6,$B$11)))^2)+IF(OR(D$7="",D$8=0),0,D$8*(D$7-N$16*(1-$A71)*(1-(1-$A71)^MIN(D$6,$B$11))/($A71*MIN(D$6,$B$11)))^2)+IF(OR(E$7="",E$8=0),0,E$8*(E$7-N$16*(1-$A71)*(1-(1-$A71)^MIN(E$6,$B$11))/($A71*MIN(E$6,$B$11)))^2)</f>
        <v/>
      </c>
      <c r="O71" s="27">
        <f>IF(OR(B$7="",B$8=0),0,B$8*(B$7-O$16*(1-$A71)*(1-(1-$A71)^MIN(B$6,$B$11))/($A71*MIN(B$6,$B$11)))^2)+IF(OR(C$7="",C$8=0),0,C$8*(C$7-O$16*(1-$A71)*(1-(1-$A71)^MIN(C$6,$B$11))/($A71*MIN(C$6,$B$11)))^2)+IF(OR(D$7="",D$8=0),0,D$8*(D$7-O$16*(1-$A71)*(1-(1-$A71)^MIN(D$6,$B$11))/($A71*MIN(D$6,$B$11)))^2)+IF(OR(E$7="",E$8=0),0,E$8*(E$7-O$16*(1-$A71)*(1-(1-$A71)^MIN(E$6,$B$11))/($A71*MIN(E$6,$B$11)))^2)</f>
        <v/>
      </c>
      <c r="P71" s="27">
        <f>IF(OR(B$7="",B$8=0),0,B$8*(B$7-P$16*(1-$A71)*(1-(1-$A71)^MIN(B$6,$B$11))/($A71*MIN(B$6,$B$11)))^2)+IF(OR(C$7="",C$8=0),0,C$8*(C$7-P$16*(1-$A71)*(1-(1-$A71)^MIN(C$6,$B$11))/($A71*MIN(C$6,$B$11)))^2)+IF(OR(D$7="",D$8=0),0,D$8*(D$7-P$16*(1-$A71)*(1-(1-$A71)^MIN(D$6,$B$11))/($A71*MIN(D$6,$B$11)))^2)+IF(OR(E$7="",E$8=0),0,E$8*(E$7-P$16*(1-$A71)*(1-(1-$A71)^MIN(E$6,$B$11))/($A71*MIN(E$6,$B$11)))^2)</f>
        <v/>
      </c>
      <c r="Q71" s="27">
        <f>IF(OR(B$7="",B$8=0),0,B$8*(B$7-Q$16*(1-$A71)*(1-(1-$A71)^MIN(B$6,$B$11))/($A71*MIN(B$6,$B$11)))^2)+IF(OR(C$7="",C$8=0),0,C$8*(C$7-Q$16*(1-$A71)*(1-(1-$A71)^MIN(C$6,$B$11))/($A71*MIN(C$6,$B$11)))^2)+IF(OR(D$7="",D$8=0),0,D$8*(D$7-Q$16*(1-$A71)*(1-(1-$A71)^MIN(D$6,$B$11))/($A71*MIN(D$6,$B$11)))^2)+IF(OR(E$7="",E$8=0),0,E$8*(E$7-Q$16*(1-$A71)*(1-(1-$A71)^MIN(E$6,$B$11))/($A71*MIN(E$6,$B$11)))^2)</f>
        <v/>
      </c>
      <c r="R71" s="27">
        <f>IF(OR(B$7="",B$8=0),0,B$8*(B$7-R$16*(1-$A71)*(1-(1-$A71)^MIN(B$6,$B$11))/($A71*MIN(B$6,$B$11)))^2)+IF(OR(C$7="",C$8=0),0,C$8*(C$7-R$16*(1-$A71)*(1-(1-$A71)^MIN(C$6,$B$11))/($A71*MIN(C$6,$B$11)))^2)+IF(OR(D$7="",D$8=0),0,D$8*(D$7-R$16*(1-$A71)*(1-(1-$A71)^MIN(D$6,$B$11))/($A71*MIN(D$6,$B$11)))^2)+IF(OR(E$7="",E$8=0),0,E$8*(E$7-R$16*(1-$A71)*(1-(1-$A71)^MIN(E$6,$B$11))/($A71*MIN(E$6,$B$11)))^2)</f>
        <v/>
      </c>
      <c r="S71" s="27">
        <f>IF(OR(B$7="",B$8=0),0,B$8*(B$7-S$16*(1-$A71)*(1-(1-$A71)^MIN(B$6,$B$11))/($A71*MIN(B$6,$B$11)))^2)+IF(OR(C$7="",C$8=0),0,C$8*(C$7-S$16*(1-$A71)*(1-(1-$A71)^MIN(C$6,$B$11))/($A71*MIN(C$6,$B$11)))^2)+IF(OR(D$7="",D$8=0),0,D$8*(D$7-S$16*(1-$A71)*(1-(1-$A71)^MIN(D$6,$B$11))/($A71*MIN(D$6,$B$11)))^2)+IF(OR(E$7="",E$8=0),0,E$8*(E$7-S$16*(1-$A71)*(1-(1-$A71)^MIN(E$6,$B$11))/($A71*MIN(E$6,$B$11)))^2)</f>
        <v/>
      </c>
      <c r="U71" s="27">
        <f>MIN(B71:S71)</f>
        <v/>
      </c>
      <c r="V71" s="17">
        <f>MATCH(U71,B71:S71,0)</f>
        <v/>
      </c>
    </row>
    <row r="72">
      <c r="A72" s="26" t="n">
        <v>0.0325</v>
      </c>
      <c r="B72" s="27">
        <f>IF(OR(B$7="",B$8=0),0,B$8*(B$7-B$16*(1-$A72)*(1-(1-$A72)^MIN(B$6,$B$11))/($A72*MIN(B$6,$B$11)))^2)+IF(OR(C$7="",C$8=0),0,C$8*(C$7-B$16*(1-$A72)*(1-(1-$A72)^MIN(C$6,$B$11))/($A72*MIN(C$6,$B$11)))^2)+IF(OR(D$7="",D$8=0),0,D$8*(D$7-B$16*(1-$A72)*(1-(1-$A72)^MIN(D$6,$B$11))/($A72*MIN(D$6,$B$11)))^2)+IF(OR(E$7="",E$8=0),0,E$8*(E$7-B$16*(1-$A72)*(1-(1-$A72)^MIN(E$6,$B$11))/($A72*MIN(E$6,$B$11)))^2)</f>
        <v/>
      </c>
      <c r="C72" s="27">
        <f>IF(OR(B$7="",B$8=0),0,B$8*(B$7-C$16*(1-$A72)*(1-(1-$A72)^MIN(B$6,$B$11))/($A72*MIN(B$6,$B$11)))^2)+IF(OR(C$7="",C$8=0),0,C$8*(C$7-C$16*(1-$A72)*(1-(1-$A72)^MIN(C$6,$B$11))/($A72*MIN(C$6,$B$11)))^2)+IF(OR(D$7="",D$8=0),0,D$8*(D$7-C$16*(1-$A72)*(1-(1-$A72)^MIN(D$6,$B$11))/($A72*MIN(D$6,$B$11)))^2)+IF(OR(E$7="",E$8=0),0,E$8*(E$7-C$16*(1-$A72)*(1-(1-$A72)^MIN(E$6,$B$11))/($A72*MIN(E$6,$B$11)))^2)</f>
        <v/>
      </c>
      <c r="D72" s="27">
        <f>IF(OR(B$7="",B$8=0),0,B$8*(B$7-D$16*(1-$A72)*(1-(1-$A72)^MIN(B$6,$B$11))/($A72*MIN(B$6,$B$11)))^2)+IF(OR(C$7="",C$8=0),0,C$8*(C$7-D$16*(1-$A72)*(1-(1-$A72)^MIN(C$6,$B$11))/($A72*MIN(C$6,$B$11)))^2)+IF(OR(D$7="",D$8=0),0,D$8*(D$7-D$16*(1-$A72)*(1-(1-$A72)^MIN(D$6,$B$11))/($A72*MIN(D$6,$B$11)))^2)+IF(OR(E$7="",E$8=0),0,E$8*(E$7-D$16*(1-$A72)*(1-(1-$A72)^MIN(E$6,$B$11))/($A72*MIN(E$6,$B$11)))^2)</f>
        <v/>
      </c>
      <c r="E72" s="27">
        <f>IF(OR(B$7="",B$8=0),0,B$8*(B$7-E$16*(1-$A72)*(1-(1-$A72)^MIN(B$6,$B$11))/($A72*MIN(B$6,$B$11)))^2)+IF(OR(C$7="",C$8=0),0,C$8*(C$7-E$16*(1-$A72)*(1-(1-$A72)^MIN(C$6,$B$11))/($A72*MIN(C$6,$B$11)))^2)+IF(OR(D$7="",D$8=0),0,D$8*(D$7-E$16*(1-$A72)*(1-(1-$A72)^MIN(D$6,$B$11))/($A72*MIN(D$6,$B$11)))^2)+IF(OR(E$7="",E$8=0),0,E$8*(E$7-E$16*(1-$A72)*(1-(1-$A72)^MIN(E$6,$B$11))/($A72*MIN(E$6,$B$11)))^2)</f>
        <v/>
      </c>
      <c r="F72" s="27">
        <f>IF(OR(B$7="",B$8=0),0,B$8*(B$7-F$16*(1-$A72)*(1-(1-$A72)^MIN(B$6,$B$11))/($A72*MIN(B$6,$B$11)))^2)+IF(OR(C$7="",C$8=0),0,C$8*(C$7-F$16*(1-$A72)*(1-(1-$A72)^MIN(C$6,$B$11))/($A72*MIN(C$6,$B$11)))^2)+IF(OR(D$7="",D$8=0),0,D$8*(D$7-F$16*(1-$A72)*(1-(1-$A72)^MIN(D$6,$B$11))/($A72*MIN(D$6,$B$11)))^2)+IF(OR(E$7="",E$8=0),0,E$8*(E$7-F$16*(1-$A72)*(1-(1-$A72)^MIN(E$6,$B$11))/($A72*MIN(E$6,$B$11)))^2)</f>
        <v/>
      </c>
      <c r="G72" s="27">
        <f>IF(OR(B$7="",B$8=0),0,B$8*(B$7-G$16*(1-$A72)*(1-(1-$A72)^MIN(B$6,$B$11))/($A72*MIN(B$6,$B$11)))^2)+IF(OR(C$7="",C$8=0),0,C$8*(C$7-G$16*(1-$A72)*(1-(1-$A72)^MIN(C$6,$B$11))/($A72*MIN(C$6,$B$11)))^2)+IF(OR(D$7="",D$8=0),0,D$8*(D$7-G$16*(1-$A72)*(1-(1-$A72)^MIN(D$6,$B$11))/($A72*MIN(D$6,$B$11)))^2)+IF(OR(E$7="",E$8=0),0,E$8*(E$7-G$16*(1-$A72)*(1-(1-$A72)^MIN(E$6,$B$11))/($A72*MIN(E$6,$B$11)))^2)</f>
        <v/>
      </c>
      <c r="H72" s="27">
        <f>IF(OR(B$7="",B$8=0),0,B$8*(B$7-H$16*(1-$A72)*(1-(1-$A72)^MIN(B$6,$B$11))/($A72*MIN(B$6,$B$11)))^2)+IF(OR(C$7="",C$8=0),0,C$8*(C$7-H$16*(1-$A72)*(1-(1-$A72)^MIN(C$6,$B$11))/($A72*MIN(C$6,$B$11)))^2)+IF(OR(D$7="",D$8=0),0,D$8*(D$7-H$16*(1-$A72)*(1-(1-$A72)^MIN(D$6,$B$11))/($A72*MIN(D$6,$B$11)))^2)+IF(OR(E$7="",E$8=0),0,E$8*(E$7-H$16*(1-$A72)*(1-(1-$A72)^MIN(E$6,$B$11))/($A72*MIN(E$6,$B$11)))^2)</f>
        <v/>
      </c>
      <c r="I72" s="27">
        <f>IF(OR(B$7="",B$8=0),0,B$8*(B$7-I$16*(1-$A72)*(1-(1-$A72)^MIN(B$6,$B$11))/($A72*MIN(B$6,$B$11)))^2)+IF(OR(C$7="",C$8=0),0,C$8*(C$7-I$16*(1-$A72)*(1-(1-$A72)^MIN(C$6,$B$11))/($A72*MIN(C$6,$B$11)))^2)+IF(OR(D$7="",D$8=0),0,D$8*(D$7-I$16*(1-$A72)*(1-(1-$A72)^MIN(D$6,$B$11))/($A72*MIN(D$6,$B$11)))^2)+IF(OR(E$7="",E$8=0),0,E$8*(E$7-I$16*(1-$A72)*(1-(1-$A72)^MIN(E$6,$B$11))/($A72*MIN(E$6,$B$11)))^2)</f>
        <v/>
      </c>
      <c r="J72" s="27">
        <f>IF(OR(B$7="",B$8=0),0,B$8*(B$7-J$16*(1-$A72)*(1-(1-$A72)^MIN(B$6,$B$11))/($A72*MIN(B$6,$B$11)))^2)+IF(OR(C$7="",C$8=0),0,C$8*(C$7-J$16*(1-$A72)*(1-(1-$A72)^MIN(C$6,$B$11))/($A72*MIN(C$6,$B$11)))^2)+IF(OR(D$7="",D$8=0),0,D$8*(D$7-J$16*(1-$A72)*(1-(1-$A72)^MIN(D$6,$B$11))/($A72*MIN(D$6,$B$11)))^2)+IF(OR(E$7="",E$8=0),0,E$8*(E$7-J$16*(1-$A72)*(1-(1-$A72)^MIN(E$6,$B$11))/($A72*MIN(E$6,$B$11)))^2)</f>
        <v/>
      </c>
      <c r="K72" s="27">
        <f>IF(OR(B$7="",B$8=0),0,B$8*(B$7-K$16*(1-$A72)*(1-(1-$A72)^MIN(B$6,$B$11))/($A72*MIN(B$6,$B$11)))^2)+IF(OR(C$7="",C$8=0),0,C$8*(C$7-K$16*(1-$A72)*(1-(1-$A72)^MIN(C$6,$B$11))/($A72*MIN(C$6,$B$11)))^2)+IF(OR(D$7="",D$8=0),0,D$8*(D$7-K$16*(1-$A72)*(1-(1-$A72)^MIN(D$6,$B$11))/($A72*MIN(D$6,$B$11)))^2)+IF(OR(E$7="",E$8=0),0,E$8*(E$7-K$16*(1-$A72)*(1-(1-$A72)^MIN(E$6,$B$11))/($A72*MIN(E$6,$B$11)))^2)</f>
        <v/>
      </c>
      <c r="L72" s="27">
        <f>IF(OR(B$7="",B$8=0),0,B$8*(B$7-L$16*(1-$A72)*(1-(1-$A72)^MIN(B$6,$B$11))/($A72*MIN(B$6,$B$11)))^2)+IF(OR(C$7="",C$8=0),0,C$8*(C$7-L$16*(1-$A72)*(1-(1-$A72)^MIN(C$6,$B$11))/($A72*MIN(C$6,$B$11)))^2)+IF(OR(D$7="",D$8=0),0,D$8*(D$7-L$16*(1-$A72)*(1-(1-$A72)^MIN(D$6,$B$11))/($A72*MIN(D$6,$B$11)))^2)+IF(OR(E$7="",E$8=0),0,E$8*(E$7-L$16*(1-$A72)*(1-(1-$A72)^MIN(E$6,$B$11))/($A72*MIN(E$6,$B$11)))^2)</f>
        <v/>
      </c>
      <c r="M72" s="27">
        <f>IF(OR(B$7="",B$8=0),0,B$8*(B$7-M$16*(1-$A72)*(1-(1-$A72)^MIN(B$6,$B$11))/($A72*MIN(B$6,$B$11)))^2)+IF(OR(C$7="",C$8=0),0,C$8*(C$7-M$16*(1-$A72)*(1-(1-$A72)^MIN(C$6,$B$11))/($A72*MIN(C$6,$B$11)))^2)+IF(OR(D$7="",D$8=0),0,D$8*(D$7-M$16*(1-$A72)*(1-(1-$A72)^MIN(D$6,$B$11))/($A72*MIN(D$6,$B$11)))^2)+IF(OR(E$7="",E$8=0),0,E$8*(E$7-M$16*(1-$A72)*(1-(1-$A72)^MIN(E$6,$B$11))/($A72*MIN(E$6,$B$11)))^2)</f>
        <v/>
      </c>
      <c r="N72" s="27">
        <f>IF(OR(B$7="",B$8=0),0,B$8*(B$7-N$16*(1-$A72)*(1-(1-$A72)^MIN(B$6,$B$11))/($A72*MIN(B$6,$B$11)))^2)+IF(OR(C$7="",C$8=0),0,C$8*(C$7-N$16*(1-$A72)*(1-(1-$A72)^MIN(C$6,$B$11))/($A72*MIN(C$6,$B$11)))^2)+IF(OR(D$7="",D$8=0),0,D$8*(D$7-N$16*(1-$A72)*(1-(1-$A72)^MIN(D$6,$B$11))/($A72*MIN(D$6,$B$11)))^2)+IF(OR(E$7="",E$8=0),0,E$8*(E$7-N$16*(1-$A72)*(1-(1-$A72)^MIN(E$6,$B$11))/($A72*MIN(E$6,$B$11)))^2)</f>
        <v/>
      </c>
      <c r="O72" s="27">
        <f>IF(OR(B$7="",B$8=0),0,B$8*(B$7-O$16*(1-$A72)*(1-(1-$A72)^MIN(B$6,$B$11))/($A72*MIN(B$6,$B$11)))^2)+IF(OR(C$7="",C$8=0),0,C$8*(C$7-O$16*(1-$A72)*(1-(1-$A72)^MIN(C$6,$B$11))/($A72*MIN(C$6,$B$11)))^2)+IF(OR(D$7="",D$8=0),0,D$8*(D$7-O$16*(1-$A72)*(1-(1-$A72)^MIN(D$6,$B$11))/($A72*MIN(D$6,$B$11)))^2)+IF(OR(E$7="",E$8=0),0,E$8*(E$7-O$16*(1-$A72)*(1-(1-$A72)^MIN(E$6,$B$11))/($A72*MIN(E$6,$B$11)))^2)</f>
        <v/>
      </c>
      <c r="P72" s="27">
        <f>IF(OR(B$7="",B$8=0),0,B$8*(B$7-P$16*(1-$A72)*(1-(1-$A72)^MIN(B$6,$B$11))/($A72*MIN(B$6,$B$11)))^2)+IF(OR(C$7="",C$8=0),0,C$8*(C$7-P$16*(1-$A72)*(1-(1-$A72)^MIN(C$6,$B$11))/($A72*MIN(C$6,$B$11)))^2)+IF(OR(D$7="",D$8=0),0,D$8*(D$7-P$16*(1-$A72)*(1-(1-$A72)^MIN(D$6,$B$11))/($A72*MIN(D$6,$B$11)))^2)+IF(OR(E$7="",E$8=0),0,E$8*(E$7-P$16*(1-$A72)*(1-(1-$A72)^MIN(E$6,$B$11))/($A72*MIN(E$6,$B$11)))^2)</f>
        <v/>
      </c>
      <c r="Q72" s="27">
        <f>IF(OR(B$7="",B$8=0),0,B$8*(B$7-Q$16*(1-$A72)*(1-(1-$A72)^MIN(B$6,$B$11))/($A72*MIN(B$6,$B$11)))^2)+IF(OR(C$7="",C$8=0),0,C$8*(C$7-Q$16*(1-$A72)*(1-(1-$A72)^MIN(C$6,$B$11))/($A72*MIN(C$6,$B$11)))^2)+IF(OR(D$7="",D$8=0),0,D$8*(D$7-Q$16*(1-$A72)*(1-(1-$A72)^MIN(D$6,$B$11))/($A72*MIN(D$6,$B$11)))^2)+IF(OR(E$7="",E$8=0),0,E$8*(E$7-Q$16*(1-$A72)*(1-(1-$A72)^MIN(E$6,$B$11))/($A72*MIN(E$6,$B$11)))^2)</f>
        <v/>
      </c>
      <c r="R72" s="27">
        <f>IF(OR(B$7="",B$8=0),0,B$8*(B$7-R$16*(1-$A72)*(1-(1-$A72)^MIN(B$6,$B$11))/($A72*MIN(B$6,$B$11)))^2)+IF(OR(C$7="",C$8=0),0,C$8*(C$7-R$16*(1-$A72)*(1-(1-$A72)^MIN(C$6,$B$11))/($A72*MIN(C$6,$B$11)))^2)+IF(OR(D$7="",D$8=0),0,D$8*(D$7-R$16*(1-$A72)*(1-(1-$A72)^MIN(D$6,$B$11))/($A72*MIN(D$6,$B$11)))^2)+IF(OR(E$7="",E$8=0),0,E$8*(E$7-R$16*(1-$A72)*(1-(1-$A72)^MIN(E$6,$B$11))/($A72*MIN(E$6,$B$11)))^2)</f>
        <v/>
      </c>
      <c r="S72" s="27">
        <f>IF(OR(B$7="",B$8=0),0,B$8*(B$7-S$16*(1-$A72)*(1-(1-$A72)^MIN(B$6,$B$11))/($A72*MIN(B$6,$B$11)))^2)+IF(OR(C$7="",C$8=0),0,C$8*(C$7-S$16*(1-$A72)*(1-(1-$A72)^MIN(C$6,$B$11))/($A72*MIN(C$6,$B$11)))^2)+IF(OR(D$7="",D$8=0),0,D$8*(D$7-S$16*(1-$A72)*(1-(1-$A72)^MIN(D$6,$B$11))/($A72*MIN(D$6,$B$11)))^2)+IF(OR(E$7="",E$8=0),0,E$8*(E$7-S$16*(1-$A72)*(1-(1-$A72)^MIN(E$6,$B$11))/($A72*MIN(E$6,$B$11)))^2)</f>
        <v/>
      </c>
      <c r="U72" s="27">
        <f>MIN(B72:S72)</f>
        <v/>
      </c>
      <c r="V72" s="17">
        <f>MATCH(U72,B72:S72,0)</f>
        <v/>
      </c>
    </row>
    <row r="73">
      <c r="A73" s="26" t="n">
        <v>0.033</v>
      </c>
      <c r="B73" s="27">
        <f>IF(OR(B$7="",B$8=0),0,B$8*(B$7-B$16*(1-$A73)*(1-(1-$A73)^MIN(B$6,$B$11))/($A73*MIN(B$6,$B$11)))^2)+IF(OR(C$7="",C$8=0),0,C$8*(C$7-B$16*(1-$A73)*(1-(1-$A73)^MIN(C$6,$B$11))/($A73*MIN(C$6,$B$11)))^2)+IF(OR(D$7="",D$8=0),0,D$8*(D$7-B$16*(1-$A73)*(1-(1-$A73)^MIN(D$6,$B$11))/($A73*MIN(D$6,$B$11)))^2)+IF(OR(E$7="",E$8=0),0,E$8*(E$7-B$16*(1-$A73)*(1-(1-$A73)^MIN(E$6,$B$11))/($A73*MIN(E$6,$B$11)))^2)</f>
        <v/>
      </c>
      <c r="C73" s="27">
        <f>IF(OR(B$7="",B$8=0),0,B$8*(B$7-C$16*(1-$A73)*(1-(1-$A73)^MIN(B$6,$B$11))/($A73*MIN(B$6,$B$11)))^2)+IF(OR(C$7="",C$8=0),0,C$8*(C$7-C$16*(1-$A73)*(1-(1-$A73)^MIN(C$6,$B$11))/($A73*MIN(C$6,$B$11)))^2)+IF(OR(D$7="",D$8=0),0,D$8*(D$7-C$16*(1-$A73)*(1-(1-$A73)^MIN(D$6,$B$11))/($A73*MIN(D$6,$B$11)))^2)+IF(OR(E$7="",E$8=0),0,E$8*(E$7-C$16*(1-$A73)*(1-(1-$A73)^MIN(E$6,$B$11))/($A73*MIN(E$6,$B$11)))^2)</f>
        <v/>
      </c>
      <c r="D73" s="27">
        <f>IF(OR(B$7="",B$8=0),0,B$8*(B$7-D$16*(1-$A73)*(1-(1-$A73)^MIN(B$6,$B$11))/($A73*MIN(B$6,$B$11)))^2)+IF(OR(C$7="",C$8=0),0,C$8*(C$7-D$16*(1-$A73)*(1-(1-$A73)^MIN(C$6,$B$11))/($A73*MIN(C$6,$B$11)))^2)+IF(OR(D$7="",D$8=0),0,D$8*(D$7-D$16*(1-$A73)*(1-(1-$A73)^MIN(D$6,$B$11))/($A73*MIN(D$6,$B$11)))^2)+IF(OR(E$7="",E$8=0),0,E$8*(E$7-D$16*(1-$A73)*(1-(1-$A73)^MIN(E$6,$B$11))/($A73*MIN(E$6,$B$11)))^2)</f>
        <v/>
      </c>
      <c r="E73" s="27">
        <f>IF(OR(B$7="",B$8=0),0,B$8*(B$7-E$16*(1-$A73)*(1-(1-$A73)^MIN(B$6,$B$11))/($A73*MIN(B$6,$B$11)))^2)+IF(OR(C$7="",C$8=0),0,C$8*(C$7-E$16*(1-$A73)*(1-(1-$A73)^MIN(C$6,$B$11))/($A73*MIN(C$6,$B$11)))^2)+IF(OR(D$7="",D$8=0),0,D$8*(D$7-E$16*(1-$A73)*(1-(1-$A73)^MIN(D$6,$B$11))/($A73*MIN(D$6,$B$11)))^2)+IF(OR(E$7="",E$8=0),0,E$8*(E$7-E$16*(1-$A73)*(1-(1-$A73)^MIN(E$6,$B$11))/($A73*MIN(E$6,$B$11)))^2)</f>
        <v/>
      </c>
      <c r="F73" s="27">
        <f>IF(OR(B$7="",B$8=0),0,B$8*(B$7-F$16*(1-$A73)*(1-(1-$A73)^MIN(B$6,$B$11))/($A73*MIN(B$6,$B$11)))^2)+IF(OR(C$7="",C$8=0),0,C$8*(C$7-F$16*(1-$A73)*(1-(1-$A73)^MIN(C$6,$B$11))/($A73*MIN(C$6,$B$11)))^2)+IF(OR(D$7="",D$8=0),0,D$8*(D$7-F$16*(1-$A73)*(1-(1-$A73)^MIN(D$6,$B$11))/($A73*MIN(D$6,$B$11)))^2)+IF(OR(E$7="",E$8=0),0,E$8*(E$7-F$16*(1-$A73)*(1-(1-$A73)^MIN(E$6,$B$11))/($A73*MIN(E$6,$B$11)))^2)</f>
        <v/>
      </c>
      <c r="G73" s="27">
        <f>IF(OR(B$7="",B$8=0),0,B$8*(B$7-G$16*(1-$A73)*(1-(1-$A73)^MIN(B$6,$B$11))/($A73*MIN(B$6,$B$11)))^2)+IF(OR(C$7="",C$8=0),0,C$8*(C$7-G$16*(1-$A73)*(1-(1-$A73)^MIN(C$6,$B$11))/($A73*MIN(C$6,$B$11)))^2)+IF(OR(D$7="",D$8=0),0,D$8*(D$7-G$16*(1-$A73)*(1-(1-$A73)^MIN(D$6,$B$11))/($A73*MIN(D$6,$B$11)))^2)+IF(OR(E$7="",E$8=0),0,E$8*(E$7-G$16*(1-$A73)*(1-(1-$A73)^MIN(E$6,$B$11))/($A73*MIN(E$6,$B$11)))^2)</f>
        <v/>
      </c>
      <c r="H73" s="27">
        <f>IF(OR(B$7="",B$8=0),0,B$8*(B$7-H$16*(1-$A73)*(1-(1-$A73)^MIN(B$6,$B$11))/($A73*MIN(B$6,$B$11)))^2)+IF(OR(C$7="",C$8=0),0,C$8*(C$7-H$16*(1-$A73)*(1-(1-$A73)^MIN(C$6,$B$11))/($A73*MIN(C$6,$B$11)))^2)+IF(OR(D$7="",D$8=0),0,D$8*(D$7-H$16*(1-$A73)*(1-(1-$A73)^MIN(D$6,$B$11))/($A73*MIN(D$6,$B$11)))^2)+IF(OR(E$7="",E$8=0),0,E$8*(E$7-H$16*(1-$A73)*(1-(1-$A73)^MIN(E$6,$B$11))/($A73*MIN(E$6,$B$11)))^2)</f>
        <v/>
      </c>
      <c r="I73" s="27">
        <f>IF(OR(B$7="",B$8=0),0,B$8*(B$7-I$16*(1-$A73)*(1-(1-$A73)^MIN(B$6,$B$11))/($A73*MIN(B$6,$B$11)))^2)+IF(OR(C$7="",C$8=0),0,C$8*(C$7-I$16*(1-$A73)*(1-(1-$A73)^MIN(C$6,$B$11))/($A73*MIN(C$6,$B$11)))^2)+IF(OR(D$7="",D$8=0),0,D$8*(D$7-I$16*(1-$A73)*(1-(1-$A73)^MIN(D$6,$B$11))/($A73*MIN(D$6,$B$11)))^2)+IF(OR(E$7="",E$8=0),0,E$8*(E$7-I$16*(1-$A73)*(1-(1-$A73)^MIN(E$6,$B$11))/($A73*MIN(E$6,$B$11)))^2)</f>
        <v/>
      </c>
      <c r="J73" s="27">
        <f>IF(OR(B$7="",B$8=0),0,B$8*(B$7-J$16*(1-$A73)*(1-(1-$A73)^MIN(B$6,$B$11))/($A73*MIN(B$6,$B$11)))^2)+IF(OR(C$7="",C$8=0),0,C$8*(C$7-J$16*(1-$A73)*(1-(1-$A73)^MIN(C$6,$B$11))/($A73*MIN(C$6,$B$11)))^2)+IF(OR(D$7="",D$8=0),0,D$8*(D$7-J$16*(1-$A73)*(1-(1-$A73)^MIN(D$6,$B$11))/($A73*MIN(D$6,$B$11)))^2)+IF(OR(E$7="",E$8=0),0,E$8*(E$7-J$16*(1-$A73)*(1-(1-$A73)^MIN(E$6,$B$11))/($A73*MIN(E$6,$B$11)))^2)</f>
        <v/>
      </c>
      <c r="K73" s="27">
        <f>IF(OR(B$7="",B$8=0),0,B$8*(B$7-K$16*(1-$A73)*(1-(1-$A73)^MIN(B$6,$B$11))/($A73*MIN(B$6,$B$11)))^2)+IF(OR(C$7="",C$8=0),0,C$8*(C$7-K$16*(1-$A73)*(1-(1-$A73)^MIN(C$6,$B$11))/($A73*MIN(C$6,$B$11)))^2)+IF(OR(D$7="",D$8=0),0,D$8*(D$7-K$16*(1-$A73)*(1-(1-$A73)^MIN(D$6,$B$11))/($A73*MIN(D$6,$B$11)))^2)+IF(OR(E$7="",E$8=0),0,E$8*(E$7-K$16*(1-$A73)*(1-(1-$A73)^MIN(E$6,$B$11))/($A73*MIN(E$6,$B$11)))^2)</f>
        <v/>
      </c>
      <c r="L73" s="27">
        <f>IF(OR(B$7="",B$8=0),0,B$8*(B$7-L$16*(1-$A73)*(1-(1-$A73)^MIN(B$6,$B$11))/($A73*MIN(B$6,$B$11)))^2)+IF(OR(C$7="",C$8=0),0,C$8*(C$7-L$16*(1-$A73)*(1-(1-$A73)^MIN(C$6,$B$11))/($A73*MIN(C$6,$B$11)))^2)+IF(OR(D$7="",D$8=0),0,D$8*(D$7-L$16*(1-$A73)*(1-(1-$A73)^MIN(D$6,$B$11))/($A73*MIN(D$6,$B$11)))^2)+IF(OR(E$7="",E$8=0),0,E$8*(E$7-L$16*(1-$A73)*(1-(1-$A73)^MIN(E$6,$B$11))/($A73*MIN(E$6,$B$11)))^2)</f>
        <v/>
      </c>
      <c r="M73" s="27">
        <f>IF(OR(B$7="",B$8=0),0,B$8*(B$7-M$16*(1-$A73)*(1-(1-$A73)^MIN(B$6,$B$11))/($A73*MIN(B$6,$B$11)))^2)+IF(OR(C$7="",C$8=0),0,C$8*(C$7-M$16*(1-$A73)*(1-(1-$A73)^MIN(C$6,$B$11))/($A73*MIN(C$6,$B$11)))^2)+IF(OR(D$7="",D$8=0),0,D$8*(D$7-M$16*(1-$A73)*(1-(1-$A73)^MIN(D$6,$B$11))/($A73*MIN(D$6,$B$11)))^2)+IF(OR(E$7="",E$8=0),0,E$8*(E$7-M$16*(1-$A73)*(1-(1-$A73)^MIN(E$6,$B$11))/($A73*MIN(E$6,$B$11)))^2)</f>
        <v/>
      </c>
      <c r="N73" s="27">
        <f>IF(OR(B$7="",B$8=0),0,B$8*(B$7-N$16*(1-$A73)*(1-(1-$A73)^MIN(B$6,$B$11))/($A73*MIN(B$6,$B$11)))^2)+IF(OR(C$7="",C$8=0),0,C$8*(C$7-N$16*(1-$A73)*(1-(1-$A73)^MIN(C$6,$B$11))/($A73*MIN(C$6,$B$11)))^2)+IF(OR(D$7="",D$8=0),0,D$8*(D$7-N$16*(1-$A73)*(1-(1-$A73)^MIN(D$6,$B$11))/($A73*MIN(D$6,$B$11)))^2)+IF(OR(E$7="",E$8=0),0,E$8*(E$7-N$16*(1-$A73)*(1-(1-$A73)^MIN(E$6,$B$11))/($A73*MIN(E$6,$B$11)))^2)</f>
        <v/>
      </c>
      <c r="O73" s="27">
        <f>IF(OR(B$7="",B$8=0),0,B$8*(B$7-O$16*(1-$A73)*(1-(1-$A73)^MIN(B$6,$B$11))/($A73*MIN(B$6,$B$11)))^2)+IF(OR(C$7="",C$8=0),0,C$8*(C$7-O$16*(1-$A73)*(1-(1-$A73)^MIN(C$6,$B$11))/($A73*MIN(C$6,$B$11)))^2)+IF(OR(D$7="",D$8=0),0,D$8*(D$7-O$16*(1-$A73)*(1-(1-$A73)^MIN(D$6,$B$11))/($A73*MIN(D$6,$B$11)))^2)+IF(OR(E$7="",E$8=0),0,E$8*(E$7-O$16*(1-$A73)*(1-(1-$A73)^MIN(E$6,$B$11))/($A73*MIN(E$6,$B$11)))^2)</f>
        <v/>
      </c>
      <c r="P73" s="27">
        <f>IF(OR(B$7="",B$8=0),0,B$8*(B$7-P$16*(1-$A73)*(1-(1-$A73)^MIN(B$6,$B$11))/($A73*MIN(B$6,$B$11)))^2)+IF(OR(C$7="",C$8=0),0,C$8*(C$7-P$16*(1-$A73)*(1-(1-$A73)^MIN(C$6,$B$11))/($A73*MIN(C$6,$B$11)))^2)+IF(OR(D$7="",D$8=0),0,D$8*(D$7-P$16*(1-$A73)*(1-(1-$A73)^MIN(D$6,$B$11))/($A73*MIN(D$6,$B$11)))^2)+IF(OR(E$7="",E$8=0),0,E$8*(E$7-P$16*(1-$A73)*(1-(1-$A73)^MIN(E$6,$B$11))/($A73*MIN(E$6,$B$11)))^2)</f>
        <v/>
      </c>
      <c r="Q73" s="27">
        <f>IF(OR(B$7="",B$8=0),0,B$8*(B$7-Q$16*(1-$A73)*(1-(1-$A73)^MIN(B$6,$B$11))/($A73*MIN(B$6,$B$11)))^2)+IF(OR(C$7="",C$8=0),0,C$8*(C$7-Q$16*(1-$A73)*(1-(1-$A73)^MIN(C$6,$B$11))/($A73*MIN(C$6,$B$11)))^2)+IF(OR(D$7="",D$8=0),0,D$8*(D$7-Q$16*(1-$A73)*(1-(1-$A73)^MIN(D$6,$B$11))/($A73*MIN(D$6,$B$11)))^2)+IF(OR(E$7="",E$8=0),0,E$8*(E$7-Q$16*(1-$A73)*(1-(1-$A73)^MIN(E$6,$B$11))/($A73*MIN(E$6,$B$11)))^2)</f>
        <v/>
      </c>
      <c r="R73" s="27">
        <f>IF(OR(B$7="",B$8=0),0,B$8*(B$7-R$16*(1-$A73)*(1-(1-$A73)^MIN(B$6,$B$11))/($A73*MIN(B$6,$B$11)))^2)+IF(OR(C$7="",C$8=0),0,C$8*(C$7-R$16*(1-$A73)*(1-(1-$A73)^MIN(C$6,$B$11))/($A73*MIN(C$6,$B$11)))^2)+IF(OR(D$7="",D$8=0),0,D$8*(D$7-R$16*(1-$A73)*(1-(1-$A73)^MIN(D$6,$B$11))/($A73*MIN(D$6,$B$11)))^2)+IF(OR(E$7="",E$8=0),0,E$8*(E$7-R$16*(1-$A73)*(1-(1-$A73)^MIN(E$6,$B$11))/($A73*MIN(E$6,$B$11)))^2)</f>
        <v/>
      </c>
      <c r="S73" s="27">
        <f>IF(OR(B$7="",B$8=0),0,B$8*(B$7-S$16*(1-$A73)*(1-(1-$A73)^MIN(B$6,$B$11))/($A73*MIN(B$6,$B$11)))^2)+IF(OR(C$7="",C$8=0),0,C$8*(C$7-S$16*(1-$A73)*(1-(1-$A73)^MIN(C$6,$B$11))/($A73*MIN(C$6,$B$11)))^2)+IF(OR(D$7="",D$8=0),0,D$8*(D$7-S$16*(1-$A73)*(1-(1-$A73)^MIN(D$6,$B$11))/($A73*MIN(D$6,$B$11)))^2)+IF(OR(E$7="",E$8=0),0,E$8*(E$7-S$16*(1-$A73)*(1-(1-$A73)^MIN(E$6,$B$11))/($A73*MIN(E$6,$B$11)))^2)</f>
        <v/>
      </c>
      <c r="U73" s="27">
        <f>MIN(B73:S73)</f>
        <v/>
      </c>
      <c r="V73" s="17">
        <f>MATCH(U73,B73:S73,0)</f>
        <v/>
      </c>
    </row>
    <row r="74">
      <c r="A74" s="26" t="n">
        <v>0.0335</v>
      </c>
      <c r="B74" s="27">
        <f>IF(OR(B$7="",B$8=0),0,B$8*(B$7-B$16*(1-$A74)*(1-(1-$A74)^MIN(B$6,$B$11))/($A74*MIN(B$6,$B$11)))^2)+IF(OR(C$7="",C$8=0),0,C$8*(C$7-B$16*(1-$A74)*(1-(1-$A74)^MIN(C$6,$B$11))/($A74*MIN(C$6,$B$11)))^2)+IF(OR(D$7="",D$8=0),0,D$8*(D$7-B$16*(1-$A74)*(1-(1-$A74)^MIN(D$6,$B$11))/($A74*MIN(D$6,$B$11)))^2)+IF(OR(E$7="",E$8=0),0,E$8*(E$7-B$16*(1-$A74)*(1-(1-$A74)^MIN(E$6,$B$11))/($A74*MIN(E$6,$B$11)))^2)</f>
        <v/>
      </c>
      <c r="C74" s="27">
        <f>IF(OR(B$7="",B$8=0),0,B$8*(B$7-C$16*(1-$A74)*(1-(1-$A74)^MIN(B$6,$B$11))/($A74*MIN(B$6,$B$11)))^2)+IF(OR(C$7="",C$8=0),0,C$8*(C$7-C$16*(1-$A74)*(1-(1-$A74)^MIN(C$6,$B$11))/($A74*MIN(C$6,$B$11)))^2)+IF(OR(D$7="",D$8=0),0,D$8*(D$7-C$16*(1-$A74)*(1-(1-$A74)^MIN(D$6,$B$11))/($A74*MIN(D$6,$B$11)))^2)+IF(OR(E$7="",E$8=0),0,E$8*(E$7-C$16*(1-$A74)*(1-(1-$A74)^MIN(E$6,$B$11))/($A74*MIN(E$6,$B$11)))^2)</f>
        <v/>
      </c>
      <c r="D74" s="27">
        <f>IF(OR(B$7="",B$8=0),0,B$8*(B$7-D$16*(1-$A74)*(1-(1-$A74)^MIN(B$6,$B$11))/($A74*MIN(B$6,$B$11)))^2)+IF(OR(C$7="",C$8=0),0,C$8*(C$7-D$16*(1-$A74)*(1-(1-$A74)^MIN(C$6,$B$11))/($A74*MIN(C$6,$B$11)))^2)+IF(OR(D$7="",D$8=0),0,D$8*(D$7-D$16*(1-$A74)*(1-(1-$A74)^MIN(D$6,$B$11))/($A74*MIN(D$6,$B$11)))^2)+IF(OR(E$7="",E$8=0),0,E$8*(E$7-D$16*(1-$A74)*(1-(1-$A74)^MIN(E$6,$B$11))/($A74*MIN(E$6,$B$11)))^2)</f>
        <v/>
      </c>
      <c r="E74" s="27">
        <f>IF(OR(B$7="",B$8=0),0,B$8*(B$7-E$16*(1-$A74)*(1-(1-$A74)^MIN(B$6,$B$11))/($A74*MIN(B$6,$B$11)))^2)+IF(OR(C$7="",C$8=0),0,C$8*(C$7-E$16*(1-$A74)*(1-(1-$A74)^MIN(C$6,$B$11))/($A74*MIN(C$6,$B$11)))^2)+IF(OR(D$7="",D$8=0),0,D$8*(D$7-E$16*(1-$A74)*(1-(1-$A74)^MIN(D$6,$B$11))/($A74*MIN(D$6,$B$11)))^2)+IF(OR(E$7="",E$8=0),0,E$8*(E$7-E$16*(1-$A74)*(1-(1-$A74)^MIN(E$6,$B$11))/($A74*MIN(E$6,$B$11)))^2)</f>
        <v/>
      </c>
      <c r="F74" s="27">
        <f>IF(OR(B$7="",B$8=0),0,B$8*(B$7-F$16*(1-$A74)*(1-(1-$A74)^MIN(B$6,$B$11))/($A74*MIN(B$6,$B$11)))^2)+IF(OR(C$7="",C$8=0),0,C$8*(C$7-F$16*(1-$A74)*(1-(1-$A74)^MIN(C$6,$B$11))/($A74*MIN(C$6,$B$11)))^2)+IF(OR(D$7="",D$8=0),0,D$8*(D$7-F$16*(1-$A74)*(1-(1-$A74)^MIN(D$6,$B$11))/($A74*MIN(D$6,$B$11)))^2)+IF(OR(E$7="",E$8=0),0,E$8*(E$7-F$16*(1-$A74)*(1-(1-$A74)^MIN(E$6,$B$11))/($A74*MIN(E$6,$B$11)))^2)</f>
        <v/>
      </c>
      <c r="G74" s="27">
        <f>IF(OR(B$7="",B$8=0),0,B$8*(B$7-G$16*(1-$A74)*(1-(1-$A74)^MIN(B$6,$B$11))/($A74*MIN(B$6,$B$11)))^2)+IF(OR(C$7="",C$8=0),0,C$8*(C$7-G$16*(1-$A74)*(1-(1-$A74)^MIN(C$6,$B$11))/($A74*MIN(C$6,$B$11)))^2)+IF(OR(D$7="",D$8=0),0,D$8*(D$7-G$16*(1-$A74)*(1-(1-$A74)^MIN(D$6,$B$11))/($A74*MIN(D$6,$B$11)))^2)+IF(OR(E$7="",E$8=0),0,E$8*(E$7-G$16*(1-$A74)*(1-(1-$A74)^MIN(E$6,$B$11))/($A74*MIN(E$6,$B$11)))^2)</f>
        <v/>
      </c>
      <c r="H74" s="27">
        <f>IF(OR(B$7="",B$8=0),0,B$8*(B$7-H$16*(1-$A74)*(1-(1-$A74)^MIN(B$6,$B$11))/($A74*MIN(B$6,$B$11)))^2)+IF(OR(C$7="",C$8=0),0,C$8*(C$7-H$16*(1-$A74)*(1-(1-$A74)^MIN(C$6,$B$11))/($A74*MIN(C$6,$B$11)))^2)+IF(OR(D$7="",D$8=0),0,D$8*(D$7-H$16*(1-$A74)*(1-(1-$A74)^MIN(D$6,$B$11))/($A74*MIN(D$6,$B$11)))^2)+IF(OR(E$7="",E$8=0),0,E$8*(E$7-H$16*(1-$A74)*(1-(1-$A74)^MIN(E$6,$B$11))/($A74*MIN(E$6,$B$11)))^2)</f>
        <v/>
      </c>
      <c r="I74" s="27">
        <f>IF(OR(B$7="",B$8=0),0,B$8*(B$7-I$16*(1-$A74)*(1-(1-$A74)^MIN(B$6,$B$11))/($A74*MIN(B$6,$B$11)))^2)+IF(OR(C$7="",C$8=0),0,C$8*(C$7-I$16*(1-$A74)*(1-(1-$A74)^MIN(C$6,$B$11))/($A74*MIN(C$6,$B$11)))^2)+IF(OR(D$7="",D$8=0),0,D$8*(D$7-I$16*(1-$A74)*(1-(1-$A74)^MIN(D$6,$B$11))/($A74*MIN(D$6,$B$11)))^2)+IF(OR(E$7="",E$8=0),0,E$8*(E$7-I$16*(1-$A74)*(1-(1-$A74)^MIN(E$6,$B$11))/($A74*MIN(E$6,$B$11)))^2)</f>
        <v/>
      </c>
      <c r="J74" s="27">
        <f>IF(OR(B$7="",B$8=0),0,B$8*(B$7-J$16*(1-$A74)*(1-(1-$A74)^MIN(B$6,$B$11))/($A74*MIN(B$6,$B$11)))^2)+IF(OR(C$7="",C$8=0),0,C$8*(C$7-J$16*(1-$A74)*(1-(1-$A74)^MIN(C$6,$B$11))/($A74*MIN(C$6,$B$11)))^2)+IF(OR(D$7="",D$8=0),0,D$8*(D$7-J$16*(1-$A74)*(1-(1-$A74)^MIN(D$6,$B$11))/($A74*MIN(D$6,$B$11)))^2)+IF(OR(E$7="",E$8=0),0,E$8*(E$7-J$16*(1-$A74)*(1-(1-$A74)^MIN(E$6,$B$11))/($A74*MIN(E$6,$B$11)))^2)</f>
        <v/>
      </c>
      <c r="K74" s="27">
        <f>IF(OR(B$7="",B$8=0),0,B$8*(B$7-K$16*(1-$A74)*(1-(1-$A74)^MIN(B$6,$B$11))/($A74*MIN(B$6,$B$11)))^2)+IF(OR(C$7="",C$8=0),0,C$8*(C$7-K$16*(1-$A74)*(1-(1-$A74)^MIN(C$6,$B$11))/($A74*MIN(C$6,$B$11)))^2)+IF(OR(D$7="",D$8=0),0,D$8*(D$7-K$16*(1-$A74)*(1-(1-$A74)^MIN(D$6,$B$11))/($A74*MIN(D$6,$B$11)))^2)+IF(OR(E$7="",E$8=0),0,E$8*(E$7-K$16*(1-$A74)*(1-(1-$A74)^MIN(E$6,$B$11))/($A74*MIN(E$6,$B$11)))^2)</f>
        <v/>
      </c>
      <c r="L74" s="27">
        <f>IF(OR(B$7="",B$8=0),0,B$8*(B$7-L$16*(1-$A74)*(1-(1-$A74)^MIN(B$6,$B$11))/($A74*MIN(B$6,$B$11)))^2)+IF(OR(C$7="",C$8=0),0,C$8*(C$7-L$16*(1-$A74)*(1-(1-$A74)^MIN(C$6,$B$11))/($A74*MIN(C$6,$B$11)))^2)+IF(OR(D$7="",D$8=0),0,D$8*(D$7-L$16*(1-$A74)*(1-(1-$A74)^MIN(D$6,$B$11))/($A74*MIN(D$6,$B$11)))^2)+IF(OR(E$7="",E$8=0),0,E$8*(E$7-L$16*(1-$A74)*(1-(1-$A74)^MIN(E$6,$B$11))/($A74*MIN(E$6,$B$11)))^2)</f>
        <v/>
      </c>
      <c r="M74" s="27">
        <f>IF(OR(B$7="",B$8=0),0,B$8*(B$7-M$16*(1-$A74)*(1-(1-$A74)^MIN(B$6,$B$11))/($A74*MIN(B$6,$B$11)))^2)+IF(OR(C$7="",C$8=0),0,C$8*(C$7-M$16*(1-$A74)*(1-(1-$A74)^MIN(C$6,$B$11))/($A74*MIN(C$6,$B$11)))^2)+IF(OR(D$7="",D$8=0),0,D$8*(D$7-M$16*(1-$A74)*(1-(1-$A74)^MIN(D$6,$B$11))/($A74*MIN(D$6,$B$11)))^2)+IF(OR(E$7="",E$8=0),0,E$8*(E$7-M$16*(1-$A74)*(1-(1-$A74)^MIN(E$6,$B$11))/($A74*MIN(E$6,$B$11)))^2)</f>
        <v/>
      </c>
      <c r="N74" s="27">
        <f>IF(OR(B$7="",B$8=0),0,B$8*(B$7-N$16*(1-$A74)*(1-(1-$A74)^MIN(B$6,$B$11))/($A74*MIN(B$6,$B$11)))^2)+IF(OR(C$7="",C$8=0),0,C$8*(C$7-N$16*(1-$A74)*(1-(1-$A74)^MIN(C$6,$B$11))/($A74*MIN(C$6,$B$11)))^2)+IF(OR(D$7="",D$8=0),0,D$8*(D$7-N$16*(1-$A74)*(1-(1-$A74)^MIN(D$6,$B$11))/($A74*MIN(D$6,$B$11)))^2)+IF(OR(E$7="",E$8=0),0,E$8*(E$7-N$16*(1-$A74)*(1-(1-$A74)^MIN(E$6,$B$11))/($A74*MIN(E$6,$B$11)))^2)</f>
        <v/>
      </c>
      <c r="O74" s="27">
        <f>IF(OR(B$7="",B$8=0),0,B$8*(B$7-O$16*(1-$A74)*(1-(1-$A74)^MIN(B$6,$B$11))/($A74*MIN(B$6,$B$11)))^2)+IF(OR(C$7="",C$8=0),0,C$8*(C$7-O$16*(1-$A74)*(1-(1-$A74)^MIN(C$6,$B$11))/($A74*MIN(C$6,$B$11)))^2)+IF(OR(D$7="",D$8=0),0,D$8*(D$7-O$16*(1-$A74)*(1-(1-$A74)^MIN(D$6,$B$11))/($A74*MIN(D$6,$B$11)))^2)+IF(OR(E$7="",E$8=0),0,E$8*(E$7-O$16*(1-$A74)*(1-(1-$A74)^MIN(E$6,$B$11))/($A74*MIN(E$6,$B$11)))^2)</f>
        <v/>
      </c>
      <c r="P74" s="27">
        <f>IF(OR(B$7="",B$8=0),0,B$8*(B$7-P$16*(1-$A74)*(1-(1-$A74)^MIN(B$6,$B$11))/($A74*MIN(B$6,$B$11)))^2)+IF(OR(C$7="",C$8=0),0,C$8*(C$7-P$16*(1-$A74)*(1-(1-$A74)^MIN(C$6,$B$11))/($A74*MIN(C$6,$B$11)))^2)+IF(OR(D$7="",D$8=0),0,D$8*(D$7-P$16*(1-$A74)*(1-(1-$A74)^MIN(D$6,$B$11))/($A74*MIN(D$6,$B$11)))^2)+IF(OR(E$7="",E$8=0),0,E$8*(E$7-P$16*(1-$A74)*(1-(1-$A74)^MIN(E$6,$B$11))/($A74*MIN(E$6,$B$11)))^2)</f>
        <v/>
      </c>
      <c r="Q74" s="27">
        <f>IF(OR(B$7="",B$8=0),0,B$8*(B$7-Q$16*(1-$A74)*(1-(1-$A74)^MIN(B$6,$B$11))/($A74*MIN(B$6,$B$11)))^2)+IF(OR(C$7="",C$8=0),0,C$8*(C$7-Q$16*(1-$A74)*(1-(1-$A74)^MIN(C$6,$B$11))/($A74*MIN(C$6,$B$11)))^2)+IF(OR(D$7="",D$8=0),0,D$8*(D$7-Q$16*(1-$A74)*(1-(1-$A74)^MIN(D$6,$B$11))/($A74*MIN(D$6,$B$11)))^2)+IF(OR(E$7="",E$8=0),0,E$8*(E$7-Q$16*(1-$A74)*(1-(1-$A74)^MIN(E$6,$B$11))/($A74*MIN(E$6,$B$11)))^2)</f>
        <v/>
      </c>
      <c r="R74" s="27">
        <f>IF(OR(B$7="",B$8=0),0,B$8*(B$7-R$16*(1-$A74)*(1-(1-$A74)^MIN(B$6,$B$11))/($A74*MIN(B$6,$B$11)))^2)+IF(OR(C$7="",C$8=0),0,C$8*(C$7-R$16*(1-$A74)*(1-(1-$A74)^MIN(C$6,$B$11))/($A74*MIN(C$6,$B$11)))^2)+IF(OR(D$7="",D$8=0),0,D$8*(D$7-R$16*(1-$A74)*(1-(1-$A74)^MIN(D$6,$B$11))/($A74*MIN(D$6,$B$11)))^2)+IF(OR(E$7="",E$8=0),0,E$8*(E$7-R$16*(1-$A74)*(1-(1-$A74)^MIN(E$6,$B$11))/($A74*MIN(E$6,$B$11)))^2)</f>
        <v/>
      </c>
      <c r="S74" s="27">
        <f>IF(OR(B$7="",B$8=0),0,B$8*(B$7-S$16*(1-$A74)*(1-(1-$A74)^MIN(B$6,$B$11))/($A74*MIN(B$6,$B$11)))^2)+IF(OR(C$7="",C$8=0),0,C$8*(C$7-S$16*(1-$A74)*(1-(1-$A74)^MIN(C$6,$B$11))/($A74*MIN(C$6,$B$11)))^2)+IF(OR(D$7="",D$8=0),0,D$8*(D$7-S$16*(1-$A74)*(1-(1-$A74)^MIN(D$6,$B$11))/($A74*MIN(D$6,$B$11)))^2)+IF(OR(E$7="",E$8=0),0,E$8*(E$7-S$16*(1-$A74)*(1-(1-$A74)^MIN(E$6,$B$11))/($A74*MIN(E$6,$B$11)))^2)</f>
        <v/>
      </c>
      <c r="U74" s="27">
        <f>MIN(B74:S74)</f>
        <v/>
      </c>
      <c r="V74" s="17">
        <f>MATCH(U74,B74:S74,0)</f>
        <v/>
      </c>
    </row>
    <row r="75">
      <c r="A75" s="26" t="n">
        <v>0.034</v>
      </c>
      <c r="B75" s="27">
        <f>IF(OR(B$7="",B$8=0),0,B$8*(B$7-B$16*(1-$A75)*(1-(1-$A75)^MIN(B$6,$B$11))/($A75*MIN(B$6,$B$11)))^2)+IF(OR(C$7="",C$8=0),0,C$8*(C$7-B$16*(1-$A75)*(1-(1-$A75)^MIN(C$6,$B$11))/($A75*MIN(C$6,$B$11)))^2)+IF(OR(D$7="",D$8=0),0,D$8*(D$7-B$16*(1-$A75)*(1-(1-$A75)^MIN(D$6,$B$11))/($A75*MIN(D$6,$B$11)))^2)+IF(OR(E$7="",E$8=0),0,E$8*(E$7-B$16*(1-$A75)*(1-(1-$A75)^MIN(E$6,$B$11))/($A75*MIN(E$6,$B$11)))^2)</f>
        <v/>
      </c>
      <c r="C75" s="27">
        <f>IF(OR(B$7="",B$8=0),0,B$8*(B$7-C$16*(1-$A75)*(1-(1-$A75)^MIN(B$6,$B$11))/($A75*MIN(B$6,$B$11)))^2)+IF(OR(C$7="",C$8=0),0,C$8*(C$7-C$16*(1-$A75)*(1-(1-$A75)^MIN(C$6,$B$11))/($A75*MIN(C$6,$B$11)))^2)+IF(OR(D$7="",D$8=0),0,D$8*(D$7-C$16*(1-$A75)*(1-(1-$A75)^MIN(D$6,$B$11))/($A75*MIN(D$6,$B$11)))^2)+IF(OR(E$7="",E$8=0),0,E$8*(E$7-C$16*(1-$A75)*(1-(1-$A75)^MIN(E$6,$B$11))/($A75*MIN(E$6,$B$11)))^2)</f>
        <v/>
      </c>
      <c r="D75" s="27">
        <f>IF(OR(B$7="",B$8=0),0,B$8*(B$7-D$16*(1-$A75)*(1-(1-$A75)^MIN(B$6,$B$11))/($A75*MIN(B$6,$B$11)))^2)+IF(OR(C$7="",C$8=0),0,C$8*(C$7-D$16*(1-$A75)*(1-(1-$A75)^MIN(C$6,$B$11))/($A75*MIN(C$6,$B$11)))^2)+IF(OR(D$7="",D$8=0),0,D$8*(D$7-D$16*(1-$A75)*(1-(1-$A75)^MIN(D$6,$B$11))/($A75*MIN(D$6,$B$11)))^2)+IF(OR(E$7="",E$8=0),0,E$8*(E$7-D$16*(1-$A75)*(1-(1-$A75)^MIN(E$6,$B$11))/($A75*MIN(E$6,$B$11)))^2)</f>
        <v/>
      </c>
      <c r="E75" s="27">
        <f>IF(OR(B$7="",B$8=0),0,B$8*(B$7-E$16*(1-$A75)*(1-(1-$A75)^MIN(B$6,$B$11))/($A75*MIN(B$6,$B$11)))^2)+IF(OR(C$7="",C$8=0),0,C$8*(C$7-E$16*(1-$A75)*(1-(1-$A75)^MIN(C$6,$B$11))/($A75*MIN(C$6,$B$11)))^2)+IF(OR(D$7="",D$8=0),0,D$8*(D$7-E$16*(1-$A75)*(1-(1-$A75)^MIN(D$6,$B$11))/($A75*MIN(D$6,$B$11)))^2)+IF(OR(E$7="",E$8=0),0,E$8*(E$7-E$16*(1-$A75)*(1-(1-$A75)^MIN(E$6,$B$11))/($A75*MIN(E$6,$B$11)))^2)</f>
        <v/>
      </c>
      <c r="F75" s="27">
        <f>IF(OR(B$7="",B$8=0),0,B$8*(B$7-F$16*(1-$A75)*(1-(1-$A75)^MIN(B$6,$B$11))/($A75*MIN(B$6,$B$11)))^2)+IF(OR(C$7="",C$8=0),0,C$8*(C$7-F$16*(1-$A75)*(1-(1-$A75)^MIN(C$6,$B$11))/($A75*MIN(C$6,$B$11)))^2)+IF(OR(D$7="",D$8=0),0,D$8*(D$7-F$16*(1-$A75)*(1-(1-$A75)^MIN(D$6,$B$11))/($A75*MIN(D$6,$B$11)))^2)+IF(OR(E$7="",E$8=0),0,E$8*(E$7-F$16*(1-$A75)*(1-(1-$A75)^MIN(E$6,$B$11))/($A75*MIN(E$6,$B$11)))^2)</f>
        <v/>
      </c>
      <c r="G75" s="27">
        <f>IF(OR(B$7="",B$8=0),0,B$8*(B$7-G$16*(1-$A75)*(1-(1-$A75)^MIN(B$6,$B$11))/($A75*MIN(B$6,$B$11)))^2)+IF(OR(C$7="",C$8=0),0,C$8*(C$7-G$16*(1-$A75)*(1-(1-$A75)^MIN(C$6,$B$11))/($A75*MIN(C$6,$B$11)))^2)+IF(OR(D$7="",D$8=0),0,D$8*(D$7-G$16*(1-$A75)*(1-(1-$A75)^MIN(D$6,$B$11))/($A75*MIN(D$6,$B$11)))^2)+IF(OR(E$7="",E$8=0),0,E$8*(E$7-G$16*(1-$A75)*(1-(1-$A75)^MIN(E$6,$B$11))/($A75*MIN(E$6,$B$11)))^2)</f>
        <v/>
      </c>
      <c r="H75" s="27">
        <f>IF(OR(B$7="",B$8=0),0,B$8*(B$7-H$16*(1-$A75)*(1-(1-$A75)^MIN(B$6,$B$11))/($A75*MIN(B$6,$B$11)))^2)+IF(OR(C$7="",C$8=0),0,C$8*(C$7-H$16*(1-$A75)*(1-(1-$A75)^MIN(C$6,$B$11))/($A75*MIN(C$6,$B$11)))^2)+IF(OR(D$7="",D$8=0),0,D$8*(D$7-H$16*(1-$A75)*(1-(1-$A75)^MIN(D$6,$B$11))/($A75*MIN(D$6,$B$11)))^2)+IF(OR(E$7="",E$8=0),0,E$8*(E$7-H$16*(1-$A75)*(1-(1-$A75)^MIN(E$6,$B$11))/($A75*MIN(E$6,$B$11)))^2)</f>
        <v/>
      </c>
      <c r="I75" s="27">
        <f>IF(OR(B$7="",B$8=0),0,B$8*(B$7-I$16*(1-$A75)*(1-(1-$A75)^MIN(B$6,$B$11))/($A75*MIN(B$6,$B$11)))^2)+IF(OR(C$7="",C$8=0),0,C$8*(C$7-I$16*(1-$A75)*(1-(1-$A75)^MIN(C$6,$B$11))/($A75*MIN(C$6,$B$11)))^2)+IF(OR(D$7="",D$8=0),0,D$8*(D$7-I$16*(1-$A75)*(1-(1-$A75)^MIN(D$6,$B$11))/($A75*MIN(D$6,$B$11)))^2)+IF(OR(E$7="",E$8=0),0,E$8*(E$7-I$16*(1-$A75)*(1-(1-$A75)^MIN(E$6,$B$11))/($A75*MIN(E$6,$B$11)))^2)</f>
        <v/>
      </c>
      <c r="J75" s="27">
        <f>IF(OR(B$7="",B$8=0),0,B$8*(B$7-J$16*(1-$A75)*(1-(1-$A75)^MIN(B$6,$B$11))/($A75*MIN(B$6,$B$11)))^2)+IF(OR(C$7="",C$8=0),0,C$8*(C$7-J$16*(1-$A75)*(1-(1-$A75)^MIN(C$6,$B$11))/($A75*MIN(C$6,$B$11)))^2)+IF(OR(D$7="",D$8=0),0,D$8*(D$7-J$16*(1-$A75)*(1-(1-$A75)^MIN(D$6,$B$11))/($A75*MIN(D$6,$B$11)))^2)+IF(OR(E$7="",E$8=0),0,E$8*(E$7-J$16*(1-$A75)*(1-(1-$A75)^MIN(E$6,$B$11))/($A75*MIN(E$6,$B$11)))^2)</f>
        <v/>
      </c>
      <c r="K75" s="27">
        <f>IF(OR(B$7="",B$8=0),0,B$8*(B$7-K$16*(1-$A75)*(1-(1-$A75)^MIN(B$6,$B$11))/($A75*MIN(B$6,$B$11)))^2)+IF(OR(C$7="",C$8=0),0,C$8*(C$7-K$16*(1-$A75)*(1-(1-$A75)^MIN(C$6,$B$11))/($A75*MIN(C$6,$B$11)))^2)+IF(OR(D$7="",D$8=0),0,D$8*(D$7-K$16*(1-$A75)*(1-(1-$A75)^MIN(D$6,$B$11))/($A75*MIN(D$6,$B$11)))^2)+IF(OR(E$7="",E$8=0),0,E$8*(E$7-K$16*(1-$A75)*(1-(1-$A75)^MIN(E$6,$B$11))/($A75*MIN(E$6,$B$11)))^2)</f>
        <v/>
      </c>
      <c r="L75" s="27">
        <f>IF(OR(B$7="",B$8=0),0,B$8*(B$7-L$16*(1-$A75)*(1-(1-$A75)^MIN(B$6,$B$11))/($A75*MIN(B$6,$B$11)))^2)+IF(OR(C$7="",C$8=0),0,C$8*(C$7-L$16*(1-$A75)*(1-(1-$A75)^MIN(C$6,$B$11))/($A75*MIN(C$6,$B$11)))^2)+IF(OR(D$7="",D$8=0),0,D$8*(D$7-L$16*(1-$A75)*(1-(1-$A75)^MIN(D$6,$B$11))/($A75*MIN(D$6,$B$11)))^2)+IF(OR(E$7="",E$8=0),0,E$8*(E$7-L$16*(1-$A75)*(1-(1-$A75)^MIN(E$6,$B$11))/($A75*MIN(E$6,$B$11)))^2)</f>
        <v/>
      </c>
      <c r="M75" s="27">
        <f>IF(OR(B$7="",B$8=0),0,B$8*(B$7-M$16*(1-$A75)*(1-(1-$A75)^MIN(B$6,$B$11))/($A75*MIN(B$6,$B$11)))^2)+IF(OR(C$7="",C$8=0),0,C$8*(C$7-M$16*(1-$A75)*(1-(1-$A75)^MIN(C$6,$B$11))/($A75*MIN(C$6,$B$11)))^2)+IF(OR(D$7="",D$8=0),0,D$8*(D$7-M$16*(1-$A75)*(1-(1-$A75)^MIN(D$6,$B$11))/($A75*MIN(D$6,$B$11)))^2)+IF(OR(E$7="",E$8=0),0,E$8*(E$7-M$16*(1-$A75)*(1-(1-$A75)^MIN(E$6,$B$11))/($A75*MIN(E$6,$B$11)))^2)</f>
        <v/>
      </c>
      <c r="N75" s="27">
        <f>IF(OR(B$7="",B$8=0),0,B$8*(B$7-N$16*(1-$A75)*(1-(1-$A75)^MIN(B$6,$B$11))/($A75*MIN(B$6,$B$11)))^2)+IF(OR(C$7="",C$8=0),0,C$8*(C$7-N$16*(1-$A75)*(1-(1-$A75)^MIN(C$6,$B$11))/($A75*MIN(C$6,$B$11)))^2)+IF(OR(D$7="",D$8=0),0,D$8*(D$7-N$16*(1-$A75)*(1-(1-$A75)^MIN(D$6,$B$11))/($A75*MIN(D$6,$B$11)))^2)+IF(OR(E$7="",E$8=0),0,E$8*(E$7-N$16*(1-$A75)*(1-(1-$A75)^MIN(E$6,$B$11))/($A75*MIN(E$6,$B$11)))^2)</f>
        <v/>
      </c>
      <c r="O75" s="27">
        <f>IF(OR(B$7="",B$8=0),0,B$8*(B$7-O$16*(1-$A75)*(1-(1-$A75)^MIN(B$6,$B$11))/($A75*MIN(B$6,$B$11)))^2)+IF(OR(C$7="",C$8=0),0,C$8*(C$7-O$16*(1-$A75)*(1-(1-$A75)^MIN(C$6,$B$11))/($A75*MIN(C$6,$B$11)))^2)+IF(OR(D$7="",D$8=0),0,D$8*(D$7-O$16*(1-$A75)*(1-(1-$A75)^MIN(D$6,$B$11))/($A75*MIN(D$6,$B$11)))^2)+IF(OR(E$7="",E$8=0),0,E$8*(E$7-O$16*(1-$A75)*(1-(1-$A75)^MIN(E$6,$B$11))/($A75*MIN(E$6,$B$11)))^2)</f>
        <v/>
      </c>
      <c r="P75" s="27">
        <f>IF(OR(B$7="",B$8=0),0,B$8*(B$7-P$16*(1-$A75)*(1-(1-$A75)^MIN(B$6,$B$11))/($A75*MIN(B$6,$B$11)))^2)+IF(OR(C$7="",C$8=0),0,C$8*(C$7-P$16*(1-$A75)*(1-(1-$A75)^MIN(C$6,$B$11))/($A75*MIN(C$6,$B$11)))^2)+IF(OR(D$7="",D$8=0),0,D$8*(D$7-P$16*(1-$A75)*(1-(1-$A75)^MIN(D$6,$B$11))/($A75*MIN(D$6,$B$11)))^2)+IF(OR(E$7="",E$8=0),0,E$8*(E$7-P$16*(1-$A75)*(1-(1-$A75)^MIN(E$6,$B$11))/($A75*MIN(E$6,$B$11)))^2)</f>
        <v/>
      </c>
      <c r="Q75" s="27">
        <f>IF(OR(B$7="",B$8=0),0,B$8*(B$7-Q$16*(1-$A75)*(1-(1-$A75)^MIN(B$6,$B$11))/($A75*MIN(B$6,$B$11)))^2)+IF(OR(C$7="",C$8=0),0,C$8*(C$7-Q$16*(1-$A75)*(1-(1-$A75)^MIN(C$6,$B$11))/($A75*MIN(C$6,$B$11)))^2)+IF(OR(D$7="",D$8=0),0,D$8*(D$7-Q$16*(1-$A75)*(1-(1-$A75)^MIN(D$6,$B$11))/($A75*MIN(D$6,$B$11)))^2)+IF(OR(E$7="",E$8=0),0,E$8*(E$7-Q$16*(1-$A75)*(1-(1-$A75)^MIN(E$6,$B$11))/($A75*MIN(E$6,$B$11)))^2)</f>
        <v/>
      </c>
      <c r="R75" s="27">
        <f>IF(OR(B$7="",B$8=0),0,B$8*(B$7-R$16*(1-$A75)*(1-(1-$A75)^MIN(B$6,$B$11))/($A75*MIN(B$6,$B$11)))^2)+IF(OR(C$7="",C$8=0),0,C$8*(C$7-R$16*(1-$A75)*(1-(1-$A75)^MIN(C$6,$B$11))/($A75*MIN(C$6,$B$11)))^2)+IF(OR(D$7="",D$8=0),0,D$8*(D$7-R$16*(1-$A75)*(1-(1-$A75)^MIN(D$6,$B$11))/($A75*MIN(D$6,$B$11)))^2)+IF(OR(E$7="",E$8=0),0,E$8*(E$7-R$16*(1-$A75)*(1-(1-$A75)^MIN(E$6,$B$11))/($A75*MIN(E$6,$B$11)))^2)</f>
        <v/>
      </c>
      <c r="S75" s="27">
        <f>IF(OR(B$7="",B$8=0),0,B$8*(B$7-S$16*(1-$A75)*(1-(1-$A75)^MIN(B$6,$B$11))/($A75*MIN(B$6,$B$11)))^2)+IF(OR(C$7="",C$8=0),0,C$8*(C$7-S$16*(1-$A75)*(1-(1-$A75)^MIN(C$6,$B$11))/($A75*MIN(C$6,$B$11)))^2)+IF(OR(D$7="",D$8=0),0,D$8*(D$7-S$16*(1-$A75)*(1-(1-$A75)^MIN(D$6,$B$11))/($A75*MIN(D$6,$B$11)))^2)+IF(OR(E$7="",E$8=0),0,E$8*(E$7-S$16*(1-$A75)*(1-(1-$A75)^MIN(E$6,$B$11))/($A75*MIN(E$6,$B$11)))^2)</f>
        <v/>
      </c>
      <c r="U75" s="27">
        <f>MIN(B75:S75)</f>
        <v/>
      </c>
      <c r="V75" s="17">
        <f>MATCH(U75,B75:S75,0)</f>
        <v/>
      </c>
    </row>
    <row r="76">
      <c r="A76" s="26" t="n">
        <v>0.0345</v>
      </c>
      <c r="B76" s="27">
        <f>IF(OR(B$7="",B$8=0),0,B$8*(B$7-B$16*(1-$A76)*(1-(1-$A76)^MIN(B$6,$B$11))/($A76*MIN(B$6,$B$11)))^2)+IF(OR(C$7="",C$8=0),0,C$8*(C$7-B$16*(1-$A76)*(1-(1-$A76)^MIN(C$6,$B$11))/($A76*MIN(C$6,$B$11)))^2)+IF(OR(D$7="",D$8=0),0,D$8*(D$7-B$16*(1-$A76)*(1-(1-$A76)^MIN(D$6,$B$11))/($A76*MIN(D$6,$B$11)))^2)+IF(OR(E$7="",E$8=0),0,E$8*(E$7-B$16*(1-$A76)*(1-(1-$A76)^MIN(E$6,$B$11))/($A76*MIN(E$6,$B$11)))^2)</f>
        <v/>
      </c>
      <c r="C76" s="27">
        <f>IF(OR(B$7="",B$8=0),0,B$8*(B$7-C$16*(1-$A76)*(1-(1-$A76)^MIN(B$6,$B$11))/($A76*MIN(B$6,$B$11)))^2)+IF(OR(C$7="",C$8=0),0,C$8*(C$7-C$16*(1-$A76)*(1-(1-$A76)^MIN(C$6,$B$11))/($A76*MIN(C$6,$B$11)))^2)+IF(OR(D$7="",D$8=0),0,D$8*(D$7-C$16*(1-$A76)*(1-(1-$A76)^MIN(D$6,$B$11))/($A76*MIN(D$6,$B$11)))^2)+IF(OR(E$7="",E$8=0),0,E$8*(E$7-C$16*(1-$A76)*(1-(1-$A76)^MIN(E$6,$B$11))/($A76*MIN(E$6,$B$11)))^2)</f>
        <v/>
      </c>
      <c r="D76" s="27">
        <f>IF(OR(B$7="",B$8=0),0,B$8*(B$7-D$16*(1-$A76)*(1-(1-$A76)^MIN(B$6,$B$11))/($A76*MIN(B$6,$B$11)))^2)+IF(OR(C$7="",C$8=0),0,C$8*(C$7-D$16*(1-$A76)*(1-(1-$A76)^MIN(C$6,$B$11))/($A76*MIN(C$6,$B$11)))^2)+IF(OR(D$7="",D$8=0),0,D$8*(D$7-D$16*(1-$A76)*(1-(1-$A76)^MIN(D$6,$B$11))/($A76*MIN(D$6,$B$11)))^2)+IF(OR(E$7="",E$8=0),0,E$8*(E$7-D$16*(1-$A76)*(1-(1-$A76)^MIN(E$6,$B$11))/($A76*MIN(E$6,$B$11)))^2)</f>
        <v/>
      </c>
      <c r="E76" s="27">
        <f>IF(OR(B$7="",B$8=0),0,B$8*(B$7-E$16*(1-$A76)*(1-(1-$A76)^MIN(B$6,$B$11))/($A76*MIN(B$6,$B$11)))^2)+IF(OR(C$7="",C$8=0),0,C$8*(C$7-E$16*(1-$A76)*(1-(1-$A76)^MIN(C$6,$B$11))/($A76*MIN(C$6,$B$11)))^2)+IF(OR(D$7="",D$8=0),0,D$8*(D$7-E$16*(1-$A76)*(1-(1-$A76)^MIN(D$6,$B$11))/($A76*MIN(D$6,$B$11)))^2)+IF(OR(E$7="",E$8=0),0,E$8*(E$7-E$16*(1-$A76)*(1-(1-$A76)^MIN(E$6,$B$11))/($A76*MIN(E$6,$B$11)))^2)</f>
        <v/>
      </c>
      <c r="F76" s="27">
        <f>IF(OR(B$7="",B$8=0),0,B$8*(B$7-F$16*(1-$A76)*(1-(1-$A76)^MIN(B$6,$B$11))/($A76*MIN(B$6,$B$11)))^2)+IF(OR(C$7="",C$8=0),0,C$8*(C$7-F$16*(1-$A76)*(1-(1-$A76)^MIN(C$6,$B$11))/($A76*MIN(C$6,$B$11)))^2)+IF(OR(D$7="",D$8=0),0,D$8*(D$7-F$16*(1-$A76)*(1-(1-$A76)^MIN(D$6,$B$11))/($A76*MIN(D$6,$B$11)))^2)+IF(OR(E$7="",E$8=0),0,E$8*(E$7-F$16*(1-$A76)*(1-(1-$A76)^MIN(E$6,$B$11))/($A76*MIN(E$6,$B$11)))^2)</f>
        <v/>
      </c>
      <c r="G76" s="27">
        <f>IF(OR(B$7="",B$8=0),0,B$8*(B$7-G$16*(1-$A76)*(1-(1-$A76)^MIN(B$6,$B$11))/($A76*MIN(B$6,$B$11)))^2)+IF(OR(C$7="",C$8=0),0,C$8*(C$7-G$16*(1-$A76)*(1-(1-$A76)^MIN(C$6,$B$11))/($A76*MIN(C$6,$B$11)))^2)+IF(OR(D$7="",D$8=0),0,D$8*(D$7-G$16*(1-$A76)*(1-(1-$A76)^MIN(D$6,$B$11))/($A76*MIN(D$6,$B$11)))^2)+IF(OR(E$7="",E$8=0),0,E$8*(E$7-G$16*(1-$A76)*(1-(1-$A76)^MIN(E$6,$B$11))/($A76*MIN(E$6,$B$11)))^2)</f>
        <v/>
      </c>
      <c r="H76" s="27">
        <f>IF(OR(B$7="",B$8=0),0,B$8*(B$7-H$16*(1-$A76)*(1-(1-$A76)^MIN(B$6,$B$11))/($A76*MIN(B$6,$B$11)))^2)+IF(OR(C$7="",C$8=0),0,C$8*(C$7-H$16*(1-$A76)*(1-(1-$A76)^MIN(C$6,$B$11))/($A76*MIN(C$6,$B$11)))^2)+IF(OR(D$7="",D$8=0),0,D$8*(D$7-H$16*(1-$A76)*(1-(1-$A76)^MIN(D$6,$B$11))/($A76*MIN(D$6,$B$11)))^2)+IF(OR(E$7="",E$8=0),0,E$8*(E$7-H$16*(1-$A76)*(1-(1-$A76)^MIN(E$6,$B$11))/($A76*MIN(E$6,$B$11)))^2)</f>
        <v/>
      </c>
      <c r="I76" s="27">
        <f>IF(OR(B$7="",B$8=0),0,B$8*(B$7-I$16*(1-$A76)*(1-(1-$A76)^MIN(B$6,$B$11))/($A76*MIN(B$6,$B$11)))^2)+IF(OR(C$7="",C$8=0),0,C$8*(C$7-I$16*(1-$A76)*(1-(1-$A76)^MIN(C$6,$B$11))/($A76*MIN(C$6,$B$11)))^2)+IF(OR(D$7="",D$8=0),0,D$8*(D$7-I$16*(1-$A76)*(1-(1-$A76)^MIN(D$6,$B$11))/($A76*MIN(D$6,$B$11)))^2)+IF(OR(E$7="",E$8=0),0,E$8*(E$7-I$16*(1-$A76)*(1-(1-$A76)^MIN(E$6,$B$11))/($A76*MIN(E$6,$B$11)))^2)</f>
        <v/>
      </c>
      <c r="J76" s="27">
        <f>IF(OR(B$7="",B$8=0),0,B$8*(B$7-J$16*(1-$A76)*(1-(1-$A76)^MIN(B$6,$B$11))/($A76*MIN(B$6,$B$11)))^2)+IF(OR(C$7="",C$8=0),0,C$8*(C$7-J$16*(1-$A76)*(1-(1-$A76)^MIN(C$6,$B$11))/($A76*MIN(C$6,$B$11)))^2)+IF(OR(D$7="",D$8=0),0,D$8*(D$7-J$16*(1-$A76)*(1-(1-$A76)^MIN(D$6,$B$11))/($A76*MIN(D$6,$B$11)))^2)+IF(OR(E$7="",E$8=0),0,E$8*(E$7-J$16*(1-$A76)*(1-(1-$A76)^MIN(E$6,$B$11))/($A76*MIN(E$6,$B$11)))^2)</f>
        <v/>
      </c>
      <c r="K76" s="27">
        <f>IF(OR(B$7="",B$8=0),0,B$8*(B$7-K$16*(1-$A76)*(1-(1-$A76)^MIN(B$6,$B$11))/($A76*MIN(B$6,$B$11)))^2)+IF(OR(C$7="",C$8=0),0,C$8*(C$7-K$16*(1-$A76)*(1-(1-$A76)^MIN(C$6,$B$11))/($A76*MIN(C$6,$B$11)))^2)+IF(OR(D$7="",D$8=0),0,D$8*(D$7-K$16*(1-$A76)*(1-(1-$A76)^MIN(D$6,$B$11))/($A76*MIN(D$6,$B$11)))^2)+IF(OR(E$7="",E$8=0),0,E$8*(E$7-K$16*(1-$A76)*(1-(1-$A76)^MIN(E$6,$B$11))/($A76*MIN(E$6,$B$11)))^2)</f>
        <v/>
      </c>
      <c r="L76" s="27">
        <f>IF(OR(B$7="",B$8=0),0,B$8*(B$7-L$16*(1-$A76)*(1-(1-$A76)^MIN(B$6,$B$11))/($A76*MIN(B$6,$B$11)))^2)+IF(OR(C$7="",C$8=0),0,C$8*(C$7-L$16*(1-$A76)*(1-(1-$A76)^MIN(C$6,$B$11))/($A76*MIN(C$6,$B$11)))^2)+IF(OR(D$7="",D$8=0),0,D$8*(D$7-L$16*(1-$A76)*(1-(1-$A76)^MIN(D$6,$B$11))/($A76*MIN(D$6,$B$11)))^2)+IF(OR(E$7="",E$8=0),0,E$8*(E$7-L$16*(1-$A76)*(1-(1-$A76)^MIN(E$6,$B$11))/($A76*MIN(E$6,$B$11)))^2)</f>
        <v/>
      </c>
      <c r="M76" s="27">
        <f>IF(OR(B$7="",B$8=0),0,B$8*(B$7-M$16*(1-$A76)*(1-(1-$A76)^MIN(B$6,$B$11))/($A76*MIN(B$6,$B$11)))^2)+IF(OR(C$7="",C$8=0),0,C$8*(C$7-M$16*(1-$A76)*(1-(1-$A76)^MIN(C$6,$B$11))/($A76*MIN(C$6,$B$11)))^2)+IF(OR(D$7="",D$8=0),0,D$8*(D$7-M$16*(1-$A76)*(1-(1-$A76)^MIN(D$6,$B$11))/($A76*MIN(D$6,$B$11)))^2)+IF(OR(E$7="",E$8=0),0,E$8*(E$7-M$16*(1-$A76)*(1-(1-$A76)^MIN(E$6,$B$11))/($A76*MIN(E$6,$B$11)))^2)</f>
        <v/>
      </c>
      <c r="N76" s="27">
        <f>IF(OR(B$7="",B$8=0),0,B$8*(B$7-N$16*(1-$A76)*(1-(1-$A76)^MIN(B$6,$B$11))/($A76*MIN(B$6,$B$11)))^2)+IF(OR(C$7="",C$8=0),0,C$8*(C$7-N$16*(1-$A76)*(1-(1-$A76)^MIN(C$6,$B$11))/($A76*MIN(C$6,$B$11)))^2)+IF(OR(D$7="",D$8=0),0,D$8*(D$7-N$16*(1-$A76)*(1-(1-$A76)^MIN(D$6,$B$11))/($A76*MIN(D$6,$B$11)))^2)+IF(OR(E$7="",E$8=0),0,E$8*(E$7-N$16*(1-$A76)*(1-(1-$A76)^MIN(E$6,$B$11))/($A76*MIN(E$6,$B$11)))^2)</f>
        <v/>
      </c>
      <c r="O76" s="27">
        <f>IF(OR(B$7="",B$8=0),0,B$8*(B$7-O$16*(1-$A76)*(1-(1-$A76)^MIN(B$6,$B$11))/($A76*MIN(B$6,$B$11)))^2)+IF(OR(C$7="",C$8=0),0,C$8*(C$7-O$16*(1-$A76)*(1-(1-$A76)^MIN(C$6,$B$11))/($A76*MIN(C$6,$B$11)))^2)+IF(OR(D$7="",D$8=0),0,D$8*(D$7-O$16*(1-$A76)*(1-(1-$A76)^MIN(D$6,$B$11))/($A76*MIN(D$6,$B$11)))^2)+IF(OR(E$7="",E$8=0),0,E$8*(E$7-O$16*(1-$A76)*(1-(1-$A76)^MIN(E$6,$B$11))/($A76*MIN(E$6,$B$11)))^2)</f>
        <v/>
      </c>
      <c r="P76" s="27">
        <f>IF(OR(B$7="",B$8=0),0,B$8*(B$7-P$16*(1-$A76)*(1-(1-$A76)^MIN(B$6,$B$11))/($A76*MIN(B$6,$B$11)))^2)+IF(OR(C$7="",C$8=0),0,C$8*(C$7-P$16*(1-$A76)*(1-(1-$A76)^MIN(C$6,$B$11))/($A76*MIN(C$6,$B$11)))^2)+IF(OR(D$7="",D$8=0),0,D$8*(D$7-P$16*(1-$A76)*(1-(1-$A76)^MIN(D$6,$B$11))/($A76*MIN(D$6,$B$11)))^2)+IF(OR(E$7="",E$8=0),0,E$8*(E$7-P$16*(1-$A76)*(1-(1-$A76)^MIN(E$6,$B$11))/($A76*MIN(E$6,$B$11)))^2)</f>
        <v/>
      </c>
      <c r="Q76" s="27">
        <f>IF(OR(B$7="",B$8=0),0,B$8*(B$7-Q$16*(1-$A76)*(1-(1-$A76)^MIN(B$6,$B$11))/($A76*MIN(B$6,$B$11)))^2)+IF(OR(C$7="",C$8=0),0,C$8*(C$7-Q$16*(1-$A76)*(1-(1-$A76)^MIN(C$6,$B$11))/($A76*MIN(C$6,$B$11)))^2)+IF(OR(D$7="",D$8=0),0,D$8*(D$7-Q$16*(1-$A76)*(1-(1-$A76)^MIN(D$6,$B$11))/($A76*MIN(D$6,$B$11)))^2)+IF(OR(E$7="",E$8=0),0,E$8*(E$7-Q$16*(1-$A76)*(1-(1-$A76)^MIN(E$6,$B$11))/($A76*MIN(E$6,$B$11)))^2)</f>
        <v/>
      </c>
      <c r="R76" s="27">
        <f>IF(OR(B$7="",B$8=0),0,B$8*(B$7-R$16*(1-$A76)*(1-(1-$A76)^MIN(B$6,$B$11))/($A76*MIN(B$6,$B$11)))^2)+IF(OR(C$7="",C$8=0),0,C$8*(C$7-R$16*(1-$A76)*(1-(1-$A76)^MIN(C$6,$B$11))/($A76*MIN(C$6,$B$11)))^2)+IF(OR(D$7="",D$8=0),0,D$8*(D$7-R$16*(1-$A76)*(1-(1-$A76)^MIN(D$6,$B$11))/($A76*MIN(D$6,$B$11)))^2)+IF(OR(E$7="",E$8=0),0,E$8*(E$7-R$16*(1-$A76)*(1-(1-$A76)^MIN(E$6,$B$11))/($A76*MIN(E$6,$B$11)))^2)</f>
        <v/>
      </c>
      <c r="S76" s="27">
        <f>IF(OR(B$7="",B$8=0),0,B$8*(B$7-S$16*(1-$A76)*(1-(1-$A76)^MIN(B$6,$B$11))/($A76*MIN(B$6,$B$11)))^2)+IF(OR(C$7="",C$8=0),0,C$8*(C$7-S$16*(1-$A76)*(1-(1-$A76)^MIN(C$6,$B$11))/($A76*MIN(C$6,$B$11)))^2)+IF(OR(D$7="",D$8=0),0,D$8*(D$7-S$16*(1-$A76)*(1-(1-$A76)^MIN(D$6,$B$11))/($A76*MIN(D$6,$B$11)))^2)+IF(OR(E$7="",E$8=0),0,E$8*(E$7-S$16*(1-$A76)*(1-(1-$A76)^MIN(E$6,$B$11))/($A76*MIN(E$6,$B$11)))^2)</f>
        <v/>
      </c>
      <c r="U76" s="27">
        <f>MIN(B76:S76)</f>
        <v/>
      </c>
      <c r="V76" s="17">
        <f>MATCH(U76,B76:S76,0)</f>
        <v/>
      </c>
    </row>
    <row r="77">
      <c r="A77" s="26" t="n">
        <v>0.035</v>
      </c>
      <c r="B77" s="27">
        <f>IF(OR(B$7="",B$8=0),0,B$8*(B$7-B$16*(1-$A77)*(1-(1-$A77)^MIN(B$6,$B$11))/($A77*MIN(B$6,$B$11)))^2)+IF(OR(C$7="",C$8=0),0,C$8*(C$7-B$16*(1-$A77)*(1-(1-$A77)^MIN(C$6,$B$11))/($A77*MIN(C$6,$B$11)))^2)+IF(OR(D$7="",D$8=0),0,D$8*(D$7-B$16*(1-$A77)*(1-(1-$A77)^MIN(D$6,$B$11))/($A77*MIN(D$6,$B$11)))^2)+IF(OR(E$7="",E$8=0),0,E$8*(E$7-B$16*(1-$A77)*(1-(1-$A77)^MIN(E$6,$B$11))/($A77*MIN(E$6,$B$11)))^2)</f>
        <v/>
      </c>
      <c r="C77" s="27">
        <f>IF(OR(B$7="",B$8=0),0,B$8*(B$7-C$16*(1-$A77)*(1-(1-$A77)^MIN(B$6,$B$11))/($A77*MIN(B$6,$B$11)))^2)+IF(OR(C$7="",C$8=0),0,C$8*(C$7-C$16*(1-$A77)*(1-(1-$A77)^MIN(C$6,$B$11))/($A77*MIN(C$6,$B$11)))^2)+IF(OR(D$7="",D$8=0),0,D$8*(D$7-C$16*(1-$A77)*(1-(1-$A77)^MIN(D$6,$B$11))/($A77*MIN(D$6,$B$11)))^2)+IF(OR(E$7="",E$8=0),0,E$8*(E$7-C$16*(1-$A77)*(1-(1-$A77)^MIN(E$6,$B$11))/($A77*MIN(E$6,$B$11)))^2)</f>
        <v/>
      </c>
      <c r="D77" s="27">
        <f>IF(OR(B$7="",B$8=0),0,B$8*(B$7-D$16*(1-$A77)*(1-(1-$A77)^MIN(B$6,$B$11))/($A77*MIN(B$6,$B$11)))^2)+IF(OR(C$7="",C$8=0),0,C$8*(C$7-D$16*(1-$A77)*(1-(1-$A77)^MIN(C$6,$B$11))/($A77*MIN(C$6,$B$11)))^2)+IF(OR(D$7="",D$8=0),0,D$8*(D$7-D$16*(1-$A77)*(1-(1-$A77)^MIN(D$6,$B$11))/($A77*MIN(D$6,$B$11)))^2)+IF(OR(E$7="",E$8=0),0,E$8*(E$7-D$16*(1-$A77)*(1-(1-$A77)^MIN(E$6,$B$11))/($A77*MIN(E$6,$B$11)))^2)</f>
        <v/>
      </c>
      <c r="E77" s="27">
        <f>IF(OR(B$7="",B$8=0),0,B$8*(B$7-E$16*(1-$A77)*(1-(1-$A77)^MIN(B$6,$B$11))/($A77*MIN(B$6,$B$11)))^2)+IF(OR(C$7="",C$8=0),0,C$8*(C$7-E$16*(1-$A77)*(1-(1-$A77)^MIN(C$6,$B$11))/($A77*MIN(C$6,$B$11)))^2)+IF(OR(D$7="",D$8=0),0,D$8*(D$7-E$16*(1-$A77)*(1-(1-$A77)^MIN(D$6,$B$11))/($A77*MIN(D$6,$B$11)))^2)+IF(OR(E$7="",E$8=0),0,E$8*(E$7-E$16*(1-$A77)*(1-(1-$A77)^MIN(E$6,$B$11))/($A77*MIN(E$6,$B$11)))^2)</f>
        <v/>
      </c>
      <c r="F77" s="27">
        <f>IF(OR(B$7="",B$8=0),0,B$8*(B$7-F$16*(1-$A77)*(1-(1-$A77)^MIN(B$6,$B$11))/($A77*MIN(B$6,$B$11)))^2)+IF(OR(C$7="",C$8=0),0,C$8*(C$7-F$16*(1-$A77)*(1-(1-$A77)^MIN(C$6,$B$11))/($A77*MIN(C$6,$B$11)))^2)+IF(OR(D$7="",D$8=0),0,D$8*(D$7-F$16*(1-$A77)*(1-(1-$A77)^MIN(D$6,$B$11))/($A77*MIN(D$6,$B$11)))^2)+IF(OR(E$7="",E$8=0),0,E$8*(E$7-F$16*(1-$A77)*(1-(1-$A77)^MIN(E$6,$B$11))/($A77*MIN(E$6,$B$11)))^2)</f>
        <v/>
      </c>
      <c r="G77" s="27">
        <f>IF(OR(B$7="",B$8=0),0,B$8*(B$7-G$16*(1-$A77)*(1-(1-$A77)^MIN(B$6,$B$11))/($A77*MIN(B$6,$B$11)))^2)+IF(OR(C$7="",C$8=0),0,C$8*(C$7-G$16*(1-$A77)*(1-(1-$A77)^MIN(C$6,$B$11))/($A77*MIN(C$6,$B$11)))^2)+IF(OR(D$7="",D$8=0),0,D$8*(D$7-G$16*(1-$A77)*(1-(1-$A77)^MIN(D$6,$B$11))/($A77*MIN(D$6,$B$11)))^2)+IF(OR(E$7="",E$8=0),0,E$8*(E$7-G$16*(1-$A77)*(1-(1-$A77)^MIN(E$6,$B$11))/($A77*MIN(E$6,$B$11)))^2)</f>
        <v/>
      </c>
      <c r="H77" s="27">
        <f>IF(OR(B$7="",B$8=0),0,B$8*(B$7-H$16*(1-$A77)*(1-(1-$A77)^MIN(B$6,$B$11))/($A77*MIN(B$6,$B$11)))^2)+IF(OR(C$7="",C$8=0),0,C$8*(C$7-H$16*(1-$A77)*(1-(1-$A77)^MIN(C$6,$B$11))/($A77*MIN(C$6,$B$11)))^2)+IF(OR(D$7="",D$8=0),0,D$8*(D$7-H$16*(1-$A77)*(1-(1-$A77)^MIN(D$6,$B$11))/($A77*MIN(D$6,$B$11)))^2)+IF(OR(E$7="",E$8=0),0,E$8*(E$7-H$16*(1-$A77)*(1-(1-$A77)^MIN(E$6,$B$11))/($A77*MIN(E$6,$B$11)))^2)</f>
        <v/>
      </c>
      <c r="I77" s="27">
        <f>IF(OR(B$7="",B$8=0),0,B$8*(B$7-I$16*(1-$A77)*(1-(1-$A77)^MIN(B$6,$B$11))/($A77*MIN(B$6,$B$11)))^2)+IF(OR(C$7="",C$8=0),0,C$8*(C$7-I$16*(1-$A77)*(1-(1-$A77)^MIN(C$6,$B$11))/($A77*MIN(C$6,$B$11)))^2)+IF(OR(D$7="",D$8=0),0,D$8*(D$7-I$16*(1-$A77)*(1-(1-$A77)^MIN(D$6,$B$11))/($A77*MIN(D$6,$B$11)))^2)+IF(OR(E$7="",E$8=0),0,E$8*(E$7-I$16*(1-$A77)*(1-(1-$A77)^MIN(E$6,$B$11))/($A77*MIN(E$6,$B$11)))^2)</f>
        <v/>
      </c>
      <c r="J77" s="27">
        <f>IF(OR(B$7="",B$8=0),0,B$8*(B$7-J$16*(1-$A77)*(1-(1-$A77)^MIN(B$6,$B$11))/($A77*MIN(B$6,$B$11)))^2)+IF(OR(C$7="",C$8=0),0,C$8*(C$7-J$16*(1-$A77)*(1-(1-$A77)^MIN(C$6,$B$11))/($A77*MIN(C$6,$B$11)))^2)+IF(OR(D$7="",D$8=0),0,D$8*(D$7-J$16*(1-$A77)*(1-(1-$A77)^MIN(D$6,$B$11))/($A77*MIN(D$6,$B$11)))^2)+IF(OR(E$7="",E$8=0),0,E$8*(E$7-J$16*(1-$A77)*(1-(1-$A77)^MIN(E$6,$B$11))/($A77*MIN(E$6,$B$11)))^2)</f>
        <v/>
      </c>
      <c r="K77" s="27">
        <f>IF(OR(B$7="",B$8=0),0,B$8*(B$7-K$16*(1-$A77)*(1-(1-$A77)^MIN(B$6,$B$11))/($A77*MIN(B$6,$B$11)))^2)+IF(OR(C$7="",C$8=0),0,C$8*(C$7-K$16*(1-$A77)*(1-(1-$A77)^MIN(C$6,$B$11))/($A77*MIN(C$6,$B$11)))^2)+IF(OR(D$7="",D$8=0),0,D$8*(D$7-K$16*(1-$A77)*(1-(1-$A77)^MIN(D$6,$B$11))/($A77*MIN(D$6,$B$11)))^2)+IF(OR(E$7="",E$8=0),0,E$8*(E$7-K$16*(1-$A77)*(1-(1-$A77)^MIN(E$6,$B$11))/($A77*MIN(E$6,$B$11)))^2)</f>
        <v/>
      </c>
      <c r="L77" s="27">
        <f>IF(OR(B$7="",B$8=0),0,B$8*(B$7-L$16*(1-$A77)*(1-(1-$A77)^MIN(B$6,$B$11))/($A77*MIN(B$6,$B$11)))^2)+IF(OR(C$7="",C$8=0),0,C$8*(C$7-L$16*(1-$A77)*(1-(1-$A77)^MIN(C$6,$B$11))/($A77*MIN(C$6,$B$11)))^2)+IF(OR(D$7="",D$8=0),0,D$8*(D$7-L$16*(1-$A77)*(1-(1-$A77)^MIN(D$6,$B$11))/($A77*MIN(D$6,$B$11)))^2)+IF(OR(E$7="",E$8=0),0,E$8*(E$7-L$16*(1-$A77)*(1-(1-$A77)^MIN(E$6,$B$11))/($A77*MIN(E$6,$B$11)))^2)</f>
        <v/>
      </c>
      <c r="M77" s="27">
        <f>IF(OR(B$7="",B$8=0),0,B$8*(B$7-M$16*(1-$A77)*(1-(1-$A77)^MIN(B$6,$B$11))/($A77*MIN(B$6,$B$11)))^2)+IF(OR(C$7="",C$8=0),0,C$8*(C$7-M$16*(1-$A77)*(1-(1-$A77)^MIN(C$6,$B$11))/($A77*MIN(C$6,$B$11)))^2)+IF(OR(D$7="",D$8=0),0,D$8*(D$7-M$16*(1-$A77)*(1-(1-$A77)^MIN(D$6,$B$11))/($A77*MIN(D$6,$B$11)))^2)+IF(OR(E$7="",E$8=0),0,E$8*(E$7-M$16*(1-$A77)*(1-(1-$A77)^MIN(E$6,$B$11))/($A77*MIN(E$6,$B$11)))^2)</f>
        <v/>
      </c>
      <c r="N77" s="27">
        <f>IF(OR(B$7="",B$8=0),0,B$8*(B$7-N$16*(1-$A77)*(1-(1-$A77)^MIN(B$6,$B$11))/($A77*MIN(B$6,$B$11)))^2)+IF(OR(C$7="",C$8=0),0,C$8*(C$7-N$16*(1-$A77)*(1-(1-$A77)^MIN(C$6,$B$11))/($A77*MIN(C$6,$B$11)))^2)+IF(OR(D$7="",D$8=0),0,D$8*(D$7-N$16*(1-$A77)*(1-(1-$A77)^MIN(D$6,$B$11))/($A77*MIN(D$6,$B$11)))^2)+IF(OR(E$7="",E$8=0),0,E$8*(E$7-N$16*(1-$A77)*(1-(1-$A77)^MIN(E$6,$B$11))/($A77*MIN(E$6,$B$11)))^2)</f>
        <v/>
      </c>
      <c r="O77" s="27">
        <f>IF(OR(B$7="",B$8=0),0,B$8*(B$7-O$16*(1-$A77)*(1-(1-$A77)^MIN(B$6,$B$11))/($A77*MIN(B$6,$B$11)))^2)+IF(OR(C$7="",C$8=0),0,C$8*(C$7-O$16*(1-$A77)*(1-(1-$A77)^MIN(C$6,$B$11))/($A77*MIN(C$6,$B$11)))^2)+IF(OR(D$7="",D$8=0),0,D$8*(D$7-O$16*(1-$A77)*(1-(1-$A77)^MIN(D$6,$B$11))/($A77*MIN(D$6,$B$11)))^2)+IF(OR(E$7="",E$8=0),0,E$8*(E$7-O$16*(1-$A77)*(1-(1-$A77)^MIN(E$6,$B$11))/($A77*MIN(E$6,$B$11)))^2)</f>
        <v/>
      </c>
      <c r="P77" s="27">
        <f>IF(OR(B$7="",B$8=0),0,B$8*(B$7-P$16*(1-$A77)*(1-(1-$A77)^MIN(B$6,$B$11))/($A77*MIN(B$6,$B$11)))^2)+IF(OR(C$7="",C$8=0),0,C$8*(C$7-P$16*(1-$A77)*(1-(1-$A77)^MIN(C$6,$B$11))/($A77*MIN(C$6,$B$11)))^2)+IF(OR(D$7="",D$8=0),0,D$8*(D$7-P$16*(1-$A77)*(1-(1-$A77)^MIN(D$6,$B$11))/($A77*MIN(D$6,$B$11)))^2)+IF(OR(E$7="",E$8=0),0,E$8*(E$7-P$16*(1-$A77)*(1-(1-$A77)^MIN(E$6,$B$11))/($A77*MIN(E$6,$B$11)))^2)</f>
        <v/>
      </c>
      <c r="Q77" s="27">
        <f>IF(OR(B$7="",B$8=0),0,B$8*(B$7-Q$16*(1-$A77)*(1-(1-$A77)^MIN(B$6,$B$11))/($A77*MIN(B$6,$B$11)))^2)+IF(OR(C$7="",C$8=0),0,C$8*(C$7-Q$16*(1-$A77)*(1-(1-$A77)^MIN(C$6,$B$11))/($A77*MIN(C$6,$B$11)))^2)+IF(OR(D$7="",D$8=0),0,D$8*(D$7-Q$16*(1-$A77)*(1-(1-$A77)^MIN(D$6,$B$11))/($A77*MIN(D$6,$B$11)))^2)+IF(OR(E$7="",E$8=0),0,E$8*(E$7-Q$16*(1-$A77)*(1-(1-$A77)^MIN(E$6,$B$11))/($A77*MIN(E$6,$B$11)))^2)</f>
        <v/>
      </c>
      <c r="R77" s="27">
        <f>IF(OR(B$7="",B$8=0),0,B$8*(B$7-R$16*(1-$A77)*(1-(1-$A77)^MIN(B$6,$B$11))/($A77*MIN(B$6,$B$11)))^2)+IF(OR(C$7="",C$8=0),0,C$8*(C$7-R$16*(1-$A77)*(1-(1-$A77)^MIN(C$6,$B$11))/($A77*MIN(C$6,$B$11)))^2)+IF(OR(D$7="",D$8=0),0,D$8*(D$7-R$16*(1-$A77)*(1-(1-$A77)^MIN(D$6,$B$11))/($A77*MIN(D$6,$B$11)))^2)+IF(OR(E$7="",E$8=0),0,E$8*(E$7-R$16*(1-$A77)*(1-(1-$A77)^MIN(E$6,$B$11))/($A77*MIN(E$6,$B$11)))^2)</f>
        <v/>
      </c>
      <c r="S77" s="27">
        <f>IF(OR(B$7="",B$8=0),0,B$8*(B$7-S$16*(1-$A77)*(1-(1-$A77)^MIN(B$6,$B$11))/($A77*MIN(B$6,$B$11)))^2)+IF(OR(C$7="",C$8=0),0,C$8*(C$7-S$16*(1-$A77)*(1-(1-$A77)^MIN(C$6,$B$11))/($A77*MIN(C$6,$B$11)))^2)+IF(OR(D$7="",D$8=0),0,D$8*(D$7-S$16*(1-$A77)*(1-(1-$A77)^MIN(D$6,$B$11))/($A77*MIN(D$6,$B$11)))^2)+IF(OR(E$7="",E$8=0),0,E$8*(E$7-S$16*(1-$A77)*(1-(1-$A77)^MIN(E$6,$B$11))/($A77*MIN(E$6,$B$11)))^2)</f>
        <v/>
      </c>
      <c r="U77" s="27">
        <f>MIN(B77:S77)</f>
        <v/>
      </c>
      <c r="V77" s="17">
        <f>MATCH(U77,B77:S77,0)</f>
        <v/>
      </c>
    </row>
    <row r="78">
      <c r="A78" s="26" t="n">
        <v>0.0355</v>
      </c>
      <c r="B78" s="27">
        <f>IF(OR(B$7="",B$8=0),0,B$8*(B$7-B$16*(1-$A78)*(1-(1-$A78)^MIN(B$6,$B$11))/($A78*MIN(B$6,$B$11)))^2)+IF(OR(C$7="",C$8=0),0,C$8*(C$7-B$16*(1-$A78)*(1-(1-$A78)^MIN(C$6,$B$11))/($A78*MIN(C$6,$B$11)))^2)+IF(OR(D$7="",D$8=0),0,D$8*(D$7-B$16*(1-$A78)*(1-(1-$A78)^MIN(D$6,$B$11))/($A78*MIN(D$6,$B$11)))^2)+IF(OR(E$7="",E$8=0),0,E$8*(E$7-B$16*(1-$A78)*(1-(1-$A78)^MIN(E$6,$B$11))/($A78*MIN(E$6,$B$11)))^2)</f>
        <v/>
      </c>
      <c r="C78" s="27">
        <f>IF(OR(B$7="",B$8=0),0,B$8*(B$7-C$16*(1-$A78)*(1-(1-$A78)^MIN(B$6,$B$11))/($A78*MIN(B$6,$B$11)))^2)+IF(OR(C$7="",C$8=0),0,C$8*(C$7-C$16*(1-$A78)*(1-(1-$A78)^MIN(C$6,$B$11))/($A78*MIN(C$6,$B$11)))^2)+IF(OR(D$7="",D$8=0),0,D$8*(D$7-C$16*(1-$A78)*(1-(1-$A78)^MIN(D$6,$B$11))/($A78*MIN(D$6,$B$11)))^2)+IF(OR(E$7="",E$8=0),0,E$8*(E$7-C$16*(1-$A78)*(1-(1-$A78)^MIN(E$6,$B$11))/($A78*MIN(E$6,$B$11)))^2)</f>
        <v/>
      </c>
      <c r="D78" s="27">
        <f>IF(OR(B$7="",B$8=0),0,B$8*(B$7-D$16*(1-$A78)*(1-(1-$A78)^MIN(B$6,$B$11))/($A78*MIN(B$6,$B$11)))^2)+IF(OR(C$7="",C$8=0),0,C$8*(C$7-D$16*(1-$A78)*(1-(1-$A78)^MIN(C$6,$B$11))/($A78*MIN(C$6,$B$11)))^2)+IF(OR(D$7="",D$8=0),0,D$8*(D$7-D$16*(1-$A78)*(1-(1-$A78)^MIN(D$6,$B$11))/($A78*MIN(D$6,$B$11)))^2)+IF(OR(E$7="",E$8=0),0,E$8*(E$7-D$16*(1-$A78)*(1-(1-$A78)^MIN(E$6,$B$11))/($A78*MIN(E$6,$B$11)))^2)</f>
        <v/>
      </c>
      <c r="E78" s="27">
        <f>IF(OR(B$7="",B$8=0),0,B$8*(B$7-E$16*(1-$A78)*(1-(1-$A78)^MIN(B$6,$B$11))/($A78*MIN(B$6,$B$11)))^2)+IF(OR(C$7="",C$8=0),0,C$8*(C$7-E$16*(1-$A78)*(1-(1-$A78)^MIN(C$6,$B$11))/($A78*MIN(C$6,$B$11)))^2)+IF(OR(D$7="",D$8=0),0,D$8*(D$7-E$16*(1-$A78)*(1-(1-$A78)^MIN(D$6,$B$11))/($A78*MIN(D$6,$B$11)))^2)+IF(OR(E$7="",E$8=0),0,E$8*(E$7-E$16*(1-$A78)*(1-(1-$A78)^MIN(E$6,$B$11))/($A78*MIN(E$6,$B$11)))^2)</f>
        <v/>
      </c>
      <c r="F78" s="27">
        <f>IF(OR(B$7="",B$8=0),0,B$8*(B$7-F$16*(1-$A78)*(1-(1-$A78)^MIN(B$6,$B$11))/($A78*MIN(B$6,$B$11)))^2)+IF(OR(C$7="",C$8=0),0,C$8*(C$7-F$16*(1-$A78)*(1-(1-$A78)^MIN(C$6,$B$11))/($A78*MIN(C$6,$B$11)))^2)+IF(OR(D$7="",D$8=0),0,D$8*(D$7-F$16*(1-$A78)*(1-(1-$A78)^MIN(D$6,$B$11))/($A78*MIN(D$6,$B$11)))^2)+IF(OR(E$7="",E$8=0),0,E$8*(E$7-F$16*(1-$A78)*(1-(1-$A78)^MIN(E$6,$B$11))/($A78*MIN(E$6,$B$11)))^2)</f>
        <v/>
      </c>
      <c r="G78" s="27">
        <f>IF(OR(B$7="",B$8=0),0,B$8*(B$7-G$16*(1-$A78)*(1-(1-$A78)^MIN(B$6,$B$11))/($A78*MIN(B$6,$B$11)))^2)+IF(OR(C$7="",C$8=0),0,C$8*(C$7-G$16*(1-$A78)*(1-(1-$A78)^MIN(C$6,$B$11))/($A78*MIN(C$6,$B$11)))^2)+IF(OR(D$7="",D$8=0),0,D$8*(D$7-G$16*(1-$A78)*(1-(1-$A78)^MIN(D$6,$B$11))/($A78*MIN(D$6,$B$11)))^2)+IF(OR(E$7="",E$8=0),0,E$8*(E$7-G$16*(1-$A78)*(1-(1-$A78)^MIN(E$6,$B$11))/($A78*MIN(E$6,$B$11)))^2)</f>
        <v/>
      </c>
      <c r="H78" s="27">
        <f>IF(OR(B$7="",B$8=0),0,B$8*(B$7-H$16*(1-$A78)*(1-(1-$A78)^MIN(B$6,$B$11))/($A78*MIN(B$6,$B$11)))^2)+IF(OR(C$7="",C$8=0),0,C$8*(C$7-H$16*(1-$A78)*(1-(1-$A78)^MIN(C$6,$B$11))/($A78*MIN(C$6,$B$11)))^2)+IF(OR(D$7="",D$8=0),0,D$8*(D$7-H$16*(1-$A78)*(1-(1-$A78)^MIN(D$6,$B$11))/($A78*MIN(D$6,$B$11)))^2)+IF(OR(E$7="",E$8=0),0,E$8*(E$7-H$16*(1-$A78)*(1-(1-$A78)^MIN(E$6,$B$11))/($A78*MIN(E$6,$B$11)))^2)</f>
        <v/>
      </c>
      <c r="I78" s="27">
        <f>IF(OR(B$7="",B$8=0),0,B$8*(B$7-I$16*(1-$A78)*(1-(1-$A78)^MIN(B$6,$B$11))/($A78*MIN(B$6,$B$11)))^2)+IF(OR(C$7="",C$8=0),0,C$8*(C$7-I$16*(1-$A78)*(1-(1-$A78)^MIN(C$6,$B$11))/($A78*MIN(C$6,$B$11)))^2)+IF(OR(D$7="",D$8=0),0,D$8*(D$7-I$16*(1-$A78)*(1-(1-$A78)^MIN(D$6,$B$11))/($A78*MIN(D$6,$B$11)))^2)+IF(OR(E$7="",E$8=0),0,E$8*(E$7-I$16*(1-$A78)*(1-(1-$A78)^MIN(E$6,$B$11))/($A78*MIN(E$6,$B$11)))^2)</f>
        <v/>
      </c>
      <c r="J78" s="27">
        <f>IF(OR(B$7="",B$8=0),0,B$8*(B$7-J$16*(1-$A78)*(1-(1-$A78)^MIN(B$6,$B$11))/($A78*MIN(B$6,$B$11)))^2)+IF(OR(C$7="",C$8=0),0,C$8*(C$7-J$16*(1-$A78)*(1-(1-$A78)^MIN(C$6,$B$11))/($A78*MIN(C$6,$B$11)))^2)+IF(OR(D$7="",D$8=0),0,D$8*(D$7-J$16*(1-$A78)*(1-(1-$A78)^MIN(D$6,$B$11))/($A78*MIN(D$6,$B$11)))^2)+IF(OR(E$7="",E$8=0),0,E$8*(E$7-J$16*(1-$A78)*(1-(1-$A78)^MIN(E$6,$B$11))/($A78*MIN(E$6,$B$11)))^2)</f>
        <v/>
      </c>
      <c r="K78" s="27">
        <f>IF(OR(B$7="",B$8=0),0,B$8*(B$7-K$16*(1-$A78)*(1-(1-$A78)^MIN(B$6,$B$11))/($A78*MIN(B$6,$B$11)))^2)+IF(OR(C$7="",C$8=0),0,C$8*(C$7-K$16*(1-$A78)*(1-(1-$A78)^MIN(C$6,$B$11))/($A78*MIN(C$6,$B$11)))^2)+IF(OR(D$7="",D$8=0),0,D$8*(D$7-K$16*(1-$A78)*(1-(1-$A78)^MIN(D$6,$B$11))/($A78*MIN(D$6,$B$11)))^2)+IF(OR(E$7="",E$8=0),0,E$8*(E$7-K$16*(1-$A78)*(1-(1-$A78)^MIN(E$6,$B$11))/($A78*MIN(E$6,$B$11)))^2)</f>
        <v/>
      </c>
      <c r="L78" s="27">
        <f>IF(OR(B$7="",B$8=0),0,B$8*(B$7-L$16*(1-$A78)*(1-(1-$A78)^MIN(B$6,$B$11))/($A78*MIN(B$6,$B$11)))^2)+IF(OR(C$7="",C$8=0),0,C$8*(C$7-L$16*(1-$A78)*(1-(1-$A78)^MIN(C$6,$B$11))/($A78*MIN(C$6,$B$11)))^2)+IF(OR(D$7="",D$8=0),0,D$8*(D$7-L$16*(1-$A78)*(1-(1-$A78)^MIN(D$6,$B$11))/($A78*MIN(D$6,$B$11)))^2)+IF(OR(E$7="",E$8=0),0,E$8*(E$7-L$16*(1-$A78)*(1-(1-$A78)^MIN(E$6,$B$11))/($A78*MIN(E$6,$B$11)))^2)</f>
        <v/>
      </c>
      <c r="M78" s="27">
        <f>IF(OR(B$7="",B$8=0),0,B$8*(B$7-M$16*(1-$A78)*(1-(1-$A78)^MIN(B$6,$B$11))/($A78*MIN(B$6,$B$11)))^2)+IF(OR(C$7="",C$8=0),0,C$8*(C$7-M$16*(1-$A78)*(1-(1-$A78)^MIN(C$6,$B$11))/($A78*MIN(C$6,$B$11)))^2)+IF(OR(D$7="",D$8=0),0,D$8*(D$7-M$16*(1-$A78)*(1-(1-$A78)^MIN(D$6,$B$11))/($A78*MIN(D$6,$B$11)))^2)+IF(OR(E$7="",E$8=0),0,E$8*(E$7-M$16*(1-$A78)*(1-(1-$A78)^MIN(E$6,$B$11))/($A78*MIN(E$6,$B$11)))^2)</f>
        <v/>
      </c>
      <c r="N78" s="27">
        <f>IF(OR(B$7="",B$8=0),0,B$8*(B$7-N$16*(1-$A78)*(1-(1-$A78)^MIN(B$6,$B$11))/($A78*MIN(B$6,$B$11)))^2)+IF(OR(C$7="",C$8=0),0,C$8*(C$7-N$16*(1-$A78)*(1-(1-$A78)^MIN(C$6,$B$11))/($A78*MIN(C$6,$B$11)))^2)+IF(OR(D$7="",D$8=0),0,D$8*(D$7-N$16*(1-$A78)*(1-(1-$A78)^MIN(D$6,$B$11))/($A78*MIN(D$6,$B$11)))^2)+IF(OR(E$7="",E$8=0),0,E$8*(E$7-N$16*(1-$A78)*(1-(1-$A78)^MIN(E$6,$B$11))/($A78*MIN(E$6,$B$11)))^2)</f>
        <v/>
      </c>
      <c r="O78" s="27">
        <f>IF(OR(B$7="",B$8=0),0,B$8*(B$7-O$16*(1-$A78)*(1-(1-$A78)^MIN(B$6,$B$11))/($A78*MIN(B$6,$B$11)))^2)+IF(OR(C$7="",C$8=0),0,C$8*(C$7-O$16*(1-$A78)*(1-(1-$A78)^MIN(C$6,$B$11))/($A78*MIN(C$6,$B$11)))^2)+IF(OR(D$7="",D$8=0),0,D$8*(D$7-O$16*(1-$A78)*(1-(1-$A78)^MIN(D$6,$B$11))/($A78*MIN(D$6,$B$11)))^2)+IF(OR(E$7="",E$8=0),0,E$8*(E$7-O$16*(1-$A78)*(1-(1-$A78)^MIN(E$6,$B$11))/($A78*MIN(E$6,$B$11)))^2)</f>
        <v/>
      </c>
      <c r="P78" s="27">
        <f>IF(OR(B$7="",B$8=0),0,B$8*(B$7-P$16*(1-$A78)*(1-(1-$A78)^MIN(B$6,$B$11))/($A78*MIN(B$6,$B$11)))^2)+IF(OR(C$7="",C$8=0),0,C$8*(C$7-P$16*(1-$A78)*(1-(1-$A78)^MIN(C$6,$B$11))/($A78*MIN(C$6,$B$11)))^2)+IF(OR(D$7="",D$8=0),0,D$8*(D$7-P$16*(1-$A78)*(1-(1-$A78)^MIN(D$6,$B$11))/($A78*MIN(D$6,$B$11)))^2)+IF(OR(E$7="",E$8=0),0,E$8*(E$7-P$16*(1-$A78)*(1-(1-$A78)^MIN(E$6,$B$11))/($A78*MIN(E$6,$B$11)))^2)</f>
        <v/>
      </c>
      <c r="Q78" s="27">
        <f>IF(OR(B$7="",B$8=0),0,B$8*(B$7-Q$16*(1-$A78)*(1-(1-$A78)^MIN(B$6,$B$11))/($A78*MIN(B$6,$B$11)))^2)+IF(OR(C$7="",C$8=0),0,C$8*(C$7-Q$16*(1-$A78)*(1-(1-$A78)^MIN(C$6,$B$11))/($A78*MIN(C$6,$B$11)))^2)+IF(OR(D$7="",D$8=0),0,D$8*(D$7-Q$16*(1-$A78)*(1-(1-$A78)^MIN(D$6,$B$11))/($A78*MIN(D$6,$B$11)))^2)+IF(OR(E$7="",E$8=0),0,E$8*(E$7-Q$16*(1-$A78)*(1-(1-$A78)^MIN(E$6,$B$11))/($A78*MIN(E$6,$B$11)))^2)</f>
        <v/>
      </c>
      <c r="R78" s="27">
        <f>IF(OR(B$7="",B$8=0),0,B$8*(B$7-R$16*(1-$A78)*(1-(1-$A78)^MIN(B$6,$B$11))/($A78*MIN(B$6,$B$11)))^2)+IF(OR(C$7="",C$8=0),0,C$8*(C$7-R$16*(1-$A78)*(1-(1-$A78)^MIN(C$6,$B$11))/($A78*MIN(C$6,$B$11)))^2)+IF(OR(D$7="",D$8=0),0,D$8*(D$7-R$16*(1-$A78)*(1-(1-$A78)^MIN(D$6,$B$11))/($A78*MIN(D$6,$B$11)))^2)+IF(OR(E$7="",E$8=0),0,E$8*(E$7-R$16*(1-$A78)*(1-(1-$A78)^MIN(E$6,$B$11))/($A78*MIN(E$6,$B$11)))^2)</f>
        <v/>
      </c>
      <c r="S78" s="27">
        <f>IF(OR(B$7="",B$8=0),0,B$8*(B$7-S$16*(1-$A78)*(1-(1-$A78)^MIN(B$6,$B$11))/($A78*MIN(B$6,$B$11)))^2)+IF(OR(C$7="",C$8=0),0,C$8*(C$7-S$16*(1-$A78)*(1-(1-$A78)^MIN(C$6,$B$11))/($A78*MIN(C$6,$B$11)))^2)+IF(OR(D$7="",D$8=0),0,D$8*(D$7-S$16*(1-$A78)*(1-(1-$A78)^MIN(D$6,$B$11))/($A78*MIN(D$6,$B$11)))^2)+IF(OR(E$7="",E$8=0),0,E$8*(E$7-S$16*(1-$A78)*(1-(1-$A78)^MIN(E$6,$B$11))/($A78*MIN(E$6,$B$11)))^2)</f>
        <v/>
      </c>
      <c r="U78" s="27">
        <f>MIN(B78:S78)</f>
        <v/>
      </c>
      <c r="V78" s="17">
        <f>MATCH(U78,B78:S78,0)</f>
        <v/>
      </c>
    </row>
    <row r="79">
      <c r="A79" s="26" t="n">
        <v>0.036</v>
      </c>
      <c r="B79" s="27">
        <f>IF(OR(B$7="",B$8=0),0,B$8*(B$7-B$16*(1-$A79)*(1-(1-$A79)^MIN(B$6,$B$11))/($A79*MIN(B$6,$B$11)))^2)+IF(OR(C$7="",C$8=0),0,C$8*(C$7-B$16*(1-$A79)*(1-(1-$A79)^MIN(C$6,$B$11))/($A79*MIN(C$6,$B$11)))^2)+IF(OR(D$7="",D$8=0),0,D$8*(D$7-B$16*(1-$A79)*(1-(1-$A79)^MIN(D$6,$B$11))/($A79*MIN(D$6,$B$11)))^2)+IF(OR(E$7="",E$8=0),0,E$8*(E$7-B$16*(1-$A79)*(1-(1-$A79)^MIN(E$6,$B$11))/($A79*MIN(E$6,$B$11)))^2)</f>
        <v/>
      </c>
      <c r="C79" s="27">
        <f>IF(OR(B$7="",B$8=0),0,B$8*(B$7-C$16*(1-$A79)*(1-(1-$A79)^MIN(B$6,$B$11))/($A79*MIN(B$6,$B$11)))^2)+IF(OR(C$7="",C$8=0),0,C$8*(C$7-C$16*(1-$A79)*(1-(1-$A79)^MIN(C$6,$B$11))/($A79*MIN(C$6,$B$11)))^2)+IF(OR(D$7="",D$8=0),0,D$8*(D$7-C$16*(1-$A79)*(1-(1-$A79)^MIN(D$6,$B$11))/($A79*MIN(D$6,$B$11)))^2)+IF(OR(E$7="",E$8=0),0,E$8*(E$7-C$16*(1-$A79)*(1-(1-$A79)^MIN(E$6,$B$11))/($A79*MIN(E$6,$B$11)))^2)</f>
        <v/>
      </c>
      <c r="D79" s="27">
        <f>IF(OR(B$7="",B$8=0),0,B$8*(B$7-D$16*(1-$A79)*(1-(1-$A79)^MIN(B$6,$B$11))/($A79*MIN(B$6,$B$11)))^2)+IF(OR(C$7="",C$8=0),0,C$8*(C$7-D$16*(1-$A79)*(1-(1-$A79)^MIN(C$6,$B$11))/($A79*MIN(C$6,$B$11)))^2)+IF(OR(D$7="",D$8=0),0,D$8*(D$7-D$16*(1-$A79)*(1-(1-$A79)^MIN(D$6,$B$11))/($A79*MIN(D$6,$B$11)))^2)+IF(OR(E$7="",E$8=0),0,E$8*(E$7-D$16*(1-$A79)*(1-(1-$A79)^MIN(E$6,$B$11))/($A79*MIN(E$6,$B$11)))^2)</f>
        <v/>
      </c>
      <c r="E79" s="27">
        <f>IF(OR(B$7="",B$8=0),0,B$8*(B$7-E$16*(1-$A79)*(1-(1-$A79)^MIN(B$6,$B$11))/($A79*MIN(B$6,$B$11)))^2)+IF(OR(C$7="",C$8=0),0,C$8*(C$7-E$16*(1-$A79)*(1-(1-$A79)^MIN(C$6,$B$11))/($A79*MIN(C$6,$B$11)))^2)+IF(OR(D$7="",D$8=0),0,D$8*(D$7-E$16*(1-$A79)*(1-(1-$A79)^MIN(D$6,$B$11))/($A79*MIN(D$6,$B$11)))^2)+IF(OR(E$7="",E$8=0),0,E$8*(E$7-E$16*(1-$A79)*(1-(1-$A79)^MIN(E$6,$B$11))/($A79*MIN(E$6,$B$11)))^2)</f>
        <v/>
      </c>
      <c r="F79" s="27">
        <f>IF(OR(B$7="",B$8=0),0,B$8*(B$7-F$16*(1-$A79)*(1-(1-$A79)^MIN(B$6,$B$11))/($A79*MIN(B$6,$B$11)))^2)+IF(OR(C$7="",C$8=0),0,C$8*(C$7-F$16*(1-$A79)*(1-(1-$A79)^MIN(C$6,$B$11))/($A79*MIN(C$6,$B$11)))^2)+IF(OR(D$7="",D$8=0),0,D$8*(D$7-F$16*(1-$A79)*(1-(1-$A79)^MIN(D$6,$B$11))/($A79*MIN(D$6,$B$11)))^2)+IF(OR(E$7="",E$8=0),0,E$8*(E$7-F$16*(1-$A79)*(1-(1-$A79)^MIN(E$6,$B$11))/($A79*MIN(E$6,$B$11)))^2)</f>
        <v/>
      </c>
      <c r="G79" s="27">
        <f>IF(OR(B$7="",B$8=0),0,B$8*(B$7-G$16*(1-$A79)*(1-(1-$A79)^MIN(B$6,$B$11))/($A79*MIN(B$6,$B$11)))^2)+IF(OR(C$7="",C$8=0),0,C$8*(C$7-G$16*(1-$A79)*(1-(1-$A79)^MIN(C$6,$B$11))/($A79*MIN(C$6,$B$11)))^2)+IF(OR(D$7="",D$8=0),0,D$8*(D$7-G$16*(1-$A79)*(1-(1-$A79)^MIN(D$6,$B$11))/($A79*MIN(D$6,$B$11)))^2)+IF(OR(E$7="",E$8=0),0,E$8*(E$7-G$16*(1-$A79)*(1-(1-$A79)^MIN(E$6,$B$11))/($A79*MIN(E$6,$B$11)))^2)</f>
        <v/>
      </c>
      <c r="H79" s="27">
        <f>IF(OR(B$7="",B$8=0),0,B$8*(B$7-H$16*(1-$A79)*(1-(1-$A79)^MIN(B$6,$B$11))/($A79*MIN(B$6,$B$11)))^2)+IF(OR(C$7="",C$8=0),0,C$8*(C$7-H$16*(1-$A79)*(1-(1-$A79)^MIN(C$6,$B$11))/($A79*MIN(C$6,$B$11)))^2)+IF(OR(D$7="",D$8=0),0,D$8*(D$7-H$16*(1-$A79)*(1-(1-$A79)^MIN(D$6,$B$11))/($A79*MIN(D$6,$B$11)))^2)+IF(OR(E$7="",E$8=0),0,E$8*(E$7-H$16*(1-$A79)*(1-(1-$A79)^MIN(E$6,$B$11))/($A79*MIN(E$6,$B$11)))^2)</f>
        <v/>
      </c>
      <c r="I79" s="27">
        <f>IF(OR(B$7="",B$8=0),0,B$8*(B$7-I$16*(1-$A79)*(1-(1-$A79)^MIN(B$6,$B$11))/($A79*MIN(B$6,$B$11)))^2)+IF(OR(C$7="",C$8=0),0,C$8*(C$7-I$16*(1-$A79)*(1-(1-$A79)^MIN(C$6,$B$11))/($A79*MIN(C$6,$B$11)))^2)+IF(OR(D$7="",D$8=0),0,D$8*(D$7-I$16*(1-$A79)*(1-(1-$A79)^MIN(D$6,$B$11))/($A79*MIN(D$6,$B$11)))^2)+IF(OR(E$7="",E$8=0),0,E$8*(E$7-I$16*(1-$A79)*(1-(1-$A79)^MIN(E$6,$B$11))/($A79*MIN(E$6,$B$11)))^2)</f>
        <v/>
      </c>
      <c r="J79" s="27">
        <f>IF(OR(B$7="",B$8=0),0,B$8*(B$7-J$16*(1-$A79)*(1-(1-$A79)^MIN(B$6,$B$11))/($A79*MIN(B$6,$B$11)))^2)+IF(OR(C$7="",C$8=0),0,C$8*(C$7-J$16*(1-$A79)*(1-(1-$A79)^MIN(C$6,$B$11))/($A79*MIN(C$6,$B$11)))^2)+IF(OR(D$7="",D$8=0),0,D$8*(D$7-J$16*(1-$A79)*(1-(1-$A79)^MIN(D$6,$B$11))/($A79*MIN(D$6,$B$11)))^2)+IF(OR(E$7="",E$8=0),0,E$8*(E$7-J$16*(1-$A79)*(1-(1-$A79)^MIN(E$6,$B$11))/($A79*MIN(E$6,$B$11)))^2)</f>
        <v/>
      </c>
      <c r="K79" s="27">
        <f>IF(OR(B$7="",B$8=0),0,B$8*(B$7-K$16*(1-$A79)*(1-(1-$A79)^MIN(B$6,$B$11))/($A79*MIN(B$6,$B$11)))^2)+IF(OR(C$7="",C$8=0),0,C$8*(C$7-K$16*(1-$A79)*(1-(1-$A79)^MIN(C$6,$B$11))/($A79*MIN(C$6,$B$11)))^2)+IF(OR(D$7="",D$8=0),0,D$8*(D$7-K$16*(1-$A79)*(1-(1-$A79)^MIN(D$6,$B$11))/($A79*MIN(D$6,$B$11)))^2)+IF(OR(E$7="",E$8=0),0,E$8*(E$7-K$16*(1-$A79)*(1-(1-$A79)^MIN(E$6,$B$11))/($A79*MIN(E$6,$B$11)))^2)</f>
        <v/>
      </c>
      <c r="L79" s="27">
        <f>IF(OR(B$7="",B$8=0),0,B$8*(B$7-L$16*(1-$A79)*(1-(1-$A79)^MIN(B$6,$B$11))/($A79*MIN(B$6,$B$11)))^2)+IF(OR(C$7="",C$8=0),0,C$8*(C$7-L$16*(1-$A79)*(1-(1-$A79)^MIN(C$6,$B$11))/($A79*MIN(C$6,$B$11)))^2)+IF(OR(D$7="",D$8=0),0,D$8*(D$7-L$16*(1-$A79)*(1-(1-$A79)^MIN(D$6,$B$11))/($A79*MIN(D$6,$B$11)))^2)+IF(OR(E$7="",E$8=0),0,E$8*(E$7-L$16*(1-$A79)*(1-(1-$A79)^MIN(E$6,$B$11))/($A79*MIN(E$6,$B$11)))^2)</f>
        <v/>
      </c>
      <c r="M79" s="27">
        <f>IF(OR(B$7="",B$8=0),0,B$8*(B$7-M$16*(1-$A79)*(1-(1-$A79)^MIN(B$6,$B$11))/($A79*MIN(B$6,$B$11)))^2)+IF(OR(C$7="",C$8=0),0,C$8*(C$7-M$16*(1-$A79)*(1-(1-$A79)^MIN(C$6,$B$11))/($A79*MIN(C$6,$B$11)))^2)+IF(OR(D$7="",D$8=0),0,D$8*(D$7-M$16*(1-$A79)*(1-(1-$A79)^MIN(D$6,$B$11))/($A79*MIN(D$6,$B$11)))^2)+IF(OR(E$7="",E$8=0),0,E$8*(E$7-M$16*(1-$A79)*(1-(1-$A79)^MIN(E$6,$B$11))/($A79*MIN(E$6,$B$11)))^2)</f>
        <v/>
      </c>
      <c r="N79" s="27">
        <f>IF(OR(B$7="",B$8=0),0,B$8*(B$7-N$16*(1-$A79)*(1-(1-$A79)^MIN(B$6,$B$11))/($A79*MIN(B$6,$B$11)))^2)+IF(OR(C$7="",C$8=0),0,C$8*(C$7-N$16*(1-$A79)*(1-(1-$A79)^MIN(C$6,$B$11))/($A79*MIN(C$6,$B$11)))^2)+IF(OR(D$7="",D$8=0),0,D$8*(D$7-N$16*(1-$A79)*(1-(1-$A79)^MIN(D$6,$B$11))/($A79*MIN(D$6,$B$11)))^2)+IF(OR(E$7="",E$8=0),0,E$8*(E$7-N$16*(1-$A79)*(1-(1-$A79)^MIN(E$6,$B$11))/($A79*MIN(E$6,$B$11)))^2)</f>
        <v/>
      </c>
      <c r="O79" s="27">
        <f>IF(OR(B$7="",B$8=0),0,B$8*(B$7-O$16*(1-$A79)*(1-(1-$A79)^MIN(B$6,$B$11))/($A79*MIN(B$6,$B$11)))^2)+IF(OR(C$7="",C$8=0),0,C$8*(C$7-O$16*(1-$A79)*(1-(1-$A79)^MIN(C$6,$B$11))/($A79*MIN(C$6,$B$11)))^2)+IF(OR(D$7="",D$8=0),0,D$8*(D$7-O$16*(1-$A79)*(1-(1-$A79)^MIN(D$6,$B$11))/($A79*MIN(D$6,$B$11)))^2)+IF(OR(E$7="",E$8=0),0,E$8*(E$7-O$16*(1-$A79)*(1-(1-$A79)^MIN(E$6,$B$11))/($A79*MIN(E$6,$B$11)))^2)</f>
        <v/>
      </c>
      <c r="P79" s="27">
        <f>IF(OR(B$7="",B$8=0),0,B$8*(B$7-P$16*(1-$A79)*(1-(1-$A79)^MIN(B$6,$B$11))/($A79*MIN(B$6,$B$11)))^2)+IF(OR(C$7="",C$8=0),0,C$8*(C$7-P$16*(1-$A79)*(1-(1-$A79)^MIN(C$6,$B$11))/($A79*MIN(C$6,$B$11)))^2)+IF(OR(D$7="",D$8=0),0,D$8*(D$7-P$16*(1-$A79)*(1-(1-$A79)^MIN(D$6,$B$11))/($A79*MIN(D$6,$B$11)))^2)+IF(OR(E$7="",E$8=0),0,E$8*(E$7-P$16*(1-$A79)*(1-(1-$A79)^MIN(E$6,$B$11))/($A79*MIN(E$6,$B$11)))^2)</f>
        <v/>
      </c>
      <c r="Q79" s="27">
        <f>IF(OR(B$7="",B$8=0),0,B$8*(B$7-Q$16*(1-$A79)*(1-(1-$A79)^MIN(B$6,$B$11))/($A79*MIN(B$6,$B$11)))^2)+IF(OR(C$7="",C$8=0),0,C$8*(C$7-Q$16*(1-$A79)*(1-(1-$A79)^MIN(C$6,$B$11))/($A79*MIN(C$6,$B$11)))^2)+IF(OR(D$7="",D$8=0),0,D$8*(D$7-Q$16*(1-$A79)*(1-(1-$A79)^MIN(D$6,$B$11))/($A79*MIN(D$6,$B$11)))^2)+IF(OR(E$7="",E$8=0),0,E$8*(E$7-Q$16*(1-$A79)*(1-(1-$A79)^MIN(E$6,$B$11))/($A79*MIN(E$6,$B$11)))^2)</f>
        <v/>
      </c>
      <c r="R79" s="27">
        <f>IF(OR(B$7="",B$8=0),0,B$8*(B$7-R$16*(1-$A79)*(1-(1-$A79)^MIN(B$6,$B$11))/($A79*MIN(B$6,$B$11)))^2)+IF(OR(C$7="",C$8=0),0,C$8*(C$7-R$16*(1-$A79)*(1-(1-$A79)^MIN(C$6,$B$11))/($A79*MIN(C$6,$B$11)))^2)+IF(OR(D$7="",D$8=0),0,D$8*(D$7-R$16*(1-$A79)*(1-(1-$A79)^MIN(D$6,$B$11))/($A79*MIN(D$6,$B$11)))^2)+IF(OR(E$7="",E$8=0),0,E$8*(E$7-R$16*(1-$A79)*(1-(1-$A79)^MIN(E$6,$B$11))/($A79*MIN(E$6,$B$11)))^2)</f>
        <v/>
      </c>
      <c r="S79" s="27">
        <f>IF(OR(B$7="",B$8=0),0,B$8*(B$7-S$16*(1-$A79)*(1-(1-$A79)^MIN(B$6,$B$11))/($A79*MIN(B$6,$B$11)))^2)+IF(OR(C$7="",C$8=0),0,C$8*(C$7-S$16*(1-$A79)*(1-(1-$A79)^MIN(C$6,$B$11))/($A79*MIN(C$6,$B$11)))^2)+IF(OR(D$7="",D$8=0),0,D$8*(D$7-S$16*(1-$A79)*(1-(1-$A79)^MIN(D$6,$B$11))/($A79*MIN(D$6,$B$11)))^2)+IF(OR(E$7="",E$8=0),0,E$8*(E$7-S$16*(1-$A79)*(1-(1-$A79)^MIN(E$6,$B$11))/($A79*MIN(E$6,$B$11)))^2)</f>
        <v/>
      </c>
      <c r="U79" s="27">
        <f>MIN(B79:S79)</f>
        <v/>
      </c>
      <c r="V79" s="17">
        <f>MATCH(U79,B79:S79,0)</f>
        <v/>
      </c>
    </row>
    <row r="80">
      <c r="A80" s="26" t="n">
        <v>0.0365</v>
      </c>
      <c r="B80" s="27">
        <f>IF(OR(B$7="",B$8=0),0,B$8*(B$7-B$16*(1-$A80)*(1-(1-$A80)^MIN(B$6,$B$11))/($A80*MIN(B$6,$B$11)))^2)+IF(OR(C$7="",C$8=0),0,C$8*(C$7-B$16*(1-$A80)*(1-(1-$A80)^MIN(C$6,$B$11))/($A80*MIN(C$6,$B$11)))^2)+IF(OR(D$7="",D$8=0),0,D$8*(D$7-B$16*(1-$A80)*(1-(1-$A80)^MIN(D$6,$B$11))/($A80*MIN(D$6,$B$11)))^2)+IF(OR(E$7="",E$8=0),0,E$8*(E$7-B$16*(1-$A80)*(1-(1-$A80)^MIN(E$6,$B$11))/($A80*MIN(E$6,$B$11)))^2)</f>
        <v/>
      </c>
      <c r="C80" s="27">
        <f>IF(OR(B$7="",B$8=0),0,B$8*(B$7-C$16*(1-$A80)*(1-(1-$A80)^MIN(B$6,$B$11))/($A80*MIN(B$6,$B$11)))^2)+IF(OR(C$7="",C$8=0),0,C$8*(C$7-C$16*(1-$A80)*(1-(1-$A80)^MIN(C$6,$B$11))/($A80*MIN(C$6,$B$11)))^2)+IF(OR(D$7="",D$8=0),0,D$8*(D$7-C$16*(1-$A80)*(1-(1-$A80)^MIN(D$6,$B$11))/($A80*MIN(D$6,$B$11)))^2)+IF(OR(E$7="",E$8=0),0,E$8*(E$7-C$16*(1-$A80)*(1-(1-$A80)^MIN(E$6,$B$11))/($A80*MIN(E$6,$B$11)))^2)</f>
        <v/>
      </c>
      <c r="D80" s="27">
        <f>IF(OR(B$7="",B$8=0),0,B$8*(B$7-D$16*(1-$A80)*(1-(1-$A80)^MIN(B$6,$B$11))/($A80*MIN(B$6,$B$11)))^2)+IF(OR(C$7="",C$8=0),0,C$8*(C$7-D$16*(1-$A80)*(1-(1-$A80)^MIN(C$6,$B$11))/($A80*MIN(C$6,$B$11)))^2)+IF(OR(D$7="",D$8=0),0,D$8*(D$7-D$16*(1-$A80)*(1-(1-$A80)^MIN(D$6,$B$11))/($A80*MIN(D$6,$B$11)))^2)+IF(OR(E$7="",E$8=0),0,E$8*(E$7-D$16*(1-$A80)*(1-(1-$A80)^MIN(E$6,$B$11))/($A80*MIN(E$6,$B$11)))^2)</f>
        <v/>
      </c>
      <c r="E80" s="27">
        <f>IF(OR(B$7="",B$8=0),0,B$8*(B$7-E$16*(1-$A80)*(1-(1-$A80)^MIN(B$6,$B$11))/($A80*MIN(B$6,$B$11)))^2)+IF(OR(C$7="",C$8=0),0,C$8*(C$7-E$16*(1-$A80)*(1-(1-$A80)^MIN(C$6,$B$11))/($A80*MIN(C$6,$B$11)))^2)+IF(OR(D$7="",D$8=0),0,D$8*(D$7-E$16*(1-$A80)*(1-(1-$A80)^MIN(D$6,$B$11))/($A80*MIN(D$6,$B$11)))^2)+IF(OR(E$7="",E$8=0),0,E$8*(E$7-E$16*(1-$A80)*(1-(1-$A80)^MIN(E$6,$B$11))/($A80*MIN(E$6,$B$11)))^2)</f>
        <v/>
      </c>
      <c r="F80" s="27">
        <f>IF(OR(B$7="",B$8=0),0,B$8*(B$7-F$16*(1-$A80)*(1-(1-$A80)^MIN(B$6,$B$11))/($A80*MIN(B$6,$B$11)))^2)+IF(OR(C$7="",C$8=0),0,C$8*(C$7-F$16*(1-$A80)*(1-(1-$A80)^MIN(C$6,$B$11))/($A80*MIN(C$6,$B$11)))^2)+IF(OR(D$7="",D$8=0),0,D$8*(D$7-F$16*(1-$A80)*(1-(1-$A80)^MIN(D$6,$B$11))/($A80*MIN(D$6,$B$11)))^2)+IF(OR(E$7="",E$8=0),0,E$8*(E$7-F$16*(1-$A80)*(1-(1-$A80)^MIN(E$6,$B$11))/($A80*MIN(E$6,$B$11)))^2)</f>
        <v/>
      </c>
      <c r="G80" s="27">
        <f>IF(OR(B$7="",B$8=0),0,B$8*(B$7-G$16*(1-$A80)*(1-(1-$A80)^MIN(B$6,$B$11))/($A80*MIN(B$6,$B$11)))^2)+IF(OR(C$7="",C$8=0),0,C$8*(C$7-G$16*(1-$A80)*(1-(1-$A80)^MIN(C$6,$B$11))/($A80*MIN(C$6,$B$11)))^2)+IF(OR(D$7="",D$8=0),0,D$8*(D$7-G$16*(1-$A80)*(1-(1-$A80)^MIN(D$6,$B$11))/($A80*MIN(D$6,$B$11)))^2)+IF(OR(E$7="",E$8=0),0,E$8*(E$7-G$16*(1-$A80)*(1-(1-$A80)^MIN(E$6,$B$11))/($A80*MIN(E$6,$B$11)))^2)</f>
        <v/>
      </c>
      <c r="H80" s="27">
        <f>IF(OR(B$7="",B$8=0),0,B$8*(B$7-H$16*(1-$A80)*(1-(1-$A80)^MIN(B$6,$B$11))/($A80*MIN(B$6,$B$11)))^2)+IF(OR(C$7="",C$8=0),0,C$8*(C$7-H$16*(1-$A80)*(1-(1-$A80)^MIN(C$6,$B$11))/($A80*MIN(C$6,$B$11)))^2)+IF(OR(D$7="",D$8=0),0,D$8*(D$7-H$16*(1-$A80)*(1-(1-$A80)^MIN(D$6,$B$11))/($A80*MIN(D$6,$B$11)))^2)+IF(OR(E$7="",E$8=0),0,E$8*(E$7-H$16*(1-$A80)*(1-(1-$A80)^MIN(E$6,$B$11))/($A80*MIN(E$6,$B$11)))^2)</f>
        <v/>
      </c>
      <c r="I80" s="27">
        <f>IF(OR(B$7="",B$8=0),0,B$8*(B$7-I$16*(1-$A80)*(1-(1-$A80)^MIN(B$6,$B$11))/($A80*MIN(B$6,$B$11)))^2)+IF(OR(C$7="",C$8=0),0,C$8*(C$7-I$16*(1-$A80)*(1-(1-$A80)^MIN(C$6,$B$11))/($A80*MIN(C$6,$B$11)))^2)+IF(OR(D$7="",D$8=0),0,D$8*(D$7-I$16*(1-$A80)*(1-(1-$A80)^MIN(D$6,$B$11))/($A80*MIN(D$6,$B$11)))^2)+IF(OR(E$7="",E$8=0),0,E$8*(E$7-I$16*(1-$A80)*(1-(1-$A80)^MIN(E$6,$B$11))/($A80*MIN(E$6,$B$11)))^2)</f>
        <v/>
      </c>
      <c r="J80" s="27">
        <f>IF(OR(B$7="",B$8=0),0,B$8*(B$7-J$16*(1-$A80)*(1-(1-$A80)^MIN(B$6,$B$11))/($A80*MIN(B$6,$B$11)))^2)+IF(OR(C$7="",C$8=0),0,C$8*(C$7-J$16*(1-$A80)*(1-(1-$A80)^MIN(C$6,$B$11))/($A80*MIN(C$6,$B$11)))^2)+IF(OR(D$7="",D$8=0),0,D$8*(D$7-J$16*(1-$A80)*(1-(1-$A80)^MIN(D$6,$B$11))/($A80*MIN(D$6,$B$11)))^2)+IF(OR(E$7="",E$8=0),0,E$8*(E$7-J$16*(1-$A80)*(1-(1-$A80)^MIN(E$6,$B$11))/($A80*MIN(E$6,$B$11)))^2)</f>
        <v/>
      </c>
      <c r="K80" s="27">
        <f>IF(OR(B$7="",B$8=0),0,B$8*(B$7-K$16*(1-$A80)*(1-(1-$A80)^MIN(B$6,$B$11))/($A80*MIN(B$6,$B$11)))^2)+IF(OR(C$7="",C$8=0),0,C$8*(C$7-K$16*(1-$A80)*(1-(1-$A80)^MIN(C$6,$B$11))/($A80*MIN(C$6,$B$11)))^2)+IF(OR(D$7="",D$8=0),0,D$8*(D$7-K$16*(1-$A80)*(1-(1-$A80)^MIN(D$6,$B$11))/($A80*MIN(D$6,$B$11)))^2)+IF(OR(E$7="",E$8=0),0,E$8*(E$7-K$16*(1-$A80)*(1-(1-$A80)^MIN(E$6,$B$11))/($A80*MIN(E$6,$B$11)))^2)</f>
        <v/>
      </c>
      <c r="L80" s="27">
        <f>IF(OR(B$7="",B$8=0),0,B$8*(B$7-L$16*(1-$A80)*(1-(1-$A80)^MIN(B$6,$B$11))/($A80*MIN(B$6,$B$11)))^2)+IF(OR(C$7="",C$8=0),0,C$8*(C$7-L$16*(1-$A80)*(1-(1-$A80)^MIN(C$6,$B$11))/($A80*MIN(C$6,$B$11)))^2)+IF(OR(D$7="",D$8=0),0,D$8*(D$7-L$16*(1-$A80)*(1-(1-$A80)^MIN(D$6,$B$11))/($A80*MIN(D$6,$B$11)))^2)+IF(OR(E$7="",E$8=0),0,E$8*(E$7-L$16*(1-$A80)*(1-(1-$A80)^MIN(E$6,$B$11))/($A80*MIN(E$6,$B$11)))^2)</f>
        <v/>
      </c>
      <c r="M80" s="27">
        <f>IF(OR(B$7="",B$8=0),0,B$8*(B$7-M$16*(1-$A80)*(1-(1-$A80)^MIN(B$6,$B$11))/($A80*MIN(B$6,$B$11)))^2)+IF(OR(C$7="",C$8=0),0,C$8*(C$7-M$16*(1-$A80)*(1-(1-$A80)^MIN(C$6,$B$11))/($A80*MIN(C$6,$B$11)))^2)+IF(OR(D$7="",D$8=0),0,D$8*(D$7-M$16*(1-$A80)*(1-(1-$A80)^MIN(D$6,$B$11))/($A80*MIN(D$6,$B$11)))^2)+IF(OR(E$7="",E$8=0),0,E$8*(E$7-M$16*(1-$A80)*(1-(1-$A80)^MIN(E$6,$B$11))/($A80*MIN(E$6,$B$11)))^2)</f>
        <v/>
      </c>
      <c r="N80" s="27">
        <f>IF(OR(B$7="",B$8=0),0,B$8*(B$7-N$16*(1-$A80)*(1-(1-$A80)^MIN(B$6,$B$11))/($A80*MIN(B$6,$B$11)))^2)+IF(OR(C$7="",C$8=0),0,C$8*(C$7-N$16*(1-$A80)*(1-(1-$A80)^MIN(C$6,$B$11))/($A80*MIN(C$6,$B$11)))^2)+IF(OR(D$7="",D$8=0),0,D$8*(D$7-N$16*(1-$A80)*(1-(1-$A80)^MIN(D$6,$B$11))/($A80*MIN(D$6,$B$11)))^2)+IF(OR(E$7="",E$8=0),0,E$8*(E$7-N$16*(1-$A80)*(1-(1-$A80)^MIN(E$6,$B$11))/($A80*MIN(E$6,$B$11)))^2)</f>
        <v/>
      </c>
      <c r="O80" s="27">
        <f>IF(OR(B$7="",B$8=0),0,B$8*(B$7-O$16*(1-$A80)*(1-(1-$A80)^MIN(B$6,$B$11))/($A80*MIN(B$6,$B$11)))^2)+IF(OR(C$7="",C$8=0),0,C$8*(C$7-O$16*(1-$A80)*(1-(1-$A80)^MIN(C$6,$B$11))/($A80*MIN(C$6,$B$11)))^2)+IF(OR(D$7="",D$8=0),0,D$8*(D$7-O$16*(1-$A80)*(1-(1-$A80)^MIN(D$6,$B$11))/($A80*MIN(D$6,$B$11)))^2)+IF(OR(E$7="",E$8=0),0,E$8*(E$7-O$16*(1-$A80)*(1-(1-$A80)^MIN(E$6,$B$11))/($A80*MIN(E$6,$B$11)))^2)</f>
        <v/>
      </c>
      <c r="P80" s="27">
        <f>IF(OR(B$7="",B$8=0),0,B$8*(B$7-P$16*(1-$A80)*(1-(1-$A80)^MIN(B$6,$B$11))/($A80*MIN(B$6,$B$11)))^2)+IF(OR(C$7="",C$8=0),0,C$8*(C$7-P$16*(1-$A80)*(1-(1-$A80)^MIN(C$6,$B$11))/($A80*MIN(C$6,$B$11)))^2)+IF(OR(D$7="",D$8=0),0,D$8*(D$7-P$16*(1-$A80)*(1-(1-$A80)^MIN(D$6,$B$11))/($A80*MIN(D$6,$B$11)))^2)+IF(OR(E$7="",E$8=0),0,E$8*(E$7-P$16*(1-$A80)*(1-(1-$A80)^MIN(E$6,$B$11))/($A80*MIN(E$6,$B$11)))^2)</f>
        <v/>
      </c>
      <c r="Q80" s="27">
        <f>IF(OR(B$7="",B$8=0),0,B$8*(B$7-Q$16*(1-$A80)*(1-(1-$A80)^MIN(B$6,$B$11))/($A80*MIN(B$6,$B$11)))^2)+IF(OR(C$7="",C$8=0),0,C$8*(C$7-Q$16*(1-$A80)*(1-(1-$A80)^MIN(C$6,$B$11))/($A80*MIN(C$6,$B$11)))^2)+IF(OR(D$7="",D$8=0),0,D$8*(D$7-Q$16*(1-$A80)*(1-(1-$A80)^MIN(D$6,$B$11))/($A80*MIN(D$6,$B$11)))^2)+IF(OR(E$7="",E$8=0),0,E$8*(E$7-Q$16*(1-$A80)*(1-(1-$A80)^MIN(E$6,$B$11))/($A80*MIN(E$6,$B$11)))^2)</f>
        <v/>
      </c>
      <c r="R80" s="27">
        <f>IF(OR(B$7="",B$8=0),0,B$8*(B$7-R$16*(1-$A80)*(1-(1-$A80)^MIN(B$6,$B$11))/($A80*MIN(B$6,$B$11)))^2)+IF(OR(C$7="",C$8=0),0,C$8*(C$7-R$16*(1-$A80)*(1-(1-$A80)^MIN(C$6,$B$11))/($A80*MIN(C$6,$B$11)))^2)+IF(OR(D$7="",D$8=0),0,D$8*(D$7-R$16*(1-$A80)*(1-(1-$A80)^MIN(D$6,$B$11))/($A80*MIN(D$6,$B$11)))^2)+IF(OR(E$7="",E$8=0),0,E$8*(E$7-R$16*(1-$A80)*(1-(1-$A80)^MIN(E$6,$B$11))/($A80*MIN(E$6,$B$11)))^2)</f>
        <v/>
      </c>
      <c r="S80" s="27">
        <f>IF(OR(B$7="",B$8=0),0,B$8*(B$7-S$16*(1-$A80)*(1-(1-$A80)^MIN(B$6,$B$11))/($A80*MIN(B$6,$B$11)))^2)+IF(OR(C$7="",C$8=0),0,C$8*(C$7-S$16*(1-$A80)*(1-(1-$A80)^MIN(C$6,$B$11))/($A80*MIN(C$6,$B$11)))^2)+IF(OR(D$7="",D$8=0),0,D$8*(D$7-S$16*(1-$A80)*(1-(1-$A80)^MIN(D$6,$B$11))/($A80*MIN(D$6,$B$11)))^2)+IF(OR(E$7="",E$8=0),0,E$8*(E$7-S$16*(1-$A80)*(1-(1-$A80)^MIN(E$6,$B$11))/($A80*MIN(E$6,$B$11)))^2)</f>
        <v/>
      </c>
      <c r="U80" s="27">
        <f>MIN(B80:S80)</f>
        <v/>
      </c>
      <c r="V80" s="17">
        <f>MATCH(U80,B80:S80,0)</f>
        <v/>
      </c>
    </row>
    <row r="81">
      <c r="A81" s="26" t="n">
        <v>0.037</v>
      </c>
      <c r="B81" s="27">
        <f>IF(OR(B$7="",B$8=0),0,B$8*(B$7-B$16*(1-$A81)*(1-(1-$A81)^MIN(B$6,$B$11))/($A81*MIN(B$6,$B$11)))^2)+IF(OR(C$7="",C$8=0),0,C$8*(C$7-B$16*(1-$A81)*(1-(1-$A81)^MIN(C$6,$B$11))/($A81*MIN(C$6,$B$11)))^2)+IF(OR(D$7="",D$8=0),0,D$8*(D$7-B$16*(1-$A81)*(1-(1-$A81)^MIN(D$6,$B$11))/($A81*MIN(D$6,$B$11)))^2)+IF(OR(E$7="",E$8=0),0,E$8*(E$7-B$16*(1-$A81)*(1-(1-$A81)^MIN(E$6,$B$11))/($A81*MIN(E$6,$B$11)))^2)</f>
        <v/>
      </c>
      <c r="C81" s="27">
        <f>IF(OR(B$7="",B$8=0),0,B$8*(B$7-C$16*(1-$A81)*(1-(1-$A81)^MIN(B$6,$B$11))/($A81*MIN(B$6,$B$11)))^2)+IF(OR(C$7="",C$8=0),0,C$8*(C$7-C$16*(1-$A81)*(1-(1-$A81)^MIN(C$6,$B$11))/($A81*MIN(C$6,$B$11)))^2)+IF(OR(D$7="",D$8=0),0,D$8*(D$7-C$16*(1-$A81)*(1-(1-$A81)^MIN(D$6,$B$11))/($A81*MIN(D$6,$B$11)))^2)+IF(OR(E$7="",E$8=0),0,E$8*(E$7-C$16*(1-$A81)*(1-(1-$A81)^MIN(E$6,$B$11))/($A81*MIN(E$6,$B$11)))^2)</f>
        <v/>
      </c>
      <c r="D81" s="27">
        <f>IF(OR(B$7="",B$8=0),0,B$8*(B$7-D$16*(1-$A81)*(1-(1-$A81)^MIN(B$6,$B$11))/($A81*MIN(B$6,$B$11)))^2)+IF(OR(C$7="",C$8=0),0,C$8*(C$7-D$16*(1-$A81)*(1-(1-$A81)^MIN(C$6,$B$11))/($A81*MIN(C$6,$B$11)))^2)+IF(OR(D$7="",D$8=0),0,D$8*(D$7-D$16*(1-$A81)*(1-(1-$A81)^MIN(D$6,$B$11))/($A81*MIN(D$6,$B$11)))^2)+IF(OR(E$7="",E$8=0),0,E$8*(E$7-D$16*(1-$A81)*(1-(1-$A81)^MIN(E$6,$B$11))/($A81*MIN(E$6,$B$11)))^2)</f>
        <v/>
      </c>
      <c r="E81" s="27">
        <f>IF(OR(B$7="",B$8=0),0,B$8*(B$7-E$16*(1-$A81)*(1-(1-$A81)^MIN(B$6,$B$11))/($A81*MIN(B$6,$B$11)))^2)+IF(OR(C$7="",C$8=0),0,C$8*(C$7-E$16*(1-$A81)*(1-(1-$A81)^MIN(C$6,$B$11))/($A81*MIN(C$6,$B$11)))^2)+IF(OR(D$7="",D$8=0),0,D$8*(D$7-E$16*(1-$A81)*(1-(1-$A81)^MIN(D$6,$B$11))/($A81*MIN(D$6,$B$11)))^2)+IF(OR(E$7="",E$8=0),0,E$8*(E$7-E$16*(1-$A81)*(1-(1-$A81)^MIN(E$6,$B$11))/($A81*MIN(E$6,$B$11)))^2)</f>
        <v/>
      </c>
      <c r="F81" s="27">
        <f>IF(OR(B$7="",B$8=0),0,B$8*(B$7-F$16*(1-$A81)*(1-(1-$A81)^MIN(B$6,$B$11))/($A81*MIN(B$6,$B$11)))^2)+IF(OR(C$7="",C$8=0),0,C$8*(C$7-F$16*(1-$A81)*(1-(1-$A81)^MIN(C$6,$B$11))/($A81*MIN(C$6,$B$11)))^2)+IF(OR(D$7="",D$8=0),0,D$8*(D$7-F$16*(1-$A81)*(1-(1-$A81)^MIN(D$6,$B$11))/($A81*MIN(D$6,$B$11)))^2)+IF(OR(E$7="",E$8=0),0,E$8*(E$7-F$16*(1-$A81)*(1-(1-$A81)^MIN(E$6,$B$11))/($A81*MIN(E$6,$B$11)))^2)</f>
        <v/>
      </c>
      <c r="G81" s="27">
        <f>IF(OR(B$7="",B$8=0),0,B$8*(B$7-G$16*(1-$A81)*(1-(1-$A81)^MIN(B$6,$B$11))/($A81*MIN(B$6,$B$11)))^2)+IF(OR(C$7="",C$8=0),0,C$8*(C$7-G$16*(1-$A81)*(1-(1-$A81)^MIN(C$6,$B$11))/($A81*MIN(C$6,$B$11)))^2)+IF(OR(D$7="",D$8=0),0,D$8*(D$7-G$16*(1-$A81)*(1-(1-$A81)^MIN(D$6,$B$11))/($A81*MIN(D$6,$B$11)))^2)+IF(OR(E$7="",E$8=0),0,E$8*(E$7-G$16*(1-$A81)*(1-(1-$A81)^MIN(E$6,$B$11))/($A81*MIN(E$6,$B$11)))^2)</f>
        <v/>
      </c>
      <c r="H81" s="27">
        <f>IF(OR(B$7="",B$8=0),0,B$8*(B$7-H$16*(1-$A81)*(1-(1-$A81)^MIN(B$6,$B$11))/($A81*MIN(B$6,$B$11)))^2)+IF(OR(C$7="",C$8=0),0,C$8*(C$7-H$16*(1-$A81)*(1-(1-$A81)^MIN(C$6,$B$11))/($A81*MIN(C$6,$B$11)))^2)+IF(OR(D$7="",D$8=0),0,D$8*(D$7-H$16*(1-$A81)*(1-(1-$A81)^MIN(D$6,$B$11))/($A81*MIN(D$6,$B$11)))^2)+IF(OR(E$7="",E$8=0),0,E$8*(E$7-H$16*(1-$A81)*(1-(1-$A81)^MIN(E$6,$B$11))/($A81*MIN(E$6,$B$11)))^2)</f>
        <v/>
      </c>
      <c r="I81" s="27">
        <f>IF(OR(B$7="",B$8=0),0,B$8*(B$7-I$16*(1-$A81)*(1-(1-$A81)^MIN(B$6,$B$11))/($A81*MIN(B$6,$B$11)))^2)+IF(OR(C$7="",C$8=0),0,C$8*(C$7-I$16*(1-$A81)*(1-(1-$A81)^MIN(C$6,$B$11))/($A81*MIN(C$6,$B$11)))^2)+IF(OR(D$7="",D$8=0),0,D$8*(D$7-I$16*(1-$A81)*(1-(1-$A81)^MIN(D$6,$B$11))/($A81*MIN(D$6,$B$11)))^2)+IF(OR(E$7="",E$8=0),0,E$8*(E$7-I$16*(1-$A81)*(1-(1-$A81)^MIN(E$6,$B$11))/($A81*MIN(E$6,$B$11)))^2)</f>
        <v/>
      </c>
      <c r="J81" s="27">
        <f>IF(OR(B$7="",B$8=0),0,B$8*(B$7-J$16*(1-$A81)*(1-(1-$A81)^MIN(B$6,$B$11))/($A81*MIN(B$6,$B$11)))^2)+IF(OR(C$7="",C$8=0),0,C$8*(C$7-J$16*(1-$A81)*(1-(1-$A81)^MIN(C$6,$B$11))/($A81*MIN(C$6,$B$11)))^2)+IF(OR(D$7="",D$8=0),0,D$8*(D$7-J$16*(1-$A81)*(1-(1-$A81)^MIN(D$6,$B$11))/($A81*MIN(D$6,$B$11)))^2)+IF(OR(E$7="",E$8=0),0,E$8*(E$7-J$16*(1-$A81)*(1-(1-$A81)^MIN(E$6,$B$11))/($A81*MIN(E$6,$B$11)))^2)</f>
        <v/>
      </c>
      <c r="K81" s="27">
        <f>IF(OR(B$7="",B$8=0),0,B$8*(B$7-K$16*(1-$A81)*(1-(1-$A81)^MIN(B$6,$B$11))/($A81*MIN(B$6,$B$11)))^2)+IF(OR(C$7="",C$8=0),0,C$8*(C$7-K$16*(1-$A81)*(1-(1-$A81)^MIN(C$6,$B$11))/($A81*MIN(C$6,$B$11)))^2)+IF(OR(D$7="",D$8=0),0,D$8*(D$7-K$16*(1-$A81)*(1-(1-$A81)^MIN(D$6,$B$11))/($A81*MIN(D$6,$B$11)))^2)+IF(OR(E$7="",E$8=0),0,E$8*(E$7-K$16*(1-$A81)*(1-(1-$A81)^MIN(E$6,$B$11))/($A81*MIN(E$6,$B$11)))^2)</f>
        <v/>
      </c>
      <c r="L81" s="27">
        <f>IF(OR(B$7="",B$8=0),0,B$8*(B$7-L$16*(1-$A81)*(1-(1-$A81)^MIN(B$6,$B$11))/($A81*MIN(B$6,$B$11)))^2)+IF(OR(C$7="",C$8=0),0,C$8*(C$7-L$16*(1-$A81)*(1-(1-$A81)^MIN(C$6,$B$11))/($A81*MIN(C$6,$B$11)))^2)+IF(OR(D$7="",D$8=0),0,D$8*(D$7-L$16*(1-$A81)*(1-(1-$A81)^MIN(D$6,$B$11))/($A81*MIN(D$6,$B$11)))^2)+IF(OR(E$7="",E$8=0),0,E$8*(E$7-L$16*(1-$A81)*(1-(1-$A81)^MIN(E$6,$B$11))/($A81*MIN(E$6,$B$11)))^2)</f>
        <v/>
      </c>
      <c r="M81" s="27">
        <f>IF(OR(B$7="",B$8=0),0,B$8*(B$7-M$16*(1-$A81)*(1-(1-$A81)^MIN(B$6,$B$11))/($A81*MIN(B$6,$B$11)))^2)+IF(OR(C$7="",C$8=0),0,C$8*(C$7-M$16*(1-$A81)*(1-(1-$A81)^MIN(C$6,$B$11))/($A81*MIN(C$6,$B$11)))^2)+IF(OR(D$7="",D$8=0),0,D$8*(D$7-M$16*(1-$A81)*(1-(1-$A81)^MIN(D$6,$B$11))/($A81*MIN(D$6,$B$11)))^2)+IF(OR(E$7="",E$8=0),0,E$8*(E$7-M$16*(1-$A81)*(1-(1-$A81)^MIN(E$6,$B$11))/($A81*MIN(E$6,$B$11)))^2)</f>
        <v/>
      </c>
      <c r="N81" s="27">
        <f>IF(OR(B$7="",B$8=0),0,B$8*(B$7-N$16*(1-$A81)*(1-(1-$A81)^MIN(B$6,$B$11))/($A81*MIN(B$6,$B$11)))^2)+IF(OR(C$7="",C$8=0),0,C$8*(C$7-N$16*(1-$A81)*(1-(1-$A81)^MIN(C$6,$B$11))/($A81*MIN(C$6,$B$11)))^2)+IF(OR(D$7="",D$8=0),0,D$8*(D$7-N$16*(1-$A81)*(1-(1-$A81)^MIN(D$6,$B$11))/($A81*MIN(D$6,$B$11)))^2)+IF(OR(E$7="",E$8=0),0,E$8*(E$7-N$16*(1-$A81)*(1-(1-$A81)^MIN(E$6,$B$11))/($A81*MIN(E$6,$B$11)))^2)</f>
        <v/>
      </c>
      <c r="O81" s="27">
        <f>IF(OR(B$7="",B$8=0),0,B$8*(B$7-O$16*(1-$A81)*(1-(1-$A81)^MIN(B$6,$B$11))/($A81*MIN(B$6,$B$11)))^2)+IF(OR(C$7="",C$8=0),0,C$8*(C$7-O$16*(1-$A81)*(1-(1-$A81)^MIN(C$6,$B$11))/($A81*MIN(C$6,$B$11)))^2)+IF(OR(D$7="",D$8=0),0,D$8*(D$7-O$16*(1-$A81)*(1-(1-$A81)^MIN(D$6,$B$11))/($A81*MIN(D$6,$B$11)))^2)+IF(OR(E$7="",E$8=0),0,E$8*(E$7-O$16*(1-$A81)*(1-(1-$A81)^MIN(E$6,$B$11))/($A81*MIN(E$6,$B$11)))^2)</f>
        <v/>
      </c>
      <c r="P81" s="27">
        <f>IF(OR(B$7="",B$8=0),0,B$8*(B$7-P$16*(1-$A81)*(1-(1-$A81)^MIN(B$6,$B$11))/($A81*MIN(B$6,$B$11)))^2)+IF(OR(C$7="",C$8=0),0,C$8*(C$7-P$16*(1-$A81)*(1-(1-$A81)^MIN(C$6,$B$11))/($A81*MIN(C$6,$B$11)))^2)+IF(OR(D$7="",D$8=0),0,D$8*(D$7-P$16*(1-$A81)*(1-(1-$A81)^MIN(D$6,$B$11))/($A81*MIN(D$6,$B$11)))^2)+IF(OR(E$7="",E$8=0),0,E$8*(E$7-P$16*(1-$A81)*(1-(1-$A81)^MIN(E$6,$B$11))/($A81*MIN(E$6,$B$11)))^2)</f>
        <v/>
      </c>
      <c r="Q81" s="27">
        <f>IF(OR(B$7="",B$8=0),0,B$8*(B$7-Q$16*(1-$A81)*(1-(1-$A81)^MIN(B$6,$B$11))/($A81*MIN(B$6,$B$11)))^2)+IF(OR(C$7="",C$8=0),0,C$8*(C$7-Q$16*(1-$A81)*(1-(1-$A81)^MIN(C$6,$B$11))/($A81*MIN(C$6,$B$11)))^2)+IF(OR(D$7="",D$8=0),0,D$8*(D$7-Q$16*(1-$A81)*(1-(1-$A81)^MIN(D$6,$B$11))/($A81*MIN(D$6,$B$11)))^2)+IF(OR(E$7="",E$8=0),0,E$8*(E$7-Q$16*(1-$A81)*(1-(1-$A81)^MIN(E$6,$B$11))/($A81*MIN(E$6,$B$11)))^2)</f>
        <v/>
      </c>
      <c r="R81" s="27">
        <f>IF(OR(B$7="",B$8=0),0,B$8*(B$7-R$16*(1-$A81)*(1-(1-$A81)^MIN(B$6,$B$11))/($A81*MIN(B$6,$B$11)))^2)+IF(OR(C$7="",C$8=0),0,C$8*(C$7-R$16*(1-$A81)*(1-(1-$A81)^MIN(C$6,$B$11))/($A81*MIN(C$6,$B$11)))^2)+IF(OR(D$7="",D$8=0),0,D$8*(D$7-R$16*(1-$A81)*(1-(1-$A81)^MIN(D$6,$B$11))/($A81*MIN(D$6,$B$11)))^2)+IF(OR(E$7="",E$8=0),0,E$8*(E$7-R$16*(1-$A81)*(1-(1-$A81)^MIN(E$6,$B$11))/($A81*MIN(E$6,$B$11)))^2)</f>
        <v/>
      </c>
      <c r="S81" s="27">
        <f>IF(OR(B$7="",B$8=0),0,B$8*(B$7-S$16*(1-$A81)*(1-(1-$A81)^MIN(B$6,$B$11))/($A81*MIN(B$6,$B$11)))^2)+IF(OR(C$7="",C$8=0),0,C$8*(C$7-S$16*(1-$A81)*(1-(1-$A81)^MIN(C$6,$B$11))/($A81*MIN(C$6,$B$11)))^2)+IF(OR(D$7="",D$8=0),0,D$8*(D$7-S$16*(1-$A81)*(1-(1-$A81)^MIN(D$6,$B$11))/($A81*MIN(D$6,$B$11)))^2)+IF(OR(E$7="",E$8=0),0,E$8*(E$7-S$16*(1-$A81)*(1-(1-$A81)^MIN(E$6,$B$11))/($A81*MIN(E$6,$B$11)))^2)</f>
        <v/>
      </c>
      <c r="U81" s="27">
        <f>MIN(B81:S81)</f>
        <v/>
      </c>
      <c r="V81" s="17">
        <f>MATCH(U81,B81:S81,0)</f>
        <v/>
      </c>
    </row>
    <row r="82">
      <c r="A82" s="26" t="n">
        <v>0.0375</v>
      </c>
      <c r="B82" s="27">
        <f>IF(OR(B$7="",B$8=0),0,B$8*(B$7-B$16*(1-$A82)*(1-(1-$A82)^MIN(B$6,$B$11))/($A82*MIN(B$6,$B$11)))^2)+IF(OR(C$7="",C$8=0),0,C$8*(C$7-B$16*(1-$A82)*(1-(1-$A82)^MIN(C$6,$B$11))/($A82*MIN(C$6,$B$11)))^2)+IF(OR(D$7="",D$8=0),0,D$8*(D$7-B$16*(1-$A82)*(1-(1-$A82)^MIN(D$6,$B$11))/($A82*MIN(D$6,$B$11)))^2)+IF(OR(E$7="",E$8=0),0,E$8*(E$7-B$16*(1-$A82)*(1-(1-$A82)^MIN(E$6,$B$11))/($A82*MIN(E$6,$B$11)))^2)</f>
        <v/>
      </c>
      <c r="C82" s="27">
        <f>IF(OR(B$7="",B$8=0),0,B$8*(B$7-C$16*(1-$A82)*(1-(1-$A82)^MIN(B$6,$B$11))/($A82*MIN(B$6,$B$11)))^2)+IF(OR(C$7="",C$8=0),0,C$8*(C$7-C$16*(1-$A82)*(1-(1-$A82)^MIN(C$6,$B$11))/($A82*MIN(C$6,$B$11)))^2)+IF(OR(D$7="",D$8=0),0,D$8*(D$7-C$16*(1-$A82)*(1-(1-$A82)^MIN(D$6,$B$11))/($A82*MIN(D$6,$B$11)))^2)+IF(OR(E$7="",E$8=0),0,E$8*(E$7-C$16*(1-$A82)*(1-(1-$A82)^MIN(E$6,$B$11))/($A82*MIN(E$6,$B$11)))^2)</f>
        <v/>
      </c>
      <c r="D82" s="27">
        <f>IF(OR(B$7="",B$8=0),0,B$8*(B$7-D$16*(1-$A82)*(1-(1-$A82)^MIN(B$6,$B$11))/($A82*MIN(B$6,$B$11)))^2)+IF(OR(C$7="",C$8=0),0,C$8*(C$7-D$16*(1-$A82)*(1-(1-$A82)^MIN(C$6,$B$11))/($A82*MIN(C$6,$B$11)))^2)+IF(OR(D$7="",D$8=0),0,D$8*(D$7-D$16*(1-$A82)*(1-(1-$A82)^MIN(D$6,$B$11))/($A82*MIN(D$6,$B$11)))^2)+IF(OR(E$7="",E$8=0),0,E$8*(E$7-D$16*(1-$A82)*(1-(1-$A82)^MIN(E$6,$B$11))/($A82*MIN(E$6,$B$11)))^2)</f>
        <v/>
      </c>
      <c r="E82" s="27">
        <f>IF(OR(B$7="",B$8=0),0,B$8*(B$7-E$16*(1-$A82)*(1-(1-$A82)^MIN(B$6,$B$11))/($A82*MIN(B$6,$B$11)))^2)+IF(OR(C$7="",C$8=0),0,C$8*(C$7-E$16*(1-$A82)*(1-(1-$A82)^MIN(C$6,$B$11))/($A82*MIN(C$6,$B$11)))^2)+IF(OR(D$7="",D$8=0),0,D$8*(D$7-E$16*(1-$A82)*(1-(1-$A82)^MIN(D$6,$B$11))/($A82*MIN(D$6,$B$11)))^2)+IF(OR(E$7="",E$8=0),0,E$8*(E$7-E$16*(1-$A82)*(1-(1-$A82)^MIN(E$6,$B$11))/($A82*MIN(E$6,$B$11)))^2)</f>
        <v/>
      </c>
      <c r="F82" s="27">
        <f>IF(OR(B$7="",B$8=0),0,B$8*(B$7-F$16*(1-$A82)*(1-(1-$A82)^MIN(B$6,$B$11))/($A82*MIN(B$6,$B$11)))^2)+IF(OR(C$7="",C$8=0),0,C$8*(C$7-F$16*(1-$A82)*(1-(1-$A82)^MIN(C$6,$B$11))/($A82*MIN(C$6,$B$11)))^2)+IF(OR(D$7="",D$8=0),0,D$8*(D$7-F$16*(1-$A82)*(1-(1-$A82)^MIN(D$6,$B$11))/($A82*MIN(D$6,$B$11)))^2)+IF(OR(E$7="",E$8=0),0,E$8*(E$7-F$16*(1-$A82)*(1-(1-$A82)^MIN(E$6,$B$11))/($A82*MIN(E$6,$B$11)))^2)</f>
        <v/>
      </c>
      <c r="G82" s="27">
        <f>IF(OR(B$7="",B$8=0),0,B$8*(B$7-G$16*(1-$A82)*(1-(1-$A82)^MIN(B$6,$B$11))/($A82*MIN(B$6,$B$11)))^2)+IF(OR(C$7="",C$8=0),0,C$8*(C$7-G$16*(1-$A82)*(1-(1-$A82)^MIN(C$6,$B$11))/($A82*MIN(C$6,$B$11)))^2)+IF(OR(D$7="",D$8=0),0,D$8*(D$7-G$16*(1-$A82)*(1-(1-$A82)^MIN(D$6,$B$11))/($A82*MIN(D$6,$B$11)))^2)+IF(OR(E$7="",E$8=0),0,E$8*(E$7-G$16*(1-$A82)*(1-(1-$A82)^MIN(E$6,$B$11))/($A82*MIN(E$6,$B$11)))^2)</f>
        <v/>
      </c>
      <c r="H82" s="27">
        <f>IF(OR(B$7="",B$8=0),0,B$8*(B$7-H$16*(1-$A82)*(1-(1-$A82)^MIN(B$6,$B$11))/($A82*MIN(B$6,$B$11)))^2)+IF(OR(C$7="",C$8=0),0,C$8*(C$7-H$16*(1-$A82)*(1-(1-$A82)^MIN(C$6,$B$11))/($A82*MIN(C$6,$B$11)))^2)+IF(OR(D$7="",D$8=0),0,D$8*(D$7-H$16*(1-$A82)*(1-(1-$A82)^MIN(D$6,$B$11))/($A82*MIN(D$6,$B$11)))^2)+IF(OR(E$7="",E$8=0),0,E$8*(E$7-H$16*(1-$A82)*(1-(1-$A82)^MIN(E$6,$B$11))/($A82*MIN(E$6,$B$11)))^2)</f>
        <v/>
      </c>
      <c r="I82" s="27">
        <f>IF(OR(B$7="",B$8=0),0,B$8*(B$7-I$16*(1-$A82)*(1-(1-$A82)^MIN(B$6,$B$11))/($A82*MIN(B$6,$B$11)))^2)+IF(OR(C$7="",C$8=0),0,C$8*(C$7-I$16*(1-$A82)*(1-(1-$A82)^MIN(C$6,$B$11))/($A82*MIN(C$6,$B$11)))^2)+IF(OR(D$7="",D$8=0),0,D$8*(D$7-I$16*(1-$A82)*(1-(1-$A82)^MIN(D$6,$B$11))/($A82*MIN(D$6,$B$11)))^2)+IF(OR(E$7="",E$8=0),0,E$8*(E$7-I$16*(1-$A82)*(1-(1-$A82)^MIN(E$6,$B$11))/($A82*MIN(E$6,$B$11)))^2)</f>
        <v/>
      </c>
      <c r="J82" s="27">
        <f>IF(OR(B$7="",B$8=0),0,B$8*(B$7-J$16*(1-$A82)*(1-(1-$A82)^MIN(B$6,$B$11))/($A82*MIN(B$6,$B$11)))^2)+IF(OR(C$7="",C$8=0),0,C$8*(C$7-J$16*(1-$A82)*(1-(1-$A82)^MIN(C$6,$B$11))/($A82*MIN(C$6,$B$11)))^2)+IF(OR(D$7="",D$8=0),0,D$8*(D$7-J$16*(1-$A82)*(1-(1-$A82)^MIN(D$6,$B$11))/($A82*MIN(D$6,$B$11)))^2)+IF(OR(E$7="",E$8=0),0,E$8*(E$7-J$16*(1-$A82)*(1-(1-$A82)^MIN(E$6,$B$11))/($A82*MIN(E$6,$B$11)))^2)</f>
        <v/>
      </c>
      <c r="K82" s="27">
        <f>IF(OR(B$7="",B$8=0),0,B$8*(B$7-K$16*(1-$A82)*(1-(1-$A82)^MIN(B$6,$B$11))/($A82*MIN(B$6,$B$11)))^2)+IF(OR(C$7="",C$8=0),0,C$8*(C$7-K$16*(1-$A82)*(1-(1-$A82)^MIN(C$6,$B$11))/($A82*MIN(C$6,$B$11)))^2)+IF(OR(D$7="",D$8=0),0,D$8*(D$7-K$16*(1-$A82)*(1-(1-$A82)^MIN(D$6,$B$11))/($A82*MIN(D$6,$B$11)))^2)+IF(OR(E$7="",E$8=0),0,E$8*(E$7-K$16*(1-$A82)*(1-(1-$A82)^MIN(E$6,$B$11))/($A82*MIN(E$6,$B$11)))^2)</f>
        <v/>
      </c>
      <c r="L82" s="27">
        <f>IF(OR(B$7="",B$8=0),0,B$8*(B$7-L$16*(1-$A82)*(1-(1-$A82)^MIN(B$6,$B$11))/($A82*MIN(B$6,$B$11)))^2)+IF(OR(C$7="",C$8=0),0,C$8*(C$7-L$16*(1-$A82)*(1-(1-$A82)^MIN(C$6,$B$11))/($A82*MIN(C$6,$B$11)))^2)+IF(OR(D$7="",D$8=0),0,D$8*(D$7-L$16*(1-$A82)*(1-(1-$A82)^MIN(D$6,$B$11))/($A82*MIN(D$6,$B$11)))^2)+IF(OR(E$7="",E$8=0),0,E$8*(E$7-L$16*(1-$A82)*(1-(1-$A82)^MIN(E$6,$B$11))/($A82*MIN(E$6,$B$11)))^2)</f>
        <v/>
      </c>
      <c r="M82" s="27">
        <f>IF(OR(B$7="",B$8=0),0,B$8*(B$7-M$16*(1-$A82)*(1-(1-$A82)^MIN(B$6,$B$11))/($A82*MIN(B$6,$B$11)))^2)+IF(OR(C$7="",C$8=0),0,C$8*(C$7-M$16*(1-$A82)*(1-(1-$A82)^MIN(C$6,$B$11))/($A82*MIN(C$6,$B$11)))^2)+IF(OR(D$7="",D$8=0),0,D$8*(D$7-M$16*(1-$A82)*(1-(1-$A82)^MIN(D$6,$B$11))/($A82*MIN(D$6,$B$11)))^2)+IF(OR(E$7="",E$8=0),0,E$8*(E$7-M$16*(1-$A82)*(1-(1-$A82)^MIN(E$6,$B$11))/($A82*MIN(E$6,$B$11)))^2)</f>
        <v/>
      </c>
      <c r="N82" s="27">
        <f>IF(OR(B$7="",B$8=0),0,B$8*(B$7-N$16*(1-$A82)*(1-(1-$A82)^MIN(B$6,$B$11))/($A82*MIN(B$6,$B$11)))^2)+IF(OR(C$7="",C$8=0),0,C$8*(C$7-N$16*(1-$A82)*(1-(1-$A82)^MIN(C$6,$B$11))/($A82*MIN(C$6,$B$11)))^2)+IF(OR(D$7="",D$8=0),0,D$8*(D$7-N$16*(1-$A82)*(1-(1-$A82)^MIN(D$6,$B$11))/($A82*MIN(D$6,$B$11)))^2)+IF(OR(E$7="",E$8=0),0,E$8*(E$7-N$16*(1-$A82)*(1-(1-$A82)^MIN(E$6,$B$11))/($A82*MIN(E$6,$B$11)))^2)</f>
        <v/>
      </c>
      <c r="O82" s="27">
        <f>IF(OR(B$7="",B$8=0),0,B$8*(B$7-O$16*(1-$A82)*(1-(1-$A82)^MIN(B$6,$B$11))/($A82*MIN(B$6,$B$11)))^2)+IF(OR(C$7="",C$8=0),0,C$8*(C$7-O$16*(1-$A82)*(1-(1-$A82)^MIN(C$6,$B$11))/($A82*MIN(C$6,$B$11)))^2)+IF(OR(D$7="",D$8=0),0,D$8*(D$7-O$16*(1-$A82)*(1-(1-$A82)^MIN(D$6,$B$11))/($A82*MIN(D$6,$B$11)))^2)+IF(OR(E$7="",E$8=0),0,E$8*(E$7-O$16*(1-$A82)*(1-(1-$A82)^MIN(E$6,$B$11))/($A82*MIN(E$6,$B$11)))^2)</f>
        <v/>
      </c>
      <c r="P82" s="27">
        <f>IF(OR(B$7="",B$8=0),0,B$8*(B$7-P$16*(1-$A82)*(1-(1-$A82)^MIN(B$6,$B$11))/($A82*MIN(B$6,$B$11)))^2)+IF(OR(C$7="",C$8=0),0,C$8*(C$7-P$16*(1-$A82)*(1-(1-$A82)^MIN(C$6,$B$11))/($A82*MIN(C$6,$B$11)))^2)+IF(OR(D$7="",D$8=0),0,D$8*(D$7-P$16*(1-$A82)*(1-(1-$A82)^MIN(D$6,$B$11))/($A82*MIN(D$6,$B$11)))^2)+IF(OR(E$7="",E$8=0),0,E$8*(E$7-P$16*(1-$A82)*(1-(1-$A82)^MIN(E$6,$B$11))/($A82*MIN(E$6,$B$11)))^2)</f>
        <v/>
      </c>
      <c r="Q82" s="27">
        <f>IF(OR(B$7="",B$8=0),0,B$8*(B$7-Q$16*(1-$A82)*(1-(1-$A82)^MIN(B$6,$B$11))/($A82*MIN(B$6,$B$11)))^2)+IF(OR(C$7="",C$8=0),0,C$8*(C$7-Q$16*(1-$A82)*(1-(1-$A82)^MIN(C$6,$B$11))/($A82*MIN(C$6,$B$11)))^2)+IF(OR(D$7="",D$8=0),0,D$8*(D$7-Q$16*(1-$A82)*(1-(1-$A82)^MIN(D$6,$B$11))/($A82*MIN(D$6,$B$11)))^2)+IF(OR(E$7="",E$8=0),0,E$8*(E$7-Q$16*(1-$A82)*(1-(1-$A82)^MIN(E$6,$B$11))/($A82*MIN(E$6,$B$11)))^2)</f>
        <v/>
      </c>
      <c r="R82" s="27">
        <f>IF(OR(B$7="",B$8=0),0,B$8*(B$7-R$16*(1-$A82)*(1-(1-$A82)^MIN(B$6,$B$11))/($A82*MIN(B$6,$B$11)))^2)+IF(OR(C$7="",C$8=0),0,C$8*(C$7-R$16*(1-$A82)*(1-(1-$A82)^MIN(C$6,$B$11))/($A82*MIN(C$6,$B$11)))^2)+IF(OR(D$7="",D$8=0),0,D$8*(D$7-R$16*(1-$A82)*(1-(1-$A82)^MIN(D$6,$B$11))/($A82*MIN(D$6,$B$11)))^2)+IF(OR(E$7="",E$8=0),0,E$8*(E$7-R$16*(1-$A82)*(1-(1-$A82)^MIN(E$6,$B$11))/($A82*MIN(E$6,$B$11)))^2)</f>
        <v/>
      </c>
      <c r="S82" s="27">
        <f>IF(OR(B$7="",B$8=0),0,B$8*(B$7-S$16*(1-$A82)*(1-(1-$A82)^MIN(B$6,$B$11))/($A82*MIN(B$6,$B$11)))^2)+IF(OR(C$7="",C$8=0),0,C$8*(C$7-S$16*(1-$A82)*(1-(1-$A82)^MIN(C$6,$B$11))/($A82*MIN(C$6,$B$11)))^2)+IF(OR(D$7="",D$8=0),0,D$8*(D$7-S$16*(1-$A82)*(1-(1-$A82)^MIN(D$6,$B$11))/($A82*MIN(D$6,$B$11)))^2)+IF(OR(E$7="",E$8=0),0,E$8*(E$7-S$16*(1-$A82)*(1-(1-$A82)^MIN(E$6,$B$11))/($A82*MIN(E$6,$B$11)))^2)</f>
        <v/>
      </c>
      <c r="U82" s="27">
        <f>MIN(B82:S82)</f>
        <v/>
      </c>
      <c r="V82" s="17">
        <f>MATCH(U82,B82:S82,0)</f>
        <v/>
      </c>
    </row>
    <row r="83">
      <c r="A83" s="26" t="n">
        <v>0.038</v>
      </c>
      <c r="B83" s="27">
        <f>IF(OR(B$7="",B$8=0),0,B$8*(B$7-B$16*(1-$A83)*(1-(1-$A83)^MIN(B$6,$B$11))/($A83*MIN(B$6,$B$11)))^2)+IF(OR(C$7="",C$8=0),0,C$8*(C$7-B$16*(1-$A83)*(1-(1-$A83)^MIN(C$6,$B$11))/($A83*MIN(C$6,$B$11)))^2)+IF(OR(D$7="",D$8=0),0,D$8*(D$7-B$16*(1-$A83)*(1-(1-$A83)^MIN(D$6,$B$11))/($A83*MIN(D$6,$B$11)))^2)+IF(OR(E$7="",E$8=0),0,E$8*(E$7-B$16*(1-$A83)*(1-(1-$A83)^MIN(E$6,$B$11))/($A83*MIN(E$6,$B$11)))^2)</f>
        <v/>
      </c>
      <c r="C83" s="27">
        <f>IF(OR(B$7="",B$8=0),0,B$8*(B$7-C$16*(1-$A83)*(1-(1-$A83)^MIN(B$6,$B$11))/($A83*MIN(B$6,$B$11)))^2)+IF(OR(C$7="",C$8=0),0,C$8*(C$7-C$16*(1-$A83)*(1-(1-$A83)^MIN(C$6,$B$11))/($A83*MIN(C$6,$B$11)))^2)+IF(OR(D$7="",D$8=0),0,D$8*(D$7-C$16*(1-$A83)*(1-(1-$A83)^MIN(D$6,$B$11))/($A83*MIN(D$6,$B$11)))^2)+IF(OR(E$7="",E$8=0),0,E$8*(E$7-C$16*(1-$A83)*(1-(1-$A83)^MIN(E$6,$B$11))/($A83*MIN(E$6,$B$11)))^2)</f>
        <v/>
      </c>
      <c r="D83" s="27">
        <f>IF(OR(B$7="",B$8=0),0,B$8*(B$7-D$16*(1-$A83)*(1-(1-$A83)^MIN(B$6,$B$11))/($A83*MIN(B$6,$B$11)))^2)+IF(OR(C$7="",C$8=0),0,C$8*(C$7-D$16*(1-$A83)*(1-(1-$A83)^MIN(C$6,$B$11))/($A83*MIN(C$6,$B$11)))^2)+IF(OR(D$7="",D$8=0),0,D$8*(D$7-D$16*(1-$A83)*(1-(1-$A83)^MIN(D$6,$B$11))/($A83*MIN(D$6,$B$11)))^2)+IF(OR(E$7="",E$8=0),0,E$8*(E$7-D$16*(1-$A83)*(1-(1-$A83)^MIN(E$6,$B$11))/($A83*MIN(E$6,$B$11)))^2)</f>
        <v/>
      </c>
      <c r="E83" s="27">
        <f>IF(OR(B$7="",B$8=0),0,B$8*(B$7-E$16*(1-$A83)*(1-(1-$A83)^MIN(B$6,$B$11))/($A83*MIN(B$6,$B$11)))^2)+IF(OR(C$7="",C$8=0),0,C$8*(C$7-E$16*(1-$A83)*(1-(1-$A83)^MIN(C$6,$B$11))/($A83*MIN(C$6,$B$11)))^2)+IF(OR(D$7="",D$8=0),0,D$8*(D$7-E$16*(1-$A83)*(1-(1-$A83)^MIN(D$6,$B$11))/($A83*MIN(D$6,$B$11)))^2)+IF(OR(E$7="",E$8=0),0,E$8*(E$7-E$16*(1-$A83)*(1-(1-$A83)^MIN(E$6,$B$11))/($A83*MIN(E$6,$B$11)))^2)</f>
        <v/>
      </c>
      <c r="F83" s="27">
        <f>IF(OR(B$7="",B$8=0),0,B$8*(B$7-F$16*(1-$A83)*(1-(1-$A83)^MIN(B$6,$B$11))/($A83*MIN(B$6,$B$11)))^2)+IF(OR(C$7="",C$8=0),0,C$8*(C$7-F$16*(1-$A83)*(1-(1-$A83)^MIN(C$6,$B$11))/($A83*MIN(C$6,$B$11)))^2)+IF(OR(D$7="",D$8=0),0,D$8*(D$7-F$16*(1-$A83)*(1-(1-$A83)^MIN(D$6,$B$11))/($A83*MIN(D$6,$B$11)))^2)+IF(OR(E$7="",E$8=0),0,E$8*(E$7-F$16*(1-$A83)*(1-(1-$A83)^MIN(E$6,$B$11))/($A83*MIN(E$6,$B$11)))^2)</f>
        <v/>
      </c>
      <c r="G83" s="27">
        <f>IF(OR(B$7="",B$8=0),0,B$8*(B$7-G$16*(1-$A83)*(1-(1-$A83)^MIN(B$6,$B$11))/($A83*MIN(B$6,$B$11)))^2)+IF(OR(C$7="",C$8=0),0,C$8*(C$7-G$16*(1-$A83)*(1-(1-$A83)^MIN(C$6,$B$11))/($A83*MIN(C$6,$B$11)))^2)+IF(OR(D$7="",D$8=0),0,D$8*(D$7-G$16*(1-$A83)*(1-(1-$A83)^MIN(D$6,$B$11))/($A83*MIN(D$6,$B$11)))^2)+IF(OR(E$7="",E$8=0),0,E$8*(E$7-G$16*(1-$A83)*(1-(1-$A83)^MIN(E$6,$B$11))/($A83*MIN(E$6,$B$11)))^2)</f>
        <v/>
      </c>
      <c r="H83" s="27">
        <f>IF(OR(B$7="",B$8=0),0,B$8*(B$7-H$16*(1-$A83)*(1-(1-$A83)^MIN(B$6,$B$11))/($A83*MIN(B$6,$B$11)))^2)+IF(OR(C$7="",C$8=0),0,C$8*(C$7-H$16*(1-$A83)*(1-(1-$A83)^MIN(C$6,$B$11))/($A83*MIN(C$6,$B$11)))^2)+IF(OR(D$7="",D$8=0),0,D$8*(D$7-H$16*(1-$A83)*(1-(1-$A83)^MIN(D$6,$B$11))/($A83*MIN(D$6,$B$11)))^2)+IF(OR(E$7="",E$8=0),0,E$8*(E$7-H$16*(1-$A83)*(1-(1-$A83)^MIN(E$6,$B$11))/($A83*MIN(E$6,$B$11)))^2)</f>
        <v/>
      </c>
      <c r="I83" s="27">
        <f>IF(OR(B$7="",B$8=0),0,B$8*(B$7-I$16*(1-$A83)*(1-(1-$A83)^MIN(B$6,$B$11))/($A83*MIN(B$6,$B$11)))^2)+IF(OR(C$7="",C$8=0),0,C$8*(C$7-I$16*(1-$A83)*(1-(1-$A83)^MIN(C$6,$B$11))/($A83*MIN(C$6,$B$11)))^2)+IF(OR(D$7="",D$8=0),0,D$8*(D$7-I$16*(1-$A83)*(1-(1-$A83)^MIN(D$6,$B$11))/($A83*MIN(D$6,$B$11)))^2)+IF(OR(E$7="",E$8=0),0,E$8*(E$7-I$16*(1-$A83)*(1-(1-$A83)^MIN(E$6,$B$11))/($A83*MIN(E$6,$B$11)))^2)</f>
        <v/>
      </c>
      <c r="J83" s="27">
        <f>IF(OR(B$7="",B$8=0),0,B$8*(B$7-J$16*(1-$A83)*(1-(1-$A83)^MIN(B$6,$B$11))/($A83*MIN(B$6,$B$11)))^2)+IF(OR(C$7="",C$8=0),0,C$8*(C$7-J$16*(1-$A83)*(1-(1-$A83)^MIN(C$6,$B$11))/($A83*MIN(C$6,$B$11)))^2)+IF(OR(D$7="",D$8=0),0,D$8*(D$7-J$16*(1-$A83)*(1-(1-$A83)^MIN(D$6,$B$11))/($A83*MIN(D$6,$B$11)))^2)+IF(OR(E$7="",E$8=0),0,E$8*(E$7-J$16*(1-$A83)*(1-(1-$A83)^MIN(E$6,$B$11))/($A83*MIN(E$6,$B$11)))^2)</f>
        <v/>
      </c>
      <c r="K83" s="27">
        <f>IF(OR(B$7="",B$8=0),0,B$8*(B$7-K$16*(1-$A83)*(1-(1-$A83)^MIN(B$6,$B$11))/($A83*MIN(B$6,$B$11)))^2)+IF(OR(C$7="",C$8=0),0,C$8*(C$7-K$16*(1-$A83)*(1-(1-$A83)^MIN(C$6,$B$11))/($A83*MIN(C$6,$B$11)))^2)+IF(OR(D$7="",D$8=0),0,D$8*(D$7-K$16*(1-$A83)*(1-(1-$A83)^MIN(D$6,$B$11))/($A83*MIN(D$6,$B$11)))^2)+IF(OR(E$7="",E$8=0),0,E$8*(E$7-K$16*(1-$A83)*(1-(1-$A83)^MIN(E$6,$B$11))/($A83*MIN(E$6,$B$11)))^2)</f>
        <v/>
      </c>
      <c r="L83" s="27">
        <f>IF(OR(B$7="",B$8=0),0,B$8*(B$7-L$16*(1-$A83)*(1-(1-$A83)^MIN(B$6,$B$11))/($A83*MIN(B$6,$B$11)))^2)+IF(OR(C$7="",C$8=0),0,C$8*(C$7-L$16*(1-$A83)*(1-(1-$A83)^MIN(C$6,$B$11))/($A83*MIN(C$6,$B$11)))^2)+IF(OR(D$7="",D$8=0),0,D$8*(D$7-L$16*(1-$A83)*(1-(1-$A83)^MIN(D$6,$B$11))/($A83*MIN(D$6,$B$11)))^2)+IF(OR(E$7="",E$8=0),0,E$8*(E$7-L$16*(1-$A83)*(1-(1-$A83)^MIN(E$6,$B$11))/($A83*MIN(E$6,$B$11)))^2)</f>
        <v/>
      </c>
      <c r="M83" s="27">
        <f>IF(OR(B$7="",B$8=0),0,B$8*(B$7-M$16*(1-$A83)*(1-(1-$A83)^MIN(B$6,$B$11))/($A83*MIN(B$6,$B$11)))^2)+IF(OR(C$7="",C$8=0),0,C$8*(C$7-M$16*(1-$A83)*(1-(1-$A83)^MIN(C$6,$B$11))/($A83*MIN(C$6,$B$11)))^2)+IF(OR(D$7="",D$8=0),0,D$8*(D$7-M$16*(1-$A83)*(1-(1-$A83)^MIN(D$6,$B$11))/($A83*MIN(D$6,$B$11)))^2)+IF(OR(E$7="",E$8=0),0,E$8*(E$7-M$16*(1-$A83)*(1-(1-$A83)^MIN(E$6,$B$11))/($A83*MIN(E$6,$B$11)))^2)</f>
        <v/>
      </c>
      <c r="N83" s="27">
        <f>IF(OR(B$7="",B$8=0),0,B$8*(B$7-N$16*(1-$A83)*(1-(1-$A83)^MIN(B$6,$B$11))/($A83*MIN(B$6,$B$11)))^2)+IF(OR(C$7="",C$8=0),0,C$8*(C$7-N$16*(1-$A83)*(1-(1-$A83)^MIN(C$6,$B$11))/($A83*MIN(C$6,$B$11)))^2)+IF(OR(D$7="",D$8=0),0,D$8*(D$7-N$16*(1-$A83)*(1-(1-$A83)^MIN(D$6,$B$11))/($A83*MIN(D$6,$B$11)))^2)+IF(OR(E$7="",E$8=0),0,E$8*(E$7-N$16*(1-$A83)*(1-(1-$A83)^MIN(E$6,$B$11))/($A83*MIN(E$6,$B$11)))^2)</f>
        <v/>
      </c>
      <c r="O83" s="27">
        <f>IF(OR(B$7="",B$8=0),0,B$8*(B$7-O$16*(1-$A83)*(1-(1-$A83)^MIN(B$6,$B$11))/($A83*MIN(B$6,$B$11)))^2)+IF(OR(C$7="",C$8=0),0,C$8*(C$7-O$16*(1-$A83)*(1-(1-$A83)^MIN(C$6,$B$11))/($A83*MIN(C$6,$B$11)))^2)+IF(OR(D$7="",D$8=0),0,D$8*(D$7-O$16*(1-$A83)*(1-(1-$A83)^MIN(D$6,$B$11))/($A83*MIN(D$6,$B$11)))^2)+IF(OR(E$7="",E$8=0),0,E$8*(E$7-O$16*(1-$A83)*(1-(1-$A83)^MIN(E$6,$B$11))/($A83*MIN(E$6,$B$11)))^2)</f>
        <v/>
      </c>
      <c r="P83" s="27">
        <f>IF(OR(B$7="",B$8=0),0,B$8*(B$7-P$16*(1-$A83)*(1-(1-$A83)^MIN(B$6,$B$11))/($A83*MIN(B$6,$B$11)))^2)+IF(OR(C$7="",C$8=0),0,C$8*(C$7-P$16*(1-$A83)*(1-(1-$A83)^MIN(C$6,$B$11))/($A83*MIN(C$6,$B$11)))^2)+IF(OR(D$7="",D$8=0),0,D$8*(D$7-P$16*(1-$A83)*(1-(1-$A83)^MIN(D$6,$B$11))/($A83*MIN(D$6,$B$11)))^2)+IF(OR(E$7="",E$8=0),0,E$8*(E$7-P$16*(1-$A83)*(1-(1-$A83)^MIN(E$6,$B$11))/($A83*MIN(E$6,$B$11)))^2)</f>
        <v/>
      </c>
      <c r="Q83" s="27">
        <f>IF(OR(B$7="",B$8=0),0,B$8*(B$7-Q$16*(1-$A83)*(1-(1-$A83)^MIN(B$6,$B$11))/($A83*MIN(B$6,$B$11)))^2)+IF(OR(C$7="",C$8=0),0,C$8*(C$7-Q$16*(1-$A83)*(1-(1-$A83)^MIN(C$6,$B$11))/($A83*MIN(C$6,$B$11)))^2)+IF(OR(D$7="",D$8=0),0,D$8*(D$7-Q$16*(1-$A83)*(1-(1-$A83)^MIN(D$6,$B$11))/($A83*MIN(D$6,$B$11)))^2)+IF(OR(E$7="",E$8=0),0,E$8*(E$7-Q$16*(1-$A83)*(1-(1-$A83)^MIN(E$6,$B$11))/($A83*MIN(E$6,$B$11)))^2)</f>
        <v/>
      </c>
      <c r="R83" s="27">
        <f>IF(OR(B$7="",B$8=0),0,B$8*(B$7-R$16*(1-$A83)*(1-(1-$A83)^MIN(B$6,$B$11))/($A83*MIN(B$6,$B$11)))^2)+IF(OR(C$7="",C$8=0),0,C$8*(C$7-R$16*(1-$A83)*(1-(1-$A83)^MIN(C$6,$B$11))/($A83*MIN(C$6,$B$11)))^2)+IF(OR(D$7="",D$8=0),0,D$8*(D$7-R$16*(1-$A83)*(1-(1-$A83)^MIN(D$6,$B$11))/($A83*MIN(D$6,$B$11)))^2)+IF(OR(E$7="",E$8=0),0,E$8*(E$7-R$16*(1-$A83)*(1-(1-$A83)^MIN(E$6,$B$11))/($A83*MIN(E$6,$B$11)))^2)</f>
        <v/>
      </c>
      <c r="S83" s="27">
        <f>IF(OR(B$7="",B$8=0),0,B$8*(B$7-S$16*(1-$A83)*(1-(1-$A83)^MIN(B$6,$B$11))/($A83*MIN(B$6,$B$11)))^2)+IF(OR(C$7="",C$8=0),0,C$8*(C$7-S$16*(1-$A83)*(1-(1-$A83)^MIN(C$6,$B$11))/($A83*MIN(C$6,$B$11)))^2)+IF(OR(D$7="",D$8=0),0,D$8*(D$7-S$16*(1-$A83)*(1-(1-$A83)^MIN(D$6,$B$11))/($A83*MIN(D$6,$B$11)))^2)+IF(OR(E$7="",E$8=0),0,E$8*(E$7-S$16*(1-$A83)*(1-(1-$A83)^MIN(E$6,$B$11))/($A83*MIN(E$6,$B$11)))^2)</f>
        <v/>
      </c>
      <c r="U83" s="27">
        <f>MIN(B83:S83)</f>
        <v/>
      </c>
      <c r="V83" s="17">
        <f>MATCH(U83,B83:S83,0)</f>
        <v/>
      </c>
    </row>
    <row r="84">
      <c r="A84" s="26" t="n">
        <v>0.0385</v>
      </c>
      <c r="B84" s="27">
        <f>IF(OR(B$7="",B$8=0),0,B$8*(B$7-B$16*(1-$A84)*(1-(1-$A84)^MIN(B$6,$B$11))/($A84*MIN(B$6,$B$11)))^2)+IF(OR(C$7="",C$8=0),0,C$8*(C$7-B$16*(1-$A84)*(1-(1-$A84)^MIN(C$6,$B$11))/($A84*MIN(C$6,$B$11)))^2)+IF(OR(D$7="",D$8=0),0,D$8*(D$7-B$16*(1-$A84)*(1-(1-$A84)^MIN(D$6,$B$11))/($A84*MIN(D$6,$B$11)))^2)+IF(OR(E$7="",E$8=0),0,E$8*(E$7-B$16*(1-$A84)*(1-(1-$A84)^MIN(E$6,$B$11))/($A84*MIN(E$6,$B$11)))^2)</f>
        <v/>
      </c>
      <c r="C84" s="27">
        <f>IF(OR(B$7="",B$8=0),0,B$8*(B$7-C$16*(1-$A84)*(1-(1-$A84)^MIN(B$6,$B$11))/($A84*MIN(B$6,$B$11)))^2)+IF(OR(C$7="",C$8=0),0,C$8*(C$7-C$16*(1-$A84)*(1-(1-$A84)^MIN(C$6,$B$11))/($A84*MIN(C$6,$B$11)))^2)+IF(OR(D$7="",D$8=0),0,D$8*(D$7-C$16*(1-$A84)*(1-(1-$A84)^MIN(D$6,$B$11))/($A84*MIN(D$6,$B$11)))^2)+IF(OR(E$7="",E$8=0),0,E$8*(E$7-C$16*(1-$A84)*(1-(1-$A84)^MIN(E$6,$B$11))/($A84*MIN(E$6,$B$11)))^2)</f>
        <v/>
      </c>
      <c r="D84" s="27">
        <f>IF(OR(B$7="",B$8=0),0,B$8*(B$7-D$16*(1-$A84)*(1-(1-$A84)^MIN(B$6,$B$11))/($A84*MIN(B$6,$B$11)))^2)+IF(OR(C$7="",C$8=0),0,C$8*(C$7-D$16*(1-$A84)*(1-(1-$A84)^MIN(C$6,$B$11))/($A84*MIN(C$6,$B$11)))^2)+IF(OR(D$7="",D$8=0),0,D$8*(D$7-D$16*(1-$A84)*(1-(1-$A84)^MIN(D$6,$B$11))/($A84*MIN(D$6,$B$11)))^2)+IF(OR(E$7="",E$8=0),0,E$8*(E$7-D$16*(1-$A84)*(1-(1-$A84)^MIN(E$6,$B$11))/($A84*MIN(E$6,$B$11)))^2)</f>
        <v/>
      </c>
      <c r="E84" s="27">
        <f>IF(OR(B$7="",B$8=0),0,B$8*(B$7-E$16*(1-$A84)*(1-(1-$A84)^MIN(B$6,$B$11))/($A84*MIN(B$6,$B$11)))^2)+IF(OR(C$7="",C$8=0),0,C$8*(C$7-E$16*(1-$A84)*(1-(1-$A84)^MIN(C$6,$B$11))/($A84*MIN(C$6,$B$11)))^2)+IF(OR(D$7="",D$8=0),0,D$8*(D$7-E$16*(1-$A84)*(1-(1-$A84)^MIN(D$6,$B$11))/($A84*MIN(D$6,$B$11)))^2)+IF(OR(E$7="",E$8=0),0,E$8*(E$7-E$16*(1-$A84)*(1-(1-$A84)^MIN(E$6,$B$11))/($A84*MIN(E$6,$B$11)))^2)</f>
        <v/>
      </c>
      <c r="F84" s="27">
        <f>IF(OR(B$7="",B$8=0),0,B$8*(B$7-F$16*(1-$A84)*(1-(1-$A84)^MIN(B$6,$B$11))/($A84*MIN(B$6,$B$11)))^2)+IF(OR(C$7="",C$8=0),0,C$8*(C$7-F$16*(1-$A84)*(1-(1-$A84)^MIN(C$6,$B$11))/($A84*MIN(C$6,$B$11)))^2)+IF(OR(D$7="",D$8=0),0,D$8*(D$7-F$16*(1-$A84)*(1-(1-$A84)^MIN(D$6,$B$11))/($A84*MIN(D$6,$B$11)))^2)+IF(OR(E$7="",E$8=0),0,E$8*(E$7-F$16*(1-$A84)*(1-(1-$A84)^MIN(E$6,$B$11))/($A84*MIN(E$6,$B$11)))^2)</f>
        <v/>
      </c>
      <c r="G84" s="27">
        <f>IF(OR(B$7="",B$8=0),0,B$8*(B$7-G$16*(1-$A84)*(1-(1-$A84)^MIN(B$6,$B$11))/($A84*MIN(B$6,$B$11)))^2)+IF(OR(C$7="",C$8=0),0,C$8*(C$7-G$16*(1-$A84)*(1-(1-$A84)^MIN(C$6,$B$11))/($A84*MIN(C$6,$B$11)))^2)+IF(OR(D$7="",D$8=0),0,D$8*(D$7-G$16*(1-$A84)*(1-(1-$A84)^MIN(D$6,$B$11))/($A84*MIN(D$6,$B$11)))^2)+IF(OR(E$7="",E$8=0),0,E$8*(E$7-G$16*(1-$A84)*(1-(1-$A84)^MIN(E$6,$B$11))/($A84*MIN(E$6,$B$11)))^2)</f>
        <v/>
      </c>
      <c r="H84" s="27">
        <f>IF(OR(B$7="",B$8=0),0,B$8*(B$7-H$16*(1-$A84)*(1-(1-$A84)^MIN(B$6,$B$11))/($A84*MIN(B$6,$B$11)))^2)+IF(OR(C$7="",C$8=0),0,C$8*(C$7-H$16*(1-$A84)*(1-(1-$A84)^MIN(C$6,$B$11))/($A84*MIN(C$6,$B$11)))^2)+IF(OR(D$7="",D$8=0),0,D$8*(D$7-H$16*(1-$A84)*(1-(1-$A84)^MIN(D$6,$B$11))/($A84*MIN(D$6,$B$11)))^2)+IF(OR(E$7="",E$8=0),0,E$8*(E$7-H$16*(1-$A84)*(1-(1-$A84)^MIN(E$6,$B$11))/($A84*MIN(E$6,$B$11)))^2)</f>
        <v/>
      </c>
      <c r="I84" s="27">
        <f>IF(OR(B$7="",B$8=0),0,B$8*(B$7-I$16*(1-$A84)*(1-(1-$A84)^MIN(B$6,$B$11))/($A84*MIN(B$6,$B$11)))^2)+IF(OR(C$7="",C$8=0),0,C$8*(C$7-I$16*(1-$A84)*(1-(1-$A84)^MIN(C$6,$B$11))/($A84*MIN(C$6,$B$11)))^2)+IF(OR(D$7="",D$8=0),0,D$8*(D$7-I$16*(1-$A84)*(1-(1-$A84)^MIN(D$6,$B$11))/($A84*MIN(D$6,$B$11)))^2)+IF(OR(E$7="",E$8=0),0,E$8*(E$7-I$16*(1-$A84)*(1-(1-$A84)^MIN(E$6,$B$11))/($A84*MIN(E$6,$B$11)))^2)</f>
        <v/>
      </c>
      <c r="J84" s="27">
        <f>IF(OR(B$7="",B$8=0),0,B$8*(B$7-J$16*(1-$A84)*(1-(1-$A84)^MIN(B$6,$B$11))/($A84*MIN(B$6,$B$11)))^2)+IF(OR(C$7="",C$8=0),0,C$8*(C$7-J$16*(1-$A84)*(1-(1-$A84)^MIN(C$6,$B$11))/($A84*MIN(C$6,$B$11)))^2)+IF(OR(D$7="",D$8=0),0,D$8*(D$7-J$16*(1-$A84)*(1-(1-$A84)^MIN(D$6,$B$11))/($A84*MIN(D$6,$B$11)))^2)+IF(OR(E$7="",E$8=0),0,E$8*(E$7-J$16*(1-$A84)*(1-(1-$A84)^MIN(E$6,$B$11))/($A84*MIN(E$6,$B$11)))^2)</f>
        <v/>
      </c>
      <c r="K84" s="27">
        <f>IF(OR(B$7="",B$8=0),0,B$8*(B$7-K$16*(1-$A84)*(1-(1-$A84)^MIN(B$6,$B$11))/($A84*MIN(B$6,$B$11)))^2)+IF(OR(C$7="",C$8=0),0,C$8*(C$7-K$16*(1-$A84)*(1-(1-$A84)^MIN(C$6,$B$11))/($A84*MIN(C$6,$B$11)))^2)+IF(OR(D$7="",D$8=0),0,D$8*(D$7-K$16*(1-$A84)*(1-(1-$A84)^MIN(D$6,$B$11))/($A84*MIN(D$6,$B$11)))^2)+IF(OR(E$7="",E$8=0),0,E$8*(E$7-K$16*(1-$A84)*(1-(1-$A84)^MIN(E$6,$B$11))/($A84*MIN(E$6,$B$11)))^2)</f>
        <v/>
      </c>
      <c r="L84" s="27">
        <f>IF(OR(B$7="",B$8=0),0,B$8*(B$7-L$16*(1-$A84)*(1-(1-$A84)^MIN(B$6,$B$11))/($A84*MIN(B$6,$B$11)))^2)+IF(OR(C$7="",C$8=0),0,C$8*(C$7-L$16*(1-$A84)*(1-(1-$A84)^MIN(C$6,$B$11))/($A84*MIN(C$6,$B$11)))^2)+IF(OR(D$7="",D$8=0),0,D$8*(D$7-L$16*(1-$A84)*(1-(1-$A84)^MIN(D$6,$B$11))/($A84*MIN(D$6,$B$11)))^2)+IF(OR(E$7="",E$8=0),0,E$8*(E$7-L$16*(1-$A84)*(1-(1-$A84)^MIN(E$6,$B$11))/($A84*MIN(E$6,$B$11)))^2)</f>
        <v/>
      </c>
      <c r="M84" s="27">
        <f>IF(OR(B$7="",B$8=0),0,B$8*(B$7-M$16*(1-$A84)*(1-(1-$A84)^MIN(B$6,$B$11))/($A84*MIN(B$6,$B$11)))^2)+IF(OR(C$7="",C$8=0),0,C$8*(C$7-M$16*(1-$A84)*(1-(1-$A84)^MIN(C$6,$B$11))/($A84*MIN(C$6,$B$11)))^2)+IF(OR(D$7="",D$8=0),0,D$8*(D$7-M$16*(1-$A84)*(1-(1-$A84)^MIN(D$6,$B$11))/($A84*MIN(D$6,$B$11)))^2)+IF(OR(E$7="",E$8=0),0,E$8*(E$7-M$16*(1-$A84)*(1-(1-$A84)^MIN(E$6,$B$11))/($A84*MIN(E$6,$B$11)))^2)</f>
        <v/>
      </c>
      <c r="N84" s="27">
        <f>IF(OR(B$7="",B$8=0),0,B$8*(B$7-N$16*(1-$A84)*(1-(1-$A84)^MIN(B$6,$B$11))/($A84*MIN(B$6,$B$11)))^2)+IF(OR(C$7="",C$8=0),0,C$8*(C$7-N$16*(1-$A84)*(1-(1-$A84)^MIN(C$6,$B$11))/($A84*MIN(C$6,$B$11)))^2)+IF(OR(D$7="",D$8=0),0,D$8*(D$7-N$16*(1-$A84)*(1-(1-$A84)^MIN(D$6,$B$11))/($A84*MIN(D$6,$B$11)))^2)+IF(OR(E$7="",E$8=0),0,E$8*(E$7-N$16*(1-$A84)*(1-(1-$A84)^MIN(E$6,$B$11))/($A84*MIN(E$6,$B$11)))^2)</f>
        <v/>
      </c>
      <c r="O84" s="27">
        <f>IF(OR(B$7="",B$8=0),0,B$8*(B$7-O$16*(1-$A84)*(1-(1-$A84)^MIN(B$6,$B$11))/($A84*MIN(B$6,$B$11)))^2)+IF(OR(C$7="",C$8=0),0,C$8*(C$7-O$16*(1-$A84)*(1-(1-$A84)^MIN(C$6,$B$11))/($A84*MIN(C$6,$B$11)))^2)+IF(OR(D$7="",D$8=0),0,D$8*(D$7-O$16*(1-$A84)*(1-(1-$A84)^MIN(D$6,$B$11))/($A84*MIN(D$6,$B$11)))^2)+IF(OR(E$7="",E$8=0),0,E$8*(E$7-O$16*(1-$A84)*(1-(1-$A84)^MIN(E$6,$B$11))/($A84*MIN(E$6,$B$11)))^2)</f>
        <v/>
      </c>
      <c r="P84" s="27">
        <f>IF(OR(B$7="",B$8=0),0,B$8*(B$7-P$16*(1-$A84)*(1-(1-$A84)^MIN(B$6,$B$11))/($A84*MIN(B$6,$B$11)))^2)+IF(OR(C$7="",C$8=0),0,C$8*(C$7-P$16*(1-$A84)*(1-(1-$A84)^MIN(C$6,$B$11))/($A84*MIN(C$6,$B$11)))^2)+IF(OR(D$7="",D$8=0),0,D$8*(D$7-P$16*(1-$A84)*(1-(1-$A84)^MIN(D$6,$B$11))/($A84*MIN(D$6,$B$11)))^2)+IF(OR(E$7="",E$8=0),0,E$8*(E$7-P$16*(1-$A84)*(1-(1-$A84)^MIN(E$6,$B$11))/($A84*MIN(E$6,$B$11)))^2)</f>
        <v/>
      </c>
      <c r="Q84" s="27">
        <f>IF(OR(B$7="",B$8=0),0,B$8*(B$7-Q$16*(1-$A84)*(1-(1-$A84)^MIN(B$6,$B$11))/($A84*MIN(B$6,$B$11)))^2)+IF(OR(C$7="",C$8=0),0,C$8*(C$7-Q$16*(1-$A84)*(1-(1-$A84)^MIN(C$6,$B$11))/($A84*MIN(C$6,$B$11)))^2)+IF(OR(D$7="",D$8=0),0,D$8*(D$7-Q$16*(1-$A84)*(1-(1-$A84)^MIN(D$6,$B$11))/($A84*MIN(D$6,$B$11)))^2)+IF(OR(E$7="",E$8=0),0,E$8*(E$7-Q$16*(1-$A84)*(1-(1-$A84)^MIN(E$6,$B$11))/($A84*MIN(E$6,$B$11)))^2)</f>
        <v/>
      </c>
      <c r="R84" s="27">
        <f>IF(OR(B$7="",B$8=0),0,B$8*(B$7-R$16*(1-$A84)*(1-(1-$A84)^MIN(B$6,$B$11))/($A84*MIN(B$6,$B$11)))^2)+IF(OR(C$7="",C$8=0),0,C$8*(C$7-R$16*(1-$A84)*(1-(1-$A84)^MIN(C$6,$B$11))/($A84*MIN(C$6,$B$11)))^2)+IF(OR(D$7="",D$8=0),0,D$8*(D$7-R$16*(1-$A84)*(1-(1-$A84)^MIN(D$6,$B$11))/($A84*MIN(D$6,$B$11)))^2)+IF(OR(E$7="",E$8=0),0,E$8*(E$7-R$16*(1-$A84)*(1-(1-$A84)^MIN(E$6,$B$11))/($A84*MIN(E$6,$B$11)))^2)</f>
        <v/>
      </c>
      <c r="S84" s="27">
        <f>IF(OR(B$7="",B$8=0),0,B$8*(B$7-S$16*(1-$A84)*(1-(1-$A84)^MIN(B$6,$B$11))/($A84*MIN(B$6,$B$11)))^2)+IF(OR(C$7="",C$8=0),0,C$8*(C$7-S$16*(1-$A84)*(1-(1-$A84)^MIN(C$6,$B$11))/($A84*MIN(C$6,$B$11)))^2)+IF(OR(D$7="",D$8=0),0,D$8*(D$7-S$16*(1-$A84)*(1-(1-$A84)^MIN(D$6,$B$11))/($A84*MIN(D$6,$B$11)))^2)+IF(OR(E$7="",E$8=0),0,E$8*(E$7-S$16*(1-$A84)*(1-(1-$A84)^MIN(E$6,$B$11))/($A84*MIN(E$6,$B$11)))^2)</f>
        <v/>
      </c>
      <c r="U84" s="27">
        <f>MIN(B84:S84)</f>
        <v/>
      </c>
      <c r="V84" s="17">
        <f>MATCH(U84,B84:S84,0)</f>
        <v/>
      </c>
    </row>
    <row r="85">
      <c r="A85" s="26" t="n">
        <v>0.039</v>
      </c>
      <c r="B85" s="27">
        <f>IF(OR(B$7="",B$8=0),0,B$8*(B$7-B$16*(1-$A85)*(1-(1-$A85)^MIN(B$6,$B$11))/($A85*MIN(B$6,$B$11)))^2)+IF(OR(C$7="",C$8=0),0,C$8*(C$7-B$16*(1-$A85)*(1-(1-$A85)^MIN(C$6,$B$11))/($A85*MIN(C$6,$B$11)))^2)+IF(OR(D$7="",D$8=0),0,D$8*(D$7-B$16*(1-$A85)*(1-(1-$A85)^MIN(D$6,$B$11))/($A85*MIN(D$6,$B$11)))^2)+IF(OR(E$7="",E$8=0),0,E$8*(E$7-B$16*(1-$A85)*(1-(1-$A85)^MIN(E$6,$B$11))/($A85*MIN(E$6,$B$11)))^2)</f>
        <v/>
      </c>
      <c r="C85" s="27">
        <f>IF(OR(B$7="",B$8=0),0,B$8*(B$7-C$16*(1-$A85)*(1-(1-$A85)^MIN(B$6,$B$11))/($A85*MIN(B$6,$B$11)))^2)+IF(OR(C$7="",C$8=0),0,C$8*(C$7-C$16*(1-$A85)*(1-(1-$A85)^MIN(C$6,$B$11))/($A85*MIN(C$6,$B$11)))^2)+IF(OR(D$7="",D$8=0),0,D$8*(D$7-C$16*(1-$A85)*(1-(1-$A85)^MIN(D$6,$B$11))/($A85*MIN(D$6,$B$11)))^2)+IF(OR(E$7="",E$8=0),0,E$8*(E$7-C$16*(1-$A85)*(1-(1-$A85)^MIN(E$6,$B$11))/($A85*MIN(E$6,$B$11)))^2)</f>
        <v/>
      </c>
      <c r="D85" s="27">
        <f>IF(OR(B$7="",B$8=0),0,B$8*(B$7-D$16*(1-$A85)*(1-(1-$A85)^MIN(B$6,$B$11))/($A85*MIN(B$6,$B$11)))^2)+IF(OR(C$7="",C$8=0),0,C$8*(C$7-D$16*(1-$A85)*(1-(1-$A85)^MIN(C$6,$B$11))/($A85*MIN(C$6,$B$11)))^2)+IF(OR(D$7="",D$8=0),0,D$8*(D$7-D$16*(1-$A85)*(1-(1-$A85)^MIN(D$6,$B$11))/($A85*MIN(D$6,$B$11)))^2)+IF(OR(E$7="",E$8=0),0,E$8*(E$7-D$16*(1-$A85)*(1-(1-$A85)^MIN(E$6,$B$11))/($A85*MIN(E$6,$B$11)))^2)</f>
        <v/>
      </c>
      <c r="E85" s="27">
        <f>IF(OR(B$7="",B$8=0),0,B$8*(B$7-E$16*(1-$A85)*(1-(1-$A85)^MIN(B$6,$B$11))/($A85*MIN(B$6,$B$11)))^2)+IF(OR(C$7="",C$8=0),0,C$8*(C$7-E$16*(1-$A85)*(1-(1-$A85)^MIN(C$6,$B$11))/($A85*MIN(C$6,$B$11)))^2)+IF(OR(D$7="",D$8=0),0,D$8*(D$7-E$16*(1-$A85)*(1-(1-$A85)^MIN(D$6,$B$11))/($A85*MIN(D$6,$B$11)))^2)+IF(OR(E$7="",E$8=0),0,E$8*(E$7-E$16*(1-$A85)*(1-(1-$A85)^MIN(E$6,$B$11))/($A85*MIN(E$6,$B$11)))^2)</f>
        <v/>
      </c>
      <c r="F85" s="27">
        <f>IF(OR(B$7="",B$8=0),0,B$8*(B$7-F$16*(1-$A85)*(1-(1-$A85)^MIN(B$6,$B$11))/($A85*MIN(B$6,$B$11)))^2)+IF(OR(C$7="",C$8=0),0,C$8*(C$7-F$16*(1-$A85)*(1-(1-$A85)^MIN(C$6,$B$11))/($A85*MIN(C$6,$B$11)))^2)+IF(OR(D$7="",D$8=0),0,D$8*(D$7-F$16*(1-$A85)*(1-(1-$A85)^MIN(D$6,$B$11))/($A85*MIN(D$6,$B$11)))^2)+IF(OR(E$7="",E$8=0),0,E$8*(E$7-F$16*(1-$A85)*(1-(1-$A85)^MIN(E$6,$B$11))/($A85*MIN(E$6,$B$11)))^2)</f>
        <v/>
      </c>
      <c r="G85" s="27">
        <f>IF(OR(B$7="",B$8=0),0,B$8*(B$7-G$16*(1-$A85)*(1-(1-$A85)^MIN(B$6,$B$11))/($A85*MIN(B$6,$B$11)))^2)+IF(OR(C$7="",C$8=0),0,C$8*(C$7-G$16*(1-$A85)*(1-(1-$A85)^MIN(C$6,$B$11))/($A85*MIN(C$6,$B$11)))^2)+IF(OR(D$7="",D$8=0),0,D$8*(D$7-G$16*(1-$A85)*(1-(1-$A85)^MIN(D$6,$B$11))/($A85*MIN(D$6,$B$11)))^2)+IF(OR(E$7="",E$8=0),0,E$8*(E$7-G$16*(1-$A85)*(1-(1-$A85)^MIN(E$6,$B$11))/($A85*MIN(E$6,$B$11)))^2)</f>
        <v/>
      </c>
      <c r="H85" s="27">
        <f>IF(OR(B$7="",B$8=0),0,B$8*(B$7-H$16*(1-$A85)*(1-(1-$A85)^MIN(B$6,$B$11))/($A85*MIN(B$6,$B$11)))^2)+IF(OR(C$7="",C$8=0),0,C$8*(C$7-H$16*(1-$A85)*(1-(1-$A85)^MIN(C$6,$B$11))/($A85*MIN(C$6,$B$11)))^2)+IF(OR(D$7="",D$8=0),0,D$8*(D$7-H$16*(1-$A85)*(1-(1-$A85)^MIN(D$6,$B$11))/($A85*MIN(D$6,$B$11)))^2)+IF(OR(E$7="",E$8=0),0,E$8*(E$7-H$16*(1-$A85)*(1-(1-$A85)^MIN(E$6,$B$11))/($A85*MIN(E$6,$B$11)))^2)</f>
        <v/>
      </c>
      <c r="I85" s="27">
        <f>IF(OR(B$7="",B$8=0),0,B$8*(B$7-I$16*(1-$A85)*(1-(1-$A85)^MIN(B$6,$B$11))/($A85*MIN(B$6,$B$11)))^2)+IF(OR(C$7="",C$8=0),0,C$8*(C$7-I$16*(1-$A85)*(1-(1-$A85)^MIN(C$6,$B$11))/($A85*MIN(C$6,$B$11)))^2)+IF(OR(D$7="",D$8=0),0,D$8*(D$7-I$16*(1-$A85)*(1-(1-$A85)^MIN(D$6,$B$11))/($A85*MIN(D$6,$B$11)))^2)+IF(OR(E$7="",E$8=0),0,E$8*(E$7-I$16*(1-$A85)*(1-(1-$A85)^MIN(E$6,$B$11))/($A85*MIN(E$6,$B$11)))^2)</f>
        <v/>
      </c>
      <c r="J85" s="27">
        <f>IF(OR(B$7="",B$8=0),0,B$8*(B$7-J$16*(1-$A85)*(1-(1-$A85)^MIN(B$6,$B$11))/($A85*MIN(B$6,$B$11)))^2)+IF(OR(C$7="",C$8=0),0,C$8*(C$7-J$16*(1-$A85)*(1-(1-$A85)^MIN(C$6,$B$11))/($A85*MIN(C$6,$B$11)))^2)+IF(OR(D$7="",D$8=0),0,D$8*(D$7-J$16*(1-$A85)*(1-(1-$A85)^MIN(D$6,$B$11))/($A85*MIN(D$6,$B$11)))^2)+IF(OR(E$7="",E$8=0),0,E$8*(E$7-J$16*(1-$A85)*(1-(1-$A85)^MIN(E$6,$B$11))/($A85*MIN(E$6,$B$11)))^2)</f>
        <v/>
      </c>
      <c r="K85" s="27">
        <f>IF(OR(B$7="",B$8=0),0,B$8*(B$7-K$16*(1-$A85)*(1-(1-$A85)^MIN(B$6,$B$11))/($A85*MIN(B$6,$B$11)))^2)+IF(OR(C$7="",C$8=0),0,C$8*(C$7-K$16*(1-$A85)*(1-(1-$A85)^MIN(C$6,$B$11))/($A85*MIN(C$6,$B$11)))^2)+IF(OR(D$7="",D$8=0),0,D$8*(D$7-K$16*(1-$A85)*(1-(1-$A85)^MIN(D$6,$B$11))/($A85*MIN(D$6,$B$11)))^2)+IF(OR(E$7="",E$8=0),0,E$8*(E$7-K$16*(1-$A85)*(1-(1-$A85)^MIN(E$6,$B$11))/($A85*MIN(E$6,$B$11)))^2)</f>
        <v/>
      </c>
      <c r="L85" s="27">
        <f>IF(OR(B$7="",B$8=0),0,B$8*(B$7-L$16*(1-$A85)*(1-(1-$A85)^MIN(B$6,$B$11))/($A85*MIN(B$6,$B$11)))^2)+IF(OR(C$7="",C$8=0),0,C$8*(C$7-L$16*(1-$A85)*(1-(1-$A85)^MIN(C$6,$B$11))/($A85*MIN(C$6,$B$11)))^2)+IF(OR(D$7="",D$8=0),0,D$8*(D$7-L$16*(1-$A85)*(1-(1-$A85)^MIN(D$6,$B$11))/($A85*MIN(D$6,$B$11)))^2)+IF(OR(E$7="",E$8=0),0,E$8*(E$7-L$16*(1-$A85)*(1-(1-$A85)^MIN(E$6,$B$11))/($A85*MIN(E$6,$B$11)))^2)</f>
        <v/>
      </c>
      <c r="M85" s="27">
        <f>IF(OR(B$7="",B$8=0),0,B$8*(B$7-M$16*(1-$A85)*(1-(1-$A85)^MIN(B$6,$B$11))/($A85*MIN(B$6,$B$11)))^2)+IF(OR(C$7="",C$8=0),0,C$8*(C$7-M$16*(1-$A85)*(1-(1-$A85)^MIN(C$6,$B$11))/($A85*MIN(C$6,$B$11)))^2)+IF(OR(D$7="",D$8=0),0,D$8*(D$7-M$16*(1-$A85)*(1-(1-$A85)^MIN(D$6,$B$11))/($A85*MIN(D$6,$B$11)))^2)+IF(OR(E$7="",E$8=0),0,E$8*(E$7-M$16*(1-$A85)*(1-(1-$A85)^MIN(E$6,$B$11))/($A85*MIN(E$6,$B$11)))^2)</f>
        <v/>
      </c>
      <c r="N85" s="27">
        <f>IF(OR(B$7="",B$8=0),0,B$8*(B$7-N$16*(1-$A85)*(1-(1-$A85)^MIN(B$6,$B$11))/($A85*MIN(B$6,$B$11)))^2)+IF(OR(C$7="",C$8=0),0,C$8*(C$7-N$16*(1-$A85)*(1-(1-$A85)^MIN(C$6,$B$11))/($A85*MIN(C$6,$B$11)))^2)+IF(OR(D$7="",D$8=0),0,D$8*(D$7-N$16*(1-$A85)*(1-(1-$A85)^MIN(D$6,$B$11))/($A85*MIN(D$6,$B$11)))^2)+IF(OR(E$7="",E$8=0),0,E$8*(E$7-N$16*(1-$A85)*(1-(1-$A85)^MIN(E$6,$B$11))/($A85*MIN(E$6,$B$11)))^2)</f>
        <v/>
      </c>
      <c r="O85" s="27">
        <f>IF(OR(B$7="",B$8=0),0,B$8*(B$7-O$16*(1-$A85)*(1-(1-$A85)^MIN(B$6,$B$11))/($A85*MIN(B$6,$B$11)))^2)+IF(OR(C$7="",C$8=0),0,C$8*(C$7-O$16*(1-$A85)*(1-(1-$A85)^MIN(C$6,$B$11))/($A85*MIN(C$6,$B$11)))^2)+IF(OR(D$7="",D$8=0),0,D$8*(D$7-O$16*(1-$A85)*(1-(1-$A85)^MIN(D$6,$B$11))/($A85*MIN(D$6,$B$11)))^2)+IF(OR(E$7="",E$8=0),0,E$8*(E$7-O$16*(1-$A85)*(1-(1-$A85)^MIN(E$6,$B$11))/($A85*MIN(E$6,$B$11)))^2)</f>
        <v/>
      </c>
      <c r="P85" s="27">
        <f>IF(OR(B$7="",B$8=0),0,B$8*(B$7-P$16*(1-$A85)*(1-(1-$A85)^MIN(B$6,$B$11))/($A85*MIN(B$6,$B$11)))^2)+IF(OR(C$7="",C$8=0),0,C$8*(C$7-P$16*(1-$A85)*(1-(1-$A85)^MIN(C$6,$B$11))/($A85*MIN(C$6,$B$11)))^2)+IF(OR(D$7="",D$8=0),0,D$8*(D$7-P$16*(1-$A85)*(1-(1-$A85)^MIN(D$6,$B$11))/($A85*MIN(D$6,$B$11)))^2)+IF(OR(E$7="",E$8=0),0,E$8*(E$7-P$16*(1-$A85)*(1-(1-$A85)^MIN(E$6,$B$11))/($A85*MIN(E$6,$B$11)))^2)</f>
        <v/>
      </c>
      <c r="Q85" s="27">
        <f>IF(OR(B$7="",B$8=0),0,B$8*(B$7-Q$16*(1-$A85)*(1-(1-$A85)^MIN(B$6,$B$11))/($A85*MIN(B$6,$B$11)))^2)+IF(OR(C$7="",C$8=0),0,C$8*(C$7-Q$16*(1-$A85)*(1-(1-$A85)^MIN(C$6,$B$11))/($A85*MIN(C$6,$B$11)))^2)+IF(OR(D$7="",D$8=0),0,D$8*(D$7-Q$16*(1-$A85)*(1-(1-$A85)^MIN(D$6,$B$11))/($A85*MIN(D$6,$B$11)))^2)+IF(OR(E$7="",E$8=0),0,E$8*(E$7-Q$16*(1-$A85)*(1-(1-$A85)^MIN(E$6,$B$11))/($A85*MIN(E$6,$B$11)))^2)</f>
        <v/>
      </c>
      <c r="R85" s="27">
        <f>IF(OR(B$7="",B$8=0),0,B$8*(B$7-R$16*(1-$A85)*(1-(1-$A85)^MIN(B$6,$B$11))/($A85*MIN(B$6,$B$11)))^2)+IF(OR(C$7="",C$8=0),0,C$8*(C$7-R$16*(1-$A85)*(1-(1-$A85)^MIN(C$6,$B$11))/($A85*MIN(C$6,$B$11)))^2)+IF(OR(D$7="",D$8=0),0,D$8*(D$7-R$16*(1-$A85)*(1-(1-$A85)^MIN(D$6,$B$11))/($A85*MIN(D$6,$B$11)))^2)+IF(OR(E$7="",E$8=0),0,E$8*(E$7-R$16*(1-$A85)*(1-(1-$A85)^MIN(E$6,$B$11))/($A85*MIN(E$6,$B$11)))^2)</f>
        <v/>
      </c>
      <c r="S85" s="27">
        <f>IF(OR(B$7="",B$8=0),0,B$8*(B$7-S$16*(1-$A85)*(1-(1-$A85)^MIN(B$6,$B$11))/($A85*MIN(B$6,$B$11)))^2)+IF(OR(C$7="",C$8=0),0,C$8*(C$7-S$16*(1-$A85)*(1-(1-$A85)^MIN(C$6,$B$11))/($A85*MIN(C$6,$B$11)))^2)+IF(OR(D$7="",D$8=0),0,D$8*(D$7-S$16*(1-$A85)*(1-(1-$A85)^MIN(D$6,$B$11))/($A85*MIN(D$6,$B$11)))^2)+IF(OR(E$7="",E$8=0),0,E$8*(E$7-S$16*(1-$A85)*(1-(1-$A85)^MIN(E$6,$B$11))/($A85*MIN(E$6,$B$11)))^2)</f>
        <v/>
      </c>
      <c r="U85" s="27">
        <f>MIN(B85:S85)</f>
        <v/>
      </c>
      <c r="V85" s="17">
        <f>MATCH(U85,B85:S85,0)</f>
        <v/>
      </c>
    </row>
    <row r="86">
      <c r="A86" s="26" t="n">
        <v>0.0395</v>
      </c>
      <c r="B86" s="27">
        <f>IF(OR(B$7="",B$8=0),0,B$8*(B$7-B$16*(1-$A86)*(1-(1-$A86)^MIN(B$6,$B$11))/($A86*MIN(B$6,$B$11)))^2)+IF(OR(C$7="",C$8=0),0,C$8*(C$7-B$16*(1-$A86)*(1-(1-$A86)^MIN(C$6,$B$11))/($A86*MIN(C$6,$B$11)))^2)+IF(OR(D$7="",D$8=0),0,D$8*(D$7-B$16*(1-$A86)*(1-(1-$A86)^MIN(D$6,$B$11))/($A86*MIN(D$6,$B$11)))^2)+IF(OR(E$7="",E$8=0),0,E$8*(E$7-B$16*(1-$A86)*(1-(1-$A86)^MIN(E$6,$B$11))/($A86*MIN(E$6,$B$11)))^2)</f>
        <v/>
      </c>
      <c r="C86" s="27">
        <f>IF(OR(B$7="",B$8=0),0,B$8*(B$7-C$16*(1-$A86)*(1-(1-$A86)^MIN(B$6,$B$11))/($A86*MIN(B$6,$B$11)))^2)+IF(OR(C$7="",C$8=0),0,C$8*(C$7-C$16*(1-$A86)*(1-(1-$A86)^MIN(C$6,$B$11))/($A86*MIN(C$6,$B$11)))^2)+IF(OR(D$7="",D$8=0),0,D$8*(D$7-C$16*(1-$A86)*(1-(1-$A86)^MIN(D$6,$B$11))/($A86*MIN(D$6,$B$11)))^2)+IF(OR(E$7="",E$8=0),0,E$8*(E$7-C$16*(1-$A86)*(1-(1-$A86)^MIN(E$6,$B$11))/($A86*MIN(E$6,$B$11)))^2)</f>
        <v/>
      </c>
      <c r="D86" s="27">
        <f>IF(OR(B$7="",B$8=0),0,B$8*(B$7-D$16*(1-$A86)*(1-(1-$A86)^MIN(B$6,$B$11))/($A86*MIN(B$6,$B$11)))^2)+IF(OR(C$7="",C$8=0),0,C$8*(C$7-D$16*(1-$A86)*(1-(1-$A86)^MIN(C$6,$B$11))/($A86*MIN(C$6,$B$11)))^2)+IF(OR(D$7="",D$8=0),0,D$8*(D$7-D$16*(1-$A86)*(1-(1-$A86)^MIN(D$6,$B$11))/($A86*MIN(D$6,$B$11)))^2)+IF(OR(E$7="",E$8=0),0,E$8*(E$7-D$16*(1-$A86)*(1-(1-$A86)^MIN(E$6,$B$11))/($A86*MIN(E$6,$B$11)))^2)</f>
        <v/>
      </c>
      <c r="E86" s="27">
        <f>IF(OR(B$7="",B$8=0),0,B$8*(B$7-E$16*(1-$A86)*(1-(1-$A86)^MIN(B$6,$B$11))/($A86*MIN(B$6,$B$11)))^2)+IF(OR(C$7="",C$8=0),0,C$8*(C$7-E$16*(1-$A86)*(1-(1-$A86)^MIN(C$6,$B$11))/($A86*MIN(C$6,$B$11)))^2)+IF(OR(D$7="",D$8=0),0,D$8*(D$7-E$16*(1-$A86)*(1-(1-$A86)^MIN(D$6,$B$11))/($A86*MIN(D$6,$B$11)))^2)+IF(OR(E$7="",E$8=0),0,E$8*(E$7-E$16*(1-$A86)*(1-(1-$A86)^MIN(E$6,$B$11))/($A86*MIN(E$6,$B$11)))^2)</f>
        <v/>
      </c>
      <c r="F86" s="27">
        <f>IF(OR(B$7="",B$8=0),0,B$8*(B$7-F$16*(1-$A86)*(1-(1-$A86)^MIN(B$6,$B$11))/($A86*MIN(B$6,$B$11)))^2)+IF(OR(C$7="",C$8=0),0,C$8*(C$7-F$16*(1-$A86)*(1-(1-$A86)^MIN(C$6,$B$11))/($A86*MIN(C$6,$B$11)))^2)+IF(OR(D$7="",D$8=0),0,D$8*(D$7-F$16*(1-$A86)*(1-(1-$A86)^MIN(D$6,$B$11))/($A86*MIN(D$6,$B$11)))^2)+IF(OR(E$7="",E$8=0),0,E$8*(E$7-F$16*(1-$A86)*(1-(1-$A86)^MIN(E$6,$B$11))/($A86*MIN(E$6,$B$11)))^2)</f>
        <v/>
      </c>
      <c r="G86" s="27">
        <f>IF(OR(B$7="",B$8=0),0,B$8*(B$7-G$16*(1-$A86)*(1-(1-$A86)^MIN(B$6,$B$11))/($A86*MIN(B$6,$B$11)))^2)+IF(OR(C$7="",C$8=0),0,C$8*(C$7-G$16*(1-$A86)*(1-(1-$A86)^MIN(C$6,$B$11))/($A86*MIN(C$6,$B$11)))^2)+IF(OR(D$7="",D$8=0),0,D$8*(D$7-G$16*(1-$A86)*(1-(1-$A86)^MIN(D$6,$B$11))/($A86*MIN(D$6,$B$11)))^2)+IF(OR(E$7="",E$8=0),0,E$8*(E$7-G$16*(1-$A86)*(1-(1-$A86)^MIN(E$6,$B$11))/($A86*MIN(E$6,$B$11)))^2)</f>
        <v/>
      </c>
      <c r="H86" s="27">
        <f>IF(OR(B$7="",B$8=0),0,B$8*(B$7-H$16*(1-$A86)*(1-(1-$A86)^MIN(B$6,$B$11))/($A86*MIN(B$6,$B$11)))^2)+IF(OR(C$7="",C$8=0),0,C$8*(C$7-H$16*(1-$A86)*(1-(1-$A86)^MIN(C$6,$B$11))/($A86*MIN(C$6,$B$11)))^2)+IF(OR(D$7="",D$8=0),0,D$8*(D$7-H$16*(1-$A86)*(1-(1-$A86)^MIN(D$6,$B$11))/($A86*MIN(D$6,$B$11)))^2)+IF(OR(E$7="",E$8=0),0,E$8*(E$7-H$16*(1-$A86)*(1-(1-$A86)^MIN(E$6,$B$11))/($A86*MIN(E$6,$B$11)))^2)</f>
        <v/>
      </c>
      <c r="I86" s="27">
        <f>IF(OR(B$7="",B$8=0),0,B$8*(B$7-I$16*(1-$A86)*(1-(1-$A86)^MIN(B$6,$B$11))/($A86*MIN(B$6,$B$11)))^2)+IF(OR(C$7="",C$8=0),0,C$8*(C$7-I$16*(1-$A86)*(1-(1-$A86)^MIN(C$6,$B$11))/($A86*MIN(C$6,$B$11)))^2)+IF(OR(D$7="",D$8=0),0,D$8*(D$7-I$16*(1-$A86)*(1-(1-$A86)^MIN(D$6,$B$11))/($A86*MIN(D$6,$B$11)))^2)+IF(OR(E$7="",E$8=0),0,E$8*(E$7-I$16*(1-$A86)*(1-(1-$A86)^MIN(E$6,$B$11))/($A86*MIN(E$6,$B$11)))^2)</f>
        <v/>
      </c>
      <c r="J86" s="27">
        <f>IF(OR(B$7="",B$8=0),0,B$8*(B$7-J$16*(1-$A86)*(1-(1-$A86)^MIN(B$6,$B$11))/($A86*MIN(B$6,$B$11)))^2)+IF(OR(C$7="",C$8=0),0,C$8*(C$7-J$16*(1-$A86)*(1-(1-$A86)^MIN(C$6,$B$11))/($A86*MIN(C$6,$B$11)))^2)+IF(OR(D$7="",D$8=0),0,D$8*(D$7-J$16*(1-$A86)*(1-(1-$A86)^MIN(D$6,$B$11))/($A86*MIN(D$6,$B$11)))^2)+IF(OR(E$7="",E$8=0),0,E$8*(E$7-J$16*(1-$A86)*(1-(1-$A86)^MIN(E$6,$B$11))/($A86*MIN(E$6,$B$11)))^2)</f>
        <v/>
      </c>
      <c r="K86" s="27">
        <f>IF(OR(B$7="",B$8=0),0,B$8*(B$7-K$16*(1-$A86)*(1-(1-$A86)^MIN(B$6,$B$11))/($A86*MIN(B$6,$B$11)))^2)+IF(OR(C$7="",C$8=0),0,C$8*(C$7-K$16*(1-$A86)*(1-(1-$A86)^MIN(C$6,$B$11))/($A86*MIN(C$6,$B$11)))^2)+IF(OR(D$7="",D$8=0),0,D$8*(D$7-K$16*(1-$A86)*(1-(1-$A86)^MIN(D$6,$B$11))/($A86*MIN(D$6,$B$11)))^2)+IF(OR(E$7="",E$8=0),0,E$8*(E$7-K$16*(1-$A86)*(1-(1-$A86)^MIN(E$6,$B$11))/($A86*MIN(E$6,$B$11)))^2)</f>
        <v/>
      </c>
      <c r="L86" s="27">
        <f>IF(OR(B$7="",B$8=0),0,B$8*(B$7-L$16*(1-$A86)*(1-(1-$A86)^MIN(B$6,$B$11))/($A86*MIN(B$6,$B$11)))^2)+IF(OR(C$7="",C$8=0),0,C$8*(C$7-L$16*(1-$A86)*(1-(1-$A86)^MIN(C$6,$B$11))/($A86*MIN(C$6,$B$11)))^2)+IF(OR(D$7="",D$8=0),0,D$8*(D$7-L$16*(1-$A86)*(1-(1-$A86)^MIN(D$6,$B$11))/($A86*MIN(D$6,$B$11)))^2)+IF(OR(E$7="",E$8=0),0,E$8*(E$7-L$16*(1-$A86)*(1-(1-$A86)^MIN(E$6,$B$11))/($A86*MIN(E$6,$B$11)))^2)</f>
        <v/>
      </c>
      <c r="M86" s="27">
        <f>IF(OR(B$7="",B$8=0),0,B$8*(B$7-M$16*(1-$A86)*(1-(1-$A86)^MIN(B$6,$B$11))/($A86*MIN(B$6,$B$11)))^2)+IF(OR(C$7="",C$8=0),0,C$8*(C$7-M$16*(1-$A86)*(1-(1-$A86)^MIN(C$6,$B$11))/($A86*MIN(C$6,$B$11)))^2)+IF(OR(D$7="",D$8=0),0,D$8*(D$7-M$16*(1-$A86)*(1-(1-$A86)^MIN(D$6,$B$11))/($A86*MIN(D$6,$B$11)))^2)+IF(OR(E$7="",E$8=0),0,E$8*(E$7-M$16*(1-$A86)*(1-(1-$A86)^MIN(E$6,$B$11))/($A86*MIN(E$6,$B$11)))^2)</f>
        <v/>
      </c>
      <c r="N86" s="27">
        <f>IF(OR(B$7="",B$8=0),0,B$8*(B$7-N$16*(1-$A86)*(1-(1-$A86)^MIN(B$6,$B$11))/($A86*MIN(B$6,$B$11)))^2)+IF(OR(C$7="",C$8=0),0,C$8*(C$7-N$16*(1-$A86)*(1-(1-$A86)^MIN(C$6,$B$11))/($A86*MIN(C$6,$B$11)))^2)+IF(OR(D$7="",D$8=0),0,D$8*(D$7-N$16*(1-$A86)*(1-(1-$A86)^MIN(D$6,$B$11))/($A86*MIN(D$6,$B$11)))^2)+IF(OR(E$7="",E$8=0),0,E$8*(E$7-N$16*(1-$A86)*(1-(1-$A86)^MIN(E$6,$B$11))/($A86*MIN(E$6,$B$11)))^2)</f>
        <v/>
      </c>
      <c r="O86" s="27">
        <f>IF(OR(B$7="",B$8=0),0,B$8*(B$7-O$16*(1-$A86)*(1-(1-$A86)^MIN(B$6,$B$11))/($A86*MIN(B$6,$B$11)))^2)+IF(OR(C$7="",C$8=0),0,C$8*(C$7-O$16*(1-$A86)*(1-(1-$A86)^MIN(C$6,$B$11))/($A86*MIN(C$6,$B$11)))^2)+IF(OR(D$7="",D$8=0),0,D$8*(D$7-O$16*(1-$A86)*(1-(1-$A86)^MIN(D$6,$B$11))/($A86*MIN(D$6,$B$11)))^2)+IF(OR(E$7="",E$8=0),0,E$8*(E$7-O$16*(1-$A86)*(1-(1-$A86)^MIN(E$6,$B$11))/($A86*MIN(E$6,$B$11)))^2)</f>
        <v/>
      </c>
      <c r="P86" s="27">
        <f>IF(OR(B$7="",B$8=0),0,B$8*(B$7-P$16*(1-$A86)*(1-(1-$A86)^MIN(B$6,$B$11))/($A86*MIN(B$6,$B$11)))^2)+IF(OR(C$7="",C$8=0),0,C$8*(C$7-P$16*(1-$A86)*(1-(1-$A86)^MIN(C$6,$B$11))/($A86*MIN(C$6,$B$11)))^2)+IF(OR(D$7="",D$8=0),0,D$8*(D$7-P$16*(1-$A86)*(1-(1-$A86)^MIN(D$6,$B$11))/($A86*MIN(D$6,$B$11)))^2)+IF(OR(E$7="",E$8=0),0,E$8*(E$7-P$16*(1-$A86)*(1-(1-$A86)^MIN(E$6,$B$11))/($A86*MIN(E$6,$B$11)))^2)</f>
        <v/>
      </c>
      <c r="Q86" s="27">
        <f>IF(OR(B$7="",B$8=0),0,B$8*(B$7-Q$16*(1-$A86)*(1-(1-$A86)^MIN(B$6,$B$11))/($A86*MIN(B$6,$B$11)))^2)+IF(OR(C$7="",C$8=0),0,C$8*(C$7-Q$16*(1-$A86)*(1-(1-$A86)^MIN(C$6,$B$11))/($A86*MIN(C$6,$B$11)))^2)+IF(OR(D$7="",D$8=0),0,D$8*(D$7-Q$16*(1-$A86)*(1-(1-$A86)^MIN(D$6,$B$11))/($A86*MIN(D$6,$B$11)))^2)+IF(OR(E$7="",E$8=0),0,E$8*(E$7-Q$16*(1-$A86)*(1-(1-$A86)^MIN(E$6,$B$11))/($A86*MIN(E$6,$B$11)))^2)</f>
        <v/>
      </c>
      <c r="R86" s="27">
        <f>IF(OR(B$7="",B$8=0),0,B$8*(B$7-R$16*(1-$A86)*(1-(1-$A86)^MIN(B$6,$B$11))/($A86*MIN(B$6,$B$11)))^2)+IF(OR(C$7="",C$8=0),0,C$8*(C$7-R$16*(1-$A86)*(1-(1-$A86)^MIN(C$6,$B$11))/($A86*MIN(C$6,$B$11)))^2)+IF(OR(D$7="",D$8=0),0,D$8*(D$7-R$16*(1-$A86)*(1-(1-$A86)^MIN(D$6,$B$11))/($A86*MIN(D$6,$B$11)))^2)+IF(OR(E$7="",E$8=0),0,E$8*(E$7-R$16*(1-$A86)*(1-(1-$A86)^MIN(E$6,$B$11))/($A86*MIN(E$6,$B$11)))^2)</f>
        <v/>
      </c>
      <c r="S86" s="27">
        <f>IF(OR(B$7="",B$8=0),0,B$8*(B$7-S$16*(1-$A86)*(1-(1-$A86)^MIN(B$6,$B$11))/($A86*MIN(B$6,$B$11)))^2)+IF(OR(C$7="",C$8=0),0,C$8*(C$7-S$16*(1-$A86)*(1-(1-$A86)^MIN(C$6,$B$11))/($A86*MIN(C$6,$B$11)))^2)+IF(OR(D$7="",D$8=0),0,D$8*(D$7-S$16*(1-$A86)*(1-(1-$A86)^MIN(D$6,$B$11))/($A86*MIN(D$6,$B$11)))^2)+IF(OR(E$7="",E$8=0),0,E$8*(E$7-S$16*(1-$A86)*(1-(1-$A86)^MIN(E$6,$B$11))/($A86*MIN(E$6,$B$11)))^2)</f>
        <v/>
      </c>
      <c r="U86" s="27">
        <f>MIN(B86:S86)</f>
        <v/>
      </c>
      <c r="V86" s="17">
        <f>MATCH(U86,B86:S86,0)</f>
        <v/>
      </c>
    </row>
    <row r="87">
      <c r="A87" s="26" t="n">
        <v>0.04</v>
      </c>
      <c r="B87" s="27">
        <f>IF(OR(B$7="",B$8=0),0,B$8*(B$7-B$16*(1-$A87)*(1-(1-$A87)^MIN(B$6,$B$11))/($A87*MIN(B$6,$B$11)))^2)+IF(OR(C$7="",C$8=0),0,C$8*(C$7-B$16*(1-$A87)*(1-(1-$A87)^MIN(C$6,$B$11))/($A87*MIN(C$6,$B$11)))^2)+IF(OR(D$7="",D$8=0),0,D$8*(D$7-B$16*(1-$A87)*(1-(1-$A87)^MIN(D$6,$B$11))/($A87*MIN(D$6,$B$11)))^2)+IF(OR(E$7="",E$8=0),0,E$8*(E$7-B$16*(1-$A87)*(1-(1-$A87)^MIN(E$6,$B$11))/($A87*MIN(E$6,$B$11)))^2)</f>
        <v/>
      </c>
      <c r="C87" s="27">
        <f>IF(OR(B$7="",B$8=0),0,B$8*(B$7-C$16*(1-$A87)*(1-(1-$A87)^MIN(B$6,$B$11))/($A87*MIN(B$6,$B$11)))^2)+IF(OR(C$7="",C$8=0),0,C$8*(C$7-C$16*(1-$A87)*(1-(1-$A87)^MIN(C$6,$B$11))/($A87*MIN(C$6,$B$11)))^2)+IF(OR(D$7="",D$8=0),0,D$8*(D$7-C$16*(1-$A87)*(1-(1-$A87)^MIN(D$6,$B$11))/($A87*MIN(D$6,$B$11)))^2)+IF(OR(E$7="",E$8=0),0,E$8*(E$7-C$16*(1-$A87)*(1-(1-$A87)^MIN(E$6,$B$11))/($A87*MIN(E$6,$B$11)))^2)</f>
        <v/>
      </c>
      <c r="D87" s="27">
        <f>IF(OR(B$7="",B$8=0),0,B$8*(B$7-D$16*(1-$A87)*(1-(1-$A87)^MIN(B$6,$B$11))/($A87*MIN(B$6,$B$11)))^2)+IF(OR(C$7="",C$8=0),0,C$8*(C$7-D$16*(1-$A87)*(1-(1-$A87)^MIN(C$6,$B$11))/($A87*MIN(C$6,$B$11)))^2)+IF(OR(D$7="",D$8=0),0,D$8*(D$7-D$16*(1-$A87)*(1-(1-$A87)^MIN(D$6,$B$11))/($A87*MIN(D$6,$B$11)))^2)+IF(OR(E$7="",E$8=0),0,E$8*(E$7-D$16*(1-$A87)*(1-(1-$A87)^MIN(E$6,$B$11))/($A87*MIN(E$6,$B$11)))^2)</f>
        <v/>
      </c>
      <c r="E87" s="27">
        <f>IF(OR(B$7="",B$8=0),0,B$8*(B$7-E$16*(1-$A87)*(1-(1-$A87)^MIN(B$6,$B$11))/($A87*MIN(B$6,$B$11)))^2)+IF(OR(C$7="",C$8=0),0,C$8*(C$7-E$16*(1-$A87)*(1-(1-$A87)^MIN(C$6,$B$11))/($A87*MIN(C$6,$B$11)))^2)+IF(OR(D$7="",D$8=0),0,D$8*(D$7-E$16*(1-$A87)*(1-(1-$A87)^MIN(D$6,$B$11))/($A87*MIN(D$6,$B$11)))^2)+IF(OR(E$7="",E$8=0),0,E$8*(E$7-E$16*(1-$A87)*(1-(1-$A87)^MIN(E$6,$B$11))/($A87*MIN(E$6,$B$11)))^2)</f>
        <v/>
      </c>
      <c r="F87" s="27">
        <f>IF(OR(B$7="",B$8=0),0,B$8*(B$7-F$16*(1-$A87)*(1-(1-$A87)^MIN(B$6,$B$11))/($A87*MIN(B$6,$B$11)))^2)+IF(OR(C$7="",C$8=0),0,C$8*(C$7-F$16*(1-$A87)*(1-(1-$A87)^MIN(C$6,$B$11))/($A87*MIN(C$6,$B$11)))^2)+IF(OR(D$7="",D$8=0),0,D$8*(D$7-F$16*(1-$A87)*(1-(1-$A87)^MIN(D$6,$B$11))/($A87*MIN(D$6,$B$11)))^2)+IF(OR(E$7="",E$8=0),0,E$8*(E$7-F$16*(1-$A87)*(1-(1-$A87)^MIN(E$6,$B$11))/($A87*MIN(E$6,$B$11)))^2)</f>
        <v/>
      </c>
      <c r="G87" s="27">
        <f>IF(OR(B$7="",B$8=0),0,B$8*(B$7-G$16*(1-$A87)*(1-(1-$A87)^MIN(B$6,$B$11))/($A87*MIN(B$6,$B$11)))^2)+IF(OR(C$7="",C$8=0),0,C$8*(C$7-G$16*(1-$A87)*(1-(1-$A87)^MIN(C$6,$B$11))/($A87*MIN(C$6,$B$11)))^2)+IF(OR(D$7="",D$8=0),0,D$8*(D$7-G$16*(1-$A87)*(1-(1-$A87)^MIN(D$6,$B$11))/($A87*MIN(D$6,$B$11)))^2)+IF(OR(E$7="",E$8=0),0,E$8*(E$7-G$16*(1-$A87)*(1-(1-$A87)^MIN(E$6,$B$11))/($A87*MIN(E$6,$B$11)))^2)</f>
        <v/>
      </c>
      <c r="H87" s="27">
        <f>IF(OR(B$7="",B$8=0),0,B$8*(B$7-H$16*(1-$A87)*(1-(1-$A87)^MIN(B$6,$B$11))/($A87*MIN(B$6,$B$11)))^2)+IF(OR(C$7="",C$8=0),0,C$8*(C$7-H$16*(1-$A87)*(1-(1-$A87)^MIN(C$6,$B$11))/($A87*MIN(C$6,$B$11)))^2)+IF(OR(D$7="",D$8=0),0,D$8*(D$7-H$16*(1-$A87)*(1-(1-$A87)^MIN(D$6,$B$11))/($A87*MIN(D$6,$B$11)))^2)+IF(OR(E$7="",E$8=0),0,E$8*(E$7-H$16*(1-$A87)*(1-(1-$A87)^MIN(E$6,$B$11))/($A87*MIN(E$6,$B$11)))^2)</f>
        <v/>
      </c>
      <c r="I87" s="27">
        <f>IF(OR(B$7="",B$8=0),0,B$8*(B$7-I$16*(1-$A87)*(1-(1-$A87)^MIN(B$6,$B$11))/($A87*MIN(B$6,$B$11)))^2)+IF(OR(C$7="",C$8=0),0,C$8*(C$7-I$16*(1-$A87)*(1-(1-$A87)^MIN(C$6,$B$11))/($A87*MIN(C$6,$B$11)))^2)+IF(OR(D$7="",D$8=0),0,D$8*(D$7-I$16*(1-$A87)*(1-(1-$A87)^MIN(D$6,$B$11))/($A87*MIN(D$6,$B$11)))^2)+IF(OR(E$7="",E$8=0),0,E$8*(E$7-I$16*(1-$A87)*(1-(1-$A87)^MIN(E$6,$B$11))/($A87*MIN(E$6,$B$11)))^2)</f>
        <v/>
      </c>
      <c r="J87" s="27">
        <f>IF(OR(B$7="",B$8=0),0,B$8*(B$7-J$16*(1-$A87)*(1-(1-$A87)^MIN(B$6,$B$11))/($A87*MIN(B$6,$B$11)))^2)+IF(OR(C$7="",C$8=0),0,C$8*(C$7-J$16*(1-$A87)*(1-(1-$A87)^MIN(C$6,$B$11))/($A87*MIN(C$6,$B$11)))^2)+IF(OR(D$7="",D$8=0),0,D$8*(D$7-J$16*(1-$A87)*(1-(1-$A87)^MIN(D$6,$B$11))/($A87*MIN(D$6,$B$11)))^2)+IF(OR(E$7="",E$8=0),0,E$8*(E$7-J$16*(1-$A87)*(1-(1-$A87)^MIN(E$6,$B$11))/($A87*MIN(E$6,$B$11)))^2)</f>
        <v/>
      </c>
      <c r="K87" s="27">
        <f>IF(OR(B$7="",B$8=0),0,B$8*(B$7-K$16*(1-$A87)*(1-(1-$A87)^MIN(B$6,$B$11))/($A87*MIN(B$6,$B$11)))^2)+IF(OR(C$7="",C$8=0),0,C$8*(C$7-K$16*(1-$A87)*(1-(1-$A87)^MIN(C$6,$B$11))/($A87*MIN(C$6,$B$11)))^2)+IF(OR(D$7="",D$8=0),0,D$8*(D$7-K$16*(1-$A87)*(1-(1-$A87)^MIN(D$6,$B$11))/($A87*MIN(D$6,$B$11)))^2)+IF(OR(E$7="",E$8=0),0,E$8*(E$7-K$16*(1-$A87)*(1-(1-$A87)^MIN(E$6,$B$11))/($A87*MIN(E$6,$B$11)))^2)</f>
        <v/>
      </c>
      <c r="L87" s="27">
        <f>IF(OR(B$7="",B$8=0),0,B$8*(B$7-L$16*(1-$A87)*(1-(1-$A87)^MIN(B$6,$B$11))/($A87*MIN(B$6,$B$11)))^2)+IF(OR(C$7="",C$8=0),0,C$8*(C$7-L$16*(1-$A87)*(1-(1-$A87)^MIN(C$6,$B$11))/($A87*MIN(C$6,$B$11)))^2)+IF(OR(D$7="",D$8=0),0,D$8*(D$7-L$16*(1-$A87)*(1-(1-$A87)^MIN(D$6,$B$11))/($A87*MIN(D$6,$B$11)))^2)+IF(OR(E$7="",E$8=0),0,E$8*(E$7-L$16*(1-$A87)*(1-(1-$A87)^MIN(E$6,$B$11))/($A87*MIN(E$6,$B$11)))^2)</f>
        <v/>
      </c>
      <c r="M87" s="27">
        <f>IF(OR(B$7="",B$8=0),0,B$8*(B$7-M$16*(1-$A87)*(1-(1-$A87)^MIN(B$6,$B$11))/($A87*MIN(B$6,$B$11)))^2)+IF(OR(C$7="",C$8=0),0,C$8*(C$7-M$16*(1-$A87)*(1-(1-$A87)^MIN(C$6,$B$11))/($A87*MIN(C$6,$B$11)))^2)+IF(OR(D$7="",D$8=0),0,D$8*(D$7-M$16*(1-$A87)*(1-(1-$A87)^MIN(D$6,$B$11))/($A87*MIN(D$6,$B$11)))^2)+IF(OR(E$7="",E$8=0),0,E$8*(E$7-M$16*(1-$A87)*(1-(1-$A87)^MIN(E$6,$B$11))/($A87*MIN(E$6,$B$11)))^2)</f>
        <v/>
      </c>
      <c r="N87" s="27">
        <f>IF(OR(B$7="",B$8=0),0,B$8*(B$7-N$16*(1-$A87)*(1-(1-$A87)^MIN(B$6,$B$11))/($A87*MIN(B$6,$B$11)))^2)+IF(OR(C$7="",C$8=0),0,C$8*(C$7-N$16*(1-$A87)*(1-(1-$A87)^MIN(C$6,$B$11))/($A87*MIN(C$6,$B$11)))^2)+IF(OR(D$7="",D$8=0),0,D$8*(D$7-N$16*(1-$A87)*(1-(1-$A87)^MIN(D$6,$B$11))/($A87*MIN(D$6,$B$11)))^2)+IF(OR(E$7="",E$8=0),0,E$8*(E$7-N$16*(1-$A87)*(1-(1-$A87)^MIN(E$6,$B$11))/($A87*MIN(E$6,$B$11)))^2)</f>
        <v/>
      </c>
      <c r="O87" s="27">
        <f>IF(OR(B$7="",B$8=0),0,B$8*(B$7-O$16*(1-$A87)*(1-(1-$A87)^MIN(B$6,$B$11))/($A87*MIN(B$6,$B$11)))^2)+IF(OR(C$7="",C$8=0),0,C$8*(C$7-O$16*(1-$A87)*(1-(1-$A87)^MIN(C$6,$B$11))/($A87*MIN(C$6,$B$11)))^2)+IF(OR(D$7="",D$8=0),0,D$8*(D$7-O$16*(1-$A87)*(1-(1-$A87)^MIN(D$6,$B$11))/($A87*MIN(D$6,$B$11)))^2)+IF(OR(E$7="",E$8=0),0,E$8*(E$7-O$16*(1-$A87)*(1-(1-$A87)^MIN(E$6,$B$11))/($A87*MIN(E$6,$B$11)))^2)</f>
        <v/>
      </c>
      <c r="P87" s="27">
        <f>IF(OR(B$7="",B$8=0),0,B$8*(B$7-P$16*(1-$A87)*(1-(1-$A87)^MIN(B$6,$B$11))/($A87*MIN(B$6,$B$11)))^2)+IF(OR(C$7="",C$8=0),0,C$8*(C$7-P$16*(1-$A87)*(1-(1-$A87)^MIN(C$6,$B$11))/($A87*MIN(C$6,$B$11)))^2)+IF(OR(D$7="",D$8=0),0,D$8*(D$7-P$16*(1-$A87)*(1-(1-$A87)^MIN(D$6,$B$11))/($A87*MIN(D$6,$B$11)))^2)+IF(OR(E$7="",E$8=0),0,E$8*(E$7-P$16*(1-$A87)*(1-(1-$A87)^MIN(E$6,$B$11))/($A87*MIN(E$6,$B$11)))^2)</f>
        <v/>
      </c>
      <c r="Q87" s="27">
        <f>IF(OR(B$7="",B$8=0),0,B$8*(B$7-Q$16*(1-$A87)*(1-(1-$A87)^MIN(B$6,$B$11))/($A87*MIN(B$6,$B$11)))^2)+IF(OR(C$7="",C$8=0),0,C$8*(C$7-Q$16*(1-$A87)*(1-(1-$A87)^MIN(C$6,$B$11))/($A87*MIN(C$6,$B$11)))^2)+IF(OR(D$7="",D$8=0),0,D$8*(D$7-Q$16*(1-$A87)*(1-(1-$A87)^MIN(D$6,$B$11))/($A87*MIN(D$6,$B$11)))^2)+IF(OR(E$7="",E$8=0),0,E$8*(E$7-Q$16*(1-$A87)*(1-(1-$A87)^MIN(E$6,$B$11))/($A87*MIN(E$6,$B$11)))^2)</f>
        <v/>
      </c>
      <c r="R87" s="27">
        <f>IF(OR(B$7="",B$8=0),0,B$8*(B$7-R$16*(1-$A87)*(1-(1-$A87)^MIN(B$6,$B$11))/($A87*MIN(B$6,$B$11)))^2)+IF(OR(C$7="",C$8=0),0,C$8*(C$7-R$16*(1-$A87)*(1-(1-$A87)^MIN(C$6,$B$11))/($A87*MIN(C$6,$B$11)))^2)+IF(OR(D$7="",D$8=0),0,D$8*(D$7-R$16*(1-$A87)*(1-(1-$A87)^MIN(D$6,$B$11))/($A87*MIN(D$6,$B$11)))^2)+IF(OR(E$7="",E$8=0),0,E$8*(E$7-R$16*(1-$A87)*(1-(1-$A87)^MIN(E$6,$B$11))/($A87*MIN(E$6,$B$11)))^2)</f>
        <v/>
      </c>
      <c r="S87" s="27">
        <f>IF(OR(B$7="",B$8=0),0,B$8*(B$7-S$16*(1-$A87)*(1-(1-$A87)^MIN(B$6,$B$11))/($A87*MIN(B$6,$B$11)))^2)+IF(OR(C$7="",C$8=0),0,C$8*(C$7-S$16*(1-$A87)*(1-(1-$A87)^MIN(C$6,$B$11))/($A87*MIN(C$6,$B$11)))^2)+IF(OR(D$7="",D$8=0),0,D$8*(D$7-S$16*(1-$A87)*(1-(1-$A87)^MIN(D$6,$B$11))/($A87*MIN(D$6,$B$11)))^2)+IF(OR(E$7="",E$8=0),0,E$8*(E$7-S$16*(1-$A87)*(1-(1-$A87)^MIN(E$6,$B$11))/($A87*MIN(E$6,$B$11)))^2)</f>
        <v/>
      </c>
      <c r="U87" s="27">
        <f>MIN(B87:S87)</f>
        <v/>
      </c>
      <c r="V87" s="17">
        <f>MATCH(U87,B87:S87,0)</f>
        <v/>
      </c>
    </row>
    <row r="88">
      <c r="A88" s="26" t="n">
        <v>0.0405</v>
      </c>
      <c r="B88" s="27">
        <f>IF(OR(B$7="",B$8=0),0,B$8*(B$7-B$16*(1-$A88)*(1-(1-$A88)^MIN(B$6,$B$11))/($A88*MIN(B$6,$B$11)))^2)+IF(OR(C$7="",C$8=0),0,C$8*(C$7-B$16*(1-$A88)*(1-(1-$A88)^MIN(C$6,$B$11))/($A88*MIN(C$6,$B$11)))^2)+IF(OR(D$7="",D$8=0),0,D$8*(D$7-B$16*(1-$A88)*(1-(1-$A88)^MIN(D$6,$B$11))/($A88*MIN(D$6,$B$11)))^2)+IF(OR(E$7="",E$8=0),0,E$8*(E$7-B$16*(1-$A88)*(1-(1-$A88)^MIN(E$6,$B$11))/($A88*MIN(E$6,$B$11)))^2)</f>
        <v/>
      </c>
      <c r="C88" s="27">
        <f>IF(OR(B$7="",B$8=0),0,B$8*(B$7-C$16*(1-$A88)*(1-(1-$A88)^MIN(B$6,$B$11))/($A88*MIN(B$6,$B$11)))^2)+IF(OR(C$7="",C$8=0),0,C$8*(C$7-C$16*(1-$A88)*(1-(1-$A88)^MIN(C$6,$B$11))/($A88*MIN(C$6,$B$11)))^2)+IF(OR(D$7="",D$8=0),0,D$8*(D$7-C$16*(1-$A88)*(1-(1-$A88)^MIN(D$6,$B$11))/($A88*MIN(D$6,$B$11)))^2)+IF(OR(E$7="",E$8=0),0,E$8*(E$7-C$16*(1-$A88)*(1-(1-$A88)^MIN(E$6,$B$11))/($A88*MIN(E$6,$B$11)))^2)</f>
        <v/>
      </c>
      <c r="D88" s="27">
        <f>IF(OR(B$7="",B$8=0),0,B$8*(B$7-D$16*(1-$A88)*(1-(1-$A88)^MIN(B$6,$B$11))/($A88*MIN(B$6,$B$11)))^2)+IF(OR(C$7="",C$8=0),0,C$8*(C$7-D$16*(1-$A88)*(1-(1-$A88)^MIN(C$6,$B$11))/($A88*MIN(C$6,$B$11)))^2)+IF(OR(D$7="",D$8=0),0,D$8*(D$7-D$16*(1-$A88)*(1-(1-$A88)^MIN(D$6,$B$11))/($A88*MIN(D$6,$B$11)))^2)+IF(OR(E$7="",E$8=0),0,E$8*(E$7-D$16*(1-$A88)*(1-(1-$A88)^MIN(E$6,$B$11))/($A88*MIN(E$6,$B$11)))^2)</f>
        <v/>
      </c>
      <c r="E88" s="27">
        <f>IF(OR(B$7="",B$8=0),0,B$8*(B$7-E$16*(1-$A88)*(1-(1-$A88)^MIN(B$6,$B$11))/($A88*MIN(B$6,$B$11)))^2)+IF(OR(C$7="",C$8=0),0,C$8*(C$7-E$16*(1-$A88)*(1-(1-$A88)^MIN(C$6,$B$11))/($A88*MIN(C$6,$B$11)))^2)+IF(OR(D$7="",D$8=0),0,D$8*(D$7-E$16*(1-$A88)*(1-(1-$A88)^MIN(D$6,$B$11))/($A88*MIN(D$6,$B$11)))^2)+IF(OR(E$7="",E$8=0),0,E$8*(E$7-E$16*(1-$A88)*(1-(1-$A88)^MIN(E$6,$B$11))/($A88*MIN(E$6,$B$11)))^2)</f>
        <v/>
      </c>
      <c r="F88" s="27">
        <f>IF(OR(B$7="",B$8=0),0,B$8*(B$7-F$16*(1-$A88)*(1-(1-$A88)^MIN(B$6,$B$11))/($A88*MIN(B$6,$B$11)))^2)+IF(OR(C$7="",C$8=0),0,C$8*(C$7-F$16*(1-$A88)*(1-(1-$A88)^MIN(C$6,$B$11))/($A88*MIN(C$6,$B$11)))^2)+IF(OR(D$7="",D$8=0),0,D$8*(D$7-F$16*(1-$A88)*(1-(1-$A88)^MIN(D$6,$B$11))/($A88*MIN(D$6,$B$11)))^2)+IF(OR(E$7="",E$8=0),0,E$8*(E$7-F$16*(1-$A88)*(1-(1-$A88)^MIN(E$6,$B$11))/($A88*MIN(E$6,$B$11)))^2)</f>
        <v/>
      </c>
      <c r="G88" s="27">
        <f>IF(OR(B$7="",B$8=0),0,B$8*(B$7-G$16*(1-$A88)*(1-(1-$A88)^MIN(B$6,$B$11))/($A88*MIN(B$6,$B$11)))^2)+IF(OR(C$7="",C$8=0),0,C$8*(C$7-G$16*(1-$A88)*(1-(1-$A88)^MIN(C$6,$B$11))/($A88*MIN(C$6,$B$11)))^2)+IF(OR(D$7="",D$8=0),0,D$8*(D$7-G$16*(1-$A88)*(1-(1-$A88)^MIN(D$6,$B$11))/($A88*MIN(D$6,$B$11)))^2)+IF(OR(E$7="",E$8=0),0,E$8*(E$7-G$16*(1-$A88)*(1-(1-$A88)^MIN(E$6,$B$11))/($A88*MIN(E$6,$B$11)))^2)</f>
        <v/>
      </c>
      <c r="H88" s="27">
        <f>IF(OR(B$7="",B$8=0),0,B$8*(B$7-H$16*(1-$A88)*(1-(1-$A88)^MIN(B$6,$B$11))/($A88*MIN(B$6,$B$11)))^2)+IF(OR(C$7="",C$8=0),0,C$8*(C$7-H$16*(1-$A88)*(1-(1-$A88)^MIN(C$6,$B$11))/($A88*MIN(C$6,$B$11)))^2)+IF(OR(D$7="",D$8=0),0,D$8*(D$7-H$16*(1-$A88)*(1-(1-$A88)^MIN(D$6,$B$11))/($A88*MIN(D$6,$B$11)))^2)+IF(OR(E$7="",E$8=0),0,E$8*(E$7-H$16*(1-$A88)*(1-(1-$A88)^MIN(E$6,$B$11))/($A88*MIN(E$6,$B$11)))^2)</f>
        <v/>
      </c>
      <c r="I88" s="27">
        <f>IF(OR(B$7="",B$8=0),0,B$8*(B$7-I$16*(1-$A88)*(1-(1-$A88)^MIN(B$6,$B$11))/($A88*MIN(B$6,$B$11)))^2)+IF(OR(C$7="",C$8=0),0,C$8*(C$7-I$16*(1-$A88)*(1-(1-$A88)^MIN(C$6,$B$11))/($A88*MIN(C$6,$B$11)))^2)+IF(OR(D$7="",D$8=0),0,D$8*(D$7-I$16*(1-$A88)*(1-(1-$A88)^MIN(D$6,$B$11))/($A88*MIN(D$6,$B$11)))^2)+IF(OR(E$7="",E$8=0),0,E$8*(E$7-I$16*(1-$A88)*(1-(1-$A88)^MIN(E$6,$B$11))/($A88*MIN(E$6,$B$11)))^2)</f>
        <v/>
      </c>
      <c r="J88" s="27">
        <f>IF(OR(B$7="",B$8=0),0,B$8*(B$7-J$16*(1-$A88)*(1-(1-$A88)^MIN(B$6,$B$11))/($A88*MIN(B$6,$B$11)))^2)+IF(OR(C$7="",C$8=0),0,C$8*(C$7-J$16*(1-$A88)*(1-(1-$A88)^MIN(C$6,$B$11))/($A88*MIN(C$6,$B$11)))^2)+IF(OR(D$7="",D$8=0),0,D$8*(D$7-J$16*(1-$A88)*(1-(1-$A88)^MIN(D$6,$B$11))/($A88*MIN(D$6,$B$11)))^2)+IF(OR(E$7="",E$8=0),0,E$8*(E$7-J$16*(1-$A88)*(1-(1-$A88)^MIN(E$6,$B$11))/($A88*MIN(E$6,$B$11)))^2)</f>
        <v/>
      </c>
      <c r="K88" s="27">
        <f>IF(OR(B$7="",B$8=0),0,B$8*(B$7-K$16*(1-$A88)*(1-(1-$A88)^MIN(B$6,$B$11))/($A88*MIN(B$6,$B$11)))^2)+IF(OR(C$7="",C$8=0),0,C$8*(C$7-K$16*(1-$A88)*(1-(1-$A88)^MIN(C$6,$B$11))/($A88*MIN(C$6,$B$11)))^2)+IF(OR(D$7="",D$8=0),0,D$8*(D$7-K$16*(1-$A88)*(1-(1-$A88)^MIN(D$6,$B$11))/($A88*MIN(D$6,$B$11)))^2)+IF(OR(E$7="",E$8=0),0,E$8*(E$7-K$16*(1-$A88)*(1-(1-$A88)^MIN(E$6,$B$11))/($A88*MIN(E$6,$B$11)))^2)</f>
        <v/>
      </c>
      <c r="L88" s="27">
        <f>IF(OR(B$7="",B$8=0),0,B$8*(B$7-L$16*(1-$A88)*(1-(1-$A88)^MIN(B$6,$B$11))/($A88*MIN(B$6,$B$11)))^2)+IF(OR(C$7="",C$8=0),0,C$8*(C$7-L$16*(1-$A88)*(1-(1-$A88)^MIN(C$6,$B$11))/($A88*MIN(C$6,$B$11)))^2)+IF(OR(D$7="",D$8=0),0,D$8*(D$7-L$16*(1-$A88)*(1-(1-$A88)^MIN(D$6,$B$11))/($A88*MIN(D$6,$B$11)))^2)+IF(OR(E$7="",E$8=0),0,E$8*(E$7-L$16*(1-$A88)*(1-(1-$A88)^MIN(E$6,$B$11))/($A88*MIN(E$6,$B$11)))^2)</f>
        <v/>
      </c>
      <c r="M88" s="27">
        <f>IF(OR(B$7="",B$8=0),0,B$8*(B$7-M$16*(1-$A88)*(1-(1-$A88)^MIN(B$6,$B$11))/($A88*MIN(B$6,$B$11)))^2)+IF(OR(C$7="",C$8=0),0,C$8*(C$7-M$16*(1-$A88)*(1-(1-$A88)^MIN(C$6,$B$11))/($A88*MIN(C$6,$B$11)))^2)+IF(OR(D$7="",D$8=0),0,D$8*(D$7-M$16*(1-$A88)*(1-(1-$A88)^MIN(D$6,$B$11))/($A88*MIN(D$6,$B$11)))^2)+IF(OR(E$7="",E$8=0),0,E$8*(E$7-M$16*(1-$A88)*(1-(1-$A88)^MIN(E$6,$B$11))/($A88*MIN(E$6,$B$11)))^2)</f>
        <v/>
      </c>
      <c r="N88" s="27">
        <f>IF(OR(B$7="",B$8=0),0,B$8*(B$7-N$16*(1-$A88)*(1-(1-$A88)^MIN(B$6,$B$11))/($A88*MIN(B$6,$B$11)))^2)+IF(OR(C$7="",C$8=0),0,C$8*(C$7-N$16*(1-$A88)*(1-(1-$A88)^MIN(C$6,$B$11))/($A88*MIN(C$6,$B$11)))^2)+IF(OR(D$7="",D$8=0),0,D$8*(D$7-N$16*(1-$A88)*(1-(1-$A88)^MIN(D$6,$B$11))/($A88*MIN(D$6,$B$11)))^2)+IF(OR(E$7="",E$8=0),0,E$8*(E$7-N$16*(1-$A88)*(1-(1-$A88)^MIN(E$6,$B$11))/($A88*MIN(E$6,$B$11)))^2)</f>
        <v/>
      </c>
      <c r="O88" s="27">
        <f>IF(OR(B$7="",B$8=0),0,B$8*(B$7-O$16*(1-$A88)*(1-(1-$A88)^MIN(B$6,$B$11))/($A88*MIN(B$6,$B$11)))^2)+IF(OR(C$7="",C$8=0),0,C$8*(C$7-O$16*(1-$A88)*(1-(1-$A88)^MIN(C$6,$B$11))/($A88*MIN(C$6,$B$11)))^2)+IF(OR(D$7="",D$8=0),0,D$8*(D$7-O$16*(1-$A88)*(1-(1-$A88)^MIN(D$6,$B$11))/($A88*MIN(D$6,$B$11)))^2)+IF(OR(E$7="",E$8=0),0,E$8*(E$7-O$16*(1-$A88)*(1-(1-$A88)^MIN(E$6,$B$11))/($A88*MIN(E$6,$B$11)))^2)</f>
        <v/>
      </c>
      <c r="P88" s="27">
        <f>IF(OR(B$7="",B$8=0),0,B$8*(B$7-P$16*(1-$A88)*(1-(1-$A88)^MIN(B$6,$B$11))/($A88*MIN(B$6,$B$11)))^2)+IF(OR(C$7="",C$8=0),0,C$8*(C$7-P$16*(1-$A88)*(1-(1-$A88)^MIN(C$6,$B$11))/($A88*MIN(C$6,$B$11)))^2)+IF(OR(D$7="",D$8=0),0,D$8*(D$7-P$16*(1-$A88)*(1-(1-$A88)^MIN(D$6,$B$11))/($A88*MIN(D$6,$B$11)))^2)+IF(OR(E$7="",E$8=0),0,E$8*(E$7-P$16*(1-$A88)*(1-(1-$A88)^MIN(E$6,$B$11))/($A88*MIN(E$6,$B$11)))^2)</f>
        <v/>
      </c>
      <c r="Q88" s="27">
        <f>IF(OR(B$7="",B$8=0),0,B$8*(B$7-Q$16*(1-$A88)*(1-(1-$A88)^MIN(B$6,$B$11))/($A88*MIN(B$6,$B$11)))^2)+IF(OR(C$7="",C$8=0),0,C$8*(C$7-Q$16*(1-$A88)*(1-(1-$A88)^MIN(C$6,$B$11))/($A88*MIN(C$6,$B$11)))^2)+IF(OR(D$7="",D$8=0),0,D$8*(D$7-Q$16*(1-$A88)*(1-(1-$A88)^MIN(D$6,$B$11))/($A88*MIN(D$6,$B$11)))^2)+IF(OR(E$7="",E$8=0),0,E$8*(E$7-Q$16*(1-$A88)*(1-(1-$A88)^MIN(E$6,$B$11))/($A88*MIN(E$6,$B$11)))^2)</f>
        <v/>
      </c>
      <c r="R88" s="27">
        <f>IF(OR(B$7="",B$8=0),0,B$8*(B$7-R$16*(1-$A88)*(1-(1-$A88)^MIN(B$6,$B$11))/($A88*MIN(B$6,$B$11)))^2)+IF(OR(C$7="",C$8=0),0,C$8*(C$7-R$16*(1-$A88)*(1-(1-$A88)^MIN(C$6,$B$11))/($A88*MIN(C$6,$B$11)))^2)+IF(OR(D$7="",D$8=0),0,D$8*(D$7-R$16*(1-$A88)*(1-(1-$A88)^MIN(D$6,$B$11))/($A88*MIN(D$6,$B$11)))^2)+IF(OR(E$7="",E$8=0),0,E$8*(E$7-R$16*(1-$A88)*(1-(1-$A88)^MIN(E$6,$B$11))/($A88*MIN(E$6,$B$11)))^2)</f>
        <v/>
      </c>
      <c r="S88" s="27">
        <f>IF(OR(B$7="",B$8=0),0,B$8*(B$7-S$16*(1-$A88)*(1-(1-$A88)^MIN(B$6,$B$11))/($A88*MIN(B$6,$B$11)))^2)+IF(OR(C$7="",C$8=0),0,C$8*(C$7-S$16*(1-$A88)*(1-(1-$A88)^MIN(C$6,$B$11))/($A88*MIN(C$6,$B$11)))^2)+IF(OR(D$7="",D$8=0),0,D$8*(D$7-S$16*(1-$A88)*(1-(1-$A88)^MIN(D$6,$B$11))/($A88*MIN(D$6,$B$11)))^2)+IF(OR(E$7="",E$8=0),0,E$8*(E$7-S$16*(1-$A88)*(1-(1-$A88)^MIN(E$6,$B$11))/($A88*MIN(E$6,$B$11)))^2)</f>
        <v/>
      </c>
      <c r="U88" s="27">
        <f>MIN(B88:S88)</f>
        <v/>
      </c>
      <c r="V88" s="17">
        <f>MATCH(U88,B88:S88,0)</f>
        <v/>
      </c>
    </row>
    <row r="89">
      <c r="A89" s="26" t="n">
        <v>0.041</v>
      </c>
      <c r="B89" s="27">
        <f>IF(OR(B$7="",B$8=0),0,B$8*(B$7-B$16*(1-$A89)*(1-(1-$A89)^MIN(B$6,$B$11))/($A89*MIN(B$6,$B$11)))^2)+IF(OR(C$7="",C$8=0),0,C$8*(C$7-B$16*(1-$A89)*(1-(1-$A89)^MIN(C$6,$B$11))/($A89*MIN(C$6,$B$11)))^2)+IF(OR(D$7="",D$8=0),0,D$8*(D$7-B$16*(1-$A89)*(1-(1-$A89)^MIN(D$6,$B$11))/($A89*MIN(D$6,$B$11)))^2)+IF(OR(E$7="",E$8=0),0,E$8*(E$7-B$16*(1-$A89)*(1-(1-$A89)^MIN(E$6,$B$11))/($A89*MIN(E$6,$B$11)))^2)</f>
        <v/>
      </c>
      <c r="C89" s="27">
        <f>IF(OR(B$7="",B$8=0),0,B$8*(B$7-C$16*(1-$A89)*(1-(1-$A89)^MIN(B$6,$B$11))/($A89*MIN(B$6,$B$11)))^2)+IF(OR(C$7="",C$8=0),0,C$8*(C$7-C$16*(1-$A89)*(1-(1-$A89)^MIN(C$6,$B$11))/($A89*MIN(C$6,$B$11)))^2)+IF(OR(D$7="",D$8=0),0,D$8*(D$7-C$16*(1-$A89)*(1-(1-$A89)^MIN(D$6,$B$11))/($A89*MIN(D$6,$B$11)))^2)+IF(OR(E$7="",E$8=0),0,E$8*(E$7-C$16*(1-$A89)*(1-(1-$A89)^MIN(E$6,$B$11))/($A89*MIN(E$6,$B$11)))^2)</f>
        <v/>
      </c>
      <c r="D89" s="27">
        <f>IF(OR(B$7="",B$8=0),0,B$8*(B$7-D$16*(1-$A89)*(1-(1-$A89)^MIN(B$6,$B$11))/($A89*MIN(B$6,$B$11)))^2)+IF(OR(C$7="",C$8=0),0,C$8*(C$7-D$16*(1-$A89)*(1-(1-$A89)^MIN(C$6,$B$11))/($A89*MIN(C$6,$B$11)))^2)+IF(OR(D$7="",D$8=0),0,D$8*(D$7-D$16*(1-$A89)*(1-(1-$A89)^MIN(D$6,$B$11))/($A89*MIN(D$6,$B$11)))^2)+IF(OR(E$7="",E$8=0),0,E$8*(E$7-D$16*(1-$A89)*(1-(1-$A89)^MIN(E$6,$B$11))/($A89*MIN(E$6,$B$11)))^2)</f>
        <v/>
      </c>
      <c r="E89" s="27">
        <f>IF(OR(B$7="",B$8=0),0,B$8*(B$7-E$16*(1-$A89)*(1-(1-$A89)^MIN(B$6,$B$11))/($A89*MIN(B$6,$B$11)))^2)+IF(OR(C$7="",C$8=0),0,C$8*(C$7-E$16*(1-$A89)*(1-(1-$A89)^MIN(C$6,$B$11))/($A89*MIN(C$6,$B$11)))^2)+IF(OR(D$7="",D$8=0),0,D$8*(D$7-E$16*(1-$A89)*(1-(1-$A89)^MIN(D$6,$B$11))/($A89*MIN(D$6,$B$11)))^2)+IF(OR(E$7="",E$8=0),0,E$8*(E$7-E$16*(1-$A89)*(1-(1-$A89)^MIN(E$6,$B$11))/($A89*MIN(E$6,$B$11)))^2)</f>
        <v/>
      </c>
      <c r="F89" s="27">
        <f>IF(OR(B$7="",B$8=0),0,B$8*(B$7-F$16*(1-$A89)*(1-(1-$A89)^MIN(B$6,$B$11))/($A89*MIN(B$6,$B$11)))^2)+IF(OR(C$7="",C$8=0),0,C$8*(C$7-F$16*(1-$A89)*(1-(1-$A89)^MIN(C$6,$B$11))/($A89*MIN(C$6,$B$11)))^2)+IF(OR(D$7="",D$8=0),0,D$8*(D$7-F$16*(1-$A89)*(1-(1-$A89)^MIN(D$6,$B$11))/($A89*MIN(D$6,$B$11)))^2)+IF(OR(E$7="",E$8=0),0,E$8*(E$7-F$16*(1-$A89)*(1-(1-$A89)^MIN(E$6,$B$11))/($A89*MIN(E$6,$B$11)))^2)</f>
        <v/>
      </c>
      <c r="G89" s="27">
        <f>IF(OR(B$7="",B$8=0),0,B$8*(B$7-G$16*(1-$A89)*(1-(1-$A89)^MIN(B$6,$B$11))/($A89*MIN(B$6,$B$11)))^2)+IF(OR(C$7="",C$8=0),0,C$8*(C$7-G$16*(1-$A89)*(1-(1-$A89)^MIN(C$6,$B$11))/($A89*MIN(C$6,$B$11)))^2)+IF(OR(D$7="",D$8=0),0,D$8*(D$7-G$16*(1-$A89)*(1-(1-$A89)^MIN(D$6,$B$11))/($A89*MIN(D$6,$B$11)))^2)+IF(OR(E$7="",E$8=0),0,E$8*(E$7-G$16*(1-$A89)*(1-(1-$A89)^MIN(E$6,$B$11))/($A89*MIN(E$6,$B$11)))^2)</f>
        <v/>
      </c>
      <c r="H89" s="27">
        <f>IF(OR(B$7="",B$8=0),0,B$8*(B$7-H$16*(1-$A89)*(1-(1-$A89)^MIN(B$6,$B$11))/($A89*MIN(B$6,$B$11)))^2)+IF(OR(C$7="",C$8=0),0,C$8*(C$7-H$16*(1-$A89)*(1-(1-$A89)^MIN(C$6,$B$11))/($A89*MIN(C$6,$B$11)))^2)+IF(OR(D$7="",D$8=0),0,D$8*(D$7-H$16*(1-$A89)*(1-(1-$A89)^MIN(D$6,$B$11))/($A89*MIN(D$6,$B$11)))^2)+IF(OR(E$7="",E$8=0),0,E$8*(E$7-H$16*(1-$A89)*(1-(1-$A89)^MIN(E$6,$B$11))/($A89*MIN(E$6,$B$11)))^2)</f>
        <v/>
      </c>
      <c r="I89" s="27">
        <f>IF(OR(B$7="",B$8=0),0,B$8*(B$7-I$16*(1-$A89)*(1-(1-$A89)^MIN(B$6,$B$11))/($A89*MIN(B$6,$B$11)))^2)+IF(OR(C$7="",C$8=0),0,C$8*(C$7-I$16*(1-$A89)*(1-(1-$A89)^MIN(C$6,$B$11))/($A89*MIN(C$6,$B$11)))^2)+IF(OR(D$7="",D$8=0),0,D$8*(D$7-I$16*(1-$A89)*(1-(1-$A89)^MIN(D$6,$B$11))/($A89*MIN(D$6,$B$11)))^2)+IF(OR(E$7="",E$8=0),0,E$8*(E$7-I$16*(1-$A89)*(1-(1-$A89)^MIN(E$6,$B$11))/($A89*MIN(E$6,$B$11)))^2)</f>
        <v/>
      </c>
      <c r="J89" s="27">
        <f>IF(OR(B$7="",B$8=0),0,B$8*(B$7-J$16*(1-$A89)*(1-(1-$A89)^MIN(B$6,$B$11))/($A89*MIN(B$6,$B$11)))^2)+IF(OR(C$7="",C$8=0),0,C$8*(C$7-J$16*(1-$A89)*(1-(1-$A89)^MIN(C$6,$B$11))/($A89*MIN(C$6,$B$11)))^2)+IF(OR(D$7="",D$8=0),0,D$8*(D$7-J$16*(1-$A89)*(1-(1-$A89)^MIN(D$6,$B$11))/($A89*MIN(D$6,$B$11)))^2)+IF(OR(E$7="",E$8=0),0,E$8*(E$7-J$16*(1-$A89)*(1-(1-$A89)^MIN(E$6,$B$11))/($A89*MIN(E$6,$B$11)))^2)</f>
        <v/>
      </c>
      <c r="K89" s="27">
        <f>IF(OR(B$7="",B$8=0),0,B$8*(B$7-K$16*(1-$A89)*(1-(1-$A89)^MIN(B$6,$B$11))/($A89*MIN(B$6,$B$11)))^2)+IF(OR(C$7="",C$8=0),0,C$8*(C$7-K$16*(1-$A89)*(1-(1-$A89)^MIN(C$6,$B$11))/($A89*MIN(C$6,$B$11)))^2)+IF(OR(D$7="",D$8=0),0,D$8*(D$7-K$16*(1-$A89)*(1-(1-$A89)^MIN(D$6,$B$11))/($A89*MIN(D$6,$B$11)))^2)+IF(OR(E$7="",E$8=0),0,E$8*(E$7-K$16*(1-$A89)*(1-(1-$A89)^MIN(E$6,$B$11))/($A89*MIN(E$6,$B$11)))^2)</f>
        <v/>
      </c>
      <c r="L89" s="27">
        <f>IF(OR(B$7="",B$8=0),0,B$8*(B$7-L$16*(1-$A89)*(1-(1-$A89)^MIN(B$6,$B$11))/($A89*MIN(B$6,$B$11)))^2)+IF(OR(C$7="",C$8=0),0,C$8*(C$7-L$16*(1-$A89)*(1-(1-$A89)^MIN(C$6,$B$11))/($A89*MIN(C$6,$B$11)))^2)+IF(OR(D$7="",D$8=0),0,D$8*(D$7-L$16*(1-$A89)*(1-(1-$A89)^MIN(D$6,$B$11))/($A89*MIN(D$6,$B$11)))^2)+IF(OR(E$7="",E$8=0),0,E$8*(E$7-L$16*(1-$A89)*(1-(1-$A89)^MIN(E$6,$B$11))/($A89*MIN(E$6,$B$11)))^2)</f>
        <v/>
      </c>
      <c r="M89" s="27">
        <f>IF(OR(B$7="",B$8=0),0,B$8*(B$7-M$16*(1-$A89)*(1-(1-$A89)^MIN(B$6,$B$11))/($A89*MIN(B$6,$B$11)))^2)+IF(OR(C$7="",C$8=0),0,C$8*(C$7-M$16*(1-$A89)*(1-(1-$A89)^MIN(C$6,$B$11))/($A89*MIN(C$6,$B$11)))^2)+IF(OR(D$7="",D$8=0),0,D$8*(D$7-M$16*(1-$A89)*(1-(1-$A89)^MIN(D$6,$B$11))/($A89*MIN(D$6,$B$11)))^2)+IF(OR(E$7="",E$8=0),0,E$8*(E$7-M$16*(1-$A89)*(1-(1-$A89)^MIN(E$6,$B$11))/($A89*MIN(E$6,$B$11)))^2)</f>
        <v/>
      </c>
      <c r="N89" s="27">
        <f>IF(OR(B$7="",B$8=0),0,B$8*(B$7-N$16*(1-$A89)*(1-(1-$A89)^MIN(B$6,$B$11))/($A89*MIN(B$6,$B$11)))^2)+IF(OR(C$7="",C$8=0),0,C$8*(C$7-N$16*(1-$A89)*(1-(1-$A89)^MIN(C$6,$B$11))/($A89*MIN(C$6,$B$11)))^2)+IF(OR(D$7="",D$8=0),0,D$8*(D$7-N$16*(1-$A89)*(1-(1-$A89)^MIN(D$6,$B$11))/($A89*MIN(D$6,$B$11)))^2)+IF(OR(E$7="",E$8=0),0,E$8*(E$7-N$16*(1-$A89)*(1-(1-$A89)^MIN(E$6,$B$11))/($A89*MIN(E$6,$B$11)))^2)</f>
        <v/>
      </c>
      <c r="O89" s="27">
        <f>IF(OR(B$7="",B$8=0),0,B$8*(B$7-O$16*(1-$A89)*(1-(1-$A89)^MIN(B$6,$B$11))/($A89*MIN(B$6,$B$11)))^2)+IF(OR(C$7="",C$8=0),0,C$8*(C$7-O$16*(1-$A89)*(1-(1-$A89)^MIN(C$6,$B$11))/($A89*MIN(C$6,$B$11)))^2)+IF(OR(D$7="",D$8=0),0,D$8*(D$7-O$16*(1-$A89)*(1-(1-$A89)^MIN(D$6,$B$11))/($A89*MIN(D$6,$B$11)))^2)+IF(OR(E$7="",E$8=0),0,E$8*(E$7-O$16*(1-$A89)*(1-(1-$A89)^MIN(E$6,$B$11))/($A89*MIN(E$6,$B$11)))^2)</f>
        <v/>
      </c>
      <c r="P89" s="27">
        <f>IF(OR(B$7="",B$8=0),0,B$8*(B$7-P$16*(1-$A89)*(1-(1-$A89)^MIN(B$6,$B$11))/($A89*MIN(B$6,$B$11)))^2)+IF(OR(C$7="",C$8=0),0,C$8*(C$7-P$16*(1-$A89)*(1-(1-$A89)^MIN(C$6,$B$11))/($A89*MIN(C$6,$B$11)))^2)+IF(OR(D$7="",D$8=0),0,D$8*(D$7-P$16*(1-$A89)*(1-(1-$A89)^MIN(D$6,$B$11))/($A89*MIN(D$6,$B$11)))^2)+IF(OR(E$7="",E$8=0),0,E$8*(E$7-P$16*(1-$A89)*(1-(1-$A89)^MIN(E$6,$B$11))/($A89*MIN(E$6,$B$11)))^2)</f>
        <v/>
      </c>
      <c r="Q89" s="27">
        <f>IF(OR(B$7="",B$8=0),0,B$8*(B$7-Q$16*(1-$A89)*(1-(1-$A89)^MIN(B$6,$B$11))/($A89*MIN(B$6,$B$11)))^2)+IF(OR(C$7="",C$8=0),0,C$8*(C$7-Q$16*(1-$A89)*(1-(1-$A89)^MIN(C$6,$B$11))/($A89*MIN(C$6,$B$11)))^2)+IF(OR(D$7="",D$8=0),0,D$8*(D$7-Q$16*(1-$A89)*(1-(1-$A89)^MIN(D$6,$B$11))/($A89*MIN(D$6,$B$11)))^2)+IF(OR(E$7="",E$8=0),0,E$8*(E$7-Q$16*(1-$A89)*(1-(1-$A89)^MIN(E$6,$B$11))/($A89*MIN(E$6,$B$11)))^2)</f>
        <v/>
      </c>
      <c r="R89" s="27">
        <f>IF(OR(B$7="",B$8=0),0,B$8*(B$7-R$16*(1-$A89)*(1-(1-$A89)^MIN(B$6,$B$11))/($A89*MIN(B$6,$B$11)))^2)+IF(OR(C$7="",C$8=0),0,C$8*(C$7-R$16*(1-$A89)*(1-(1-$A89)^MIN(C$6,$B$11))/($A89*MIN(C$6,$B$11)))^2)+IF(OR(D$7="",D$8=0),0,D$8*(D$7-R$16*(1-$A89)*(1-(1-$A89)^MIN(D$6,$B$11))/($A89*MIN(D$6,$B$11)))^2)+IF(OR(E$7="",E$8=0),0,E$8*(E$7-R$16*(1-$A89)*(1-(1-$A89)^MIN(E$6,$B$11))/($A89*MIN(E$6,$B$11)))^2)</f>
        <v/>
      </c>
      <c r="S89" s="27">
        <f>IF(OR(B$7="",B$8=0),0,B$8*(B$7-S$16*(1-$A89)*(1-(1-$A89)^MIN(B$6,$B$11))/($A89*MIN(B$6,$B$11)))^2)+IF(OR(C$7="",C$8=0),0,C$8*(C$7-S$16*(1-$A89)*(1-(1-$A89)^MIN(C$6,$B$11))/($A89*MIN(C$6,$B$11)))^2)+IF(OR(D$7="",D$8=0),0,D$8*(D$7-S$16*(1-$A89)*(1-(1-$A89)^MIN(D$6,$B$11))/($A89*MIN(D$6,$B$11)))^2)+IF(OR(E$7="",E$8=0),0,E$8*(E$7-S$16*(1-$A89)*(1-(1-$A89)^MIN(E$6,$B$11))/($A89*MIN(E$6,$B$11)))^2)</f>
        <v/>
      </c>
      <c r="U89" s="27">
        <f>MIN(B89:S89)</f>
        <v/>
      </c>
      <c r="V89" s="17">
        <f>MATCH(U89,B89:S89,0)</f>
        <v/>
      </c>
    </row>
    <row r="90">
      <c r="A90" s="26" t="n">
        <v>0.0415</v>
      </c>
      <c r="B90" s="27">
        <f>IF(OR(B$7="",B$8=0),0,B$8*(B$7-B$16*(1-$A90)*(1-(1-$A90)^MIN(B$6,$B$11))/($A90*MIN(B$6,$B$11)))^2)+IF(OR(C$7="",C$8=0),0,C$8*(C$7-B$16*(1-$A90)*(1-(1-$A90)^MIN(C$6,$B$11))/($A90*MIN(C$6,$B$11)))^2)+IF(OR(D$7="",D$8=0),0,D$8*(D$7-B$16*(1-$A90)*(1-(1-$A90)^MIN(D$6,$B$11))/($A90*MIN(D$6,$B$11)))^2)+IF(OR(E$7="",E$8=0),0,E$8*(E$7-B$16*(1-$A90)*(1-(1-$A90)^MIN(E$6,$B$11))/($A90*MIN(E$6,$B$11)))^2)</f>
        <v/>
      </c>
      <c r="C90" s="27">
        <f>IF(OR(B$7="",B$8=0),0,B$8*(B$7-C$16*(1-$A90)*(1-(1-$A90)^MIN(B$6,$B$11))/($A90*MIN(B$6,$B$11)))^2)+IF(OR(C$7="",C$8=0),0,C$8*(C$7-C$16*(1-$A90)*(1-(1-$A90)^MIN(C$6,$B$11))/($A90*MIN(C$6,$B$11)))^2)+IF(OR(D$7="",D$8=0),0,D$8*(D$7-C$16*(1-$A90)*(1-(1-$A90)^MIN(D$6,$B$11))/($A90*MIN(D$6,$B$11)))^2)+IF(OR(E$7="",E$8=0),0,E$8*(E$7-C$16*(1-$A90)*(1-(1-$A90)^MIN(E$6,$B$11))/($A90*MIN(E$6,$B$11)))^2)</f>
        <v/>
      </c>
      <c r="D90" s="27">
        <f>IF(OR(B$7="",B$8=0),0,B$8*(B$7-D$16*(1-$A90)*(1-(1-$A90)^MIN(B$6,$B$11))/($A90*MIN(B$6,$B$11)))^2)+IF(OR(C$7="",C$8=0),0,C$8*(C$7-D$16*(1-$A90)*(1-(1-$A90)^MIN(C$6,$B$11))/($A90*MIN(C$6,$B$11)))^2)+IF(OR(D$7="",D$8=0),0,D$8*(D$7-D$16*(1-$A90)*(1-(1-$A90)^MIN(D$6,$B$11))/($A90*MIN(D$6,$B$11)))^2)+IF(OR(E$7="",E$8=0),0,E$8*(E$7-D$16*(1-$A90)*(1-(1-$A90)^MIN(E$6,$B$11))/($A90*MIN(E$6,$B$11)))^2)</f>
        <v/>
      </c>
      <c r="E90" s="27">
        <f>IF(OR(B$7="",B$8=0),0,B$8*(B$7-E$16*(1-$A90)*(1-(1-$A90)^MIN(B$6,$B$11))/($A90*MIN(B$6,$B$11)))^2)+IF(OR(C$7="",C$8=0),0,C$8*(C$7-E$16*(1-$A90)*(1-(1-$A90)^MIN(C$6,$B$11))/($A90*MIN(C$6,$B$11)))^2)+IF(OR(D$7="",D$8=0),0,D$8*(D$7-E$16*(1-$A90)*(1-(1-$A90)^MIN(D$6,$B$11))/($A90*MIN(D$6,$B$11)))^2)+IF(OR(E$7="",E$8=0),0,E$8*(E$7-E$16*(1-$A90)*(1-(1-$A90)^MIN(E$6,$B$11))/($A90*MIN(E$6,$B$11)))^2)</f>
        <v/>
      </c>
      <c r="F90" s="27">
        <f>IF(OR(B$7="",B$8=0),0,B$8*(B$7-F$16*(1-$A90)*(1-(1-$A90)^MIN(B$6,$B$11))/($A90*MIN(B$6,$B$11)))^2)+IF(OR(C$7="",C$8=0),0,C$8*(C$7-F$16*(1-$A90)*(1-(1-$A90)^MIN(C$6,$B$11))/($A90*MIN(C$6,$B$11)))^2)+IF(OR(D$7="",D$8=0),0,D$8*(D$7-F$16*(1-$A90)*(1-(1-$A90)^MIN(D$6,$B$11))/($A90*MIN(D$6,$B$11)))^2)+IF(OR(E$7="",E$8=0),0,E$8*(E$7-F$16*(1-$A90)*(1-(1-$A90)^MIN(E$6,$B$11))/($A90*MIN(E$6,$B$11)))^2)</f>
        <v/>
      </c>
      <c r="G90" s="27">
        <f>IF(OR(B$7="",B$8=0),0,B$8*(B$7-G$16*(1-$A90)*(1-(1-$A90)^MIN(B$6,$B$11))/($A90*MIN(B$6,$B$11)))^2)+IF(OR(C$7="",C$8=0),0,C$8*(C$7-G$16*(1-$A90)*(1-(1-$A90)^MIN(C$6,$B$11))/($A90*MIN(C$6,$B$11)))^2)+IF(OR(D$7="",D$8=0),0,D$8*(D$7-G$16*(1-$A90)*(1-(1-$A90)^MIN(D$6,$B$11))/($A90*MIN(D$6,$B$11)))^2)+IF(OR(E$7="",E$8=0),0,E$8*(E$7-G$16*(1-$A90)*(1-(1-$A90)^MIN(E$6,$B$11))/($A90*MIN(E$6,$B$11)))^2)</f>
        <v/>
      </c>
      <c r="H90" s="27">
        <f>IF(OR(B$7="",B$8=0),0,B$8*(B$7-H$16*(1-$A90)*(1-(1-$A90)^MIN(B$6,$B$11))/($A90*MIN(B$6,$B$11)))^2)+IF(OR(C$7="",C$8=0),0,C$8*(C$7-H$16*(1-$A90)*(1-(1-$A90)^MIN(C$6,$B$11))/($A90*MIN(C$6,$B$11)))^2)+IF(OR(D$7="",D$8=0),0,D$8*(D$7-H$16*(1-$A90)*(1-(1-$A90)^MIN(D$6,$B$11))/($A90*MIN(D$6,$B$11)))^2)+IF(OR(E$7="",E$8=0),0,E$8*(E$7-H$16*(1-$A90)*(1-(1-$A90)^MIN(E$6,$B$11))/($A90*MIN(E$6,$B$11)))^2)</f>
        <v/>
      </c>
      <c r="I90" s="27">
        <f>IF(OR(B$7="",B$8=0),0,B$8*(B$7-I$16*(1-$A90)*(1-(1-$A90)^MIN(B$6,$B$11))/($A90*MIN(B$6,$B$11)))^2)+IF(OR(C$7="",C$8=0),0,C$8*(C$7-I$16*(1-$A90)*(1-(1-$A90)^MIN(C$6,$B$11))/($A90*MIN(C$6,$B$11)))^2)+IF(OR(D$7="",D$8=0),0,D$8*(D$7-I$16*(1-$A90)*(1-(1-$A90)^MIN(D$6,$B$11))/($A90*MIN(D$6,$B$11)))^2)+IF(OR(E$7="",E$8=0),0,E$8*(E$7-I$16*(1-$A90)*(1-(1-$A90)^MIN(E$6,$B$11))/($A90*MIN(E$6,$B$11)))^2)</f>
        <v/>
      </c>
      <c r="J90" s="27">
        <f>IF(OR(B$7="",B$8=0),0,B$8*(B$7-J$16*(1-$A90)*(1-(1-$A90)^MIN(B$6,$B$11))/($A90*MIN(B$6,$B$11)))^2)+IF(OR(C$7="",C$8=0),0,C$8*(C$7-J$16*(1-$A90)*(1-(1-$A90)^MIN(C$6,$B$11))/($A90*MIN(C$6,$B$11)))^2)+IF(OR(D$7="",D$8=0),0,D$8*(D$7-J$16*(1-$A90)*(1-(1-$A90)^MIN(D$6,$B$11))/($A90*MIN(D$6,$B$11)))^2)+IF(OR(E$7="",E$8=0),0,E$8*(E$7-J$16*(1-$A90)*(1-(1-$A90)^MIN(E$6,$B$11))/($A90*MIN(E$6,$B$11)))^2)</f>
        <v/>
      </c>
      <c r="K90" s="27">
        <f>IF(OR(B$7="",B$8=0),0,B$8*(B$7-K$16*(1-$A90)*(1-(1-$A90)^MIN(B$6,$B$11))/($A90*MIN(B$6,$B$11)))^2)+IF(OR(C$7="",C$8=0),0,C$8*(C$7-K$16*(1-$A90)*(1-(1-$A90)^MIN(C$6,$B$11))/($A90*MIN(C$6,$B$11)))^2)+IF(OR(D$7="",D$8=0),0,D$8*(D$7-K$16*(1-$A90)*(1-(1-$A90)^MIN(D$6,$B$11))/($A90*MIN(D$6,$B$11)))^2)+IF(OR(E$7="",E$8=0),0,E$8*(E$7-K$16*(1-$A90)*(1-(1-$A90)^MIN(E$6,$B$11))/($A90*MIN(E$6,$B$11)))^2)</f>
        <v/>
      </c>
      <c r="L90" s="27">
        <f>IF(OR(B$7="",B$8=0),0,B$8*(B$7-L$16*(1-$A90)*(1-(1-$A90)^MIN(B$6,$B$11))/($A90*MIN(B$6,$B$11)))^2)+IF(OR(C$7="",C$8=0),0,C$8*(C$7-L$16*(1-$A90)*(1-(1-$A90)^MIN(C$6,$B$11))/($A90*MIN(C$6,$B$11)))^2)+IF(OR(D$7="",D$8=0),0,D$8*(D$7-L$16*(1-$A90)*(1-(1-$A90)^MIN(D$6,$B$11))/($A90*MIN(D$6,$B$11)))^2)+IF(OR(E$7="",E$8=0),0,E$8*(E$7-L$16*(1-$A90)*(1-(1-$A90)^MIN(E$6,$B$11))/($A90*MIN(E$6,$B$11)))^2)</f>
        <v/>
      </c>
      <c r="M90" s="27">
        <f>IF(OR(B$7="",B$8=0),0,B$8*(B$7-M$16*(1-$A90)*(1-(1-$A90)^MIN(B$6,$B$11))/($A90*MIN(B$6,$B$11)))^2)+IF(OR(C$7="",C$8=0),0,C$8*(C$7-M$16*(1-$A90)*(1-(1-$A90)^MIN(C$6,$B$11))/($A90*MIN(C$6,$B$11)))^2)+IF(OR(D$7="",D$8=0),0,D$8*(D$7-M$16*(1-$A90)*(1-(1-$A90)^MIN(D$6,$B$11))/($A90*MIN(D$6,$B$11)))^2)+IF(OR(E$7="",E$8=0),0,E$8*(E$7-M$16*(1-$A90)*(1-(1-$A90)^MIN(E$6,$B$11))/($A90*MIN(E$6,$B$11)))^2)</f>
        <v/>
      </c>
      <c r="N90" s="27">
        <f>IF(OR(B$7="",B$8=0),0,B$8*(B$7-N$16*(1-$A90)*(1-(1-$A90)^MIN(B$6,$B$11))/($A90*MIN(B$6,$B$11)))^2)+IF(OR(C$7="",C$8=0),0,C$8*(C$7-N$16*(1-$A90)*(1-(1-$A90)^MIN(C$6,$B$11))/($A90*MIN(C$6,$B$11)))^2)+IF(OR(D$7="",D$8=0),0,D$8*(D$7-N$16*(1-$A90)*(1-(1-$A90)^MIN(D$6,$B$11))/($A90*MIN(D$6,$B$11)))^2)+IF(OR(E$7="",E$8=0),0,E$8*(E$7-N$16*(1-$A90)*(1-(1-$A90)^MIN(E$6,$B$11))/($A90*MIN(E$6,$B$11)))^2)</f>
        <v/>
      </c>
      <c r="O90" s="27">
        <f>IF(OR(B$7="",B$8=0),0,B$8*(B$7-O$16*(1-$A90)*(1-(1-$A90)^MIN(B$6,$B$11))/($A90*MIN(B$6,$B$11)))^2)+IF(OR(C$7="",C$8=0),0,C$8*(C$7-O$16*(1-$A90)*(1-(1-$A90)^MIN(C$6,$B$11))/($A90*MIN(C$6,$B$11)))^2)+IF(OR(D$7="",D$8=0),0,D$8*(D$7-O$16*(1-$A90)*(1-(1-$A90)^MIN(D$6,$B$11))/($A90*MIN(D$6,$B$11)))^2)+IF(OR(E$7="",E$8=0),0,E$8*(E$7-O$16*(1-$A90)*(1-(1-$A90)^MIN(E$6,$B$11))/($A90*MIN(E$6,$B$11)))^2)</f>
        <v/>
      </c>
      <c r="P90" s="27">
        <f>IF(OR(B$7="",B$8=0),0,B$8*(B$7-P$16*(1-$A90)*(1-(1-$A90)^MIN(B$6,$B$11))/($A90*MIN(B$6,$B$11)))^2)+IF(OR(C$7="",C$8=0),0,C$8*(C$7-P$16*(1-$A90)*(1-(1-$A90)^MIN(C$6,$B$11))/($A90*MIN(C$6,$B$11)))^2)+IF(OR(D$7="",D$8=0),0,D$8*(D$7-P$16*(1-$A90)*(1-(1-$A90)^MIN(D$6,$B$11))/($A90*MIN(D$6,$B$11)))^2)+IF(OR(E$7="",E$8=0),0,E$8*(E$7-P$16*(1-$A90)*(1-(1-$A90)^MIN(E$6,$B$11))/($A90*MIN(E$6,$B$11)))^2)</f>
        <v/>
      </c>
      <c r="Q90" s="27">
        <f>IF(OR(B$7="",B$8=0),0,B$8*(B$7-Q$16*(1-$A90)*(1-(1-$A90)^MIN(B$6,$B$11))/($A90*MIN(B$6,$B$11)))^2)+IF(OR(C$7="",C$8=0),0,C$8*(C$7-Q$16*(1-$A90)*(1-(1-$A90)^MIN(C$6,$B$11))/($A90*MIN(C$6,$B$11)))^2)+IF(OR(D$7="",D$8=0),0,D$8*(D$7-Q$16*(1-$A90)*(1-(1-$A90)^MIN(D$6,$B$11))/($A90*MIN(D$6,$B$11)))^2)+IF(OR(E$7="",E$8=0),0,E$8*(E$7-Q$16*(1-$A90)*(1-(1-$A90)^MIN(E$6,$B$11))/($A90*MIN(E$6,$B$11)))^2)</f>
        <v/>
      </c>
      <c r="R90" s="27">
        <f>IF(OR(B$7="",B$8=0),0,B$8*(B$7-R$16*(1-$A90)*(1-(1-$A90)^MIN(B$6,$B$11))/($A90*MIN(B$6,$B$11)))^2)+IF(OR(C$7="",C$8=0),0,C$8*(C$7-R$16*(1-$A90)*(1-(1-$A90)^MIN(C$6,$B$11))/($A90*MIN(C$6,$B$11)))^2)+IF(OR(D$7="",D$8=0),0,D$8*(D$7-R$16*(1-$A90)*(1-(1-$A90)^MIN(D$6,$B$11))/($A90*MIN(D$6,$B$11)))^2)+IF(OR(E$7="",E$8=0),0,E$8*(E$7-R$16*(1-$A90)*(1-(1-$A90)^MIN(E$6,$B$11))/($A90*MIN(E$6,$B$11)))^2)</f>
        <v/>
      </c>
      <c r="S90" s="27">
        <f>IF(OR(B$7="",B$8=0),0,B$8*(B$7-S$16*(1-$A90)*(1-(1-$A90)^MIN(B$6,$B$11))/($A90*MIN(B$6,$B$11)))^2)+IF(OR(C$7="",C$8=0),0,C$8*(C$7-S$16*(1-$A90)*(1-(1-$A90)^MIN(C$6,$B$11))/($A90*MIN(C$6,$B$11)))^2)+IF(OR(D$7="",D$8=0),0,D$8*(D$7-S$16*(1-$A90)*(1-(1-$A90)^MIN(D$6,$B$11))/($A90*MIN(D$6,$B$11)))^2)+IF(OR(E$7="",E$8=0),0,E$8*(E$7-S$16*(1-$A90)*(1-(1-$A90)^MIN(E$6,$B$11))/($A90*MIN(E$6,$B$11)))^2)</f>
        <v/>
      </c>
      <c r="U90" s="27">
        <f>MIN(B90:S90)</f>
        <v/>
      </c>
      <c r="V90" s="17">
        <f>MATCH(U90,B90:S90,0)</f>
        <v/>
      </c>
    </row>
    <row r="91">
      <c r="A91" s="26" t="n">
        <v>0.042</v>
      </c>
      <c r="B91" s="27">
        <f>IF(OR(B$7="",B$8=0),0,B$8*(B$7-B$16*(1-$A91)*(1-(1-$A91)^MIN(B$6,$B$11))/($A91*MIN(B$6,$B$11)))^2)+IF(OR(C$7="",C$8=0),0,C$8*(C$7-B$16*(1-$A91)*(1-(1-$A91)^MIN(C$6,$B$11))/($A91*MIN(C$6,$B$11)))^2)+IF(OR(D$7="",D$8=0),0,D$8*(D$7-B$16*(1-$A91)*(1-(1-$A91)^MIN(D$6,$B$11))/($A91*MIN(D$6,$B$11)))^2)+IF(OR(E$7="",E$8=0),0,E$8*(E$7-B$16*(1-$A91)*(1-(1-$A91)^MIN(E$6,$B$11))/($A91*MIN(E$6,$B$11)))^2)</f>
        <v/>
      </c>
      <c r="C91" s="27">
        <f>IF(OR(B$7="",B$8=0),0,B$8*(B$7-C$16*(1-$A91)*(1-(1-$A91)^MIN(B$6,$B$11))/($A91*MIN(B$6,$B$11)))^2)+IF(OR(C$7="",C$8=0),0,C$8*(C$7-C$16*(1-$A91)*(1-(1-$A91)^MIN(C$6,$B$11))/($A91*MIN(C$6,$B$11)))^2)+IF(OR(D$7="",D$8=0),0,D$8*(D$7-C$16*(1-$A91)*(1-(1-$A91)^MIN(D$6,$B$11))/($A91*MIN(D$6,$B$11)))^2)+IF(OR(E$7="",E$8=0),0,E$8*(E$7-C$16*(1-$A91)*(1-(1-$A91)^MIN(E$6,$B$11))/($A91*MIN(E$6,$B$11)))^2)</f>
        <v/>
      </c>
      <c r="D91" s="27">
        <f>IF(OR(B$7="",B$8=0),0,B$8*(B$7-D$16*(1-$A91)*(1-(1-$A91)^MIN(B$6,$B$11))/($A91*MIN(B$6,$B$11)))^2)+IF(OR(C$7="",C$8=0),0,C$8*(C$7-D$16*(1-$A91)*(1-(1-$A91)^MIN(C$6,$B$11))/($A91*MIN(C$6,$B$11)))^2)+IF(OR(D$7="",D$8=0),0,D$8*(D$7-D$16*(1-$A91)*(1-(1-$A91)^MIN(D$6,$B$11))/($A91*MIN(D$6,$B$11)))^2)+IF(OR(E$7="",E$8=0),0,E$8*(E$7-D$16*(1-$A91)*(1-(1-$A91)^MIN(E$6,$B$11))/($A91*MIN(E$6,$B$11)))^2)</f>
        <v/>
      </c>
      <c r="E91" s="27">
        <f>IF(OR(B$7="",B$8=0),0,B$8*(B$7-E$16*(1-$A91)*(1-(1-$A91)^MIN(B$6,$B$11))/($A91*MIN(B$6,$B$11)))^2)+IF(OR(C$7="",C$8=0),0,C$8*(C$7-E$16*(1-$A91)*(1-(1-$A91)^MIN(C$6,$B$11))/($A91*MIN(C$6,$B$11)))^2)+IF(OR(D$7="",D$8=0),0,D$8*(D$7-E$16*(1-$A91)*(1-(1-$A91)^MIN(D$6,$B$11))/($A91*MIN(D$6,$B$11)))^2)+IF(OR(E$7="",E$8=0),0,E$8*(E$7-E$16*(1-$A91)*(1-(1-$A91)^MIN(E$6,$B$11))/($A91*MIN(E$6,$B$11)))^2)</f>
        <v/>
      </c>
      <c r="F91" s="27">
        <f>IF(OR(B$7="",B$8=0),0,B$8*(B$7-F$16*(1-$A91)*(1-(1-$A91)^MIN(B$6,$B$11))/($A91*MIN(B$6,$B$11)))^2)+IF(OR(C$7="",C$8=0),0,C$8*(C$7-F$16*(1-$A91)*(1-(1-$A91)^MIN(C$6,$B$11))/($A91*MIN(C$6,$B$11)))^2)+IF(OR(D$7="",D$8=0),0,D$8*(D$7-F$16*(1-$A91)*(1-(1-$A91)^MIN(D$6,$B$11))/($A91*MIN(D$6,$B$11)))^2)+IF(OR(E$7="",E$8=0),0,E$8*(E$7-F$16*(1-$A91)*(1-(1-$A91)^MIN(E$6,$B$11))/($A91*MIN(E$6,$B$11)))^2)</f>
        <v/>
      </c>
      <c r="G91" s="27">
        <f>IF(OR(B$7="",B$8=0),0,B$8*(B$7-G$16*(1-$A91)*(1-(1-$A91)^MIN(B$6,$B$11))/($A91*MIN(B$6,$B$11)))^2)+IF(OR(C$7="",C$8=0),0,C$8*(C$7-G$16*(1-$A91)*(1-(1-$A91)^MIN(C$6,$B$11))/($A91*MIN(C$6,$B$11)))^2)+IF(OR(D$7="",D$8=0),0,D$8*(D$7-G$16*(1-$A91)*(1-(1-$A91)^MIN(D$6,$B$11))/($A91*MIN(D$6,$B$11)))^2)+IF(OR(E$7="",E$8=0),0,E$8*(E$7-G$16*(1-$A91)*(1-(1-$A91)^MIN(E$6,$B$11))/($A91*MIN(E$6,$B$11)))^2)</f>
        <v/>
      </c>
      <c r="H91" s="27">
        <f>IF(OR(B$7="",B$8=0),0,B$8*(B$7-H$16*(1-$A91)*(1-(1-$A91)^MIN(B$6,$B$11))/($A91*MIN(B$6,$B$11)))^2)+IF(OR(C$7="",C$8=0),0,C$8*(C$7-H$16*(1-$A91)*(1-(1-$A91)^MIN(C$6,$B$11))/($A91*MIN(C$6,$B$11)))^2)+IF(OR(D$7="",D$8=0),0,D$8*(D$7-H$16*(1-$A91)*(1-(1-$A91)^MIN(D$6,$B$11))/($A91*MIN(D$6,$B$11)))^2)+IF(OR(E$7="",E$8=0),0,E$8*(E$7-H$16*(1-$A91)*(1-(1-$A91)^MIN(E$6,$B$11))/($A91*MIN(E$6,$B$11)))^2)</f>
        <v/>
      </c>
      <c r="I91" s="27">
        <f>IF(OR(B$7="",B$8=0),0,B$8*(B$7-I$16*(1-$A91)*(1-(1-$A91)^MIN(B$6,$B$11))/($A91*MIN(B$6,$B$11)))^2)+IF(OR(C$7="",C$8=0),0,C$8*(C$7-I$16*(1-$A91)*(1-(1-$A91)^MIN(C$6,$B$11))/($A91*MIN(C$6,$B$11)))^2)+IF(OR(D$7="",D$8=0),0,D$8*(D$7-I$16*(1-$A91)*(1-(1-$A91)^MIN(D$6,$B$11))/($A91*MIN(D$6,$B$11)))^2)+IF(OR(E$7="",E$8=0),0,E$8*(E$7-I$16*(1-$A91)*(1-(1-$A91)^MIN(E$6,$B$11))/($A91*MIN(E$6,$B$11)))^2)</f>
        <v/>
      </c>
      <c r="J91" s="27">
        <f>IF(OR(B$7="",B$8=0),0,B$8*(B$7-J$16*(1-$A91)*(1-(1-$A91)^MIN(B$6,$B$11))/($A91*MIN(B$6,$B$11)))^2)+IF(OR(C$7="",C$8=0),0,C$8*(C$7-J$16*(1-$A91)*(1-(1-$A91)^MIN(C$6,$B$11))/($A91*MIN(C$6,$B$11)))^2)+IF(OR(D$7="",D$8=0),0,D$8*(D$7-J$16*(1-$A91)*(1-(1-$A91)^MIN(D$6,$B$11))/($A91*MIN(D$6,$B$11)))^2)+IF(OR(E$7="",E$8=0),0,E$8*(E$7-J$16*(1-$A91)*(1-(1-$A91)^MIN(E$6,$B$11))/($A91*MIN(E$6,$B$11)))^2)</f>
        <v/>
      </c>
      <c r="K91" s="27">
        <f>IF(OR(B$7="",B$8=0),0,B$8*(B$7-K$16*(1-$A91)*(1-(1-$A91)^MIN(B$6,$B$11))/($A91*MIN(B$6,$B$11)))^2)+IF(OR(C$7="",C$8=0),0,C$8*(C$7-K$16*(1-$A91)*(1-(1-$A91)^MIN(C$6,$B$11))/($A91*MIN(C$6,$B$11)))^2)+IF(OR(D$7="",D$8=0),0,D$8*(D$7-K$16*(1-$A91)*(1-(1-$A91)^MIN(D$6,$B$11))/($A91*MIN(D$6,$B$11)))^2)+IF(OR(E$7="",E$8=0),0,E$8*(E$7-K$16*(1-$A91)*(1-(1-$A91)^MIN(E$6,$B$11))/($A91*MIN(E$6,$B$11)))^2)</f>
        <v/>
      </c>
      <c r="L91" s="27">
        <f>IF(OR(B$7="",B$8=0),0,B$8*(B$7-L$16*(1-$A91)*(1-(1-$A91)^MIN(B$6,$B$11))/($A91*MIN(B$6,$B$11)))^2)+IF(OR(C$7="",C$8=0),0,C$8*(C$7-L$16*(1-$A91)*(1-(1-$A91)^MIN(C$6,$B$11))/($A91*MIN(C$6,$B$11)))^2)+IF(OR(D$7="",D$8=0),0,D$8*(D$7-L$16*(1-$A91)*(1-(1-$A91)^MIN(D$6,$B$11))/($A91*MIN(D$6,$B$11)))^2)+IF(OR(E$7="",E$8=0),0,E$8*(E$7-L$16*(1-$A91)*(1-(1-$A91)^MIN(E$6,$B$11))/($A91*MIN(E$6,$B$11)))^2)</f>
        <v/>
      </c>
      <c r="M91" s="27">
        <f>IF(OR(B$7="",B$8=0),0,B$8*(B$7-M$16*(1-$A91)*(1-(1-$A91)^MIN(B$6,$B$11))/($A91*MIN(B$6,$B$11)))^2)+IF(OR(C$7="",C$8=0),0,C$8*(C$7-M$16*(1-$A91)*(1-(1-$A91)^MIN(C$6,$B$11))/($A91*MIN(C$6,$B$11)))^2)+IF(OR(D$7="",D$8=0),0,D$8*(D$7-M$16*(1-$A91)*(1-(1-$A91)^MIN(D$6,$B$11))/($A91*MIN(D$6,$B$11)))^2)+IF(OR(E$7="",E$8=0),0,E$8*(E$7-M$16*(1-$A91)*(1-(1-$A91)^MIN(E$6,$B$11))/($A91*MIN(E$6,$B$11)))^2)</f>
        <v/>
      </c>
      <c r="N91" s="27">
        <f>IF(OR(B$7="",B$8=0),0,B$8*(B$7-N$16*(1-$A91)*(1-(1-$A91)^MIN(B$6,$B$11))/($A91*MIN(B$6,$B$11)))^2)+IF(OR(C$7="",C$8=0),0,C$8*(C$7-N$16*(1-$A91)*(1-(1-$A91)^MIN(C$6,$B$11))/($A91*MIN(C$6,$B$11)))^2)+IF(OR(D$7="",D$8=0),0,D$8*(D$7-N$16*(1-$A91)*(1-(1-$A91)^MIN(D$6,$B$11))/($A91*MIN(D$6,$B$11)))^2)+IF(OR(E$7="",E$8=0),0,E$8*(E$7-N$16*(1-$A91)*(1-(1-$A91)^MIN(E$6,$B$11))/($A91*MIN(E$6,$B$11)))^2)</f>
        <v/>
      </c>
      <c r="O91" s="27">
        <f>IF(OR(B$7="",B$8=0),0,B$8*(B$7-O$16*(1-$A91)*(1-(1-$A91)^MIN(B$6,$B$11))/($A91*MIN(B$6,$B$11)))^2)+IF(OR(C$7="",C$8=0),0,C$8*(C$7-O$16*(1-$A91)*(1-(1-$A91)^MIN(C$6,$B$11))/($A91*MIN(C$6,$B$11)))^2)+IF(OR(D$7="",D$8=0),0,D$8*(D$7-O$16*(1-$A91)*(1-(1-$A91)^MIN(D$6,$B$11))/($A91*MIN(D$6,$B$11)))^2)+IF(OR(E$7="",E$8=0),0,E$8*(E$7-O$16*(1-$A91)*(1-(1-$A91)^MIN(E$6,$B$11))/($A91*MIN(E$6,$B$11)))^2)</f>
        <v/>
      </c>
      <c r="P91" s="27">
        <f>IF(OR(B$7="",B$8=0),0,B$8*(B$7-P$16*(1-$A91)*(1-(1-$A91)^MIN(B$6,$B$11))/($A91*MIN(B$6,$B$11)))^2)+IF(OR(C$7="",C$8=0),0,C$8*(C$7-P$16*(1-$A91)*(1-(1-$A91)^MIN(C$6,$B$11))/($A91*MIN(C$6,$B$11)))^2)+IF(OR(D$7="",D$8=0),0,D$8*(D$7-P$16*(1-$A91)*(1-(1-$A91)^MIN(D$6,$B$11))/($A91*MIN(D$6,$B$11)))^2)+IF(OR(E$7="",E$8=0),0,E$8*(E$7-P$16*(1-$A91)*(1-(1-$A91)^MIN(E$6,$B$11))/($A91*MIN(E$6,$B$11)))^2)</f>
        <v/>
      </c>
      <c r="Q91" s="27">
        <f>IF(OR(B$7="",B$8=0),0,B$8*(B$7-Q$16*(1-$A91)*(1-(1-$A91)^MIN(B$6,$B$11))/($A91*MIN(B$6,$B$11)))^2)+IF(OR(C$7="",C$8=0),0,C$8*(C$7-Q$16*(1-$A91)*(1-(1-$A91)^MIN(C$6,$B$11))/($A91*MIN(C$6,$B$11)))^2)+IF(OR(D$7="",D$8=0),0,D$8*(D$7-Q$16*(1-$A91)*(1-(1-$A91)^MIN(D$6,$B$11))/($A91*MIN(D$6,$B$11)))^2)+IF(OR(E$7="",E$8=0),0,E$8*(E$7-Q$16*(1-$A91)*(1-(1-$A91)^MIN(E$6,$B$11))/($A91*MIN(E$6,$B$11)))^2)</f>
        <v/>
      </c>
      <c r="R91" s="27">
        <f>IF(OR(B$7="",B$8=0),0,B$8*(B$7-R$16*(1-$A91)*(1-(1-$A91)^MIN(B$6,$B$11))/($A91*MIN(B$6,$B$11)))^2)+IF(OR(C$7="",C$8=0),0,C$8*(C$7-R$16*(1-$A91)*(1-(1-$A91)^MIN(C$6,$B$11))/($A91*MIN(C$6,$B$11)))^2)+IF(OR(D$7="",D$8=0),0,D$8*(D$7-R$16*(1-$A91)*(1-(1-$A91)^MIN(D$6,$B$11))/($A91*MIN(D$6,$B$11)))^2)+IF(OR(E$7="",E$8=0),0,E$8*(E$7-R$16*(1-$A91)*(1-(1-$A91)^MIN(E$6,$B$11))/($A91*MIN(E$6,$B$11)))^2)</f>
        <v/>
      </c>
      <c r="S91" s="27">
        <f>IF(OR(B$7="",B$8=0),0,B$8*(B$7-S$16*(1-$A91)*(1-(1-$A91)^MIN(B$6,$B$11))/($A91*MIN(B$6,$B$11)))^2)+IF(OR(C$7="",C$8=0),0,C$8*(C$7-S$16*(1-$A91)*(1-(1-$A91)^MIN(C$6,$B$11))/($A91*MIN(C$6,$B$11)))^2)+IF(OR(D$7="",D$8=0),0,D$8*(D$7-S$16*(1-$A91)*(1-(1-$A91)^MIN(D$6,$B$11))/($A91*MIN(D$6,$B$11)))^2)+IF(OR(E$7="",E$8=0),0,E$8*(E$7-S$16*(1-$A91)*(1-(1-$A91)^MIN(E$6,$B$11))/($A91*MIN(E$6,$B$11)))^2)</f>
        <v/>
      </c>
      <c r="U91" s="27">
        <f>MIN(B91:S91)</f>
        <v/>
      </c>
      <c r="V91" s="17">
        <f>MATCH(U91,B91:S91,0)</f>
        <v/>
      </c>
    </row>
    <row r="92">
      <c r="A92" s="26" t="n">
        <v>0.0425</v>
      </c>
      <c r="B92" s="27">
        <f>IF(OR(B$7="",B$8=0),0,B$8*(B$7-B$16*(1-$A92)*(1-(1-$A92)^MIN(B$6,$B$11))/($A92*MIN(B$6,$B$11)))^2)+IF(OR(C$7="",C$8=0),0,C$8*(C$7-B$16*(1-$A92)*(1-(1-$A92)^MIN(C$6,$B$11))/($A92*MIN(C$6,$B$11)))^2)+IF(OR(D$7="",D$8=0),0,D$8*(D$7-B$16*(1-$A92)*(1-(1-$A92)^MIN(D$6,$B$11))/($A92*MIN(D$6,$B$11)))^2)+IF(OR(E$7="",E$8=0),0,E$8*(E$7-B$16*(1-$A92)*(1-(1-$A92)^MIN(E$6,$B$11))/($A92*MIN(E$6,$B$11)))^2)</f>
        <v/>
      </c>
      <c r="C92" s="27">
        <f>IF(OR(B$7="",B$8=0),0,B$8*(B$7-C$16*(1-$A92)*(1-(1-$A92)^MIN(B$6,$B$11))/($A92*MIN(B$6,$B$11)))^2)+IF(OR(C$7="",C$8=0),0,C$8*(C$7-C$16*(1-$A92)*(1-(1-$A92)^MIN(C$6,$B$11))/($A92*MIN(C$6,$B$11)))^2)+IF(OR(D$7="",D$8=0),0,D$8*(D$7-C$16*(1-$A92)*(1-(1-$A92)^MIN(D$6,$B$11))/($A92*MIN(D$6,$B$11)))^2)+IF(OR(E$7="",E$8=0),0,E$8*(E$7-C$16*(1-$A92)*(1-(1-$A92)^MIN(E$6,$B$11))/($A92*MIN(E$6,$B$11)))^2)</f>
        <v/>
      </c>
      <c r="D92" s="27">
        <f>IF(OR(B$7="",B$8=0),0,B$8*(B$7-D$16*(1-$A92)*(1-(1-$A92)^MIN(B$6,$B$11))/($A92*MIN(B$6,$B$11)))^2)+IF(OR(C$7="",C$8=0),0,C$8*(C$7-D$16*(1-$A92)*(1-(1-$A92)^MIN(C$6,$B$11))/($A92*MIN(C$6,$B$11)))^2)+IF(OR(D$7="",D$8=0),0,D$8*(D$7-D$16*(1-$A92)*(1-(1-$A92)^MIN(D$6,$B$11))/($A92*MIN(D$6,$B$11)))^2)+IF(OR(E$7="",E$8=0),0,E$8*(E$7-D$16*(1-$A92)*(1-(1-$A92)^MIN(E$6,$B$11))/($A92*MIN(E$6,$B$11)))^2)</f>
        <v/>
      </c>
      <c r="E92" s="27">
        <f>IF(OR(B$7="",B$8=0),0,B$8*(B$7-E$16*(1-$A92)*(1-(1-$A92)^MIN(B$6,$B$11))/($A92*MIN(B$6,$B$11)))^2)+IF(OR(C$7="",C$8=0),0,C$8*(C$7-E$16*(1-$A92)*(1-(1-$A92)^MIN(C$6,$B$11))/($A92*MIN(C$6,$B$11)))^2)+IF(OR(D$7="",D$8=0),0,D$8*(D$7-E$16*(1-$A92)*(1-(1-$A92)^MIN(D$6,$B$11))/($A92*MIN(D$6,$B$11)))^2)+IF(OR(E$7="",E$8=0),0,E$8*(E$7-E$16*(1-$A92)*(1-(1-$A92)^MIN(E$6,$B$11))/($A92*MIN(E$6,$B$11)))^2)</f>
        <v/>
      </c>
      <c r="F92" s="27">
        <f>IF(OR(B$7="",B$8=0),0,B$8*(B$7-F$16*(1-$A92)*(1-(1-$A92)^MIN(B$6,$B$11))/($A92*MIN(B$6,$B$11)))^2)+IF(OR(C$7="",C$8=0),0,C$8*(C$7-F$16*(1-$A92)*(1-(1-$A92)^MIN(C$6,$B$11))/($A92*MIN(C$6,$B$11)))^2)+IF(OR(D$7="",D$8=0),0,D$8*(D$7-F$16*(1-$A92)*(1-(1-$A92)^MIN(D$6,$B$11))/($A92*MIN(D$6,$B$11)))^2)+IF(OR(E$7="",E$8=0),0,E$8*(E$7-F$16*(1-$A92)*(1-(1-$A92)^MIN(E$6,$B$11))/($A92*MIN(E$6,$B$11)))^2)</f>
        <v/>
      </c>
      <c r="G92" s="27">
        <f>IF(OR(B$7="",B$8=0),0,B$8*(B$7-G$16*(1-$A92)*(1-(1-$A92)^MIN(B$6,$B$11))/($A92*MIN(B$6,$B$11)))^2)+IF(OR(C$7="",C$8=0),0,C$8*(C$7-G$16*(1-$A92)*(1-(1-$A92)^MIN(C$6,$B$11))/($A92*MIN(C$6,$B$11)))^2)+IF(OR(D$7="",D$8=0),0,D$8*(D$7-G$16*(1-$A92)*(1-(1-$A92)^MIN(D$6,$B$11))/($A92*MIN(D$6,$B$11)))^2)+IF(OR(E$7="",E$8=0),0,E$8*(E$7-G$16*(1-$A92)*(1-(1-$A92)^MIN(E$6,$B$11))/($A92*MIN(E$6,$B$11)))^2)</f>
        <v/>
      </c>
      <c r="H92" s="27">
        <f>IF(OR(B$7="",B$8=0),0,B$8*(B$7-H$16*(1-$A92)*(1-(1-$A92)^MIN(B$6,$B$11))/($A92*MIN(B$6,$B$11)))^2)+IF(OR(C$7="",C$8=0),0,C$8*(C$7-H$16*(1-$A92)*(1-(1-$A92)^MIN(C$6,$B$11))/($A92*MIN(C$6,$B$11)))^2)+IF(OR(D$7="",D$8=0),0,D$8*(D$7-H$16*(1-$A92)*(1-(1-$A92)^MIN(D$6,$B$11))/($A92*MIN(D$6,$B$11)))^2)+IF(OR(E$7="",E$8=0),0,E$8*(E$7-H$16*(1-$A92)*(1-(1-$A92)^MIN(E$6,$B$11))/($A92*MIN(E$6,$B$11)))^2)</f>
        <v/>
      </c>
      <c r="I92" s="27">
        <f>IF(OR(B$7="",B$8=0),0,B$8*(B$7-I$16*(1-$A92)*(1-(1-$A92)^MIN(B$6,$B$11))/($A92*MIN(B$6,$B$11)))^2)+IF(OR(C$7="",C$8=0),0,C$8*(C$7-I$16*(1-$A92)*(1-(1-$A92)^MIN(C$6,$B$11))/($A92*MIN(C$6,$B$11)))^2)+IF(OR(D$7="",D$8=0),0,D$8*(D$7-I$16*(1-$A92)*(1-(1-$A92)^MIN(D$6,$B$11))/($A92*MIN(D$6,$B$11)))^2)+IF(OR(E$7="",E$8=0),0,E$8*(E$7-I$16*(1-$A92)*(1-(1-$A92)^MIN(E$6,$B$11))/($A92*MIN(E$6,$B$11)))^2)</f>
        <v/>
      </c>
      <c r="J92" s="27">
        <f>IF(OR(B$7="",B$8=0),0,B$8*(B$7-J$16*(1-$A92)*(1-(1-$A92)^MIN(B$6,$B$11))/($A92*MIN(B$6,$B$11)))^2)+IF(OR(C$7="",C$8=0),0,C$8*(C$7-J$16*(1-$A92)*(1-(1-$A92)^MIN(C$6,$B$11))/($A92*MIN(C$6,$B$11)))^2)+IF(OR(D$7="",D$8=0),0,D$8*(D$7-J$16*(1-$A92)*(1-(1-$A92)^MIN(D$6,$B$11))/($A92*MIN(D$6,$B$11)))^2)+IF(OR(E$7="",E$8=0),0,E$8*(E$7-J$16*(1-$A92)*(1-(1-$A92)^MIN(E$6,$B$11))/($A92*MIN(E$6,$B$11)))^2)</f>
        <v/>
      </c>
      <c r="K92" s="27">
        <f>IF(OR(B$7="",B$8=0),0,B$8*(B$7-K$16*(1-$A92)*(1-(1-$A92)^MIN(B$6,$B$11))/($A92*MIN(B$6,$B$11)))^2)+IF(OR(C$7="",C$8=0),0,C$8*(C$7-K$16*(1-$A92)*(1-(1-$A92)^MIN(C$6,$B$11))/($A92*MIN(C$6,$B$11)))^2)+IF(OR(D$7="",D$8=0),0,D$8*(D$7-K$16*(1-$A92)*(1-(1-$A92)^MIN(D$6,$B$11))/($A92*MIN(D$6,$B$11)))^2)+IF(OR(E$7="",E$8=0),0,E$8*(E$7-K$16*(1-$A92)*(1-(1-$A92)^MIN(E$6,$B$11))/($A92*MIN(E$6,$B$11)))^2)</f>
        <v/>
      </c>
      <c r="L92" s="27">
        <f>IF(OR(B$7="",B$8=0),0,B$8*(B$7-L$16*(1-$A92)*(1-(1-$A92)^MIN(B$6,$B$11))/($A92*MIN(B$6,$B$11)))^2)+IF(OR(C$7="",C$8=0),0,C$8*(C$7-L$16*(1-$A92)*(1-(1-$A92)^MIN(C$6,$B$11))/($A92*MIN(C$6,$B$11)))^2)+IF(OR(D$7="",D$8=0),0,D$8*(D$7-L$16*(1-$A92)*(1-(1-$A92)^MIN(D$6,$B$11))/($A92*MIN(D$6,$B$11)))^2)+IF(OR(E$7="",E$8=0),0,E$8*(E$7-L$16*(1-$A92)*(1-(1-$A92)^MIN(E$6,$B$11))/($A92*MIN(E$6,$B$11)))^2)</f>
        <v/>
      </c>
      <c r="M92" s="27">
        <f>IF(OR(B$7="",B$8=0),0,B$8*(B$7-M$16*(1-$A92)*(1-(1-$A92)^MIN(B$6,$B$11))/($A92*MIN(B$6,$B$11)))^2)+IF(OR(C$7="",C$8=0),0,C$8*(C$7-M$16*(1-$A92)*(1-(1-$A92)^MIN(C$6,$B$11))/($A92*MIN(C$6,$B$11)))^2)+IF(OR(D$7="",D$8=0),0,D$8*(D$7-M$16*(1-$A92)*(1-(1-$A92)^MIN(D$6,$B$11))/($A92*MIN(D$6,$B$11)))^2)+IF(OR(E$7="",E$8=0),0,E$8*(E$7-M$16*(1-$A92)*(1-(1-$A92)^MIN(E$6,$B$11))/($A92*MIN(E$6,$B$11)))^2)</f>
        <v/>
      </c>
      <c r="N92" s="27">
        <f>IF(OR(B$7="",B$8=0),0,B$8*(B$7-N$16*(1-$A92)*(1-(1-$A92)^MIN(B$6,$B$11))/($A92*MIN(B$6,$B$11)))^2)+IF(OR(C$7="",C$8=0),0,C$8*(C$7-N$16*(1-$A92)*(1-(1-$A92)^MIN(C$6,$B$11))/($A92*MIN(C$6,$B$11)))^2)+IF(OR(D$7="",D$8=0),0,D$8*(D$7-N$16*(1-$A92)*(1-(1-$A92)^MIN(D$6,$B$11))/($A92*MIN(D$6,$B$11)))^2)+IF(OR(E$7="",E$8=0),0,E$8*(E$7-N$16*(1-$A92)*(1-(1-$A92)^MIN(E$6,$B$11))/($A92*MIN(E$6,$B$11)))^2)</f>
        <v/>
      </c>
      <c r="O92" s="27">
        <f>IF(OR(B$7="",B$8=0),0,B$8*(B$7-O$16*(1-$A92)*(1-(1-$A92)^MIN(B$6,$B$11))/($A92*MIN(B$6,$B$11)))^2)+IF(OR(C$7="",C$8=0),0,C$8*(C$7-O$16*(1-$A92)*(1-(1-$A92)^MIN(C$6,$B$11))/($A92*MIN(C$6,$B$11)))^2)+IF(OR(D$7="",D$8=0),0,D$8*(D$7-O$16*(1-$A92)*(1-(1-$A92)^MIN(D$6,$B$11))/($A92*MIN(D$6,$B$11)))^2)+IF(OR(E$7="",E$8=0),0,E$8*(E$7-O$16*(1-$A92)*(1-(1-$A92)^MIN(E$6,$B$11))/($A92*MIN(E$6,$B$11)))^2)</f>
        <v/>
      </c>
      <c r="P92" s="27">
        <f>IF(OR(B$7="",B$8=0),0,B$8*(B$7-P$16*(1-$A92)*(1-(1-$A92)^MIN(B$6,$B$11))/($A92*MIN(B$6,$B$11)))^2)+IF(OR(C$7="",C$8=0),0,C$8*(C$7-P$16*(1-$A92)*(1-(1-$A92)^MIN(C$6,$B$11))/($A92*MIN(C$6,$B$11)))^2)+IF(OR(D$7="",D$8=0),0,D$8*(D$7-P$16*(1-$A92)*(1-(1-$A92)^MIN(D$6,$B$11))/($A92*MIN(D$6,$B$11)))^2)+IF(OR(E$7="",E$8=0),0,E$8*(E$7-P$16*(1-$A92)*(1-(1-$A92)^MIN(E$6,$B$11))/($A92*MIN(E$6,$B$11)))^2)</f>
        <v/>
      </c>
      <c r="Q92" s="27">
        <f>IF(OR(B$7="",B$8=0),0,B$8*(B$7-Q$16*(1-$A92)*(1-(1-$A92)^MIN(B$6,$B$11))/($A92*MIN(B$6,$B$11)))^2)+IF(OR(C$7="",C$8=0),0,C$8*(C$7-Q$16*(1-$A92)*(1-(1-$A92)^MIN(C$6,$B$11))/($A92*MIN(C$6,$B$11)))^2)+IF(OR(D$7="",D$8=0),0,D$8*(D$7-Q$16*(1-$A92)*(1-(1-$A92)^MIN(D$6,$B$11))/($A92*MIN(D$6,$B$11)))^2)+IF(OR(E$7="",E$8=0),0,E$8*(E$7-Q$16*(1-$A92)*(1-(1-$A92)^MIN(E$6,$B$11))/($A92*MIN(E$6,$B$11)))^2)</f>
        <v/>
      </c>
      <c r="R92" s="27">
        <f>IF(OR(B$7="",B$8=0),0,B$8*(B$7-R$16*(1-$A92)*(1-(1-$A92)^MIN(B$6,$B$11))/($A92*MIN(B$6,$B$11)))^2)+IF(OR(C$7="",C$8=0),0,C$8*(C$7-R$16*(1-$A92)*(1-(1-$A92)^MIN(C$6,$B$11))/($A92*MIN(C$6,$B$11)))^2)+IF(OR(D$7="",D$8=0),0,D$8*(D$7-R$16*(1-$A92)*(1-(1-$A92)^MIN(D$6,$B$11))/($A92*MIN(D$6,$B$11)))^2)+IF(OR(E$7="",E$8=0),0,E$8*(E$7-R$16*(1-$A92)*(1-(1-$A92)^MIN(E$6,$B$11))/($A92*MIN(E$6,$B$11)))^2)</f>
        <v/>
      </c>
      <c r="S92" s="27">
        <f>IF(OR(B$7="",B$8=0),0,B$8*(B$7-S$16*(1-$A92)*(1-(1-$A92)^MIN(B$6,$B$11))/($A92*MIN(B$6,$B$11)))^2)+IF(OR(C$7="",C$8=0),0,C$8*(C$7-S$16*(1-$A92)*(1-(1-$A92)^MIN(C$6,$B$11))/($A92*MIN(C$6,$B$11)))^2)+IF(OR(D$7="",D$8=0),0,D$8*(D$7-S$16*(1-$A92)*(1-(1-$A92)^MIN(D$6,$B$11))/($A92*MIN(D$6,$B$11)))^2)+IF(OR(E$7="",E$8=0),0,E$8*(E$7-S$16*(1-$A92)*(1-(1-$A92)^MIN(E$6,$B$11))/($A92*MIN(E$6,$B$11)))^2)</f>
        <v/>
      </c>
      <c r="U92" s="27">
        <f>MIN(B92:S92)</f>
        <v/>
      </c>
      <c r="V92" s="17">
        <f>MATCH(U92,B92:S92,0)</f>
        <v/>
      </c>
    </row>
    <row r="93">
      <c r="A93" s="26" t="n">
        <v>0.043</v>
      </c>
      <c r="B93" s="27">
        <f>IF(OR(B$7="",B$8=0),0,B$8*(B$7-B$16*(1-$A93)*(1-(1-$A93)^MIN(B$6,$B$11))/($A93*MIN(B$6,$B$11)))^2)+IF(OR(C$7="",C$8=0),0,C$8*(C$7-B$16*(1-$A93)*(1-(1-$A93)^MIN(C$6,$B$11))/($A93*MIN(C$6,$B$11)))^2)+IF(OR(D$7="",D$8=0),0,D$8*(D$7-B$16*(1-$A93)*(1-(1-$A93)^MIN(D$6,$B$11))/($A93*MIN(D$6,$B$11)))^2)+IF(OR(E$7="",E$8=0),0,E$8*(E$7-B$16*(1-$A93)*(1-(1-$A93)^MIN(E$6,$B$11))/($A93*MIN(E$6,$B$11)))^2)</f>
        <v/>
      </c>
      <c r="C93" s="27">
        <f>IF(OR(B$7="",B$8=0),0,B$8*(B$7-C$16*(1-$A93)*(1-(1-$A93)^MIN(B$6,$B$11))/($A93*MIN(B$6,$B$11)))^2)+IF(OR(C$7="",C$8=0),0,C$8*(C$7-C$16*(1-$A93)*(1-(1-$A93)^MIN(C$6,$B$11))/($A93*MIN(C$6,$B$11)))^2)+IF(OR(D$7="",D$8=0),0,D$8*(D$7-C$16*(1-$A93)*(1-(1-$A93)^MIN(D$6,$B$11))/($A93*MIN(D$6,$B$11)))^2)+IF(OR(E$7="",E$8=0),0,E$8*(E$7-C$16*(1-$A93)*(1-(1-$A93)^MIN(E$6,$B$11))/($A93*MIN(E$6,$B$11)))^2)</f>
        <v/>
      </c>
      <c r="D93" s="27">
        <f>IF(OR(B$7="",B$8=0),0,B$8*(B$7-D$16*(1-$A93)*(1-(1-$A93)^MIN(B$6,$B$11))/($A93*MIN(B$6,$B$11)))^2)+IF(OR(C$7="",C$8=0),0,C$8*(C$7-D$16*(1-$A93)*(1-(1-$A93)^MIN(C$6,$B$11))/($A93*MIN(C$6,$B$11)))^2)+IF(OR(D$7="",D$8=0),0,D$8*(D$7-D$16*(1-$A93)*(1-(1-$A93)^MIN(D$6,$B$11))/($A93*MIN(D$6,$B$11)))^2)+IF(OR(E$7="",E$8=0),0,E$8*(E$7-D$16*(1-$A93)*(1-(1-$A93)^MIN(E$6,$B$11))/($A93*MIN(E$6,$B$11)))^2)</f>
        <v/>
      </c>
      <c r="E93" s="27">
        <f>IF(OR(B$7="",B$8=0),0,B$8*(B$7-E$16*(1-$A93)*(1-(1-$A93)^MIN(B$6,$B$11))/($A93*MIN(B$6,$B$11)))^2)+IF(OR(C$7="",C$8=0),0,C$8*(C$7-E$16*(1-$A93)*(1-(1-$A93)^MIN(C$6,$B$11))/($A93*MIN(C$6,$B$11)))^2)+IF(OR(D$7="",D$8=0),0,D$8*(D$7-E$16*(1-$A93)*(1-(1-$A93)^MIN(D$6,$B$11))/($A93*MIN(D$6,$B$11)))^2)+IF(OR(E$7="",E$8=0),0,E$8*(E$7-E$16*(1-$A93)*(1-(1-$A93)^MIN(E$6,$B$11))/($A93*MIN(E$6,$B$11)))^2)</f>
        <v/>
      </c>
      <c r="F93" s="27">
        <f>IF(OR(B$7="",B$8=0),0,B$8*(B$7-F$16*(1-$A93)*(1-(1-$A93)^MIN(B$6,$B$11))/($A93*MIN(B$6,$B$11)))^2)+IF(OR(C$7="",C$8=0),0,C$8*(C$7-F$16*(1-$A93)*(1-(1-$A93)^MIN(C$6,$B$11))/($A93*MIN(C$6,$B$11)))^2)+IF(OR(D$7="",D$8=0),0,D$8*(D$7-F$16*(1-$A93)*(1-(1-$A93)^MIN(D$6,$B$11))/($A93*MIN(D$6,$B$11)))^2)+IF(OR(E$7="",E$8=0),0,E$8*(E$7-F$16*(1-$A93)*(1-(1-$A93)^MIN(E$6,$B$11))/($A93*MIN(E$6,$B$11)))^2)</f>
        <v/>
      </c>
      <c r="G93" s="27">
        <f>IF(OR(B$7="",B$8=0),0,B$8*(B$7-G$16*(1-$A93)*(1-(1-$A93)^MIN(B$6,$B$11))/($A93*MIN(B$6,$B$11)))^2)+IF(OR(C$7="",C$8=0),0,C$8*(C$7-G$16*(1-$A93)*(1-(1-$A93)^MIN(C$6,$B$11))/($A93*MIN(C$6,$B$11)))^2)+IF(OR(D$7="",D$8=0),0,D$8*(D$7-G$16*(1-$A93)*(1-(1-$A93)^MIN(D$6,$B$11))/($A93*MIN(D$6,$B$11)))^2)+IF(OR(E$7="",E$8=0),0,E$8*(E$7-G$16*(1-$A93)*(1-(1-$A93)^MIN(E$6,$B$11))/($A93*MIN(E$6,$B$11)))^2)</f>
        <v/>
      </c>
      <c r="H93" s="27">
        <f>IF(OR(B$7="",B$8=0),0,B$8*(B$7-H$16*(1-$A93)*(1-(1-$A93)^MIN(B$6,$B$11))/($A93*MIN(B$6,$B$11)))^2)+IF(OR(C$7="",C$8=0),0,C$8*(C$7-H$16*(1-$A93)*(1-(1-$A93)^MIN(C$6,$B$11))/($A93*MIN(C$6,$B$11)))^2)+IF(OR(D$7="",D$8=0),0,D$8*(D$7-H$16*(1-$A93)*(1-(1-$A93)^MIN(D$6,$B$11))/($A93*MIN(D$6,$B$11)))^2)+IF(OR(E$7="",E$8=0),0,E$8*(E$7-H$16*(1-$A93)*(1-(1-$A93)^MIN(E$6,$B$11))/($A93*MIN(E$6,$B$11)))^2)</f>
        <v/>
      </c>
      <c r="I93" s="27">
        <f>IF(OR(B$7="",B$8=0),0,B$8*(B$7-I$16*(1-$A93)*(1-(1-$A93)^MIN(B$6,$B$11))/($A93*MIN(B$6,$B$11)))^2)+IF(OR(C$7="",C$8=0),0,C$8*(C$7-I$16*(1-$A93)*(1-(1-$A93)^MIN(C$6,$B$11))/($A93*MIN(C$6,$B$11)))^2)+IF(OR(D$7="",D$8=0),0,D$8*(D$7-I$16*(1-$A93)*(1-(1-$A93)^MIN(D$6,$B$11))/($A93*MIN(D$6,$B$11)))^2)+IF(OR(E$7="",E$8=0),0,E$8*(E$7-I$16*(1-$A93)*(1-(1-$A93)^MIN(E$6,$B$11))/($A93*MIN(E$6,$B$11)))^2)</f>
        <v/>
      </c>
      <c r="J93" s="27">
        <f>IF(OR(B$7="",B$8=0),0,B$8*(B$7-J$16*(1-$A93)*(1-(1-$A93)^MIN(B$6,$B$11))/($A93*MIN(B$6,$B$11)))^2)+IF(OR(C$7="",C$8=0),0,C$8*(C$7-J$16*(1-$A93)*(1-(1-$A93)^MIN(C$6,$B$11))/($A93*MIN(C$6,$B$11)))^2)+IF(OR(D$7="",D$8=0),0,D$8*(D$7-J$16*(1-$A93)*(1-(1-$A93)^MIN(D$6,$B$11))/($A93*MIN(D$6,$B$11)))^2)+IF(OR(E$7="",E$8=0),0,E$8*(E$7-J$16*(1-$A93)*(1-(1-$A93)^MIN(E$6,$B$11))/($A93*MIN(E$6,$B$11)))^2)</f>
        <v/>
      </c>
      <c r="K93" s="27">
        <f>IF(OR(B$7="",B$8=0),0,B$8*(B$7-K$16*(1-$A93)*(1-(1-$A93)^MIN(B$6,$B$11))/($A93*MIN(B$6,$B$11)))^2)+IF(OR(C$7="",C$8=0),0,C$8*(C$7-K$16*(1-$A93)*(1-(1-$A93)^MIN(C$6,$B$11))/($A93*MIN(C$6,$B$11)))^2)+IF(OR(D$7="",D$8=0),0,D$8*(D$7-K$16*(1-$A93)*(1-(1-$A93)^MIN(D$6,$B$11))/($A93*MIN(D$6,$B$11)))^2)+IF(OR(E$7="",E$8=0),0,E$8*(E$7-K$16*(1-$A93)*(1-(1-$A93)^MIN(E$6,$B$11))/($A93*MIN(E$6,$B$11)))^2)</f>
        <v/>
      </c>
      <c r="L93" s="27">
        <f>IF(OR(B$7="",B$8=0),0,B$8*(B$7-L$16*(1-$A93)*(1-(1-$A93)^MIN(B$6,$B$11))/($A93*MIN(B$6,$B$11)))^2)+IF(OR(C$7="",C$8=0),0,C$8*(C$7-L$16*(1-$A93)*(1-(1-$A93)^MIN(C$6,$B$11))/($A93*MIN(C$6,$B$11)))^2)+IF(OR(D$7="",D$8=0),0,D$8*(D$7-L$16*(1-$A93)*(1-(1-$A93)^MIN(D$6,$B$11))/($A93*MIN(D$6,$B$11)))^2)+IF(OR(E$7="",E$8=0),0,E$8*(E$7-L$16*(1-$A93)*(1-(1-$A93)^MIN(E$6,$B$11))/($A93*MIN(E$6,$B$11)))^2)</f>
        <v/>
      </c>
      <c r="M93" s="27">
        <f>IF(OR(B$7="",B$8=0),0,B$8*(B$7-M$16*(1-$A93)*(1-(1-$A93)^MIN(B$6,$B$11))/($A93*MIN(B$6,$B$11)))^2)+IF(OR(C$7="",C$8=0),0,C$8*(C$7-M$16*(1-$A93)*(1-(1-$A93)^MIN(C$6,$B$11))/($A93*MIN(C$6,$B$11)))^2)+IF(OR(D$7="",D$8=0),0,D$8*(D$7-M$16*(1-$A93)*(1-(1-$A93)^MIN(D$6,$B$11))/($A93*MIN(D$6,$B$11)))^2)+IF(OR(E$7="",E$8=0),0,E$8*(E$7-M$16*(1-$A93)*(1-(1-$A93)^MIN(E$6,$B$11))/($A93*MIN(E$6,$B$11)))^2)</f>
        <v/>
      </c>
      <c r="N93" s="27">
        <f>IF(OR(B$7="",B$8=0),0,B$8*(B$7-N$16*(1-$A93)*(1-(1-$A93)^MIN(B$6,$B$11))/($A93*MIN(B$6,$B$11)))^2)+IF(OR(C$7="",C$8=0),0,C$8*(C$7-N$16*(1-$A93)*(1-(1-$A93)^MIN(C$6,$B$11))/($A93*MIN(C$6,$B$11)))^2)+IF(OR(D$7="",D$8=0),0,D$8*(D$7-N$16*(1-$A93)*(1-(1-$A93)^MIN(D$6,$B$11))/($A93*MIN(D$6,$B$11)))^2)+IF(OR(E$7="",E$8=0),0,E$8*(E$7-N$16*(1-$A93)*(1-(1-$A93)^MIN(E$6,$B$11))/($A93*MIN(E$6,$B$11)))^2)</f>
        <v/>
      </c>
      <c r="O93" s="27">
        <f>IF(OR(B$7="",B$8=0),0,B$8*(B$7-O$16*(1-$A93)*(1-(1-$A93)^MIN(B$6,$B$11))/($A93*MIN(B$6,$B$11)))^2)+IF(OR(C$7="",C$8=0),0,C$8*(C$7-O$16*(1-$A93)*(1-(1-$A93)^MIN(C$6,$B$11))/($A93*MIN(C$6,$B$11)))^2)+IF(OR(D$7="",D$8=0),0,D$8*(D$7-O$16*(1-$A93)*(1-(1-$A93)^MIN(D$6,$B$11))/($A93*MIN(D$6,$B$11)))^2)+IF(OR(E$7="",E$8=0),0,E$8*(E$7-O$16*(1-$A93)*(1-(1-$A93)^MIN(E$6,$B$11))/($A93*MIN(E$6,$B$11)))^2)</f>
        <v/>
      </c>
      <c r="P93" s="27">
        <f>IF(OR(B$7="",B$8=0),0,B$8*(B$7-P$16*(1-$A93)*(1-(1-$A93)^MIN(B$6,$B$11))/($A93*MIN(B$6,$B$11)))^2)+IF(OR(C$7="",C$8=0),0,C$8*(C$7-P$16*(1-$A93)*(1-(1-$A93)^MIN(C$6,$B$11))/($A93*MIN(C$6,$B$11)))^2)+IF(OR(D$7="",D$8=0),0,D$8*(D$7-P$16*(1-$A93)*(1-(1-$A93)^MIN(D$6,$B$11))/($A93*MIN(D$6,$B$11)))^2)+IF(OR(E$7="",E$8=0),0,E$8*(E$7-P$16*(1-$A93)*(1-(1-$A93)^MIN(E$6,$B$11))/($A93*MIN(E$6,$B$11)))^2)</f>
        <v/>
      </c>
      <c r="Q93" s="27">
        <f>IF(OR(B$7="",B$8=0),0,B$8*(B$7-Q$16*(1-$A93)*(1-(1-$A93)^MIN(B$6,$B$11))/($A93*MIN(B$6,$B$11)))^2)+IF(OR(C$7="",C$8=0),0,C$8*(C$7-Q$16*(1-$A93)*(1-(1-$A93)^MIN(C$6,$B$11))/($A93*MIN(C$6,$B$11)))^2)+IF(OR(D$7="",D$8=0),0,D$8*(D$7-Q$16*(1-$A93)*(1-(1-$A93)^MIN(D$6,$B$11))/($A93*MIN(D$6,$B$11)))^2)+IF(OR(E$7="",E$8=0),0,E$8*(E$7-Q$16*(1-$A93)*(1-(1-$A93)^MIN(E$6,$B$11))/($A93*MIN(E$6,$B$11)))^2)</f>
        <v/>
      </c>
      <c r="R93" s="27">
        <f>IF(OR(B$7="",B$8=0),0,B$8*(B$7-R$16*(1-$A93)*(1-(1-$A93)^MIN(B$6,$B$11))/($A93*MIN(B$6,$B$11)))^2)+IF(OR(C$7="",C$8=0),0,C$8*(C$7-R$16*(1-$A93)*(1-(1-$A93)^MIN(C$6,$B$11))/($A93*MIN(C$6,$B$11)))^2)+IF(OR(D$7="",D$8=0),0,D$8*(D$7-R$16*(1-$A93)*(1-(1-$A93)^MIN(D$6,$B$11))/($A93*MIN(D$6,$B$11)))^2)+IF(OR(E$7="",E$8=0),0,E$8*(E$7-R$16*(1-$A93)*(1-(1-$A93)^MIN(E$6,$B$11))/($A93*MIN(E$6,$B$11)))^2)</f>
        <v/>
      </c>
      <c r="S93" s="27">
        <f>IF(OR(B$7="",B$8=0),0,B$8*(B$7-S$16*(1-$A93)*(1-(1-$A93)^MIN(B$6,$B$11))/($A93*MIN(B$6,$B$11)))^2)+IF(OR(C$7="",C$8=0),0,C$8*(C$7-S$16*(1-$A93)*(1-(1-$A93)^MIN(C$6,$B$11))/($A93*MIN(C$6,$B$11)))^2)+IF(OR(D$7="",D$8=0),0,D$8*(D$7-S$16*(1-$A93)*(1-(1-$A93)^MIN(D$6,$B$11))/($A93*MIN(D$6,$B$11)))^2)+IF(OR(E$7="",E$8=0),0,E$8*(E$7-S$16*(1-$A93)*(1-(1-$A93)^MIN(E$6,$B$11))/($A93*MIN(E$6,$B$11)))^2)</f>
        <v/>
      </c>
      <c r="U93" s="27">
        <f>MIN(B93:S93)</f>
        <v/>
      </c>
      <c r="V93" s="17">
        <f>MATCH(U93,B93:S93,0)</f>
        <v/>
      </c>
    </row>
    <row r="94">
      <c r="A94" s="26" t="n">
        <v>0.0435</v>
      </c>
      <c r="B94" s="27">
        <f>IF(OR(B$7="",B$8=0),0,B$8*(B$7-B$16*(1-$A94)*(1-(1-$A94)^MIN(B$6,$B$11))/($A94*MIN(B$6,$B$11)))^2)+IF(OR(C$7="",C$8=0),0,C$8*(C$7-B$16*(1-$A94)*(1-(1-$A94)^MIN(C$6,$B$11))/($A94*MIN(C$6,$B$11)))^2)+IF(OR(D$7="",D$8=0),0,D$8*(D$7-B$16*(1-$A94)*(1-(1-$A94)^MIN(D$6,$B$11))/($A94*MIN(D$6,$B$11)))^2)+IF(OR(E$7="",E$8=0),0,E$8*(E$7-B$16*(1-$A94)*(1-(1-$A94)^MIN(E$6,$B$11))/($A94*MIN(E$6,$B$11)))^2)</f>
        <v/>
      </c>
      <c r="C94" s="27">
        <f>IF(OR(B$7="",B$8=0),0,B$8*(B$7-C$16*(1-$A94)*(1-(1-$A94)^MIN(B$6,$B$11))/($A94*MIN(B$6,$B$11)))^2)+IF(OR(C$7="",C$8=0),0,C$8*(C$7-C$16*(1-$A94)*(1-(1-$A94)^MIN(C$6,$B$11))/($A94*MIN(C$6,$B$11)))^2)+IF(OR(D$7="",D$8=0),0,D$8*(D$7-C$16*(1-$A94)*(1-(1-$A94)^MIN(D$6,$B$11))/($A94*MIN(D$6,$B$11)))^2)+IF(OR(E$7="",E$8=0),0,E$8*(E$7-C$16*(1-$A94)*(1-(1-$A94)^MIN(E$6,$B$11))/($A94*MIN(E$6,$B$11)))^2)</f>
        <v/>
      </c>
      <c r="D94" s="27">
        <f>IF(OR(B$7="",B$8=0),0,B$8*(B$7-D$16*(1-$A94)*(1-(1-$A94)^MIN(B$6,$B$11))/($A94*MIN(B$6,$B$11)))^2)+IF(OR(C$7="",C$8=0),0,C$8*(C$7-D$16*(1-$A94)*(1-(1-$A94)^MIN(C$6,$B$11))/($A94*MIN(C$6,$B$11)))^2)+IF(OR(D$7="",D$8=0),0,D$8*(D$7-D$16*(1-$A94)*(1-(1-$A94)^MIN(D$6,$B$11))/($A94*MIN(D$6,$B$11)))^2)+IF(OR(E$7="",E$8=0),0,E$8*(E$7-D$16*(1-$A94)*(1-(1-$A94)^MIN(E$6,$B$11))/($A94*MIN(E$6,$B$11)))^2)</f>
        <v/>
      </c>
      <c r="E94" s="27">
        <f>IF(OR(B$7="",B$8=0),0,B$8*(B$7-E$16*(1-$A94)*(1-(1-$A94)^MIN(B$6,$B$11))/($A94*MIN(B$6,$B$11)))^2)+IF(OR(C$7="",C$8=0),0,C$8*(C$7-E$16*(1-$A94)*(1-(1-$A94)^MIN(C$6,$B$11))/($A94*MIN(C$6,$B$11)))^2)+IF(OR(D$7="",D$8=0),0,D$8*(D$7-E$16*(1-$A94)*(1-(1-$A94)^MIN(D$6,$B$11))/($A94*MIN(D$6,$B$11)))^2)+IF(OR(E$7="",E$8=0),0,E$8*(E$7-E$16*(1-$A94)*(1-(1-$A94)^MIN(E$6,$B$11))/($A94*MIN(E$6,$B$11)))^2)</f>
        <v/>
      </c>
      <c r="F94" s="27">
        <f>IF(OR(B$7="",B$8=0),0,B$8*(B$7-F$16*(1-$A94)*(1-(1-$A94)^MIN(B$6,$B$11))/($A94*MIN(B$6,$B$11)))^2)+IF(OR(C$7="",C$8=0),0,C$8*(C$7-F$16*(1-$A94)*(1-(1-$A94)^MIN(C$6,$B$11))/($A94*MIN(C$6,$B$11)))^2)+IF(OR(D$7="",D$8=0),0,D$8*(D$7-F$16*(1-$A94)*(1-(1-$A94)^MIN(D$6,$B$11))/($A94*MIN(D$6,$B$11)))^2)+IF(OR(E$7="",E$8=0),0,E$8*(E$7-F$16*(1-$A94)*(1-(1-$A94)^MIN(E$6,$B$11))/($A94*MIN(E$6,$B$11)))^2)</f>
        <v/>
      </c>
      <c r="G94" s="27">
        <f>IF(OR(B$7="",B$8=0),0,B$8*(B$7-G$16*(1-$A94)*(1-(1-$A94)^MIN(B$6,$B$11))/($A94*MIN(B$6,$B$11)))^2)+IF(OR(C$7="",C$8=0),0,C$8*(C$7-G$16*(1-$A94)*(1-(1-$A94)^MIN(C$6,$B$11))/($A94*MIN(C$6,$B$11)))^2)+IF(OR(D$7="",D$8=0),0,D$8*(D$7-G$16*(1-$A94)*(1-(1-$A94)^MIN(D$6,$B$11))/($A94*MIN(D$6,$B$11)))^2)+IF(OR(E$7="",E$8=0),0,E$8*(E$7-G$16*(1-$A94)*(1-(1-$A94)^MIN(E$6,$B$11))/($A94*MIN(E$6,$B$11)))^2)</f>
        <v/>
      </c>
      <c r="H94" s="27">
        <f>IF(OR(B$7="",B$8=0),0,B$8*(B$7-H$16*(1-$A94)*(1-(1-$A94)^MIN(B$6,$B$11))/($A94*MIN(B$6,$B$11)))^2)+IF(OR(C$7="",C$8=0),0,C$8*(C$7-H$16*(1-$A94)*(1-(1-$A94)^MIN(C$6,$B$11))/($A94*MIN(C$6,$B$11)))^2)+IF(OR(D$7="",D$8=0),0,D$8*(D$7-H$16*(1-$A94)*(1-(1-$A94)^MIN(D$6,$B$11))/($A94*MIN(D$6,$B$11)))^2)+IF(OR(E$7="",E$8=0),0,E$8*(E$7-H$16*(1-$A94)*(1-(1-$A94)^MIN(E$6,$B$11))/($A94*MIN(E$6,$B$11)))^2)</f>
        <v/>
      </c>
      <c r="I94" s="27">
        <f>IF(OR(B$7="",B$8=0),0,B$8*(B$7-I$16*(1-$A94)*(1-(1-$A94)^MIN(B$6,$B$11))/($A94*MIN(B$6,$B$11)))^2)+IF(OR(C$7="",C$8=0),0,C$8*(C$7-I$16*(1-$A94)*(1-(1-$A94)^MIN(C$6,$B$11))/($A94*MIN(C$6,$B$11)))^2)+IF(OR(D$7="",D$8=0),0,D$8*(D$7-I$16*(1-$A94)*(1-(1-$A94)^MIN(D$6,$B$11))/($A94*MIN(D$6,$B$11)))^2)+IF(OR(E$7="",E$8=0),0,E$8*(E$7-I$16*(1-$A94)*(1-(1-$A94)^MIN(E$6,$B$11))/($A94*MIN(E$6,$B$11)))^2)</f>
        <v/>
      </c>
      <c r="J94" s="27">
        <f>IF(OR(B$7="",B$8=0),0,B$8*(B$7-J$16*(1-$A94)*(1-(1-$A94)^MIN(B$6,$B$11))/($A94*MIN(B$6,$B$11)))^2)+IF(OR(C$7="",C$8=0),0,C$8*(C$7-J$16*(1-$A94)*(1-(1-$A94)^MIN(C$6,$B$11))/($A94*MIN(C$6,$B$11)))^2)+IF(OR(D$7="",D$8=0),0,D$8*(D$7-J$16*(1-$A94)*(1-(1-$A94)^MIN(D$6,$B$11))/($A94*MIN(D$6,$B$11)))^2)+IF(OR(E$7="",E$8=0),0,E$8*(E$7-J$16*(1-$A94)*(1-(1-$A94)^MIN(E$6,$B$11))/($A94*MIN(E$6,$B$11)))^2)</f>
        <v/>
      </c>
      <c r="K94" s="27">
        <f>IF(OR(B$7="",B$8=0),0,B$8*(B$7-K$16*(1-$A94)*(1-(1-$A94)^MIN(B$6,$B$11))/($A94*MIN(B$6,$B$11)))^2)+IF(OR(C$7="",C$8=0),0,C$8*(C$7-K$16*(1-$A94)*(1-(1-$A94)^MIN(C$6,$B$11))/($A94*MIN(C$6,$B$11)))^2)+IF(OR(D$7="",D$8=0),0,D$8*(D$7-K$16*(1-$A94)*(1-(1-$A94)^MIN(D$6,$B$11))/($A94*MIN(D$6,$B$11)))^2)+IF(OR(E$7="",E$8=0),0,E$8*(E$7-K$16*(1-$A94)*(1-(1-$A94)^MIN(E$6,$B$11))/($A94*MIN(E$6,$B$11)))^2)</f>
        <v/>
      </c>
      <c r="L94" s="27">
        <f>IF(OR(B$7="",B$8=0),0,B$8*(B$7-L$16*(1-$A94)*(1-(1-$A94)^MIN(B$6,$B$11))/($A94*MIN(B$6,$B$11)))^2)+IF(OR(C$7="",C$8=0),0,C$8*(C$7-L$16*(1-$A94)*(1-(1-$A94)^MIN(C$6,$B$11))/($A94*MIN(C$6,$B$11)))^2)+IF(OR(D$7="",D$8=0),0,D$8*(D$7-L$16*(1-$A94)*(1-(1-$A94)^MIN(D$6,$B$11))/($A94*MIN(D$6,$B$11)))^2)+IF(OR(E$7="",E$8=0),0,E$8*(E$7-L$16*(1-$A94)*(1-(1-$A94)^MIN(E$6,$B$11))/($A94*MIN(E$6,$B$11)))^2)</f>
        <v/>
      </c>
      <c r="M94" s="27">
        <f>IF(OR(B$7="",B$8=0),0,B$8*(B$7-M$16*(1-$A94)*(1-(1-$A94)^MIN(B$6,$B$11))/($A94*MIN(B$6,$B$11)))^2)+IF(OR(C$7="",C$8=0),0,C$8*(C$7-M$16*(1-$A94)*(1-(1-$A94)^MIN(C$6,$B$11))/($A94*MIN(C$6,$B$11)))^2)+IF(OR(D$7="",D$8=0),0,D$8*(D$7-M$16*(1-$A94)*(1-(1-$A94)^MIN(D$6,$B$11))/($A94*MIN(D$6,$B$11)))^2)+IF(OR(E$7="",E$8=0),0,E$8*(E$7-M$16*(1-$A94)*(1-(1-$A94)^MIN(E$6,$B$11))/($A94*MIN(E$6,$B$11)))^2)</f>
        <v/>
      </c>
      <c r="N94" s="27">
        <f>IF(OR(B$7="",B$8=0),0,B$8*(B$7-N$16*(1-$A94)*(1-(1-$A94)^MIN(B$6,$B$11))/($A94*MIN(B$6,$B$11)))^2)+IF(OR(C$7="",C$8=0),0,C$8*(C$7-N$16*(1-$A94)*(1-(1-$A94)^MIN(C$6,$B$11))/($A94*MIN(C$6,$B$11)))^2)+IF(OR(D$7="",D$8=0),0,D$8*(D$7-N$16*(1-$A94)*(1-(1-$A94)^MIN(D$6,$B$11))/($A94*MIN(D$6,$B$11)))^2)+IF(OR(E$7="",E$8=0),0,E$8*(E$7-N$16*(1-$A94)*(1-(1-$A94)^MIN(E$6,$B$11))/($A94*MIN(E$6,$B$11)))^2)</f>
        <v/>
      </c>
      <c r="O94" s="27">
        <f>IF(OR(B$7="",B$8=0),0,B$8*(B$7-O$16*(1-$A94)*(1-(1-$A94)^MIN(B$6,$B$11))/($A94*MIN(B$6,$B$11)))^2)+IF(OR(C$7="",C$8=0),0,C$8*(C$7-O$16*(1-$A94)*(1-(1-$A94)^MIN(C$6,$B$11))/($A94*MIN(C$6,$B$11)))^2)+IF(OR(D$7="",D$8=0),0,D$8*(D$7-O$16*(1-$A94)*(1-(1-$A94)^MIN(D$6,$B$11))/($A94*MIN(D$6,$B$11)))^2)+IF(OR(E$7="",E$8=0),0,E$8*(E$7-O$16*(1-$A94)*(1-(1-$A94)^MIN(E$6,$B$11))/($A94*MIN(E$6,$B$11)))^2)</f>
        <v/>
      </c>
      <c r="P94" s="27">
        <f>IF(OR(B$7="",B$8=0),0,B$8*(B$7-P$16*(1-$A94)*(1-(1-$A94)^MIN(B$6,$B$11))/($A94*MIN(B$6,$B$11)))^2)+IF(OR(C$7="",C$8=0),0,C$8*(C$7-P$16*(1-$A94)*(1-(1-$A94)^MIN(C$6,$B$11))/($A94*MIN(C$6,$B$11)))^2)+IF(OR(D$7="",D$8=0),0,D$8*(D$7-P$16*(1-$A94)*(1-(1-$A94)^MIN(D$6,$B$11))/($A94*MIN(D$6,$B$11)))^2)+IF(OR(E$7="",E$8=0),0,E$8*(E$7-P$16*(1-$A94)*(1-(1-$A94)^MIN(E$6,$B$11))/($A94*MIN(E$6,$B$11)))^2)</f>
        <v/>
      </c>
      <c r="Q94" s="27">
        <f>IF(OR(B$7="",B$8=0),0,B$8*(B$7-Q$16*(1-$A94)*(1-(1-$A94)^MIN(B$6,$B$11))/($A94*MIN(B$6,$B$11)))^2)+IF(OR(C$7="",C$8=0),0,C$8*(C$7-Q$16*(1-$A94)*(1-(1-$A94)^MIN(C$6,$B$11))/($A94*MIN(C$6,$B$11)))^2)+IF(OR(D$7="",D$8=0),0,D$8*(D$7-Q$16*(1-$A94)*(1-(1-$A94)^MIN(D$6,$B$11))/($A94*MIN(D$6,$B$11)))^2)+IF(OR(E$7="",E$8=0),0,E$8*(E$7-Q$16*(1-$A94)*(1-(1-$A94)^MIN(E$6,$B$11))/($A94*MIN(E$6,$B$11)))^2)</f>
        <v/>
      </c>
      <c r="R94" s="27">
        <f>IF(OR(B$7="",B$8=0),0,B$8*(B$7-R$16*(1-$A94)*(1-(1-$A94)^MIN(B$6,$B$11))/($A94*MIN(B$6,$B$11)))^2)+IF(OR(C$7="",C$8=0),0,C$8*(C$7-R$16*(1-$A94)*(1-(1-$A94)^MIN(C$6,$B$11))/($A94*MIN(C$6,$B$11)))^2)+IF(OR(D$7="",D$8=0),0,D$8*(D$7-R$16*(1-$A94)*(1-(1-$A94)^MIN(D$6,$B$11))/($A94*MIN(D$6,$B$11)))^2)+IF(OR(E$7="",E$8=0),0,E$8*(E$7-R$16*(1-$A94)*(1-(1-$A94)^MIN(E$6,$B$11))/($A94*MIN(E$6,$B$11)))^2)</f>
        <v/>
      </c>
      <c r="S94" s="27">
        <f>IF(OR(B$7="",B$8=0),0,B$8*(B$7-S$16*(1-$A94)*(1-(1-$A94)^MIN(B$6,$B$11))/($A94*MIN(B$6,$B$11)))^2)+IF(OR(C$7="",C$8=0),0,C$8*(C$7-S$16*(1-$A94)*(1-(1-$A94)^MIN(C$6,$B$11))/($A94*MIN(C$6,$B$11)))^2)+IF(OR(D$7="",D$8=0),0,D$8*(D$7-S$16*(1-$A94)*(1-(1-$A94)^MIN(D$6,$B$11))/($A94*MIN(D$6,$B$11)))^2)+IF(OR(E$7="",E$8=0),0,E$8*(E$7-S$16*(1-$A94)*(1-(1-$A94)^MIN(E$6,$B$11))/($A94*MIN(E$6,$B$11)))^2)</f>
        <v/>
      </c>
      <c r="U94" s="27">
        <f>MIN(B94:S94)</f>
        <v/>
      </c>
      <c r="V94" s="17">
        <f>MATCH(U94,B94:S94,0)</f>
        <v/>
      </c>
    </row>
    <row r="95">
      <c r="A95" s="26" t="n">
        <v>0.044</v>
      </c>
      <c r="B95" s="27">
        <f>IF(OR(B$7="",B$8=0),0,B$8*(B$7-B$16*(1-$A95)*(1-(1-$A95)^MIN(B$6,$B$11))/($A95*MIN(B$6,$B$11)))^2)+IF(OR(C$7="",C$8=0),0,C$8*(C$7-B$16*(1-$A95)*(1-(1-$A95)^MIN(C$6,$B$11))/($A95*MIN(C$6,$B$11)))^2)+IF(OR(D$7="",D$8=0),0,D$8*(D$7-B$16*(1-$A95)*(1-(1-$A95)^MIN(D$6,$B$11))/($A95*MIN(D$6,$B$11)))^2)+IF(OR(E$7="",E$8=0),0,E$8*(E$7-B$16*(1-$A95)*(1-(1-$A95)^MIN(E$6,$B$11))/($A95*MIN(E$6,$B$11)))^2)</f>
        <v/>
      </c>
      <c r="C95" s="27">
        <f>IF(OR(B$7="",B$8=0),0,B$8*(B$7-C$16*(1-$A95)*(1-(1-$A95)^MIN(B$6,$B$11))/($A95*MIN(B$6,$B$11)))^2)+IF(OR(C$7="",C$8=0),0,C$8*(C$7-C$16*(1-$A95)*(1-(1-$A95)^MIN(C$6,$B$11))/($A95*MIN(C$6,$B$11)))^2)+IF(OR(D$7="",D$8=0),0,D$8*(D$7-C$16*(1-$A95)*(1-(1-$A95)^MIN(D$6,$B$11))/($A95*MIN(D$6,$B$11)))^2)+IF(OR(E$7="",E$8=0),0,E$8*(E$7-C$16*(1-$A95)*(1-(1-$A95)^MIN(E$6,$B$11))/($A95*MIN(E$6,$B$11)))^2)</f>
        <v/>
      </c>
      <c r="D95" s="27">
        <f>IF(OR(B$7="",B$8=0),0,B$8*(B$7-D$16*(1-$A95)*(1-(1-$A95)^MIN(B$6,$B$11))/($A95*MIN(B$6,$B$11)))^2)+IF(OR(C$7="",C$8=0),0,C$8*(C$7-D$16*(1-$A95)*(1-(1-$A95)^MIN(C$6,$B$11))/($A95*MIN(C$6,$B$11)))^2)+IF(OR(D$7="",D$8=0),0,D$8*(D$7-D$16*(1-$A95)*(1-(1-$A95)^MIN(D$6,$B$11))/($A95*MIN(D$6,$B$11)))^2)+IF(OR(E$7="",E$8=0),0,E$8*(E$7-D$16*(1-$A95)*(1-(1-$A95)^MIN(E$6,$B$11))/($A95*MIN(E$6,$B$11)))^2)</f>
        <v/>
      </c>
      <c r="E95" s="27">
        <f>IF(OR(B$7="",B$8=0),0,B$8*(B$7-E$16*(1-$A95)*(1-(1-$A95)^MIN(B$6,$B$11))/($A95*MIN(B$6,$B$11)))^2)+IF(OR(C$7="",C$8=0),0,C$8*(C$7-E$16*(1-$A95)*(1-(1-$A95)^MIN(C$6,$B$11))/($A95*MIN(C$6,$B$11)))^2)+IF(OR(D$7="",D$8=0),0,D$8*(D$7-E$16*(1-$A95)*(1-(1-$A95)^MIN(D$6,$B$11))/($A95*MIN(D$6,$B$11)))^2)+IF(OR(E$7="",E$8=0),0,E$8*(E$7-E$16*(1-$A95)*(1-(1-$A95)^MIN(E$6,$B$11))/($A95*MIN(E$6,$B$11)))^2)</f>
        <v/>
      </c>
      <c r="F95" s="27">
        <f>IF(OR(B$7="",B$8=0),0,B$8*(B$7-F$16*(1-$A95)*(1-(1-$A95)^MIN(B$6,$B$11))/($A95*MIN(B$6,$B$11)))^2)+IF(OR(C$7="",C$8=0),0,C$8*(C$7-F$16*(1-$A95)*(1-(1-$A95)^MIN(C$6,$B$11))/($A95*MIN(C$6,$B$11)))^2)+IF(OR(D$7="",D$8=0),0,D$8*(D$7-F$16*(1-$A95)*(1-(1-$A95)^MIN(D$6,$B$11))/($A95*MIN(D$6,$B$11)))^2)+IF(OR(E$7="",E$8=0),0,E$8*(E$7-F$16*(1-$A95)*(1-(1-$A95)^MIN(E$6,$B$11))/($A95*MIN(E$6,$B$11)))^2)</f>
        <v/>
      </c>
      <c r="G95" s="27">
        <f>IF(OR(B$7="",B$8=0),0,B$8*(B$7-G$16*(1-$A95)*(1-(1-$A95)^MIN(B$6,$B$11))/($A95*MIN(B$6,$B$11)))^2)+IF(OR(C$7="",C$8=0),0,C$8*(C$7-G$16*(1-$A95)*(1-(1-$A95)^MIN(C$6,$B$11))/($A95*MIN(C$6,$B$11)))^2)+IF(OR(D$7="",D$8=0),0,D$8*(D$7-G$16*(1-$A95)*(1-(1-$A95)^MIN(D$6,$B$11))/($A95*MIN(D$6,$B$11)))^2)+IF(OR(E$7="",E$8=0),0,E$8*(E$7-G$16*(1-$A95)*(1-(1-$A95)^MIN(E$6,$B$11))/($A95*MIN(E$6,$B$11)))^2)</f>
        <v/>
      </c>
      <c r="H95" s="27">
        <f>IF(OR(B$7="",B$8=0),0,B$8*(B$7-H$16*(1-$A95)*(1-(1-$A95)^MIN(B$6,$B$11))/($A95*MIN(B$6,$B$11)))^2)+IF(OR(C$7="",C$8=0),0,C$8*(C$7-H$16*(1-$A95)*(1-(1-$A95)^MIN(C$6,$B$11))/($A95*MIN(C$6,$B$11)))^2)+IF(OR(D$7="",D$8=0),0,D$8*(D$7-H$16*(1-$A95)*(1-(1-$A95)^MIN(D$6,$B$11))/($A95*MIN(D$6,$B$11)))^2)+IF(OR(E$7="",E$8=0),0,E$8*(E$7-H$16*(1-$A95)*(1-(1-$A95)^MIN(E$6,$B$11))/($A95*MIN(E$6,$B$11)))^2)</f>
        <v/>
      </c>
      <c r="I95" s="27">
        <f>IF(OR(B$7="",B$8=0),0,B$8*(B$7-I$16*(1-$A95)*(1-(1-$A95)^MIN(B$6,$B$11))/($A95*MIN(B$6,$B$11)))^2)+IF(OR(C$7="",C$8=0),0,C$8*(C$7-I$16*(1-$A95)*(1-(1-$A95)^MIN(C$6,$B$11))/($A95*MIN(C$6,$B$11)))^2)+IF(OR(D$7="",D$8=0),0,D$8*(D$7-I$16*(1-$A95)*(1-(1-$A95)^MIN(D$6,$B$11))/($A95*MIN(D$6,$B$11)))^2)+IF(OR(E$7="",E$8=0),0,E$8*(E$7-I$16*(1-$A95)*(1-(1-$A95)^MIN(E$6,$B$11))/($A95*MIN(E$6,$B$11)))^2)</f>
        <v/>
      </c>
      <c r="J95" s="27">
        <f>IF(OR(B$7="",B$8=0),0,B$8*(B$7-J$16*(1-$A95)*(1-(1-$A95)^MIN(B$6,$B$11))/($A95*MIN(B$6,$B$11)))^2)+IF(OR(C$7="",C$8=0),0,C$8*(C$7-J$16*(1-$A95)*(1-(1-$A95)^MIN(C$6,$B$11))/($A95*MIN(C$6,$B$11)))^2)+IF(OR(D$7="",D$8=0),0,D$8*(D$7-J$16*(1-$A95)*(1-(1-$A95)^MIN(D$6,$B$11))/($A95*MIN(D$6,$B$11)))^2)+IF(OR(E$7="",E$8=0),0,E$8*(E$7-J$16*(1-$A95)*(1-(1-$A95)^MIN(E$6,$B$11))/($A95*MIN(E$6,$B$11)))^2)</f>
        <v/>
      </c>
      <c r="K95" s="27">
        <f>IF(OR(B$7="",B$8=0),0,B$8*(B$7-K$16*(1-$A95)*(1-(1-$A95)^MIN(B$6,$B$11))/($A95*MIN(B$6,$B$11)))^2)+IF(OR(C$7="",C$8=0),0,C$8*(C$7-K$16*(1-$A95)*(1-(1-$A95)^MIN(C$6,$B$11))/($A95*MIN(C$6,$B$11)))^2)+IF(OR(D$7="",D$8=0),0,D$8*(D$7-K$16*(1-$A95)*(1-(1-$A95)^MIN(D$6,$B$11))/($A95*MIN(D$6,$B$11)))^2)+IF(OR(E$7="",E$8=0),0,E$8*(E$7-K$16*(1-$A95)*(1-(1-$A95)^MIN(E$6,$B$11))/($A95*MIN(E$6,$B$11)))^2)</f>
        <v/>
      </c>
      <c r="L95" s="27">
        <f>IF(OR(B$7="",B$8=0),0,B$8*(B$7-L$16*(1-$A95)*(1-(1-$A95)^MIN(B$6,$B$11))/($A95*MIN(B$6,$B$11)))^2)+IF(OR(C$7="",C$8=0),0,C$8*(C$7-L$16*(1-$A95)*(1-(1-$A95)^MIN(C$6,$B$11))/($A95*MIN(C$6,$B$11)))^2)+IF(OR(D$7="",D$8=0),0,D$8*(D$7-L$16*(1-$A95)*(1-(1-$A95)^MIN(D$6,$B$11))/($A95*MIN(D$6,$B$11)))^2)+IF(OR(E$7="",E$8=0),0,E$8*(E$7-L$16*(1-$A95)*(1-(1-$A95)^MIN(E$6,$B$11))/($A95*MIN(E$6,$B$11)))^2)</f>
        <v/>
      </c>
      <c r="M95" s="27">
        <f>IF(OR(B$7="",B$8=0),0,B$8*(B$7-M$16*(1-$A95)*(1-(1-$A95)^MIN(B$6,$B$11))/($A95*MIN(B$6,$B$11)))^2)+IF(OR(C$7="",C$8=0),0,C$8*(C$7-M$16*(1-$A95)*(1-(1-$A95)^MIN(C$6,$B$11))/($A95*MIN(C$6,$B$11)))^2)+IF(OR(D$7="",D$8=0),0,D$8*(D$7-M$16*(1-$A95)*(1-(1-$A95)^MIN(D$6,$B$11))/($A95*MIN(D$6,$B$11)))^2)+IF(OR(E$7="",E$8=0),0,E$8*(E$7-M$16*(1-$A95)*(1-(1-$A95)^MIN(E$6,$B$11))/($A95*MIN(E$6,$B$11)))^2)</f>
        <v/>
      </c>
      <c r="N95" s="27">
        <f>IF(OR(B$7="",B$8=0),0,B$8*(B$7-N$16*(1-$A95)*(1-(1-$A95)^MIN(B$6,$B$11))/($A95*MIN(B$6,$B$11)))^2)+IF(OR(C$7="",C$8=0),0,C$8*(C$7-N$16*(1-$A95)*(1-(1-$A95)^MIN(C$6,$B$11))/($A95*MIN(C$6,$B$11)))^2)+IF(OR(D$7="",D$8=0),0,D$8*(D$7-N$16*(1-$A95)*(1-(1-$A95)^MIN(D$6,$B$11))/($A95*MIN(D$6,$B$11)))^2)+IF(OR(E$7="",E$8=0),0,E$8*(E$7-N$16*(1-$A95)*(1-(1-$A95)^MIN(E$6,$B$11))/($A95*MIN(E$6,$B$11)))^2)</f>
        <v/>
      </c>
      <c r="O95" s="27">
        <f>IF(OR(B$7="",B$8=0),0,B$8*(B$7-O$16*(1-$A95)*(1-(1-$A95)^MIN(B$6,$B$11))/($A95*MIN(B$6,$B$11)))^2)+IF(OR(C$7="",C$8=0),0,C$8*(C$7-O$16*(1-$A95)*(1-(1-$A95)^MIN(C$6,$B$11))/($A95*MIN(C$6,$B$11)))^2)+IF(OR(D$7="",D$8=0),0,D$8*(D$7-O$16*(1-$A95)*(1-(1-$A95)^MIN(D$6,$B$11))/($A95*MIN(D$6,$B$11)))^2)+IF(OR(E$7="",E$8=0),0,E$8*(E$7-O$16*(1-$A95)*(1-(1-$A95)^MIN(E$6,$B$11))/($A95*MIN(E$6,$B$11)))^2)</f>
        <v/>
      </c>
      <c r="P95" s="27">
        <f>IF(OR(B$7="",B$8=0),0,B$8*(B$7-P$16*(1-$A95)*(1-(1-$A95)^MIN(B$6,$B$11))/($A95*MIN(B$6,$B$11)))^2)+IF(OR(C$7="",C$8=0),0,C$8*(C$7-P$16*(1-$A95)*(1-(1-$A95)^MIN(C$6,$B$11))/($A95*MIN(C$6,$B$11)))^2)+IF(OR(D$7="",D$8=0),0,D$8*(D$7-P$16*(1-$A95)*(1-(1-$A95)^MIN(D$6,$B$11))/($A95*MIN(D$6,$B$11)))^2)+IF(OR(E$7="",E$8=0),0,E$8*(E$7-P$16*(1-$A95)*(1-(1-$A95)^MIN(E$6,$B$11))/($A95*MIN(E$6,$B$11)))^2)</f>
        <v/>
      </c>
      <c r="Q95" s="27">
        <f>IF(OR(B$7="",B$8=0),0,B$8*(B$7-Q$16*(1-$A95)*(1-(1-$A95)^MIN(B$6,$B$11))/($A95*MIN(B$6,$B$11)))^2)+IF(OR(C$7="",C$8=0),0,C$8*(C$7-Q$16*(1-$A95)*(1-(1-$A95)^MIN(C$6,$B$11))/($A95*MIN(C$6,$B$11)))^2)+IF(OR(D$7="",D$8=0),0,D$8*(D$7-Q$16*(1-$A95)*(1-(1-$A95)^MIN(D$6,$B$11))/($A95*MIN(D$6,$B$11)))^2)+IF(OR(E$7="",E$8=0),0,E$8*(E$7-Q$16*(1-$A95)*(1-(1-$A95)^MIN(E$6,$B$11))/($A95*MIN(E$6,$B$11)))^2)</f>
        <v/>
      </c>
      <c r="R95" s="27">
        <f>IF(OR(B$7="",B$8=0),0,B$8*(B$7-R$16*(1-$A95)*(1-(1-$A95)^MIN(B$6,$B$11))/($A95*MIN(B$6,$B$11)))^2)+IF(OR(C$7="",C$8=0),0,C$8*(C$7-R$16*(1-$A95)*(1-(1-$A95)^MIN(C$6,$B$11))/($A95*MIN(C$6,$B$11)))^2)+IF(OR(D$7="",D$8=0),0,D$8*(D$7-R$16*(1-$A95)*(1-(1-$A95)^MIN(D$6,$B$11))/($A95*MIN(D$6,$B$11)))^2)+IF(OR(E$7="",E$8=0),0,E$8*(E$7-R$16*(1-$A95)*(1-(1-$A95)^MIN(E$6,$B$11))/($A95*MIN(E$6,$B$11)))^2)</f>
        <v/>
      </c>
      <c r="S95" s="27">
        <f>IF(OR(B$7="",B$8=0),0,B$8*(B$7-S$16*(1-$A95)*(1-(1-$A95)^MIN(B$6,$B$11))/($A95*MIN(B$6,$B$11)))^2)+IF(OR(C$7="",C$8=0),0,C$8*(C$7-S$16*(1-$A95)*(1-(1-$A95)^MIN(C$6,$B$11))/($A95*MIN(C$6,$B$11)))^2)+IF(OR(D$7="",D$8=0),0,D$8*(D$7-S$16*(1-$A95)*(1-(1-$A95)^MIN(D$6,$B$11))/($A95*MIN(D$6,$B$11)))^2)+IF(OR(E$7="",E$8=0),0,E$8*(E$7-S$16*(1-$A95)*(1-(1-$A95)^MIN(E$6,$B$11))/($A95*MIN(E$6,$B$11)))^2)</f>
        <v/>
      </c>
      <c r="U95" s="27">
        <f>MIN(B95:S95)</f>
        <v/>
      </c>
      <c r="V95" s="17">
        <f>MATCH(U95,B95:S95,0)</f>
        <v/>
      </c>
    </row>
    <row r="96">
      <c r="A96" s="26" t="n">
        <v>0.0445</v>
      </c>
      <c r="B96" s="27">
        <f>IF(OR(B$7="",B$8=0),0,B$8*(B$7-B$16*(1-$A96)*(1-(1-$A96)^MIN(B$6,$B$11))/($A96*MIN(B$6,$B$11)))^2)+IF(OR(C$7="",C$8=0),0,C$8*(C$7-B$16*(1-$A96)*(1-(1-$A96)^MIN(C$6,$B$11))/($A96*MIN(C$6,$B$11)))^2)+IF(OR(D$7="",D$8=0),0,D$8*(D$7-B$16*(1-$A96)*(1-(1-$A96)^MIN(D$6,$B$11))/($A96*MIN(D$6,$B$11)))^2)+IF(OR(E$7="",E$8=0),0,E$8*(E$7-B$16*(1-$A96)*(1-(1-$A96)^MIN(E$6,$B$11))/($A96*MIN(E$6,$B$11)))^2)</f>
        <v/>
      </c>
      <c r="C96" s="27">
        <f>IF(OR(B$7="",B$8=0),0,B$8*(B$7-C$16*(1-$A96)*(1-(1-$A96)^MIN(B$6,$B$11))/($A96*MIN(B$6,$B$11)))^2)+IF(OR(C$7="",C$8=0),0,C$8*(C$7-C$16*(1-$A96)*(1-(1-$A96)^MIN(C$6,$B$11))/($A96*MIN(C$6,$B$11)))^2)+IF(OR(D$7="",D$8=0),0,D$8*(D$7-C$16*(1-$A96)*(1-(1-$A96)^MIN(D$6,$B$11))/($A96*MIN(D$6,$B$11)))^2)+IF(OR(E$7="",E$8=0),0,E$8*(E$7-C$16*(1-$A96)*(1-(1-$A96)^MIN(E$6,$B$11))/($A96*MIN(E$6,$B$11)))^2)</f>
        <v/>
      </c>
      <c r="D96" s="27">
        <f>IF(OR(B$7="",B$8=0),0,B$8*(B$7-D$16*(1-$A96)*(1-(1-$A96)^MIN(B$6,$B$11))/($A96*MIN(B$6,$B$11)))^2)+IF(OR(C$7="",C$8=0),0,C$8*(C$7-D$16*(1-$A96)*(1-(1-$A96)^MIN(C$6,$B$11))/($A96*MIN(C$6,$B$11)))^2)+IF(OR(D$7="",D$8=0),0,D$8*(D$7-D$16*(1-$A96)*(1-(1-$A96)^MIN(D$6,$B$11))/($A96*MIN(D$6,$B$11)))^2)+IF(OR(E$7="",E$8=0),0,E$8*(E$7-D$16*(1-$A96)*(1-(1-$A96)^MIN(E$6,$B$11))/($A96*MIN(E$6,$B$11)))^2)</f>
        <v/>
      </c>
      <c r="E96" s="27">
        <f>IF(OR(B$7="",B$8=0),0,B$8*(B$7-E$16*(1-$A96)*(1-(1-$A96)^MIN(B$6,$B$11))/($A96*MIN(B$6,$B$11)))^2)+IF(OR(C$7="",C$8=0),0,C$8*(C$7-E$16*(1-$A96)*(1-(1-$A96)^MIN(C$6,$B$11))/($A96*MIN(C$6,$B$11)))^2)+IF(OR(D$7="",D$8=0),0,D$8*(D$7-E$16*(1-$A96)*(1-(1-$A96)^MIN(D$6,$B$11))/($A96*MIN(D$6,$B$11)))^2)+IF(OR(E$7="",E$8=0),0,E$8*(E$7-E$16*(1-$A96)*(1-(1-$A96)^MIN(E$6,$B$11))/($A96*MIN(E$6,$B$11)))^2)</f>
        <v/>
      </c>
      <c r="F96" s="27">
        <f>IF(OR(B$7="",B$8=0),0,B$8*(B$7-F$16*(1-$A96)*(1-(1-$A96)^MIN(B$6,$B$11))/($A96*MIN(B$6,$B$11)))^2)+IF(OR(C$7="",C$8=0),0,C$8*(C$7-F$16*(1-$A96)*(1-(1-$A96)^MIN(C$6,$B$11))/($A96*MIN(C$6,$B$11)))^2)+IF(OR(D$7="",D$8=0),0,D$8*(D$7-F$16*(1-$A96)*(1-(1-$A96)^MIN(D$6,$B$11))/($A96*MIN(D$6,$B$11)))^2)+IF(OR(E$7="",E$8=0),0,E$8*(E$7-F$16*(1-$A96)*(1-(1-$A96)^MIN(E$6,$B$11))/($A96*MIN(E$6,$B$11)))^2)</f>
        <v/>
      </c>
      <c r="G96" s="27">
        <f>IF(OR(B$7="",B$8=0),0,B$8*(B$7-G$16*(1-$A96)*(1-(1-$A96)^MIN(B$6,$B$11))/($A96*MIN(B$6,$B$11)))^2)+IF(OR(C$7="",C$8=0),0,C$8*(C$7-G$16*(1-$A96)*(1-(1-$A96)^MIN(C$6,$B$11))/($A96*MIN(C$6,$B$11)))^2)+IF(OR(D$7="",D$8=0),0,D$8*(D$7-G$16*(1-$A96)*(1-(1-$A96)^MIN(D$6,$B$11))/($A96*MIN(D$6,$B$11)))^2)+IF(OR(E$7="",E$8=0),0,E$8*(E$7-G$16*(1-$A96)*(1-(1-$A96)^MIN(E$6,$B$11))/($A96*MIN(E$6,$B$11)))^2)</f>
        <v/>
      </c>
      <c r="H96" s="27">
        <f>IF(OR(B$7="",B$8=0),0,B$8*(B$7-H$16*(1-$A96)*(1-(1-$A96)^MIN(B$6,$B$11))/($A96*MIN(B$6,$B$11)))^2)+IF(OR(C$7="",C$8=0),0,C$8*(C$7-H$16*(1-$A96)*(1-(1-$A96)^MIN(C$6,$B$11))/($A96*MIN(C$6,$B$11)))^2)+IF(OR(D$7="",D$8=0),0,D$8*(D$7-H$16*(1-$A96)*(1-(1-$A96)^MIN(D$6,$B$11))/($A96*MIN(D$6,$B$11)))^2)+IF(OR(E$7="",E$8=0),0,E$8*(E$7-H$16*(1-$A96)*(1-(1-$A96)^MIN(E$6,$B$11))/($A96*MIN(E$6,$B$11)))^2)</f>
        <v/>
      </c>
      <c r="I96" s="27">
        <f>IF(OR(B$7="",B$8=0),0,B$8*(B$7-I$16*(1-$A96)*(1-(1-$A96)^MIN(B$6,$B$11))/($A96*MIN(B$6,$B$11)))^2)+IF(OR(C$7="",C$8=0),0,C$8*(C$7-I$16*(1-$A96)*(1-(1-$A96)^MIN(C$6,$B$11))/($A96*MIN(C$6,$B$11)))^2)+IF(OR(D$7="",D$8=0),0,D$8*(D$7-I$16*(1-$A96)*(1-(1-$A96)^MIN(D$6,$B$11))/($A96*MIN(D$6,$B$11)))^2)+IF(OR(E$7="",E$8=0),0,E$8*(E$7-I$16*(1-$A96)*(1-(1-$A96)^MIN(E$6,$B$11))/($A96*MIN(E$6,$B$11)))^2)</f>
        <v/>
      </c>
      <c r="J96" s="27">
        <f>IF(OR(B$7="",B$8=0),0,B$8*(B$7-J$16*(1-$A96)*(1-(1-$A96)^MIN(B$6,$B$11))/($A96*MIN(B$6,$B$11)))^2)+IF(OR(C$7="",C$8=0),0,C$8*(C$7-J$16*(1-$A96)*(1-(1-$A96)^MIN(C$6,$B$11))/($A96*MIN(C$6,$B$11)))^2)+IF(OR(D$7="",D$8=0),0,D$8*(D$7-J$16*(1-$A96)*(1-(1-$A96)^MIN(D$6,$B$11))/($A96*MIN(D$6,$B$11)))^2)+IF(OR(E$7="",E$8=0),0,E$8*(E$7-J$16*(1-$A96)*(1-(1-$A96)^MIN(E$6,$B$11))/($A96*MIN(E$6,$B$11)))^2)</f>
        <v/>
      </c>
      <c r="K96" s="27">
        <f>IF(OR(B$7="",B$8=0),0,B$8*(B$7-K$16*(1-$A96)*(1-(1-$A96)^MIN(B$6,$B$11))/($A96*MIN(B$6,$B$11)))^2)+IF(OR(C$7="",C$8=0),0,C$8*(C$7-K$16*(1-$A96)*(1-(1-$A96)^MIN(C$6,$B$11))/($A96*MIN(C$6,$B$11)))^2)+IF(OR(D$7="",D$8=0),0,D$8*(D$7-K$16*(1-$A96)*(1-(1-$A96)^MIN(D$6,$B$11))/($A96*MIN(D$6,$B$11)))^2)+IF(OR(E$7="",E$8=0),0,E$8*(E$7-K$16*(1-$A96)*(1-(1-$A96)^MIN(E$6,$B$11))/($A96*MIN(E$6,$B$11)))^2)</f>
        <v/>
      </c>
      <c r="L96" s="27">
        <f>IF(OR(B$7="",B$8=0),0,B$8*(B$7-L$16*(1-$A96)*(1-(1-$A96)^MIN(B$6,$B$11))/($A96*MIN(B$6,$B$11)))^2)+IF(OR(C$7="",C$8=0),0,C$8*(C$7-L$16*(1-$A96)*(1-(1-$A96)^MIN(C$6,$B$11))/($A96*MIN(C$6,$B$11)))^2)+IF(OR(D$7="",D$8=0),0,D$8*(D$7-L$16*(1-$A96)*(1-(1-$A96)^MIN(D$6,$B$11))/($A96*MIN(D$6,$B$11)))^2)+IF(OR(E$7="",E$8=0),0,E$8*(E$7-L$16*(1-$A96)*(1-(1-$A96)^MIN(E$6,$B$11))/($A96*MIN(E$6,$B$11)))^2)</f>
        <v/>
      </c>
      <c r="M96" s="27">
        <f>IF(OR(B$7="",B$8=0),0,B$8*(B$7-M$16*(1-$A96)*(1-(1-$A96)^MIN(B$6,$B$11))/($A96*MIN(B$6,$B$11)))^2)+IF(OR(C$7="",C$8=0),0,C$8*(C$7-M$16*(1-$A96)*(1-(1-$A96)^MIN(C$6,$B$11))/($A96*MIN(C$6,$B$11)))^2)+IF(OR(D$7="",D$8=0),0,D$8*(D$7-M$16*(1-$A96)*(1-(1-$A96)^MIN(D$6,$B$11))/($A96*MIN(D$6,$B$11)))^2)+IF(OR(E$7="",E$8=0),0,E$8*(E$7-M$16*(1-$A96)*(1-(1-$A96)^MIN(E$6,$B$11))/($A96*MIN(E$6,$B$11)))^2)</f>
        <v/>
      </c>
      <c r="N96" s="27">
        <f>IF(OR(B$7="",B$8=0),0,B$8*(B$7-N$16*(1-$A96)*(1-(1-$A96)^MIN(B$6,$B$11))/($A96*MIN(B$6,$B$11)))^2)+IF(OR(C$7="",C$8=0),0,C$8*(C$7-N$16*(1-$A96)*(1-(1-$A96)^MIN(C$6,$B$11))/($A96*MIN(C$6,$B$11)))^2)+IF(OR(D$7="",D$8=0),0,D$8*(D$7-N$16*(1-$A96)*(1-(1-$A96)^MIN(D$6,$B$11))/($A96*MIN(D$6,$B$11)))^2)+IF(OR(E$7="",E$8=0),0,E$8*(E$7-N$16*(1-$A96)*(1-(1-$A96)^MIN(E$6,$B$11))/($A96*MIN(E$6,$B$11)))^2)</f>
        <v/>
      </c>
      <c r="O96" s="27">
        <f>IF(OR(B$7="",B$8=0),0,B$8*(B$7-O$16*(1-$A96)*(1-(1-$A96)^MIN(B$6,$B$11))/($A96*MIN(B$6,$B$11)))^2)+IF(OR(C$7="",C$8=0),0,C$8*(C$7-O$16*(1-$A96)*(1-(1-$A96)^MIN(C$6,$B$11))/($A96*MIN(C$6,$B$11)))^2)+IF(OR(D$7="",D$8=0),0,D$8*(D$7-O$16*(1-$A96)*(1-(1-$A96)^MIN(D$6,$B$11))/($A96*MIN(D$6,$B$11)))^2)+IF(OR(E$7="",E$8=0),0,E$8*(E$7-O$16*(1-$A96)*(1-(1-$A96)^MIN(E$6,$B$11))/($A96*MIN(E$6,$B$11)))^2)</f>
        <v/>
      </c>
      <c r="P96" s="27">
        <f>IF(OR(B$7="",B$8=0),0,B$8*(B$7-P$16*(1-$A96)*(1-(1-$A96)^MIN(B$6,$B$11))/($A96*MIN(B$6,$B$11)))^2)+IF(OR(C$7="",C$8=0),0,C$8*(C$7-P$16*(1-$A96)*(1-(1-$A96)^MIN(C$6,$B$11))/($A96*MIN(C$6,$B$11)))^2)+IF(OR(D$7="",D$8=0),0,D$8*(D$7-P$16*(1-$A96)*(1-(1-$A96)^MIN(D$6,$B$11))/($A96*MIN(D$6,$B$11)))^2)+IF(OR(E$7="",E$8=0),0,E$8*(E$7-P$16*(1-$A96)*(1-(1-$A96)^MIN(E$6,$B$11))/($A96*MIN(E$6,$B$11)))^2)</f>
        <v/>
      </c>
      <c r="Q96" s="27">
        <f>IF(OR(B$7="",B$8=0),0,B$8*(B$7-Q$16*(1-$A96)*(1-(1-$A96)^MIN(B$6,$B$11))/($A96*MIN(B$6,$B$11)))^2)+IF(OR(C$7="",C$8=0),0,C$8*(C$7-Q$16*(1-$A96)*(1-(1-$A96)^MIN(C$6,$B$11))/($A96*MIN(C$6,$B$11)))^2)+IF(OR(D$7="",D$8=0),0,D$8*(D$7-Q$16*(1-$A96)*(1-(1-$A96)^MIN(D$6,$B$11))/($A96*MIN(D$6,$B$11)))^2)+IF(OR(E$7="",E$8=0),0,E$8*(E$7-Q$16*(1-$A96)*(1-(1-$A96)^MIN(E$6,$B$11))/($A96*MIN(E$6,$B$11)))^2)</f>
        <v/>
      </c>
      <c r="R96" s="27">
        <f>IF(OR(B$7="",B$8=0),0,B$8*(B$7-R$16*(1-$A96)*(1-(1-$A96)^MIN(B$6,$B$11))/($A96*MIN(B$6,$B$11)))^2)+IF(OR(C$7="",C$8=0),0,C$8*(C$7-R$16*(1-$A96)*(1-(1-$A96)^MIN(C$6,$B$11))/($A96*MIN(C$6,$B$11)))^2)+IF(OR(D$7="",D$8=0),0,D$8*(D$7-R$16*(1-$A96)*(1-(1-$A96)^MIN(D$6,$B$11))/($A96*MIN(D$6,$B$11)))^2)+IF(OR(E$7="",E$8=0),0,E$8*(E$7-R$16*(1-$A96)*(1-(1-$A96)^MIN(E$6,$B$11))/($A96*MIN(E$6,$B$11)))^2)</f>
        <v/>
      </c>
      <c r="S96" s="27">
        <f>IF(OR(B$7="",B$8=0),0,B$8*(B$7-S$16*(1-$A96)*(1-(1-$A96)^MIN(B$6,$B$11))/($A96*MIN(B$6,$B$11)))^2)+IF(OR(C$7="",C$8=0),0,C$8*(C$7-S$16*(1-$A96)*(1-(1-$A96)^MIN(C$6,$B$11))/($A96*MIN(C$6,$B$11)))^2)+IF(OR(D$7="",D$8=0),0,D$8*(D$7-S$16*(1-$A96)*(1-(1-$A96)^MIN(D$6,$B$11))/($A96*MIN(D$6,$B$11)))^2)+IF(OR(E$7="",E$8=0),0,E$8*(E$7-S$16*(1-$A96)*(1-(1-$A96)^MIN(E$6,$B$11))/($A96*MIN(E$6,$B$11)))^2)</f>
        <v/>
      </c>
      <c r="U96" s="27">
        <f>MIN(B96:S96)</f>
        <v/>
      </c>
      <c r="V96" s="17">
        <f>MATCH(U96,B96:S96,0)</f>
        <v/>
      </c>
    </row>
    <row r="97">
      <c r="A97" s="26" t="n">
        <v>0.045</v>
      </c>
      <c r="B97" s="27">
        <f>IF(OR(B$7="",B$8=0),0,B$8*(B$7-B$16*(1-$A97)*(1-(1-$A97)^MIN(B$6,$B$11))/($A97*MIN(B$6,$B$11)))^2)+IF(OR(C$7="",C$8=0),0,C$8*(C$7-B$16*(1-$A97)*(1-(1-$A97)^MIN(C$6,$B$11))/($A97*MIN(C$6,$B$11)))^2)+IF(OR(D$7="",D$8=0),0,D$8*(D$7-B$16*(1-$A97)*(1-(1-$A97)^MIN(D$6,$B$11))/($A97*MIN(D$6,$B$11)))^2)+IF(OR(E$7="",E$8=0),0,E$8*(E$7-B$16*(1-$A97)*(1-(1-$A97)^MIN(E$6,$B$11))/($A97*MIN(E$6,$B$11)))^2)</f>
        <v/>
      </c>
      <c r="C97" s="27">
        <f>IF(OR(B$7="",B$8=0),0,B$8*(B$7-C$16*(1-$A97)*(1-(1-$A97)^MIN(B$6,$B$11))/($A97*MIN(B$6,$B$11)))^2)+IF(OR(C$7="",C$8=0),0,C$8*(C$7-C$16*(1-$A97)*(1-(1-$A97)^MIN(C$6,$B$11))/($A97*MIN(C$6,$B$11)))^2)+IF(OR(D$7="",D$8=0),0,D$8*(D$7-C$16*(1-$A97)*(1-(1-$A97)^MIN(D$6,$B$11))/($A97*MIN(D$6,$B$11)))^2)+IF(OR(E$7="",E$8=0),0,E$8*(E$7-C$16*(1-$A97)*(1-(1-$A97)^MIN(E$6,$B$11))/($A97*MIN(E$6,$B$11)))^2)</f>
        <v/>
      </c>
      <c r="D97" s="27">
        <f>IF(OR(B$7="",B$8=0),0,B$8*(B$7-D$16*(1-$A97)*(1-(1-$A97)^MIN(B$6,$B$11))/($A97*MIN(B$6,$B$11)))^2)+IF(OR(C$7="",C$8=0),0,C$8*(C$7-D$16*(1-$A97)*(1-(1-$A97)^MIN(C$6,$B$11))/($A97*MIN(C$6,$B$11)))^2)+IF(OR(D$7="",D$8=0),0,D$8*(D$7-D$16*(1-$A97)*(1-(1-$A97)^MIN(D$6,$B$11))/($A97*MIN(D$6,$B$11)))^2)+IF(OR(E$7="",E$8=0),0,E$8*(E$7-D$16*(1-$A97)*(1-(1-$A97)^MIN(E$6,$B$11))/($A97*MIN(E$6,$B$11)))^2)</f>
        <v/>
      </c>
      <c r="E97" s="27">
        <f>IF(OR(B$7="",B$8=0),0,B$8*(B$7-E$16*(1-$A97)*(1-(1-$A97)^MIN(B$6,$B$11))/($A97*MIN(B$6,$B$11)))^2)+IF(OR(C$7="",C$8=0),0,C$8*(C$7-E$16*(1-$A97)*(1-(1-$A97)^MIN(C$6,$B$11))/($A97*MIN(C$6,$B$11)))^2)+IF(OR(D$7="",D$8=0),0,D$8*(D$7-E$16*(1-$A97)*(1-(1-$A97)^MIN(D$6,$B$11))/($A97*MIN(D$6,$B$11)))^2)+IF(OR(E$7="",E$8=0),0,E$8*(E$7-E$16*(1-$A97)*(1-(1-$A97)^MIN(E$6,$B$11))/($A97*MIN(E$6,$B$11)))^2)</f>
        <v/>
      </c>
      <c r="F97" s="27">
        <f>IF(OR(B$7="",B$8=0),0,B$8*(B$7-F$16*(1-$A97)*(1-(1-$A97)^MIN(B$6,$B$11))/($A97*MIN(B$6,$B$11)))^2)+IF(OR(C$7="",C$8=0),0,C$8*(C$7-F$16*(1-$A97)*(1-(1-$A97)^MIN(C$6,$B$11))/($A97*MIN(C$6,$B$11)))^2)+IF(OR(D$7="",D$8=0),0,D$8*(D$7-F$16*(1-$A97)*(1-(1-$A97)^MIN(D$6,$B$11))/($A97*MIN(D$6,$B$11)))^2)+IF(OR(E$7="",E$8=0),0,E$8*(E$7-F$16*(1-$A97)*(1-(1-$A97)^MIN(E$6,$B$11))/($A97*MIN(E$6,$B$11)))^2)</f>
        <v/>
      </c>
      <c r="G97" s="27">
        <f>IF(OR(B$7="",B$8=0),0,B$8*(B$7-G$16*(1-$A97)*(1-(1-$A97)^MIN(B$6,$B$11))/($A97*MIN(B$6,$B$11)))^2)+IF(OR(C$7="",C$8=0),0,C$8*(C$7-G$16*(1-$A97)*(1-(1-$A97)^MIN(C$6,$B$11))/($A97*MIN(C$6,$B$11)))^2)+IF(OR(D$7="",D$8=0),0,D$8*(D$7-G$16*(1-$A97)*(1-(1-$A97)^MIN(D$6,$B$11))/($A97*MIN(D$6,$B$11)))^2)+IF(OR(E$7="",E$8=0),0,E$8*(E$7-G$16*(1-$A97)*(1-(1-$A97)^MIN(E$6,$B$11))/($A97*MIN(E$6,$B$11)))^2)</f>
        <v/>
      </c>
      <c r="H97" s="27">
        <f>IF(OR(B$7="",B$8=0),0,B$8*(B$7-H$16*(1-$A97)*(1-(1-$A97)^MIN(B$6,$B$11))/($A97*MIN(B$6,$B$11)))^2)+IF(OR(C$7="",C$8=0),0,C$8*(C$7-H$16*(1-$A97)*(1-(1-$A97)^MIN(C$6,$B$11))/($A97*MIN(C$6,$B$11)))^2)+IF(OR(D$7="",D$8=0),0,D$8*(D$7-H$16*(1-$A97)*(1-(1-$A97)^MIN(D$6,$B$11))/($A97*MIN(D$6,$B$11)))^2)+IF(OR(E$7="",E$8=0),0,E$8*(E$7-H$16*(1-$A97)*(1-(1-$A97)^MIN(E$6,$B$11))/($A97*MIN(E$6,$B$11)))^2)</f>
        <v/>
      </c>
      <c r="I97" s="27">
        <f>IF(OR(B$7="",B$8=0),0,B$8*(B$7-I$16*(1-$A97)*(1-(1-$A97)^MIN(B$6,$B$11))/($A97*MIN(B$6,$B$11)))^2)+IF(OR(C$7="",C$8=0),0,C$8*(C$7-I$16*(1-$A97)*(1-(1-$A97)^MIN(C$6,$B$11))/($A97*MIN(C$6,$B$11)))^2)+IF(OR(D$7="",D$8=0),0,D$8*(D$7-I$16*(1-$A97)*(1-(1-$A97)^MIN(D$6,$B$11))/($A97*MIN(D$6,$B$11)))^2)+IF(OR(E$7="",E$8=0),0,E$8*(E$7-I$16*(1-$A97)*(1-(1-$A97)^MIN(E$6,$B$11))/($A97*MIN(E$6,$B$11)))^2)</f>
        <v/>
      </c>
      <c r="J97" s="27">
        <f>IF(OR(B$7="",B$8=0),0,B$8*(B$7-J$16*(1-$A97)*(1-(1-$A97)^MIN(B$6,$B$11))/($A97*MIN(B$6,$B$11)))^2)+IF(OR(C$7="",C$8=0),0,C$8*(C$7-J$16*(1-$A97)*(1-(1-$A97)^MIN(C$6,$B$11))/($A97*MIN(C$6,$B$11)))^2)+IF(OR(D$7="",D$8=0),0,D$8*(D$7-J$16*(1-$A97)*(1-(1-$A97)^MIN(D$6,$B$11))/($A97*MIN(D$6,$B$11)))^2)+IF(OR(E$7="",E$8=0),0,E$8*(E$7-J$16*(1-$A97)*(1-(1-$A97)^MIN(E$6,$B$11))/($A97*MIN(E$6,$B$11)))^2)</f>
        <v/>
      </c>
      <c r="K97" s="27">
        <f>IF(OR(B$7="",B$8=0),0,B$8*(B$7-K$16*(1-$A97)*(1-(1-$A97)^MIN(B$6,$B$11))/($A97*MIN(B$6,$B$11)))^2)+IF(OR(C$7="",C$8=0),0,C$8*(C$7-K$16*(1-$A97)*(1-(1-$A97)^MIN(C$6,$B$11))/($A97*MIN(C$6,$B$11)))^2)+IF(OR(D$7="",D$8=0),0,D$8*(D$7-K$16*(1-$A97)*(1-(1-$A97)^MIN(D$6,$B$11))/($A97*MIN(D$6,$B$11)))^2)+IF(OR(E$7="",E$8=0),0,E$8*(E$7-K$16*(1-$A97)*(1-(1-$A97)^MIN(E$6,$B$11))/($A97*MIN(E$6,$B$11)))^2)</f>
        <v/>
      </c>
      <c r="L97" s="27">
        <f>IF(OR(B$7="",B$8=0),0,B$8*(B$7-L$16*(1-$A97)*(1-(1-$A97)^MIN(B$6,$B$11))/($A97*MIN(B$6,$B$11)))^2)+IF(OR(C$7="",C$8=0),0,C$8*(C$7-L$16*(1-$A97)*(1-(1-$A97)^MIN(C$6,$B$11))/($A97*MIN(C$6,$B$11)))^2)+IF(OR(D$7="",D$8=0),0,D$8*(D$7-L$16*(1-$A97)*(1-(1-$A97)^MIN(D$6,$B$11))/($A97*MIN(D$6,$B$11)))^2)+IF(OR(E$7="",E$8=0),0,E$8*(E$7-L$16*(1-$A97)*(1-(1-$A97)^MIN(E$6,$B$11))/($A97*MIN(E$6,$B$11)))^2)</f>
        <v/>
      </c>
      <c r="M97" s="27">
        <f>IF(OR(B$7="",B$8=0),0,B$8*(B$7-M$16*(1-$A97)*(1-(1-$A97)^MIN(B$6,$B$11))/($A97*MIN(B$6,$B$11)))^2)+IF(OR(C$7="",C$8=0),0,C$8*(C$7-M$16*(1-$A97)*(1-(1-$A97)^MIN(C$6,$B$11))/($A97*MIN(C$6,$B$11)))^2)+IF(OR(D$7="",D$8=0),0,D$8*(D$7-M$16*(1-$A97)*(1-(1-$A97)^MIN(D$6,$B$11))/($A97*MIN(D$6,$B$11)))^2)+IF(OR(E$7="",E$8=0),0,E$8*(E$7-M$16*(1-$A97)*(1-(1-$A97)^MIN(E$6,$B$11))/($A97*MIN(E$6,$B$11)))^2)</f>
        <v/>
      </c>
      <c r="N97" s="27">
        <f>IF(OR(B$7="",B$8=0),0,B$8*(B$7-N$16*(1-$A97)*(1-(1-$A97)^MIN(B$6,$B$11))/($A97*MIN(B$6,$B$11)))^2)+IF(OR(C$7="",C$8=0),0,C$8*(C$7-N$16*(1-$A97)*(1-(1-$A97)^MIN(C$6,$B$11))/($A97*MIN(C$6,$B$11)))^2)+IF(OR(D$7="",D$8=0),0,D$8*(D$7-N$16*(1-$A97)*(1-(1-$A97)^MIN(D$6,$B$11))/($A97*MIN(D$6,$B$11)))^2)+IF(OR(E$7="",E$8=0),0,E$8*(E$7-N$16*(1-$A97)*(1-(1-$A97)^MIN(E$6,$B$11))/($A97*MIN(E$6,$B$11)))^2)</f>
        <v/>
      </c>
      <c r="O97" s="27">
        <f>IF(OR(B$7="",B$8=0),0,B$8*(B$7-O$16*(1-$A97)*(1-(1-$A97)^MIN(B$6,$B$11))/($A97*MIN(B$6,$B$11)))^2)+IF(OR(C$7="",C$8=0),0,C$8*(C$7-O$16*(1-$A97)*(1-(1-$A97)^MIN(C$6,$B$11))/($A97*MIN(C$6,$B$11)))^2)+IF(OR(D$7="",D$8=0),0,D$8*(D$7-O$16*(1-$A97)*(1-(1-$A97)^MIN(D$6,$B$11))/($A97*MIN(D$6,$B$11)))^2)+IF(OR(E$7="",E$8=0),0,E$8*(E$7-O$16*(1-$A97)*(1-(1-$A97)^MIN(E$6,$B$11))/($A97*MIN(E$6,$B$11)))^2)</f>
        <v/>
      </c>
      <c r="P97" s="27">
        <f>IF(OR(B$7="",B$8=0),0,B$8*(B$7-P$16*(1-$A97)*(1-(1-$A97)^MIN(B$6,$B$11))/($A97*MIN(B$6,$B$11)))^2)+IF(OR(C$7="",C$8=0),0,C$8*(C$7-P$16*(1-$A97)*(1-(1-$A97)^MIN(C$6,$B$11))/($A97*MIN(C$6,$B$11)))^2)+IF(OR(D$7="",D$8=0),0,D$8*(D$7-P$16*(1-$A97)*(1-(1-$A97)^MIN(D$6,$B$11))/($A97*MIN(D$6,$B$11)))^2)+IF(OR(E$7="",E$8=0),0,E$8*(E$7-P$16*(1-$A97)*(1-(1-$A97)^MIN(E$6,$B$11))/($A97*MIN(E$6,$B$11)))^2)</f>
        <v/>
      </c>
      <c r="Q97" s="27">
        <f>IF(OR(B$7="",B$8=0),0,B$8*(B$7-Q$16*(1-$A97)*(1-(1-$A97)^MIN(B$6,$B$11))/($A97*MIN(B$6,$B$11)))^2)+IF(OR(C$7="",C$8=0),0,C$8*(C$7-Q$16*(1-$A97)*(1-(1-$A97)^MIN(C$6,$B$11))/($A97*MIN(C$6,$B$11)))^2)+IF(OR(D$7="",D$8=0),0,D$8*(D$7-Q$16*(1-$A97)*(1-(1-$A97)^MIN(D$6,$B$11))/($A97*MIN(D$6,$B$11)))^2)+IF(OR(E$7="",E$8=0),0,E$8*(E$7-Q$16*(1-$A97)*(1-(1-$A97)^MIN(E$6,$B$11))/($A97*MIN(E$6,$B$11)))^2)</f>
        <v/>
      </c>
      <c r="R97" s="27">
        <f>IF(OR(B$7="",B$8=0),0,B$8*(B$7-R$16*(1-$A97)*(1-(1-$A97)^MIN(B$6,$B$11))/($A97*MIN(B$6,$B$11)))^2)+IF(OR(C$7="",C$8=0),0,C$8*(C$7-R$16*(1-$A97)*(1-(1-$A97)^MIN(C$6,$B$11))/($A97*MIN(C$6,$B$11)))^2)+IF(OR(D$7="",D$8=0),0,D$8*(D$7-R$16*(1-$A97)*(1-(1-$A97)^MIN(D$6,$B$11))/($A97*MIN(D$6,$B$11)))^2)+IF(OR(E$7="",E$8=0),0,E$8*(E$7-R$16*(1-$A97)*(1-(1-$A97)^MIN(E$6,$B$11))/($A97*MIN(E$6,$B$11)))^2)</f>
        <v/>
      </c>
      <c r="S97" s="27">
        <f>IF(OR(B$7="",B$8=0),0,B$8*(B$7-S$16*(1-$A97)*(1-(1-$A97)^MIN(B$6,$B$11))/($A97*MIN(B$6,$B$11)))^2)+IF(OR(C$7="",C$8=0),0,C$8*(C$7-S$16*(1-$A97)*(1-(1-$A97)^MIN(C$6,$B$11))/($A97*MIN(C$6,$B$11)))^2)+IF(OR(D$7="",D$8=0),0,D$8*(D$7-S$16*(1-$A97)*(1-(1-$A97)^MIN(D$6,$B$11))/($A97*MIN(D$6,$B$11)))^2)+IF(OR(E$7="",E$8=0),0,E$8*(E$7-S$16*(1-$A97)*(1-(1-$A97)^MIN(E$6,$B$11))/($A97*MIN(E$6,$B$11)))^2)</f>
        <v/>
      </c>
      <c r="U97" s="27">
        <f>MIN(B97:S97)</f>
        <v/>
      </c>
      <c r="V97" s="17">
        <f>MATCH(U97,B97:S97,0)</f>
        <v/>
      </c>
    </row>
    <row r="98">
      <c r="A98" s="26" t="n">
        <v>0.0455</v>
      </c>
      <c r="B98" s="27">
        <f>IF(OR(B$7="",B$8=0),0,B$8*(B$7-B$16*(1-$A98)*(1-(1-$A98)^MIN(B$6,$B$11))/($A98*MIN(B$6,$B$11)))^2)+IF(OR(C$7="",C$8=0),0,C$8*(C$7-B$16*(1-$A98)*(1-(1-$A98)^MIN(C$6,$B$11))/($A98*MIN(C$6,$B$11)))^2)+IF(OR(D$7="",D$8=0),0,D$8*(D$7-B$16*(1-$A98)*(1-(1-$A98)^MIN(D$6,$B$11))/($A98*MIN(D$6,$B$11)))^2)+IF(OR(E$7="",E$8=0),0,E$8*(E$7-B$16*(1-$A98)*(1-(1-$A98)^MIN(E$6,$B$11))/($A98*MIN(E$6,$B$11)))^2)</f>
        <v/>
      </c>
      <c r="C98" s="27">
        <f>IF(OR(B$7="",B$8=0),0,B$8*(B$7-C$16*(1-$A98)*(1-(1-$A98)^MIN(B$6,$B$11))/($A98*MIN(B$6,$B$11)))^2)+IF(OR(C$7="",C$8=0),0,C$8*(C$7-C$16*(1-$A98)*(1-(1-$A98)^MIN(C$6,$B$11))/($A98*MIN(C$6,$B$11)))^2)+IF(OR(D$7="",D$8=0),0,D$8*(D$7-C$16*(1-$A98)*(1-(1-$A98)^MIN(D$6,$B$11))/($A98*MIN(D$6,$B$11)))^2)+IF(OR(E$7="",E$8=0),0,E$8*(E$7-C$16*(1-$A98)*(1-(1-$A98)^MIN(E$6,$B$11))/($A98*MIN(E$6,$B$11)))^2)</f>
        <v/>
      </c>
      <c r="D98" s="27">
        <f>IF(OR(B$7="",B$8=0),0,B$8*(B$7-D$16*(1-$A98)*(1-(1-$A98)^MIN(B$6,$B$11))/($A98*MIN(B$6,$B$11)))^2)+IF(OR(C$7="",C$8=0),0,C$8*(C$7-D$16*(1-$A98)*(1-(1-$A98)^MIN(C$6,$B$11))/($A98*MIN(C$6,$B$11)))^2)+IF(OR(D$7="",D$8=0),0,D$8*(D$7-D$16*(1-$A98)*(1-(1-$A98)^MIN(D$6,$B$11))/($A98*MIN(D$6,$B$11)))^2)+IF(OR(E$7="",E$8=0),0,E$8*(E$7-D$16*(1-$A98)*(1-(1-$A98)^MIN(E$6,$B$11))/($A98*MIN(E$6,$B$11)))^2)</f>
        <v/>
      </c>
      <c r="E98" s="27">
        <f>IF(OR(B$7="",B$8=0),0,B$8*(B$7-E$16*(1-$A98)*(1-(1-$A98)^MIN(B$6,$B$11))/($A98*MIN(B$6,$B$11)))^2)+IF(OR(C$7="",C$8=0),0,C$8*(C$7-E$16*(1-$A98)*(1-(1-$A98)^MIN(C$6,$B$11))/($A98*MIN(C$6,$B$11)))^2)+IF(OR(D$7="",D$8=0),0,D$8*(D$7-E$16*(1-$A98)*(1-(1-$A98)^MIN(D$6,$B$11))/($A98*MIN(D$6,$B$11)))^2)+IF(OR(E$7="",E$8=0),0,E$8*(E$7-E$16*(1-$A98)*(1-(1-$A98)^MIN(E$6,$B$11))/($A98*MIN(E$6,$B$11)))^2)</f>
        <v/>
      </c>
      <c r="F98" s="27">
        <f>IF(OR(B$7="",B$8=0),0,B$8*(B$7-F$16*(1-$A98)*(1-(1-$A98)^MIN(B$6,$B$11))/($A98*MIN(B$6,$B$11)))^2)+IF(OR(C$7="",C$8=0),0,C$8*(C$7-F$16*(1-$A98)*(1-(1-$A98)^MIN(C$6,$B$11))/($A98*MIN(C$6,$B$11)))^2)+IF(OR(D$7="",D$8=0),0,D$8*(D$7-F$16*(1-$A98)*(1-(1-$A98)^MIN(D$6,$B$11))/($A98*MIN(D$6,$B$11)))^2)+IF(OR(E$7="",E$8=0),0,E$8*(E$7-F$16*(1-$A98)*(1-(1-$A98)^MIN(E$6,$B$11))/($A98*MIN(E$6,$B$11)))^2)</f>
        <v/>
      </c>
      <c r="G98" s="27">
        <f>IF(OR(B$7="",B$8=0),0,B$8*(B$7-G$16*(1-$A98)*(1-(1-$A98)^MIN(B$6,$B$11))/($A98*MIN(B$6,$B$11)))^2)+IF(OR(C$7="",C$8=0),0,C$8*(C$7-G$16*(1-$A98)*(1-(1-$A98)^MIN(C$6,$B$11))/($A98*MIN(C$6,$B$11)))^2)+IF(OR(D$7="",D$8=0),0,D$8*(D$7-G$16*(1-$A98)*(1-(1-$A98)^MIN(D$6,$B$11))/($A98*MIN(D$6,$B$11)))^2)+IF(OR(E$7="",E$8=0),0,E$8*(E$7-G$16*(1-$A98)*(1-(1-$A98)^MIN(E$6,$B$11))/($A98*MIN(E$6,$B$11)))^2)</f>
        <v/>
      </c>
      <c r="H98" s="27">
        <f>IF(OR(B$7="",B$8=0),0,B$8*(B$7-H$16*(1-$A98)*(1-(1-$A98)^MIN(B$6,$B$11))/($A98*MIN(B$6,$B$11)))^2)+IF(OR(C$7="",C$8=0),0,C$8*(C$7-H$16*(1-$A98)*(1-(1-$A98)^MIN(C$6,$B$11))/($A98*MIN(C$6,$B$11)))^2)+IF(OR(D$7="",D$8=0),0,D$8*(D$7-H$16*(1-$A98)*(1-(1-$A98)^MIN(D$6,$B$11))/($A98*MIN(D$6,$B$11)))^2)+IF(OR(E$7="",E$8=0),0,E$8*(E$7-H$16*(1-$A98)*(1-(1-$A98)^MIN(E$6,$B$11))/($A98*MIN(E$6,$B$11)))^2)</f>
        <v/>
      </c>
      <c r="I98" s="27">
        <f>IF(OR(B$7="",B$8=0),0,B$8*(B$7-I$16*(1-$A98)*(1-(1-$A98)^MIN(B$6,$B$11))/($A98*MIN(B$6,$B$11)))^2)+IF(OR(C$7="",C$8=0),0,C$8*(C$7-I$16*(1-$A98)*(1-(1-$A98)^MIN(C$6,$B$11))/($A98*MIN(C$6,$B$11)))^2)+IF(OR(D$7="",D$8=0),0,D$8*(D$7-I$16*(1-$A98)*(1-(1-$A98)^MIN(D$6,$B$11))/($A98*MIN(D$6,$B$11)))^2)+IF(OR(E$7="",E$8=0),0,E$8*(E$7-I$16*(1-$A98)*(1-(1-$A98)^MIN(E$6,$B$11))/($A98*MIN(E$6,$B$11)))^2)</f>
        <v/>
      </c>
      <c r="J98" s="27">
        <f>IF(OR(B$7="",B$8=0),0,B$8*(B$7-J$16*(1-$A98)*(1-(1-$A98)^MIN(B$6,$B$11))/($A98*MIN(B$6,$B$11)))^2)+IF(OR(C$7="",C$8=0),0,C$8*(C$7-J$16*(1-$A98)*(1-(1-$A98)^MIN(C$6,$B$11))/($A98*MIN(C$6,$B$11)))^2)+IF(OR(D$7="",D$8=0),0,D$8*(D$7-J$16*(1-$A98)*(1-(1-$A98)^MIN(D$6,$B$11))/($A98*MIN(D$6,$B$11)))^2)+IF(OR(E$7="",E$8=0),0,E$8*(E$7-J$16*(1-$A98)*(1-(1-$A98)^MIN(E$6,$B$11))/($A98*MIN(E$6,$B$11)))^2)</f>
        <v/>
      </c>
      <c r="K98" s="27">
        <f>IF(OR(B$7="",B$8=0),0,B$8*(B$7-K$16*(1-$A98)*(1-(1-$A98)^MIN(B$6,$B$11))/($A98*MIN(B$6,$B$11)))^2)+IF(OR(C$7="",C$8=0),0,C$8*(C$7-K$16*(1-$A98)*(1-(1-$A98)^MIN(C$6,$B$11))/($A98*MIN(C$6,$B$11)))^2)+IF(OR(D$7="",D$8=0),0,D$8*(D$7-K$16*(1-$A98)*(1-(1-$A98)^MIN(D$6,$B$11))/($A98*MIN(D$6,$B$11)))^2)+IF(OR(E$7="",E$8=0),0,E$8*(E$7-K$16*(1-$A98)*(1-(1-$A98)^MIN(E$6,$B$11))/($A98*MIN(E$6,$B$11)))^2)</f>
        <v/>
      </c>
      <c r="L98" s="27">
        <f>IF(OR(B$7="",B$8=0),0,B$8*(B$7-L$16*(1-$A98)*(1-(1-$A98)^MIN(B$6,$B$11))/($A98*MIN(B$6,$B$11)))^2)+IF(OR(C$7="",C$8=0),0,C$8*(C$7-L$16*(1-$A98)*(1-(1-$A98)^MIN(C$6,$B$11))/($A98*MIN(C$6,$B$11)))^2)+IF(OR(D$7="",D$8=0),0,D$8*(D$7-L$16*(1-$A98)*(1-(1-$A98)^MIN(D$6,$B$11))/($A98*MIN(D$6,$B$11)))^2)+IF(OR(E$7="",E$8=0),0,E$8*(E$7-L$16*(1-$A98)*(1-(1-$A98)^MIN(E$6,$B$11))/($A98*MIN(E$6,$B$11)))^2)</f>
        <v/>
      </c>
      <c r="M98" s="27">
        <f>IF(OR(B$7="",B$8=0),0,B$8*(B$7-M$16*(1-$A98)*(1-(1-$A98)^MIN(B$6,$B$11))/($A98*MIN(B$6,$B$11)))^2)+IF(OR(C$7="",C$8=0),0,C$8*(C$7-M$16*(1-$A98)*(1-(1-$A98)^MIN(C$6,$B$11))/($A98*MIN(C$6,$B$11)))^2)+IF(OR(D$7="",D$8=0),0,D$8*(D$7-M$16*(1-$A98)*(1-(1-$A98)^MIN(D$6,$B$11))/($A98*MIN(D$6,$B$11)))^2)+IF(OR(E$7="",E$8=0),0,E$8*(E$7-M$16*(1-$A98)*(1-(1-$A98)^MIN(E$6,$B$11))/($A98*MIN(E$6,$B$11)))^2)</f>
        <v/>
      </c>
      <c r="N98" s="27">
        <f>IF(OR(B$7="",B$8=0),0,B$8*(B$7-N$16*(1-$A98)*(1-(1-$A98)^MIN(B$6,$B$11))/($A98*MIN(B$6,$B$11)))^2)+IF(OR(C$7="",C$8=0),0,C$8*(C$7-N$16*(1-$A98)*(1-(1-$A98)^MIN(C$6,$B$11))/($A98*MIN(C$6,$B$11)))^2)+IF(OR(D$7="",D$8=0),0,D$8*(D$7-N$16*(1-$A98)*(1-(1-$A98)^MIN(D$6,$B$11))/($A98*MIN(D$6,$B$11)))^2)+IF(OR(E$7="",E$8=0),0,E$8*(E$7-N$16*(1-$A98)*(1-(1-$A98)^MIN(E$6,$B$11))/($A98*MIN(E$6,$B$11)))^2)</f>
        <v/>
      </c>
      <c r="O98" s="27">
        <f>IF(OR(B$7="",B$8=0),0,B$8*(B$7-O$16*(1-$A98)*(1-(1-$A98)^MIN(B$6,$B$11))/($A98*MIN(B$6,$B$11)))^2)+IF(OR(C$7="",C$8=0),0,C$8*(C$7-O$16*(1-$A98)*(1-(1-$A98)^MIN(C$6,$B$11))/($A98*MIN(C$6,$B$11)))^2)+IF(OR(D$7="",D$8=0),0,D$8*(D$7-O$16*(1-$A98)*(1-(1-$A98)^MIN(D$6,$B$11))/($A98*MIN(D$6,$B$11)))^2)+IF(OR(E$7="",E$8=0),0,E$8*(E$7-O$16*(1-$A98)*(1-(1-$A98)^MIN(E$6,$B$11))/($A98*MIN(E$6,$B$11)))^2)</f>
        <v/>
      </c>
      <c r="P98" s="27">
        <f>IF(OR(B$7="",B$8=0),0,B$8*(B$7-P$16*(1-$A98)*(1-(1-$A98)^MIN(B$6,$B$11))/($A98*MIN(B$6,$B$11)))^2)+IF(OR(C$7="",C$8=0),0,C$8*(C$7-P$16*(1-$A98)*(1-(1-$A98)^MIN(C$6,$B$11))/($A98*MIN(C$6,$B$11)))^2)+IF(OR(D$7="",D$8=0),0,D$8*(D$7-P$16*(1-$A98)*(1-(1-$A98)^MIN(D$6,$B$11))/($A98*MIN(D$6,$B$11)))^2)+IF(OR(E$7="",E$8=0),0,E$8*(E$7-P$16*(1-$A98)*(1-(1-$A98)^MIN(E$6,$B$11))/($A98*MIN(E$6,$B$11)))^2)</f>
        <v/>
      </c>
      <c r="Q98" s="27">
        <f>IF(OR(B$7="",B$8=0),0,B$8*(B$7-Q$16*(1-$A98)*(1-(1-$A98)^MIN(B$6,$B$11))/($A98*MIN(B$6,$B$11)))^2)+IF(OR(C$7="",C$8=0),0,C$8*(C$7-Q$16*(1-$A98)*(1-(1-$A98)^MIN(C$6,$B$11))/($A98*MIN(C$6,$B$11)))^2)+IF(OR(D$7="",D$8=0),0,D$8*(D$7-Q$16*(1-$A98)*(1-(1-$A98)^MIN(D$6,$B$11))/($A98*MIN(D$6,$B$11)))^2)+IF(OR(E$7="",E$8=0),0,E$8*(E$7-Q$16*(1-$A98)*(1-(1-$A98)^MIN(E$6,$B$11))/($A98*MIN(E$6,$B$11)))^2)</f>
        <v/>
      </c>
      <c r="R98" s="27">
        <f>IF(OR(B$7="",B$8=0),0,B$8*(B$7-R$16*(1-$A98)*(1-(1-$A98)^MIN(B$6,$B$11))/($A98*MIN(B$6,$B$11)))^2)+IF(OR(C$7="",C$8=0),0,C$8*(C$7-R$16*(1-$A98)*(1-(1-$A98)^MIN(C$6,$B$11))/($A98*MIN(C$6,$B$11)))^2)+IF(OR(D$7="",D$8=0),0,D$8*(D$7-R$16*(1-$A98)*(1-(1-$A98)^MIN(D$6,$B$11))/($A98*MIN(D$6,$B$11)))^2)+IF(OR(E$7="",E$8=0),0,E$8*(E$7-R$16*(1-$A98)*(1-(1-$A98)^MIN(E$6,$B$11))/($A98*MIN(E$6,$B$11)))^2)</f>
        <v/>
      </c>
      <c r="S98" s="27">
        <f>IF(OR(B$7="",B$8=0),0,B$8*(B$7-S$16*(1-$A98)*(1-(1-$A98)^MIN(B$6,$B$11))/($A98*MIN(B$6,$B$11)))^2)+IF(OR(C$7="",C$8=0),0,C$8*(C$7-S$16*(1-$A98)*(1-(1-$A98)^MIN(C$6,$B$11))/($A98*MIN(C$6,$B$11)))^2)+IF(OR(D$7="",D$8=0),0,D$8*(D$7-S$16*(1-$A98)*(1-(1-$A98)^MIN(D$6,$B$11))/($A98*MIN(D$6,$B$11)))^2)+IF(OR(E$7="",E$8=0),0,E$8*(E$7-S$16*(1-$A98)*(1-(1-$A98)^MIN(E$6,$B$11))/($A98*MIN(E$6,$B$11)))^2)</f>
        <v/>
      </c>
      <c r="U98" s="27">
        <f>MIN(B98:S98)</f>
        <v/>
      </c>
      <c r="V98" s="17">
        <f>MATCH(U98,B98:S98,0)</f>
        <v/>
      </c>
    </row>
    <row r="99">
      <c r="A99" s="26" t="n">
        <v>0.046</v>
      </c>
      <c r="B99" s="27">
        <f>IF(OR(B$7="",B$8=0),0,B$8*(B$7-B$16*(1-$A99)*(1-(1-$A99)^MIN(B$6,$B$11))/($A99*MIN(B$6,$B$11)))^2)+IF(OR(C$7="",C$8=0),0,C$8*(C$7-B$16*(1-$A99)*(1-(1-$A99)^MIN(C$6,$B$11))/($A99*MIN(C$6,$B$11)))^2)+IF(OR(D$7="",D$8=0),0,D$8*(D$7-B$16*(1-$A99)*(1-(1-$A99)^MIN(D$6,$B$11))/($A99*MIN(D$6,$B$11)))^2)+IF(OR(E$7="",E$8=0),0,E$8*(E$7-B$16*(1-$A99)*(1-(1-$A99)^MIN(E$6,$B$11))/($A99*MIN(E$6,$B$11)))^2)</f>
        <v/>
      </c>
      <c r="C99" s="27">
        <f>IF(OR(B$7="",B$8=0),0,B$8*(B$7-C$16*(1-$A99)*(1-(1-$A99)^MIN(B$6,$B$11))/($A99*MIN(B$6,$B$11)))^2)+IF(OR(C$7="",C$8=0),0,C$8*(C$7-C$16*(1-$A99)*(1-(1-$A99)^MIN(C$6,$B$11))/($A99*MIN(C$6,$B$11)))^2)+IF(OR(D$7="",D$8=0),0,D$8*(D$7-C$16*(1-$A99)*(1-(1-$A99)^MIN(D$6,$B$11))/($A99*MIN(D$6,$B$11)))^2)+IF(OR(E$7="",E$8=0),0,E$8*(E$7-C$16*(1-$A99)*(1-(1-$A99)^MIN(E$6,$B$11))/($A99*MIN(E$6,$B$11)))^2)</f>
        <v/>
      </c>
      <c r="D99" s="27">
        <f>IF(OR(B$7="",B$8=0),0,B$8*(B$7-D$16*(1-$A99)*(1-(1-$A99)^MIN(B$6,$B$11))/($A99*MIN(B$6,$B$11)))^2)+IF(OR(C$7="",C$8=0),0,C$8*(C$7-D$16*(1-$A99)*(1-(1-$A99)^MIN(C$6,$B$11))/($A99*MIN(C$6,$B$11)))^2)+IF(OR(D$7="",D$8=0),0,D$8*(D$7-D$16*(1-$A99)*(1-(1-$A99)^MIN(D$6,$B$11))/($A99*MIN(D$6,$B$11)))^2)+IF(OR(E$7="",E$8=0),0,E$8*(E$7-D$16*(1-$A99)*(1-(1-$A99)^MIN(E$6,$B$11))/($A99*MIN(E$6,$B$11)))^2)</f>
        <v/>
      </c>
      <c r="E99" s="27">
        <f>IF(OR(B$7="",B$8=0),0,B$8*(B$7-E$16*(1-$A99)*(1-(1-$A99)^MIN(B$6,$B$11))/($A99*MIN(B$6,$B$11)))^2)+IF(OR(C$7="",C$8=0),0,C$8*(C$7-E$16*(1-$A99)*(1-(1-$A99)^MIN(C$6,$B$11))/($A99*MIN(C$6,$B$11)))^2)+IF(OR(D$7="",D$8=0),0,D$8*(D$7-E$16*(1-$A99)*(1-(1-$A99)^MIN(D$6,$B$11))/($A99*MIN(D$6,$B$11)))^2)+IF(OR(E$7="",E$8=0),0,E$8*(E$7-E$16*(1-$A99)*(1-(1-$A99)^MIN(E$6,$B$11))/($A99*MIN(E$6,$B$11)))^2)</f>
        <v/>
      </c>
      <c r="F99" s="27">
        <f>IF(OR(B$7="",B$8=0),0,B$8*(B$7-F$16*(1-$A99)*(1-(1-$A99)^MIN(B$6,$B$11))/($A99*MIN(B$6,$B$11)))^2)+IF(OR(C$7="",C$8=0),0,C$8*(C$7-F$16*(1-$A99)*(1-(1-$A99)^MIN(C$6,$B$11))/($A99*MIN(C$6,$B$11)))^2)+IF(OR(D$7="",D$8=0),0,D$8*(D$7-F$16*(1-$A99)*(1-(1-$A99)^MIN(D$6,$B$11))/($A99*MIN(D$6,$B$11)))^2)+IF(OR(E$7="",E$8=0),0,E$8*(E$7-F$16*(1-$A99)*(1-(1-$A99)^MIN(E$6,$B$11))/($A99*MIN(E$6,$B$11)))^2)</f>
        <v/>
      </c>
      <c r="G99" s="27">
        <f>IF(OR(B$7="",B$8=0),0,B$8*(B$7-G$16*(1-$A99)*(1-(1-$A99)^MIN(B$6,$B$11))/($A99*MIN(B$6,$B$11)))^2)+IF(OR(C$7="",C$8=0),0,C$8*(C$7-G$16*(1-$A99)*(1-(1-$A99)^MIN(C$6,$B$11))/($A99*MIN(C$6,$B$11)))^2)+IF(OR(D$7="",D$8=0),0,D$8*(D$7-G$16*(1-$A99)*(1-(1-$A99)^MIN(D$6,$B$11))/($A99*MIN(D$6,$B$11)))^2)+IF(OR(E$7="",E$8=0),0,E$8*(E$7-G$16*(1-$A99)*(1-(1-$A99)^MIN(E$6,$B$11))/($A99*MIN(E$6,$B$11)))^2)</f>
        <v/>
      </c>
      <c r="H99" s="27">
        <f>IF(OR(B$7="",B$8=0),0,B$8*(B$7-H$16*(1-$A99)*(1-(1-$A99)^MIN(B$6,$B$11))/($A99*MIN(B$6,$B$11)))^2)+IF(OR(C$7="",C$8=0),0,C$8*(C$7-H$16*(1-$A99)*(1-(1-$A99)^MIN(C$6,$B$11))/($A99*MIN(C$6,$B$11)))^2)+IF(OR(D$7="",D$8=0),0,D$8*(D$7-H$16*(1-$A99)*(1-(1-$A99)^MIN(D$6,$B$11))/($A99*MIN(D$6,$B$11)))^2)+IF(OR(E$7="",E$8=0),0,E$8*(E$7-H$16*(1-$A99)*(1-(1-$A99)^MIN(E$6,$B$11))/($A99*MIN(E$6,$B$11)))^2)</f>
        <v/>
      </c>
      <c r="I99" s="27">
        <f>IF(OR(B$7="",B$8=0),0,B$8*(B$7-I$16*(1-$A99)*(1-(1-$A99)^MIN(B$6,$B$11))/($A99*MIN(B$6,$B$11)))^2)+IF(OR(C$7="",C$8=0),0,C$8*(C$7-I$16*(1-$A99)*(1-(1-$A99)^MIN(C$6,$B$11))/($A99*MIN(C$6,$B$11)))^2)+IF(OR(D$7="",D$8=0),0,D$8*(D$7-I$16*(1-$A99)*(1-(1-$A99)^MIN(D$6,$B$11))/($A99*MIN(D$6,$B$11)))^2)+IF(OR(E$7="",E$8=0),0,E$8*(E$7-I$16*(1-$A99)*(1-(1-$A99)^MIN(E$6,$B$11))/($A99*MIN(E$6,$B$11)))^2)</f>
        <v/>
      </c>
      <c r="J99" s="27">
        <f>IF(OR(B$7="",B$8=0),0,B$8*(B$7-J$16*(1-$A99)*(1-(1-$A99)^MIN(B$6,$B$11))/($A99*MIN(B$6,$B$11)))^2)+IF(OR(C$7="",C$8=0),0,C$8*(C$7-J$16*(1-$A99)*(1-(1-$A99)^MIN(C$6,$B$11))/($A99*MIN(C$6,$B$11)))^2)+IF(OR(D$7="",D$8=0),0,D$8*(D$7-J$16*(1-$A99)*(1-(1-$A99)^MIN(D$6,$B$11))/($A99*MIN(D$6,$B$11)))^2)+IF(OR(E$7="",E$8=0),0,E$8*(E$7-J$16*(1-$A99)*(1-(1-$A99)^MIN(E$6,$B$11))/($A99*MIN(E$6,$B$11)))^2)</f>
        <v/>
      </c>
      <c r="K99" s="27">
        <f>IF(OR(B$7="",B$8=0),0,B$8*(B$7-K$16*(1-$A99)*(1-(1-$A99)^MIN(B$6,$B$11))/($A99*MIN(B$6,$B$11)))^2)+IF(OR(C$7="",C$8=0),0,C$8*(C$7-K$16*(1-$A99)*(1-(1-$A99)^MIN(C$6,$B$11))/($A99*MIN(C$6,$B$11)))^2)+IF(OR(D$7="",D$8=0),0,D$8*(D$7-K$16*(1-$A99)*(1-(1-$A99)^MIN(D$6,$B$11))/($A99*MIN(D$6,$B$11)))^2)+IF(OR(E$7="",E$8=0),0,E$8*(E$7-K$16*(1-$A99)*(1-(1-$A99)^MIN(E$6,$B$11))/($A99*MIN(E$6,$B$11)))^2)</f>
        <v/>
      </c>
      <c r="L99" s="27">
        <f>IF(OR(B$7="",B$8=0),0,B$8*(B$7-L$16*(1-$A99)*(1-(1-$A99)^MIN(B$6,$B$11))/($A99*MIN(B$6,$B$11)))^2)+IF(OR(C$7="",C$8=0),0,C$8*(C$7-L$16*(1-$A99)*(1-(1-$A99)^MIN(C$6,$B$11))/($A99*MIN(C$6,$B$11)))^2)+IF(OR(D$7="",D$8=0),0,D$8*(D$7-L$16*(1-$A99)*(1-(1-$A99)^MIN(D$6,$B$11))/($A99*MIN(D$6,$B$11)))^2)+IF(OR(E$7="",E$8=0),0,E$8*(E$7-L$16*(1-$A99)*(1-(1-$A99)^MIN(E$6,$B$11))/($A99*MIN(E$6,$B$11)))^2)</f>
        <v/>
      </c>
      <c r="M99" s="27">
        <f>IF(OR(B$7="",B$8=0),0,B$8*(B$7-M$16*(1-$A99)*(1-(1-$A99)^MIN(B$6,$B$11))/($A99*MIN(B$6,$B$11)))^2)+IF(OR(C$7="",C$8=0),0,C$8*(C$7-M$16*(1-$A99)*(1-(1-$A99)^MIN(C$6,$B$11))/($A99*MIN(C$6,$B$11)))^2)+IF(OR(D$7="",D$8=0),0,D$8*(D$7-M$16*(1-$A99)*(1-(1-$A99)^MIN(D$6,$B$11))/($A99*MIN(D$6,$B$11)))^2)+IF(OR(E$7="",E$8=0),0,E$8*(E$7-M$16*(1-$A99)*(1-(1-$A99)^MIN(E$6,$B$11))/($A99*MIN(E$6,$B$11)))^2)</f>
        <v/>
      </c>
      <c r="N99" s="27">
        <f>IF(OR(B$7="",B$8=0),0,B$8*(B$7-N$16*(1-$A99)*(1-(1-$A99)^MIN(B$6,$B$11))/($A99*MIN(B$6,$B$11)))^2)+IF(OR(C$7="",C$8=0),0,C$8*(C$7-N$16*(1-$A99)*(1-(1-$A99)^MIN(C$6,$B$11))/($A99*MIN(C$6,$B$11)))^2)+IF(OR(D$7="",D$8=0),0,D$8*(D$7-N$16*(1-$A99)*(1-(1-$A99)^MIN(D$6,$B$11))/($A99*MIN(D$6,$B$11)))^2)+IF(OR(E$7="",E$8=0),0,E$8*(E$7-N$16*(1-$A99)*(1-(1-$A99)^MIN(E$6,$B$11))/($A99*MIN(E$6,$B$11)))^2)</f>
        <v/>
      </c>
      <c r="O99" s="27">
        <f>IF(OR(B$7="",B$8=0),0,B$8*(B$7-O$16*(1-$A99)*(1-(1-$A99)^MIN(B$6,$B$11))/($A99*MIN(B$6,$B$11)))^2)+IF(OR(C$7="",C$8=0),0,C$8*(C$7-O$16*(1-$A99)*(1-(1-$A99)^MIN(C$6,$B$11))/($A99*MIN(C$6,$B$11)))^2)+IF(OR(D$7="",D$8=0),0,D$8*(D$7-O$16*(1-$A99)*(1-(1-$A99)^MIN(D$6,$B$11))/($A99*MIN(D$6,$B$11)))^2)+IF(OR(E$7="",E$8=0),0,E$8*(E$7-O$16*(1-$A99)*(1-(1-$A99)^MIN(E$6,$B$11))/($A99*MIN(E$6,$B$11)))^2)</f>
        <v/>
      </c>
      <c r="P99" s="27">
        <f>IF(OR(B$7="",B$8=0),0,B$8*(B$7-P$16*(1-$A99)*(1-(1-$A99)^MIN(B$6,$B$11))/($A99*MIN(B$6,$B$11)))^2)+IF(OR(C$7="",C$8=0),0,C$8*(C$7-P$16*(1-$A99)*(1-(1-$A99)^MIN(C$6,$B$11))/($A99*MIN(C$6,$B$11)))^2)+IF(OR(D$7="",D$8=0),0,D$8*(D$7-P$16*(1-$A99)*(1-(1-$A99)^MIN(D$6,$B$11))/($A99*MIN(D$6,$B$11)))^2)+IF(OR(E$7="",E$8=0),0,E$8*(E$7-P$16*(1-$A99)*(1-(1-$A99)^MIN(E$6,$B$11))/($A99*MIN(E$6,$B$11)))^2)</f>
        <v/>
      </c>
      <c r="Q99" s="27">
        <f>IF(OR(B$7="",B$8=0),0,B$8*(B$7-Q$16*(1-$A99)*(1-(1-$A99)^MIN(B$6,$B$11))/($A99*MIN(B$6,$B$11)))^2)+IF(OR(C$7="",C$8=0),0,C$8*(C$7-Q$16*(1-$A99)*(1-(1-$A99)^MIN(C$6,$B$11))/($A99*MIN(C$6,$B$11)))^2)+IF(OR(D$7="",D$8=0),0,D$8*(D$7-Q$16*(1-$A99)*(1-(1-$A99)^MIN(D$6,$B$11))/($A99*MIN(D$6,$B$11)))^2)+IF(OR(E$7="",E$8=0),0,E$8*(E$7-Q$16*(1-$A99)*(1-(1-$A99)^MIN(E$6,$B$11))/($A99*MIN(E$6,$B$11)))^2)</f>
        <v/>
      </c>
      <c r="R99" s="27">
        <f>IF(OR(B$7="",B$8=0),0,B$8*(B$7-R$16*(1-$A99)*(1-(1-$A99)^MIN(B$6,$B$11))/($A99*MIN(B$6,$B$11)))^2)+IF(OR(C$7="",C$8=0),0,C$8*(C$7-R$16*(1-$A99)*(1-(1-$A99)^MIN(C$6,$B$11))/($A99*MIN(C$6,$B$11)))^2)+IF(OR(D$7="",D$8=0),0,D$8*(D$7-R$16*(1-$A99)*(1-(1-$A99)^MIN(D$6,$B$11))/($A99*MIN(D$6,$B$11)))^2)+IF(OR(E$7="",E$8=0),0,E$8*(E$7-R$16*(1-$A99)*(1-(1-$A99)^MIN(E$6,$B$11))/($A99*MIN(E$6,$B$11)))^2)</f>
        <v/>
      </c>
      <c r="S99" s="27">
        <f>IF(OR(B$7="",B$8=0),0,B$8*(B$7-S$16*(1-$A99)*(1-(1-$A99)^MIN(B$6,$B$11))/($A99*MIN(B$6,$B$11)))^2)+IF(OR(C$7="",C$8=0),0,C$8*(C$7-S$16*(1-$A99)*(1-(1-$A99)^MIN(C$6,$B$11))/($A99*MIN(C$6,$B$11)))^2)+IF(OR(D$7="",D$8=0),0,D$8*(D$7-S$16*(1-$A99)*(1-(1-$A99)^MIN(D$6,$B$11))/($A99*MIN(D$6,$B$11)))^2)+IF(OR(E$7="",E$8=0),0,E$8*(E$7-S$16*(1-$A99)*(1-(1-$A99)^MIN(E$6,$B$11))/($A99*MIN(E$6,$B$11)))^2)</f>
        <v/>
      </c>
      <c r="U99" s="27">
        <f>MIN(B99:S99)</f>
        <v/>
      </c>
      <c r="V99" s="17">
        <f>MATCH(U99,B99:S99,0)</f>
        <v/>
      </c>
    </row>
    <row r="100">
      <c r="A100" s="26" t="n">
        <v>0.0465</v>
      </c>
      <c r="B100" s="27">
        <f>IF(OR(B$7="",B$8=0),0,B$8*(B$7-B$16*(1-$A100)*(1-(1-$A100)^MIN(B$6,$B$11))/($A100*MIN(B$6,$B$11)))^2)+IF(OR(C$7="",C$8=0),0,C$8*(C$7-B$16*(1-$A100)*(1-(1-$A100)^MIN(C$6,$B$11))/($A100*MIN(C$6,$B$11)))^2)+IF(OR(D$7="",D$8=0),0,D$8*(D$7-B$16*(1-$A100)*(1-(1-$A100)^MIN(D$6,$B$11))/($A100*MIN(D$6,$B$11)))^2)+IF(OR(E$7="",E$8=0),0,E$8*(E$7-B$16*(1-$A100)*(1-(1-$A100)^MIN(E$6,$B$11))/($A100*MIN(E$6,$B$11)))^2)</f>
        <v/>
      </c>
      <c r="C100" s="27">
        <f>IF(OR(B$7="",B$8=0),0,B$8*(B$7-C$16*(1-$A100)*(1-(1-$A100)^MIN(B$6,$B$11))/($A100*MIN(B$6,$B$11)))^2)+IF(OR(C$7="",C$8=0),0,C$8*(C$7-C$16*(1-$A100)*(1-(1-$A100)^MIN(C$6,$B$11))/($A100*MIN(C$6,$B$11)))^2)+IF(OR(D$7="",D$8=0),0,D$8*(D$7-C$16*(1-$A100)*(1-(1-$A100)^MIN(D$6,$B$11))/($A100*MIN(D$6,$B$11)))^2)+IF(OR(E$7="",E$8=0),0,E$8*(E$7-C$16*(1-$A100)*(1-(1-$A100)^MIN(E$6,$B$11))/($A100*MIN(E$6,$B$11)))^2)</f>
        <v/>
      </c>
      <c r="D100" s="27">
        <f>IF(OR(B$7="",B$8=0),0,B$8*(B$7-D$16*(1-$A100)*(1-(1-$A100)^MIN(B$6,$B$11))/($A100*MIN(B$6,$B$11)))^2)+IF(OR(C$7="",C$8=0),0,C$8*(C$7-D$16*(1-$A100)*(1-(1-$A100)^MIN(C$6,$B$11))/($A100*MIN(C$6,$B$11)))^2)+IF(OR(D$7="",D$8=0),0,D$8*(D$7-D$16*(1-$A100)*(1-(1-$A100)^MIN(D$6,$B$11))/($A100*MIN(D$6,$B$11)))^2)+IF(OR(E$7="",E$8=0),0,E$8*(E$7-D$16*(1-$A100)*(1-(1-$A100)^MIN(E$6,$B$11))/($A100*MIN(E$6,$B$11)))^2)</f>
        <v/>
      </c>
      <c r="E100" s="27">
        <f>IF(OR(B$7="",B$8=0),0,B$8*(B$7-E$16*(1-$A100)*(1-(1-$A100)^MIN(B$6,$B$11))/($A100*MIN(B$6,$B$11)))^2)+IF(OR(C$7="",C$8=0),0,C$8*(C$7-E$16*(1-$A100)*(1-(1-$A100)^MIN(C$6,$B$11))/($A100*MIN(C$6,$B$11)))^2)+IF(OR(D$7="",D$8=0),0,D$8*(D$7-E$16*(1-$A100)*(1-(1-$A100)^MIN(D$6,$B$11))/($A100*MIN(D$6,$B$11)))^2)+IF(OR(E$7="",E$8=0),0,E$8*(E$7-E$16*(1-$A100)*(1-(1-$A100)^MIN(E$6,$B$11))/($A100*MIN(E$6,$B$11)))^2)</f>
        <v/>
      </c>
      <c r="F100" s="27">
        <f>IF(OR(B$7="",B$8=0),0,B$8*(B$7-F$16*(1-$A100)*(1-(1-$A100)^MIN(B$6,$B$11))/($A100*MIN(B$6,$B$11)))^2)+IF(OR(C$7="",C$8=0),0,C$8*(C$7-F$16*(1-$A100)*(1-(1-$A100)^MIN(C$6,$B$11))/($A100*MIN(C$6,$B$11)))^2)+IF(OR(D$7="",D$8=0),0,D$8*(D$7-F$16*(1-$A100)*(1-(1-$A100)^MIN(D$6,$B$11))/($A100*MIN(D$6,$B$11)))^2)+IF(OR(E$7="",E$8=0),0,E$8*(E$7-F$16*(1-$A100)*(1-(1-$A100)^MIN(E$6,$B$11))/($A100*MIN(E$6,$B$11)))^2)</f>
        <v/>
      </c>
      <c r="G100" s="27">
        <f>IF(OR(B$7="",B$8=0),0,B$8*(B$7-G$16*(1-$A100)*(1-(1-$A100)^MIN(B$6,$B$11))/($A100*MIN(B$6,$B$11)))^2)+IF(OR(C$7="",C$8=0),0,C$8*(C$7-G$16*(1-$A100)*(1-(1-$A100)^MIN(C$6,$B$11))/($A100*MIN(C$6,$B$11)))^2)+IF(OR(D$7="",D$8=0),0,D$8*(D$7-G$16*(1-$A100)*(1-(1-$A100)^MIN(D$6,$B$11))/($A100*MIN(D$6,$B$11)))^2)+IF(OR(E$7="",E$8=0),0,E$8*(E$7-G$16*(1-$A100)*(1-(1-$A100)^MIN(E$6,$B$11))/($A100*MIN(E$6,$B$11)))^2)</f>
        <v/>
      </c>
      <c r="H100" s="27">
        <f>IF(OR(B$7="",B$8=0),0,B$8*(B$7-H$16*(1-$A100)*(1-(1-$A100)^MIN(B$6,$B$11))/($A100*MIN(B$6,$B$11)))^2)+IF(OR(C$7="",C$8=0),0,C$8*(C$7-H$16*(1-$A100)*(1-(1-$A100)^MIN(C$6,$B$11))/($A100*MIN(C$6,$B$11)))^2)+IF(OR(D$7="",D$8=0),0,D$8*(D$7-H$16*(1-$A100)*(1-(1-$A100)^MIN(D$6,$B$11))/($A100*MIN(D$6,$B$11)))^2)+IF(OR(E$7="",E$8=0),0,E$8*(E$7-H$16*(1-$A100)*(1-(1-$A100)^MIN(E$6,$B$11))/($A100*MIN(E$6,$B$11)))^2)</f>
        <v/>
      </c>
      <c r="I100" s="27">
        <f>IF(OR(B$7="",B$8=0),0,B$8*(B$7-I$16*(1-$A100)*(1-(1-$A100)^MIN(B$6,$B$11))/($A100*MIN(B$6,$B$11)))^2)+IF(OR(C$7="",C$8=0),0,C$8*(C$7-I$16*(1-$A100)*(1-(1-$A100)^MIN(C$6,$B$11))/($A100*MIN(C$6,$B$11)))^2)+IF(OR(D$7="",D$8=0),0,D$8*(D$7-I$16*(1-$A100)*(1-(1-$A100)^MIN(D$6,$B$11))/($A100*MIN(D$6,$B$11)))^2)+IF(OR(E$7="",E$8=0),0,E$8*(E$7-I$16*(1-$A100)*(1-(1-$A100)^MIN(E$6,$B$11))/($A100*MIN(E$6,$B$11)))^2)</f>
        <v/>
      </c>
      <c r="J100" s="27">
        <f>IF(OR(B$7="",B$8=0),0,B$8*(B$7-J$16*(1-$A100)*(1-(1-$A100)^MIN(B$6,$B$11))/($A100*MIN(B$6,$B$11)))^2)+IF(OR(C$7="",C$8=0),0,C$8*(C$7-J$16*(1-$A100)*(1-(1-$A100)^MIN(C$6,$B$11))/($A100*MIN(C$6,$B$11)))^2)+IF(OR(D$7="",D$8=0),0,D$8*(D$7-J$16*(1-$A100)*(1-(1-$A100)^MIN(D$6,$B$11))/($A100*MIN(D$6,$B$11)))^2)+IF(OR(E$7="",E$8=0),0,E$8*(E$7-J$16*(1-$A100)*(1-(1-$A100)^MIN(E$6,$B$11))/($A100*MIN(E$6,$B$11)))^2)</f>
        <v/>
      </c>
      <c r="K100" s="27">
        <f>IF(OR(B$7="",B$8=0),0,B$8*(B$7-K$16*(1-$A100)*(1-(1-$A100)^MIN(B$6,$B$11))/($A100*MIN(B$6,$B$11)))^2)+IF(OR(C$7="",C$8=0),0,C$8*(C$7-K$16*(1-$A100)*(1-(1-$A100)^MIN(C$6,$B$11))/($A100*MIN(C$6,$B$11)))^2)+IF(OR(D$7="",D$8=0),0,D$8*(D$7-K$16*(1-$A100)*(1-(1-$A100)^MIN(D$6,$B$11))/($A100*MIN(D$6,$B$11)))^2)+IF(OR(E$7="",E$8=0),0,E$8*(E$7-K$16*(1-$A100)*(1-(1-$A100)^MIN(E$6,$B$11))/($A100*MIN(E$6,$B$11)))^2)</f>
        <v/>
      </c>
      <c r="L100" s="27">
        <f>IF(OR(B$7="",B$8=0),0,B$8*(B$7-L$16*(1-$A100)*(1-(1-$A100)^MIN(B$6,$B$11))/($A100*MIN(B$6,$B$11)))^2)+IF(OR(C$7="",C$8=0),0,C$8*(C$7-L$16*(1-$A100)*(1-(1-$A100)^MIN(C$6,$B$11))/($A100*MIN(C$6,$B$11)))^2)+IF(OR(D$7="",D$8=0),0,D$8*(D$7-L$16*(1-$A100)*(1-(1-$A100)^MIN(D$6,$B$11))/($A100*MIN(D$6,$B$11)))^2)+IF(OR(E$7="",E$8=0),0,E$8*(E$7-L$16*(1-$A100)*(1-(1-$A100)^MIN(E$6,$B$11))/($A100*MIN(E$6,$B$11)))^2)</f>
        <v/>
      </c>
      <c r="M100" s="27">
        <f>IF(OR(B$7="",B$8=0),0,B$8*(B$7-M$16*(1-$A100)*(1-(1-$A100)^MIN(B$6,$B$11))/($A100*MIN(B$6,$B$11)))^2)+IF(OR(C$7="",C$8=0),0,C$8*(C$7-M$16*(1-$A100)*(1-(1-$A100)^MIN(C$6,$B$11))/($A100*MIN(C$6,$B$11)))^2)+IF(OR(D$7="",D$8=0),0,D$8*(D$7-M$16*(1-$A100)*(1-(1-$A100)^MIN(D$6,$B$11))/($A100*MIN(D$6,$B$11)))^2)+IF(OR(E$7="",E$8=0),0,E$8*(E$7-M$16*(1-$A100)*(1-(1-$A100)^MIN(E$6,$B$11))/($A100*MIN(E$6,$B$11)))^2)</f>
        <v/>
      </c>
      <c r="N100" s="27">
        <f>IF(OR(B$7="",B$8=0),0,B$8*(B$7-N$16*(1-$A100)*(1-(1-$A100)^MIN(B$6,$B$11))/($A100*MIN(B$6,$B$11)))^2)+IF(OR(C$7="",C$8=0),0,C$8*(C$7-N$16*(1-$A100)*(1-(1-$A100)^MIN(C$6,$B$11))/($A100*MIN(C$6,$B$11)))^2)+IF(OR(D$7="",D$8=0),0,D$8*(D$7-N$16*(1-$A100)*(1-(1-$A100)^MIN(D$6,$B$11))/($A100*MIN(D$6,$B$11)))^2)+IF(OR(E$7="",E$8=0),0,E$8*(E$7-N$16*(1-$A100)*(1-(1-$A100)^MIN(E$6,$B$11))/($A100*MIN(E$6,$B$11)))^2)</f>
        <v/>
      </c>
      <c r="O100" s="27">
        <f>IF(OR(B$7="",B$8=0),0,B$8*(B$7-O$16*(1-$A100)*(1-(1-$A100)^MIN(B$6,$B$11))/($A100*MIN(B$6,$B$11)))^2)+IF(OR(C$7="",C$8=0),0,C$8*(C$7-O$16*(1-$A100)*(1-(1-$A100)^MIN(C$6,$B$11))/($A100*MIN(C$6,$B$11)))^2)+IF(OR(D$7="",D$8=0),0,D$8*(D$7-O$16*(1-$A100)*(1-(1-$A100)^MIN(D$6,$B$11))/($A100*MIN(D$6,$B$11)))^2)+IF(OR(E$7="",E$8=0),0,E$8*(E$7-O$16*(1-$A100)*(1-(1-$A100)^MIN(E$6,$B$11))/($A100*MIN(E$6,$B$11)))^2)</f>
        <v/>
      </c>
      <c r="P100" s="27">
        <f>IF(OR(B$7="",B$8=0),0,B$8*(B$7-P$16*(1-$A100)*(1-(1-$A100)^MIN(B$6,$B$11))/($A100*MIN(B$6,$B$11)))^2)+IF(OR(C$7="",C$8=0),0,C$8*(C$7-P$16*(1-$A100)*(1-(1-$A100)^MIN(C$6,$B$11))/($A100*MIN(C$6,$B$11)))^2)+IF(OR(D$7="",D$8=0),0,D$8*(D$7-P$16*(1-$A100)*(1-(1-$A100)^MIN(D$6,$B$11))/($A100*MIN(D$6,$B$11)))^2)+IF(OR(E$7="",E$8=0),0,E$8*(E$7-P$16*(1-$A100)*(1-(1-$A100)^MIN(E$6,$B$11))/($A100*MIN(E$6,$B$11)))^2)</f>
        <v/>
      </c>
      <c r="Q100" s="27">
        <f>IF(OR(B$7="",B$8=0),0,B$8*(B$7-Q$16*(1-$A100)*(1-(1-$A100)^MIN(B$6,$B$11))/($A100*MIN(B$6,$B$11)))^2)+IF(OR(C$7="",C$8=0),0,C$8*(C$7-Q$16*(1-$A100)*(1-(1-$A100)^MIN(C$6,$B$11))/($A100*MIN(C$6,$B$11)))^2)+IF(OR(D$7="",D$8=0),0,D$8*(D$7-Q$16*(1-$A100)*(1-(1-$A100)^MIN(D$6,$B$11))/($A100*MIN(D$6,$B$11)))^2)+IF(OR(E$7="",E$8=0),0,E$8*(E$7-Q$16*(1-$A100)*(1-(1-$A100)^MIN(E$6,$B$11))/($A100*MIN(E$6,$B$11)))^2)</f>
        <v/>
      </c>
      <c r="R100" s="27">
        <f>IF(OR(B$7="",B$8=0),0,B$8*(B$7-R$16*(1-$A100)*(1-(1-$A100)^MIN(B$6,$B$11))/($A100*MIN(B$6,$B$11)))^2)+IF(OR(C$7="",C$8=0),0,C$8*(C$7-R$16*(1-$A100)*(1-(1-$A100)^MIN(C$6,$B$11))/($A100*MIN(C$6,$B$11)))^2)+IF(OR(D$7="",D$8=0),0,D$8*(D$7-R$16*(1-$A100)*(1-(1-$A100)^MIN(D$6,$B$11))/($A100*MIN(D$6,$B$11)))^2)+IF(OR(E$7="",E$8=0),0,E$8*(E$7-R$16*(1-$A100)*(1-(1-$A100)^MIN(E$6,$B$11))/($A100*MIN(E$6,$B$11)))^2)</f>
        <v/>
      </c>
      <c r="S100" s="27">
        <f>IF(OR(B$7="",B$8=0),0,B$8*(B$7-S$16*(1-$A100)*(1-(1-$A100)^MIN(B$6,$B$11))/($A100*MIN(B$6,$B$11)))^2)+IF(OR(C$7="",C$8=0),0,C$8*(C$7-S$16*(1-$A100)*(1-(1-$A100)^MIN(C$6,$B$11))/($A100*MIN(C$6,$B$11)))^2)+IF(OR(D$7="",D$8=0),0,D$8*(D$7-S$16*(1-$A100)*(1-(1-$A100)^MIN(D$6,$B$11))/($A100*MIN(D$6,$B$11)))^2)+IF(OR(E$7="",E$8=0),0,E$8*(E$7-S$16*(1-$A100)*(1-(1-$A100)^MIN(E$6,$B$11))/($A100*MIN(E$6,$B$11)))^2)</f>
        <v/>
      </c>
      <c r="U100" s="27">
        <f>MIN(B100:S100)</f>
        <v/>
      </c>
      <c r="V100" s="17">
        <f>MATCH(U100,B100:S100,0)</f>
        <v/>
      </c>
    </row>
    <row r="101">
      <c r="A101" s="26" t="n">
        <v>0.047</v>
      </c>
      <c r="B101" s="27">
        <f>IF(OR(B$7="",B$8=0),0,B$8*(B$7-B$16*(1-$A101)*(1-(1-$A101)^MIN(B$6,$B$11))/($A101*MIN(B$6,$B$11)))^2)+IF(OR(C$7="",C$8=0),0,C$8*(C$7-B$16*(1-$A101)*(1-(1-$A101)^MIN(C$6,$B$11))/($A101*MIN(C$6,$B$11)))^2)+IF(OR(D$7="",D$8=0),0,D$8*(D$7-B$16*(1-$A101)*(1-(1-$A101)^MIN(D$6,$B$11))/($A101*MIN(D$6,$B$11)))^2)+IF(OR(E$7="",E$8=0),0,E$8*(E$7-B$16*(1-$A101)*(1-(1-$A101)^MIN(E$6,$B$11))/($A101*MIN(E$6,$B$11)))^2)</f>
        <v/>
      </c>
      <c r="C101" s="27">
        <f>IF(OR(B$7="",B$8=0),0,B$8*(B$7-C$16*(1-$A101)*(1-(1-$A101)^MIN(B$6,$B$11))/($A101*MIN(B$6,$B$11)))^2)+IF(OR(C$7="",C$8=0),0,C$8*(C$7-C$16*(1-$A101)*(1-(1-$A101)^MIN(C$6,$B$11))/($A101*MIN(C$6,$B$11)))^2)+IF(OR(D$7="",D$8=0),0,D$8*(D$7-C$16*(1-$A101)*(1-(1-$A101)^MIN(D$6,$B$11))/($A101*MIN(D$6,$B$11)))^2)+IF(OR(E$7="",E$8=0),0,E$8*(E$7-C$16*(1-$A101)*(1-(1-$A101)^MIN(E$6,$B$11))/($A101*MIN(E$6,$B$11)))^2)</f>
        <v/>
      </c>
      <c r="D101" s="27">
        <f>IF(OR(B$7="",B$8=0),0,B$8*(B$7-D$16*(1-$A101)*(1-(1-$A101)^MIN(B$6,$B$11))/($A101*MIN(B$6,$B$11)))^2)+IF(OR(C$7="",C$8=0),0,C$8*(C$7-D$16*(1-$A101)*(1-(1-$A101)^MIN(C$6,$B$11))/($A101*MIN(C$6,$B$11)))^2)+IF(OR(D$7="",D$8=0),0,D$8*(D$7-D$16*(1-$A101)*(1-(1-$A101)^MIN(D$6,$B$11))/($A101*MIN(D$6,$B$11)))^2)+IF(OR(E$7="",E$8=0),0,E$8*(E$7-D$16*(1-$A101)*(1-(1-$A101)^MIN(E$6,$B$11))/($A101*MIN(E$6,$B$11)))^2)</f>
        <v/>
      </c>
      <c r="E101" s="27">
        <f>IF(OR(B$7="",B$8=0),0,B$8*(B$7-E$16*(1-$A101)*(1-(1-$A101)^MIN(B$6,$B$11))/($A101*MIN(B$6,$B$11)))^2)+IF(OR(C$7="",C$8=0),0,C$8*(C$7-E$16*(1-$A101)*(1-(1-$A101)^MIN(C$6,$B$11))/($A101*MIN(C$6,$B$11)))^2)+IF(OR(D$7="",D$8=0),0,D$8*(D$7-E$16*(1-$A101)*(1-(1-$A101)^MIN(D$6,$B$11))/($A101*MIN(D$6,$B$11)))^2)+IF(OR(E$7="",E$8=0),0,E$8*(E$7-E$16*(1-$A101)*(1-(1-$A101)^MIN(E$6,$B$11))/($A101*MIN(E$6,$B$11)))^2)</f>
        <v/>
      </c>
      <c r="F101" s="27">
        <f>IF(OR(B$7="",B$8=0),0,B$8*(B$7-F$16*(1-$A101)*(1-(1-$A101)^MIN(B$6,$B$11))/($A101*MIN(B$6,$B$11)))^2)+IF(OR(C$7="",C$8=0),0,C$8*(C$7-F$16*(1-$A101)*(1-(1-$A101)^MIN(C$6,$B$11))/($A101*MIN(C$6,$B$11)))^2)+IF(OR(D$7="",D$8=0),0,D$8*(D$7-F$16*(1-$A101)*(1-(1-$A101)^MIN(D$6,$B$11))/($A101*MIN(D$6,$B$11)))^2)+IF(OR(E$7="",E$8=0),0,E$8*(E$7-F$16*(1-$A101)*(1-(1-$A101)^MIN(E$6,$B$11))/($A101*MIN(E$6,$B$11)))^2)</f>
        <v/>
      </c>
      <c r="G101" s="27">
        <f>IF(OR(B$7="",B$8=0),0,B$8*(B$7-G$16*(1-$A101)*(1-(1-$A101)^MIN(B$6,$B$11))/($A101*MIN(B$6,$B$11)))^2)+IF(OR(C$7="",C$8=0),0,C$8*(C$7-G$16*(1-$A101)*(1-(1-$A101)^MIN(C$6,$B$11))/($A101*MIN(C$6,$B$11)))^2)+IF(OR(D$7="",D$8=0),0,D$8*(D$7-G$16*(1-$A101)*(1-(1-$A101)^MIN(D$6,$B$11))/($A101*MIN(D$6,$B$11)))^2)+IF(OR(E$7="",E$8=0),0,E$8*(E$7-G$16*(1-$A101)*(1-(1-$A101)^MIN(E$6,$B$11))/($A101*MIN(E$6,$B$11)))^2)</f>
        <v/>
      </c>
      <c r="H101" s="27">
        <f>IF(OR(B$7="",B$8=0),0,B$8*(B$7-H$16*(1-$A101)*(1-(1-$A101)^MIN(B$6,$B$11))/($A101*MIN(B$6,$B$11)))^2)+IF(OR(C$7="",C$8=0),0,C$8*(C$7-H$16*(1-$A101)*(1-(1-$A101)^MIN(C$6,$B$11))/($A101*MIN(C$6,$B$11)))^2)+IF(OR(D$7="",D$8=0),0,D$8*(D$7-H$16*(1-$A101)*(1-(1-$A101)^MIN(D$6,$B$11))/($A101*MIN(D$6,$B$11)))^2)+IF(OR(E$7="",E$8=0),0,E$8*(E$7-H$16*(1-$A101)*(1-(1-$A101)^MIN(E$6,$B$11))/($A101*MIN(E$6,$B$11)))^2)</f>
        <v/>
      </c>
      <c r="I101" s="27">
        <f>IF(OR(B$7="",B$8=0),0,B$8*(B$7-I$16*(1-$A101)*(1-(1-$A101)^MIN(B$6,$B$11))/($A101*MIN(B$6,$B$11)))^2)+IF(OR(C$7="",C$8=0),0,C$8*(C$7-I$16*(1-$A101)*(1-(1-$A101)^MIN(C$6,$B$11))/($A101*MIN(C$6,$B$11)))^2)+IF(OR(D$7="",D$8=0),0,D$8*(D$7-I$16*(1-$A101)*(1-(1-$A101)^MIN(D$6,$B$11))/($A101*MIN(D$6,$B$11)))^2)+IF(OR(E$7="",E$8=0),0,E$8*(E$7-I$16*(1-$A101)*(1-(1-$A101)^MIN(E$6,$B$11))/($A101*MIN(E$6,$B$11)))^2)</f>
        <v/>
      </c>
      <c r="J101" s="27">
        <f>IF(OR(B$7="",B$8=0),0,B$8*(B$7-J$16*(1-$A101)*(1-(1-$A101)^MIN(B$6,$B$11))/($A101*MIN(B$6,$B$11)))^2)+IF(OR(C$7="",C$8=0),0,C$8*(C$7-J$16*(1-$A101)*(1-(1-$A101)^MIN(C$6,$B$11))/($A101*MIN(C$6,$B$11)))^2)+IF(OR(D$7="",D$8=0),0,D$8*(D$7-J$16*(1-$A101)*(1-(1-$A101)^MIN(D$6,$B$11))/($A101*MIN(D$6,$B$11)))^2)+IF(OR(E$7="",E$8=0),0,E$8*(E$7-J$16*(1-$A101)*(1-(1-$A101)^MIN(E$6,$B$11))/($A101*MIN(E$6,$B$11)))^2)</f>
        <v/>
      </c>
      <c r="K101" s="27">
        <f>IF(OR(B$7="",B$8=0),0,B$8*(B$7-K$16*(1-$A101)*(1-(1-$A101)^MIN(B$6,$B$11))/($A101*MIN(B$6,$B$11)))^2)+IF(OR(C$7="",C$8=0),0,C$8*(C$7-K$16*(1-$A101)*(1-(1-$A101)^MIN(C$6,$B$11))/($A101*MIN(C$6,$B$11)))^2)+IF(OR(D$7="",D$8=0),0,D$8*(D$7-K$16*(1-$A101)*(1-(1-$A101)^MIN(D$6,$B$11))/($A101*MIN(D$6,$B$11)))^2)+IF(OR(E$7="",E$8=0),0,E$8*(E$7-K$16*(1-$A101)*(1-(1-$A101)^MIN(E$6,$B$11))/($A101*MIN(E$6,$B$11)))^2)</f>
        <v/>
      </c>
      <c r="L101" s="27">
        <f>IF(OR(B$7="",B$8=0),0,B$8*(B$7-L$16*(1-$A101)*(1-(1-$A101)^MIN(B$6,$B$11))/($A101*MIN(B$6,$B$11)))^2)+IF(OR(C$7="",C$8=0),0,C$8*(C$7-L$16*(1-$A101)*(1-(1-$A101)^MIN(C$6,$B$11))/($A101*MIN(C$6,$B$11)))^2)+IF(OR(D$7="",D$8=0),0,D$8*(D$7-L$16*(1-$A101)*(1-(1-$A101)^MIN(D$6,$B$11))/($A101*MIN(D$6,$B$11)))^2)+IF(OR(E$7="",E$8=0),0,E$8*(E$7-L$16*(1-$A101)*(1-(1-$A101)^MIN(E$6,$B$11))/($A101*MIN(E$6,$B$11)))^2)</f>
        <v/>
      </c>
      <c r="M101" s="27">
        <f>IF(OR(B$7="",B$8=0),0,B$8*(B$7-M$16*(1-$A101)*(1-(1-$A101)^MIN(B$6,$B$11))/($A101*MIN(B$6,$B$11)))^2)+IF(OR(C$7="",C$8=0),0,C$8*(C$7-M$16*(1-$A101)*(1-(1-$A101)^MIN(C$6,$B$11))/($A101*MIN(C$6,$B$11)))^2)+IF(OR(D$7="",D$8=0),0,D$8*(D$7-M$16*(1-$A101)*(1-(1-$A101)^MIN(D$6,$B$11))/($A101*MIN(D$6,$B$11)))^2)+IF(OR(E$7="",E$8=0),0,E$8*(E$7-M$16*(1-$A101)*(1-(1-$A101)^MIN(E$6,$B$11))/($A101*MIN(E$6,$B$11)))^2)</f>
        <v/>
      </c>
      <c r="N101" s="27">
        <f>IF(OR(B$7="",B$8=0),0,B$8*(B$7-N$16*(1-$A101)*(1-(1-$A101)^MIN(B$6,$B$11))/($A101*MIN(B$6,$B$11)))^2)+IF(OR(C$7="",C$8=0),0,C$8*(C$7-N$16*(1-$A101)*(1-(1-$A101)^MIN(C$6,$B$11))/($A101*MIN(C$6,$B$11)))^2)+IF(OR(D$7="",D$8=0),0,D$8*(D$7-N$16*(1-$A101)*(1-(1-$A101)^MIN(D$6,$B$11))/($A101*MIN(D$6,$B$11)))^2)+IF(OR(E$7="",E$8=0),0,E$8*(E$7-N$16*(1-$A101)*(1-(1-$A101)^MIN(E$6,$B$11))/($A101*MIN(E$6,$B$11)))^2)</f>
        <v/>
      </c>
      <c r="O101" s="27">
        <f>IF(OR(B$7="",B$8=0),0,B$8*(B$7-O$16*(1-$A101)*(1-(1-$A101)^MIN(B$6,$B$11))/($A101*MIN(B$6,$B$11)))^2)+IF(OR(C$7="",C$8=0),0,C$8*(C$7-O$16*(1-$A101)*(1-(1-$A101)^MIN(C$6,$B$11))/($A101*MIN(C$6,$B$11)))^2)+IF(OR(D$7="",D$8=0),0,D$8*(D$7-O$16*(1-$A101)*(1-(1-$A101)^MIN(D$6,$B$11))/($A101*MIN(D$6,$B$11)))^2)+IF(OR(E$7="",E$8=0),0,E$8*(E$7-O$16*(1-$A101)*(1-(1-$A101)^MIN(E$6,$B$11))/($A101*MIN(E$6,$B$11)))^2)</f>
        <v/>
      </c>
      <c r="P101" s="27">
        <f>IF(OR(B$7="",B$8=0),0,B$8*(B$7-P$16*(1-$A101)*(1-(1-$A101)^MIN(B$6,$B$11))/($A101*MIN(B$6,$B$11)))^2)+IF(OR(C$7="",C$8=0),0,C$8*(C$7-P$16*(1-$A101)*(1-(1-$A101)^MIN(C$6,$B$11))/($A101*MIN(C$6,$B$11)))^2)+IF(OR(D$7="",D$8=0),0,D$8*(D$7-P$16*(1-$A101)*(1-(1-$A101)^MIN(D$6,$B$11))/($A101*MIN(D$6,$B$11)))^2)+IF(OR(E$7="",E$8=0),0,E$8*(E$7-P$16*(1-$A101)*(1-(1-$A101)^MIN(E$6,$B$11))/($A101*MIN(E$6,$B$11)))^2)</f>
        <v/>
      </c>
      <c r="Q101" s="27">
        <f>IF(OR(B$7="",B$8=0),0,B$8*(B$7-Q$16*(1-$A101)*(1-(1-$A101)^MIN(B$6,$B$11))/($A101*MIN(B$6,$B$11)))^2)+IF(OR(C$7="",C$8=0),0,C$8*(C$7-Q$16*(1-$A101)*(1-(1-$A101)^MIN(C$6,$B$11))/($A101*MIN(C$6,$B$11)))^2)+IF(OR(D$7="",D$8=0),0,D$8*(D$7-Q$16*(1-$A101)*(1-(1-$A101)^MIN(D$6,$B$11))/($A101*MIN(D$6,$B$11)))^2)+IF(OR(E$7="",E$8=0),0,E$8*(E$7-Q$16*(1-$A101)*(1-(1-$A101)^MIN(E$6,$B$11))/($A101*MIN(E$6,$B$11)))^2)</f>
        <v/>
      </c>
      <c r="R101" s="27">
        <f>IF(OR(B$7="",B$8=0),0,B$8*(B$7-R$16*(1-$A101)*(1-(1-$A101)^MIN(B$6,$B$11))/($A101*MIN(B$6,$B$11)))^2)+IF(OR(C$7="",C$8=0),0,C$8*(C$7-R$16*(1-$A101)*(1-(1-$A101)^MIN(C$6,$B$11))/($A101*MIN(C$6,$B$11)))^2)+IF(OR(D$7="",D$8=0),0,D$8*(D$7-R$16*(1-$A101)*(1-(1-$A101)^MIN(D$6,$B$11))/($A101*MIN(D$6,$B$11)))^2)+IF(OR(E$7="",E$8=0),0,E$8*(E$7-R$16*(1-$A101)*(1-(1-$A101)^MIN(E$6,$B$11))/($A101*MIN(E$6,$B$11)))^2)</f>
        <v/>
      </c>
      <c r="S101" s="27">
        <f>IF(OR(B$7="",B$8=0),0,B$8*(B$7-S$16*(1-$A101)*(1-(1-$A101)^MIN(B$6,$B$11))/($A101*MIN(B$6,$B$11)))^2)+IF(OR(C$7="",C$8=0),0,C$8*(C$7-S$16*(1-$A101)*(1-(1-$A101)^MIN(C$6,$B$11))/($A101*MIN(C$6,$B$11)))^2)+IF(OR(D$7="",D$8=0),0,D$8*(D$7-S$16*(1-$A101)*(1-(1-$A101)^MIN(D$6,$B$11))/($A101*MIN(D$6,$B$11)))^2)+IF(OR(E$7="",E$8=0),0,E$8*(E$7-S$16*(1-$A101)*(1-(1-$A101)^MIN(E$6,$B$11))/($A101*MIN(E$6,$B$11)))^2)</f>
        <v/>
      </c>
      <c r="U101" s="27">
        <f>MIN(B101:S101)</f>
        <v/>
      </c>
      <c r="V101" s="17">
        <f>MATCH(U101,B101:S101,0)</f>
        <v/>
      </c>
    </row>
    <row r="102">
      <c r="A102" s="26" t="n">
        <v>0.0475</v>
      </c>
      <c r="B102" s="27">
        <f>IF(OR(B$7="",B$8=0),0,B$8*(B$7-B$16*(1-$A102)*(1-(1-$A102)^MIN(B$6,$B$11))/($A102*MIN(B$6,$B$11)))^2)+IF(OR(C$7="",C$8=0),0,C$8*(C$7-B$16*(1-$A102)*(1-(1-$A102)^MIN(C$6,$B$11))/($A102*MIN(C$6,$B$11)))^2)+IF(OR(D$7="",D$8=0),0,D$8*(D$7-B$16*(1-$A102)*(1-(1-$A102)^MIN(D$6,$B$11))/($A102*MIN(D$6,$B$11)))^2)+IF(OR(E$7="",E$8=0),0,E$8*(E$7-B$16*(1-$A102)*(1-(1-$A102)^MIN(E$6,$B$11))/($A102*MIN(E$6,$B$11)))^2)</f>
        <v/>
      </c>
      <c r="C102" s="27">
        <f>IF(OR(B$7="",B$8=0),0,B$8*(B$7-C$16*(1-$A102)*(1-(1-$A102)^MIN(B$6,$B$11))/($A102*MIN(B$6,$B$11)))^2)+IF(OR(C$7="",C$8=0),0,C$8*(C$7-C$16*(1-$A102)*(1-(1-$A102)^MIN(C$6,$B$11))/($A102*MIN(C$6,$B$11)))^2)+IF(OR(D$7="",D$8=0),0,D$8*(D$7-C$16*(1-$A102)*(1-(1-$A102)^MIN(D$6,$B$11))/($A102*MIN(D$6,$B$11)))^2)+IF(OR(E$7="",E$8=0),0,E$8*(E$7-C$16*(1-$A102)*(1-(1-$A102)^MIN(E$6,$B$11))/($A102*MIN(E$6,$B$11)))^2)</f>
        <v/>
      </c>
      <c r="D102" s="27">
        <f>IF(OR(B$7="",B$8=0),0,B$8*(B$7-D$16*(1-$A102)*(1-(1-$A102)^MIN(B$6,$B$11))/($A102*MIN(B$6,$B$11)))^2)+IF(OR(C$7="",C$8=0),0,C$8*(C$7-D$16*(1-$A102)*(1-(1-$A102)^MIN(C$6,$B$11))/($A102*MIN(C$6,$B$11)))^2)+IF(OR(D$7="",D$8=0),0,D$8*(D$7-D$16*(1-$A102)*(1-(1-$A102)^MIN(D$6,$B$11))/($A102*MIN(D$6,$B$11)))^2)+IF(OR(E$7="",E$8=0),0,E$8*(E$7-D$16*(1-$A102)*(1-(1-$A102)^MIN(E$6,$B$11))/($A102*MIN(E$6,$B$11)))^2)</f>
        <v/>
      </c>
      <c r="E102" s="27">
        <f>IF(OR(B$7="",B$8=0),0,B$8*(B$7-E$16*(1-$A102)*(1-(1-$A102)^MIN(B$6,$B$11))/($A102*MIN(B$6,$B$11)))^2)+IF(OR(C$7="",C$8=0),0,C$8*(C$7-E$16*(1-$A102)*(1-(1-$A102)^MIN(C$6,$B$11))/($A102*MIN(C$6,$B$11)))^2)+IF(OR(D$7="",D$8=0),0,D$8*(D$7-E$16*(1-$A102)*(1-(1-$A102)^MIN(D$6,$B$11))/($A102*MIN(D$6,$B$11)))^2)+IF(OR(E$7="",E$8=0),0,E$8*(E$7-E$16*(1-$A102)*(1-(1-$A102)^MIN(E$6,$B$11))/($A102*MIN(E$6,$B$11)))^2)</f>
        <v/>
      </c>
      <c r="F102" s="27">
        <f>IF(OR(B$7="",B$8=0),0,B$8*(B$7-F$16*(1-$A102)*(1-(1-$A102)^MIN(B$6,$B$11))/($A102*MIN(B$6,$B$11)))^2)+IF(OR(C$7="",C$8=0),0,C$8*(C$7-F$16*(1-$A102)*(1-(1-$A102)^MIN(C$6,$B$11))/($A102*MIN(C$6,$B$11)))^2)+IF(OR(D$7="",D$8=0),0,D$8*(D$7-F$16*(1-$A102)*(1-(1-$A102)^MIN(D$6,$B$11))/($A102*MIN(D$6,$B$11)))^2)+IF(OR(E$7="",E$8=0),0,E$8*(E$7-F$16*(1-$A102)*(1-(1-$A102)^MIN(E$6,$B$11))/($A102*MIN(E$6,$B$11)))^2)</f>
        <v/>
      </c>
      <c r="G102" s="27">
        <f>IF(OR(B$7="",B$8=0),0,B$8*(B$7-G$16*(1-$A102)*(1-(1-$A102)^MIN(B$6,$B$11))/($A102*MIN(B$6,$B$11)))^2)+IF(OR(C$7="",C$8=0),0,C$8*(C$7-G$16*(1-$A102)*(1-(1-$A102)^MIN(C$6,$B$11))/($A102*MIN(C$6,$B$11)))^2)+IF(OR(D$7="",D$8=0),0,D$8*(D$7-G$16*(1-$A102)*(1-(1-$A102)^MIN(D$6,$B$11))/($A102*MIN(D$6,$B$11)))^2)+IF(OR(E$7="",E$8=0),0,E$8*(E$7-G$16*(1-$A102)*(1-(1-$A102)^MIN(E$6,$B$11))/($A102*MIN(E$6,$B$11)))^2)</f>
        <v/>
      </c>
      <c r="H102" s="27">
        <f>IF(OR(B$7="",B$8=0),0,B$8*(B$7-H$16*(1-$A102)*(1-(1-$A102)^MIN(B$6,$B$11))/($A102*MIN(B$6,$B$11)))^2)+IF(OR(C$7="",C$8=0),0,C$8*(C$7-H$16*(1-$A102)*(1-(1-$A102)^MIN(C$6,$B$11))/($A102*MIN(C$6,$B$11)))^2)+IF(OR(D$7="",D$8=0),0,D$8*(D$7-H$16*(1-$A102)*(1-(1-$A102)^MIN(D$6,$B$11))/($A102*MIN(D$6,$B$11)))^2)+IF(OR(E$7="",E$8=0),0,E$8*(E$7-H$16*(1-$A102)*(1-(1-$A102)^MIN(E$6,$B$11))/($A102*MIN(E$6,$B$11)))^2)</f>
        <v/>
      </c>
      <c r="I102" s="27">
        <f>IF(OR(B$7="",B$8=0),0,B$8*(B$7-I$16*(1-$A102)*(1-(1-$A102)^MIN(B$6,$B$11))/($A102*MIN(B$6,$B$11)))^2)+IF(OR(C$7="",C$8=0),0,C$8*(C$7-I$16*(1-$A102)*(1-(1-$A102)^MIN(C$6,$B$11))/($A102*MIN(C$6,$B$11)))^2)+IF(OR(D$7="",D$8=0),0,D$8*(D$7-I$16*(1-$A102)*(1-(1-$A102)^MIN(D$6,$B$11))/($A102*MIN(D$6,$B$11)))^2)+IF(OR(E$7="",E$8=0),0,E$8*(E$7-I$16*(1-$A102)*(1-(1-$A102)^MIN(E$6,$B$11))/($A102*MIN(E$6,$B$11)))^2)</f>
        <v/>
      </c>
      <c r="J102" s="27">
        <f>IF(OR(B$7="",B$8=0),0,B$8*(B$7-J$16*(1-$A102)*(1-(1-$A102)^MIN(B$6,$B$11))/($A102*MIN(B$6,$B$11)))^2)+IF(OR(C$7="",C$8=0),0,C$8*(C$7-J$16*(1-$A102)*(1-(1-$A102)^MIN(C$6,$B$11))/($A102*MIN(C$6,$B$11)))^2)+IF(OR(D$7="",D$8=0),0,D$8*(D$7-J$16*(1-$A102)*(1-(1-$A102)^MIN(D$6,$B$11))/($A102*MIN(D$6,$B$11)))^2)+IF(OR(E$7="",E$8=0),0,E$8*(E$7-J$16*(1-$A102)*(1-(1-$A102)^MIN(E$6,$B$11))/($A102*MIN(E$6,$B$11)))^2)</f>
        <v/>
      </c>
      <c r="K102" s="27">
        <f>IF(OR(B$7="",B$8=0),0,B$8*(B$7-K$16*(1-$A102)*(1-(1-$A102)^MIN(B$6,$B$11))/($A102*MIN(B$6,$B$11)))^2)+IF(OR(C$7="",C$8=0),0,C$8*(C$7-K$16*(1-$A102)*(1-(1-$A102)^MIN(C$6,$B$11))/($A102*MIN(C$6,$B$11)))^2)+IF(OR(D$7="",D$8=0),0,D$8*(D$7-K$16*(1-$A102)*(1-(1-$A102)^MIN(D$6,$B$11))/($A102*MIN(D$6,$B$11)))^2)+IF(OR(E$7="",E$8=0),0,E$8*(E$7-K$16*(1-$A102)*(1-(1-$A102)^MIN(E$6,$B$11))/($A102*MIN(E$6,$B$11)))^2)</f>
        <v/>
      </c>
      <c r="L102" s="27">
        <f>IF(OR(B$7="",B$8=0),0,B$8*(B$7-L$16*(1-$A102)*(1-(1-$A102)^MIN(B$6,$B$11))/($A102*MIN(B$6,$B$11)))^2)+IF(OR(C$7="",C$8=0),0,C$8*(C$7-L$16*(1-$A102)*(1-(1-$A102)^MIN(C$6,$B$11))/($A102*MIN(C$6,$B$11)))^2)+IF(OR(D$7="",D$8=0),0,D$8*(D$7-L$16*(1-$A102)*(1-(1-$A102)^MIN(D$6,$B$11))/($A102*MIN(D$6,$B$11)))^2)+IF(OR(E$7="",E$8=0),0,E$8*(E$7-L$16*(1-$A102)*(1-(1-$A102)^MIN(E$6,$B$11))/($A102*MIN(E$6,$B$11)))^2)</f>
        <v/>
      </c>
      <c r="M102" s="27">
        <f>IF(OR(B$7="",B$8=0),0,B$8*(B$7-M$16*(1-$A102)*(1-(1-$A102)^MIN(B$6,$B$11))/($A102*MIN(B$6,$B$11)))^2)+IF(OR(C$7="",C$8=0),0,C$8*(C$7-M$16*(1-$A102)*(1-(1-$A102)^MIN(C$6,$B$11))/($A102*MIN(C$6,$B$11)))^2)+IF(OR(D$7="",D$8=0),0,D$8*(D$7-M$16*(1-$A102)*(1-(1-$A102)^MIN(D$6,$B$11))/($A102*MIN(D$6,$B$11)))^2)+IF(OR(E$7="",E$8=0),0,E$8*(E$7-M$16*(1-$A102)*(1-(1-$A102)^MIN(E$6,$B$11))/($A102*MIN(E$6,$B$11)))^2)</f>
        <v/>
      </c>
      <c r="N102" s="27">
        <f>IF(OR(B$7="",B$8=0),0,B$8*(B$7-N$16*(1-$A102)*(1-(1-$A102)^MIN(B$6,$B$11))/($A102*MIN(B$6,$B$11)))^2)+IF(OR(C$7="",C$8=0),0,C$8*(C$7-N$16*(1-$A102)*(1-(1-$A102)^MIN(C$6,$B$11))/($A102*MIN(C$6,$B$11)))^2)+IF(OR(D$7="",D$8=0),0,D$8*(D$7-N$16*(1-$A102)*(1-(1-$A102)^MIN(D$6,$B$11))/($A102*MIN(D$6,$B$11)))^2)+IF(OR(E$7="",E$8=0),0,E$8*(E$7-N$16*(1-$A102)*(1-(1-$A102)^MIN(E$6,$B$11))/($A102*MIN(E$6,$B$11)))^2)</f>
        <v/>
      </c>
      <c r="O102" s="27">
        <f>IF(OR(B$7="",B$8=0),0,B$8*(B$7-O$16*(1-$A102)*(1-(1-$A102)^MIN(B$6,$B$11))/($A102*MIN(B$6,$B$11)))^2)+IF(OR(C$7="",C$8=0),0,C$8*(C$7-O$16*(1-$A102)*(1-(1-$A102)^MIN(C$6,$B$11))/($A102*MIN(C$6,$B$11)))^2)+IF(OR(D$7="",D$8=0),0,D$8*(D$7-O$16*(1-$A102)*(1-(1-$A102)^MIN(D$6,$B$11))/($A102*MIN(D$6,$B$11)))^2)+IF(OR(E$7="",E$8=0),0,E$8*(E$7-O$16*(1-$A102)*(1-(1-$A102)^MIN(E$6,$B$11))/($A102*MIN(E$6,$B$11)))^2)</f>
        <v/>
      </c>
      <c r="P102" s="27">
        <f>IF(OR(B$7="",B$8=0),0,B$8*(B$7-P$16*(1-$A102)*(1-(1-$A102)^MIN(B$6,$B$11))/($A102*MIN(B$6,$B$11)))^2)+IF(OR(C$7="",C$8=0),0,C$8*(C$7-P$16*(1-$A102)*(1-(1-$A102)^MIN(C$6,$B$11))/($A102*MIN(C$6,$B$11)))^2)+IF(OR(D$7="",D$8=0),0,D$8*(D$7-P$16*(1-$A102)*(1-(1-$A102)^MIN(D$6,$B$11))/($A102*MIN(D$6,$B$11)))^2)+IF(OR(E$7="",E$8=0),0,E$8*(E$7-P$16*(1-$A102)*(1-(1-$A102)^MIN(E$6,$B$11))/($A102*MIN(E$6,$B$11)))^2)</f>
        <v/>
      </c>
      <c r="Q102" s="27">
        <f>IF(OR(B$7="",B$8=0),0,B$8*(B$7-Q$16*(1-$A102)*(1-(1-$A102)^MIN(B$6,$B$11))/($A102*MIN(B$6,$B$11)))^2)+IF(OR(C$7="",C$8=0),0,C$8*(C$7-Q$16*(1-$A102)*(1-(1-$A102)^MIN(C$6,$B$11))/($A102*MIN(C$6,$B$11)))^2)+IF(OR(D$7="",D$8=0),0,D$8*(D$7-Q$16*(1-$A102)*(1-(1-$A102)^MIN(D$6,$B$11))/($A102*MIN(D$6,$B$11)))^2)+IF(OR(E$7="",E$8=0),0,E$8*(E$7-Q$16*(1-$A102)*(1-(1-$A102)^MIN(E$6,$B$11))/($A102*MIN(E$6,$B$11)))^2)</f>
        <v/>
      </c>
      <c r="R102" s="27">
        <f>IF(OR(B$7="",B$8=0),0,B$8*(B$7-R$16*(1-$A102)*(1-(1-$A102)^MIN(B$6,$B$11))/($A102*MIN(B$6,$B$11)))^2)+IF(OR(C$7="",C$8=0),0,C$8*(C$7-R$16*(1-$A102)*(1-(1-$A102)^MIN(C$6,$B$11))/($A102*MIN(C$6,$B$11)))^2)+IF(OR(D$7="",D$8=0),0,D$8*(D$7-R$16*(1-$A102)*(1-(1-$A102)^MIN(D$6,$B$11))/($A102*MIN(D$6,$B$11)))^2)+IF(OR(E$7="",E$8=0),0,E$8*(E$7-R$16*(1-$A102)*(1-(1-$A102)^MIN(E$6,$B$11))/($A102*MIN(E$6,$B$11)))^2)</f>
        <v/>
      </c>
      <c r="S102" s="27">
        <f>IF(OR(B$7="",B$8=0),0,B$8*(B$7-S$16*(1-$A102)*(1-(1-$A102)^MIN(B$6,$B$11))/($A102*MIN(B$6,$B$11)))^2)+IF(OR(C$7="",C$8=0),0,C$8*(C$7-S$16*(1-$A102)*(1-(1-$A102)^MIN(C$6,$B$11))/($A102*MIN(C$6,$B$11)))^2)+IF(OR(D$7="",D$8=0),0,D$8*(D$7-S$16*(1-$A102)*(1-(1-$A102)^MIN(D$6,$B$11))/($A102*MIN(D$6,$B$11)))^2)+IF(OR(E$7="",E$8=0),0,E$8*(E$7-S$16*(1-$A102)*(1-(1-$A102)^MIN(E$6,$B$11))/($A102*MIN(E$6,$B$11)))^2)</f>
        <v/>
      </c>
      <c r="U102" s="27">
        <f>MIN(B102:S102)</f>
        <v/>
      </c>
      <c r="V102" s="17">
        <f>MATCH(U102,B102:S102,0)</f>
        <v/>
      </c>
    </row>
    <row r="103">
      <c r="A103" s="26" t="n">
        <v>0.048</v>
      </c>
      <c r="B103" s="27">
        <f>IF(OR(B$7="",B$8=0),0,B$8*(B$7-B$16*(1-$A103)*(1-(1-$A103)^MIN(B$6,$B$11))/($A103*MIN(B$6,$B$11)))^2)+IF(OR(C$7="",C$8=0),0,C$8*(C$7-B$16*(1-$A103)*(1-(1-$A103)^MIN(C$6,$B$11))/($A103*MIN(C$6,$B$11)))^2)+IF(OR(D$7="",D$8=0),0,D$8*(D$7-B$16*(1-$A103)*(1-(1-$A103)^MIN(D$6,$B$11))/($A103*MIN(D$6,$B$11)))^2)+IF(OR(E$7="",E$8=0),0,E$8*(E$7-B$16*(1-$A103)*(1-(1-$A103)^MIN(E$6,$B$11))/($A103*MIN(E$6,$B$11)))^2)</f>
        <v/>
      </c>
      <c r="C103" s="27">
        <f>IF(OR(B$7="",B$8=0),0,B$8*(B$7-C$16*(1-$A103)*(1-(1-$A103)^MIN(B$6,$B$11))/($A103*MIN(B$6,$B$11)))^2)+IF(OR(C$7="",C$8=0),0,C$8*(C$7-C$16*(1-$A103)*(1-(1-$A103)^MIN(C$6,$B$11))/($A103*MIN(C$6,$B$11)))^2)+IF(OR(D$7="",D$8=0),0,D$8*(D$7-C$16*(1-$A103)*(1-(1-$A103)^MIN(D$6,$B$11))/($A103*MIN(D$6,$B$11)))^2)+IF(OR(E$7="",E$8=0),0,E$8*(E$7-C$16*(1-$A103)*(1-(1-$A103)^MIN(E$6,$B$11))/($A103*MIN(E$6,$B$11)))^2)</f>
        <v/>
      </c>
      <c r="D103" s="27">
        <f>IF(OR(B$7="",B$8=0),0,B$8*(B$7-D$16*(1-$A103)*(1-(1-$A103)^MIN(B$6,$B$11))/($A103*MIN(B$6,$B$11)))^2)+IF(OR(C$7="",C$8=0),0,C$8*(C$7-D$16*(1-$A103)*(1-(1-$A103)^MIN(C$6,$B$11))/($A103*MIN(C$6,$B$11)))^2)+IF(OR(D$7="",D$8=0),0,D$8*(D$7-D$16*(1-$A103)*(1-(1-$A103)^MIN(D$6,$B$11))/($A103*MIN(D$6,$B$11)))^2)+IF(OR(E$7="",E$8=0),0,E$8*(E$7-D$16*(1-$A103)*(1-(1-$A103)^MIN(E$6,$B$11))/($A103*MIN(E$6,$B$11)))^2)</f>
        <v/>
      </c>
      <c r="E103" s="27">
        <f>IF(OR(B$7="",B$8=0),0,B$8*(B$7-E$16*(1-$A103)*(1-(1-$A103)^MIN(B$6,$B$11))/($A103*MIN(B$6,$B$11)))^2)+IF(OR(C$7="",C$8=0),0,C$8*(C$7-E$16*(1-$A103)*(1-(1-$A103)^MIN(C$6,$B$11))/($A103*MIN(C$6,$B$11)))^2)+IF(OR(D$7="",D$8=0),0,D$8*(D$7-E$16*(1-$A103)*(1-(1-$A103)^MIN(D$6,$B$11))/($A103*MIN(D$6,$B$11)))^2)+IF(OR(E$7="",E$8=0),0,E$8*(E$7-E$16*(1-$A103)*(1-(1-$A103)^MIN(E$6,$B$11))/($A103*MIN(E$6,$B$11)))^2)</f>
        <v/>
      </c>
      <c r="F103" s="27">
        <f>IF(OR(B$7="",B$8=0),0,B$8*(B$7-F$16*(1-$A103)*(1-(1-$A103)^MIN(B$6,$B$11))/($A103*MIN(B$6,$B$11)))^2)+IF(OR(C$7="",C$8=0),0,C$8*(C$7-F$16*(1-$A103)*(1-(1-$A103)^MIN(C$6,$B$11))/($A103*MIN(C$6,$B$11)))^2)+IF(OR(D$7="",D$8=0),0,D$8*(D$7-F$16*(1-$A103)*(1-(1-$A103)^MIN(D$6,$B$11))/($A103*MIN(D$6,$B$11)))^2)+IF(OR(E$7="",E$8=0),0,E$8*(E$7-F$16*(1-$A103)*(1-(1-$A103)^MIN(E$6,$B$11))/($A103*MIN(E$6,$B$11)))^2)</f>
        <v/>
      </c>
      <c r="G103" s="27">
        <f>IF(OR(B$7="",B$8=0),0,B$8*(B$7-G$16*(1-$A103)*(1-(1-$A103)^MIN(B$6,$B$11))/($A103*MIN(B$6,$B$11)))^2)+IF(OR(C$7="",C$8=0),0,C$8*(C$7-G$16*(1-$A103)*(1-(1-$A103)^MIN(C$6,$B$11))/($A103*MIN(C$6,$B$11)))^2)+IF(OR(D$7="",D$8=0),0,D$8*(D$7-G$16*(1-$A103)*(1-(1-$A103)^MIN(D$6,$B$11))/($A103*MIN(D$6,$B$11)))^2)+IF(OR(E$7="",E$8=0),0,E$8*(E$7-G$16*(1-$A103)*(1-(1-$A103)^MIN(E$6,$B$11))/($A103*MIN(E$6,$B$11)))^2)</f>
        <v/>
      </c>
      <c r="H103" s="27">
        <f>IF(OR(B$7="",B$8=0),0,B$8*(B$7-H$16*(1-$A103)*(1-(1-$A103)^MIN(B$6,$B$11))/($A103*MIN(B$6,$B$11)))^2)+IF(OR(C$7="",C$8=0),0,C$8*(C$7-H$16*(1-$A103)*(1-(1-$A103)^MIN(C$6,$B$11))/($A103*MIN(C$6,$B$11)))^2)+IF(OR(D$7="",D$8=0),0,D$8*(D$7-H$16*(1-$A103)*(1-(1-$A103)^MIN(D$6,$B$11))/($A103*MIN(D$6,$B$11)))^2)+IF(OR(E$7="",E$8=0),0,E$8*(E$7-H$16*(1-$A103)*(1-(1-$A103)^MIN(E$6,$B$11))/($A103*MIN(E$6,$B$11)))^2)</f>
        <v/>
      </c>
      <c r="I103" s="27">
        <f>IF(OR(B$7="",B$8=0),0,B$8*(B$7-I$16*(1-$A103)*(1-(1-$A103)^MIN(B$6,$B$11))/($A103*MIN(B$6,$B$11)))^2)+IF(OR(C$7="",C$8=0),0,C$8*(C$7-I$16*(1-$A103)*(1-(1-$A103)^MIN(C$6,$B$11))/($A103*MIN(C$6,$B$11)))^2)+IF(OR(D$7="",D$8=0),0,D$8*(D$7-I$16*(1-$A103)*(1-(1-$A103)^MIN(D$6,$B$11))/($A103*MIN(D$6,$B$11)))^2)+IF(OR(E$7="",E$8=0),0,E$8*(E$7-I$16*(1-$A103)*(1-(1-$A103)^MIN(E$6,$B$11))/($A103*MIN(E$6,$B$11)))^2)</f>
        <v/>
      </c>
      <c r="J103" s="27">
        <f>IF(OR(B$7="",B$8=0),0,B$8*(B$7-J$16*(1-$A103)*(1-(1-$A103)^MIN(B$6,$B$11))/($A103*MIN(B$6,$B$11)))^2)+IF(OR(C$7="",C$8=0),0,C$8*(C$7-J$16*(1-$A103)*(1-(1-$A103)^MIN(C$6,$B$11))/($A103*MIN(C$6,$B$11)))^2)+IF(OR(D$7="",D$8=0),0,D$8*(D$7-J$16*(1-$A103)*(1-(1-$A103)^MIN(D$6,$B$11))/($A103*MIN(D$6,$B$11)))^2)+IF(OR(E$7="",E$8=0),0,E$8*(E$7-J$16*(1-$A103)*(1-(1-$A103)^MIN(E$6,$B$11))/($A103*MIN(E$6,$B$11)))^2)</f>
        <v/>
      </c>
      <c r="K103" s="27">
        <f>IF(OR(B$7="",B$8=0),0,B$8*(B$7-K$16*(1-$A103)*(1-(1-$A103)^MIN(B$6,$B$11))/($A103*MIN(B$6,$B$11)))^2)+IF(OR(C$7="",C$8=0),0,C$8*(C$7-K$16*(1-$A103)*(1-(1-$A103)^MIN(C$6,$B$11))/($A103*MIN(C$6,$B$11)))^2)+IF(OR(D$7="",D$8=0),0,D$8*(D$7-K$16*(1-$A103)*(1-(1-$A103)^MIN(D$6,$B$11))/($A103*MIN(D$6,$B$11)))^2)+IF(OR(E$7="",E$8=0),0,E$8*(E$7-K$16*(1-$A103)*(1-(1-$A103)^MIN(E$6,$B$11))/($A103*MIN(E$6,$B$11)))^2)</f>
        <v/>
      </c>
      <c r="L103" s="27">
        <f>IF(OR(B$7="",B$8=0),0,B$8*(B$7-L$16*(1-$A103)*(1-(1-$A103)^MIN(B$6,$B$11))/($A103*MIN(B$6,$B$11)))^2)+IF(OR(C$7="",C$8=0),0,C$8*(C$7-L$16*(1-$A103)*(1-(1-$A103)^MIN(C$6,$B$11))/($A103*MIN(C$6,$B$11)))^2)+IF(OR(D$7="",D$8=0),0,D$8*(D$7-L$16*(1-$A103)*(1-(1-$A103)^MIN(D$6,$B$11))/($A103*MIN(D$6,$B$11)))^2)+IF(OR(E$7="",E$8=0),0,E$8*(E$7-L$16*(1-$A103)*(1-(1-$A103)^MIN(E$6,$B$11))/($A103*MIN(E$6,$B$11)))^2)</f>
        <v/>
      </c>
      <c r="M103" s="27">
        <f>IF(OR(B$7="",B$8=0),0,B$8*(B$7-M$16*(1-$A103)*(1-(1-$A103)^MIN(B$6,$B$11))/($A103*MIN(B$6,$B$11)))^2)+IF(OR(C$7="",C$8=0),0,C$8*(C$7-M$16*(1-$A103)*(1-(1-$A103)^MIN(C$6,$B$11))/($A103*MIN(C$6,$B$11)))^2)+IF(OR(D$7="",D$8=0),0,D$8*(D$7-M$16*(1-$A103)*(1-(1-$A103)^MIN(D$6,$B$11))/($A103*MIN(D$6,$B$11)))^2)+IF(OR(E$7="",E$8=0),0,E$8*(E$7-M$16*(1-$A103)*(1-(1-$A103)^MIN(E$6,$B$11))/($A103*MIN(E$6,$B$11)))^2)</f>
        <v/>
      </c>
      <c r="N103" s="27">
        <f>IF(OR(B$7="",B$8=0),0,B$8*(B$7-N$16*(1-$A103)*(1-(1-$A103)^MIN(B$6,$B$11))/($A103*MIN(B$6,$B$11)))^2)+IF(OR(C$7="",C$8=0),0,C$8*(C$7-N$16*(1-$A103)*(1-(1-$A103)^MIN(C$6,$B$11))/($A103*MIN(C$6,$B$11)))^2)+IF(OR(D$7="",D$8=0),0,D$8*(D$7-N$16*(1-$A103)*(1-(1-$A103)^MIN(D$6,$B$11))/($A103*MIN(D$6,$B$11)))^2)+IF(OR(E$7="",E$8=0),0,E$8*(E$7-N$16*(1-$A103)*(1-(1-$A103)^MIN(E$6,$B$11))/($A103*MIN(E$6,$B$11)))^2)</f>
        <v/>
      </c>
      <c r="O103" s="27">
        <f>IF(OR(B$7="",B$8=0),0,B$8*(B$7-O$16*(1-$A103)*(1-(1-$A103)^MIN(B$6,$B$11))/($A103*MIN(B$6,$B$11)))^2)+IF(OR(C$7="",C$8=0),0,C$8*(C$7-O$16*(1-$A103)*(1-(1-$A103)^MIN(C$6,$B$11))/($A103*MIN(C$6,$B$11)))^2)+IF(OR(D$7="",D$8=0),0,D$8*(D$7-O$16*(1-$A103)*(1-(1-$A103)^MIN(D$6,$B$11))/($A103*MIN(D$6,$B$11)))^2)+IF(OR(E$7="",E$8=0),0,E$8*(E$7-O$16*(1-$A103)*(1-(1-$A103)^MIN(E$6,$B$11))/($A103*MIN(E$6,$B$11)))^2)</f>
        <v/>
      </c>
      <c r="P103" s="27">
        <f>IF(OR(B$7="",B$8=0),0,B$8*(B$7-P$16*(1-$A103)*(1-(1-$A103)^MIN(B$6,$B$11))/($A103*MIN(B$6,$B$11)))^2)+IF(OR(C$7="",C$8=0),0,C$8*(C$7-P$16*(1-$A103)*(1-(1-$A103)^MIN(C$6,$B$11))/($A103*MIN(C$6,$B$11)))^2)+IF(OR(D$7="",D$8=0),0,D$8*(D$7-P$16*(1-$A103)*(1-(1-$A103)^MIN(D$6,$B$11))/($A103*MIN(D$6,$B$11)))^2)+IF(OR(E$7="",E$8=0),0,E$8*(E$7-P$16*(1-$A103)*(1-(1-$A103)^MIN(E$6,$B$11))/($A103*MIN(E$6,$B$11)))^2)</f>
        <v/>
      </c>
      <c r="Q103" s="27">
        <f>IF(OR(B$7="",B$8=0),0,B$8*(B$7-Q$16*(1-$A103)*(1-(1-$A103)^MIN(B$6,$B$11))/($A103*MIN(B$6,$B$11)))^2)+IF(OR(C$7="",C$8=0),0,C$8*(C$7-Q$16*(1-$A103)*(1-(1-$A103)^MIN(C$6,$B$11))/($A103*MIN(C$6,$B$11)))^2)+IF(OR(D$7="",D$8=0),0,D$8*(D$7-Q$16*(1-$A103)*(1-(1-$A103)^MIN(D$6,$B$11))/($A103*MIN(D$6,$B$11)))^2)+IF(OR(E$7="",E$8=0),0,E$8*(E$7-Q$16*(1-$A103)*(1-(1-$A103)^MIN(E$6,$B$11))/($A103*MIN(E$6,$B$11)))^2)</f>
        <v/>
      </c>
      <c r="R103" s="27">
        <f>IF(OR(B$7="",B$8=0),0,B$8*(B$7-R$16*(1-$A103)*(1-(1-$A103)^MIN(B$6,$B$11))/($A103*MIN(B$6,$B$11)))^2)+IF(OR(C$7="",C$8=0),0,C$8*(C$7-R$16*(1-$A103)*(1-(1-$A103)^MIN(C$6,$B$11))/($A103*MIN(C$6,$B$11)))^2)+IF(OR(D$7="",D$8=0),0,D$8*(D$7-R$16*(1-$A103)*(1-(1-$A103)^MIN(D$6,$B$11))/($A103*MIN(D$6,$B$11)))^2)+IF(OR(E$7="",E$8=0),0,E$8*(E$7-R$16*(1-$A103)*(1-(1-$A103)^MIN(E$6,$B$11))/($A103*MIN(E$6,$B$11)))^2)</f>
        <v/>
      </c>
      <c r="S103" s="27">
        <f>IF(OR(B$7="",B$8=0),0,B$8*(B$7-S$16*(1-$A103)*(1-(1-$A103)^MIN(B$6,$B$11))/($A103*MIN(B$6,$B$11)))^2)+IF(OR(C$7="",C$8=0),0,C$8*(C$7-S$16*(1-$A103)*(1-(1-$A103)^MIN(C$6,$B$11))/($A103*MIN(C$6,$B$11)))^2)+IF(OR(D$7="",D$8=0),0,D$8*(D$7-S$16*(1-$A103)*(1-(1-$A103)^MIN(D$6,$B$11))/($A103*MIN(D$6,$B$11)))^2)+IF(OR(E$7="",E$8=0),0,E$8*(E$7-S$16*(1-$A103)*(1-(1-$A103)^MIN(E$6,$B$11))/($A103*MIN(E$6,$B$11)))^2)</f>
        <v/>
      </c>
      <c r="U103" s="27">
        <f>MIN(B103:S103)</f>
        <v/>
      </c>
      <c r="V103" s="17">
        <f>MATCH(U103,B103:S103,0)</f>
        <v/>
      </c>
    </row>
    <row r="104">
      <c r="A104" s="26" t="n">
        <v>0.0485</v>
      </c>
      <c r="B104" s="27">
        <f>IF(OR(B$7="",B$8=0),0,B$8*(B$7-B$16*(1-$A104)*(1-(1-$A104)^MIN(B$6,$B$11))/($A104*MIN(B$6,$B$11)))^2)+IF(OR(C$7="",C$8=0),0,C$8*(C$7-B$16*(1-$A104)*(1-(1-$A104)^MIN(C$6,$B$11))/($A104*MIN(C$6,$B$11)))^2)+IF(OR(D$7="",D$8=0),0,D$8*(D$7-B$16*(1-$A104)*(1-(1-$A104)^MIN(D$6,$B$11))/($A104*MIN(D$6,$B$11)))^2)+IF(OR(E$7="",E$8=0),0,E$8*(E$7-B$16*(1-$A104)*(1-(1-$A104)^MIN(E$6,$B$11))/($A104*MIN(E$6,$B$11)))^2)</f>
        <v/>
      </c>
      <c r="C104" s="27">
        <f>IF(OR(B$7="",B$8=0),0,B$8*(B$7-C$16*(1-$A104)*(1-(1-$A104)^MIN(B$6,$B$11))/($A104*MIN(B$6,$B$11)))^2)+IF(OR(C$7="",C$8=0),0,C$8*(C$7-C$16*(1-$A104)*(1-(1-$A104)^MIN(C$6,$B$11))/($A104*MIN(C$6,$B$11)))^2)+IF(OR(D$7="",D$8=0),0,D$8*(D$7-C$16*(1-$A104)*(1-(1-$A104)^MIN(D$6,$B$11))/($A104*MIN(D$6,$B$11)))^2)+IF(OR(E$7="",E$8=0),0,E$8*(E$7-C$16*(1-$A104)*(1-(1-$A104)^MIN(E$6,$B$11))/($A104*MIN(E$6,$B$11)))^2)</f>
        <v/>
      </c>
      <c r="D104" s="27">
        <f>IF(OR(B$7="",B$8=0),0,B$8*(B$7-D$16*(1-$A104)*(1-(1-$A104)^MIN(B$6,$B$11))/($A104*MIN(B$6,$B$11)))^2)+IF(OR(C$7="",C$8=0),0,C$8*(C$7-D$16*(1-$A104)*(1-(1-$A104)^MIN(C$6,$B$11))/($A104*MIN(C$6,$B$11)))^2)+IF(OR(D$7="",D$8=0),0,D$8*(D$7-D$16*(1-$A104)*(1-(1-$A104)^MIN(D$6,$B$11))/($A104*MIN(D$6,$B$11)))^2)+IF(OR(E$7="",E$8=0),0,E$8*(E$7-D$16*(1-$A104)*(1-(1-$A104)^MIN(E$6,$B$11))/($A104*MIN(E$6,$B$11)))^2)</f>
        <v/>
      </c>
      <c r="E104" s="27">
        <f>IF(OR(B$7="",B$8=0),0,B$8*(B$7-E$16*(1-$A104)*(1-(1-$A104)^MIN(B$6,$B$11))/($A104*MIN(B$6,$B$11)))^2)+IF(OR(C$7="",C$8=0),0,C$8*(C$7-E$16*(1-$A104)*(1-(1-$A104)^MIN(C$6,$B$11))/($A104*MIN(C$6,$B$11)))^2)+IF(OR(D$7="",D$8=0),0,D$8*(D$7-E$16*(1-$A104)*(1-(1-$A104)^MIN(D$6,$B$11))/($A104*MIN(D$6,$B$11)))^2)+IF(OR(E$7="",E$8=0),0,E$8*(E$7-E$16*(1-$A104)*(1-(1-$A104)^MIN(E$6,$B$11))/($A104*MIN(E$6,$B$11)))^2)</f>
        <v/>
      </c>
      <c r="F104" s="27">
        <f>IF(OR(B$7="",B$8=0),0,B$8*(B$7-F$16*(1-$A104)*(1-(1-$A104)^MIN(B$6,$B$11))/($A104*MIN(B$6,$B$11)))^2)+IF(OR(C$7="",C$8=0),0,C$8*(C$7-F$16*(1-$A104)*(1-(1-$A104)^MIN(C$6,$B$11))/($A104*MIN(C$6,$B$11)))^2)+IF(OR(D$7="",D$8=0),0,D$8*(D$7-F$16*(1-$A104)*(1-(1-$A104)^MIN(D$6,$B$11))/($A104*MIN(D$6,$B$11)))^2)+IF(OR(E$7="",E$8=0),0,E$8*(E$7-F$16*(1-$A104)*(1-(1-$A104)^MIN(E$6,$B$11))/($A104*MIN(E$6,$B$11)))^2)</f>
        <v/>
      </c>
      <c r="G104" s="27">
        <f>IF(OR(B$7="",B$8=0),0,B$8*(B$7-G$16*(1-$A104)*(1-(1-$A104)^MIN(B$6,$B$11))/($A104*MIN(B$6,$B$11)))^2)+IF(OR(C$7="",C$8=0),0,C$8*(C$7-G$16*(1-$A104)*(1-(1-$A104)^MIN(C$6,$B$11))/($A104*MIN(C$6,$B$11)))^2)+IF(OR(D$7="",D$8=0),0,D$8*(D$7-G$16*(1-$A104)*(1-(1-$A104)^MIN(D$6,$B$11))/($A104*MIN(D$6,$B$11)))^2)+IF(OR(E$7="",E$8=0),0,E$8*(E$7-G$16*(1-$A104)*(1-(1-$A104)^MIN(E$6,$B$11))/($A104*MIN(E$6,$B$11)))^2)</f>
        <v/>
      </c>
      <c r="H104" s="27">
        <f>IF(OR(B$7="",B$8=0),0,B$8*(B$7-H$16*(1-$A104)*(1-(1-$A104)^MIN(B$6,$B$11))/($A104*MIN(B$6,$B$11)))^2)+IF(OR(C$7="",C$8=0),0,C$8*(C$7-H$16*(1-$A104)*(1-(1-$A104)^MIN(C$6,$B$11))/($A104*MIN(C$6,$B$11)))^2)+IF(OR(D$7="",D$8=0),0,D$8*(D$7-H$16*(1-$A104)*(1-(1-$A104)^MIN(D$6,$B$11))/($A104*MIN(D$6,$B$11)))^2)+IF(OR(E$7="",E$8=0),0,E$8*(E$7-H$16*(1-$A104)*(1-(1-$A104)^MIN(E$6,$B$11))/($A104*MIN(E$6,$B$11)))^2)</f>
        <v/>
      </c>
      <c r="I104" s="27">
        <f>IF(OR(B$7="",B$8=0),0,B$8*(B$7-I$16*(1-$A104)*(1-(1-$A104)^MIN(B$6,$B$11))/($A104*MIN(B$6,$B$11)))^2)+IF(OR(C$7="",C$8=0),0,C$8*(C$7-I$16*(1-$A104)*(1-(1-$A104)^MIN(C$6,$B$11))/($A104*MIN(C$6,$B$11)))^2)+IF(OR(D$7="",D$8=0),0,D$8*(D$7-I$16*(1-$A104)*(1-(1-$A104)^MIN(D$6,$B$11))/($A104*MIN(D$6,$B$11)))^2)+IF(OR(E$7="",E$8=0),0,E$8*(E$7-I$16*(1-$A104)*(1-(1-$A104)^MIN(E$6,$B$11))/($A104*MIN(E$6,$B$11)))^2)</f>
        <v/>
      </c>
      <c r="J104" s="27">
        <f>IF(OR(B$7="",B$8=0),0,B$8*(B$7-J$16*(1-$A104)*(1-(1-$A104)^MIN(B$6,$B$11))/($A104*MIN(B$6,$B$11)))^2)+IF(OR(C$7="",C$8=0),0,C$8*(C$7-J$16*(1-$A104)*(1-(1-$A104)^MIN(C$6,$B$11))/($A104*MIN(C$6,$B$11)))^2)+IF(OR(D$7="",D$8=0),0,D$8*(D$7-J$16*(1-$A104)*(1-(1-$A104)^MIN(D$6,$B$11))/($A104*MIN(D$6,$B$11)))^2)+IF(OR(E$7="",E$8=0),0,E$8*(E$7-J$16*(1-$A104)*(1-(1-$A104)^MIN(E$6,$B$11))/($A104*MIN(E$6,$B$11)))^2)</f>
        <v/>
      </c>
      <c r="K104" s="27">
        <f>IF(OR(B$7="",B$8=0),0,B$8*(B$7-K$16*(1-$A104)*(1-(1-$A104)^MIN(B$6,$B$11))/($A104*MIN(B$6,$B$11)))^2)+IF(OR(C$7="",C$8=0),0,C$8*(C$7-K$16*(1-$A104)*(1-(1-$A104)^MIN(C$6,$B$11))/($A104*MIN(C$6,$B$11)))^2)+IF(OR(D$7="",D$8=0),0,D$8*(D$7-K$16*(1-$A104)*(1-(1-$A104)^MIN(D$6,$B$11))/($A104*MIN(D$6,$B$11)))^2)+IF(OR(E$7="",E$8=0),0,E$8*(E$7-K$16*(1-$A104)*(1-(1-$A104)^MIN(E$6,$B$11))/($A104*MIN(E$6,$B$11)))^2)</f>
        <v/>
      </c>
      <c r="L104" s="27">
        <f>IF(OR(B$7="",B$8=0),0,B$8*(B$7-L$16*(1-$A104)*(1-(1-$A104)^MIN(B$6,$B$11))/($A104*MIN(B$6,$B$11)))^2)+IF(OR(C$7="",C$8=0),0,C$8*(C$7-L$16*(1-$A104)*(1-(1-$A104)^MIN(C$6,$B$11))/($A104*MIN(C$6,$B$11)))^2)+IF(OR(D$7="",D$8=0),0,D$8*(D$7-L$16*(1-$A104)*(1-(1-$A104)^MIN(D$6,$B$11))/($A104*MIN(D$6,$B$11)))^2)+IF(OR(E$7="",E$8=0),0,E$8*(E$7-L$16*(1-$A104)*(1-(1-$A104)^MIN(E$6,$B$11))/($A104*MIN(E$6,$B$11)))^2)</f>
        <v/>
      </c>
      <c r="M104" s="27">
        <f>IF(OR(B$7="",B$8=0),0,B$8*(B$7-M$16*(1-$A104)*(1-(1-$A104)^MIN(B$6,$B$11))/($A104*MIN(B$6,$B$11)))^2)+IF(OR(C$7="",C$8=0),0,C$8*(C$7-M$16*(1-$A104)*(1-(1-$A104)^MIN(C$6,$B$11))/($A104*MIN(C$6,$B$11)))^2)+IF(OR(D$7="",D$8=0),0,D$8*(D$7-M$16*(1-$A104)*(1-(1-$A104)^MIN(D$6,$B$11))/($A104*MIN(D$6,$B$11)))^2)+IF(OR(E$7="",E$8=0),0,E$8*(E$7-M$16*(1-$A104)*(1-(1-$A104)^MIN(E$6,$B$11))/($A104*MIN(E$6,$B$11)))^2)</f>
        <v/>
      </c>
      <c r="N104" s="27">
        <f>IF(OR(B$7="",B$8=0),0,B$8*(B$7-N$16*(1-$A104)*(1-(1-$A104)^MIN(B$6,$B$11))/($A104*MIN(B$6,$B$11)))^2)+IF(OR(C$7="",C$8=0),0,C$8*(C$7-N$16*(1-$A104)*(1-(1-$A104)^MIN(C$6,$B$11))/($A104*MIN(C$6,$B$11)))^2)+IF(OR(D$7="",D$8=0),0,D$8*(D$7-N$16*(1-$A104)*(1-(1-$A104)^MIN(D$6,$B$11))/($A104*MIN(D$6,$B$11)))^2)+IF(OR(E$7="",E$8=0),0,E$8*(E$7-N$16*(1-$A104)*(1-(1-$A104)^MIN(E$6,$B$11))/($A104*MIN(E$6,$B$11)))^2)</f>
        <v/>
      </c>
      <c r="O104" s="27">
        <f>IF(OR(B$7="",B$8=0),0,B$8*(B$7-O$16*(1-$A104)*(1-(1-$A104)^MIN(B$6,$B$11))/($A104*MIN(B$6,$B$11)))^2)+IF(OR(C$7="",C$8=0),0,C$8*(C$7-O$16*(1-$A104)*(1-(1-$A104)^MIN(C$6,$B$11))/($A104*MIN(C$6,$B$11)))^2)+IF(OR(D$7="",D$8=0),0,D$8*(D$7-O$16*(1-$A104)*(1-(1-$A104)^MIN(D$6,$B$11))/($A104*MIN(D$6,$B$11)))^2)+IF(OR(E$7="",E$8=0),0,E$8*(E$7-O$16*(1-$A104)*(1-(1-$A104)^MIN(E$6,$B$11))/($A104*MIN(E$6,$B$11)))^2)</f>
        <v/>
      </c>
      <c r="P104" s="27">
        <f>IF(OR(B$7="",B$8=0),0,B$8*(B$7-P$16*(1-$A104)*(1-(1-$A104)^MIN(B$6,$B$11))/($A104*MIN(B$6,$B$11)))^2)+IF(OR(C$7="",C$8=0),0,C$8*(C$7-P$16*(1-$A104)*(1-(1-$A104)^MIN(C$6,$B$11))/($A104*MIN(C$6,$B$11)))^2)+IF(OR(D$7="",D$8=0),0,D$8*(D$7-P$16*(1-$A104)*(1-(1-$A104)^MIN(D$6,$B$11))/($A104*MIN(D$6,$B$11)))^2)+IF(OR(E$7="",E$8=0),0,E$8*(E$7-P$16*(1-$A104)*(1-(1-$A104)^MIN(E$6,$B$11))/($A104*MIN(E$6,$B$11)))^2)</f>
        <v/>
      </c>
      <c r="Q104" s="27">
        <f>IF(OR(B$7="",B$8=0),0,B$8*(B$7-Q$16*(1-$A104)*(1-(1-$A104)^MIN(B$6,$B$11))/($A104*MIN(B$6,$B$11)))^2)+IF(OR(C$7="",C$8=0),0,C$8*(C$7-Q$16*(1-$A104)*(1-(1-$A104)^MIN(C$6,$B$11))/($A104*MIN(C$6,$B$11)))^2)+IF(OR(D$7="",D$8=0),0,D$8*(D$7-Q$16*(1-$A104)*(1-(1-$A104)^MIN(D$6,$B$11))/($A104*MIN(D$6,$B$11)))^2)+IF(OR(E$7="",E$8=0),0,E$8*(E$7-Q$16*(1-$A104)*(1-(1-$A104)^MIN(E$6,$B$11))/($A104*MIN(E$6,$B$11)))^2)</f>
        <v/>
      </c>
      <c r="R104" s="27">
        <f>IF(OR(B$7="",B$8=0),0,B$8*(B$7-R$16*(1-$A104)*(1-(1-$A104)^MIN(B$6,$B$11))/($A104*MIN(B$6,$B$11)))^2)+IF(OR(C$7="",C$8=0),0,C$8*(C$7-R$16*(1-$A104)*(1-(1-$A104)^MIN(C$6,$B$11))/($A104*MIN(C$6,$B$11)))^2)+IF(OR(D$7="",D$8=0),0,D$8*(D$7-R$16*(1-$A104)*(1-(1-$A104)^MIN(D$6,$B$11))/($A104*MIN(D$6,$B$11)))^2)+IF(OR(E$7="",E$8=0),0,E$8*(E$7-R$16*(1-$A104)*(1-(1-$A104)^MIN(E$6,$B$11))/($A104*MIN(E$6,$B$11)))^2)</f>
        <v/>
      </c>
      <c r="S104" s="27">
        <f>IF(OR(B$7="",B$8=0),0,B$8*(B$7-S$16*(1-$A104)*(1-(1-$A104)^MIN(B$6,$B$11))/($A104*MIN(B$6,$B$11)))^2)+IF(OR(C$7="",C$8=0),0,C$8*(C$7-S$16*(1-$A104)*(1-(1-$A104)^MIN(C$6,$B$11))/($A104*MIN(C$6,$B$11)))^2)+IF(OR(D$7="",D$8=0),0,D$8*(D$7-S$16*(1-$A104)*(1-(1-$A104)^MIN(D$6,$B$11))/($A104*MIN(D$6,$B$11)))^2)+IF(OR(E$7="",E$8=0),0,E$8*(E$7-S$16*(1-$A104)*(1-(1-$A104)^MIN(E$6,$B$11))/($A104*MIN(E$6,$B$11)))^2)</f>
        <v/>
      </c>
      <c r="U104" s="27">
        <f>MIN(B104:S104)</f>
        <v/>
      </c>
      <c r="V104" s="17">
        <f>MATCH(U104,B104:S104,0)</f>
        <v/>
      </c>
    </row>
    <row r="105">
      <c r="A105" s="26" t="n">
        <v>0.049</v>
      </c>
      <c r="B105" s="27">
        <f>IF(OR(B$7="",B$8=0),0,B$8*(B$7-B$16*(1-$A105)*(1-(1-$A105)^MIN(B$6,$B$11))/($A105*MIN(B$6,$B$11)))^2)+IF(OR(C$7="",C$8=0),0,C$8*(C$7-B$16*(1-$A105)*(1-(1-$A105)^MIN(C$6,$B$11))/($A105*MIN(C$6,$B$11)))^2)+IF(OR(D$7="",D$8=0),0,D$8*(D$7-B$16*(1-$A105)*(1-(1-$A105)^MIN(D$6,$B$11))/($A105*MIN(D$6,$B$11)))^2)+IF(OR(E$7="",E$8=0),0,E$8*(E$7-B$16*(1-$A105)*(1-(1-$A105)^MIN(E$6,$B$11))/($A105*MIN(E$6,$B$11)))^2)</f>
        <v/>
      </c>
      <c r="C105" s="27">
        <f>IF(OR(B$7="",B$8=0),0,B$8*(B$7-C$16*(1-$A105)*(1-(1-$A105)^MIN(B$6,$B$11))/($A105*MIN(B$6,$B$11)))^2)+IF(OR(C$7="",C$8=0),0,C$8*(C$7-C$16*(1-$A105)*(1-(1-$A105)^MIN(C$6,$B$11))/($A105*MIN(C$6,$B$11)))^2)+IF(OR(D$7="",D$8=0),0,D$8*(D$7-C$16*(1-$A105)*(1-(1-$A105)^MIN(D$6,$B$11))/($A105*MIN(D$6,$B$11)))^2)+IF(OR(E$7="",E$8=0),0,E$8*(E$7-C$16*(1-$A105)*(1-(1-$A105)^MIN(E$6,$B$11))/($A105*MIN(E$6,$B$11)))^2)</f>
        <v/>
      </c>
      <c r="D105" s="27">
        <f>IF(OR(B$7="",B$8=0),0,B$8*(B$7-D$16*(1-$A105)*(1-(1-$A105)^MIN(B$6,$B$11))/($A105*MIN(B$6,$B$11)))^2)+IF(OR(C$7="",C$8=0),0,C$8*(C$7-D$16*(1-$A105)*(1-(1-$A105)^MIN(C$6,$B$11))/($A105*MIN(C$6,$B$11)))^2)+IF(OR(D$7="",D$8=0),0,D$8*(D$7-D$16*(1-$A105)*(1-(1-$A105)^MIN(D$6,$B$11))/($A105*MIN(D$6,$B$11)))^2)+IF(OR(E$7="",E$8=0),0,E$8*(E$7-D$16*(1-$A105)*(1-(1-$A105)^MIN(E$6,$B$11))/($A105*MIN(E$6,$B$11)))^2)</f>
        <v/>
      </c>
      <c r="E105" s="27">
        <f>IF(OR(B$7="",B$8=0),0,B$8*(B$7-E$16*(1-$A105)*(1-(1-$A105)^MIN(B$6,$B$11))/($A105*MIN(B$6,$B$11)))^2)+IF(OR(C$7="",C$8=0),0,C$8*(C$7-E$16*(1-$A105)*(1-(1-$A105)^MIN(C$6,$B$11))/($A105*MIN(C$6,$B$11)))^2)+IF(OR(D$7="",D$8=0),0,D$8*(D$7-E$16*(1-$A105)*(1-(1-$A105)^MIN(D$6,$B$11))/($A105*MIN(D$6,$B$11)))^2)+IF(OR(E$7="",E$8=0),0,E$8*(E$7-E$16*(1-$A105)*(1-(1-$A105)^MIN(E$6,$B$11))/($A105*MIN(E$6,$B$11)))^2)</f>
        <v/>
      </c>
      <c r="F105" s="27">
        <f>IF(OR(B$7="",B$8=0),0,B$8*(B$7-F$16*(1-$A105)*(1-(1-$A105)^MIN(B$6,$B$11))/($A105*MIN(B$6,$B$11)))^2)+IF(OR(C$7="",C$8=0),0,C$8*(C$7-F$16*(1-$A105)*(1-(1-$A105)^MIN(C$6,$B$11))/($A105*MIN(C$6,$B$11)))^2)+IF(OR(D$7="",D$8=0),0,D$8*(D$7-F$16*(1-$A105)*(1-(1-$A105)^MIN(D$6,$B$11))/($A105*MIN(D$6,$B$11)))^2)+IF(OR(E$7="",E$8=0),0,E$8*(E$7-F$16*(1-$A105)*(1-(1-$A105)^MIN(E$6,$B$11))/($A105*MIN(E$6,$B$11)))^2)</f>
        <v/>
      </c>
      <c r="G105" s="27">
        <f>IF(OR(B$7="",B$8=0),0,B$8*(B$7-G$16*(1-$A105)*(1-(1-$A105)^MIN(B$6,$B$11))/($A105*MIN(B$6,$B$11)))^2)+IF(OR(C$7="",C$8=0),0,C$8*(C$7-G$16*(1-$A105)*(1-(1-$A105)^MIN(C$6,$B$11))/($A105*MIN(C$6,$B$11)))^2)+IF(OR(D$7="",D$8=0),0,D$8*(D$7-G$16*(1-$A105)*(1-(1-$A105)^MIN(D$6,$B$11))/($A105*MIN(D$6,$B$11)))^2)+IF(OR(E$7="",E$8=0),0,E$8*(E$7-G$16*(1-$A105)*(1-(1-$A105)^MIN(E$6,$B$11))/($A105*MIN(E$6,$B$11)))^2)</f>
        <v/>
      </c>
      <c r="H105" s="27">
        <f>IF(OR(B$7="",B$8=0),0,B$8*(B$7-H$16*(1-$A105)*(1-(1-$A105)^MIN(B$6,$B$11))/($A105*MIN(B$6,$B$11)))^2)+IF(OR(C$7="",C$8=0),0,C$8*(C$7-H$16*(1-$A105)*(1-(1-$A105)^MIN(C$6,$B$11))/($A105*MIN(C$6,$B$11)))^2)+IF(OR(D$7="",D$8=0),0,D$8*(D$7-H$16*(1-$A105)*(1-(1-$A105)^MIN(D$6,$B$11))/($A105*MIN(D$6,$B$11)))^2)+IF(OR(E$7="",E$8=0),0,E$8*(E$7-H$16*(1-$A105)*(1-(1-$A105)^MIN(E$6,$B$11))/($A105*MIN(E$6,$B$11)))^2)</f>
        <v/>
      </c>
      <c r="I105" s="27">
        <f>IF(OR(B$7="",B$8=0),0,B$8*(B$7-I$16*(1-$A105)*(1-(1-$A105)^MIN(B$6,$B$11))/($A105*MIN(B$6,$B$11)))^2)+IF(OR(C$7="",C$8=0),0,C$8*(C$7-I$16*(1-$A105)*(1-(1-$A105)^MIN(C$6,$B$11))/($A105*MIN(C$6,$B$11)))^2)+IF(OR(D$7="",D$8=0),0,D$8*(D$7-I$16*(1-$A105)*(1-(1-$A105)^MIN(D$6,$B$11))/($A105*MIN(D$6,$B$11)))^2)+IF(OR(E$7="",E$8=0),0,E$8*(E$7-I$16*(1-$A105)*(1-(1-$A105)^MIN(E$6,$B$11))/($A105*MIN(E$6,$B$11)))^2)</f>
        <v/>
      </c>
      <c r="J105" s="27">
        <f>IF(OR(B$7="",B$8=0),0,B$8*(B$7-J$16*(1-$A105)*(1-(1-$A105)^MIN(B$6,$B$11))/($A105*MIN(B$6,$B$11)))^2)+IF(OR(C$7="",C$8=0),0,C$8*(C$7-J$16*(1-$A105)*(1-(1-$A105)^MIN(C$6,$B$11))/($A105*MIN(C$6,$B$11)))^2)+IF(OR(D$7="",D$8=0),0,D$8*(D$7-J$16*(1-$A105)*(1-(1-$A105)^MIN(D$6,$B$11))/($A105*MIN(D$6,$B$11)))^2)+IF(OR(E$7="",E$8=0),0,E$8*(E$7-J$16*(1-$A105)*(1-(1-$A105)^MIN(E$6,$B$11))/($A105*MIN(E$6,$B$11)))^2)</f>
        <v/>
      </c>
      <c r="K105" s="27">
        <f>IF(OR(B$7="",B$8=0),0,B$8*(B$7-K$16*(1-$A105)*(1-(1-$A105)^MIN(B$6,$B$11))/($A105*MIN(B$6,$B$11)))^2)+IF(OR(C$7="",C$8=0),0,C$8*(C$7-K$16*(1-$A105)*(1-(1-$A105)^MIN(C$6,$B$11))/($A105*MIN(C$6,$B$11)))^2)+IF(OR(D$7="",D$8=0),0,D$8*(D$7-K$16*(1-$A105)*(1-(1-$A105)^MIN(D$6,$B$11))/($A105*MIN(D$6,$B$11)))^2)+IF(OR(E$7="",E$8=0),0,E$8*(E$7-K$16*(1-$A105)*(1-(1-$A105)^MIN(E$6,$B$11))/($A105*MIN(E$6,$B$11)))^2)</f>
        <v/>
      </c>
      <c r="L105" s="27">
        <f>IF(OR(B$7="",B$8=0),0,B$8*(B$7-L$16*(1-$A105)*(1-(1-$A105)^MIN(B$6,$B$11))/($A105*MIN(B$6,$B$11)))^2)+IF(OR(C$7="",C$8=0),0,C$8*(C$7-L$16*(1-$A105)*(1-(1-$A105)^MIN(C$6,$B$11))/($A105*MIN(C$6,$B$11)))^2)+IF(OR(D$7="",D$8=0),0,D$8*(D$7-L$16*(1-$A105)*(1-(1-$A105)^MIN(D$6,$B$11))/($A105*MIN(D$6,$B$11)))^2)+IF(OR(E$7="",E$8=0),0,E$8*(E$7-L$16*(1-$A105)*(1-(1-$A105)^MIN(E$6,$B$11))/($A105*MIN(E$6,$B$11)))^2)</f>
        <v/>
      </c>
      <c r="M105" s="27">
        <f>IF(OR(B$7="",B$8=0),0,B$8*(B$7-M$16*(1-$A105)*(1-(1-$A105)^MIN(B$6,$B$11))/($A105*MIN(B$6,$B$11)))^2)+IF(OR(C$7="",C$8=0),0,C$8*(C$7-M$16*(1-$A105)*(1-(1-$A105)^MIN(C$6,$B$11))/($A105*MIN(C$6,$B$11)))^2)+IF(OR(D$7="",D$8=0),0,D$8*(D$7-M$16*(1-$A105)*(1-(1-$A105)^MIN(D$6,$B$11))/($A105*MIN(D$6,$B$11)))^2)+IF(OR(E$7="",E$8=0),0,E$8*(E$7-M$16*(1-$A105)*(1-(1-$A105)^MIN(E$6,$B$11))/($A105*MIN(E$6,$B$11)))^2)</f>
        <v/>
      </c>
      <c r="N105" s="27">
        <f>IF(OR(B$7="",B$8=0),0,B$8*(B$7-N$16*(1-$A105)*(1-(1-$A105)^MIN(B$6,$B$11))/($A105*MIN(B$6,$B$11)))^2)+IF(OR(C$7="",C$8=0),0,C$8*(C$7-N$16*(1-$A105)*(1-(1-$A105)^MIN(C$6,$B$11))/($A105*MIN(C$6,$B$11)))^2)+IF(OR(D$7="",D$8=0),0,D$8*(D$7-N$16*(1-$A105)*(1-(1-$A105)^MIN(D$6,$B$11))/($A105*MIN(D$6,$B$11)))^2)+IF(OR(E$7="",E$8=0),0,E$8*(E$7-N$16*(1-$A105)*(1-(1-$A105)^MIN(E$6,$B$11))/($A105*MIN(E$6,$B$11)))^2)</f>
        <v/>
      </c>
      <c r="O105" s="27">
        <f>IF(OR(B$7="",B$8=0),0,B$8*(B$7-O$16*(1-$A105)*(1-(1-$A105)^MIN(B$6,$B$11))/($A105*MIN(B$6,$B$11)))^2)+IF(OR(C$7="",C$8=0),0,C$8*(C$7-O$16*(1-$A105)*(1-(1-$A105)^MIN(C$6,$B$11))/($A105*MIN(C$6,$B$11)))^2)+IF(OR(D$7="",D$8=0),0,D$8*(D$7-O$16*(1-$A105)*(1-(1-$A105)^MIN(D$6,$B$11))/($A105*MIN(D$6,$B$11)))^2)+IF(OR(E$7="",E$8=0),0,E$8*(E$7-O$16*(1-$A105)*(1-(1-$A105)^MIN(E$6,$B$11))/($A105*MIN(E$6,$B$11)))^2)</f>
        <v/>
      </c>
      <c r="P105" s="27">
        <f>IF(OR(B$7="",B$8=0),0,B$8*(B$7-P$16*(1-$A105)*(1-(1-$A105)^MIN(B$6,$B$11))/($A105*MIN(B$6,$B$11)))^2)+IF(OR(C$7="",C$8=0),0,C$8*(C$7-P$16*(1-$A105)*(1-(1-$A105)^MIN(C$6,$B$11))/($A105*MIN(C$6,$B$11)))^2)+IF(OR(D$7="",D$8=0),0,D$8*(D$7-P$16*(1-$A105)*(1-(1-$A105)^MIN(D$6,$B$11))/($A105*MIN(D$6,$B$11)))^2)+IF(OR(E$7="",E$8=0),0,E$8*(E$7-P$16*(1-$A105)*(1-(1-$A105)^MIN(E$6,$B$11))/($A105*MIN(E$6,$B$11)))^2)</f>
        <v/>
      </c>
      <c r="Q105" s="27">
        <f>IF(OR(B$7="",B$8=0),0,B$8*(B$7-Q$16*(1-$A105)*(1-(1-$A105)^MIN(B$6,$B$11))/($A105*MIN(B$6,$B$11)))^2)+IF(OR(C$7="",C$8=0),0,C$8*(C$7-Q$16*(1-$A105)*(1-(1-$A105)^MIN(C$6,$B$11))/($A105*MIN(C$6,$B$11)))^2)+IF(OR(D$7="",D$8=0),0,D$8*(D$7-Q$16*(1-$A105)*(1-(1-$A105)^MIN(D$6,$B$11))/($A105*MIN(D$6,$B$11)))^2)+IF(OR(E$7="",E$8=0),0,E$8*(E$7-Q$16*(1-$A105)*(1-(1-$A105)^MIN(E$6,$B$11))/($A105*MIN(E$6,$B$11)))^2)</f>
        <v/>
      </c>
      <c r="R105" s="27">
        <f>IF(OR(B$7="",B$8=0),0,B$8*(B$7-R$16*(1-$A105)*(1-(1-$A105)^MIN(B$6,$B$11))/($A105*MIN(B$6,$B$11)))^2)+IF(OR(C$7="",C$8=0),0,C$8*(C$7-R$16*(1-$A105)*(1-(1-$A105)^MIN(C$6,$B$11))/($A105*MIN(C$6,$B$11)))^2)+IF(OR(D$7="",D$8=0),0,D$8*(D$7-R$16*(1-$A105)*(1-(1-$A105)^MIN(D$6,$B$11))/($A105*MIN(D$6,$B$11)))^2)+IF(OR(E$7="",E$8=0),0,E$8*(E$7-R$16*(1-$A105)*(1-(1-$A105)^MIN(E$6,$B$11))/($A105*MIN(E$6,$B$11)))^2)</f>
        <v/>
      </c>
      <c r="S105" s="27">
        <f>IF(OR(B$7="",B$8=0),0,B$8*(B$7-S$16*(1-$A105)*(1-(1-$A105)^MIN(B$6,$B$11))/($A105*MIN(B$6,$B$11)))^2)+IF(OR(C$7="",C$8=0),0,C$8*(C$7-S$16*(1-$A105)*(1-(1-$A105)^MIN(C$6,$B$11))/($A105*MIN(C$6,$B$11)))^2)+IF(OR(D$7="",D$8=0),0,D$8*(D$7-S$16*(1-$A105)*(1-(1-$A105)^MIN(D$6,$B$11))/($A105*MIN(D$6,$B$11)))^2)+IF(OR(E$7="",E$8=0),0,E$8*(E$7-S$16*(1-$A105)*(1-(1-$A105)^MIN(E$6,$B$11))/($A105*MIN(E$6,$B$11)))^2)</f>
        <v/>
      </c>
      <c r="U105" s="27">
        <f>MIN(B105:S105)</f>
        <v/>
      </c>
      <c r="V105" s="17">
        <f>MATCH(U105,B105:S105,0)</f>
        <v/>
      </c>
    </row>
    <row r="106">
      <c r="A106" s="26" t="n">
        <v>0.0495</v>
      </c>
      <c r="B106" s="27">
        <f>IF(OR(B$7="",B$8=0),0,B$8*(B$7-B$16*(1-$A106)*(1-(1-$A106)^MIN(B$6,$B$11))/($A106*MIN(B$6,$B$11)))^2)+IF(OR(C$7="",C$8=0),0,C$8*(C$7-B$16*(1-$A106)*(1-(1-$A106)^MIN(C$6,$B$11))/($A106*MIN(C$6,$B$11)))^2)+IF(OR(D$7="",D$8=0),0,D$8*(D$7-B$16*(1-$A106)*(1-(1-$A106)^MIN(D$6,$B$11))/($A106*MIN(D$6,$B$11)))^2)+IF(OR(E$7="",E$8=0),0,E$8*(E$7-B$16*(1-$A106)*(1-(1-$A106)^MIN(E$6,$B$11))/($A106*MIN(E$6,$B$11)))^2)</f>
        <v/>
      </c>
      <c r="C106" s="27">
        <f>IF(OR(B$7="",B$8=0),0,B$8*(B$7-C$16*(1-$A106)*(1-(1-$A106)^MIN(B$6,$B$11))/($A106*MIN(B$6,$B$11)))^2)+IF(OR(C$7="",C$8=0),0,C$8*(C$7-C$16*(1-$A106)*(1-(1-$A106)^MIN(C$6,$B$11))/($A106*MIN(C$6,$B$11)))^2)+IF(OR(D$7="",D$8=0),0,D$8*(D$7-C$16*(1-$A106)*(1-(1-$A106)^MIN(D$6,$B$11))/($A106*MIN(D$6,$B$11)))^2)+IF(OR(E$7="",E$8=0),0,E$8*(E$7-C$16*(1-$A106)*(1-(1-$A106)^MIN(E$6,$B$11))/($A106*MIN(E$6,$B$11)))^2)</f>
        <v/>
      </c>
      <c r="D106" s="27">
        <f>IF(OR(B$7="",B$8=0),0,B$8*(B$7-D$16*(1-$A106)*(1-(1-$A106)^MIN(B$6,$B$11))/($A106*MIN(B$6,$B$11)))^2)+IF(OR(C$7="",C$8=0),0,C$8*(C$7-D$16*(1-$A106)*(1-(1-$A106)^MIN(C$6,$B$11))/($A106*MIN(C$6,$B$11)))^2)+IF(OR(D$7="",D$8=0),0,D$8*(D$7-D$16*(1-$A106)*(1-(1-$A106)^MIN(D$6,$B$11))/($A106*MIN(D$6,$B$11)))^2)+IF(OR(E$7="",E$8=0),0,E$8*(E$7-D$16*(1-$A106)*(1-(1-$A106)^MIN(E$6,$B$11))/($A106*MIN(E$6,$B$11)))^2)</f>
        <v/>
      </c>
      <c r="E106" s="27">
        <f>IF(OR(B$7="",B$8=0),0,B$8*(B$7-E$16*(1-$A106)*(1-(1-$A106)^MIN(B$6,$B$11))/($A106*MIN(B$6,$B$11)))^2)+IF(OR(C$7="",C$8=0),0,C$8*(C$7-E$16*(1-$A106)*(1-(1-$A106)^MIN(C$6,$B$11))/($A106*MIN(C$6,$B$11)))^2)+IF(OR(D$7="",D$8=0),0,D$8*(D$7-E$16*(1-$A106)*(1-(1-$A106)^MIN(D$6,$B$11))/($A106*MIN(D$6,$B$11)))^2)+IF(OR(E$7="",E$8=0),0,E$8*(E$7-E$16*(1-$A106)*(1-(1-$A106)^MIN(E$6,$B$11))/($A106*MIN(E$6,$B$11)))^2)</f>
        <v/>
      </c>
      <c r="F106" s="27">
        <f>IF(OR(B$7="",B$8=0),0,B$8*(B$7-F$16*(1-$A106)*(1-(1-$A106)^MIN(B$6,$B$11))/($A106*MIN(B$6,$B$11)))^2)+IF(OR(C$7="",C$8=0),0,C$8*(C$7-F$16*(1-$A106)*(1-(1-$A106)^MIN(C$6,$B$11))/($A106*MIN(C$6,$B$11)))^2)+IF(OR(D$7="",D$8=0),0,D$8*(D$7-F$16*(1-$A106)*(1-(1-$A106)^MIN(D$6,$B$11))/($A106*MIN(D$6,$B$11)))^2)+IF(OR(E$7="",E$8=0),0,E$8*(E$7-F$16*(1-$A106)*(1-(1-$A106)^MIN(E$6,$B$11))/($A106*MIN(E$6,$B$11)))^2)</f>
        <v/>
      </c>
      <c r="G106" s="27">
        <f>IF(OR(B$7="",B$8=0),0,B$8*(B$7-G$16*(1-$A106)*(1-(1-$A106)^MIN(B$6,$B$11))/($A106*MIN(B$6,$B$11)))^2)+IF(OR(C$7="",C$8=0),0,C$8*(C$7-G$16*(1-$A106)*(1-(1-$A106)^MIN(C$6,$B$11))/($A106*MIN(C$6,$B$11)))^2)+IF(OR(D$7="",D$8=0),0,D$8*(D$7-G$16*(1-$A106)*(1-(1-$A106)^MIN(D$6,$B$11))/($A106*MIN(D$6,$B$11)))^2)+IF(OR(E$7="",E$8=0),0,E$8*(E$7-G$16*(1-$A106)*(1-(1-$A106)^MIN(E$6,$B$11))/($A106*MIN(E$6,$B$11)))^2)</f>
        <v/>
      </c>
      <c r="H106" s="27">
        <f>IF(OR(B$7="",B$8=0),0,B$8*(B$7-H$16*(1-$A106)*(1-(1-$A106)^MIN(B$6,$B$11))/($A106*MIN(B$6,$B$11)))^2)+IF(OR(C$7="",C$8=0),0,C$8*(C$7-H$16*(1-$A106)*(1-(1-$A106)^MIN(C$6,$B$11))/($A106*MIN(C$6,$B$11)))^2)+IF(OR(D$7="",D$8=0),0,D$8*(D$7-H$16*(1-$A106)*(1-(1-$A106)^MIN(D$6,$B$11))/($A106*MIN(D$6,$B$11)))^2)+IF(OR(E$7="",E$8=0),0,E$8*(E$7-H$16*(1-$A106)*(1-(1-$A106)^MIN(E$6,$B$11))/($A106*MIN(E$6,$B$11)))^2)</f>
        <v/>
      </c>
      <c r="I106" s="27">
        <f>IF(OR(B$7="",B$8=0),0,B$8*(B$7-I$16*(1-$A106)*(1-(1-$A106)^MIN(B$6,$B$11))/($A106*MIN(B$6,$B$11)))^2)+IF(OR(C$7="",C$8=0),0,C$8*(C$7-I$16*(1-$A106)*(1-(1-$A106)^MIN(C$6,$B$11))/($A106*MIN(C$6,$B$11)))^2)+IF(OR(D$7="",D$8=0),0,D$8*(D$7-I$16*(1-$A106)*(1-(1-$A106)^MIN(D$6,$B$11))/($A106*MIN(D$6,$B$11)))^2)+IF(OR(E$7="",E$8=0),0,E$8*(E$7-I$16*(1-$A106)*(1-(1-$A106)^MIN(E$6,$B$11))/($A106*MIN(E$6,$B$11)))^2)</f>
        <v/>
      </c>
      <c r="J106" s="27">
        <f>IF(OR(B$7="",B$8=0),0,B$8*(B$7-J$16*(1-$A106)*(1-(1-$A106)^MIN(B$6,$B$11))/($A106*MIN(B$6,$B$11)))^2)+IF(OR(C$7="",C$8=0),0,C$8*(C$7-J$16*(1-$A106)*(1-(1-$A106)^MIN(C$6,$B$11))/($A106*MIN(C$6,$B$11)))^2)+IF(OR(D$7="",D$8=0),0,D$8*(D$7-J$16*(1-$A106)*(1-(1-$A106)^MIN(D$6,$B$11))/($A106*MIN(D$6,$B$11)))^2)+IF(OR(E$7="",E$8=0),0,E$8*(E$7-J$16*(1-$A106)*(1-(1-$A106)^MIN(E$6,$B$11))/($A106*MIN(E$6,$B$11)))^2)</f>
        <v/>
      </c>
      <c r="K106" s="27">
        <f>IF(OR(B$7="",B$8=0),0,B$8*(B$7-K$16*(1-$A106)*(1-(1-$A106)^MIN(B$6,$B$11))/($A106*MIN(B$6,$B$11)))^2)+IF(OR(C$7="",C$8=0),0,C$8*(C$7-K$16*(1-$A106)*(1-(1-$A106)^MIN(C$6,$B$11))/($A106*MIN(C$6,$B$11)))^2)+IF(OR(D$7="",D$8=0),0,D$8*(D$7-K$16*(1-$A106)*(1-(1-$A106)^MIN(D$6,$B$11))/($A106*MIN(D$6,$B$11)))^2)+IF(OR(E$7="",E$8=0),0,E$8*(E$7-K$16*(1-$A106)*(1-(1-$A106)^MIN(E$6,$B$11))/($A106*MIN(E$6,$B$11)))^2)</f>
        <v/>
      </c>
      <c r="L106" s="27">
        <f>IF(OR(B$7="",B$8=0),0,B$8*(B$7-L$16*(1-$A106)*(1-(1-$A106)^MIN(B$6,$B$11))/($A106*MIN(B$6,$B$11)))^2)+IF(OR(C$7="",C$8=0),0,C$8*(C$7-L$16*(1-$A106)*(1-(1-$A106)^MIN(C$6,$B$11))/($A106*MIN(C$6,$B$11)))^2)+IF(OR(D$7="",D$8=0),0,D$8*(D$7-L$16*(1-$A106)*(1-(1-$A106)^MIN(D$6,$B$11))/($A106*MIN(D$6,$B$11)))^2)+IF(OR(E$7="",E$8=0),0,E$8*(E$7-L$16*(1-$A106)*(1-(1-$A106)^MIN(E$6,$B$11))/($A106*MIN(E$6,$B$11)))^2)</f>
        <v/>
      </c>
      <c r="M106" s="27">
        <f>IF(OR(B$7="",B$8=0),0,B$8*(B$7-M$16*(1-$A106)*(1-(1-$A106)^MIN(B$6,$B$11))/($A106*MIN(B$6,$B$11)))^2)+IF(OR(C$7="",C$8=0),0,C$8*(C$7-M$16*(1-$A106)*(1-(1-$A106)^MIN(C$6,$B$11))/($A106*MIN(C$6,$B$11)))^2)+IF(OR(D$7="",D$8=0),0,D$8*(D$7-M$16*(1-$A106)*(1-(1-$A106)^MIN(D$6,$B$11))/($A106*MIN(D$6,$B$11)))^2)+IF(OR(E$7="",E$8=0),0,E$8*(E$7-M$16*(1-$A106)*(1-(1-$A106)^MIN(E$6,$B$11))/($A106*MIN(E$6,$B$11)))^2)</f>
        <v/>
      </c>
      <c r="N106" s="27">
        <f>IF(OR(B$7="",B$8=0),0,B$8*(B$7-N$16*(1-$A106)*(1-(1-$A106)^MIN(B$6,$B$11))/($A106*MIN(B$6,$B$11)))^2)+IF(OR(C$7="",C$8=0),0,C$8*(C$7-N$16*(1-$A106)*(1-(1-$A106)^MIN(C$6,$B$11))/($A106*MIN(C$6,$B$11)))^2)+IF(OR(D$7="",D$8=0),0,D$8*(D$7-N$16*(1-$A106)*(1-(1-$A106)^MIN(D$6,$B$11))/($A106*MIN(D$6,$B$11)))^2)+IF(OR(E$7="",E$8=0),0,E$8*(E$7-N$16*(1-$A106)*(1-(1-$A106)^MIN(E$6,$B$11))/($A106*MIN(E$6,$B$11)))^2)</f>
        <v/>
      </c>
      <c r="O106" s="27">
        <f>IF(OR(B$7="",B$8=0),0,B$8*(B$7-O$16*(1-$A106)*(1-(1-$A106)^MIN(B$6,$B$11))/($A106*MIN(B$6,$B$11)))^2)+IF(OR(C$7="",C$8=0),0,C$8*(C$7-O$16*(1-$A106)*(1-(1-$A106)^MIN(C$6,$B$11))/($A106*MIN(C$6,$B$11)))^2)+IF(OR(D$7="",D$8=0),0,D$8*(D$7-O$16*(1-$A106)*(1-(1-$A106)^MIN(D$6,$B$11))/($A106*MIN(D$6,$B$11)))^2)+IF(OR(E$7="",E$8=0),0,E$8*(E$7-O$16*(1-$A106)*(1-(1-$A106)^MIN(E$6,$B$11))/($A106*MIN(E$6,$B$11)))^2)</f>
        <v/>
      </c>
      <c r="P106" s="27">
        <f>IF(OR(B$7="",B$8=0),0,B$8*(B$7-P$16*(1-$A106)*(1-(1-$A106)^MIN(B$6,$B$11))/($A106*MIN(B$6,$B$11)))^2)+IF(OR(C$7="",C$8=0),0,C$8*(C$7-P$16*(1-$A106)*(1-(1-$A106)^MIN(C$6,$B$11))/($A106*MIN(C$6,$B$11)))^2)+IF(OR(D$7="",D$8=0),0,D$8*(D$7-P$16*(1-$A106)*(1-(1-$A106)^MIN(D$6,$B$11))/($A106*MIN(D$6,$B$11)))^2)+IF(OR(E$7="",E$8=0),0,E$8*(E$7-P$16*(1-$A106)*(1-(1-$A106)^MIN(E$6,$B$11))/($A106*MIN(E$6,$B$11)))^2)</f>
        <v/>
      </c>
      <c r="Q106" s="27">
        <f>IF(OR(B$7="",B$8=0),0,B$8*(B$7-Q$16*(1-$A106)*(1-(1-$A106)^MIN(B$6,$B$11))/($A106*MIN(B$6,$B$11)))^2)+IF(OR(C$7="",C$8=0),0,C$8*(C$7-Q$16*(1-$A106)*(1-(1-$A106)^MIN(C$6,$B$11))/($A106*MIN(C$6,$B$11)))^2)+IF(OR(D$7="",D$8=0),0,D$8*(D$7-Q$16*(1-$A106)*(1-(1-$A106)^MIN(D$6,$B$11))/($A106*MIN(D$6,$B$11)))^2)+IF(OR(E$7="",E$8=0),0,E$8*(E$7-Q$16*(1-$A106)*(1-(1-$A106)^MIN(E$6,$B$11))/($A106*MIN(E$6,$B$11)))^2)</f>
        <v/>
      </c>
      <c r="R106" s="27">
        <f>IF(OR(B$7="",B$8=0),0,B$8*(B$7-R$16*(1-$A106)*(1-(1-$A106)^MIN(B$6,$B$11))/($A106*MIN(B$6,$B$11)))^2)+IF(OR(C$7="",C$8=0),0,C$8*(C$7-R$16*(1-$A106)*(1-(1-$A106)^MIN(C$6,$B$11))/($A106*MIN(C$6,$B$11)))^2)+IF(OR(D$7="",D$8=0),0,D$8*(D$7-R$16*(1-$A106)*(1-(1-$A106)^MIN(D$6,$B$11))/($A106*MIN(D$6,$B$11)))^2)+IF(OR(E$7="",E$8=0),0,E$8*(E$7-R$16*(1-$A106)*(1-(1-$A106)^MIN(E$6,$B$11))/($A106*MIN(E$6,$B$11)))^2)</f>
        <v/>
      </c>
      <c r="S106" s="27">
        <f>IF(OR(B$7="",B$8=0),0,B$8*(B$7-S$16*(1-$A106)*(1-(1-$A106)^MIN(B$6,$B$11))/($A106*MIN(B$6,$B$11)))^2)+IF(OR(C$7="",C$8=0),0,C$8*(C$7-S$16*(1-$A106)*(1-(1-$A106)^MIN(C$6,$B$11))/($A106*MIN(C$6,$B$11)))^2)+IF(OR(D$7="",D$8=0),0,D$8*(D$7-S$16*(1-$A106)*(1-(1-$A106)^MIN(D$6,$B$11))/($A106*MIN(D$6,$B$11)))^2)+IF(OR(E$7="",E$8=0),0,E$8*(E$7-S$16*(1-$A106)*(1-(1-$A106)^MIN(E$6,$B$11))/($A106*MIN(E$6,$B$11)))^2)</f>
        <v/>
      </c>
      <c r="U106" s="27">
        <f>MIN(B106:S106)</f>
        <v/>
      </c>
      <c r="V106" s="17">
        <f>MATCH(U106,B106:S106,0)</f>
        <v/>
      </c>
    </row>
    <row r="107">
      <c r="A107" s="26" t="n">
        <v>0.05</v>
      </c>
      <c r="B107" s="27">
        <f>IF(OR(B$7="",B$8=0),0,B$8*(B$7-B$16*(1-$A107)*(1-(1-$A107)^MIN(B$6,$B$11))/($A107*MIN(B$6,$B$11)))^2)+IF(OR(C$7="",C$8=0),0,C$8*(C$7-B$16*(1-$A107)*(1-(1-$A107)^MIN(C$6,$B$11))/($A107*MIN(C$6,$B$11)))^2)+IF(OR(D$7="",D$8=0),0,D$8*(D$7-B$16*(1-$A107)*(1-(1-$A107)^MIN(D$6,$B$11))/($A107*MIN(D$6,$B$11)))^2)+IF(OR(E$7="",E$8=0),0,E$8*(E$7-B$16*(1-$A107)*(1-(1-$A107)^MIN(E$6,$B$11))/($A107*MIN(E$6,$B$11)))^2)</f>
        <v/>
      </c>
      <c r="C107" s="27">
        <f>IF(OR(B$7="",B$8=0),0,B$8*(B$7-C$16*(1-$A107)*(1-(1-$A107)^MIN(B$6,$B$11))/($A107*MIN(B$6,$B$11)))^2)+IF(OR(C$7="",C$8=0),0,C$8*(C$7-C$16*(1-$A107)*(1-(1-$A107)^MIN(C$6,$B$11))/($A107*MIN(C$6,$B$11)))^2)+IF(OR(D$7="",D$8=0),0,D$8*(D$7-C$16*(1-$A107)*(1-(1-$A107)^MIN(D$6,$B$11))/($A107*MIN(D$6,$B$11)))^2)+IF(OR(E$7="",E$8=0),0,E$8*(E$7-C$16*(1-$A107)*(1-(1-$A107)^MIN(E$6,$B$11))/($A107*MIN(E$6,$B$11)))^2)</f>
        <v/>
      </c>
      <c r="D107" s="27">
        <f>IF(OR(B$7="",B$8=0),0,B$8*(B$7-D$16*(1-$A107)*(1-(1-$A107)^MIN(B$6,$B$11))/($A107*MIN(B$6,$B$11)))^2)+IF(OR(C$7="",C$8=0),0,C$8*(C$7-D$16*(1-$A107)*(1-(1-$A107)^MIN(C$6,$B$11))/($A107*MIN(C$6,$B$11)))^2)+IF(OR(D$7="",D$8=0),0,D$8*(D$7-D$16*(1-$A107)*(1-(1-$A107)^MIN(D$6,$B$11))/($A107*MIN(D$6,$B$11)))^2)+IF(OR(E$7="",E$8=0),0,E$8*(E$7-D$16*(1-$A107)*(1-(1-$A107)^MIN(E$6,$B$11))/($A107*MIN(E$6,$B$11)))^2)</f>
        <v/>
      </c>
      <c r="E107" s="27">
        <f>IF(OR(B$7="",B$8=0),0,B$8*(B$7-E$16*(1-$A107)*(1-(1-$A107)^MIN(B$6,$B$11))/($A107*MIN(B$6,$B$11)))^2)+IF(OR(C$7="",C$8=0),0,C$8*(C$7-E$16*(1-$A107)*(1-(1-$A107)^MIN(C$6,$B$11))/($A107*MIN(C$6,$B$11)))^2)+IF(OR(D$7="",D$8=0),0,D$8*(D$7-E$16*(1-$A107)*(1-(1-$A107)^MIN(D$6,$B$11))/($A107*MIN(D$6,$B$11)))^2)+IF(OR(E$7="",E$8=0),0,E$8*(E$7-E$16*(1-$A107)*(1-(1-$A107)^MIN(E$6,$B$11))/($A107*MIN(E$6,$B$11)))^2)</f>
        <v/>
      </c>
      <c r="F107" s="27">
        <f>IF(OR(B$7="",B$8=0),0,B$8*(B$7-F$16*(1-$A107)*(1-(1-$A107)^MIN(B$6,$B$11))/($A107*MIN(B$6,$B$11)))^2)+IF(OR(C$7="",C$8=0),0,C$8*(C$7-F$16*(1-$A107)*(1-(1-$A107)^MIN(C$6,$B$11))/($A107*MIN(C$6,$B$11)))^2)+IF(OR(D$7="",D$8=0),0,D$8*(D$7-F$16*(1-$A107)*(1-(1-$A107)^MIN(D$6,$B$11))/($A107*MIN(D$6,$B$11)))^2)+IF(OR(E$7="",E$8=0),0,E$8*(E$7-F$16*(1-$A107)*(1-(1-$A107)^MIN(E$6,$B$11))/($A107*MIN(E$6,$B$11)))^2)</f>
        <v/>
      </c>
      <c r="G107" s="27">
        <f>IF(OR(B$7="",B$8=0),0,B$8*(B$7-G$16*(1-$A107)*(1-(1-$A107)^MIN(B$6,$B$11))/($A107*MIN(B$6,$B$11)))^2)+IF(OR(C$7="",C$8=0),0,C$8*(C$7-G$16*(1-$A107)*(1-(1-$A107)^MIN(C$6,$B$11))/($A107*MIN(C$6,$B$11)))^2)+IF(OR(D$7="",D$8=0),0,D$8*(D$7-G$16*(1-$A107)*(1-(1-$A107)^MIN(D$6,$B$11))/($A107*MIN(D$6,$B$11)))^2)+IF(OR(E$7="",E$8=0),0,E$8*(E$7-G$16*(1-$A107)*(1-(1-$A107)^MIN(E$6,$B$11))/($A107*MIN(E$6,$B$11)))^2)</f>
        <v/>
      </c>
      <c r="H107" s="27">
        <f>IF(OR(B$7="",B$8=0),0,B$8*(B$7-H$16*(1-$A107)*(1-(1-$A107)^MIN(B$6,$B$11))/($A107*MIN(B$6,$B$11)))^2)+IF(OR(C$7="",C$8=0),0,C$8*(C$7-H$16*(1-$A107)*(1-(1-$A107)^MIN(C$6,$B$11))/($A107*MIN(C$6,$B$11)))^2)+IF(OR(D$7="",D$8=0),0,D$8*(D$7-H$16*(1-$A107)*(1-(1-$A107)^MIN(D$6,$B$11))/($A107*MIN(D$6,$B$11)))^2)+IF(OR(E$7="",E$8=0),0,E$8*(E$7-H$16*(1-$A107)*(1-(1-$A107)^MIN(E$6,$B$11))/($A107*MIN(E$6,$B$11)))^2)</f>
        <v/>
      </c>
      <c r="I107" s="27">
        <f>IF(OR(B$7="",B$8=0),0,B$8*(B$7-I$16*(1-$A107)*(1-(1-$A107)^MIN(B$6,$B$11))/($A107*MIN(B$6,$B$11)))^2)+IF(OR(C$7="",C$8=0),0,C$8*(C$7-I$16*(1-$A107)*(1-(1-$A107)^MIN(C$6,$B$11))/($A107*MIN(C$6,$B$11)))^2)+IF(OR(D$7="",D$8=0),0,D$8*(D$7-I$16*(1-$A107)*(1-(1-$A107)^MIN(D$6,$B$11))/($A107*MIN(D$6,$B$11)))^2)+IF(OR(E$7="",E$8=0),0,E$8*(E$7-I$16*(1-$A107)*(1-(1-$A107)^MIN(E$6,$B$11))/($A107*MIN(E$6,$B$11)))^2)</f>
        <v/>
      </c>
      <c r="J107" s="27">
        <f>IF(OR(B$7="",B$8=0),0,B$8*(B$7-J$16*(1-$A107)*(1-(1-$A107)^MIN(B$6,$B$11))/($A107*MIN(B$6,$B$11)))^2)+IF(OR(C$7="",C$8=0),0,C$8*(C$7-J$16*(1-$A107)*(1-(1-$A107)^MIN(C$6,$B$11))/($A107*MIN(C$6,$B$11)))^2)+IF(OR(D$7="",D$8=0),0,D$8*(D$7-J$16*(1-$A107)*(1-(1-$A107)^MIN(D$6,$B$11))/($A107*MIN(D$6,$B$11)))^2)+IF(OR(E$7="",E$8=0),0,E$8*(E$7-J$16*(1-$A107)*(1-(1-$A107)^MIN(E$6,$B$11))/($A107*MIN(E$6,$B$11)))^2)</f>
        <v/>
      </c>
      <c r="K107" s="27">
        <f>IF(OR(B$7="",B$8=0),0,B$8*(B$7-K$16*(1-$A107)*(1-(1-$A107)^MIN(B$6,$B$11))/($A107*MIN(B$6,$B$11)))^2)+IF(OR(C$7="",C$8=0),0,C$8*(C$7-K$16*(1-$A107)*(1-(1-$A107)^MIN(C$6,$B$11))/($A107*MIN(C$6,$B$11)))^2)+IF(OR(D$7="",D$8=0),0,D$8*(D$7-K$16*(1-$A107)*(1-(1-$A107)^MIN(D$6,$B$11))/($A107*MIN(D$6,$B$11)))^2)+IF(OR(E$7="",E$8=0),0,E$8*(E$7-K$16*(1-$A107)*(1-(1-$A107)^MIN(E$6,$B$11))/($A107*MIN(E$6,$B$11)))^2)</f>
        <v/>
      </c>
      <c r="L107" s="27">
        <f>IF(OR(B$7="",B$8=0),0,B$8*(B$7-L$16*(1-$A107)*(1-(1-$A107)^MIN(B$6,$B$11))/($A107*MIN(B$6,$B$11)))^2)+IF(OR(C$7="",C$8=0),0,C$8*(C$7-L$16*(1-$A107)*(1-(1-$A107)^MIN(C$6,$B$11))/($A107*MIN(C$6,$B$11)))^2)+IF(OR(D$7="",D$8=0),0,D$8*(D$7-L$16*(1-$A107)*(1-(1-$A107)^MIN(D$6,$B$11))/($A107*MIN(D$6,$B$11)))^2)+IF(OR(E$7="",E$8=0),0,E$8*(E$7-L$16*(1-$A107)*(1-(1-$A107)^MIN(E$6,$B$11))/($A107*MIN(E$6,$B$11)))^2)</f>
        <v/>
      </c>
      <c r="M107" s="27">
        <f>IF(OR(B$7="",B$8=0),0,B$8*(B$7-M$16*(1-$A107)*(1-(1-$A107)^MIN(B$6,$B$11))/($A107*MIN(B$6,$B$11)))^2)+IF(OR(C$7="",C$8=0),0,C$8*(C$7-M$16*(1-$A107)*(1-(1-$A107)^MIN(C$6,$B$11))/($A107*MIN(C$6,$B$11)))^2)+IF(OR(D$7="",D$8=0),0,D$8*(D$7-M$16*(1-$A107)*(1-(1-$A107)^MIN(D$6,$B$11))/($A107*MIN(D$6,$B$11)))^2)+IF(OR(E$7="",E$8=0),0,E$8*(E$7-M$16*(1-$A107)*(1-(1-$A107)^MIN(E$6,$B$11))/($A107*MIN(E$6,$B$11)))^2)</f>
        <v/>
      </c>
      <c r="N107" s="27">
        <f>IF(OR(B$7="",B$8=0),0,B$8*(B$7-N$16*(1-$A107)*(1-(1-$A107)^MIN(B$6,$B$11))/($A107*MIN(B$6,$B$11)))^2)+IF(OR(C$7="",C$8=0),0,C$8*(C$7-N$16*(1-$A107)*(1-(1-$A107)^MIN(C$6,$B$11))/($A107*MIN(C$6,$B$11)))^2)+IF(OR(D$7="",D$8=0),0,D$8*(D$7-N$16*(1-$A107)*(1-(1-$A107)^MIN(D$6,$B$11))/($A107*MIN(D$6,$B$11)))^2)+IF(OR(E$7="",E$8=0),0,E$8*(E$7-N$16*(1-$A107)*(1-(1-$A107)^MIN(E$6,$B$11))/($A107*MIN(E$6,$B$11)))^2)</f>
        <v/>
      </c>
      <c r="O107" s="27">
        <f>IF(OR(B$7="",B$8=0),0,B$8*(B$7-O$16*(1-$A107)*(1-(1-$A107)^MIN(B$6,$B$11))/($A107*MIN(B$6,$B$11)))^2)+IF(OR(C$7="",C$8=0),0,C$8*(C$7-O$16*(1-$A107)*(1-(1-$A107)^MIN(C$6,$B$11))/($A107*MIN(C$6,$B$11)))^2)+IF(OR(D$7="",D$8=0),0,D$8*(D$7-O$16*(1-$A107)*(1-(1-$A107)^MIN(D$6,$B$11))/($A107*MIN(D$6,$B$11)))^2)+IF(OR(E$7="",E$8=0),0,E$8*(E$7-O$16*(1-$A107)*(1-(1-$A107)^MIN(E$6,$B$11))/($A107*MIN(E$6,$B$11)))^2)</f>
        <v/>
      </c>
      <c r="P107" s="27">
        <f>IF(OR(B$7="",B$8=0),0,B$8*(B$7-P$16*(1-$A107)*(1-(1-$A107)^MIN(B$6,$B$11))/($A107*MIN(B$6,$B$11)))^2)+IF(OR(C$7="",C$8=0),0,C$8*(C$7-P$16*(1-$A107)*(1-(1-$A107)^MIN(C$6,$B$11))/($A107*MIN(C$6,$B$11)))^2)+IF(OR(D$7="",D$8=0),0,D$8*(D$7-P$16*(1-$A107)*(1-(1-$A107)^MIN(D$6,$B$11))/($A107*MIN(D$6,$B$11)))^2)+IF(OR(E$7="",E$8=0),0,E$8*(E$7-P$16*(1-$A107)*(1-(1-$A107)^MIN(E$6,$B$11))/($A107*MIN(E$6,$B$11)))^2)</f>
        <v/>
      </c>
      <c r="Q107" s="27">
        <f>IF(OR(B$7="",B$8=0),0,B$8*(B$7-Q$16*(1-$A107)*(1-(1-$A107)^MIN(B$6,$B$11))/($A107*MIN(B$6,$B$11)))^2)+IF(OR(C$7="",C$8=0),0,C$8*(C$7-Q$16*(1-$A107)*(1-(1-$A107)^MIN(C$6,$B$11))/($A107*MIN(C$6,$B$11)))^2)+IF(OR(D$7="",D$8=0),0,D$8*(D$7-Q$16*(1-$A107)*(1-(1-$A107)^MIN(D$6,$B$11))/($A107*MIN(D$6,$B$11)))^2)+IF(OR(E$7="",E$8=0),0,E$8*(E$7-Q$16*(1-$A107)*(1-(1-$A107)^MIN(E$6,$B$11))/($A107*MIN(E$6,$B$11)))^2)</f>
        <v/>
      </c>
      <c r="R107" s="27">
        <f>IF(OR(B$7="",B$8=0),0,B$8*(B$7-R$16*(1-$A107)*(1-(1-$A107)^MIN(B$6,$B$11))/($A107*MIN(B$6,$B$11)))^2)+IF(OR(C$7="",C$8=0),0,C$8*(C$7-R$16*(1-$A107)*(1-(1-$A107)^MIN(C$6,$B$11))/($A107*MIN(C$6,$B$11)))^2)+IF(OR(D$7="",D$8=0),0,D$8*(D$7-R$16*(1-$A107)*(1-(1-$A107)^MIN(D$6,$B$11))/($A107*MIN(D$6,$B$11)))^2)+IF(OR(E$7="",E$8=0),0,E$8*(E$7-R$16*(1-$A107)*(1-(1-$A107)^MIN(E$6,$B$11))/($A107*MIN(E$6,$B$11)))^2)</f>
        <v/>
      </c>
      <c r="S107" s="27">
        <f>IF(OR(B$7="",B$8=0),0,B$8*(B$7-S$16*(1-$A107)*(1-(1-$A107)^MIN(B$6,$B$11))/($A107*MIN(B$6,$B$11)))^2)+IF(OR(C$7="",C$8=0),0,C$8*(C$7-S$16*(1-$A107)*(1-(1-$A107)^MIN(C$6,$B$11))/($A107*MIN(C$6,$B$11)))^2)+IF(OR(D$7="",D$8=0),0,D$8*(D$7-S$16*(1-$A107)*(1-(1-$A107)^MIN(D$6,$B$11))/($A107*MIN(D$6,$B$11)))^2)+IF(OR(E$7="",E$8=0),0,E$8*(E$7-S$16*(1-$A107)*(1-(1-$A107)^MIN(E$6,$B$11))/($A107*MIN(E$6,$B$11)))^2)</f>
        <v/>
      </c>
      <c r="U107" s="27">
        <f>MIN(B107:S107)</f>
        <v/>
      </c>
      <c r="V107" s="17">
        <f>MATCH(U107,B107:S107,0)</f>
        <v/>
      </c>
    </row>
    <row r="108">
      <c r="A108" s="26" t="n">
        <v>0.0505</v>
      </c>
      <c r="B108" s="27">
        <f>IF(OR(B$7="",B$8=0),0,B$8*(B$7-B$16*(1-$A108)*(1-(1-$A108)^MIN(B$6,$B$11))/($A108*MIN(B$6,$B$11)))^2)+IF(OR(C$7="",C$8=0),0,C$8*(C$7-B$16*(1-$A108)*(1-(1-$A108)^MIN(C$6,$B$11))/($A108*MIN(C$6,$B$11)))^2)+IF(OR(D$7="",D$8=0),0,D$8*(D$7-B$16*(1-$A108)*(1-(1-$A108)^MIN(D$6,$B$11))/($A108*MIN(D$6,$B$11)))^2)+IF(OR(E$7="",E$8=0),0,E$8*(E$7-B$16*(1-$A108)*(1-(1-$A108)^MIN(E$6,$B$11))/($A108*MIN(E$6,$B$11)))^2)</f>
        <v/>
      </c>
      <c r="C108" s="27">
        <f>IF(OR(B$7="",B$8=0),0,B$8*(B$7-C$16*(1-$A108)*(1-(1-$A108)^MIN(B$6,$B$11))/($A108*MIN(B$6,$B$11)))^2)+IF(OR(C$7="",C$8=0),0,C$8*(C$7-C$16*(1-$A108)*(1-(1-$A108)^MIN(C$6,$B$11))/($A108*MIN(C$6,$B$11)))^2)+IF(OR(D$7="",D$8=0),0,D$8*(D$7-C$16*(1-$A108)*(1-(1-$A108)^MIN(D$6,$B$11))/($A108*MIN(D$6,$B$11)))^2)+IF(OR(E$7="",E$8=0),0,E$8*(E$7-C$16*(1-$A108)*(1-(1-$A108)^MIN(E$6,$B$11))/($A108*MIN(E$6,$B$11)))^2)</f>
        <v/>
      </c>
      <c r="D108" s="27">
        <f>IF(OR(B$7="",B$8=0),0,B$8*(B$7-D$16*(1-$A108)*(1-(1-$A108)^MIN(B$6,$B$11))/($A108*MIN(B$6,$B$11)))^2)+IF(OR(C$7="",C$8=0),0,C$8*(C$7-D$16*(1-$A108)*(1-(1-$A108)^MIN(C$6,$B$11))/($A108*MIN(C$6,$B$11)))^2)+IF(OR(D$7="",D$8=0),0,D$8*(D$7-D$16*(1-$A108)*(1-(1-$A108)^MIN(D$6,$B$11))/($A108*MIN(D$6,$B$11)))^2)+IF(OR(E$7="",E$8=0),0,E$8*(E$7-D$16*(1-$A108)*(1-(1-$A108)^MIN(E$6,$B$11))/($A108*MIN(E$6,$B$11)))^2)</f>
        <v/>
      </c>
      <c r="E108" s="27">
        <f>IF(OR(B$7="",B$8=0),0,B$8*(B$7-E$16*(1-$A108)*(1-(1-$A108)^MIN(B$6,$B$11))/($A108*MIN(B$6,$B$11)))^2)+IF(OR(C$7="",C$8=0),0,C$8*(C$7-E$16*(1-$A108)*(1-(1-$A108)^MIN(C$6,$B$11))/($A108*MIN(C$6,$B$11)))^2)+IF(OR(D$7="",D$8=0),0,D$8*(D$7-E$16*(1-$A108)*(1-(1-$A108)^MIN(D$6,$B$11))/($A108*MIN(D$6,$B$11)))^2)+IF(OR(E$7="",E$8=0),0,E$8*(E$7-E$16*(1-$A108)*(1-(1-$A108)^MIN(E$6,$B$11))/($A108*MIN(E$6,$B$11)))^2)</f>
        <v/>
      </c>
      <c r="F108" s="27">
        <f>IF(OR(B$7="",B$8=0),0,B$8*(B$7-F$16*(1-$A108)*(1-(1-$A108)^MIN(B$6,$B$11))/($A108*MIN(B$6,$B$11)))^2)+IF(OR(C$7="",C$8=0),0,C$8*(C$7-F$16*(1-$A108)*(1-(1-$A108)^MIN(C$6,$B$11))/($A108*MIN(C$6,$B$11)))^2)+IF(OR(D$7="",D$8=0),0,D$8*(D$7-F$16*(1-$A108)*(1-(1-$A108)^MIN(D$6,$B$11))/($A108*MIN(D$6,$B$11)))^2)+IF(OR(E$7="",E$8=0),0,E$8*(E$7-F$16*(1-$A108)*(1-(1-$A108)^MIN(E$6,$B$11))/($A108*MIN(E$6,$B$11)))^2)</f>
        <v/>
      </c>
      <c r="G108" s="27">
        <f>IF(OR(B$7="",B$8=0),0,B$8*(B$7-G$16*(1-$A108)*(1-(1-$A108)^MIN(B$6,$B$11))/($A108*MIN(B$6,$B$11)))^2)+IF(OR(C$7="",C$8=0),0,C$8*(C$7-G$16*(1-$A108)*(1-(1-$A108)^MIN(C$6,$B$11))/($A108*MIN(C$6,$B$11)))^2)+IF(OR(D$7="",D$8=0),0,D$8*(D$7-G$16*(1-$A108)*(1-(1-$A108)^MIN(D$6,$B$11))/($A108*MIN(D$6,$B$11)))^2)+IF(OR(E$7="",E$8=0),0,E$8*(E$7-G$16*(1-$A108)*(1-(1-$A108)^MIN(E$6,$B$11))/($A108*MIN(E$6,$B$11)))^2)</f>
        <v/>
      </c>
      <c r="H108" s="27">
        <f>IF(OR(B$7="",B$8=0),0,B$8*(B$7-H$16*(1-$A108)*(1-(1-$A108)^MIN(B$6,$B$11))/($A108*MIN(B$6,$B$11)))^2)+IF(OR(C$7="",C$8=0),0,C$8*(C$7-H$16*(1-$A108)*(1-(1-$A108)^MIN(C$6,$B$11))/($A108*MIN(C$6,$B$11)))^2)+IF(OR(D$7="",D$8=0),0,D$8*(D$7-H$16*(1-$A108)*(1-(1-$A108)^MIN(D$6,$B$11))/($A108*MIN(D$6,$B$11)))^2)+IF(OR(E$7="",E$8=0),0,E$8*(E$7-H$16*(1-$A108)*(1-(1-$A108)^MIN(E$6,$B$11))/($A108*MIN(E$6,$B$11)))^2)</f>
        <v/>
      </c>
      <c r="I108" s="27">
        <f>IF(OR(B$7="",B$8=0),0,B$8*(B$7-I$16*(1-$A108)*(1-(1-$A108)^MIN(B$6,$B$11))/($A108*MIN(B$6,$B$11)))^2)+IF(OR(C$7="",C$8=0),0,C$8*(C$7-I$16*(1-$A108)*(1-(1-$A108)^MIN(C$6,$B$11))/($A108*MIN(C$6,$B$11)))^2)+IF(OR(D$7="",D$8=0),0,D$8*(D$7-I$16*(1-$A108)*(1-(1-$A108)^MIN(D$6,$B$11))/($A108*MIN(D$6,$B$11)))^2)+IF(OR(E$7="",E$8=0),0,E$8*(E$7-I$16*(1-$A108)*(1-(1-$A108)^MIN(E$6,$B$11))/($A108*MIN(E$6,$B$11)))^2)</f>
        <v/>
      </c>
      <c r="J108" s="27">
        <f>IF(OR(B$7="",B$8=0),0,B$8*(B$7-J$16*(1-$A108)*(1-(1-$A108)^MIN(B$6,$B$11))/($A108*MIN(B$6,$B$11)))^2)+IF(OR(C$7="",C$8=0),0,C$8*(C$7-J$16*(1-$A108)*(1-(1-$A108)^MIN(C$6,$B$11))/($A108*MIN(C$6,$B$11)))^2)+IF(OR(D$7="",D$8=0),0,D$8*(D$7-J$16*(1-$A108)*(1-(1-$A108)^MIN(D$6,$B$11))/($A108*MIN(D$6,$B$11)))^2)+IF(OR(E$7="",E$8=0),0,E$8*(E$7-J$16*(1-$A108)*(1-(1-$A108)^MIN(E$6,$B$11))/($A108*MIN(E$6,$B$11)))^2)</f>
        <v/>
      </c>
      <c r="K108" s="27">
        <f>IF(OR(B$7="",B$8=0),0,B$8*(B$7-K$16*(1-$A108)*(1-(1-$A108)^MIN(B$6,$B$11))/($A108*MIN(B$6,$B$11)))^2)+IF(OR(C$7="",C$8=0),0,C$8*(C$7-K$16*(1-$A108)*(1-(1-$A108)^MIN(C$6,$B$11))/($A108*MIN(C$6,$B$11)))^2)+IF(OR(D$7="",D$8=0),0,D$8*(D$7-K$16*(1-$A108)*(1-(1-$A108)^MIN(D$6,$B$11))/($A108*MIN(D$6,$B$11)))^2)+IF(OR(E$7="",E$8=0),0,E$8*(E$7-K$16*(1-$A108)*(1-(1-$A108)^MIN(E$6,$B$11))/($A108*MIN(E$6,$B$11)))^2)</f>
        <v/>
      </c>
      <c r="L108" s="27">
        <f>IF(OR(B$7="",B$8=0),0,B$8*(B$7-L$16*(1-$A108)*(1-(1-$A108)^MIN(B$6,$B$11))/($A108*MIN(B$6,$B$11)))^2)+IF(OR(C$7="",C$8=0),0,C$8*(C$7-L$16*(1-$A108)*(1-(1-$A108)^MIN(C$6,$B$11))/($A108*MIN(C$6,$B$11)))^2)+IF(OR(D$7="",D$8=0),0,D$8*(D$7-L$16*(1-$A108)*(1-(1-$A108)^MIN(D$6,$B$11))/($A108*MIN(D$6,$B$11)))^2)+IF(OR(E$7="",E$8=0),0,E$8*(E$7-L$16*(1-$A108)*(1-(1-$A108)^MIN(E$6,$B$11))/($A108*MIN(E$6,$B$11)))^2)</f>
        <v/>
      </c>
      <c r="M108" s="27">
        <f>IF(OR(B$7="",B$8=0),0,B$8*(B$7-M$16*(1-$A108)*(1-(1-$A108)^MIN(B$6,$B$11))/($A108*MIN(B$6,$B$11)))^2)+IF(OR(C$7="",C$8=0),0,C$8*(C$7-M$16*(1-$A108)*(1-(1-$A108)^MIN(C$6,$B$11))/($A108*MIN(C$6,$B$11)))^2)+IF(OR(D$7="",D$8=0),0,D$8*(D$7-M$16*(1-$A108)*(1-(1-$A108)^MIN(D$6,$B$11))/($A108*MIN(D$6,$B$11)))^2)+IF(OR(E$7="",E$8=0),0,E$8*(E$7-M$16*(1-$A108)*(1-(1-$A108)^MIN(E$6,$B$11))/($A108*MIN(E$6,$B$11)))^2)</f>
        <v/>
      </c>
      <c r="N108" s="27">
        <f>IF(OR(B$7="",B$8=0),0,B$8*(B$7-N$16*(1-$A108)*(1-(1-$A108)^MIN(B$6,$B$11))/($A108*MIN(B$6,$B$11)))^2)+IF(OR(C$7="",C$8=0),0,C$8*(C$7-N$16*(1-$A108)*(1-(1-$A108)^MIN(C$6,$B$11))/($A108*MIN(C$6,$B$11)))^2)+IF(OR(D$7="",D$8=0),0,D$8*(D$7-N$16*(1-$A108)*(1-(1-$A108)^MIN(D$6,$B$11))/($A108*MIN(D$6,$B$11)))^2)+IF(OR(E$7="",E$8=0),0,E$8*(E$7-N$16*(1-$A108)*(1-(1-$A108)^MIN(E$6,$B$11))/($A108*MIN(E$6,$B$11)))^2)</f>
        <v/>
      </c>
      <c r="O108" s="27">
        <f>IF(OR(B$7="",B$8=0),0,B$8*(B$7-O$16*(1-$A108)*(1-(1-$A108)^MIN(B$6,$B$11))/($A108*MIN(B$6,$B$11)))^2)+IF(OR(C$7="",C$8=0),0,C$8*(C$7-O$16*(1-$A108)*(1-(1-$A108)^MIN(C$6,$B$11))/($A108*MIN(C$6,$B$11)))^2)+IF(OR(D$7="",D$8=0),0,D$8*(D$7-O$16*(1-$A108)*(1-(1-$A108)^MIN(D$6,$B$11))/($A108*MIN(D$6,$B$11)))^2)+IF(OR(E$7="",E$8=0),0,E$8*(E$7-O$16*(1-$A108)*(1-(1-$A108)^MIN(E$6,$B$11))/($A108*MIN(E$6,$B$11)))^2)</f>
        <v/>
      </c>
      <c r="P108" s="27">
        <f>IF(OR(B$7="",B$8=0),0,B$8*(B$7-P$16*(1-$A108)*(1-(1-$A108)^MIN(B$6,$B$11))/($A108*MIN(B$6,$B$11)))^2)+IF(OR(C$7="",C$8=0),0,C$8*(C$7-P$16*(1-$A108)*(1-(1-$A108)^MIN(C$6,$B$11))/($A108*MIN(C$6,$B$11)))^2)+IF(OR(D$7="",D$8=0),0,D$8*(D$7-P$16*(1-$A108)*(1-(1-$A108)^MIN(D$6,$B$11))/($A108*MIN(D$6,$B$11)))^2)+IF(OR(E$7="",E$8=0),0,E$8*(E$7-P$16*(1-$A108)*(1-(1-$A108)^MIN(E$6,$B$11))/($A108*MIN(E$6,$B$11)))^2)</f>
        <v/>
      </c>
      <c r="Q108" s="27">
        <f>IF(OR(B$7="",B$8=0),0,B$8*(B$7-Q$16*(1-$A108)*(1-(1-$A108)^MIN(B$6,$B$11))/($A108*MIN(B$6,$B$11)))^2)+IF(OR(C$7="",C$8=0),0,C$8*(C$7-Q$16*(1-$A108)*(1-(1-$A108)^MIN(C$6,$B$11))/($A108*MIN(C$6,$B$11)))^2)+IF(OR(D$7="",D$8=0),0,D$8*(D$7-Q$16*(1-$A108)*(1-(1-$A108)^MIN(D$6,$B$11))/($A108*MIN(D$6,$B$11)))^2)+IF(OR(E$7="",E$8=0),0,E$8*(E$7-Q$16*(1-$A108)*(1-(1-$A108)^MIN(E$6,$B$11))/($A108*MIN(E$6,$B$11)))^2)</f>
        <v/>
      </c>
      <c r="R108" s="27">
        <f>IF(OR(B$7="",B$8=0),0,B$8*(B$7-R$16*(1-$A108)*(1-(1-$A108)^MIN(B$6,$B$11))/($A108*MIN(B$6,$B$11)))^2)+IF(OR(C$7="",C$8=0),0,C$8*(C$7-R$16*(1-$A108)*(1-(1-$A108)^MIN(C$6,$B$11))/($A108*MIN(C$6,$B$11)))^2)+IF(OR(D$7="",D$8=0),0,D$8*(D$7-R$16*(1-$A108)*(1-(1-$A108)^MIN(D$6,$B$11))/($A108*MIN(D$6,$B$11)))^2)+IF(OR(E$7="",E$8=0),0,E$8*(E$7-R$16*(1-$A108)*(1-(1-$A108)^MIN(E$6,$B$11))/($A108*MIN(E$6,$B$11)))^2)</f>
        <v/>
      </c>
      <c r="S108" s="27">
        <f>IF(OR(B$7="",B$8=0),0,B$8*(B$7-S$16*(1-$A108)*(1-(1-$A108)^MIN(B$6,$B$11))/($A108*MIN(B$6,$B$11)))^2)+IF(OR(C$7="",C$8=0),0,C$8*(C$7-S$16*(1-$A108)*(1-(1-$A108)^MIN(C$6,$B$11))/($A108*MIN(C$6,$B$11)))^2)+IF(OR(D$7="",D$8=0),0,D$8*(D$7-S$16*(1-$A108)*(1-(1-$A108)^MIN(D$6,$B$11))/($A108*MIN(D$6,$B$11)))^2)+IF(OR(E$7="",E$8=0),0,E$8*(E$7-S$16*(1-$A108)*(1-(1-$A108)^MIN(E$6,$B$11))/($A108*MIN(E$6,$B$11)))^2)</f>
        <v/>
      </c>
      <c r="U108" s="27">
        <f>MIN(B108:S108)</f>
        <v/>
      </c>
      <c r="V108" s="17">
        <f>MATCH(U108,B108:S108,0)</f>
        <v/>
      </c>
    </row>
    <row r="109">
      <c r="A109" s="26" t="n">
        <v>0.051</v>
      </c>
      <c r="B109" s="27">
        <f>IF(OR(B$7="",B$8=0),0,B$8*(B$7-B$16*(1-$A109)*(1-(1-$A109)^MIN(B$6,$B$11))/($A109*MIN(B$6,$B$11)))^2)+IF(OR(C$7="",C$8=0),0,C$8*(C$7-B$16*(1-$A109)*(1-(1-$A109)^MIN(C$6,$B$11))/($A109*MIN(C$6,$B$11)))^2)+IF(OR(D$7="",D$8=0),0,D$8*(D$7-B$16*(1-$A109)*(1-(1-$A109)^MIN(D$6,$B$11))/($A109*MIN(D$6,$B$11)))^2)+IF(OR(E$7="",E$8=0),0,E$8*(E$7-B$16*(1-$A109)*(1-(1-$A109)^MIN(E$6,$B$11))/($A109*MIN(E$6,$B$11)))^2)</f>
        <v/>
      </c>
      <c r="C109" s="27">
        <f>IF(OR(B$7="",B$8=0),0,B$8*(B$7-C$16*(1-$A109)*(1-(1-$A109)^MIN(B$6,$B$11))/($A109*MIN(B$6,$B$11)))^2)+IF(OR(C$7="",C$8=0),0,C$8*(C$7-C$16*(1-$A109)*(1-(1-$A109)^MIN(C$6,$B$11))/($A109*MIN(C$6,$B$11)))^2)+IF(OR(D$7="",D$8=0),0,D$8*(D$7-C$16*(1-$A109)*(1-(1-$A109)^MIN(D$6,$B$11))/($A109*MIN(D$6,$B$11)))^2)+IF(OR(E$7="",E$8=0),0,E$8*(E$7-C$16*(1-$A109)*(1-(1-$A109)^MIN(E$6,$B$11))/($A109*MIN(E$6,$B$11)))^2)</f>
        <v/>
      </c>
      <c r="D109" s="27">
        <f>IF(OR(B$7="",B$8=0),0,B$8*(B$7-D$16*(1-$A109)*(1-(1-$A109)^MIN(B$6,$B$11))/($A109*MIN(B$6,$B$11)))^2)+IF(OR(C$7="",C$8=0),0,C$8*(C$7-D$16*(1-$A109)*(1-(1-$A109)^MIN(C$6,$B$11))/($A109*MIN(C$6,$B$11)))^2)+IF(OR(D$7="",D$8=0),0,D$8*(D$7-D$16*(1-$A109)*(1-(1-$A109)^MIN(D$6,$B$11))/($A109*MIN(D$6,$B$11)))^2)+IF(OR(E$7="",E$8=0),0,E$8*(E$7-D$16*(1-$A109)*(1-(1-$A109)^MIN(E$6,$B$11))/($A109*MIN(E$6,$B$11)))^2)</f>
        <v/>
      </c>
      <c r="E109" s="27">
        <f>IF(OR(B$7="",B$8=0),0,B$8*(B$7-E$16*(1-$A109)*(1-(1-$A109)^MIN(B$6,$B$11))/($A109*MIN(B$6,$B$11)))^2)+IF(OR(C$7="",C$8=0),0,C$8*(C$7-E$16*(1-$A109)*(1-(1-$A109)^MIN(C$6,$B$11))/($A109*MIN(C$6,$B$11)))^2)+IF(OR(D$7="",D$8=0),0,D$8*(D$7-E$16*(1-$A109)*(1-(1-$A109)^MIN(D$6,$B$11))/($A109*MIN(D$6,$B$11)))^2)+IF(OR(E$7="",E$8=0),0,E$8*(E$7-E$16*(1-$A109)*(1-(1-$A109)^MIN(E$6,$B$11))/($A109*MIN(E$6,$B$11)))^2)</f>
        <v/>
      </c>
      <c r="F109" s="27">
        <f>IF(OR(B$7="",B$8=0),0,B$8*(B$7-F$16*(1-$A109)*(1-(1-$A109)^MIN(B$6,$B$11))/($A109*MIN(B$6,$B$11)))^2)+IF(OR(C$7="",C$8=0),0,C$8*(C$7-F$16*(1-$A109)*(1-(1-$A109)^MIN(C$6,$B$11))/($A109*MIN(C$6,$B$11)))^2)+IF(OR(D$7="",D$8=0),0,D$8*(D$7-F$16*(1-$A109)*(1-(1-$A109)^MIN(D$6,$B$11))/($A109*MIN(D$6,$B$11)))^2)+IF(OR(E$7="",E$8=0),0,E$8*(E$7-F$16*(1-$A109)*(1-(1-$A109)^MIN(E$6,$B$11))/($A109*MIN(E$6,$B$11)))^2)</f>
        <v/>
      </c>
      <c r="G109" s="27">
        <f>IF(OR(B$7="",B$8=0),0,B$8*(B$7-G$16*(1-$A109)*(1-(1-$A109)^MIN(B$6,$B$11))/($A109*MIN(B$6,$B$11)))^2)+IF(OR(C$7="",C$8=0),0,C$8*(C$7-G$16*(1-$A109)*(1-(1-$A109)^MIN(C$6,$B$11))/($A109*MIN(C$6,$B$11)))^2)+IF(OR(D$7="",D$8=0),0,D$8*(D$7-G$16*(1-$A109)*(1-(1-$A109)^MIN(D$6,$B$11))/($A109*MIN(D$6,$B$11)))^2)+IF(OR(E$7="",E$8=0),0,E$8*(E$7-G$16*(1-$A109)*(1-(1-$A109)^MIN(E$6,$B$11))/($A109*MIN(E$6,$B$11)))^2)</f>
        <v/>
      </c>
      <c r="H109" s="27">
        <f>IF(OR(B$7="",B$8=0),0,B$8*(B$7-H$16*(1-$A109)*(1-(1-$A109)^MIN(B$6,$B$11))/($A109*MIN(B$6,$B$11)))^2)+IF(OR(C$7="",C$8=0),0,C$8*(C$7-H$16*(1-$A109)*(1-(1-$A109)^MIN(C$6,$B$11))/($A109*MIN(C$6,$B$11)))^2)+IF(OR(D$7="",D$8=0),0,D$8*(D$7-H$16*(1-$A109)*(1-(1-$A109)^MIN(D$6,$B$11))/($A109*MIN(D$6,$B$11)))^2)+IF(OR(E$7="",E$8=0),0,E$8*(E$7-H$16*(1-$A109)*(1-(1-$A109)^MIN(E$6,$B$11))/($A109*MIN(E$6,$B$11)))^2)</f>
        <v/>
      </c>
      <c r="I109" s="27">
        <f>IF(OR(B$7="",B$8=0),0,B$8*(B$7-I$16*(1-$A109)*(1-(1-$A109)^MIN(B$6,$B$11))/($A109*MIN(B$6,$B$11)))^2)+IF(OR(C$7="",C$8=0),0,C$8*(C$7-I$16*(1-$A109)*(1-(1-$A109)^MIN(C$6,$B$11))/($A109*MIN(C$6,$B$11)))^2)+IF(OR(D$7="",D$8=0),0,D$8*(D$7-I$16*(1-$A109)*(1-(1-$A109)^MIN(D$6,$B$11))/($A109*MIN(D$6,$B$11)))^2)+IF(OR(E$7="",E$8=0),0,E$8*(E$7-I$16*(1-$A109)*(1-(1-$A109)^MIN(E$6,$B$11))/($A109*MIN(E$6,$B$11)))^2)</f>
        <v/>
      </c>
      <c r="J109" s="27">
        <f>IF(OR(B$7="",B$8=0),0,B$8*(B$7-J$16*(1-$A109)*(1-(1-$A109)^MIN(B$6,$B$11))/($A109*MIN(B$6,$B$11)))^2)+IF(OR(C$7="",C$8=0),0,C$8*(C$7-J$16*(1-$A109)*(1-(1-$A109)^MIN(C$6,$B$11))/($A109*MIN(C$6,$B$11)))^2)+IF(OR(D$7="",D$8=0),0,D$8*(D$7-J$16*(1-$A109)*(1-(1-$A109)^MIN(D$6,$B$11))/($A109*MIN(D$6,$B$11)))^2)+IF(OR(E$7="",E$8=0),0,E$8*(E$7-J$16*(1-$A109)*(1-(1-$A109)^MIN(E$6,$B$11))/($A109*MIN(E$6,$B$11)))^2)</f>
        <v/>
      </c>
      <c r="K109" s="27">
        <f>IF(OR(B$7="",B$8=0),0,B$8*(B$7-K$16*(1-$A109)*(1-(1-$A109)^MIN(B$6,$B$11))/($A109*MIN(B$6,$B$11)))^2)+IF(OR(C$7="",C$8=0),0,C$8*(C$7-K$16*(1-$A109)*(1-(1-$A109)^MIN(C$6,$B$11))/($A109*MIN(C$6,$B$11)))^2)+IF(OR(D$7="",D$8=0),0,D$8*(D$7-K$16*(1-$A109)*(1-(1-$A109)^MIN(D$6,$B$11))/($A109*MIN(D$6,$B$11)))^2)+IF(OR(E$7="",E$8=0),0,E$8*(E$7-K$16*(1-$A109)*(1-(1-$A109)^MIN(E$6,$B$11))/($A109*MIN(E$6,$B$11)))^2)</f>
        <v/>
      </c>
      <c r="L109" s="27">
        <f>IF(OR(B$7="",B$8=0),0,B$8*(B$7-L$16*(1-$A109)*(1-(1-$A109)^MIN(B$6,$B$11))/($A109*MIN(B$6,$B$11)))^2)+IF(OR(C$7="",C$8=0),0,C$8*(C$7-L$16*(1-$A109)*(1-(1-$A109)^MIN(C$6,$B$11))/($A109*MIN(C$6,$B$11)))^2)+IF(OR(D$7="",D$8=0),0,D$8*(D$7-L$16*(1-$A109)*(1-(1-$A109)^MIN(D$6,$B$11))/($A109*MIN(D$6,$B$11)))^2)+IF(OR(E$7="",E$8=0),0,E$8*(E$7-L$16*(1-$A109)*(1-(1-$A109)^MIN(E$6,$B$11))/($A109*MIN(E$6,$B$11)))^2)</f>
        <v/>
      </c>
      <c r="M109" s="27">
        <f>IF(OR(B$7="",B$8=0),0,B$8*(B$7-M$16*(1-$A109)*(1-(1-$A109)^MIN(B$6,$B$11))/($A109*MIN(B$6,$B$11)))^2)+IF(OR(C$7="",C$8=0),0,C$8*(C$7-M$16*(1-$A109)*(1-(1-$A109)^MIN(C$6,$B$11))/($A109*MIN(C$6,$B$11)))^2)+IF(OR(D$7="",D$8=0),0,D$8*(D$7-M$16*(1-$A109)*(1-(1-$A109)^MIN(D$6,$B$11))/($A109*MIN(D$6,$B$11)))^2)+IF(OR(E$7="",E$8=0),0,E$8*(E$7-M$16*(1-$A109)*(1-(1-$A109)^MIN(E$6,$B$11))/($A109*MIN(E$6,$B$11)))^2)</f>
        <v/>
      </c>
      <c r="N109" s="27">
        <f>IF(OR(B$7="",B$8=0),0,B$8*(B$7-N$16*(1-$A109)*(1-(1-$A109)^MIN(B$6,$B$11))/($A109*MIN(B$6,$B$11)))^2)+IF(OR(C$7="",C$8=0),0,C$8*(C$7-N$16*(1-$A109)*(1-(1-$A109)^MIN(C$6,$B$11))/($A109*MIN(C$6,$B$11)))^2)+IF(OR(D$7="",D$8=0),0,D$8*(D$7-N$16*(1-$A109)*(1-(1-$A109)^MIN(D$6,$B$11))/($A109*MIN(D$6,$B$11)))^2)+IF(OR(E$7="",E$8=0),0,E$8*(E$7-N$16*(1-$A109)*(1-(1-$A109)^MIN(E$6,$B$11))/($A109*MIN(E$6,$B$11)))^2)</f>
        <v/>
      </c>
      <c r="O109" s="27">
        <f>IF(OR(B$7="",B$8=0),0,B$8*(B$7-O$16*(1-$A109)*(1-(1-$A109)^MIN(B$6,$B$11))/($A109*MIN(B$6,$B$11)))^2)+IF(OR(C$7="",C$8=0),0,C$8*(C$7-O$16*(1-$A109)*(1-(1-$A109)^MIN(C$6,$B$11))/($A109*MIN(C$6,$B$11)))^2)+IF(OR(D$7="",D$8=0),0,D$8*(D$7-O$16*(1-$A109)*(1-(1-$A109)^MIN(D$6,$B$11))/($A109*MIN(D$6,$B$11)))^2)+IF(OR(E$7="",E$8=0),0,E$8*(E$7-O$16*(1-$A109)*(1-(1-$A109)^MIN(E$6,$B$11))/($A109*MIN(E$6,$B$11)))^2)</f>
        <v/>
      </c>
      <c r="P109" s="27">
        <f>IF(OR(B$7="",B$8=0),0,B$8*(B$7-P$16*(1-$A109)*(1-(1-$A109)^MIN(B$6,$B$11))/($A109*MIN(B$6,$B$11)))^2)+IF(OR(C$7="",C$8=0),0,C$8*(C$7-P$16*(1-$A109)*(1-(1-$A109)^MIN(C$6,$B$11))/($A109*MIN(C$6,$B$11)))^2)+IF(OR(D$7="",D$8=0),0,D$8*(D$7-P$16*(1-$A109)*(1-(1-$A109)^MIN(D$6,$B$11))/($A109*MIN(D$6,$B$11)))^2)+IF(OR(E$7="",E$8=0),0,E$8*(E$7-P$16*(1-$A109)*(1-(1-$A109)^MIN(E$6,$B$11))/($A109*MIN(E$6,$B$11)))^2)</f>
        <v/>
      </c>
      <c r="Q109" s="27">
        <f>IF(OR(B$7="",B$8=0),0,B$8*(B$7-Q$16*(1-$A109)*(1-(1-$A109)^MIN(B$6,$B$11))/($A109*MIN(B$6,$B$11)))^2)+IF(OR(C$7="",C$8=0),0,C$8*(C$7-Q$16*(1-$A109)*(1-(1-$A109)^MIN(C$6,$B$11))/($A109*MIN(C$6,$B$11)))^2)+IF(OR(D$7="",D$8=0),0,D$8*(D$7-Q$16*(1-$A109)*(1-(1-$A109)^MIN(D$6,$B$11))/($A109*MIN(D$6,$B$11)))^2)+IF(OR(E$7="",E$8=0),0,E$8*(E$7-Q$16*(1-$A109)*(1-(1-$A109)^MIN(E$6,$B$11))/($A109*MIN(E$6,$B$11)))^2)</f>
        <v/>
      </c>
      <c r="R109" s="27">
        <f>IF(OR(B$7="",B$8=0),0,B$8*(B$7-R$16*(1-$A109)*(1-(1-$A109)^MIN(B$6,$B$11))/($A109*MIN(B$6,$B$11)))^2)+IF(OR(C$7="",C$8=0),0,C$8*(C$7-R$16*(1-$A109)*(1-(1-$A109)^MIN(C$6,$B$11))/($A109*MIN(C$6,$B$11)))^2)+IF(OR(D$7="",D$8=0),0,D$8*(D$7-R$16*(1-$A109)*(1-(1-$A109)^MIN(D$6,$B$11))/($A109*MIN(D$6,$B$11)))^2)+IF(OR(E$7="",E$8=0),0,E$8*(E$7-R$16*(1-$A109)*(1-(1-$A109)^MIN(E$6,$B$11))/($A109*MIN(E$6,$B$11)))^2)</f>
        <v/>
      </c>
      <c r="S109" s="27">
        <f>IF(OR(B$7="",B$8=0),0,B$8*(B$7-S$16*(1-$A109)*(1-(1-$A109)^MIN(B$6,$B$11))/($A109*MIN(B$6,$B$11)))^2)+IF(OR(C$7="",C$8=0),0,C$8*(C$7-S$16*(1-$A109)*(1-(1-$A109)^MIN(C$6,$B$11))/($A109*MIN(C$6,$B$11)))^2)+IF(OR(D$7="",D$8=0),0,D$8*(D$7-S$16*(1-$A109)*(1-(1-$A109)^MIN(D$6,$B$11))/($A109*MIN(D$6,$B$11)))^2)+IF(OR(E$7="",E$8=0),0,E$8*(E$7-S$16*(1-$A109)*(1-(1-$A109)^MIN(E$6,$B$11))/($A109*MIN(E$6,$B$11)))^2)</f>
        <v/>
      </c>
      <c r="U109" s="27">
        <f>MIN(B109:S109)</f>
        <v/>
      </c>
      <c r="V109" s="17">
        <f>MATCH(U109,B109:S109,0)</f>
        <v/>
      </c>
    </row>
    <row r="110">
      <c r="A110" s="26" t="n">
        <v>0.0515</v>
      </c>
      <c r="B110" s="27">
        <f>IF(OR(B$7="",B$8=0),0,B$8*(B$7-B$16*(1-$A110)*(1-(1-$A110)^MIN(B$6,$B$11))/($A110*MIN(B$6,$B$11)))^2)+IF(OR(C$7="",C$8=0),0,C$8*(C$7-B$16*(1-$A110)*(1-(1-$A110)^MIN(C$6,$B$11))/($A110*MIN(C$6,$B$11)))^2)+IF(OR(D$7="",D$8=0),0,D$8*(D$7-B$16*(1-$A110)*(1-(1-$A110)^MIN(D$6,$B$11))/($A110*MIN(D$6,$B$11)))^2)+IF(OR(E$7="",E$8=0),0,E$8*(E$7-B$16*(1-$A110)*(1-(1-$A110)^MIN(E$6,$B$11))/($A110*MIN(E$6,$B$11)))^2)</f>
        <v/>
      </c>
      <c r="C110" s="27">
        <f>IF(OR(B$7="",B$8=0),0,B$8*(B$7-C$16*(1-$A110)*(1-(1-$A110)^MIN(B$6,$B$11))/($A110*MIN(B$6,$B$11)))^2)+IF(OR(C$7="",C$8=0),0,C$8*(C$7-C$16*(1-$A110)*(1-(1-$A110)^MIN(C$6,$B$11))/($A110*MIN(C$6,$B$11)))^2)+IF(OR(D$7="",D$8=0),0,D$8*(D$7-C$16*(1-$A110)*(1-(1-$A110)^MIN(D$6,$B$11))/($A110*MIN(D$6,$B$11)))^2)+IF(OR(E$7="",E$8=0),0,E$8*(E$7-C$16*(1-$A110)*(1-(1-$A110)^MIN(E$6,$B$11))/($A110*MIN(E$6,$B$11)))^2)</f>
        <v/>
      </c>
      <c r="D110" s="27">
        <f>IF(OR(B$7="",B$8=0),0,B$8*(B$7-D$16*(1-$A110)*(1-(1-$A110)^MIN(B$6,$B$11))/($A110*MIN(B$6,$B$11)))^2)+IF(OR(C$7="",C$8=0),0,C$8*(C$7-D$16*(1-$A110)*(1-(1-$A110)^MIN(C$6,$B$11))/($A110*MIN(C$6,$B$11)))^2)+IF(OR(D$7="",D$8=0),0,D$8*(D$7-D$16*(1-$A110)*(1-(1-$A110)^MIN(D$6,$B$11))/($A110*MIN(D$6,$B$11)))^2)+IF(OR(E$7="",E$8=0),0,E$8*(E$7-D$16*(1-$A110)*(1-(1-$A110)^MIN(E$6,$B$11))/($A110*MIN(E$6,$B$11)))^2)</f>
        <v/>
      </c>
      <c r="E110" s="27">
        <f>IF(OR(B$7="",B$8=0),0,B$8*(B$7-E$16*(1-$A110)*(1-(1-$A110)^MIN(B$6,$B$11))/($A110*MIN(B$6,$B$11)))^2)+IF(OR(C$7="",C$8=0),0,C$8*(C$7-E$16*(1-$A110)*(1-(1-$A110)^MIN(C$6,$B$11))/($A110*MIN(C$6,$B$11)))^2)+IF(OR(D$7="",D$8=0),0,D$8*(D$7-E$16*(1-$A110)*(1-(1-$A110)^MIN(D$6,$B$11))/($A110*MIN(D$6,$B$11)))^2)+IF(OR(E$7="",E$8=0),0,E$8*(E$7-E$16*(1-$A110)*(1-(1-$A110)^MIN(E$6,$B$11))/($A110*MIN(E$6,$B$11)))^2)</f>
        <v/>
      </c>
      <c r="F110" s="27">
        <f>IF(OR(B$7="",B$8=0),0,B$8*(B$7-F$16*(1-$A110)*(1-(1-$A110)^MIN(B$6,$B$11))/($A110*MIN(B$6,$B$11)))^2)+IF(OR(C$7="",C$8=0),0,C$8*(C$7-F$16*(1-$A110)*(1-(1-$A110)^MIN(C$6,$B$11))/($A110*MIN(C$6,$B$11)))^2)+IF(OR(D$7="",D$8=0),0,D$8*(D$7-F$16*(1-$A110)*(1-(1-$A110)^MIN(D$6,$B$11))/($A110*MIN(D$6,$B$11)))^2)+IF(OR(E$7="",E$8=0),0,E$8*(E$7-F$16*(1-$A110)*(1-(1-$A110)^MIN(E$6,$B$11))/($A110*MIN(E$6,$B$11)))^2)</f>
        <v/>
      </c>
      <c r="G110" s="27">
        <f>IF(OR(B$7="",B$8=0),0,B$8*(B$7-G$16*(1-$A110)*(1-(1-$A110)^MIN(B$6,$B$11))/($A110*MIN(B$6,$B$11)))^2)+IF(OR(C$7="",C$8=0),0,C$8*(C$7-G$16*(1-$A110)*(1-(1-$A110)^MIN(C$6,$B$11))/($A110*MIN(C$6,$B$11)))^2)+IF(OR(D$7="",D$8=0),0,D$8*(D$7-G$16*(1-$A110)*(1-(1-$A110)^MIN(D$6,$B$11))/($A110*MIN(D$6,$B$11)))^2)+IF(OR(E$7="",E$8=0),0,E$8*(E$7-G$16*(1-$A110)*(1-(1-$A110)^MIN(E$6,$B$11))/($A110*MIN(E$6,$B$11)))^2)</f>
        <v/>
      </c>
      <c r="H110" s="27">
        <f>IF(OR(B$7="",B$8=0),0,B$8*(B$7-H$16*(1-$A110)*(1-(1-$A110)^MIN(B$6,$B$11))/($A110*MIN(B$6,$B$11)))^2)+IF(OR(C$7="",C$8=0),0,C$8*(C$7-H$16*(1-$A110)*(1-(1-$A110)^MIN(C$6,$B$11))/($A110*MIN(C$6,$B$11)))^2)+IF(OR(D$7="",D$8=0),0,D$8*(D$7-H$16*(1-$A110)*(1-(1-$A110)^MIN(D$6,$B$11))/($A110*MIN(D$6,$B$11)))^2)+IF(OR(E$7="",E$8=0),0,E$8*(E$7-H$16*(1-$A110)*(1-(1-$A110)^MIN(E$6,$B$11))/($A110*MIN(E$6,$B$11)))^2)</f>
        <v/>
      </c>
      <c r="I110" s="27">
        <f>IF(OR(B$7="",B$8=0),0,B$8*(B$7-I$16*(1-$A110)*(1-(1-$A110)^MIN(B$6,$B$11))/($A110*MIN(B$6,$B$11)))^2)+IF(OR(C$7="",C$8=0),0,C$8*(C$7-I$16*(1-$A110)*(1-(1-$A110)^MIN(C$6,$B$11))/($A110*MIN(C$6,$B$11)))^2)+IF(OR(D$7="",D$8=0),0,D$8*(D$7-I$16*(1-$A110)*(1-(1-$A110)^MIN(D$6,$B$11))/($A110*MIN(D$6,$B$11)))^2)+IF(OR(E$7="",E$8=0),0,E$8*(E$7-I$16*(1-$A110)*(1-(1-$A110)^MIN(E$6,$B$11))/($A110*MIN(E$6,$B$11)))^2)</f>
        <v/>
      </c>
      <c r="J110" s="27">
        <f>IF(OR(B$7="",B$8=0),0,B$8*(B$7-J$16*(1-$A110)*(1-(1-$A110)^MIN(B$6,$B$11))/($A110*MIN(B$6,$B$11)))^2)+IF(OR(C$7="",C$8=0),0,C$8*(C$7-J$16*(1-$A110)*(1-(1-$A110)^MIN(C$6,$B$11))/($A110*MIN(C$6,$B$11)))^2)+IF(OR(D$7="",D$8=0),0,D$8*(D$7-J$16*(1-$A110)*(1-(1-$A110)^MIN(D$6,$B$11))/($A110*MIN(D$6,$B$11)))^2)+IF(OR(E$7="",E$8=0),0,E$8*(E$7-J$16*(1-$A110)*(1-(1-$A110)^MIN(E$6,$B$11))/($A110*MIN(E$6,$B$11)))^2)</f>
        <v/>
      </c>
      <c r="K110" s="27">
        <f>IF(OR(B$7="",B$8=0),0,B$8*(B$7-K$16*(1-$A110)*(1-(1-$A110)^MIN(B$6,$B$11))/($A110*MIN(B$6,$B$11)))^2)+IF(OR(C$7="",C$8=0),0,C$8*(C$7-K$16*(1-$A110)*(1-(1-$A110)^MIN(C$6,$B$11))/($A110*MIN(C$6,$B$11)))^2)+IF(OR(D$7="",D$8=0),0,D$8*(D$7-K$16*(1-$A110)*(1-(1-$A110)^MIN(D$6,$B$11))/($A110*MIN(D$6,$B$11)))^2)+IF(OR(E$7="",E$8=0),0,E$8*(E$7-K$16*(1-$A110)*(1-(1-$A110)^MIN(E$6,$B$11))/($A110*MIN(E$6,$B$11)))^2)</f>
        <v/>
      </c>
      <c r="L110" s="27">
        <f>IF(OR(B$7="",B$8=0),0,B$8*(B$7-L$16*(1-$A110)*(1-(1-$A110)^MIN(B$6,$B$11))/($A110*MIN(B$6,$B$11)))^2)+IF(OR(C$7="",C$8=0),0,C$8*(C$7-L$16*(1-$A110)*(1-(1-$A110)^MIN(C$6,$B$11))/($A110*MIN(C$6,$B$11)))^2)+IF(OR(D$7="",D$8=0),0,D$8*(D$7-L$16*(1-$A110)*(1-(1-$A110)^MIN(D$6,$B$11))/($A110*MIN(D$6,$B$11)))^2)+IF(OR(E$7="",E$8=0),0,E$8*(E$7-L$16*(1-$A110)*(1-(1-$A110)^MIN(E$6,$B$11))/($A110*MIN(E$6,$B$11)))^2)</f>
        <v/>
      </c>
      <c r="M110" s="27">
        <f>IF(OR(B$7="",B$8=0),0,B$8*(B$7-M$16*(1-$A110)*(1-(1-$A110)^MIN(B$6,$B$11))/($A110*MIN(B$6,$B$11)))^2)+IF(OR(C$7="",C$8=0),0,C$8*(C$7-M$16*(1-$A110)*(1-(1-$A110)^MIN(C$6,$B$11))/($A110*MIN(C$6,$B$11)))^2)+IF(OR(D$7="",D$8=0),0,D$8*(D$7-M$16*(1-$A110)*(1-(1-$A110)^MIN(D$6,$B$11))/($A110*MIN(D$6,$B$11)))^2)+IF(OR(E$7="",E$8=0),0,E$8*(E$7-M$16*(1-$A110)*(1-(1-$A110)^MIN(E$6,$B$11))/($A110*MIN(E$6,$B$11)))^2)</f>
        <v/>
      </c>
      <c r="N110" s="27">
        <f>IF(OR(B$7="",B$8=0),0,B$8*(B$7-N$16*(1-$A110)*(1-(1-$A110)^MIN(B$6,$B$11))/($A110*MIN(B$6,$B$11)))^2)+IF(OR(C$7="",C$8=0),0,C$8*(C$7-N$16*(1-$A110)*(1-(1-$A110)^MIN(C$6,$B$11))/($A110*MIN(C$6,$B$11)))^2)+IF(OR(D$7="",D$8=0),0,D$8*(D$7-N$16*(1-$A110)*(1-(1-$A110)^MIN(D$6,$B$11))/($A110*MIN(D$6,$B$11)))^2)+IF(OR(E$7="",E$8=0),0,E$8*(E$7-N$16*(1-$A110)*(1-(1-$A110)^MIN(E$6,$B$11))/($A110*MIN(E$6,$B$11)))^2)</f>
        <v/>
      </c>
      <c r="O110" s="27">
        <f>IF(OR(B$7="",B$8=0),0,B$8*(B$7-O$16*(1-$A110)*(1-(1-$A110)^MIN(B$6,$B$11))/($A110*MIN(B$6,$B$11)))^2)+IF(OR(C$7="",C$8=0),0,C$8*(C$7-O$16*(1-$A110)*(1-(1-$A110)^MIN(C$6,$B$11))/($A110*MIN(C$6,$B$11)))^2)+IF(OR(D$7="",D$8=0),0,D$8*(D$7-O$16*(1-$A110)*(1-(1-$A110)^MIN(D$6,$B$11))/($A110*MIN(D$6,$B$11)))^2)+IF(OR(E$7="",E$8=0),0,E$8*(E$7-O$16*(1-$A110)*(1-(1-$A110)^MIN(E$6,$B$11))/($A110*MIN(E$6,$B$11)))^2)</f>
        <v/>
      </c>
      <c r="P110" s="27">
        <f>IF(OR(B$7="",B$8=0),0,B$8*(B$7-P$16*(1-$A110)*(1-(1-$A110)^MIN(B$6,$B$11))/($A110*MIN(B$6,$B$11)))^2)+IF(OR(C$7="",C$8=0),0,C$8*(C$7-P$16*(1-$A110)*(1-(1-$A110)^MIN(C$6,$B$11))/($A110*MIN(C$6,$B$11)))^2)+IF(OR(D$7="",D$8=0),0,D$8*(D$7-P$16*(1-$A110)*(1-(1-$A110)^MIN(D$6,$B$11))/($A110*MIN(D$6,$B$11)))^2)+IF(OR(E$7="",E$8=0),0,E$8*(E$7-P$16*(1-$A110)*(1-(1-$A110)^MIN(E$6,$B$11))/($A110*MIN(E$6,$B$11)))^2)</f>
        <v/>
      </c>
      <c r="Q110" s="27">
        <f>IF(OR(B$7="",B$8=0),0,B$8*(B$7-Q$16*(1-$A110)*(1-(1-$A110)^MIN(B$6,$B$11))/($A110*MIN(B$6,$B$11)))^2)+IF(OR(C$7="",C$8=0),0,C$8*(C$7-Q$16*(1-$A110)*(1-(1-$A110)^MIN(C$6,$B$11))/($A110*MIN(C$6,$B$11)))^2)+IF(OR(D$7="",D$8=0),0,D$8*(D$7-Q$16*(1-$A110)*(1-(1-$A110)^MIN(D$6,$B$11))/($A110*MIN(D$6,$B$11)))^2)+IF(OR(E$7="",E$8=0),0,E$8*(E$7-Q$16*(1-$A110)*(1-(1-$A110)^MIN(E$6,$B$11))/($A110*MIN(E$6,$B$11)))^2)</f>
        <v/>
      </c>
      <c r="R110" s="27">
        <f>IF(OR(B$7="",B$8=0),0,B$8*(B$7-R$16*(1-$A110)*(1-(1-$A110)^MIN(B$6,$B$11))/($A110*MIN(B$6,$B$11)))^2)+IF(OR(C$7="",C$8=0),0,C$8*(C$7-R$16*(1-$A110)*(1-(1-$A110)^MIN(C$6,$B$11))/($A110*MIN(C$6,$B$11)))^2)+IF(OR(D$7="",D$8=0),0,D$8*(D$7-R$16*(1-$A110)*(1-(1-$A110)^MIN(D$6,$B$11))/($A110*MIN(D$6,$B$11)))^2)+IF(OR(E$7="",E$8=0),0,E$8*(E$7-R$16*(1-$A110)*(1-(1-$A110)^MIN(E$6,$B$11))/($A110*MIN(E$6,$B$11)))^2)</f>
        <v/>
      </c>
      <c r="S110" s="27">
        <f>IF(OR(B$7="",B$8=0),0,B$8*(B$7-S$16*(1-$A110)*(1-(1-$A110)^MIN(B$6,$B$11))/($A110*MIN(B$6,$B$11)))^2)+IF(OR(C$7="",C$8=0),0,C$8*(C$7-S$16*(1-$A110)*(1-(1-$A110)^MIN(C$6,$B$11))/($A110*MIN(C$6,$B$11)))^2)+IF(OR(D$7="",D$8=0),0,D$8*(D$7-S$16*(1-$A110)*(1-(1-$A110)^MIN(D$6,$B$11))/($A110*MIN(D$6,$B$11)))^2)+IF(OR(E$7="",E$8=0),0,E$8*(E$7-S$16*(1-$A110)*(1-(1-$A110)^MIN(E$6,$B$11))/($A110*MIN(E$6,$B$11)))^2)</f>
        <v/>
      </c>
      <c r="U110" s="27">
        <f>MIN(B110:S110)</f>
        <v/>
      </c>
      <c r="V110" s="17">
        <f>MATCH(U110,B110:S110,0)</f>
        <v/>
      </c>
    </row>
    <row r="111">
      <c r="A111" s="26" t="n">
        <v>0.052</v>
      </c>
      <c r="B111" s="27">
        <f>IF(OR(B$7="",B$8=0),0,B$8*(B$7-B$16*(1-$A111)*(1-(1-$A111)^MIN(B$6,$B$11))/($A111*MIN(B$6,$B$11)))^2)+IF(OR(C$7="",C$8=0),0,C$8*(C$7-B$16*(1-$A111)*(1-(1-$A111)^MIN(C$6,$B$11))/($A111*MIN(C$6,$B$11)))^2)+IF(OR(D$7="",D$8=0),0,D$8*(D$7-B$16*(1-$A111)*(1-(1-$A111)^MIN(D$6,$B$11))/($A111*MIN(D$6,$B$11)))^2)+IF(OR(E$7="",E$8=0),0,E$8*(E$7-B$16*(1-$A111)*(1-(1-$A111)^MIN(E$6,$B$11))/($A111*MIN(E$6,$B$11)))^2)</f>
        <v/>
      </c>
      <c r="C111" s="27">
        <f>IF(OR(B$7="",B$8=0),0,B$8*(B$7-C$16*(1-$A111)*(1-(1-$A111)^MIN(B$6,$B$11))/($A111*MIN(B$6,$B$11)))^2)+IF(OR(C$7="",C$8=0),0,C$8*(C$7-C$16*(1-$A111)*(1-(1-$A111)^MIN(C$6,$B$11))/($A111*MIN(C$6,$B$11)))^2)+IF(OR(D$7="",D$8=0),0,D$8*(D$7-C$16*(1-$A111)*(1-(1-$A111)^MIN(D$6,$B$11))/($A111*MIN(D$6,$B$11)))^2)+IF(OR(E$7="",E$8=0),0,E$8*(E$7-C$16*(1-$A111)*(1-(1-$A111)^MIN(E$6,$B$11))/($A111*MIN(E$6,$B$11)))^2)</f>
        <v/>
      </c>
      <c r="D111" s="27">
        <f>IF(OR(B$7="",B$8=0),0,B$8*(B$7-D$16*(1-$A111)*(1-(1-$A111)^MIN(B$6,$B$11))/($A111*MIN(B$6,$B$11)))^2)+IF(OR(C$7="",C$8=0),0,C$8*(C$7-D$16*(1-$A111)*(1-(1-$A111)^MIN(C$6,$B$11))/($A111*MIN(C$6,$B$11)))^2)+IF(OR(D$7="",D$8=0),0,D$8*(D$7-D$16*(1-$A111)*(1-(1-$A111)^MIN(D$6,$B$11))/($A111*MIN(D$6,$B$11)))^2)+IF(OR(E$7="",E$8=0),0,E$8*(E$7-D$16*(1-$A111)*(1-(1-$A111)^MIN(E$6,$B$11))/($A111*MIN(E$6,$B$11)))^2)</f>
        <v/>
      </c>
      <c r="E111" s="27">
        <f>IF(OR(B$7="",B$8=0),0,B$8*(B$7-E$16*(1-$A111)*(1-(1-$A111)^MIN(B$6,$B$11))/($A111*MIN(B$6,$B$11)))^2)+IF(OR(C$7="",C$8=0),0,C$8*(C$7-E$16*(1-$A111)*(1-(1-$A111)^MIN(C$6,$B$11))/($A111*MIN(C$6,$B$11)))^2)+IF(OR(D$7="",D$8=0),0,D$8*(D$7-E$16*(1-$A111)*(1-(1-$A111)^MIN(D$6,$B$11))/($A111*MIN(D$6,$B$11)))^2)+IF(OR(E$7="",E$8=0),0,E$8*(E$7-E$16*(1-$A111)*(1-(1-$A111)^MIN(E$6,$B$11))/($A111*MIN(E$6,$B$11)))^2)</f>
        <v/>
      </c>
      <c r="F111" s="27">
        <f>IF(OR(B$7="",B$8=0),0,B$8*(B$7-F$16*(1-$A111)*(1-(1-$A111)^MIN(B$6,$B$11))/($A111*MIN(B$6,$B$11)))^2)+IF(OR(C$7="",C$8=0),0,C$8*(C$7-F$16*(1-$A111)*(1-(1-$A111)^MIN(C$6,$B$11))/($A111*MIN(C$6,$B$11)))^2)+IF(OR(D$7="",D$8=0),0,D$8*(D$7-F$16*(1-$A111)*(1-(1-$A111)^MIN(D$6,$B$11))/($A111*MIN(D$6,$B$11)))^2)+IF(OR(E$7="",E$8=0),0,E$8*(E$7-F$16*(1-$A111)*(1-(1-$A111)^MIN(E$6,$B$11))/($A111*MIN(E$6,$B$11)))^2)</f>
        <v/>
      </c>
      <c r="G111" s="27">
        <f>IF(OR(B$7="",B$8=0),0,B$8*(B$7-G$16*(1-$A111)*(1-(1-$A111)^MIN(B$6,$B$11))/($A111*MIN(B$6,$B$11)))^2)+IF(OR(C$7="",C$8=0),0,C$8*(C$7-G$16*(1-$A111)*(1-(1-$A111)^MIN(C$6,$B$11))/($A111*MIN(C$6,$B$11)))^2)+IF(OR(D$7="",D$8=0),0,D$8*(D$7-G$16*(1-$A111)*(1-(1-$A111)^MIN(D$6,$B$11))/($A111*MIN(D$6,$B$11)))^2)+IF(OR(E$7="",E$8=0),0,E$8*(E$7-G$16*(1-$A111)*(1-(1-$A111)^MIN(E$6,$B$11))/($A111*MIN(E$6,$B$11)))^2)</f>
        <v/>
      </c>
      <c r="H111" s="27">
        <f>IF(OR(B$7="",B$8=0),0,B$8*(B$7-H$16*(1-$A111)*(1-(1-$A111)^MIN(B$6,$B$11))/($A111*MIN(B$6,$B$11)))^2)+IF(OR(C$7="",C$8=0),0,C$8*(C$7-H$16*(1-$A111)*(1-(1-$A111)^MIN(C$6,$B$11))/($A111*MIN(C$6,$B$11)))^2)+IF(OR(D$7="",D$8=0),0,D$8*(D$7-H$16*(1-$A111)*(1-(1-$A111)^MIN(D$6,$B$11))/($A111*MIN(D$6,$B$11)))^2)+IF(OR(E$7="",E$8=0),0,E$8*(E$7-H$16*(1-$A111)*(1-(1-$A111)^MIN(E$6,$B$11))/($A111*MIN(E$6,$B$11)))^2)</f>
        <v/>
      </c>
      <c r="I111" s="27">
        <f>IF(OR(B$7="",B$8=0),0,B$8*(B$7-I$16*(1-$A111)*(1-(1-$A111)^MIN(B$6,$B$11))/($A111*MIN(B$6,$B$11)))^2)+IF(OR(C$7="",C$8=0),0,C$8*(C$7-I$16*(1-$A111)*(1-(1-$A111)^MIN(C$6,$B$11))/($A111*MIN(C$6,$B$11)))^2)+IF(OR(D$7="",D$8=0),0,D$8*(D$7-I$16*(1-$A111)*(1-(1-$A111)^MIN(D$6,$B$11))/($A111*MIN(D$6,$B$11)))^2)+IF(OR(E$7="",E$8=0),0,E$8*(E$7-I$16*(1-$A111)*(1-(1-$A111)^MIN(E$6,$B$11))/($A111*MIN(E$6,$B$11)))^2)</f>
        <v/>
      </c>
      <c r="J111" s="27">
        <f>IF(OR(B$7="",B$8=0),0,B$8*(B$7-J$16*(1-$A111)*(1-(1-$A111)^MIN(B$6,$B$11))/($A111*MIN(B$6,$B$11)))^2)+IF(OR(C$7="",C$8=0),0,C$8*(C$7-J$16*(1-$A111)*(1-(1-$A111)^MIN(C$6,$B$11))/($A111*MIN(C$6,$B$11)))^2)+IF(OR(D$7="",D$8=0),0,D$8*(D$7-J$16*(1-$A111)*(1-(1-$A111)^MIN(D$6,$B$11))/($A111*MIN(D$6,$B$11)))^2)+IF(OR(E$7="",E$8=0),0,E$8*(E$7-J$16*(1-$A111)*(1-(1-$A111)^MIN(E$6,$B$11))/($A111*MIN(E$6,$B$11)))^2)</f>
        <v/>
      </c>
      <c r="K111" s="27">
        <f>IF(OR(B$7="",B$8=0),0,B$8*(B$7-K$16*(1-$A111)*(1-(1-$A111)^MIN(B$6,$B$11))/($A111*MIN(B$6,$B$11)))^2)+IF(OR(C$7="",C$8=0),0,C$8*(C$7-K$16*(1-$A111)*(1-(1-$A111)^MIN(C$6,$B$11))/($A111*MIN(C$6,$B$11)))^2)+IF(OR(D$7="",D$8=0),0,D$8*(D$7-K$16*(1-$A111)*(1-(1-$A111)^MIN(D$6,$B$11))/($A111*MIN(D$6,$B$11)))^2)+IF(OR(E$7="",E$8=0),0,E$8*(E$7-K$16*(1-$A111)*(1-(1-$A111)^MIN(E$6,$B$11))/($A111*MIN(E$6,$B$11)))^2)</f>
        <v/>
      </c>
      <c r="L111" s="27">
        <f>IF(OR(B$7="",B$8=0),0,B$8*(B$7-L$16*(1-$A111)*(1-(1-$A111)^MIN(B$6,$B$11))/($A111*MIN(B$6,$B$11)))^2)+IF(OR(C$7="",C$8=0),0,C$8*(C$7-L$16*(1-$A111)*(1-(1-$A111)^MIN(C$6,$B$11))/($A111*MIN(C$6,$B$11)))^2)+IF(OR(D$7="",D$8=0),0,D$8*(D$7-L$16*(1-$A111)*(1-(1-$A111)^MIN(D$6,$B$11))/($A111*MIN(D$6,$B$11)))^2)+IF(OR(E$7="",E$8=0),0,E$8*(E$7-L$16*(1-$A111)*(1-(1-$A111)^MIN(E$6,$B$11))/($A111*MIN(E$6,$B$11)))^2)</f>
        <v/>
      </c>
      <c r="M111" s="27">
        <f>IF(OR(B$7="",B$8=0),0,B$8*(B$7-M$16*(1-$A111)*(1-(1-$A111)^MIN(B$6,$B$11))/($A111*MIN(B$6,$B$11)))^2)+IF(OR(C$7="",C$8=0),0,C$8*(C$7-M$16*(1-$A111)*(1-(1-$A111)^MIN(C$6,$B$11))/($A111*MIN(C$6,$B$11)))^2)+IF(OR(D$7="",D$8=0),0,D$8*(D$7-M$16*(1-$A111)*(1-(1-$A111)^MIN(D$6,$B$11))/($A111*MIN(D$6,$B$11)))^2)+IF(OR(E$7="",E$8=0),0,E$8*(E$7-M$16*(1-$A111)*(1-(1-$A111)^MIN(E$6,$B$11))/($A111*MIN(E$6,$B$11)))^2)</f>
        <v/>
      </c>
      <c r="N111" s="27">
        <f>IF(OR(B$7="",B$8=0),0,B$8*(B$7-N$16*(1-$A111)*(1-(1-$A111)^MIN(B$6,$B$11))/($A111*MIN(B$6,$B$11)))^2)+IF(OR(C$7="",C$8=0),0,C$8*(C$7-N$16*(1-$A111)*(1-(1-$A111)^MIN(C$6,$B$11))/($A111*MIN(C$6,$B$11)))^2)+IF(OR(D$7="",D$8=0),0,D$8*(D$7-N$16*(1-$A111)*(1-(1-$A111)^MIN(D$6,$B$11))/($A111*MIN(D$6,$B$11)))^2)+IF(OR(E$7="",E$8=0),0,E$8*(E$7-N$16*(1-$A111)*(1-(1-$A111)^MIN(E$6,$B$11))/($A111*MIN(E$6,$B$11)))^2)</f>
        <v/>
      </c>
      <c r="O111" s="27">
        <f>IF(OR(B$7="",B$8=0),0,B$8*(B$7-O$16*(1-$A111)*(1-(1-$A111)^MIN(B$6,$B$11))/($A111*MIN(B$6,$B$11)))^2)+IF(OR(C$7="",C$8=0),0,C$8*(C$7-O$16*(1-$A111)*(1-(1-$A111)^MIN(C$6,$B$11))/($A111*MIN(C$6,$B$11)))^2)+IF(OR(D$7="",D$8=0),0,D$8*(D$7-O$16*(1-$A111)*(1-(1-$A111)^MIN(D$6,$B$11))/($A111*MIN(D$6,$B$11)))^2)+IF(OR(E$7="",E$8=0),0,E$8*(E$7-O$16*(1-$A111)*(1-(1-$A111)^MIN(E$6,$B$11))/($A111*MIN(E$6,$B$11)))^2)</f>
        <v/>
      </c>
      <c r="P111" s="27">
        <f>IF(OR(B$7="",B$8=0),0,B$8*(B$7-P$16*(1-$A111)*(1-(1-$A111)^MIN(B$6,$B$11))/($A111*MIN(B$6,$B$11)))^2)+IF(OR(C$7="",C$8=0),0,C$8*(C$7-P$16*(1-$A111)*(1-(1-$A111)^MIN(C$6,$B$11))/($A111*MIN(C$6,$B$11)))^2)+IF(OR(D$7="",D$8=0),0,D$8*(D$7-P$16*(1-$A111)*(1-(1-$A111)^MIN(D$6,$B$11))/($A111*MIN(D$6,$B$11)))^2)+IF(OR(E$7="",E$8=0),0,E$8*(E$7-P$16*(1-$A111)*(1-(1-$A111)^MIN(E$6,$B$11))/($A111*MIN(E$6,$B$11)))^2)</f>
        <v/>
      </c>
      <c r="Q111" s="27">
        <f>IF(OR(B$7="",B$8=0),0,B$8*(B$7-Q$16*(1-$A111)*(1-(1-$A111)^MIN(B$6,$B$11))/($A111*MIN(B$6,$B$11)))^2)+IF(OR(C$7="",C$8=0),0,C$8*(C$7-Q$16*(1-$A111)*(1-(1-$A111)^MIN(C$6,$B$11))/($A111*MIN(C$6,$B$11)))^2)+IF(OR(D$7="",D$8=0),0,D$8*(D$7-Q$16*(1-$A111)*(1-(1-$A111)^MIN(D$6,$B$11))/($A111*MIN(D$6,$B$11)))^2)+IF(OR(E$7="",E$8=0),0,E$8*(E$7-Q$16*(1-$A111)*(1-(1-$A111)^MIN(E$6,$B$11))/($A111*MIN(E$6,$B$11)))^2)</f>
        <v/>
      </c>
      <c r="R111" s="27">
        <f>IF(OR(B$7="",B$8=0),0,B$8*(B$7-R$16*(1-$A111)*(1-(1-$A111)^MIN(B$6,$B$11))/($A111*MIN(B$6,$B$11)))^2)+IF(OR(C$7="",C$8=0),0,C$8*(C$7-R$16*(1-$A111)*(1-(1-$A111)^MIN(C$6,$B$11))/($A111*MIN(C$6,$B$11)))^2)+IF(OR(D$7="",D$8=0),0,D$8*(D$7-R$16*(1-$A111)*(1-(1-$A111)^MIN(D$6,$B$11))/($A111*MIN(D$6,$B$11)))^2)+IF(OR(E$7="",E$8=0),0,E$8*(E$7-R$16*(1-$A111)*(1-(1-$A111)^MIN(E$6,$B$11))/($A111*MIN(E$6,$B$11)))^2)</f>
        <v/>
      </c>
      <c r="S111" s="27">
        <f>IF(OR(B$7="",B$8=0),0,B$8*(B$7-S$16*(1-$A111)*(1-(1-$A111)^MIN(B$6,$B$11))/($A111*MIN(B$6,$B$11)))^2)+IF(OR(C$7="",C$8=0),0,C$8*(C$7-S$16*(1-$A111)*(1-(1-$A111)^MIN(C$6,$B$11))/($A111*MIN(C$6,$B$11)))^2)+IF(OR(D$7="",D$8=0),0,D$8*(D$7-S$16*(1-$A111)*(1-(1-$A111)^MIN(D$6,$B$11))/($A111*MIN(D$6,$B$11)))^2)+IF(OR(E$7="",E$8=0),0,E$8*(E$7-S$16*(1-$A111)*(1-(1-$A111)^MIN(E$6,$B$11))/($A111*MIN(E$6,$B$11)))^2)</f>
        <v/>
      </c>
      <c r="U111" s="27">
        <f>MIN(B111:S111)</f>
        <v/>
      </c>
      <c r="V111" s="17">
        <f>MATCH(U111,B111:S111,0)</f>
        <v/>
      </c>
    </row>
    <row r="112">
      <c r="A112" s="26" t="n">
        <v>0.0525</v>
      </c>
      <c r="B112" s="27">
        <f>IF(OR(B$7="",B$8=0),0,B$8*(B$7-B$16*(1-$A112)*(1-(1-$A112)^MIN(B$6,$B$11))/($A112*MIN(B$6,$B$11)))^2)+IF(OR(C$7="",C$8=0),0,C$8*(C$7-B$16*(1-$A112)*(1-(1-$A112)^MIN(C$6,$B$11))/($A112*MIN(C$6,$B$11)))^2)+IF(OR(D$7="",D$8=0),0,D$8*(D$7-B$16*(1-$A112)*(1-(1-$A112)^MIN(D$6,$B$11))/($A112*MIN(D$6,$B$11)))^2)+IF(OR(E$7="",E$8=0),0,E$8*(E$7-B$16*(1-$A112)*(1-(1-$A112)^MIN(E$6,$B$11))/($A112*MIN(E$6,$B$11)))^2)</f>
        <v/>
      </c>
      <c r="C112" s="27">
        <f>IF(OR(B$7="",B$8=0),0,B$8*(B$7-C$16*(1-$A112)*(1-(1-$A112)^MIN(B$6,$B$11))/($A112*MIN(B$6,$B$11)))^2)+IF(OR(C$7="",C$8=0),0,C$8*(C$7-C$16*(1-$A112)*(1-(1-$A112)^MIN(C$6,$B$11))/($A112*MIN(C$6,$B$11)))^2)+IF(OR(D$7="",D$8=0),0,D$8*(D$7-C$16*(1-$A112)*(1-(1-$A112)^MIN(D$6,$B$11))/($A112*MIN(D$6,$B$11)))^2)+IF(OR(E$7="",E$8=0),0,E$8*(E$7-C$16*(1-$A112)*(1-(1-$A112)^MIN(E$6,$B$11))/($A112*MIN(E$6,$B$11)))^2)</f>
        <v/>
      </c>
      <c r="D112" s="27">
        <f>IF(OR(B$7="",B$8=0),0,B$8*(B$7-D$16*(1-$A112)*(1-(1-$A112)^MIN(B$6,$B$11))/($A112*MIN(B$6,$B$11)))^2)+IF(OR(C$7="",C$8=0),0,C$8*(C$7-D$16*(1-$A112)*(1-(1-$A112)^MIN(C$6,$B$11))/($A112*MIN(C$6,$B$11)))^2)+IF(OR(D$7="",D$8=0),0,D$8*(D$7-D$16*(1-$A112)*(1-(1-$A112)^MIN(D$6,$B$11))/($A112*MIN(D$6,$B$11)))^2)+IF(OR(E$7="",E$8=0),0,E$8*(E$7-D$16*(1-$A112)*(1-(1-$A112)^MIN(E$6,$B$11))/($A112*MIN(E$6,$B$11)))^2)</f>
        <v/>
      </c>
      <c r="E112" s="27">
        <f>IF(OR(B$7="",B$8=0),0,B$8*(B$7-E$16*(1-$A112)*(1-(1-$A112)^MIN(B$6,$B$11))/($A112*MIN(B$6,$B$11)))^2)+IF(OR(C$7="",C$8=0),0,C$8*(C$7-E$16*(1-$A112)*(1-(1-$A112)^MIN(C$6,$B$11))/($A112*MIN(C$6,$B$11)))^2)+IF(OR(D$7="",D$8=0),0,D$8*(D$7-E$16*(1-$A112)*(1-(1-$A112)^MIN(D$6,$B$11))/($A112*MIN(D$6,$B$11)))^2)+IF(OR(E$7="",E$8=0),0,E$8*(E$7-E$16*(1-$A112)*(1-(1-$A112)^MIN(E$6,$B$11))/($A112*MIN(E$6,$B$11)))^2)</f>
        <v/>
      </c>
      <c r="F112" s="27">
        <f>IF(OR(B$7="",B$8=0),0,B$8*(B$7-F$16*(1-$A112)*(1-(1-$A112)^MIN(B$6,$B$11))/($A112*MIN(B$6,$B$11)))^2)+IF(OR(C$7="",C$8=0),0,C$8*(C$7-F$16*(1-$A112)*(1-(1-$A112)^MIN(C$6,$B$11))/($A112*MIN(C$6,$B$11)))^2)+IF(OR(D$7="",D$8=0),0,D$8*(D$7-F$16*(1-$A112)*(1-(1-$A112)^MIN(D$6,$B$11))/($A112*MIN(D$6,$B$11)))^2)+IF(OR(E$7="",E$8=0),0,E$8*(E$7-F$16*(1-$A112)*(1-(1-$A112)^MIN(E$6,$B$11))/($A112*MIN(E$6,$B$11)))^2)</f>
        <v/>
      </c>
      <c r="G112" s="27">
        <f>IF(OR(B$7="",B$8=0),0,B$8*(B$7-G$16*(1-$A112)*(1-(1-$A112)^MIN(B$6,$B$11))/($A112*MIN(B$6,$B$11)))^2)+IF(OR(C$7="",C$8=0),0,C$8*(C$7-G$16*(1-$A112)*(1-(1-$A112)^MIN(C$6,$B$11))/($A112*MIN(C$6,$B$11)))^2)+IF(OR(D$7="",D$8=0),0,D$8*(D$7-G$16*(1-$A112)*(1-(1-$A112)^MIN(D$6,$B$11))/($A112*MIN(D$6,$B$11)))^2)+IF(OR(E$7="",E$8=0),0,E$8*(E$7-G$16*(1-$A112)*(1-(1-$A112)^MIN(E$6,$B$11))/($A112*MIN(E$6,$B$11)))^2)</f>
        <v/>
      </c>
      <c r="H112" s="27">
        <f>IF(OR(B$7="",B$8=0),0,B$8*(B$7-H$16*(1-$A112)*(1-(1-$A112)^MIN(B$6,$B$11))/($A112*MIN(B$6,$B$11)))^2)+IF(OR(C$7="",C$8=0),0,C$8*(C$7-H$16*(1-$A112)*(1-(1-$A112)^MIN(C$6,$B$11))/($A112*MIN(C$6,$B$11)))^2)+IF(OR(D$7="",D$8=0),0,D$8*(D$7-H$16*(1-$A112)*(1-(1-$A112)^MIN(D$6,$B$11))/($A112*MIN(D$6,$B$11)))^2)+IF(OR(E$7="",E$8=0),0,E$8*(E$7-H$16*(1-$A112)*(1-(1-$A112)^MIN(E$6,$B$11))/($A112*MIN(E$6,$B$11)))^2)</f>
        <v/>
      </c>
      <c r="I112" s="27">
        <f>IF(OR(B$7="",B$8=0),0,B$8*(B$7-I$16*(1-$A112)*(1-(1-$A112)^MIN(B$6,$B$11))/($A112*MIN(B$6,$B$11)))^2)+IF(OR(C$7="",C$8=0),0,C$8*(C$7-I$16*(1-$A112)*(1-(1-$A112)^MIN(C$6,$B$11))/($A112*MIN(C$6,$B$11)))^2)+IF(OR(D$7="",D$8=0),0,D$8*(D$7-I$16*(1-$A112)*(1-(1-$A112)^MIN(D$6,$B$11))/($A112*MIN(D$6,$B$11)))^2)+IF(OR(E$7="",E$8=0),0,E$8*(E$7-I$16*(1-$A112)*(1-(1-$A112)^MIN(E$6,$B$11))/($A112*MIN(E$6,$B$11)))^2)</f>
        <v/>
      </c>
      <c r="J112" s="27">
        <f>IF(OR(B$7="",B$8=0),0,B$8*(B$7-J$16*(1-$A112)*(1-(1-$A112)^MIN(B$6,$B$11))/($A112*MIN(B$6,$B$11)))^2)+IF(OR(C$7="",C$8=0),0,C$8*(C$7-J$16*(1-$A112)*(1-(1-$A112)^MIN(C$6,$B$11))/($A112*MIN(C$6,$B$11)))^2)+IF(OR(D$7="",D$8=0),0,D$8*(D$7-J$16*(1-$A112)*(1-(1-$A112)^MIN(D$6,$B$11))/($A112*MIN(D$6,$B$11)))^2)+IF(OR(E$7="",E$8=0),0,E$8*(E$7-J$16*(1-$A112)*(1-(1-$A112)^MIN(E$6,$B$11))/($A112*MIN(E$6,$B$11)))^2)</f>
        <v/>
      </c>
      <c r="K112" s="27">
        <f>IF(OR(B$7="",B$8=0),0,B$8*(B$7-K$16*(1-$A112)*(1-(1-$A112)^MIN(B$6,$B$11))/($A112*MIN(B$6,$B$11)))^2)+IF(OR(C$7="",C$8=0),0,C$8*(C$7-K$16*(1-$A112)*(1-(1-$A112)^MIN(C$6,$B$11))/($A112*MIN(C$6,$B$11)))^2)+IF(OR(D$7="",D$8=0),0,D$8*(D$7-K$16*(1-$A112)*(1-(1-$A112)^MIN(D$6,$B$11))/($A112*MIN(D$6,$B$11)))^2)+IF(OR(E$7="",E$8=0),0,E$8*(E$7-K$16*(1-$A112)*(1-(1-$A112)^MIN(E$6,$B$11))/($A112*MIN(E$6,$B$11)))^2)</f>
        <v/>
      </c>
      <c r="L112" s="27">
        <f>IF(OR(B$7="",B$8=0),0,B$8*(B$7-L$16*(1-$A112)*(1-(1-$A112)^MIN(B$6,$B$11))/($A112*MIN(B$6,$B$11)))^2)+IF(OR(C$7="",C$8=0),0,C$8*(C$7-L$16*(1-$A112)*(1-(1-$A112)^MIN(C$6,$B$11))/($A112*MIN(C$6,$B$11)))^2)+IF(OR(D$7="",D$8=0),0,D$8*(D$7-L$16*(1-$A112)*(1-(1-$A112)^MIN(D$6,$B$11))/($A112*MIN(D$6,$B$11)))^2)+IF(OR(E$7="",E$8=0),0,E$8*(E$7-L$16*(1-$A112)*(1-(1-$A112)^MIN(E$6,$B$11))/($A112*MIN(E$6,$B$11)))^2)</f>
        <v/>
      </c>
      <c r="M112" s="27">
        <f>IF(OR(B$7="",B$8=0),0,B$8*(B$7-M$16*(1-$A112)*(1-(1-$A112)^MIN(B$6,$B$11))/($A112*MIN(B$6,$B$11)))^2)+IF(OR(C$7="",C$8=0),0,C$8*(C$7-M$16*(1-$A112)*(1-(1-$A112)^MIN(C$6,$B$11))/($A112*MIN(C$6,$B$11)))^2)+IF(OR(D$7="",D$8=0),0,D$8*(D$7-M$16*(1-$A112)*(1-(1-$A112)^MIN(D$6,$B$11))/($A112*MIN(D$6,$B$11)))^2)+IF(OR(E$7="",E$8=0),0,E$8*(E$7-M$16*(1-$A112)*(1-(1-$A112)^MIN(E$6,$B$11))/($A112*MIN(E$6,$B$11)))^2)</f>
        <v/>
      </c>
      <c r="N112" s="27">
        <f>IF(OR(B$7="",B$8=0),0,B$8*(B$7-N$16*(1-$A112)*(1-(1-$A112)^MIN(B$6,$B$11))/($A112*MIN(B$6,$B$11)))^2)+IF(OR(C$7="",C$8=0),0,C$8*(C$7-N$16*(1-$A112)*(1-(1-$A112)^MIN(C$6,$B$11))/($A112*MIN(C$6,$B$11)))^2)+IF(OR(D$7="",D$8=0),0,D$8*(D$7-N$16*(1-$A112)*(1-(1-$A112)^MIN(D$6,$B$11))/($A112*MIN(D$6,$B$11)))^2)+IF(OR(E$7="",E$8=0),0,E$8*(E$7-N$16*(1-$A112)*(1-(1-$A112)^MIN(E$6,$B$11))/($A112*MIN(E$6,$B$11)))^2)</f>
        <v/>
      </c>
      <c r="O112" s="27">
        <f>IF(OR(B$7="",B$8=0),0,B$8*(B$7-O$16*(1-$A112)*(1-(1-$A112)^MIN(B$6,$B$11))/($A112*MIN(B$6,$B$11)))^2)+IF(OR(C$7="",C$8=0),0,C$8*(C$7-O$16*(1-$A112)*(1-(1-$A112)^MIN(C$6,$B$11))/($A112*MIN(C$6,$B$11)))^2)+IF(OR(D$7="",D$8=0),0,D$8*(D$7-O$16*(1-$A112)*(1-(1-$A112)^MIN(D$6,$B$11))/($A112*MIN(D$6,$B$11)))^2)+IF(OR(E$7="",E$8=0),0,E$8*(E$7-O$16*(1-$A112)*(1-(1-$A112)^MIN(E$6,$B$11))/($A112*MIN(E$6,$B$11)))^2)</f>
        <v/>
      </c>
      <c r="P112" s="27">
        <f>IF(OR(B$7="",B$8=0),0,B$8*(B$7-P$16*(1-$A112)*(1-(1-$A112)^MIN(B$6,$B$11))/($A112*MIN(B$6,$B$11)))^2)+IF(OR(C$7="",C$8=0),0,C$8*(C$7-P$16*(1-$A112)*(1-(1-$A112)^MIN(C$6,$B$11))/($A112*MIN(C$6,$B$11)))^2)+IF(OR(D$7="",D$8=0),0,D$8*(D$7-P$16*(1-$A112)*(1-(1-$A112)^MIN(D$6,$B$11))/($A112*MIN(D$6,$B$11)))^2)+IF(OR(E$7="",E$8=0),0,E$8*(E$7-P$16*(1-$A112)*(1-(1-$A112)^MIN(E$6,$B$11))/($A112*MIN(E$6,$B$11)))^2)</f>
        <v/>
      </c>
      <c r="Q112" s="27">
        <f>IF(OR(B$7="",B$8=0),0,B$8*(B$7-Q$16*(1-$A112)*(1-(1-$A112)^MIN(B$6,$B$11))/($A112*MIN(B$6,$B$11)))^2)+IF(OR(C$7="",C$8=0),0,C$8*(C$7-Q$16*(1-$A112)*(1-(1-$A112)^MIN(C$6,$B$11))/($A112*MIN(C$6,$B$11)))^2)+IF(OR(D$7="",D$8=0),0,D$8*(D$7-Q$16*(1-$A112)*(1-(1-$A112)^MIN(D$6,$B$11))/($A112*MIN(D$6,$B$11)))^2)+IF(OR(E$7="",E$8=0),0,E$8*(E$7-Q$16*(1-$A112)*(1-(1-$A112)^MIN(E$6,$B$11))/($A112*MIN(E$6,$B$11)))^2)</f>
        <v/>
      </c>
      <c r="R112" s="27">
        <f>IF(OR(B$7="",B$8=0),0,B$8*(B$7-R$16*(1-$A112)*(1-(1-$A112)^MIN(B$6,$B$11))/($A112*MIN(B$6,$B$11)))^2)+IF(OR(C$7="",C$8=0),0,C$8*(C$7-R$16*(1-$A112)*(1-(1-$A112)^MIN(C$6,$B$11))/($A112*MIN(C$6,$B$11)))^2)+IF(OR(D$7="",D$8=0),0,D$8*(D$7-R$16*(1-$A112)*(1-(1-$A112)^MIN(D$6,$B$11))/($A112*MIN(D$6,$B$11)))^2)+IF(OR(E$7="",E$8=0),0,E$8*(E$7-R$16*(1-$A112)*(1-(1-$A112)^MIN(E$6,$B$11))/($A112*MIN(E$6,$B$11)))^2)</f>
        <v/>
      </c>
      <c r="S112" s="27">
        <f>IF(OR(B$7="",B$8=0),0,B$8*(B$7-S$16*(1-$A112)*(1-(1-$A112)^MIN(B$6,$B$11))/($A112*MIN(B$6,$B$11)))^2)+IF(OR(C$7="",C$8=0),0,C$8*(C$7-S$16*(1-$A112)*(1-(1-$A112)^MIN(C$6,$B$11))/($A112*MIN(C$6,$B$11)))^2)+IF(OR(D$7="",D$8=0),0,D$8*(D$7-S$16*(1-$A112)*(1-(1-$A112)^MIN(D$6,$B$11))/($A112*MIN(D$6,$B$11)))^2)+IF(OR(E$7="",E$8=0),0,E$8*(E$7-S$16*(1-$A112)*(1-(1-$A112)^MIN(E$6,$B$11))/($A112*MIN(E$6,$B$11)))^2)</f>
        <v/>
      </c>
      <c r="U112" s="27">
        <f>MIN(B112:S112)</f>
        <v/>
      </c>
      <c r="V112" s="17">
        <f>MATCH(U112,B112:S112,0)</f>
        <v/>
      </c>
    </row>
    <row r="113">
      <c r="A113" s="26" t="n">
        <v>0.053</v>
      </c>
      <c r="B113" s="27">
        <f>IF(OR(B$7="",B$8=0),0,B$8*(B$7-B$16*(1-$A113)*(1-(1-$A113)^MIN(B$6,$B$11))/($A113*MIN(B$6,$B$11)))^2)+IF(OR(C$7="",C$8=0),0,C$8*(C$7-B$16*(1-$A113)*(1-(1-$A113)^MIN(C$6,$B$11))/($A113*MIN(C$6,$B$11)))^2)+IF(OR(D$7="",D$8=0),0,D$8*(D$7-B$16*(1-$A113)*(1-(1-$A113)^MIN(D$6,$B$11))/($A113*MIN(D$6,$B$11)))^2)+IF(OR(E$7="",E$8=0),0,E$8*(E$7-B$16*(1-$A113)*(1-(1-$A113)^MIN(E$6,$B$11))/($A113*MIN(E$6,$B$11)))^2)</f>
        <v/>
      </c>
      <c r="C113" s="27">
        <f>IF(OR(B$7="",B$8=0),0,B$8*(B$7-C$16*(1-$A113)*(1-(1-$A113)^MIN(B$6,$B$11))/($A113*MIN(B$6,$B$11)))^2)+IF(OR(C$7="",C$8=0),0,C$8*(C$7-C$16*(1-$A113)*(1-(1-$A113)^MIN(C$6,$B$11))/($A113*MIN(C$6,$B$11)))^2)+IF(OR(D$7="",D$8=0),0,D$8*(D$7-C$16*(1-$A113)*(1-(1-$A113)^MIN(D$6,$B$11))/($A113*MIN(D$6,$B$11)))^2)+IF(OR(E$7="",E$8=0),0,E$8*(E$7-C$16*(1-$A113)*(1-(1-$A113)^MIN(E$6,$B$11))/($A113*MIN(E$6,$B$11)))^2)</f>
        <v/>
      </c>
      <c r="D113" s="27">
        <f>IF(OR(B$7="",B$8=0),0,B$8*(B$7-D$16*(1-$A113)*(1-(1-$A113)^MIN(B$6,$B$11))/($A113*MIN(B$6,$B$11)))^2)+IF(OR(C$7="",C$8=0),0,C$8*(C$7-D$16*(1-$A113)*(1-(1-$A113)^MIN(C$6,$B$11))/($A113*MIN(C$6,$B$11)))^2)+IF(OR(D$7="",D$8=0),0,D$8*(D$7-D$16*(1-$A113)*(1-(1-$A113)^MIN(D$6,$B$11))/($A113*MIN(D$6,$B$11)))^2)+IF(OR(E$7="",E$8=0),0,E$8*(E$7-D$16*(1-$A113)*(1-(1-$A113)^MIN(E$6,$B$11))/($A113*MIN(E$6,$B$11)))^2)</f>
        <v/>
      </c>
      <c r="E113" s="27">
        <f>IF(OR(B$7="",B$8=0),0,B$8*(B$7-E$16*(1-$A113)*(1-(1-$A113)^MIN(B$6,$B$11))/($A113*MIN(B$6,$B$11)))^2)+IF(OR(C$7="",C$8=0),0,C$8*(C$7-E$16*(1-$A113)*(1-(1-$A113)^MIN(C$6,$B$11))/($A113*MIN(C$6,$B$11)))^2)+IF(OR(D$7="",D$8=0),0,D$8*(D$7-E$16*(1-$A113)*(1-(1-$A113)^MIN(D$6,$B$11))/($A113*MIN(D$6,$B$11)))^2)+IF(OR(E$7="",E$8=0),0,E$8*(E$7-E$16*(1-$A113)*(1-(1-$A113)^MIN(E$6,$B$11))/($A113*MIN(E$6,$B$11)))^2)</f>
        <v/>
      </c>
      <c r="F113" s="27">
        <f>IF(OR(B$7="",B$8=0),0,B$8*(B$7-F$16*(1-$A113)*(1-(1-$A113)^MIN(B$6,$B$11))/($A113*MIN(B$6,$B$11)))^2)+IF(OR(C$7="",C$8=0),0,C$8*(C$7-F$16*(1-$A113)*(1-(1-$A113)^MIN(C$6,$B$11))/($A113*MIN(C$6,$B$11)))^2)+IF(OR(D$7="",D$8=0),0,D$8*(D$7-F$16*(1-$A113)*(1-(1-$A113)^MIN(D$6,$B$11))/($A113*MIN(D$6,$B$11)))^2)+IF(OR(E$7="",E$8=0),0,E$8*(E$7-F$16*(1-$A113)*(1-(1-$A113)^MIN(E$6,$B$11))/($A113*MIN(E$6,$B$11)))^2)</f>
        <v/>
      </c>
      <c r="G113" s="27">
        <f>IF(OR(B$7="",B$8=0),0,B$8*(B$7-G$16*(1-$A113)*(1-(1-$A113)^MIN(B$6,$B$11))/($A113*MIN(B$6,$B$11)))^2)+IF(OR(C$7="",C$8=0),0,C$8*(C$7-G$16*(1-$A113)*(1-(1-$A113)^MIN(C$6,$B$11))/($A113*MIN(C$6,$B$11)))^2)+IF(OR(D$7="",D$8=0),0,D$8*(D$7-G$16*(1-$A113)*(1-(1-$A113)^MIN(D$6,$B$11))/($A113*MIN(D$6,$B$11)))^2)+IF(OR(E$7="",E$8=0),0,E$8*(E$7-G$16*(1-$A113)*(1-(1-$A113)^MIN(E$6,$B$11))/($A113*MIN(E$6,$B$11)))^2)</f>
        <v/>
      </c>
      <c r="H113" s="27">
        <f>IF(OR(B$7="",B$8=0),0,B$8*(B$7-H$16*(1-$A113)*(1-(1-$A113)^MIN(B$6,$B$11))/($A113*MIN(B$6,$B$11)))^2)+IF(OR(C$7="",C$8=0),0,C$8*(C$7-H$16*(1-$A113)*(1-(1-$A113)^MIN(C$6,$B$11))/($A113*MIN(C$6,$B$11)))^2)+IF(OR(D$7="",D$8=0),0,D$8*(D$7-H$16*(1-$A113)*(1-(1-$A113)^MIN(D$6,$B$11))/($A113*MIN(D$6,$B$11)))^2)+IF(OR(E$7="",E$8=0),0,E$8*(E$7-H$16*(1-$A113)*(1-(1-$A113)^MIN(E$6,$B$11))/($A113*MIN(E$6,$B$11)))^2)</f>
        <v/>
      </c>
      <c r="I113" s="27">
        <f>IF(OR(B$7="",B$8=0),0,B$8*(B$7-I$16*(1-$A113)*(1-(1-$A113)^MIN(B$6,$B$11))/($A113*MIN(B$6,$B$11)))^2)+IF(OR(C$7="",C$8=0),0,C$8*(C$7-I$16*(1-$A113)*(1-(1-$A113)^MIN(C$6,$B$11))/($A113*MIN(C$6,$B$11)))^2)+IF(OR(D$7="",D$8=0),0,D$8*(D$7-I$16*(1-$A113)*(1-(1-$A113)^MIN(D$6,$B$11))/($A113*MIN(D$6,$B$11)))^2)+IF(OR(E$7="",E$8=0),0,E$8*(E$7-I$16*(1-$A113)*(1-(1-$A113)^MIN(E$6,$B$11))/($A113*MIN(E$6,$B$11)))^2)</f>
        <v/>
      </c>
      <c r="J113" s="27">
        <f>IF(OR(B$7="",B$8=0),0,B$8*(B$7-J$16*(1-$A113)*(1-(1-$A113)^MIN(B$6,$B$11))/($A113*MIN(B$6,$B$11)))^2)+IF(OR(C$7="",C$8=0),0,C$8*(C$7-J$16*(1-$A113)*(1-(1-$A113)^MIN(C$6,$B$11))/($A113*MIN(C$6,$B$11)))^2)+IF(OR(D$7="",D$8=0),0,D$8*(D$7-J$16*(1-$A113)*(1-(1-$A113)^MIN(D$6,$B$11))/($A113*MIN(D$6,$B$11)))^2)+IF(OR(E$7="",E$8=0),0,E$8*(E$7-J$16*(1-$A113)*(1-(1-$A113)^MIN(E$6,$B$11))/($A113*MIN(E$6,$B$11)))^2)</f>
        <v/>
      </c>
      <c r="K113" s="27">
        <f>IF(OR(B$7="",B$8=0),0,B$8*(B$7-K$16*(1-$A113)*(1-(1-$A113)^MIN(B$6,$B$11))/($A113*MIN(B$6,$B$11)))^2)+IF(OR(C$7="",C$8=0),0,C$8*(C$7-K$16*(1-$A113)*(1-(1-$A113)^MIN(C$6,$B$11))/($A113*MIN(C$6,$B$11)))^2)+IF(OR(D$7="",D$8=0),0,D$8*(D$7-K$16*(1-$A113)*(1-(1-$A113)^MIN(D$6,$B$11))/($A113*MIN(D$6,$B$11)))^2)+IF(OR(E$7="",E$8=0),0,E$8*(E$7-K$16*(1-$A113)*(1-(1-$A113)^MIN(E$6,$B$11))/($A113*MIN(E$6,$B$11)))^2)</f>
        <v/>
      </c>
      <c r="L113" s="27">
        <f>IF(OR(B$7="",B$8=0),0,B$8*(B$7-L$16*(1-$A113)*(1-(1-$A113)^MIN(B$6,$B$11))/($A113*MIN(B$6,$B$11)))^2)+IF(OR(C$7="",C$8=0),0,C$8*(C$7-L$16*(1-$A113)*(1-(1-$A113)^MIN(C$6,$B$11))/($A113*MIN(C$6,$B$11)))^2)+IF(OR(D$7="",D$8=0),0,D$8*(D$7-L$16*(1-$A113)*(1-(1-$A113)^MIN(D$6,$B$11))/($A113*MIN(D$6,$B$11)))^2)+IF(OR(E$7="",E$8=0),0,E$8*(E$7-L$16*(1-$A113)*(1-(1-$A113)^MIN(E$6,$B$11))/($A113*MIN(E$6,$B$11)))^2)</f>
        <v/>
      </c>
      <c r="M113" s="27">
        <f>IF(OR(B$7="",B$8=0),0,B$8*(B$7-M$16*(1-$A113)*(1-(1-$A113)^MIN(B$6,$B$11))/($A113*MIN(B$6,$B$11)))^2)+IF(OR(C$7="",C$8=0),0,C$8*(C$7-M$16*(1-$A113)*(1-(1-$A113)^MIN(C$6,$B$11))/($A113*MIN(C$6,$B$11)))^2)+IF(OR(D$7="",D$8=0),0,D$8*(D$7-M$16*(1-$A113)*(1-(1-$A113)^MIN(D$6,$B$11))/($A113*MIN(D$6,$B$11)))^2)+IF(OR(E$7="",E$8=0),0,E$8*(E$7-M$16*(1-$A113)*(1-(1-$A113)^MIN(E$6,$B$11))/($A113*MIN(E$6,$B$11)))^2)</f>
        <v/>
      </c>
      <c r="N113" s="27">
        <f>IF(OR(B$7="",B$8=0),0,B$8*(B$7-N$16*(1-$A113)*(1-(1-$A113)^MIN(B$6,$B$11))/($A113*MIN(B$6,$B$11)))^2)+IF(OR(C$7="",C$8=0),0,C$8*(C$7-N$16*(1-$A113)*(1-(1-$A113)^MIN(C$6,$B$11))/($A113*MIN(C$6,$B$11)))^2)+IF(OR(D$7="",D$8=0),0,D$8*(D$7-N$16*(1-$A113)*(1-(1-$A113)^MIN(D$6,$B$11))/($A113*MIN(D$6,$B$11)))^2)+IF(OR(E$7="",E$8=0),0,E$8*(E$7-N$16*(1-$A113)*(1-(1-$A113)^MIN(E$6,$B$11))/($A113*MIN(E$6,$B$11)))^2)</f>
        <v/>
      </c>
      <c r="O113" s="27">
        <f>IF(OR(B$7="",B$8=0),0,B$8*(B$7-O$16*(1-$A113)*(1-(1-$A113)^MIN(B$6,$B$11))/($A113*MIN(B$6,$B$11)))^2)+IF(OR(C$7="",C$8=0),0,C$8*(C$7-O$16*(1-$A113)*(1-(1-$A113)^MIN(C$6,$B$11))/($A113*MIN(C$6,$B$11)))^2)+IF(OR(D$7="",D$8=0),0,D$8*(D$7-O$16*(1-$A113)*(1-(1-$A113)^MIN(D$6,$B$11))/($A113*MIN(D$6,$B$11)))^2)+IF(OR(E$7="",E$8=0),0,E$8*(E$7-O$16*(1-$A113)*(1-(1-$A113)^MIN(E$6,$B$11))/($A113*MIN(E$6,$B$11)))^2)</f>
        <v/>
      </c>
      <c r="P113" s="27">
        <f>IF(OR(B$7="",B$8=0),0,B$8*(B$7-P$16*(1-$A113)*(1-(1-$A113)^MIN(B$6,$B$11))/($A113*MIN(B$6,$B$11)))^2)+IF(OR(C$7="",C$8=0),0,C$8*(C$7-P$16*(1-$A113)*(1-(1-$A113)^MIN(C$6,$B$11))/($A113*MIN(C$6,$B$11)))^2)+IF(OR(D$7="",D$8=0),0,D$8*(D$7-P$16*(1-$A113)*(1-(1-$A113)^MIN(D$6,$B$11))/($A113*MIN(D$6,$B$11)))^2)+IF(OR(E$7="",E$8=0),0,E$8*(E$7-P$16*(1-$A113)*(1-(1-$A113)^MIN(E$6,$B$11))/($A113*MIN(E$6,$B$11)))^2)</f>
        <v/>
      </c>
      <c r="Q113" s="27">
        <f>IF(OR(B$7="",B$8=0),0,B$8*(B$7-Q$16*(1-$A113)*(1-(1-$A113)^MIN(B$6,$B$11))/($A113*MIN(B$6,$B$11)))^2)+IF(OR(C$7="",C$8=0),0,C$8*(C$7-Q$16*(1-$A113)*(1-(1-$A113)^MIN(C$6,$B$11))/($A113*MIN(C$6,$B$11)))^2)+IF(OR(D$7="",D$8=0),0,D$8*(D$7-Q$16*(1-$A113)*(1-(1-$A113)^MIN(D$6,$B$11))/($A113*MIN(D$6,$B$11)))^2)+IF(OR(E$7="",E$8=0),0,E$8*(E$7-Q$16*(1-$A113)*(1-(1-$A113)^MIN(E$6,$B$11))/($A113*MIN(E$6,$B$11)))^2)</f>
        <v/>
      </c>
      <c r="R113" s="27">
        <f>IF(OR(B$7="",B$8=0),0,B$8*(B$7-R$16*(1-$A113)*(1-(1-$A113)^MIN(B$6,$B$11))/($A113*MIN(B$6,$B$11)))^2)+IF(OR(C$7="",C$8=0),0,C$8*(C$7-R$16*(1-$A113)*(1-(1-$A113)^MIN(C$6,$B$11))/($A113*MIN(C$6,$B$11)))^2)+IF(OR(D$7="",D$8=0),0,D$8*(D$7-R$16*(1-$A113)*(1-(1-$A113)^MIN(D$6,$B$11))/($A113*MIN(D$6,$B$11)))^2)+IF(OR(E$7="",E$8=0),0,E$8*(E$7-R$16*(1-$A113)*(1-(1-$A113)^MIN(E$6,$B$11))/($A113*MIN(E$6,$B$11)))^2)</f>
        <v/>
      </c>
      <c r="S113" s="27">
        <f>IF(OR(B$7="",B$8=0),0,B$8*(B$7-S$16*(1-$A113)*(1-(1-$A113)^MIN(B$6,$B$11))/($A113*MIN(B$6,$B$11)))^2)+IF(OR(C$7="",C$8=0),0,C$8*(C$7-S$16*(1-$A113)*(1-(1-$A113)^MIN(C$6,$B$11))/($A113*MIN(C$6,$B$11)))^2)+IF(OR(D$7="",D$8=0),0,D$8*(D$7-S$16*(1-$A113)*(1-(1-$A113)^MIN(D$6,$B$11))/($A113*MIN(D$6,$B$11)))^2)+IF(OR(E$7="",E$8=0),0,E$8*(E$7-S$16*(1-$A113)*(1-(1-$A113)^MIN(E$6,$B$11))/($A113*MIN(E$6,$B$11)))^2)</f>
        <v/>
      </c>
      <c r="U113" s="27">
        <f>MIN(B113:S113)</f>
        <v/>
      </c>
      <c r="V113" s="17">
        <f>MATCH(U113,B113:S113,0)</f>
        <v/>
      </c>
    </row>
    <row r="114">
      <c r="A114" s="26" t="n">
        <v>0.0535</v>
      </c>
      <c r="B114" s="27">
        <f>IF(OR(B$7="",B$8=0),0,B$8*(B$7-B$16*(1-$A114)*(1-(1-$A114)^MIN(B$6,$B$11))/($A114*MIN(B$6,$B$11)))^2)+IF(OR(C$7="",C$8=0),0,C$8*(C$7-B$16*(1-$A114)*(1-(1-$A114)^MIN(C$6,$B$11))/($A114*MIN(C$6,$B$11)))^2)+IF(OR(D$7="",D$8=0),0,D$8*(D$7-B$16*(1-$A114)*(1-(1-$A114)^MIN(D$6,$B$11))/($A114*MIN(D$6,$B$11)))^2)+IF(OR(E$7="",E$8=0),0,E$8*(E$7-B$16*(1-$A114)*(1-(1-$A114)^MIN(E$6,$B$11))/($A114*MIN(E$6,$B$11)))^2)</f>
        <v/>
      </c>
      <c r="C114" s="27">
        <f>IF(OR(B$7="",B$8=0),0,B$8*(B$7-C$16*(1-$A114)*(1-(1-$A114)^MIN(B$6,$B$11))/($A114*MIN(B$6,$B$11)))^2)+IF(OR(C$7="",C$8=0),0,C$8*(C$7-C$16*(1-$A114)*(1-(1-$A114)^MIN(C$6,$B$11))/($A114*MIN(C$6,$B$11)))^2)+IF(OR(D$7="",D$8=0),0,D$8*(D$7-C$16*(1-$A114)*(1-(1-$A114)^MIN(D$6,$B$11))/($A114*MIN(D$6,$B$11)))^2)+IF(OR(E$7="",E$8=0),0,E$8*(E$7-C$16*(1-$A114)*(1-(1-$A114)^MIN(E$6,$B$11))/($A114*MIN(E$6,$B$11)))^2)</f>
        <v/>
      </c>
      <c r="D114" s="27">
        <f>IF(OR(B$7="",B$8=0),0,B$8*(B$7-D$16*(1-$A114)*(1-(1-$A114)^MIN(B$6,$B$11))/($A114*MIN(B$6,$B$11)))^2)+IF(OR(C$7="",C$8=0),0,C$8*(C$7-D$16*(1-$A114)*(1-(1-$A114)^MIN(C$6,$B$11))/($A114*MIN(C$6,$B$11)))^2)+IF(OR(D$7="",D$8=0),0,D$8*(D$7-D$16*(1-$A114)*(1-(1-$A114)^MIN(D$6,$B$11))/($A114*MIN(D$6,$B$11)))^2)+IF(OR(E$7="",E$8=0),0,E$8*(E$7-D$16*(1-$A114)*(1-(1-$A114)^MIN(E$6,$B$11))/($A114*MIN(E$6,$B$11)))^2)</f>
        <v/>
      </c>
      <c r="E114" s="27">
        <f>IF(OR(B$7="",B$8=0),0,B$8*(B$7-E$16*(1-$A114)*(1-(1-$A114)^MIN(B$6,$B$11))/($A114*MIN(B$6,$B$11)))^2)+IF(OR(C$7="",C$8=0),0,C$8*(C$7-E$16*(1-$A114)*(1-(1-$A114)^MIN(C$6,$B$11))/($A114*MIN(C$6,$B$11)))^2)+IF(OR(D$7="",D$8=0),0,D$8*(D$7-E$16*(1-$A114)*(1-(1-$A114)^MIN(D$6,$B$11))/($A114*MIN(D$6,$B$11)))^2)+IF(OR(E$7="",E$8=0),0,E$8*(E$7-E$16*(1-$A114)*(1-(1-$A114)^MIN(E$6,$B$11))/($A114*MIN(E$6,$B$11)))^2)</f>
        <v/>
      </c>
      <c r="F114" s="27">
        <f>IF(OR(B$7="",B$8=0),0,B$8*(B$7-F$16*(1-$A114)*(1-(1-$A114)^MIN(B$6,$B$11))/($A114*MIN(B$6,$B$11)))^2)+IF(OR(C$7="",C$8=0),0,C$8*(C$7-F$16*(1-$A114)*(1-(1-$A114)^MIN(C$6,$B$11))/($A114*MIN(C$6,$B$11)))^2)+IF(OR(D$7="",D$8=0),0,D$8*(D$7-F$16*(1-$A114)*(1-(1-$A114)^MIN(D$6,$B$11))/($A114*MIN(D$6,$B$11)))^2)+IF(OR(E$7="",E$8=0),0,E$8*(E$7-F$16*(1-$A114)*(1-(1-$A114)^MIN(E$6,$B$11))/($A114*MIN(E$6,$B$11)))^2)</f>
        <v/>
      </c>
      <c r="G114" s="27">
        <f>IF(OR(B$7="",B$8=0),0,B$8*(B$7-G$16*(1-$A114)*(1-(1-$A114)^MIN(B$6,$B$11))/($A114*MIN(B$6,$B$11)))^2)+IF(OR(C$7="",C$8=0),0,C$8*(C$7-G$16*(1-$A114)*(1-(1-$A114)^MIN(C$6,$B$11))/($A114*MIN(C$6,$B$11)))^2)+IF(OR(D$7="",D$8=0),0,D$8*(D$7-G$16*(1-$A114)*(1-(1-$A114)^MIN(D$6,$B$11))/($A114*MIN(D$6,$B$11)))^2)+IF(OR(E$7="",E$8=0),0,E$8*(E$7-G$16*(1-$A114)*(1-(1-$A114)^MIN(E$6,$B$11))/($A114*MIN(E$6,$B$11)))^2)</f>
        <v/>
      </c>
      <c r="H114" s="27">
        <f>IF(OR(B$7="",B$8=0),0,B$8*(B$7-H$16*(1-$A114)*(1-(1-$A114)^MIN(B$6,$B$11))/($A114*MIN(B$6,$B$11)))^2)+IF(OR(C$7="",C$8=0),0,C$8*(C$7-H$16*(1-$A114)*(1-(1-$A114)^MIN(C$6,$B$11))/($A114*MIN(C$6,$B$11)))^2)+IF(OR(D$7="",D$8=0),0,D$8*(D$7-H$16*(1-$A114)*(1-(1-$A114)^MIN(D$6,$B$11))/($A114*MIN(D$6,$B$11)))^2)+IF(OR(E$7="",E$8=0),0,E$8*(E$7-H$16*(1-$A114)*(1-(1-$A114)^MIN(E$6,$B$11))/($A114*MIN(E$6,$B$11)))^2)</f>
        <v/>
      </c>
      <c r="I114" s="27">
        <f>IF(OR(B$7="",B$8=0),0,B$8*(B$7-I$16*(1-$A114)*(1-(1-$A114)^MIN(B$6,$B$11))/($A114*MIN(B$6,$B$11)))^2)+IF(OR(C$7="",C$8=0),0,C$8*(C$7-I$16*(1-$A114)*(1-(1-$A114)^MIN(C$6,$B$11))/($A114*MIN(C$6,$B$11)))^2)+IF(OR(D$7="",D$8=0),0,D$8*(D$7-I$16*(1-$A114)*(1-(1-$A114)^MIN(D$6,$B$11))/($A114*MIN(D$6,$B$11)))^2)+IF(OR(E$7="",E$8=0),0,E$8*(E$7-I$16*(1-$A114)*(1-(1-$A114)^MIN(E$6,$B$11))/($A114*MIN(E$6,$B$11)))^2)</f>
        <v/>
      </c>
      <c r="J114" s="27">
        <f>IF(OR(B$7="",B$8=0),0,B$8*(B$7-J$16*(1-$A114)*(1-(1-$A114)^MIN(B$6,$B$11))/($A114*MIN(B$6,$B$11)))^2)+IF(OR(C$7="",C$8=0),0,C$8*(C$7-J$16*(1-$A114)*(1-(1-$A114)^MIN(C$6,$B$11))/($A114*MIN(C$6,$B$11)))^2)+IF(OR(D$7="",D$8=0),0,D$8*(D$7-J$16*(1-$A114)*(1-(1-$A114)^MIN(D$6,$B$11))/($A114*MIN(D$6,$B$11)))^2)+IF(OR(E$7="",E$8=0),0,E$8*(E$7-J$16*(1-$A114)*(1-(1-$A114)^MIN(E$6,$B$11))/($A114*MIN(E$6,$B$11)))^2)</f>
        <v/>
      </c>
      <c r="K114" s="27">
        <f>IF(OR(B$7="",B$8=0),0,B$8*(B$7-K$16*(1-$A114)*(1-(1-$A114)^MIN(B$6,$B$11))/($A114*MIN(B$6,$B$11)))^2)+IF(OR(C$7="",C$8=0),0,C$8*(C$7-K$16*(1-$A114)*(1-(1-$A114)^MIN(C$6,$B$11))/($A114*MIN(C$6,$B$11)))^2)+IF(OR(D$7="",D$8=0),0,D$8*(D$7-K$16*(1-$A114)*(1-(1-$A114)^MIN(D$6,$B$11))/($A114*MIN(D$6,$B$11)))^2)+IF(OR(E$7="",E$8=0),0,E$8*(E$7-K$16*(1-$A114)*(1-(1-$A114)^MIN(E$6,$B$11))/($A114*MIN(E$6,$B$11)))^2)</f>
        <v/>
      </c>
      <c r="L114" s="27">
        <f>IF(OR(B$7="",B$8=0),0,B$8*(B$7-L$16*(1-$A114)*(1-(1-$A114)^MIN(B$6,$B$11))/($A114*MIN(B$6,$B$11)))^2)+IF(OR(C$7="",C$8=0),0,C$8*(C$7-L$16*(1-$A114)*(1-(1-$A114)^MIN(C$6,$B$11))/($A114*MIN(C$6,$B$11)))^2)+IF(OR(D$7="",D$8=0),0,D$8*(D$7-L$16*(1-$A114)*(1-(1-$A114)^MIN(D$6,$B$11))/($A114*MIN(D$6,$B$11)))^2)+IF(OR(E$7="",E$8=0),0,E$8*(E$7-L$16*(1-$A114)*(1-(1-$A114)^MIN(E$6,$B$11))/($A114*MIN(E$6,$B$11)))^2)</f>
        <v/>
      </c>
      <c r="M114" s="27">
        <f>IF(OR(B$7="",B$8=0),0,B$8*(B$7-M$16*(1-$A114)*(1-(1-$A114)^MIN(B$6,$B$11))/($A114*MIN(B$6,$B$11)))^2)+IF(OR(C$7="",C$8=0),0,C$8*(C$7-M$16*(1-$A114)*(1-(1-$A114)^MIN(C$6,$B$11))/($A114*MIN(C$6,$B$11)))^2)+IF(OR(D$7="",D$8=0),0,D$8*(D$7-M$16*(1-$A114)*(1-(1-$A114)^MIN(D$6,$B$11))/($A114*MIN(D$6,$B$11)))^2)+IF(OR(E$7="",E$8=0),0,E$8*(E$7-M$16*(1-$A114)*(1-(1-$A114)^MIN(E$6,$B$11))/($A114*MIN(E$6,$B$11)))^2)</f>
        <v/>
      </c>
      <c r="N114" s="27">
        <f>IF(OR(B$7="",B$8=0),0,B$8*(B$7-N$16*(1-$A114)*(1-(1-$A114)^MIN(B$6,$B$11))/($A114*MIN(B$6,$B$11)))^2)+IF(OR(C$7="",C$8=0),0,C$8*(C$7-N$16*(1-$A114)*(1-(1-$A114)^MIN(C$6,$B$11))/($A114*MIN(C$6,$B$11)))^2)+IF(OR(D$7="",D$8=0),0,D$8*(D$7-N$16*(1-$A114)*(1-(1-$A114)^MIN(D$6,$B$11))/($A114*MIN(D$6,$B$11)))^2)+IF(OR(E$7="",E$8=0),0,E$8*(E$7-N$16*(1-$A114)*(1-(1-$A114)^MIN(E$6,$B$11))/($A114*MIN(E$6,$B$11)))^2)</f>
        <v/>
      </c>
      <c r="O114" s="27">
        <f>IF(OR(B$7="",B$8=0),0,B$8*(B$7-O$16*(1-$A114)*(1-(1-$A114)^MIN(B$6,$B$11))/($A114*MIN(B$6,$B$11)))^2)+IF(OR(C$7="",C$8=0),0,C$8*(C$7-O$16*(1-$A114)*(1-(1-$A114)^MIN(C$6,$B$11))/($A114*MIN(C$6,$B$11)))^2)+IF(OR(D$7="",D$8=0),0,D$8*(D$7-O$16*(1-$A114)*(1-(1-$A114)^MIN(D$6,$B$11))/($A114*MIN(D$6,$B$11)))^2)+IF(OR(E$7="",E$8=0),0,E$8*(E$7-O$16*(1-$A114)*(1-(1-$A114)^MIN(E$6,$B$11))/($A114*MIN(E$6,$B$11)))^2)</f>
        <v/>
      </c>
      <c r="P114" s="27">
        <f>IF(OR(B$7="",B$8=0),0,B$8*(B$7-P$16*(1-$A114)*(1-(1-$A114)^MIN(B$6,$B$11))/($A114*MIN(B$6,$B$11)))^2)+IF(OR(C$7="",C$8=0),0,C$8*(C$7-P$16*(1-$A114)*(1-(1-$A114)^MIN(C$6,$B$11))/($A114*MIN(C$6,$B$11)))^2)+IF(OR(D$7="",D$8=0),0,D$8*(D$7-P$16*(1-$A114)*(1-(1-$A114)^MIN(D$6,$B$11))/($A114*MIN(D$6,$B$11)))^2)+IF(OR(E$7="",E$8=0),0,E$8*(E$7-P$16*(1-$A114)*(1-(1-$A114)^MIN(E$6,$B$11))/($A114*MIN(E$6,$B$11)))^2)</f>
        <v/>
      </c>
      <c r="Q114" s="27">
        <f>IF(OR(B$7="",B$8=0),0,B$8*(B$7-Q$16*(1-$A114)*(1-(1-$A114)^MIN(B$6,$B$11))/($A114*MIN(B$6,$B$11)))^2)+IF(OR(C$7="",C$8=0),0,C$8*(C$7-Q$16*(1-$A114)*(1-(1-$A114)^MIN(C$6,$B$11))/($A114*MIN(C$6,$B$11)))^2)+IF(OR(D$7="",D$8=0),0,D$8*(D$7-Q$16*(1-$A114)*(1-(1-$A114)^MIN(D$6,$B$11))/($A114*MIN(D$6,$B$11)))^2)+IF(OR(E$7="",E$8=0),0,E$8*(E$7-Q$16*(1-$A114)*(1-(1-$A114)^MIN(E$6,$B$11))/($A114*MIN(E$6,$B$11)))^2)</f>
        <v/>
      </c>
      <c r="R114" s="27">
        <f>IF(OR(B$7="",B$8=0),0,B$8*(B$7-R$16*(1-$A114)*(1-(1-$A114)^MIN(B$6,$B$11))/($A114*MIN(B$6,$B$11)))^2)+IF(OR(C$7="",C$8=0),0,C$8*(C$7-R$16*(1-$A114)*(1-(1-$A114)^MIN(C$6,$B$11))/($A114*MIN(C$6,$B$11)))^2)+IF(OR(D$7="",D$8=0),0,D$8*(D$7-R$16*(1-$A114)*(1-(1-$A114)^MIN(D$6,$B$11))/($A114*MIN(D$6,$B$11)))^2)+IF(OR(E$7="",E$8=0),0,E$8*(E$7-R$16*(1-$A114)*(1-(1-$A114)^MIN(E$6,$B$11))/($A114*MIN(E$6,$B$11)))^2)</f>
        <v/>
      </c>
      <c r="S114" s="27">
        <f>IF(OR(B$7="",B$8=0),0,B$8*(B$7-S$16*(1-$A114)*(1-(1-$A114)^MIN(B$6,$B$11))/($A114*MIN(B$6,$B$11)))^2)+IF(OR(C$7="",C$8=0),0,C$8*(C$7-S$16*(1-$A114)*(1-(1-$A114)^MIN(C$6,$B$11))/($A114*MIN(C$6,$B$11)))^2)+IF(OR(D$7="",D$8=0),0,D$8*(D$7-S$16*(1-$A114)*(1-(1-$A114)^MIN(D$6,$B$11))/($A114*MIN(D$6,$B$11)))^2)+IF(OR(E$7="",E$8=0),0,E$8*(E$7-S$16*(1-$A114)*(1-(1-$A114)^MIN(E$6,$B$11))/($A114*MIN(E$6,$B$11)))^2)</f>
        <v/>
      </c>
      <c r="U114" s="27">
        <f>MIN(B114:S114)</f>
        <v/>
      </c>
      <c r="V114" s="17">
        <f>MATCH(U114,B114:S114,0)</f>
        <v/>
      </c>
    </row>
    <row r="115">
      <c r="A115" s="26" t="n">
        <v>0.054</v>
      </c>
      <c r="B115" s="27">
        <f>IF(OR(B$7="",B$8=0),0,B$8*(B$7-B$16*(1-$A115)*(1-(1-$A115)^MIN(B$6,$B$11))/($A115*MIN(B$6,$B$11)))^2)+IF(OR(C$7="",C$8=0),0,C$8*(C$7-B$16*(1-$A115)*(1-(1-$A115)^MIN(C$6,$B$11))/($A115*MIN(C$6,$B$11)))^2)+IF(OR(D$7="",D$8=0),0,D$8*(D$7-B$16*(1-$A115)*(1-(1-$A115)^MIN(D$6,$B$11))/($A115*MIN(D$6,$B$11)))^2)+IF(OR(E$7="",E$8=0),0,E$8*(E$7-B$16*(1-$A115)*(1-(1-$A115)^MIN(E$6,$B$11))/($A115*MIN(E$6,$B$11)))^2)</f>
        <v/>
      </c>
      <c r="C115" s="27">
        <f>IF(OR(B$7="",B$8=0),0,B$8*(B$7-C$16*(1-$A115)*(1-(1-$A115)^MIN(B$6,$B$11))/($A115*MIN(B$6,$B$11)))^2)+IF(OR(C$7="",C$8=0),0,C$8*(C$7-C$16*(1-$A115)*(1-(1-$A115)^MIN(C$6,$B$11))/($A115*MIN(C$6,$B$11)))^2)+IF(OR(D$7="",D$8=0),0,D$8*(D$7-C$16*(1-$A115)*(1-(1-$A115)^MIN(D$6,$B$11))/($A115*MIN(D$6,$B$11)))^2)+IF(OR(E$7="",E$8=0),0,E$8*(E$7-C$16*(1-$A115)*(1-(1-$A115)^MIN(E$6,$B$11))/($A115*MIN(E$6,$B$11)))^2)</f>
        <v/>
      </c>
      <c r="D115" s="27">
        <f>IF(OR(B$7="",B$8=0),0,B$8*(B$7-D$16*(1-$A115)*(1-(1-$A115)^MIN(B$6,$B$11))/($A115*MIN(B$6,$B$11)))^2)+IF(OR(C$7="",C$8=0),0,C$8*(C$7-D$16*(1-$A115)*(1-(1-$A115)^MIN(C$6,$B$11))/($A115*MIN(C$6,$B$11)))^2)+IF(OR(D$7="",D$8=0),0,D$8*(D$7-D$16*(1-$A115)*(1-(1-$A115)^MIN(D$6,$B$11))/($A115*MIN(D$6,$B$11)))^2)+IF(OR(E$7="",E$8=0),0,E$8*(E$7-D$16*(1-$A115)*(1-(1-$A115)^MIN(E$6,$B$11))/($A115*MIN(E$6,$B$11)))^2)</f>
        <v/>
      </c>
      <c r="E115" s="27">
        <f>IF(OR(B$7="",B$8=0),0,B$8*(B$7-E$16*(1-$A115)*(1-(1-$A115)^MIN(B$6,$B$11))/($A115*MIN(B$6,$B$11)))^2)+IF(OR(C$7="",C$8=0),0,C$8*(C$7-E$16*(1-$A115)*(1-(1-$A115)^MIN(C$6,$B$11))/($A115*MIN(C$6,$B$11)))^2)+IF(OR(D$7="",D$8=0),0,D$8*(D$7-E$16*(1-$A115)*(1-(1-$A115)^MIN(D$6,$B$11))/($A115*MIN(D$6,$B$11)))^2)+IF(OR(E$7="",E$8=0),0,E$8*(E$7-E$16*(1-$A115)*(1-(1-$A115)^MIN(E$6,$B$11))/($A115*MIN(E$6,$B$11)))^2)</f>
        <v/>
      </c>
      <c r="F115" s="27">
        <f>IF(OR(B$7="",B$8=0),0,B$8*(B$7-F$16*(1-$A115)*(1-(1-$A115)^MIN(B$6,$B$11))/($A115*MIN(B$6,$B$11)))^2)+IF(OR(C$7="",C$8=0),0,C$8*(C$7-F$16*(1-$A115)*(1-(1-$A115)^MIN(C$6,$B$11))/($A115*MIN(C$6,$B$11)))^2)+IF(OR(D$7="",D$8=0),0,D$8*(D$7-F$16*(1-$A115)*(1-(1-$A115)^MIN(D$6,$B$11))/($A115*MIN(D$6,$B$11)))^2)+IF(OR(E$7="",E$8=0),0,E$8*(E$7-F$16*(1-$A115)*(1-(1-$A115)^MIN(E$6,$B$11))/($A115*MIN(E$6,$B$11)))^2)</f>
        <v/>
      </c>
      <c r="G115" s="27">
        <f>IF(OR(B$7="",B$8=0),0,B$8*(B$7-G$16*(1-$A115)*(1-(1-$A115)^MIN(B$6,$B$11))/($A115*MIN(B$6,$B$11)))^2)+IF(OR(C$7="",C$8=0),0,C$8*(C$7-G$16*(1-$A115)*(1-(1-$A115)^MIN(C$6,$B$11))/($A115*MIN(C$6,$B$11)))^2)+IF(OR(D$7="",D$8=0),0,D$8*(D$7-G$16*(1-$A115)*(1-(1-$A115)^MIN(D$6,$B$11))/($A115*MIN(D$6,$B$11)))^2)+IF(OR(E$7="",E$8=0),0,E$8*(E$7-G$16*(1-$A115)*(1-(1-$A115)^MIN(E$6,$B$11))/($A115*MIN(E$6,$B$11)))^2)</f>
        <v/>
      </c>
      <c r="H115" s="27">
        <f>IF(OR(B$7="",B$8=0),0,B$8*(B$7-H$16*(1-$A115)*(1-(1-$A115)^MIN(B$6,$B$11))/($A115*MIN(B$6,$B$11)))^2)+IF(OR(C$7="",C$8=0),0,C$8*(C$7-H$16*(1-$A115)*(1-(1-$A115)^MIN(C$6,$B$11))/($A115*MIN(C$6,$B$11)))^2)+IF(OR(D$7="",D$8=0),0,D$8*(D$7-H$16*(1-$A115)*(1-(1-$A115)^MIN(D$6,$B$11))/($A115*MIN(D$6,$B$11)))^2)+IF(OR(E$7="",E$8=0),0,E$8*(E$7-H$16*(1-$A115)*(1-(1-$A115)^MIN(E$6,$B$11))/($A115*MIN(E$6,$B$11)))^2)</f>
        <v/>
      </c>
      <c r="I115" s="27">
        <f>IF(OR(B$7="",B$8=0),0,B$8*(B$7-I$16*(1-$A115)*(1-(1-$A115)^MIN(B$6,$B$11))/($A115*MIN(B$6,$B$11)))^2)+IF(OR(C$7="",C$8=0),0,C$8*(C$7-I$16*(1-$A115)*(1-(1-$A115)^MIN(C$6,$B$11))/($A115*MIN(C$6,$B$11)))^2)+IF(OR(D$7="",D$8=0),0,D$8*(D$7-I$16*(1-$A115)*(1-(1-$A115)^MIN(D$6,$B$11))/($A115*MIN(D$6,$B$11)))^2)+IF(OR(E$7="",E$8=0),0,E$8*(E$7-I$16*(1-$A115)*(1-(1-$A115)^MIN(E$6,$B$11))/($A115*MIN(E$6,$B$11)))^2)</f>
        <v/>
      </c>
      <c r="J115" s="27">
        <f>IF(OR(B$7="",B$8=0),0,B$8*(B$7-J$16*(1-$A115)*(1-(1-$A115)^MIN(B$6,$B$11))/($A115*MIN(B$6,$B$11)))^2)+IF(OR(C$7="",C$8=0),0,C$8*(C$7-J$16*(1-$A115)*(1-(1-$A115)^MIN(C$6,$B$11))/($A115*MIN(C$6,$B$11)))^2)+IF(OR(D$7="",D$8=0),0,D$8*(D$7-J$16*(1-$A115)*(1-(1-$A115)^MIN(D$6,$B$11))/($A115*MIN(D$6,$B$11)))^2)+IF(OR(E$7="",E$8=0),0,E$8*(E$7-J$16*(1-$A115)*(1-(1-$A115)^MIN(E$6,$B$11))/($A115*MIN(E$6,$B$11)))^2)</f>
        <v/>
      </c>
      <c r="K115" s="27">
        <f>IF(OR(B$7="",B$8=0),0,B$8*(B$7-K$16*(1-$A115)*(1-(1-$A115)^MIN(B$6,$B$11))/($A115*MIN(B$6,$B$11)))^2)+IF(OR(C$7="",C$8=0),0,C$8*(C$7-K$16*(1-$A115)*(1-(1-$A115)^MIN(C$6,$B$11))/($A115*MIN(C$6,$B$11)))^2)+IF(OR(D$7="",D$8=0),0,D$8*(D$7-K$16*(1-$A115)*(1-(1-$A115)^MIN(D$6,$B$11))/($A115*MIN(D$6,$B$11)))^2)+IF(OR(E$7="",E$8=0),0,E$8*(E$7-K$16*(1-$A115)*(1-(1-$A115)^MIN(E$6,$B$11))/($A115*MIN(E$6,$B$11)))^2)</f>
        <v/>
      </c>
      <c r="L115" s="27">
        <f>IF(OR(B$7="",B$8=0),0,B$8*(B$7-L$16*(1-$A115)*(1-(1-$A115)^MIN(B$6,$B$11))/($A115*MIN(B$6,$B$11)))^2)+IF(OR(C$7="",C$8=0),0,C$8*(C$7-L$16*(1-$A115)*(1-(1-$A115)^MIN(C$6,$B$11))/($A115*MIN(C$6,$B$11)))^2)+IF(OR(D$7="",D$8=0),0,D$8*(D$7-L$16*(1-$A115)*(1-(1-$A115)^MIN(D$6,$B$11))/($A115*MIN(D$6,$B$11)))^2)+IF(OR(E$7="",E$8=0),0,E$8*(E$7-L$16*(1-$A115)*(1-(1-$A115)^MIN(E$6,$B$11))/($A115*MIN(E$6,$B$11)))^2)</f>
        <v/>
      </c>
      <c r="M115" s="27">
        <f>IF(OR(B$7="",B$8=0),0,B$8*(B$7-M$16*(1-$A115)*(1-(1-$A115)^MIN(B$6,$B$11))/($A115*MIN(B$6,$B$11)))^2)+IF(OR(C$7="",C$8=0),0,C$8*(C$7-M$16*(1-$A115)*(1-(1-$A115)^MIN(C$6,$B$11))/($A115*MIN(C$6,$B$11)))^2)+IF(OR(D$7="",D$8=0),0,D$8*(D$7-M$16*(1-$A115)*(1-(1-$A115)^MIN(D$6,$B$11))/($A115*MIN(D$6,$B$11)))^2)+IF(OR(E$7="",E$8=0),0,E$8*(E$7-M$16*(1-$A115)*(1-(1-$A115)^MIN(E$6,$B$11))/($A115*MIN(E$6,$B$11)))^2)</f>
        <v/>
      </c>
      <c r="N115" s="27">
        <f>IF(OR(B$7="",B$8=0),0,B$8*(B$7-N$16*(1-$A115)*(1-(1-$A115)^MIN(B$6,$B$11))/($A115*MIN(B$6,$B$11)))^2)+IF(OR(C$7="",C$8=0),0,C$8*(C$7-N$16*(1-$A115)*(1-(1-$A115)^MIN(C$6,$B$11))/($A115*MIN(C$6,$B$11)))^2)+IF(OR(D$7="",D$8=0),0,D$8*(D$7-N$16*(1-$A115)*(1-(1-$A115)^MIN(D$6,$B$11))/($A115*MIN(D$6,$B$11)))^2)+IF(OR(E$7="",E$8=0),0,E$8*(E$7-N$16*(1-$A115)*(1-(1-$A115)^MIN(E$6,$B$11))/($A115*MIN(E$6,$B$11)))^2)</f>
        <v/>
      </c>
      <c r="O115" s="27">
        <f>IF(OR(B$7="",B$8=0),0,B$8*(B$7-O$16*(1-$A115)*(1-(1-$A115)^MIN(B$6,$B$11))/($A115*MIN(B$6,$B$11)))^2)+IF(OR(C$7="",C$8=0),0,C$8*(C$7-O$16*(1-$A115)*(1-(1-$A115)^MIN(C$6,$B$11))/($A115*MIN(C$6,$B$11)))^2)+IF(OR(D$7="",D$8=0),0,D$8*(D$7-O$16*(1-$A115)*(1-(1-$A115)^MIN(D$6,$B$11))/($A115*MIN(D$6,$B$11)))^2)+IF(OR(E$7="",E$8=0),0,E$8*(E$7-O$16*(1-$A115)*(1-(1-$A115)^MIN(E$6,$B$11))/($A115*MIN(E$6,$B$11)))^2)</f>
        <v/>
      </c>
      <c r="P115" s="27">
        <f>IF(OR(B$7="",B$8=0),0,B$8*(B$7-P$16*(1-$A115)*(1-(1-$A115)^MIN(B$6,$B$11))/($A115*MIN(B$6,$B$11)))^2)+IF(OR(C$7="",C$8=0),0,C$8*(C$7-P$16*(1-$A115)*(1-(1-$A115)^MIN(C$6,$B$11))/($A115*MIN(C$6,$B$11)))^2)+IF(OR(D$7="",D$8=0),0,D$8*(D$7-P$16*(1-$A115)*(1-(1-$A115)^MIN(D$6,$B$11))/($A115*MIN(D$6,$B$11)))^2)+IF(OR(E$7="",E$8=0),0,E$8*(E$7-P$16*(1-$A115)*(1-(1-$A115)^MIN(E$6,$B$11))/($A115*MIN(E$6,$B$11)))^2)</f>
        <v/>
      </c>
      <c r="Q115" s="27">
        <f>IF(OR(B$7="",B$8=0),0,B$8*(B$7-Q$16*(1-$A115)*(1-(1-$A115)^MIN(B$6,$B$11))/($A115*MIN(B$6,$B$11)))^2)+IF(OR(C$7="",C$8=0),0,C$8*(C$7-Q$16*(1-$A115)*(1-(1-$A115)^MIN(C$6,$B$11))/($A115*MIN(C$6,$B$11)))^2)+IF(OR(D$7="",D$8=0),0,D$8*(D$7-Q$16*(1-$A115)*(1-(1-$A115)^MIN(D$6,$B$11))/($A115*MIN(D$6,$B$11)))^2)+IF(OR(E$7="",E$8=0),0,E$8*(E$7-Q$16*(1-$A115)*(1-(1-$A115)^MIN(E$6,$B$11))/($A115*MIN(E$6,$B$11)))^2)</f>
        <v/>
      </c>
      <c r="R115" s="27">
        <f>IF(OR(B$7="",B$8=0),0,B$8*(B$7-R$16*(1-$A115)*(1-(1-$A115)^MIN(B$6,$B$11))/($A115*MIN(B$6,$B$11)))^2)+IF(OR(C$7="",C$8=0),0,C$8*(C$7-R$16*(1-$A115)*(1-(1-$A115)^MIN(C$6,$B$11))/($A115*MIN(C$6,$B$11)))^2)+IF(OR(D$7="",D$8=0),0,D$8*(D$7-R$16*(1-$A115)*(1-(1-$A115)^MIN(D$6,$B$11))/($A115*MIN(D$6,$B$11)))^2)+IF(OR(E$7="",E$8=0),0,E$8*(E$7-R$16*(1-$A115)*(1-(1-$A115)^MIN(E$6,$B$11))/($A115*MIN(E$6,$B$11)))^2)</f>
        <v/>
      </c>
      <c r="S115" s="27">
        <f>IF(OR(B$7="",B$8=0),0,B$8*(B$7-S$16*(1-$A115)*(1-(1-$A115)^MIN(B$6,$B$11))/($A115*MIN(B$6,$B$11)))^2)+IF(OR(C$7="",C$8=0),0,C$8*(C$7-S$16*(1-$A115)*(1-(1-$A115)^MIN(C$6,$B$11))/($A115*MIN(C$6,$B$11)))^2)+IF(OR(D$7="",D$8=0),0,D$8*(D$7-S$16*(1-$A115)*(1-(1-$A115)^MIN(D$6,$B$11))/($A115*MIN(D$6,$B$11)))^2)+IF(OR(E$7="",E$8=0),0,E$8*(E$7-S$16*(1-$A115)*(1-(1-$A115)^MIN(E$6,$B$11))/($A115*MIN(E$6,$B$11)))^2)</f>
        <v/>
      </c>
      <c r="U115" s="27">
        <f>MIN(B115:S115)</f>
        <v/>
      </c>
      <c r="V115" s="17">
        <f>MATCH(U115,B115:S115,0)</f>
        <v/>
      </c>
    </row>
    <row r="116">
      <c r="A116" s="26" t="n">
        <v>0.0545</v>
      </c>
      <c r="B116" s="27">
        <f>IF(OR(B$7="",B$8=0),0,B$8*(B$7-B$16*(1-$A116)*(1-(1-$A116)^MIN(B$6,$B$11))/($A116*MIN(B$6,$B$11)))^2)+IF(OR(C$7="",C$8=0),0,C$8*(C$7-B$16*(1-$A116)*(1-(1-$A116)^MIN(C$6,$B$11))/($A116*MIN(C$6,$B$11)))^2)+IF(OR(D$7="",D$8=0),0,D$8*(D$7-B$16*(1-$A116)*(1-(1-$A116)^MIN(D$6,$B$11))/($A116*MIN(D$6,$B$11)))^2)+IF(OR(E$7="",E$8=0),0,E$8*(E$7-B$16*(1-$A116)*(1-(1-$A116)^MIN(E$6,$B$11))/($A116*MIN(E$6,$B$11)))^2)</f>
        <v/>
      </c>
      <c r="C116" s="27">
        <f>IF(OR(B$7="",B$8=0),0,B$8*(B$7-C$16*(1-$A116)*(1-(1-$A116)^MIN(B$6,$B$11))/($A116*MIN(B$6,$B$11)))^2)+IF(OR(C$7="",C$8=0),0,C$8*(C$7-C$16*(1-$A116)*(1-(1-$A116)^MIN(C$6,$B$11))/($A116*MIN(C$6,$B$11)))^2)+IF(OR(D$7="",D$8=0),0,D$8*(D$7-C$16*(1-$A116)*(1-(1-$A116)^MIN(D$6,$B$11))/($A116*MIN(D$6,$B$11)))^2)+IF(OR(E$7="",E$8=0),0,E$8*(E$7-C$16*(1-$A116)*(1-(1-$A116)^MIN(E$6,$B$11))/($A116*MIN(E$6,$B$11)))^2)</f>
        <v/>
      </c>
      <c r="D116" s="27">
        <f>IF(OR(B$7="",B$8=0),0,B$8*(B$7-D$16*(1-$A116)*(1-(1-$A116)^MIN(B$6,$B$11))/($A116*MIN(B$6,$B$11)))^2)+IF(OR(C$7="",C$8=0),0,C$8*(C$7-D$16*(1-$A116)*(1-(1-$A116)^MIN(C$6,$B$11))/($A116*MIN(C$6,$B$11)))^2)+IF(OR(D$7="",D$8=0),0,D$8*(D$7-D$16*(1-$A116)*(1-(1-$A116)^MIN(D$6,$B$11))/($A116*MIN(D$6,$B$11)))^2)+IF(OR(E$7="",E$8=0),0,E$8*(E$7-D$16*(1-$A116)*(1-(1-$A116)^MIN(E$6,$B$11))/($A116*MIN(E$6,$B$11)))^2)</f>
        <v/>
      </c>
      <c r="E116" s="27">
        <f>IF(OR(B$7="",B$8=0),0,B$8*(B$7-E$16*(1-$A116)*(1-(1-$A116)^MIN(B$6,$B$11))/($A116*MIN(B$6,$B$11)))^2)+IF(OR(C$7="",C$8=0),0,C$8*(C$7-E$16*(1-$A116)*(1-(1-$A116)^MIN(C$6,$B$11))/($A116*MIN(C$6,$B$11)))^2)+IF(OR(D$7="",D$8=0),0,D$8*(D$7-E$16*(1-$A116)*(1-(1-$A116)^MIN(D$6,$B$11))/($A116*MIN(D$6,$B$11)))^2)+IF(OR(E$7="",E$8=0),0,E$8*(E$7-E$16*(1-$A116)*(1-(1-$A116)^MIN(E$6,$B$11))/($A116*MIN(E$6,$B$11)))^2)</f>
        <v/>
      </c>
      <c r="F116" s="27">
        <f>IF(OR(B$7="",B$8=0),0,B$8*(B$7-F$16*(1-$A116)*(1-(1-$A116)^MIN(B$6,$B$11))/($A116*MIN(B$6,$B$11)))^2)+IF(OR(C$7="",C$8=0),0,C$8*(C$7-F$16*(1-$A116)*(1-(1-$A116)^MIN(C$6,$B$11))/($A116*MIN(C$6,$B$11)))^2)+IF(OR(D$7="",D$8=0),0,D$8*(D$7-F$16*(1-$A116)*(1-(1-$A116)^MIN(D$6,$B$11))/($A116*MIN(D$6,$B$11)))^2)+IF(OR(E$7="",E$8=0),0,E$8*(E$7-F$16*(1-$A116)*(1-(1-$A116)^MIN(E$6,$B$11))/($A116*MIN(E$6,$B$11)))^2)</f>
        <v/>
      </c>
      <c r="G116" s="27">
        <f>IF(OR(B$7="",B$8=0),0,B$8*(B$7-G$16*(1-$A116)*(1-(1-$A116)^MIN(B$6,$B$11))/($A116*MIN(B$6,$B$11)))^2)+IF(OR(C$7="",C$8=0),0,C$8*(C$7-G$16*(1-$A116)*(1-(1-$A116)^MIN(C$6,$B$11))/($A116*MIN(C$6,$B$11)))^2)+IF(OR(D$7="",D$8=0),0,D$8*(D$7-G$16*(1-$A116)*(1-(1-$A116)^MIN(D$6,$B$11))/($A116*MIN(D$6,$B$11)))^2)+IF(OR(E$7="",E$8=0),0,E$8*(E$7-G$16*(1-$A116)*(1-(1-$A116)^MIN(E$6,$B$11))/($A116*MIN(E$6,$B$11)))^2)</f>
        <v/>
      </c>
      <c r="H116" s="27">
        <f>IF(OR(B$7="",B$8=0),0,B$8*(B$7-H$16*(1-$A116)*(1-(1-$A116)^MIN(B$6,$B$11))/($A116*MIN(B$6,$B$11)))^2)+IF(OR(C$7="",C$8=0),0,C$8*(C$7-H$16*(1-$A116)*(1-(1-$A116)^MIN(C$6,$B$11))/($A116*MIN(C$6,$B$11)))^2)+IF(OR(D$7="",D$8=0),0,D$8*(D$7-H$16*(1-$A116)*(1-(1-$A116)^MIN(D$6,$B$11))/($A116*MIN(D$6,$B$11)))^2)+IF(OR(E$7="",E$8=0),0,E$8*(E$7-H$16*(1-$A116)*(1-(1-$A116)^MIN(E$6,$B$11))/($A116*MIN(E$6,$B$11)))^2)</f>
        <v/>
      </c>
      <c r="I116" s="27">
        <f>IF(OR(B$7="",B$8=0),0,B$8*(B$7-I$16*(1-$A116)*(1-(1-$A116)^MIN(B$6,$B$11))/($A116*MIN(B$6,$B$11)))^2)+IF(OR(C$7="",C$8=0),0,C$8*(C$7-I$16*(1-$A116)*(1-(1-$A116)^MIN(C$6,$B$11))/($A116*MIN(C$6,$B$11)))^2)+IF(OR(D$7="",D$8=0),0,D$8*(D$7-I$16*(1-$A116)*(1-(1-$A116)^MIN(D$6,$B$11))/($A116*MIN(D$6,$B$11)))^2)+IF(OR(E$7="",E$8=0),0,E$8*(E$7-I$16*(1-$A116)*(1-(1-$A116)^MIN(E$6,$B$11))/($A116*MIN(E$6,$B$11)))^2)</f>
        <v/>
      </c>
      <c r="J116" s="27">
        <f>IF(OR(B$7="",B$8=0),0,B$8*(B$7-J$16*(1-$A116)*(1-(1-$A116)^MIN(B$6,$B$11))/($A116*MIN(B$6,$B$11)))^2)+IF(OR(C$7="",C$8=0),0,C$8*(C$7-J$16*(1-$A116)*(1-(1-$A116)^MIN(C$6,$B$11))/($A116*MIN(C$6,$B$11)))^2)+IF(OR(D$7="",D$8=0),0,D$8*(D$7-J$16*(1-$A116)*(1-(1-$A116)^MIN(D$6,$B$11))/($A116*MIN(D$6,$B$11)))^2)+IF(OR(E$7="",E$8=0),0,E$8*(E$7-J$16*(1-$A116)*(1-(1-$A116)^MIN(E$6,$B$11))/($A116*MIN(E$6,$B$11)))^2)</f>
        <v/>
      </c>
      <c r="K116" s="27">
        <f>IF(OR(B$7="",B$8=0),0,B$8*(B$7-K$16*(1-$A116)*(1-(1-$A116)^MIN(B$6,$B$11))/($A116*MIN(B$6,$B$11)))^2)+IF(OR(C$7="",C$8=0),0,C$8*(C$7-K$16*(1-$A116)*(1-(1-$A116)^MIN(C$6,$B$11))/($A116*MIN(C$6,$B$11)))^2)+IF(OR(D$7="",D$8=0),0,D$8*(D$7-K$16*(1-$A116)*(1-(1-$A116)^MIN(D$6,$B$11))/($A116*MIN(D$6,$B$11)))^2)+IF(OR(E$7="",E$8=0),0,E$8*(E$7-K$16*(1-$A116)*(1-(1-$A116)^MIN(E$6,$B$11))/($A116*MIN(E$6,$B$11)))^2)</f>
        <v/>
      </c>
      <c r="L116" s="27">
        <f>IF(OR(B$7="",B$8=0),0,B$8*(B$7-L$16*(1-$A116)*(1-(1-$A116)^MIN(B$6,$B$11))/($A116*MIN(B$6,$B$11)))^2)+IF(OR(C$7="",C$8=0),0,C$8*(C$7-L$16*(1-$A116)*(1-(1-$A116)^MIN(C$6,$B$11))/($A116*MIN(C$6,$B$11)))^2)+IF(OR(D$7="",D$8=0),0,D$8*(D$7-L$16*(1-$A116)*(1-(1-$A116)^MIN(D$6,$B$11))/($A116*MIN(D$6,$B$11)))^2)+IF(OR(E$7="",E$8=0),0,E$8*(E$7-L$16*(1-$A116)*(1-(1-$A116)^MIN(E$6,$B$11))/($A116*MIN(E$6,$B$11)))^2)</f>
        <v/>
      </c>
      <c r="M116" s="27">
        <f>IF(OR(B$7="",B$8=0),0,B$8*(B$7-M$16*(1-$A116)*(1-(1-$A116)^MIN(B$6,$B$11))/($A116*MIN(B$6,$B$11)))^2)+IF(OR(C$7="",C$8=0),0,C$8*(C$7-M$16*(1-$A116)*(1-(1-$A116)^MIN(C$6,$B$11))/($A116*MIN(C$6,$B$11)))^2)+IF(OR(D$7="",D$8=0),0,D$8*(D$7-M$16*(1-$A116)*(1-(1-$A116)^MIN(D$6,$B$11))/($A116*MIN(D$6,$B$11)))^2)+IF(OR(E$7="",E$8=0),0,E$8*(E$7-M$16*(1-$A116)*(1-(1-$A116)^MIN(E$6,$B$11))/($A116*MIN(E$6,$B$11)))^2)</f>
        <v/>
      </c>
      <c r="N116" s="27">
        <f>IF(OR(B$7="",B$8=0),0,B$8*(B$7-N$16*(1-$A116)*(1-(1-$A116)^MIN(B$6,$B$11))/($A116*MIN(B$6,$B$11)))^2)+IF(OR(C$7="",C$8=0),0,C$8*(C$7-N$16*(1-$A116)*(1-(1-$A116)^MIN(C$6,$B$11))/($A116*MIN(C$6,$B$11)))^2)+IF(OR(D$7="",D$8=0),0,D$8*(D$7-N$16*(1-$A116)*(1-(1-$A116)^MIN(D$6,$B$11))/($A116*MIN(D$6,$B$11)))^2)+IF(OR(E$7="",E$8=0),0,E$8*(E$7-N$16*(1-$A116)*(1-(1-$A116)^MIN(E$6,$B$11))/($A116*MIN(E$6,$B$11)))^2)</f>
        <v/>
      </c>
      <c r="O116" s="27">
        <f>IF(OR(B$7="",B$8=0),0,B$8*(B$7-O$16*(1-$A116)*(1-(1-$A116)^MIN(B$6,$B$11))/($A116*MIN(B$6,$B$11)))^2)+IF(OR(C$7="",C$8=0),0,C$8*(C$7-O$16*(1-$A116)*(1-(1-$A116)^MIN(C$6,$B$11))/($A116*MIN(C$6,$B$11)))^2)+IF(OR(D$7="",D$8=0),0,D$8*(D$7-O$16*(1-$A116)*(1-(1-$A116)^MIN(D$6,$B$11))/($A116*MIN(D$6,$B$11)))^2)+IF(OR(E$7="",E$8=0),0,E$8*(E$7-O$16*(1-$A116)*(1-(1-$A116)^MIN(E$6,$B$11))/($A116*MIN(E$6,$B$11)))^2)</f>
        <v/>
      </c>
      <c r="P116" s="27">
        <f>IF(OR(B$7="",B$8=0),0,B$8*(B$7-P$16*(1-$A116)*(1-(1-$A116)^MIN(B$6,$B$11))/($A116*MIN(B$6,$B$11)))^2)+IF(OR(C$7="",C$8=0),0,C$8*(C$7-P$16*(1-$A116)*(1-(1-$A116)^MIN(C$6,$B$11))/($A116*MIN(C$6,$B$11)))^2)+IF(OR(D$7="",D$8=0),0,D$8*(D$7-P$16*(1-$A116)*(1-(1-$A116)^MIN(D$6,$B$11))/($A116*MIN(D$6,$B$11)))^2)+IF(OR(E$7="",E$8=0),0,E$8*(E$7-P$16*(1-$A116)*(1-(1-$A116)^MIN(E$6,$B$11))/($A116*MIN(E$6,$B$11)))^2)</f>
        <v/>
      </c>
      <c r="Q116" s="27">
        <f>IF(OR(B$7="",B$8=0),0,B$8*(B$7-Q$16*(1-$A116)*(1-(1-$A116)^MIN(B$6,$B$11))/($A116*MIN(B$6,$B$11)))^2)+IF(OR(C$7="",C$8=0),0,C$8*(C$7-Q$16*(1-$A116)*(1-(1-$A116)^MIN(C$6,$B$11))/($A116*MIN(C$6,$B$11)))^2)+IF(OR(D$7="",D$8=0),0,D$8*(D$7-Q$16*(1-$A116)*(1-(1-$A116)^MIN(D$6,$B$11))/($A116*MIN(D$6,$B$11)))^2)+IF(OR(E$7="",E$8=0),0,E$8*(E$7-Q$16*(1-$A116)*(1-(1-$A116)^MIN(E$6,$B$11))/($A116*MIN(E$6,$B$11)))^2)</f>
        <v/>
      </c>
      <c r="R116" s="27">
        <f>IF(OR(B$7="",B$8=0),0,B$8*(B$7-R$16*(1-$A116)*(1-(1-$A116)^MIN(B$6,$B$11))/($A116*MIN(B$6,$B$11)))^2)+IF(OR(C$7="",C$8=0),0,C$8*(C$7-R$16*(1-$A116)*(1-(1-$A116)^MIN(C$6,$B$11))/($A116*MIN(C$6,$B$11)))^2)+IF(OR(D$7="",D$8=0),0,D$8*(D$7-R$16*(1-$A116)*(1-(1-$A116)^MIN(D$6,$B$11))/($A116*MIN(D$6,$B$11)))^2)+IF(OR(E$7="",E$8=0),0,E$8*(E$7-R$16*(1-$A116)*(1-(1-$A116)^MIN(E$6,$B$11))/($A116*MIN(E$6,$B$11)))^2)</f>
        <v/>
      </c>
      <c r="S116" s="27">
        <f>IF(OR(B$7="",B$8=0),0,B$8*(B$7-S$16*(1-$A116)*(1-(1-$A116)^MIN(B$6,$B$11))/($A116*MIN(B$6,$B$11)))^2)+IF(OR(C$7="",C$8=0),0,C$8*(C$7-S$16*(1-$A116)*(1-(1-$A116)^MIN(C$6,$B$11))/($A116*MIN(C$6,$B$11)))^2)+IF(OR(D$7="",D$8=0),0,D$8*(D$7-S$16*(1-$A116)*(1-(1-$A116)^MIN(D$6,$B$11))/($A116*MIN(D$6,$B$11)))^2)+IF(OR(E$7="",E$8=0),0,E$8*(E$7-S$16*(1-$A116)*(1-(1-$A116)^MIN(E$6,$B$11))/($A116*MIN(E$6,$B$11)))^2)</f>
        <v/>
      </c>
      <c r="U116" s="27">
        <f>MIN(B116:S116)</f>
        <v/>
      </c>
      <c r="V116" s="17">
        <f>MATCH(U116,B116:S116,0)</f>
        <v/>
      </c>
    </row>
    <row r="117">
      <c r="A117" s="26" t="n">
        <v>0.055</v>
      </c>
      <c r="B117" s="27">
        <f>IF(OR(B$7="",B$8=0),0,B$8*(B$7-B$16*(1-$A117)*(1-(1-$A117)^MIN(B$6,$B$11))/($A117*MIN(B$6,$B$11)))^2)+IF(OR(C$7="",C$8=0),0,C$8*(C$7-B$16*(1-$A117)*(1-(1-$A117)^MIN(C$6,$B$11))/($A117*MIN(C$6,$B$11)))^2)+IF(OR(D$7="",D$8=0),0,D$8*(D$7-B$16*(1-$A117)*(1-(1-$A117)^MIN(D$6,$B$11))/($A117*MIN(D$6,$B$11)))^2)+IF(OR(E$7="",E$8=0),0,E$8*(E$7-B$16*(1-$A117)*(1-(1-$A117)^MIN(E$6,$B$11))/($A117*MIN(E$6,$B$11)))^2)</f>
        <v/>
      </c>
      <c r="C117" s="27">
        <f>IF(OR(B$7="",B$8=0),0,B$8*(B$7-C$16*(1-$A117)*(1-(1-$A117)^MIN(B$6,$B$11))/($A117*MIN(B$6,$B$11)))^2)+IF(OR(C$7="",C$8=0),0,C$8*(C$7-C$16*(1-$A117)*(1-(1-$A117)^MIN(C$6,$B$11))/($A117*MIN(C$6,$B$11)))^2)+IF(OR(D$7="",D$8=0),0,D$8*(D$7-C$16*(1-$A117)*(1-(1-$A117)^MIN(D$6,$B$11))/($A117*MIN(D$6,$B$11)))^2)+IF(OR(E$7="",E$8=0),0,E$8*(E$7-C$16*(1-$A117)*(1-(1-$A117)^MIN(E$6,$B$11))/($A117*MIN(E$6,$B$11)))^2)</f>
        <v/>
      </c>
      <c r="D117" s="27">
        <f>IF(OR(B$7="",B$8=0),0,B$8*(B$7-D$16*(1-$A117)*(1-(1-$A117)^MIN(B$6,$B$11))/($A117*MIN(B$6,$B$11)))^2)+IF(OR(C$7="",C$8=0),0,C$8*(C$7-D$16*(1-$A117)*(1-(1-$A117)^MIN(C$6,$B$11))/($A117*MIN(C$6,$B$11)))^2)+IF(OR(D$7="",D$8=0),0,D$8*(D$7-D$16*(1-$A117)*(1-(1-$A117)^MIN(D$6,$B$11))/($A117*MIN(D$6,$B$11)))^2)+IF(OR(E$7="",E$8=0),0,E$8*(E$7-D$16*(1-$A117)*(1-(1-$A117)^MIN(E$6,$B$11))/($A117*MIN(E$6,$B$11)))^2)</f>
        <v/>
      </c>
      <c r="E117" s="27">
        <f>IF(OR(B$7="",B$8=0),0,B$8*(B$7-E$16*(1-$A117)*(1-(1-$A117)^MIN(B$6,$B$11))/($A117*MIN(B$6,$B$11)))^2)+IF(OR(C$7="",C$8=0),0,C$8*(C$7-E$16*(1-$A117)*(1-(1-$A117)^MIN(C$6,$B$11))/($A117*MIN(C$6,$B$11)))^2)+IF(OR(D$7="",D$8=0),0,D$8*(D$7-E$16*(1-$A117)*(1-(1-$A117)^MIN(D$6,$B$11))/($A117*MIN(D$6,$B$11)))^2)+IF(OR(E$7="",E$8=0),0,E$8*(E$7-E$16*(1-$A117)*(1-(1-$A117)^MIN(E$6,$B$11))/($A117*MIN(E$6,$B$11)))^2)</f>
        <v/>
      </c>
      <c r="F117" s="27">
        <f>IF(OR(B$7="",B$8=0),0,B$8*(B$7-F$16*(1-$A117)*(1-(1-$A117)^MIN(B$6,$B$11))/($A117*MIN(B$6,$B$11)))^2)+IF(OR(C$7="",C$8=0),0,C$8*(C$7-F$16*(1-$A117)*(1-(1-$A117)^MIN(C$6,$B$11))/($A117*MIN(C$6,$B$11)))^2)+IF(OR(D$7="",D$8=0),0,D$8*(D$7-F$16*(1-$A117)*(1-(1-$A117)^MIN(D$6,$B$11))/($A117*MIN(D$6,$B$11)))^2)+IF(OR(E$7="",E$8=0),0,E$8*(E$7-F$16*(1-$A117)*(1-(1-$A117)^MIN(E$6,$B$11))/($A117*MIN(E$6,$B$11)))^2)</f>
        <v/>
      </c>
      <c r="G117" s="27">
        <f>IF(OR(B$7="",B$8=0),0,B$8*(B$7-G$16*(1-$A117)*(1-(1-$A117)^MIN(B$6,$B$11))/($A117*MIN(B$6,$B$11)))^2)+IF(OR(C$7="",C$8=0),0,C$8*(C$7-G$16*(1-$A117)*(1-(1-$A117)^MIN(C$6,$B$11))/($A117*MIN(C$6,$B$11)))^2)+IF(OR(D$7="",D$8=0),0,D$8*(D$7-G$16*(1-$A117)*(1-(1-$A117)^MIN(D$6,$B$11))/($A117*MIN(D$6,$B$11)))^2)+IF(OR(E$7="",E$8=0),0,E$8*(E$7-G$16*(1-$A117)*(1-(1-$A117)^MIN(E$6,$B$11))/($A117*MIN(E$6,$B$11)))^2)</f>
        <v/>
      </c>
      <c r="H117" s="27">
        <f>IF(OR(B$7="",B$8=0),0,B$8*(B$7-H$16*(1-$A117)*(1-(1-$A117)^MIN(B$6,$B$11))/($A117*MIN(B$6,$B$11)))^2)+IF(OR(C$7="",C$8=0),0,C$8*(C$7-H$16*(1-$A117)*(1-(1-$A117)^MIN(C$6,$B$11))/($A117*MIN(C$6,$B$11)))^2)+IF(OR(D$7="",D$8=0),0,D$8*(D$7-H$16*(1-$A117)*(1-(1-$A117)^MIN(D$6,$B$11))/($A117*MIN(D$6,$B$11)))^2)+IF(OR(E$7="",E$8=0),0,E$8*(E$7-H$16*(1-$A117)*(1-(1-$A117)^MIN(E$6,$B$11))/($A117*MIN(E$6,$B$11)))^2)</f>
        <v/>
      </c>
      <c r="I117" s="27">
        <f>IF(OR(B$7="",B$8=0),0,B$8*(B$7-I$16*(1-$A117)*(1-(1-$A117)^MIN(B$6,$B$11))/($A117*MIN(B$6,$B$11)))^2)+IF(OR(C$7="",C$8=0),0,C$8*(C$7-I$16*(1-$A117)*(1-(1-$A117)^MIN(C$6,$B$11))/($A117*MIN(C$6,$B$11)))^2)+IF(OR(D$7="",D$8=0),0,D$8*(D$7-I$16*(1-$A117)*(1-(1-$A117)^MIN(D$6,$B$11))/($A117*MIN(D$6,$B$11)))^2)+IF(OR(E$7="",E$8=0),0,E$8*(E$7-I$16*(1-$A117)*(1-(1-$A117)^MIN(E$6,$B$11))/($A117*MIN(E$6,$B$11)))^2)</f>
        <v/>
      </c>
      <c r="J117" s="27">
        <f>IF(OR(B$7="",B$8=0),0,B$8*(B$7-J$16*(1-$A117)*(1-(1-$A117)^MIN(B$6,$B$11))/($A117*MIN(B$6,$B$11)))^2)+IF(OR(C$7="",C$8=0),0,C$8*(C$7-J$16*(1-$A117)*(1-(1-$A117)^MIN(C$6,$B$11))/($A117*MIN(C$6,$B$11)))^2)+IF(OR(D$7="",D$8=0),0,D$8*(D$7-J$16*(1-$A117)*(1-(1-$A117)^MIN(D$6,$B$11))/($A117*MIN(D$6,$B$11)))^2)+IF(OR(E$7="",E$8=0),0,E$8*(E$7-J$16*(1-$A117)*(1-(1-$A117)^MIN(E$6,$B$11))/($A117*MIN(E$6,$B$11)))^2)</f>
        <v/>
      </c>
      <c r="K117" s="27">
        <f>IF(OR(B$7="",B$8=0),0,B$8*(B$7-K$16*(1-$A117)*(1-(1-$A117)^MIN(B$6,$B$11))/($A117*MIN(B$6,$B$11)))^2)+IF(OR(C$7="",C$8=0),0,C$8*(C$7-K$16*(1-$A117)*(1-(1-$A117)^MIN(C$6,$B$11))/($A117*MIN(C$6,$B$11)))^2)+IF(OR(D$7="",D$8=0),0,D$8*(D$7-K$16*(1-$A117)*(1-(1-$A117)^MIN(D$6,$B$11))/($A117*MIN(D$6,$B$11)))^2)+IF(OR(E$7="",E$8=0),0,E$8*(E$7-K$16*(1-$A117)*(1-(1-$A117)^MIN(E$6,$B$11))/($A117*MIN(E$6,$B$11)))^2)</f>
        <v/>
      </c>
      <c r="L117" s="27">
        <f>IF(OR(B$7="",B$8=0),0,B$8*(B$7-L$16*(1-$A117)*(1-(1-$A117)^MIN(B$6,$B$11))/($A117*MIN(B$6,$B$11)))^2)+IF(OR(C$7="",C$8=0),0,C$8*(C$7-L$16*(1-$A117)*(1-(1-$A117)^MIN(C$6,$B$11))/($A117*MIN(C$6,$B$11)))^2)+IF(OR(D$7="",D$8=0),0,D$8*(D$7-L$16*(1-$A117)*(1-(1-$A117)^MIN(D$6,$B$11))/($A117*MIN(D$6,$B$11)))^2)+IF(OR(E$7="",E$8=0),0,E$8*(E$7-L$16*(1-$A117)*(1-(1-$A117)^MIN(E$6,$B$11))/($A117*MIN(E$6,$B$11)))^2)</f>
        <v/>
      </c>
      <c r="M117" s="27">
        <f>IF(OR(B$7="",B$8=0),0,B$8*(B$7-M$16*(1-$A117)*(1-(1-$A117)^MIN(B$6,$B$11))/($A117*MIN(B$6,$B$11)))^2)+IF(OR(C$7="",C$8=0),0,C$8*(C$7-M$16*(1-$A117)*(1-(1-$A117)^MIN(C$6,$B$11))/($A117*MIN(C$6,$B$11)))^2)+IF(OR(D$7="",D$8=0),0,D$8*(D$7-M$16*(1-$A117)*(1-(1-$A117)^MIN(D$6,$B$11))/($A117*MIN(D$6,$B$11)))^2)+IF(OR(E$7="",E$8=0),0,E$8*(E$7-M$16*(1-$A117)*(1-(1-$A117)^MIN(E$6,$B$11))/($A117*MIN(E$6,$B$11)))^2)</f>
        <v/>
      </c>
      <c r="N117" s="27">
        <f>IF(OR(B$7="",B$8=0),0,B$8*(B$7-N$16*(1-$A117)*(1-(1-$A117)^MIN(B$6,$B$11))/($A117*MIN(B$6,$B$11)))^2)+IF(OR(C$7="",C$8=0),0,C$8*(C$7-N$16*(1-$A117)*(1-(1-$A117)^MIN(C$6,$B$11))/($A117*MIN(C$6,$B$11)))^2)+IF(OR(D$7="",D$8=0),0,D$8*(D$7-N$16*(1-$A117)*(1-(1-$A117)^MIN(D$6,$B$11))/($A117*MIN(D$6,$B$11)))^2)+IF(OR(E$7="",E$8=0),0,E$8*(E$7-N$16*(1-$A117)*(1-(1-$A117)^MIN(E$6,$B$11))/($A117*MIN(E$6,$B$11)))^2)</f>
        <v/>
      </c>
      <c r="O117" s="27">
        <f>IF(OR(B$7="",B$8=0),0,B$8*(B$7-O$16*(1-$A117)*(1-(1-$A117)^MIN(B$6,$B$11))/($A117*MIN(B$6,$B$11)))^2)+IF(OR(C$7="",C$8=0),0,C$8*(C$7-O$16*(1-$A117)*(1-(1-$A117)^MIN(C$6,$B$11))/($A117*MIN(C$6,$B$11)))^2)+IF(OR(D$7="",D$8=0),0,D$8*(D$7-O$16*(1-$A117)*(1-(1-$A117)^MIN(D$6,$B$11))/($A117*MIN(D$6,$B$11)))^2)+IF(OR(E$7="",E$8=0),0,E$8*(E$7-O$16*(1-$A117)*(1-(1-$A117)^MIN(E$6,$B$11))/($A117*MIN(E$6,$B$11)))^2)</f>
        <v/>
      </c>
      <c r="P117" s="27">
        <f>IF(OR(B$7="",B$8=0),0,B$8*(B$7-P$16*(1-$A117)*(1-(1-$A117)^MIN(B$6,$B$11))/($A117*MIN(B$6,$B$11)))^2)+IF(OR(C$7="",C$8=0),0,C$8*(C$7-P$16*(1-$A117)*(1-(1-$A117)^MIN(C$6,$B$11))/($A117*MIN(C$6,$B$11)))^2)+IF(OR(D$7="",D$8=0),0,D$8*(D$7-P$16*(1-$A117)*(1-(1-$A117)^MIN(D$6,$B$11))/($A117*MIN(D$6,$B$11)))^2)+IF(OR(E$7="",E$8=0),0,E$8*(E$7-P$16*(1-$A117)*(1-(1-$A117)^MIN(E$6,$B$11))/($A117*MIN(E$6,$B$11)))^2)</f>
        <v/>
      </c>
      <c r="Q117" s="27">
        <f>IF(OR(B$7="",B$8=0),0,B$8*(B$7-Q$16*(1-$A117)*(1-(1-$A117)^MIN(B$6,$B$11))/($A117*MIN(B$6,$B$11)))^2)+IF(OR(C$7="",C$8=0),0,C$8*(C$7-Q$16*(1-$A117)*(1-(1-$A117)^MIN(C$6,$B$11))/($A117*MIN(C$6,$B$11)))^2)+IF(OR(D$7="",D$8=0),0,D$8*(D$7-Q$16*(1-$A117)*(1-(1-$A117)^MIN(D$6,$B$11))/($A117*MIN(D$6,$B$11)))^2)+IF(OR(E$7="",E$8=0),0,E$8*(E$7-Q$16*(1-$A117)*(1-(1-$A117)^MIN(E$6,$B$11))/($A117*MIN(E$6,$B$11)))^2)</f>
        <v/>
      </c>
      <c r="R117" s="27">
        <f>IF(OR(B$7="",B$8=0),0,B$8*(B$7-R$16*(1-$A117)*(1-(1-$A117)^MIN(B$6,$B$11))/($A117*MIN(B$6,$B$11)))^2)+IF(OR(C$7="",C$8=0),0,C$8*(C$7-R$16*(1-$A117)*(1-(1-$A117)^MIN(C$6,$B$11))/($A117*MIN(C$6,$B$11)))^2)+IF(OR(D$7="",D$8=0),0,D$8*(D$7-R$16*(1-$A117)*(1-(1-$A117)^MIN(D$6,$B$11))/($A117*MIN(D$6,$B$11)))^2)+IF(OR(E$7="",E$8=0),0,E$8*(E$7-R$16*(1-$A117)*(1-(1-$A117)^MIN(E$6,$B$11))/($A117*MIN(E$6,$B$11)))^2)</f>
        <v/>
      </c>
      <c r="S117" s="27">
        <f>IF(OR(B$7="",B$8=0),0,B$8*(B$7-S$16*(1-$A117)*(1-(1-$A117)^MIN(B$6,$B$11))/($A117*MIN(B$6,$B$11)))^2)+IF(OR(C$7="",C$8=0),0,C$8*(C$7-S$16*(1-$A117)*(1-(1-$A117)^MIN(C$6,$B$11))/($A117*MIN(C$6,$B$11)))^2)+IF(OR(D$7="",D$8=0),0,D$8*(D$7-S$16*(1-$A117)*(1-(1-$A117)^MIN(D$6,$B$11))/($A117*MIN(D$6,$B$11)))^2)+IF(OR(E$7="",E$8=0),0,E$8*(E$7-S$16*(1-$A117)*(1-(1-$A117)^MIN(E$6,$B$11))/($A117*MIN(E$6,$B$11)))^2)</f>
        <v/>
      </c>
      <c r="U117" s="27">
        <f>MIN(B117:S117)</f>
        <v/>
      </c>
      <c r="V117" s="17">
        <f>MATCH(U117,B117:S117,0)</f>
        <v/>
      </c>
    </row>
    <row r="118">
      <c r="A118" s="26" t="n">
        <v>0.0555</v>
      </c>
      <c r="B118" s="27">
        <f>IF(OR(B$7="",B$8=0),0,B$8*(B$7-B$16*(1-$A118)*(1-(1-$A118)^MIN(B$6,$B$11))/($A118*MIN(B$6,$B$11)))^2)+IF(OR(C$7="",C$8=0),0,C$8*(C$7-B$16*(1-$A118)*(1-(1-$A118)^MIN(C$6,$B$11))/($A118*MIN(C$6,$B$11)))^2)+IF(OR(D$7="",D$8=0),0,D$8*(D$7-B$16*(1-$A118)*(1-(1-$A118)^MIN(D$6,$B$11))/($A118*MIN(D$6,$B$11)))^2)+IF(OR(E$7="",E$8=0),0,E$8*(E$7-B$16*(1-$A118)*(1-(1-$A118)^MIN(E$6,$B$11))/($A118*MIN(E$6,$B$11)))^2)</f>
        <v/>
      </c>
      <c r="C118" s="27">
        <f>IF(OR(B$7="",B$8=0),0,B$8*(B$7-C$16*(1-$A118)*(1-(1-$A118)^MIN(B$6,$B$11))/($A118*MIN(B$6,$B$11)))^2)+IF(OR(C$7="",C$8=0),0,C$8*(C$7-C$16*(1-$A118)*(1-(1-$A118)^MIN(C$6,$B$11))/($A118*MIN(C$6,$B$11)))^2)+IF(OR(D$7="",D$8=0),0,D$8*(D$7-C$16*(1-$A118)*(1-(1-$A118)^MIN(D$6,$B$11))/($A118*MIN(D$6,$B$11)))^2)+IF(OR(E$7="",E$8=0),0,E$8*(E$7-C$16*(1-$A118)*(1-(1-$A118)^MIN(E$6,$B$11))/($A118*MIN(E$6,$B$11)))^2)</f>
        <v/>
      </c>
      <c r="D118" s="27">
        <f>IF(OR(B$7="",B$8=0),0,B$8*(B$7-D$16*(1-$A118)*(1-(1-$A118)^MIN(B$6,$B$11))/($A118*MIN(B$6,$B$11)))^2)+IF(OR(C$7="",C$8=0),0,C$8*(C$7-D$16*(1-$A118)*(1-(1-$A118)^MIN(C$6,$B$11))/($A118*MIN(C$6,$B$11)))^2)+IF(OR(D$7="",D$8=0),0,D$8*(D$7-D$16*(1-$A118)*(1-(1-$A118)^MIN(D$6,$B$11))/($A118*MIN(D$6,$B$11)))^2)+IF(OR(E$7="",E$8=0),0,E$8*(E$7-D$16*(1-$A118)*(1-(1-$A118)^MIN(E$6,$B$11))/($A118*MIN(E$6,$B$11)))^2)</f>
        <v/>
      </c>
      <c r="E118" s="27">
        <f>IF(OR(B$7="",B$8=0),0,B$8*(B$7-E$16*(1-$A118)*(1-(1-$A118)^MIN(B$6,$B$11))/($A118*MIN(B$6,$B$11)))^2)+IF(OR(C$7="",C$8=0),0,C$8*(C$7-E$16*(1-$A118)*(1-(1-$A118)^MIN(C$6,$B$11))/($A118*MIN(C$6,$B$11)))^2)+IF(OR(D$7="",D$8=0),0,D$8*(D$7-E$16*(1-$A118)*(1-(1-$A118)^MIN(D$6,$B$11))/($A118*MIN(D$6,$B$11)))^2)+IF(OR(E$7="",E$8=0),0,E$8*(E$7-E$16*(1-$A118)*(1-(1-$A118)^MIN(E$6,$B$11))/($A118*MIN(E$6,$B$11)))^2)</f>
        <v/>
      </c>
      <c r="F118" s="27">
        <f>IF(OR(B$7="",B$8=0),0,B$8*(B$7-F$16*(1-$A118)*(1-(1-$A118)^MIN(B$6,$B$11))/($A118*MIN(B$6,$B$11)))^2)+IF(OR(C$7="",C$8=0),0,C$8*(C$7-F$16*(1-$A118)*(1-(1-$A118)^MIN(C$6,$B$11))/($A118*MIN(C$6,$B$11)))^2)+IF(OR(D$7="",D$8=0),0,D$8*(D$7-F$16*(1-$A118)*(1-(1-$A118)^MIN(D$6,$B$11))/($A118*MIN(D$6,$B$11)))^2)+IF(OR(E$7="",E$8=0),0,E$8*(E$7-F$16*(1-$A118)*(1-(1-$A118)^MIN(E$6,$B$11))/($A118*MIN(E$6,$B$11)))^2)</f>
        <v/>
      </c>
      <c r="G118" s="27">
        <f>IF(OR(B$7="",B$8=0),0,B$8*(B$7-G$16*(1-$A118)*(1-(1-$A118)^MIN(B$6,$B$11))/($A118*MIN(B$6,$B$11)))^2)+IF(OR(C$7="",C$8=0),0,C$8*(C$7-G$16*(1-$A118)*(1-(1-$A118)^MIN(C$6,$B$11))/($A118*MIN(C$6,$B$11)))^2)+IF(OR(D$7="",D$8=0),0,D$8*(D$7-G$16*(1-$A118)*(1-(1-$A118)^MIN(D$6,$B$11))/($A118*MIN(D$6,$B$11)))^2)+IF(OR(E$7="",E$8=0),0,E$8*(E$7-G$16*(1-$A118)*(1-(1-$A118)^MIN(E$6,$B$11))/($A118*MIN(E$6,$B$11)))^2)</f>
        <v/>
      </c>
      <c r="H118" s="27">
        <f>IF(OR(B$7="",B$8=0),0,B$8*(B$7-H$16*(1-$A118)*(1-(1-$A118)^MIN(B$6,$B$11))/($A118*MIN(B$6,$B$11)))^2)+IF(OR(C$7="",C$8=0),0,C$8*(C$7-H$16*(1-$A118)*(1-(1-$A118)^MIN(C$6,$B$11))/($A118*MIN(C$6,$B$11)))^2)+IF(OR(D$7="",D$8=0),0,D$8*(D$7-H$16*(1-$A118)*(1-(1-$A118)^MIN(D$6,$B$11))/($A118*MIN(D$6,$B$11)))^2)+IF(OR(E$7="",E$8=0),0,E$8*(E$7-H$16*(1-$A118)*(1-(1-$A118)^MIN(E$6,$B$11))/($A118*MIN(E$6,$B$11)))^2)</f>
        <v/>
      </c>
      <c r="I118" s="27">
        <f>IF(OR(B$7="",B$8=0),0,B$8*(B$7-I$16*(1-$A118)*(1-(1-$A118)^MIN(B$6,$B$11))/($A118*MIN(B$6,$B$11)))^2)+IF(OR(C$7="",C$8=0),0,C$8*(C$7-I$16*(1-$A118)*(1-(1-$A118)^MIN(C$6,$B$11))/($A118*MIN(C$6,$B$11)))^2)+IF(OR(D$7="",D$8=0),0,D$8*(D$7-I$16*(1-$A118)*(1-(1-$A118)^MIN(D$6,$B$11))/($A118*MIN(D$6,$B$11)))^2)+IF(OR(E$7="",E$8=0),0,E$8*(E$7-I$16*(1-$A118)*(1-(1-$A118)^MIN(E$6,$B$11))/($A118*MIN(E$6,$B$11)))^2)</f>
        <v/>
      </c>
      <c r="J118" s="27">
        <f>IF(OR(B$7="",B$8=0),0,B$8*(B$7-J$16*(1-$A118)*(1-(1-$A118)^MIN(B$6,$B$11))/($A118*MIN(B$6,$B$11)))^2)+IF(OR(C$7="",C$8=0),0,C$8*(C$7-J$16*(1-$A118)*(1-(1-$A118)^MIN(C$6,$B$11))/($A118*MIN(C$6,$B$11)))^2)+IF(OR(D$7="",D$8=0),0,D$8*(D$7-J$16*(1-$A118)*(1-(1-$A118)^MIN(D$6,$B$11))/($A118*MIN(D$6,$B$11)))^2)+IF(OR(E$7="",E$8=0),0,E$8*(E$7-J$16*(1-$A118)*(1-(1-$A118)^MIN(E$6,$B$11))/($A118*MIN(E$6,$B$11)))^2)</f>
        <v/>
      </c>
      <c r="K118" s="27">
        <f>IF(OR(B$7="",B$8=0),0,B$8*(B$7-K$16*(1-$A118)*(1-(1-$A118)^MIN(B$6,$B$11))/($A118*MIN(B$6,$B$11)))^2)+IF(OR(C$7="",C$8=0),0,C$8*(C$7-K$16*(1-$A118)*(1-(1-$A118)^MIN(C$6,$B$11))/($A118*MIN(C$6,$B$11)))^2)+IF(OR(D$7="",D$8=0),0,D$8*(D$7-K$16*(1-$A118)*(1-(1-$A118)^MIN(D$6,$B$11))/($A118*MIN(D$6,$B$11)))^2)+IF(OR(E$7="",E$8=0),0,E$8*(E$7-K$16*(1-$A118)*(1-(1-$A118)^MIN(E$6,$B$11))/($A118*MIN(E$6,$B$11)))^2)</f>
        <v/>
      </c>
      <c r="L118" s="27">
        <f>IF(OR(B$7="",B$8=0),0,B$8*(B$7-L$16*(1-$A118)*(1-(1-$A118)^MIN(B$6,$B$11))/($A118*MIN(B$6,$B$11)))^2)+IF(OR(C$7="",C$8=0),0,C$8*(C$7-L$16*(1-$A118)*(1-(1-$A118)^MIN(C$6,$B$11))/($A118*MIN(C$6,$B$11)))^2)+IF(OR(D$7="",D$8=0),0,D$8*(D$7-L$16*(1-$A118)*(1-(1-$A118)^MIN(D$6,$B$11))/($A118*MIN(D$6,$B$11)))^2)+IF(OR(E$7="",E$8=0),0,E$8*(E$7-L$16*(1-$A118)*(1-(1-$A118)^MIN(E$6,$B$11))/($A118*MIN(E$6,$B$11)))^2)</f>
        <v/>
      </c>
      <c r="M118" s="27">
        <f>IF(OR(B$7="",B$8=0),0,B$8*(B$7-M$16*(1-$A118)*(1-(1-$A118)^MIN(B$6,$B$11))/($A118*MIN(B$6,$B$11)))^2)+IF(OR(C$7="",C$8=0),0,C$8*(C$7-M$16*(1-$A118)*(1-(1-$A118)^MIN(C$6,$B$11))/($A118*MIN(C$6,$B$11)))^2)+IF(OR(D$7="",D$8=0),0,D$8*(D$7-M$16*(1-$A118)*(1-(1-$A118)^MIN(D$6,$B$11))/($A118*MIN(D$6,$B$11)))^2)+IF(OR(E$7="",E$8=0),0,E$8*(E$7-M$16*(1-$A118)*(1-(1-$A118)^MIN(E$6,$B$11))/($A118*MIN(E$6,$B$11)))^2)</f>
        <v/>
      </c>
      <c r="N118" s="27">
        <f>IF(OR(B$7="",B$8=0),0,B$8*(B$7-N$16*(1-$A118)*(1-(1-$A118)^MIN(B$6,$B$11))/($A118*MIN(B$6,$B$11)))^2)+IF(OR(C$7="",C$8=0),0,C$8*(C$7-N$16*(1-$A118)*(1-(1-$A118)^MIN(C$6,$B$11))/($A118*MIN(C$6,$B$11)))^2)+IF(OR(D$7="",D$8=0),0,D$8*(D$7-N$16*(1-$A118)*(1-(1-$A118)^MIN(D$6,$B$11))/($A118*MIN(D$6,$B$11)))^2)+IF(OR(E$7="",E$8=0),0,E$8*(E$7-N$16*(1-$A118)*(1-(1-$A118)^MIN(E$6,$B$11))/($A118*MIN(E$6,$B$11)))^2)</f>
        <v/>
      </c>
      <c r="O118" s="27">
        <f>IF(OR(B$7="",B$8=0),0,B$8*(B$7-O$16*(1-$A118)*(1-(1-$A118)^MIN(B$6,$B$11))/($A118*MIN(B$6,$B$11)))^2)+IF(OR(C$7="",C$8=0),0,C$8*(C$7-O$16*(1-$A118)*(1-(1-$A118)^MIN(C$6,$B$11))/($A118*MIN(C$6,$B$11)))^2)+IF(OR(D$7="",D$8=0),0,D$8*(D$7-O$16*(1-$A118)*(1-(1-$A118)^MIN(D$6,$B$11))/($A118*MIN(D$6,$B$11)))^2)+IF(OR(E$7="",E$8=0),0,E$8*(E$7-O$16*(1-$A118)*(1-(1-$A118)^MIN(E$6,$B$11))/($A118*MIN(E$6,$B$11)))^2)</f>
        <v/>
      </c>
      <c r="P118" s="27">
        <f>IF(OR(B$7="",B$8=0),0,B$8*(B$7-P$16*(1-$A118)*(1-(1-$A118)^MIN(B$6,$B$11))/($A118*MIN(B$6,$B$11)))^2)+IF(OR(C$7="",C$8=0),0,C$8*(C$7-P$16*(1-$A118)*(1-(1-$A118)^MIN(C$6,$B$11))/($A118*MIN(C$6,$B$11)))^2)+IF(OR(D$7="",D$8=0),0,D$8*(D$7-P$16*(1-$A118)*(1-(1-$A118)^MIN(D$6,$B$11))/($A118*MIN(D$6,$B$11)))^2)+IF(OR(E$7="",E$8=0),0,E$8*(E$7-P$16*(1-$A118)*(1-(1-$A118)^MIN(E$6,$B$11))/($A118*MIN(E$6,$B$11)))^2)</f>
        <v/>
      </c>
      <c r="Q118" s="27">
        <f>IF(OR(B$7="",B$8=0),0,B$8*(B$7-Q$16*(1-$A118)*(1-(1-$A118)^MIN(B$6,$B$11))/($A118*MIN(B$6,$B$11)))^2)+IF(OR(C$7="",C$8=0),0,C$8*(C$7-Q$16*(1-$A118)*(1-(1-$A118)^MIN(C$6,$B$11))/($A118*MIN(C$6,$B$11)))^2)+IF(OR(D$7="",D$8=0),0,D$8*(D$7-Q$16*(1-$A118)*(1-(1-$A118)^MIN(D$6,$B$11))/($A118*MIN(D$6,$B$11)))^2)+IF(OR(E$7="",E$8=0),0,E$8*(E$7-Q$16*(1-$A118)*(1-(1-$A118)^MIN(E$6,$B$11))/($A118*MIN(E$6,$B$11)))^2)</f>
        <v/>
      </c>
      <c r="R118" s="27">
        <f>IF(OR(B$7="",B$8=0),0,B$8*(B$7-R$16*(1-$A118)*(1-(1-$A118)^MIN(B$6,$B$11))/($A118*MIN(B$6,$B$11)))^2)+IF(OR(C$7="",C$8=0),0,C$8*(C$7-R$16*(1-$A118)*(1-(1-$A118)^MIN(C$6,$B$11))/($A118*MIN(C$6,$B$11)))^2)+IF(OR(D$7="",D$8=0),0,D$8*(D$7-R$16*(1-$A118)*(1-(1-$A118)^MIN(D$6,$B$11))/($A118*MIN(D$6,$B$11)))^2)+IF(OR(E$7="",E$8=0),0,E$8*(E$7-R$16*(1-$A118)*(1-(1-$A118)^MIN(E$6,$B$11))/($A118*MIN(E$6,$B$11)))^2)</f>
        <v/>
      </c>
      <c r="S118" s="27">
        <f>IF(OR(B$7="",B$8=0),0,B$8*(B$7-S$16*(1-$A118)*(1-(1-$A118)^MIN(B$6,$B$11))/($A118*MIN(B$6,$B$11)))^2)+IF(OR(C$7="",C$8=0),0,C$8*(C$7-S$16*(1-$A118)*(1-(1-$A118)^MIN(C$6,$B$11))/($A118*MIN(C$6,$B$11)))^2)+IF(OR(D$7="",D$8=0),0,D$8*(D$7-S$16*(1-$A118)*(1-(1-$A118)^MIN(D$6,$B$11))/($A118*MIN(D$6,$B$11)))^2)+IF(OR(E$7="",E$8=0),0,E$8*(E$7-S$16*(1-$A118)*(1-(1-$A118)^MIN(E$6,$B$11))/($A118*MIN(E$6,$B$11)))^2)</f>
        <v/>
      </c>
      <c r="U118" s="27">
        <f>MIN(B118:S118)</f>
        <v/>
      </c>
      <c r="V118" s="17">
        <f>MATCH(U118,B118:S118,0)</f>
        <v/>
      </c>
    </row>
    <row r="119">
      <c r="A119" s="26" t="n">
        <v>0.056</v>
      </c>
      <c r="B119" s="27">
        <f>IF(OR(B$7="",B$8=0),0,B$8*(B$7-B$16*(1-$A119)*(1-(1-$A119)^MIN(B$6,$B$11))/($A119*MIN(B$6,$B$11)))^2)+IF(OR(C$7="",C$8=0),0,C$8*(C$7-B$16*(1-$A119)*(1-(1-$A119)^MIN(C$6,$B$11))/($A119*MIN(C$6,$B$11)))^2)+IF(OR(D$7="",D$8=0),0,D$8*(D$7-B$16*(1-$A119)*(1-(1-$A119)^MIN(D$6,$B$11))/($A119*MIN(D$6,$B$11)))^2)+IF(OR(E$7="",E$8=0),0,E$8*(E$7-B$16*(1-$A119)*(1-(1-$A119)^MIN(E$6,$B$11))/($A119*MIN(E$6,$B$11)))^2)</f>
        <v/>
      </c>
      <c r="C119" s="27">
        <f>IF(OR(B$7="",B$8=0),0,B$8*(B$7-C$16*(1-$A119)*(1-(1-$A119)^MIN(B$6,$B$11))/($A119*MIN(B$6,$B$11)))^2)+IF(OR(C$7="",C$8=0),0,C$8*(C$7-C$16*(1-$A119)*(1-(1-$A119)^MIN(C$6,$B$11))/($A119*MIN(C$6,$B$11)))^2)+IF(OR(D$7="",D$8=0),0,D$8*(D$7-C$16*(1-$A119)*(1-(1-$A119)^MIN(D$6,$B$11))/($A119*MIN(D$6,$B$11)))^2)+IF(OR(E$7="",E$8=0),0,E$8*(E$7-C$16*(1-$A119)*(1-(1-$A119)^MIN(E$6,$B$11))/($A119*MIN(E$6,$B$11)))^2)</f>
        <v/>
      </c>
      <c r="D119" s="27">
        <f>IF(OR(B$7="",B$8=0),0,B$8*(B$7-D$16*(1-$A119)*(1-(1-$A119)^MIN(B$6,$B$11))/($A119*MIN(B$6,$B$11)))^2)+IF(OR(C$7="",C$8=0),0,C$8*(C$7-D$16*(1-$A119)*(1-(1-$A119)^MIN(C$6,$B$11))/($A119*MIN(C$6,$B$11)))^2)+IF(OR(D$7="",D$8=0),0,D$8*(D$7-D$16*(1-$A119)*(1-(1-$A119)^MIN(D$6,$B$11))/($A119*MIN(D$6,$B$11)))^2)+IF(OR(E$7="",E$8=0),0,E$8*(E$7-D$16*(1-$A119)*(1-(1-$A119)^MIN(E$6,$B$11))/($A119*MIN(E$6,$B$11)))^2)</f>
        <v/>
      </c>
      <c r="E119" s="27">
        <f>IF(OR(B$7="",B$8=0),0,B$8*(B$7-E$16*(1-$A119)*(1-(1-$A119)^MIN(B$6,$B$11))/($A119*MIN(B$6,$B$11)))^2)+IF(OR(C$7="",C$8=0),0,C$8*(C$7-E$16*(1-$A119)*(1-(1-$A119)^MIN(C$6,$B$11))/($A119*MIN(C$6,$B$11)))^2)+IF(OR(D$7="",D$8=0),0,D$8*(D$7-E$16*(1-$A119)*(1-(1-$A119)^MIN(D$6,$B$11))/($A119*MIN(D$6,$B$11)))^2)+IF(OR(E$7="",E$8=0),0,E$8*(E$7-E$16*(1-$A119)*(1-(1-$A119)^MIN(E$6,$B$11))/($A119*MIN(E$6,$B$11)))^2)</f>
        <v/>
      </c>
      <c r="F119" s="27">
        <f>IF(OR(B$7="",B$8=0),0,B$8*(B$7-F$16*(1-$A119)*(1-(1-$A119)^MIN(B$6,$B$11))/($A119*MIN(B$6,$B$11)))^2)+IF(OR(C$7="",C$8=0),0,C$8*(C$7-F$16*(1-$A119)*(1-(1-$A119)^MIN(C$6,$B$11))/($A119*MIN(C$6,$B$11)))^2)+IF(OR(D$7="",D$8=0),0,D$8*(D$7-F$16*(1-$A119)*(1-(1-$A119)^MIN(D$6,$B$11))/($A119*MIN(D$6,$B$11)))^2)+IF(OR(E$7="",E$8=0),0,E$8*(E$7-F$16*(1-$A119)*(1-(1-$A119)^MIN(E$6,$B$11))/($A119*MIN(E$6,$B$11)))^2)</f>
        <v/>
      </c>
      <c r="G119" s="27">
        <f>IF(OR(B$7="",B$8=0),0,B$8*(B$7-G$16*(1-$A119)*(1-(1-$A119)^MIN(B$6,$B$11))/($A119*MIN(B$6,$B$11)))^2)+IF(OR(C$7="",C$8=0),0,C$8*(C$7-G$16*(1-$A119)*(1-(1-$A119)^MIN(C$6,$B$11))/($A119*MIN(C$6,$B$11)))^2)+IF(OR(D$7="",D$8=0),0,D$8*(D$7-G$16*(1-$A119)*(1-(1-$A119)^MIN(D$6,$B$11))/($A119*MIN(D$6,$B$11)))^2)+IF(OR(E$7="",E$8=0),0,E$8*(E$7-G$16*(1-$A119)*(1-(1-$A119)^MIN(E$6,$B$11))/($A119*MIN(E$6,$B$11)))^2)</f>
        <v/>
      </c>
      <c r="H119" s="27">
        <f>IF(OR(B$7="",B$8=0),0,B$8*(B$7-H$16*(1-$A119)*(1-(1-$A119)^MIN(B$6,$B$11))/($A119*MIN(B$6,$B$11)))^2)+IF(OR(C$7="",C$8=0),0,C$8*(C$7-H$16*(1-$A119)*(1-(1-$A119)^MIN(C$6,$B$11))/($A119*MIN(C$6,$B$11)))^2)+IF(OR(D$7="",D$8=0),0,D$8*(D$7-H$16*(1-$A119)*(1-(1-$A119)^MIN(D$6,$B$11))/($A119*MIN(D$6,$B$11)))^2)+IF(OR(E$7="",E$8=0),0,E$8*(E$7-H$16*(1-$A119)*(1-(1-$A119)^MIN(E$6,$B$11))/($A119*MIN(E$6,$B$11)))^2)</f>
        <v/>
      </c>
      <c r="I119" s="27">
        <f>IF(OR(B$7="",B$8=0),0,B$8*(B$7-I$16*(1-$A119)*(1-(1-$A119)^MIN(B$6,$B$11))/($A119*MIN(B$6,$B$11)))^2)+IF(OR(C$7="",C$8=0),0,C$8*(C$7-I$16*(1-$A119)*(1-(1-$A119)^MIN(C$6,$B$11))/($A119*MIN(C$6,$B$11)))^2)+IF(OR(D$7="",D$8=0),0,D$8*(D$7-I$16*(1-$A119)*(1-(1-$A119)^MIN(D$6,$B$11))/($A119*MIN(D$6,$B$11)))^2)+IF(OR(E$7="",E$8=0),0,E$8*(E$7-I$16*(1-$A119)*(1-(1-$A119)^MIN(E$6,$B$11))/($A119*MIN(E$6,$B$11)))^2)</f>
        <v/>
      </c>
      <c r="J119" s="27">
        <f>IF(OR(B$7="",B$8=0),0,B$8*(B$7-J$16*(1-$A119)*(1-(1-$A119)^MIN(B$6,$B$11))/($A119*MIN(B$6,$B$11)))^2)+IF(OR(C$7="",C$8=0),0,C$8*(C$7-J$16*(1-$A119)*(1-(1-$A119)^MIN(C$6,$B$11))/($A119*MIN(C$6,$B$11)))^2)+IF(OR(D$7="",D$8=0),0,D$8*(D$7-J$16*(1-$A119)*(1-(1-$A119)^MIN(D$6,$B$11))/($A119*MIN(D$6,$B$11)))^2)+IF(OR(E$7="",E$8=0),0,E$8*(E$7-J$16*(1-$A119)*(1-(1-$A119)^MIN(E$6,$B$11))/($A119*MIN(E$6,$B$11)))^2)</f>
        <v/>
      </c>
      <c r="K119" s="27">
        <f>IF(OR(B$7="",B$8=0),0,B$8*(B$7-K$16*(1-$A119)*(1-(1-$A119)^MIN(B$6,$B$11))/($A119*MIN(B$6,$B$11)))^2)+IF(OR(C$7="",C$8=0),0,C$8*(C$7-K$16*(1-$A119)*(1-(1-$A119)^MIN(C$6,$B$11))/($A119*MIN(C$6,$B$11)))^2)+IF(OR(D$7="",D$8=0),0,D$8*(D$7-K$16*(1-$A119)*(1-(1-$A119)^MIN(D$6,$B$11))/($A119*MIN(D$6,$B$11)))^2)+IF(OR(E$7="",E$8=0),0,E$8*(E$7-K$16*(1-$A119)*(1-(1-$A119)^MIN(E$6,$B$11))/($A119*MIN(E$6,$B$11)))^2)</f>
        <v/>
      </c>
      <c r="L119" s="27">
        <f>IF(OR(B$7="",B$8=0),0,B$8*(B$7-L$16*(1-$A119)*(1-(1-$A119)^MIN(B$6,$B$11))/($A119*MIN(B$6,$B$11)))^2)+IF(OR(C$7="",C$8=0),0,C$8*(C$7-L$16*(1-$A119)*(1-(1-$A119)^MIN(C$6,$B$11))/($A119*MIN(C$6,$B$11)))^2)+IF(OR(D$7="",D$8=0),0,D$8*(D$7-L$16*(1-$A119)*(1-(1-$A119)^MIN(D$6,$B$11))/($A119*MIN(D$6,$B$11)))^2)+IF(OR(E$7="",E$8=0),0,E$8*(E$7-L$16*(1-$A119)*(1-(1-$A119)^MIN(E$6,$B$11))/($A119*MIN(E$6,$B$11)))^2)</f>
        <v/>
      </c>
      <c r="M119" s="27">
        <f>IF(OR(B$7="",B$8=0),0,B$8*(B$7-M$16*(1-$A119)*(1-(1-$A119)^MIN(B$6,$B$11))/($A119*MIN(B$6,$B$11)))^2)+IF(OR(C$7="",C$8=0),0,C$8*(C$7-M$16*(1-$A119)*(1-(1-$A119)^MIN(C$6,$B$11))/($A119*MIN(C$6,$B$11)))^2)+IF(OR(D$7="",D$8=0),0,D$8*(D$7-M$16*(1-$A119)*(1-(1-$A119)^MIN(D$6,$B$11))/($A119*MIN(D$6,$B$11)))^2)+IF(OR(E$7="",E$8=0),0,E$8*(E$7-M$16*(1-$A119)*(1-(1-$A119)^MIN(E$6,$B$11))/($A119*MIN(E$6,$B$11)))^2)</f>
        <v/>
      </c>
      <c r="N119" s="27">
        <f>IF(OR(B$7="",B$8=0),0,B$8*(B$7-N$16*(1-$A119)*(1-(1-$A119)^MIN(B$6,$B$11))/($A119*MIN(B$6,$B$11)))^2)+IF(OR(C$7="",C$8=0),0,C$8*(C$7-N$16*(1-$A119)*(1-(1-$A119)^MIN(C$6,$B$11))/($A119*MIN(C$6,$B$11)))^2)+IF(OR(D$7="",D$8=0),0,D$8*(D$7-N$16*(1-$A119)*(1-(1-$A119)^MIN(D$6,$B$11))/($A119*MIN(D$6,$B$11)))^2)+IF(OR(E$7="",E$8=0),0,E$8*(E$7-N$16*(1-$A119)*(1-(1-$A119)^MIN(E$6,$B$11))/($A119*MIN(E$6,$B$11)))^2)</f>
        <v/>
      </c>
      <c r="O119" s="27">
        <f>IF(OR(B$7="",B$8=0),0,B$8*(B$7-O$16*(1-$A119)*(1-(1-$A119)^MIN(B$6,$B$11))/($A119*MIN(B$6,$B$11)))^2)+IF(OR(C$7="",C$8=0),0,C$8*(C$7-O$16*(1-$A119)*(1-(1-$A119)^MIN(C$6,$B$11))/($A119*MIN(C$6,$B$11)))^2)+IF(OR(D$7="",D$8=0),0,D$8*(D$7-O$16*(1-$A119)*(1-(1-$A119)^MIN(D$6,$B$11))/($A119*MIN(D$6,$B$11)))^2)+IF(OR(E$7="",E$8=0),0,E$8*(E$7-O$16*(1-$A119)*(1-(1-$A119)^MIN(E$6,$B$11))/($A119*MIN(E$6,$B$11)))^2)</f>
        <v/>
      </c>
      <c r="P119" s="27">
        <f>IF(OR(B$7="",B$8=0),0,B$8*(B$7-P$16*(1-$A119)*(1-(1-$A119)^MIN(B$6,$B$11))/($A119*MIN(B$6,$B$11)))^2)+IF(OR(C$7="",C$8=0),0,C$8*(C$7-P$16*(1-$A119)*(1-(1-$A119)^MIN(C$6,$B$11))/($A119*MIN(C$6,$B$11)))^2)+IF(OR(D$7="",D$8=0),0,D$8*(D$7-P$16*(1-$A119)*(1-(1-$A119)^MIN(D$6,$B$11))/($A119*MIN(D$6,$B$11)))^2)+IF(OR(E$7="",E$8=0),0,E$8*(E$7-P$16*(1-$A119)*(1-(1-$A119)^MIN(E$6,$B$11))/($A119*MIN(E$6,$B$11)))^2)</f>
        <v/>
      </c>
      <c r="Q119" s="27">
        <f>IF(OR(B$7="",B$8=0),0,B$8*(B$7-Q$16*(1-$A119)*(1-(1-$A119)^MIN(B$6,$B$11))/($A119*MIN(B$6,$B$11)))^2)+IF(OR(C$7="",C$8=0),0,C$8*(C$7-Q$16*(1-$A119)*(1-(1-$A119)^MIN(C$6,$B$11))/($A119*MIN(C$6,$B$11)))^2)+IF(OR(D$7="",D$8=0),0,D$8*(D$7-Q$16*(1-$A119)*(1-(1-$A119)^MIN(D$6,$B$11))/($A119*MIN(D$6,$B$11)))^2)+IF(OR(E$7="",E$8=0),0,E$8*(E$7-Q$16*(1-$A119)*(1-(1-$A119)^MIN(E$6,$B$11))/($A119*MIN(E$6,$B$11)))^2)</f>
        <v/>
      </c>
      <c r="R119" s="27">
        <f>IF(OR(B$7="",B$8=0),0,B$8*(B$7-R$16*(1-$A119)*(1-(1-$A119)^MIN(B$6,$B$11))/($A119*MIN(B$6,$B$11)))^2)+IF(OR(C$7="",C$8=0),0,C$8*(C$7-R$16*(1-$A119)*(1-(1-$A119)^MIN(C$6,$B$11))/($A119*MIN(C$6,$B$11)))^2)+IF(OR(D$7="",D$8=0),0,D$8*(D$7-R$16*(1-$A119)*(1-(1-$A119)^MIN(D$6,$B$11))/($A119*MIN(D$6,$B$11)))^2)+IF(OR(E$7="",E$8=0),0,E$8*(E$7-R$16*(1-$A119)*(1-(1-$A119)^MIN(E$6,$B$11))/($A119*MIN(E$6,$B$11)))^2)</f>
        <v/>
      </c>
      <c r="S119" s="27">
        <f>IF(OR(B$7="",B$8=0),0,B$8*(B$7-S$16*(1-$A119)*(1-(1-$A119)^MIN(B$6,$B$11))/($A119*MIN(B$6,$B$11)))^2)+IF(OR(C$7="",C$8=0),0,C$8*(C$7-S$16*(1-$A119)*(1-(1-$A119)^MIN(C$6,$B$11))/($A119*MIN(C$6,$B$11)))^2)+IF(OR(D$7="",D$8=0),0,D$8*(D$7-S$16*(1-$A119)*(1-(1-$A119)^MIN(D$6,$B$11))/($A119*MIN(D$6,$B$11)))^2)+IF(OR(E$7="",E$8=0),0,E$8*(E$7-S$16*(1-$A119)*(1-(1-$A119)^MIN(E$6,$B$11))/($A119*MIN(E$6,$B$11)))^2)</f>
        <v/>
      </c>
      <c r="U119" s="27">
        <f>MIN(B119:S119)</f>
        <v/>
      </c>
      <c r="V119" s="17">
        <f>MATCH(U119,B119:S119,0)</f>
        <v/>
      </c>
    </row>
    <row r="120">
      <c r="A120" s="26" t="n">
        <v>0.0565</v>
      </c>
      <c r="B120" s="27">
        <f>IF(OR(B$7="",B$8=0),0,B$8*(B$7-B$16*(1-$A120)*(1-(1-$A120)^MIN(B$6,$B$11))/($A120*MIN(B$6,$B$11)))^2)+IF(OR(C$7="",C$8=0),0,C$8*(C$7-B$16*(1-$A120)*(1-(1-$A120)^MIN(C$6,$B$11))/($A120*MIN(C$6,$B$11)))^2)+IF(OR(D$7="",D$8=0),0,D$8*(D$7-B$16*(1-$A120)*(1-(1-$A120)^MIN(D$6,$B$11))/($A120*MIN(D$6,$B$11)))^2)+IF(OR(E$7="",E$8=0),0,E$8*(E$7-B$16*(1-$A120)*(1-(1-$A120)^MIN(E$6,$B$11))/($A120*MIN(E$6,$B$11)))^2)</f>
        <v/>
      </c>
      <c r="C120" s="27">
        <f>IF(OR(B$7="",B$8=0),0,B$8*(B$7-C$16*(1-$A120)*(1-(1-$A120)^MIN(B$6,$B$11))/($A120*MIN(B$6,$B$11)))^2)+IF(OR(C$7="",C$8=0),0,C$8*(C$7-C$16*(1-$A120)*(1-(1-$A120)^MIN(C$6,$B$11))/($A120*MIN(C$6,$B$11)))^2)+IF(OR(D$7="",D$8=0),0,D$8*(D$7-C$16*(1-$A120)*(1-(1-$A120)^MIN(D$6,$B$11))/($A120*MIN(D$6,$B$11)))^2)+IF(OR(E$7="",E$8=0),0,E$8*(E$7-C$16*(1-$A120)*(1-(1-$A120)^MIN(E$6,$B$11))/($A120*MIN(E$6,$B$11)))^2)</f>
        <v/>
      </c>
      <c r="D120" s="27">
        <f>IF(OR(B$7="",B$8=0),0,B$8*(B$7-D$16*(1-$A120)*(1-(1-$A120)^MIN(B$6,$B$11))/($A120*MIN(B$6,$B$11)))^2)+IF(OR(C$7="",C$8=0),0,C$8*(C$7-D$16*(1-$A120)*(1-(1-$A120)^MIN(C$6,$B$11))/($A120*MIN(C$6,$B$11)))^2)+IF(OR(D$7="",D$8=0),0,D$8*(D$7-D$16*(1-$A120)*(1-(1-$A120)^MIN(D$6,$B$11))/($A120*MIN(D$6,$B$11)))^2)+IF(OR(E$7="",E$8=0),0,E$8*(E$7-D$16*(1-$A120)*(1-(1-$A120)^MIN(E$6,$B$11))/($A120*MIN(E$6,$B$11)))^2)</f>
        <v/>
      </c>
      <c r="E120" s="27">
        <f>IF(OR(B$7="",B$8=0),0,B$8*(B$7-E$16*(1-$A120)*(1-(1-$A120)^MIN(B$6,$B$11))/($A120*MIN(B$6,$B$11)))^2)+IF(OR(C$7="",C$8=0),0,C$8*(C$7-E$16*(1-$A120)*(1-(1-$A120)^MIN(C$6,$B$11))/($A120*MIN(C$6,$B$11)))^2)+IF(OR(D$7="",D$8=0),0,D$8*(D$7-E$16*(1-$A120)*(1-(1-$A120)^MIN(D$6,$B$11))/($A120*MIN(D$6,$B$11)))^2)+IF(OR(E$7="",E$8=0),0,E$8*(E$7-E$16*(1-$A120)*(1-(1-$A120)^MIN(E$6,$B$11))/($A120*MIN(E$6,$B$11)))^2)</f>
        <v/>
      </c>
      <c r="F120" s="27">
        <f>IF(OR(B$7="",B$8=0),0,B$8*(B$7-F$16*(1-$A120)*(1-(1-$A120)^MIN(B$6,$B$11))/($A120*MIN(B$6,$B$11)))^2)+IF(OR(C$7="",C$8=0),0,C$8*(C$7-F$16*(1-$A120)*(1-(1-$A120)^MIN(C$6,$B$11))/($A120*MIN(C$6,$B$11)))^2)+IF(OR(D$7="",D$8=0),0,D$8*(D$7-F$16*(1-$A120)*(1-(1-$A120)^MIN(D$6,$B$11))/($A120*MIN(D$6,$B$11)))^2)+IF(OR(E$7="",E$8=0),0,E$8*(E$7-F$16*(1-$A120)*(1-(1-$A120)^MIN(E$6,$B$11))/($A120*MIN(E$6,$B$11)))^2)</f>
        <v/>
      </c>
      <c r="G120" s="27">
        <f>IF(OR(B$7="",B$8=0),0,B$8*(B$7-G$16*(1-$A120)*(1-(1-$A120)^MIN(B$6,$B$11))/($A120*MIN(B$6,$B$11)))^2)+IF(OR(C$7="",C$8=0),0,C$8*(C$7-G$16*(1-$A120)*(1-(1-$A120)^MIN(C$6,$B$11))/($A120*MIN(C$6,$B$11)))^2)+IF(OR(D$7="",D$8=0),0,D$8*(D$7-G$16*(1-$A120)*(1-(1-$A120)^MIN(D$6,$B$11))/($A120*MIN(D$6,$B$11)))^2)+IF(OR(E$7="",E$8=0),0,E$8*(E$7-G$16*(1-$A120)*(1-(1-$A120)^MIN(E$6,$B$11))/($A120*MIN(E$6,$B$11)))^2)</f>
        <v/>
      </c>
      <c r="H120" s="27">
        <f>IF(OR(B$7="",B$8=0),0,B$8*(B$7-H$16*(1-$A120)*(1-(1-$A120)^MIN(B$6,$B$11))/($A120*MIN(B$6,$B$11)))^2)+IF(OR(C$7="",C$8=0),0,C$8*(C$7-H$16*(1-$A120)*(1-(1-$A120)^MIN(C$6,$B$11))/($A120*MIN(C$6,$B$11)))^2)+IF(OR(D$7="",D$8=0),0,D$8*(D$7-H$16*(1-$A120)*(1-(1-$A120)^MIN(D$6,$B$11))/($A120*MIN(D$6,$B$11)))^2)+IF(OR(E$7="",E$8=0),0,E$8*(E$7-H$16*(1-$A120)*(1-(1-$A120)^MIN(E$6,$B$11))/($A120*MIN(E$6,$B$11)))^2)</f>
        <v/>
      </c>
      <c r="I120" s="27">
        <f>IF(OR(B$7="",B$8=0),0,B$8*(B$7-I$16*(1-$A120)*(1-(1-$A120)^MIN(B$6,$B$11))/($A120*MIN(B$6,$B$11)))^2)+IF(OR(C$7="",C$8=0),0,C$8*(C$7-I$16*(1-$A120)*(1-(1-$A120)^MIN(C$6,$B$11))/($A120*MIN(C$6,$B$11)))^2)+IF(OR(D$7="",D$8=0),0,D$8*(D$7-I$16*(1-$A120)*(1-(1-$A120)^MIN(D$6,$B$11))/($A120*MIN(D$6,$B$11)))^2)+IF(OR(E$7="",E$8=0),0,E$8*(E$7-I$16*(1-$A120)*(1-(1-$A120)^MIN(E$6,$B$11))/($A120*MIN(E$6,$B$11)))^2)</f>
        <v/>
      </c>
      <c r="J120" s="27">
        <f>IF(OR(B$7="",B$8=0),0,B$8*(B$7-J$16*(1-$A120)*(1-(1-$A120)^MIN(B$6,$B$11))/($A120*MIN(B$6,$B$11)))^2)+IF(OR(C$7="",C$8=0),0,C$8*(C$7-J$16*(1-$A120)*(1-(1-$A120)^MIN(C$6,$B$11))/($A120*MIN(C$6,$B$11)))^2)+IF(OR(D$7="",D$8=0),0,D$8*(D$7-J$16*(1-$A120)*(1-(1-$A120)^MIN(D$6,$B$11))/($A120*MIN(D$6,$B$11)))^2)+IF(OR(E$7="",E$8=0),0,E$8*(E$7-J$16*(1-$A120)*(1-(1-$A120)^MIN(E$6,$B$11))/($A120*MIN(E$6,$B$11)))^2)</f>
        <v/>
      </c>
      <c r="K120" s="27">
        <f>IF(OR(B$7="",B$8=0),0,B$8*(B$7-K$16*(1-$A120)*(1-(1-$A120)^MIN(B$6,$B$11))/($A120*MIN(B$6,$B$11)))^2)+IF(OR(C$7="",C$8=0),0,C$8*(C$7-K$16*(1-$A120)*(1-(1-$A120)^MIN(C$6,$B$11))/($A120*MIN(C$6,$B$11)))^2)+IF(OR(D$7="",D$8=0),0,D$8*(D$7-K$16*(1-$A120)*(1-(1-$A120)^MIN(D$6,$B$11))/($A120*MIN(D$6,$B$11)))^2)+IF(OR(E$7="",E$8=0),0,E$8*(E$7-K$16*(1-$A120)*(1-(1-$A120)^MIN(E$6,$B$11))/($A120*MIN(E$6,$B$11)))^2)</f>
        <v/>
      </c>
      <c r="L120" s="27">
        <f>IF(OR(B$7="",B$8=0),0,B$8*(B$7-L$16*(1-$A120)*(1-(1-$A120)^MIN(B$6,$B$11))/($A120*MIN(B$6,$B$11)))^2)+IF(OR(C$7="",C$8=0),0,C$8*(C$7-L$16*(1-$A120)*(1-(1-$A120)^MIN(C$6,$B$11))/($A120*MIN(C$6,$B$11)))^2)+IF(OR(D$7="",D$8=0),0,D$8*(D$7-L$16*(1-$A120)*(1-(1-$A120)^MIN(D$6,$B$11))/($A120*MIN(D$6,$B$11)))^2)+IF(OR(E$7="",E$8=0),0,E$8*(E$7-L$16*(1-$A120)*(1-(1-$A120)^MIN(E$6,$B$11))/($A120*MIN(E$6,$B$11)))^2)</f>
        <v/>
      </c>
      <c r="M120" s="27">
        <f>IF(OR(B$7="",B$8=0),0,B$8*(B$7-M$16*(1-$A120)*(1-(1-$A120)^MIN(B$6,$B$11))/($A120*MIN(B$6,$B$11)))^2)+IF(OR(C$7="",C$8=0),0,C$8*(C$7-M$16*(1-$A120)*(1-(1-$A120)^MIN(C$6,$B$11))/($A120*MIN(C$6,$B$11)))^2)+IF(OR(D$7="",D$8=0),0,D$8*(D$7-M$16*(1-$A120)*(1-(1-$A120)^MIN(D$6,$B$11))/($A120*MIN(D$6,$B$11)))^2)+IF(OR(E$7="",E$8=0),0,E$8*(E$7-M$16*(1-$A120)*(1-(1-$A120)^MIN(E$6,$B$11))/($A120*MIN(E$6,$B$11)))^2)</f>
        <v/>
      </c>
      <c r="N120" s="27">
        <f>IF(OR(B$7="",B$8=0),0,B$8*(B$7-N$16*(1-$A120)*(1-(1-$A120)^MIN(B$6,$B$11))/($A120*MIN(B$6,$B$11)))^2)+IF(OR(C$7="",C$8=0),0,C$8*(C$7-N$16*(1-$A120)*(1-(1-$A120)^MIN(C$6,$B$11))/($A120*MIN(C$6,$B$11)))^2)+IF(OR(D$7="",D$8=0),0,D$8*(D$7-N$16*(1-$A120)*(1-(1-$A120)^MIN(D$6,$B$11))/($A120*MIN(D$6,$B$11)))^2)+IF(OR(E$7="",E$8=0),0,E$8*(E$7-N$16*(1-$A120)*(1-(1-$A120)^MIN(E$6,$B$11))/($A120*MIN(E$6,$B$11)))^2)</f>
        <v/>
      </c>
      <c r="O120" s="27">
        <f>IF(OR(B$7="",B$8=0),0,B$8*(B$7-O$16*(1-$A120)*(1-(1-$A120)^MIN(B$6,$B$11))/($A120*MIN(B$6,$B$11)))^2)+IF(OR(C$7="",C$8=0),0,C$8*(C$7-O$16*(1-$A120)*(1-(1-$A120)^MIN(C$6,$B$11))/($A120*MIN(C$6,$B$11)))^2)+IF(OR(D$7="",D$8=0),0,D$8*(D$7-O$16*(1-$A120)*(1-(1-$A120)^MIN(D$6,$B$11))/($A120*MIN(D$6,$B$11)))^2)+IF(OR(E$7="",E$8=0),0,E$8*(E$7-O$16*(1-$A120)*(1-(1-$A120)^MIN(E$6,$B$11))/($A120*MIN(E$6,$B$11)))^2)</f>
        <v/>
      </c>
      <c r="P120" s="27">
        <f>IF(OR(B$7="",B$8=0),0,B$8*(B$7-P$16*(1-$A120)*(1-(1-$A120)^MIN(B$6,$B$11))/($A120*MIN(B$6,$B$11)))^2)+IF(OR(C$7="",C$8=0),0,C$8*(C$7-P$16*(1-$A120)*(1-(1-$A120)^MIN(C$6,$B$11))/($A120*MIN(C$6,$B$11)))^2)+IF(OR(D$7="",D$8=0),0,D$8*(D$7-P$16*(1-$A120)*(1-(1-$A120)^MIN(D$6,$B$11))/($A120*MIN(D$6,$B$11)))^2)+IF(OR(E$7="",E$8=0),0,E$8*(E$7-P$16*(1-$A120)*(1-(1-$A120)^MIN(E$6,$B$11))/($A120*MIN(E$6,$B$11)))^2)</f>
        <v/>
      </c>
      <c r="Q120" s="27">
        <f>IF(OR(B$7="",B$8=0),0,B$8*(B$7-Q$16*(1-$A120)*(1-(1-$A120)^MIN(B$6,$B$11))/($A120*MIN(B$6,$B$11)))^2)+IF(OR(C$7="",C$8=0),0,C$8*(C$7-Q$16*(1-$A120)*(1-(1-$A120)^MIN(C$6,$B$11))/($A120*MIN(C$6,$B$11)))^2)+IF(OR(D$7="",D$8=0),0,D$8*(D$7-Q$16*(1-$A120)*(1-(1-$A120)^MIN(D$6,$B$11))/($A120*MIN(D$6,$B$11)))^2)+IF(OR(E$7="",E$8=0),0,E$8*(E$7-Q$16*(1-$A120)*(1-(1-$A120)^MIN(E$6,$B$11))/($A120*MIN(E$6,$B$11)))^2)</f>
        <v/>
      </c>
      <c r="R120" s="27">
        <f>IF(OR(B$7="",B$8=0),0,B$8*(B$7-R$16*(1-$A120)*(1-(1-$A120)^MIN(B$6,$B$11))/($A120*MIN(B$6,$B$11)))^2)+IF(OR(C$7="",C$8=0),0,C$8*(C$7-R$16*(1-$A120)*(1-(1-$A120)^MIN(C$6,$B$11))/($A120*MIN(C$6,$B$11)))^2)+IF(OR(D$7="",D$8=0),0,D$8*(D$7-R$16*(1-$A120)*(1-(1-$A120)^MIN(D$6,$B$11))/($A120*MIN(D$6,$B$11)))^2)+IF(OR(E$7="",E$8=0),0,E$8*(E$7-R$16*(1-$A120)*(1-(1-$A120)^MIN(E$6,$B$11))/($A120*MIN(E$6,$B$11)))^2)</f>
        <v/>
      </c>
      <c r="S120" s="27">
        <f>IF(OR(B$7="",B$8=0),0,B$8*(B$7-S$16*(1-$A120)*(1-(1-$A120)^MIN(B$6,$B$11))/($A120*MIN(B$6,$B$11)))^2)+IF(OR(C$7="",C$8=0),0,C$8*(C$7-S$16*(1-$A120)*(1-(1-$A120)^MIN(C$6,$B$11))/($A120*MIN(C$6,$B$11)))^2)+IF(OR(D$7="",D$8=0),0,D$8*(D$7-S$16*(1-$A120)*(1-(1-$A120)^MIN(D$6,$B$11))/($A120*MIN(D$6,$B$11)))^2)+IF(OR(E$7="",E$8=0),0,E$8*(E$7-S$16*(1-$A120)*(1-(1-$A120)^MIN(E$6,$B$11))/($A120*MIN(E$6,$B$11)))^2)</f>
        <v/>
      </c>
      <c r="U120" s="27">
        <f>MIN(B120:S120)</f>
        <v/>
      </c>
      <c r="V120" s="17">
        <f>MATCH(U120,B120:S120,0)</f>
        <v/>
      </c>
    </row>
    <row r="121">
      <c r="A121" s="26" t="n">
        <v>0.057</v>
      </c>
      <c r="B121" s="27">
        <f>IF(OR(B$7="",B$8=0),0,B$8*(B$7-B$16*(1-$A121)*(1-(1-$A121)^MIN(B$6,$B$11))/($A121*MIN(B$6,$B$11)))^2)+IF(OR(C$7="",C$8=0),0,C$8*(C$7-B$16*(1-$A121)*(1-(1-$A121)^MIN(C$6,$B$11))/($A121*MIN(C$6,$B$11)))^2)+IF(OR(D$7="",D$8=0),0,D$8*(D$7-B$16*(1-$A121)*(1-(1-$A121)^MIN(D$6,$B$11))/($A121*MIN(D$6,$B$11)))^2)+IF(OR(E$7="",E$8=0),0,E$8*(E$7-B$16*(1-$A121)*(1-(1-$A121)^MIN(E$6,$B$11))/($A121*MIN(E$6,$B$11)))^2)</f>
        <v/>
      </c>
      <c r="C121" s="27">
        <f>IF(OR(B$7="",B$8=0),0,B$8*(B$7-C$16*(1-$A121)*(1-(1-$A121)^MIN(B$6,$B$11))/($A121*MIN(B$6,$B$11)))^2)+IF(OR(C$7="",C$8=0),0,C$8*(C$7-C$16*(1-$A121)*(1-(1-$A121)^MIN(C$6,$B$11))/($A121*MIN(C$6,$B$11)))^2)+IF(OR(D$7="",D$8=0),0,D$8*(D$7-C$16*(1-$A121)*(1-(1-$A121)^MIN(D$6,$B$11))/($A121*MIN(D$6,$B$11)))^2)+IF(OR(E$7="",E$8=0),0,E$8*(E$7-C$16*(1-$A121)*(1-(1-$A121)^MIN(E$6,$B$11))/($A121*MIN(E$6,$B$11)))^2)</f>
        <v/>
      </c>
      <c r="D121" s="27">
        <f>IF(OR(B$7="",B$8=0),0,B$8*(B$7-D$16*(1-$A121)*(1-(1-$A121)^MIN(B$6,$B$11))/($A121*MIN(B$6,$B$11)))^2)+IF(OR(C$7="",C$8=0),0,C$8*(C$7-D$16*(1-$A121)*(1-(1-$A121)^MIN(C$6,$B$11))/($A121*MIN(C$6,$B$11)))^2)+IF(OR(D$7="",D$8=0),0,D$8*(D$7-D$16*(1-$A121)*(1-(1-$A121)^MIN(D$6,$B$11))/($A121*MIN(D$6,$B$11)))^2)+IF(OR(E$7="",E$8=0),0,E$8*(E$7-D$16*(1-$A121)*(1-(1-$A121)^MIN(E$6,$B$11))/($A121*MIN(E$6,$B$11)))^2)</f>
        <v/>
      </c>
      <c r="E121" s="27">
        <f>IF(OR(B$7="",B$8=0),0,B$8*(B$7-E$16*(1-$A121)*(1-(1-$A121)^MIN(B$6,$B$11))/($A121*MIN(B$6,$B$11)))^2)+IF(OR(C$7="",C$8=0),0,C$8*(C$7-E$16*(1-$A121)*(1-(1-$A121)^MIN(C$6,$B$11))/($A121*MIN(C$6,$B$11)))^2)+IF(OR(D$7="",D$8=0),0,D$8*(D$7-E$16*(1-$A121)*(1-(1-$A121)^MIN(D$6,$B$11))/($A121*MIN(D$6,$B$11)))^2)+IF(OR(E$7="",E$8=0),0,E$8*(E$7-E$16*(1-$A121)*(1-(1-$A121)^MIN(E$6,$B$11))/($A121*MIN(E$6,$B$11)))^2)</f>
        <v/>
      </c>
      <c r="F121" s="27">
        <f>IF(OR(B$7="",B$8=0),0,B$8*(B$7-F$16*(1-$A121)*(1-(1-$A121)^MIN(B$6,$B$11))/($A121*MIN(B$6,$B$11)))^2)+IF(OR(C$7="",C$8=0),0,C$8*(C$7-F$16*(1-$A121)*(1-(1-$A121)^MIN(C$6,$B$11))/($A121*MIN(C$6,$B$11)))^2)+IF(OR(D$7="",D$8=0),0,D$8*(D$7-F$16*(1-$A121)*(1-(1-$A121)^MIN(D$6,$B$11))/($A121*MIN(D$6,$B$11)))^2)+IF(OR(E$7="",E$8=0),0,E$8*(E$7-F$16*(1-$A121)*(1-(1-$A121)^MIN(E$6,$B$11))/($A121*MIN(E$6,$B$11)))^2)</f>
        <v/>
      </c>
      <c r="G121" s="27">
        <f>IF(OR(B$7="",B$8=0),0,B$8*(B$7-G$16*(1-$A121)*(1-(1-$A121)^MIN(B$6,$B$11))/($A121*MIN(B$6,$B$11)))^2)+IF(OR(C$7="",C$8=0),0,C$8*(C$7-G$16*(1-$A121)*(1-(1-$A121)^MIN(C$6,$B$11))/($A121*MIN(C$6,$B$11)))^2)+IF(OR(D$7="",D$8=0),0,D$8*(D$7-G$16*(1-$A121)*(1-(1-$A121)^MIN(D$6,$B$11))/($A121*MIN(D$6,$B$11)))^2)+IF(OR(E$7="",E$8=0),0,E$8*(E$7-G$16*(1-$A121)*(1-(1-$A121)^MIN(E$6,$B$11))/($A121*MIN(E$6,$B$11)))^2)</f>
        <v/>
      </c>
      <c r="H121" s="27">
        <f>IF(OR(B$7="",B$8=0),0,B$8*(B$7-H$16*(1-$A121)*(1-(1-$A121)^MIN(B$6,$B$11))/($A121*MIN(B$6,$B$11)))^2)+IF(OR(C$7="",C$8=0),0,C$8*(C$7-H$16*(1-$A121)*(1-(1-$A121)^MIN(C$6,$B$11))/($A121*MIN(C$6,$B$11)))^2)+IF(OR(D$7="",D$8=0),0,D$8*(D$7-H$16*(1-$A121)*(1-(1-$A121)^MIN(D$6,$B$11))/($A121*MIN(D$6,$B$11)))^2)+IF(OR(E$7="",E$8=0),0,E$8*(E$7-H$16*(1-$A121)*(1-(1-$A121)^MIN(E$6,$B$11))/($A121*MIN(E$6,$B$11)))^2)</f>
        <v/>
      </c>
      <c r="I121" s="27">
        <f>IF(OR(B$7="",B$8=0),0,B$8*(B$7-I$16*(1-$A121)*(1-(1-$A121)^MIN(B$6,$B$11))/($A121*MIN(B$6,$B$11)))^2)+IF(OR(C$7="",C$8=0),0,C$8*(C$7-I$16*(1-$A121)*(1-(1-$A121)^MIN(C$6,$B$11))/($A121*MIN(C$6,$B$11)))^2)+IF(OR(D$7="",D$8=0),0,D$8*(D$7-I$16*(1-$A121)*(1-(1-$A121)^MIN(D$6,$B$11))/($A121*MIN(D$6,$B$11)))^2)+IF(OR(E$7="",E$8=0),0,E$8*(E$7-I$16*(1-$A121)*(1-(1-$A121)^MIN(E$6,$B$11))/($A121*MIN(E$6,$B$11)))^2)</f>
        <v/>
      </c>
      <c r="J121" s="27">
        <f>IF(OR(B$7="",B$8=0),0,B$8*(B$7-J$16*(1-$A121)*(1-(1-$A121)^MIN(B$6,$B$11))/($A121*MIN(B$6,$B$11)))^2)+IF(OR(C$7="",C$8=0),0,C$8*(C$7-J$16*(1-$A121)*(1-(1-$A121)^MIN(C$6,$B$11))/($A121*MIN(C$6,$B$11)))^2)+IF(OR(D$7="",D$8=0),0,D$8*(D$7-J$16*(1-$A121)*(1-(1-$A121)^MIN(D$6,$B$11))/($A121*MIN(D$6,$B$11)))^2)+IF(OR(E$7="",E$8=0),0,E$8*(E$7-J$16*(1-$A121)*(1-(1-$A121)^MIN(E$6,$B$11))/($A121*MIN(E$6,$B$11)))^2)</f>
        <v/>
      </c>
      <c r="K121" s="27">
        <f>IF(OR(B$7="",B$8=0),0,B$8*(B$7-K$16*(1-$A121)*(1-(1-$A121)^MIN(B$6,$B$11))/($A121*MIN(B$6,$B$11)))^2)+IF(OR(C$7="",C$8=0),0,C$8*(C$7-K$16*(1-$A121)*(1-(1-$A121)^MIN(C$6,$B$11))/($A121*MIN(C$6,$B$11)))^2)+IF(OR(D$7="",D$8=0),0,D$8*(D$7-K$16*(1-$A121)*(1-(1-$A121)^MIN(D$6,$B$11))/($A121*MIN(D$6,$B$11)))^2)+IF(OR(E$7="",E$8=0),0,E$8*(E$7-K$16*(1-$A121)*(1-(1-$A121)^MIN(E$6,$B$11))/($A121*MIN(E$6,$B$11)))^2)</f>
        <v/>
      </c>
      <c r="L121" s="27">
        <f>IF(OR(B$7="",B$8=0),0,B$8*(B$7-L$16*(1-$A121)*(1-(1-$A121)^MIN(B$6,$B$11))/($A121*MIN(B$6,$B$11)))^2)+IF(OR(C$7="",C$8=0),0,C$8*(C$7-L$16*(1-$A121)*(1-(1-$A121)^MIN(C$6,$B$11))/($A121*MIN(C$6,$B$11)))^2)+IF(OR(D$7="",D$8=0),0,D$8*(D$7-L$16*(1-$A121)*(1-(1-$A121)^MIN(D$6,$B$11))/($A121*MIN(D$6,$B$11)))^2)+IF(OR(E$7="",E$8=0),0,E$8*(E$7-L$16*(1-$A121)*(1-(1-$A121)^MIN(E$6,$B$11))/($A121*MIN(E$6,$B$11)))^2)</f>
        <v/>
      </c>
      <c r="M121" s="27">
        <f>IF(OR(B$7="",B$8=0),0,B$8*(B$7-M$16*(1-$A121)*(1-(1-$A121)^MIN(B$6,$B$11))/($A121*MIN(B$6,$B$11)))^2)+IF(OR(C$7="",C$8=0),0,C$8*(C$7-M$16*(1-$A121)*(1-(1-$A121)^MIN(C$6,$B$11))/($A121*MIN(C$6,$B$11)))^2)+IF(OR(D$7="",D$8=0),0,D$8*(D$7-M$16*(1-$A121)*(1-(1-$A121)^MIN(D$6,$B$11))/($A121*MIN(D$6,$B$11)))^2)+IF(OR(E$7="",E$8=0),0,E$8*(E$7-M$16*(1-$A121)*(1-(1-$A121)^MIN(E$6,$B$11))/($A121*MIN(E$6,$B$11)))^2)</f>
        <v/>
      </c>
      <c r="N121" s="27">
        <f>IF(OR(B$7="",B$8=0),0,B$8*(B$7-N$16*(1-$A121)*(1-(1-$A121)^MIN(B$6,$B$11))/($A121*MIN(B$6,$B$11)))^2)+IF(OR(C$7="",C$8=0),0,C$8*(C$7-N$16*(1-$A121)*(1-(1-$A121)^MIN(C$6,$B$11))/($A121*MIN(C$6,$B$11)))^2)+IF(OR(D$7="",D$8=0),0,D$8*(D$7-N$16*(1-$A121)*(1-(1-$A121)^MIN(D$6,$B$11))/($A121*MIN(D$6,$B$11)))^2)+IF(OR(E$7="",E$8=0),0,E$8*(E$7-N$16*(1-$A121)*(1-(1-$A121)^MIN(E$6,$B$11))/($A121*MIN(E$6,$B$11)))^2)</f>
        <v/>
      </c>
      <c r="O121" s="27">
        <f>IF(OR(B$7="",B$8=0),0,B$8*(B$7-O$16*(1-$A121)*(1-(1-$A121)^MIN(B$6,$B$11))/($A121*MIN(B$6,$B$11)))^2)+IF(OR(C$7="",C$8=0),0,C$8*(C$7-O$16*(1-$A121)*(1-(1-$A121)^MIN(C$6,$B$11))/($A121*MIN(C$6,$B$11)))^2)+IF(OR(D$7="",D$8=0),0,D$8*(D$7-O$16*(1-$A121)*(1-(1-$A121)^MIN(D$6,$B$11))/($A121*MIN(D$6,$B$11)))^2)+IF(OR(E$7="",E$8=0),0,E$8*(E$7-O$16*(1-$A121)*(1-(1-$A121)^MIN(E$6,$B$11))/($A121*MIN(E$6,$B$11)))^2)</f>
        <v/>
      </c>
      <c r="P121" s="27">
        <f>IF(OR(B$7="",B$8=0),0,B$8*(B$7-P$16*(1-$A121)*(1-(1-$A121)^MIN(B$6,$B$11))/($A121*MIN(B$6,$B$11)))^2)+IF(OR(C$7="",C$8=0),0,C$8*(C$7-P$16*(1-$A121)*(1-(1-$A121)^MIN(C$6,$B$11))/($A121*MIN(C$6,$B$11)))^2)+IF(OR(D$7="",D$8=0),0,D$8*(D$7-P$16*(1-$A121)*(1-(1-$A121)^MIN(D$6,$B$11))/($A121*MIN(D$6,$B$11)))^2)+IF(OR(E$7="",E$8=0),0,E$8*(E$7-P$16*(1-$A121)*(1-(1-$A121)^MIN(E$6,$B$11))/($A121*MIN(E$6,$B$11)))^2)</f>
        <v/>
      </c>
      <c r="Q121" s="27">
        <f>IF(OR(B$7="",B$8=0),0,B$8*(B$7-Q$16*(1-$A121)*(1-(1-$A121)^MIN(B$6,$B$11))/($A121*MIN(B$6,$B$11)))^2)+IF(OR(C$7="",C$8=0),0,C$8*(C$7-Q$16*(1-$A121)*(1-(1-$A121)^MIN(C$6,$B$11))/($A121*MIN(C$6,$B$11)))^2)+IF(OR(D$7="",D$8=0),0,D$8*(D$7-Q$16*(1-$A121)*(1-(1-$A121)^MIN(D$6,$B$11))/($A121*MIN(D$6,$B$11)))^2)+IF(OR(E$7="",E$8=0),0,E$8*(E$7-Q$16*(1-$A121)*(1-(1-$A121)^MIN(E$6,$B$11))/($A121*MIN(E$6,$B$11)))^2)</f>
        <v/>
      </c>
      <c r="R121" s="27">
        <f>IF(OR(B$7="",B$8=0),0,B$8*(B$7-R$16*(1-$A121)*(1-(1-$A121)^MIN(B$6,$B$11))/($A121*MIN(B$6,$B$11)))^2)+IF(OR(C$7="",C$8=0),0,C$8*(C$7-R$16*(1-$A121)*(1-(1-$A121)^MIN(C$6,$B$11))/($A121*MIN(C$6,$B$11)))^2)+IF(OR(D$7="",D$8=0),0,D$8*(D$7-R$16*(1-$A121)*(1-(1-$A121)^MIN(D$6,$B$11))/($A121*MIN(D$6,$B$11)))^2)+IF(OR(E$7="",E$8=0),0,E$8*(E$7-R$16*(1-$A121)*(1-(1-$A121)^MIN(E$6,$B$11))/($A121*MIN(E$6,$B$11)))^2)</f>
        <v/>
      </c>
      <c r="S121" s="27">
        <f>IF(OR(B$7="",B$8=0),0,B$8*(B$7-S$16*(1-$A121)*(1-(1-$A121)^MIN(B$6,$B$11))/($A121*MIN(B$6,$B$11)))^2)+IF(OR(C$7="",C$8=0),0,C$8*(C$7-S$16*(1-$A121)*(1-(1-$A121)^MIN(C$6,$B$11))/($A121*MIN(C$6,$B$11)))^2)+IF(OR(D$7="",D$8=0),0,D$8*(D$7-S$16*(1-$A121)*(1-(1-$A121)^MIN(D$6,$B$11))/($A121*MIN(D$6,$B$11)))^2)+IF(OR(E$7="",E$8=0),0,E$8*(E$7-S$16*(1-$A121)*(1-(1-$A121)^MIN(E$6,$B$11))/($A121*MIN(E$6,$B$11)))^2)</f>
        <v/>
      </c>
      <c r="U121" s="27">
        <f>MIN(B121:S121)</f>
        <v/>
      </c>
      <c r="V121" s="17">
        <f>MATCH(U121,B121:S121,0)</f>
        <v/>
      </c>
    </row>
    <row r="122">
      <c r="A122" s="26" t="n">
        <v>0.0575</v>
      </c>
      <c r="B122" s="27">
        <f>IF(OR(B$7="",B$8=0),0,B$8*(B$7-B$16*(1-$A122)*(1-(1-$A122)^MIN(B$6,$B$11))/($A122*MIN(B$6,$B$11)))^2)+IF(OR(C$7="",C$8=0),0,C$8*(C$7-B$16*(1-$A122)*(1-(1-$A122)^MIN(C$6,$B$11))/($A122*MIN(C$6,$B$11)))^2)+IF(OR(D$7="",D$8=0),0,D$8*(D$7-B$16*(1-$A122)*(1-(1-$A122)^MIN(D$6,$B$11))/($A122*MIN(D$6,$B$11)))^2)+IF(OR(E$7="",E$8=0),0,E$8*(E$7-B$16*(1-$A122)*(1-(1-$A122)^MIN(E$6,$B$11))/($A122*MIN(E$6,$B$11)))^2)</f>
        <v/>
      </c>
      <c r="C122" s="27">
        <f>IF(OR(B$7="",B$8=0),0,B$8*(B$7-C$16*(1-$A122)*(1-(1-$A122)^MIN(B$6,$B$11))/($A122*MIN(B$6,$B$11)))^2)+IF(OR(C$7="",C$8=0),0,C$8*(C$7-C$16*(1-$A122)*(1-(1-$A122)^MIN(C$6,$B$11))/($A122*MIN(C$6,$B$11)))^2)+IF(OR(D$7="",D$8=0),0,D$8*(D$7-C$16*(1-$A122)*(1-(1-$A122)^MIN(D$6,$B$11))/($A122*MIN(D$6,$B$11)))^2)+IF(OR(E$7="",E$8=0),0,E$8*(E$7-C$16*(1-$A122)*(1-(1-$A122)^MIN(E$6,$B$11))/($A122*MIN(E$6,$B$11)))^2)</f>
        <v/>
      </c>
      <c r="D122" s="27">
        <f>IF(OR(B$7="",B$8=0),0,B$8*(B$7-D$16*(1-$A122)*(1-(1-$A122)^MIN(B$6,$B$11))/($A122*MIN(B$6,$B$11)))^2)+IF(OR(C$7="",C$8=0),0,C$8*(C$7-D$16*(1-$A122)*(1-(1-$A122)^MIN(C$6,$B$11))/($A122*MIN(C$6,$B$11)))^2)+IF(OR(D$7="",D$8=0),0,D$8*(D$7-D$16*(1-$A122)*(1-(1-$A122)^MIN(D$6,$B$11))/($A122*MIN(D$6,$B$11)))^2)+IF(OR(E$7="",E$8=0),0,E$8*(E$7-D$16*(1-$A122)*(1-(1-$A122)^MIN(E$6,$B$11))/($A122*MIN(E$6,$B$11)))^2)</f>
        <v/>
      </c>
      <c r="E122" s="27">
        <f>IF(OR(B$7="",B$8=0),0,B$8*(B$7-E$16*(1-$A122)*(1-(1-$A122)^MIN(B$6,$B$11))/($A122*MIN(B$6,$B$11)))^2)+IF(OR(C$7="",C$8=0),0,C$8*(C$7-E$16*(1-$A122)*(1-(1-$A122)^MIN(C$6,$B$11))/($A122*MIN(C$6,$B$11)))^2)+IF(OR(D$7="",D$8=0),0,D$8*(D$7-E$16*(1-$A122)*(1-(1-$A122)^MIN(D$6,$B$11))/($A122*MIN(D$6,$B$11)))^2)+IF(OR(E$7="",E$8=0),0,E$8*(E$7-E$16*(1-$A122)*(1-(1-$A122)^MIN(E$6,$B$11))/($A122*MIN(E$6,$B$11)))^2)</f>
        <v/>
      </c>
      <c r="F122" s="27">
        <f>IF(OR(B$7="",B$8=0),0,B$8*(B$7-F$16*(1-$A122)*(1-(1-$A122)^MIN(B$6,$B$11))/($A122*MIN(B$6,$B$11)))^2)+IF(OR(C$7="",C$8=0),0,C$8*(C$7-F$16*(1-$A122)*(1-(1-$A122)^MIN(C$6,$B$11))/($A122*MIN(C$6,$B$11)))^2)+IF(OR(D$7="",D$8=0),0,D$8*(D$7-F$16*(1-$A122)*(1-(1-$A122)^MIN(D$6,$B$11))/($A122*MIN(D$6,$B$11)))^2)+IF(OR(E$7="",E$8=0),0,E$8*(E$7-F$16*(1-$A122)*(1-(1-$A122)^MIN(E$6,$B$11))/($A122*MIN(E$6,$B$11)))^2)</f>
        <v/>
      </c>
      <c r="G122" s="27">
        <f>IF(OR(B$7="",B$8=0),0,B$8*(B$7-G$16*(1-$A122)*(1-(1-$A122)^MIN(B$6,$B$11))/($A122*MIN(B$6,$B$11)))^2)+IF(OR(C$7="",C$8=0),0,C$8*(C$7-G$16*(1-$A122)*(1-(1-$A122)^MIN(C$6,$B$11))/($A122*MIN(C$6,$B$11)))^2)+IF(OR(D$7="",D$8=0),0,D$8*(D$7-G$16*(1-$A122)*(1-(1-$A122)^MIN(D$6,$B$11))/($A122*MIN(D$6,$B$11)))^2)+IF(OR(E$7="",E$8=0),0,E$8*(E$7-G$16*(1-$A122)*(1-(1-$A122)^MIN(E$6,$B$11))/($A122*MIN(E$6,$B$11)))^2)</f>
        <v/>
      </c>
      <c r="H122" s="27">
        <f>IF(OR(B$7="",B$8=0),0,B$8*(B$7-H$16*(1-$A122)*(1-(1-$A122)^MIN(B$6,$B$11))/($A122*MIN(B$6,$B$11)))^2)+IF(OR(C$7="",C$8=0),0,C$8*(C$7-H$16*(1-$A122)*(1-(1-$A122)^MIN(C$6,$B$11))/($A122*MIN(C$6,$B$11)))^2)+IF(OR(D$7="",D$8=0),0,D$8*(D$7-H$16*(1-$A122)*(1-(1-$A122)^MIN(D$6,$B$11))/($A122*MIN(D$6,$B$11)))^2)+IF(OR(E$7="",E$8=0),0,E$8*(E$7-H$16*(1-$A122)*(1-(1-$A122)^MIN(E$6,$B$11))/($A122*MIN(E$6,$B$11)))^2)</f>
        <v/>
      </c>
      <c r="I122" s="27">
        <f>IF(OR(B$7="",B$8=0),0,B$8*(B$7-I$16*(1-$A122)*(1-(1-$A122)^MIN(B$6,$B$11))/($A122*MIN(B$6,$B$11)))^2)+IF(OR(C$7="",C$8=0),0,C$8*(C$7-I$16*(1-$A122)*(1-(1-$A122)^MIN(C$6,$B$11))/($A122*MIN(C$6,$B$11)))^2)+IF(OR(D$7="",D$8=0),0,D$8*(D$7-I$16*(1-$A122)*(1-(1-$A122)^MIN(D$6,$B$11))/($A122*MIN(D$6,$B$11)))^2)+IF(OR(E$7="",E$8=0),0,E$8*(E$7-I$16*(1-$A122)*(1-(1-$A122)^MIN(E$6,$B$11))/($A122*MIN(E$6,$B$11)))^2)</f>
        <v/>
      </c>
      <c r="J122" s="27">
        <f>IF(OR(B$7="",B$8=0),0,B$8*(B$7-J$16*(1-$A122)*(1-(1-$A122)^MIN(B$6,$B$11))/($A122*MIN(B$6,$B$11)))^2)+IF(OR(C$7="",C$8=0),0,C$8*(C$7-J$16*(1-$A122)*(1-(1-$A122)^MIN(C$6,$B$11))/($A122*MIN(C$6,$B$11)))^2)+IF(OR(D$7="",D$8=0),0,D$8*(D$7-J$16*(1-$A122)*(1-(1-$A122)^MIN(D$6,$B$11))/($A122*MIN(D$6,$B$11)))^2)+IF(OR(E$7="",E$8=0),0,E$8*(E$7-J$16*(1-$A122)*(1-(1-$A122)^MIN(E$6,$B$11))/($A122*MIN(E$6,$B$11)))^2)</f>
        <v/>
      </c>
      <c r="K122" s="27">
        <f>IF(OR(B$7="",B$8=0),0,B$8*(B$7-K$16*(1-$A122)*(1-(1-$A122)^MIN(B$6,$B$11))/($A122*MIN(B$6,$B$11)))^2)+IF(OR(C$7="",C$8=0),0,C$8*(C$7-K$16*(1-$A122)*(1-(1-$A122)^MIN(C$6,$B$11))/($A122*MIN(C$6,$B$11)))^2)+IF(OR(D$7="",D$8=0),0,D$8*(D$7-K$16*(1-$A122)*(1-(1-$A122)^MIN(D$6,$B$11))/($A122*MIN(D$6,$B$11)))^2)+IF(OR(E$7="",E$8=0),0,E$8*(E$7-K$16*(1-$A122)*(1-(1-$A122)^MIN(E$6,$B$11))/($A122*MIN(E$6,$B$11)))^2)</f>
        <v/>
      </c>
      <c r="L122" s="27">
        <f>IF(OR(B$7="",B$8=0),0,B$8*(B$7-L$16*(1-$A122)*(1-(1-$A122)^MIN(B$6,$B$11))/($A122*MIN(B$6,$B$11)))^2)+IF(OR(C$7="",C$8=0),0,C$8*(C$7-L$16*(1-$A122)*(1-(1-$A122)^MIN(C$6,$B$11))/($A122*MIN(C$6,$B$11)))^2)+IF(OR(D$7="",D$8=0),0,D$8*(D$7-L$16*(1-$A122)*(1-(1-$A122)^MIN(D$6,$B$11))/($A122*MIN(D$6,$B$11)))^2)+IF(OR(E$7="",E$8=0),0,E$8*(E$7-L$16*(1-$A122)*(1-(1-$A122)^MIN(E$6,$B$11))/($A122*MIN(E$6,$B$11)))^2)</f>
        <v/>
      </c>
      <c r="M122" s="27">
        <f>IF(OR(B$7="",B$8=0),0,B$8*(B$7-M$16*(1-$A122)*(1-(1-$A122)^MIN(B$6,$B$11))/($A122*MIN(B$6,$B$11)))^2)+IF(OR(C$7="",C$8=0),0,C$8*(C$7-M$16*(1-$A122)*(1-(1-$A122)^MIN(C$6,$B$11))/($A122*MIN(C$6,$B$11)))^2)+IF(OR(D$7="",D$8=0),0,D$8*(D$7-M$16*(1-$A122)*(1-(1-$A122)^MIN(D$6,$B$11))/($A122*MIN(D$6,$B$11)))^2)+IF(OR(E$7="",E$8=0),0,E$8*(E$7-M$16*(1-$A122)*(1-(1-$A122)^MIN(E$6,$B$11))/($A122*MIN(E$6,$B$11)))^2)</f>
        <v/>
      </c>
      <c r="N122" s="27">
        <f>IF(OR(B$7="",B$8=0),0,B$8*(B$7-N$16*(1-$A122)*(1-(1-$A122)^MIN(B$6,$B$11))/($A122*MIN(B$6,$B$11)))^2)+IF(OR(C$7="",C$8=0),0,C$8*(C$7-N$16*(1-$A122)*(1-(1-$A122)^MIN(C$6,$B$11))/($A122*MIN(C$6,$B$11)))^2)+IF(OR(D$7="",D$8=0),0,D$8*(D$7-N$16*(1-$A122)*(1-(1-$A122)^MIN(D$6,$B$11))/($A122*MIN(D$6,$B$11)))^2)+IF(OR(E$7="",E$8=0),0,E$8*(E$7-N$16*(1-$A122)*(1-(1-$A122)^MIN(E$6,$B$11))/($A122*MIN(E$6,$B$11)))^2)</f>
        <v/>
      </c>
      <c r="O122" s="27">
        <f>IF(OR(B$7="",B$8=0),0,B$8*(B$7-O$16*(1-$A122)*(1-(1-$A122)^MIN(B$6,$B$11))/($A122*MIN(B$6,$B$11)))^2)+IF(OR(C$7="",C$8=0),0,C$8*(C$7-O$16*(1-$A122)*(1-(1-$A122)^MIN(C$6,$B$11))/($A122*MIN(C$6,$B$11)))^2)+IF(OR(D$7="",D$8=0),0,D$8*(D$7-O$16*(1-$A122)*(1-(1-$A122)^MIN(D$6,$B$11))/($A122*MIN(D$6,$B$11)))^2)+IF(OR(E$7="",E$8=0),0,E$8*(E$7-O$16*(1-$A122)*(1-(1-$A122)^MIN(E$6,$B$11))/($A122*MIN(E$6,$B$11)))^2)</f>
        <v/>
      </c>
      <c r="P122" s="27">
        <f>IF(OR(B$7="",B$8=0),0,B$8*(B$7-P$16*(1-$A122)*(1-(1-$A122)^MIN(B$6,$B$11))/($A122*MIN(B$6,$B$11)))^2)+IF(OR(C$7="",C$8=0),0,C$8*(C$7-P$16*(1-$A122)*(1-(1-$A122)^MIN(C$6,$B$11))/($A122*MIN(C$6,$B$11)))^2)+IF(OR(D$7="",D$8=0),0,D$8*(D$7-P$16*(1-$A122)*(1-(1-$A122)^MIN(D$6,$B$11))/($A122*MIN(D$6,$B$11)))^2)+IF(OR(E$7="",E$8=0),0,E$8*(E$7-P$16*(1-$A122)*(1-(1-$A122)^MIN(E$6,$B$11))/($A122*MIN(E$6,$B$11)))^2)</f>
        <v/>
      </c>
      <c r="Q122" s="27">
        <f>IF(OR(B$7="",B$8=0),0,B$8*(B$7-Q$16*(1-$A122)*(1-(1-$A122)^MIN(B$6,$B$11))/($A122*MIN(B$6,$B$11)))^2)+IF(OR(C$7="",C$8=0),0,C$8*(C$7-Q$16*(1-$A122)*(1-(1-$A122)^MIN(C$6,$B$11))/($A122*MIN(C$6,$B$11)))^2)+IF(OR(D$7="",D$8=0),0,D$8*(D$7-Q$16*(1-$A122)*(1-(1-$A122)^MIN(D$6,$B$11))/($A122*MIN(D$6,$B$11)))^2)+IF(OR(E$7="",E$8=0),0,E$8*(E$7-Q$16*(1-$A122)*(1-(1-$A122)^MIN(E$6,$B$11))/($A122*MIN(E$6,$B$11)))^2)</f>
        <v/>
      </c>
      <c r="R122" s="27">
        <f>IF(OR(B$7="",B$8=0),0,B$8*(B$7-R$16*(1-$A122)*(1-(1-$A122)^MIN(B$6,$B$11))/($A122*MIN(B$6,$B$11)))^2)+IF(OR(C$7="",C$8=0),0,C$8*(C$7-R$16*(1-$A122)*(1-(1-$A122)^MIN(C$6,$B$11))/($A122*MIN(C$6,$B$11)))^2)+IF(OR(D$7="",D$8=0),0,D$8*(D$7-R$16*(1-$A122)*(1-(1-$A122)^MIN(D$6,$B$11))/($A122*MIN(D$6,$B$11)))^2)+IF(OR(E$7="",E$8=0),0,E$8*(E$7-R$16*(1-$A122)*(1-(1-$A122)^MIN(E$6,$B$11))/($A122*MIN(E$6,$B$11)))^2)</f>
        <v/>
      </c>
      <c r="S122" s="27">
        <f>IF(OR(B$7="",B$8=0),0,B$8*(B$7-S$16*(1-$A122)*(1-(1-$A122)^MIN(B$6,$B$11))/($A122*MIN(B$6,$B$11)))^2)+IF(OR(C$7="",C$8=0),0,C$8*(C$7-S$16*(1-$A122)*(1-(1-$A122)^MIN(C$6,$B$11))/($A122*MIN(C$6,$B$11)))^2)+IF(OR(D$7="",D$8=0),0,D$8*(D$7-S$16*(1-$A122)*(1-(1-$A122)^MIN(D$6,$B$11))/($A122*MIN(D$6,$B$11)))^2)+IF(OR(E$7="",E$8=0),0,E$8*(E$7-S$16*(1-$A122)*(1-(1-$A122)^MIN(E$6,$B$11))/($A122*MIN(E$6,$B$11)))^2)</f>
        <v/>
      </c>
      <c r="U122" s="27">
        <f>MIN(B122:S122)</f>
        <v/>
      </c>
      <c r="V122" s="17">
        <f>MATCH(U122,B122:S122,0)</f>
        <v/>
      </c>
    </row>
    <row r="123">
      <c r="A123" s="26" t="n">
        <v>0.058</v>
      </c>
      <c r="B123" s="27">
        <f>IF(OR(B$7="",B$8=0),0,B$8*(B$7-B$16*(1-$A123)*(1-(1-$A123)^MIN(B$6,$B$11))/($A123*MIN(B$6,$B$11)))^2)+IF(OR(C$7="",C$8=0),0,C$8*(C$7-B$16*(1-$A123)*(1-(1-$A123)^MIN(C$6,$B$11))/($A123*MIN(C$6,$B$11)))^2)+IF(OR(D$7="",D$8=0),0,D$8*(D$7-B$16*(1-$A123)*(1-(1-$A123)^MIN(D$6,$B$11))/($A123*MIN(D$6,$B$11)))^2)+IF(OR(E$7="",E$8=0),0,E$8*(E$7-B$16*(1-$A123)*(1-(1-$A123)^MIN(E$6,$B$11))/($A123*MIN(E$6,$B$11)))^2)</f>
        <v/>
      </c>
      <c r="C123" s="27">
        <f>IF(OR(B$7="",B$8=0),0,B$8*(B$7-C$16*(1-$A123)*(1-(1-$A123)^MIN(B$6,$B$11))/($A123*MIN(B$6,$B$11)))^2)+IF(OR(C$7="",C$8=0),0,C$8*(C$7-C$16*(1-$A123)*(1-(1-$A123)^MIN(C$6,$B$11))/($A123*MIN(C$6,$B$11)))^2)+IF(OR(D$7="",D$8=0),0,D$8*(D$7-C$16*(1-$A123)*(1-(1-$A123)^MIN(D$6,$B$11))/($A123*MIN(D$6,$B$11)))^2)+IF(OR(E$7="",E$8=0),0,E$8*(E$7-C$16*(1-$A123)*(1-(1-$A123)^MIN(E$6,$B$11))/($A123*MIN(E$6,$B$11)))^2)</f>
        <v/>
      </c>
      <c r="D123" s="27">
        <f>IF(OR(B$7="",B$8=0),0,B$8*(B$7-D$16*(1-$A123)*(1-(1-$A123)^MIN(B$6,$B$11))/($A123*MIN(B$6,$B$11)))^2)+IF(OR(C$7="",C$8=0),0,C$8*(C$7-D$16*(1-$A123)*(1-(1-$A123)^MIN(C$6,$B$11))/($A123*MIN(C$6,$B$11)))^2)+IF(OR(D$7="",D$8=0),0,D$8*(D$7-D$16*(1-$A123)*(1-(1-$A123)^MIN(D$6,$B$11))/($A123*MIN(D$6,$B$11)))^2)+IF(OR(E$7="",E$8=0),0,E$8*(E$7-D$16*(1-$A123)*(1-(1-$A123)^MIN(E$6,$B$11))/($A123*MIN(E$6,$B$11)))^2)</f>
        <v/>
      </c>
      <c r="E123" s="27">
        <f>IF(OR(B$7="",B$8=0),0,B$8*(B$7-E$16*(1-$A123)*(1-(1-$A123)^MIN(B$6,$B$11))/($A123*MIN(B$6,$B$11)))^2)+IF(OR(C$7="",C$8=0),0,C$8*(C$7-E$16*(1-$A123)*(1-(1-$A123)^MIN(C$6,$B$11))/($A123*MIN(C$6,$B$11)))^2)+IF(OR(D$7="",D$8=0),0,D$8*(D$7-E$16*(1-$A123)*(1-(1-$A123)^MIN(D$6,$B$11))/($A123*MIN(D$6,$B$11)))^2)+IF(OR(E$7="",E$8=0),0,E$8*(E$7-E$16*(1-$A123)*(1-(1-$A123)^MIN(E$6,$B$11))/($A123*MIN(E$6,$B$11)))^2)</f>
        <v/>
      </c>
      <c r="F123" s="27">
        <f>IF(OR(B$7="",B$8=0),0,B$8*(B$7-F$16*(1-$A123)*(1-(1-$A123)^MIN(B$6,$B$11))/($A123*MIN(B$6,$B$11)))^2)+IF(OR(C$7="",C$8=0),0,C$8*(C$7-F$16*(1-$A123)*(1-(1-$A123)^MIN(C$6,$B$11))/($A123*MIN(C$6,$B$11)))^2)+IF(OR(D$7="",D$8=0),0,D$8*(D$7-F$16*(1-$A123)*(1-(1-$A123)^MIN(D$6,$B$11))/($A123*MIN(D$6,$B$11)))^2)+IF(OR(E$7="",E$8=0),0,E$8*(E$7-F$16*(1-$A123)*(1-(1-$A123)^MIN(E$6,$B$11))/($A123*MIN(E$6,$B$11)))^2)</f>
        <v/>
      </c>
      <c r="G123" s="27">
        <f>IF(OR(B$7="",B$8=0),0,B$8*(B$7-G$16*(1-$A123)*(1-(1-$A123)^MIN(B$6,$B$11))/($A123*MIN(B$6,$B$11)))^2)+IF(OR(C$7="",C$8=0),0,C$8*(C$7-G$16*(1-$A123)*(1-(1-$A123)^MIN(C$6,$B$11))/($A123*MIN(C$6,$B$11)))^2)+IF(OR(D$7="",D$8=0),0,D$8*(D$7-G$16*(1-$A123)*(1-(1-$A123)^MIN(D$6,$B$11))/($A123*MIN(D$6,$B$11)))^2)+IF(OR(E$7="",E$8=0),0,E$8*(E$7-G$16*(1-$A123)*(1-(1-$A123)^MIN(E$6,$B$11))/($A123*MIN(E$6,$B$11)))^2)</f>
        <v/>
      </c>
      <c r="H123" s="27">
        <f>IF(OR(B$7="",B$8=0),0,B$8*(B$7-H$16*(1-$A123)*(1-(1-$A123)^MIN(B$6,$B$11))/($A123*MIN(B$6,$B$11)))^2)+IF(OR(C$7="",C$8=0),0,C$8*(C$7-H$16*(1-$A123)*(1-(1-$A123)^MIN(C$6,$B$11))/($A123*MIN(C$6,$B$11)))^2)+IF(OR(D$7="",D$8=0),0,D$8*(D$7-H$16*(1-$A123)*(1-(1-$A123)^MIN(D$6,$B$11))/($A123*MIN(D$6,$B$11)))^2)+IF(OR(E$7="",E$8=0),0,E$8*(E$7-H$16*(1-$A123)*(1-(1-$A123)^MIN(E$6,$B$11))/($A123*MIN(E$6,$B$11)))^2)</f>
        <v/>
      </c>
      <c r="I123" s="27">
        <f>IF(OR(B$7="",B$8=0),0,B$8*(B$7-I$16*(1-$A123)*(1-(1-$A123)^MIN(B$6,$B$11))/($A123*MIN(B$6,$B$11)))^2)+IF(OR(C$7="",C$8=0),0,C$8*(C$7-I$16*(1-$A123)*(1-(1-$A123)^MIN(C$6,$B$11))/($A123*MIN(C$6,$B$11)))^2)+IF(OR(D$7="",D$8=0),0,D$8*(D$7-I$16*(1-$A123)*(1-(1-$A123)^MIN(D$6,$B$11))/($A123*MIN(D$6,$B$11)))^2)+IF(OR(E$7="",E$8=0),0,E$8*(E$7-I$16*(1-$A123)*(1-(1-$A123)^MIN(E$6,$B$11))/($A123*MIN(E$6,$B$11)))^2)</f>
        <v/>
      </c>
      <c r="J123" s="27">
        <f>IF(OR(B$7="",B$8=0),0,B$8*(B$7-J$16*(1-$A123)*(1-(1-$A123)^MIN(B$6,$B$11))/($A123*MIN(B$6,$B$11)))^2)+IF(OR(C$7="",C$8=0),0,C$8*(C$7-J$16*(1-$A123)*(1-(1-$A123)^MIN(C$6,$B$11))/($A123*MIN(C$6,$B$11)))^2)+IF(OR(D$7="",D$8=0),0,D$8*(D$7-J$16*(1-$A123)*(1-(1-$A123)^MIN(D$6,$B$11))/($A123*MIN(D$6,$B$11)))^2)+IF(OR(E$7="",E$8=0),0,E$8*(E$7-J$16*(1-$A123)*(1-(1-$A123)^MIN(E$6,$B$11))/($A123*MIN(E$6,$B$11)))^2)</f>
        <v/>
      </c>
      <c r="K123" s="27">
        <f>IF(OR(B$7="",B$8=0),0,B$8*(B$7-K$16*(1-$A123)*(1-(1-$A123)^MIN(B$6,$B$11))/($A123*MIN(B$6,$B$11)))^2)+IF(OR(C$7="",C$8=0),0,C$8*(C$7-K$16*(1-$A123)*(1-(1-$A123)^MIN(C$6,$B$11))/($A123*MIN(C$6,$B$11)))^2)+IF(OR(D$7="",D$8=0),0,D$8*(D$7-K$16*(1-$A123)*(1-(1-$A123)^MIN(D$6,$B$11))/($A123*MIN(D$6,$B$11)))^2)+IF(OR(E$7="",E$8=0),0,E$8*(E$7-K$16*(1-$A123)*(1-(1-$A123)^MIN(E$6,$B$11))/($A123*MIN(E$6,$B$11)))^2)</f>
        <v/>
      </c>
      <c r="L123" s="27">
        <f>IF(OR(B$7="",B$8=0),0,B$8*(B$7-L$16*(1-$A123)*(1-(1-$A123)^MIN(B$6,$B$11))/($A123*MIN(B$6,$B$11)))^2)+IF(OR(C$7="",C$8=0),0,C$8*(C$7-L$16*(1-$A123)*(1-(1-$A123)^MIN(C$6,$B$11))/($A123*MIN(C$6,$B$11)))^2)+IF(OR(D$7="",D$8=0),0,D$8*(D$7-L$16*(1-$A123)*(1-(1-$A123)^MIN(D$6,$B$11))/($A123*MIN(D$6,$B$11)))^2)+IF(OR(E$7="",E$8=0),0,E$8*(E$7-L$16*(1-$A123)*(1-(1-$A123)^MIN(E$6,$B$11))/($A123*MIN(E$6,$B$11)))^2)</f>
        <v/>
      </c>
      <c r="M123" s="27">
        <f>IF(OR(B$7="",B$8=0),0,B$8*(B$7-M$16*(1-$A123)*(1-(1-$A123)^MIN(B$6,$B$11))/($A123*MIN(B$6,$B$11)))^2)+IF(OR(C$7="",C$8=0),0,C$8*(C$7-M$16*(1-$A123)*(1-(1-$A123)^MIN(C$6,$B$11))/($A123*MIN(C$6,$B$11)))^2)+IF(OR(D$7="",D$8=0),0,D$8*(D$7-M$16*(1-$A123)*(1-(1-$A123)^MIN(D$6,$B$11))/($A123*MIN(D$6,$B$11)))^2)+IF(OR(E$7="",E$8=0),0,E$8*(E$7-M$16*(1-$A123)*(1-(1-$A123)^MIN(E$6,$B$11))/($A123*MIN(E$6,$B$11)))^2)</f>
        <v/>
      </c>
      <c r="N123" s="27">
        <f>IF(OR(B$7="",B$8=0),0,B$8*(B$7-N$16*(1-$A123)*(1-(1-$A123)^MIN(B$6,$B$11))/($A123*MIN(B$6,$B$11)))^2)+IF(OR(C$7="",C$8=0),0,C$8*(C$7-N$16*(1-$A123)*(1-(1-$A123)^MIN(C$6,$B$11))/($A123*MIN(C$6,$B$11)))^2)+IF(OR(D$7="",D$8=0),0,D$8*(D$7-N$16*(1-$A123)*(1-(1-$A123)^MIN(D$6,$B$11))/($A123*MIN(D$6,$B$11)))^2)+IF(OR(E$7="",E$8=0),0,E$8*(E$7-N$16*(1-$A123)*(1-(1-$A123)^MIN(E$6,$B$11))/($A123*MIN(E$6,$B$11)))^2)</f>
        <v/>
      </c>
      <c r="O123" s="27">
        <f>IF(OR(B$7="",B$8=0),0,B$8*(B$7-O$16*(1-$A123)*(1-(1-$A123)^MIN(B$6,$B$11))/($A123*MIN(B$6,$B$11)))^2)+IF(OR(C$7="",C$8=0),0,C$8*(C$7-O$16*(1-$A123)*(1-(1-$A123)^MIN(C$6,$B$11))/($A123*MIN(C$6,$B$11)))^2)+IF(OR(D$7="",D$8=0),0,D$8*(D$7-O$16*(1-$A123)*(1-(1-$A123)^MIN(D$6,$B$11))/($A123*MIN(D$6,$B$11)))^2)+IF(OR(E$7="",E$8=0),0,E$8*(E$7-O$16*(1-$A123)*(1-(1-$A123)^MIN(E$6,$B$11))/($A123*MIN(E$6,$B$11)))^2)</f>
        <v/>
      </c>
      <c r="P123" s="27">
        <f>IF(OR(B$7="",B$8=0),0,B$8*(B$7-P$16*(1-$A123)*(1-(1-$A123)^MIN(B$6,$B$11))/($A123*MIN(B$6,$B$11)))^2)+IF(OR(C$7="",C$8=0),0,C$8*(C$7-P$16*(1-$A123)*(1-(1-$A123)^MIN(C$6,$B$11))/($A123*MIN(C$6,$B$11)))^2)+IF(OR(D$7="",D$8=0),0,D$8*(D$7-P$16*(1-$A123)*(1-(1-$A123)^MIN(D$6,$B$11))/($A123*MIN(D$6,$B$11)))^2)+IF(OR(E$7="",E$8=0),0,E$8*(E$7-P$16*(1-$A123)*(1-(1-$A123)^MIN(E$6,$B$11))/($A123*MIN(E$6,$B$11)))^2)</f>
        <v/>
      </c>
      <c r="Q123" s="27">
        <f>IF(OR(B$7="",B$8=0),0,B$8*(B$7-Q$16*(1-$A123)*(1-(1-$A123)^MIN(B$6,$B$11))/($A123*MIN(B$6,$B$11)))^2)+IF(OR(C$7="",C$8=0),0,C$8*(C$7-Q$16*(1-$A123)*(1-(1-$A123)^MIN(C$6,$B$11))/($A123*MIN(C$6,$B$11)))^2)+IF(OR(D$7="",D$8=0),0,D$8*(D$7-Q$16*(1-$A123)*(1-(1-$A123)^MIN(D$6,$B$11))/($A123*MIN(D$6,$B$11)))^2)+IF(OR(E$7="",E$8=0),0,E$8*(E$7-Q$16*(1-$A123)*(1-(1-$A123)^MIN(E$6,$B$11))/($A123*MIN(E$6,$B$11)))^2)</f>
        <v/>
      </c>
      <c r="R123" s="27">
        <f>IF(OR(B$7="",B$8=0),0,B$8*(B$7-R$16*(1-$A123)*(1-(1-$A123)^MIN(B$6,$B$11))/($A123*MIN(B$6,$B$11)))^2)+IF(OR(C$7="",C$8=0),0,C$8*(C$7-R$16*(1-$A123)*(1-(1-$A123)^MIN(C$6,$B$11))/($A123*MIN(C$6,$B$11)))^2)+IF(OR(D$7="",D$8=0),0,D$8*(D$7-R$16*(1-$A123)*(1-(1-$A123)^MIN(D$6,$B$11))/($A123*MIN(D$6,$B$11)))^2)+IF(OR(E$7="",E$8=0),0,E$8*(E$7-R$16*(1-$A123)*(1-(1-$A123)^MIN(E$6,$B$11))/($A123*MIN(E$6,$B$11)))^2)</f>
        <v/>
      </c>
      <c r="S123" s="27">
        <f>IF(OR(B$7="",B$8=0),0,B$8*(B$7-S$16*(1-$A123)*(1-(1-$A123)^MIN(B$6,$B$11))/($A123*MIN(B$6,$B$11)))^2)+IF(OR(C$7="",C$8=0),0,C$8*(C$7-S$16*(1-$A123)*(1-(1-$A123)^MIN(C$6,$B$11))/($A123*MIN(C$6,$B$11)))^2)+IF(OR(D$7="",D$8=0),0,D$8*(D$7-S$16*(1-$A123)*(1-(1-$A123)^MIN(D$6,$B$11))/($A123*MIN(D$6,$B$11)))^2)+IF(OR(E$7="",E$8=0),0,E$8*(E$7-S$16*(1-$A123)*(1-(1-$A123)^MIN(E$6,$B$11))/($A123*MIN(E$6,$B$11)))^2)</f>
        <v/>
      </c>
      <c r="U123" s="27">
        <f>MIN(B123:S123)</f>
        <v/>
      </c>
      <c r="V123" s="17">
        <f>MATCH(U123,B123:S123,0)</f>
        <v/>
      </c>
    </row>
    <row r="124">
      <c r="A124" s="26" t="n">
        <v>0.0585</v>
      </c>
      <c r="B124" s="27">
        <f>IF(OR(B$7="",B$8=0),0,B$8*(B$7-B$16*(1-$A124)*(1-(1-$A124)^MIN(B$6,$B$11))/($A124*MIN(B$6,$B$11)))^2)+IF(OR(C$7="",C$8=0),0,C$8*(C$7-B$16*(1-$A124)*(1-(1-$A124)^MIN(C$6,$B$11))/($A124*MIN(C$6,$B$11)))^2)+IF(OR(D$7="",D$8=0),0,D$8*(D$7-B$16*(1-$A124)*(1-(1-$A124)^MIN(D$6,$B$11))/($A124*MIN(D$6,$B$11)))^2)+IF(OR(E$7="",E$8=0),0,E$8*(E$7-B$16*(1-$A124)*(1-(1-$A124)^MIN(E$6,$B$11))/($A124*MIN(E$6,$B$11)))^2)</f>
        <v/>
      </c>
      <c r="C124" s="27">
        <f>IF(OR(B$7="",B$8=0),0,B$8*(B$7-C$16*(1-$A124)*(1-(1-$A124)^MIN(B$6,$B$11))/($A124*MIN(B$6,$B$11)))^2)+IF(OR(C$7="",C$8=0),0,C$8*(C$7-C$16*(1-$A124)*(1-(1-$A124)^MIN(C$6,$B$11))/($A124*MIN(C$6,$B$11)))^2)+IF(OR(D$7="",D$8=0),0,D$8*(D$7-C$16*(1-$A124)*(1-(1-$A124)^MIN(D$6,$B$11))/($A124*MIN(D$6,$B$11)))^2)+IF(OR(E$7="",E$8=0),0,E$8*(E$7-C$16*(1-$A124)*(1-(1-$A124)^MIN(E$6,$B$11))/($A124*MIN(E$6,$B$11)))^2)</f>
        <v/>
      </c>
      <c r="D124" s="27">
        <f>IF(OR(B$7="",B$8=0),0,B$8*(B$7-D$16*(1-$A124)*(1-(1-$A124)^MIN(B$6,$B$11))/($A124*MIN(B$6,$B$11)))^2)+IF(OR(C$7="",C$8=0),0,C$8*(C$7-D$16*(1-$A124)*(1-(1-$A124)^MIN(C$6,$B$11))/($A124*MIN(C$6,$B$11)))^2)+IF(OR(D$7="",D$8=0),0,D$8*(D$7-D$16*(1-$A124)*(1-(1-$A124)^MIN(D$6,$B$11))/($A124*MIN(D$6,$B$11)))^2)+IF(OR(E$7="",E$8=0),0,E$8*(E$7-D$16*(1-$A124)*(1-(1-$A124)^MIN(E$6,$B$11))/($A124*MIN(E$6,$B$11)))^2)</f>
        <v/>
      </c>
      <c r="E124" s="27">
        <f>IF(OR(B$7="",B$8=0),0,B$8*(B$7-E$16*(1-$A124)*(1-(1-$A124)^MIN(B$6,$B$11))/($A124*MIN(B$6,$B$11)))^2)+IF(OR(C$7="",C$8=0),0,C$8*(C$7-E$16*(1-$A124)*(1-(1-$A124)^MIN(C$6,$B$11))/($A124*MIN(C$6,$B$11)))^2)+IF(OR(D$7="",D$8=0),0,D$8*(D$7-E$16*(1-$A124)*(1-(1-$A124)^MIN(D$6,$B$11))/($A124*MIN(D$6,$B$11)))^2)+IF(OR(E$7="",E$8=0),0,E$8*(E$7-E$16*(1-$A124)*(1-(1-$A124)^MIN(E$6,$B$11))/($A124*MIN(E$6,$B$11)))^2)</f>
        <v/>
      </c>
      <c r="F124" s="27">
        <f>IF(OR(B$7="",B$8=0),0,B$8*(B$7-F$16*(1-$A124)*(1-(1-$A124)^MIN(B$6,$B$11))/($A124*MIN(B$6,$B$11)))^2)+IF(OR(C$7="",C$8=0),0,C$8*(C$7-F$16*(1-$A124)*(1-(1-$A124)^MIN(C$6,$B$11))/($A124*MIN(C$6,$B$11)))^2)+IF(OR(D$7="",D$8=0),0,D$8*(D$7-F$16*(1-$A124)*(1-(1-$A124)^MIN(D$6,$B$11))/($A124*MIN(D$6,$B$11)))^2)+IF(OR(E$7="",E$8=0),0,E$8*(E$7-F$16*(1-$A124)*(1-(1-$A124)^MIN(E$6,$B$11))/($A124*MIN(E$6,$B$11)))^2)</f>
        <v/>
      </c>
      <c r="G124" s="27">
        <f>IF(OR(B$7="",B$8=0),0,B$8*(B$7-G$16*(1-$A124)*(1-(1-$A124)^MIN(B$6,$B$11))/($A124*MIN(B$6,$B$11)))^2)+IF(OR(C$7="",C$8=0),0,C$8*(C$7-G$16*(1-$A124)*(1-(1-$A124)^MIN(C$6,$B$11))/($A124*MIN(C$6,$B$11)))^2)+IF(OR(D$7="",D$8=0),0,D$8*(D$7-G$16*(1-$A124)*(1-(1-$A124)^MIN(D$6,$B$11))/($A124*MIN(D$6,$B$11)))^2)+IF(OR(E$7="",E$8=0),0,E$8*(E$7-G$16*(1-$A124)*(1-(1-$A124)^MIN(E$6,$B$11))/($A124*MIN(E$6,$B$11)))^2)</f>
        <v/>
      </c>
      <c r="H124" s="27">
        <f>IF(OR(B$7="",B$8=0),0,B$8*(B$7-H$16*(1-$A124)*(1-(1-$A124)^MIN(B$6,$B$11))/($A124*MIN(B$6,$B$11)))^2)+IF(OR(C$7="",C$8=0),0,C$8*(C$7-H$16*(1-$A124)*(1-(1-$A124)^MIN(C$6,$B$11))/($A124*MIN(C$6,$B$11)))^2)+IF(OR(D$7="",D$8=0),0,D$8*(D$7-H$16*(1-$A124)*(1-(1-$A124)^MIN(D$6,$B$11))/($A124*MIN(D$6,$B$11)))^2)+IF(OR(E$7="",E$8=0),0,E$8*(E$7-H$16*(1-$A124)*(1-(1-$A124)^MIN(E$6,$B$11))/($A124*MIN(E$6,$B$11)))^2)</f>
        <v/>
      </c>
      <c r="I124" s="27">
        <f>IF(OR(B$7="",B$8=0),0,B$8*(B$7-I$16*(1-$A124)*(1-(1-$A124)^MIN(B$6,$B$11))/($A124*MIN(B$6,$B$11)))^2)+IF(OR(C$7="",C$8=0),0,C$8*(C$7-I$16*(1-$A124)*(1-(1-$A124)^MIN(C$6,$B$11))/($A124*MIN(C$6,$B$11)))^2)+IF(OR(D$7="",D$8=0),0,D$8*(D$7-I$16*(1-$A124)*(1-(1-$A124)^MIN(D$6,$B$11))/($A124*MIN(D$6,$B$11)))^2)+IF(OR(E$7="",E$8=0),0,E$8*(E$7-I$16*(1-$A124)*(1-(1-$A124)^MIN(E$6,$B$11))/($A124*MIN(E$6,$B$11)))^2)</f>
        <v/>
      </c>
      <c r="J124" s="27">
        <f>IF(OR(B$7="",B$8=0),0,B$8*(B$7-J$16*(1-$A124)*(1-(1-$A124)^MIN(B$6,$B$11))/($A124*MIN(B$6,$B$11)))^2)+IF(OR(C$7="",C$8=0),0,C$8*(C$7-J$16*(1-$A124)*(1-(1-$A124)^MIN(C$6,$B$11))/($A124*MIN(C$6,$B$11)))^2)+IF(OR(D$7="",D$8=0),0,D$8*(D$7-J$16*(1-$A124)*(1-(1-$A124)^MIN(D$6,$B$11))/($A124*MIN(D$6,$B$11)))^2)+IF(OR(E$7="",E$8=0),0,E$8*(E$7-J$16*(1-$A124)*(1-(1-$A124)^MIN(E$6,$B$11))/($A124*MIN(E$6,$B$11)))^2)</f>
        <v/>
      </c>
      <c r="K124" s="27">
        <f>IF(OR(B$7="",B$8=0),0,B$8*(B$7-K$16*(1-$A124)*(1-(1-$A124)^MIN(B$6,$B$11))/($A124*MIN(B$6,$B$11)))^2)+IF(OR(C$7="",C$8=0),0,C$8*(C$7-K$16*(1-$A124)*(1-(1-$A124)^MIN(C$6,$B$11))/($A124*MIN(C$6,$B$11)))^2)+IF(OR(D$7="",D$8=0),0,D$8*(D$7-K$16*(1-$A124)*(1-(1-$A124)^MIN(D$6,$B$11))/($A124*MIN(D$6,$B$11)))^2)+IF(OR(E$7="",E$8=0),0,E$8*(E$7-K$16*(1-$A124)*(1-(1-$A124)^MIN(E$6,$B$11))/($A124*MIN(E$6,$B$11)))^2)</f>
        <v/>
      </c>
      <c r="L124" s="27">
        <f>IF(OR(B$7="",B$8=0),0,B$8*(B$7-L$16*(1-$A124)*(1-(1-$A124)^MIN(B$6,$B$11))/($A124*MIN(B$6,$B$11)))^2)+IF(OR(C$7="",C$8=0),0,C$8*(C$7-L$16*(1-$A124)*(1-(1-$A124)^MIN(C$6,$B$11))/($A124*MIN(C$6,$B$11)))^2)+IF(OR(D$7="",D$8=0),0,D$8*(D$7-L$16*(1-$A124)*(1-(1-$A124)^MIN(D$6,$B$11))/($A124*MIN(D$6,$B$11)))^2)+IF(OR(E$7="",E$8=0),0,E$8*(E$7-L$16*(1-$A124)*(1-(1-$A124)^MIN(E$6,$B$11))/($A124*MIN(E$6,$B$11)))^2)</f>
        <v/>
      </c>
      <c r="M124" s="27">
        <f>IF(OR(B$7="",B$8=0),0,B$8*(B$7-M$16*(1-$A124)*(1-(1-$A124)^MIN(B$6,$B$11))/($A124*MIN(B$6,$B$11)))^2)+IF(OR(C$7="",C$8=0),0,C$8*(C$7-M$16*(1-$A124)*(1-(1-$A124)^MIN(C$6,$B$11))/($A124*MIN(C$6,$B$11)))^2)+IF(OR(D$7="",D$8=0),0,D$8*(D$7-M$16*(1-$A124)*(1-(1-$A124)^MIN(D$6,$B$11))/($A124*MIN(D$6,$B$11)))^2)+IF(OR(E$7="",E$8=0),0,E$8*(E$7-M$16*(1-$A124)*(1-(1-$A124)^MIN(E$6,$B$11))/($A124*MIN(E$6,$B$11)))^2)</f>
        <v/>
      </c>
      <c r="N124" s="27">
        <f>IF(OR(B$7="",B$8=0),0,B$8*(B$7-N$16*(1-$A124)*(1-(1-$A124)^MIN(B$6,$B$11))/($A124*MIN(B$6,$B$11)))^2)+IF(OR(C$7="",C$8=0),0,C$8*(C$7-N$16*(1-$A124)*(1-(1-$A124)^MIN(C$6,$B$11))/($A124*MIN(C$6,$B$11)))^2)+IF(OR(D$7="",D$8=0),0,D$8*(D$7-N$16*(1-$A124)*(1-(1-$A124)^MIN(D$6,$B$11))/($A124*MIN(D$6,$B$11)))^2)+IF(OR(E$7="",E$8=0),0,E$8*(E$7-N$16*(1-$A124)*(1-(1-$A124)^MIN(E$6,$B$11))/($A124*MIN(E$6,$B$11)))^2)</f>
        <v/>
      </c>
      <c r="O124" s="27">
        <f>IF(OR(B$7="",B$8=0),0,B$8*(B$7-O$16*(1-$A124)*(1-(1-$A124)^MIN(B$6,$B$11))/($A124*MIN(B$6,$B$11)))^2)+IF(OR(C$7="",C$8=0),0,C$8*(C$7-O$16*(1-$A124)*(1-(1-$A124)^MIN(C$6,$B$11))/($A124*MIN(C$6,$B$11)))^2)+IF(OR(D$7="",D$8=0),0,D$8*(D$7-O$16*(1-$A124)*(1-(1-$A124)^MIN(D$6,$B$11))/($A124*MIN(D$6,$B$11)))^2)+IF(OR(E$7="",E$8=0),0,E$8*(E$7-O$16*(1-$A124)*(1-(1-$A124)^MIN(E$6,$B$11))/($A124*MIN(E$6,$B$11)))^2)</f>
        <v/>
      </c>
      <c r="P124" s="27">
        <f>IF(OR(B$7="",B$8=0),0,B$8*(B$7-P$16*(1-$A124)*(1-(1-$A124)^MIN(B$6,$B$11))/($A124*MIN(B$6,$B$11)))^2)+IF(OR(C$7="",C$8=0),0,C$8*(C$7-P$16*(1-$A124)*(1-(1-$A124)^MIN(C$6,$B$11))/($A124*MIN(C$6,$B$11)))^2)+IF(OR(D$7="",D$8=0),0,D$8*(D$7-P$16*(1-$A124)*(1-(1-$A124)^MIN(D$6,$B$11))/($A124*MIN(D$6,$B$11)))^2)+IF(OR(E$7="",E$8=0),0,E$8*(E$7-P$16*(1-$A124)*(1-(1-$A124)^MIN(E$6,$B$11))/($A124*MIN(E$6,$B$11)))^2)</f>
        <v/>
      </c>
      <c r="Q124" s="27">
        <f>IF(OR(B$7="",B$8=0),0,B$8*(B$7-Q$16*(1-$A124)*(1-(1-$A124)^MIN(B$6,$B$11))/($A124*MIN(B$6,$B$11)))^2)+IF(OR(C$7="",C$8=0),0,C$8*(C$7-Q$16*(1-$A124)*(1-(1-$A124)^MIN(C$6,$B$11))/($A124*MIN(C$6,$B$11)))^2)+IF(OR(D$7="",D$8=0),0,D$8*(D$7-Q$16*(1-$A124)*(1-(1-$A124)^MIN(D$6,$B$11))/($A124*MIN(D$6,$B$11)))^2)+IF(OR(E$7="",E$8=0),0,E$8*(E$7-Q$16*(1-$A124)*(1-(1-$A124)^MIN(E$6,$B$11))/($A124*MIN(E$6,$B$11)))^2)</f>
        <v/>
      </c>
      <c r="R124" s="27">
        <f>IF(OR(B$7="",B$8=0),0,B$8*(B$7-R$16*(1-$A124)*(1-(1-$A124)^MIN(B$6,$B$11))/($A124*MIN(B$6,$B$11)))^2)+IF(OR(C$7="",C$8=0),0,C$8*(C$7-R$16*(1-$A124)*(1-(1-$A124)^MIN(C$6,$B$11))/($A124*MIN(C$6,$B$11)))^2)+IF(OR(D$7="",D$8=0),0,D$8*(D$7-R$16*(1-$A124)*(1-(1-$A124)^MIN(D$6,$B$11))/($A124*MIN(D$6,$B$11)))^2)+IF(OR(E$7="",E$8=0),0,E$8*(E$7-R$16*(1-$A124)*(1-(1-$A124)^MIN(E$6,$B$11))/($A124*MIN(E$6,$B$11)))^2)</f>
        <v/>
      </c>
      <c r="S124" s="27">
        <f>IF(OR(B$7="",B$8=0),0,B$8*(B$7-S$16*(1-$A124)*(1-(1-$A124)^MIN(B$6,$B$11))/($A124*MIN(B$6,$B$11)))^2)+IF(OR(C$7="",C$8=0),0,C$8*(C$7-S$16*(1-$A124)*(1-(1-$A124)^MIN(C$6,$B$11))/($A124*MIN(C$6,$B$11)))^2)+IF(OR(D$7="",D$8=0),0,D$8*(D$7-S$16*(1-$A124)*(1-(1-$A124)^MIN(D$6,$B$11))/($A124*MIN(D$6,$B$11)))^2)+IF(OR(E$7="",E$8=0),0,E$8*(E$7-S$16*(1-$A124)*(1-(1-$A124)^MIN(E$6,$B$11))/($A124*MIN(E$6,$B$11)))^2)</f>
        <v/>
      </c>
      <c r="U124" s="27">
        <f>MIN(B124:S124)</f>
        <v/>
      </c>
      <c r="V124" s="17">
        <f>MATCH(U124,B124:S124,0)</f>
        <v/>
      </c>
    </row>
    <row r="125">
      <c r="A125" s="26" t="n">
        <v>0.059</v>
      </c>
      <c r="B125" s="27">
        <f>IF(OR(B$7="",B$8=0),0,B$8*(B$7-B$16*(1-$A125)*(1-(1-$A125)^MIN(B$6,$B$11))/($A125*MIN(B$6,$B$11)))^2)+IF(OR(C$7="",C$8=0),0,C$8*(C$7-B$16*(1-$A125)*(1-(1-$A125)^MIN(C$6,$B$11))/($A125*MIN(C$6,$B$11)))^2)+IF(OR(D$7="",D$8=0),0,D$8*(D$7-B$16*(1-$A125)*(1-(1-$A125)^MIN(D$6,$B$11))/($A125*MIN(D$6,$B$11)))^2)+IF(OR(E$7="",E$8=0),0,E$8*(E$7-B$16*(1-$A125)*(1-(1-$A125)^MIN(E$6,$B$11))/($A125*MIN(E$6,$B$11)))^2)</f>
        <v/>
      </c>
      <c r="C125" s="27">
        <f>IF(OR(B$7="",B$8=0),0,B$8*(B$7-C$16*(1-$A125)*(1-(1-$A125)^MIN(B$6,$B$11))/($A125*MIN(B$6,$B$11)))^2)+IF(OR(C$7="",C$8=0),0,C$8*(C$7-C$16*(1-$A125)*(1-(1-$A125)^MIN(C$6,$B$11))/($A125*MIN(C$6,$B$11)))^2)+IF(OR(D$7="",D$8=0),0,D$8*(D$7-C$16*(1-$A125)*(1-(1-$A125)^MIN(D$6,$B$11))/($A125*MIN(D$6,$B$11)))^2)+IF(OR(E$7="",E$8=0),0,E$8*(E$7-C$16*(1-$A125)*(1-(1-$A125)^MIN(E$6,$B$11))/($A125*MIN(E$6,$B$11)))^2)</f>
        <v/>
      </c>
      <c r="D125" s="27">
        <f>IF(OR(B$7="",B$8=0),0,B$8*(B$7-D$16*(1-$A125)*(1-(1-$A125)^MIN(B$6,$B$11))/($A125*MIN(B$6,$B$11)))^2)+IF(OR(C$7="",C$8=0),0,C$8*(C$7-D$16*(1-$A125)*(1-(1-$A125)^MIN(C$6,$B$11))/($A125*MIN(C$6,$B$11)))^2)+IF(OR(D$7="",D$8=0),0,D$8*(D$7-D$16*(1-$A125)*(1-(1-$A125)^MIN(D$6,$B$11))/($A125*MIN(D$6,$B$11)))^2)+IF(OR(E$7="",E$8=0),0,E$8*(E$7-D$16*(1-$A125)*(1-(1-$A125)^MIN(E$6,$B$11))/($A125*MIN(E$6,$B$11)))^2)</f>
        <v/>
      </c>
      <c r="E125" s="27">
        <f>IF(OR(B$7="",B$8=0),0,B$8*(B$7-E$16*(1-$A125)*(1-(1-$A125)^MIN(B$6,$B$11))/($A125*MIN(B$6,$B$11)))^2)+IF(OR(C$7="",C$8=0),0,C$8*(C$7-E$16*(1-$A125)*(1-(1-$A125)^MIN(C$6,$B$11))/($A125*MIN(C$6,$B$11)))^2)+IF(OR(D$7="",D$8=0),0,D$8*(D$7-E$16*(1-$A125)*(1-(1-$A125)^MIN(D$6,$B$11))/($A125*MIN(D$6,$B$11)))^2)+IF(OR(E$7="",E$8=0),0,E$8*(E$7-E$16*(1-$A125)*(1-(1-$A125)^MIN(E$6,$B$11))/($A125*MIN(E$6,$B$11)))^2)</f>
        <v/>
      </c>
      <c r="F125" s="27">
        <f>IF(OR(B$7="",B$8=0),0,B$8*(B$7-F$16*(1-$A125)*(1-(1-$A125)^MIN(B$6,$B$11))/($A125*MIN(B$6,$B$11)))^2)+IF(OR(C$7="",C$8=0),0,C$8*(C$7-F$16*(1-$A125)*(1-(1-$A125)^MIN(C$6,$B$11))/($A125*MIN(C$6,$B$11)))^2)+IF(OR(D$7="",D$8=0),0,D$8*(D$7-F$16*(1-$A125)*(1-(1-$A125)^MIN(D$6,$B$11))/($A125*MIN(D$6,$B$11)))^2)+IF(OR(E$7="",E$8=0),0,E$8*(E$7-F$16*(1-$A125)*(1-(1-$A125)^MIN(E$6,$B$11))/($A125*MIN(E$6,$B$11)))^2)</f>
        <v/>
      </c>
      <c r="G125" s="27">
        <f>IF(OR(B$7="",B$8=0),0,B$8*(B$7-G$16*(1-$A125)*(1-(1-$A125)^MIN(B$6,$B$11))/($A125*MIN(B$6,$B$11)))^2)+IF(OR(C$7="",C$8=0),0,C$8*(C$7-G$16*(1-$A125)*(1-(1-$A125)^MIN(C$6,$B$11))/($A125*MIN(C$6,$B$11)))^2)+IF(OR(D$7="",D$8=0),0,D$8*(D$7-G$16*(1-$A125)*(1-(1-$A125)^MIN(D$6,$B$11))/($A125*MIN(D$6,$B$11)))^2)+IF(OR(E$7="",E$8=0),0,E$8*(E$7-G$16*(1-$A125)*(1-(1-$A125)^MIN(E$6,$B$11))/($A125*MIN(E$6,$B$11)))^2)</f>
        <v/>
      </c>
      <c r="H125" s="27">
        <f>IF(OR(B$7="",B$8=0),0,B$8*(B$7-H$16*(1-$A125)*(1-(1-$A125)^MIN(B$6,$B$11))/($A125*MIN(B$6,$B$11)))^2)+IF(OR(C$7="",C$8=0),0,C$8*(C$7-H$16*(1-$A125)*(1-(1-$A125)^MIN(C$6,$B$11))/($A125*MIN(C$6,$B$11)))^2)+IF(OR(D$7="",D$8=0),0,D$8*(D$7-H$16*(1-$A125)*(1-(1-$A125)^MIN(D$6,$B$11))/($A125*MIN(D$6,$B$11)))^2)+IF(OR(E$7="",E$8=0),0,E$8*(E$7-H$16*(1-$A125)*(1-(1-$A125)^MIN(E$6,$B$11))/($A125*MIN(E$6,$B$11)))^2)</f>
        <v/>
      </c>
      <c r="I125" s="27">
        <f>IF(OR(B$7="",B$8=0),0,B$8*(B$7-I$16*(1-$A125)*(1-(1-$A125)^MIN(B$6,$B$11))/($A125*MIN(B$6,$B$11)))^2)+IF(OR(C$7="",C$8=0),0,C$8*(C$7-I$16*(1-$A125)*(1-(1-$A125)^MIN(C$6,$B$11))/($A125*MIN(C$6,$B$11)))^2)+IF(OR(D$7="",D$8=0),0,D$8*(D$7-I$16*(1-$A125)*(1-(1-$A125)^MIN(D$6,$B$11))/($A125*MIN(D$6,$B$11)))^2)+IF(OR(E$7="",E$8=0),0,E$8*(E$7-I$16*(1-$A125)*(1-(1-$A125)^MIN(E$6,$B$11))/($A125*MIN(E$6,$B$11)))^2)</f>
        <v/>
      </c>
      <c r="J125" s="27">
        <f>IF(OR(B$7="",B$8=0),0,B$8*(B$7-J$16*(1-$A125)*(1-(1-$A125)^MIN(B$6,$B$11))/($A125*MIN(B$6,$B$11)))^2)+IF(OR(C$7="",C$8=0),0,C$8*(C$7-J$16*(1-$A125)*(1-(1-$A125)^MIN(C$6,$B$11))/($A125*MIN(C$6,$B$11)))^2)+IF(OR(D$7="",D$8=0),0,D$8*(D$7-J$16*(1-$A125)*(1-(1-$A125)^MIN(D$6,$B$11))/($A125*MIN(D$6,$B$11)))^2)+IF(OR(E$7="",E$8=0),0,E$8*(E$7-J$16*(1-$A125)*(1-(1-$A125)^MIN(E$6,$B$11))/($A125*MIN(E$6,$B$11)))^2)</f>
        <v/>
      </c>
      <c r="K125" s="27">
        <f>IF(OR(B$7="",B$8=0),0,B$8*(B$7-K$16*(1-$A125)*(1-(1-$A125)^MIN(B$6,$B$11))/($A125*MIN(B$6,$B$11)))^2)+IF(OR(C$7="",C$8=0),0,C$8*(C$7-K$16*(1-$A125)*(1-(1-$A125)^MIN(C$6,$B$11))/($A125*MIN(C$6,$B$11)))^2)+IF(OR(D$7="",D$8=0),0,D$8*(D$7-K$16*(1-$A125)*(1-(1-$A125)^MIN(D$6,$B$11))/($A125*MIN(D$6,$B$11)))^2)+IF(OR(E$7="",E$8=0),0,E$8*(E$7-K$16*(1-$A125)*(1-(1-$A125)^MIN(E$6,$B$11))/($A125*MIN(E$6,$B$11)))^2)</f>
        <v/>
      </c>
      <c r="L125" s="27">
        <f>IF(OR(B$7="",B$8=0),0,B$8*(B$7-L$16*(1-$A125)*(1-(1-$A125)^MIN(B$6,$B$11))/($A125*MIN(B$6,$B$11)))^2)+IF(OR(C$7="",C$8=0),0,C$8*(C$7-L$16*(1-$A125)*(1-(1-$A125)^MIN(C$6,$B$11))/($A125*MIN(C$6,$B$11)))^2)+IF(OR(D$7="",D$8=0),0,D$8*(D$7-L$16*(1-$A125)*(1-(1-$A125)^MIN(D$6,$B$11))/($A125*MIN(D$6,$B$11)))^2)+IF(OR(E$7="",E$8=0),0,E$8*(E$7-L$16*(1-$A125)*(1-(1-$A125)^MIN(E$6,$B$11))/($A125*MIN(E$6,$B$11)))^2)</f>
        <v/>
      </c>
      <c r="M125" s="27">
        <f>IF(OR(B$7="",B$8=0),0,B$8*(B$7-M$16*(1-$A125)*(1-(1-$A125)^MIN(B$6,$B$11))/($A125*MIN(B$6,$B$11)))^2)+IF(OR(C$7="",C$8=0),0,C$8*(C$7-M$16*(1-$A125)*(1-(1-$A125)^MIN(C$6,$B$11))/($A125*MIN(C$6,$B$11)))^2)+IF(OR(D$7="",D$8=0),0,D$8*(D$7-M$16*(1-$A125)*(1-(1-$A125)^MIN(D$6,$B$11))/($A125*MIN(D$6,$B$11)))^2)+IF(OR(E$7="",E$8=0),0,E$8*(E$7-M$16*(1-$A125)*(1-(1-$A125)^MIN(E$6,$B$11))/($A125*MIN(E$6,$B$11)))^2)</f>
        <v/>
      </c>
      <c r="N125" s="27">
        <f>IF(OR(B$7="",B$8=0),0,B$8*(B$7-N$16*(1-$A125)*(1-(1-$A125)^MIN(B$6,$B$11))/($A125*MIN(B$6,$B$11)))^2)+IF(OR(C$7="",C$8=0),0,C$8*(C$7-N$16*(1-$A125)*(1-(1-$A125)^MIN(C$6,$B$11))/($A125*MIN(C$6,$B$11)))^2)+IF(OR(D$7="",D$8=0),0,D$8*(D$7-N$16*(1-$A125)*(1-(1-$A125)^MIN(D$6,$B$11))/($A125*MIN(D$6,$B$11)))^2)+IF(OR(E$7="",E$8=0),0,E$8*(E$7-N$16*(1-$A125)*(1-(1-$A125)^MIN(E$6,$B$11))/($A125*MIN(E$6,$B$11)))^2)</f>
        <v/>
      </c>
      <c r="O125" s="27">
        <f>IF(OR(B$7="",B$8=0),0,B$8*(B$7-O$16*(1-$A125)*(1-(1-$A125)^MIN(B$6,$B$11))/($A125*MIN(B$6,$B$11)))^2)+IF(OR(C$7="",C$8=0),0,C$8*(C$7-O$16*(1-$A125)*(1-(1-$A125)^MIN(C$6,$B$11))/($A125*MIN(C$6,$B$11)))^2)+IF(OR(D$7="",D$8=0),0,D$8*(D$7-O$16*(1-$A125)*(1-(1-$A125)^MIN(D$6,$B$11))/($A125*MIN(D$6,$B$11)))^2)+IF(OR(E$7="",E$8=0),0,E$8*(E$7-O$16*(1-$A125)*(1-(1-$A125)^MIN(E$6,$B$11))/($A125*MIN(E$6,$B$11)))^2)</f>
        <v/>
      </c>
      <c r="P125" s="27">
        <f>IF(OR(B$7="",B$8=0),0,B$8*(B$7-P$16*(1-$A125)*(1-(1-$A125)^MIN(B$6,$B$11))/($A125*MIN(B$6,$B$11)))^2)+IF(OR(C$7="",C$8=0),0,C$8*(C$7-P$16*(1-$A125)*(1-(1-$A125)^MIN(C$6,$B$11))/($A125*MIN(C$6,$B$11)))^2)+IF(OR(D$7="",D$8=0),0,D$8*(D$7-P$16*(1-$A125)*(1-(1-$A125)^MIN(D$6,$B$11))/($A125*MIN(D$6,$B$11)))^2)+IF(OR(E$7="",E$8=0),0,E$8*(E$7-P$16*(1-$A125)*(1-(1-$A125)^MIN(E$6,$B$11))/($A125*MIN(E$6,$B$11)))^2)</f>
        <v/>
      </c>
      <c r="Q125" s="27">
        <f>IF(OR(B$7="",B$8=0),0,B$8*(B$7-Q$16*(1-$A125)*(1-(1-$A125)^MIN(B$6,$B$11))/($A125*MIN(B$6,$B$11)))^2)+IF(OR(C$7="",C$8=0),0,C$8*(C$7-Q$16*(1-$A125)*(1-(1-$A125)^MIN(C$6,$B$11))/($A125*MIN(C$6,$B$11)))^2)+IF(OR(D$7="",D$8=0),0,D$8*(D$7-Q$16*(1-$A125)*(1-(1-$A125)^MIN(D$6,$B$11))/($A125*MIN(D$6,$B$11)))^2)+IF(OR(E$7="",E$8=0),0,E$8*(E$7-Q$16*(1-$A125)*(1-(1-$A125)^MIN(E$6,$B$11))/($A125*MIN(E$6,$B$11)))^2)</f>
        <v/>
      </c>
      <c r="R125" s="27">
        <f>IF(OR(B$7="",B$8=0),0,B$8*(B$7-R$16*(1-$A125)*(1-(1-$A125)^MIN(B$6,$B$11))/($A125*MIN(B$6,$B$11)))^2)+IF(OR(C$7="",C$8=0),0,C$8*(C$7-R$16*(1-$A125)*(1-(1-$A125)^MIN(C$6,$B$11))/($A125*MIN(C$6,$B$11)))^2)+IF(OR(D$7="",D$8=0),0,D$8*(D$7-R$16*(1-$A125)*(1-(1-$A125)^MIN(D$6,$B$11))/($A125*MIN(D$6,$B$11)))^2)+IF(OR(E$7="",E$8=0),0,E$8*(E$7-R$16*(1-$A125)*(1-(1-$A125)^MIN(E$6,$B$11))/($A125*MIN(E$6,$B$11)))^2)</f>
        <v/>
      </c>
      <c r="S125" s="27">
        <f>IF(OR(B$7="",B$8=0),0,B$8*(B$7-S$16*(1-$A125)*(1-(1-$A125)^MIN(B$6,$B$11))/($A125*MIN(B$6,$B$11)))^2)+IF(OR(C$7="",C$8=0),0,C$8*(C$7-S$16*(1-$A125)*(1-(1-$A125)^MIN(C$6,$B$11))/($A125*MIN(C$6,$B$11)))^2)+IF(OR(D$7="",D$8=0),0,D$8*(D$7-S$16*(1-$A125)*(1-(1-$A125)^MIN(D$6,$B$11))/($A125*MIN(D$6,$B$11)))^2)+IF(OR(E$7="",E$8=0),0,E$8*(E$7-S$16*(1-$A125)*(1-(1-$A125)^MIN(E$6,$B$11))/($A125*MIN(E$6,$B$11)))^2)</f>
        <v/>
      </c>
      <c r="U125" s="27">
        <f>MIN(B125:S125)</f>
        <v/>
      </c>
      <c r="V125" s="17">
        <f>MATCH(U125,B125:S125,0)</f>
        <v/>
      </c>
    </row>
    <row r="126">
      <c r="A126" s="26" t="n">
        <v>0.0595</v>
      </c>
      <c r="B126" s="27">
        <f>IF(OR(B$7="",B$8=0),0,B$8*(B$7-B$16*(1-$A126)*(1-(1-$A126)^MIN(B$6,$B$11))/($A126*MIN(B$6,$B$11)))^2)+IF(OR(C$7="",C$8=0),0,C$8*(C$7-B$16*(1-$A126)*(1-(1-$A126)^MIN(C$6,$B$11))/($A126*MIN(C$6,$B$11)))^2)+IF(OR(D$7="",D$8=0),0,D$8*(D$7-B$16*(1-$A126)*(1-(1-$A126)^MIN(D$6,$B$11))/($A126*MIN(D$6,$B$11)))^2)+IF(OR(E$7="",E$8=0),0,E$8*(E$7-B$16*(1-$A126)*(1-(1-$A126)^MIN(E$6,$B$11))/($A126*MIN(E$6,$B$11)))^2)</f>
        <v/>
      </c>
      <c r="C126" s="27">
        <f>IF(OR(B$7="",B$8=0),0,B$8*(B$7-C$16*(1-$A126)*(1-(1-$A126)^MIN(B$6,$B$11))/($A126*MIN(B$6,$B$11)))^2)+IF(OR(C$7="",C$8=0),0,C$8*(C$7-C$16*(1-$A126)*(1-(1-$A126)^MIN(C$6,$B$11))/($A126*MIN(C$6,$B$11)))^2)+IF(OR(D$7="",D$8=0),0,D$8*(D$7-C$16*(1-$A126)*(1-(1-$A126)^MIN(D$6,$B$11))/($A126*MIN(D$6,$B$11)))^2)+IF(OR(E$7="",E$8=0),0,E$8*(E$7-C$16*(1-$A126)*(1-(1-$A126)^MIN(E$6,$B$11))/($A126*MIN(E$6,$B$11)))^2)</f>
        <v/>
      </c>
      <c r="D126" s="27">
        <f>IF(OR(B$7="",B$8=0),0,B$8*(B$7-D$16*(1-$A126)*(1-(1-$A126)^MIN(B$6,$B$11))/($A126*MIN(B$6,$B$11)))^2)+IF(OR(C$7="",C$8=0),0,C$8*(C$7-D$16*(1-$A126)*(1-(1-$A126)^MIN(C$6,$B$11))/($A126*MIN(C$6,$B$11)))^2)+IF(OR(D$7="",D$8=0),0,D$8*(D$7-D$16*(1-$A126)*(1-(1-$A126)^MIN(D$6,$B$11))/($A126*MIN(D$6,$B$11)))^2)+IF(OR(E$7="",E$8=0),0,E$8*(E$7-D$16*(1-$A126)*(1-(1-$A126)^MIN(E$6,$B$11))/($A126*MIN(E$6,$B$11)))^2)</f>
        <v/>
      </c>
      <c r="E126" s="27">
        <f>IF(OR(B$7="",B$8=0),0,B$8*(B$7-E$16*(1-$A126)*(1-(1-$A126)^MIN(B$6,$B$11))/($A126*MIN(B$6,$B$11)))^2)+IF(OR(C$7="",C$8=0),0,C$8*(C$7-E$16*(1-$A126)*(1-(1-$A126)^MIN(C$6,$B$11))/($A126*MIN(C$6,$B$11)))^2)+IF(OR(D$7="",D$8=0),0,D$8*(D$7-E$16*(1-$A126)*(1-(1-$A126)^MIN(D$6,$B$11))/($A126*MIN(D$6,$B$11)))^2)+IF(OR(E$7="",E$8=0),0,E$8*(E$7-E$16*(1-$A126)*(1-(1-$A126)^MIN(E$6,$B$11))/($A126*MIN(E$6,$B$11)))^2)</f>
        <v/>
      </c>
      <c r="F126" s="27">
        <f>IF(OR(B$7="",B$8=0),0,B$8*(B$7-F$16*(1-$A126)*(1-(1-$A126)^MIN(B$6,$B$11))/($A126*MIN(B$6,$B$11)))^2)+IF(OR(C$7="",C$8=0),0,C$8*(C$7-F$16*(1-$A126)*(1-(1-$A126)^MIN(C$6,$B$11))/($A126*MIN(C$6,$B$11)))^2)+IF(OR(D$7="",D$8=0),0,D$8*(D$7-F$16*(1-$A126)*(1-(1-$A126)^MIN(D$6,$B$11))/($A126*MIN(D$6,$B$11)))^2)+IF(OR(E$7="",E$8=0),0,E$8*(E$7-F$16*(1-$A126)*(1-(1-$A126)^MIN(E$6,$B$11))/($A126*MIN(E$6,$B$11)))^2)</f>
        <v/>
      </c>
      <c r="G126" s="27">
        <f>IF(OR(B$7="",B$8=0),0,B$8*(B$7-G$16*(1-$A126)*(1-(1-$A126)^MIN(B$6,$B$11))/($A126*MIN(B$6,$B$11)))^2)+IF(OR(C$7="",C$8=0),0,C$8*(C$7-G$16*(1-$A126)*(1-(1-$A126)^MIN(C$6,$B$11))/($A126*MIN(C$6,$B$11)))^2)+IF(OR(D$7="",D$8=0),0,D$8*(D$7-G$16*(1-$A126)*(1-(1-$A126)^MIN(D$6,$B$11))/($A126*MIN(D$6,$B$11)))^2)+IF(OR(E$7="",E$8=0),0,E$8*(E$7-G$16*(1-$A126)*(1-(1-$A126)^MIN(E$6,$B$11))/($A126*MIN(E$6,$B$11)))^2)</f>
        <v/>
      </c>
      <c r="H126" s="27">
        <f>IF(OR(B$7="",B$8=0),0,B$8*(B$7-H$16*(1-$A126)*(1-(1-$A126)^MIN(B$6,$B$11))/($A126*MIN(B$6,$B$11)))^2)+IF(OR(C$7="",C$8=0),0,C$8*(C$7-H$16*(1-$A126)*(1-(1-$A126)^MIN(C$6,$B$11))/($A126*MIN(C$6,$B$11)))^2)+IF(OR(D$7="",D$8=0),0,D$8*(D$7-H$16*(1-$A126)*(1-(1-$A126)^MIN(D$6,$B$11))/($A126*MIN(D$6,$B$11)))^2)+IF(OR(E$7="",E$8=0),0,E$8*(E$7-H$16*(1-$A126)*(1-(1-$A126)^MIN(E$6,$B$11))/($A126*MIN(E$6,$B$11)))^2)</f>
        <v/>
      </c>
      <c r="I126" s="27">
        <f>IF(OR(B$7="",B$8=0),0,B$8*(B$7-I$16*(1-$A126)*(1-(1-$A126)^MIN(B$6,$B$11))/($A126*MIN(B$6,$B$11)))^2)+IF(OR(C$7="",C$8=0),0,C$8*(C$7-I$16*(1-$A126)*(1-(1-$A126)^MIN(C$6,$B$11))/($A126*MIN(C$6,$B$11)))^2)+IF(OR(D$7="",D$8=0),0,D$8*(D$7-I$16*(1-$A126)*(1-(1-$A126)^MIN(D$6,$B$11))/($A126*MIN(D$6,$B$11)))^2)+IF(OR(E$7="",E$8=0),0,E$8*(E$7-I$16*(1-$A126)*(1-(1-$A126)^MIN(E$6,$B$11))/($A126*MIN(E$6,$B$11)))^2)</f>
        <v/>
      </c>
      <c r="J126" s="27">
        <f>IF(OR(B$7="",B$8=0),0,B$8*(B$7-J$16*(1-$A126)*(1-(1-$A126)^MIN(B$6,$B$11))/($A126*MIN(B$6,$B$11)))^2)+IF(OR(C$7="",C$8=0),0,C$8*(C$7-J$16*(1-$A126)*(1-(1-$A126)^MIN(C$6,$B$11))/($A126*MIN(C$6,$B$11)))^2)+IF(OR(D$7="",D$8=0),0,D$8*(D$7-J$16*(1-$A126)*(1-(1-$A126)^MIN(D$6,$B$11))/($A126*MIN(D$6,$B$11)))^2)+IF(OR(E$7="",E$8=0),0,E$8*(E$7-J$16*(1-$A126)*(1-(1-$A126)^MIN(E$6,$B$11))/($A126*MIN(E$6,$B$11)))^2)</f>
        <v/>
      </c>
      <c r="K126" s="27">
        <f>IF(OR(B$7="",B$8=0),0,B$8*(B$7-K$16*(1-$A126)*(1-(1-$A126)^MIN(B$6,$B$11))/($A126*MIN(B$6,$B$11)))^2)+IF(OR(C$7="",C$8=0),0,C$8*(C$7-K$16*(1-$A126)*(1-(1-$A126)^MIN(C$6,$B$11))/($A126*MIN(C$6,$B$11)))^2)+IF(OR(D$7="",D$8=0),0,D$8*(D$7-K$16*(1-$A126)*(1-(1-$A126)^MIN(D$6,$B$11))/($A126*MIN(D$6,$B$11)))^2)+IF(OR(E$7="",E$8=0),0,E$8*(E$7-K$16*(1-$A126)*(1-(1-$A126)^MIN(E$6,$B$11))/($A126*MIN(E$6,$B$11)))^2)</f>
        <v/>
      </c>
      <c r="L126" s="27">
        <f>IF(OR(B$7="",B$8=0),0,B$8*(B$7-L$16*(1-$A126)*(1-(1-$A126)^MIN(B$6,$B$11))/($A126*MIN(B$6,$B$11)))^2)+IF(OR(C$7="",C$8=0),0,C$8*(C$7-L$16*(1-$A126)*(1-(1-$A126)^MIN(C$6,$B$11))/($A126*MIN(C$6,$B$11)))^2)+IF(OR(D$7="",D$8=0),0,D$8*(D$7-L$16*(1-$A126)*(1-(1-$A126)^MIN(D$6,$B$11))/($A126*MIN(D$6,$B$11)))^2)+IF(OR(E$7="",E$8=0),0,E$8*(E$7-L$16*(1-$A126)*(1-(1-$A126)^MIN(E$6,$B$11))/($A126*MIN(E$6,$B$11)))^2)</f>
        <v/>
      </c>
      <c r="M126" s="27">
        <f>IF(OR(B$7="",B$8=0),0,B$8*(B$7-M$16*(1-$A126)*(1-(1-$A126)^MIN(B$6,$B$11))/($A126*MIN(B$6,$B$11)))^2)+IF(OR(C$7="",C$8=0),0,C$8*(C$7-M$16*(1-$A126)*(1-(1-$A126)^MIN(C$6,$B$11))/($A126*MIN(C$6,$B$11)))^2)+IF(OR(D$7="",D$8=0),0,D$8*(D$7-M$16*(1-$A126)*(1-(1-$A126)^MIN(D$6,$B$11))/($A126*MIN(D$6,$B$11)))^2)+IF(OR(E$7="",E$8=0),0,E$8*(E$7-M$16*(1-$A126)*(1-(1-$A126)^MIN(E$6,$B$11))/($A126*MIN(E$6,$B$11)))^2)</f>
        <v/>
      </c>
      <c r="N126" s="27">
        <f>IF(OR(B$7="",B$8=0),0,B$8*(B$7-N$16*(1-$A126)*(1-(1-$A126)^MIN(B$6,$B$11))/($A126*MIN(B$6,$B$11)))^2)+IF(OR(C$7="",C$8=0),0,C$8*(C$7-N$16*(1-$A126)*(1-(1-$A126)^MIN(C$6,$B$11))/($A126*MIN(C$6,$B$11)))^2)+IF(OR(D$7="",D$8=0),0,D$8*(D$7-N$16*(1-$A126)*(1-(1-$A126)^MIN(D$6,$B$11))/($A126*MIN(D$6,$B$11)))^2)+IF(OR(E$7="",E$8=0),0,E$8*(E$7-N$16*(1-$A126)*(1-(1-$A126)^MIN(E$6,$B$11))/($A126*MIN(E$6,$B$11)))^2)</f>
        <v/>
      </c>
      <c r="O126" s="27">
        <f>IF(OR(B$7="",B$8=0),0,B$8*(B$7-O$16*(1-$A126)*(1-(1-$A126)^MIN(B$6,$B$11))/($A126*MIN(B$6,$B$11)))^2)+IF(OR(C$7="",C$8=0),0,C$8*(C$7-O$16*(1-$A126)*(1-(1-$A126)^MIN(C$6,$B$11))/($A126*MIN(C$6,$B$11)))^2)+IF(OR(D$7="",D$8=0),0,D$8*(D$7-O$16*(1-$A126)*(1-(1-$A126)^MIN(D$6,$B$11))/($A126*MIN(D$6,$B$11)))^2)+IF(OR(E$7="",E$8=0),0,E$8*(E$7-O$16*(1-$A126)*(1-(1-$A126)^MIN(E$6,$B$11))/($A126*MIN(E$6,$B$11)))^2)</f>
        <v/>
      </c>
      <c r="P126" s="27">
        <f>IF(OR(B$7="",B$8=0),0,B$8*(B$7-P$16*(1-$A126)*(1-(1-$A126)^MIN(B$6,$B$11))/($A126*MIN(B$6,$B$11)))^2)+IF(OR(C$7="",C$8=0),0,C$8*(C$7-P$16*(1-$A126)*(1-(1-$A126)^MIN(C$6,$B$11))/($A126*MIN(C$6,$B$11)))^2)+IF(OR(D$7="",D$8=0),0,D$8*(D$7-P$16*(1-$A126)*(1-(1-$A126)^MIN(D$6,$B$11))/($A126*MIN(D$6,$B$11)))^2)+IF(OR(E$7="",E$8=0),0,E$8*(E$7-P$16*(1-$A126)*(1-(1-$A126)^MIN(E$6,$B$11))/($A126*MIN(E$6,$B$11)))^2)</f>
        <v/>
      </c>
      <c r="Q126" s="27">
        <f>IF(OR(B$7="",B$8=0),0,B$8*(B$7-Q$16*(1-$A126)*(1-(1-$A126)^MIN(B$6,$B$11))/($A126*MIN(B$6,$B$11)))^2)+IF(OR(C$7="",C$8=0),0,C$8*(C$7-Q$16*(1-$A126)*(1-(1-$A126)^MIN(C$6,$B$11))/($A126*MIN(C$6,$B$11)))^2)+IF(OR(D$7="",D$8=0),0,D$8*(D$7-Q$16*(1-$A126)*(1-(1-$A126)^MIN(D$6,$B$11))/($A126*MIN(D$6,$B$11)))^2)+IF(OR(E$7="",E$8=0),0,E$8*(E$7-Q$16*(1-$A126)*(1-(1-$A126)^MIN(E$6,$B$11))/($A126*MIN(E$6,$B$11)))^2)</f>
        <v/>
      </c>
      <c r="R126" s="27">
        <f>IF(OR(B$7="",B$8=0),0,B$8*(B$7-R$16*(1-$A126)*(1-(1-$A126)^MIN(B$6,$B$11))/($A126*MIN(B$6,$B$11)))^2)+IF(OR(C$7="",C$8=0),0,C$8*(C$7-R$16*(1-$A126)*(1-(1-$A126)^MIN(C$6,$B$11))/($A126*MIN(C$6,$B$11)))^2)+IF(OR(D$7="",D$8=0),0,D$8*(D$7-R$16*(1-$A126)*(1-(1-$A126)^MIN(D$6,$B$11))/($A126*MIN(D$6,$B$11)))^2)+IF(OR(E$7="",E$8=0),0,E$8*(E$7-R$16*(1-$A126)*(1-(1-$A126)^MIN(E$6,$B$11))/($A126*MIN(E$6,$B$11)))^2)</f>
        <v/>
      </c>
      <c r="S126" s="27">
        <f>IF(OR(B$7="",B$8=0),0,B$8*(B$7-S$16*(1-$A126)*(1-(1-$A126)^MIN(B$6,$B$11))/($A126*MIN(B$6,$B$11)))^2)+IF(OR(C$7="",C$8=0),0,C$8*(C$7-S$16*(1-$A126)*(1-(1-$A126)^MIN(C$6,$B$11))/($A126*MIN(C$6,$B$11)))^2)+IF(OR(D$7="",D$8=0),0,D$8*(D$7-S$16*(1-$A126)*(1-(1-$A126)^MIN(D$6,$B$11))/($A126*MIN(D$6,$B$11)))^2)+IF(OR(E$7="",E$8=0),0,E$8*(E$7-S$16*(1-$A126)*(1-(1-$A126)^MIN(E$6,$B$11))/($A126*MIN(E$6,$B$11)))^2)</f>
        <v/>
      </c>
      <c r="U126" s="27">
        <f>MIN(B126:S126)</f>
        <v/>
      </c>
      <c r="V126" s="17">
        <f>MATCH(U126,B126:S126,0)</f>
        <v/>
      </c>
    </row>
    <row r="127">
      <c r="A127" s="26" t="n">
        <v>0.06</v>
      </c>
      <c r="B127" s="27">
        <f>IF(OR(B$7="",B$8=0),0,B$8*(B$7-B$16*(1-$A127)*(1-(1-$A127)^MIN(B$6,$B$11))/($A127*MIN(B$6,$B$11)))^2)+IF(OR(C$7="",C$8=0),0,C$8*(C$7-B$16*(1-$A127)*(1-(1-$A127)^MIN(C$6,$B$11))/($A127*MIN(C$6,$B$11)))^2)+IF(OR(D$7="",D$8=0),0,D$8*(D$7-B$16*(1-$A127)*(1-(1-$A127)^MIN(D$6,$B$11))/($A127*MIN(D$6,$B$11)))^2)+IF(OR(E$7="",E$8=0),0,E$8*(E$7-B$16*(1-$A127)*(1-(1-$A127)^MIN(E$6,$B$11))/($A127*MIN(E$6,$B$11)))^2)</f>
        <v/>
      </c>
      <c r="C127" s="27">
        <f>IF(OR(B$7="",B$8=0),0,B$8*(B$7-C$16*(1-$A127)*(1-(1-$A127)^MIN(B$6,$B$11))/($A127*MIN(B$6,$B$11)))^2)+IF(OR(C$7="",C$8=0),0,C$8*(C$7-C$16*(1-$A127)*(1-(1-$A127)^MIN(C$6,$B$11))/($A127*MIN(C$6,$B$11)))^2)+IF(OR(D$7="",D$8=0),0,D$8*(D$7-C$16*(1-$A127)*(1-(1-$A127)^MIN(D$6,$B$11))/($A127*MIN(D$6,$B$11)))^2)+IF(OR(E$7="",E$8=0),0,E$8*(E$7-C$16*(1-$A127)*(1-(1-$A127)^MIN(E$6,$B$11))/($A127*MIN(E$6,$B$11)))^2)</f>
        <v/>
      </c>
      <c r="D127" s="27">
        <f>IF(OR(B$7="",B$8=0),0,B$8*(B$7-D$16*(1-$A127)*(1-(1-$A127)^MIN(B$6,$B$11))/($A127*MIN(B$6,$B$11)))^2)+IF(OR(C$7="",C$8=0),0,C$8*(C$7-D$16*(1-$A127)*(1-(1-$A127)^MIN(C$6,$B$11))/($A127*MIN(C$6,$B$11)))^2)+IF(OR(D$7="",D$8=0),0,D$8*(D$7-D$16*(1-$A127)*(1-(1-$A127)^MIN(D$6,$B$11))/($A127*MIN(D$6,$B$11)))^2)+IF(OR(E$7="",E$8=0),0,E$8*(E$7-D$16*(1-$A127)*(1-(1-$A127)^MIN(E$6,$B$11))/($A127*MIN(E$6,$B$11)))^2)</f>
        <v/>
      </c>
      <c r="E127" s="27">
        <f>IF(OR(B$7="",B$8=0),0,B$8*(B$7-E$16*(1-$A127)*(1-(1-$A127)^MIN(B$6,$B$11))/($A127*MIN(B$6,$B$11)))^2)+IF(OR(C$7="",C$8=0),0,C$8*(C$7-E$16*(1-$A127)*(1-(1-$A127)^MIN(C$6,$B$11))/($A127*MIN(C$6,$B$11)))^2)+IF(OR(D$7="",D$8=0),0,D$8*(D$7-E$16*(1-$A127)*(1-(1-$A127)^MIN(D$6,$B$11))/($A127*MIN(D$6,$B$11)))^2)+IF(OR(E$7="",E$8=0),0,E$8*(E$7-E$16*(1-$A127)*(1-(1-$A127)^MIN(E$6,$B$11))/($A127*MIN(E$6,$B$11)))^2)</f>
        <v/>
      </c>
      <c r="F127" s="27">
        <f>IF(OR(B$7="",B$8=0),0,B$8*(B$7-F$16*(1-$A127)*(1-(1-$A127)^MIN(B$6,$B$11))/($A127*MIN(B$6,$B$11)))^2)+IF(OR(C$7="",C$8=0),0,C$8*(C$7-F$16*(1-$A127)*(1-(1-$A127)^MIN(C$6,$B$11))/($A127*MIN(C$6,$B$11)))^2)+IF(OR(D$7="",D$8=0),0,D$8*(D$7-F$16*(1-$A127)*(1-(1-$A127)^MIN(D$6,$B$11))/($A127*MIN(D$6,$B$11)))^2)+IF(OR(E$7="",E$8=0),0,E$8*(E$7-F$16*(1-$A127)*(1-(1-$A127)^MIN(E$6,$B$11))/($A127*MIN(E$6,$B$11)))^2)</f>
        <v/>
      </c>
      <c r="G127" s="27">
        <f>IF(OR(B$7="",B$8=0),0,B$8*(B$7-G$16*(1-$A127)*(1-(1-$A127)^MIN(B$6,$B$11))/($A127*MIN(B$6,$B$11)))^2)+IF(OR(C$7="",C$8=0),0,C$8*(C$7-G$16*(1-$A127)*(1-(1-$A127)^MIN(C$6,$B$11))/($A127*MIN(C$6,$B$11)))^2)+IF(OR(D$7="",D$8=0),0,D$8*(D$7-G$16*(1-$A127)*(1-(1-$A127)^MIN(D$6,$B$11))/($A127*MIN(D$6,$B$11)))^2)+IF(OR(E$7="",E$8=0),0,E$8*(E$7-G$16*(1-$A127)*(1-(1-$A127)^MIN(E$6,$B$11))/($A127*MIN(E$6,$B$11)))^2)</f>
        <v/>
      </c>
      <c r="H127" s="27">
        <f>IF(OR(B$7="",B$8=0),0,B$8*(B$7-H$16*(1-$A127)*(1-(1-$A127)^MIN(B$6,$B$11))/($A127*MIN(B$6,$B$11)))^2)+IF(OR(C$7="",C$8=0),0,C$8*(C$7-H$16*(1-$A127)*(1-(1-$A127)^MIN(C$6,$B$11))/($A127*MIN(C$6,$B$11)))^2)+IF(OR(D$7="",D$8=0),0,D$8*(D$7-H$16*(1-$A127)*(1-(1-$A127)^MIN(D$6,$B$11))/($A127*MIN(D$6,$B$11)))^2)+IF(OR(E$7="",E$8=0),0,E$8*(E$7-H$16*(1-$A127)*(1-(1-$A127)^MIN(E$6,$B$11))/($A127*MIN(E$6,$B$11)))^2)</f>
        <v/>
      </c>
      <c r="I127" s="27">
        <f>IF(OR(B$7="",B$8=0),0,B$8*(B$7-I$16*(1-$A127)*(1-(1-$A127)^MIN(B$6,$B$11))/($A127*MIN(B$6,$B$11)))^2)+IF(OR(C$7="",C$8=0),0,C$8*(C$7-I$16*(1-$A127)*(1-(1-$A127)^MIN(C$6,$B$11))/($A127*MIN(C$6,$B$11)))^2)+IF(OR(D$7="",D$8=0),0,D$8*(D$7-I$16*(1-$A127)*(1-(1-$A127)^MIN(D$6,$B$11))/($A127*MIN(D$6,$B$11)))^2)+IF(OR(E$7="",E$8=0),0,E$8*(E$7-I$16*(1-$A127)*(1-(1-$A127)^MIN(E$6,$B$11))/($A127*MIN(E$6,$B$11)))^2)</f>
        <v/>
      </c>
      <c r="J127" s="27">
        <f>IF(OR(B$7="",B$8=0),0,B$8*(B$7-J$16*(1-$A127)*(1-(1-$A127)^MIN(B$6,$B$11))/($A127*MIN(B$6,$B$11)))^2)+IF(OR(C$7="",C$8=0),0,C$8*(C$7-J$16*(1-$A127)*(1-(1-$A127)^MIN(C$6,$B$11))/($A127*MIN(C$6,$B$11)))^2)+IF(OR(D$7="",D$8=0),0,D$8*(D$7-J$16*(1-$A127)*(1-(1-$A127)^MIN(D$6,$B$11))/($A127*MIN(D$6,$B$11)))^2)+IF(OR(E$7="",E$8=0),0,E$8*(E$7-J$16*(1-$A127)*(1-(1-$A127)^MIN(E$6,$B$11))/($A127*MIN(E$6,$B$11)))^2)</f>
        <v/>
      </c>
      <c r="K127" s="27">
        <f>IF(OR(B$7="",B$8=0),0,B$8*(B$7-K$16*(1-$A127)*(1-(1-$A127)^MIN(B$6,$B$11))/($A127*MIN(B$6,$B$11)))^2)+IF(OR(C$7="",C$8=0),0,C$8*(C$7-K$16*(1-$A127)*(1-(1-$A127)^MIN(C$6,$B$11))/($A127*MIN(C$6,$B$11)))^2)+IF(OR(D$7="",D$8=0),0,D$8*(D$7-K$16*(1-$A127)*(1-(1-$A127)^MIN(D$6,$B$11))/($A127*MIN(D$6,$B$11)))^2)+IF(OR(E$7="",E$8=0),0,E$8*(E$7-K$16*(1-$A127)*(1-(1-$A127)^MIN(E$6,$B$11))/($A127*MIN(E$6,$B$11)))^2)</f>
        <v/>
      </c>
      <c r="L127" s="27">
        <f>IF(OR(B$7="",B$8=0),0,B$8*(B$7-L$16*(1-$A127)*(1-(1-$A127)^MIN(B$6,$B$11))/($A127*MIN(B$6,$B$11)))^2)+IF(OR(C$7="",C$8=0),0,C$8*(C$7-L$16*(1-$A127)*(1-(1-$A127)^MIN(C$6,$B$11))/($A127*MIN(C$6,$B$11)))^2)+IF(OR(D$7="",D$8=0),0,D$8*(D$7-L$16*(1-$A127)*(1-(1-$A127)^MIN(D$6,$B$11))/($A127*MIN(D$6,$B$11)))^2)+IF(OR(E$7="",E$8=0),0,E$8*(E$7-L$16*(1-$A127)*(1-(1-$A127)^MIN(E$6,$B$11))/($A127*MIN(E$6,$B$11)))^2)</f>
        <v/>
      </c>
      <c r="M127" s="27">
        <f>IF(OR(B$7="",B$8=0),0,B$8*(B$7-M$16*(1-$A127)*(1-(1-$A127)^MIN(B$6,$B$11))/($A127*MIN(B$6,$B$11)))^2)+IF(OR(C$7="",C$8=0),0,C$8*(C$7-M$16*(1-$A127)*(1-(1-$A127)^MIN(C$6,$B$11))/($A127*MIN(C$6,$B$11)))^2)+IF(OR(D$7="",D$8=0),0,D$8*(D$7-M$16*(1-$A127)*(1-(1-$A127)^MIN(D$6,$B$11))/($A127*MIN(D$6,$B$11)))^2)+IF(OR(E$7="",E$8=0),0,E$8*(E$7-M$16*(1-$A127)*(1-(1-$A127)^MIN(E$6,$B$11))/($A127*MIN(E$6,$B$11)))^2)</f>
        <v/>
      </c>
      <c r="N127" s="27">
        <f>IF(OR(B$7="",B$8=0),0,B$8*(B$7-N$16*(1-$A127)*(1-(1-$A127)^MIN(B$6,$B$11))/($A127*MIN(B$6,$B$11)))^2)+IF(OR(C$7="",C$8=0),0,C$8*(C$7-N$16*(1-$A127)*(1-(1-$A127)^MIN(C$6,$B$11))/($A127*MIN(C$6,$B$11)))^2)+IF(OR(D$7="",D$8=0),0,D$8*(D$7-N$16*(1-$A127)*(1-(1-$A127)^MIN(D$6,$B$11))/($A127*MIN(D$6,$B$11)))^2)+IF(OR(E$7="",E$8=0),0,E$8*(E$7-N$16*(1-$A127)*(1-(1-$A127)^MIN(E$6,$B$11))/($A127*MIN(E$6,$B$11)))^2)</f>
        <v/>
      </c>
      <c r="O127" s="27">
        <f>IF(OR(B$7="",B$8=0),0,B$8*(B$7-O$16*(1-$A127)*(1-(1-$A127)^MIN(B$6,$B$11))/($A127*MIN(B$6,$B$11)))^2)+IF(OR(C$7="",C$8=0),0,C$8*(C$7-O$16*(1-$A127)*(1-(1-$A127)^MIN(C$6,$B$11))/($A127*MIN(C$6,$B$11)))^2)+IF(OR(D$7="",D$8=0),0,D$8*(D$7-O$16*(1-$A127)*(1-(1-$A127)^MIN(D$6,$B$11))/($A127*MIN(D$6,$B$11)))^2)+IF(OR(E$7="",E$8=0),0,E$8*(E$7-O$16*(1-$A127)*(1-(1-$A127)^MIN(E$6,$B$11))/($A127*MIN(E$6,$B$11)))^2)</f>
        <v/>
      </c>
      <c r="P127" s="27">
        <f>IF(OR(B$7="",B$8=0),0,B$8*(B$7-P$16*(1-$A127)*(1-(1-$A127)^MIN(B$6,$B$11))/($A127*MIN(B$6,$B$11)))^2)+IF(OR(C$7="",C$8=0),0,C$8*(C$7-P$16*(1-$A127)*(1-(1-$A127)^MIN(C$6,$B$11))/($A127*MIN(C$6,$B$11)))^2)+IF(OR(D$7="",D$8=0),0,D$8*(D$7-P$16*(1-$A127)*(1-(1-$A127)^MIN(D$6,$B$11))/($A127*MIN(D$6,$B$11)))^2)+IF(OR(E$7="",E$8=0),0,E$8*(E$7-P$16*(1-$A127)*(1-(1-$A127)^MIN(E$6,$B$11))/($A127*MIN(E$6,$B$11)))^2)</f>
        <v/>
      </c>
      <c r="Q127" s="27">
        <f>IF(OR(B$7="",B$8=0),0,B$8*(B$7-Q$16*(1-$A127)*(1-(1-$A127)^MIN(B$6,$B$11))/($A127*MIN(B$6,$B$11)))^2)+IF(OR(C$7="",C$8=0),0,C$8*(C$7-Q$16*(1-$A127)*(1-(1-$A127)^MIN(C$6,$B$11))/($A127*MIN(C$6,$B$11)))^2)+IF(OR(D$7="",D$8=0),0,D$8*(D$7-Q$16*(1-$A127)*(1-(1-$A127)^MIN(D$6,$B$11))/($A127*MIN(D$6,$B$11)))^2)+IF(OR(E$7="",E$8=0),0,E$8*(E$7-Q$16*(1-$A127)*(1-(1-$A127)^MIN(E$6,$B$11))/($A127*MIN(E$6,$B$11)))^2)</f>
        <v/>
      </c>
      <c r="R127" s="27">
        <f>IF(OR(B$7="",B$8=0),0,B$8*(B$7-R$16*(1-$A127)*(1-(1-$A127)^MIN(B$6,$B$11))/($A127*MIN(B$6,$B$11)))^2)+IF(OR(C$7="",C$8=0),0,C$8*(C$7-R$16*(1-$A127)*(1-(1-$A127)^MIN(C$6,$B$11))/($A127*MIN(C$6,$B$11)))^2)+IF(OR(D$7="",D$8=0),0,D$8*(D$7-R$16*(1-$A127)*(1-(1-$A127)^MIN(D$6,$B$11))/($A127*MIN(D$6,$B$11)))^2)+IF(OR(E$7="",E$8=0),0,E$8*(E$7-R$16*(1-$A127)*(1-(1-$A127)^MIN(E$6,$B$11))/($A127*MIN(E$6,$B$11)))^2)</f>
        <v/>
      </c>
      <c r="S127" s="27">
        <f>IF(OR(B$7="",B$8=0),0,B$8*(B$7-S$16*(1-$A127)*(1-(1-$A127)^MIN(B$6,$B$11))/($A127*MIN(B$6,$B$11)))^2)+IF(OR(C$7="",C$8=0),0,C$8*(C$7-S$16*(1-$A127)*(1-(1-$A127)^MIN(C$6,$B$11))/($A127*MIN(C$6,$B$11)))^2)+IF(OR(D$7="",D$8=0),0,D$8*(D$7-S$16*(1-$A127)*(1-(1-$A127)^MIN(D$6,$B$11))/($A127*MIN(D$6,$B$11)))^2)+IF(OR(E$7="",E$8=0),0,E$8*(E$7-S$16*(1-$A127)*(1-(1-$A127)^MIN(E$6,$B$11))/($A127*MIN(E$6,$B$11)))^2)</f>
        <v/>
      </c>
      <c r="U127" s="27">
        <f>MIN(B127:S127)</f>
        <v/>
      </c>
      <c r="V127" s="17">
        <f>MATCH(U127,B127:S127,0)</f>
        <v/>
      </c>
    </row>
    <row r="128">
      <c r="A128" s="26" t="n">
        <v>0.0605</v>
      </c>
      <c r="B128" s="27">
        <f>IF(OR(B$7="",B$8=0),0,B$8*(B$7-B$16*(1-$A128)*(1-(1-$A128)^MIN(B$6,$B$11))/($A128*MIN(B$6,$B$11)))^2)+IF(OR(C$7="",C$8=0),0,C$8*(C$7-B$16*(1-$A128)*(1-(1-$A128)^MIN(C$6,$B$11))/($A128*MIN(C$6,$B$11)))^2)+IF(OR(D$7="",D$8=0),0,D$8*(D$7-B$16*(1-$A128)*(1-(1-$A128)^MIN(D$6,$B$11))/($A128*MIN(D$6,$B$11)))^2)+IF(OR(E$7="",E$8=0),0,E$8*(E$7-B$16*(1-$A128)*(1-(1-$A128)^MIN(E$6,$B$11))/($A128*MIN(E$6,$B$11)))^2)</f>
        <v/>
      </c>
      <c r="C128" s="27">
        <f>IF(OR(B$7="",B$8=0),0,B$8*(B$7-C$16*(1-$A128)*(1-(1-$A128)^MIN(B$6,$B$11))/($A128*MIN(B$6,$B$11)))^2)+IF(OR(C$7="",C$8=0),0,C$8*(C$7-C$16*(1-$A128)*(1-(1-$A128)^MIN(C$6,$B$11))/($A128*MIN(C$6,$B$11)))^2)+IF(OR(D$7="",D$8=0),0,D$8*(D$7-C$16*(1-$A128)*(1-(1-$A128)^MIN(D$6,$B$11))/($A128*MIN(D$6,$B$11)))^2)+IF(OR(E$7="",E$8=0),0,E$8*(E$7-C$16*(1-$A128)*(1-(1-$A128)^MIN(E$6,$B$11))/($A128*MIN(E$6,$B$11)))^2)</f>
        <v/>
      </c>
      <c r="D128" s="27">
        <f>IF(OR(B$7="",B$8=0),0,B$8*(B$7-D$16*(1-$A128)*(1-(1-$A128)^MIN(B$6,$B$11))/($A128*MIN(B$6,$B$11)))^2)+IF(OR(C$7="",C$8=0),0,C$8*(C$7-D$16*(1-$A128)*(1-(1-$A128)^MIN(C$6,$B$11))/($A128*MIN(C$6,$B$11)))^2)+IF(OR(D$7="",D$8=0),0,D$8*(D$7-D$16*(1-$A128)*(1-(1-$A128)^MIN(D$6,$B$11))/($A128*MIN(D$6,$B$11)))^2)+IF(OR(E$7="",E$8=0),0,E$8*(E$7-D$16*(1-$A128)*(1-(1-$A128)^MIN(E$6,$B$11))/($A128*MIN(E$6,$B$11)))^2)</f>
        <v/>
      </c>
      <c r="E128" s="27">
        <f>IF(OR(B$7="",B$8=0),0,B$8*(B$7-E$16*(1-$A128)*(1-(1-$A128)^MIN(B$6,$B$11))/($A128*MIN(B$6,$B$11)))^2)+IF(OR(C$7="",C$8=0),0,C$8*(C$7-E$16*(1-$A128)*(1-(1-$A128)^MIN(C$6,$B$11))/($A128*MIN(C$6,$B$11)))^2)+IF(OR(D$7="",D$8=0),0,D$8*(D$7-E$16*(1-$A128)*(1-(1-$A128)^MIN(D$6,$B$11))/($A128*MIN(D$6,$B$11)))^2)+IF(OR(E$7="",E$8=0),0,E$8*(E$7-E$16*(1-$A128)*(1-(1-$A128)^MIN(E$6,$B$11))/($A128*MIN(E$6,$B$11)))^2)</f>
        <v/>
      </c>
      <c r="F128" s="27">
        <f>IF(OR(B$7="",B$8=0),0,B$8*(B$7-F$16*(1-$A128)*(1-(1-$A128)^MIN(B$6,$B$11))/($A128*MIN(B$6,$B$11)))^2)+IF(OR(C$7="",C$8=0),0,C$8*(C$7-F$16*(1-$A128)*(1-(1-$A128)^MIN(C$6,$B$11))/($A128*MIN(C$6,$B$11)))^2)+IF(OR(D$7="",D$8=0),0,D$8*(D$7-F$16*(1-$A128)*(1-(1-$A128)^MIN(D$6,$B$11))/($A128*MIN(D$6,$B$11)))^2)+IF(OR(E$7="",E$8=0),0,E$8*(E$7-F$16*(1-$A128)*(1-(1-$A128)^MIN(E$6,$B$11))/($A128*MIN(E$6,$B$11)))^2)</f>
        <v/>
      </c>
      <c r="G128" s="27">
        <f>IF(OR(B$7="",B$8=0),0,B$8*(B$7-G$16*(1-$A128)*(1-(1-$A128)^MIN(B$6,$B$11))/($A128*MIN(B$6,$B$11)))^2)+IF(OR(C$7="",C$8=0),0,C$8*(C$7-G$16*(1-$A128)*(1-(1-$A128)^MIN(C$6,$B$11))/($A128*MIN(C$6,$B$11)))^2)+IF(OR(D$7="",D$8=0),0,D$8*(D$7-G$16*(1-$A128)*(1-(1-$A128)^MIN(D$6,$B$11))/($A128*MIN(D$6,$B$11)))^2)+IF(OR(E$7="",E$8=0),0,E$8*(E$7-G$16*(1-$A128)*(1-(1-$A128)^MIN(E$6,$B$11))/($A128*MIN(E$6,$B$11)))^2)</f>
        <v/>
      </c>
      <c r="H128" s="27">
        <f>IF(OR(B$7="",B$8=0),0,B$8*(B$7-H$16*(1-$A128)*(1-(1-$A128)^MIN(B$6,$B$11))/($A128*MIN(B$6,$B$11)))^2)+IF(OR(C$7="",C$8=0),0,C$8*(C$7-H$16*(1-$A128)*(1-(1-$A128)^MIN(C$6,$B$11))/($A128*MIN(C$6,$B$11)))^2)+IF(OR(D$7="",D$8=0),0,D$8*(D$7-H$16*(1-$A128)*(1-(1-$A128)^MIN(D$6,$B$11))/($A128*MIN(D$6,$B$11)))^2)+IF(OR(E$7="",E$8=0),0,E$8*(E$7-H$16*(1-$A128)*(1-(1-$A128)^MIN(E$6,$B$11))/($A128*MIN(E$6,$B$11)))^2)</f>
        <v/>
      </c>
      <c r="I128" s="27">
        <f>IF(OR(B$7="",B$8=0),0,B$8*(B$7-I$16*(1-$A128)*(1-(1-$A128)^MIN(B$6,$B$11))/($A128*MIN(B$6,$B$11)))^2)+IF(OR(C$7="",C$8=0),0,C$8*(C$7-I$16*(1-$A128)*(1-(1-$A128)^MIN(C$6,$B$11))/($A128*MIN(C$6,$B$11)))^2)+IF(OR(D$7="",D$8=0),0,D$8*(D$7-I$16*(1-$A128)*(1-(1-$A128)^MIN(D$6,$B$11))/($A128*MIN(D$6,$B$11)))^2)+IF(OR(E$7="",E$8=0),0,E$8*(E$7-I$16*(1-$A128)*(1-(1-$A128)^MIN(E$6,$B$11))/($A128*MIN(E$6,$B$11)))^2)</f>
        <v/>
      </c>
      <c r="J128" s="27">
        <f>IF(OR(B$7="",B$8=0),0,B$8*(B$7-J$16*(1-$A128)*(1-(1-$A128)^MIN(B$6,$B$11))/($A128*MIN(B$6,$B$11)))^2)+IF(OR(C$7="",C$8=0),0,C$8*(C$7-J$16*(1-$A128)*(1-(1-$A128)^MIN(C$6,$B$11))/($A128*MIN(C$6,$B$11)))^2)+IF(OR(D$7="",D$8=0),0,D$8*(D$7-J$16*(1-$A128)*(1-(1-$A128)^MIN(D$6,$B$11))/($A128*MIN(D$6,$B$11)))^2)+IF(OR(E$7="",E$8=0),0,E$8*(E$7-J$16*(1-$A128)*(1-(1-$A128)^MIN(E$6,$B$11))/($A128*MIN(E$6,$B$11)))^2)</f>
        <v/>
      </c>
      <c r="K128" s="27">
        <f>IF(OR(B$7="",B$8=0),0,B$8*(B$7-K$16*(1-$A128)*(1-(1-$A128)^MIN(B$6,$B$11))/($A128*MIN(B$6,$B$11)))^2)+IF(OR(C$7="",C$8=0),0,C$8*(C$7-K$16*(1-$A128)*(1-(1-$A128)^MIN(C$6,$B$11))/($A128*MIN(C$6,$B$11)))^2)+IF(OR(D$7="",D$8=0),0,D$8*(D$7-K$16*(1-$A128)*(1-(1-$A128)^MIN(D$6,$B$11))/($A128*MIN(D$6,$B$11)))^2)+IF(OR(E$7="",E$8=0),0,E$8*(E$7-K$16*(1-$A128)*(1-(1-$A128)^MIN(E$6,$B$11))/($A128*MIN(E$6,$B$11)))^2)</f>
        <v/>
      </c>
      <c r="L128" s="27">
        <f>IF(OR(B$7="",B$8=0),0,B$8*(B$7-L$16*(1-$A128)*(1-(1-$A128)^MIN(B$6,$B$11))/($A128*MIN(B$6,$B$11)))^2)+IF(OR(C$7="",C$8=0),0,C$8*(C$7-L$16*(1-$A128)*(1-(1-$A128)^MIN(C$6,$B$11))/($A128*MIN(C$6,$B$11)))^2)+IF(OR(D$7="",D$8=0),0,D$8*(D$7-L$16*(1-$A128)*(1-(1-$A128)^MIN(D$6,$B$11))/($A128*MIN(D$6,$B$11)))^2)+IF(OR(E$7="",E$8=0),0,E$8*(E$7-L$16*(1-$A128)*(1-(1-$A128)^MIN(E$6,$B$11))/($A128*MIN(E$6,$B$11)))^2)</f>
        <v/>
      </c>
      <c r="M128" s="27">
        <f>IF(OR(B$7="",B$8=0),0,B$8*(B$7-M$16*(1-$A128)*(1-(1-$A128)^MIN(B$6,$B$11))/($A128*MIN(B$6,$B$11)))^2)+IF(OR(C$7="",C$8=0),0,C$8*(C$7-M$16*(1-$A128)*(1-(1-$A128)^MIN(C$6,$B$11))/($A128*MIN(C$6,$B$11)))^2)+IF(OR(D$7="",D$8=0),0,D$8*(D$7-M$16*(1-$A128)*(1-(1-$A128)^MIN(D$6,$B$11))/($A128*MIN(D$6,$B$11)))^2)+IF(OR(E$7="",E$8=0),0,E$8*(E$7-M$16*(1-$A128)*(1-(1-$A128)^MIN(E$6,$B$11))/($A128*MIN(E$6,$B$11)))^2)</f>
        <v/>
      </c>
      <c r="N128" s="27">
        <f>IF(OR(B$7="",B$8=0),0,B$8*(B$7-N$16*(1-$A128)*(1-(1-$A128)^MIN(B$6,$B$11))/($A128*MIN(B$6,$B$11)))^2)+IF(OR(C$7="",C$8=0),0,C$8*(C$7-N$16*(1-$A128)*(1-(1-$A128)^MIN(C$6,$B$11))/($A128*MIN(C$6,$B$11)))^2)+IF(OR(D$7="",D$8=0),0,D$8*(D$7-N$16*(1-$A128)*(1-(1-$A128)^MIN(D$6,$B$11))/($A128*MIN(D$6,$B$11)))^2)+IF(OR(E$7="",E$8=0),0,E$8*(E$7-N$16*(1-$A128)*(1-(1-$A128)^MIN(E$6,$B$11))/($A128*MIN(E$6,$B$11)))^2)</f>
        <v/>
      </c>
      <c r="O128" s="27">
        <f>IF(OR(B$7="",B$8=0),0,B$8*(B$7-O$16*(1-$A128)*(1-(1-$A128)^MIN(B$6,$B$11))/($A128*MIN(B$6,$B$11)))^2)+IF(OR(C$7="",C$8=0),0,C$8*(C$7-O$16*(1-$A128)*(1-(1-$A128)^MIN(C$6,$B$11))/($A128*MIN(C$6,$B$11)))^2)+IF(OR(D$7="",D$8=0),0,D$8*(D$7-O$16*(1-$A128)*(1-(1-$A128)^MIN(D$6,$B$11))/($A128*MIN(D$6,$B$11)))^2)+IF(OR(E$7="",E$8=0),0,E$8*(E$7-O$16*(1-$A128)*(1-(1-$A128)^MIN(E$6,$B$11))/($A128*MIN(E$6,$B$11)))^2)</f>
        <v/>
      </c>
      <c r="P128" s="27">
        <f>IF(OR(B$7="",B$8=0),0,B$8*(B$7-P$16*(1-$A128)*(1-(1-$A128)^MIN(B$6,$B$11))/($A128*MIN(B$6,$B$11)))^2)+IF(OR(C$7="",C$8=0),0,C$8*(C$7-P$16*(1-$A128)*(1-(1-$A128)^MIN(C$6,$B$11))/($A128*MIN(C$6,$B$11)))^2)+IF(OR(D$7="",D$8=0),0,D$8*(D$7-P$16*(1-$A128)*(1-(1-$A128)^MIN(D$6,$B$11))/($A128*MIN(D$6,$B$11)))^2)+IF(OR(E$7="",E$8=0),0,E$8*(E$7-P$16*(1-$A128)*(1-(1-$A128)^MIN(E$6,$B$11))/($A128*MIN(E$6,$B$11)))^2)</f>
        <v/>
      </c>
      <c r="Q128" s="27">
        <f>IF(OR(B$7="",B$8=0),0,B$8*(B$7-Q$16*(1-$A128)*(1-(1-$A128)^MIN(B$6,$B$11))/($A128*MIN(B$6,$B$11)))^2)+IF(OR(C$7="",C$8=0),0,C$8*(C$7-Q$16*(1-$A128)*(1-(1-$A128)^MIN(C$6,$B$11))/($A128*MIN(C$6,$B$11)))^2)+IF(OR(D$7="",D$8=0),0,D$8*(D$7-Q$16*(1-$A128)*(1-(1-$A128)^MIN(D$6,$B$11))/($A128*MIN(D$6,$B$11)))^2)+IF(OR(E$7="",E$8=0),0,E$8*(E$7-Q$16*(1-$A128)*(1-(1-$A128)^MIN(E$6,$B$11))/($A128*MIN(E$6,$B$11)))^2)</f>
        <v/>
      </c>
      <c r="R128" s="27">
        <f>IF(OR(B$7="",B$8=0),0,B$8*(B$7-R$16*(1-$A128)*(1-(1-$A128)^MIN(B$6,$B$11))/($A128*MIN(B$6,$B$11)))^2)+IF(OR(C$7="",C$8=0),0,C$8*(C$7-R$16*(1-$A128)*(1-(1-$A128)^MIN(C$6,$B$11))/($A128*MIN(C$6,$B$11)))^2)+IF(OR(D$7="",D$8=0),0,D$8*(D$7-R$16*(1-$A128)*(1-(1-$A128)^MIN(D$6,$B$11))/($A128*MIN(D$6,$B$11)))^2)+IF(OR(E$7="",E$8=0),0,E$8*(E$7-R$16*(1-$A128)*(1-(1-$A128)^MIN(E$6,$B$11))/($A128*MIN(E$6,$B$11)))^2)</f>
        <v/>
      </c>
      <c r="S128" s="27">
        <f>IF(OR(B$7="",B$8=0),0,B$8*(B$7-S$16*(1-$A128)*(1-(1-$A128)^MIN(B$6,$B$11))/($A128*MIN(B$6,$B$11)))^2)+IF(OR(C$7="",C$8=0),0,C$8*(C$7-S$16*(1-$A128)*(1-(1-$A128)^MIN(C$6,$B$11))/($A128*MIN(C$6,$B$11)))^2)+IF(OR(D$7="",D$8=0),0,D$8*(D$7-S$16*(1-$A128)*(1-(1-$A128)^MIN(D$6,$B$11))/($A128*MIN(D$6,$B$11)))^2)+IF(OR(E$7="",E$8=0),0,E$8*(E$7-S$16*(1-$A128)*(1-(1-$A128)^MIN(E$6,$B$11))/($A128*MIN(E$6,$B$11)))^2)</f>
        <v/>
      </c>
      <c r="U128" s="27">
        <f>MIN(B128:S128)</f>
        <v/>
      </c>
      <c r="V128" s="17">
        <f>MATCH(U128,B128:S128,0)</f>
        <v/>
      </c>
    </row>
    <row r="129">
      <c r="A129" s="26" t="n">
        <v>0.061</v>
      </c>
      <c r="B129" s="27">
        <f>IF(OR(B$7="",B$8=0),0,B$8*(B$7-B$16*(1-$A129)*(1-(1-$A129)^MIN(B$6,$B$11))/($A129*MIN(B$6,$B$11)))^2)+IF(OR(C$7="",C$8=0),0,C$8*(C$7-B$16*(1-$A129)*(1-(1-$A129)^MIN(C$6,$B$11))/($A129*MIN(C$6,$B$11)))^2)+IF(OR(D$7="",D$8=0),0,D$8*(D$7-B$16*(1-$A129)*(1-(1-$A129)^MIN(D$6,$B$11))/($A129*MIN(D$6,$B$11)))^2)+IF(OR(E$7="",E$8=0),0,E$8*(E$7-B$16*(1-$A129)*(1-(1-$A129)^MIN(E$6,$B$11))/($A129*MIN(E$6,$B$11)))^2)</f>
        <v/>
      </c>
      <c r="C129" s="27">
        <f>IF(OR(B$7="",B$8=0),0,B$8*(B$7-C$16*(1-$A129)*(1-(1-$A129)^MIN(B$6,$B$11))/($A129*MIN(B$6,$B$11)))^2)+IF(OR(C$7="",C$8=0),0,C$8*(C$7-C$16*(1-$A129)*(1-(1-$A129)^MIN(C$6,$B$11))/($A129*MIN(C$6,$B$11)))^2)+IF(OR(D$7="",D$8=0),0,D$8*(D$7-C$16*(1-$A129)*(1-(1-$A129)^MIN(D$6,$B$11))/($A129*MIN(D$6,$B$11)))^2)+IF(OR(E$7="",E$8=0),0,E$8*(E$7-C$16*(1-$A129)*(1-(1-$A129)^MIN(E$6,$B$11))/($A129*MIN(E$6,$B$11)))^2)</f>
        <v/>
      </c>
      <c r="D129" s="27">
        <f>IF(OR(B$7="",B$8=0),0,B$8*(B$7-D$16*(1-$A129)*(1-(1-$A129)^MIN(B$6,$B$11))/($A129*MIN(B$6,$B$11)))^2)+IF(OR(C$7="",C$8=0),0,C$8*(C$7-D$16*(1-$A129)*(1-(1-$A129)^MIN(C$6,$B$11))/($A129*MIN(C$6,$B$11)))^2)+IF(OR(D$7="",D$8=0),0,D$8*(D$7-D$16*(1-$A129)*(1-(1-$A129)^MIN(D$6,$B$11))/($A129*MIN(D$6,$B$11)))^2)+IF(OR(E$7="",E$8=0),0,E$8*(E$7-D$16*(1-$A129)*(1-(1-$A129)^MIN(E$6,$B$11))/($A129*MIN(E$6,$B$11)))^2)</f>
        <v/>
      </c>
      <c r="E129" s="27">
        <f>IF(OR(B$7="",B$8=0),0,B$8*(B$7-E$16*(1-$A129)*(1-(1-$A129)^MIN(B$6,$B$11))/($A129*MIN(B$6,$B$11)))^2)+IF(OR(C$7="",C$8=0),0,C$8*(C$7-E$16*(1-$A129)*(1-(1-$A129)^MIN(C$6,$B$11))/($A129*MIN(C$6,$B$11)))^2)+IF(OR(D$7="",D$8=0),0,D$8*(D$7-E$16*(1-$A129)*(1-(1-$A129)^MIN(D$6,$B$11))/($A129*MIN(D$6,$B$11)))^2)+IF(OR(E$7="",E$8=0),0,E$8*(E$7-E$16*(1-$A129)*(1-(1-$A129)^MIN(E$6,$B$11))/($A129*MIN(E$6,$B$11)))^2)</f>
        <v/>
      </c>
      <c r="F129" s="27">
        <f>IF(OR(B$7="",B$8=0),0,B$8*(B$7-F$16*(1-$A129)*(1-(1-$A129)^MIN(B$6,$B$11))/($A129*MIN(B$6,$B$11)))^2)+IF(OR(C$7="",C$8=0),0,C$8*(C$7-F$16*(1-$A129)*(1-(1-$A129)^MIN(C$6,$B$11))/($A129*MIN(C$6,$B$11)))^2)+IF(OR(D$7="",D$8=0),0,D$8*(D$7-F$16*(1-$A129)*(1-(1-$A129)^MIN(D$6,$B$11))/($A129*MIN(D$6,$B$11)))^2)+IF(OR(E$7="",E$8=0),0,E$8*(E$7-F$16*(1-$A129)*(1-(1-$A129)^MIN(E$6,$B$11))/($A129*MIN(E$6,$B$11)))^2)</f>
        <v/>
      </c>
      <c r="G129" s="27">
        <f>IF(OR(B$7="",B$8=0),0,B$8*(B$7-G$16*(1-$A129)*(1-(1-$A129)^MIN(B$6,$B$11))/($A129*MIN(B$6,$B$11)))^2)+IF(OR(C$7="",C$8=0),0,C$8*(C$7-G$16*(1-$A129)*(1-(1-$A129)^MIN(C$6,$B$11))/($A129*MIN(C$6,$B$11)))^2)+IF(OR(D$7="",D$8=0),0,D$8*(D$7-G$16*(1-$A129)*(1-(1-$A129)^MIN(D$6,$B$11))/($A129*MIN(D$6,$B$11)))^2)+IF(OR(E$7="",E$8=0),0,E$8*(E$7-G$16*(1-$A129)*(1-(1-$A129)^MIN(E$6,$B$11))/($A129*MIN(E$6,$B$11)))^2)</f>
        <v/>
      </c>
      <c r="H129" s="27">
        <f>IF(OR(B$7="",B$8=0),0,B$8*(B$7-H$16*(1-$A129)*(1-(1-$A129)^MIN(B$6,$B$11))/($A129*MIN(B$6,$B$11)))^2)+IF(OR(C$7="",C$8=0),0,C$8*(C$7-H$16*(1-$A129)*(1-(1-$A129)^MIN(C$6,$B$11))/($A129*MIN(C$6,$B$11)))^2)+IF(OR(D$7="",D$8=0),0,D$8*(D$7-H$16*(1-$A129)*(1-(1-$A129)^MIN(D$6,$B$11))/($A129*MIN(D$6,$B$11)))^2)+IF(OR(E$7="",E$8=0),0,E$8*(E$7-H$16*(1-$A129)*(1-(1-$A129)^MIN(E$6,$B$11))/($A129*MIN(E$6,$B$11)))^2)</f>
        <v/>
      </c>
      <c r="I129" s="27">
        <f>IF(OR(B$7="",B$8=0),0,B$8*(B$7-I$16*(1-$A129)*(1-(1-$A129)^MIN(B$6,$B$11))/($A129*MIN(B$6,$B$11)))^2)+IF(OR(C$7="",C$8=0),0,C$8*(C$7-I$16*(1-$A129)*(1-(1-$A129)^MIN(C$6,$B$11))/($A129*MIN(C$6,$B$11)))^2)+IF(OR(D$7="",D$8=0),0,D$8*(D$7-I$16*(1-$A129)*(1-(1-$A129)^MIN(D$6,$B$11))/($A129*MIN(D$6,$B$11)))^2)+IF(OR(E$7="",E$8=0),0,E$8*(E$7-I$16*(1-$A129)*(1-(1-$A129)^MIN(E$6,$B$11))/($A129*MIN(E$6,$B$11)))^2)</f>
        <v/>
      </c>
      <c r="J129" s="27">
        <f>IF(OR(B$7="",B$8=0),0,B$8*(B$7-J$16*(1-$A129)*(1-(1-$A129)^MIN(B$6,$B$11))/($A129*MIN(B$6,$B$11)))^2)+IF(OR(C$7="",C$8=0),0,C$8*(C$7-J$16*(1-$A129)*(1-(1-$A129)^MIN(C$6,$B$11))/($A129*MIN(C$6,$B$11)))^2)+IF(OR(D$7="",D$8=0),0,D$8*(D$7-J$16*(1-$A129)*(1-(1-$A129)^MIN(D$6,$B$11))/($A129*MIN(D$6,$B$11)))^2)+IF(OR(E$7="",E$8=0),0,E$8*(E$7-J$16*(1-$A129)*(1-(1-$A129)^MIN(E$6,$B$11))/($A129*MIN(E$6,$B$11)))^2)</f>
        <v/>
      </c>
      <c r="K129" s="27">
        <f>IF(OR(B$7="",B$8=0),0,B$8*(B$7-K$16*(1-$A129)*(1-(1-$A129)^MIN(B$6,$B$11))/($A129*MIN(B$6,$B$11)))^2)+IF(OR(C$7="",C$8=0),0,C$8*(C$7-K$16*(1-$A129)*(1-(1-$A129)^MIN(C$6,$B$11))/($A129*MIN(C$6,$B$11)))^2)+IF(OR(D$7="",D$8=0),0,D$8*(D$7-K$16*(1-$A129)*(1-(1-$A129)^MIN(D$6,$B$11))/($A129*MIN(D$6,$B$11)))^2)+IF(OR(E$7="",E$8=0),0,E$8*(E$7-K$16*(1-$A129)*(1-(1-$A129)^MIN(E$6,$B$11))/($A129*MIN(E$6,$B$11)))^2)</f>
        <v/>
      </c>
      <c r="L129" s="27">
        <f>IF(OR(B$7="",B$8=0),0,B$8*(B$7-L$16*(1-$A129)*(1-(1-$A129)^MIN(B$6,$B$11))/($A129*MIN(B$6,$B$11)))^2)+IF(OR(C$7="",C$8=0),0,C$8*(C$7-L$16*(1-$A129)*(1-(1-$A129)^MIN(C$6,$B$11))/($A129*MIN(C$6,$B$11)))^2)+IF(OR(D$7="",D$8=0),0,D$8*(D$7-L$16*(1-$A129)*(1-(1-$A129)^MIN(D$6,$B$11))/($A129*MIN(D$6,$B$11)))^2)+IF(OR(E$7="",E$8=0),0,E$8*(E$7-L$16*(1-$A129)*(1-(1-$A129)^MIN(E$6,$B$11))/($A129*MIN(E$6,$B$11)))^2)</f>
        <v/>
      </c>
      <c r="M129" s="27">
        <f>IF(OR(B$7="",B$8=0),0,B$8*(B$7-M$16*(1-$A129)*(1-(1-$A129)^MIN(B$6,$B$11))/($A129*MIN(B$6,$B$11)))^2)+IF(OR(C$7="",C$8=0),0,C$8*(C$7-M$16*(1-$A129)*(1-(1-$A129)^MIN(C$6,$B$11))/($A129*MIN(C$6,$B$11)))^2)+IF(OR(D$7="",D$8=0),0,D$8*(D$7-M$16*(1-$A129)*(1-(1-$A129)^MIN(D$6,$B$11))/($A129*MIN(D$6,$B$11)))^2)+IF(OR(E$7="",E$8=0),0,E$8*(E$7-M$16*(1-$A129)*(1-(1-$A129)^MIN(E$6,$B$11))/($A129*MIN(E$6,$B$11)))^2)</f>
        <v/>
      </c>
      <c r="N129" s="27">
        <f>IF(OR(B$7="",B$8=0),0,B$8*(B$7-N$16*(1-$A129)*(1-(1-$A129)^MIN(B$6,$B$11))/($A129*MIN(B$6,$B$11)))^2)+IF(OR(C$7="",C$8=0),0,C$8*(C$7-N$16*(1-$A129)*(1-(1-$A129)^MIN(C$6,$B$11))/($A129*MIN(C$6,$B$11)))^2)+IF(OR(D$7="",D$8=0),0,D$8*(D$7-N$16*(1-$A129)*(1-(1-$A129)^MIN(D$6,$B$11))/($A129*MIN(D$6,$B$11)))^2)+IF(OR(E$7="",E$8=0),0,E$8*(E$7-N$16*(1-$A129)*(1-(1-$A129)^MIN(E$6,$B$11))/($A129*MIN(E$6,$B$11)))^2)</f>
        <v/>
      </c>
      <c r="O129" s="27">
        <f>IF(OR(B$7="",B$8=0),0,B$8*(B$7-O$16*(1-$A129)*(1-(1-$A129)^MIN(B$6,$B$11))/($A129*MIN(B$6,$B$11)))^2)+IF(OR(C$7="",C$8=0),0,C$8*(C$7-O$16*(1-$A129)*(1-(1-$A129)^MIN(C$6,$B$11))/($A129*MIN(C$6,$B$11)))^2)+IF(OR(D$7="",D$8=0),0,D$8*(D$7-O$16*(1-$A129)*(1-(1-$A129)^MIN(D$6,$B$11))/($A129*MIN(D$6,$B$11)))^2)+IF(OR(E$7="",E$8=0),0,E$8*(E$7-O$16*(1-$A129)*(1-(1-$A129)^MIN(E$6,$B$11))/($A129*MIN(E$6,$B$11)))^2)</f>
        <v/>
      </c>
      <c r="P129" s="27">
        <f>IF(OR(B$7="",B$8=0),0,B$8*(B$7-P$16*(1-$A129)*(1-(1-$A129)^MIN(B$6,$B$11))/($A129*MIN(B$6,$B$11)))^2)+IF(OR(C$7="",C$8=0),0,C$8*(C$7-P$16*(1-$A129)*(1-(1-$A129)^MIN(C$6,$B$11))/($A129*MIN(C$6,$B$11)))^2)+IF(OR(D$7="",D$8=0),0,D$8*(D$7-P$16*(1-$A129)*(1-(1-$A129)^MIN(D$6,$B$11))/($A129*MIN(D$6,$B$11)))^2)+IF(OR(E$7="",E$8=0),0,E$8*(E$7-P$16*(1-$A129)*(1-(1-$A129)^MIN(E$6,$B$11))/($A129*MIN(E$6,$B$11)))^2)</f>
        <v/>
      </c>
      <c r="Q129" s="27">
        <f>IF(OR(B$7="",B$8=0),0,B$8*(B$7-Q$16*(1-$A129)*(1-(1-$A129)^MIN(B$6,$B$11))/($A129*MIN(B$6,$B$11)))^2)+IF(OR(C$7="",C$8=0),0,C$8*(C$7-Q$16*(1-$A129)*(1-(1-$A129)^MIN(C$6,$B$11))/($A129*MIN(C$6,$B$11)))^2)+IF(OR(D$7="",D$8=0),0,D$8*(D$7-Q$16*(1-$A129)*(1-(1-$A129)^MIN(D$6,$B$11))/($A129*MIN(D$6,$B$11)))^2)+IF(OR(E$7="",E$8=0),0,E$8*(E$7-Q$16*(1-$A129)*(1-(1-$A129)^MIN(E$6,$B$11))/($A129*MIN(E$6,$B$11)))^2)</f>
        <v/>
      </c>
      <c r="R129" s="27">
        <f>IF(OR(B$7="",B$8=0),0,B$8*(B$7-R$16*(1-$A129)*(1-(1-$A129)^MIN(B$6,$B$11))/($A129*MIN(B$6,$B$11)))^2)+IF(OR(C$7="",C$8=0),0,C$8*(C$7-R$16*(1-$A129)*(1-(1-$A129)^MIN(C$6,$B$11))/($A129*MIN(C$6,$B$11)))^2)+IF(OR(D$7="",D$8=0),0,D$8*(D$7-R$16*(1-$A129)*(1-(1-$A129)^MIN(D$6,$B$11))/($A129*MIN(D$6,$B$11)))^2)+IF(OR(E$7="",E$8=0),0,E$8*(E$7-R$16*(1-$A129)*(1-(1-$A129)^MIN(E$6,$B$11))/($A129*MIN(E$6,$B$11)))^2)</f>
        <v/>
      </c>
      <c r="S129" s="27">
        <f>IF(OR(B$7="",B$8=0),0,B$8*(B$7-S$16*(1-$A129)*(1-(1-$A129)^MIN(B$6,$B$11))/($A129*MIN(B$6,$B$11)))^2)+IF(OR(C$7="",C$8=0),0,C$8*(C$7-S$16*(1-$A129)*(1-(1-$A129)^MIN(C$6,$B$11))/($A129*MIN(C$6,$B$11)))^2)+IF(OR(D$7="",D$8=0),0,D$8*(D$7-S$16*(1-$A129)*(1-(1-$A129)^MIN(D$6,$B$11))/($A129*MIN(D$6,$B$11)))^2)+IF(OR(E$7="",E$8=0),0,E$8*(E$7-S$16*(1-$A129)*(1-(1-$A129)^MIN(E$6,$B$11))/($A129*MIN(E$6,$B$11)))^2)</f>
        <v/>
      </c>
      <c r="U129" s="27">
        <f>MIN(B129:S129)</f>
        <v/>
      </c>
      <c r="V129" s="17">
        <f>MATCH(U129,B129:S129,0)</f>
        <v/>
      </c>
    </row>
    <row r="130">
      <c r="A130" s="26" t="n">
        <v>0.0615</v>
      </c>
      <c r="B130" s="27">
        <f>IF(OR(B$7="",B$8=0),0,B$8*(B$7-B$16*(1-$A130)*(1-(1-$A130)^MIN(B$6,$B$11))/($A130*MIN(B$6,$B$11)))^2)+IF(OR(C$7="",C$8=0),0,C$8*(C$7-B$16*(1-$A130)*(1-(1-$A130)^MIN(C$6,$B$11))/($A130*MIN(C$6,$B$11)))^2)+IF(OR(D$7="",D$8=0),0,D$8*(D$7-B$16*(1-$A130)*(1-(1-$A130)^MIN(D$6,$B$11))/($A130*MIN(D$6,$B$11)))^2)+IF(OR(E$7="",E$8=0),0,E$8*(E$7-B$16*(1-$A130)*(1-(1-$A130)^MIN(E$6,$B$11))/($A130*MIN(E$6,$B$11)))^2)</f>
        <v/>
      </c>
      <c r="C130" s="27">
        <f>IF(OR(B$7="",B$8=0),0,B$8*(B$7-C$16*(1-$A130)*(1-(1-$A130)^MIN(B$6,$B$11))/($A130*MIN(B$6,$B$11)))^2)+IF(OR(C$7="",C$8=0),0,C$8*(C$7-C$16*(1-$A130)*(1-(1-$A130)^MIN(C$6,$B$11))/($A130*MIN(C$6,$B$11)))^2)+IF(OR(D$7="",D$8=0),0,D$8*(D$7-C$16*(1-$A130)*(1-(1-$A130)^MIN(D$6,$B$11))/($A130*MIN(D$6,$B$11)))^2)+IF(OR(E$7="",E$8=0),0,E$8*(E$7-C$16*(1-$A130)*(1-(1-$A130)^MIN(E$6,$B$11))/($A130*MIN(E$6,$B$11)))^2)</f>
        <v/>
      </c>
      <c r="D130" s="27">
        <f>IF(OR(B$7="",B$8=0),0,B$8*(B$7-D$16*(1-$A130)*(1-(1-$A130)^MIN(B$6,$B$11))/($A130*MIN(B$6,$B$11)))^2)+IF(OR(C$7="",C$8=0),0,C$8*(C$7-D$16*(1-$A130)*(1-(1-$A130)^MIN(C$6,$B$11))/($A130*MIN(C$6,$B$11)))^2)+IF(OR(D$7="",D$8=0),0,D$8*(D$7-D$16*(1-$A130)*(1-(1-$A130)^MIN(D$6,$B$11))/($A130*MIN(D$6,$B$11)))^2)+IF(OR(E$7="",E$8=0),0,E$8*(E$7-D$16*(1-$A130)*(1-(1-$A130)^MIN(E$6,$B$11))/($A130*MIN(E$6,$B$11)))^2)</f>
        <v/>
      </c>
      <c r="E130" s="27">
        <f>IF(OR(B$7="",B$8=0),0,B$8*(B$7-E$16*(1-$A130)*(1-(1-$A130)^MIN(B$6,$B$11))/($A130*MIN(B$6,$B$11)))^2)+IF(OR(C$7="",C$8=0),0,C$8*(C$7-E$16*(1-$A130)*(1-(1-$A130)^MIN(C$6,$B$11))/($A130*MIN(C$6,$B$11)))^2)+IF(OR(D$7="",D$8=0),0,D$8*(D$7-E$16*(1-$A130)*(1-(1-$A130)^MIN(D$6,$B$11))/($A130*MIN(D$6,$B$11)))^2)+IF(OR(E$7="",E$8=0),0,E$8*(E$7-E$16*(1-$A130)*(1-(1-$A130)^MIN(E$6,$B$11))/($A130*MIN(E$6,$B$11)))^2)</f>
        <v/>
      </c>
      <c r="F130" s="27">
        <f>IF(OR(B$7="",B$8=0),0,B$8*(B$7-F$16*(1-$A130)*(1-(1-$A130)^MIN(B$6,$B$11))/($A130*MIN(B$6,$B$11)))^2)+IF(OR(C$7="",C$8=0),0,C$8*(C$7-F$16*(1-$A130)*(1-(1-$A130)^MIN(C$6,$B$11))/($A130*MIN(C$6,$B$11)))^2)+IF(OR(D$7="",D$8=0),0,D$8*(D$7-F$16*(1-$A130)*(1-(1-$A130)^MIN(D$6,$B$11))/($A130*MIN(D$6,$B$11)))^2)+IF(OR(E$7="",E$8=0),0,E$8*(E$7-F$16*(1-$A130)*(1-(1-$A130)^MIN(E$6,$B$11))/($A130*MIN(E$6,$B$11)))^2)</f>
        <v/>
      </c>
      <c r="G130" s="27">
        <f>IF(OR(B$7="",B$8=0),0,B$8*(B$7-G$16*(1-$A130)*(1-(1-$A130)^MIN(B$6,$B$11))/($A130*MIN(B$6,$B$11)))^2)+IF(OR(C$7="",C$8=0),0,C$8*(C$7-G$16*(1-$A130)*(1-(1-$A130)^MIN(C$6,$B$11))/($A130*MIN(C$6,$B$11)))^2)+IF(OR(D$7="",D$8=0),0,D$8*(D$7-G$16*(1-$A130)*(1-(1-$A130)^MIN(D$6,$B$11))/($A130*MIN(D$6,$B$11)))^2)+IF(OR(E$7="",E$8=0),0,E$8*(E$7-G$16*(1-$A130)*(1-(1-$A130)^MIN(E$6,$B$11))/($A130*MIN(E$6,$B$11)))^2)</f>
        <v/>
      </c>
      <c r="H130" s="27">
        <f>IF(OR(B$7="",B$8=0),0,B$8*(B$7-H$16*(1-$A130)*(1-(1-$A130)^MIN(B$6,$B$11))/($A130*MIN(B$6,$B$11)))^2)+IF(OR(C$7="",C$8=0),0,C$8*(C$7-H$16*(1-$A130)*(1-(1-$A130)^MIN(C$6,$B$11))/($A130*MIN(C$6,$B$11)))^2)+IF(OR(D$7="",D$8=0),0,D$8*(D$7-H$16*(1-$A130)*(1-(1-$A130)^MIN(D$6,$B$11))/($A130*MIN(D$6,$B$11)))^2)+IF(OR(E$7="",E$8=0),0,E$8*(E$7-H$16*(1-$A130)*(1-(1-$A130)^MIN(E$6,$B$11))/($A130*MIN(E$6,$B$11)))^2)</f>
        <v/>
      </c>
      <c r="I130" s="27">
        <f>IF(OR(B$7="",B$8=0),0,B$8*(B$7-I$16*(1-$A130)*(1-(1-$A130)^MIN(B$6,$B$11))/($A130*MIN(B$6,$B$11)))^2)+IF(OR(C$7="",C$8=0),0,C$8*(C$7-I$16*(1-$A130)*(1-(1-$A130)^MIN(C$6,$B$11))/($A130*MIN(C$6,$B$11)))^2)+IF(OR(D$7="",D$8=0),0,D$8*(D$7-I$16*(1-$A130)*(1-(1-$A130)^MIN(D$6,$B$11))/($A130*MIN(D$6,$B$11)))^2)+IF(OR(E$7="",E$8=0),0,E$8*(E$7-I$16*(1-$A130)*(1-(1-$A130)^MIN(E$6,$B$11))/($A130*MIN(E$6,$B$11)))^2)</f>
        <v/>
      </c>
      <c r="J130" s="27">
        <f>IF(OR(B$7="",B$8=0),0,B$8*(B$7-J$16*(1-$A130)*(1-(1-$A130)^MIN(B$6,$B$11))/($A130*MIN(B$6,$B$11)))^2)+IF(OR(C$7="",C$8=0),0,C$8*(C$7-J$16*(1-$A130)*(1-(1-$A130)^MIN(C$6,$B$11))/($A130*MIN(C$6,$B$11)))^2)+IF(OR(D$7="",D$8=0),0,D$8*(D$7-J$16*(1-$A130)*(1-(1-$A130)^MIN(D$6,$B$11))/($A130*MIN(D$6,$B$11)))^2)+IF(OR(E$7="",E$8=0),0,E$8*(E$7-J$16*(1-$A130)*(1-(1-$A130)^MIN(E$6,$B$11))/($A130*MIN(E$6,$B$11)))^2)</f>
        <v/>
      </c>
      <c r="K130" s="27">
        <f>IF(OR(B$7="",B$8=0),0,B$8*(B$7-K$16*(1-$A130)*(1-(1-$A130)^MIN(B$6,$B$11))/($A130*MIN(B$6,$B$11)))^2)+IF(OR(C$7="",C$8=0),0,C$8*(C$7-K$16*(1-$A130)*(1-(1-$A130)^MIN(C$6,$B$11))/($A130*MIN(C$6,$B$11)))^2)+IF(OR(D$7="",D$8=0),0,D$8*(D$7-K$16*(1-$A130)*(1-(1-$A130)^MIN(D$6,$B$11))/($A130*MIN(D$6,$B$11)))^2)+IF(OR(E$7="",E$8=0),0,E$8*(E$7-K$16*(1-$A130)*(1-(1-$A130)^MIN(E$6,$B$11))/($A130*MIN(E$6,$B$11)))^2)</f>
        <v/>
      </c>
      <c r="L130" s="27">
        <f>IF(OR(B$7="",B$8=0),0,B$8*(B$7-L$16*(1-$A130)*(1-(1-$A130)^MIN(B$6,$B$11))/($A130*MIN(B$6,$B$11)))^2)+IF(OR(C$7="",C$8=0),0,C$8*(C$7-L$16*(1-$A130)*(1-(1-$A130)^MIN(C$6,$B$11))/($A130*MIN(C$6,$B$11)))^2)+IF(OR(D$7="",D$8=0),0,D$8*(D$7-L$16*(1-$A130)*(1-(1-$A130)^MIN(D$6,$B$11))/($A130*MIN(D$6,$B$11)))^2)+IF(OR(E$7="",E$8=0),0,E$8*(E$7-L$16*(1-$A130)*(1-(1-$A130)^MIN(E$6,$B$11))/($A130*MIN(E$6,$B$11)))^2)</f>
        <v/>
      </c>
      <c r="M130" s="27">
        <f>IF(OR(B$7="",B$8=0),0,B$8*(B$7-M$16*(1-$A130)*(1-(1-$A130)^MIN(B$6,$B$11))/($A130*MIN(B$6,$B$11)))^2)+IF(OR(C$7="",C$8=0),0,C$8*(C$7-M$16*(1-$A130)*(1-(1-$A130)^MIN(C$6,$B$11))/($A130*MIN(C$6,$B$11)))^2)+IF(OR(D$7="",D$8=0),0,D$8*(D$7-M$16*(1-$A130)*(1-(1-$A130)^MIN(D$6,$B$11))/($A130*MIN(D$6,$B$11)))^2)+IF(OR(E$7="",E$8=0),0,E$8*(E$7-M$16*(1-$A130)*(1-(1-$A130)^MIN(E$6,$B$11))/($A130*MIN(E$6,$B$11)))^2)</f>
        <v/>
      </c>
      <c r="N130" s="27">
        <f>IF(OR(B$7="",B$8=0),0,B$8*(B$7-N$16*(1-$A130)*(1-(1-$A130)^MIN(B$6,$B$11))/($A130*MIN(B$6,$B$11)))^2)+IF(OR(C$7="",C$8=0),0,C$8*(C$7-N$16*(1-$A130)*(1-(1-$A130)^MIN(C$6,$B$11))/($A130*MIN(C$6,$B$11)))^2)+IF(OR(D$7="",D$8=0),0,D$8*(D$7-N$16*(1-$A130)*(1-(1-$A130)^MIN(D$6,$B$11))/($A130*MIN(D$6,$B$11)))^2)+IF(OR(E$7="",E$8=0),0,E$8*(E$7-N$16*(1-$A130)*(1-(1-$A130)^MIN(E$6,$B$11))/($A130*MIN(E$6,$B$11)))^2)</f>
        <v/>
      </c>
      <c r="O130" s="27">
        <f>IF(OR(B$7="",B$8=0),0,B$8*(B$7-O$16*(1-$A130)*(1-(1-$A130)^MIN(B$6,$B$11))/($A130*MIN(B$6,$B$11)))^2)+IF(OR(C$7="",C$8=0),0,C$8*(C$7-O$16*(1-$A130)*(1-(1-$A130)^MIN(C$6,$B$11))/($A130*MIN(C$6,$B$11)))^2)+IF(OR(D$7="",D$8=0),0,D$8*(D$7-O$16*(1-$A130)*(1-(1-$A130)^MIN(D$6,$B$11))/($A130*MIN(D$6,$B$11)))^2)+IF(OR(E$7="",E$8=0),0,E$8*(E$7-O$16*(1-$A130)*(1-(1-$A130)^MIN(E$6,$B$11))/($A130*MIN(E$6,$B$11)))^2)</f>
        <v/>
      </c>
      <c r="P130" s="27">
        <f>IF(OR(B$7="",B$8=0),0,B$8*(B$7-P$16*(1-$A130)*(1-(1-$A130)^MIN(B$6,$B$11))/($A130*MIN(B$6,$B$11)))^2)+IF(OR(C$7="",C$8=0),0,C$8*(C$7-P$16*(1-$A130)*(1-(1-$A130)^MIN(C$6,$B$11))/($A130*MIN(C$6,$B$11)))^2)+IF(OR(D$7="",D$8=0),0,D$8*(D$7-P$16*(1-$A130)*(1-(1-$A130)^MIN(D$6,$B$11))/($A130*MIN(D$6,$B$11)))^2)+IF(OR(E$7="",E$8=0),0,E$8*(E$7-P$16*(1-$A130)*(1-(1-$A130)^MIN(E$6,$B$11))/($A130*MIN(E$6,$B$11)))^2)</f>
        <v/>
      </c>
      <c r="Q130" s="27">
        <f>IF(OR(B$7="",B$8=0),0,B$8*(B$7-Q$16*(1-$A130)*(1-(1-$A130)^MIN(B$6,$B$11))/($A130*MIN(B$6,$B$11)))^2)+IF(OR(C$7="",C$8=0),0,C$8*(C$7-Q$16*(1-$A130)*(1-(1-$A130)^MIN(C$6,$B$11))/($A130*MIN(C$6,$B$11)))^2)+IF(OR(D$7="",D$8=0),0,D$8*(D$7-Q$16*(1-$A130)*(1-(1-$A130)^MIN(D$6,$B$11))/($A130*MIN(D$6,$B$11)))^2)+IF(OR(E$7="",E$8=0),0,E$8*(E$7-Q$16*(1-$A130)*(1-(1-$A130)^MIN(E$6,$B$11))/($A130*MIN(E$6,$B$11)))^2)</f>
        <v/>
      </c>
      <c r="R130" s="27">
        <f>IF(OR(B$7="",B$8=0),0,B$8*(B$7-R$16*(1-$A130)*(1-(1-$A130)^MIN(B$6,$B$11))/($A130*MIN(B$6,$B$11)))^2)+IF(OR(C$7="",C$8=0),0,C$8*(C$7-R$16*(1-$A130)*(1-(1-$A130)^MIN(C$6,$B$11))/($A130*MIN(C$6,$B$11)))^2)+IF(OR(D$7="",D$8=0),0,D$8*(D$7-R$16*(1-$A130)*(1-(1-$A130)^MIN(D$6,$B$11))/($A130*MIN(D$6,$B$11)))^2)+IF(OR(E$7="",E$8=0),0,E$8*(E$7-R$16*(1-$A130)*(1-(1-$A130)^MIN(E$6,$B$11))/($A130*MIN(E$6,$B$11)))^2)</f>
        <v/>
      </c>
      <c r="S130" s="27">
        <f>IF(OR(B$7="",B$8=0),0,B$8*(B$7-S$16*(1-$A130)*(1-(1-$A130)^MIN(B$6,$B$11))/($A130*MIN(B$6,$B$11)))^2)+IF(OR(C$7="",C$8=0),0,C$8*(C$7-S$16*(1-$A130)*(1-(1-$A130)^MIN(C$6,$B$11))/($A130*MIN(C$6,$B$11)))^2)+IF(OR(D$7="",D$8=0),0,D$8*(D$7-S$16*(1-$A130)*(1-(1-$A130)^MIN(D$6,$B$11))/($A130*MIN(D$6,$B$11)))^2)+IF(OR(E$7="",E$8=0),0,E$8*(E$7-S$16*(1-$A130)*(1-(1-$A130)^MIN(E$6,$B$11))/($A130*MIN(E$6,$B$11)))^2)</f>
        <v/>
      </c>
      <c r="U130" s="27">
        <f>MIN(B130:S130)</f>
        <v/>
      </c>
      <c r="V130" s="17">
        <f>MATCH(U130,B130:S130,0)</f>
        <v/>
      </c>
    </row>
    <row r="131">
      <c r="A131" s="26" t="n">
        <v>0.062</v>
      </c>
      <c r="B131" s="27">
        <f>IF(OR(B$7="",B$8=0),0,B$8*(B$7-B$16*(1-$A131)*(1-(1-$A131)^MIN(B$6,$B$11))/($A131*MIN(B$6,$B$11)))^2)+IF(OR(C$7="",C$8=0),0,C$8*(C$7-B$16*(1-$A131)*(1-(1-$A131)^MIN(C$6,$B$11))/($A131*MIN(C$6,$B$11)))^2)+IF(OR(D$7="",D$8=0),0,D$8*(D$7-B$16*(1-$A131)*(1-(1-$A131)^MIN(D$6,$B$11))/($A131*MIN(D$6,$B$11)))^2)+IF(OR(E$7="",E$8=0),0,E$8*(E$7-B$16*(1-$A131)*(1-(1-$A131)^MIN(E$6,$B$11))/($A131*MIN(E$6,$B$11)))^2)</f>
        <v/>
      </c>
      <c r="C131" s="27">
        <f>IF(OR(B$7="",B$8=0),0,B$8*(B$7-C$16*(1-$A131)*(1-(1-$A131)^MIN(B$6,$B$11))/($A131*MIN(B$6,$B$11)))^2)+IF(OR(C$7="",C$8=0),0,C$8*(C$7-C$16*(1-$A131)*(1-(1-$A131)^MIN(C$6,$B$11))/($A131*MIN(C$6,$B$11)))^2)+IF(OR(D$7="",D$8=0),0,D$8*(D$7-C$16*(1-$A131)*(1-(1-$A131)^MIN(D$6,$B$11))/($A131*MIN(D$6,$B$11)))^2)+IF(OR(E$7="",E$8=0),0,E$8*(E$7-C$16*(1-$A131)*(1-(1-$A131)^MIN(E$6,$B$11))/($A131*MIN(E$6,$B$11)))^2)</f>
        <v/>
      </c>
      <c r="D131" s="27">
        <f>IF(OR(B$7="",B$8=0),0,B$8*(B$7-D$16*(1-$A131)*(1-(1-$A131)^MIN(B$6,$B$11))/($A131*MIN(B$6,$B$11)))^2)+IF(OR(C$7="",C$8=0),0,C$8*(C$7-D$16*(1-$A131)*(1-(1-$A131)^MIN(C$6,$B$11))/($A131*MIN(C$6,$B$11)))^2)+IF(OR(D$7="",D$8=0),0,D$8*(D$7-D$16*(1-$A131)*(1-(1-$A131)^MIN(D$6,$B$11))/($A131*MIN(D$6,$B$11)))^2)+IF(OR(E$7="",E$8=0),0,E$8*(E$7-D$16*(1-$A131)*(1-(1-$A131)^MIN(E$6,$B$11))/($A131*MIN(E$6,$B$11)))^2)</f>
        <v/>
      </c>
      <c r="E131" s="27">
        <f>IF(OR(B$7="",B$8=0),0,B$8*(B$7-E$16*(1-$A131)*(1-(1-$A131)^MIN(B$6,$B$11))/($A131*MIN(B$6,$B$11)))^2)+IF(OR(C$7="",C$8=0),0,C$8*(C$7-E$16*(1-$A131)*(1-(1-$A131)^MIN(C$6,$B$11))/($A131*MIN(C$6,$B$11)))^2)+IF(OR(D$7="",D$8=0),0,D$8*(D$7-E$16*(1-$A131)*(1-(1-$A131)^MIN(D$6,$B$11))/($A131*MIN(D$6,$B$11)))^2)+IF(OR(E$7="",E$8=0),0,E$8*(E$7-E$16*(1-$A131)*(1-(1-$A131)^MIN(E$6,$B$11))/($A131*MIN(E$6,$B$11)))^2)</f>
        <v/>
      </c>
      <c r="F131" s="27">
        <f>IF(OR(B$7="",B$8=0),0,B$8*(B$7-F$16*(1-$A131)*(1-(1-$A131)^MIN(B$6,$B$11))/($A131*MIN(B$6,$B$11)))^2)+IF(OR(C$7="",C$8=0),0,C$8*(C$7-F$16*(1-$A131)*(1-(1-$A131)^MIN(C$6,$B$11))/($A131*MIN(C$6,$B$11)))^2)+IF(OR(D$7="",D$8=0),0,D$8*(D$7-F$16*(1-$A131)*(1-(1-$A131)^MIN(D$6,$B$11))/($A131*MIN(D$6,$B$11)))^2)+IF(OR(E$7="",E$8=0),0,E$8*(E$7-F$16*(1-$A131)*(1-(1-$A131)^MIN(E$6,$B$11))/($A131*MIN(E$6,$B$11)))^2)</f>
        <v/>
      </c>
      <c r="G131" s="27">
        <f>IF(OR(B$7="",B$8=0),0,B$8*(B$7-G$16*(1-$A131)*(1-(1-$A131)^MIN(B$6,$B$11))/($A131*MIN(B$6,$B$11)))^2)+IF(OR(C$7="",C$8=0),0,C$8*(C$7-G$16*(1-$A131)*(1-(1-$A131)^MIN(C$6,$B$11))/($A131*MIN(C$6,$B$11)))^2)+IF(OR(D$7="",D$8=0),0,D$8*(D$7-G$16*(1-$A131)*(1-(1-$A131)^MIN(D$6,$B$11))/($A131*MIN(D$6,$B$11)))^2)+IF(OR(E$7="",E$8=0),0,E$8*(E$7-G$16*(1-$A131)*(1-(1-$A131)^MIN(E$6,$B$11))/($A131*MIN(E$6,$B$11)))^2)</f>
        <v/>
      </c>
      <c r="H131" s="27">
        <f>IF(OR(B$7="",B$8=0),0,B$8*(B$7-H$16*(1-$A131)*(1-(1-$A131)^MIN(B$6,$B$11))/($A131*MIN(B$6,$B$11)))^2)+IF(OR(C$7="",C$8=0),0,C$8*(C$7-H$16*(1-$A131)*(1-(1-$A131)^MIN(C$6,$B$11))/($A131*MIN(C$6,$B$11)))^2)+IF(OR(D$7="",D$8=0),0,D$8*(D$7-H$16*(1-$A131)*(1-(1-$A131)^MIN(D$6,$B$11))/($A131*MIN(D$6,$B$11)))^2)+IF(OR(E$7="",E$8=0),0,E$8*(E$7-H$16*(1-$A131)*(1-(1-$A131)^MIN(E$6,$B$11))/($A131*MIN(E$6,$B$11)))^2)</f>
        <v/>
      </c>
      <c r="I131" s="27">
        <f>IF(OR(B$7="",B$8=0),0,B$8*(B$7-I$16*(1-$A131)*(1-(1-$A131)^MIN(B$6,$B$11))/($A131*MIN(B$6,$B$11)))^2)+IF(OR(C$7="",C$8=0),0,C$8*(C$7-I$16*(1-$A131)*(1-(1-$A131)^MIN(C$6,$B$11))/($A131*MIN(C$6,$B$11)))^2)+IF(OR(D$7="",D$8=0),0,D$8*(D$7-I$16*(1-$A131)*(1-(1-$A131)^MIN(D$6,$B$11))/($A131*MIN(D$6,$B$11)))^2)+IF(OR(E$7="",E$8=0),0,E$8*(E$7-I$16*(1-$A131)*(1-(1-$A131)^MIN(E$6,$B$11))/($A131*MIN(E$6,$B$11)))^2)</f>
        <v/>
      </c>
      <c r="J131" s="27">
        <f>IF(OR(B$7="",B$8=0),0,B$8*(B$7-J$16*(1-$A131)*(1-(1-$A131)^MIN(B$6,$B$11))/($A131*MIN(B$6,$B$11)))^2)+IF(OR(C$7="",C$8=0),0,C$8*(C$7-J$16*(1-$A131)*(1-(1-$A131)^MIN(C$6,$B$11))/($A131*MIN(C$6,$B$11)))^2)+IF(OR(D$7="",D$8=0),0,D$8*(D$7-J$16*(1-$A131)*(1-(1-$A131)^MIN(D$6,$B$11))/($A131*MIN(D$6,$B$11)))^2)+IF(OR(E$7="",E$8=0),0,E$8*(E$7-J$16*(1-$A131)*(1-(1-$A131)^MIN(E$6,$B$11))/($A131*MIN(E$6,$B$11)))^2)</f>
        <v/>
      </c>
      <c r="K131" s="27">
        <f>IF(OR(B$7="",B$8=0),0,B$8*(B$7-K$16*(1-$A131)*(1-(1-$A131)^MIN(B$6,$B$11))/($A131*MIN(B$6,$B$11)))^2)+IF(OR(C$7="",C$8=0),0,C$8*(C$7-K$16*(1-$A131)*(1-(1-$A131)^MIN(C$6,$B$11))/($A131*MIN(C$6,$B$11)))^2)+IF(OR(D$7="",D$8=0),0,D$8*(D$7-K$16*(1-$A131)*(1-(1-$A131)^MIN(D$6,$B$11))/($A131*MIN(D$6,$B$11)))^2)+IF(OR(E$7="",E$8=0),0,E$8*(E$7-K$16*(1-$A131)*(1-(1-$A131)^MIN(E$6,$B$11))/($A131*MIN(E$6,$B$11)))^2)</f>
        <v/>
      </c>
      <c r="L131" s="27">
        <f>IF(OR(B$7="",B$8=0),0,B$8*(B$7-L$16*(1-$A131)*(1-(1-$A131)^MIN(B$6,$B$11))/($A131*MIN(B$6,$B$11)))^2)+IF(OR(C$7="",C$8=0),0,C$8*(C$7-L$16*(1-$A131)*(1-(1-$A131)^MIN(C$6,$B$11))/($A131*MIN(C$6,$B$11)))^2)+IF(OR(D$7="",D$8=0),0,D$8*(D$7-L$16*(1-$A131)*(1-(1-$A131)^MIN(D$6,$B$11))/($A131*MIN(D$6,$B$11)))^2)+IF(OR(E$7="",E$8=0),0,E$8*(E$7-L$16*(1-$A131)*(1-(1-$A131)^MIN(E$6,$B$11))/($A131*MIN(E$6,$B$11)))^2)</f>
        <v/>
      </c>
      <c r="M131" s="27">
        <f>IF(OR(B$7="",B$8=0),0,B$8*(B$7-M$16*(1-$A131)*(1-(1-$A131)^MIN(B$6,$B$11))/($A131*MIN(B$6,$B$11)))^2)+IF(OR(C$7="",C$8=0),0,C$8*(C$7-M$16*(1-$A131)*(1-(1-$A131)^MIN(C$6,$B$11))/($A131*MIN(C$6,$B$11)))^2)+IF(OR(D$7="",D$8=0),0,D$8*(D$7-M$16*(1-$A131)*(1-(1-$A131)^MIN(D$6,$B$11))/($A131*MIN(D$6,$B$11)))^2)+IF(OR(E$7="",E$8=0),0,E$8*(E$7-M$16*(1-$A131)*(1-(1-$A131)^MIN(E$6,$B$11))/($A131*MIN(E$6,$B$11)))^2)</f>
        <v/>
      </c>
      <c r="N131" s="27">
        <f>IF(OR(B$7="",B$8=0),0,B$8*(B$7-N$16*(1-$A131)*(1-(1-$A131)^MIN(B$6,$B$11))/($A131*MIN(B$6,$B$11)))^2)+IF(OR(C$7="",C$8=0),0,C$8*(C$7-N$16*(1-$A131)*(1-(1-$A131)^MIN(C$6,$B$11))/($A131*MIN(C$6,$B$11)))^2)+IF(OR(D$7="",D$8=0),0,D$8*(D$7-N$16*(1-$A131)*(1-(1-$A131)^MIN(D$6,$B$11))/($A131*MIN(D$6,$B$11)))^2)+IF(OR(E$7="",E$8=0),0,E$8*(E$7-N$16*(1-$A131)*(1-(1-$A131)^MIN(E$6,$B$11))/($A131*MIN(E$6,$B$11)))^2)</f>
        <v/>
      </c>
      <c r="O131" s="27">
        <f>IF(OR(B$7="",B$8=0),0,B$8*(B$7-O$16*(1-$A131)*(1-(1-$A131)^MIN(B$6,$B$11))/($A131*MIN(B$6,$B$11)))^2)+IF(OR(C$7="",C$8=0),0,C$8*(C$7-O$16*(1-$A131)*(1-(1-$A131)^MIN(C$6,$B$11))/($A131*MIN(C$6,$B$11)))^2)+IF(OR(D$7="",D$8=0),0,D$8*(D$7-O$16*(1-$A131)*(1-(1-$A131)^MIN(D$6,$B$11))/($A131*MIN(D$6,$B$11)))^2)+IF(OR(E$7="",E$8=0),0,E$8*(E$7-O$16*(1-$A131)*(1-(1-$A131)^MIN(E$6,$B$11))/($A131*MIN(E$6,$B$11)))^2)</f>
        <v/>
      </c>
      <c r="P131" s="27">
        <f>IF(OR(B$7="",B$8=0),0,B$8*(B$7-P$16*(1-$A131)*(1-(1-$A131)^MIN(B$6,$B$11))/($A131*MIN(B$6,$B$11)))^2)+IF(OR(C$7="",C$8=0),0,C$8*(C$7-P$16*(1-$A131)*(1-(1-$A131)^MIN(C$6,$B$11))/($A131*MIN(C$6,$B$11)))^2)+IF(OR(D$7="",D$8=0),0,D$8*(D$7-P$16*(1-$A131)*(1-(1-$A131)^MIN(D$6,$B$11))/($A131*MIN(D$6,$B$11)))^2)+IF(OR(E$7="",E$8=0),0,E$8*(E$7-P$16*(1-$A131)*(1-(1-$A131)^MIN(E$6,$B$11))/($A131*MIN(E$6,$B$11)))^2)</f>
        <v/>
      </c>
      <c r="Q131" s="27">
        <f>IF(OR(B$7="",B$8=0),0,B$8*(B$7-Q$16*(1-$A131)*(1-(1-$A131)^MIN(B$6,$B$11))/($A131*MIN(B$6,$B$11)))^2)+IF(OR(C$7="",C$8=0),0,C$8*(C$7-Q$16*(1-$A131)*(1-(1-$A131)^MIN(C$6,$B$11))/($A131*MIN(C$6,$B$11)))^2)+IF(OR(D$7="",D$8=0),0,D$8*(D$7-Q$16*(1-$A131)*(1-(1-$A131)^MIN(D$6,$B$11))/($A131*MIN(D$6,$B$11)))^2)+IF(OR(E$7="",E$8=0),0,E$8*(E$7-Q$16*(1-$A131)*(1-(1-$A131)^MIN(E$6,$B$11))/($A131*MIN(E$6,$B$11)))^2)</f>
        <v/>
      </c>
      <c r="R131" s="27">
        <f>IF(OR(B$7="",B$8=0),0,B$8*(B$7-R$16*(1-$A131)*(1-(1-$A131)^MIN(B$6,$B$11))/($A131*MIN(B$6,$B$11)))^2)+IF(OR(C$7="",C$8=0),0,C$8*(C$7-R$16*(1-$A131)*(1-(1-$A131)^MIN(C$6,$B$11))/($A131*MIN(C$6,$B$11)))^2)+IF(OR(D$7="",D$8=0),0,D$8*(D$7-R$16*(1-$A131)*(1-(1-$A131)^MIN(D$6,$B$11))/($A131*MIN(D$6,$B$11)))^2)+IF(OR(E$7="",E$8=0),0,E$8*(E$7-R$16*(1-$A131)*(1-(1-$A131)^MIN(E$6,$B$11))/($A131*MIN(E$6,$B$11)))^2)</f>
        <v/>
      </c>
      <c r="S131" s="27">
        <f>IF(OR(B$7="",B$8=0),0,B$8*(B$7-S$16*(1-$A131)*(1-(1-$A131)^MIN(B$6,$B$11))/($A131*MIN(B$6,$B$11)))^2)+IF(OR(C$7="",C$8=0),0,C$8*(C$7-S$16*(1-$A131)*(1-(1-$A131)^MIN(C$6,$B$11))/($A131*MIN(C$6,$B$11)))^2)+IF(OR(D$7="",D$8=0),0,D$8*(D$7-S$16*(1-$A131)*(1-(1-$A131)^MIN(D$6,$B$11))/($A131*MIN(D$6,$B$11)))^2)+IF(OR(E$7="",E$8=0),0,E$8*(E$7-S$16*(1-$A131)*(1-(1-$A131)^MIN(E$6,$B$11))/($A131*MIN(E$6,$B$11)))^2)</f>
        <v/>
      </c>
      <c r="U131" s="27">
        <f>MIN(B131:S131)</f>
        <v/>
      </c>
      <c r="V131" s="17">
        <f>MATCH(U131,B131:S131,0)</f>
        <v/>
      </c>
    </row>
    <row r="132">
      <c r="A132" s="26" t="n">
        <v>0.0625</v>
      </c>
      <c r="B132" s="27">
        <f>IF(OR(B$7="",B$8=0),0,B$8*(B$7-B$16*(1-$A132)*(1-(1-$A132)^MIN(B$6,$B$11))/($A132*MIN(B$6,$B$11)))^2)+IF(OR(C$7="",C$8=0),0,C$8*(C$7-B$16*(1-$A132)*(1-(1-$A132)^MIN(C$6,$B$11))/($A132*MIN(C$6,$B$11)))^2)+IF(OR(D$7="",D$8=0),0,D$8*(D$7-B$16*(1-$A132)*(1-(1-$A132)^MIN(D$6,$B$11))/($A132*MIN(D$6,$B$11)))^2)+IF(OR(E$7="",E$8=0),0,E$8*(E$7-B$16*(1-$A132)*(1-(1-$A132)^MIN(E$6,$B$11))/($A132*MIN(E$6,$B$11)))^2)</f>
        <v/>
      </c>
      <c r="C132" s="27">
        <f>IF(OR(B$7="",B$8=0),0,B$8*(B$7-C$16*(1-$A132)*(1-(1-$A132)^MIN(B$6,$B$11))/($A132*MIN(B$6,$B$11)))^2)+IF(OR(C$7="",C$8=0),0,C$8*(C$7-C$16*(1-$A132)*(1-(1-$A132)^MIN(C$6,$B$11))/($A132*MIN(C$6,$B$11)))^2)+IF(OR(D$7="",D$8=0),0,D$8*(D$7-C$16*(1-$A132)*(1-(1-$A132)^MIN(D$6,$B$11))/($A132*MIN(D$6,$B$11)))^2)+IF(OR(E$7="",E$8=0),0,E$8*(E$7-C$16*(1-$A132)*(1-(1-$A132)^MIN(E$6,$B$11))/($A132*MIN(E$6,$B$11)))^2)</f>
        <v/>
      </c>
      <c r="D132" s="27">
        <f>IF(OR(B$7="",B$8=0),0,B$8*(B$7-D$16*(1-$A132)*(1-(1-$A132)^MIN(B$6,$B$11))/($A132*MIN(B$6,$B$11)))^2)+IF(OR(C$7="",C$8=0),0,C$8*(C$7-D$16*(1-$A132)*(1-(1-$A132)^MIN(C$6,$B$11))/($A132*MIN(C$6,$B$11)))^2)+IF(OR(D$7="",D$8=0),0,D$8*(D$7-D$16*(1-$A132)*(1-(1-$A132)^MIN(D$6,$B$11))/($A132*MIN(D$6,$B$11)))^2)+IF(OR(E$7="",E$8=0),0,E$8*(E$7-D$16*(1-$A132)*(1-(1-$A132)^MIN(E$6,$B$11))/($A132*MIN(E$6,$B$11)))^2)</f>
        <v/>
      </c>
      <c r="E132" s="27">
        <f>IF(OR(B$7="",B$8=0),0,B$8*(B$7-E$16*(1-$A132)*(1-(1-$A132)^MIN(B$6,$B$11))/($A132*MIN(B$6,$B$11)))^2)+IF(OR(C$7="",C$8=0),0,C$8*(C$7-E$16*(1-$A132)*(1-(1-$A132)^MIN(C$6,$B$11))/($A132*MIN(C$6,$B$11)))^2)+IF(OR(D$7="",D$8=0),0,D$8*(D$7-E$16*(1-$A132)*(1-(1-$A132)^MIN(D$6,$B$11))/($A132*MIN(D$6,$B$11)))^2)+IF(OR(E$7="",E$8=0),0,E$8*(E$7-E$16*(1-$A132)*(1-(1-$A132)^MIN(E$6,$B$11))/($A132*MIN(E$6,$B$11)))^2)</f>
        <v/>
      </c>
      <c r="F132" s="27">
        <f>IF(OR(B$7="",B$8=0),0,B$8*(B$7-F$16*(1-$A132)*(1-(1-$A132)^MIN(B$6,$B$11))/($A132*MIN(B$6,$B$11)))^2)+IF(OR(C$7="",C$8=0),0,C$8*(C$7-F$16*(1-$A132)*(1-(1-$A132)^MIN(C$6,$B$11))/($A132*MIN(C$6,$B$11)))^2)+IF(OR(D$7="",D$8=0),0,D$8*(D$7-F$16*(1-$A132)*(1-(1-$A132)^MIN(D$6,$B$11))/($A132*MIN(D$6,$B$11)))^2)+IF(OR(E$7="",E$8=0),0,E$8*(E$7-F$16*(1-$A132)*(1-(1-$A132)^MIN(E$6,$B$11))/($A132*MIN(E$6,$B$11)))^2)</f>
        <v/>
      </c>
      <c r="G132" s="27">
        <f>IF(OR(B$7="",B$8=0),0,B$8*(B$7-G$16*(1-$A132)*(1-(1-$A132)^MIN(B$6,$B$11))/($A132*MIN(B$6,$B$11)))^2)+IF(OR(C$7="",C$8=0),0,C$8*(C$7-G$16*(1-$A132)*(1-(1-$A132)^MIN(C$6,$B$11))/($A132*MIN(C$6,$B$11)))^2)+IF(OR(D$7="",D$8=0),0,D$8*(D$7-G$16*(1-$A132)*(1-(1-$A132)^MIN(D$6,$B$11))/($A132*MIN(D$6,$B$11)))^2)+IF(OR(E$7="",E$8=0),0,E$8*(E$7-G$16*(1-$A132)*(1-(1-$A132)^MIN(E$6,$B$11))/($A132*MIN(E$6,$B$11)))^2)</f>
        <v/>
      </c>
      <c r="H132" s="27">
        <f>IF(OR(B$7="",B$8=0),0,B$8*(B$7-H$16*(1-$A132)*(1-(1-$A132)^MIN(B$6,$B$11))/($A132*MIN(B$6,$B$11)))^2)+IF(OR(C$7="",C$8=0),0,C$8*(C$7-H$16*(1-$A132)*(1-(1-$A132)^MIN(C$6,$B$11))/($A132*MIN(C$6,$B$11)))^2)+IF(OR(D$7="",D$8=0),0,D$8*(D$7-H$16*(1-$A132)*(1-(1-$A132)^MIN(D$6,$B$11))/($A132*MIN(D$6,$B$11)))^2)+IF(OR(E$7="",E$8=0),0,E$8*(E$7-H$16*(1-$A132)*(1-(1-$A132)^MIN(E$6,$B$11))/($A132*MIN(E$6,$B$11)))^2)</f>
        <v/>
      </c>
      <c r="I132" s="27">
        <f>IF(OR(B$7="",B$8=0),0,B$8*(B$7-I$16*(1-$A132)*(1-(1-$A132)^MIN(B$6,$B$11))/($A132*MIN(B$6,$B$11)))^2)+IF(OR(C$7="",C$8=0),0,C$8*(C$7-I$16*(1-$A132)*(1-(1-$A132)^MIN(C$6,$B$11))/($A132*MIN(C$6,$B$11)))^2)+IF(OR(D$7="",D$8=0),0,D$8*(D$7-I$16*(1-$A132)*(1-(1-$A132)^MIN(D$6,$B$11))/($A132*MIN(D$6,$B$11)))^2)+IF(OR(E$7="",E$8=0),0,E$8*(E$7-I$16*(1-$A132)*(1-(1-$A132)^MIN(E$6,$B$11))/($A132*MIN(E$6,$B$11)))^2)</f>
        <v/>
      </c>
      <c r="J132" s="27">
        <f>IF(OR(B$7="",B$8=0),0,B$8*(B$7-J$16*(1-$A132)*(1-(1-$A132)^MIN(B$6,$B$11))/($A132*MIN(B$6,$B$11)))^2)+IF(OR(C$7="",C$8=0),0,C$8*(C$7-J$16*(1-$A132)*(1-(1-$A132)^MIN(C$6,$B$11))/($A132*MIN(C$6,$B$11)))^2)+IF(OR(D$7="",D$8=0),0,D$8*(D$7-J$16*(1-$A132)*(1-(1-$A132)^MIN(D$6,$B$11))/($A132*MIN(D$6,$B$11)))^2)+IF(OR(E$7="",E$8=0),0,E$8*(E$7-J$16*(1-$A132)*(1-(1-$A132)^MIN(E$6,$B$11))/($A132*MIN(E$6,$B$11)))^2)</f>
        <v/>
      </c>
      <c r="K132" s="27">
        <f>IF(OR(B$7="",B$8=0),0,B$8*(B$7-K$16*(1-$A132)*(1-(1-$A132)^MIN(B$6,$B$11))/($A132*MIN(B$6,$B$11)))^2)+IF(OR(C$7="",C$8=0),0,C$8*(C$7-K$16*(1-$A132)*(1-(1-$A132)^MIN(C$6,$B$11))/($A132*MIN(C$6,$B$11)))^2)+IF(OR(D$7="",D$8=0),0,D$8*(D$7-K$16*(1-$A132)*(1-(1-$A132)^MIN(D$6,$B$11))/($A132*MIN(D$6,$B$11)))^2)+IF(OR(E$7="",E$8=0),0,E$8*(E$7-K$16*(1-$A132)*(1-(1-$A132)^MIN(E$6,$B$11))/($A132*MIN(E$6,$B$11)))^2)</f>
        <v/>
      </c>
      <c r="L132" s="27">
        <f>IF(OR(B$7="",B$8=0),0,B$8*(B$7-L$16*(1-$A132)*(1-(1-$A132)^MIN(B$6,$B$11))/($A132*MIN(B$6,$B$11)))^2)+IF(OR(C$7="",C$8=0),0,C$8*(C$7-L$16*(1-$A132)*(1-(1-$A132)^MIN(C$6,$B$11))/($A132*MIN(C$6,$B$11)))^2)+IF(OR(D$7="",D$8=0),0,D$8*(D$7-L$16*(1-$A132)*(1-(1-$A132)^MIN(D$6,$B$11))/($A132*MIN(D$6,$B$11)))^2)+IF(OR(E$7="",E$8=0),0,E$8*(E$7-L$16*(1-$A132)*(1-(1-$A132)^MIN(E$6,$B$11))/($A132*MIN(E$6,$B$11)))^2)</f>
        <v/>
      </c>
      <c r="M132" s="27">
        <f>IF(OR(B$7="",B$8=0),0,B$8*(B$7-M$16*(1-$A132)*(1-(1-$A132)^MIN(B$6,$B$11))/($A132*MIN(B$6,$B$11)))^2)+IF(OR(C$7="",C$8=0),0,C$8*(C$7-M$16*(1-$A132)*(1-(1-$A132)^MIN(C$6,$B$11))/($A132*MIN(C$6,$B$11)))^2)+IF(OR(D$7="",D$8=0),0,D$8*(D$7-M$16*(1-$A132)*(1-(1-$A132)^MIN(D$6,$B$11))/($A132*MIN(D$6,$B$11)))^2)+IF(OR(E$7="",E$8=0),0,E$8*(E$7-M$16*(1-$A132)*(1-(1-$A132)^MIN(E$6,$B$11))/($A132*MIN(E$6,$B$11)))^2)</f>
        <v/>
      </c>
      <c r="N132" s="27">
        <f>IF(OR(B$7="",B$8=0),0,B$8*(B$7-N$16*(1-$A132)*(1-(1-$A132)^MIN(B$6,$B$11))/($A132*MIN(B$6,$B$11)))^2)+IF(OR(C$7="",C$8=0),0,C$8*(C$7-N$16*(1-$A132)*(1-(1-$A132)^MIN(C$6,$B$11))/($A132*MIN(C$6,$B$11)))^2)+IF(OR(D$7="",D$8=0),0,D$8*(D$7-N$16*(1-$A132)*(1-(1-$A132)^MIN(D$6,$B$11))/($A132*MIN(D$6,$B$11)))^2)+IF(OR(E$7="",E$8=0),0,E$8*(E$7-N$16*(1-$A132)*(1-(1-$A132)^MIN(E$6,$B$11))/($A132*MIN(E$6,$B$11)))^2)</f>
        <v/>
      </c>
      <c r="O132" s="27">
        <f>IF(OR(B$7="",B$8=0),0,B$8*(B$7-O$16*(1-$A132)*(1-(1-$A132)^MIN(B$6,$B$11))/($A132*MIN(B$6,$B$11)))^2)+IF(OR(C$7="",C$8=0),0,C$8*(C$7-O$16*(1-$A132)*(1-(1-$A132)^MIN(C$6,$B$11))/($A132*MIN(C$6,$B$11)))^2)+IF(OR(D$7="",D$8=0),0,D$8*(D$7-O$16*(1-$A132)*(1-(1-$A132)^MIN(D$6,$B$11))/($A132*MIN(D$6,$B$11)))^2)+IF(OR(E$7="",E$8=0),0,E$8*(E$7-O$16*(1-$A132)*(1-(1-$A132)^MIN(E$6,$B$11))/($A132*MIN(E$6,$B$11)))^2)</f>
        <v/>
      </c>
      <c r="P132" s="27">
        <f>IF(OR(B$7="",B$8=0),0,B$8*(B$7-P$16*(1-$A132)*(1-(1-$A132)^MIN(B$6,$B$11))/($A132*MIN(B$6,$B$11)))^2)+IF(OR(C$7="",C$8=0),0,C$8*(C$7-P$16*(1-$A132)*(1-(1-$A132)^MIN(C$6,$B$11))/($A132*MIN(C$6,$B$11)))^2)+IF(OR(D$7="",D$8=0),0,D$8*(D$7-P$16*(1-$A132)*(1-(1-$A132)^MIN(D$6,$B$11))/($A132*MIN(D$6,$B$11)))^2)+IF(OR(E$7="",E$8=0),0,E$8*(E$7-P$16*(1-$A132)*(1-(1-$A132)^MIN(E$6,$B$11))/($A132*MIN(E$6,$B$11)))^2)</f>
        <v/>
      </c>
      <c r="Q132" s="27">
        <f>IF(OR(B$7="",B$8=0),0,B$8*(B$7-Q$16*(1-$A132)*(1-(1-$A132)^MIN(B$6,$B$11))/($A132*MIN(B$6,$B$11)))^2)+IF(OR(C$7="",C$8=0),0,C$8*(C$7-Q$16*(1-$A132)*(1-(1-$A132)^MIN(C$6,$B$11))/($A132*MIN(C$6,$B$11)))^2)+IF(OR(D$7="",D$8=0),0,D$8*(D$7-Q$16*(1-$A132)*(1-(1-$A132)^MIN(D$6,$B$11))/($A132*MIN(D$6,$B$11)))^2)+IF(OR(E$7="",E$8=0),0,E$8*(E$7-Q$16*(1-$A132)*(1-(1-$A132)^MIN(E$6,$B$11))/($A132*MIN(E$6,$B$11)))^2)</f>
        <v/>
      </c>
      <c r="R132" s="27">
        <f>IF(OR(B$7="",B$8=0),0,B$8*(B$7-R$16*(1-$A132)*(1-(1-$A132)^MIN(B$6,$B$11))/($A132*MIN(B$6,$B$11)))^2)+IF(OR(C$7="",C$8=0),0,C$8*(C$7-R$16*(1-$A132)*(1-(1-$A132)^MIN(C$6,$B$11))/($A132*MIN(C$6,$B$11)))^2)+IF(OR(D$7="",D$8=0),0,D$8*(D$7-R$16*(1-$A132)*(1-(1-$A132)^MIN(D$6,$B$11))/($A132*MIN(D$6,$B$11)))^2)+IF(OR(E$7="",E$8=0),0,E$8*(E$7-R$16*(1-$A132)*(1-(1-$A132)^MIN(E$6,$B$11))/($A132*MIN(E$6,$B$11)))^2)</f>
        <v/>
      </c>
      <c r="S132" s="27">
        <f>IF(OR(B$7="",B$8=0),0,B$8*(B$7-S$16*(1-$A132)*(1-(1-$A132)^MIN(B$6,$B$11))/($A132*MIN(B$6,$B$11)))^2)+IF(OR(C$7="",C$8=0),0,C$8*(C$7-S$16*(1-$A132)*(1-(1-$A132)^MIN(C$6,$B$11))/($A132*MIN(C$6,$B$11)))^2)+IF(OR(D$7="",D$8=0),0,D$8*(D$7-S$16*(1-$A132)*(1-(1-$A132)^MIN(D$6,$B$11))/($A132*MIN(D$6,$B$11)))^2)+IF(OR(E$7="",E$8=0),0,E$8*(E$7-S$16*(1-$A132)*(1-(1-$A132)^MIN(E$6,$B$11))/($A132*MIN(E$6,$B$11)))^2)</f>
        <v/>
      </c>
      <c r="U132" s="27">
        <f>MIN(B132:S132)</f>
        <v/>
      </c>
      <c r="V132" s="17">
        <f>MATCH(U132,B132:S132,0)</f>
        <v/>
      </c>
    </row>
    <row r="133">
      <c r="A133" s="26" t="n">
        <v>0.063</v>
      </c>
      <c r="B133" s="27">
        <f>IF(OR(B$7="",B$8=0),0,B$8*(B$7-B$16*(1-$A133)*(1-(1-$A133)^MIN(B$6,$B$11))/($A133*MIN(B$6,$B$11)))^2)+IF(OR(C$7="",C$8=0),0,C$8*(C$7-B$16*(1-$A133)*(1-(1-$A133)^MIN(C$6,$B$11))/($A133*MIN(C$6,$B$11)))^2)+IF(OR(D$7="",D$8=0),0,D$8*(D$7-B$16*(1-$A133)*(1-(1-$A133)^MIN(D$6,$B$11))/($A133*MIN(D$6,$B$11)))^2)+IF(OR(E$7="",E$8=0),0,E$8*(E$7-B$16*(1-$A133)*(1-(1-$A133)^MIN(E$6,$B$11))/($A133*MIN(E$6,$B$11)))^2)</f>
        <v/>
      </c>
      <c r="C133" s="27">
        <f>IF(OR(B$7="",B$8=0),0,B$8*(B$7-C$16*(1-$A133)*(1-(1-$A133)^MIN(B$6,$B$11))/($A133*MIN(B$6,$B$11)))^2)+IF(OR(C$7="",C$8=0),0,C$8*(C$7-C$16*(1-$A133)*(1-(1-$A133)^MIN(C$6,$B$11))/($A133*MIN(C$6,$B$11)))^2)+IF(OR(D$7="",D$8=0),0,D$8*(D$7-C$16*(1-$A133)*(1-(1-$A133)^MIN(D$6,$B$11))/($A133*MIN(D$6,$B$11)))^2)+IF(OR(E$7="",E$8=0),0,E$8*(E$7-C$16*(1-$A133)*(1-(1-$A133)^MIN(E$6,$B$11))/($A133*MIN(E$6,$B$11)))^2)</f>
        <v/>
      </c>
      <c r="D133" s="27">
        <f>IF(OR(B$7="",B$8=0),0,B$8*(B$7-D$16*(1-$A133)*(1-(1-$A133)^MIN(B$6,$B$11))/($A133*MIN(B$6,$B$11)))^2)+IF(OR(C$7="",C$8=0),0,C$8*(C$7-D$16*(1-$A133)*(1-(1-$A133)^MIN(C$6,$B$11))/($A133*MIN(C$6,$B$11)))^2)+IF(OR(D$7="",D$8=0),0,D$8*(D$7-D$16*(1-$A133)*(1-(1-$A133)^MIN(D$6,$B$11))/($A133*MIN(D$6,$B$11)))^2)+IF(OR(E$7="",E$8=0),0,E$8*(E$7-D$16*(1-$A133)*(1-(1-$A133)^MIN(E$6,$B$11))/($A133*MIN(E$6,$B$11)))^2)</f>
        <v/>
      </c>
      <c r="E133" s="27">
        <f>IF(OR(B$7="",B$8=0),0,B$8*(B$7-E$16*(1-$A133)*(1-(1-$A133)^MIN(B$6,$B$11))/($A133*MIN(B$6,$B$11)))^2)+IF(OR(C$7="",C$8=0),0,C$8*(C$7-E$16*(1-$A133)*(1-(1-$A133)^MIN(C$6,$B$11))/($A133*MIN(C$6,$B$11)))^2)+IF(OR(D$7="",D$8=0),0,D$8*(D$7-E$16*(1-$A133)*(1-(1-$A133)^MIN(D$6,$B$11))/($A133*MIN(D$6,$B$11)))^2)+IF(OR(E$7="",E$8=0),0,E$8*(E$7-E$16*(1-$A133)*(1-(1-$A133)^MIN(E$6,$B$11))/($A133*MIN(E$6,$B$11)))^2)</f>
        <v/>
      </c>
      <c r="F133" s="27">
        <f>IF(OR(B$7="",B$8=0),0,B$8*(B$7-F$16*(1-$A133)*(1-(1-$A133)^MIN(B$6,$B$11))/($A133*MIN(B$6,$B$11)))^2)+IF(OR(C$7="",C$8=0),0,C$8*(C$7-F$16*(1-$A133)*(1-(1-$A133)^MIN(C$6,$B$11))/($A133*MIN(C$6,$B$11)))^2)+IF(OR(D$7="",D$8=0),0,D$8*(D$7-F$16*(1-$A133)*(1-(1-$A133)^MIN(D$6,$B$11))/($A133*MIN(D$6,$B$11)))^2)+IF(OR(E$7="",E$8=0),0,E$8*(E$7-F$16*(1-$A133)*(1-(1-$A133)^MIN(E$6,$B$11))/($A133*MIN(E$6,$B$11)))^2)</f>
        <v/>
      </c>
      <c r="G133" s="27">
        <f>IF(OR(B$7="",B$8=0),0,B$8*(B$7-G$16*(1-$A133)*(1-(1-$A133)^MIN(B$6,$B$11))/($A133*MIN(B$6,$B$11)))^2)+IF(OR(C$7="",C$8=0),0,C$8*(C$7-G$16*(1-$A133)*(1-(1-$A133)^MIN(C$6,$B$11))/($A133*MIN(C$6,$B$11)))^2)+IF(OR(D$7="",D$8=0),0,D$8*(D$7-G$16*(1-$A133)*(1-(1-$A133)^MIN(D$6,$B$11))/($A133*MIN(D$6,$B$11)))^2)+IF(OR(E$7="",E$8=0),0,E$8*(E$7-G$16*(1-$A133)*(1-(1-$A133)^MIN(E$6,$B$11))/($A133*MIN(E$6,$B$11)))^2)</f>
        <v/>
      </c>
      <c r="H133" s="27">
        <f>IF(OR(B$7="",B$8=0),0,B$8*(B$7-H$16*(1-$A133)*(1-(1-$A133)^MIN(B$6,$B$11))/($A133*MIN(B$6,$B$11)))^2)+IF(OR(C$7="",C$8=0),0,C$8*(C$7-H$16*(1-$A133)*(1-(1-$A133)^MIN(C$6,$B$11))/($A133*MIN(C$6,$B$11)))^2)+IF(OR(D$7="",D$8=0),0,D$8*(D$7-H$16*(1-$A133)*(1-(1-$A133)^MIN(D$6,$B$11))/($A133*MIN(D$6,$B$11)))^2)+IF(OR(E$7="",E$8=0),0,E$8*(E$7-H$16*(1-$A133)*(1-(1-$A133)^MIN(E$6,$B$11))/($A133*MIN(E$6,$B$11)))^2)</f>
        <v/>
      </c>
      <c r="I133" s="27">
        <f>IF(OR(B$7="",B$8=0),0,B$8*(B$7-I$16*(1-$A133)*(1-(1-$A133)^MIN(B$6,$B$11))/($A133*MIN(B$6,$B$11)))^2)+IF(OR(C$7="",C$8=0),0,C$8*(C$7-I$16*(1-$A133)*(1-(1-$A133)^MIN(C$6,$B$11))/($A133*MIN(C$6,$B$11)))^2)+IF(OR(D$7="",D$8=0),0,D$8*(D$7-I$16*(1-$A133)*(1-(1-$A133)^MIN(D$6,$B$11))/($A133*MIN(D$6,$B$11)))^2)+IF(OR(E$7="",E$8=0),0,E$8*(E$7-I$16*(1-$A133)*(1-(1-$A133)^MIN(E$6,$B$11))/($A133*MIN(E$6,$B$11)))^2)</f>
        <v/>
      </c>
      <c r="J133" s="27">
        <f>IF(OR(B$7="",B$8=0),0,B$8*(B$7-J$16*(1-$A133)*(1-(1-$A133)^MIN(B$6,$B$11))/($A133*MIN(B$6,$B$11)))^2)+IF(OR(C$7="",C$8=0),0,C$8*(C$7-J$16*(1-$A133)*(1-(1-$A133)^MIN(C$6,$B$11))/($A133*MIN(C$6,$B$11)))^2)+IF(OR(D$7="",D$8=0),0,D$8*(D$7-J$16*(1-$A133)*(1-(1-$A133)^MIN(D$6,$B$11))/($A133*MIN(D$6,$B$11)))^2)+IF(OR(E$7="",E$8=0),0,E$8*(E$7-J$16*(1-$A133)*(1-(1-$A133)^MIN(E$6,$B$11))/($A133*MIN(E$6,$B$11)))^2)</f>
        <v/>
      </c>
      <c r="K133" s="27">
        <f>IF(OR(B$7="",B$8=0),0,B$8*(B$7-K$16*(1-$A133)*(1-(1-$A133)^MIN(B$6,$B$11))/($A133*MIN(B$6,$B$11)))^2)+IF(OR(C$7="",C$8=0),0,C$8*(C$7-K$16*(1-$A133)*(1-(1-$A133)^MIN(C$6,$B$11))/($A133*MIN(C$6,$B$11)))^2)+IF(OR(D$7="",D$8=0),0,D$8*(D$7-K$16*(1-$A133)*(1-(1-$A133)^MIN(D$6,$B$11))/($A133*MIN(D$6,$B$11)))^2)+IF(OR(E$7="",E$8=0),0,E$8*(E$7-K$16*(1-$A133)*(1-(1-$A133)^MIN(E$6,$B$11))/($A133*MIN(E$6,$B$11)))^2)</f>
        <v/>
      </c>
      <c r="L133" s="27">
        <f>IF(OR(B$7="",B$8=0),0,B$8*(B$7-L$16*(1-$A133)*(1-(1-$A133)^MIN(B$6,$B$11))/($A133*MIN(B$6,$B$11)))^2)+IF(OR(C$7="",C$8=0),0,C$8*(C$7-L$16*(1-$A133)*(1-(1-$A133)^MIN(C$6,$B$11))/($A133*MIN(C$6,$B$11)))^2)+IF(OR(D$7="",D$8=0),0,D$8*(D$7-L$16*(1-$A133)*(1-(1-$A133)^MIN(D$6,$B$11))/($A133*MIN(D$6,$B$11)))^2)+IF(OR(E$7="",E$8=0),0,E$8*(E$7-L$16*(1-$A133)*(1-(1-$A133)^MIN(E$6,$B$11))/($A133*MIN(E$6,$B$11)))^2)</f>
        <v/>
      </c>
      <c r="M133" s="27">
        <f>IF(OR(B$7="",B$8=0),0,B$8*(B$7-M$16*(1-$A133)*(1-(1-$A133)^MIN(B$6,$B$11))/($A133*MIN(B$6,$B$11)))^2)+IF(OR(C$7="",C$8=0),0,C$8*(C$7-M$16*(1-$A133)*(1-(1-$A133)^MIN(C$6,$B$11))/($A133*MIN(C$6,$B$11)))^2)+IF(OR(D$7="",D$8=0),0,D$8*(D$7-M$16*(1-$A133)*(1-(1-$A133)^MIN(D$6,$B$11))/($A133*MIN(D$6,$B$11)))^2)+IF(OR(E$7="",E$8=0),0,E$8*(E$7-M$16*(1-$A133)*(1-(1-$A133)^MIN(E$6,$B$11))/($A133*MIN(E$6,$B$11)))^2)</f>
        <v/>
      </c>
      <c r="N133" s="27">
        <f>IF(OR(B$7="",B$8=0),0,B$8*(B$7-N$16*(1-$A133)*(1-(1-$A133)^MIN(B$6,$B$11))/($A133*MIN(B$6,$B$11)))^2)+IF(OR(C$7="",C$8=0),0,C$8*(C$7-N$16*(1-$A133)*(1-(1-$A133)^MIN(C$6,$B$11))/($A133*MIN(C$6,$B$11)))^2)+IF(OR(D$7="",D$8=0),0,D$8*(D$7-N$16*(1-$A133)*(1-(1-$A133)^MIN(D$6,$B$11))/($A133*MIN(D$6,$B$11)))^2)+IF(OR(E$7="",E$8=0),0,E$8*(E$7-N$16*(1-$A133)*(1-(1-$A133)^MIN(E$6,$B$11))/($A133*MIN(E$6,$B$11)))^2)</f>
        <v/>
      </c>
      <c r="O133" s="27">
        <f>IF(OR(B$7="",B$8=0),0,B$8*(B$7-O$16*(1-$A133)*(1-(1-$A133)^MIN(B$6,$B$11))/($A133*MIN(B$6,$B$11)))^2)+IF(OR(C$7="",C$8=0),0,C$8*(C$7-O$16*(1-$A133)*(1-(1-$A133)^MIN(C$6,$B$11))/($A133*MIN(C$6,$B$11)))^2)+IF(OR(D$7="",D$8=0),0,D$8*(D$7-O$16*(1-$A133)*(1-(1-$A133)^MIN(D$6,$B$11))/($A133*MIN(D$6,$B$11)))^2)+IF(OR(E$7="",E$8=0),0,E$8*(E$7-O$16*(1-$A133)*(1-(1-$A133)^MIN(E$6,$B$11))/($A133*MIN(E$6,$B$11)))^2)</f>
        <v/>
      </c>
      <c r="P133" s="27">
        <f>IF(OR(B$7="",B$8=0),0,B$8*(B$7-P$16*(1-$A133)*(1-(1-$A133)^MIN(B$6,$B$11))/($A133*MIN(B$6,$B$11)))^2)+IF(OR(C$7="",C$8=0),0,C$8*(C$7-P$16*(1-$A133)*(1-(1-$A133)^MIN(C$6,$B$11))/($A133*MIN(C$6,$B$11)))^2)+IF(OR(D$7="",D$8=0),0,D$8*(D$7-P$16*(1-$A133)*(1-(1-$A133)^MIN(D$6,$B$11))/($A133*MIN(D$6,$B$11)))^2)+IF(OR(E$7="",E$8=0),0,E$8*(E$7-P$16*(1-$A133)*(1-(1-$A133)^MIN(E$6,$B$11))/($A133*MIN(E$6,$B$11)))^2)</f>
        <v/>
      </c>
      <c r="Q133" s="27">
        <f>IF(OR(B$7="",B$8=0),0,B$8*(B$7-Q$16*(1-$A133)*(1-(1-$A133)^MIN(B$6,$B$11))/($A133*MIN(B$6,$B$11)))^2)+IF(OR(C$7="",C$8=0),0,C$8*(C$7-Q$16*(1-$A133)*(1-(1-$A133)^MIN(C$6,$B$11))/($A133*MIN(C$6,$B$11)))^2)+IF(OR(D$7="",D$8=0),0,D$8*(D$7-Q$16*(1-$A133)*(1-(1-$A133)^MIN(D$6,$B$11))/($A133*MIN(D$6,$B$11)))^2)+IF(OR(E$7="",E$8=0),0,E$8*(E$7-Q$16*(1-$A133)*(1-(1-$A133)^MIN(E$6,$B$11))/($A133*MIN(E$6,$B$11)))^2)</f>
        <v/>
      </c>
      <c r="R133" s="27">
        <f>IF(OR(B$7="",B$8=0),0,B$8*(B$7-R$16*(1-$A133)*(1-(1-$A133)^MIN(B$6,$B$11))/($A133*MIN(B$6,$B$11)))^2)+IF(OR(C$7="",C$8=0),0,C$8*(C$7-R$16*(1-$A133)*(1-(1-$A133)^MIN(C$6,$B$11))/($A133*MIN(C$6,$B$11)))^2)+IF(OR(D$7="",D$8=0),0,D$8*(D$7-R$16*(1-$A133)*(1-(1-$A133)^MIN(D$6,$B$11))/($A133*MIN(D$6,$B$11)))^2)+IF(OR(E$7="",E$8=0),0,E$8*(E$7-R$16*(1-$A133)*(1-(1-$A133)^MIN(E$6,$B$11))/($A133*MIN(E$6,$B$11)))^2)</f>
        <v/>
      </c>
      <c r="S133" s="27">
        <f>IF(OR(B$7="",B$8=0),0,B$8*(B$7-S$16*(1-$A133)*(1-(1-$A133)^MIN(B$6,$B$11))/($A133*MIN(B$6,$B$11)))^2)+IF(OR(C$7="",C$8=0),0,C$8*(C$7-S$16*(1-$A133)*(1-(1-$A133)^MIN(C$6,$B$11))/($A133*MIN(C$6,$B$11)))^2)+IF(OR(D$7="",D$8=0),0,D$8*(D$7-S$16*(1-$A133)*(1-(1-$A133)^MIN(D$6,$B$11))/($A133*MIN(D$6,$B$11)))^2)+IF(OR(E$7="",E$8=0),0,E$8*(E$7-S$16*(1-$A133)*(1-(1-$A133)^MIN(E$6,$B$11))/($A133*MIN(E$6,$B$11)))^2)</f>
        <v/>
      </c>
      <c r="U133" s="27">
        <f>MIN(B133:S133)</f>
        <v/>
      </c>
      <c r="V133" s="17">
        <f>MATCH(U133,B133:S133,0)</f>
        <v/>
      </c>
    </row>
    <row r="134">
      <c r="A134" s="26" t="n">
        <v>0.0635</v>
      </c>
      <c r="B134" s="27">
        <f>IF(OR(B$7="",B$8=0),0,B$8*(B$7-B$16*(1-$A134)*(1-(1-$A134)^MIN(B$6,$B$11))/($A134*MIN(B$6,$B$11)))^2)+IF(OR(C$7="",C$8=0),0,C$8*(C$7-B$16*(1-$A134)*(1-(1-$A134)^MIN(C$6,$B$11))/($A134*MIN(C$6,$B$11)))^2)+IF(OR(D$7="",D$8=0),0,D$8*(D$7-B$16*(1-$A134)*(1-(1-$A134)^MIN(D$6,$B$11))/($A134*MIN(D$6,$B$11)))^2)+IF(OR(E$7="",E$8=0),0,E$8*(E$7-B$16*(1-$A134)*(1-(1-$A134)^MIN(E$6,$B$11))/($A134*MIN(E$6,$B$11)))^2)</f>
        <v/>
      </c>
      <c r="C134" s="27">
        <f>IF(OR(B$7="",B$8=0),0,B$8*(B$7-C$16*(1-$A134)*(1-(1-$A134)^MIN(B$6,$B$11))/($A134*MIN(B$6,$B$11)))^2)+IF(OR(C$7="",C$8=0),0,C$8*(C$7-C$16*(1-$A134)*(1-(1-$A134)^MIN(C$6,$B$11))/($A134*MIN(C$6,$B$11)))^2)+IF(OR(D$7="",D$8=0),0,D$8*(D$7-C$16*(1-$A134)*(1-(1-$A134)^MIN(D$6,$B$11))/($A134*MIN(D$6,$B$11)))^2)+IF(OR(E$7="",E$8=0),0,E$8*(E$7-C$16*(1-$A134)*(1-(1-$A134)^MIN(E$6,$B$11))/($A134*MIN(E$6,$B$11)))^2)</f>
        <v/>
      </c>
      <c r="D134" s="27">
        <f>IF(OR(B$7="",B$8=0),0,B$8*(B$7-D$16*(1-$A134)*(1-(1-$A134)^MIN(B$6,$B$11))/($A134*MIN(B$6,$B$11)))^2)+IF(OR(C$7="",C$8=0),0,C$8*(C$7-D$16*(1-$A134)*(1-(1-$A134)^MIN(C$6,$B$11))/($A134*MIN(C$6,$B$11)))^2)+IF(OR(D$7="",D$8=0),0,D$8*(D$7-D$16*(1-$A134)*(1-(1-$A134)^MIN(D$6,$B$11))/($A134*MIN(D$6,$B$11)))^2)+IF(OR(E$7="",E$8=0),0,E$8*(E$7-D$16*(1-$A134)*(1-(1-$A134)^MIN(E$6,$B$11))/($A134*MIN(E$6,$B$11)))^2)</f>
        <v/>
      </c>
      <c r="E134" s="27">
        <f>IF(OR(B$7="",B$8=0),0,B$8*(B$7-E$16*(1-$A134)*(1-(1-$A134)^MIN(B$6,$B$11))/($A134*MIN(B$6,$B$11)))^2)+IF(OR(C$7="",C$8=0),0,C$8*(C$7-E$16*(1-$A134)*(1-(1-$A134)^MIN(C$6,$B$11))/($A134*MIN(C$6,$B$11)))^2)+IF(OR(D$7="",D$8=0),0,D$8*(D$7-E$16*(1-$A134)*(1-(1-$A134)^MIN(D$6,$B$11))/($A134*MIN(D$6,$B$11)))^2)+IF(OR(E$7="",E$8=0),0,E$8*(E$7-E$16*(1-$A134)*(1-(1-$A134)^MIN(E$6,$B$11))/($A134*MIN(E$6,$B$11)))^2)</f>
        <v/>
      </c>
      <c r="F134" s="27">
        <f>IF(OR(B$7="",B$8=0),0,B$8*(B$7-F$16*(1-$A134)*(1-(1-$A134)^MIN(B$6,$B$11))/($A134*MIN(B$6,$B$11)))^2)+IF(OR(C$7="",C$8=0),0,C$8*(C$7-F$16*(1-$A134)*(1-(1-$A134)^MIN(C$6,$B$11))/($A134*MIN(C$6,$B$11)))^2)+IF(OR(D$7="",D$8=0),0,D$8*(D$7-F$16*(1-$A134)*(1-(1-$A134)^MIN(D$6,$B$11))/($A134*MIN(D$6,$B$11)))^2)+IF(OR(E$7="",E$8=0),0,E$8*(E$7-F$16*(1-$A134)*(1-(1-$A134)^MIN(E$6,$B$11))/($A134*MIN(E$6,$B$11)))^2)</f>
        <v/>
      </c>
      <c r="G134" s="27">
        <f>IF(OR(B$7="",B$8=0),0,B$8*(B$7-G$16*(1-$A134)*(1-(1-$A134)^MIN(B$6,$B$11))/($A134*MIN(B$6,$B$11)))^2)+IF(OR(C$7="",C$8=0),0,C$8*(C$7-G$16*(1-$A134)*(1-(1-$A134)^MIN(C$6,$B$11))/($A134*MIN(C$6,$B$11)))^2)+IF(OR(D$7="",D$8=0),0,D$8*(D$7-G$16*(1-$A134)*(1-(1-$A134)^MIN(D$6,$B$11))/($A134*MIN(D$6,$B$11)))^2)+IF(OR(E$7="",E$8=0),0,E$8*(E$7-G$16*(1-$A134)*(1-(1-$A134)^MIN(E$6,$B$11))/($A134*MIN(E$6,$B$11)))^2)</f>
        <v/>
      </c>
      <c r="H134" s="27">
        <f>IF(OR(B$7="",B$8=0),0,B$8*(B$7-H$16*(1-$A134)*(1-(1-$A134)^MIN(B$6,$B$11))/($A134*MIN(B$6,$B$11)))^2)+IF(OR(C$7="",C$8=0),0,C$8*(C$7-H$16*(1-$A134)*(1-(1-$A134)^MIN(C$6,$B$11))/($A134*MIN(C$6,$B$11)))^2)+IF(OR(D$7="",D$8=0),0,D$8*(D$7-H$16*(1-$A134)*(1-(1-$A134)^MIN(D$6,$B$11))/($A134*MIN(D$6,$B$11)))^2)+IF(OR(E$7="",E$8=0),0,E$8*(E$7-H$16*(1-$A134)*(1-(1-$A134)^MIN(E$6,$B$11))/($A134*MIN(E$6,$B$11)))^2)</f>
        <v/>
      </c>
      <c r="I134" s="27">
        <f>IF(OR(B$7="",B$8=0),0,B$8*(B$7-I$16*(1-$A134)*(1-(1-$A134)^MIN(B$6,$B$11))/($A134*MIN(B$6,$B$11)))^2)+IF(OR(C$7="",C$8=0),0,C$8*(C$7-I$16*(1-$A134)*(1-(1-$A134)^MIN(C$6,$B$11))/($A134*MIN(C$6,$B$11)))^2)+IF(OR(D$7="",D$8=0),0,D$8*(D$7-I$16*(1-$A134)*(1-(1-$A134)^MIN(D$6,$B$11))/($A134*MIN(D$6,$B$11)))^2)+IF(OR(E$7="",E$8=0),0,E$8*(E$7-I$16*(1-$A134)*(1-(1-$A134)^MIN(E$6,$B$11))/($A134*MIN(E$6,$B$11)))^2)</f>
        <v/>
      </c>
      <c r="J134" s="27">
        <f>IF(OR(B$7="",B$8=0),0,B$8*(B$7-J$16*(1-$A134)*(1-(1-$A134)^MIN(B$6,$B$11))/($A134*MIN(B$6,$B$11)))^2)+IF(OR(C$7="",C$8=0),0,C$8*(C$7-J$16*(1-$A134)*(1-(1-$A134)^MIN(C$6,$B$11))/($A134*MIN(C$6,$B$11)))^2)+IF(OR(D$7="",D$8=0),0,D$8*(D$7-J$16*(1-$A134)*(1-(1-$A134)^MIN(D$6,$B$11))/($A134*MIN(D$6,$B$11)))^2)+IF(OR(E$7="",E$8=0),0,E$8*(E$7-J$16*(1-$A134)*(1-(1-$A134)^MIN(E$6,$B$11))/($A134*MIN(E$6,$B$11)))^2)</f>
        <v/>
      </c>
      <c r="K134" s="27">
        <f>IF(OR(B$7="",B$8=0),0,B$8*(B$7-K$16*(1-$A134)*(1-(1-$A134)^MIN(B$6,$B$11))/($A134*MIN(B$6,$B$11)))^2)+IF(OR(C$7="",C$8=0),0,C$8*(C$7-K$16*(1-$A134)*(1-(1-$A134)^MIN(C$6,$B$11))/($A134*MIN(C$6,$B$11)))^2)+IF(OR(D$7="",D$8=0),0,D$8*(D$7-K$16*(1-$A134)*(1-(1-$A134)^MIN(D$6,$B$11))/($A134*MIN(D$6,$B$11)))^2)+IF(OR(E$7="",E$8=0),0,E$8*(E$7-K$16*(1-$A134)*(1-(1-$A134)^MIN(E$6,$B$11))/($A134*MIN(E$6,$B$11)))^2)</f>
        <v/>
      </c>
      <c r="L134" s="27">
        <f>IF(OR(B$7="",B$8=0),0,B$8*(B$7-L$16*(1-$A134)*(1-(1-$A134)^MIN(B$6,$B$11))/($A134*MIN(B$6,$B$11)))^2)+IF(OR(C$7="",C$8=0),0,C$8*(C$7-L$16*(1-$A134)*(1-(1-$A134)^MIN(C$6,$B$11))/($A134*MIN(C$6,$B$11)))^2)+IF(OR(D$7="",D$8=0),0,D$8*(D$7-L$16*(1-$A134)*(1-(1-$A134)^MIN(D$6,$B$11))/($A134*MIN(D$6,$B$11)))^2)+IF(OR(E$7="",E$8=0),0,E$8*(E$7-L$16*(1-$A134)*(1-(1-$A134)^MIN(E$6,$B$11))/($A134*MIN(E$6,$B$11)))^2)</f>
        <v/>
      </c>
      <c r="M134" s="27">
        <f>IF(OR(B$7="",B$8=0),0,B$8*(B$7-M$16*(1-$A134)*(1-(1-$A134)^MIN(B$6,$B$11))/($A134*MIN(B$6,$B$11)))^2)+IF(OR(C$7="",C$8=0),0,C$8*(C$7-M$16*(1-$A134)*(1-(1-$A134)^MIN(C$6,$B$11))/($A134*MIN(C$6,$B$11)))^2)+IF(OR(D$7="",D$8=0),0,D$8*(D$7-M$16*(1-$A134)*(1-(1-$A134)^MIN(D$6,$B$11))/($A134*MIN(D$6,$B$11)))^2)+IF(OR(E$7="",E$8=0),0,E$8*(E$7-M$16*(1-$A134)*(1-(1-$A134)^MIN(E$6,$B$11))/($A134*MIN(E$6,$B$11)))^2)</f>
        <v/>
      </c>
      <c r="N134" s="27">
        <f>IF(OR(B$7="",B$8=0),0,B$8*(B$7-N$16*(1-$A134)*(1-(1-$A134)^MIN(B$6,$B$11))/($A134*MIN(B$6,$B$11)))^2)+IF(OR(C$7="",C$8=0),0,C$8*(C$7-N$16*(1-$A134)*(1-(1-$A134)^MIN(C$6,$B$11))/($A134*MIN(C$6,$B$11)))^2)+IF(OR(D$7="",D$8=0),0,D$8*(D$7-N$16*(1-$A134)*(1-(1-$A134)^MIN(D$6,$B$11))/($A134*MIN(D$6,$B$11)))^2)+IF(OR(E$7="",E$8=0),0,E$8*(E$7-N$16*(1-$A134)*(1-(1-$A134)^MIN(E$6,$B$11))/($A134*MIN(E$6,$B$11)))^2)</f>
        <v/>
      </c>
      <c r="O134" s="27">
        <f>IF(OR(B$7="",B$8=0),0,B$8*(B$7-O$16*(1-$A134)*(1-(1-$A134)^MIN(B$6,$B$11))/($A134*MIN(B$6,$B$11)))^2)+IF(OR(C$7="",C$8=0),0,C$8*(C$7-O$16*(1-$A134)*(1-(1-$A134)^MIN(C$6,$B$11))/($A134*MIN(C$6,$B$11)))^2)+IF(OR(D$7="",D$8=0),0,D$8*(D$7-O$16*(1-$A134)*(1-(1-$A134)^MIN(D$6,$B$11))/($A134*MIN(D$6,$B$11)))^2)+IF(OR(E$7="",E$8=0),0,E$8*(E$7-O$16*(1-$A134)*(1-(1-$A134)^MIN(E$6,$B$11))/($A134*MIN(E$6,$B$11)))^2)</f>
        <v/>
      </c>
      <c r="P134" s="27">
        <f>IF(OR(B$7="",B$8=0),0,B$8*(B$7-P$16*(1-$A134)*(1-(1-$A134)^MIN(B$6,$B$11))/($A134*MIN(B$6,$B$11)))^2)+IF(OR(C$7="",C$8=0),0,C$8*(C$7-P$16*(1-$A134)*(1-(1-$A134)^MIN(C$6,$B$11))/($A134*MIN(C$6,$B$11)))^2)+IF(OR(D$7="",D$8=0),0,D$8*(D$7-P$16*(1-$A134)*(1-(1-$A134)^MIN(D$6,$B$11))/($A134*MIN(D$6,$B$11)))^2)+IF(OR(E$7="",E$8=0),0,E$8*(E$7-P$16*(1-$A134)*(1-(1-$A134)^MIN(E$6,$B$11))/($A134*MIN(E$6,$B$11)))^2)</f>
        <v/>
      </c>
      <c r="Q134" s="27">
        <f>IF(OR(B$7="",B$8=0),0,B$8*(B$7-Q$16*(1-$A134)*(1-(1-$A134)^MIN(B$6,$B$11))/($A134*MIN(B$6,$B$11)))^2)+IF(OR(C$7="",C$8=0),0,C$8*(C$7-Q$16*(1-$A134)*(1-(1-$A134)^MIN(C$6,$B$11))/($A134*MIN(C$6,$B$11)))^2)+IF(OR(D$7="",D$8=0),0,D$8*(D$7-Q$16*(1-$A134)*(1-(1-$A134)^MIN(D$6,$B$11))/($A134*MIN(D$6,$B$11)))^2)+IF(OR(E$7="",E$8=0),0,E$8*(E$7-Q$16*(1-$A134)*(1-(1-$A134)^MIN(E$6,$B$11))/($A134*MIN(E$6,$B$11)))^2)</f>
        <v/>
      </c>
      <c r="R134" s="27">
        <f>IF(OR(B$7="",B$8=0),0,B$8*(B$7-R$16*(1-$A134)*(1-(1-$A134)^MIN(B$6,$B$11))/($A134*MIN(B$6,$B$11)))^2)+IF(OR(C$7="",C$8=0),0,C$8*(C$7-R$16*(1-$A134)*(1-(1-$A134)^MIN(C$6,$B$11))/($A134*MIN(C$6,$B$11)))^2)+IF(OR(D$7="",D$8=0),0,D$8*(D$7-R$16*(1-$A134)*(1-(1-$A134)^MIN(D$6,$B$11))/($A134*MIN(D$6,$B$11)))^2)+IF(OR(E$7="",E$8=0),0,E$8*(E$7-R$16*(1-$A134)*(1-(1-$A134)^MIN(E$6,$B$11))/($A134*MIN(E$6,$B$11)))^2)</f>
        <v/>
      </c>
      <c r="S134" s="27">
        <f>IF(OR(B$7="",B$8=0),0,B$8*(B$7-S$16*(1-$A134)*(1-(1-$A134)^MIN(B$6,$B$11))/($A134*MIN(B$6,$B$11)))^2)+IF(OR(C$7="",C$8=0),0,C$8*(C$7-S$16*(1-$A134)*(1-(1-$A134)^MIN(C$6,$B$11))/($A134*MIN(C$6,$B$11)))^2)+IF(OR(D$7="",D$8=0),0,D$8*(D$7-S$16*(1-$A134)*(1-(1-$A134)^MIN(D$6,$B$11))/($A134*MIN(D$6,$B$11)))^2)+IF(OR(E$7="",E$8=0),0,E$8*(E$7-S$16*(1-$A134)*(1-(1-$A134)^MIN(E$6,$B$11))/($A134*MIN(E$6,$B$11)))^2)</f>
        <v/>
      </c>
      <c r="U134" s="27">
        <f>MIN(B134:S134)</f>
        <v/>
      </c>
      <c r="V134" s="17">
        <f>MATCH(U134,B134:S134,0)</f>
        <v/>
      </c>
    </row>
    <row r="135">
      <c r="A135" s="26" t="n">
        <v>0.064</v>
      </c>
      <c r="B135" s="27">
        <f>IF(OR(B$7="",B$8=0),0,B$8*(B$7-B$16*(1-$A135)*(1-(1-$A135)^MIN(B$6,$B$11))/($A135*MIN(B$6,$B$11)))^2)+IF(OR(C$7="",C$8=0),0,C$8*(C$7-B$16*(1-$A135)*(1-(1-$A135)^MIN(C$6,$B$11))/($A135*MIN(C$6,$B$11)))^2)+IF(OR(D$7="",D$8=0),0,D$8*(D$7-B$16*(1-$A135)*(1-(1-$A135)^MIN(D$6,$B$11))/($A135*MIN(D$6,$B$11)))^2)+IF(OR(E$7="",E$8=0),0,E$8*(E$7-B$16*(1-$A135)*(1-(1-$A135)^MIN(E$6,$B$11))/($A135*MIN(E$6,$B$11)))^2)</f>
        <v/>
      </c>
      <c r="C135" s="27">
        <f>IF(OR(B$7="",B$8=0),0,B$8*(B$7-C$16*(1-$A135)*(1-(1-$A135)^MIN(B$6,$B$11))/($A135*MIN(B$6,$B$11)))^2)+IF(OR(C$7="",C$8=0),0,C$8*(C$7-C$16*(1-$A135)*(1-(1-$A135)^MIN(C$6,$B$11))/($A135*MIN(C$6,$B$11)))^2)+IF(OR(D$7="",D$8=0),0,D$8*(D$7-C$16*(1-$A135)*(1-(1-$A135)^MIN(D$6,$B$11))/($A135*MIN(D$6,$B$11)))^2)+IF(OR(E$7="",E$8=0),0,E$8*(E$7-C$16*(1-$A135)*(1-(1-$A135)^MIN(E$6,$B$11))/($A135*MIN(E$6,$B$11)))^2)</f>
        <v/>
      </c>
      <c r="D135" s="27">
        <f>IF(OR(B$7="",B$8=0),0,B$8*(B$7-D$16*(1-$A135)*(1-(1-$A135)^MIN(B$6,$B$11))/($A135*MIN(B$6,$B$11)))^2)+IF(OR(C$7="",C$8=0),0,C$8*(C$7-D$16*(1-$A135)*(1-(1-$A135)^MIN(C$6,$B$11))/($A135*MIN(C$6,$B$11)))^2)+IF(OR(D$7="",D$8=0),0,D$8*(D$7-D$16*(1-$A135)*(1-(1-$A135)^MIN(D$6,$B$11))/($A135*MIN(D$6,$B$11)))^2)+IF(OR(E$7="",E$8=0),0,E$8*(E$7-D$16*(1-$A135)*(1-(1-$A135)^MIN(E$6,$B$11))/($A135*MIN(E$6,$B$11)))^2)</f>
        <v/>
      </c>
      <c r="E135" s="27">
        <f>IF(OR(B$7="",B$8=0),0,B$8*(B$7-E$16*(1-$A135)*(1-(1-$A135)^MIN(B$6,$B$11))/($A135*MIN(B$6,$B$11)))^2)+IF(OR(C$7="",C$8=0),0,C$8*(C$7-E$16*(1-$A135)*(1-(1-$A135)^MIN(C$6,$B$11))/($A135*MIN(C$6,$B$11)))^2)+IF(OR(D$7="",D$8=0),0,D$8*(D$7-E$16*(1-$A135)*(1-(1-$A135)^MIN(D$6,$B$11))/($A135*MIN(D$6,$B$11)))^2)+IF(OR(E$7="",E$8=0),0,E$8*(E$7-E$16*(1-$A135)*(1-(1-$A135)^MIN(E$6,$B$11))/($A135*MIN(E$6,$B$11)))^2)</f>
        <v/>
      </c>
      <c r="F135" s="27">
        <f>IF(OR(B$7="",B$8=0),0,B$8*(B$7-F$16*(1-$A135)*(1-(1-$A135)^MIN(B$6,$B$11))/($A135*MIN(B$6,$B$11)))^2)+IF(OR(C$7="",C$8=0),0,C$8*(C$7-F$16*(1-$A135)*(1-(1-$A135)^MIN(C$6,$B$11))/($A135*MIN(C$6,$B$11)))^2)+IF(OR(D$7="",D$8=0),0,D$8*(D$7-F$16*(1-$A135)*(1-(1-$A135)^MIN(D$6,$B$11))/($A135*MIN(D$6,$B$11)))^2)+IF(OR(E$7="",E$8=0),0,E$8*(E$7-F$16*(1-$A135)*(1-(1-$A135)^MIN(E$6,$B$11))/($A135*MIN(E$6,$B$11)))^2)</f>
        <v/>
      </c>
      <c r="G135" s="27">
        <f>IF(OR(B$7="",B$8=0),0,B$8*(B$7-G$16*(1-$A135)*(1-(1-$A135)^MIN(B$6,$B$11))/($A135*MIN(B$6,$B$11)))^2)+IF(OR(C$7="",C$8=0),0,C$8*(C$7-G$16*(1-$A135)*(1-(1-$A135)^MIN(C$6,$B$11))/($A135*MIN(C$6,$B$11)))^2)+IF(OR(D$7="",D$8=0),0,D$8*(D$7-G$16*(1-$A135)*(1-(1-$A135)^MIN(D$6,$B$11))/($A135*MIN(D$6,$B$11)))^2)+IF(OR(E$7="",E$8=0),0,E$8*(E$7-G$16*(1-$A135)*(1-(1-$A135)^MIN(E$6,$B$11))/($A135*MIN(E$6,$B$11)))^2)</f>
        <v/>
      </c>
      <c r="H135" s="27">
        <f>IF(OR(B$7="",B$8=0),0,B$8*(B$7-H$16*(1-$A135)*(1-(1-$A135)^MIN(B$6,$B$11))/($A135*MIN(B$6,$B$11)))^2)+IF(OR(C$7="",C$8=0),0,C$8*(C$7-H$16*(1-$A135)*(1-(1-$A135)^MIN(C$6,$B$11))/($A135*MIN(C$6,$B$11)))^2)+IF(OR(D$7="",D$8=0),0,D$8*(D$7-H$16*(1-$A135)*(1-(1-$A135)^MIN(D$6,$B$11))/($A135*MIN(D$6,$B$11)))^2)+IF(OR(E$7="",E$8=0),0,E$8*(E$7-H$16*(1-$A135)*(1-(1-$A135)^MIN(E$6,$B$11))/($A135*MIN(E$6,$B$11)))^2)</f>
        <v/>
      </c>
      <c r="I135" s="27">
        <f>IF(OR(B$7="",B$8=0),0,B$8*(B$7-I$16*(1-$A135)*(1-(1-$A135)^MIN(B$6,$B$11))/($A135*MIN(B$6,$B$11)))^2)+IF(OR(C$7="",C$8=0),0,C$8*(C$7-I$16*(1-$A135)*(1-(1-$A135)^MIN(C$6,$B$11))/($A135*MIN(C$6,$B$11)))^2)+IF(OR(D$7="",D$8=0),0,D$8*(D$7-I$16*(1-$A135)*(1-(1-$A135)^MIN(D$6,$B$11))/($A135*MIN(D$6,$B$11)))^2)+IF(OR(E$7="",E$8=0),0,E$8*(E$7-I$16*(1-$A135)*(1-(1-$A135)^MIN(E$6,$B$11))/($A135*MIN(E$6,$B$11)))^2)</f>
        <v/>
      </c>
      <c r="J135" s="27">
        <f>IF(OR(B$7="",B$8=0),0,B$8*(B$7-J$16*(1-$A135)*(1-(1-$A135)^MIN(B$6,$B$11))/($A135*MIN(B$6,$B$11)))^2)+IF(OR(C$7="",C$8=0),0,C$8*(C$7-J$16*(1-$A135)*(1-(1-$A135)^MIN(C$6,$B$11))/($A135*MIN(C$6,$B$11)))^2)+IF(OR(D$7="",D$8=0),0,D$8*(D$7-J$16*(1-$A135)*(1-(1-$A135)^MIN(D$6,$B$11))/($A135*MIN(D$6,$B$11)))^2)+IF(OR(E$7="",E$8=0),0,E$8*(E$7-J$16*(1-$A135)*(1-(1-$A135)^MIN(E$6,$B$11))/($A135*MIN(E$6,$B$11)))^2)</f>
        <v/>
      </c>
      <c r="K135" s="27">
        <f>IF(OR(B$7="",B$8=0),0,B$8*(B$7-K$16*(1-$A135)*(1-(1-$A135)^MIN(B$6,$B$11))/($A135*MIN(B$6,$B$11)))^2)+IF(OR(C$7="",C$8=0),0,C$8*(C$7-K$16*(1-$A135)*(1-(1-$A135)^MIN(C$6,$B$11))/($A135*MIN(C$6,$B$11)))^2)+IF(OR(D$7="",D$8=0),0,D$8*(D$7-K$16*(1-$A135)*(1-(1-$A135)^MIN(D$6,$B$11))/($A135*MIN(D$6,$B$11)))^2)+IF(OR(E$7="",E$8=0),0,E$8*(E$7-K$16*(1-$A135)*(1-(1-$A135)^MIN(E$6,$B$11))/($A135*MIN(E$6,$B$11)))^2)</f>
        <v/>
      </c>
      <c r="L135" s="27">
        <f>IF(OR(B$7="",B$8=0),0,B$8*(B$7-L$16*(1-$A135)*(1-(1-$A135)^MIN(B$6,$B$11))/($A135*MIN(B$6,$B$11)))^2)+IF(OR(C$7="",C$8=0),0,C$8*(C$7-L$16*(1-$A135)*(1-(1-$A135)^MIN(C$6,$B$11))/($A135*MIN(C$6,$B$11)))^2)+IF(OR(D$7="",D$8=0),0,D$8*(D$7-L$16*(1-$A135)*(1-(1-$A135)^MIN(D$6,$B$11))/($A135*MIN(D$6,$B$11)))^2)+IF(OR(E$7="",E$8=0),0,E$8*(E$7-L$16*(1-$A135)*(1-(1-$A135)^MIN(E$6,$B$11))/($A135*MIN(E$6,$B$11)))^2)</f>
        <v/>
      </c>
      <c r="M135" s="27">
        <f>IF(OR(B$7="",B$8=0),0,B$8*(B$7-M$16*(1-$A135)*(1-(1-$A135)^MIN(B$6,$B$11))/($A135*MIN(B$6,$B$11)))^2)+IF(OR(C$7="",C$8=0),0,C$8*(C$7-M$16*(1-$A135)*(1-(1-$A135)^MIN(C$6,$B$11))/($A135*MIN(C$6,$B$11)))^2)+IF(OR(D$7="",D$8=0),0,D$8*(D$7-M$16*(1-$A135)*(1-(1-$A135)^MIN(D$6,$B$11))/($A135*MIN(D$6,$B$11)))^2)+IF(OR(E$7="",E$8=0),0,E$8*(E$7-M$16*(1-$A135)*(1-(1-$A135)^MIN(E$6,$B$11))/($A135*MIN(E$6,$B$11)))^2)</f>
        <v/>
      </c>
      <c r="N135" s="27">
        <f>IF(OR(B$7="",B$8=0),0,B$8*(B$7-N$16*(1-$A135)*(1-(1-$A135)^MIN(B$6,$B$11))/($A135*MIN(B$6,$B$11)))^2)+IF(OR(C$7="",C$8=0),0,C$8*(C$7-N$16*(1-$A135)*(1-(1-$A135)^MIN(C$6,$B$11))/($A135*MIN(C$6,$B$11)))^2)+IF(OR(D$7="",D$8=0),0,D$8*(D$7-N$16*(1-$A135)*(1-(1-$A135)^MIN(D$6,$B$11))/($A135*MIN(D$6,$B$11)))^2)+IF(OR(E$7="",E$8=0),0,E$8*(E$7-N$16*(1-$A135)*(1-(1-$A135)^MIN(E$6,$B$11))/($A135*MIN(E$6,$B$11)))^2)</f>
        <v/>
      </c>
      <c r="O135" s="27">
        <f>IF(OR(B$7="",B$8=0),0,B$8*(B$7-O$16*(1-$A135)*(1-(1-$A135)^MIN(B$6,$B$11))/($A135*MIN(B$6,$B$11)))^2)+IF(OR(C$7="",C$8=0),0,C$8*(C$7-O$16*(1-$A135)*(1-(1-$A135)^MIN(C$6,$B$11))/($A135*MIN(C$6,$B$11)))^2)+IF(OR(D$7="",D$8=0),0,D$8*(D$7-O$16*(1-$A135)*(1-(1-$A135)^MIN(D$6,$B$11))/($A135*MIN(D$6,$B$11)))^2)+IF(OR(E$7="",E$8=0),0,E$8*(E$7-O$16*(1-$A135)*(1-(1-$A135)^MIN(E$6,$B$11))/($A135*MIN(E$6,$B$11)))^2)</f>
        <v/>
      </c>
      <c r="P135" s="27">
        <f>IF(OR(B$7="",B$8=0),0,B$8*(B$7-P$16*(1-$A135)*(1-(1-$A135)^MIN(B$6,$B$11))/($A135*MIN(B$6,$B$11)))^2)+IF(OR(C$7="",C$8=0),0,C$8*(C$7-P$16*(1-$A135)*(1-(1-$A135)^MIN(C$6,$B$11))/($A135*MIN(C$6,$B$11)))^2)+IF(OR(D$7="",D$8=0),0,D$8*(D$7-P$16*(1-$A135)*(1-(1-$A135)^MIN(D$6,$B$11))/($A135*MIN(D$6,$B$11)))^2)+IF(OR(E$7="",E$8=0),0,E$8*(E$7-P$16*(1-$A135)*(1-(1-$A135)^MIN(E$6,$B$11))/($A135*MIN(E$6,$B$11)))^2)</f>
        <v/>
      </c>
      <c r="Q135" s="27">
        <f>IF(OR(B$7="",B$8=0),0,B$8*(B$7-Q$16*(1-$A135)*(1-(1-$A135)^MIN(B$6,$B$11))/($A135*MIN(B$6,$B$11)))^2)+IF(OR(C$7="",C$8=0),0,C$8*(C$7-Q$16*(1-$A135)*(1-(1-$A135)^MIN(C$6,$B$11))/($A135*MIN(C$6,$B$11)))^2)+IF(OR(D$7="",D$8=0),0,D$8*(D$7-Q$16*(1-$A135)*(1-(1-$A135)^MIN(D$6,$B$11))/($A135*MIN(D$6,$B$11)))^2)+IF(OR(E$7="",E$8=0),0,E$8*(E$7-Q$16*(1-$A135)*(1-(1-$A135)^MIN(E$6,$B$11))/($A135*MIN(E$6,$B$11)))^2)</f>
        <v/>
      </c>
      <c r="R135" s="27">
        <f>IF(OR(B$7="",B$8=0),0,B$8*(B$7-R$16*(1-$A135)*(1-(1-$A135)^MIN(B$6,$B$11))/($A135*MIN(B$6,$B$11)))^2)+IF(OR(C$7="",C$8=0),0,C$8*(C$7-R$16*(1-$A135)*(1-(1-$A135)^MIN(C$6,$B$11))/($A135*MIN(C$6,$B$11)))^2)+IF(OR(D$7="",D$8=0),0,D$8*(D$7-R$16*(1-$A135)*(1-(1-$A135)^MIN(D$6,$B$11))/($A135*MIN(D$6,$B$11)))^2)+IF(OR(E$7="",E$8=0),0,E$8*(E$7-R$16*(1-$A135)*(1-(1-$A135)^MIN(E$6,$B$11))/($A135*MIN(E$6,$B$11)))^2)</f>
        <v/>
      </c>
      <c r="S135" s="27">
        <f>IF(OR(B$7="",B$8=0),0,B$8*(B$7-S$16*(1-$A135)*(1-(1-$A135)^MIN(B$6,$B$11))/($A135*MIN(B$6,$B$11)))^2)+IF(OR(C$7="",C$8=0),0,C$8*(C$7-S$16*(1-$A135)*(1-(1-$A135)^MIN(C$6,$B$11))/($A135*MIN(C$6,$B$11)))^2)+IF(OR(D$7="",D$8=0),0,D$8*(D$7-S$16*(1-$A135)*(1-(1-$A135)^MIN(D$6,$B$11))/($A135*MIN(D$6,$B$11)))^2)+IF(OR(E$7="",E$8=0),0,E$8*(E$7-S$16*(1-$A135)*(1-(1-$A135)^MIN(E$6,$B$11))/($A135*MIN(E$6,$B$11)))^2)</f>
        <v/>
      </c>
      <c r="U135" s="27">
        <f>MIN(B135:S135)</f>
        <v/>
      </c>
      <c r="V135" s="17">
        <f>MATCH(U135,B135:S135,0)</f>
        <v/>
      </c>
    </row>
    <row r="136">
      <c r="A136" s="26" t="n">
        <v>0.0645</v>
      </c>
      <c r="B136" s="27">
        <f>IF(OR(B$7="",B$8=0),0,B$8*(B$7-B$16*(1-$A136)*(1-(1-$A136)^MIN(B$6,$B$11))/($A136*MIN(B$6,$B$11)))^2)+IF(OR(C$7="",C$8=0),0,C$8*(C$7-B$16*(1-$A136)*(1-(1-$A136)^MIN(C$6,$B$11))/($A136*MIN(C$6,$B$11)))^2)+IF(OR(D$7="",D$8=0),0,D$8*(D$7-B$16*(1-$A136)*(1-(1-$A136)^MIN(D$6,$B$11))/($A136*MIN(D$6,$B$11)))^2)+IF(OR(E$7="",E$8=0),0,E$8*(E$7-B$16*(1-$A136)*(1-(1-$A136)^MIN(E$6,$B$11))/($A136*MIN(E$6,$B$11)))^2)</f>
        <v/>
      </c>
      <c r="C136" s="27">
        <f>IF(OR(B$7="",B$8=0),0,B$8*(B$7-C$16*(1-$A136)*(1-(1-$A136)^MIN(B$6,$B$11))/($A136*MIN(B$6,$B$11)))^2)+IF(OR(C$7="",C$8=0),0,C$8*(C$7-C$16*(1-$A136)*(1-(1-$A136)^MIN(C$6,$B$11))/($A136*MIN(C$6,$B$11)))^2)+IF(OR(D$7="",D$8=0),0,D$8*(D$7-C$16*(1-$A136)*(1-(1-$A136)^MIN(D$6,$B$11))/($A136*MIN(D$6,$B$11)))^2)+IF(OR(E$7="",E$8=0),0,E$8*(E$7-C$16*(1-$A136)*(1-(1-$A136)^MIN(E$6,$B$11))/($A136*MIN(E$6,$B$11)))^2)</f>
        <v/>
      </c>
      <c r="D136" s="27">
        <f>IF(OR(B$7="",B$8=0),0,B$8*(B$7-D$16*(1-$A136)*(1-(1-$A136)^MIN(B$6,$B$11))/($A136*MIN(B$6,$B$11)))^2)+IF(OR(C$7="",C$8=0),0,C$8*(C$7-D$16*(1-$A136)*(1-(1-$A136)^MIN(C$6,$B$11))/($A136*MIN(C$6,$B$11)))^2)+IF(OR(D$7="",D$8=0),0,D$8*(D$7-D$16*(1-$A136)*(1-(1-$A136)^MIN(D$6,$B$11))/($A136*MIN(D$6,$B$11)))^2)+IF(OR(E$7="",E$8=0),0,E$8*(E$7-D$16*(1-$A136)*(1-(1-$A136)^MIN(E$6,$B$11))/($A136*MIN(E$6,$B$11)))^2)</f>
        <v/>
      </c>
      <c r="E136" s="27">
        <f>IF(OR(B$7="",B$8=0),0,B$8*(B$7-E$16*(1-$A136)*(1-(1-$A136)^MIN(B$6,$B$11))/($A136*MIN(B$6,$B$11)))^2)+IF(OR(C$7="",C$8=0),0,C$8*(C$7-E$16*(1-$A136)*(1-(1-$A136)^MIN(C$6,$B$11))/($A136*MIN(C$6,$B$11)))^2)+IF(OR(D$7="",D$8=0),0,D$8*(D$7-E$16*(1-$A136)*(1-(1-$A136)^MIN(D$6,$B$11))/($A136*MIN(D$6,$B$11)))^2)+IF(OR(E$7="",E$8=0),0,E$8*(E$7-E$16*(1-$A136)*(1-(1-$A136)^MIN(E$6,$B$11))/($A136*MIN(E$6,$B$11)))^2)</f>
        <v/>
      </c>
      <c r="F136" s="27">
        <f>IF(OR(B$7="",B$8=0),0,B$8*(B$7-F$16*(1-$A136)*(1-(1-$A136)^MIN(B$6,$B$11))/($A136*MIN(B$6,$B$11)))^2)+IF(OR(C$7="",C$8=0),0,C$8*(C$7-F$16*(1-$A136)*(1-(1-$A136)^MIN(C$6,$B$11))/($A136*MIN(C$6,$B$11)))^2)+IF(OR(D$7="",D$8=0),0,D$8*(D$7-F$16*(1-$A136)*(1-(1-$A136)^MIN(D$6,$B$11))/($A136*MIN(D$6,$B$11)))^2)+IF(OR(E$7="",E$8=0),0,E$8*(E$7-F$16*(1-$A136)*(1-(1-$A136)^MIN(E$6,$B$11))/($A136*MIN(E$6,$B$11)))^2)</f>
        <v/>
      </c>
      <c r="G136" s="27">
        <f>IF(OR(B$7="",B$8=0),0,B$8*(B$7-G$16*(1-$A136)*(1-(1-$A136)^MIN(B$6,$B$11))/($A136*MIN(B$6,$B$11)))^2)+IF(OR(C$7="",C$8=0),0,C$8*(C$7-G$16*(1-$A136)*(1-(1-$A136)^MIN(C$6,$B$11))/($A136*MIN(C$6,$B$11)))^2)+IF(OR(D$7="",D$8=0),0,D$8*(D$7-G$16*(1-$A136)*(1-(1-$A136)^MIN(D$6,$B$11))/($A136*MIN(D$6,$B$11)))^2)+IF(OR(E$7="",E$8=0),0,E$8*(E$7-G$16*(1-$A136)*(1-(1-$A136)^MIN(E$6,$B$11))/($A136*MIN(E$6,$B$11)))^2)</f>
        <v/>
      </c>
      <c r="H136" s="27">
        <f>IF(OR(B$7="",B$8=0),0,B$8*(B$7-H$16*(1-$A136)*(1-(1-$A136)^MIN(B$6,$B$11))/($A136*MIN(B$6,$B$11)))^2)+IF(OR(C$7="",C$8=0),0,C$8*(C$7-H$16*(1-$A136)*(1-(1-$A136)^MIN(C$6,$B$11))/($A136*MIN(C$6,$B$11)))^2)+IF(OR(D$7="",D$8=0),0,D$8*(D$7-H$16*(1-$A136)*(1-(1-$A136)^MIN(D$6,$B$11))/($A136*MIN(D$6,$B$11)))^2)+IF(OR(E$7="",E$8=0),0,E$8*(E$7-H$16*(1-$A136)*(1-(1-$A136)^MIN(E$6,$B$11))/($A136*MIN(E$6,$B$11)))^2)</f>
        <v/>
      </c>
      <c r="I136" s="27">
        <f>IF(OR(B$7="",B$8=0),0,B$8*(B$7-I$16*(1-$A136)*(1-(1-$A136)^MIN(B$6,$B$11))/($A136*MIN(B$6,$B$11)))^2)+IF(OR(C$7="",C$8=0),0,C$8*(C$7-I$16*(1-$A136)*(1-(1-$A136)^MIN(C$6,$B$11))/($A136*MIN(C$6,$B$11)))^2)+IF(OR(D$7="",D$8=0),0,D$8*(D$7-I$16*(1-$A136)*(1-(1-$A136)^MIN(D$6,$B$11))/($A136*MIN(D$6,$B$11)))^2)+IF(OR(E$7="",E$8=0),0,E$8*(E$7-I$16*(1-$A136)*(1-(1-$A136)^MIN(E$6,$B$11))/($A136*MIN(E$6,$B$11)))^2)</f>
        <v/>
      </c>
      <c r="J136" s="27">
        <f>IF(OR(B$7="",B$8=0),0,B$8*(B$7-J$16*(1-$A136)*(1-(1-$A136)^MIN(B$6,$B$11))/($A136*MIN(B$6,$B$11)))^2)+IF(OR(C$7="",C$8=0),0,C$8*(C$7-J$16*(1-$A136)*(1-(1-$A136)^MIN(C$6,$B$11))/($A136*MIN(C$6,$B$11)))^2)+IF(OR(D$7="",D$8=0),0,D$8*(D$7-J$16*(1-$A136)*(1-(1-$A136)^MIN(D$6,$B$11))/($A136*MIN(D$6,$B$11)))^2)+IF(OR(E$7="",E$8=0),0,E$8*(E$7-J$16*(1-$A136)*(1-(1-$A136)^MIN(E$6,$B$11))/($A136*MIN(E$6,$B$11)))^2)</f>
        <v/>
      </c>
      <c r="K136" s="27">
        <f>IF(OR(B$7="",B$8=0),0,B$8*(B$7-K$16*(1-$A136)*(1-(1-$A136)^MIN(B$6,$B$11))/($A136*MIN(B$6,$B$11)))^2)+IF(OR(C$7="",C$8=0),0,C$8*(C$7-K$16*(1-$A136)*(1-(1-$A136)^MIN(C$6,$B$11))/($A136*MIN(C$6,$B$11)))^2)+IF(OR(D$7="",D$8=0),0,D$8*(D$7-K$16*(1-$A136)*(1-(1-$A136)^MIN(D$6,$B$11))/($A136*MIN(D$6,$B$11)))^2)+IF(OR(E$7="",E$8=0),0,E$8*(E$7-K$16*(1-$A136)*(1-(1-$A136)^MIN(E$6,$B$11))/($A136*MIN(E$6,$B$11)))^2)</f>
        <v/>
      </c>
      <c r="L136" s="27">
        <f>IF(OR(B$7="",B$8=0),0,B$8*(B$7-L$16*(1-$A136)*(1-(1-$A136)^MIN(B$6,$B$11))/($A136*MIN(B$6,$B$11)))^2)+IF(OR(C$7="",C$8=0),0,C$8*(C$7-L$16*(1-$A136)*(1-(1-$A136)^MIN(C$6,$B$11))/($A136*MIN(C$6,$B$11)))^2)+IF(OR(D$7="",D$8=0),0,D$8*(D$7-L$16*(1-$A136)*(1-(1-$A136)^MIN(D$6,$B$11))/($A136*MIN(D$6,$B$11)))^2)+IF(OR(E$7="",E$8=0),0,E$8*(E$7-L$16*(1-$A136)*(1-(1-$A136)^MIN(E$6,$B$11))/($A136*MIN(E$6,$B$11)))^2)</f>
        <v/>
      </c>
      <c r="M136" s="27">
        <f>IF(OR(B$7="",B$8=0),0,B$8*(B$7-M$16*(1-$A136)*(1-(1-$A136)^MIN(B$6,$B$11))/($A136*MIN(B$6,$B$11)))^2)+IF(OR(C$7="",C$8=0),0,C$8*(C$7-M$16*(1-$A136)*(1-(1-$A136)^MIN(C$6,$B$11))/($A136*MIN(C$6,$B$11)))^2)+IF(OR(D$7="",D$8=0),0,D$8*(D$7-M$16*(1-$A136)*(1-(1-$A136)^MIN(D$6,$B$11))/($A136*MIN(D$6,$B$11)))^2)+IF(OR(E$7="",E$8=0),0,E$8*(E$7-M$16*(1-$A136)*(1-(1-$A136)^MIN(E$6,$B$11))/($A136*MIN(E$6,$B$11)))^2)</f>
        <v/>
      </c>
      <c r="N136" s="27">
        <f>IF(OR(B$7="",B$8=0),0,B$8*(B$7-N$16*(1-$A136)*(1-(1-$A136)^MIN(B$6,$B$11))/($A136*MIN(B$6,$B$11)))^2)+IF(OR(C$7="",C$8=0),0,C$8*(C$7-N$16*(1-$A136)*(1-(1-$A136)^MIN(C$6,$B$11))/($A136*MIN(C$6,$B$11)))^2)+IF(OR(D$7="",D$8=0),0,D$8*(D$7-N$16*(1-$A136)*(1-(1-$A136)^MIN(D$6,$B$11))/($A136*MIN(D$6,$B$11)))^2)+IF(OR(E$7="",E$8=0),0,E$8*(E$7-N$16*(1-$A136)*(1-(1-$A136)^MIN(E$6,$B$11))/($A136*MIN(E$6,$B$11)))^2)</f>
        <v/>
      </c>
      <c r="O136" s="27">
        <f>IF(OR(B$7="",B$8=0),0,B$8*(B$7-O$16*(1-$A136)*(1-(1-$A136)^MIN(B$6,$B$11))/($A136*MIN(B$6,$B$11)))^2)+IF(OR(C$7="",C$8=0),0,C$8*(C$7-O$16*(1-$A136)*(1-(1-$A136)^MIN(C$6,$B$11))/($A136*MIN(C$6,$B$11)))^2)+IF(OR(D$7="",D$8=0),0,D$8*(D$7-O$16*(1-$A136)*(1-(1-$A136)^MIN(D$6,$B$11))/($A136*MIN(D$6,$B$11)))^2)+IF(OR(E$7="",E$8=0),0,E$8*(E$7-O$16*(1-$A136)*(1-(1-$A136)^MIN(E$6,$B$11))/($A136*MIN(E$6,$B$11)))^2)</f>
        <v/>
      </c>
      <c r="P136" s="27">
        <f>IF(OR(B$7="",B$8=0),0,B$8*(B$7-P$16*(1-$A136)*(1-(1-$A136)^MIN(B$6,$B$11))/($A136*MIN(B$6,$B$11)))^2)+IF(OR(C$7="",C$8=0),0,C$8*(C$7-P$16*(1-$A136)*(1-(1-$A136)^MIN(C$6,$B$11))/($A136*MIN(C$6,$B$11)))^2)+IF(OR(D$7="",D$8=0),0,D$8*(D$7-P$16*(1-$A136)*(1-(1-$A136)^MIN(D$6,$B$11))/($A136*MIN(D$6,$B$11)))^2)+IF(OR(E$7="",E$8=0),0,E$8*(E$7-P$16*(1-$A136)*(1-(1-$A136)^MIN(E$6,$B$11))/($A136*MIN(E$6,$B$11)))^2)</f>
        <v/>
      </c>
      <c r="Q136" s="27">
        <f>IF(OR(B$7="",B$8=0),0,B$8*(B$7-Q$16*(1-$A136)*(1-(1-$A136)^MIN(B$6,$B$11))/($A136*MIN(B$6,$B$11)))^2)+IF(OR(C$7="",C$8=0),0,C$8*(C$7-Q$16*(1-$A136)*(1-(1-$A136)^MIN(C$6,$B$11))/($A136*MIN(C$6,$B$11)))^2)+IF(OR(D$7="",D$8=0),0,D$8*(D$7-Q$16*(1-$A136)*(1-(1-$A136)^MIN(D$6,$B$11))/($A136*MIN(D$6,$B$11)))^2)+IF(OR(E$7="",E$8=0),0,E$8*(E$7-Q$16*(1-$A136)*(1-(1-$A136)^MIN(E$6,$B$11))/($A136*MIN(E$6,$B$11)))^2)</f>
        <v/>
      </c>
      <c r="R136" s="27">
        <f>IF(OR(B$7="",B$8=0),0,B$8*(B$7-R$16*(1-$A136)*(1-(1-$A136)^MIN(B$6,$B$11))/($A136*MIN(B$6,$B$11)))^2)+IF(OR(C$7="",C$8=0),0,C$8*(C$7-R$16*(1-$A136)*(1-(1-$A136)^MIN(C$6,$B$11))/($A136*MIN(C$6,$B$11)))^2)+IF(OR(D$7="",D$8=0),0,D$8*(D$7-R$16*(1-$A136)*(1-(1-$A136)^MIN(D$6,$B$11))/($A136*MIN(D$6,$B$11)))^2)+IF(OR(E$7="",E$8=0),0,E$8*(E$7-R$16*(1-$A136)*(1-(1-$A136)^MIN(E$6,$B$11))/($A136*MIN(E$6,$B$11)))^2)</f>
        <v/>
      </c>
      <c r="S136" s="27">
        <f>IF(OR(B$7="",B$8=0),0,B$8*(B$7-S$16*(1-$A136)*(1-(1-$A136)^MIN(B$6,$B$11))/($A136*MIN(B$6,$B$11)))^2)+IF(OR(C$7="",C$8=0),0,C$8*(C$7-S$16*(1-$A136)*(1-(1-$A136)^MIN(C$6,$B$11))/($A136*MIN(C$6,$B$11)))^2)+IF(OR(D$7="",D$8=0),0,D$8*(D$7-S$16*(1-$A136)*(1-(1-$A136)^MIN(D$6,$B$11))/($A136*MIN(D$6,$B$11)))^2)+IF(OR(E$7="",E$8=0),0,E$8*(E$7-S$16*(1-$A136)*(1-(1-$A136)^MIN(E$6,$B$11))/($A136*MIN(E$6,$B$11)))^2)</f>
        <v/>
      </c>
      <c r="U136" s="27">
        <f>MIN(B136:S136)</f>
        <v/>
      </c>
      <c r="V136" s="17">
        <f>MATCH(U136,B136:S136,0)</f>
        <v/>
      </c>
    </row>
    <row r="137">
      <c r="A137" s="26" t="n">
        <v>0.065</v>
      </c>
      <c r="B137" s="27">
        <f>IF(OR(B$7="",B$8=0),0,B$8*(B$7-B$16*(1-$A137)*(1-(1-$A137)^MIN(B$6,$B$11))/($A137*MIN(B$6,$B$11)))^2)+IF(OR(C$7="",C$8=0),0,C$8*(C$7-B$16*(1-$A137)*(1-(1-$A137)^MIN(C$6,$B$11))/($A137*MIN(C$6,$B$11)))^2)+IF(OR(D$7="",D$8=0),0,D$8*(D$7-B$16*(1-$A137)*(1-(1-$A137)^MIN(D$6,$B$11))/($A137*MIN(D$6,$B$11)))^2)+IF(OR(E$7="",E$8=0),0,E$8*(E$7-B$16*(1-$A137)*(1-(1-$A137)^MIN(E$6,$B$11))/($A137*MIN(E$6,$B$11)))^2)</f>
        <v/>
      </c>
      <c r="C137" s="27">
        <f>IF(OR(B$7="",B$8=0),0,B$8*(B$7-C$16*(1-$A137)*(1-(1-$A137)^MIN(B$6,$B$11))/($A137*MIN(B$6,$B$11)))^2)+IF(OR(C$7="",C$8=0),0,C$8*(C$7-C$16*(1-$A137)*(1-(1-$A137)^MIN(C$6,$B$11))/($A137*MIN(C$6,$B$11)))^2)+IF(OR(D$7="",D$8=0),0,D$8*(D$7-C$16*(1-$A137)*(1-(1-$A137)^MIN(D$6,$B$11))/($A137*MIN(D$6,$B$11)))^2)+IF(OR(E$7="",E$8=0),0,E$8*(E$7-C$16*(1-$A137)*(1-(1-$A137)^MIN(E$6,$B$11))/($A137*MIN(E$6,$B$11)))^2)</f>
        <v/>
      </c>
      <c r="D137" s="27">
        <f>IF(OR(B$7="",B$8=0),0,B$8*(B$7-D$16*(1-$A137)*(1-(1-$A137)^MIN(B$6,$B$11))/($A137*MIN(B$6,$B$11)))^2)+IF(OR(C$7="",C$8=0),0,C$8*(C$7-D$16*(1-$A137)*(1-(1-$A137)^MIN(C$6,$B$11))/($A137*MIN(C$6,$B$11)))^2)+IF(OR(D$7="",D$8=0),0,D$8*(D$7-D$16*(1-$A137)*(1-(1-$A137)^MIN(D$6,$B$11))/($A137*MIN(D$6,$B$11)))^2)+IF(OR(E$7="",E$8=0),0,E$8*(E$7-D$16*(1-$A137)*(1-(1-$A137)^MIN(E$6,$B$11))/($A137*MIN(E$6,$B$11)))^2)</f>
        <v/>
      </c>
      <c r="E137" s="27">
        <f>IF(OR(B$7="",B$8=0),0,B$8*(B$7-E$16*(1-$A137)*(1-(1-$A137)^MIN(B$6,$B$11))/($A137*MIN(B$6,$B$11)))^2)+IF(OR(C$7="",C$8=0),0,C$8*(C$7-E$16*(1-$A137)*(1-(1-$A137)^MIN(C$6,$B$11))/($A137*MIN(C$6,$B$11)))^2)+IF(OR(D$7="",D$8=0),0,D$8*(D$7-E$16*(1-$A137)*(1-(1-$A137)^MIN(D$6,$B$11))/($A137*MIN(D$6,$B$11)))^2)+IF(OR(E$7="",E$8=0),0,E$8*(E$7-E$16*(1-$A137)*(1-(1-$A137)^MIN(E$6,$B$11))/($A137*MIN(E$6,$B$11)))^2)</f>
        <v/>
      </c>
      <c r="F137" s="27">
        <f>IF(OR(B$7="",B$8=0),0,B$8*(B$7-F$16*(1-$A137)*(1-(1-$A137)^MIN(B$6,$B$11))/($A137*MIN(B$6,$B$11)))^2)+IF(OR(C$7="",C$8=0),0,C$8*(C$7-F$16*(1-$A137)*(1-(1-$A137)^MIN(C$6,$B$11))/($A137*MIN(C$6,$B$11)))^2)+IF(OR(D$7="",D$8=0),0,D$8*(D$7-F$16*(1-$A137)*(1-(1-$A137)^MIN(D$6,$B$11))/($A137*MIN(D$6,$B$11)))^2)+IF(OR(E$7="",E$8=0),0,E$8*(E$7-F$16*(1-$A137)*(1-(1-$A137)^MIN(E$6,$B$11))/($A137*MIN(E$6,$B$11)))^2)</f>
        <v/>
      </c>
      <c r="G137" s="27">
        <f>IF(OR(B$7="",B$8=0),0,B$8*(B$7-G$16*(1-$A137)*(1-(1-$A137)^MIN(B$6,$B$11))/($A137*MIN(B$6,$B$11)))^2)+IF(OR(C$7="",C$8=0),0,C$8*(C$7-G$16*(1-$A137)*(1-(1-$A137)^MIN(C$6,$B$11))/($A137*MIN(C$6,$B$11)))^2)+IF(OR(D$7="",D$8=0),0,D$8*(D$7-G$16*(1-$A137)*(1-(1-$A137)^MIN(D$6,$B$11))/($A137*MIN(D$6,$B$11)))^2)+IF(OR(E$7="",E$8=0),0,E$8*(E$7-G$16*(1-$A137)*(1-(1-$A137)^MIN(E$6,$B$11))/($A137*MIN(E$6,$B$11)))^2)</f>
        <v/>
      </c>
      <c r="H137" s="27">
        <f>IF(OR(B$7="",B$8=0),0,B$8*(B$7-H$16*(1-$A137)*(1-(1-$A137)^MIN(B$6,$B$11))/($A137*MIN(B$6,$B$11)))^2)+IF(OR(C$7="",C$8=0),0,C$8*(C$7-H$16*(1-$A137)*(1-(1-$A137)^MIN(C$6,$B$11))/($A137*MIN(C$6,$B$11)))^2)+IF(OR(D$7="",D$8=0),0,D$8*(D$7-H$16*(1-$A137)*(1-(1-$A137)^MIN(D$6,$B$11))/($A137*MIN(D$6,$B$11)))^2)+IF(OR(E$7="",E$8=0),0,E$8*(E$7-H$16*(1-$A137)*(1-(1-$A137)^MIN(E$6,$B$11))/($A137*MIN(E$6,$B$11)))^2)</f>
        <v/>
      </c>
      <c r="I137" s="27">
        <f>IF(OR(B$7="",B$8=0),0,B$8*(B$7-I$16*(1-$A137)*(1-(1-$A137)^MIN(B$6,$B$11))/($A137*MIN(B$6,$B$11)))^2)+IF(OR(C$7="",C$8=0),0,C$8*(C$7-I$16*(1-$A137)*(1-(1-$A137)^MIN(C$6,$B$11))/($A137*MIN(C$6,$B$11)))^2)+IF(OR(D$7="",D$8=0),0,D$8*(D$7-I$16*(1-$A137)*(1-(1-$A137)^MIN(D$6,$B$11))/($A137*MIN(D$6,$B$11)))^2)+IF(OR(E$7="",E$8=0),0,E$8*(E$7-I$16*(1-$A137)*(1-(1-$A137)^MIN(E$6,$B$11))/($A137*MIN(E$6,$B$11)))^2)</f>
        <v/>
      </c>
      <c r="J137" s="27">
        <f>IF(OR(B$7="",B$8=0),0,B$8*(B$7-J$16*(1-$A137)*(1-(1-$A137)^MIN(B$6,$B$11))/($A137*MIN(B$6,$B$11)))^2)+IF(OR(C$7="",C$8=0),0,C$8*(C$7-J$16*(1-$A137)*(1-(1-$A137)^MIN(C$6,$B$11))/($A137*MIN(C$6,$B$11)))^2)+IF(OR(D$7="",D$8=0),0,D$8*(D$7-J$16*(1-$A137)*(1-(1-$A137)^MIN(D$6,$B$11))/($A137*MIN(D$6,$B$11)))^2)+IF(OR(E$7="",E$8=0),0,E$8*(E$7-J$16*(1-$A137)*(1-(1-$A137)^MIN(E$6,$B$11))/($A137*MIN(E$6,$B$11)))^2)</f>
        <v/>
      </c>
      <c r="K137" s="27">
        <f>IF(OR(B$7="",B$8=0),0,B$8*(B$7-K$16*(1-$A137)*(1-(1-$A137)^MIN(B$6,$B$11))/($A137*MIN(B$6,$B$11)))^2)+IF(OR(C$7="",C$8=0),0,C$8*(C$7-K$16*(1-$A137)*(1-(1-$A137)^MIN(C$6,$B$11))/($A137*MIN(C$6,$B$11)))^2)+IF(OR(D$7="",D$8=0),0,D$8*(D$7-K$16*(1-$A137)*(1-(1-$A137)^MIN(D$6,$B$11))/($A137*MIN(D$6,$B$11)))^2)+IF(OR(E$7="",E$8=0),0,E$8*(E$7-K$16*(1-$A137)*(1-(1-$A137)^MIN(E$6,$B$11))/($A137*MIN(E$6,$B$11)))^2)</f>
        <v/>
      </c>
      <c r="L137" s="27">
        <f>IF(OR(B$7="",B$8=0),0,B$8*(B$7-L$16*(1-$A137)*(1-(1-$A137)^MIN(B$6,$B$11))/($A137*MIN(B$6,$B$11)))^2)+IF(OR(C$7="",C$8=0),0,C$8*(C$7-L$16*(1-$A137)*(1-(1-$A137)^MIN(C$6,$B$11))/($A137*MIN(C$6,$B$11)))^2)+IF(OR(D$7="",D$8=0),0,D$8*(D$7-L$16*(1-$A137)*(1-(1-$A137)^MIN(D$6,$B$11))/($A137*MIN(D$6,$B$11)))^2)+IF(OR(E$7="",E$8=0),0,E$8*(E$7-L$16*(1-$A137)*(1-(1-$A137)^MIN(E$6,$B$11))/($A137*MIN(E$6,$B$11)))^2)</f>
        <v/>
      </c>
      <c r="M137" s="27">
        <f>IF(OR(B$7="",B$8=0),0,B$8*(B$7-M$16*(1-$A137)*(1-(1-$A137)^MIN(B$6,$B$11))/($A137*MIN(B$6,$B$11)))^2)+IF(OR(C$7="",C$8=0),0,C$8*(C$7-M$16*(1-$A137)*(1-(1-$A137)^MIN(C$6,$B$11))/($A137*MIN(C$6,$B$11)))^2)+IF(OR(D$7="",D$8=0),0,D$8*(D$7-M$16*(1-$A137)*(1-(1-$A137)^MIN(D$6,$B$11))/($A137*MIN(D$6,$B$11)))^2)+IF(OR(E$7="",E$8=0),0,E$8*(E$7-M$16*(1-$A137)*(1-(1-$A137)^MIN(E$6,$B$11))/($A137*MIN(E$6,$B$11)))^2)</f>
        <v/>
      </c>
      <c r="N137" s="27">
        <f>IF(OR(B$7="",B$8=0),0,B$8*(B$7-N$16*(1-$A137)*(1-(1-$A137)^MIN(B$6,$B$11))/($A137*MIN(B$6,$B$11)))^2)+IF(OR(C$7="",C$8=0),0,C$8*(C$7-N$16*(1-$A137)*(1-(1-$A137)^MIN(C$6,$B$11))/($A137*MIN(C$6,$B$11)))^2)+IF(OR(D$7="",D$8=0),0,D$8*(D$7-N$16*(1-$A137)*(1-(1-$A137)^MIN(D$6,$B$11))/($A137*MIN(D$6,$B$11)))^2)+IF(OR(E$7="",E$8=0),0,E$8*(E$7-N$16*(1-$A137)*(1-(1-$A137)^MIN(E$6,$B$11))/($A137*MIN(E$6,$B$11)))^2)</f>
        <v/>
      </c>
      <c r="O137" s="27">
        <f>IF(OR(B$7="",B$8=0),0,B$8*(B$7-O$16*(1-$A137)*(1-(1-$A137)^MIN(B$6,$B$11))/($A137*MIN(B$6,$B$11)))^2)+IF(OR(C$7="",C$8=0),0,C$8*(C$7-O$16*(1-$A137)*(1-(1-$A137)^MIN(C$6,$B$11))/($A137*MIN(C$6,$B$11)))^2)+IF(OR(D$7="",D$8=0),0,D$8*(D$7-O$16*(1-$A137)*(1-(1-$A137)^MIN(D$6,$B$11))/($A137*MIN(D$6,$B$11)))^2)+IF(OR(E$7="",E$8=0),0,E$8*(E$7-O$16*(1-$A137)*(1-(1-$A137)^MIN(E$6,$B$11))/($A137*MIN(E$6,$B$11)))^2)</f>
        <v/>
      </c>
      <c r="P137" s="27">
        <f>IF(OR(B$7="",B$8=0),0,B$8*(B$7-P$16*(1-$A137)*(1-(1-$A137)^MIN(B$6,$B$11))/($A137*MIN(B$6,$B$11)))^2)+IF(OR(C$7="",C$8=0),0,C$8*(C$7-P$16*(1-$A137)*(1-(1-$A137)^MIN(C$6,$B$11))/($A137*MIN(C$6,$B$11)))^2)+IF(OR(D$7="",D$8=0),0,D$8*(D$7-P$16*(1-$A137)*(1-(1-$A137)^MIN(D$6,$B$11))/($A137*MIN(D$6,$B$11)))^2)+IF(OR(E$7="",E$8=0),0,E$8*(E$7-P$16*(1-$A137)*(1-(1-$A137)^MIN(E$6,$B$11))/($A137*MIN(E$6,$B$11)))^2)</f>
        <v/>
      </c>
      <c r="Q137" s="27">
        <f>IF(OR(B$7="",B$8=0),0,B$8*(B$7-Q$16*(1-$A137)*(1-(1-$A137)^MIN(B$6,$B$11))/($A137*MIN(B$6,$B$11)))^2)+IF(OR(C$7="",C$8=0),0,C$8*(C$7-Q$16*(1-$A137)*(1-(1-$A137)^MIN(C$6,$B$11))/($A137*MIN(C$6,$B$11)))^2)+IF(OR(D$7="",D$8=0),0,D$8*(D$7-Q$16*(1-$A137)*(1-(1-$A137)^MIN(D$6,$B$11))/($A137*MIN(D$6,$B$11)))^2)+IF(OR(E$7="",E$8=0),0,E$8*(E$7-Q$16*(1-$A137)*(1-(1-$A137)^MIN(E$6,$B$11))/($A137*MIN(E$6,$B$11)))^2)</f>
        <v/>
      </c>
      <c r="R137" s="27">
        <f>IF(OR(B$7="",B$8=0),0,B$8*(B$7-R$16*(1-$A137)*(1-(1-$A137)^MIN(B$6,$B$11))/($A137*MIN(B$6,$B$11)))^2)+IF(OR(C$7="",C$8=0),0,C$8*(C$7-R$16*(1-$A137)*(1-(1-$A137)^MIN(C$6,$B$11))/($A137*MIN(C$6,$B$11)))^2)+IF(OR(D$7="",D$8=0),0,D$8*(D$7-R$16*(1-$A137)*(1-(1-$A137)^MIN(D$6,$B$11))/($A137*MIN(D$6,$B$11)))^2)+IF(OR(E$7="",E$8=0),0,E$8*(E$7-R$16*(1-$A137)*(1-(1-$A137)^MIN(E$6,$B$11))/($A137*MIN(E$6,$B$11)))^2)</f>
        <v/>
      </c>
      <c r="S137" s="27">
        <f>IF(OR(B$7="",B$8=0),0,B$8*(B$7-S$16*(1-$A137)*(1-(1-$A137)^MIN(B$6,$B$11))/($A137*MIN(B$6,$B$11)))^2)+IF(OR(C$7="",C$8=0),0,C$8*(C$7-S$16*(1-$A137)*(1-(1-$A137)^MIN(C$6,$B$11))/($A137*MIN(C$6,$B$11)))^2)+IF(OR(D$7="",D$8=0),0,D$8*(D$7-S$16*(1-$A137)*(1-(1-$A137)^MIN(D$6,$B$11))/($A137*MIN(D$6,$B$11)))^2)+IF(OR(E$7="",E$8=0),0,E$8*(E$7-S$16*(1-$A137)*(1-(1-$A137)^MIN(E$6,$B$11))/($A137*MIN(E$6,$B$11)))^2)</f>
        <v/>
      </c>
      <c r="U137" s="27">
        <f>MIN(B137:S137)</f>
        <v/>
      </c>
      <c r="V137" s="17">
        <f>MATCH(U137,B137:S137,0)</f>
        <v/>
      </c>
    </row>
    <row r="138">
      <c r="A138" s="26" t="n">
        <v>0.0655</v>
      </c>
      <c r="B138" s="27">
        <f>IF(OR(B$7="",B$8=0),0,B$8*(B$7-B$16*(1-$A138)*(1-(1-$A138)^MIN(B$6,$B$11))/($A138*MIN(B$6,$B$11)))^2)+IF(OR(C$7="",C$8=0),0,C$8*(C$7-B$16*(1-$A138)*(1-(1-$A138)^MIN(C$6,$B$11))/($A138*MIN(C$6,$B$11)))^2)+IF(OR(D$7="",D$8=0),0,D$8*(D$7-B$16*(1-$A138)*(1-(1-$A138)^MIN(D$6,$B$11))/($A138*MIN(D$6,$B$11)))^2)+IF(OR(E$7="",E$8=0),0,E$8*(E$7-B$16*(1-$A138)*(1-(1-$A138)^MIN(E$6,$B$11))/($A138*MIN(E$6,$B$11)))^2)</f>
        <v/>
      </c>
      <c r="C138" s="27">
        <f>IF(OR(B$7="",B$8=0),0,B$8*(B$7-C$16*(1-$A138)*(1-(1-$A138)^MIN(B$6,$B$11))/($A138*MIN(B$6,$B$11)))^2)+IF(OR(C$7="",C$8=0),0,C$8*(C$7-C$16*(1-$A138)*(1-(1-$A138)^MIN(C$6,$B$11))/($A138*MIN(C$6,$B$11)))^2)+IF(OR(D$7="",D$8=0),0,D$8*(D$7-C$16*(1-$A138)*(1-(1-$A138)^MIN(D$6,$B$11))/($A138*MIN(D$6,$B$11)))^2)+IF(OR(E$7="",E$8=0),0,E$8*(E$7-C$16*(1-$A138)*(1-(1-$A138)^MIN(E$6,$B$11))/($A138*MIN(E$6,$B$11)))^2)</f>
        <v/>
      </c>
      <c r="D138" s="27">
        <f>IF(OR(B$7="",B$8=0),0,B$8*(B$7-D$16*(1-$A138)*(1-(1-$A138)^MIN(B$6,$B$11))/($A138*MIN(B$6,$B$11)))^2)+IF(OR(C$7="",C$8=0),0,C$8*(C$7-D$16*(1-$A138)*(1-(1-$A138)^MIN(C$6,$B$11))/($A138*MIN(C$6,$B$11)))^2)+IF(OR(D$7="",D$8=0),0,D$8*(D$7-D$16*(1-$A138)*(1-(1-$A138)^MIN(D$6,$B$11))/($A138*MIN(D$6,$B$11)))^2)+IF(OR(E$7="",E$8=0),0,E$8*(E$7-D$16*(1-$A138)*(1-(1-$A138)^MIN(E$6,$B$11))/($A138*MIN(E$6,$B$11)))^2)</f>
        <v/>
      </c>
      <c r="E138" s="27">
        <f>IF(OR(B$7="",B$8=0),0,B$8*(B$7-E$16*(1-$A138)*(1-(1-$A138)^MIN(B$6,$B$11))/($A138*MIN(B$6,$B$11)))^2)+IF(OR(C$7="",C$8=0),0,C$8*(C$7-E$16*(1-$A138)*(1-(1-$A138)^MIN(C$6,$B$11))/($A138*MIN(C$6,$B$11)))^2)+IF(OR(D$7="",D$8=0),0,D$8*(D$7-E$16*(1-$A138)*(1-(1-$A138)^MIN(D$6,$B$11))/($A138*MIN(D$6,$B$11)))^2)+IF(OR(E$7="",E$8=0),0,E$8*(E$7-E$16*(1-$A138)*(1-(1-$A138)^MIN(E$6,$B$11))/($A138*MIN(E$6,$B$11)))^2)</f>
        <v/>
      </c>
      <c r="F138" s="27">
        <f>IF(OR(B$7="",B$8=0),0,B$8*(B$7-F$16*(1-$A138)*(1-(1-$A138)^MIN(B$6,$B$11))/($A138*MIN(B$6,$B$11)))^2)+IF(OR(C$7="",C$8=0),0,C$8*(C$7-F$16*(1-$A138)*(1-(1-$A138)^MIN(C$6,$B$11))/($A138*MIN(C$6,$B$11)))^2)+IF(OR(D$7="",D$8=0),0,D$8*(D$7-F$16*(1-$A138)*(1-(1-$A138)^MIN(D$6,$B$11))/($A138*MIN(D$6,$B$11)))^2)+IF(OR(E$7="",E$8=0),0,E$8*(E$7-F$16*(1-$A138)*(1-(1-$A138)^MIN(E$6,$B$11))/($A138*MIN(E$6,$B$11)))^2)</f>
        <v/>
      </c>
      <c r="G138" s="27">
        <f>IF(OR(B$7="",B$8=0),0,B$8*(B$7-G$16*(1-$A138)*(1-(1-$A138)^MIN(B$6,$B$11))/($A138*MIN(B$6,$B$11)))^2)+IF(OR(C$7="",C$8=0),0,C$8*(C$7-G$16*(1-$A138)*(1-(1-$A138)^MIN(C$6,$B$11))/($A138*MIN(C$6,$B$11)))^2)+IF(OR(D$7="",D$8=0),0,D$8*(D$7-G$16*(1-$A138)*(1-(1-$A138)^MIN(D$6,$B$11))/($A138*MIN(D$6,$B$11)))^2)+IF(OR(E$7="",E$8=0),0,E$8*(E$7-G$16*(1-$A138)*(1-(1-$A138)^MIN(E$6,$B$11))/($A138*MIN(E$6,$B$11)))^2)</f>
        <v/>
      </c>
      <c r="H138" s="27">
        <f>IF(OR(B$7="",B$8=0),0,B$8*(B$7-H$16*(1-$A138)*(1-(1-$A138)^MIN(B$6,$B$11))/($A138*MIN(B$6,$B$11)))^2)+IF(OR(C$7="",C$8=0),0,C$8*(C$7-H$16*(1-$A138)*(1-(1-$A138)^MIN(C$6,$B$11))/($A138*MIN(C$6,$B$11)))^2)+IF(OR(D$7="",D$8=0),0,D$8*(D$7-H$16*(1-$A138)*(1-(1-$A138)^MIN(D$6,$B$11))/($A138*MIN(D$6,$B$11)))^2)+IF(OR(E$7="",E$8=0),0,E$8*(E$7-H$16*(1-$A138)*(1-(1-$A138)^MIN(E$6,$B$11))/($A138*MIN(E$6,$B$11)))^2)</f>
        <v/>
      </c>
      <c r="I138" s="27">
        <f>IF(OR(B$7="",B$8=0),0,B$8*(B$7-I$16*(1-$A138)*(1-(1-$A138)^MIN(B$6,$B$11))/($A138*MIN(B$6,$B$11)))^2)+IF(OR(C$7="",C$8=0),0,C$8*(C$7-I$16*(1-$A138)*(1-(1-$A138)^MIN(C$6,$B$11))/($A138*MIN(C$6,$B$11)))^2)+IF(OR(D$7="",D$8=0),0,D$8*(D$7-I$16*(1-$A138)*(1-(1-$A138)^MIN(D$6,$B$11))/($A138*MIN(D$6,$B$11)))^2)+IF(OR(E$7="",E$8=0),0,E$8*(E$7-I$16*(1-$A138)*(1-(1-$A138)^MIN(E$6,$B$11))/($A138*MIN(E$6,$B$11)))^2)</f>
        <v/>
      </c>
      <c r="J138" s="27">
        <f>IF(OR(B$7="",B$8=0),0,B$8*(B$7-J$16*(1-$A138)*(1-(1-$A138)^MIN(B$6,$B$11))/($A138*MIN(B$6,$B$11)))^2)+IF(OR(C$7="",C$8=0),0,C$8*(C$7-J$16*(1-$A138)*(1-(1-$A138)^MIN(C$6,$B$11))/($A138*MIN(C$6,$B$11)))^2)+IF(OR(D$7="",D$8=0),0,D$8*(D$7-J$16*(1-$A138)*(1-(1-$A138)^MIN(D$6,$B$11))/($A138*MIN(D$6,$B$11)))^2)+IF(OR(E$7="",E$8=0),0,E$8*(E$7-J$16*(1-$A138)*(1-(1-$A138)^MIN(E$6,$B$11))/($A138*MIN(E$6,$B$11)))^2)</f>
        <v/>
      </c>
      <c r="K138" s="27">
        <f>IF(OR(B$7="",B$8=0),0,B$8*(B$7-K$16*(1-$A138)*(1-(1-$A138)^MIN(B$6,$B$11))/($A138*MIN(B$6,$B$11)))^2)+IF(OR(C$7="",C$8=0),0,C$8*(C$7-K$16*(1-$A138)*(1-(1-$A138)^MIN(C$6,$B$11))/($A138*MIN(C$6,$B$11)))^2)+IF(OR(D$7="",D$8=0),0,D$8*(D$7-K$16*(1-$A138)*(1-(1-$A138)^MIN(D$6,$B$11))/($A138*MIN(D$6,$B$11)))^2)+IF(OR(E$7="",E$8=0),0,E$8*(E$7-K$16*(1-$A138)*(1-(1-$A138)^MIN(E$6,$B$11))/($A138*MIN(E$6,$B$11)))^2)</f>
        <v/>
      </c>
      <c r="L138" s="27">
        <f>IF(OR(B$7="",B$8=0),0,B$8*(B$7-L$16*(1-$A138)*(1-(1-$A138)^MIN(B$6,$B$11))/($A138*MIN(B$6,$B$11)))^2)+IF(OR(C$7="",C$8=0),0,C$8*(C$7-L$16*(1-$A138)*(1-(1-$A138)^MIN(C$6,$B$11))/($A138*MIN(C$6,$B$11)))^2)+IF(OR(D$7="",D$8=0),0,D$8*(D$7-L$16*(1-$A138)*(1-(1-$A138)^MIN(D$6,$B$11))/($A138*MIN(D$6,$B$11)))^2)+IF(OR(E$7="",E$8=0),0,E$8*(E$7-L$16*(1-$A138)*(1-(1-$A138)^MIN(E$6,$B$11))/($A138*MIN(E$6,$B$11)))^2)</f>
        <v/>
      </c>
      <c r="M138" s="27">
        <f>IF(OR(B$7="",B$8=0),0,B$8*(B$7-M$16*(1-$A138)*(1-(1-$A138)^MIN(B$6,$B$11))/($A138*MIN(B$6,$B$11)))^2)+IF(OR(C$7="",C$8=0),0,C$8*(C$7-M$16*(1-$A138)*(1-(1-$A138)^MIN(C$6,$B$11))/($A138*MIN(C$6,$B$11)))^2)+IF(OR(D$7="",D$8=0),0,D$8*(D$7-M$16*(1-$A138)*(1-(1-$A138)^MIN(D$6,$B$11))/($A138*MIN(D$6,$B$11)))^2)+IF(OR(E$7="",E$8=0),0,E$8*(E$7-M$16*(1-$A138)*(1-(1-$A138)^MIN(E$6,$B$11))/($A138*MIN(E$6,$B$11)))^2)</f>
        <v/>
      </c>
      <c r="N138" s="27">
        <f>IF(OR(B$7="",B$8=0),0,B$8*(B$7-N$16*(1-$A138)*(1-(1-$A138)^MIN(B$6,$B$11))/($A138*MIN(B$6,$B$11)))^2)+IF(OR(C$7="",C$8=0),0,C$8*(C$7-N$16*(1-$A138)*(1-(1-$A138)^MIN(C$6,$B$11))/($A138*MIN(C$6,$B$11)))^2)+IF(OR(D$7="",D$8=0),0,D$8*(D$7-N$16*(1-$A138)*(1-(1-$A138)^MIN(D$6,$B$11))/($A138*MIN(D$6,$B$11)))^2)+IF(OR(E$7="",E$8=0),0,E$8*(E$7-N$16*(1-$A138)*(1-(1-$A138)^MIN(E$6,$B$11))/($A138*MIN(E$6,$B$11)))^2)</f>
        <v/>
      </c>
      <c r="O138" s="27">
        <f>IF(OR(B$7="",B$8=0),0,B$8*(B$7-O$16*(1-$A138)*(1-(1-$A138)^MIN(B$6,$B$11))/($A138*MIN(B$6,$B$11)))^2)+IF(OR(C$7="",C$8=0),0,C$8*(C$7-O$16*(1-$A138)*(1-(1-$A138)^MIN(C$6,$B$11))/($A138*MIN(C$6,$B$11)))^2)+IF(OR(D$7="",D$8=0),0,D$8*(D$7-O$16*(1-$A138)*(1-(1-$A138)^MIN(D$6,$B$11))/($A138*MIN(D$6,$B$11)))^2)+IF(OR(E$7="",E$8=0),0,E$8*(E$7-O$16*(1-$A138)*(1-(1-$A138)^MIN(E$6,$B$11))/($A138*MIN(E$6,$B$11)))^2)</f>
        <v/>
      </c>
      <c r="P138" s="27">
        <f>IF(OR(B$7="",B$8=0),0,B$8*(B$7-P$16*(1-$A138)*(1-(1-$A138)^MIN(B$6,$B$11))/($A138*MIN(B$6,$B$11)))^2)+IF(OR(C$7="",C$8=0),0,C$8*(C$7-P$16*(1-$A138)*(1-(1-$A138)^MIN(C$6,$B$11))/($A138*MIN(C$6,$B$11)))^2)+IF(OR(D$7="",D$8=0),0,D$8*(D$7-P$16*(1-$A138)*(1-(1-$A138)^MIN(D$6,$B$11))/($A138*MIN(D$6,$B$11)))^2)+IF(OR(E$7="",E$8=0),0,E$8*(E$7-P$16*(1-$A138)*(1-(1-$A138)^MIN(E$6,$B$11))/($A138*MIN(E$6,$B$11)))^2)</f>
        <v/>
      </c>
      <c r="Q138" s="27">
        <f>IF(OR(B$7="",B$8=0),0,B$8*(B$7-Q$16*(1-$A138)*(1-(1-$A138)^MIN(B$6,$B$11))/($A138*MIN(B$6,$B$11)))^2)+IF(OR(C$7="",C$8=0),0,C$8*(C$7-Q$16*(1-$A138)*(1-(1-$A138)^MIN(C$6,$B$11))/($A138*MIN(C$6,$B$11)))^2)+IF(OR(D$7="",D$8=0),0,D$8*(D$7-Q$16*(1-$A138)*(1-(1-$A138)^MIN(D$6,$B$11))/($A138*MIN(D$6,$B$11)))^2)+IF(OR(E$7="",E$8=0),0,E$8*(E$7-Q$16*(1-$A138)*(1-(1-$A138)^MIN(E$6,$B$11))/($A138*MIN(E$6,$B$11)))^2)</f>
        <v/>
      </c>
      <c r="R138" s="27">
        <f>IF(OR(B$7="",B$8=0),0,B$8*(B$7-R$16*(1-$A138)*(1-(1-$A138)^MIN(B$6,$B$11))/($A138*MIN(B$6,$B$11)))^2)+IF(OR(C$7="",C$8=0),0,C$8*(C$7-R$16*(1-$A138)*(1-(1-$A138)^MIN(C$6,$B$11))/($A138*MIN(C$6,$B$11)))^2)+IF(OR(D$7="",D$8=0),0,D$8*(D$7-R$16*(1-$A138)*(1-(1-$A138)^MIN(D$6,$B$11))/($A138*MIN(D$6,$B$11)))^2)+IF(OR(E$7="",E$8=0),0,E$8*(E$7-R$16*(1-$A138)*(1-(1-$A138)^MIN(E$6,$B$11))/($A138*MIN(E$6,$B$11)))^2)</f>
        <v/>
      </c>
      <c r="S138" s="27">
        <f>IF(OR(B$7="",B$8=0),0,B$8*(B$7-S$16*(1-$A138)*(1-(1-$A138)^MIN(B$6,$B$11))/($A138*MIN(B$6,$B$11)))^2)+IF(OR(C$7="",C$8=0),0,C$8*(C$7-S$16*(1-$A138)*(1-(1-$A138)^MIN(C$6,$B$11))/($A138*MIN(C$6,$B$11)))^2)+IF(OR(D$7="",D$8=0),0,D$8*(D$7-S$16*(1-$A138)*(1-(1-$A138)^MIN(D$6,$B$11))/($A138*MIN(D$6,$B$11)))^2)+IF(OR(E$7="",E$8=0),0,E$8*(E$7-S$16*(1-$A138)*(1-(1-$A138)^MIN(E$6,$B$11))/($A138*MIN(E$6,$B$11)))^2)</f>
        <v/>
      </c>
      <c r="U138" s="27">
        <f>MIN(B138:S138)</f>
        <v/>
      </c>
      <c r="V138" s="17">
        <f>MATCH(U138,B138:S138,0)</f>
        <v/>
      </c>
    </row>
    <row r="139">
      <c r="A139" s="26" t="n">
        <v>0.066</v>
      </c>
      <c r="B139" s="27">
        <f>IF(OR(B$7="",B$8=0),0,B$8*(B$7-B$16*(1-$A139)*(1-(1-$A139)^MIN(B$6,$B$11))/($A139*MIN(B$6,$B$11)))^2)+IF(OR(C$7="",C$8=0),0,C$8*(C$7-B$16*(1-$A139)*(1-(1-$A139)^MIN(C$6,$B$11))/($A139*MIN(C$6,$B$11)))^2)+IF(OR(D$7="",D$8=0),0,D$8*(D$7-B$16*(1-$A139)*(1-(1-$A139)^MIN(D$6,$B$11))/($A139*MIN(D$6,$B$11)))^2)+IF(OR(E$7="",E$8=0),0,E$8*(E$7-B$16*(1-$A139)*(1-(1-$A139)^MIN(E$6,$B$11))/($A139*MIN(E$6,$B$11)))^2)</f>
        <v/>
      </c>
      <c r="C139" s="27">
        <f>IF(OR(B$7="",B$8=0),0,B$8*(B$7-C$16*(1-$A139)*(1-(1-$A139)^MIN(B$6,$B$11))/($A139*MIN(B$6,$B$11)))^2)+IF(OR(C$7="",C$8=0),0,C$8*(C$7-C$16*(1-$A139)*(1-(1-$A139)^MIN(C$6,$B$11))/($A139*MIN(C$6,$B$11)))^2)+IF(OR(D$7="",D$8=0),0,D$8*(D$7-C$16*(1-$A139)*(1-(1-$A139)^MIN(D$6,$B$11))/($A139*MIN(D$6,$B$11)))^2)+IF(OR(E$7="",E$8=0),0,E$8*(E$7-C$16*(1-$A139)*(1-(1-$A139)^MIN(E$6,$B$11))/($A139*MIN(E$6,$B$11)))^2)</f>
        <v/>
      </c>
      <c r="D139" s="27">
        <f>IF(OR(B$7="",B$8=0),0,B$8*(B$7-D$16*(1-$A139)*(1-(1-$A139)^MIN(B$6,$B$11))/($A139*MIN(B$6,$B$11)))^2)+IF(OR(C$7="",C$8=0),0,C$8*(C$7-D$16*(1-$A139)*(1-(1-$A139)^MIN(C$6,$B$11))/($A139*MIN(C$6,$B$11)))^2)+IF(OR(D$7="",D$8=0),0,D$8*(D$7-D$16*(1-$A139)*(1-(1-$A139)^MIN(D$6,$B$11))/($A139*MIN(D$6,$B$11)))^2)+IF(OR(E$7="",E$8=0),0,E$8*(E$7-D$16*(1-$A139)*(1-(1-$A139)^MIN(E$6,$B$11))/($A139*MIN(E$6,$B$11)))^2)</f>
        <v/>
      </c>
      <c r="E139" s="27">
        <f>IF(OR(B$7="",B$8=0),0,B$8*(B$7-E$16*(1-$A139)*(1-(1-$A139)^MIN(B$6,$B$11))/($A139*MIN(B$6,$B$11)))^2)+IF(OR(C$7="",C$8=0),0,C$8*(C$7-E$16*(1-$A139)*(1-(1-$A139)^MIN(C$6,$B$11))/($A139*MIN(C$6,$B$11)))^2)+IF(OR(D$7="",D$8=0),0,D$8*(D$7-E$16*(1-$A139)*(1-(1-$A139)^MIN(D$6,$B$11))/($A139*MIN(D$6,$B$11)))^2)+IF(OR(E$7="",E$8=0),0,E$8*(E$7-E$16*(1-$A139)*(1-(1-$A139)^MIN(E$6,$B$11))/($A139*MIN(E$6,$B$11)))^2)</f>
        <v/>
      </c>
      <c r="F139" s="27">
        <f>IF(OR(B$7="",B$8=0),0,B$8*(B$7-F$16*(1-$A139)*(1-(1-$A139)^MIN(B$6,$B$11))/($A139*MIN(B$6,$B$11)))^2)+IF(OR(C$7="",C$8=0),0,C$8*(C$7-F$16*(1-$A139)*(1-(1-$A139)^MIN(C$6,$B$11))/($A139*MIN(C$6,$B$11)))^2)+IF(OR(D$7="",D$8=0),0,D$8*(D$7-F$16*(1-$A139)*(1-(1-$A139)^MIN(D$6,$B$11))/($A139*MIN(D$6,$B$11)))^2)+IF(OR(E$7="",E$8=0),0,E$8*(E$7-F$16*(1-$A139)*(1-(1-$A139)^MIN(E$6,$B$11))/($A139*MIN(E$6,$B$11)))^2)</f>
        <v/>
      </c>
      <c r="G139" s="27">
        <f>IF(OR(B$7="",B$8=0),0,B$8*(B$7-G$16*(1-$A139)*(1-(1-$A139)^MIN(B$6,$B$11))/($A139*MIN(B$6,$B$11)))^2)+IF(OR(C$7="",C$8=0),0,C$8*(C$7-G$16*(1-$A139)*(1-(1-$A139)^MIN(C$6,$B$11))/($A139*MIN(C$6,$B$11)))^2)+IF(OR(D$7="",D$8=0),0,D$8*(D$7-G$16*(1-$A139)*(1-(1-$A139)^MIN(D$6,$B$11))/($A139*MIN(D$6,$B$11)))^2)+IF(OR(E$7="",E$8=0),0,E$8*(E$7-G$16*(1-$A139)*(1-(1-$A139)^MIN(E$6,$B$11))/($A139*MIN(E$6,$B$11)))^2)</f>
        <v/>
      </c>
      <c r="H139" s="27">
        <f>IF(OR(B$7="",B$8=0),0,B$8*(B$7-H$16*(1-$A139)*(1-(1-$A139)^MIN(B$6,$B$11))/($A139*MIN(B$6,$B$11)))^2)+IF(OR(C$7="",C$8=0),0,C$8*(C$7-H$16*(1-$A139)*(1-(1-$A139)^MIN(C$6,$B$11))/($A139*MIN(C$6,$B$11)))^2)+IF(OR(D$7="",D$8=0),0,D$8*(D$7-H$16*(1-$A139)*(1-(1-$A139)^MIN(D$6,$B$11))/($A139*MIN(D$6,$B$11)))^2)+IF(OR(E$7="",E$8=0),0,E$8*(E$7-H$16*(1-$A139)*(1-(1-$A139)^MIN(E$6,$B$11))/($A139*MIN(E$6,$B$11)))^2)</f>
        <v/>
      </c>
      <c r="I139" s="27">
        <f>IF(OR(B$7="",B$8=0),0,B$8*(B$7-I$16*(1-$A139)*(1-(1-$A139)^MIN(B$6,$B$11))/($A139*MIN(B$6,$B$11)))^2)+IF(OR(C$7="",C$8=0),0,C$8*(C$7-I$16*(1-$A139)*(1-(1-$A139)^MIN(C$6,$B$11))/($A139*MIN(C$6,$B$11)))^2)+IF(OR(D$7="",D$8=0),0,D$8*(D$7-I$16*(1-$A139)*(1-(1-$A139)^MIN(D$6,$B$11))/($A139*MIN(D$6,$B$11)))^2)+IF(OR(E$7="",E$8=0),0,E$8*(E$7-I$16*(1-$A139)*(1-(1-$A139)^MIN(E$6,$B$11))/($A139*MIN(E$6,$B$11)))^2)</f>
        <v/>
      </c>
      <c r="J139" s="27">
        <f>IF(OR(B$7="",B$8=0),0,B$8*(B$7-J$16*(1-$A139)*(1-(1-$A139)^MIN(B$6,$B$11))/($A139*MIN(B$6,$B$11)))^2)+IF(OR(C$7="",C$8=0),0,C$8*(C$7-J$16*(1-$A139)*(1-(1-$A139)^MIN(C$6,$B$11))/($A139*MIN(C$6,$B$11)))^2)+IF(OR(D$7="",D$8=0),0,D$8*(D$7-J$16*(1-$A139)*(1-(1-$A139)^MIN(D$6,$B$11))/($A139*MIN(D$6,$B$11)))^2)+IF(OR(E$7="",E$8=0),0,E$8*(E$7-J$16*(1-$A139)*(1-(1-$A139)^MIN(E$6,$B$11))/($A139*MIN(E$6,$B$11)))^2)</f>
        <v/>
      </c>
      <c r="K139" s="27">
        <f>IF(OR(B$7="",B$8=0),0,B$8*(B$7-K$16*(1-$A139)*(1-(1-$A139)^MIN(B$6,$B$11))/($A139*MIN(B$6,$B$11)))^2)+IF(OR(C$7="",C$8=0),0,C$8*(C$7-K$16*(1-$A139)*(1-(1-$A139)^MIN(C$6,$B$11))/($A139*MIN(C$6,$B$11)))^2)+IF(OR(D$7="",D$8=0),0,D$8*(D$7-K$16*(1-$A139)*(1-(1-$A139)^MIN(D$6,$B$11))/($A139*MIN(D$6,$B$11)))^2)+IF(OR(E$7="",E$8=0),0,E$8*(E$7-K$16*(1-$A139)*(1-(1-$A139)^MIN(E$6,$B$11))/($A139*MIN(E$6,$B$11)))^2)</f>
        <v/>
      </c>
      <c r="L139" s="27">
        <f>IF(OR(B$7="",B$8=0),0,B$8*(B$7-L$16*(1-$A139)*(1-(1-$A139)^MIN(B$6,$B$11))/($A139*MIN(B$6,$B$11)))^2)+IF(OR(C$7="",C$8=0),0,C$8*(C$7-L$16*(1-$A139)*(1-(1-$A139)^MIN(C$6,$B$11))/($A139*MIN(C$6,$B$11)))^2)+IF(OR(D$7="",D$8=0),0,D$8*(D$7-L$16*(1-$A139)*(1-(1-$A139)^MIN(D$6,$B$11))/($A139*MIN(D$6,$B$11)))^2)+IF(OR(E$7="",E$8=0),0,E$8*(E$7-L$16*(1-$A139)*(1-(1-$A139)^MIN(E$6,$B$11))/($A139*MIN(E$6,$B$11)))^2)</f>
        <v/>
      </c>
      <c r="M139" s="27">
        <f>IF(OR(B$7="",B$8=0),0,B$8*(B$7-M$16*(1-$A139)*(1-(1-$A139)^MIN(B$6,$B$11))/($A139*MIN(B$6,$B$11)))^2)+IF(OR(C$7="",C$8=0),0,C$8*(C$7-M$16*(1-$A139)*(1-(1-$A139)^MIN(C$6,$B$11))/($A139*MIN(C$6,$B$11)))^2)+IF(OR(D$7="",D$8=0),0,D$8*(D$7-M$16*(1-$A139)*(1-(1-$A139)^MIN(D$6,$B$11))/($A139*MIN(D$6,$B$11)))^2)+IF(OR(E$7="",E$8=0),0,E$8*(E$7-M$16*(1-$A139)*(1-(1-$A139)^MIN(E$6,$B$11))/($A139*MIN(E$6,$B$11)))^2)</f>
        <v/>
      </c>
      <c r="N139" s="27">
        <f>IF(OR(B$7="",B$8=0),0,B$8*(B$7-N$16*(1-$A139)*(1-(1-$A139)^MIN(B$6,$B$11))/($A139*MIN(B$6,$B$11)))^2)+IF(OR(C$7="",C$8=0),0,C$8*(C$7-N$16*(1-$A139)*(1-(1-$A139)^MIN(C$6,$B$11))/($A139*MIN(C$6,$B$11)))^2)+IF(OR(D$7="",D$8=0),0,D$8*(D$7-N$16*(1-$A139)*(1-(1-$A139)^MIN(D$6,$B$11))/($A139*MIN(D$6,$B$11)))^2)+IF(OR(E$7="",E$8=0),0,E$8*(E$7-N$16*(1-$A139)*(1-(1-$A139)^MIN(E$6,$B$11))/($A139*MIN(E$6,$B$11)))^2)</f>
        <v/>
      </c>
      <c r="O139" s="27">
        <f>IF(OR(B$7="",B$8=0),0,B$8*(B$7-O$16*(1-$A139)*(1-(1-$A139)^MIN(B$6,$B$11))/($A139*MIN(B$6,$B$11)))^2)+IF(OR(C$7="",C$8=0),0,C$8*(C$7-O$16*(1-$A139)*(1-(1-$A139)^MIN(C$6,$B$11))/($A139*MIN(C$6,$B$11)))^2)+IF(OR(D$7="",D$8=0),0,D$8*(D$7-O$16*(1-$A139)*(1-(1-$A139)^MIN(D$6,$B$11))/($A139*MIN(D$6,$B$11)))^2)+IF(OR(E$7="",E$8=0),0,E$8*(E$7-O$16*(1-$A139)*(1-(1-$A139)^MIN(E$6,$B$11))/($A139*MIN(E$6,$B$11)))^2)</f>
        <v/>
      </c>
      <c r="P139" s="27">
        <f>IF(OR(B$7="",B$8=0),0,B$8*(B$7-P$16*(1-$A139)*(1-(1-$A139)^MIN(B$6,$B$11))/($A139*MIN(B$6,$B$11)))^2)+IF(OR(C$7="",C$8=0),0,C$8*(C$7-P$16*(1-$A139)*(1-(1-$A139)^MIN(C$6,$B$11))/($A139*MIN(C$6,$B$11)))^2)+IF(OR(D$7="",D$8=0),0,D$8*(D$7-P$16*(1-$A139)*(1-(1-$A139)^MIN(D$6,$B$11))/($A139*MIN(D$6,$B$11)))^2)+IF(OR(E$7="",E$8=0),0,E$8*(E$7-P$16*(1-$A139)*(1-(1-$A139)^MIN(E$6,$B$11))/($A139*MIN(E$6,$B$11)))^2)</f>
        <v/>
      </c>
      <c r="Q139" s="27">
        <f>IF(OR(B$7="",B$8=0),0,B$8*(B$7-Q$16*(1-$A139)*(1-(1-$A139)^MIN(B$6,$B$11))/($A139*MIN(B$6,$B$11)))^2)+IF(OR(C$7="",C$8=0),0,C$8*(C$7-Q$16*(1-$A139)*(1-(1-$A139)^MIN(C$6,$B$11))/($A139*MIN(C$6,$B$11)))^2)+IF(OR(D$7="",D$8=0),0,D$8*(D$7-Q$16*(1-$A139)*(1-(1-$A139)^MIN(D$6,$B$11))/($A139*MIN(D$6,$B$11)))^2)+IF(OR(E$7="",E$8=0),0,E$8*(E$7-Q$16*(1-$A139)*(1-(1-$A139)^MIN(E$6,$B$11))/($A139*MIN(E$6,$B$11)))^2)</f>
        <v/>
      </c>
      <c r="R139" s="27">
        <f>IF(OR(B$7="",B$8=0),0,B$8*(B$7-R$16*(1-$A139)*(1-(1-$A139)^MIN(B$6,$B$11))/($A139*MIN(B$6,$B$11)))^2)+IF(OR(C$7="",C$8=0),0,C$8*(C$7-R$16*(1-$A139)*(1-(1-$A139)^MIN(C$6,$B$11))/($A139*MIN(C$6,$B$11)))^2)+IF(OR(D$7="",D$8=0),0,D$8*(D$7-R$16*(1-$A139)*(1-(1-$A139)^MIN(D$6,$B$11))/($A139*MIN(D$6,$B$11)))^2)+IF(OR(E$7="",E$8=0),0,E$8*(E$7-R$16*(1-$A139)*(1-(1-$A139)^MIN(E$6,$B$11))/($A139*MIN(E$6,$B$11)))^2)</f>
        <v/>
      </c>
      <c r="S139" s="27">
        <f>IF(OR(B$7="",B$8=0),0,B$8*(B$7-S$16*(1-$A139)*(1-(1-$A139)^MIN(B$6,$B$11))/($A139*MIN(B$6,$B$11)))^2)+IF(OR(C$7="",C$8=0),0,C$8*(C$7-S$16*(1-$A139)*(1-(1-$A139)^MIN(C$6,$B$11))/($A139*MIN(C$6,$B$11)))^2)+IF(OR(D$7="",D$8=0),0,D$8*(D$7-S$16*(1-$A139)*(1-(1-$A139)^MIN(D$6,$B$11))/($A139*MIN(D$6,$B$11)))^2)+IF(OR(E$7="",E$8=0),0,E$8*(E$7-S$16*(1-$A139)*(1-(1-$A139)^MIN(E$6,$B$11))/($A139*MIN(E$6,$B$11)))^2)</f>
        <v/>
      </c>
      <c r="U139" s="27">
        <f>MIN(B139:S139)</f>
        <v/>
      </c>
      <c r="V139" s="17">
        <f>MATCH(U139,B139:S139,0)</f>
        <v/>
      </c>
    </row>
    <row r="140">
      <c r="A140" s="26" t="n">
        <v>0.0665</v>
      </c>
      <c r="B140" s="27">
        <f>IF(OR(B$7="",B$8=0),0,B$8*(B$7-B$16*(1-$A140)*(1-(1-$A140)^MIN(B$6,$B$11))/($A140*MIN(B$6,$B$11)))^2)+IF(OR(C$7="",C$8=0),0,C$8*(C$7-B$16*(1-$A140)*(1-(1-$A140)^MIN(C$6,$B$11))/($A140*MIN(C$6,$B$11)))^2)+IF(OR(D$7="",D$8=0),0,D$8*(D$7-B$16*(1-$A140)*(1-(1-$A140)^MIN(D$6,$B$11))/($A140*MIN(D$6,$B$11)))^2)+IF(OR(E$7="",E$8=0),0,E$8*(E$7-B$16*(1-$A140)*(1-(1-$A140)^MIN(E$6,$B$11))/($A140*MIN(E$6,$B$11)))^2)</f>
        <v/>
      </c>
      <c r="C140" s="27">
        <f>IF(OR(B$7="",B$8=0),0,B$8*(B$7-C$16*(1-$A140)*(1-(1-$A140)^MIN(B$6,$B$11))/($A140*MIN(B$6,$B$11)))^2)+IF(OR(C$7="",C$8=0),0,C$8*(C$7-C$16*(1-$A140)*(1-(1-$A140)^MIN(C$6,$B$11))/($A140*MIN(C$6,$B$11)))^2)+IF(OR(D$7="",D$8=0),0,D$8*(D$7-C$16*(1-$A140)*(1-(1-$A140)^MIN(D$6,$B$11))/($A140*MIN(D$6,$B$11)))^2)+IF(OR(E$7="",E$8=0),0,E$8*(E$7-C$16*(1-$A140)*(1-(1-$A140)^MIN(E$6,$B$11))/($A140*MIN(E$6,$B$11)))^2)</f>
        <v/>
      </c>
      <c r="D140" s="27">
        <f>IF(OR(B$7="",B$8=0),0,B$8*(B$7-D$16*(1-$A140)*(1-(1-$A140)^MIN(B$6,$B$11))/($A140*MIN(B$6,$B$11)))^2)+IF(OR(C$7="",C$8=0),0,C$8*(C$7-D$16*(1-$A140)*(1-(1-$A140)^MIN(C$6,$B$11))/($A140*MIN(C$6,$B$11)))^2)+IF(OR(D$7="",D$8=0),0,D$8*(D$7-D$16*(1-$A140)*(1-(1-$A140)^MIN(D$6,$B$11))/($A140*MIN(D$6,$B$11)))^2)+IF(OR(E$7="",E$8=0),0,E$8*(E$7-D$16*(1-$A140)*(1-(1-$A140)^MIN(E$6,$B$11))/($A140*MIN(E$6,$B$11)))^2)</f>
        <v/>
      </c>
      <c r="E140" s="27">
        <f>IF(OR(B$7="",B$8=0),0,B$8*(B$7-E$16*(1-$A140)*(1-(1-$A140)^MIN(B$6,$B$11))/($A140*MIN(B$6,$B$11)))^2)+IF(OR(C$7="",C$8=0),0,C$8*(C$7-E$16*(1-$A140)*(1-(1-$A140)^MIN(C$6,$B$11))/($A140*MIN(C$6,$B$11)))^2)+IF(OR(D$7="",D$8=0),0,D$8*(D$7-E$16*(1-$A140)*(1-(1-$A140)^MIN(D$6,$B$11))/($A140*MIN(D$6,$B$11)))^2)+IF(OR(E$7="",E$8=0),0,E$8*(E$7-E$16*(1-$A140)*(1-(1-$A140)^MIN(E$6,$B$11))/($A140*MIN(E$6,$B$11)))^2)</f>
        <v/>
      </c>
      <c r="F140" s="27">
        <f>IF(OR(B$7="",B$8=0),0,B$8*(B$7-F$16*(1-$A140)*(1-(1-$A140)^MIN(B$6,$B$11))/($A140*MIN(B$6,$B$11)))^2)+IF(OR(C$7="",C$8=0),0,C$8*(C$7-F$16*(1-$A140)*(1-(1-$A140)^MIN(C$6,$B$11))/($A140*MIN(C$6,$B$11)))^2)+IF(OR(D$7="",D$8=0),0,D$8*(D$7-F$16*(1-$A140)*(1-(1-$A140)^MIN(D$6,$B$11))/($A140*MIN(D$6,$B$11)))^2)+IF(OR(E$7="",E$8=0),0,E$8*(E$7-F$16*(1-$A140)*(1-(1-$A140)^MIN(E$6,$B$11))/($A140*MIN(E$6,$B$11)))^2)</f>
        <v/>
      </c>
      <c r="G140" s="27">
        <f>IF(OR(B$7="",B$8=0),0,B$8*(B$7-G$16*(1-$A140)*(1-(1-$A140)^MIN(B$6,$B$11))/($A140*MIN(B$6,$B$11)))^2)+IF(OR(C$7="",C$8=0),0,C$8*(C$7-G$16*(1-$A140)*(1-(1-$A140)^MIN(C$6,$B$11))/($A140*MIN(C$6,$B$11)))^2)+IF(OR(D$7="",D$8=0),0,D$8*(D$7-G$16*(1-$A140)*(1-(1-$A140)^MIN(D$6,$B$11))/($A140*MIN(D$6,$B$11)))^2)+IF(OR(E$7="",E$8=0),0,E$8*(E$7-G$16*(1-$A140)*(1-(1-$A140)^MIN(E$6,$B$11))/($A140*MIN(E$6,$B$11)))^2)</f>
        <v/>
      </c>
      <c r="H140" s="27">
        <f>IF(OR(B$7="",B$8=0),0,B$8*(B$7-H$16*(1-$A140)*(1-(1-$A140)^MIN(B$6,$B$11))/($A140*MIN(B$6,$B$11)))^2)+IF(OR(C$7="",C$8=0),0,C$8*(C$7-H$16*(1-$A140)*(1-(1-$A140)^MIN(C$6,$B$11))/($A140*MIN(C$6,$B$11)))^2)+IF(OR(D$7="",D$8=0),0,D$8*(D$7-H$16*(1-$A140)*(1-(1-$A140)^MIN(D$6,$B$11))/($A140*MIN(D$6,$B$11)))^2)+IF(OR(E$7="",E$8=0),0,E$8*(E$7-H$16*(1-$A140)*(1-(1-$A140)^MIN(E$6,$B$11))/($A140*MIN(E$6,$B$11)))^2)</f>
        <v/>
      </c>
      <c r="I140" s="27">
        <f>IF(OR(B$7="",B$8=0),0,B$8*(B$7-I$16*(1-$A140)*(1-(1-$A140)^MIN(B$6,$B$11))/($A140*MIN(B$6,$B$11)))^2)+IF(OR(C$7="",C$8=0),0,C$8*(C$7-I$16*(1-$A140)*(1-(1-$A140)^MIN(C$6,$B$11))/($A140*MIN(C$6,$B$11)))^2)+IF(OR(D$7="",D$8=0),0,D$8*(D$7-I$16*(1-$A140)*(1-(1-$A140)^MIN(D$6,$B$11))/($A140*MIN(D$6,$B$11)))^2)+IF(OR(E$7="",E$8=0),0,E$8*(E$7-I$16*(1-$A140)*(1-(1-$A140)^MIN(E$6,$B$11))/($A140*MIN(E$6,$B$11)))^2)</f>
        <v/>
      </c>
      <c r="J140" s="27">
        <f>IF(OR(B$7="",B$8=0),0,B$8*(B$7-J$16*(1-$A140)*(1-(1-$A140)^MIN(B$6,$B$11))/($A140*MIN(B$6,$B$11)))^2)+IF(OR(C$7="",C$8=0),0,C$8*(C$7-J$16*(1-$A140)*(1-(1-$A140)^MIN(C$6,$B$11))/($A140*MIN(C$6,$B$11)))^2)+IF(OR(D$7="",D$8=0),0,D$8*(D$7-J$16*(1-$A140)*(1-(1-$A140)^MIN(D$6,$B$11))/($A140*MIN(D$6,$B$11)))^2)+IF(OR(E$7="",E$8=0),0,E$8*(E$7-J$16*(1-$A140)*(1-(1-$A140)^MIN(E$6,$B$11))/($A140*MIN(E$6,$B$11)))^2)</f>
        <v/>
      </c>
      <c r="K140" s="27">
        <f>IF(OR(B$7="",B$8=0),0,B$8*(B$7-K$16*(1-$A140)*(1-(1-$A140)^MIN(B$6,$B$11))/($A140*MIN(B$6,$B$11)))^2)+IF(OR(C$7="",C$8=0),0,C$8*(C$7-K$16*(1-$A140)*(1-(1-$A140)^MIN(C$6,$B$11))/($A140*MIN(C$6,$B$11)))^2)+IF(OR(D$7="",D$8=0),0,D$8*(D$7-K$16*(1-$A140)*(1-(1-$A140)^MIN(D$6,$B$11))/($A140*MIN(D$6,$B$11)))^2)+IF(OR(E$7="",E$8=0),0,E$8*(E$7-K$16*(1-$A140)*(1-(1-$A140)^MIN(E$6,$B$11))/($A140*MIN(E$6,$B$11)))^2)</f>
        <v/>
      </c>
      <c r="L140" s="27">
        <f>IF(OR(B$7="",B$8=0),0,B$8*(B$7-L$16*(1-$A140)*(1-(1-$A140)^MIN(B$6,$B$11))/($A140*MIN(B$6,$B$11)))^2)+IF(OR(C$7="",C$8=0),0,C$8*(C$7-L$16*(1-$A140)*(1-(1-$A140)^MIN(C$6,$B$11))/($A140*MIN(C$6,$B$11)))^2)+IF(OR(D$7="",D$8=0),0,D$8*(D$7-L$16*(1-$A140)*(1-(1-$A140)^MIN(D$6,$B$11))/($A140*MIN(D$6,$B$11)))^2)+IF(OR(E$7="",E$8=0),0,E$8*(E$7-L$16*(1-$A140)*(1-(1-$A140)^MIN(E$6,$B$11))/($A140*MIN(E$6,$B$11)))^2)</f>
        <v/>
      </c>
      <c r="M140" s="27">
        <f>IF(OR(B$7="",B$8=0),0,B$8*(B$7-M$16*(1-$A140)*(1-(1-$A140)^MIN(B$6,$B$11))/($A140*MIN(B$6,$B$11)))^2)+IF(OR(C$7="",C$8=0),0,C$8*(C$7-M$16*(1-$A140)*(1-(1-$A140)^MIN(C$6,$B$11))/($A140*MIN(C$6,$B$11)))^2)+IF(OR(D$7="",D$8=0),0,D$8*(D$7-M$16*(1-$A140)*(1-(1-$A140)^MIN(D$6,$B$11))/($A140*MIN(D$6,$B$11)))^2)+IF(OR(E$7="",E$8=0),0,E$8*(E$7-M$16*(1-$A140)*(1-(1-$A140)^MIN(E$6,$B$11))/($A140*MIN(E$6,$B$11)))^2)</f>
        <v/>
      </c>
      <c r="N140" s="27">
        <f>IF(OR(B$7="",B$8=0),0,B$8*(B$7-N$16*(1-$A140)*(1-(1-$A140)^MIN(B$6,$B$11))/($A140*MIN(B$6,$B$11)))^2)+IF(OR(C$7="",C$8=0),0,C$8*(C$7-N$16*(1-$A140)*(1-(1-$A140)^MIN(C$6,$B$11))/($A140*MIN(C$6,$B$11)))^2)+IF(OR(D$7="",D$8=0),0,D$8*(D$7-N$16*(1-$A140)*(1-(1-$A140)^MIN(D$6,$B$11))/($A140*MIN(D$6,$B$11)))^2)+IF(OR(E$7="",E$8=0),0,E$8*(E$7-N$16*(1-$A140)*(1-(1-$A140)^MIN(E$6,$B$11))/($A140*MIN(E$6,$B$11)))^2)</f>
        <v/>
      </c>
      <c r="O140" s="27">
        <f>IF(OR(B$7="",B$8=0),0,B$8*(B$7-O$16*(1-$A140)*(1-(1-$A140)^MIN(B$6,$B$11))/($A140*MIN(B$6,$B$11)))^2)+IF(OR(C$7="",C$8=0),0,C$8*(C$7-O$16*(1-$A140)*(1-(1-$A140)^MIN(C$6,$B$11))/($A140*MIN(C$6,$B$11)))^2)+IF(OR(D$7="",D$8=0),0,D$8*(D$7-O$16*(1-$A140)*(1-(1-$A140)^MIN(D$6,$B$11))/($A140*MIN(D$6,$B$11)))^2)+IF(OR(E$7="",E$8=0),0,E$8*(E$7-O$16*(1-$A140)*(1-(1-$A140)^MIN(E$6,$B$11))/($A140*MIN(E$6,$B$11)))^2)</f>
        <v/>
      </c>
      <c r="P140" s="27">
        <f>IF(OR(B$7="",B$8=0),0,B$8*(B$7-P$16*(1-$A140)*(1-(1-$A140)^MIN(B$6,$B$11))/($A140*MIN(B$6,$B$11)))^2)+IF(OR(C$7="",C$8=0),0,C$8*(C$7-P$16*(1-$A140)*(1-(1-$A140)^MIN(C$6,$B$11))/($A140*MIN(C$6,$B$11)))^2)+IF(OR(D$7="",D$8=0),0,D$8*(D$7-P$16*(1-$A140)*(1-(1-$A140)^MIN(D$6,$B$11))/($A140*MIN(D$6,$B$11)))^2)+IF(OR(E$7="",E$8=0),0,E$8*(E$7-P$16*(1-$A140)*(1-(1-$A140)^MIN(E$6,$B$11))/($A140*MIN(E$6,$B$11)))^2)</f>
        <v/>
      </c>
      <c r="Q140" s="27">
        <f>IF(OR(B$7="",B$8=0),0,B$8*(B$7-Q$16*(1-$A140)*(1-(1-$A140)^MIN(B$6,$B$11))/($A140*MIN(B$6,$B$11)))^2)+IF(OR(C$7="",C$8=0),0,C$8*(C$7-Q$16*(1-$A140)*(1-(1-$A140)^MIN(C$6,$B$11))/($A140*MIN(C$6,$B$11)))^2)+IF(OR(D$7="",D$8=0),0,D$8*(D$7-Q$16*(1-$A140)*(1-(1-$A140)^MIN(D$6,$B$11))/($A140*MIN(D$6,$B$11)))^2)+IF(OR(E$7="",E$8=0),0,E$8*(E$7-Q$16*(1-$A140)*(1-(1-$A140)^MIN(E$6,$B$11))/($A140*MIN(E$6,$B$11)))^2)</f>
        <v/>
      </c>
      <c r="R140" s="27">
        <f>IF(OR(B$7="",B$8=0),0,B$8*(B$7-R$16*(1-$A140)*(1-(1-$A140)^MIN(B$6,$B$11))/($A140*MIN(B$6,$B$11)))^2)+IF(OR(C$7="",C$8=0),0,C$8*(C$7-R$16*(1-$A140)*(1-(1-$A140)^MIN(C$6,$B$11))/($A140*MIN(C$6,$B$11)))^2)+IF(OR(D$7="",D$8=0),0,D$8*(D$7-R$16*(1-$A140)*(1-(1-$A140)^MIN(D$6,$B$11))/($A140*MIN(D$6,$B$11)))^2)+IF(OR(E$7="",E$8=0),0,E$8*(E$7-R$16*(1-$A140)*(1-(1-$A140)^MIN(E$6,$B$11))/($A140*MIN(E$6,$B$11)))^2)</f>
        <v/>
      </c>
      <c r="S140" s="27">
        <f>IF(OR(B$7="",B$8=0),0,B$8*(B$7-S$16*(1-$A140)*(1-(1-$A140)^MIN(B$6,$B$11))/($A140*MIN(B$6,$B$11)))^2)+IF(OR(C$7="",C$8=0),0,C$8*(C$7-S$16*(1-$A140)*(1-(1-$A140)^MIN(C$6,$B$11))/($A140*MIN(C$6,$B$11)))^2)+IF(OR(D$7="",D$8=0),0,D$8*(D$7-S$16*(1-$A140)*(1-(1-$A140)^MIN(D$6,$B$11))/($A140*MIN(D$6,$B$11)))^2)+IF(OR(E$7="",E$8=0),0,E$8*(E$7-S$16*(1-$A140)*(1-(1-$A140)^MIN(E$6,$B$11))/($A140*MIN(E$6,$B$11)))^2)</f>
        <v/>
      </c>
      <c r="U140" s="27">
        <f>MIN(B140:S140)</f>
        <v/>
      </c>
      <c r="V140" s="17">
        <f>MATCH(U140,B140:S140,0)</f>
        <v/>
      </c>
    </row>
    <row r="141">
      <c r="A141" s="26" t="n">
        <v>0.067</v>
      </c>
      <c r="B141" s="27">
        <f>IF(OR(B$7="",B$8=0),0,B$8*(B$7-B$16*(1-$A141)*(1-(1-$A141)^MIN(B$6,$B$11))/($A141*MIN(B$6,$B$11)))^2)+IF(OR(C$7="",C$8=0),0,C$8*(C$7-B$16*(1-$A141)*(1-(1-$A141)^MIN(C$6,$B$11))/($A141*MIN(C$6,$B$11)))^2)+IF(OR(D$7="",D$8=0),0,D$8*(D$7-B$16*(1-$A141)*(1-(1-$A141)^MIN(D$6,$B$11))/($A141*MIN(D$6,$B$11)))^2)+IF(OR(E$7="",E$8=0),0,E$8*(E$7-B$16*(1-$A141)*(1-(1-$A141)^MIN(E$6,$B$11))/($A141*MIN(E$6,$B$11)))^2)</f>
        <v/>
      </c>
      <c r="C141" s="27">
        <f>IF(OR(B$7="",B$8=0),0,B$8*(B$7-C$16*(1-$A141)*(1-(1-$A141)^MIN(B$6,$B$11))/($A141*MIN(B$6,$B$11)))^2)+IF(OR(C$7="",C$8=0),0,C$8*(C$7-C$16*(1-$A141)*(1-(1-$A141)^MIN(C$6,$B$11))/($A141*MIN(C$6,$B$11)))^2)+IF(OR(D$7="",D$8=0),0,D$8*(D$7-C$16*(1-$A141)*(1-(1-$A141)^MIN(D$6,$B$11))/($A141*MIN(D$6,$B$11)))^2)+IF(OR(E$7="",E$8=0),0,E$8*(E$7-C$16*(1-$A141)*(1-(1-$A141)^MIN(E$6,$B$11))/($A141*MIN(E$6,$B$11)))^2)</f>
        <v/>
      </c>
      <c r="D141" s="27">
        <f>IF(OR(B$7="",B$8=0),0,B$8*(B$7-D$16*(1-$A141)*(1-(1-$A141)^MIN(B$6,$B$11))/($A141*MIN(B$6,$B$11)))^2)+IF(OR(C$7="",C$8=0),0,C$8*(C$7-D$16*(1-$A141)*(1-(1-$A141)^MIN(C$6,$B$11))/($A141*MIN(C$6,$B$11)))^2)+IF(OR(D$7="",D$8=0),0,D$8*(D$7-D$16*(1-$A141)*(1-(1-$A141)^MIN(D$6,$B$11))/($A141*MIN(D$6,$B$11)))^2)+IF(OR(E$7="",E$8=0),0,E$8*(E$7-D$16*(1-$A141)*(1-(1-$A141)^MIN(E$6,$B$11))/($A141*MIN(E$6,$B$11)))^2)</f>
        <v/>
      </c>
      <c r="E141" s="27">
        <f>IF(OR(B$7="",B$8=0),0,B$8*(B$7-E$16*(1-$A141)*(1-(1-$A141)^MIN(B$6,$B$11))/($A141*MIN(B$6,$B$11)))^2)+IF(OR(C$7="",C$8=0),0,C$8*(C$7-E$16*(1-$A141)*(1-(1-$A141)^MIN(C$6,$B$11))/($A141*MIN(C$6,$B$11)))^2)+IF(OR(D$7="",D$8=0),0,D$8*(D$7-E$16*(1-$A141)*(1-(1-$A141)^MIN(D$6,$B$11))/($A141*MIN(D$6,$B$11)))^2)+IF(OR(E$7="",E$8=0),0,E$8*(E$7-E$16*(1-$A141)*(1-(1-$A141)^MIN(E$6,$B$11))/($A141*MIN(E$6,$B$11)))^2)</f>
        <v/>
      </c>
      <c r="F141" s="27">
        <f>IF(OR(B$7="",B$8=0),0,B$8*(B$7-F$16*(1-$A141)*(1-(1-$A141)^MIN(B$6,$B$11))/($A141*MIN(B$6,$B$11)))^2)+IF(OR(C$7="",C$8=0),0,C$8*(C$7-F$16*(1-$A141)*(1-(1-$A141)^MIN(C$6,$B$11))/($A141*MIN(C$6,$B$11)))^2)+IF(OR(D$7="",D$8=0),0,D$8*(D$7-F$16*(1-$A141)*(1-(1-$A141)^MIN(D$6,$B$11))/($A141*MIN(D$6,$B$11)))^2)+IF(OR(E$7="",E$8=0),0,E$8*(E$7-F$16*(1-$A141)*(1-(1-$A141)^MIN(E$6,$B$11))/($A141*MIN(E$6,$B$11)))^2)</f>
        <v/>
      </c>
      <c r="G141" s="27">
        <f>IF(OR(B$7="",B$8=0),0,B$8*(B$7-G$16*(1-$A141)*(1-(1-$A141)^MIN(B$6,$B$11))/($A141*MIN(B$6,$B$11)))^2)+IF(OR(C$7="",C$8=0),0,C$8*(C$7-G$16*(1-$A141)*(1-(1-$A141)^MIN(C$6,$B$11))/($A141*MIN(C$6,$B$11)))^2)+IF(OR(D$7="",D$8=0),0,D$8*(D$7-G$16*(1-$A141)*(1-(1-$A141)^MIN(D$6,$B$11))/($A141*MIN(D$6,$B$11)))^2)+IF(OR(E$7="",E$8=0),0,E$8*(E$7-G$16*(1-$A141)*(1-(1-$A141)^MIN(E$6,$B$11))/($A141*MIN(E$6,$B$11)))^2)</f>
        <v/>
      </c>
      <c r="H141" s="27">
        <f>IF(OR(B$7="",B$8=0),0,B$8*(B$7-H$16*(1-$A141)*(1-(1-$A141)^MIN(B$6,$B$11))/($A141*MIN(B$6,$B$11)))^2)+IF(OR(C$7="",C$8=0),0,C$8*(C$7-H$16*(1-$A141)*(1-(1-$A141)^MIN(C$6,$B$11))/($A141*MIN(C$6,$B$11)))^2)+IF(OR(D$7="",D$8=0),0,D$8*(D$7-H$16*(1-$A141)*(1-(1-$A141)^MIN(D$6,$B$11))/($A141*MIN(D$6,$B$11)))^2)+IF(OR(E$7="",E$8=0),0,E$8*(E$7-H$16*(1-$A141)*(1-(1-$A141)^MIN(E$6,$B$11))/($A141*MIN(E$6,$B$11)))^2)</f>
        <v/>
      </c>
      <c r="I141" s="27">
        <f>IF(OR(B$7="",B$8=0),0,B$8*(B$7-I$16*(1-$A141)*(1-(1-$A141)^MIN(B$6,$B$11))/($A141*MIN(B$6,$B$11)))^2)+IF(OR(C$7="",C$8=0),0,C$8*(C$7-I$16*(1-$A141)*(1-(1-$A141)^MIN(C$6,$B$11))/($A141*MIN(C$6,$B$11)))^2)+IF(OR(D$7="",D$8=0),0,D$8*(D$7-I$16*(1-$A141)*(1-(1-$A141)^MIN(D$6,$B$11))/($A141*MIN(D$6,$B$11)))^2)+IF(OR(E$7="",E$8=0),0,E$8*(E$7-I$16*(1-$A141)*(1-(1-$A141)^MIN(E$6,$B$11))/($A141*MIN(E$6,$B$11)))^2)</f>
        <v/>
      </c>
      <c r="J141" s="27">
        <f>IF(OR(B$7="",B$8=0),0,B$8*(B$7-J$16*(1-$A141)*(1-(1-$A141)^MIN(B$6,$B$11))/($A141*MIN(B$6,$B$11)))^2)+IF(OR(C$7="",C$8=0),0,C$8*(C$7-J$16*(1-$A141)*(1-(1-$A141)^MIN(C$6,$B$11))/($A141*MIN(C$6,$B$11)))^2)+IF(OR(D$7="",D$8=0),0,D$8*(D$7-J$16*(1-$A141)*(1-(1-$A141)^MIN(D$6,$B$11))/($A141*MIN(D$6,$B$11)))^2)+IF(OR(E$7="",E$8=0),0,E$8*(E$7-J$16*(1-$A141)*(1-(1-$A141)^MIN(E$6,$B$11))/($A141*MIN(E$6,$B$11)))^2)</f>
        <v/>
      </c>
      <c r="K141" s="27">
        <f>IF(OR(B$7="",B$8=0),0,B$8*(B$7-K$16*(1-$A141)*(1-(1-$A141)^MIN(B$6,$B$11))/($A141*MIN(B$6,$B$11)))^2)+IF(OR(C$7="",C$8=0),0,C$8*(C$7-K$16*(1-$A141)*(1-(1-$A141)^MIN(C$6,$B$11))/($A141*MIN(C$6,$B$11)))^2)+IF(OR(D$7="",D$8=0),0,D$8*(D$7-K$16*(1-$A141)*(1-(1-$A141)^MIN(D$6,$B$11))/($A141*MIN(D$6,$B$11)))^2)+IF(OR(E$7="",E$8=0),0,E$8*(E$7-K$16*(1-$A141)*(1-(1-$A141)^MIN(E$6,$B$11))/($A141*MIN(E$6,$B$11)))^2)</f>
        <v/>
      </c>
      <c r="L141" s="27">
        <f>IF(OR(B$7="",B$8=0),0,B$8*(B$7-L$16*(1-$A141)*(1-(1-$A141)^MIN(B$6,$B$11))/($A141*MIN(B$6,$B$11)))^2)+IF(OR(C$7="",C$8=0),0,C$8*(C$7-L$16*(1-$A141)*(1-(1-$A141)^MIN(C$6,$B$11))/($A141*MIN(C$6,$B$11)))^2)+IF(OR(D$7="",D$8=0),0,D$8*(D$7-L$16*(1-$A141)*(1-(1-$A141)^MIN(D$6,$B$11))/($A141*MIN(D$6,$B$11)))^2)+IF(OR(E$7="",E$8=0),0,E$8*(E$7-L$16*(1-$A141)*(1-(1-$A141)^MIN(E$6,$B$11))/($A141*MIN(E$6,$B$11)))^2)</f>
        <v/>
      </c>
      <c r="M141" s="27">
        <f>IF(OR(B$7="",B$8=0),0,B$8*(B$7-M$16*(1-$A141)*(1-(1-$A141)^MIN(B$6,$B$11))/($A141*MIN(B$6,$B$11)))^2)+IF(OR(C$7="",C$8=0),0,C$8*(C$7-M$16*(1-$A141)*(1-(1-$A141)^MIN(C$6,$B$11))/($A141*MIN(C$6,$B$11)))^2)+IF(OR(D$7="",D$8=0),0,D$8*(D$7-M$16*(1-$A141)*(1-(1-$A141)^MIN(D$6,$B$11))/($A141*MIN(D$6,$B$11)))^2)+IF(OR(E$7="",E$8=0),0,E$8*(E$7-M$16*(1-$A141)*(1-(1-$A141)^MIN(E$6,$B$11))/($A141*MIN(E$6,$B$11)))^2)</f>
        <v/>
      </c>
      <c r="N141" s="27">
        <f>IF(OR(B$7="",B$8=0),0,B$8*(B$7-N$16*(1-$A141)*(1-(1-$A141)^MIN(B$6,$B$11))/($A141*MIN(B$6,$B$11)))^2)+IF(OR(C$7="",C$8=0),0,C$8*(C$7-N$16*(1-$A141)*(1-(1-$A141)^MIN(C$6,$B$11))/($A141*MIN(C$6,$B$11)))^2)+IF(OR(D$7="",D$8=0),0,D$8*(D$7-N$16*(1-$A141)*(1-(1-$A141)^MIN(D$6,$B$11))/($A141*MIN(D$6,$B$11)))^2)+IF(OR(E$7="",E$8=0),0,E$8*(E$7-N$16*(1-$A141)*(1-(1-$A141)^MIN(E$6,$B$11))/($A141*MIN(E$6,$B$11)))^2)</f>
        <v/>
      </c>
      <c r="O141" s="27">
        <f>IF(OR(B$7="",B$8=0),0,B$8*(B$7-O$16*(1-$A141)*(1-(1-$A141)^MIN(B$6,$B$11))/($A141*MIN(B$6,$B$11)))^2)+IF(OR(C$7="",C$8=0),0,C$8*(C$7-O$16*(1-$A141)*(1-(1-$A141)^MIN(C$6,$B$11))/($A141*MIN(C$6,$B$11)))^2)+IF(OR(D$7="",D$8=0),0,D$8*(D$7-O$16*(1-$A141)*(1-(1-$A141)^MIN(D$6,$B$11))/($A141*MIN(D$6,$B$11)))^2)+IF(OR(E$7="",E$8=0),0,E$8*(E$7-O$16*(1-$A141)*(1-(1-$A141)^MIN(E$6,$B$11))/($A141*MIN(E$6,$B$11)))^2)</f>
        <v/>
      </c>
      <c r="P141" s="27">
        <f>IF(OR(B$7="",B$8=0),0,B$8*(B$7-P$16*(1-$A141)*(1-(1-$A141)^MIN(B$6,$B$11))/($A141*MIN(B$6,$B$11)))^2)+IF(OR(C$7="",C$8=0),0,C$8*(C$7-P$16*(1-$A141)*(1-(1-$A141)^MIN(C$6,$B$11))/($A141*MIN(C$6,$B$11)))^2)+IF(OR(D$7="",D$8=0),0,D$8*(D$7-P$16*(1-$A141)*(1-(1-$A141)^MIN(D$6,$B$11))/($A141*MIN(D$6,$B$11)))^2)+IF(OR(E$7="",E$8=0),0,E$8*(E$7-P$16*(1-$A141)*(1-(1-$A141)^MIN(E$6,$B$11))/($A141*MIN(E$6,$B$11)))^2)</f>
        <v/>
      </c>
      <c r="Q141" s="27">
        <f>IF(OR(B$7="",B$8=0),0,B$8*(B$7-Q$16*(1-$A141)*(1-(1-$A141)^MIN(B$6,$B$11))/($A141*MIN(B$6,$B$11)))^2)+IF(OR(C$7="",C$8=0),0,C$8*(C$7-Q$16*(1-$A141)*(1-(1-$A141)^MIN(C$6,$B$11))/($A141*MIN(C$6,$B$11)))^2)+IF(OR(D$7="",D$8=0),0,D$8*(D$7-Q$16*(1-$A141)*(1-(1-$A141)^MIN(D$6,$B$11))/($A141*MIN(D$6,$B$11)))^2)+IF(OR(E$7="",E$8=0),0,E$8*(E$7-Q$16*(1-$A141)*(1-(1-$A141)^MIN(E$6,$B$11))/($A141*MIN(E$6,$B$11)))^2)</f>
        <v/>
      </c>
      <c r="R141" s="27">
        <f>IF(OR(B$7="",B$8=0),0,B$8*(B$7-R$16*(1-$A141)*(1-(1-$A141)^MIN(B$6,$B$11))/($A141*MIN(B$6,$B$11)))^2)+IF(OR(C$7="",C$8=0),0,C$8*(C$7-R$16*(1-$A141)*(1-(1-$A141)^MIN(C$6,$B$11))/($A141*MIN(C$6,$B$11)))^2)+IF(OR(D$7="",D$8=0),0,D$8*(D$7-R$16*(1-$A141)*(1-(1-$A141)^MIN(D$6,$B$11))/($A141*MIN(D$6,$B$11)))^2)+IF(OR(E$7="",E$8=0),0,E$8*(E$7-R$16*(1-$A141)*(1-(1-$A141)^MIN(E$6,$B$11))/($A141*MIN(E$6,$B$11)))^2)</f>
        <v/>
      </c>
      <c r="S141" s="27">
        <f>IF(OR(B$7="",B$8=0),0,B$8*(B$7-S$16*(1-$A141)*(1-(1-$A141)^MIN(B$6,$B$11))/($A141*MIN(B$6,$B$11)))^2)+IF(OR(C$7="",C$8=0),0,C$8*(C$7-S$16*(1-$A141)*(1-(1-$A141)^MIN(C$6,$B$11))/($A141*MIN(C$6,$B$11)))^2)+IF(OR(D$7="",D$8=0),0,D$8*(D$7-S$16*(1-$A141)*(1-(1-$A141)^MIN(D$6,$B$11))/($A141*MIN(D$6,$B$11)))^2)+IF(OR(E$7="",E$8=0),0,E$8*(E$7-S$16*(1-$A141)*(1-(1-$A141)^MIN(E$6,$B$11))/($A141*MIN(E$6,$B$11)))^2)</f>
        <v/>
      </c>
      <c r="U141" s="27">
        <f>MIN(B141:S141)</f>
        <v/>
      </c>
      <c r="V141" s="17">
        <f>MATCH(U141,B141:S141,0)</f>
        <v/>
      </c>
    </row>
    <row r="142">
      <c r="A142" s="26" t="n">
        <v>0.0675</v>
      </c>
      <c r="B142" s="27">
        <f>IF(OR(B$7="",B$8=0),0,B$8*(B$7-B$16*(1-$A142)*(1-(1-$A142)^MIN(B$6,$B$11))/($A142*MIN(B$6,$B$11)))^2)+IF(OR(C$7="",C$8=0),0,C$8*(C$7-B$16*(1-$A142)*(1-(1-$A142)^MIN(C$6,$B$11))/($A142*MIN(C$6,$B$11)))^2)+IF(OR(D$7="",D$8=0),0,D$8*(D$7-B$16*(1-$A142)*(1-(1-$A142)^MIN(D$6,$B$11))/($A142*MIN(D$6,$B$11)))^2)+IF(OR(E$7="",E$8=0),0,E$8*(E$7-B$16*(1-$A142)*(1-(1-$A142)^MIN(E$6,$B$11))/($A142*MIN(E$6,$B$11)))^2)</f>
        <v/>
      </c>
      <c r="C142" s="27">
        <f>IF(OR(B$7="",B$8=0),0,B$8*(B$7-C$16*(1-$A142)*(1-(1-$A142)^MIN(B$6,$B$11))/($A142*MIN(B$6,$B$11)))^2)+IF(OR(C$7="",C$8=0),0,C$8*(C$7-C$16*(1-$A142)*(1-(1-$A142)^MIN(C$6,$B$11))/($A142*MIN(C$6,$B$11)))^2)+IF(OR(D$7="",D$8=0),0,D$8*(D$7-C$16*(1-$A142)*(1-(1-$A142)^MIN(D$6,$B$11))/($A142*MIN(D$6,$B$11)))^2)+IF(OR(E$7="",E$8=0),0,E$8*(E$7-C$16*(1-$A142)*(1-(1-$A142)^MIN(E$6,$B$11))/($A142*MIN(E$6,$B$11)))^2)</f>
        <v/>
      </c>
      <c r="D142" s="27">
        <f>IF(OR(B$7="",B$8=0),0,B$8*(B$7-D$16*(1-$A142)*(1-(1-$A142)^MIN(B$6,$B$11))/($A142*MIN(B$6,$B$11)))^2)+IF(OR(C$7="",C$8=0),0,C$8*(C$7-D$16*(1-$A142)*(1-(1-$A142)^MIN(C$6,$B$11))/($A142*MIN(C$6,$B$11)))^2)+IF(OR(D$7="",D$8=0),0,D$8*(D$7-D$16*(1-$A142)*(1-(1-$A142)^MIN(D$6,$B$11))/($A142*MIN(D$6,$B$11)))^2)+IF(OR(E$7="",E$8=0),0,E$8*(E$7-D$16*(1-$A142)*(1-(1-$A142)^MIN(E$6,$B$11))/($A142*MIN(E$6,$B$11)))^2)</f>
        <v/>
      </c>
      <c r="E142" s="27">
        <f>IF(OR(B$7="",B$8=0),0,B$8*(B$7-E$16*(1-$A142)*(1-(1-$A142)^MIN(B$6,$B$11))/($A142*MIN(B$6,$B$11)))^2)+IF(OR(C$7="",C$8=0),0,C$8*(C$7-E$16*(1-$A142)*(1-(1-$A142)^MIN(C$6,$B$11))/($A142*MIN(C$6,$B$11)))^2)+IF(OR(D$7="",D$8=0),0,D$8*(D$7-E$16*(1-$A142)*(1-(1-$A142)^MIN(D$6,$B$11))/($A142*MIN(D$6,$B$11)))^2)+IF(OR(E$7="",E$8=0),0,E$8*(E$7-E$16*(1-$A142)*(1-(1-$A142)^MIN(E$6,$B$11))/($A142*MIN(E$6,$B$11)))^2)</f>
        <v/>
      </c>
      <c r="F142" s="27">
        <f>IF(OR(B$7="",B$8=0),0,B$8*(B$7-F$16*(1-$A142)*(1-(1-$A142)^MIN(B$6,$B$11))/($A142*MIN(B$6,$B$11)))^2)+IF(OR(C$7="",C$8=0),0,C$8*(C$7-F$16*(1-$A142)*(1-(1-$A142)^MIN(C$6,$B$11))/($A142*MIN(C$6,$B$11)))^2)+IF(OR(D$7="",D$8=0),0,D$8*(D$7-F$16*(1-$A142)*(1-(1-$A142)^MIN(D$6,$B$11))/($A142*MIN(D$6,$B$11)))^2)+IF(OR(E$7="",E$8=0),0,E$8*(E$7-F$16*(1-$A142)*(1-(1-$A142)^MIN(E$6,$B$11))/($A142*MIN(E$6,$B$11)))^2)</f>
        <v/>
      </c>
      <c r="G142" s="27">
        <f>IF(OR(B$7="",B$8=0),0,B$8*(B$7-G$16*(1-$A142)*(1-(1-$A142)^MIN(B$6,$B$11))/($A142*MIN(B$6,$B$11)))^2)+IF(OR(C$7="",C$8=0),0,C$8*(C$7-G$16*(1-$A142)*(1-(1-$A142)^MIN(C$6,$B$11))/($A142*MIN(C$6,$B$11)))^2)+IF(OR(D$7="",D$8=0),0,D$8*(D$7-G$16*(1-$A142)*(1-(1-$A142)^MIN(D$6,$B$11))/($A142*MIN(D$6,$B$11)))^2)+IF(OR(E$7="",E$8=0),0,E$8*(E$7-G$16*(1-$A142)*(1-(1-$A142)^MIN(E$6,$B$11))/($A142*MIN(E$6,$B$11)))^2)</f>
        <v/>
      </c>
      <c r="H142" s="27">
        <f>IF(OR(B$7="",B$8=0),0,B$8*(B$7-H$16*(1-$A142)*(1-(1-$A142)^MIN(B$6,$B$11))/($A142*MIN(B$6,$B$11)))^2)+IF(OR(C$7="",C$8=0),0,C$8*(C$7-H$16*(1-$A142)*(1-(1-$A142)^MIN(C$6,$B$11))/($A142*MIN(C$6,$B$11)))^2)+IF(OR(D$7="",D$8=0),0,D$8*(D$7-H$16*(1-$A142)*(1-(1-$A142)^MIN(D$6,$B$11))/($A142*MIN(D$6,$B$11)))^2)+IF(OR(E$7="",E$8=0),0,E$8*(E$7-H$16*(1-$A142)*(1-(1-$A142)^MIN(E$6,$B$11))/($A142*MIN(E$6,$B$11)))^2)</f>
        <v/>
      </c>
      <c r="I142" s="27">
        <f>IF(OR(B$7="",B$8=0),0,B$8*(B$7-I$16*(1-$A142)*(1-(1-$A142)^MIN(B$6,$B$11))/($A142*MIN(B$6,$B$11)))^2)+IF(OR(C$7="",C$8=0),0,C$8*(C$7-I$16*(1-$A142)*(1-(1-$A142)^MIN(C$6,$B$11))/($A142*MIN(C$6,$B$11)))^2)+IF(OR(D$7="",D$8=0),0,D$8*(D$7-I$16*(1-$A142)*(1-(1-$A142)^MIN(D$6,$B$11))/($A142*MIN(D$6,$B$11)))^2)+IF(OR(E$7="",E$8=0),0,E$8*(E$7-I$16*(1-$A142)*(1-(1-$A142)^MIN(E$6,$B$11))/($A142*MIN(E$6,$B$11)))^2)</f>
        <v/>
      </c>
      <c r="J142" s="27">
        <f>IF(OR(B$7="",B$8=0),0,B$8*(B$7-J$16*(1-$A142)*(1-(1-$A142)^MIN(B$6,$B$11))/($A142*MIN(B$6,$B$11)))^2)+IF(OR(C$7="",C$8=0),0,C$8*(C$7-J$16*(1-$A142)*(1-(1-$A142)^MIN(C$6,$B$11))/($A142*MIN(C$6,$B$11)))^2)+IF(OR(D$7="",D$8=0),0,D$8*(D$7-J$16*(1-$A142)*(1-(1-$A142)^MIN(D$6,$B$11))/($A142*MIN(D$6,$B$11)))^2)+IF(OR(E$7="",E$8=0),0,E$8*(E$7-J$16*(1-$A142)*(1-(1-$A142)^MIN(E$6,$B$11))/($A142*MIN(E$6,$B$11)))^2)</f>
        <v/>
      </c>
      <c r="K142" s="27">
        <f>IF(OR(B$7="",B$8=0),0,B$8*(B$7-K$16*(1-$A142)*(1-(1-$A142)^MIN(B$6,$B$11))/($A142*MIN(B$6,$B$11)))^2)+IF(OR(C$7="",C$8=0),0,C$8*(C$7-K$16*(1-$A142)*(1-(1-$A142)^MIN(C$6,$B$11))/($A142*MIN(C$6,$B$11)))^2)+IF(OR(D$7="",D$8=0),0,D$8*(D$7-K$16*(1-$A142)*(1-(1-$A142)^MIN(D$6,$B$11))/($A142*MIN(D$6,$B$11)))^2)+IF(OR(E$7="",E$8=0),0,E$8*(E$7-K$16*(1-$A142)*(1-(1-$A142)^MIN(E$6,$B$11))/($A142*MIN(E$6,$B$11)))^2)</f>
        <v/>
      </c>
      <c r="L142" s="27">
        <f>IF(OR(B$7="",B$8=0),0,B$8*(B$7-L$16*(1-$A142)*(1-(1-$A142)^MIN(B$6,$B$11))/($A142*MIN(B$6,$B$11)))^2)+IF(OR(C$7="",C$8=0),0,C$8*(C$7-L$16*(1-$A142)*(1-(1-$A142)^MIN(C$6,$B$11))/($A142*MIN(C$6,$B$11)))^2)+IF(OR(D$7="",D$8=0),0,D$8*(D$7-L$16*(1-$A142)*(1-(1-$A142)^MIN(D$6,$B$11))/($A142*MIN(D$6,$B$11)))^2)+IF(OR(E$7="",E$8=0),0,E$8*(E$7-L$16*(1-$A142)*(1-(1-$A142)^MIN(E$6,$B$11))/($A142*MIN(E$6,$B$11)))^2)</f>
        <v/>
      </c>
      <c r="M142" s="27">
        <f>IF(OR(B$7="",B$8=0),0,B$8*(B$7-M$16*(1-$A142)*(1-(1-$A142)^MIN(B$6,$B$11))/($A142*MIN(B$6,$B$11)))^2)+IF(OR(C$7="",C$8=0),0,C$8*(C$7-M$16*(1-$A142)*(1-(1-$A142)^MIN(C$6,$B$11))/($A142*MIN(C$6,$B$11)))^2)+IF(OR(D$7="",D$8=0),0,D$8*(D$7-M$16*(1-$A142)*(1-(1-$A142)^MIN(D$6,$B$11))/($A142*MIN(D$6,$B$11)))^2)+IF(OR(E$7="",E$8=0),0,E$8*(E$7-M$16*(1-$A142)*(1-(1-$A142)^MIN(E$6,$B$11))/($A142*MIN(E$6,$B$11)))^2)</f>
        <v/>
      </c>
      <c r="N142" s="27">
        <f>IF(OR(B$7="",B$8=0),0,B$8*(B$7-N$16*(1-$A142)*(1-(1-$A142)^MIN(B$6,$B$11))/($A142*MIN(B$6,$B$11)))^2)+IF(OR(C$7="",C$8=0),0,C$8*(C$7-N$16*(1-$A142)*(1-(1-$A142)^MIN(C$6,$B$11))/($A142*MIN(C$6,$B$11)))^2)+IF(OR(D$7="",D$8=0),0,D$8*(D$7-N$16*(1-$A142)*(1-(1-$A142)^MIN(D$6,$B$11))/($A142*MIN(D$6,$B$11)))^2)+IF(OR(E$7="",E$8=0),0,E$8*(E$7-N$16*(1-$A142)*(1-(1-$A142)^MIN(E$6,$B$11))/($A142*MIN(E$6,$B$11)))^2)</f>
        <v/>
      </c>
      <c r="O142" s="27">
        <f>IF(OR(B$7="",B$8=0),0,B$8*(B$7-O$16*(1-$A142)*(1-(1-$A142)^MIN(B$6,$B$11))/($A142*MIN(B$6,$B$11)))^2)+IF(OR(C$7="",C$8=0),0,C$8*(C$7-O$16*(1-$A142)*(1-(1-$A142)^MIN(C$6,$B$11))/($A142*MIN(C$6,$B$11)))^2)+IF(OR(D$7="",D$8=0),0,D$8*(D$7-O$16*(1-$A142)*(1-(1-$A142)^MIN(D$6,$B$11))/($A142*MIN(D$6,$B$11)))^2)+IF(OR(E$7="",E$8=0),0,E$8*(E$7-O$16*(1-$A142)*(1-(1-$A142)^MIN(E$6,$B$11))/($A142*MIN(E$6,$B$11)))^2)</f>
        <v/>
      </c>
      <c r="P142" s="27">
        <f>IF(OR(B$7="",B$8=0),0,B$8*(B$7-P$16*(1-$A142)*(1-(1-$A142)^MIN(B$6,$B$11))/($A142*MIN(B$6,$B$11)))^2)+IF(OR(C$7="",C$8=0),0,C$8*(C$7-P$16*(1-$A142)*(1-(1-$A142)^MIN(C$6,$B$11))/($A142*MIN(C$6,$B$11)))^2)+IF(OR(D$7="",D$8=0),0,D$8*(D$7-P$16*(1-$A142)*(1-(1-$A142)^MIN(D$6,$B$11))/($A142*MIN(D$6,$B$11)))^2)+IF(OR(E$7="",E$8=0),0,E$8*(E$7-P$16*(1-$A142)*(1-(1-$A142)^MIN(E$6,$B$11))/($A142*MIN(E$6,$B$11)))^2)</f>
        <v/>
      </c>
      <c r="Q142" s="27">
        <f>IF(OR(B$7="",B$8=0),0,B$8*(B$7-Q$16*(1-$A142)*(1-(1-$A142)^MIN(B$6,$B$11))/($A142*MIN(B$6,$B$11)))^2)+IF(OR(C$7="",C$8=0),0,C$8*(C$7-Q$16*(1-$A142)*(1-(1-$A142)^MIN(C$6,$B$11))/($A142*MIN(C$6,$B$11)))^2)+IF(OR(D$7="",D$8=0),0,D$8*(D$7-Q$16*(1-$A142)*(1-(1-$A142)^MIN(D$6,$B$11))/($A142*MIN(D$6,$B$11)))^2)+IF(OR(E$7="",E$8=0),0,E$8*(E$7-Q$16*(1-$A142)*(1-(1-$A142)^MIN(E$6,$B$11))/($A142*MIN(E$6,$B$11)))^2)</f>
        <v/>
      </c>
      <c r="R142" s="27">
        <f>IF(OR(B$7="",B$8=0),0,B$8*(B$7-R$16*(1-$A142)*(1-(1-$A142)^MIN(B$6,$B$11))/($A142*MIN(B$6,$B$11)))^2)+IF(OR(C$7="",C$8=0),0,C$8*(C$7-R$16*(1-$A142)*(1-(1-$A142)^MIN(C$6,$B$11))/($A142*MIN(C$6,$B$11)))^2)+IF(OR(D$7="",D$8=0),0,D$8*(D$7-R$16*(1-$A142)*(1-(1-$A142)^MIN(D$6,$B$11))/($A142*MIN(D$6,$B$11)))^2)+IF(OR(E$7="",E$8=0),0,E$8*(E$7-R$16*(1-$A142)*(1-(1-$A142)^MIN(E$6,$B$11))/($A142*MIN(E$6,$B$11)))^2)</f>
        <v/>
      </c>
      <c r="S142" s="27">
        <f>IF(OR(B$7="",B$8=0),0,B$8*(B$7-S$16*(1-$A142)*(1-(1-$A142)^MIN(B$6,$B$11))/($A142*MIN(B$6,$B$11)))^2)+IF(OR(C$7="",C$8=0),0,C$8*(C$7-S$16*(1-$A142)*(1-(1-$A142)^MIN(C$6,$B$11))/($A142*MIN(C$6,$B$11)))^2)+IF(OR(D$7="",D$8=0),0,D$8*(D$7-S$16*(1-$A142)*(1-(1-$A142)^MIN(D$6,$B$11))/($A142*MIN(D$6,$B$11)))^2)+IF(OR(E$7="",E$8=0),0,E$8*(E$7-S$16*(1-$A142)*(1-(1-$A142)^MIN(E$6,$B$11))/($A142*MIN(E$6,$B$11)))^2)</f>
        <v/>
      </c>
      <c r="U142" s="27">
        <f>MIN(B142:S142)</f>
        <v/>
      </c>
      <c r="V142" s="17">
        <f>MATCH(U142,B142:S142,0)</f>
        <v/>
      </c>
    </row>
    <row r="143">
      <c r="A143" s="26" t="n">
        <v>0.068</v>
      </c>
      <c r="B143" s="27">
        <f>IF(OR(B$7="",B$8=0),0,B$8*(B$7-B$16*(1-$A143)*(1-(1-$A143)^MIN(B$6,$B$11))/($A143*MIN(B$6,$B$11)))^2)+IF(OR(C$7="",C$8=0),0,C$8*(C$7-B$16*(1-$A143)*(1-(1-$A143)^MIN(C$6,$B$11))/($A143*MIN(C$6,$B$11)))^2)+IF(OR(D$7="",D$8=0),0,D$8*(D$7-B$16*(1-$A143)*(1-(1-$A143)^MIN(D$6,$B$11))/($A143*MIN(D$6,$B$11)))^2)+IF(OR(E$7="",E$8=0),0,E$8*(E$7-B$16*(1-$A143)*(1-(1-$A143)^MIN(E$6,$B$11))/($A143*MIN(E$6,$B$11)))^2)</f>
        <v/>
      </c>
      <c r="C143" s="27">
        <f>IF(OR(B$7="",B$8=0),0,B$8*(B$7-C$16*(1-$A143)*(1-(1-$A143)^MIN(B$6,$B$11))/($A143*MIN(B$6,$B$11)))^2)+IF(OR(C$7="",C$8=0),0,C$8*(C$7-C$16*(1-$A143)*(1-(1-$A143)^MIN(C$6,$B$11))/($A143*MIN(C$6,$B$11)))^2)+IF(OR(D$7="",D$8=0),0,D$8*(D$7-C$16*(1-$A143)*(1-(1-$A143)^MIN(D$6,$B$11))/($A143*MIN(D$6,$B$11)))^2)+IF(OR(E$7="",E$8=0),0,E$8*(E$7-C$16*(1-$A143)*(1-(1-$A143)^MIN(E$6,$B$11))/($A143*MIN(E$6,$B$11)))^2)</f>
        <v/>
      </c>
      <c r="D143" s="27">
        <f>IF(OR(B$7="",B$8=0),0,B$8*(B$7-D$16*(1-$A143)*(1-(1-$A143)^MIN(B$6,$B$11))/($A143*MIN(B$6,$B$11)))^2)+IF(OR(C$7="",C$8=0),0,C$8*(C$7-D$16*(1-$A143)*(1-(1-$A143)^MIN(C$6,$B$11))/($A143*MIN(C$6,$B$11)))^2)+IF(OR(D$7="",D$8=0),0,D$8*(D$7-D$16*(1-$A143)*(1-(1-$A143)^MIN(D$6,$B$11))/($A143*MIN(D$6,$B$11)))^2)+IF(OR(E$7="",E$8=0),0,E$8*(E$7-D$16*(1-$A143)*(1-(1-$A143)^MIN(E$6,$B$11))/($A143*MIN(E$6,$B$11)))^2)</f>
        <v/>
      </c>
      <c r="E143" s="27">
        <f>IF(OR(B$7="",B$8=0),0,B$8*(B$7-E$16*(1-$A143)*(1-(1-$A143)^MIN(B$6,$B$11))/($A143*MIN(B$6,$B$11)))^2)+IF(OR(C$7="",C$8=0),0,C$8*(C$7-E$16*(1-$A143)*(1-(1-$A143)^MIN(C$6,$B$11))/($A143*MIN(C$6,$B$11)))^2)+IF(OR(D$7="",D$8=0),0,D$8*(D$7-E$16*(1-$A143)*(1-(1-$A143)^MIN(D$6,$B$11))/($A143*MIN(D$6,$B$11)))^2)+IF(OR(E$7="",E$8=0),0,E$8*(E$7-E$16*(1-$A143)*(1-(1-$A143)^MIN(E$6,$B$11))/($A143*MIN(E$6,$B$11)))^2)</f>
        <v/>
      </c>
      <c r="F143" s="27">
        <f>IF(OR(B$7="",B$8=0),0,B$8*(B$7-F$16*(1-$A143)*(1-(1-$A143)^MIN(B$6,$B$11))/($A143*MIN(B$6,$B$11)))^2)+IF(OR(C$7="",C$8=0),0,C$8*(C$7-F$16*(1-$A143)*(1-(1-$A143)^MIN(C$6,$B$11))/($A143*MIN(C$6,$B$11)))^2)+IF(OR(D$7="",D$8=0),0,D$8*(D$7-F$16*(1-$A143)*(1-(1-$A143)^MIN(D$6,$B$11))/($A143*MIN(D$6,$B$11)))^2)+IF(OR(E$7="",E$8=0),0,E$8*(E$7-F$16*(1-$A143)*(1-(1-$A143)^MIN(E$6,$B$11))/($A143*MIN(E$6,$B$11)))^2)</f>
        <v/>
      </c>
      <c r="G143" s="27">
        <f>IF(OR(B$7="",B$8=0),0,B$8*(B$7-G$16*(1-$A143)*(1-(1-$A143)^MIN(B$6,$B$11))/($A143*MIN(B$6,$B$11)))^2)+IF(OR(C$7="",C$8=0),0,C$8*(C$7-G$16*(1-$A143)*(1-(1-$A143)^MIN(C$6,$B$11))/($A143*MIN(C$6,$B$11)))^2)+IF(OR(D$7="",D$8=0),0,D$8*(D$7-G$16*(1-$A143)*(1-(1-$A143)^MIN(D$6,$B$11))/($A143*MIN(D$6,$B$11)))^2)+IF(OR(E$7="",E$8=0),0,E$8*(E$7-G$16*(1-$A143)*(1-(1-$A143)^MIN(E$6,$B$11))/($A143*MIN(E$6,$B$11)))^2)</f>
        <v/>
      </c>
      <c r="H143" s="27">
        <f>IF(OR(B$7="",B$8=0),0,B$8*(B$7-H$16*(1-$A143)*(1-(1-$A143)^MIN(B$6,$B$11))/($A143*MIN(B$6,$B$11)))^2)+IF(OR(C$7="",C$8=0),0,C$8*(C$7-H$16*(1-$A143)*(1-(1-$A143)^MIN(C$6,$B$11))/($A143*MIN(C$6,$B$11)))^2)+IF(OR(D$7="",D$8=0),0,D$8*(D$7-H$16*(1-$A143)*(1-(1-$A143)^MIN(D$6,$B$11))/($A143*MIN(D$6,$B$11)))^2)+IF(OR(E$7="",E$8=0),0,E$8*(E$7-H$16*(1-$A143)*(1-(1-$A143)^MIN(E$6,$B$11))/($A143*MIN(E$6,$B$11)))^2)</f>
        <v/>
      </c>
      <c r="I143" s="27">
        <f>IF(OR(B$7="",B$8=0),0,B$8*(B$7-I$16*(1-$A143)*(1-(1-$A143)^MIN(B$6,$B$11))/($A143*MIN(B$6,$B$11)))^2)+IF(OR(C$7="",C$8=0),0,C$8*(C$7-I$16*(1-$A143)*(1-(1-$A143)^MIN(C$6,$B$11))/($A143*MIN(C$6,$B$11)))^2)+IF(OR(D$7="",D$8=0),0,D$8*(D$7-I$16*(1-$A143)*(1-(1-$A143)^MIN(D$6,$B$11))/($A143*MIN(D$6,$B$11)))^2)+IF(OR(E$7="",E$8=0),0,E$8*(E$7-I$16*(1-$A143)*(1-(1-$A143)^MIN(E$6,$B$11))/($A143*MIN(E$6,$B$11)))^2)</f>
        <v/>
      </c>
      <c r="J143" s="27">
        <f>IF(OR(B$7="",B$8=0),0,B$8*(B$7-J$16*(1-$A143)*(1-(1-$A143)^MIN(B$6,$B$11))/($A143*MIN(B$6,$B$11)))^2)+IF(OR(C$7="",C$8=0),0,C$8*(C$7-J$16*(1-$A143)*(1-(1-$A143)^MIN(C$6,$B$11))/($A143*MIN(C$6,$B$11)))^2)+IF(OR(D$7="",D$8=0),0,D$8*(D$7-J$16*(1-$A143)*(1-(1-$A143)^MIN(D$6,$B$11))/($A143*MIN(D$6,$B$11)))^2)+IF(OR(E$7="",E$8=0),0,E$8*(E$7-J$16*(1-$A143)*(1-(1-$A143)^MIN(E$6,$B$11))/($A143*MIN(E$6,$B$11)))^2)</f>
        <v/>
      </c>
      <c r="K143" s="27">
        <f>IF(OR(B$7="",B$8=0),0,B$8*(B$7-K$16*(1-$A143)*(1-(1-$A143)^MIN(B$6,$B$11))/($A143*MIN(B$6,$B$11)))^2)+IF(OR(C$7="",C$8=0),0,C$8*(C$7-K$16*(1-$A143)*(1-(1-$A143)^MIN(C$6,$B$11))/($A143*MIN(C$6,$B$11)))^2)+IF(OR(D$7="",D$8=0),0,D$8*(D$7-K$16*(1-$A143)*(1-(1-$A143)^MIN(D$6,$B$11))/($A143*MIN(D$6,$B$11)))^2)+IF(OR(E$7="",E$8=0),0,E$8*(E$7-K$16*(1-$A143)*(1-(1-$A143)^MIN(E$6,$B$11))/($A143*MIN(E$6,$B$11)))^2)</f>
        <v/>
      </c>
      <c r="L143" s="27">
        <f>IF(OR(B$7="",B$8=0),0,B$8*(B$7-L$16*(1-$A143)*(1-(1-$A143)^MIN(B$6,$B$11))/($A143*MIN(B$6,$B$11)))^2)+IF(OR(C$7="",C$8=0),0,C$8*(C$7-L$16*(1-$A143)*(1-(1-$A143)^MIN(C$6,$B$11))/($A143*MIN(C$6,$B$11)))^2)+IF(OR(D$7="",D$8=0),0,D$8*(D$7-L$16*(1-$A143)*(1-(1-$A143)^MIN(D$6,$B$11))/($A143*MIN(D$6,$B$11)))^2)+IF(OR(E$7="",E$8=0),0,E$8*(E$7-L$16*(1-$A143)*(1-(1-$A143)^MIN(E$6,$B$11))/($A143*MIN(E$6,$B$11)))^2)</f>
        <v/>
      </c>
      <c r="M143" s="27">
        <f>IF(OR(B$7="",B$8=0),0,B$8*(B$7-M$16*(1-$A143)*(1-(1-$A143)^MIN(B$6,$B$11))/($A143*MIN(B$6,$B$11)))^2)+IF(OR(C$7="",C$8=0),0,C$8*(C$7-M$16*(1-$A143)*(1-(1-$A143)^MIN(C$6,$B$11))/($A143*MIN(C$6,$B$11)))^2)+IF(OR(D$7="",D$8=0),0,D$8*(D$7-M$16*(1-$A143)*(1-(1-$A143)^MIN(D$6,$B$11))/($A143*MIN(D$6,$B$11)))^2)+IF(OR(E$7="",E$8=0),0,E$8*(E$7-M$16*(1-$A143)*(1-(1-$A143)^MIN(E$6,$B$11))/($A143*MIN(E$6,$B$11)))^2)</f>
        <v/>
      </c>
      <c r="N143" s="27">
        <f>IF(OR(B$7="",B$8=0),0,B$8*(B$7-N$16*(1-$A143)*(1-(1-$A143)^MIN(B$6,$B$11))/($A143*MIN(B$6,$B$11)))^2)+IF(OR(C$7="",C$8=0),0,C$8*(C$7-N$16*(1-$A143)*(1-(1-$A143)^MIN(C$6,$B$11))/($A143*MIN(C$6,$B$11)))^2)+IF(OR(D$7="",D$8=0),0,D$8*(D$7-N$16*(1-$A143)*(1-(1-$A143)^MIN(D$6,$B$11))/($A143*MIN(D$6,$B$11)))^2)+IF(OR(E$7="",E$8=0),0,E$8*(E$7-N$16*(1-$A143)*(1-(1-$A143)^MIN(E$6,$B$11))/($A143*MIN(E$6,$B$11)))^2)</f>
        <v/>
      </c>
      <c r="O143" s="27">
        <f>IF(OR(B$7="",B$8=0),0,B$8*(B$7-O$16*(1-$A143)*(1-(1-$A143)^MIN(B$6,$B$11))/($A143*MIN(B$6,$B$11)))^2)+IF(OR(C$7="",C$8=0),0,C$8*(C$7-O$16*(1-$A143)*(1-(1-$A143)^MIN(C$6,$B$11))/($A143*MIN(C$6,$B$11)))^2)+IF(OR(D$7="",D$8=0),0,D$8*(D$7-O$16*(1-$A143)*(1-(1-$A143)^MIN(D$6,$B$11))/($A143*MIN(D$6,$B$11)))^2)+IF(OR(E$7="",E$8=0),0,E$8*(E$7-O$16*(1-$A143)*(1-(1-$A143)^MIN(E$6,$B$11))/($A143*MIN(E$6,$B$11)))^2)</f>
        <v/>
      </c>
      <c r="P143" s="27">
        <f>IF(OR(B$7="",B$8=0),0,B$8*(B$7-P$16*(1-$A143)*(1-(1-$A143)^MIN(B$6,$B$11))/($A143*MIN(B$6,$B$11)))^2)+IF(OR(C$7="",C$8=0),0,C$8*(C$7-P$16*(1-$A143)*(1-(1-$A143)^MIN(C$6,$B$11))/($A143*MIN(C$6,$B$11)))^2)+IF(OR(D$7="",D$8=0),0,D$8*(D$7-P$16*(1-$A143)*(1-(1-$A143)^MIN(D$6,$B$11))/($A143*MIN(D$6,$B$11)))^2)+IF(OR(E$7="",E$8=0),0,E$8*(E$7-P$16*(1-$A143)*(1-(1-$A143)^MIN(E$6,$B$11))/($A143*MIN(E$6,$B$11)))^2)</f>
        <v/>
      </c>
      <c r="Q143" s="27">
        <f>IF(OR(B$7="",B$8=0),0,B$8*(B$7-Q$16*(1-$A143)*(1-(1-$A143)^MIN(B$6,$B$11))/($A143*MIN(B$6,$B$11)))^2)+IF(OR(C$7="",C$8=0),0,C$8*(C$7-Q$16*(1-$A143)*(1-(1-$A143)^MIN(C$6,$B$11))/($A143*MIN(C$6,$B$11)))^2)+IF(OR(D$7="",D$8=0),0,D$8*(D$7-Q$16*(1-$A143)*(1-(1-$A143)^MIN(D$6,$B$11))/($A143*MIN(D$6,$B$11)))^2)+IF(OR(E$7="",E$8=0),0,E$8*(E$7-Q$16*(1-$A143)*(1-(1-$A143)^MIN(E$6,$B$11))/($A143*MIN(E$6,$B$11)))^2)</f>
        <v/>
      </c>
      <c r="R143" s="27">
        <f>IF(OR(B$7="",B$8=0),0,B$8*(B$7-R$16*(1-$A143)*(1-(1-$A143)^MIN(B$6,$B$11))/($A143*MIN(B$6,$B$11)))^2)+IF(OR(C$7="",C$8=0),0,C$8*(C$7-R$16*(1-$A143)*(1-(1-$A143)^MIN(C$6,$B$11))/($A143*MIN(C$6,$B$11)))^2)+IF(OR(D$7="",D$8=0),0,D$8*(D$7-R$16*(1-$A143)*(1-(1-$A143)^MIN(D$6,$B$11))/($A143*MIN(D$6,$B$11)))^2)+IF(OR(E$7="",E$8=0),0,E$8*(E$7-R$16*(1-$A143)*(1-(1-$A143)^MIN(E$6,$B$11))/($A143*MIN(E$6,$B$11)))^2)</f>
        <v/>
      </c>
      <c r="S143" s="27">
        <f>IF(OR(B$7="",B$8=0),0,B$8*(B$7-S$16*(1-$A143)*(1-(1-$A143)^MIN(B$6,$B$11))/($A143*MIN(B$6,$B$11)))^2)+IF(OR(C$7="",C$8=0),0,C$8*(C$7-S$16*(1-$A143)*(1-(1-$A143)^MIN(C$6,$B$11))/($A143*MIN(C$6,$B$11)))^2)+IF(OR(D$7="",D$8=0),0,D$8*(D$7-S$16*(1-$A143)*(1-(1-$A143)^MIN(D$6,$B$11))/($A143*MIN(D$6,$B$11)))^2)+IF(OR(E$7="",E$8=0),0,E$8*(E$7-S$16*(1-$A143)*(1-(1-$A143)^MIN(E$6,$B$11))/($A143*MIN(E$6,$B$11)))^2)</f>
        <v/>
      </c>
      <c r="U143" s="27">
        <f>MIN(B143:S143)</f>
        <v/>
      </c>
      <c r="V143" s="17">
        <f>MATCH(U143,B143:S143,0)</f>
        <v/>
      </c>
    </row>
    <row r="144">
      <c r="A144" s="26" t="n">
        <v>0.06850000000000001</v>
      </c>
      <c r="B144" s="27">
        <f>IF(OR(B$7="",B$8=0),0,B$8*(B$7-B$16*(1-$A144)*(1-(1-$A144)^MIN(B$6,$B$11))/($A144*MIN(B$6,$B$11)))^2)+IF(OR(C$7="",C$8=0),0,C$8*(C$7-B$16*(1-$A144)*(1-(1-$A144)^MIN(C$6,$B$11))/($A144*MIN(C$6,$B$11)))^2)+IF(OR(D$7="",D$8=0),0,D$8*(D$7-B$16*(1-$A144)*(1-(1-$A144)^MIN(D$6,$B$11))/($A144*MIN(D$6,$B$11)))^2)+IF(OR(E$7="",E$8=0),0,E$8*(E$7-B$16*(1-$A144)*(1-(1-$A144)^MIN(E$6,$B$11))/($A144*MIN(E$6,$B$11)))^2)</f>
        <v/>
      </c>
      <c r="C144" s="27">
        <f>IF(OR(B$7="",B$8=0),0,B$8*(B$7-C$16*(1-$A144)*(1-(1-$A144)^MIN(B$6,$B$11))/($A144*MIN(B$6,$B$11)))^2)+IF(OR(C$7="",C$8=0),0,C$8*(C$7-C$16*(1-$A144)*(1-(1-$A144)^MIN(C$6,$B$11))/($A144*MIN(C$6,$B$11)))^2)+IF(OR(D$7="",D$8=0),0,D$8*(D$7-C$16*(1-$A144)*(1-(1-$A144)^MIN(D$6,$B$11))/($A144*MIN(D$6,$B$11)))^2)+IF(OR(E$7="",E$8=0),0,E$8*(E$7-C$16*(1-$A144)*(1-(1-$A144)^MIN(E$6,$B$11))/($A144*MIN(E$6,$B$11)))^2)</f>
        <v/>
      </c>
      <c r="D144" s="27">
        <f>IF(OR(B$7="",B$8=0),0,B$8*(B$7-D$16*(1-$A144)*(1-(1-$A144)^MIN(B$6,$B$11))/($A144*MIN(B$6,$B$11)))^2)+IF(OR(C$7="",C$8=0),0,C$8*(C$7-D$16*(1-$A144)*(1-(1-$A144)^MIN(C$6,$B$11))/($A144*MIN(C$6,$B$11)))^2)+IF(OR(D$7="",D$8=0),0,D$8*(D$7-D$16*(1-$A144)*(1-(1-$A144)^MIN(D$6,$B$11))/($A144*MIN(D$6,$B$11)))^2)+IF(OR(E$7="",E$8=0),0,E$8*(E$7-D$16*(1-$A144)*(1-(1-$A144)^MIN(E$6,$B$11))/($A144*MIN(E$6,$B$11)))^2)</f>
        <v/>
      </c>
      <c r="E144" s="27">
        <f>IF(OR(B$7="",B$8=0),0,B$8*(B$7-E$16*(1-$A144)*(1-(1-$A144)^MIN(B$6,$B$11))/($A144*MIN(B$6,$B$11)))^2)+IF(OR(C$7="",C$8=0),0,C$8*(C$7-E$16*(1-$A144)*(1-(1-$A144)^MIN(C$6,$B$11))/($A144*MIN(C$6,$B$11)))^2)+IF(OR(D$7="",D$8=0),0,D$8*(D$7-E$16*(1-$A144)*(1-(1-$A144)^MIN(D$6,$B$11))/($A144*MIN(D$6,$B$11)))^2)+IF(OR(E$7="",E$8=0),0,E$8*(E$7-E$16*(1-$A144)*(1-(1-$A144)^MIN(E$6,$B$11))/($A144*MIN(E$6,$B$11)))^2)</f>
        <v/>
      </c>
      <c r="F144" s="27">
        <f>IF(OR(B$7="",B$8=0),0,B$8*(B$7-F$16*(1-$A144)*(1-(1-$A144)^MIN(B$6,$B$11))/($A144*MIN(B$6,$B$11)))^2)+IF(OR(C$7="",C$8=0),0,C$8*(C$7-F$16*(1-$A144)*(1-(1-$A144)^MIN(C$6,$B$11))/($A144*MIN(C$6,$B$11)))^2)+IF(OR(D$7="",D$8=0),0,D$8*(D$7-F$16*(1-$A144)*(1-(1-$A144)^MIN(D$6,$B$11))/($A144*MIN(D$6,$B$11)))^2)+IF(OR(E$7="",E$8=0),0,E$8*(E$7-F$16*(1-$A144)*(1-(1-$A144)^MIN(E$6,$B$11))/($A144*MIN(E$6,$B$11)))^2)</f>
        <v/>
      </c>
      <c r="G144" s="27">
        <f>IF(OR(B$7="",B$8=0),0,B$8*(B$7-G$16*(1-$A144)*(1-(1-$A144)^MIN(B$6,$B$11))/($A144*MIN(B$6,$B$11)))^2)+IF(OR(C$7="",C$8=0),0,C$8*(C$7-G$16*(1-$A144)*(1-(1-$A144)^MIN(C$6,$B$11))/($A144*MIN(C$6,$B$11)))^2)+IF(OR(D$7="",D$8=0),0,D$8*(D$7-G$16*(1-$A144)*(1-(1-$A144)^MIN(D$6,$B$11))/($A144*MIN(D$6,$B$11)))^2)+IF(OR(E$7="",E$8=0),0,E$8*(E$7-G$16*(1-$A144)*(1-(1-$A144)^MIN(E$6,$B$11))/($A144*MIN(E$6,$B$11)))^2)</f>
        <v/>
      </c>
      <c r="H144" s="27">
        <f>IF(OR(B$7="",B$8=0),0,B$8*(B$7-H$16*(1-$A144)*(1-(1-$A144)^MIN(B$6,$B$11))/($A144*MIN(B$6,$B$11)))^2)+IF(OR(C$7="",C$8=0),0,C$8*(C$7-H$16*(1-$A144)*(1-(1-$A144)^MIN(C$6,$B$11))/($A144*MIN(C$6,$B$11)))^2)+IF(OR(D$7="",D$8=0),0,D$8*(D$7-H$16*(1-$A144)*(1-(1-$A144)^MIN(D$6,$B$11))/($A144*MIN(D$6,$B$11)))^2)+IF(OR(E$7="",E$8=0),0,E$8*(E$7-H$16*(1-$A144)*(1-(1-$A144)^MIN(E$6,$B$11))/($A144*MIN(E$6,$B$11)))^2)</f>
        <v/>
      </c>
      <c r="I144" s="27">
        <f>IF(OR(B$7="",B$8=0),0,B$8*(B$7-I$16*(1-$A144)*(1-(1-$A144)^MIN(B$6,$B$11))/($A144*MIN(B$6,$B$11)))^2)+IF(OR(C$7="",C$8=0),0,C$8*(C$7-I$16*(1-$A144)*(1-(1-$A144)^MIN(C$6,$B$11))/($A144*MIN(C$6,$B$11)))^2)+IF(OR(D$7="",D$8=0),0,D$8*(D$7-I$16*(1-$A144)*(1-(1-$A144)^MIN(D$6,$B$11))/($A144*MIN(D$6,$B$11)))^2)+IF(OR(E$7="",E$8=0),0,E$8*(E$7-I$16*(1-$A144)*(1-(1-$A144)^MIN(E$6,$B$11))/($A144*MIN(E$6,$B$11)))^2)</f>
        <v/>
      </c>
      <c r="J144" s="27">
        <f>IF(OR(B$7="",B$8=0),0,B$8*(B$7-J$16*(1-$A144)*(1-(1-$A144)^MIN(B$6,$B$11))/($A144*MIN(B$6,$B$11)))^2)+IF(OR(C$7="",C$8=0),0,C$8*(C$7-J$16*(1-$A144)*(1-(1-$A144)^MIN(C$6,$B$11))/($A144*MIN(C$6,$B$11)))^2)+IF(OR(D$7="",D$8=0),0,D$8*(D$7-J$16*(1-$A144)*(1-(1-$A144)^MIN(D$6,$B$11))/($A144*MIN(D$6,$B$11)))^2)+IF(OR(E$7="",E$8=0),0,E$8*(E$7-J$16*(1-$A144)*(1-(1-$A144)^MIN(E$6,$B$11))/($A144*MIN(E$6,$B$11)))^2)</f>
        <v/>
      </c>
      <c r="K144" s="27">
        <f>IF(OR(B$7="",B$8=0),0,B$8*(B$7-K$16*(1-$A144)*(1-(1-$A144)^MIN(B$6,$B$11))/($A144*MIN(B$6,$B$11)))^2)+IF(OR(C$7="",C$8=0),0,C$8*(C$7-K$16*(1-$A144)*(1-(1-$A144)^MIN(C$6,$B$11))/($A144*MIN(C$6,$B$11)))^2)+IF(OR(D$7="",D$8=0),0,D$8*(D$7-K$16*(1-$A144)*(1-(1-$A144)^MIN(D$6,$B$11))/($A144*MIN(D$6,$B$11)))^2)+IF(OR(E$7="",E$8=0),0,E$8*(E$7-K$16*(1-$A144)*(1-(1-$A144)^MIN(E$6,$B$11))/($A144*MIN(E$6,$B$11)))^2)</f>
        <v/>
      </c>
      <c r="L144" s="27">
        <f>IF(OR(B$7="",B$8=0),0,B$8*(B$7-L$16*(1-$A144)*(1-(1-$A144)^MIN(B$6,$B$11))/($A144*MIN(B$6,$B$11)))^2)+IF(OR(C$7="",C$8=0),0,C$8*(C$7-L$16*(1-$A144)*(1-(1-$A144)^MIN(C$6,$B$11))/($A144*MIN(C$6,$B$11)))^2)+IF(OR(D$7="",D$8=0),0,D$8*(D$7-L$16*(1-$A144)*(1-(1-$A144)^MIN(D$6,$B$11))/($A144*MIN(D$6,$B$11)))^2)+IF(OR(E$7="",E$8=0),0,E$8*(E$7-L$16*(1-$A144)*(1-(1-$A144)^MIN(E$6,$B$11))/($A144*MIN(E$6,$B$11)))^2)</f>
        <v/>
      </c>
      <c r="M144" s="27">
        <f>IF(OR(B$7="",B$8=0),0,B$8*(B$7-M$16*(1-$A144)*(1-(1-$A144)^MIN(B$6,$B$11))/($A144*MIN(B$6,$B$11)))^2)+IF(OR(C$7="",C$8=0),0,C$8*(C$7-M$16*(1-$A144)*(1-(1-$A144)^MIN(C$6,$B$11))/($A144*MIN(C$6,$B$11)))^2)+IF(OR(D$7="",D$8=0),0,D$8*(D$7-M$16*(1-$A144)*(1-(1-$A144)^MIN(D$6,$B$11))/($A144*MIN(D$6,$B$11)))^2)+IF(OR(E$7="",E$8=0),0,E$8*(E$7-M$16*(1-$A144)*(1-(1-$A144)^MIN(E$6,$B$11))/($A144*MIN(E$6,$B$11)))^2)</f>
        <v/>
      </c>
      <c r="N144" s="27">
        <f>IF(OR(B$7="",B$8=0),0,B$8*(B$7-N$16*(1-$A144)*(1-(1-$A144)^MIN(B$6,$B$11))/($A144*MIN(B$6,$B$11)))^2)+IF(OR(C$7="",C$8=0),0,C$8*(C$7-N$16*(1-$A144)*(1-(1-$A144)^MIN(C$6,$B$11))/($A144*MIN(C$6,$B$11)))^2)+IF(OR(D$7="",D$8=0),0,D$8*(D$7-N$16*(1-$A144)*(1-(1-$A144)^MIN(D$6,$B$11))/($A144*MIN(D$6,$B$11)))^2)+IF(OR(E$7="",E$8=0),0,E$8*(E$7-N$16*(1-$A144)*(1-(1-$A144)^MIN(E$6,$B$11))/($A144*MIN(E$6,$B$11)))^2)</f>
        <v/>
      </c>
      <c r="O144" s="27">
        <f>IF(OR(B$7="",B$8=0),0,B$8*(B$7-O$16*(1-$A144)*(1-(1-$A144)^MIN(B$6,$B$11))/($A144*MIN(B$6,$B$11)))^2)+IF(OR(C$7="",C$8=0),0,C$8*(C$7-O$16*(1-$A144)*(1-(1-$A144)^MIN(C$6,$B$11))/($A144*MIN(C$6,$B$11)))^2)+IF(OR(D$7="",D$8=0),0,D$8*(D$7-O$16*(1-$A144)*(1-(1-$A144)^MIN(D$6,$B$11))/($A144*MIN(D$6,$B$11)))^2)+IF(OR(E$7="",E$8=0),0,E$8*(E$7-O$16*(1-$A144)*(1-(1-$A144)^MIN(E$6,$B$11))/($A144*MIN(E$6,$B$11)))^2)</f>
        <v/>
      </c>
      <c r="P144" s="27">
        <f>IF(OR(B$7="",B$8=0),0,B$8*(B$7-P$16*(1-$A144)*(1-(1-$A144)^MIN(B$6,$B$11))/($A144*MIN(B$6,$B$11)))^2)+IF(OR(C$7="",C$8=0),0,C$8*(C$7-P$16*(1-$A144)*(1-(1-$A144)^MIN(C$6,$B$11))/($A144*MIN(C$6,$B$11)))^2)+IF(OR(D$7="",D$8=0),0,D$8*(D$7-P$16*(1-$A144)*(1-(1-$A144)^MIN(D$6,$B$11))/($A144*MIN(D$6,$B$11)))^2)+IF(OR(E$7="",E$8=0),0,E$8*(E$7-P$16*(1-$A144)*(1-(1-$A144)^MIN(E$6,$B$11))/($A144*MIN(E$6,$B$11)))^2)</f>
        <v/>
      </c>
      <c r="Q144" s="27">
        <f>IF(OR(B$7="",B$8=0),0,B$8*(B$7-Q$16*(1-$A144)*(1-(1-$A144)^MIN(B$6,$B$11))/($A144*MIN(B$6,$B$11)))^2)+IF(OR(C$7="",C$8=0),0,C$8*(C$7-Q$16*(1-$A144)*(1-(1-$A144)^MIN(C$6,$B$11))/($A144*MIN(C$6,$B$11)))^2)+IF(OR(D$7="",D$8=0),0,D$8*(D$7-Q$16*(1-$A144)*(1-(1-$A144)^MIN(D$6,$B$11))/($A144*MIN(D$6,$B$11)))^2)+IF(OR(E$7="",E$8=0),0,E$8*(E$7-Q$16*(1-$A144)*(1-(1-$A144)^MIN(E$6,$B$11))/($A144*MIN(E$6,$B$11)))^2)</f>
        <v/>
      </c>
      <c r="R144" s="27">
        <f>IF(OR(B$7="",B$8=0),0,B$8*(B$7-R$16*(1-$A144)*(1-(1-$A144)^MIN(B$6,$B$11))/($A144*MIN(B$6,$B$11)))^2)+IF(OR(C$7="",C$8=0),0,C$8*(C$7-R$16*(1-$A144)*(1-(1-$A144)^MIN(C$6,$B$11))/($A144*MIN(C$6,$B$11)))^2)+IF(OR(D$7="",D$8=0),0,D$8*(D$7-R$16*(1-$A144)*(1-(1-$A144)^MIN(D$6,$B$11))/($A144*MIN(D$6,$B$11)))^2)+IF(OR(E$7="",E$8=0),0,E$8*(E$7-R$16*(1-$A144)*(1-(1-$A144)^MIN(E$6,$B$11))/($A144*MIN(E$6,$B$11)))^2)</f>
        <v/>
      </c>
      <c r="S144" s="27">
        <f>IF(OR(B$7="",B$8=0),0,B$8*(B$7-S$16*(1-$A144)*(1-(1-$A144)^MIN(B$6,$B$11))/($A144*MIN(B$6,$B$11)))^2)+IF(OR(C$7="",C$8=0),0,C$8*(C$7-S$16*(1-$A144)*(1-(1-$A144)^MIN(C$6,$B$11))/($A144*MIN(C$6,$B$11)))^2)+IF(OR(D$7="",D$8=0),0,D$8*(D$7-S$16*(1-$A144)*(1-(1-$A144)^MIN(D$6,$B$11))/($A144*MIN(D$6,$B$11)))^2)+IF(OR(E$7="",E$8=0),0,E$8*(E$7-S$16*(1-$A144)*(1-(1-$A144)^MIN(E$6,$B$11))/($A144*MIN(E$6,$B$11)))^2)</f>
        <v/>
      </c>
      <c r="U144" s="27">
        <f>MIN(B144:S144)</f>
        <v/>
      </c>
      <c r="V144" s="17">
        <f>MATCH(U144,B144:S144,0)</f>
        <v/>
      </c>
    </row>
    <row r="145">
      <c r="A145" s="26" t="n">
        <v>0.06900000000000001</v>
      </c>
      <c r="B145" s="27">
        <f>IF(OR(B$7="",B$8=0),0,B$8*(B$7-B$16*(1-$A145)*(1-(1-$A145)^MIN(B$6,$B$11))/($A145*MIN(B$6,$B$11)))^2)+IF(OR(C$7="",C$8=0),0,C$8*(C$7-B$16*(1-$A145)*(1-(1-$A145)^MIN(C$6,$B$11))/($A145*MIN(C$6,$B$11)))^2)+IF(OR(D$7="",D$8=0),0,D$8*(D$7-B$16*(1-$A145)*(1-(1-$A145)^MIN(D$6,$B$11))/($A145*MIN(D$6,$B$11)))^2)+IF(OR(E$7="",E$8=0),0,E$8*(E$7-B$16*(1-$A145)*(1-(1-$A145)^MIN(E$6,$B$11))/($A145*MIN(E$6,$B$11)))^2)</f>
        <v/>
      </c>
      <c r="C145" s="27">
        <f>IF(OR(B$7="",B$8=0),0,B$8*(B$7-C$16*(1-$A145)*(1-(1-$A145)^MIN(B$6,$B$11))/($A145*MIN(B$6,$B$11)))^2)+IF(OR(C$7="",C$8=0),0,C$8*(C$7-C$16*(1-$A145)*(1-(1-$A145)^MIN(C$6,$B$11))/($A145*MIN(C$6,$B$11)))^2)+IF(OR(D$7="",D$8=0),0,D$8*(D$7-C$16*(1-$A145)*(1-(1-$A145)^MIN(D$6,$B$11))/($A145*MIN(D$6,$B$11)))^2)+IF(OR(E$7="",E$8=0),0,E$8*(E$7-C$16*(1-$A145)*(1-(1-$A145)^MIN(E$6,$B$11))/($A145*MIN(E$6,$B$11)))^2)</f>
        <v/>
      </c>
      <c r="D145" s="27">
        <f>IF(OR(B$7="",B$8=0),0,B$8*(B$7-D$16*(1-$A145)*(1-(1-$A145)^MIN(B$6,$B$11))/($A145*MIN(B$6,$B$11)))^2)+IF(OR(C$7="",C$8=0),0,C$8*(C$7-D$16*(1-$A145)*(1-(1-$A145)^MIN(C$6,$B$11))/($A145*MIN(C$6,$B$11)))^2)+IF(OR(D$7="",D$8=0),0,D$8*(D$7-D$16*(1-$A145)*(1-(1-$A145)^MIN(D$6,$B$11))/($A145*MIN(D$6,$B$11)))^2)+IF(OR(E$7="",E$8=0),0,E$8*(E$7-D$16*(1-$A145)*(1-(1-$A145)^MIN(E$6,$B$11))/($A145*MIN(E$6,$B$11)))^2)</f>
        <v/>
      </c>
      <c r="E145" s="27">
        <f>IF(OR(B$7="",B$8=0),0,B$8*(B$7-E$16*(1-$A145)*(1-(1-$A145)^MIN(B$6,$B$11))/($A145*MIN(B$6,$B$11)))^2)+IF(OR(C$7="",C$8=0),0,C$8*(C$7-E$16*(1-$A145)*(1-(1-$A145)^MIN(C$6,$B$11))/($A145*MIN(C$6,$B$11)))^2)+IF(OR(D$7="",D$8=0),0,D$8*(D$7-E$16*(1-$A145)*(1-(1-$A145)^MIN(D$6,$B$11))/($A145*MIN(D$6,$B$11)))^2)+IF(OR(E$7="",E$8=0),0,E$8*(E$7-E$16*(1-$A145)*(1-(1-$A145)^MIN(E$6,$B$11))/($A145*MIN(E$6,$B$11)))^2)</f>
        <v/>
      </c>
      <c r="F145" s="27">
        <f>IF(OR(B$7="",B$8=0),0,B$8*(B$7-F$16*(1-$A145)*(1-(1-$A145)^MIN(B$6,$B$11))/($A145*MIN(B$6,$B$11)))^2)+IF(OR(C$7="",C$8=0),0,C$8*(C$7-F$16*(1-$A145)*(1-(1-$A145)^MIN(C$6,$B$11))/($A145*MIN(C$6,$B$11)))^2)+IF(OR(D$7="",D$8=0),0,D$8*(D$7-F$16*(1-$A145)*(1-(1-$A145)^MIN(D$6,$B$11))/($A145*MIN(D$6,$B$11)))^2)+IF(OR(E$7="",E$8=0),0,E$8*(E$7-F$16*(1-$A145)*(1-(1-$A145)^MIN(E$6,$B$11))/($A145*MIN(E$6,$B$11)))^2)</f>
        <v/>
      </c>
      <c r="G145" s="27">
        <f>IF(OR(B$7="",B$8=0),0,B$8*(B$7-G$16*(1-$A145)*(1-(1-$A145)^MIN(B$6,$B$11))/($A145*MIN(B$6,$B$11)))^2)+IF(OR(C$7="",C$8=0),0,C$8*(C$7-G$16*(1-$A145)*(1-(1-$A145)^MIN(C$6,$B$11))/($A145*MIN(C$6,$B$11)))^2)+IF(OR(D$7="",D$8=0),0,D$8*(D$7-G$16*(1-$A145)*(1-(1-$A145)^MIN(D$6,$B$11))/($A145*MIN(D$6,$B$11)))^2)+IF(OR(E$7="",E$8=0),0,E$8*(E$7-G$16*(1-$A145)*(1-(1-$A145)^MIN(E$6,$B$11))/($A145*MIN(E$6,$B$11)))^2)</f>
        <v/>
      </c>
      <c r="H145" s="27">
        <f>IF(OR(B$7="",B$8=0),0,B$8*(B$7-H$16*(1-$A145)*(1-(1-$A145)^MIN(B$6,$B$11))/($A145*MIN(B$6,$B$11)))^2)+IF(OR(C$7="",C$8=0),0,C$8*(C$7-H$16*(1-$A145)*(1-(1-$A145)^MIN(C$6,$B$11))/($A145*MIN(C$6,$B$11)))^2)+IF(OR(D$7="",D$8=0),0,D$8*(D$7-H$16*(1-$A145)*(1-(1-$A145)^MIN(D$6,$B$11))/($A145*MIN(D$6,$B$11)))^2)+IF(OR(E$7="",E$8=0),0,E$8*(E$7-H$16*(1-$A145)*(1-(1-$A145)^MIN(E$6,$B$11))/($A145*MIN(E$6,$B$11)))^2)</f>
        <v/>
      </c>
      <c r="I145" s="27">
        <f>IF(OR(B$7="",B$8=0),0,B$8*(B$7-I$16*(1-$A145)*(1-(1-$A145)^MIN(B$6,$B$11))/($A145*MIN(B$6,$B$11)))^2)+IF(OR(C$7="",C$8=0),0,C$8*(C$7-I$16*(1-$A145)*(1-(1-$A145)^MIN(C$6,$B$11))/($A145*MIN(C$6,$B$11)))^2)+IF(OR(D$7="",D$8=0),0,D$8*(D$7-I$16*(1-$A145)*(1-(1-$A145)^MIN(D$6,$B$11))/($A145*MIN(D$6,$B$11)))^2)+IF(OR(E$7="",E$8=0),0,E$8*(E$7-I$16*(1-$A145)*(1-(1-$A145)^MIN(E$6,$B$11))/($A145*MIN(E$6,$B$11)))^2)</f>
        <v/>
      </c>
      <c r="J145" s="27">
        <f>IF(OR(B$7="",B$8=0),0,B$8*(B$7-J$16*(1-$A145)*(1-(1-$A145)^MIN(B$6,$B$11))/($A145*MIN(B$6,$B$11)))^2)+IF(OR(C$7="",C$8=0),0,C$8*(C$7-J$16*(1-$A145)*(1-(1-$A145)^MIN(C$6,$B$11))/($A145*MIN(C$6,$B$11)))^2)+IF(OR(D$7="",D$8=0),0,D$8*(D$7-J$16*(1-$A145)*(1-(1-$A145)^MIN(D$6,$B$11))/($A145*MIN(D$6,$B$11)))^2)+IF(OR(E$7="",E$8=0),0,E$8*(E$7-J$16*(1-$A145)*(1-(1-$A145)^MIN(E$6,$B$11))/($A145*MIN(E$6,$B$11)))^2)</f>
        <v/>
      </c>
      <c r="K145" s="27">
        <f>IF(OR(B$7="",B$8=0),0,B$8*(B$7-K$16*(1-$A145)*(1-(1-$A145)^MIN(B$6,$B$11))/($A145*MIN(B$6,$B$11)))^2)+IF(OR(C$7="",C$8=0),0,C$8*(C$7-K$16*(1-$A145)*(1-(1-$A145)^MIN(C$6,$B$11))/($A145*MIN(C$6,$B$11)))^2)+IF(OR(D$7="",D$8=0),0,D$8*(D$7-K$16*(1-$A145)*(1-(1-$A145)^MIN(D$6,$B$11))/($A145*MIN(D$6,$B$11)))^2)+IF(OR(E$7="",E$8=0),0,E$8*(E$7-K$16*(1-$A145)*(1-(1-$A145)^MIN(E$6,$B$11))/($A145*MIN(E$6,$B$11)))^2)</f>
        <v/>
      </c>
      <c r="L145" s="27">
        <f>IF(OR(B$7="",B$8=0),0,B$8*(B$7-L$16*(1-$A145)*(1-(1-$A145)^MIN(B$6,$B$11))/($A145*MIN(B$6,$B$11)))^2)+IF(OR(C$7="",C$8=0),0,C$8*(C$7-L$16*(1-$A145)*(1-(1-$A145)^MIN(C$6,$B$11))/($A145*MIN(C$6,$B$11)))^2)+IF(OR(D$7="",D$8=0),0,D$8*(D$7-L$16*(1-$A145)*(1-(1-$A145)^MIN(D$6,$B$11))/($A145*MIN(D$6,$B$11)))^2)+IF(OR(E$7="",E$8=0),0,E$8*(E$7-L$16*(1-$A145)*(1-(1-$A145)^MIN(E$6,$B$11))/($A145*MIN(E$6,$B$11)))^2)</f>
        <v/>
      </c>
      <c r="M145" s="27">
        <f>IF(OR(B$7="",B$8=0),0,B$8*(B$7-M$16*(1-$A145)*(1-(1-$A145)^MIN(B$6,$B$11))/($A145*MIN(B$6,$B$11)))^2)+IF(OR(C$7="",C$8=0),0,C$8*(C$7-M$16*(1-$A145)*(1-(1-$A145)^MIN(C$6,$B$11))/($A145*MIN(C$6,$B$11)))^2)+IF(OR(D$7="",D$8=0),0,D$8*(D$7-M$16*(1-$A145)*(1-(1-$A145)^MIN(D$6,$B$11))/($A145*MIN(D$6,$B$11)))^2)+IF(OR(E$7="",E$8=0),0,E$8*(E$7-M$16*(1-$A145)*(1-(1-$A145)^MIN(E$6,$B$11))/($A145*MIN(E$6,$B$11)))^2)</f>
        <v/>
      </c>
      <c r="N145" s="27">
        <f>IF(OR(B$7="",B$8=0),0,B$8*(B$7-N$16*(1-$A145)*(1-(1-$A145)^MIN(B$6,$B$11))/($A145*MIN(B$6,$B$11)))^2)+IF(OR(C$7="",C$8=0),0,C$8*(C$7-N$16*(1-$A145)*(1-(1-$A145)^MIN(C$6,$B$11))/($A145*MIN(C$6,$B$11)))^2)+IF(OR(D$7="",D$8=0),0,D$8*(D$7-N$16*(1-$A145)*(1-(1-$A145)^MIN(D$6,$B$11))/($A145*MIN(D$6,$B$11)))^2)+IF(OR(E$7="",E$8=0),0,E$8*(E$7-N$16*(1-$A145)*(1-(1-$A145)^MIN(E$6,$B$11))/($A145*MIN(E$6,$B$11)))^2)</f>
        <v/>
      </c>
      <c r="O145" s="27">
        <f>IF(OR(B$7="",B$8=0),0,B$8*(B$7-O$16*(1-$A145)*(1-(1-$A145)^MIN(B$6,$B$11))/($A145*MIN(B$6,$B$11)))^2)+IF(OR(C$7="",C$8=0),0,C$8*(C$7-O$16*(1-$A145)*(1-(1-$A145)^MIN(C$6,$B$11))/($A145*MIN(C$6,$B$11)))^2)+IF(OR(D$7="",D$8=0),0,D$8*(D$7-O$16*(1-$A145)*(1-(1-$A145)^MIN(D$6,$B$11))/($A145*MIN(D$6,$B$11)))^2)+IF(OR(E$7="",E$8=0),0,E$8*(E$7-O$16*(1-$A145)*(1-(1-$A145)^MIN(E$6,$B$11))/($A145*MIN(E$6,$B$11)))^2)</f>
        <v/>
      </c>
      <c r="P145" s="27">
        <f>IF(OR(B$7="",B$8=0),0,B$8*(B$7-P$16*(1-$A145)*(1-(1-$A145)^MIN(B$6,$B$11))/($A145*MIN(B$6,$B$11)))^2)+IF(OR(C$7="",C$8=0),0,C$8*(C$7-P$16*(1-$A145)*(1-(1-$A145)^MIN(C$6,$B$11))/($A145*MIN(C$6,$B$11)))^2)+IF(OR(D$7="",D$8=0),0,D$8*(D$7-P$16*(1-$A145)*(1-(1-$A145)^MIN(D$6,$B$11))/($A145*MIN(D$6,$B$11)))^2)+IF(OR(E$7="",E$8=0),0,E$8*(E$7-P$16*(1-$A145)*(1-(1-$A145)^MIN(E$6,$B$11))/($A145*MIN(E$6,$B$11)))^2)</f>
        <v/>
      </c>
      <c r="Q145" s="27">
        <f>IF(OR(B$7="",B$8=0),0,B$8*(B$7-Q$16*(1-$A145)*(1-(1-$A145)^MIN(B$6,$B$11))/($A145*MIN(B$6,$B$11)))^2)+IF(OR(C$7="",C$8=0),0,C$8*(C$7-Q$16*(1-$A145)*(1-(1-$A145)^MIN(C$6,$B$11))/($A145*MIN(C$6,$B$11)))^2)+IF(OR(D$7="",D$8=0),0,D$8*(D$7-Q$16*(1-$A145)*(1-(1-$A145)^MIN(D$6,$B$11))/($A145*MIN(D$6,$B$11)))^2)+IF(OR(E$7="",E$8=0),0,E$8*(E$7-Q$16*(1-$A145)*(1-(1-$A145)^MIN(E$6,$B$11))/($A145*MIN(E$6,$B$11)))^2)</f>
        <v/>
      </c>
      <c r="R145" s="27">
        <f>IF(OR(B$7="",B$8=0),0,B$8*(B$7-R$16*(1-$A145)*(1-(1-$A145)^MIN(B$6,$B$11))/($A145*MIN(B$6,$B$11)))^2)+IF(OR(C$7="",C$8=0),0,C$8*(C$7-R$16*(1-$A145)*(1-(1-$A145)^MIN(C$6,$B$11))/($A145*MIN(C$6,$B$11)))^2)+IF(OR(D$7="",D$8=0),0,D$8*(D$7-R$16*(1-$A145)*(1-(1-$A145)^MIN(D$6,$B$11))/($A145*MIN(D$6,$B$11)))^2)+IF(OR(E$7="",E$8=0),0,E$8*(E$7-R$16*(1-$A145)*(1-(1-$A145)^MIN(E$6,$B$11))/($A145*MIN(E$6,$B$11)))^2)</f>
        <v/>
      </c>
      <c r="S145" s="27">
        <f>IF(OR(B$7="",B$8=0),0,B$8*(B$7-S$16*(1-$A145)*(1-(1-$A145)^MIN(B$6,$B$11))/($A145*MIN(B$6,$B$11)))^2)+IF(OR(C$7="",C$8=0),0,C$8*(C$7-S$16*(1-$A145)*(1-(1-$A145)^MIN(C$6,$B$11))/($A145*MIN(C$6,$B$11)))^2)+IF(OR(D$7="",D$8=0),0,D$8*(D$7-S$16*(1-$A145)*(1-(1-$A145)^MIN(D$6,$B$11))/($A145*MIN(D$6,$B$11)))^2)+IF(OR(E$7="",E$8=0),0,E$8*(E$7-S$16*(1-$A145)*(1-(1-$A145)^MIN(E$6,$B$11))/($A145*MIN(E$6,$B$11)))^2)</f>
        <v/>
      </c>
      <c r="U145" s="27">
        <f>MIN(B145:S145)</f>
        <v/>
      </c>
      <c r="V145" s="17">
        <f>MATCH(U145,B145:S145,0)</f>
        <v/>
      </c>
    </row>
    <row r="146">
      <c r="A146" s="26" t="n">
        <v>0.06950000000000001</v>
      </c>
      <c r="B146" s="27">
        <f>IF(OR(B$7="",B$8=0),0,B$8*(B$7-B$16*(1-$A146)*(1-(1-$A146)^MIN(B$6,$B$11))/($A146*MIN(B$6,$B$11)))^2)+IF(OR(C$7="",C$8=0),0,C$8*(C$7-B$16*(1-$A146)*(1-(1-$A146)^MIN(C$6,$B$11))/($A146*MIN(C$6,$B$11)))^2)+IF(OR(D$7="",D$8=0),0,D$8*(D$7-B$16*(1-$A146)*(1-(1-$A146)^MIN(D$6,$B$11))/($A146*MIN(D$6,$B$11)))^2)+IF(OR(E$7="",E$8=0),0,E$8*(E$7-B$16*(1-$A146)*(1-(1-$A146)^MIN(E$6,$B$11))/($A146*MIN(E$6,$B$11)))^2)</f>
        <v/>
      </c>
      <c r="C146" s="27">
        <f>IF(OR(B$7="",B$8=0),0,B$8*(B$7-C$16*(1-$A146)*(1-(1-$A146)^MIN(B$6,$B$11))/($A146*MIN(B$6,$B$11)))^2)+IF(OR(C$7="",C$8=0),0,C$8*(C$7-C$16*(1-$A146)*(1-(1-$A146)^MIN(C$6,$B$11))/($A146*MIN(C$6,$B$11)))^2)+IF(OR(D$7="",D$8=0),0,D$8*(D$7-C$16*(1-$A146)*(1-(1-$A146)^MIN(D$6,$B$11))/($A146*MIN(D$6,$B$11)))^2)+IF(OR(E$7="",E$8=0),0,E$8*(E$7-C$16*(1-$A146)*(1-(1-$A146)^MIN(E$6,$B$11))/($A146*MIN(E$6,$B$11)))^2)</f>
        <v/>
      </c>
      <c r="D146" s="27">
        <f>IF(OR(B$7="",B$8=0),0,B$8*(B$7-D$16*(1-$A146)*(1-(1-$A146)^MIN(B$6,$B$11))/($A146*MIN(B$6,$B$11)))^2)+IF(OR(C$7="",C$8=0),0,C$8*(C$7-D$16*(1-$A146)*(1-(1-$A146)^MIN(C$6,$B$11))/($A146*MIN(C$6,$B$11)))^2)+IF(OR(D$7="",D$8=0),0,D$8*(D$7-D$16*(1-$A146)*(1-(1-$A146)^MIN(D$6,$B$11))/($A146*MIN(D$6,$B$11)))^2)+IF(OR(E$7="",E$8=0),0,E$8*(E$7-D$16*(1-$A146)*(1-(1-$A146)^MIN(E$6,$B$11))/($A146*MIN(E$6,$B$11)))^2)</f>
        <v/>
      </c>
      <c r="E146" s="27">
        <f>IF(OR(B$7="",B$8=0),0,B$8*(B$7-E$16*(1-$A146)*(1-(1-$A146)^MIN(B$6,$B$11))/($A146*MIN(B$6,$B$11)))^2)+IF(OR(C$7="",C$8=0),0,C$8*(C$7-E$16*(1-$A146)*(1-(1-$A146)^MIN(C$6,$B$11))/($A146*MIN(C$6,$B$11)))^2)+IF(OR(D$7="",D$8=0),0,D$8*(D$7-E$16*(1-$A146)*(1-(1-$A146)^MIN(D$6,$B$11))/($A146*MIN(D$6,$B$11)))^2)+IF(OR(E$7="",E$8=0),0,E$8*(E$7-E$16*(1-$A146)*(1-(1-$A146)^MIN(E$6,$B$11))/($A146*MIN(E$6,$B$11)))^2)</f>
        <v/>
      </c>
      <c r="F146" s="27">
        <f>IF(OR(B$7="",B$8=0),0,B$8*(B$7-F$16*(1-$A146)*(1-(1-$A146)^MIN(B$6,$B$11))/($A146*MIN(B$6,$B$11)))^2)+IF(OR(C$7="",C$8=0),0,C$8*(C$7-F$16*(1-$A146)*(1-(1-$A146)^MIN(C$6,$B$11))/($A146*MIN(C$6,$B$11)))^2)+IF(OR(D$7="",D$8=0),0,D$8*(D$7-F$16*(1-$A146)*(1-(1-$A146)^MIN(D$6,$B$11))/($A146*MIN(D$6,$B$11)))^2)+IF(OR(E$7="",E$8=0),0,E$8*(E$7-F$16*(1-$A146)*(1-(1-$A146)^MIN(E$6,$B$11))/($A146*MIN(E$6,$B$11)))^2)</f>
        <v/>
      </c>
      <c r="G146" s="27">
        <f>IF(OR(B$7="",B$8=0),0,B$8*(B$7-G$16*(1-$A146)*(1-(1-$A146)^MIN(B$6,$B$11))/($A146*MIN(B$6,$B$11)))^2)+IF(OR(C$7="",C$8=0),0,C$8*(C$7-G$16*(1-$A146)*(1-(1-$A146)^MIN(C$6,$B$11))/($A146*MIN(C$6,$B$11)))^2)+IF(OR(D$7="",D$8=0),0,D$8*(D$7-G$16*(1-$A146)*(1-(1-$A146)^MIN(D$6,$B$11))/($A146*MIN(D$6,$B$11)))^2)+IF(OR(E$7="",E$8=0),0,E$8*(E$7-G$16*(1-$A146)*(1-(1-$A146)^MIN(E$6,$B$11))/($A146*MIN(E$6,$B$11)))^2)</f>
        <v/>
      </c>
      <c r="H146" s="27">
        <f>IF(OR(B$7="",B$8=0),0,B$8*(B$7-H$16*(1-$A146)*(1-(1-$A146)^MIN(B$6,$B$11))/($A146*MIN(B$6,$B$11)))^2)+IF(OR(C$7="",C$8=0),0,C$8*(C$7-H$16*(1-$A146)*(1-(1-$A146)^MIN(C$6,$B$11))/($A146*MIN(C$6,$B$11)))^2)+IF(OR(D$7="",D$8=0),0,D$8*(D$7-H$16*(1-$A146)*(1-(1-$A146)^MIN(D$6,$B$11))/($A146*MIN(D$6,$B$11)))^2)+IF(OR(E$7="",E$8=0),0,E$8*(E$7-H$16*(1-$A146)*(1-(1-$A146)^MIN(E$6,$B$11))/($A146*MIN(E$6,$B$11)))^2)</f>
        <v/>
      </c>
      <c r="I146" s="27">
        <f>IF(OR(B$7="",B$8=0),0,B$8*(B$7-I$16*(1-$A146)*(1-(1-$A146)^MIN(B$6,$B$11))/($A146*MIN(B$6,$B$11)))^2)+IF(OR(C$7="",C$8=0),0,C$8*(C$7-I$16*(1-$A146)*(1-(1-$A146)^MIN(C$6,$B$11))/($A146*MIN(C$6,$B$11)))^2)+IF(OR(D$7="",D$8=0),0,D$8*(D$7-I$16*(1-$A146)*(1-(1-$A146)^MIN(D$6,$B$11))/($A146*MIN(D$6,$B$11)))^2)+IF(OR(E$7="",E$8=0),0,E$8*(E$7-I$16*(1-$A146)*(1-(1-$A146)^MIN(E$6,$B$11))/($A146*MIN(E$6,$B$11)))^2)</f>
        <v/>
      </c>
      <c r="J146" s="27">
        <f>IF(OR(B$7="",B$8=0),0,B$8*(B$7-J$16*(1-$A146)*(1-(1-$A146)^MIN(B$6,$B$11))/($A146*MIN(B$6,$B$11)))^2)+IF(OR(C$7="",C$8=0),0,C$8*(C$7-J$16*(1-$A146)*(1-(1-$A146)^MIN(C$6,$B$11))/($A146*MIN(C$6,$B$11)))^2)+IF(OR(D$7="",D$8=0),0,D$8*(D$7-J$16*(1-$A146)*(1-(1-$A146)^MIN(D$6,$B$11))/($A146*MIN(D$6,$B$11)))^2)+IF(OR(E$7="",E$8=0),0,E$8*(E$7-J$16*(1-$A146)*(1-(1-$A146)^MIN(E$6,$B$11))/($A146*MIN(E$6,$B$11)))^2)</f>
        <v/>
      </c>
      <c r="K146" s="27">
        <f>IF(OR(B$7="",B$8=0),0,B$8*(B$7-K$16*(1-$A146)*(1-(1-$A146)^MIN(B$6,$B$11))/($A146*MIN(B$6,$B$11)))^2)+IF(OR(C$7="",C$8=0),0,C$8*(C$7-K$16*(1-$A146)*(1-(1-$A146)^MIN(C$6,$B$11))/($A146*MIN(C$6,$B$11)))^2)+IF(OR(D$7="",D$8=0),0,D$8*(D$7-K$16*(1-$A146)*(1-(1-$A146)^MIN(D$6,$B$11))/($A146*MIN(D$6,$B$11)))^2)+IF(OR(E$7="",E$8=0),0,E$8*(E$7-K$16*(1-$A146)*(1-(1-$A146)^MIN(E$6,$B$11))/($A146*MIN(E$6,$B$11)))^2)</f>
        <v/>
      </c>
      <c r="L146" s="27">
        <f>IF(OR(B$7="",B$8=0),0,B$8*(B$7-L$16*(1-$A146)*(1-(1-$A146)^MIN(B$6,$B$11))/($A146*MIN(B$6,$B$11)))^2)+IF(OR(C$7="",C$8=0),0,C$8*(C$7-L$16*(1-$A146)*(1-(1-$A146)^MIN(C$6,$B$11))/($A146*MIN(C$6,$B$11)))^2)+IF(OR(D$7="",D$8=0),0,D$8*(D$7-L$16*(1-$A146)*(1-(1-$A146)^MIN(D$6,$B$11))/($A146*MIN(D$6,$B$11)))^2)+IF(OR(E$7="",E$8=0),0,E$8*(E$7-L$16*(1-$A146)*(1-(1-$A146)^MIN(E$6,$B$11))/($A146*MIN(E$6,$B$11)))^2)</f>
        <v/>
      </c>
      <c r="M146" s="27">
        <f>IF(OR(B$7="",B$8=0),0,B$8*(B$7-M$16*(1-$A146)*(1-(1-$A146)^MIN(B$6,$B$11))/($A146*MIN(B$6,$B$11)))^2)+IF(OR(C$7="",C$8=0),0,C$8*(C$7-M$16*(1-$A146)*(1-(1-$A146)^MIN(C$6,$B$11))/($A146*MIN(C$6,$B$11)))^2)+IF(OR(D$7="",D$8=0),0,D$8*(D$7-M$16*(1-$A146)*(1-(1-$A146)^MIN(D$6,$B$11))/($A146*MIN(D$6,$B$11)))^2)+IF(OR(E$7="",E$8=0),0,E$8*(E$7-M$16*(1-$A146)*(1-(1-$A146)^MIN(E$6,$B$11))/($A146*MIN(E$6,$B$11)))^2)</f>
        <v/>
      </c>
      <c r="N146" s="27">
        <f>IF(OR(B$7="",B$8=0),0,B$8*(B$7-N$16*(1-$A146)*(1-(1-$A146)^MIN(B$6,$B$11))/($A146*MIN(B$6,$B$11)))^2)+IF(OR(C$7="",C$8=0),0,C$8*(C$7-N$16*(1-$A146)*(1-(1-$A146)^MIN(C$6,$B$11))/($A146*MIN(C$6,$B$11)))^2)+IF(OR(D$7="",D$8=0),0,D$8*(D$7-N$16*(1-$A146)*(1-(1-$A146)^MIN(D$6,$B$11))/($A146*MIN(D$6,$B$11)))^2)+IF(OR(E$7="",E$8=0),0,E$8*(E$7-N$16*(1-$A146)*(1-(1-$A146)^MIN(E$6,$B$11))/($A146*MIN(E$6,$B$11)))^2)</f>
        <v/>
      </c>
      <c r="O146" s="27">
        <f>IF(OR(B$7="",B$8=0),0,B$8*(B$7-O$16*(1-$A146)*(1-(1-$A146)^MIN(B$6,$B$11))/($A146*MIN(B$6,$B$11)))^2)+IF(OR(C$7="",C$8=0),0,C$8*(C$7-O$16*(1-$A146)*(1-(1-$A146)^MIN(C$6,$B$11))/($A146*MIN(C$6,$B$11)))^2)+IF(OR(D$7="",D$8=0),0,D$8*(D$7-O$16*(1-$A146)*(1-(1-$A146)^MIN(D$6,$B$11))/($A146*MIN(D$6,$B$11)))^2)+IF(OR(E$7="",E$8=0),0,E$8*(E$7-O$16*(1-$A146)*(1-(1-$A146)^MIN(E$6,$B$11))/($A146*MIN(E$6,$B$11)))^2)</f>
        <v/>
      </c>
      <c r="P146" s="27">
        <f>IF(OR(B$7="",B$8=0),0,B$8*(B$7-P$16*(1-$A146)*(1-(1-$A146)^MIN(B$6,$B$11))/($A146*MIN(B$6,$B$11)))^2)+IF(OR(C$7="",C$8=0),0,C$8*(C$7-P$16*(1-$A146)*(1-(1-$A146)^MIN(C$6,$B$11))/($A146*MIN(C$6,$B$11)))^2)+IF(OR(D$7="",D$8=0),0,D$8*(D$7-P$16*(1-$A146)*(1-(1-$A146)^MIN(D$6,$B$11))/($A146*MIN(D$6,$B$11)))^2)+IF(OR(E$7="",E$8=0),0,E$8*(E$7-P$16*(1-$A146)*(1-(1-$A146)^MIN(E$6,$B$11))/($A146*MIN(E$6,$B$11)))^2)</f>
        <v/>
      </c>
      <c r="Q146" s="27">
        <f>IF(OR(B$7="",B$8=0),0,B$8*(B$7-Q$16*(1-$A146)*(1-(1-$A146)^MIN(B$6,$B$11))/($A146*MIN(B$6,$B$11)))^2)+IF(OR(C$7="",C$8=0),0,C$8*(C$7-Q$16*(1-$A146)*(1-(1-$A146)^MIN(C$6,$B$11))/($A146*MIN(C$6,$B$11)))^2)+IF(OR(D$7="",D$8=0),0,D$8*(D$7-Q$16*(1-$A146)*(1-(1-$A146)^MIN(D$6,$B$11))/($A146*MIN(D$6,$B$11)))^2)+IF(OR(E$7="",E$8=0),0,E$8*(E$7-Q$16*(1-$A146)*(1-(1-$A146)^MIN(E$6,$B$11))/($A146*MIN(E$6,$B$11)))^2)</f>
        <v/>
      </c>
      <c r="R146" s="27">
        <f>IF(OR(B$7="",B$8=0),0,B$8*(B$7-R$16*(1-$A146)*(1-(1-$A146)^MIN(B$6,$B$11))/($A146*MIN(B$6,$B$11)))^2)+IF(OR(C$7="",C$8=0),0,C$8*(C$7-R$16*(1-$A146)*(1-(1-$A146)^MIN(C$6,$B$11))/($A146*MIN(C$6,$B$11)))^2)+IF(OR(D$7="",D$8=0),0,D$8*(D$7-R$16*(1-$A146)*(1-(1-$A146)^MIN(D$6,$B$11))/($A146*MIN(D$6,$B$11)))^2)+IF(OR(E$7="",E$8=0),0,E$8*(E$7-R$16*(1-$A146)*(1-(1-$A146)^MIN(E$6,$B$11))/($A146*MIN(E$6,$B$11)))^2)</f>
        <v/>
      </c>
      <c r="S146" s="27">
        <f>IF(OR(B$7="",B$8=0),0,B$8*(B$7-S$16*(1-$A146)*(1-(1-$A146)^MIN(B$6,$B$11))/($A146*MIN(B$6,$B$11)))^2)+IF(OR(C$7="",C$8=0),0,C$8*(C$7-S$16*(1-$A146)*(1-(1-$A146)^MIN(C$6,$B$11))/($A146*MIN(C$6,$B$11)))^2)+IF(OR(D$7="",D$8=0),0,D$8*(D$7-S$16*(1-$A146)*(1-(1-$A146)^MIN(D$6,$B$11))/($A146*MIN(D$6,$B$11)))^2)+IF(OR(E$7="",E$8=0),0,E$8*(E$7-S$16*(1-$A146)*(1-(1-$A146)^MIN(E$6,$B$11))/($A146*MIN(E$6,$B$11)))^2)</f>
        <v/>
      </c>
      <c r="U146" s="27">
        <f>MIN(B146:S146)</f>
        <v/>
      </c>
      <c r="V146" s="17">
        <f>MATCH(U146,B146:S146,0)</f>
        <v/>
      </c>
    </row>
    <row r="147">
      <c r="A147" s="26" t="n">
        <v>0.07000000000000001</v>
      </c>
      <c r="B147" s="27">
        <f>IF(OR(B$7="",B$8=0),0,B$8*(B$7-B$16*(1-$A147)*(1-(1-$A147)^MIN(B$6,$B$11))/($A147*MIN(B$6,$B$11)))^2)+IF(OR(C$7="",C$8=0),0,C$8*(C$7-B$16*(1-$A147)*(1-(1-$A147)^MIN(C$6,$B$11))/($A147*MIN(C$6,$B$11)))^2)+IF(OR(D$7="",D$8=0),0,D$8*(D$7-B$16*(1-$A147)*(1-(1-$A147)^MIN(D$6,$B$11))/($A147*MIN(D$6,$B$11)))^2)+IF(OR(E$7="",E$8=0),0,E$8*(E$7-B$16*(1-$A147)*(1-(1-$A147)^MIN(E$6,$B$11))/($A147*MIN(E$6,$B$11)))^2)</f>
        <v/>
      </c>
      <c r="C147" s="27">
        <f>IF(OR(B$7="",B$8=0),0,B$8*(B$7-C$16*(1-$A147)*(1-(1-$A147)^MIN(B$6,$B$11))/($A147*MIN(B$6,$B$11)))^2)+IF(OR(C$7="",C$8=0),0,C$8*(C$7-C$16*(1-$A147)*(1-(1-$A147)^MIN(C$6,$B$11))/($A147*MIN(C$6,$B$11)))^2)+IF(OR(D$7="",D$8=0),0,D$8*(D$7-C$16*(1-$A147)*(1-(1-$A147)^MIN(D$6,$B$11))/($A147*MIN(D$6,$B$11)))^2)+IF(OR(E$7="",E$8=0),0,E$8*(E$7-C$16*(1-$A147)*(1-(1-$A147)^MIN(E$6,$B$11))/($A147*MIN(E$6,$B$11)))^2)</f>
        <v/>
      </c>
      <c r="D147" s="27">
        <f>IF(OR(B$7="",B$8=0),0,B$8*(B$7-D$16*(1-$A147)*(1-(1-$A147)^MIN(B$6,$B$11))/($A147*MIN(B$6,$B$11)))^2)+IF(OR(C$7="",C$8=0),0,C$8*(C$7-D$16*(1-$A147)*(1-(1-$A147)^MIN(C$6,$B$11))/($A147*MIN(C$6,$B$11)))^2)+IF(OR(D$7="",D$8=0),0,D$8*(D$7-D$16*(1-$A147)*(1-(1-$A147)^MIN(D$6,$B$11))/($A147*MIN(D$6,$B$11)))^2)+IF(OR(E$7="",E$8=0),0,E$8*(E$7-D$16*(1-$A147)*(1-(1-$A147)^MIN(E$6,$B$11))/($A147*MIN(E$6,$B$11)))^2)</f>
        <v/>
      </c>
      <c r="E147" s="27">
        <f>IF(OR(B$7="",B$8=0),0,B$8*(B$7-E$16*(1-$A147)*(1-(1-$A147)^MIN(B$6,$B$11))/($A147*MIN(B$6,$B$11)))^2)+IF(OR(C$7="",C$8=0),0,C$8*(C$7-E$16*(1-$A147)*(1-(1-$A147)^MIN(C$6,$B$11))/($A147*MIN(C$6,$B$11)))^2)+IF(OR(D$7="",D$8=0),0,D$8*(D$7-E$16*(1-$A147)*(1-(1-$A147)^MIN(D$6,$B$11))/($A147*MIN(D$6,$B$11)))^2)+IF(OR(E$7="",E$8=0),0,E$8*(E$7-E$16*(1-$A147)*(1-(1-$A147)^MIN(E$6,$B$11))/($A147*MIN(E$6,$B$11)))^2)</f>
        <v/>
      </c>
      <c r="F147" s="27">
        <f>IF(OR(B$7="",B$8=0),0,B$8*(B$7-F$16*(1-$A147)*(1-(1-$A147)^MIN(B$6,$B$11))/($A147*MIN(B$6,$B$11)))^2)+IF(OR(C$7="",C$8=0),0,C$8*(C$7-F$16*(1-$A147)*(1-(1-$A147)^MIN(C$6,$B$11))/($A147*MIN(C$6,$B$11)))^2)+IF(OR(D$7="",D$8=0),0,D$8*(D$7-F$16*(1-$A147)*(1-(1-$A147)^MIN(D$6,$B$11))/($A147*MIN(D$6,$B$11)))^2)+IF(OR(E$7="",E$8=0),0,E$8*(E$7-F$16*(1-$A147)*(1-(1-$A147)^MIN(E$6,$B$11))/($A147*MIN(E$6,$B$11)))^2)</f>
        <v/>
      </c>
      <c r="G147" s="27">
        <f>IF(OR(B$7="",B$8=0),0,B$8*(B$7-G$16*(1-$A147)*(1-(1-$A147)^MIN(B$6,$B$11))/($A147*MIN(B$6,$B$11)))^2)+IF(OR(C$7="",C$8=0),0,C$8*(C$7-G$16*(1-$A147)*(1-(1-$A147)^MIN(C$6,$B$11))/($A147*MIN(C$6,$B$11)))^2)+IF(OR(D$7="",D$8=0),0,D$8*(D$7-G$16*(1-$A147)*(1-(1-$A147)^MIN(D$6,$B$11))/($A147*MIN(D$6,$B$11)))^2)+IF(OR(E$7="",E$8=0),0,E$8*(E$7-G$16*(1-$A147)*(1-(1-$A147)^MIN(E$6,$B$11))/($A147*MIN(E$6,$B$11)))^2)</f>
        <v/>
      </c>
      <c r="H147" s="27">
        <f>IF(OR(B$7="",B$8=0),0,B$8*(B$7-H$16*(1-$A147)*(1-(1-$A147)^MIN(B$6,$B$11))/($A147*MIN(B$6,$B$11)))^2)+IF(OR(C$7="",C$8=0),0,C$8*(C$7-H$16*(1-$A147)*(1-(1-$A147)^MIN(C$6,$B$11))/($A147*MIN(C$6,$B$11)))^2)+IF(OR(D$7="",D$8=0),0,D$8*(D$7-H$16*(1-$A147)*(1-(1-$A147)^MIN(D$6,$B$11))/($A147*MIN(D$6,$B$11)))^2)+IF(OR(E$7="",E$8=0),0,E$8*(E$7-H$16*(1-$A147)*(1-(1-$A147)^MIN(E$6,$B$11))/($A147*MIN(E$6,$B$11)))^2)</f>
        <v/>
      </c>
      <c r="I147" s="27">
        <f>IF(OR(B$7="",B$8=0),0,B$8*(B$7-I$16*(1-$A147)*(1-(1-$A147)^MIN(B$6,$B$11))/($A147*MIN(B$6,$B$11)))^2)+IF(OR(C$7="",C$8=0),0,C$8*(C$7-I$16*(1-$A147)*(1-(1-$A147)^MIN(C$6,$B$11))/($A147*MIN(C$6,$B$11)))^2)+IF(OR(D$7="",D$8=0),0,D$8*(D$7-I$16*(1-$A147)*(1-(1-$A147)^MIN(D$6,$B$11))/($A147*MIN(D$6,$B$11)))^2)+IF(OR(E$7="",E$8=0),0,E$8*(E$7-I$16*(1-$A147)*(1-(1-$A147)^MIN(E$6,$B$11))/($A147*MIN(E$6,$B$11)))^2)</f>
        <v/>
      </c>
      <c r="J147" s="27">
        <f>IF(OR(B$7="",B$8=0),0,B$8*(B$7-J$16*(1-$A147)*(1-(1-$A147)^MIN(B$6,$B$11))/($A147*MIN(B$6,$B$11)))^2)+IF(OR(C$7="",C$8=0),0,C$8*(C$7-J$16*(1-$A147)*(1-(1-$A147)^MIN(C$6,$B$11))/($A147*MIN(C$6,$B$11)))^2)+IF(OR(D$7="",D$8=0),0,D$8*(D$7-J$16*(1-$A147)*(1-(1-$A147)^MIN(D$6,$B$11))/($A147*MIN(D$6,$B$11)))^2)+IF(OR(E$7="",E$8=0),0,E$8*(E$7-J$16*(1-$A147)*(1-(1-$A147)^MIN(E$6,$B$11))/($A147*MIN(E$6,$B$11)))^2)</f>
        <v/>
      </c>
      <c r="K147" s="27">
        <f>IF(OR(B$7="",B$8=0),0,B$8*(B$7-K$16*(1-$A147)*(1-(1-$A147)^MIN(B$6,$B$11))/($A147*MIN(B$6,$B$11)))^2)+IF(OR(C$7="",C$8=0),0,C$8*(C$7-K$16*(1-$A147)*(1-(1-$A147)^MIN(C$6,$B$11))/($A147*MIN(C$6,$B$11)))^2)+IF(OR(D$7="",D$8=0),0,D$8*(D$7-K$16*(1-$A147)*(1-(1-$A147)^MIN(D$6,$B$11))/($A147*MIN(D$6,$B$11)))^2)+IF(OR(E$7="",E$8=0),0,E$8*(E$7-K$16*(1-$A147)*(1-(1-$A147)^MIN(E$6,$B$11))/($A147*MIN(E$6,$B$11)))^2)</f>
        <v/>
      </c>
      <c r="L147" s="27">
        <f>IF(OR(B$7="",B$8=0),0,B$8*(B$7-L$16*(1-$A147)*(1-(1-$A147)^MIN(B$6,$B$11))/($A147*MIN(B$6,$B$11)))^2)+IF(OR(C$7="",C$8=0),0,C$8*(C$7-L$16*(1-$A147)*(1-(1-$A147)^MIN(C$6,$B$11))/($A147*MIN(C$6,$B$11)))^2)+IF(OR(D$7="",D$8=0),0,D$8*(D$7-L$16*(1-$A147)*(1-(1-$A147)^MIN(D$6,$B$11))/($A147*MIN(D$6,$B$11)))^2)+IF(OR(E$7="",E$8=0),0,E$8*(E$7-L$16*(1-$A147)*(1-(1-$A147)^MIN(E$6,$B$11))/($A147*MIN(E$6,$B$11)))^2)</f>
        <v/>
      </c>
      <c r="M147" s="27">
        <f>IF(OR(B$7="",B$8=0),0,B$8*(B$7-M$16*(1-$A147)*(1-(1-$A147)^MIN(B$6,$B$11))/($A147*MIN(B$6,$B$11)))^2)+IF(OR(C$7="",C$8=0),0,C$8*(C$7-M$16*(1-$A147)*(1-(1-$A147)^MIN(C$6,$B$11))/($A147*MIN(C$6,$B$11)))^2)+IF(OR(D$7="",D$8=0),0,D$8*(D$7-M$16*(1-$A147)*(1-(1-$A147)^MIN(D$6,$B$11))/($A147*MIN(D$6,$B$11)))^2)+IF(OR(E$7="",E$8=0),0,E$8*(E$7-M$16*(1-$A147)*(1-(1-$A147)^MIN(E$6,$B$11))/($A147*MIN(E$6,$B$11)))^2)</f>
        <v/>
      </c>
      <c r="N147" s="27">
        <f>IF(OR(B$7="",B$8=0),0,B$8*(B$7-N$16*(1-$A147)*(1-(1-$A147)^MIN(B$6,$B$11))/($A147*MIN(B$6,$B$11)))^2)+IF(OR(C$7="",C$8=0),0,C$8*(C$7-N$16*(1-$A147)*(1-(1-$A147)^MIN(C$6,$B$11))/($A147*MIN(C$6,$B$11)))^2)+IF(OR(D$7="",D$8=0),0,D$8*(D$7-N$16*(1-$A147)*(1-(1-$A147)^MIN(D$6,$B$11))/($A147*MIN(D$6,$B$11)))^2)+IF(OR(E$7="",E$8=0),0,E$8*(E$7-N$16*(1-$A147)*(1-(1-$A147)^MIN(E$6,$B$11))/($A147*MIN(E$6,$B$11)))^2)</f>
        <v/>
      </c>
      <c r="O147" s="27">
        <f>IF(OR(B$7="",B$8=0),0,B$8*(B$7-O$16*(1-$A147)*(1-(1-$A147)^MIN(B$6,$B$11))/($A147*MIN(B$6,$B$11)))^2)+IF(OR(C$7="",C$8=0),0,C$8*(C$7-O$16*(1-$A147)*(1-(1-$A147)^MIN(C$6,$B$11))/($A147*MIN(C$6,$B$11)))^2)+IF(OR(D$7="",D$8=0),0,D$8*(D$7-O$16*(1-$A147)*(1-(1-$A147)^MIN(D$6,$B$11))/($A147*MIN(D$6,$B$11)))^2)+IF(OR(E$7="",E$8=0),0,E$8*(E$7-O$16*(1-$A147)*(1-(1-$A147)^MIN(E$6,$B$11))/($A147*MIN(E$6,$B$11)))^2)</f>
        <v/>
      </c>
      <c r="P147" s="27">
        <f>IF(OR(B$7="",B$8=0),0,B$8*(B$7-P$16*(1-$A147)*(1-(1-$A147)^MIN(B$6,$B$11))/($A147*MIN(B$6,$B$11)))^2)+IF(OR(C$7="",C$8=0),0,C$8*(C$7-P$16*(1-$A147)*(1-(1-$A147)^MIN(C$6,$B$11))/($A147*MIN(C$6,$B$11)))^2)+IF(OR(D$7="",D$8=0),0,D$8*(D$7-P$16*(1-$A147)*(1-(1-$A147)^MIN(D$6,$B$11))/($A147*MIN(D$6,$B$11)))^2)+IF(OR(E$7="",E$8=0),0,E$8*(E$7-P$16*(1-$A147)*(1-(1-$A147)^MIN(E$6,$B$11))/($A147*MIN(E$6,$B$11)))^2)</f>
        <v/>
      </c>
      <c r="Q147" s="27">
        <f>IF(OR(B$7="",B$8=0),0,B$8*(B$7-Q$16*(1-$A147)*(1-(1-$A147)^MIN(B$6,$B$11))/($A147*MIN(B$6,$B$11)))^2)+IF(OR(C$7="",C$8=0),0,C$8*(C$7-Q$16*(1-$A147)*(1-(1-$A147)^MIN(C$6,$B$11))/($A147*MIN(C$6,$B$11)))^2)+IF(OR(D$7="",D$8=0),0,D$8*(D$7-Q$16*(1-$A147)*(1-(1-$A147)^MIN(D$6,$B$11))/($A147*MIN(D$6,$B$11)))^2)+IF(OR(E$7="",E$8=0),0,E$8*(E$7-Q$16*(1-$A147)*(1-(1-$A147)^MIN(E$6,$B$11))/($A147*MIN(E$6,$B$11)))^2)</f>
        <v/>
      </c>
      <c r="R147" s="27">
        <f>IF(OR(B$7="",B$8=0),0,B$8*(B$7-R$16*(1-$A147)*(1-(1-$A147)^MIN(B$6,$B$11))/($A147*MIN(B$6,$B$11)))^2)+IF(OR(C$7="",C$8=0),0,C$8*(C$7-R$16*(1-$A147)*(1-(1-$A147)^MIN(C$6,$B$11))/($A147*MIN(C$6,$B$11)))^2)+IF(OR(D$7="",D$8=0),0,D$8*(D$7-R$16*(1-$A147)*(1-(1-$A147)^MIN(D$6,$B$11))/($A147*MIN(D$6,$B$11)))^2)+IF(OR(E$7="",E$8=0),0,E$8*(E$7-R$16*(1-$A147)*(1-(1-$A147)^MIN(E$6,$B$11))/($A147*MIN(E$6,$B$11)))^2)</f>
        <v/>
      </c>
      <c r="S147" s="27">
        <f>IF(OR(B$7="",B$8=0),0,B$8*(B$7-S$16*(1-$A147)*(1-(1-$A147)^MIN(B$6,$B$11))/($A147*MIN(B$6,$B$11)))^2)+IF(OR(C$7="",C$8=0),0,C$8*(C$7-S$16*(1-$A147)*(1-(1-$A147)^MIN(C$6,$B$11))/($A147*MIN(C$6,$B$11)))^2)+IF(OR(D$7="",D$8=0),0,D$8*(D$7-S$16*(1-$A147)*(1-(1-$A147)^MIN(D$6,$B$11))/($A147*MIN(D$6,$B$11)))^2)+IF(OR(E$7="",E$8=0),0,E$8*(E$7-S$16*(1-$A147)*(1-(1-$A147)^MIN(E$6,$B$11))/($A147*MIN(E$6,$B$11)))^2)</f>
        <v/>
      </c>
      <c r="U147" s="27">
        <f>MIN(B147:S147)</f>
        <v/>
      </c>
      <c r="V147" s="17">
        <f>MATCH(U147,B147:S147,0)</f>
        <v/>
      </c>
    </row>
    <row r="148">
      <c r="A148" s="26" t="n">
        <v>0.07049999999999999</v>
      </c>
      <c r="B148" s="27">
        <f>IF(OR(B$7="",B$8=0),0,B$8*(B$7-B$16*(1-$A148)*(1-(1-$A148)^MIN(B$6,$B$11))/($A148*MIN(B$6,$B$11)))^2)+IF(OR(C$7="",C$8=0),0,C$8*(C$7-B$16*(1-$A148)*(1-(1-$A148)^MIN(C$6,$B$11))/($A148*MIN(C$6,$B$11)))^2)+IF(OR(D$7="",D$8=0),0,D$8*(D$7-B$16*(1-$A148)*(1-(1-$A148)^MIN(D$6,$B$11))/($A148*MIN(D$6,$B$11)))^2)+IF(OR(E$7="",E$8=0),0,E$8*(E$7-B$16*(1-$A148)*(1-(1-$A148)^MIN(E$6,$B$11))/($A148*MIN(E$6,$B$11)))^2)</f>
        <v/>
      </c>
      <c r="C148" s="27">
        <f>IF(OR(B$7="",B$8=0),0,B$8*(B$7-C$16*(1-$A148)*(1-(1-$A148)^MIN(B$6,$B$11))/($A148*MIN(B$6,$B$11)))^2)+IF(OR(C$7="",C$8=0),0,C$8*(C$7-C$16*(1-$A148)*(1-(1-$A148)^MIN(C$6,$B$11))/($A148*MIN(C$6,$B$11)))^2)+IF(OR(D$7="",D$8=0),0,D$8*(D$7-C$16*(1-$A148)*(1-(1-$A148)^MIN(D$6,$B$11))/($A148*MIN(D$6,$B$11)))^2)+IF(OR(E$7="",E$8=0),0,E$8*(E$7-C$16*(1-$A148)*(1-(1-$A148)^MIN(E$6,$B$11))/($A148*MIN(E$6,$B$11)))^2)</f>
        <v/>
      </c>
      <c r="D148" s="27">
        <f>IF(OR(B$7="",B$8=0),0,B$8*(B$7-D$16*(1-$A148)*(1-(1-$A148)^MIN(B$6,$B$11))/($A148*MIN(B$6,$B$11)))^2)+IF(OR(C$7="",C$8=0),0,C$8*(C$7-D$16*(1-$A148)*(1-(1-$A148)^MIN(C$6,$B$11))/($A148*MIN(C$6,$B$11)))^2)+IF(OR(D$7="",D$8=0),0,D$8*(D$7-D$16*(1-$A148)*(1-(1-$A148)^MIN(D$6,$B$11))/($A148*MIN(D$6,$B$11)))^2)+IF(OR(E$7="",E$8=0),0,E$8*(E$7-D$16*(1-$A148)*(1-(1-$A148)^MIN(E$6,$B$11))/($A148*MIN(E$6,$B$11)))^2)</f>
        <v/>
      </c>
      <c r="E148" s="27">
        <f>IF(OR(B$7="",B$8=0),0,B$8*(B$7-E$16*(1-$A148)*(1-(1-$A148)^MIN(B$6,$B$11))/($A148*MIN(B$6,$B$11)))^2)+IF(OR(C$7="",C$8=0),0,C$8*(C$7-E$16*(1-$A148)*(1-(1-$A148)^MIN(C$6,$B$11))/($A148*MIN(C$6,$B$11)))^2)+IF(OR(D$7="",D$8=0),0,D$8*(D$7-E$16*(1-$A148)*(1-(1-$A148)^MIN(D$6,$B$11))/($A148*MIN(D$6,$B$11)))^2)+IF(OR(E$7="",E$8=0),0,E$8*(E$7-E$16*(1-$A148)*(1-(1-$A148)^MIN(E$6,$B$11))/($A148*MIN(E$6,$B$11)))^2)</f>
        <v/>
      </c>
      <c r="F148" s="27">
        <f>IF(OR(B$7="",B$8=0),0,B$8*(B$7-F$16*(1-$A148)*(1-(1-$A148)^MIN(B$6,$B$11))/($A148*MIN(B$6,$B$11)))^2)+IF(OR(C$7="",C$8=0),0,C$8*(C$7-F$16*(1-$A148)*(1-(1-$A148)^MIN(C$6,$B$11))/($A148*MIN(C$6,$B$11)))^2)+IF(OR(D$7="",D$8=0),0,D$8*(D$7-F$16*(1-$A148)*(1-(1-$A148)^MIN(D$6,$B$11))/($A148*MIN(D$6,$B$11)))^2)+IF(OR(E$7="",E$8=0),0,E$8*(E$7-F$16*(1-$A148)*(1-(1-$A148)^MIN(E$6,$B$11))/($A148*MIN(E$6,$B$11)))^2)</f>
        <v/>
      </c>
      <c r="G148" s="27">
        <f>IF(OR(B$7="",B$8=0),0,B$8*(B$7-G$16*(1-$A148)*(1-(1-$A148)^MIN(B$6,$B$11))/($A148*MIN(B$6,$B$11)))^2)+IF(OR(C$7="",C$8=0),0,C$8*(C$7-G$16*(1-$A148)*(1-(1-$A148)^MIN(C$6,$B$11))/($A148*MIN(C$6,$B$11)))^2)+IF(OR(D$7="",D$8=0),0,D$8*(D$7-G$16*(1-$A148)*(1-(1-$A148)^MIN(D$6,$B$11))/($A148*MIN(D$6,$B$11)))^2)+IF(OR(E$7="",E$8=0),0,E$8*(E$7-G$16*(1-$A148)*(1-(1-$A148)^MIN(E$6,$B$11))/($A148*MIN(E$6,$B$11)))^2)</f>
        <v/>
      </c>
      <c r="H148" s="27">
        <f>IF(OR(B$7="",B$8=0),0,B$8*(B$7-H$16*(1-$A148)*(1-(1-$A148)^MIN(B$6,$B$11))/($A148*MIN(B$6,$B$11)))^2)+IF(OR(C$7="",C$8=0),0,C$8*(C$7-H$16*(1-$A148)*(1-(1-$A148)^MIN(C$6,$B$11))/($A148*MIN(C$6,$B$11)))^2)+IF(OR(D$7="",D$8=0),0,D$8*(D$7-H$16*(1-$A148)*(1-(1-$A148)^MIN(D$6,$B$11))/($A148*MIN(D$6,$B$11)))^2)+IF(OR(E$7="",E$8=0),0,E$8*(E$7-H$16*(1-$A148)*(1-(1-$A148)^MIN(E$6,$B$11))/($A148*MIN(E$6,$B$11)))^2)</f>
        <v/>
      </c>
      <c r="I148" s="27">
        <f>IF(OR(B$7="",B$8=0),0,B$8*(B$7-I$16*(1-$A148)*(1-(1-$A148)^MIN(B$6,$B$11))/($A148*MIN(B$6,$B$11)))^2)+IF(OR(C$7="",C$8=0),0,C$8*(C$7-I$16*(1-$A148)*(1-(1-$A148)^MIN(C$6,$B$11))/($A148*MIN(C$6,$B$11)))^2)+IF(OR(D$7="",D$8=0),0,D$8*(D$7-I$16*(1-$A148)*(1-(1-$A148)^MIN(D$6,$B$11))/($A148*MIN(D$6,$B$11)))^2)+IF(OR(E$7="",E$8=0),0,E$8*(E$7-I$16*(1-$A148)*(1-(1-$A148)^MIN(E$6,$B$11))/($A148*MIN(E$6,$B$11)))^2)</f>
        <v/>
      </c>
      <c r="J148" s="27">
        <f>IF(OR(B$7="",B$8=0),0,B$8*(B$7-J$16*(1-$A148)*(1-(1-$A148)^MIN(B$6,$B$11))/($A148*MIN(B$6,$B$11)))^2)+IF(OR(C$7="",C$8=0),0,C$8*(C$7-J$16*(1-$A148)*(1-(1-$A148)^MIN(C$6,$B$11))/($A148*MIN(C$6,$B$11)))^2)+IF(OR(D$7="",D$8=0),0,D$8*(D$7-J$16*(1-$A148)*(1-(1-$A148)^MIN(D$6,$B$11))/($A148*MIN(D$6,$B$11)))^2)+IF(OR(E$7="",E$8=0),0,E$8*(E$7-J$16*(1-$A148)*(1-(1-$A148)^MIN(E$6,$B$11))/($A148*MIN(E$6,$B$11)))^2)</f>
        <v/>
      </c>
      <c r="K148" s="27">
        <f>IF(OR(B$7="",B$8=0),0,B$8*(B$7-K$16*(1-$A148)*(1-(1-$A148)^MIN(B$6,$B$11))/($A148*MIN(B$6,$B$11)))^2)+IF(OR(C$7="",C$8=0),0,C$8*(C$7-K$16*(1-$A148)*(1-(1-$A148)^MIN(C$6,$B$11))/($A148*MIN(C$6,$B$11)))^2)+IF(OR(D$7="",D$8=0),0,D$8*(D$7-K$16*(1-$A148)*(1-(1-$A148)^MIN(D$6,$B$11))/($A148*MIN(D$6,$B$11)))^2)+IF(OR(E$7="",E$8=0),0,E$8*(E$7-K$16*(1-$A148)*(1-(1-$A148)^MIN(E$6,$B$11))/($A148*MIN(E$6,$B$11)))^2)</f>
        <v/>
      </c>
      <c r="L148" s="27">
        <f>IF(OR(B$7="",B$8=0),0,B$8*(B$7-L$16*(1-$A148)*(1-(1-$A148)^MIN(B$6,$B$11))/($A148*MIN(B$6,$B$11)))^2)+IF(OR(C$7="",C$8=0),0,C$8*(C$7-L$16*(1-$A148)*(1-(1-$A148)^MIN(C$6,$B$11))/($A148*MIN(C$6,$B$11)))^2)+IF(OR(D$7="",D$8=0),0,D$8*(D$7-L$16*(1-$A148)*(1-(1-$A148)^MIN(D$6,$B$11))/($A148*MIN(D$6,$B$11)))^2)+IF(OR(E$7="",E$8=0),0,E$8*(E$7-L$16*(1-$A148)*(1-(1-$A148)^MIN(E$6,$B$11))/($A148*MIN(E$6,$B$11)))^2)</f>
        <v/>
      </c>
      <c r="M148" s="27">
        <f>IF(OR(B$7="",B$8=0),0,B$8*(B$7-M$16*(1-$A148)*(1-(1-$A148)^MIN(B$6,$B$11))/($A148*MIN(B$6,$B$11)))^2)+IF(OR(C$7="",C$8=0),0,C$8*(C$7-M$16*(1-$A148)*(1-(1-$A148)^MIN(C$6,$B$11))/($A148*MIN(C$6,$B$11)))^2)+IF(OR(D$7="",D$8=0),0,D$8*(D$7-M$16*(1-$A148)*(1-(1-$A148)^MIN(D$6,$B$11))/($A148*MIN(D$6,$B$11)))^2)+IF(OR(E$7="",E$8=0),0,E$8*(E$7-M$16*(1-$A148)*(1-(1-$A148)^MIN(E$6,$B$11))/($A148*MIN(E$6,$B$11)))^2)</f>
        <v/>
      </c>
      <c r="N148" s="27">
        <f>IF(OR(B$7="",B$8=0),0,B$8*(B$7-N$16*(1-$A148)*(1-(1-$A148)^MIN(B$6,$B$11))/($A148*MIN(B$6,$B$11)))^2)+IF(OR(C$7="",C$8=0),0,C$8*(C$7-N$16*(1-$A148)*(1-(1-$A148)^MIN(C$6,$B$11))/($A148*MIN(C$6,$B$11)))^2)+IF(OR(D$7="",D$8=0),0,D$8*(D$7-N$16*(1-$A148)*(1-(1-$A148)^MIN(D$6,$B$11))/($A148*MIN(D$6,$B$11)))^2)+IF(OR(E$7="",E$8=0),0,E$8*(E$7-N$16*(1-$A148)*(1-(1-$A148)^MIN(E$6,$B$11))/($A148*MIN(E$6,$B$11)))^2)</f>
        <v/>
      </c>
      <c r="O148" s="27">
        <f>IF(OR(B$7="",B$8=0),0,B$8*(B$7-O$16*(1-$A148)*(1-(1-$A148)^MIN(B$6,$B$11))/($A148*MIN(B$6,$B$11)))^2)+IF(OR(C$7="",C$8=0),0,C$8*(C$7-O$16*(1-$A148)*(1-(1-$A148)^MIN(C$6,$B$11))/($A148*MIN(C$6,$B$11)))^2)+IF(OR(D$7="",D$8=0),0,D$8*(D$7-O$16*(1-$A148)*(1-(1-$A148)^MIN(D$6,$B$11))/($A148*MIN(D$6,$B$11)))^2)+IF(OR(E$7="",E$8=0),0,E$8*(E$7-O$16*(1-$A148)*(1-(1-$A148)^MIN(E$6,$B$11))/($A148*MIN(E$6,$B$11)))^2)</f>
        <v/>
      </c>
      <c r="P148" s="27">
        <f>IF(OR(B$7="",B$8=0),0,B$8*(B$7-P$16*(1-$A148)*(1-(1-$A148)^MIN(B$6,$B$11))/($A148*MIN(B$6,$B$11)))^2)+IF(OR(C$7="",C$8=0),0,C$8*(C$7-P$16*(1-$A148)*(1-(1-$A148)^MIN(C$6,$B$11))/($A148*MIN(C$6,$B$11)))^2)+IF(OR(D$7="",D$8=0),0,D$8*(D$7-P$16*(1-$A148)*(1-(1-$A148)^MIN(D$6,$B$11))/($A148*MIN(D$6,$B$11)))^2)+IF(OR(E$7="",E$8=0),0,E$8*(E$7-P$16*(1-$A148)*(1-(1-$A148)^MIN(E$6,$B$11))/($A148*MIN(E$6,$B$11)))^2)</f>
        <v/>
      </c>
      <c r="Q148" s="27">
        <f>IF(OR(B$7="",B$8=0),0,B$8*(B$7-Q$16*(1-$A148)*(1-(1-$A148)^MIN(B$6,$B$11))/($A148*MIN(B$6,$B$11)))^2)+IF(OR(C$7="",C$8=0),0,C$8*(C$7-Q$16*(1-$A148)*(1-(1-$A148)^MIN(C$6,$B$11))/($A148*MIN(C$6,$B$11)))^2)+IF(OR(D$7="",D$8=0),0,D$8*(D$7-Q$16*(1-$A148)*(1-(1-$A148)^MIN(D$6,$B$11))/($A148*MIN(D$6,$B$11)))^2)+IF(OR(E$7="",E$8=0),0,E$8*(E$7-Q$16*(1-$A148)*(1-(1-$A148)^MIN(E$6,$B$11))/($A148*MIN(E$6,$B$11)))^2)</f>
        <v/>
      </c>
      <c r="R148" s="27">
        <f>IF(OR(B$7="",B$8=0),0,B$8*(B$7-R$16*(1-$A148)*(1-(1-$A148)^MIN(B$6,$B$11))/($A148*MIN(B$6,$B$11)))^2)+IF(OR(C$7="",C$8=0),0,C$8*(C$7-R$16*(1-$A148)*(1-(1-$A148)^MIN(C$6,$B$11))/($A148*MIN(C$6,$B$11)))^2)+IF(OR(D$7="",D$8=0),0,D$8*(D$7-R$16*(1-$A148)*(1-(1-$A148)^MIN(D$6,$B$11))/($A148*MIN(D$6,$B$11)))^2)+IF(OR(E$7="",E$8=0),0,E$8*(E$7-R$16*(1-$A148)*(1-(1-$A148)^MIN(E$6,$B$11))/($A148*MIN(E$6,$B$11)))^2)</f>
        <v/>
      </c>
      <c r="S148" s="27">
        <f>IF(OR(B$7="",B$8=0),0,B$8*(B$7-S$16*(1-$A148)*(1-(1-$A148)^MIN(B$6,$B$11))/($A148*MIN(B$6,$B$11)))^2)+IF(OR(C$7="",C$8=0),0,C$8*(C$7-S$16*(1-$A148)*(1-(1-$A148)^MIN(C$6,$B$11))/($A148*MIN(C$6,$B$11)))^2)+IF(OR(D$7="",D$8=0),0,D$8*(D$7-S$16*(1-$A148)*(1-(1-$A148)^MIN(D$6,$B$11))/($A148*MIN(D$6,$B$11)))^2)+IF(OR(E$7="",E$8=0),0,E$8*(E$7-S$16*(1-$A148)*(1-(1-$A148)^MIN(E$6,$B$11))/($A148*MIN(E$6,$B$11)))^2)</f>
        <v/>
      </c>
      <c r="U148" s="27">
        <f>MIN(B148:S148)</f>
        <v/>
      </c>
      <c r="V148" s="17">
        <f>MATCH(U148,B148:S148,0)</f>
        <v/>
      </c>
    </row>
    <row r="149">
      <c r="A149" s="26" t="n">
        <v>0.07099999999999999</v>
      </c>
      <c r="B149" s="27">
        <f>IF(OR(B$7="",B$8=0),0,B$8*(B$7-B$16*(1-$A149)*(1-(1-$A149)^MIN(B$6,$B$11))/($A149*MIN(B$6,$B$11)))^2)+IF(OR(C$7="",C$8=0),0,C$8*(C$7-B$16*(1-$A149)*(1-(1-$A149)^MIN(C$6,$B$11))/($A149*MIN(C$6,$B$11)))^2)+IF(OR(D$7="",D$8=0),0,D$8*(D$7-B$16*(1-$A149)*(1-(1-$A149)^MIN(D$6,$B$11))/($A149*MIN(D$6,$B$11)))^2)+IF(OR(E$7="",E$8=0),0,E$8*(E$7-B$16*(1-$A149)*(1-(1-$A149)^MIN(E$6,$B$11))/($A149*MIN(E$6,$B$11)))^2)</f>
        <v/>
      </c>
      <c r="C149" s="27">
        <f>IF(OR(B$7="",B$8=0),0,B$8*(B$7-C$16*(1-$A149)*(1-(1-$A149)^MIN(B$6,$B$11))/($A149*MIN(B$6,$B$11)))^2)+IF(OR(C$7="",C$8=0),0,C$8*(C$7-C$16*(1-$A149)*(1-(1-$A149)^MIN(C$6,$B$11))/($A149*MIN(C$6,$B$11)))^2)+IF(OR(D$7="",D$8=0),0,D$8*(D$7-C$16*(1-$A149)*(1-(1-$A149)^MIN(D$6,$B$11))/($A149*MIN(D$6,$B$11)))^2)+IF(OR(E$7="",E$8=0),0,E$8*(E$7-C$16*(1-$A149)*(1-(1-$A149)^MIN(E$6,$B$11))/($A149*MIN(E$6,$B$11)))^2)</f>
        <v/>
      </c>
      <c r="D149" s="27">
        <f>IF(OR(B$7="",B$8=0),0,B$8*(B$7-D$16*(1-$A149)*(1-(1-$A149)^MIN(B$6,$B$11))/($A149*MIN(B$6,$B$11)))^2)+IF(OR(C$7="",C$8=0),0,C$8*(C$7-D$16*(1-$A149)*(1-(1-$A149)^MIN(C$6,$B$11))/($A149*MIN(C$6,$B$11)))^2)+IF(OR(D$7="",D$8=0),0,D$8*(D$7-D$16*(1-$A149)*(1-(1-$A149)^MIN(D$6,$B$11))/($A149*MIN(D$6,$B$11)))^2)+IF(OR(E$7="",E$8=0),0,E$8*(E$7-D$16*(1-$A149)*(1-(1-$A149)^MIN(E$6,$B$11))/($A149*MIN(E$6,$B$11)))^2)</f>
        <v/>
      </c>
      <c r="E149" s="27">
        <f>IF(OR(B$7="",B$8=0),0,B$8*(B$7-E$16*(1-$A149)*(1-(1-$A149)^MIN(B$6,$B$11))/($A149*MIN(B$6,$B$11)))^2)+IF(OR(C$7="",C$8=0),0,C$8*(C$7-E$16*(1-$A149)*(1-(1-$A149)^MIN(C$6,$B$11))/($A149*MIN(C$6,$B$11)))^2)+IF(OR(D$7="",D$8=0),0,D$8*(D$7-E$16*(1-$A149)*(1-(1-$A149)^MIN(D$6,$B$11))/($A149*MIN(D$6,$B$11)))^2)+IF(OR(E$7="",E$8=0),0,E$8*(E$7-E$16*(1-$A149)*(1-(1-$A149)^MIN(E$6,$B$11))/($A149*MIN(E$6,$B$11)))^2)</f>
        <v/>
      </c>
      <c r="F149" s="27">
        <f>IF(OR(B$7="",B$8=0),0,B$8*(B$7-F$16*(1-$A149)*(1-(1-$A149)^MIN(B$6,$B$11))/($A149*MIN(B$6,$B$11)))^2)+IF(OR(C$7="",C$8=0),0,C$8*(C$7-F$16*(1-$A149)*(1-(1-$A149)^MIN(C$6,$B$11))/($A149*MIN(C$6,$B$11)))^2)+IF(OR(D$7="",D$8=0),0,D$8*(D$7-F$16*(1-$A149)*(1-(1-$A149)^MIN(D$6,$B$11))/($A149*MIN(D$6,$B$11)))^2)+IF(OR(E$7="",E$8=0),0,E$8*(E$7-F$16*(1-$A149)*(1-(1-$A149)^MIN(E$6,$B$11))/($A149*MIN(E$6,$B$11)))^2)</f>
        <v/>
      </c>
      <c r="G149" s="27">
        <f>IF(OR(B$7="",B$8=0),0,B$8*(B$7-G$16*(1-$A149)*(1-(1-$A149)^MIN(B$6,$B$11))/($A149*MIN(B$6,$B$11)))^2)+IF(OR(C$7="",C$8=0),0,C$8*(C$7-G$16*(1-$A149)*(1-(1-$A149)^MIN(C$6,$B$11))/($A149*MIN(C$6,$B$11)))^2)+IF(OR(D$7="",D$8=0),0,D$8*(D$7-G$16*(1-$A149)*(1-(1-$A149)^MIN(D$6,$B$11))/($A149*MIN(D$6,$B$11)))^2)+IF(OR(E$7="",E$8=0),0,E$8*(E$7-G$16*(1-$A149)*(1-(1-$A149)^MIN(E$6,$B$11))/($A149*MIN(E$6,$B$11)))^2)</f>
        <v/>
      </c>
      <c r="H149" s="27">
        <f>IF(OR(B$7="",B$8=0),0,B$8*(B$7-H$16*(1-$A149)*(1-(1-$A149)^MIN(B$6,$B$11))/($A149*MIN(B$6,$B$11)))^2)+IF(OR(C$7="",C$8=0),0,C$8*(C$7-H$16*(1-$A149)*(1-(1-$A149)^MIN(C$6,$B$11))/($A149*MIN(C$6,$B$11)))^2)+IF(OR(D$7="",D$8=0),0,D$8*(D$7-H$16*(1-$A149)*(1-(1-$A149)^MIN(D$6,$B$11))/($A149*MIN(D$6,$B$11)))^2)+IF(OR(E$7="",E$8=0),0,E$8*(E$7-H$16*(1-$A149)*(1-(1-$A149)^MIN(E$6,$B$11))/($A149*MIN(E$6,$B$11)))^2)</f>
        <v/>
      </c>
      <c r="I149" s="27">
        <f>IF(OR(B$7="",B$8=0),0,B$8*(B$7-I$16*(1-$A149)*(1-(1-$A149)^MIN(B$6,$B$11))/($A149*MIN(B$6,$B$11)))^2)+IF(OR(C$7="",C$8=0),0,C$8*(C$7-I$16*(1-$A149)*(1-(1-$A149)^MIN(C$6,$B$11))/($A149*MIN(C$6,$B$11)))^2)+IF(OR(D$7="",D$8=0),0,D$8*(D$7-I$16*(1-$A149)*(1-(1-$A149)^MIN(D$6,$B$11))/($A149*MIN(D$6,$B$11)))^2)+IF(OR(E$7="",E$8=0),0,E$8*(E$7-I$16*(1-$A149)*(1-(1-$A149)^MIN(E$6,$B$11))/($A149*MIN(E$6,$B$11)))^2)</f>
        <v/>
      </c>
      <c r="J149" s="27">
        <f>IF(OR(B$7="",B$8=0),0,B$8*(B$7-J$16*(1-$A149)*(1-(1-$A149)^MIN(B$6,$B$11))/($A149*MIN(B$6,$B$11)))^2)+IF(OR(C$7="",C$8=0),0,C$8*(C$7-J$16*(1-$A149)*(1-(1-$A149)^MIN(C$6,$B$11))/($A149*MIN(C$6,$B$11)))^2)+IF(OR(D$7="",D$8=0),0,D$8*(D$7-J$16*(1-$A149)*(1-(1-$A149)^MIN(D$6,$B$11))/($A149*MIN(D$6,$B$11)))^2)+IF(OR(E$7="",E$8=0),0,E$8*(E$7-J$16*(1-$A149)*(1-(1-$A149)^MIN(E$6,$B$11))/($A149*MIN(E$6,$B$11)))^2)</f>
        <v/>
      </c>
      <c r="K149" s="27">
        <f>IF(OR(B$7="",B$8=0),0,B$8*(B$7-K$16*(1-$A149)*(1-(1-$A149)^MIN(B$6,$B$11))/($A149*MIN(B$6,$B$11)))^2)+IF(OR(C$7="",C$8=0),0,C$8*(C$7-K$16*(1-$A149)*(1-(1-$A149)^MIN(C$6,$B$11))/($A149*MIN(C$6,$B$11)))^2)+IF(OR(D$7="",D$8=0),0,D$8*(D$7-K$16*(1-$A149)*(1-(1-$A149)^MIN(D$6,$B$11))/($A149*MIN(D$6,$B$11)))^2)+IF(OR(E$7="",E$8=0),0,E$8*(E$7-K$16*(1-$A149)*(1-(1-$A149)^MIN(E$6,$B$11))/($A149*MIN(E$6,$B$11)))^2)</f>
        <v/>
      </c>
      <c r="L149" s="27">
        <f>IF(OR(B$7="",B$8=0),0,B$8*(B$7-L$16*(1-$A149)*(1-(1-$A149)^MIN(B$6,$B$11))/($A149*MIN(B$6,$B$11)))^2)+IF(OR(C$7="",C$8=0),0,C$8*(C$7-L$16*(1-$A149)*(1-(1-$A149)^MIN(C$6,$B$11))/($A149*MIN(C$6,$B$11)))^2)+IF(OR(D$7="",D$8=0),0,D$8*(D$7-L$16*(1-$A149)*(1-(1-$A149)^MIN(D$6,$B$11))/($A149*MIN(D$6,$B$11)))^2)+IF(OR(E$7="",E$8=0),0,E$8*(E$7-L$16*(1-$A149)*(1-(1-$A149)^MIN(E$6,$B$11))/($A149*MIN(E$6,$B$11)))^2)</f>
        <v/>
      </c>
      <c r="M149" s="27">
        <f>IF(OR(B$7="",B$8=0),0,B$8*(B$7-M$16*(1-$A149)*(1-(1-$A149)^MIN(B$6,$B$11))/($A149*MIN(B$6,$B$11)))^2)+IF(OR(C$7="",C$8=0),0,C$8*(C$7-M$16*(1-$A149)*(1-(1-$A149)^MIN(C$6,$B$11))/($A149*MIN(C$6,$B$11)))^2)+IF(OR(D$7="",D$8=0),0,D$8*(D$7-M$16*(1-$A149)*(1-(1-$A149)^MIN(D$6,$B$11))/($A149*MIN(D$6,$B$11)))^2)+IF(OR(E$7="",E$8=0),0,E$8*(E$7-M$16*(1-$A149)*(1-(1-$A149)^MIN(E$6,$B$11))/($A149*MIN(E$6,$B$11)))^2)</f>
        <v/>
      </c>
      <c r="N149" s="27">
        <f>IF(OR(B$7="",B$8=0),0,B$8*(B$7-N$16*(1-$A149)*(1-(1-$A149)^MIN(B$6,$B$11))/($A149*MIN(B$6,$B$11)))^2)+IF(OR(C$7="",C$8=0),0,C$8*(C$7-N$16*(1-$A149)*(1-(1-$A149)^MIN(C$6,$B$11))/($A149*MIN(C$6,$B$11)))^2)+IF(OR(D$7="",D$8=0),0,D$8*(D$7-N$16*(1-$A149)*(1-(1-$A149)^MIN(D$6,$B$11))/($A149*MIN(D$6,$B$11)))^2)+IF(OR(E$7="",E$8=0),0,E$8*(E$7-N$16*(1-$A149)*(1-(1-$A149)^MIN(E$6,$B$11))/($A149*MIN(E$6,$B$11)))^2)</f>
        <v/>
      </c>
      <c r="O149" s="27">
        <f>IF(OR(B$7="",B$8=0),0,B$8*(B$7-O$16*(1-$A149)*(1-(1-$A149)^MIN(B$6,$B$11))/($A149*MIN(B$6,$B$11)))^2)+IF(OR(C$7="",C$8=0),0,C$8*(C$7-O$16*(1-$A149)*(1-(1-$A149)^MIN(C$6,$B$11))/($A149*MIN(C$6,$B$11)))^2)+IF(OR(D$7="",D$8=0),0,D$8*(D$7-O$16*(1-$A149)*(1-(1-$A149)^MIN(D$6,$B$11))/($A149*MIN(D$6,$B$11)))^2)+IF(OR(E$7="",E$8=0),0,E$8*(E$7-O$16*(1-$A149)*(1-(1-$A149)^MIN(E$6,$B$11))/($A149*MIN(E$6,$B$11)))^2)</f>
        <v/>
      </c>
      <c r="P149" s="27">
        <f>IF(OR(B$7="",B$8=0),0,B$8*(B$7-P$16*(1-$A149)*(1-(1-$A149)^MIN(B$6,$B$11))/($A149*MIN(B$6,$B$11)))^2)+IF(OR(C$7="",C$8=0),0,C$8*(C$7-P$16*(1-$A149)*(1-(1-$A149)^MIN(C$6,$B$11))/($A149*MIN(C$6,$B$11)))^2)+IF(OR(D$7="",D$8=0),0,D$8*(D$7-P$16*(1-$A149)*(1-(1-$A149)^MIN(D$6,$B$11))/($A149*MIN(D$6,$B$11)))^2)+IF(OR(E$7="",E$8=0),0,E$8*(E$7-P$16*(1-$A149)*(1-(1-$A149)^MIN(E$6,$B$11))/($A149*MIN(E$6,$B$11)))^2)</f>
        <v/>
      </c>
      <c r="Q149" s="27">
        <f>IF(OR(B$7="",B$8=0),0,B$8*(B$7-Q$16*(1-$A149)*(1-(1-$A149)^MIN(B$6,$B$11))/($A149*MIN(B$6,$B$11)))^2)+IF(OR(C$7="",C$8=0),0,C$8*(C$7-Q$16*(1-$A149)*(1-(1-$A149)^MIN(C$6,$B$11))/($A149*MIN(C$6,$B$11)))^2)+IF(OR(D$7="",D$8=0),0,D$8*(D$7-Q$16*(1-$A149)*(1-(1-$A149)^MIN(D$6,$B$11))/($A149*MIN(D$6,$B$11)))^2)+IF(OR(E$7="",E$8=0),0,E$8*(E$7-Q$16*(1-$A149)*(1-(1-$A149)^MIN(E$6,$B$11))/($A149*MIN(E$6,$B$11)))^2)</f>
        <v/>
      </c>
      <c r="R149" s="27">
        <f>IF(OR(B$7="",B$8=0),0,B$8*(B$7-R$16*(1-$A149)*(1-(1-$A149)^MIN(B$6,$B$11))/($A149*MIN(B$6,$B$11)))^2)+IF(OR(C$7="",C$8=0),0,C$8*(C$7-R$16*(1-$A149)*(1-(1-$A149)^MIN(C$6,$B$11))/($A149*MIN(C$6,$B$11)))^2)+IF(OR(D$7="",D$8=0),0,D$8*(D$7-R$16*(1-$A149)*(1-(1-$A149)^MIN(D$6,$B$11))/($A149*MIN(D$6,$B$11)))^2)+IF(OR(E$7="",E$8=0),0,E$8*(E$7-R$16*(1-$A149)*(1-(1-$A149)^MIN(E$6,$B$11))/($A149*MIN(E$6,$B$11)))^2)</f>
        <v/>
      </c>
      <c r="S149" s="27">
        <f>IF(OR(B$7="",B$8=0),0,B$8*(B$7-S$16*(1-$A149)*(1-(1-$A149)^MIN(B$6,$B$11))/($A149*MIN(B$6,$B$11)))^2)+IF(OR(C$7="",C$8=0),0,C$8*(C$7-S$16*(1-$A149)*(1-(1-$A149)^MIN(C$6,$B$11))/($A149*MIN(C$6,$B$11)))^2)+IF(OR(D$7="",D$8=0),0,D$8*(D$7-S$16*(1-$A149)*(1-(1-$A149)^MIN(D$6,$B$11))/($A149*MIN(D$6,$B$11)))^2)+IF(OR(E$7="",E$8=0),0,E$8*(E$7-S$16*(1-$A149)*(1-(1-$A149)^MIN(E$6,$B$11))/($A149*MIN(E$6,$B$11)))^2)</f>
        <v/>
      </c>
      <c r="U149" s="27">
        <f>MIN(B149:S149)</f>
        <v/>
      </c>
      <c r="V149" s="17">
        <f>MATCH(U149,B149:S149,0)</f>
        <v/>
      </c>
    </row>
    <row r="150">
      <c r="A150" s="26" t="n">
        <v>0.07149999999999999</v>
      </c>
      <c r="B150" s="27">
        <f>IF(OR(B$7="",B$8=0),0,B$8*(B$7-B$16*(1-$A150)*(1-(1-$A150)^MIN(B$6,$B$11))/($A150*MIN(B$6,$B$11)))^2)+IF(OR(C$7="",C$8=0),0,C$8*(C$7-B$16*(1-$A150)*(1-(1-$A150)^MIN(C$6,$B$11))/($A150*MIN(C$6,$B$11)))^2)+IF(OR(D$7="",D$8=0),0,D$8*(D$7-B$16*(1-$A150)*(1-(1-$A150)^MIN(D$6,$B$11))/($A150*MIN(D$6,$B$11)))^2)+IF(OR(E$7="",E$8=0),0,E$8*(E$7-B$16*(1-$A150)*(1-(1-$A150)^MIN(E$6,$B$11))/($A150*MIN(E$6,$B$11)))^2)</f>
        <v/>
      </c>
      <c r="C150" s="27">
        <f>IF(OR(B$7="",B$8=0),0,B$8*(B$7-C$16*(1-$A150)*(1-(1-$A150)^MIN(B$6,$B$11))/($A150*MIN(B$6,$B$11)))^2)+IF(OR(C$7="",C$8=0),0,C$8*(C$7-C$16*(1-$A150)*(1-(1-$A150)^MIN(C$6,$B$11))/($A150*MIN(C$6,$B$11)))^2)+IF(OR(D$7="",D$8=0),0,D$8*(D$7-C$16*(1-$A150)*(1-(1-$A150)^MIN(D$6,$B$11))/($A150*MIN(D$6,$B$11)))^2)+IF(OR(E$7="",E$8=0),0,E$8*(E$7-C$16*(1-$A150)*(1-(1-$A150)^MIN(E$6,$B$11))/($A150*MIN(E$6,$B$11)))^2)</f>
        <v/>
      </c>
      <c r="D150" s="27">
        <f>IF(OR(B$7="",B$8=0),0,B$8*(B$7-D$16*(1-$A150)*(1-(1-$A150)^MIN(B$6,$B$11))/($A150*MIN(B$6,$B$11)))^2)+IF(OR(C$7="",C$8=0),0,C$8*(C$7-D$16*(1-$A150)*(1-(1-$A150)^MIN(C$6,$B$11))/($A150*MIN(C$6,$B$11)))^2)+IF(OR(D$7="",D$8=0),0,D$8*(D$7-D$16*(1-$A150)*(1-(1-$A150)^MIN(D$6,$B$11))/($A150*MIN(D$6,$B$11)))^2)+IF(OR(E$7="",E$8=0),0,E$8*(E$7-D$16*(1-$A150)*(1-(1-$A150)^MIN(E$6,$B$11))/($A150*MIN(E$6,$B$11)))^2)</f>
        <v/>
      </c>
      <c r="E150" s="27">
        <f>IF(OR(B$7="",B$8=0),0,B$8*(B$7-E$16*(1-$A150)*(1-(1-$A150)^MIN(B$6,$B$11))/($A150*MIN(B$6,$B$11)))^2)+IF(OR(C$7="",C$8=0),0,C$8*(C$7-E$16*(1-$A150)*(1-(1-$A150)^MIN(C$6,$B$11))/($A150*MIN(C$6,$B$11)))^2)+IF(OR(D$7="",D$8=0),0,D$8*(D$7-E$16*(1-$A150)*(1-(1-$A150)^MIN(D$6,$B$11))/($A150*MIN(D$6,$B$11)))^2)+IF(OR(E$7="",E$8=0),0,E$8*(E$7-E$16*(1-$A150)*(1-(1-$A150)^MIN(E$6,$B$11))/($A150*MIN(E$6,$B$11)))^2)</f>
        <v/>
      </c>
      <c r="F150" s="27">
        <f>IF(OR(B$7="",B$8=0),0,B$8*(B$7-F$16*(1-$A150)*(1-(1-$A150)^MIN(B$6,$B$11))/($A150*MIN(B$6,$B$11)))^2)+IF(OR(C$7="",C$8=0),0,C$8*(C$7-F$16*(1-$A150)*(1-(1-$A150)^MIN(C$6,$B$11))/($A150*MIN(C$6,$B$11)))^2)+IF(OR(D$7="",D$8=0),0,D$8*(D$7-F$16*(1-$A150)*(1-(1-$A150)^MIN(D$6,$B$11))/($A150*MIN(D$6,$B$11)))^2)+IF(OR(E$7="",E$8=0),0,E$8*(E$7-F$16*(1-$A150)*(1-(1-$A150)^MIN(E$6,$B$11))/($A150*MIN(E$6,$B$11)))^2)</f>
        <v/>
      </c>
      <c r="G150" s="27">
        <f>IF(OR(B$7="",B$8=0),0,B$8*(B$7-G$16*(1-$A150)*(1-(1-$A150)^MIN(B$6,$B$11))/($A150*MIN(B$6,$B$11)))^2)+IF(OR(C$7="",C$8=0),0,C$8*(C$7-G$16*(1-$A150)*(1-(1-$A150)^MIN(C$6,$B$11))/($A150*MIN(C$6,$B$11)))^2)+IF(OR(D$7="",D$8=0),0,D$8*(D$7-G$16*(1-$A150)*(1-(1-$A150)^MIN(D$6,$B$11))/($A150*MIN(D$6,$B$11)))^2)+IF(OR(E$7="",E$8=0),0,E$8*(E$7-G$16*(1-$A150)*(1-(1-$A150)^MIN(E$6,$B$11))/($A150*MIN(E$6,$B$11)))^2)</f>
        <v/>
      </c>
      <c r="H150" s="27">
        <f>IF(OR(B$7="",B$8=0),0,B$8*(B$7-H$16*(1-$A150)*(1-(1-$A150)^MIN(B$6,$B$11))/($A150*MIN(B$6,$B$11)))^2)+IF(OR(C$7="",C$8=0),0,C$8*(C$7-H$16*(1-$A150)*(1-(1-$A150)^MIN(C$6,$B$11))/($A150*MIN(C$6,$B$11)))^2)+IF(OR(D$7="",D$8=0),0,D$8*(D$7-H$16*(1-$A150)*(1-(1-$A150)^MIN(D$6,$B$11))/($A150*MIN(D$6,$B$11)))^2)+IF(OR(E$7="",E$8=0),0,E$8*(E$7-H$16*(1-$A150)*(1-(1-$A150)^MIN(E$6,$B$11))/($A150*MIN(E$6,$B$11)))^2)</f>
        <v/>
      </c>
      <c r="I150" s="27">
        <f>IF(OR(B$7="",B$8=0),0,B$8*(B$7-I$16*(1-$A150)*(1-(1-$A150)^MIN(B$6,$B$11))/($A150*MIN(B$6,$B$11)))^2)+IF(OR(C$7="",C$8=0),0,C$8*(C$7-I$16*(1-$A150)*(1-(1-$A150)^MIN(C$6,$B$11))/($A150*MIN(C$6,$B$11)))^2)+IF(OR(D$7="",D$8=0),0,D$8*(D$7-I$16*(1-$A150)*(1-(1-$A150)^MIN(D$6,$B$11))/($A150*MIN(D$6,$B$11)))^2)+IF(OR(E$7="",E$8=0),0,E$8*(E$7-I$16*(1-$A150)*(1-(1-$A150)^MIN(E$6,$B$11))/($A150*MIN(E$6,$B$11)))^2)</f>
        <v/>
      </c>
      <c r="J150" s="27">
        <f>IF(OR(B$7="",B$8=0),0,B$8*(B$7-J$16*(1-$A150)*(1-(1-$A150)^MIN(B$6,$B$11))/($A150*MIN(B$6,$B$11)))^2)+IF(OR(C$7="",C$8=0),0,C$8*(C$7-J$16*(1-$A150)*(1-(1-$A150)^MIN(C$6,$B$11))/($A150*MIN(C$6,$B$11)))^2)+IF(OR(D$7="",D$8=0),0,D$8*(D$7-J$16*(1-$A150)*(1-(1-$A150)^MIN(D$6,$B$11))/($A150*MIN(D$6,$B$11)))^2)+IF(OR(E$7="",E$8=0),0,E$8*(E$7-J$16*(1-$A150)*(1-(1-$A150)^MIN(E$6,$B$11))/($A150*MIN(E$6,$B$11)))^2)</f>
        <v/>
      </c>
      <c r="K150" s="27">
        <f>IF(OR(B$7="",B$8=0),0,B$8*(B$7-K$16*(1-$A150)*(1-(1-$A150)^MIN(B$6,$B$11))/($A150*MIN(B$6,$B$11)))^2)+IF(OR(C$7="",C$8=0),0,C$8*(C$7-K$16*(1-$A150)*(1-(1-$A150)^MIN(C$6,$B$11))/($A150*MIN(C$6,$B$11)))^2)+IF(OR(D$7="",D$8=0),0,D$8*(D$7-K$16*(1-$A150)*(1-(1-$A150)^MIN(D$6,$B$11))/($A150*MIN(D$6,$B$11)))^2)+IF(OR(E$7="",E$8=0),0,E$8*(E$7-K$16*(1-$A150)*(1-(1-$A150)^MIN(E$6,$B$11))/($A150*MIN(E$6,$B$11)))^2)</f>
        <v/>
      </c>
      <c r="L150" s="27">
        <f>IF(OR(B$7="",B$8=0),0,B$8*(B$7-L$16*(1-$A150)*(1-(1-$A150)^MIN(B$6,$B$11))/($A150*MIN(B$6,$B$11)))^2)+IF(OR(C$7="",C$8=0),0,C$8*(C$7-L$16*(1-$A150)*(1-(1-$A150)^MIN(C$6,$B$11))/($A150*MIN(C$6,$B$11)))^2)+IF(OR(D$7="",D$8=0),0,D$8*(D$7-L$16*(1-$A150)*(1-(1-$A150)^MIN(D$6,$B$11))/($A150*MIN(D$6,$B$11)))^2)+IF(OR(E$7="",E$8=0),0,E$8*(E$7-L$16*(1-$A150)*(1-(1-$A150)^MIN(E$6,$B$11))/($A150*MIN(E$6,$B$11)))^2)</f>
        <v/>
      </c>
      <c r="M150" s="27">
        <f>IF(OR(B$7="",B$8=0),0,B$8*(B$7-M$16*(1-$A150)*(1-(1-$A150)^MIN(B$6,$B$11))/($A150*MIN(B$6,$B$11)))^2)+IF(OR(C$7="",C$8=0),0,C$8*(C$7-M$16*(1-$A150)*(1-(1-$A150)^MIN(C$6,$B$11))/($A150*MIN(C$6,$B$11)))^2)+IF(OR(D$7="",D$8=0),0,D$8*(D$7-M$16*(1-$A150)*(1-(1-$A150)^MIN(D$6,$B$11))/($A150*MIN(D$6,$B$11)))^2)+IF(OR(E$7="",E$8=0),0,E$8*(E$7-M$16*(1-$A150)*(1-(1-$A150)^MIN(E$6,$B$11))/($A150*MIN(E$6,$B$11)))^2)</f>
        <v/>
      </c>
      <c r="N150" s="27">
        <f>IF(OR(B$7="",B$8=0),0,B$8*(B$7-N$16*(1-$A150)*(1-(1-$A150)^MIN(B$6,$B$11))/($A150*MIN(B$6,$B$11)))^2)+IF(OR(C$7="",C$8=0),0,C$8*(C$7-N$16*(1-$A150)*(1-(1-$A150)^MIN(C$6,$B$11))/($A150*MIN(C$6,$B$11)))^2)+IF(OR(D$7="",D$8=0),0,D$8*(D$7-N$16*(1-$A150)*(1-(1-$A150)^MIN(D$6,$B$11))/($A150*MIN(D$6,$B$11)))^2)+IF(OR(E$7="",E$8=0),0,E$8*(E$7-N$16*(1-$A150)*(1-(1-$A150)^MIN(E$6,$B$11))/($A150*MIN(E$6,$B$11)))^2)</f>
        <v/>
      </c>
      <c r="O150" s="27">
        <f>IF(OR(B$7="",B$8=0),0,B$8*(B$7-O$16*(1-$A150)*(1-(1-$A150)^MIN(B$6,$B$11))/($A150*MIN(B$6,$B$11)))^2)+IF(OR(C$7="",C$8=0),0,C$8*(C$7-O$16*(1-$A150)*(1-(1-$A150)^MIN(C$6,$B$11))/($A150*MIN(C$6,$B$11)))^2)+IF(OR(D$7="",D$8=0),0,D$8*(D$7-O$16*(1-$A150)*(1-(1-$A150)^MIN(D$6,$B$11))/($A150*MIN(D$6,$B$11)))^2)+IF(OR(E$7="",E$8=0),0,E$8*(E$7-O$16*(1-$A150)*(1-(1-$A150)^MIN(E$6,$B$11))/($A150*MIN(E$6,$B$11)))^2)</f>
        <v/>
      </c>
      <c r="P150" s="27">
        <f>IF(OR(B$7="",B$8=0),0,B$8*(B$7-P$16*(1-$A150)*(1-(1-$A150)^MIN(B$6,$B$11))/($A150*MIN(B$6,$B$11)))^2)+IF(OR(C$7="",C$8=0),0,C$8*(C$7-P$16*(1-$A150)*(1-(1-$A150)^MIN(C$6,$B$11))/($A150*MIN(C$6,$B$11)))^2)+IF(OR(D$7="",D$8=0),0,D$8*(D$7-P$16*(1-$A150)*(1-(1-$A150)^MIN(D$6,$B$11))/($A150*MIN(D$6,$B$11)))^2)+IF(OR(E$7="",E$8=0),0,E$8*(E$7-P$16*(1-$A150)*(1-(1-$A150)^MIN(E$6,$B$11))/($A150*MIN(E$6,$B$11)))^2)</f>
        <v/>
      </c>
      <c r="Q150" s="27">
        <f>IF(OR(B$7="",B$8=0),0,B$8*(B$7-Q$16*(1-$A150)*(1-(1-$A150)^MIN(B$6,$B$11))/($A150*MIN(B$6,$B$11)))^2)+IF(OR(C$7="",C$8=0),0,C$8*(C$7-Q$16*(1-$A150)*(1-(1-$A150)^MIN(C$6,$B$11))/($A150*MIN(C$6,$B$11)))^2)+IF(OR(D$7="",D$8=0),0,D$8*(D$7-Q$16*(1-$A150)*(1-(1-$A150)^MIN(D$6,$B$11))/($A150*MIN(D$6,$B$11)))^2)+IF(OR(E$7="",E$8=0),0,E$8*(E$7-Q$16*(1-$A150)*(1-(1-$A150)^MIN(E$6,$B$11))/($A150*MIN(E$6,$B$11)))^2)</f>
        <v/>
      </c>
      <c r="R150" s="27">
        <f>IF(OR(B$7="",B$8=0),0,B$8*(B$7-R$16*(1-$A150)*(1-(1-$A150)^MIN(B$6,$B$11))/($A150*MIN(B$6,$B$11)))^2)+IF(OR(C$7="",C$8=0),0,C$8*(C$7-R$16*(1-$A150)*(1-(1-$A150)^MIN(C$6,$B$11))/($A150*MIN(C$6,$B$11)))^2)+IF(OR(D$7="",D$8=0),0,D$8*(D$7-R$16*(1-$A150)*(1-(1-$A150)^MIN(D$6,$B$11))/($A150*MIN(D$6,$B$11)))^2)+IF(OR(E$7="",E$8=0),0,E$8*(E$7-R$16*(1-$A150)*(1-(1-$A150)^MIN(E$6,$B$11))/($A150*MIN(E$6,$B$11)))^2)</f>
        <v/>
      </c>
      <c r="S150" s="27">
        <f>IF(OR(B$7="",B$8=0),0,B$8*(B$7-S$16*(1-$A150)*(1-(1-$A150)^MIN(B$6,$B$11))/($A150*MIN(B$6,$B$11)))^2)+IF(OR(C$7="",C$8=0),0,C$8*(C$7-S$16*(1-$A150)*(1-(1-$A150)^MIN(C$6,$B$11))/($A150*MIN(C$6,$B$11)))^2)+IF(OR(D$7="",D$8=0),0,D$8*(D$7-S$16*(1-$A150)*(1-(1-$A150)^MIN(D$6,$B$11))/($A150*MIN(D$6,$B$11)))^2)+IF(OR(E$7="",E$8=0),0,E$8*(E$7-S$16*(1-$A150)*(1-(1-$A150)^MIN(E$6,$B$11))/($A150*MIN(E$6,$B$11)))^2)</f>
        <v/>
      </c>
      <c r="U150" s="27">
        <f>MIN(B150:S150)</f>
        <v/>
      </c>
      <c r="V150" s="17">
        <f>MATCH(U150,B150:S150,0)</f>
        <v/>
      </c>
    </row>
    <row r="151">
      <c r="A151" s="26" t="n">
        <v>0.07199999999999999</v>
      </c>
      <c r="B151" s="27">
        <f>IF(OR(B$7="",B$8=0),0,B$8*(B$7-B$16*(1-$A151)*(1-(1-$A151)^MIN(B$6,$B$11))/($A151*MIN(B$6,$B$11)))^2)+IF(OR(C$7="",C$8=0),0,C$8*(C$7-B$16*(1-$A151)*(1-(1-$A151)^MIN(C$6,$B$11))/($A151*MIN(C$6,$B$11)))^2)+IF(OR(D$7="",D$8=0),0,D$8*(D$7-B$16*(1-$A151)*(1-(1-$A151)^MIN(D$6,$B$11))/($A151*MIN(D$6,$B$11)))^2)+IF(OR(E$7="",E$8=0),0,E$8*(E$7-B$16*(1-$A151)*(1-(1-$A151)^MIN(E$6,$B$11))/($A151*MIN(E$6,$B$11)))^2)</f>
        <v/>
      </c>
      <c r="C151" s="27">
        <f>IF(OR(B$7="",B$8=0),0,B$8*(B$7-C$16*(1-$A151)*(1-(1-$A151)^MIN(B$6,$B$11))/($A151*MIN(B$6,$B$11)))^2)+IF(OR(C$7="",C$8=0),0,C$8*(C$7-C$16*(1-$A151)*(1-(1-$A151)^MIN(C$6,$B$11))/($A151*MIN(C$6,$B$11)))^2)+IF(OR(D$7="",D$8=0),0,D$8*(D$7-C$16*(1-$A151)*(1-(1-$A151)^MIN(D$6,$B$11))/($A151*MIN(D$6,$B$11)))^2)+IF(OR(E$7="",E$8=0),0,E$8*(E$7-C$16*(1-$A151)*(1-(1-$A151)^MIN(E$6,$B$11))/($A151*MIN(E$6,$B$11)))^2)</f>
        <v/>
      </c>
      <c r="D151" s="27">
        <f>IF(OR(B$7="",B$8=0),0,B$8*(B$7-D$16*(1-$A151)*(1-(1-$A151)^MIN(B$6,$B$11))/($A151*MIN(B$6,$B$11)))^2)+IF(OR(C$7="",C$8=0),0,C$8*(C$7-D$16*(1-$A151)*(1-(1-$A151)^MIN(C$6,$B$11))/($A151*MIN(C$6,$B$11)))^2)+IF(OR(D$7="",D$8=0),0,D$8*(D$7-D$16*(1-$A151)*(1-(1-$A151)^MIN(D$6,$B$11))/($A151*MIN(D$6,$B$11)))^2)+IF(OR(E$7="",E$8=0),0,E$8*(E$7-D$16*(1-$A151)*(1-(1-$A151)^MIN(E$6,$B$11))/($A151*MIN(E$6,$B$11)))^2)</f>
        <v/>
      </c>
      <c r="E151" s="27">
        <f>IF(OR(B$7="",B$8=0),0,B$8*(B$7-E$16*(1-$A151)*(1-(1-$A151)^MIN(B$6,$B$11))/($A151*MIN(B$6,$B$11)))^2)+IF(OR(C$7="",C$8=0),0,C$8*(C$7-E$16*(1-$A151)*(1-(1-$A151)^MIN(C$6,$B$11))/($A151*MIN(C$6,$B$11)))^2)+IF(OR(D$7="",D$8=0),0,D$8*(D$7-E$16*(1-$A151)*(1-(1-$A151)^MIN(D$6,$B$11))/($A151*MIN(D$6,$B$11)))^2)+IF(OR(E$7="",E$8=0),0,E$8*(E$7-E$16*(1-$A151)*(1-(1-$A151)^MIN(E$6,$B$11))/($A151*MIN(E$6,$B$11)))^2)</f>
        <v/>
      </c>
      <c r="F151" s="27">
        <f>IF(OR(B$7="",B$8=0),0,B$8*(B$7-F$16*(1-$A151)*(1-(1-$A151)^MIN(B$6,$B$11))/($A151*MIN(B$6,$B$11)))^2)+IF(OR(C$7="",C$8=0),0,C$8*(C$7-F$16*(1-$A151)*(1-(1-$A151)^MIN(C$6,$B$11))/($A151*MIN(C$6,$B$11)))^2)+IF(OR(D$7="",D$8=0),0,D$8*(D$7-F$16*(1-$A151)*(1-(1-$A151)^MIN(D$6,$B$11))/($A151*MIN(D$6,$B$11)))^2)+IF(OR(E$7="",E$8=0),0,E$8*(E$7-F$16*(1-$A151)*(1-(1-$A151)^MIN(E$6,$B$11))/($A151*MIN(E$6,$B$11)))^2)</f>
        <v/>
      </c>
      <c r="G151" s="27">
        <f>IF(OR(B$7="",B$8=0),0,B$8*(B$7-G$16*(1-$A151)*(1-(1-$A151)^MIN(B$6,$B$11))/($A151*MIN(B$6,$B$11)))^2)+IF(OR(C$7="",C$8=0),0,C$8*(C$7-G$16*(1-$A151)*(1-(1-$A151)^MIN(C$6,$B$11))/($A151*MIN(C$6,$B$11)))^2)+IF(OR(D$7="",D$8=0),0,D$8*(D$7-G$16*(1-$A151)*(1-(1-$A151)^MIN(D$6,$B$11))/($A151*MIN(D$6,$B$11)))^2)+IF(OR(E$7="",E$8=0),0,E$8*(E$7-G$16*(1-$A151)*(1-(1-$A151)^MIN(E$6,$B$11))/($A151*MIN(E$6,$B$11)))^2)</f>
        <v/>
      </c>
      <c r="H151" s="27">
        <f>IF(OR(B$7="",B$8=0),0,B$8*(B$7-H$16*(1-$A151)*(1-(1-$A151)^MIN(B$6,$B$11))/($A151*MIN(B$6,$B$11)))^2)+IF(OR(C$7="",C$8=0),0,C$8*(C$7-H$16*(1-$A151)*(1-(1-$A151)^MIN(C$6,$B$11))/($A151*MIN(C$6,$B$11)))^2)+IF(OR(D$7="",D$8=0),0,D$8*(D$7-H$16*(1-$A151)*(1-(1-$A151)^MIN(D$6,$B$11))/($A151*MIN(D$6,$B$11)))^2)+IF(OR(E$7="",E$8=0),0,E$8*(E$7-H$16*(1-$A151)*(1-(1-$A151)^MIN(E$6,$B$11))/($A151*MIN(E$6,$B$11)))^2)</f>
        <v/>
      </c>
      <c r="I151" s="27">
        <f>IF(OR(B$7="",B$8=0),0,B$8*(B$7-I$16*(1-$A151)*(1-(1-$A151)^MIN(B$6,$B$11))/($A151*MIN(B$6,$B$11)))^2)+IF(OR(C$7="",C$8=0),0,C$8*(C$7-I$16*(1-$A151)*(1-(1-$A151)^MIN(C$6,$B$11))/($A151*MIN(C$6,$B$11)))^2)+IF(OR(D$7="",D$8=0),0,D$8*(D$7-I$16*(1-$A151)*(1-(1-$A151)^MIN(D$6,$B$11))/($A151*MIN(D$6,$B$11)))^2)+IF(OR(E$7="",E$8=0),0,E$8*(E$7-I$16*(1-$A151)*(1-(1-$A151)^MIN(E$6,$B$11))/($A151*MIN(E$6,$B$11)))^2)</f>
        <v/>
      </c>
      <c r="J151" s="27">
        <f>IF(OR(B$7="",B$8=0),0,B$8*(B$7-J$16*(1-$A151)*(1-(1-$A151)^MIN(B$6,$B$11))/($A151*MIN(B$6,$B$11)))^2)+IF(OR(C$7="",C$8=0),0,C$8*(C$7-J$16*(1-$A151)*(1-(1-$A151)^MIN(C$6,$B$11))/($A151*MIN(C$6,$B$11)))^2)+IF(OR(D$7="",D$8=0),0,D$8*(D$7-J$16*(1-$A151)*(1-(1-$A151)^MIN(D$6,$B$11))/($A151*MIN(D$6,$B$11)))^2)+IF(OR(E$7="",E$8=0),0,E$8*(E$7-J$16*(1-$A151)*(1-(1-$A151)^MIN(E$6,$B$11))/($A151*MIN(E$6,$B$11)))^2)</f>
        <v/>
      </c>
      <c r="K151" s="27">
        <f>IF(OR(B$7="",B$8=0),0,B$8*(B$7-K$16*(1-$A151)*(1-(1-$A151)^MIN(B$6,$B$11))/($A151*MIN(B$6,$B$11)))^2)+IF(OR(C$7="",C$8=0),0,C$8*(C$7-K$16*(1-$A151)*(1-(1-$A151)^MIN(C$6,$B$11))/($A151*MIN(C$6,$B$11)))^2)+IF(OR(D$7="",D$8=0),0,D$8*(D$7-K$16*(1-$A151)*(1-(1-$A151)^MIN(D$6,$B$11))/($A151*MIN(D$6,$B$11)))^2)+IF(OR(E$7="",E$8=0),0,E$8*(E$7-K$16*(1-$A151)*(1-(1-$A151)^MIN(E$6,$B$11))/($A151*MIN(E$6,$B$11)))^2)</f>
        <v/>
      </c>
      <c r="L151" s="27">
        <f>IF(OR(B$7="",B$8=0),0,B$8*(B$7-L$16*(1-$A151)*(1-(1-$A151)^MIN(B$6,$B$11))/($A151*MIN(B$6,$B$11)))^2)+IF(OR(C$7="",C$8=0),0,C$8*(C$7-L$16*(1-$A151)*(1-(1-$A151)^MIN(C$6,$B$11))/($A151*MIN(C$6,$B$11)))^2)+IF(OR(D$7="",D$8=0),0,D$8*(D$7-L$16*(1-$A151)*(1-(1-$A151)^MIN(D$6,$B$11))/($A151*MIN(D$6,$B$11)))^2)+IF(OR(E$7="",E$8=0),0,E$8*(E$7-L$16*(1-$A151)*(1-(1-$A151)^MIN(E$6,$B$11))/($A151*MIN(E$6,$B$11)))^2)</f>
        <v/>
      </c>
      <c r="M151" s="27">
        <f>IF(OR(B$7="",B$8=0),0,B$8*(B$7-M$16*(1-$A151)*(1-(1-$A151)^MIN(B$6,$B$11))/($A151*MIN(B$6,$B$11)))^2)+IF(OR(C$7="",C$8=0),0,C$8*(C$7-M$16*(1-$A151)*(1-(1-$A151)^MIN(C$6,$B$11))/($A151*MIN(C$6,$B$11)))^2)+IF(OR(D$7="",D$8=0),0,D$8*(D$7-M$16*(1-$A151)*(1-(1-$A151)^MIN(D$6,$B$11))/($A151*MIN(D$6,$B$11)))^2)+IF(OR(E$7="",E$8=0),0,E$8*(E$7-M$16*(1-$A151)*(1-(1-$A151)^MIN(E$6,$B$11))/($A151*MIN(E$6,$B$11)))^2)</f>
        <v/>
      </c>
      <c r="N151" s="27">
        <f>IF(OR(B$7="",B$8=0),0,B$8*(B$7-N$16*(1-$A151)*(1-(1-$A151)^MIN(B$6,$B$11))/($A151*MIN(B$6,$B$11)))^2)+IF(OR(C$7="",C$8=0),0,C$8*(C$7-N$16*(1-$A151)*(1-(1-$A151)^MIN(C$6,$B$11))/($A151*MIN(C$6,$B$11)))^2)+IF(OR(D$7="",D$8=0),0,D$8*(D$7-N$16*(1-$A151)*(1-(1-$A151)^MIN(D$6,$B$11))/($A151*MIN(D$6,$B$11)))^2)+IF(OR(E$7="",E$8=0),0,E$8*(E$7-N$16*(1-$A151)*(1-(1-$A151)^MIN(E$6,$B$11))/($A151*MIN(E$6,$B$11)))^2)</f>
        <v/>
      </c>
      <c r="O151" s="27">
        <f>IF(OR(B$7="",B$8=0),0,B$8*(B$7-O$16*(1-$A151)*(1-(1-$A151)^MIN(B$6,$B$11))/($A151*MIN(B$6,$B$11)))^2)+IF(OR(C$7="",C$8=0),0,C$8*(C$7-O$16*(1-$A151)*(1-(1-$A151)^MIN(C$6,$B$11))/($A151*MIN(C$6,$B$11)))^2)+IF(OR(D$7="",D$8=0),0,D$8*(D$7-O$16*(1-$A151)*(1-(1-$A151)^MIN(D$6,$B$11))/($A151*MIN(D$6,$B$11)))^2)+IF(OR(E$7="",E$8=0),0,E$8*(E$7-O$16*(1-$A151)*(1-(1-$A151)^MIN(E$6,$B$11))/($A151*MIN(E$6,$B$11)))^2)</f>
        <v/>
      </c>
      <c r="P151" s="27">
        <f>IF(OR(B$7="",B$8=0),0,B$8*(B$7-P$16*(1-$A151)*(1-(1-$A151)^MIN(B$6,$B$11))/($A151*MIN(B$6,$B$11)))^2)+IF(OR(C$7="",C$8=0),0,C$8*(C$7-P$16*(1-$A151)*(1-(1-$A151)^MIN(C$6,$B$11))/($A151*MIN(C$6,$B$11)))^2)+IF(OR(D$7="",D$8=0),0,D$8*(D$7-P$16*(1-$A151)*(1-(1-$A151)^MIN(D$6,$B$11))/($A151*MIN(D$6,$B$11)))^2)+IF(OR(E$7="",E$8=0),0,E$8*(E$7-P$16*(1-$A151)*(1-(1-$A151)^MIN(E$6,$B$11))/($A151*MIN(E$6,$B$11)))^2)</f>
        <v/>
      </c>
      <c r="Q151" s="27">
        <f>IF(OR(B$7="",B$8=0),0,B$8*(B$7-Q$16*(1-$A151)*(1-(1-$A151)^MIN(B$6,$B$11))/($A151*MIN(B$6,$B$11)))^2)+IF(OR(C$7="",C$8=0),0,C$8*(C$7-Q$16*(1-$A151)*(1-(1-$A151)^MIN(C$6,$B$11))/($A151*MIN(C$6,$B$11)))^2)+IF(OR(D$7="",D$8=0),0,D$8*(D$7-Q$16*(1-$A151)*(1-(1-$A151)^MIN(D$6,$B$11))/($A151*MIN(D$6,$B$11)))^2)+IF(OR(E$7="",E$8=0),0,E$8*(E$7-Q$16*(1-$A151)*(1-(1-$A151)^MIN(E$6,$B$11))/($A151*MIN(E$6,$B$11)))^2)</f>
        <v/>
      </c>
      <c r="R151" s="27">
        <f>IF(OR(B$7="",B$8=0),0,B$8*(B$7-R$16*(1-$A151)*(1-(1-$A151)^MIN(B$6,$B$11))/($A151*MIN(B$6,$B$11)))^2)+IF(OR(C$7="",C$8=0),0,C$8*(C$7-R$16*(1-$A151)*(1-(1-$A151)^MIN(C$6,$B$11))/($A151*MIN(C$6,$B$11)))^2)+IF(OR(D$7="",D$8=0),0,D$8*(D$7-R$16*(1-$A151)*(1-(1-$A151)^MIN(D$6,$B$11))/($A151*MIN(D$6,$B$11)))^2)+IF(OR(E$7="",E$8=0),0,E$8*(E$7-R$16*(1-$A151)*(1-(1-$A151)^MIN(E$6,$B$11))/($A151*MIN(E$6,$B$11)))^2)</f>
        <v/>
      </c>
      <c r="S151" s="27">
        <f>IF(OR(B$7="",B$8=0),0,B$8*(B$7-S$16*(1-$A151)*(1-(1-$A151)^MIN(B$6,$B$11))/($A151*MIN(B$6,$B$11)))^2)+IF(OR(C$7="",C$8=0),0,C$8*(C$7-S$16*(1-$A151)*(1-(1-$A151)^MIN(C$6,$B$11))/($A151*MIN(C$6,$B$11)))^2)+IF(OR(D$7="",D$8=0),0,D$8*(D$7-S$16*(1-$A151)*(1-(1-$A151)^MIN(D$6,$B$11))/($A151*MIN(D$6,$B$11)))^2)+IF(OR(E$7="",E$8=0),0,E$8*(E$7-S$16*(1-$A151)*(1-(1-$A151)^MIN(E$6,$B$11))/($A151*MIN(E$6,$B$11)))^2)</f>
        <v/>
      </c>
      <c r="U151" s="27">
        <f>MIN(B151:S151)</f>
        <v/>
      </c>
      <c r="V151" s="17">
        <f>MATCH(U151,B151:S151,0)</f>
        <v/>
      </c>
    </row>
    <row r="152">
      <c r="A152" s="26" t="n">
        <v>0.0725</v>
      </c>
      <c r="B152" s="27">
        <f>IF(OR(B$7="",B$8=0),0,B$8*(B$7-B$16*(1-$A152)*(1-(1-$A152)^MIN(B$6,$B$11))/($A152*MIN(B$6,$B$11)))^2)+IF(OR(C$7="",C$8=0),0,C$8*(C$7-B$16*(1-$A152)*(1-(1-$A152)^MIN(C$6,$B$11))/($A152*MIN(C$6,$B$11)))^2)+IF(OR(D$7="",D$8=0),0,D$8*(D$7-B$16*(1-$A152)*(1-(1-$A152)^MIN(D$6,$B$11))/($A152*MIN(D$6,$B$11)))^2)+IF(OR(E$7="",E$8=0),0,E$8*(E$7-B$16*(1-$A152)*(1-(1-$A152)^MIN(E$6,$B$11))/($A152*MIN(E$6,$B$11)))^2)</f>
        <v/>
      </c>
      <c r="C152" s="27">
        <f>IF(OR(B$7="",B$8=0),0,B$8*(B$7-C$16*(1-$A152)*(1-(1-$A152)^MIN(B$6,$B$11))/($A152*MIN(B$6,$B$11)))^2)+IF(OR(C$7="",C$8=0),0,C$8*(C$7-C$16*(1-$A152)*(1-(1-$A152)^MIN(C$6,$B$11))/($A152*MIN(C$6,$B$11)))^2)+IF(OR(D$7="",D$8=0),0,D$8*(D$7-C$16*(1-$A152)*(1-(1-$A152)^MIN(D$6,$B$11))/($A152*MIN(D$6,$B$11)))^2)+IF(OR(E$7="",E$8=0),0,E$8*(E$7-C$16*(1-$A152)*(1-(1-$A152)^MIN(E$6,$B$11))/($A152*MIN(E$6,$B$11)))^2)</f>
        <v/>
      </c>
      <c r="D152" s="27">
        <f>IF(OR(B$7="",B$8=0),0,B$8*(B$7-D$16*(1-$A152)*(1-(1-$A152)^MIN(B$6,$B$11))/($A152*MIN(B$6,$B$11)))^2)+IF(OR(C$7="",C$8=0),0,C$8*(C$7-D$16*(1-$A152)*(1-(1-$A152)^MIN(C$6,$B$11))/($A152*MIN(C$6,$B$11)))^2)+IF(OR(D$7="",D$8=0),0,D$8*(D$7-D$16*(1-$A152)*(1-(1-$A152)^MIN(D$6,$B$11))/($A152*MIN(D$6,$B$11)))^2)+IF(OR(E$7="",E$8=0),0,E$8*(E$7-D$16*(1-$A152)*(1-(1-$A152)^MIN(E$6,$B$11))/($A152*MIN(E$6,$B$11)))^2)</f>
        <v/>
      </c>
      <c r="E152" s="27">
        <f>IF(OR(B$7="",B$8=0),0,B$8*(B$7-E$16*(1-$A152)*(1-(1-$A152)^MIN(B$6,$B$11))/($A152*MIN(B$6,$B$11)))^2)+IF(OR(C$7="",C$8=0),0,C$8*(C$7-E$16*(1-$A152)*(1-(1-$A152)^MIN(C$6,$B$11))/($A152*MIN(C$6,$B$11)))^2)+IF(OR(D$7="",D$8=0),0,D$8*(D$7-E$16*(1-$A152)*(1-(1-$A152)^MIN(D$6,$B$11))/($A152*MIN(D$6,$B$11)))^2)+IF(OR(E$7="",E$8=0),0,E$8*(E$7-E$16*(1-$A152)*(1-(1-$A152)^MIN(E$6,$B$11))/($A152*MIN(E$6,$B$11)))^2)</f>
        <v/>
      </c>
      <c r="F152" s="27">
        <f>IF(OR(B$7="",B$8=0),0,B$8*(B$7-F$16*(1-$A152)*(1-(1-$A152)^MIN(B$6,$B$11))/($A152*MIN(B$6,$B$11)))^2)+IF(OR(C$7="",C$8=0),0,C$8*(C$7-F$16*(1-$A152)*(1-(1-$A152)^MIN(C$6,$B$11))/($A152*MIN(C$6,$B$11)))^2)+IF(OR(D$7="",D$8=0),0,D$8*(D$7-F$16*(1-$A152)*(1-(1-$A152)^MIN(D$6,$B$11))/($A152*MIN(D$6,$B$11)))^2)+IF(OR(E$7="",E$8=0),0,E$8*(E$7-F$16*(1-$A152)*(1-(1-$A152)^MIN(E$6,$B$11))/($A152*MIN(E$6,$B$11)))^2)</f>
        <v/>
      </c>
      <c r="G152" s="27">
        <f>IF(OR(B$7="",B$8=0),0,B$8*(B$7-G$16*(1-$A152)*(1-(1-$A152)^MIN(B$6,$B$11))/($A152*MIN(B$6,$B$11)))^2)+IF(OR(C$7="",C$8=0),0,C$8*(C$7-G$16*(1-$A152)*(1-(1-$A152)^MIN(C$6,$B$11))/($A152*MIN(C$6,$B$11)))^2)+IF(OR(D$7="",D$8=0),0,D$8*(D$7-G$16*(1-$A152)*(1-(1-$A152)^MIN(D$6,$B$11))/($A152*MIN(D$6,$B$11)))^2)+IF(OR(E$7="",E$8=0),0,E$8*(E$7-G$16*(1-$A152)*(1-(1-$A152)^MIN(E$6,$B$11))/($A152*MIN(E$6,$B$11)))^2)</f>
        <v/>
      </c>
      <c r="H152" s="27">
        <f>IF(OR(B$7="",B$8=0),0,B$8*(B$7-H$16*(1-$A152)*(1-(1-$A152)^MIN(B$6,$B$11))/($A152*MIN(B$6,$B$11)))^2)+IF(OR(C$7="",C$8=0),0,C$8*(C$7-H$16*(1-$A152)*(1-(1-$A152)^MIN(C$6,$B$11))/($A152*MIN(C$6,$B$11)))^2)+IF(OR(D$7="",D$8=0),0,D$8*(D$7-H$16*(1-$A152)*(1-(1-$A152)^MIN(D$6,$B$11))/($A152*MIN(D$6,$B$11)))^2)+IF(OR(E$7="",E$8=0),0,E$8*(E$7-H$16*(1-$A152)*(1-(1-$A152)^MIN(E$6,$B$11))/($A152*MIN(E$6,$B$11)))^2)</f>
        <v/>
      </c>
      <c r="I152" s="27">
        <f>IF(OR(B$7="",B$8=0),0,B$8*(B$7-I$16*(1-$A152)*(1-(1-$A152)^MIN(B$6,$B$11))/($A152*MIN(B$6,$B$11)))^2)+IF(OR(C$7="",C$8=0),0,C$8*(C$7-I$16*(1-$A152)*(1-(1-$A152)^MIN(C$6,$B$11))/($A152*MIN(C$6,$B$11)))^2)+IF(OR(D$7="",D$8=0),0,D$8*(D$7-I$16*(1-$A152)*(1-(1-$A152)^MIN(D$6,$B$11))/($A152*MIN(D$6,$B$11)))^2)+IF(OR(E$7="",E$8=0),0,E$8*(E$7-I$16*(1-$A152)*(1-(1-$A152)^MIN(E$6,$B$11))/($A152*MIN(E$6,$B$11)))^2)</f>
        <v/>
      </c>
      <c r="J152" s="27">
        <f>IF(OR(B$7="",B$8=0),0,B$8*(B$7-J$16*(1-$A152)*(1-(1-$A152)^MIN(B$6,$B$11))/($A152*MIN(B$6,$B$11)))^2)+IF(OR(C$7="",C$8=0),0,C$8*(C$7-J$16*(1-$A152)*(1-(1-$A152)^MIN(C$6,$B$11))/($A152*MIN(C$6,$B$11)))^2)+IF(OR(D$7="",D$8=0),0,D$8*(D$7-J$16*(1-$A152)*(1-(1-$A152)^MIN(D$6,$B$11))/($A152*MIN(D$6,$B$11)))^2)+IF(OR(E$7="",E$8=0),0,E$8*(E$7-J$16*(1-$A152)*(1-(1-$A152)^MIN(E$6,$B$11))/($A152*MIN(E$6,$B$11)))^2)</f>
        <v/>
      </c>
      <c r="K152" s="27">
        <f>IF(OR(B$7="",B$8=0),0,B$8*(B$7-K$16*(1-$A152)*(1-(1-$A152)^MIN(B$6,$B$11))/($A152*MIN(B$6,$B$11)))^2)+IF(OR(C$7="",C$8=0),0,C$8*(C$7-K$16*(1-$A152)*(1-(1-$A152)^MIN(C$6,$B$11))/($A152*MIN(C$6,$B$11)))^2)+IF(OR(D$7="",D$8=0),0,D$8*(D$7-K$16*(1-$A152)*(1-(1-$A152)^MIN(D$6,$B$11))/($A152*MIN(D$6,$B$11)))^2)+IF(OR(E$7="",E$8=0),0,E$8*(E$7-K$16*(1-$A152)*(1-(1-$A152)^MIN(E$6,$B$11))/($A152*MIN(E$6,$B$11)))^2)</f>
        <v/>
      </c>
      <c r="L152" s="27">
        <f>IF(OR(B$7="",B$8=0),0,B$8*(B$7-L$16*(1-$A152)*(1-(1-$A152)^MIN(B$6,$B$11))/($A152*MIN(B$6,$B$11)))^2)+IF(OR(C$7="",C$8=0),0,C$8*(C$7-L$16*(1-$A152)*(1-(1-$A152)^MIN(C$6,$B$11))/($A152*MIN(C$6,$B$11)))^2)+IF(OR(D$7="",D$8=0),0,D$8*(D$7-L$16*(1-$A152)*(1-(1-$A152)^MIN(D$6,$B$11))/($A152*MIN(D$6,$B$11)))^2)+IF(OR(E$7="",E$8=0),0,E$8*(E$7-L$16*(1-$A152)*(1-(1-$A152)^MIN(E$6,$B$11))/($A152*MIN(E$6,$B$11)))^2)</f>
        <v/>
      </c>
      <c r="M152" s="27">
        <f>IF(OR(B$7="",B$8=0),0,B$8*(B$7-M$16*(1-$A152)*(1-(1-$A152)^MIN(B$6,$B$11))/($A152*MIN(B$6,$B$11)))^2)+IF(OR(C$7="",C$8=0),0,C$8*(C$7-M$16*(1-$A152)*(1-(1-$A152)^MIN(C$6,$B$11))/($A152*MIN(C$6,$B$11)))^2)+IF(OR(D$7="",D$8=0),0,D$8*(D$7-M$16*(1-$A152)*(1-(1-$A152)^MIN(D$6,$B$11))/($A152*MIN(D$6,$B$11)))^2)+IF(OR(E$7="",E$8=0),0,E$8*(E$7-M$16*(1-$A152)*(1-(1-$A152)^MIN(E$6,$B$11))/($A152*MIN(E$6,$B$11)))^2)</f>
        <v/>
      </c>
      <c r="N152" s="27">
        <f>IF(OR(B$7="",B$8=0),0,B$8*(B$7-N$16*(1-$A152)*(1-(1-$A152)^MIN(B$6,$B$11))/($A152*MIN(B$6,$B$11)))^2)+IF(OR(C$7="",C$8=0),0,C$8*(C$7-N$16*(1-$A152)*(1-(1-$A152)^MIN(C$6,$B$11))/($A152*MIN(C$6,$B$11)))^2)+IF(OR(D$7="",D$8=0),0,D$8*(D$7-N$16*(1-$A152)*(1-(1-$A152)^MIN(D$6,$B$11))/($A152*MIN(D$6,$B$11)))^2)+IF(OR(E$7="",E$8=0),0,E$8*(E$7-N$16*(1-$A152)*(1-(1-$A152)^MIN(E$6,$B$11))/($A152*MIN(E$6,$B$11)))^2)</f>
        <v/>
      </c>
      <c r="O152" s="27">
        <f>IF(OR(B$7="",B$8=0),0,B$8*(B$7-O$16*(1-$A152)*(1-(1-$A152)^MIN(B$6,$B$11))/($A152*MIN(B$6,$B$11)))^2)+IF(OR(C$7="",C$8=0),0,C$8*(C$7-O$16*(1-$A152)*(1-(1-$A152)^MIN(C$6,$B$11))/($A152*MIN(C$6,$B$11)))^2)+IF(OR(D$7="",D$8=0),0,D$8*(D$7-O$16*(1-$A152)*(1-(1-$A152)^MIN(D$6,$B$11))/($A152*MIN(D$6,$B$11)))^2)+IF(OR(E$7="",E$8=0),0,E$8*(E$7-O$16*(1-$A152)*(1-(1-$A152)^MIN(E$6,$B$11))/($A152*MIN(E$6,$B$11)))^2)</f>
        <v/>
      </c>
      <c r="P152" s="27">
        <f>IF(OR(B$7="",B$8=0),0,B$8*(B$7-P$16*(1-$A152)*(1-(1-$A152)^MIN(B$6,$B$11))/($A152*MIN(B$6,$B$11)))^2)+IF(OR(C$7="",C$8=0),0,C$8*(C$7-P$16*(1-$A152)*(1-(1-$A152)^MIN(C$6,$B$11))/($A152*MIN(C$6,$B$11)))^2)+IF(OR(D$7="",D$8=0),0,D$8*(D$7-P$16*(1-$A152)*(1-(1-$A152)^MIN(D$6,$B$11))/($A152*MIN(D$6,$B$11)))^2)+IF(OR(E$7="",E$8=0),0,E$8*(E$7-P$16*(1-$A152)*(1-(1-$A152)^MIN(E$6,$B$11))/($A152*MIN(E$6,$B$11)))^2)</f>
        <v/>
      </c>
      <c r="Q152" s="27">
        <f>IF(OR(B$7="",B$8=0),0,B$8*(B$7-Q$16*(1-$A152)*(1-(1-$A152)^MIN(B$6,$B$11))/($A152*MIN(B$6,$B$11)))^2)+IF(OR(C$7="",C$8=0),0,C$8*(C$7-Q$16*(1-$A152)*(1-(1-$A152)^MIN(C$6,$B$11))/($A152*MIN(C$6,$B$11)))^2)+IF(OR(D$7="",D$8=0),0,D$8*(D$7-Q$16*(1-$A152)*(1-(1-$A152)^MIN(D$6,$B$11))/($A152*MIN(D$6,$B$11)))^2)+IF(OR(E$7="",E$8=0),0,E$8*(E$7-Q$16*(1-$A152)*(1-(1-$A152)^MIN(E$6,$B$11))/($A152*MIN(E$6,$B$11)))^2)</f>
        <v/>
      </c>
      <c r="R152" s="27">
        <f>IF(OR(B$7="",B$8=0),0,B$8*(B$7-R$16*(1-$A152)*(1-(1-$A152)^MIN(B$6,$B$11))/($A152*MIN(B$6,$B$11)))^2)+IF(OR(C$7="",C$8=0),0,C$8*(C$7-R$16*(1-$A152)*(1-(1-$A152)^MIN(C$6,$B$11))/($A152*MIN(C$6,$B$11)))^2)+IF(OR(D$7="",D$8=0),0,D$8*(D$7-R$16*(1-$A152)*(1-(1-$A152)^MIN(D$6,$B$11))/($A152*MIN(D$6,$B$11)))^2)+IF(OR(E$7="",E$8=0),0,E$8*(E$7-R$16*(1-$A152)*(1-(1-$A152)^MIN(E$6,$B$11))/($A152*MIN(E$6,$B$11)))^2)</f>
        <v/>
      </c>
      <c r="S152" s="27">
        <f>IF(OR(B$7="",B$8=0),0,B$8*(B$7-S$16*(1-$A152)*(1-(1-$A152)^MIN(B$6,$B$11))/($A152*MIN(B$6,$B$11)))^2)+IF(OR(C$7="",C$8=0),0,C$8*(C$7-S$16*(1-$A152)*(1-(1-$A152)^MIN(C$6,$B$11))/($A152*MIN(C$6,$B$11)))^2)+IF(OR(D$7="",D$8=0),0,D$8*(D$7-S$16*(1-$A152)*(1-(1-$A152)^MIN(D$6,$B$11))/($A152*MIN(D$6,$B$11)))^2)+IF(OR(E$7="",E$8=0),0,E$8*(E$7-S$16*(1-$A152)*(1-(1-$A152)^MIN(E$6,$B$11))/($A152*MIN(E$6,$B$11)))^2)</f>
        <v/>
      </c>
      <c r="U152" s="27">
        <f>MIN(B152:S152)</f>
        <v/>
      </c>
      <c r="V152" s="17">
        <f>MATCH(U152,B152:S152,0)</f>
        <v/>
      </c>
    </row>
    <row r="153">
      <c r="A153" s="26" t="n">
        <v>0.073</v>
      </c>
      <c r="B153" s="27">
        <f>IF(OR(B$7="",B$8=0),0,B$8*(B$7-B$16*(1-$A153)*(1-(1-$A153)^MIN(B$6,$B$11))/($A153*MIN(B$6,$B$11)))^2)+IF(OR(C$7="",C$8=0),0,C$8*(C$7-B$16*(1-$A153)*(1-(1-$A153)^MIN(C$6,$B$11))/($A153*MIN(C$6,$B$11)))^2)+IF(OR(D$7="",D$8=0),0,D$8*(D$7-B$16*(1-$A153)*(1-(1-$A153)^MIN(D$6,$B$11))/($A153*MIN(D$6,$B$11)))^2)+IF(OR(E$7="",E$8=0),0,E$8*(E$7-B$16*(1-$A153)*(1-(1-$A153)^MIN(E$6,$B$11))/($A153*MIN(E$6,$B$11)))^2)</f>
        <v/>
      </c>
      <c r="C153" s="27">
        <f>IF(OR(B$7="",B$8=0),0,B$8*(B$7-C$16*(1-$A153)*(1-(1-$A153)^MIN(B$6,$B$11))/($A153*MIN(B$6,$B$11)))^2)+IF(OR(C$7="",C$8=0),0,C$8*(C$7-C$16*(1-$A153)*(1-(1-$A153)^MIN(C$6,$B$11))/($A153*MIN(C$6,$B$11)))^2)+IF(OR(D$7="",D$8=0),0,D$8*(D$7-C$16*(1-$A153)*(1-(1-$A153)^MIN(D$6,$B$11))/($A153*MIN(D$6,$B$11)))^2)+IF(OR(E$7="",E$8=0),0,E$8*(E$7-C$16*(1-$A153)*(1-(1-$A153)^MIN(E$6,$B$11))/($A153*MIN(E$6,$B$11)))^2)</f>
        <v/>
      </c>
      <c r="D153" s="27">
        <f>IF(OR(B$7="",B$8=0),0,B$8*(B$7-D$16*(1-$A153)*(1-(1-$A153)^MIN(B$6,$B$11))/($A153*MIN(B$6,$B$11)))^2)+IF(OR(C$7="",C$8=0),0,C$8*(C$7-D$16*(1-$A153)*(1-(1-$A153)^MIN(C$6,$B$11))/($A153*MIN(C$6,$B$11)))^2)+IF(OR(D$7="",D$8=0),0,D$8*(D$7-D$16*(1-$A153)*(1-(1-$A153)^MIN(D$6,$B$11))/($A153*MIN(D$6,$B$11)))^2)+IF(OR(E$7="",E$8=0),0,E$8*(E$7-D$16*(1-$A153)*(1-(1-$A153)^MIN(E$6,$B$11))/($A153*MIN(E$6,$B$11)))^2)</f>
        <v/>
      </c>
      <c r="E153" s="27">
        <f>IF(OR(B$7="",B$8=0),0,B$8*(B$7-E$16*(1-$A153)*(1-(1-$A153)^MIN(B$6,$B$11))/($A153*MIN(B$6,$B$11)))^2)+IF(OR(C$7="",C$8=0),0,C$8*(C$7-E$16*(1-$A153)*(1-(1-$A153)^MIN(C$6,$B$11))/($A153*MIN(C$6,$B$11)))^2)+IF(OR(D$7="",D$8=0),0,D$8*(D$7-E$16*(1-$A153)*(1-(1-$A153)^MIN(D$6,$B$11))/($A153*MIN(D$6,$B$11)))^2)+IF(OR(E$7="",E$8=0),0,E$8*(E$7-E$16*(1-$A153)*(1-(1-$A153)^MIN(E$6,$B$11))/($A153*MIN(E$6,$B$11)))^2)</f>
        <v/>
      </c>
      <c r="F153" s="27">
        <f>IF(OR(B$7="",B$8=0),0,B$8*(B$7-F$16*(1-$A153)*(1-(1-$A153)^MIN(B$6,$B$11))/($A153*MIN(B$6,$B$11)))^2)+IF(OR(C$7="",C$8=0),0,C$8*(C$7-F$16*(1-$A153)*(1-(1-$A153)^MIN(C$6,$B$11))/($A153*MIN(C$6,$B$11)))^2)+IF(OR(D$7="",D$8=0),0,D$8*(D$7-F$16*(1-$A153)*(1-(1-$A153)^MIN(D$6,$B$11))/($A153*MIN(D$6,$B$11)))^2)+IF(OR(E$7="",E$8=0),0,E$8*(E$7-F$16*(1-$A153)*(1-(1-$A153)^MIN(E$6,$B$11))/($A153*MIN(E$6,$B$11)))^2)</f>
        <v/>
      </c>
      <c r="G153" s="27">
        <f>IF(OR(B$7="",B$8=0),0,B$8*(B$7-G$16*(1-$A153)*(1-(1-$A153)^MIN(B$6,$B$11))/($A153*MIN(B$6,$B$11)))^2)+IF(OR(C$7="",C$8=0),0,C$8*(C$7-G$16*(1-$A153)*(1-(1-$A153)^MIN(C$6,$B$11))/($A153*MIN(C$6,$B$11)))^2)+IF(OR(D$7="",D$8=0),0,D$8*(D$7-G$16*(1-$A153)*(1-(1-$A153)^MIN(D$6,$B$11))/($A153*MIN(D$6,$B$11)))^2)+IF(OR(E$7="",E$8=0),0,E$8*(E$7-G$16*(1-$A153)*(1-(1-$A153)^MIN(E$6,$B$11))/($A153*MIN(E$6,$B$11)))^2)</f>
        <v/>
      </c>
      <c r="H153" s="27">
        <f>IF(OR(B$7="",B$8=0),0,B$8*(B$7-H$16*(1-$A153)*(1-(1-$A153)^MIN(B$6,$B$11))/($A153*MIN(B$6,$B$11)))^2)+IF(OR(C$7="",C$8=0),0,C$8*(C$7-H$16*(1-$A153)*(1-(1-$A153)^MIN(C$6,$B$11))/($A153*MIN(C$6,$B$11)))^2)+IF(OR(D$7="",D$8=0),0,D$8*(D$7-H$16*(1-$A153)*(1-(1-$A153)^MIN(D$6,$B$11))/($A153*MIN(D$6,$B$11)))^2)+IF(OR(E$7="",E$8=0),0,E$8*(E$7-H$16*(1-$A153)*(1-(1-$A153)^MIN(E$6,$B$11))/($A153*MIN(E$6,$B$11)))^2)</f>
        <v/>
      </c>
      <c r="I153" s="27">
        <f>IF(OR(B$7="",B$8=0),0,B$8*(B$7-I$16*(1-$A153)*(1-(1-$A153)^MIN(B$6,$B$11))/($A153*MIN(B$6,$B$11)))^2)+IF(OR(C$7="",C$8=0),0,C$8*(C$7-I$16*(1-$A153)*(1-(1-$A153)^MIN(C$6,$B$11))/($A153*MIN(C$6,$B$11)))^2)+IF(OR(D$7="",D$8=0),0,D$8*(D$7-I$16*(1-$A153)*(1-(1-$A153)^MIN(D$6,$B$11))/($A153*MIN(D$6,$B$11)))^2)+IF(OR(E$7="",E$8=0),0,E$8*(E$7-I$16*(1-$A153)*(1-(1-$A153)^MIN(E$6,$B$11))/($A153*MIN(E$6,$B$11)))^2)</f>
        <v/>
      </c>
      <c r="J153" s="27">
        <f>IF(OR(B$7="",B$8=0),0,B$8*(B$7-J$16*(1-$A153)*(1-(1-$A153)^MIN(B$6,$B$11))/($A153*MIN(B$6,$B$11)))^2)+IF(OR(C$7="",C$8=0),0,C$8*(C$7-J$16*(1-$A153)*(1-(1-$A153)^MIN(C$6,$B$11))/($A153*MIN(C$6,$B$11)))^2)+IF(OR(D$7="",D$8=0),0,D$8*(D$7-J$16*(1-$A153)*(1-(1-$A153)^MIN(D$6,$B$11))/($A153*MIN(D$6,$B$11)))^2)+IF(OR(E$7="",E$8=0),0,E$8*(E$7-J$16*(1-$A153)*(1-(1-$A153)^MIN(E$6,$B$11))/($A153*MIN(E$6,$B$11)))^2)</f>
        <v/>
      </c>
      <c r="K153" s="27">
        <f>IF(OR(B$7="",B$8=0),0,B$8*(B$7-K$16*(1-$A153)*(1-(1-$A153)^MIN(B$6,$B$11))/($A153*MIN(B$6,$B$11)))^2)+IF(OR(C$7="",C$8=0),0,C$8*(C$7-K$16*(1-$A153)*(1-(1-$A153)^MIN(C$6,$B$11))/($A153*MIN(C$6,$B$11)))^2)+IF(OR(D$7="",D$8=0),0,D$8*(D$7-K$16*(1-$A153)*(1-(1-$A153)^MIN(D$6,$B$11))/($A153*MIN(D$6,$B$11)))^2)+IF(OR(E$7="",E$8=0),0,E$8*(E$7-K$16*(1-$A153)*(1-(1-$A153)^MIN(E$6,$B$11))/($A153*MIN(E$6,$B$11)))^2)</f>
        <v/>
      </c>
      <c r="L153" s="27">
        <f>IF(OR(B$7="",B$8=0),0,B$8*(B$7-L$16*(1-$A153)*(1-(1-$A153)^MIN(B$6,$B$11))/($A153*MIN(B$6,$B$11)))^2)+IF(OR(C$7="",C$8=0),0,C$8*(C$7-L$16*(1-$A153)*(1-(1-$A153)^MIN(C$6,$B$11))/($A153*MIN(C$6,$B$11)))^2)+IF(OR(D$7="",D$8=0),0,D$8*(D$7-L$16*(1-$A153)*(1-(1-$A153)^MIN(D$6,$B$11))/($A153*MIN(D$6,$B$11)))^2)+IF(OR(E$7="",E$8=0),0,E$8*(E$7-L$16*(1-$A153)*(1-(1-$A153)^MIN(E$6,$B$11))/($A153*MIN(E$6,$B$11)))^2)</f>
        <v/>
      </c>
      <c r="M153" s="27">
        <f>IF(OR(B$7="",B$8=0),0,B$8*(B$7-M$16*(1-$A153)*(1-(1-$A153)^MIN(B$6,$B$11))/($A153*MIN(B$6,$B$11)))^2)+IF(OR(C$7="",C$8=0),0,C$8*(C$7-M$16*(1-$A153)*(1-(1-$A153)^MIN(C$6,$B$11))/($A153*MIN(C$6,$B$11)))^2)+IF(OR(D$7="",D$8=0),0,D$8*(D$7-M$16*(1-$A153)*(1-(1-$A153)^MIN(D$6,$B$11))/($A153*MIN(D$6,$B$11)))^2)+IF(OR(E$7="",E$8=0),0,E$8*(E$7-M$16*(1-$A153)*(1-(1-$A153)^MIN(E$6,$B$11))/($A153*MIN(E$6,$B$11)))^2)</f>
        <v/>
      </c>
      <c r="N153" s="27">
        <f>IF(OR(B$7="",B$8=0),0,B$8*(B$7-N$16*(1-$A153)*(1-(1-$A153)^MIN(B$6,$B$11))/($A153*MIN(B$6,$B$11)))^2)+IF(OR(C$7="",C$8=0),0,C$8*(C$7-N$16*(1-$A153)*(1-(1-$A153)^MIN(C$6,$B$11))/($A153*MIN(C$6,$B$11)))^2)+IF(OR(D$7="",D$8=0),0,D$8*(D$7-N$16*(1-$A153)*(1-(1-$A153)^MIN(D$6,$B$11))/($A153*MIN(D$6,$B$11)))^2)+IF(OR(E$7="",E$8=0),0,E$8*(E$7-N$16*(1-$A153)*(1-(1-$A153)^MIN(E$6,$B$11))/($A153*MIN(E$6,$B$11)))^2)</f>
        <v/>
      </c>
      <c r="O153" s="27">
        <f>IF(OR(B$7="",B$8=0),0,B$8*(B$7-O$16*(1-$A153)*(1-(1-$A153)^MIN(B$6,$B$11))/($A153*MIN(B$6,$B$11)))^2)+IF(OR(C$7="",C$8=0),0,C$8*(C$7-O$16*(1-$A153)*(1-(1-$A153)^MIN(C$6,$B$11))/($A153*MIN(C$6,$B$11)))^2)+IF(OR(D$7="",D$8=0),0,D$8*(D$7-O$16*(1-$A153)*(1-(1-$A153)^MIN(D$6,$B$11))/($A153*MIN(D$6,$B$11)))^2)+IF(OR(E$7="",E$8=0),0,E$8*(E$7-O$16*(1-$A153)*(1-(1-$A153)^MIN(E$6,$B$11))/($A153*MIN(E$6,$B$11)))^2)</f>
        <v/>
      </c>
      <c r="P153" s="27">
        <f>IF(OR(B$7="",B$8=0),0,B$8*(B$7-P$16*(1-$A153)*(1-(1-$A153)^MIN(B$6,$B$11))/($A153*MIN(B$6,$B$11)))^2)+IF(OR(C$7="",C$8=0),0,C$8*(C$7-P$16*(1-$A153)*(1-(1-$A153)^MIN(C$6,$B$11))/($A153*MIN(C$6,$B$11)))^2)+IF(OR(D$7="",D$8=0),0,D$8*(D$7-P$16*(1-$A153)*(1-(1-$A153)^MIN(D$6,$B$11))/($A153*MIN(D$6,$B$11)))^2)+IF(OR(E$7="",E$8=0),0,E$8*(E$7-P$16*(1-$A153)*(1-(1-$A153)^MIN(E$6,$B$11))/($A153*MIN(E$6,$B$11)))^2)</f>
        <v/>
      </c>
      <c r="Q153" s="27">
        <f>IF(OR(B$7="",B$8=0),0,B$8*(B$7-Q$16*(1-$A153)*(1-(1-$A153)^MIN(B$6,$B$11))/($A153*MIN(B$6,$B$11)))^2)+IF(OR(C$7="",C$8=0),0,C$8*(C$7-Q$16*(1-$A153)*(1-(1-$A153)^MIN(C$6,$B$11))/($A153*MIN(C$6,$B$11)))^2)+IF(OR(D$7="",D$8=0),0,D$8*(D$7-Q$16*(1-$A153)*(1-(1-$A153)^MIN(D$6,$B$11))/($A153*MIN(D$6,$B$11)))^2)+IF(OR(E$7="",E$8=0),0,E$8*(E$7-Q$16*(1-$A153)*(1-(1-$A153)^MIN(E$6,$B$11))/($A153*MIN(E$6,$B$11)))^2)</f>
        <v/>
      </c>
      <c r="R153" s="27">
        <f>IF(OR(B$7="",B$8=0),0,B$8*(B$7-R$16*(1-$A153)*(1-(1-$A153)^MIN(B$6,$B$11))/($A153*MIN(B$6,$B$11)))^2)+IF(OR(C$7="",C$8=0),0,C$8*(C$7-R$16*(1-$A153)*(1-(1-$A153)^MIN(C$6,$B$11))/($A153*MIN(C$6,$B$11)))^2)+IF(OR(D$7="",D$8=0),0,D$8*(D$7-R$16*(1-$A153)*(1-(1-$A153)^MIN(D$6,$B$11))/($A153*MIN(D$6,$B$11)))^2)+IF(OR(E$7="",E$8=0),0,E$8*(E$7-R$16*(1-$A153)*(1-(1-$A153)^MIN(E$6,$B$11))/($A153*MIN(E$6,$B$11)))^2)</f>
        <v/>
      </c>
      <c r="S153" s="27">
        <f>IF(OR(B$7="",B$8=0),0,B$8*(B$7-S$16*(1-$A153)*(1-(1-$A153)^MIN(B$6,$B$11))/($A153*MIN(B$6,$B$11)))^2)+IF(OR(C$7="",C$8=0),0,C$8*(C$7-S$16*(1-$A153)*(1-(1-$A153)^MIN(C$6,$B$11))/($A153*MIN(C$6,$B$11)))^2)+IF(OR(D$7="",D$8=0),0,D$8*(D$7-S$16*(1-$A153)*(1-(1-$A153)^MIN(D$6,$B$11))/($A153*MIN(D$6,$B$11)))^2)+IF(OR(E$7="",E$8=0),0,E$8*(E$7-S$16*(1-$A153)*(1-(1-$A153)^MIN(E$6,$B$11))/($A153*MIN(E$6,$B$11)))^2)</f>
        <v/>
      </c>
      <c r="U153" s="27">
        <f>MIN(B153:S153)</f>
        <v/>
      </c>
      <c r="V153" s="17">
        <f>MATCH(U153,B153:S153,0)</f>
        <v/>
      </c>
    </row>
    <row r="154">
      <c r="A154" s="26" t="n">
        <v>0.0735</v>
      </c>
      <c r="B154" s="27">
        <f>IF(OR(B$7="",B$8=0),0,B$8*(B$7-B$16*(1-$A154)*(1-(1-$A154)^MIN(B$6,$B$11))/($A154*MIN(B$6,$B$11)))^2)+IF(OR(C$7="",C$8=0),0,C$8*(C$7-B$16*(1-$A154)*(1-(1-$A154)^MIN(C$6,$B$11))/($A154*MIN(C$6,$B$11)))^2)+IF(OR(D$7="",D$8=0),0,D$8*(D$7-B$16*(1-$A154)*(1-(1-$A154)^MIN(D$6,$B$11))/($A154*MIN(D$6,$B$11)))^2)+IF(OR(E$7="",E$8=0),0,E$8*(E$7-B$16*(1-$A154)*(1-(1-$A154)^MIN(E$6,$B$11))/($A154*MIN(E$6,$B$11)))^2)</f>
        <v/>
      </c>
      <c r="C154" s="27">
        <f>IF(OR(B$7="",B$8=0),0,B$8*(B$7-C$16*(1-$A154)*(1-(1-$A154)^MIN(B$6,$B$11))/($A154*MIN(B$6,$B$11)))^2)+IF(OR(C$7="",C$8=0),0,C$8*(C$7-C$16*(1-$A154)*(1-(1-$A154)^MIN(C$6,$B$11))/($A154*MIN(C$6,$B$11)))^2)+IF(OR(D$7="",D$8=0),0,D$8*(D$7-C$16*(1-$A154)*(1-(1-$A154)^MIN(D$6,$B$11))/($A154*MIN(D$6,$B$11)))^2)+IF(OR(E$7="",E$8=0),0,E$8*(E$7-C$16*(1-$A154)*(1-(1-$A154)^MIN(E$6,$B$11))/($A154*MIN(E$6,$B$11)))^2)</f>
        <v/>
      </c>
      <c r="D154" s="27">
        <f>IF(OR(B$7="",B$8=0),0,B$8*(B$7-D$16*(1-$A154)*(1-(1-$A154)^MIN(B$6,$B$11))/($A154*MIN(B$6,$B$11)))^2)+IF(OR(C$7="",C$8=0),0,C$8*(C$7-D$16*(1-$A154)*(1-(1-$A154)^MIN(C$6,$B$11))/($A154*MIN(C$6,$B$11)))^2)+IF(OR(D$7="",D$8=0),0,D$8*(D$7-D$16*(1-$A154)*(1-(1-$A154)^MIN(D$6,$B$11))/($A154*MIN(D$6,$B$11)))^2)+IF(OR(E$7="",E$8=0),0,E$8*(E$7-D$16*(1-$A154)*(1-(1-$A154)^MIN(E$6,$B$11))/($A154*MIN(E$6,$B$11)))^2)</f>
        <v/>
      </c>
      <c r="E154" s="27">
        <f>IF(OR(B$7="",B$8=0),0,B$8*(B$7-E$16*(1-$A154)*(1-(1-$A154)^MIN(B$6,$B$11))/($A154*MIN(B$6,$B$11)))^2)+IF(OR(C$7="",C$8=0),0,C$8*(C$7-E$16*(1-$A154)*(1-(1-$A154)^MIN(C$6,$B$11))/($A154*MIN(C$6,$B$11)))^2)+IF(OR(D$7="",D$8=0),0,D$8*(D$7-E$16*(1-$A154)*(1-(1-$A154)^MIN(D$6,$B$11))/($A154*MIN(D$6,$B$11)))^2)+IF(OR(E$7="",E$8=0),0,E$8*(E$7-E$16*(1-$A154)*(1-(1-$A154)^MIN(E$6,$B$11))/($A154*MIN(E$6,$B$11)))^2)</f>
        <v/>
      </c>
      <c r="F154" s="27">
        <f>IF(OR(B$7="",B$8=0),0,B$8*(B$7-F$16*(1-$A154)*(1-(1-$A154)^MIN(B$6,$B$11))/($A154*MIN(B$6,$B$11)))^2)+IF(OR(C$7="",C$8=0),0,C$8*(C$7-F$16*(1-$A154)*(1-(1-$A154)^MIN(C$6,$B$11))/($A154*MIN(C$6,$B$11)))^2)+IF(OR(D$7="",D$8=0),0,D$8*(D$7-F$16*(1-$A154)*(1-(1-$A154)^MIN(D$6,$B$11))/($A154*MIN(D$6,$B$11)))^2)+IF(OR(E$7="",E$8=0),0,E$8*(E$7-F$16*(1-$A154)*(1-(1-$A154)^MIN(E$6,$B$11))/($A154*MIN(E$6,$B$11)))^2)</f>
        <v/>
      </c>
      <c r="G154" s="27">
        <f>IF(OR(B$7="",B$8=0),0,B$8*(B$7-G$16*(1-$A154)*(1-(1-$A154)^MIN(B$6,$B$11))/($A154*MIN(B$6,$B$11)))^2)+IF(OR(C$7="",C$8=0),0,C$8*(C$7-G$16*(1-$A154)*(1-(1-$A154)^MIN(C$6,$B$11))/($A154*MIN(C$6,$B$11)))^2)+IF(OR(D$7="",D$8=0),0,D$8*(D$7-G$16*(1-$A154)*(1-(1-$A154)^MIN(D$6,$B$11))/($A154*MIN(D$6,$B$11)))^2)+IF(OR(E$7="",E$8=0),0,E$8*(E$7-G$16*(1-$A154)*(1-(1-$A154)^MIN(E$6,$B$11))/($A154*MIN(E$6,$B$11)))^2)</f>
        <v/>
      </c>
      <c r="H154" s="27">
        <f>IF(OR(B$7="",B$8=0),0,B$8*(B$7-H$16*(1-$A154)*(1-(1-$A154)^MIN(B$6,$B$11))/($A154*MIN(B$6,$B$11)))^2)+IF(OR(C$7="",C$8=0),0,C$8*(C$7-H$16*(1-$A154)*(1-(1-$A154)^MIN(C$6,$B$11))/($A154*MIN(C$6,$B$11)))^2)+IF(OR(D$7="",D$8=0),0,D$8*(D$7-H$16*(1-$A154)*(1-(1-$A154)^MIN(D$6,$B$11))/($A154*MIN(D$6,$B$11)))^2)+IF(OR(E$7="",E$8=0),0,E$8*(E$7-H$16*(1-$A154)*(1-(1-$A154)^MIN(E$6,$B$11))/($A154*MIN(E$6,$B$11)))^2)</f>
        <v/>
      </c>
      <c r="I154" s="27">
        <f>IF(OR(B$7="",B$8=0),0,B$8*(B$7-I$16*(1-$A154)*(1-(1-$A154)^MIN(B$6,$B$11))/($A154*MIN(B$6,$B$11)))^2)+IF(OR(C$7="",C$8=0),0,C$8*(C$7-I$16*(1-$A154)*(1-(1-$A154)^MIN(C$6,$B$11))/($A154*MIN(C$6,$B$11)))^2)+IF(OR(D$7="",D$8=0),0,D$8*(D$7-I$16*(1-$A154)*(1-(1-$A154)^MIN(D$6,$B$11))/($A154*MIN(D$6,$B$11)))^2)+IF(OR(E$7="",E$8=0),0,E$8*(E$7-I$16*(1-$A154)*(1-(1-$A154)^MIN(E$6,$B$11))/($A154*MIN(E$6,$B$11)))^2)</f>
        <v/>
      </c>
      <c r="J154" s="27">
        <f>IF(OR(B$7="",B$8=0),0,B$8*(B$7-J$16*(1-$A154)*(1-(1-$A154)^MIN(B$6,$B$11))/($A154*MIN(B$6,$B$11)))^2)+IF(OR(C$7="",C$8=0),0,C$8*(C$7-J$16*(1-$A154)*(1-(1-$A154)^MIN(C$6,$B$11))/($A154*MIN(C$6,$B$11)))^2)+IF(OR(D$7="",D$8=0),0,D$8*(D$7-J$16*(1-$A154)*(1-(1-$A154)^MIN(D$6,$B$11))/($A154*MIN(D$6,$B$11)))^2)+IF(OR(E$7="",E$8=0),0,E$8*(E$7-J$16*(1-$A154)*(1-(1-$A154)^MIN(E$6,$B$11))/($A154*MIN(E$6,$B$11)))^2)</f>
        <v/>
      </c>
      <c r="K154" s="27">
        <f>IF(OR(B$7="",B$8=0),0,B$8*(B$7-K$16*(1-$A154)*(1-(1-$A154)^MIN(B$6,$B$11))/($A154*MIN(B$6,$B$11)))^2)+IF(OR(C$7="",C$8=0),0,C$8*(C$7-K$16*(1-$A154)*(1-(1-$A154)^MIN(C$6,$B$11))/($A154*MIN(C$6,$B$11)))^2)+IF(OR(D$7="",D$8=0),0,D$8*(D$7-K$16*(1-$A154)*(1-(1-$A154)^MIN(D$6,$B$11))/($A154*MIN(D$6,$B$11)))^2)+IF(OR(E$7="",E$8=0),0,E$8*(E$7-K$16*(1-$A154)*(1-(1-$A154)^MIN(E$6,$B$11))/($A154*MIN(E$6,$B$11)))^2)</f>
        <v/>
      </c>
      <c r="L154" s="27">
        <f>IF(OR(B$7="",B$8=0),0,B$8*(B$7-L$16*(1-$A154)*(1-(1-$A154)^MIN(B$6,$B$11))/($A154*MIN(B$6,$B$11)))^2)+IF(OR(C$7="",C$8=0),0,C$8*(C$7-L$16*(1-$A154)*(1-(1-$A154)^MIN(C$6,$B$11))/($A154*MIN(C$6,$B$11)))^2)+IF(OR(D$7="",D$8=0),0,D$8*(D$7-L$16*(1-$A154)*(1-(1-$A154)^MIN(D$6,$B$11))/($A154*MIN(D$6,$B$11)))^2)+IF(OR(E$7="",E$8=0),0,E$8*(E$7-L$16*(1-$A154)*(1-(1-$A154)^MIN(E$6,$B$11))/($A154*MIN(E$6,$B$11)))^2)</f>
        <v/>
      </c>
      <c r="M154" s="27">
        <f>IF(OR(B$7="",B$8=0),0,B$8*(B$7-M$16*(1-$A154)*(1-(1-$A154)^MIN(B$6,$B$11))/($A154*MIN(B$6,$B$11)))^2)+IF(OR(C$7="",C$8=0),0,C$8*(C$7-M$16*(1-$A154)*(1-(1-$A154)^MIN(C$6,$B$11))/($A154*MIN(C$6,$B$11)))^2)+IF(OR(D$7="",D$8=0),0,D$8*(D$7-M$16*(1-$A154)*(1-(1-$A154)^MIN(D$6,$B$11))/($A154*MIN(D$6,$B$11)))^2)+IF(OR(E$7="",E$8=0),0,E$8*(E$7-M$16*(1-$A154)*(1-(1-$A154)^MIN(E$6,$B$11))/($A154*MIN(E$6,$B$11)))^2)</f>
        <v/>
      </c>
      <c r="N154" s="27">
        <f>IF(OR(B$7="",B$8=0),0,B$8*(B$7-N$16*(1-$A154)*(1-(1-$A154)^MIN(B$6,$B$11))/($A154*MIN(B$6,$B$11)))^2)+IF(OR(C$7="",C$8=0),0,C$8*(C$7-N$16*(1-$A154)*(1-(1-$A154)^MIN(C$6,$B$11))/($A154*MIN(C$6,$B$11)))^2)+IF(OR(D$7="",D$8=0),0,D$8*(D$7-N$16*(1-$A154)*(1-(1-$A154)^MIN(D$6,$B$11))/($A154*MIN(D$6,$B$11)))^2)+IF(OR(E$7="",E$8=0),0,E$8*(E$7-N$16*(1-$A154)*(1-(1-$A154)^MIN(E$6,$B$11))/($A154*MIN(E$6,$B$11)))^2)</f>
        <v/>
      </c>
      <c r="O154" s="27">
        <f>IF(OR(B$7="",B$8=0),0,B$8*(B$7-O$16*(1-$A154)*(1-(1-$A154)^MIN(B$6,$B$11))/($A154*MIN(B$6,$B$11)))^2)+IF(OR(C$7="",C$8=0),0,C$8*(C$7-O$16*(1-$A154)*(1-(1-$A154)^MIN(C$6,$B$11))/($A154*MIN(C$6,$B$11)))^2)+IF(OR(D$7="",D$8=0),0,D$8*(D$7-O$16*(1-$A154)*(1-(1-$A154)^MIN(D$6,$B$11))/($A154*MIN(D$6,$B$11)))^2)+IF(OR(E$7="",E$8=0),0,E$8*(E$7-O$16*(1-$A154)*(1-(1-$A154)^MIN(E$6,$B$11))/($A154*MIN(E$6,$B$11)))^2)</f>
        <v/>
      </c>
      <c r="P154" s="27">
        <f>IF(OR(B$7="",B$8=0),0,B$8*(B$7-P$16*(1-$A154)*(1-(1-$A154)^MIN(B$6,$B$11))/($A154*MIN(B$6,$B$11)))^2)+IF(OR(C$7="",C$8=0),0,C$8*(C$7-P$16*(1-$A154)*(1-(1-$A154)^MIN(C$6,$B$11))/($A154*MIN(C$6,$B$11)))^2)+IF(OR(D$7="",D$8=0),0,D$8*(D$7-P$16*(1-$A154)*(1-(1-$A154)^MIN(D$6,$B$11))/($A154*MIN(D$6,$B$11)))^2)+IF(OR(E$7="",E$8=0),0,E$8*(E$7-P$16*(1-$A154)*(1-(1-$A154)^MIN(E$6,$B$11))/($A154*MIN(E$6,$B$11)))^2)</f>
        <v/>
      </c>
      <c r="Q154" s="27">
        <f>IF(OR(B$7="",B$8=0),0,B$8*(B$7-Q$16*(1-$A154)*(1-(1-$A154)^MIN(B$6,$B$11))/($A154*MIN(B$6,$B$11)))^2)+IF(OR(C$7="",C$8=0),0,C$8*(C$7-Q$16*(1-$A154)*(1-(1-$A154)^MIN(C$6,$B$11))/($A154*MIN(C$6,$B$11)))^2)+IF(OR(D$7="",D$8=0),0,D$8*(D$7-Q$16*(1-$A154)*(1-(1-$A154)^MIN(D$6,$B$11))/($A154*MIN(D$6,$B$11)))^2)+IF(OR(E$7="",E$8=0),0,E$8*(E$7-Q$16*(1-$A154)*(1-(1-$A154)^MIN(E$6,$B$11))/($A154*MIN(E$6,$B$11)))^2)</f>
        <v/>
      </c>
      <c r="R154" s="27">
        <f>IF(OR(B$7="",B$8=0),0,B$8*(B$7-R$16*(1-$A154)*(1-(1-$A154)^MIN(B$6,$B$11))/($A154*MIN(B$6,$B$11)))^2)+IF(OR(C$7="",C$8=0),0,C$8*(C$7-R$16*(1-$A154)*(1-(1-$A154)^MIN(C$6,$B$11))/($A154*MIN(C$6,$B$11)))^2)+IF(OR(D$7="",D$8=0),0,D$8*(D$7-R$16*(1-$A154)*(1-(1-$A154)^MIN(D$6,$B$11))/($A154*MIN(D$6,$B$11)))^2)+IF(OR(E$7="",E$8=0),0,E$8*(E$7-R$16*(1-$A154)*(1-(1-$A154)^MIN(E$6,$B$11))/($A154*MIN(E$6,$B$11)))^2)</f>
        <v/>
      </c>
      <c r="S154" s="27">
        <f>IF(OR(B$7="",B$8=0),0,B$8*(B$7-S$16*(1-$A154)*(1-(1-$A154)^MIN(B$6,$B$11))/($A154*MIN(B$6,$B$11)))^2)+IF(OR(C$7="",C$8=0),0,C$8*(C$7-S$16*(1-$A154)*(1-(1-$A154)^MIN(C$6,$B$11))/($A154*MIN(C$6,$B$11)))^2)+IF(OR(D$7="",D$8=0),0,D$8*(D$7-S$16*(1-$A154)*(1-(1-$A154)^MIN(D$6,$B$11))/($A154*MIN(D$6,$B$11)))^2)+IF(OR(E$7="",E$8=0),0,E$8*(E$7-S$16*(1-$A154)*(1-(1-$A154)^MIN(E$6,$B$11))/($A154*MIN(E$6,$B$11)))^2)</f>
        <v/>
      </c>
      <c r="U154" s="27">
        <f>MIN(B154:S154)</f>
        <v/>
      </c>
      <c r="V154" s="17">
        <f>MATCH(U154,B154:S154,0)</f>
        <v/>
      </c>
    </row>
    <row r="155">
      <c r="A155" s="26" t="n">
        <v>0.074</v>
      </c>
      <c r="B155" s="27">
        <f>IF(OR(B$7="",B$8=0),0,B$8*(B$7-B$16*(1-$A155)*(1-(1-$A155)^MIN(B$6,$B$11))/($A155*MIN(B$6,$B$11)))^2)+IF(OR(C$7="",C$8=0),0,C$8*(C$7-B$16*(1-$A155)*(1-(1-$A155)^MIN(C$6,$B$11))/($A155*MIN(C$6,$B$11)))^2)+IF(OR(D$7="",D$8=0),0,D$8*(D$7-B$16*(1-$A155)*(1-(1-$A155)^MIN(D$6,$B$11))/($A155*MIN(D$6,$B$11)))^2)+IF(OR(E$7="",E$8=0),0,E$8*(E$7-B$16*(1-$A155)*(1-(1-$A155)^MIN(E$6,$B$11))/($A155*MIN(E$6,$B$11)))^2)</f>
        <v/>
      </c>
      <c r="C155" s="27">
        <f>IF(OR(B$7="",B$8=0),0,B$8*(B$7-C$16*(1-$A155)*(1-(1-$A155)^MIN(B$6,$B$11))/($A155*MIN(B$6,$B$11)))^2)+IF(OR(C$7="",C$8=0),0,C$8*(C$7-C$16*(1-$A155)*(1-(1-$A155)^MIN(C$6,$B$11))/($A155*MIN(C$6,$B$11)))^2)+IF(OR(D$7="",D$8=0),0,D$8*(D$7-C$16*(1-$A155)*(1-(1-$A155)^MIN(D$6,$B$11))/($A155*MIN(D$6,$B$11)))^2)+IF(OR(E$7="",E$8=0),0,E$8*(E$7-C$16*(1-$A155)*(1-(1-$A155)^MIN(E$6,$B$11))/($A155*MIN(E$6,$B$11)))^2)</f>
        <v/>
      </c>
      <c r="D155" s="27">
        <f>IF(OR(B$7="",B$8=0),0,B$8*(B$7-D$16*(1-$A155)*(1-(1-$A155)^MIN(B$6,$B$11))/($A155*MIN(B$6,$B$11)))^2)+IF(OR(C$7="",C$8=0),0,C$8*(C$7-D$16*(1-$A155)*(1-(1-$A155)^MIN(C$6,$B$11))/($A155*MIN(C$6,$B$11)))^2)+IF(OR(D$7="",D$8=0),0,D$8*(D$7-D$16*(1-$A155)*(1-(1-$A155)^MIN(D$6,$B$11))/($A155*MIN(D$6,$B$11)))^2)+IF(OR(E$7="",E$8=0),0,E$8*(E$7-D$16*(1-$A155)*(1-(1-$A155)^MIN(E$6,$B$11))/($A155*MIN(E$6,$B$11)))^2)</f>
        <v/>
      </c>
      <c r="E155" s="27">
        <f>IF(OR(B$7="",B$8=0),0,B$8*(B$7-E$16*(1-$A155)*(1-(1-$A155)^MIN(B$6,$B$11))/($A155*MIN(B$6,$B$11)))^2)+IF(OR(C$7="",C$8=0),0,C$8*(C$7-E$16*(1-$A155)*(1-(1-$A155)^MIN(C$6,$B$11))/($A155*MIN(C$6,$B$11)))^2)+IF(OR(D$7="",D$8=0),0,D$8*(D$7-E$16*(1-$A155)*(1-(1-$A155)^MIN(D$6,$B$11))/($A155*MIN(D$6,$B$11)))^2)+IF(OR(E$7="",E$8=0),0,E$8*(E$7-E$16*(1-$A155)*(1-(1-$A155)^MIN(E$6,$B$11))/($A155*MIN(E$6,$B$11)))^2)</f>
        <v/>
      </c>
      <c r="F155" s="27">
        <f>IF(OR(B$7="",B$8=0),0,B$8*(B$7-F$16*(1-$A155)*(1-(1-$A155)^MIN(B$6,$B$11))/($A155*MIN(B$6,$B$11)))^2)+IF(OR(C$7="",C$8=0),0,C$8*(C$7-F$16*(1-$A155)*(1-(1-$A155)^MIN(C$6,$B$11))/($A155*MIN(C$6,$B$11)))^2)+IF(OR(D$7="",D$8=0),0,D$8*(D$7-F$16*(1-$A155)*(1-(1-$A155)^MIN(D$6,$B$11))/($A155*MIN(D$6,$B$11)))^2)+IF(OR(E$7="",E$8=0),0,E$8*(E$7-F$16*(1-$A155)*(1-(1-$A155)^MIN(E$6,$B$11))/($A155*MIN(E$6,$B$11)))^2)</f>
        <v/>
      </c>
      <c r="G155" s="27">
        <f>IF(OR(B$7="",B$8=0),0,B$8*(B$7-G$16*(1-$A155)*(1-(1-$A155)^MIN(B$6,$B$11))/($A155*MIN(B$6,$B$11)))^2)+IF(OR(C$7="",C$8=0),0,C$8*(C$7-G$16*(1-$A155)*(1-(1-$A155)^MIN(C$6,$B$11))/($A155*MIN(C$6,$B$11)))^2)+IF(OR(D$7="",D$8=0),0,D$8*(D$7-G$16*(1-$A155)*(1-(1-$A155)^MIN(D$6,$B$11))/($A155*MIN(D$6,$B$11)))^2)+IF(OR(E$7="",E$8=0),0,E$8*(E$7-G$16*(1-$A155)*(1-(1-$A155)^MIN(E$6,$B$11))/($A155*MIN(E$6,$B$11)))^2)</f>
        <v/>
      </c>
      <c r="H155" s="27">
        <f>IF(OR(B$7="",B$8=0),0,B$8*(B$7-H$16*(1-$A155)*(1-(1-$A155)^MIN(B$6,$B$11))/($A155*MIN(B$6,$B$11)))^2)+IF(OR(C$7="",C$8=0),0,C$8*(C$7-H$16*(1-$A155)*(1-(1-$A155)^MIN(C$6,$B$11))/($A155*MIN(C$6,$B$11)))^2)+IF(OR(D$7="",D$8=0),0,D$8*(D$7-H$16*(1-$A155)*(1-(1-$A155)^MIN(D$6,$B$11))/($A155*MIN(D$6,$B$11)))^2)+IF(OR(E$7="",E$8=0),0,E$8*(E$7-H$16*(1-$A155)*(1-(1-$A155)^MIN(E$6,$B$11))/($A155*MIN(E$6,$B$11)))^2)</f>
        <v/>
      </c>
      <c r="I155" s="27">
        <f>IF(OR(B$7="",B$8=0),0,B$8*(B$7-I$16*(1-$A155)*(1-(1-$A155)^MIN(B$6,$B$11))/($A155*MIN(B$6,$B$11)))^2)+IF(OR(C$7="",C$8=0),0,C$8*(C$7-I$16*(1-$A155)*(1-(1-$A155)^MIN(C$6,$B$11))/($A155*MIN(C$6,$B$11)))^2)+IF(OR(D$7="",D$8=0),0,D$8*(D$7-I$16*(1-$A155)*(1-(1-$A155)^MIN(D$6,$B$11))/($A155*MIN(D$6,$B$11)))^2)+IF(OR(E$7="",E$8=0),0,E$8*(E$7-I$16*(1-$A155)*(1-(1-$A155)^MIN(E$6,$B$11))/($A155*MIN(E$6,$B$11)))^2)</f>
        <v/>
      </c>
      <c r="J155" s="27">
        <f>IF(OR(B$7="",B$8=0),0,B$8*(B$7-J$16*(1-$A155)*(1-(1-$A155)^MIN(B$6,$B$11))/($A155*MIN(B$6,$B$11)))^2)+IF(OR(C$7="",C$8=0),0,C$8*(C$7-J$16*(1-$A155)*(1-(1-$A155)^MIN(C$6,$B$11))/($A155*MIN(C$6,$B$11)))^2)+IF(OR(D$7="",D$8=0),0,D$8*(D$7-J$16*(1-$A155)*(1-(1-$A155)^MIN(D$6,$B$11))/($A155*MIN(D$6,$B$11)))^2)+IF(OR(E$7="",E$8=0),0,E$8*(E$7-J$16*(1-$A155)*(1-(1-$A155)^MIN(E$6,$B$11))/($A155*MIN(E$6,$B$11)))^2)</f>
        <v/>
      </c>
      <c r="K155" s="27">
        <f>IF(OR(B$7="",B$8=0),0,B$8*(B$7-K$16*(1-$A155)*(1-(1-$A155)^MIN(B$6,$B$11))/($A155*MIN(B$6,$B$11)))^2)+IF(OR(C$7="",C$8=0),0,C$8*(C$7-K$16*(1-$A155)*(1-(1-$A155)^MIN(C$6,$B$11))/($A155*MIN(C$6,$B$11)))^2)+IF(OR(D$7="",D$8=0),0,D$8*(D$7-K$16*(1-$A155)*(1-(1-$A155)^MIN(D$6,$B$11))/($A155*MIN(D$6,$B$11)))^2)+IF(OR(E$7="",E$8=0),0,E$8*(E$7-K$16*(1-$A155)*(1-(1-$A155)^MIN(E$6,$B$11))/($A155*MIN(E$6,$B$11)))^2)</f>
        <v/>
      </c>
      <c r="L155" s="27">
        <f>IF(OR(B$7="",B$8=0),0,B$8*(B$7-L$16*(1-$A155)*(1-(1-$A155)^MIN(B$6,$B$11))/($A155*MIN(B$6,$B$11)))^2)+IF(OR(C$7="",C$8=0),0,C$8*(C$7-L$16*(1-$A155)*(1-(1-$A155)^MIN(C$6,$B$11))/($A155*MIN(C$6,$B$11)))^2)+IF(OR(D$7="",D$8=0),0,D$8*(D$7-L$16*(1-$A155)*(1-(1-$A155)^MIN(D$6,$B$11))/($A155*MIN(D$6,$B$11)))^2)+IF(OR(E$7="",E$8=0),0,E$8*(E$7-L$16*(1-$A155)*(1-(1-$A155)^MIN(E$6,$B$11))/($A155*MIN(E$6,$B$11)))^2)</f>
        <v/>
      </c>
      <c r="M155" s="27">
        <f>IF(OR(B$7="",B$8=0),0,B$8*(B$7-M$16*(1-$A155)*(1-(1-$A155)^MIN(B$6,$B$11))/($A155*MIN(B$6,$B$11)))^2)+IF(OR(C$7="",C$8=0),0,C$8*(C$7-M$16*(1-$A155)*(1-(1-$A155)^MIN(C$6,$B$11))/($A155*MIN(C$6,$B$11)))^2)+IF(OR(D$7="",D$8=0),0,D$8*(D$7-M$16*(1-$A155)*(1-(1-$A155)^MIN(D$6,$B$11))/($A155*MIN(D$6,$B$11)))^2)+IF(OR(E$7="",E$8=0),0,E$8*(E$7-M$16*(1-$A155)*(1-(1-$A155)^MIN(E$6,$B$11))/($A155*MIN(E$6,$B$11)))^2)</f>
        <v/>
      </c>
      <c r="N155" s="27">
        <f>IF(OR(B$7="",B$8=0),0,B$8*(B$7-N$16*(1-$A155)*(1-(1-$A155)^MIN(B$6,$B$11))/($A155*MIN(B$6,$B$11)))^2)+IF(OR(C$7="",C$8=0),0,C$8*(C$7-N$16*(1-$A155)*(1-(1-$A155)^MIN(C$6,$B$11))/($A155*MIN(C$6,$B$11)))^2)+IF(OR(D$7="",D$8=0),0,D$8*(D$7-N$16*(1-$A155)*(1-(1-$A155)^MIN(D$6,$B$11))/($A155*MIN(D$6,$B$11)))^2)+IF(OR(E$7="",E$8=0),0,E$8*(E$7-N$16*(1-$A155)*(1-(1-$A155)^MIN(E$6,$B$11))/($A155*MIN(E$6,$B$11)))^2)</f>
        <v/>
      </c>
      <c r="O155" s="27">
        <f>IF(OR(B$7="",B$8=0),0,B$8*(B$7-O$16*(1-$A155)*(1-(1-$A155)^MIN(B$6,$B$11))/($A155*MIN(B$6,$B$11)))^2)+IF(OR(C$7="",C$8=0),0,C$8*(C$7-O$16*(1-$A155)*(1-(1-$A155)^MIN(C$6,$B$11))/($A155*MIN(C$6,$B$11)))^2)+IF(OR(D$7="",D$8=0),0,D$8*(D$7-O$16*(1-$A155)*(1-(1-$A155)^MIN(D$6,$B$11))/($A155*MIN(D$6,$B$11)))^2)+IF(OR(E$7="",E$8=0),0,E$8*(E$7-O$16*(1-$A155)*(1-(1-$A155)^MIN(E$6,$B$11))/($A155*MIN(E$6,$B$11)))^2)</f>
        <v/>
      </c>
      <c r="P155" s="27">
        <f>IF(OR(B$7="",B$8=0),0,B$8*(B$7-P$16*(1-$A155)*(1-(1-$A155)^MIN(B$6,$B$11))/($A155*MIN(B$6,$B$11)))^2)+IF(OR(C$7="",C$8=0),0,C$8*(C$7-P$16*(1-$A155)*(1-(1-$A155)^MIN(C$6,$B$11))/($A155*MIN(C$6,$B$11)))^2)+IF(OR(D$7="",D$8=0),0,D$8*(D$7-P$16*(1-$A155)*(1-(1-$A155)^MIN(D$6,$B$11))/($A155*MIN(D$6,$B$11)))^2)+IF(OR(E$7="",E$8=0),0,E$8*(E$7-P$16*(1-$A155)*(1-(1-$A155)^MIN(E$6,$B$11))/($A155*MIN(E$6,$B$11)))^2)</f>
        <v/>
      </c>
      <c r="Q155" s="27">
        <f>IF(OR(B$7="",B$8=0),0,B$8*(B$7-Q$16*(1-$A155)*(1-(1-$A155)^MIN(B$6,$B$11))/($A155*MIN(B$6,$B$11)))^2)+IF(OR(C$7="",C$8=0),0,C$8*(C$7-Q$16*(1-$A155)*(1-(1-$A155)^MIN(C$6,$B$11))/($A155*MIN(C$6,$B$11)))^2)+IF(OR(D$7="",D$8=0),0,D$8*(D$7-Q$16*(1-$A155)*(1-(1-$A155)^MIN(D$6,$B$11))/($A155*MIN(D$6,$B$11)))^2)+IF(OR(E$7="",E$8=0),0,E$8*(E$7-Q$16*(1-$A155)*(1-(1-$A155)^MIN(E$6,$B$11))/($A155*MIN(E$6,$B$11)))^2)</f>
        <v/>
      </c>
      <c r="R155" s="27">
        <f>IF(OR(B$7="",B$8=0),0,B$8*(B$7-R$16*(1-$A155)*(1-(1-$A155)^MIN(B$6,$B$11))/($A155*MIN(B$6,$B$11)))^2)+IF(OR(C$7="",C$8=0),0,C$8*(C$7-R$16*(1-$A155)*(1-(1-$A155)^MIN(C$6,$B$11))/($A155*MIN(C$6,$B$11)))^2)+IF(OR(D$7="",D$8=0),0,D$8*(D$7-R$16*(1-$A155)*(1-(1-$A155)^MIN(D$6,$B$11))/($A155*MIN(D$6,$B$11)))^2)+IF(OR(E$7="",E$8=0),0,E$8*(E$7-R$16*(1-$A155)*(1-(1-$A155)^MIN(E$6,$B$11))/($A155*MIN(E$6,$B$11)))^2)</f>
        <v/>
      </c>
      <c r="S155" s="27">
        <f>IF(OR(B$7="",B$8=0),0,B$8*(B$7-S$16*(1-$A155)*(1-(1-$A155)^MIN(B$6,$B$11))/($A155*MIN(B$6,$B$11)))^2)+IF(OR(C$7="",C$8=0),0,C$8*(C$7-S$16*(1-$A155)*(1-(1-$A155)^MIN(C$6,$B$11))/($A155*MIN(C$6,$B$11)))^2)+IF(OR(D$7="",D$8=0),0,D$8*(D$7-S$16*(1-$A155)*(1-(1-$A155)^MIN(D$6,$B$11))/($A155*MIN(D$6,$B$11)))^2)+IF(OR(E$7="",E$8=0),0,E$8*(E$7-S$16*(1-$A155)*(1-(1-$A155)^MIN(E$6,$B$11))/($A155*MIN(E$6,$B$11)))^2)</f>
        <v/>
      </c>
      <c r="U155" s="27">
        <f>MIN(B155:S155)</f>
        <v/>
      </c>
      <c r="V155" s="17">
        <f>MATCH(U155,B155:S155,0)</f>
        <v/>
      </c>
    </row>
    <row r="156">
      <c r="A156" s="26" t="n">
        <v>0.0745</v>
      </c>
      <c r="B156" s="27">
        <f>IF(OR(B$7="",B$8=0),0,B$8*(B$7-B$16*(1-$A156)*(1-(1-$A156)^MIN(B$6,$B$11))/($A156*MIN(B$6,$B$11)))^2)+IF(OR(C$7="",C$8=0),0,C$8*(C$7-B$16*(1-$A156)*(1-(1-$A156)^MIN(C$6,$B$11))/($A156*MIN(C$6,$B$11)))^2)+IF(OR(D$7="",D$8=0),0,D$8*(D$7-B$16*(1-$A156)*(1-(1-$A156)^MIN(D$6,$B$11))/($A156*MIN(D$6,$B$11)))^2)+IF(OR(E$7="",E$8=0),0,E$8*(E$7-B$16*(1-$A156)*(1-(1-$A156)^MIN(E$6,$B$11))/($A156*MIN(E$6,$B$11)))^2)</f>
        <v/>
      </c>
      <c r="C156" s="27">
        <f>IF(OR(B$7="",B$8=0),0,B$8*(B$7-C$16*(1-$A156)*(1-(1-$A156)^MIN(B$6,$B$11))/($A156*MIN(B$6,$B$11)))^2)+IF(OR(C$7="",C$8=0),0,C$8*(C$7-C$16*(1-$A156)*(1-(1-$A156)^MIN(C$6,$B$11))/($A156*MIN(C$6,$B$11)))^2)+IF(OR(D$7="",D$8=0),0,D$8*(D$7-C$16*(1-$A156)*(1-(1-$A156)^MIN(D$6,$B$11))/($A156*MIN(D$6,$B$11)))^2)+IF(OR(E$7="",E$8=0),0,E$8*(E$7-C$16*(1-$A156)*(1-(1-$A156)^MIN(E$6,$B$11))/($A156*MIN(E$6,$B$11)))^2)</f>
        <v/>
      </c>
      <c r="D156" s="27">
        <f>IF(OR(B$7="",B$8=0),0,B$8*(B$7-D$16*(1-$A156)*(1-(1-$A156)^MIN(B$6,$B$11))/($A156*MIN(B$6,$B$11)))^2)+IF(OR(C$7="",C$8=0),0,C$8*(C$7-D$16*(1-$A156)*(1-(1-$A156)^MIN(C$6,$B$11))/($A156*MIN(C$6,$B$11)))^2)+IF(OR(D$7="",D$8=0),0,D$8*(D$7-D$16*(1-$A156)*(1-(1-$A156)^MIN(D$6,$B$11))/($A156*MIN(D$6,$B$11)))^2)+IF(OR(E$7="",E$8=0),0,E$8*(E$7-D$16*(1-$A156)*(1-(1-$A156)^MIN(E$6,$B$11))/($A156*MIN(E$6,$B$11)))^2)</f>
        <v/>
      </c>
      <c r="E156" s="27">
        <f>IF(OR(B$7="",B$8=0),0,B$8*(B$7-E$16*(1-$A156)*(1-(1-$A156)^MIN(B$6,$B$11))/($A156*MIN(B$6,$B$11)))^2)+IF(OR(C$7="",C$8=0),0,C$8*(C$7-E$16*(1-$A156)*(1-(1-$A156)^MIN(C$6,$B$11))/($A156*MIN(C$6,$B$11)))^2)+IF(OR(D$7="",D$8=0),0,D$8*(D$7-E$16*(1-$A156)*(1-(1-$A156)^MIN(D$6,$B$11))/($A156*MIN(D$6,$B$11)))^2)+IF(OR(E$7="",E$8=0),0,E$8*(E$7-E$16*(1-$A156)*(1-(1-$A156)^MIN(E$6,$B$11))/($A156*MIN(E$6,$B$11)))^2)</f>
        <v/>
      </c>
      <c r="F156" s="27">
        <f>IF(OR(B$7="",B$8=0),0,B$8*(B$7-F$16*(1-$A156)*(1-(1-$A156)^MIN(B$6,$B$11))/($A156*MIN(B$6,$B$11)))^2)+IF(OR(C$7="",C$8=0),0,C$8*(C$7-F$16*(1-$A156)*(1-(1-$A156)^MIN(C$6,$B$11))/($A156*MIN(C$6,$B$11)))^2)+IF(OR(D$7="",D$8=0),0,D$8*(D$7-F$16*(1-$A156)*(1-(1-$A156)^MIN(D$6,$B$11))/($A156*MIN(D$6,$B$11)))^2)+IF(OR(E$7="",E$8=0),0,E$8*(E$7-F$16*(1-$A156)*(1-(1-$A156)^MIN(E$6,$B$11))/($A156*MIN(E$6,$B$11)))^2)</f>
        <v/>
      </c>
      <c r="G156" s="27">
        <f>IF(OR(B$7="",B$8=0),0,B$8*(B$7-G$16*(1-$A156)*(1-(1-$A156)^MIN(B$6,$B$11))/($A156*MIN(B$6,$B$11)))^2)+IF(OR(C$7="",C$8=0),0,C$8*(C$7-G$16*(1-$A156)*(1-(1-$A156)^MIN(C$6,$B$11))/($A156*MIN(C$6,$B$11)))^2)+IF(OR(D$7="",D$8=0),0,D$8*(D$7-G$16*(1-$A156)*(1-(1-$A156)^MIN(D$6,$B$11))/($A156*MIN(D$6,$B$11)))^2)+IF(OR(E$7="",E$8=0),0,E$8*(E$7-G$16*(1-$A156)*(1-(1-$A156)^MIN(E$6,$B$11))/($A156*MIN(E$6,$B$11)))^2)</f>
        <v/>
      </c>
      <c r="H156" s="27">
        <f>IF(OR(B$7="",B$8=0),0,B$8*(B$7-H$16*(1-$A156)*(1-(1-$A156)^MIN(B$6,$B$11))/($A156*MIN(B$6,$B$11)))^2)+IF(OR(C$7="",C$8=0),0,C$8*(C$7-H$16*(1-$A156)*(1-(1-$A156)^MIN(C$6,$B$11))/($A156*MIN(C$6,$B$11)))^2)+IF(OR(D$7="",D$8=0),0,D$8*(D$7-H$16*(1-$A156)*(1-(1-$A156)^MIN(D$6,$B$11))/($A156*MIN(D$6,$B$11)))^2)+IF(OR(E$7="",E$8=0),0,E$8*(E$7-H$16*(1-$A156)*(1-(1-$A156)^MIN(E$6,$B$11))/($A156*MIN(E$6,$B$11)))^2)</f>
        <v/>
      </c>
      <c r="I156" s="27">
        <f>IF(OR(B$7="",B$8=0),0,B$8*(B$7-I$16*(1-$A156)*(1-(1-$A156)^MIN(B$6,$B$11))/($A156*MIN(B$6,$B$11)))^2)+IF(OR(C$7="",C$8=0),0,C$8*(C$7-I$16*(1-$A156)*(1-(1-$A156)^MIN(C$6,$B$11))/($A156*MIN(C$6,$B$11)))^2)+IF(OR(D$7="",D$8=0),0,D$8*(D$7-I$16*(1-$A156)*(1-(1-$A156)^MIN(D$6,$B$11))/($A156*MIN(D$6,$B$11)))^2)+IF(OR(E$7="",E$8=0),0,E$8*(E$7-I$16*(1-$A156)*(1-(1-$A156)^MIN(E$6,$B$11))/($A156*MIN(E$6,$B$11)))^2)</f>
        <v/>
      </c>
      <c r="J156" s="27">
        <f>IF(OR(B$7="",B$8=0),0,B$8*(B$7-J$16*(1-$A156)*(1-(1-$A156)^MIN(B$6,$B$11))/($A156*MIN(B$6,$B$11)))^2)+IF(OR(C$7="",C$8=0),0,C$8*(C$7-J$16*(1-$A156)*(1-(1-$A156)^MIN(C$6,$B$11))/($A156*MIN(C$6,$B$11)))^2)+IF(OR(D$7="",D$8=0),0,D$8*(D$7-J$16*(1-$A156)*(1-(1-$A156)^MIN(D$6,$B$11))/($A156*MIN(D$6,$B$11)))^2)+IF(OR(E$7="",E$8=0),0,E$8*(E$7-J$16*(1-$A156)*(1-(1-$A156)^MIN(E$6,$B$11))/($A156*MIN(E$6,$B$11)))^2)</f>
        <v/>
      </c>
      <c r="K156" s="27">
        <f>IF(OR(B$7="",B$8=0),0,B$8*(B$7-K$16*(1-$A156)*(1-(1-$A156)^MIN(B$6,$B$11))/($A156*MIN(B$6,$B$11)))^2)+IF(OR(C$7="",C$8=0),0,C$8*(C$7-K$16*(1-$A156)*(1-(1-$A156)^MIN(C$6,$B$11))/($A156*MIN(C$6,$B$11)))^2)+IF(OR(D$7="",D$8=0),0,D$8*(D$7-K$16*(1-$A156)*(1-(1-$A156)^MIN(D$6,$B$11))/($A156*MIN(D$6,$B$11)))^2)+IF(OR(E$7="",E$8=0),0,E$8*(E$7-K$16*(1-$A156)*(1-(1-$A156)^MIN(E$6,$B$11))/($A156*MIN(E$6,$B$11)))^2)</f>
        <v/>
      </c>
      <c r="L156" s="27">
        <f>IF(OR(B$7="",B$8=0),0,B$8*(B$7-L$16*(1-$A156)*(1-(1-$A156)^MIN(B$6,$B$11))/($A156*MIN(B$6,$B$11)))^2)+IF(OR(C$7="",C$8=0),0,C$8*(C$7-L$16*(1-$A156)*(1-(1-$A156)^MIN(C$6,$B$11))/($A156*MIN(C$6,$B$11)))^2)+IF(OR(D$7="",D$8=0),0,D$8*(D$7-L$16*(1-$A156)*(1-(1-$A156)^MIN(D$6,$B$11))/($A156*MIN(D$6,$B$11)))^2)+IF(OR(E$7="",E$8=0),0,E$8*(E$7-L$16*(1-$A156)*(1-(1-$A156)^MIN(E$6,$B$11))/($A156*MIN(E$6,$B$11)))^2)</f>
        <v/>
      </c>
      <c r="M156" s="27">
        <f>IF(OR(B$7="",B$8=0),0,B$8*(B$7-M$16*(1-$A156)*(1-(1-$A156)^MIN(B$6,$B$11))/($A156*MIN(B$6,$B$11)))^2)+IF(OR(C$7="",C$8=0),0,C$8*(C$7-M$16*(1-$A156)*(1-(1-$A156)^MIN(C$6,$B$11))/($A156*MIN(C$6,$B$11)))^2)+IF(OR(D$7="",D$8=0),0,D$8*(D$7-M$16*(1-$A156)*(1-(1-$A156)^MIN(D$6,$B$11))/($A156*MIN(D$6,$B$11)))^2)+IF(OR(E$7="",E$8=0),0,E$8*(E$7-M$16*(1-$A156)*(1-(1-$A156)^MIN(E$6,$B$11))/($A156*MIN(E$6,$B$11)))^2)</f>
        <v/>
      </c>
      <c r="N156" s="27">
        <f>IF(OR(B$7="",B$8=0),0,B$8*(B$7-N$16*(1-$A156)*(1-(1-$A156)^MIN(B$6,$B$11))/($A156*MIN(B$6,$B$11)))^2)+IF(OR(C$7="",C$8=0),0,C$8*(C$7-N$16*(1-$A156)*(1-(1-$A156)^MIN(C$6,$B$11))/($A156*MIN(C$6,$B$11)))^2)+IF(OR(D$7="",D$8=0),0,D$8*(D$7-N$16*(1-$A156)*(1-(1-$A156)^MIN(D$6,$B$11))/($A156*MIN(D$6,$B$11)))^2)+IF(OR(E$7="",E$8=0),0,E$8*(E$7-N$16*(1-$A156)*(1-(1-$A156)^MIN(E$6,$B$11))/($A156*MIN(E$6,$B$11)))^2)</f>
        <v/>
      </c>
      <c r="O156" s="27">
        <f>IF(OR(B$7="",B$8=0),0,B$8*(B$7-O$16*(1-$A156)*(1-(1-$A156)^MIN(B$6,$B$11))/($A156*MIN(B$6,$B$11)))^2)+IF(OR(C$7="",C$8=0),0,C$8*(C$7-O$16*(1-$A156)*(1-(1-$A156)^MIN(C$6,$B$11))/($A156*MIN(C$6,$B$11)))^2)+IF(OR(D$7="",D$8=0),0,D$8*(D$7-O$16*(1-$A156)*(1-(1-$A156)^MIN(D$6,$B$11))/($A156*MIN(D$6,$B$11)))^2)+IF(OR(E$7="",E$8=0),0,E$8*(E$7-O$16*(1-$A156)*(1-(1-$A156)^MIN(E$6,$B$11))/($A156*MIN(E$6,$B$11)))^2)</f>
        <v/>
      </c>
      <c r="P156" s="27">
        <f>IF(OR(B$7="",B$8=0),0,B$8*(B$7-P$16*(1-$A156)*(1-(1-$A156)^MIN(B$6,$B$11))/($A156*MIN(B$6,$B$11)))^2)+IF(OR(C$7="",C$8=0),0,C$8*(C$7-P$16*(1-$A156)*(1-(1-$A156)^MIN(C$6,$B$11))/($A156*MIN(C$6,$B$11)))^2)+IF(OR(D$7="",D$8=0),0,D$8*(D$7-P$16*(1-$A156)*(1-(1-$A156)^MIN(D$6,$B$11))/($A156*MIN(D$6,$B$11)))^2)+IF(OR(E$7="",E$8=0),0,E$8*(E$7-P$16*(1-$A156)*(1-(1-$A156)^MIN(E$6,$B$11))/($A156*MIN(E$6,$B$11)))^2)</f>
        <v/>
      </c>
      <c r="Q156" s="27">
        <f>IF(OR(B$7="",B$8=0),0,B$8*(B$7-Q$16*(1-$A156)*(1-(1-$A156)^MIN(B$6,$B$11))/($A156*MIN(B$6,$B$11)))^2)+IF(OR(C$7="",C$8=0),0,C$8*(C$7-Q$16*(1-$A156)*(1-(1-$A156)^MIN(C$6,$B$11))/($A156*MIN(C$6,$B$11)))^2)+IF(OR(D$7="",D$8=0),0,D$8*(D$7-Q$16*(1-$A156)*(1-(1-$A156)^MIN(D$6,$B$11))/($A156*MIN(D$6,$B$11)))^2)+IF(OR(E$7="",E$8=0),0,E$8*(E$7-Q$16*(1-$A156)*(1-(1-$A156)^MIN(E$6,$B$11))/($A156*MIN(E$6,$B$11)))^2)</f>
        <v/>
      </c>
      <c r="R156" s="27">
        <f>IF(OR(B$7="",B$8=0),0,B$8*(B$7-R$16*(1-$A156)*(1-(1-$A156)^MIN(B$6,$B$11))/($A156*MIN(B$6,$B$11)))^2)+IF(OR(C$7="",C$8=0),0,C$8*(C$7-R$16*(1-$A156)*(1-(1-$A156)^MIN(C$6,$B$11))/($A156*MIN(C$6,$B$11)))^2)+IF(OR(D$7="",D$8=0),0,D$8*(D$7-R$16*(1-$A156)*(1-(1-$A156)^MIN(D$6,$B$11))/($A156*MIN(D$6,$B$11)))^2)+IF(OR(E$7="",E$8=0),0,E$8*(E$7-R$16*(1-$A156)*(1-(1-$A156)^MIN(E$6,$B$11))/($A156*MIN(E$6,$B$11)))^2)</f>
        <v/>
      </c>
      <c r="S156" s="27">
        <f>IF(OR(B$7="",B$8=0),0,B$8*(B$7-S$16*(1-$A156)*(1-(1-$A156)^MIN(B$6,$B$11))/($A156*MIN(B$6,$B$11)))^2)+IF(OR(C$7="",C$8=0),0,C$8*(C$7-S$16*(1-$A156)*(1-(1-$A156)^MIN(C$6,$B$11))/($A156*MIN(C$6,$B$11)))^2)+IF(OR(D$7="",D$8=0),0,D$8*(D$7-S$16*(1-$A156)*(1-(1-$A156)^MIN(D$6,$B$11))/($A156*MIN(D$6,$B$11)))^2)+IF(OR(E$7="",E$8=0),0,E$8*(E$7-S$16*(1-$A156)*(1-(1-$A156)^MIN(E$6,$B$11))/($A156*MIN(E$6,$B$11)))^2)</f>
        <v/>
      </c>
      <c r="U156" s="27">
        <f>MIN(B156:S156)</f>
        <v/>
      </c>
      <c r="V156" s="17">
        <f>MATCH(U156,B156:S156,0)</f>
        <v/>
      </c>
    </row>
    <row r="157">
      <c r="A157" s="26" t="n">
        <v>0.075</v>
      </c>
      <c r="B157" s="27">
        <f>IF(OR(B$7="",B$8=0),0,B$8*(B$7-B$16*(1-$A157)*(1-(1-$A157)^MIN(B$6,$B$11))/($A157*MIN(B$6,$B$11)))^2)+IF(OR(C$7="",C$8=0),0,C$8*(C$7-B$16*(1-$A157)*(1-(1-$A157)^MIN(C$6,$B$11))/($A157*MIN(C$6,$B$11)))^2)+IF(OR(D$7="",D$8=0),0,D$8*(D$7-B$16*(1-$A157)*(1-(1-$A157)^MIN(D$6,$B$11))/($A157*MIN(D$6,$B$11)))^2)+IF(OR(E$7="",E$8=0),0,E$8*(E$7-B$16*(1-$A157)*(1-(1-$A157)^MIN(E$6,$B$11))/($A157*MIN(E$6,$B$11)))^2)</f>
        <v/>
      </c>
      <c r="C157" s="27">
        <f>IF(OR(B$7="",B$8=0),0,B$8*(B$7-C$16*(1-$A157)*(1-(1-$A157)^MIN(B$6,$B$11))/($A157*MIN(B$6,$B$11)))^2)+IF(OR(C$7="",C$8=0),0,C$8*(C$7-C$16*(1-$A157)*(1-(1-$A157)^MIN(C$6,$B$11))/($A157*MIN(C$6,$B$11)))^2)+IF(OR(D$7="",D$8=0),0,D$8*(D$7-C$16*(1-$A157)*(1-(1-$A157)^MIN(D$6,$B$11))/($A157*MIN(D$6,$B$11)))^2)+IF(OR(E$7="",E$8=0),0,E$8*(E$7-C$16*(1-$A157)*(1-(1-$A157)^MIN(E$6,$B$11))/($A157*MIN(E$6,$B$11)))^2)</f>
        <v/>
      </c>
      <c r="D157" s="27">
        <f>IF(OR(B$7="",B$8=0),0,B$8*(B$7-D$16*(1-$A157)*(1-(1-$A157)^MIN(B$6,$B$11))/($A157*MIN(B$6,$B$11)))^2)+IF(OR(C$7="",C$8=0),0,C$8*(C$7-D$16*(1-$A157)*(1-(1-$A157)^MIN(C$6,$B$11))/($A157*MIN(C$6,$B$11)))^2)+IF(OR(D$7="",D$8=0),0,D$8*(D$7-D$16*(1-$A157)*(1-(1-$A157)^MIN(D$6,$B$11))/($A157*MIN(D$6,$B$11)))^2)+IF(OR(E$7="",E$8=0),0,E$8*(E$7-D$16*(1-$A157)*(1-(1-$A157)^MIN(E$6,$B$11))/($A157*MIN(E$6,$B$11)))^2)</f>
        <v/>
      </c>
      <c r="E157" s="27">
        <f>IF(OR(B$7="",B$8=0),0,B$8*(B$7-E$16*(1-$A157)*(1-(1-$A157)^MIN(B$6,$B$11))/($A157*MIN(B$6,$B$11)))^2)+IF(OR(C$7="",C$8=0),0,C$8*(C$7-E$16*(1-$A157)*(1-(1-$A157)^MIN(C$6,$B$11))/($A157*MIN(C$6,$B$11)))^2)+IF(OR(D$7="",D$8=0),0,D$8*(D$7-E$16*(1-$A157)*(1-(1-$A157)^MIN(D$6,$B$11))/($A157*MIN(D$6,$B$11)))^2)+IF(OR(E$7="",E$8=0),0,E$8*(E$7-E$16*(1-$A157)*(1-(1-$A157)^MIN(E$6,$B$11))/($A157*MIN(E$6,$B$11)))^2)</f>
        <v/>
      </c>
      <c r="F157" s="27">
        <f>IF(OR(B$7="",B$8=0),0,B$8*(B$7-F$16*(1-$A157)*(1-(1-$A157)^MIN(B$6,$B$11))/($A157*MIN(B$6,$B$11)))^2)+IF(OR(C$7="",C$8=0),0,C$8*(C$7-F$16*(1-$A157)*(1-(1-$A157)^MIN(C$6,$B$11))/($A157*MIN(C$6,$B$11)))^2)+IF(OR(D$7="",D$8=0),0,D$8*(D$7-F$16*(1-$A157)*(1-(1-$A157)^MIN(D$6,$B$11))/($A157*MIN(D$6,$B$11)))^2)+IF(OR(E$7="",E$8=0),0,E$8*(E$7-F$16*(1-$A157)*(1-(1-$A157)^MIN(E$6,$B$11))/($A157*MIN(E$6,$B$11)))^2)</f>
        <v/>
      </c>
      <c r="G157" s="27">
        <f>IF(OR(B$7="",B$8=0),0,B$8*(B$7-G$16*(1-$A157)*(1-(1-$A157)^MIN(B$6,$B$11))/($A157*MIN(B$6,$B$11)))^2)+IF(OR(C$7="",C$8=0),0,C$8*(C$7-G$16*(1-$A157)*(1-(1-$A157)^MIN(C$6,$B$11))/($A157*MIN(C$6,$B$11)))^2)+IF(OR(D$7="",D$8=0),0,D$8*(D$7-G$16*(1-$A157)*(1-(1-$A157)^MIN(D$6,$B$11))/($A157*MIN(D$6,$B$11)))^2)+IF(OR(E$7="",E$8=0),0,E$8*(E$7-G$16*(1-$A157)*(1-(1-$A157)^MIN(E$6,$B$11))/($A157*MIN(E$6,$B$11)))^2)</f>
        <v/>
      </c>
      <c r="H157" s="27">
        <f>IF(OR(B$7="",B$8=0),0,B$8*(B$7-H$16*(1-$A157)*(1-(1-$A157)^MIN(B$6,$B$11))/($A157*MIN(B$6,$B$11)))^2)+IF(OR(C$7="",C$8=0),0,C$8*(C$7-H$16*(1-$A157)*(1-(1-$A157)^MIN(C$6,$B$11))/($A157*MIN(C$6,$B$11)))^2)+IF(OR(D$7="",D$8=0),0,D$8*(D$7-H$16*(1-$A157)*(1-(1-$A157)^MIN(D$6,$B$11))/($A157*MIN(D$6,$B$11)))^2)+IF(OR(E$7="",E$8=0),0,E$8*(E$7-H$16*(1-$A157)*(1-(1-$A157)^MIN(E$6,$B$11))/($A157*MIN(E$6,$B$11)))^2)</f>
        <v/>
      </c>
      <c r="I157" s="27">
        <f>IF(OR(B$7="",B$8=0),0,B$8*(B$7-I$16*(1-$A157)*(1-(1-$A157)^MIN(B$6,$B$11))/($A157*MIN(B$6,$B$11)))^2)+IF(OR(C$7="",C$8=0),0,C$8*(C$7-I$16*(1-$A157)*(1-(1-$A157)^MIN(C$6,$B$11))/($A157*MIN(C$6,$B$11)))^2)+IF(OR(D$7="",D$8=0),0,D$8*(D$7-I$16*(1-$A157)*(1-(1-$A157)^MIN(D$6,$B$11))/($A157*MIN(D$6,$B$11)))^2)+IF(OR(E$7="",E$8=0),0,E$8*(E$7-I$16*(1-$A157)*(1-(1-$A157)^MIN(E$6,$B$11))/($A157*MIN(E$6,$B$11)))^2)</f>
        <v/>
      </c>
      <c r="J157" s="27">
        <f>IF(OR(B$7="",B$8=0),0,B$8*(B$7-J$16*(1-$A157)*(1-(1-$A157)^MIN(B$6,$B$11))/($A157*MIN(B$6,$B$11)))^2)+IF(OR(C$7="",C$8=0),0,C$8*(C$7-J$16*(1-$A157)*(1-(1-$A157)^MIN(C$6,$B$11))/($A157*MIN(C$6,$B$11)))^2)+IF(OR(D$7="",D$8=0),0,D$8*(D$7-J$16*(1-$A157)*(1-(1-$A157)^MIN(D$6,$B$11))/($A157*MIN(D$6,$B$11)))^2)+IF(OR(E$7="",E$8=0),0,E$8*(E$7-J$16*(1-$A157)*(1-(1-$A157)^MIN(E$6,$B$11))/($A157*MIN(E$6,$B$11)))^2)</f>
        <v/>
      </c>
      <c r="K157" s="27">
        <f>IF(OR(B$7="",B$8=0),0,B$8*(B$7-K$16*(1-$A157)*(1-(1-$A157)^MIN(B$6,$B$11))/($A157*MIN(B$6,$B$11)))^2)+IF(OR(C$7="",C$8=0),0,C$8*(C$7-K$16*(1-$A157)*(1-(1-$A157)^MIN(C$6,$B$11))/($A157*MIN(C$6,$B$11)))^2)+IF(OR(D$7="",D$8=0),0,D$8*(D$7-K$16*(1-$A157)*(1-(1-$A157)^MIN(D$6,$B$11))/($A157*MIN(D$6,$B$11)))^2)+IF(OR(E$7="",E$8=0),0,E$8*(E$7-K$16*(1-$A157)*(1-(1-$A157)^MIN(E$6,$B$11))/($A157*MIN(E$6,$B$11)))^2)</f>
        <v/>
      </c>
      <c r="L157" s="27">
        <f>IF(OR(B$7="",B$8=0),0,B$8*(B$7-L$16*(1-$A157)*(1-(1-$A157)^MIN(B$6,$B$11))/($A157*MIN(B$6,$B$11)))^2)+IF(OR(C$7="",C$8=0),0,C$8*(C$7-L$16*(1-$A157)*(1-(1-$A157)^MIN(C$6,$B$11))/($A157*MIN(C$6,$B$11)))^2)+IF(OR(D$7="",D$8=0),0,D$8*(D$7-L$16*(1-$A157)*(1-(1-$A157)^MIN(D$6,$B$11))/($A157*MIN(D$6,$B$11)))^2)+IF(OR(E$7="",E$8=0),0,E$8*(E$7-L$16*(1-$A157)*(1-(1-$A157)^MIN(E$6,$B$11))/($A157*MIN(E$6,$B$11)))^2)</f>
        <v/>
      </c>
      <c r="M157" s="27">
        <f>IF(OR(B$7="",B$8=0),0,B$8*(B$7-M$16*(1-$A157)*(1-(1-$A157)^MIN(B$6,$B$11))/($A157*MIN(B$6,$B$11)))^2)+IF(OR(C$7="",C$8=0),0,C$8*(C$7-M$16*(1-$A157)*(1-(1-$A157)^MIN(C$6,$B$11))/($A157*MIN(C$6,$B$11)))^2)+IF(OR(D$7="",D$8=0),0,D$8*(D$7-M$16*(1-$A157)*(1-(1-$A157)^MIN(D$6,$B$11))/($A157*MIN(D$6,$B$11)))^2)+IF(OR(E$7="",E$8=0),0,E$8*(E$7-M$16*(1-$A157)*(1-(1-$A157)^MIN(E$6,$B$11))/($A157*MIN(E$6,$B$11)))^2)</f>
        <v/>
      </c>
      <c r="N157" s="27">
        <f>IF(OR(B$7="",B$8=0),0,B$8*(B$7-N$16*(1-$A157)*(1-(1-$A157)^MIN(B$6,$B$11))/($A157*MIN(B$6,$B$11)))^2)+IF(OR(C$7="",C$8=0),0,C$8*(C$7-N$16*(1-$A157)*(1-(1-$A157)^MIN(C$6,$B$11))/($A157*MIN(C$6,$B$11)))^2)+IF(OR(D$7="",D$8=0),0,D$8*(D$7-N$16*(1-$A157)*(1-(1-$A157)^MIN(D$6,$B$11))/($A157*MIN(D$6,$B$11)))^2)+IF(OR(E$7="",E$8=0),0,E$8*(E$7-N$16*(1-$A157)*(1-(1-$A157)^MIN(E$6,$B$11))/($A157*MIN(E$6,$B$11)))^2)</f>
        <v/>
      </c>
      <c r="O157" s="27">
        <f>IF(OR(B$7="",B$8=0),0,B$8*(B$7-O$16*(1-$A157)*(1-(1-$A157)^MIN(B$6,$B$11))/($A157*MIN(B$6,$B$11)))^2)+IF(OR(C$7="",C$8=0),0,C$8*(C$7-O$16*(1-$A157)*(1-(1-$A157)^MIN(C$6,$B$11))/($A157*MIN(C$6,$B$11)))^2)+IF(OR(D$7="",D$8=0),0,D$8*(D$7-O$16*(1-$A157)*(1-(1-$A157)^MIN(D$6,$B$11))/($A157*MIN(D$6,$B$11)))^2)+IF(OR(E$7="",E$8=0),0,E$8*(E$7-O$16*(1-$A157)*(1-(1-$A157)^MIN(E$6,$B$11))/($A157*MIN(E$6,$B$11)))^2)</f>
        <v/>
      </c>
      <c r="P157" s="27">
        <f>IF(OR(B$7="",B$8=0),0,B$8*(B$7-P$16*(1-$A157)*(1-(1-$A157)^MIN(B$6,$B$11))/($A157*MIN(B$6,$B$11)))^2)+IF(OR(C$7="",C$8=0),0,C$8*(C$7-P$16*(1-$A157)*(1-(1-$A157)^MIN(C$6,$B$11))/($A157*MIN(C$6,$B$11)))^2)+IF(OR(D$7="",D$8=0),0,D$8*(D$7-P$16*(1-$A157)*(1-(1-$A157)^MIN(D$6,$B$11))/($A157*MIN(D$6,$B$11)))^2)+IF(OR(E$7="",E$8=0),0,E$8*(E$7-P$16*(1-$A157)*(1-(1-$A157)^MIN(E$6,$B$11))/($A157*MIN(E$6,$B$11)))^2)</f>
        <v/>
      </c>
      <c r="Q157" s="27">
        <f>IF(OR(B$7="",B$8=0),0,B$8*(B$7-Q$16*(1-$A157)*(1-(1-$A157)^MIN(B$6,$B$11))/($A157*MIN(B$6,$B$11)))^2)+IF(OR(C$7="",C$8=0),0,C$8*(C$7-Q$16*(1-$A157)*(1-(1-$A157)^MIN(C$6,$B$11))/($A157*MIN(C$6,$B$11)))^2)+IF(OR(D$7="",D$8=0),0,D$8*(D$7-Q$16*(1-$A157)*(1-(1-$A157)^MIN(D$6,$B$11))/($A157*MIN(D$6,$B$11)))^2)+IF(OR(E$7="",E$8=0),0,E$8*(E$7-Q$16*(1-$A157)*(1-(1-$A157)^MIN(E$6,$B$11))/($A157*MIN(E$6,$B$11)))^2)</f>
        <v/>
      </c>
      <c r="R157" s="27">
        <f>IF(OR(B$7="",B$8=0),0,B$8*(B$7-R$16*(1-$A157)*(1-(1-$A157)^MIN(B$6,$B$11))/($A157*MIN(B$6,$B$11)))^2)+IF(OR(C$7="",C$8=0),0,C$8*(C$7-R$16*(1-$A157)*(1-(1-$A157)^MIN(C$6,$B$11))/($A157*MIN(C$6,$B$11)))^2)+IF(OR(D$7="",D$8=0),0,D$8*(D$7-R$16*(1-$A157)*(1-(1-$A157)^MIN(D$6,$B$11))/($A157*MIN(D$6,$B$11)))^2)+IF(OR(E$7="",E$8=0),0,E$8*(E$7-R$16*(1-$A157)*(1-(1-$A157)^MIN(E$6,$B$11))/($A157*MIN(E$6,$B$11)))^2)</f>
        <v/>
      </c>
      <c r="S157" s="27">
        <f>IF(OR(B$7="",B$8=0),0,B$8*(B$7-S$16*(1-$A157)*(1-(1-$A157)^MIN(B$6,$B$11))/($A157*MIN(B$6,$B$11)))^2)+IF(OR(C$7="",C$8=0),0,C$8*(C$7-S$16*(1-$A157)*(1-(1-$A157)^MIN(C$6,$B$11))/($A157*MIN(C$6,$B$11)))^2)+IF(OR(D$7="",D$8=0),0,D$8*(D$7-S$16*(1-$A157)*(1-(1-$A157)^MIN(D$6,$B$11))/($A157*MIN(D$6,$B$11)))^2)+IF(OR(E$7="",E$8=0),0,E$8*(E$7-S$16*(1-$A157)*(1-(1-$A157)^MIN(E$6,$B$11))/($A157*MIN(E$6,$B$11)))^2)</f>
        <v/>
      </c>
      <c r="U157" s="27">
        <f>MIN(B157:S157)</f>
        <v/>
      </c>
      <c r="V157" s="17">
        <f>MATCH(U157,B157:S157,0)</f>
        <v/>
      </c>
    </row>
    <row r="158">
      <c r="A158" s="26" t="n">
        <v>0.0755</v>
      </c>
      <c r="B158" s="27">
        <f>IF(OR(B$7="",B$8=0),0,B$8*(B$7-B$16*(1-$A158)*(1-(1-$A158)^MIN(B$6,$B$11))/($A158*MIN(B$6,$B$11)))^2)+IF(OR(C$7="",C$8=0),0,C$8*(C$7-B$16*(1-$A158)*(1-(1-$A158)^MIN(C$6,$B$11))/($A158*MIN(C$6,$B$11)))^2)+IF(OR(D$7="",D$8=0),0,D$8*(D$7-B$16*(1-$A158)*(1-(1-$A158)^MIN(D$6,$B$11))/($A158*MIN(D$6,$B$11)))^2)+IF(OR(E$7="",E$8=0),0,E$8*(E$7-B$16*(1-$A158)*(1-(1-$A158)^MIN(E$6,$B$11))/($A158*MIN(E$6,$B$11)))^2)</f>
        <v/>
      </c>
      <c r="C158" s="27">
        <f>IF(OR(B$7="",B$8=0),0,B$8*(B$7-C$16*(1-$A158)*(1-(1-$A158)^MIN(B$6,$B$11))/($A158*MIN(B$6,$B$11)))^2)+IF(OR(C$7="",C$8=0),0,C$8*(C$7-C$16*(1-$A158)*(1-(1-$A158)^MIN(C$6,$B$11))/($A158*MIN(C$6,$B$11)))^2)+IF(OR(D$7="",D$8=0),0,D$8*(D$7-C$16*(1-$A158)*(1-(1-$A158)^MIN(D$6,$B$11))/($A158*MIN(D$6,$B$11)))^2)+IF(OR(E$7="",E$8=0),0,E$8*(E$7-C$16*(1-$A158)*(1-(1-$A158)^MIN(E$6,$B$11))/($A158*MIN(E$6,$B$11)))^2)</f>
        <v/>
      </c>
      <c r="D158" s="27">
        <f>IF(OR(B$7="",B$8=0),0,B$8*(B$7-D$16*(1-$A158)*(1-(1-$A158)^MIN(B$6,$B$11))/($A158*MIN(B$6,$B$11)))^2)+IF(OR(C$7="",C$8=0),0,C$8*(C$7-D$16*(1-$A158)*(1-(1-$A158)^MIN(C$6,$B$11))/($A158*MIN(C$6,$B$11)))^2)+IF(OR(D$7="",D$8=0),0,D$8*(D$7-D$16*(1-$A158)*(1-(1-$A158)^MIN(D$6,$B$11))/($A158*MIN(D$6,$B$11)))^2)+IF(OR(E$7="",E$8=0),0,E$8*(E$7-D$16*(1-$A158)*(1-(1-$A158)^MIN(E$6,$B$11))/($A158*MIN(E$6,$B$11)))^2)</f>
        <v/>
      </c>
      <c r="E158" s="27">
        <f>IF(OR(B$7="",B$8=0),0,B$8*(B$7-E$16*(1-$A158)*(1-(1-$A158)^MIN(B$6,$B$11))/($A158*MIN(B$6,$B$11)))^2)+IF(OR(C$7="",C$8=0),0,C$8*(C$7-E$16*(1-$A158)*(1-(1-$A158)^MIN(C$6,$B$11))/($A158*MIN(C$6,$B$11)))^2)+IF(OR(D$7="",D$8=0),0,D$8*(D$7-E$16*(1-$A158)*(1-(1-$A158)^MIN(D$6,$B$11))/($A158*MIN(D$6,$B$11)))^2)+IF(OR(E$7="",E$8=0),0,E$8*(E$7-E$16*(1-$A158)*(1-(1-$A158)^MIN(E$6,$B$11))/($A158*MIN(E$6,$B$11)))^2)</f>
        <v/>
      </c>
      <c r="F158" s="27">
        <f>IF(OR(B$7="",B$8=0),0,B$8*(B$7-F$16*(1-$A158)*(1-(1-$A158)^MIN(B$6,$B$11))/($A158*MIN(B$6,$B$11)))^2)+IF(OR(C$7="",C$8=0),0,C$8*(C$7-F$16*(1-$A158)*(1-(1-$A158)^MIN(C$6,$B$11))/($A158*MIN(C$6,$B$11)))^2)+IF(OR(D$7="",D$8=0),0,D$8*(D$7-F$16*(1-$A158)*(1-(1-$A158)^MIN(D$6,$B$11))/($A158*MIN(D$6,$B$11)))^2)+IF(OR(E$7="",E$8=0),0,E$8*(E$7-F$16*(1-$A158)*(1-(1-$A158)^MIN(E$6,$B$11))/($A158*MIN(E$6,$B$11)))^2)</f>
        <v/>
      </c>
      <c r="G158" s="27">
        <f>IF(OR(B$7="",B$8=0),0,B$8*(B$7-G$16*(1-$A158)*(1-(1-$A158)^MIN(B$6,$B$11))/($A158*MIN(B$6,$B$11)))^2)+IF(OR(C$7="",C$8=0),0,C$8*(C$7-G$16*(1-$A158)*(1-(1-$A158)^MIN(C$6,$B$11))/($A158*MIN(C$6,$B$11)))^2)+IF(OR(D$7="",D$8=0),0,D$8*(D$7-G$16*(1-$A158)*(1-(1-$A158)^MIN(D$6,$B$11))/($A158*MIN(D$6,$B$11)))^2)+IF(OR(E$7="",E$8=0),0,E$8*(E$7-G$16*(1-$A158)*(1-(1-$A158)^MIN(E$6,$B$11))/($A158*MIN(E$6,$B$11)))^2)</f>
        <v/>
      </c>
      <c r="H158" s="27">
        <f>IF(OR(B$7="",B$8=0),0,B$8*(B$7-H$16*(1-$A158)*(1-(1-$A158)^MIN(B$6,$B$11))/($A158*MIN(B$6,$B$11)))^2)+IF(OR(C$7="",C$8=0),0,C$8*(C$7-H$16*(1-$A158)*(1-(1-$A158)^MIN(C$6,$B$11))/($A158*MIN(C$6,$B$11)))^2)+IF(OR(D$7="",D$8=0),0,D$8*(D$7-H$16*(1-$A158)*(1-(1-$A158)^MIN(D$6,$B$11))/($A158*MIN(D$6,$B$11)))^2)+IF(OR(E$7="",E$8=0),0,E$8*(E$7-H$16*(1-$A158)*(1-(1-$A158)^MIN(E$6,$B$11))/($A158*MIN(E$6,$B$11)))^2)</f>
        <v/>
      </c>
      <c r="I158" s="27">
        <f>IF(OR(B$7="",B$8=0),0,B$8*(B$7-I$16*(1-$A158)*(1-(1-$A158)^MIN(B$6,$B$11))/($A158*MIN(B$6,$B$11)))^2)+IF(OR(C$7="",C$8=0),0,C$8*(C$7-I$16*(1-$A158)*(1-(1-$A158)^MIN(C$6,$B$11))/($A158*MIN(C$6,$B$11)))^2)+IF(OR(D$7="",D$8=0),0,D$8*(D$7-I$16*(1-$A158)*(1-(1-$A158)^MIN(D$6,$B$11))/($A158*MIN(D$6,$B$11)))^2)+IF(OR(E$7="",E$8=0),0,E$8*(E$7-I$16*(1-$A158)*(1-(1-$A158)^MIN(E$6,$B$11))/($A158*MIN(E$6,$B$11)))^2)</f>
        <v/>
      </c>
      <c r="J158" s="27">
        <f>IF(OR(B$7="",B$8=0),0,B$8*(B$7-J$16*(1-$A158)*(1-(1-$A158)^MIN(B$6,$B$11))/($A158*MIN(B$6,$B$11)))^2)+IF(OR(C$7="",C$8=0),0,C$8*(C$7-J$16*(1-$A158)*(1-(1-$A158)^MIN(C$6,$B$11))/($A158*MIN(C$6,$B$11)))^2)+IF(OR(D$7="",D$8=0),0,D$8*(D$7-J$16*(1-$A158)*(1-(1-$A158)^MIN(D$6,$B$11))/($A158*MIN(D$6,$B$11)))^2)+IF(OR(E$7="",E$8=0),0,E$8*(E$7-J$16*(1-$A158)*(1-(1-$A158)^MIN(E$6,$B$11))/($A158*MIN(E$6,$B$11)))^2)</f>
        <v/>
      </c>
      <c r="K158" s="27">
        <f>IF(OR(B$7="",B$8=0),0,B$8*(B$7-K$16*(1-$A158)*(1-(1-$A158)^MIN(B$6,$B$11))/($A158*MIN(B$6,$B$11)))^2)+IF(OR(C$7="",C$8=0),0,C$8*(C$7-K$16*(1-$A158)*(1-(1-$A158)^MIN(C$6,$B$11))/($A158*MIN(C$6,$B$11)))^2)+IF(OR(D$7="",D$8=0),0,D$8*(D$7-K$16*(1-$A158)*(1-(1-$A158)^MIN(D$6,$B$11))/($A158*MIN(D$6,$B$11)))^2)+IF(OR(E$7="",E$8=0),0,E$8*(E$7-K$16*(1-$A158)*(1-(1-$A158)^MIN(E$6,$B$11))/($A158*MIN(E$6,$B$11)))^2)</f>
        <v/>
      </c>
      <c r="L158" s="27">
        <f>IF(OR(B$7="",B$8=0),0,B$8*(B$7-L$16*(1-$A158)*(1-(1-$A158)^MIN(B$6,$B$11))/($A158*MIN(B$6,$B$11)))^2)+IF(OR(C$7="",C$8=0),0,C$8*(C$7-L$16*(1-$A158)*(1-(1-$A158)^MIN(C$6,$B$11))/($A158*MIN(C$6,$B$11)))^2)+IF(OR(D$7="",D$8=0),0,D$8*(D$7-L$16*(1-$A158)*(1-(1-$A158)^MIN(D$6,$B$11))/($A158*MIN(D$6,$B$11)))^2)+IF(OR(E$7="",E$8=0),0,E$8*(E$7-L$16*(1-$A158)*(1-(1-$A158)^MIN(E$6,$B$11))/($A158*MIN(E$6,$B$11)))^2)</f>
        <v/>
      </c>
      <c r="M158" s="27">
        <f>IF(OR(B$7="",B$8=0),0,B$8*(B$7-M$16*(1-$A158)*(1-(1-$A158)^MIN(B$6,$B$11))/($A158*MIN(B$6,$B$11)))^2)+IF(OR(C$7="",C$8=0),0,C$8*(C$7-M$16*(1-$A158)*(1-(1-$A158)^MIN(C$6,$B$11))/($A158*MIN(C$6,$B$11)))^2)+IF(OR(D$7="",D$8=0),0,D$8*(D$7-M$16*(1-$A158)*(1-(1-$A158)^MIN(D$6,$B$11))/($A158*MIN(D$6,$B$11)))^2)+IF(OR(E$7="",E$8=0),0,E$8*(E$7-M$16*(1-$A158)*(1-(1-$A158)^MIN(E$6,$B$11))/($A158*MIN(E$6,$B$11)))^2)</f>
        <v/>
      </c>
      <c r="N158" s="27">
        <f>IF(OR(B$7="",B$8=0),0,B$8*(B$7-N$16*(1-$A158)*(1-(1-$A158)^MIN(B$6,$B$11))/($A158*MIN(B$6,$B$11)))^2)+IF(OR(C$7="",C$8=0),0,C$8*(C$7-N$16*(1-$A158)*(1-(1-$A158)^MIN(C$6,$B$11))/($A158*MIN(C$6,$B$11)))^2)+IF(OR(D$7="",D$8=0),0,D$8*(D$7-N$16*(1-$A158)*(1-(1-$A158)^MIN(D$6,$B$11))/($A158*MIN(D$6,$B$11)))^2)+IF(OR(E$7="",E$8=0),0,E$8*(E$7-N$16*(1-$A158)*(1-(1-$A158)^MIN(E$6,$B$11))/($A158*MIN(E$6,$B$11)))^2)</f>
        <v/>
      </c>
      <c r="O158" s="27">
        <f>IF(OR(B$7="",B$8=0),0,B$8*(B$7-O$16*(1-$A158)*(1-(1-$A158)^MIN(B$6,$B$11))/($A158*MIN(B$6,$B$11)))^2)+IF(OR(C$7="",C$8=0),0,C$8*(C$7-O$16*(1-$A158)*(1-(1-$A158)^MIN(C$6,$B$11))/($A158*MIN(C$6,$B$11)))^2)+IF(OR(D$7="",D$8=0),0,D$8*(D$7-O$16*(1-$A158)*(1-(1-$A158)^MIN(D$6,$B$11))/($A158*MIN(D$6,$B$11)))^2)+IF(OR(E$7="",E$8=0),0,E$8*(E$7-O$16*(1-$A158)*(1-(1-$A158)^MIN(E$6,$B$11))/($A158*MIN(E$6,$B$11)))^2)</f>
        <v/>
      </c>
      <c r="P158" s="27">
        <f>IF(OR(B$7="",B$8=0),0,B$8*(B$7-P$16*(1-$A158)*(1-(1-$A158)^MIN(B$6,$B$11))/($A158*MIN(B$6,$B$11)))^2)+IF(OR(C$7="",C$8=0),0,C$8*(C$7-P$16*(1-$A158)*(1-(1-$A158)^MIN(C$6,$B$11))/($A158*MIN(C$6,$B$11)))^2)+IF(OR(D$7="",D$8=0),0,D$8*(D$7-P$16*(1-$A158)*(1-(1-$A158)^MIN(D$6,$B$11))/($A158*MIN(D$6,$B$11)))^2)+IF(OR(E$7="",E$8=0),0,E$8*(E$7-P$16*(1-$A158)*(1-(1-$A158)^MIN(E$6,$B$11))/($A158*MIN(E$6,$B$11)))^2)</f>
        <v/>
      </c>
      <c r="Q158" s="27">
        <f>IF(OR(B$7="",B$8=0),0,B$8*(B$7-Q$16*(1-$A158)*(1-(1-$A158)^MIN(B$6,$B$11))/($A158*MIN(B$6,$B$11)))^2)+IF(OR(C$7="",C$8=0),0,C$8*(C$7-Q$16*(1-$A158)*(1-(1-$A158)^MIN(C$6,$B$11))/($A158*MIN(C$6,$B$11)))^2)+IF(OR(D$7="",D$8=0),0,D$8*(D$7-Q$16*(1-$A158)*(1-(1-$A158)^MIN(D$6,$B$11))/($A158*MIN(D$6,$B$11)))^2)+IF(OR(E$7="",E$8=0),0,E$8*(E$7-Q$16*(1-$A158)*(1-(1-$A158)^MIN(E$6,$B$11))/($A158*MIN(E$6,$B$11)))^2)</f>
        <v/>
      </c>
      <c r="R158" s="27">
        <f>IF(OR(B$7="",B$8=0),0,B$8*(B$7-R$16*(1-$A158)*(1-(1-$A158)^MIN(B$6,$B$11))/($A158*MIN(B$6,$B$11)))^2)+IF(OR(C$7="",C$8=0),0,C$8*(C$7-R$16*(1-$A158)*(1-(1-$A158)^MIN(C$6,$B$11))/($A158*MIN(C$6,$B$11)))^2)+IF(OR(D$7="",D$8=0),0,D$8*(D$7-R$16*(1-$A158)*(1-(1-$A158)^MIN(D$6,$B$11))/($A158*MIN(D$6,$B$11)))^2)+IF(OR(E$7="",E$8=0),0,E$8*(E$7-R$16*(1-$A158)*(1-(1-$A158)^MIN(E$6,$B$11))/($A158*MIN(E$6,$B$11)))^2)</f>
        <v/>
      </c>
      <c r="S158" s="27">
        <f>IF(OR(B$7="",B$8=0),0,B$8*(B$7-S$16*(1-$A158)*(1-(1-$A158)^MIN(B$6,$B$11))/($A158*MIN(B$6,$B$11)))^2)+IF(OR(C$7="",C$8=0),0,C$8*(C$7-S$16*(1-$A158)*(1-(1-$A158)^MIN(C$6,$B$11))/($A158*MIN(C$6,$B$11)))^2)+IF(OR(D$7="",D$8=0),0,D$8*(D$7-S$16*(1-$A158)*(1-(1-$A158)^MIN(D$6,$B$11))/($A158*MIN(D$6,$B$11)))^2)+IF(OR(E$7="",E$8=0),0,E$8*(E$7-S$16*(1-$A158)*(1-(1-$A158)^MIN(E$6,$B$11))/($A158*MIN(E$6,$B$11)))^2)</f>
        <v/>
      </c>
      <c r="U158" s="27">
        <f>MIN(B158:S158)</f>
        <v/>
      </c>
      <c r="V158" s="17">
        <f>MATCH(U158,B158:S158,0)</f>
        <v/>
      </c>
    </row>
    <row r="159">
      <c r="A159" s="26" t="n">
        <v>0.076</v>
      </c>
      <c r="B159" s="27">
        <f>IF(OR(B$7="",B$8=0),0,B$8*(B$7-B$16*(1-$A159)*(1-(1-$A159)^MIN(B$6,$B$11))/($A159*MIN(B$6,$B$11)))^2)+IF(OR(C$7="",C$8=0),0,C$8*(C$7-B$16*(1-$A159)*(1-(1-$A159)^MIN(C$6,$B$11))/($A159*MIN(C$6,$B$11)))^2)+IF(OR(D$7="",D$8=0),0,D$8*(D$7-B$16*(1-$A159)*(1-(1-$A159)^MIN(D$6,$B$11))/($A159*MIN(D$6,$B$11)))^2)+IF(OR(E$7="",E$8=0),0,E$8*(E$7-B$16*(1-$A159)*(1-(1-$A159)^MIN(E$6,$B$11))/($A159*MIN(E$6,$B$11)))^2)</f>
        <v/>
      </c>
      <c r="C159" s="27">
        <f>IF(OR(B$7="",B$8=0),0,B$8*(B$7-C$16*(1-$A159)*(1-(1-$A159)^MIN(B$6,$B$11))/($A159*MIN(B$6,$B$11)))^2)+IF(OR(C$7="",C$8=0),0,C$8*(C$7-C$16*(1-$A159)*(1-(1-$A159)^MIN(C$6,$B$11))/($A159*MIN(C$6,$B$11)))^2)+IF(OR(D$7="",D$8=0),0,D$8*(D$7-C$16*(1-$A159)*(1-(1-$A159)^MIN(D$6,$B$11))/($A159*MIN(D$6,$B$11)))^2)+IF(OR(E$7="",E$8=0),0,E$8*(E$7-C$16*(1-$A159)*(1-(1-$A159)^MIN(E$6,$B$11))/($A159*MIN(E$6,$B$11)))^2)</f>
        <v/>
      </c>
      <c r="D159" s="27">
        <f>IF(OR(B$7="",B$8=0),0,B$8*(B$7-D$16*(1-$A159)*(1-(1-$A159)^MIN(B$6,$B$11))/($A159*MIN(B$6,$B$11)))^2)+IF(OR(C$7="",C$8=0),0,C$8*(C$7-D$16*(1-$A159)*(1-(1-$A159)^MIN(C$6,$B$11))/($A159*MIN(C$6,$B$11)))^2)+IF(OR(D$7="",D$8=0),0,D$8*(D$7-D$16*(1-$A159)*(1-(1-$A159)^MIN(D$6,$B$11))/($A159*MIN(D$6,$B$11)))^2)+IF(OR(E$7="",E$8=0),0,E$8*(E$7-D$16*(1-$A159)*(1-(1-$A159)^MIN(E$6,$B$11))/($A159*MIN(E$6,$B$11)))^2)</f>
        <v/>
      </c>
      <c r="E159" s="27">
        <f>IF(OR(B$7="",B$8=0),0,B$8*(B$7-E$16*(1-$A159)*(1-(1-$A159)^MIN(B$6,$B$11))/($A159*MIN(B$6,$B$11)))^2)+IF(OR(C$7="",C$8=0),0,C$8*(C$7-E$16*(1-$A159)*(1-(1-$A159)^MIN(C$6,$B$11))/($A159*MIN(C$6,$B$11)))^2)+IF(OR(D$7="",D$8=0),0,D$8*(D$7-E$16*(1-$A159)*(1-(1-$A159)^MIN(D$6,$B$11))/($A159*MIN(D$6,$B$11)))^2)+IF(OR(E$7="",E$8=0),0,E$8*(E$7-E$16*(1-$A159)*(1-(1-$A159)^MIN(E$6,$B$11))/($A159*MIN(E$6,$B$11)))^2)</f>
        <v/>
      </c>
      <c r="F159" s="27">
        <f>IF(OR(B$7="",B$8=0),0,B$8*(B$7-F$16*(1-$A159)*(1-(1-$A159)^MIN(B$6,$B$11))/($A159*MIN(B$6,$B$11)))^2)+IF(OR(C$7="",C$8=0),0,C$8*(C$7-F$16*(1-$A159)*(1-(1-$A159)^MIN(C$6,$B$11))/($A159*MIN(C$6,$B$11)))^2)+IF(OR(D$7="",D$8=0),0,D$8*(D$7-F$16*(1-$A159)*(1-(1-$A159)^MIN(D$6,$B$11))/($A159*MIN(D$6,$B$11)))^2)+IF(OR(E$7="",E$8=0),0,E$8*(E$7-F$16*(1-$A159)*(1-(1-$A159)^MIN(E$6,$B$11))/($A159*MIN(E$6,$B$11)))^2)</f>
        <v/>
      </c>
      <c r="G159" s="27">
        <f>IF(OR(B$7="",B$8=0),0,B$8*(B$7-G$16*(1-$A159)*(1-(1-$A159)^MIN(B$6,$B$11))/($A159*MIN(B$6,$B$11)))^2)+IF(OR(C$7="",C$8=0),0,C$8*(C$7-G$16*(1-$A159)*(1-(1-$A159)^MIN(C$6,$B$11))/($A159*MIN(C$6,$B$11)))^2)+IF(OR(D$7="",D$8=0),0,D$8*(D$7-G$16*(1-$A159)*(1-(1-$A159)^MIN(D$6,$B$11))/($A159*MIN(D$6,$B$11)))^2)+IF(OR(E$7="",E$8=0),0,E$8*(E$7-G$16*(1-$A159)*(1-(1-$A159)^MIN(E$6,$B$11))/($A159*MIN(E$6,$B$11)))^2)</f>
        <v/>
      </c>
      <c r="H159" s="27">
        <f>IF(OR(B$7="",B$8=0),0,B$8*(B$7-H$16*(1-$A159)*(1-(1-$A159)^MIN(B$6,$B$11))/($A159*MIN(B$6,$B$11)))^2)+IF(OR(C$7="",C$8=0),0,C$8*(C$7-H$16*(1-$A159)*(1-(1-$A159)^MIN(C$6,$B$11))/($A159*MIN(C$6,$B$11)))^2)+IF(OR(D$7="",D$8=0),0,D$8*(D$7-H$16*(1-$A159)*(1-(1-$A159)^MIN(D$6,$B$11))/($A159*MIN(D$6,$B$11)))^2)+IF(OR(E$7="",E$8=0),0,E$8*(E$7-H$16*(1-$A159)*(1-(1-$A159)^MIN(E$6,$B$11))/($A159*MIN(E$6,$B$11)))^2)</f>
        <v/>
      </c>
      <c r="I159" s="27">
        <f>IF(OR(B$7="",B$8=0),0,B$8*(B$7-I$16*(1-$A159)*(1-(1-$A159)^MIN(B$6,$B$11))/($A159*MIN(B$6,$B$11)))^2)+IF(OR(C$7="",C$8=0),0,C$8*(C$7-I$16*(1-$A159)*(1-(1-$A159)^MIN(C$6,$B$11))/($A159*MIN(C$6,$B$11)))^2)+IF(OR(D$7="",D$8=0),0,D$8*(D$7-I$16*(1-$A159)*(1-(1-$A159)^MIN(D$6,$B$11))/($A159*MIN(D$6,$B$11)))^2)+IF(OR(E$7="",E$8=0),0,E$8*(E$7-I$16*(1-$A159)*(1-(1-$A159)^MIN(E$6,$B$11))/($A159*MIN(E$6,$B$11)))^2)</f>
        <v/>
      </c>
      <c r="J159" s="27">
        <f>IF(OR(B$7="",B$8=0),0,B$8*(B$7-J$16*(1-$A159)*(1-(1-$A159)^MIN(B$6,$B$11))/($A159*MIN(B$6,$B$11)))^2)+IF(OR(C$7="",C$8=0),0,C$8*(C$7-J$16*(1-$A159)*(1-(1-$A159)^MIN(C$6,$B$11))/($A159*MIN(C$6,$B$11)))^2)+IF(OR(D$7="",D$8=0),0,D$8*(D$7-J$16*(1-$A159)*(1-(1-$A159)^MIN(D$6,$B$11))/($A159*MIN(D$6,$B$11)))^2)+IF(OR(E$7="",E$8=0),0,E$8*(E$7-J$16*(1-$A159)*(1-(1-$A159)^MIN(E$6,$B$11))/($A159*MIN(E$6,$B$11)))^2)</f>
        <v/>
      </c>
      <c r="K159" s="27">
        <f>IF(OR(B$7="",B$8=0),0,B$8*(B$7-K$16*(1-$A159)*(1-(1-$A159)^MIN(B$6,$B$11))/($A159*MIN(B$6,$B$11)))^2)+IF(OR(C$7="",C$8=0),0,C$8*(C$7-K$16*(1-$A159)*(1-(1-$A159)^MIN(C$6,$B$11))/($A159*MIN(C$6,$B$11)))^2)+IF(OR(D$7="",D$8=0),0,D$8*(D$7-K$16*(1-$A159)*(1-(1-$A159)^MIN(D$6,$B$11))/($A159*MIN(D$6,$B$11)))^2)+IF(OR(E$7="",E$8=0),0,E$8*(E$7-K$16*(1-$A159)*(1-(1-$A159)^MIN(E$6,$B$11))/($A159*MIN(E$6,$B$11)))^2)</f>
        <v/>
      </c>
      <c r="L159" s="27">
        <f>IF(OR(B$7="",B$8=0),0,B$8*(B$7-L$16*(1-$A159)*(1-(1-$A159)^MIN(B$6,$B$11))/($A159*MIN(B$6,$B$11)))^2)+IF(OR(C$7="",C$8=0),0,C$8*(C$7-L$16*(1-$A159)*(1-(1-$A159)^MIN(C$6,$B$11))/($A159*MIN(C$6,$B$11)))^2)+IF(OR(D$7="",D$8=0),0,D$8*(D$7-L$16*(1-$A159)*(1-(1-$A159)^MIN(D$6,$B$11))/($A159*MIN(D$6,$B$11)))^2)+IF(OR(E$7="",E$8=0),0,E$8*(E$7-L$16*(1-$A159)*(1-(1-$A159)^MIN(E$6,$B$11))/($A159*MIN(E$6,$B$11)))^2)</f>
        <v/>
      </c>
      <c r="M159" s="27">
        <f>IF(OR(B$7="",B$8=0),0,B$8*(B$7-M$16*(1-$A159)*(1-(1-$A159)^MIN(B$6,$B$11))/($A159*MIN(B$6,$B$11)))^2)+IF(OR(C$7="",C$8=0),0,C$8*(C$7-M$16*(1-$A159)*(1-(1-$A159)^MIN(C$6,$B$11))/($A159*MIN(C$6,$B$11)))^2)+IF(OR(D$7="",D$8=0),0,D$8*(D$7-M$16*(1-$A159)*(1-(1-$A159)^MIN(D$6,$B$11))/($A159*MIN(D$6,$B$11)))^2)+IF(OR(E$7="",E$8=0),0,E$8*(E$7-M$16*(1-$A159)*(1-(1-$A159)^MIN(E$6,$B$11))/($A159*MIN(E$6,$B$11)))^2)</f>
        <v/>
      </c>
      <c r="N159" s="27">
        <f>IF(OR(B$7="",B$8=0),0,B$8*(B$7-N$16*(1-$A159)*(1-(1-$A159)^MIN(B$6,$B$11))/($A159*MIN(B$6,$B$11)))^2)+IF(OR(C$7="",C$8=0),0,C$8*(C$7-N$16*(1-$A159)*(1-(1-$A159)^MIN(C$6,$B$11))/($A159*MIN(C$6,$B$11)))^2)+IF(OR(D$7="",D$8=0),0,D$8*(D$7-N$16*(1-$A159)*(1-(1-$A159)^MIN(D$6,$B$11))/($A159*MIN(D$6,$B$11)))^2)+IF(OR(E$7="",E$8=0),0,E$8*(E$7-N$16*(1-$A159)*(1-(1-$A159)^MIN(E$6,$B$11))/($A159*MIN(E$6,$B$11)))^2)</f>
        <v/>
      </c>
      <c r="O159" s="27">
        <f>IF(OR(B$7="",B$8=0),0,B$8*(B$7-O$16*(1-$A159)*(1-(1-$A159)^MIN(B$6,$B$11))/($A159*MIN(B$6,$B$11)))^2)+IF(OR(C$7="",C$8=0),0,C$8*(C$7-O$16*(1-$A159)*(1-(1-$A159)^MIN(C$6,$B$11))/($A159*MIN(C$6,$B$11)))^2)+IF(OR(D$7="",D$8=0),0,D$8*(D$7-O$16*(1-$A159)*(1-(1-$A159)^MIN(D$6,$B$11))/($A159*MIN(D$6,$B$11)))^2)+IF(OR(E$7="",E$8=0),0,E$8*(E$7-O$16*(1-$A159)*(1-(1-$A159)^MIN(E$6,$B$11))/($A159*MIN(E$6,$B$11)))^2)</f>
        <v/>
      </c>
      <c r="P159" s="27">
        <f>IF(OR(B$7="",B$8=0),0,B$8*(B$7-P$16*(1-$A159)*(1-(1-$A159)^MIN(B$6,$B$11))/($A159*MIN(B$6,$B$11)))^2)+IF(OR(C$7="",C$8=0),0,C$8*(C$7-P$16*(1-$A159)*(1-(1-$A159)^MIN(C$6,$B$11))/($A159*MIN(C$6,$B$11)))^2)+IF(OR(D$7="",D$8=0),0,D$8*(D$7-P$16*(1-$A159)*(1-(1-$A159)^MIN(D$6,$B$11))/($A159*MIN(D$6,$B$11)))^2)+IF(OR(E$7="",E$8=0),0,E$8*(E$7-P$16*(1-$A159)*(1-(1-$A159)^MIN(E$6,$B$11))/($A159*MIN(E$6,$B$11)))^2)</f>
        <v/>
      </c>
      <c r="Q159" s="27">
        <f>IF(OR(B$7="",B$8=0),0,B$8*(B$7-Q$16*(1-$A159)*(1-(1-$A159)^MIN(B$6,$B$11))/($A159*MIN(B$6,$B$11)))^2)+IF(OR(C$7="",C$8=0),0,C$8*(C$7-Q$16*(1-$A159)*(1-(1-$A159)^MIN(C$6,$B$11))/($A159*MIN(C$6,$B$11)))^2)+IF(OR(D$7="",D$8=0),0,D$8*(D$7-Q$16*(1-$A159)*(1-(1-$A159)^MIN(D$6,$B$11))/($A159*MIN(D$6,$B$11)))^2)+IF(OR(E$7="",E$8=0),0,E$8*(E$7-Q$16*(1-$A159)*(1-(1-$A159)^MIN(E$6,$B$11))/($A159*MIN(E$6,$B$11)))^2)</f>
        <v/>
      </c>
      <c r="R159" s="27">
        <f>IF(OR(B$7="",B$8=0),0,B$8*(B$7-R$16*(1-$A159)*(1-(1-$A159)^MIN(B$6,$B$11))/($A159*MIN(B$6,$B$11)))^2)+IF(OR(C$7="",C$8=0),0,C$8*(C$7-R$16*(1-$A159)*(1-(1-$A159)^MIN(C$6,$B$11))/($A159*MIN(C$6,$B$11)))^2)+IF(OR(D$7="",D$8=0),0,D$8*(D$7-R$16*(1-$A159)*(1-(1-$A159)^MIN(D$6,$B$11))/($A159*MIN(D$6,$B$11)))^2)+IF(OR(E$7="",E$8=0),0,E$8*(E$7-R$16*(1-$A159)*(1-(1-$A159)^MIN(E$6,$B$11))/($A159*MIN(E$6,$B$11)))^2)</f>
        <v/>
      </c>
      <c r="S159" s="27">
        <f>IF(OR(B$7="",B$8=0),0,B$8*(B$7-S$16*(1-$A159)*(1-(1-$A159)^MIN(B$6,$B$11))/($A159*MIN(B$6,$B$11)))^2)+IF(OR(C$7="",C$8=0),0,C$8*(C$7-S$16*(1-$A159)*(1-(1-$A159)^MIN(C$6,$B$11))/($A159*MIN(C$6,$B$11)))^2)+IF(OR(D$7="",D$8=0),0,D$8*(D$7-S$16*(1-$A159)*(1-(1-$A159)^MIN(D$6,$B$11))/($A159*MIN(D$6,$B$11)))^2)+IF(OR(E$7="",E$8=0),0,E$8*(E$7-S$16*(1-$A159)*(1-(1-$A159)^MIN(E$6,$B$11))/($A159*MIN(E$6,$B$11)))^2)</f>
        <v/>
      </c>
      <c r="U159" s="27">
        <f>MIN(B159:S159)</f>
        <v/>
      </c>
      <c r="V159" s="17">
        <f>MATCH(U159,B159:S159,0)</f>
        <v/>
      </c>
    </row>
    <row r="160">
      <c r="A160" s="26" t="n">
        <v>0.0765</v>
      </c>
      <c r="B160" s="27">
        <f>IF(OR(B$7="",B$8=0),0,B$8*(B$7-B$16*(1-$A160)*(1-(1-$A160)^MIN(B$6,$B$11))/($A160*MIN(B$6,$B$11)))^2)+IF(OR(C$7="",C$8=0),0,C$8*(C$7-B$16*(1-$A160)*(1-(1-$A160)^MIN(C$6,$B$11))/($A160*MIN(C$6,$B$11)))^2)+IF(OR(D$7="",D$8=0),0,D$8*(D$7-B$16*(1-$A160)*(1-(1-$A160)^MIN(D$6,$B$11))/($A160*MIN(D$6,$B$11)))^2)+IF(OR(E$7="",E$8=0),0,E$8*(E$7-B$16*(1-$A160)*(1-(1-$A160)^MIN(E$6,$B$11))/($A160*MIN(E$6,$B$11)))^2)</f>
        <v/>
      </c>
      <c r="C160" s="27">
        <f>IF(OR(B$7="",B$8=0),0,B$8*(B$7-C$16*(1-$A160)*(1-(1-$A160)^MIN(B$6,$B$11))/($A160*MIN(B$6,$B$11)))^2)+IF(OR(C$7="",C$8=0),0,C$8*(C$7-C$16*(1-$A160)*(1-(1-$A160)^MIN(C$6,$B$11))/($A160*MIN(C$6,$B$11)))^2)+IF(OR(D$7="",D$8=0),0,D$8*(D$7-C$16*(1-$A160)*(1-(1-$A160)^MIN(D$6,$B$11))/($A160*MIN(D$6,$B$11)))^2)+IF(OR(E$7="",E$8=0),0,E$8*(E$7-C$16*(1-$A160)*(1-(1-$A160)^MIN(E$6,$B$11))/($A160*MIN(E$6,$B$11)))^2)</f>
        <v/>
      </c>
      <c r="D160" s="27">
        <f>IF(OR(B$7="",B$8=0),0,B$8*(B$7-D$16*(1-$A160)*(1-(1-$A160)^MIN(B$6,$B$11))/($A160*MIN(B$6,$B$11)))^2)+IF(OR(C$7="",C$8=0),0,C$8*(C$7-D$16*(1-$A160)*(1-(1-$A160)^MIN(C$6,$B$11))/($A160*MIN(C$6,$B$11)))^2)+IF(OR(D$7="",D$8=0),0,D$8*(D$7-D$16*(1-$A160)*(1-(1-$A160)^MIN(D$6,$B$11))/($A160*MIN(D$6,$B$11)))^2)+IF(OR(E$7="",E$8=0),0,E$8*(E$7-D$16*(1-$A160)*(1-(1-$A160)^MIN(E$6,$B$11))/($A160*MIN(E$6,$B$11)))^2)</f>
        <v/>
      </c>
      <c r="E160" s="27">
        <f>IF(OR(B$7="",B$8=0),0,B$8*(B$7-E$16*(1-$A160)*(1-(1-$A160)^MIN(B$6,$B$11))/($A160*MIN(B$6,$B$11)))^2)+IF(OR(C$7="",C$8=0),0,C$8*(C$7-E$16*(1-$A160)*(1-(1-$A160)^MIN(C$6,$B$11))/($A160*MIN(C$6,$B$11)))^2)+IF(OR(D$7="",D$8=0),0,D$8*(D$7-E$16*(1-$A160)*(1-(1-$A160)^MIN(D$6,$B$11))/($A160*MIN(D$6,$B$11)))^2)+IF(OR(E$7="",E$8=0),0,E$8*(E$7-E$16*(1-$A160)*(1-(1-$A160)^MIN(E$6,$B$11))/($A160*MIN(E$6,$B$11)))^2)</f>
        <v/>
      </c>
      <c r="F160" s="27">
        <f>IF(OR(B$7="",B$8=0),0,B$8*(B$7-F$16*(1-$A160)*(1-(1-$A160)^MIN(B$6,$B$11))/($A160*MIN(B$6,$B$11)))^2)+IF(OR(C$7="",C$8=0),0,C$8*(C$7-F$16*(1-$A160)*(1-(1-$A160)^MIN(C$6,$B$11))/($A160*MIN(C$6,$B$11)))^2)+IF(OR(D$7="",D$8=0),0,D$8*(D$7-F$16*(1-$A160)*(1-(1-$A160)^MIN(D$6,$B$11))/($A160*MIN(D$6,$B$11)))^2)+IF(OR(E$7="",E$8=0),0,E$8*(E$7-F$16*(1-$A160)*(1-(1-$A160)^MIN(E$6,$B$11))/($A160*MIN(E$6,$B$11)))^2)</f>
        <v/>
      </c>
      <c r="G160" s="27">
        <f>IF(OR(B$7="",B$8=0),0,B$8*(B$7-G$16*(1-$A160)*(1-(1-$A160)^MIN(B$6,$B$11))/($A160*MIN(B$6,$B$11)))^2)+IF(OR(C$7="",C$8=0),0,C$8*(C$7-G$16*(1-$A160)*(1-(1-$A160)^MIN(C$6,$B$11))/($A160*MIN(C$6,$B$11)))^2)+IF(OR(D$7="",D$8=0),0,D$8*(D$7-G$16*(1-$A160)*(1-(1-$A160)^MIN(D$6,$B$11))/($A160*MIN(D$6,$B$11)))^2)+IF(OR(E$7="",E$8=0),0,E$8*(E$7-G$16*(1-$A160)*(1-(1-$A160)^MIN(E$6,$B$11))/($A160*MIN(E$6,$B$11)))^2)</f>
        <v/>
      </c>
      <c r="H160" s="27">
        <f>IF(OR(B$7="",B$8=0),0,B$8*(B$7-H$16*(1-$A160)*(1-(1-$A160)^MIN(B$6,$B$11))/($A160*MIN(B$6,$B$11)))^2)+IF(OR(C$7="",C$8=0),0,C$8*(C$7-H$16*(1-$A160)*(1-(1-$A160)^MIN(C$6,$B$11))/($A160*MIN(C$6,$B$11)))^2)+IF(OR(D$7="",D$8=0),0,D$8*(D$7-H$16*(1-$A160)*(1-(1-$A160)^MIN(D$6,$B$11))/($A160*MIN(D$6,$B$11)))^2)+IF(OR(E$7="",E$8=0),0,E$8*(E$7-H$16*(1-$A160)*(1-(1-$A160)^MIN(E$6,$B$11))/($A160*MIN(E$6,$B$11)))^2)</f>
        <v/>
      </c>
      <c r="I160" s="27">
        <f>IF(OR(B$7="",B$8=0),0,B$8*(B$7-I$16*(1-$A160)*(1-(1-$A160)^MIN(B$6,$B$11))/($A160*MIN(B$6,$B$11)))^2)+IF(OR(C$7="",C$8=0),0,C$8*(C$7-I$16*(1-$A160)*(1-(1-$A160)^MIN(C$6,$B$11))/($A160*MIN(C$6,$B$11)))^2)+IF(OR(D$7="",D$8=0),0,D$8*(D$7-I$16*(1-$A160)*(1-(1-$A160)^MIN(D$6,$B$11))/($A160*MIN(D$6,$B$11)))^2)+IF(OR(E$7="",E$8=0),0,E$8*(E$7-I$16*(1-$A160)*(1-(1-$A160)^MIN(E$6,$B$11))/($A160*MIN(E$6,$B$11)))^2)</f>
        <v/>
      </c>
      <c r="J160" s="27">
        <f>IF(OR(B$7="",B$8=0),0,B$8*(B$7-J$16*(1-$A160)*(1-(1-$A160)^MIN(B$6,$B$11))/($A160*MIN(B$6,$B$11)))^2)+IF(OR(C$7="",C$8=0),0,C$8*(C$7-J$16*(1-$A160)*(1-(1-$A160)^MIN(C$6,$B$11))/($A160*MIN(C$6,$B$11)))^2)+IF(OR(D$7="",D$8=0),0,D$8*(D$7-J$16*(1-$A160)*(1-(1-$A160)^MIN(D$6,$B$11))/($A160*MIN(D$6,$B$11)))^2)+IF(OR(E$7="",E$8=0),0,E$8*(E$7-J$16*(1-$A160)*(1-(1-$A160)^MIN(E$6,$B$11))/($A160*MIN(E$6,$B$11)))^2)</f>
        <v/>
      </c>
      <c r="K160" s="27">
        <f>IF(OR(B$7="",B$8=0),0,B$8*(B$7-K$16*(1-$A160)*(1-(1-$A160)^MIN(B$6,$B$11))/($A160*MIN(B$6,$B$11)))^2)+IF(OR(C$7="",C$8=0),0,C$8*(C$7-K$16*(1-$A160)*(1-(1-$A160)^MIN(C$6,$B$11))/($A160*MIN(C$6,$B$11)))^2)+IF(OR(D$7="",D$8=0),0,D$8*(D$7-K$16*(1-$A160)*(1-(1-$A160)^MIN(D$6,$B$11))/($A160*MIN(D$6,$B$11)))^2)+IF(OR(E$7="",E$8=0),0,E$8*(E$7-K$16*(1-$A160)*(1-(1-$A160)^MIN(E$6,$B$11))/($A160*MIN(E$6,$B$11)))^2)</f>
        <v/>
      </c>
      <c r="L160" s="27">
        <f>IF(OR(B$7="",B$8=0),0,B$8*(B$7-L$16*(1-$A160)*(1-(1-$A160)^MIN(B$6,$B$11))/($A160*MIN(B$6,$B$11)))^2)+IF(OR(C$7="",C$8=0),0,C$8*(C$7-L$16*(1-$A160)*(1-(1-$A160)^MIN(C$6,$B$11))/($A160*MIN(C$6,$B$11)))^2)+IF(OR(D$7="",D$8=0),0,D$8*(D$7-L$16*(1-$A160)*(1-(1-$A160)^MIN(D$6,$B$11))/($A160*MIN(D$6,$B$11)))^2)+IF(OR(E$7="",E$8=0),0,E$8*(E$7-L$16*(1-$A160)*(1-(1-$A160)^MIN(E$6,$B$11))/($A160*MIN(E$6,$B$11)))^2)</f>
        <v/>
      </c>
      <c r="M160" s="27">
        <f>IF(OR(B$7="",B$8=0),0,B$8*(B$7-M$16*(1-$A160)*(1-(1-$A160)^MIN(B$6,$B$11))/($A160*MIN(B$6,$B$11)))^2)+IF(OR(C$7="",C$8=0),0,C$8*(C$7-M$16*(1-$A160)*(1-(1-$A160)^MIN(C$6,$B$11))/($A160*MIN(C$6,$B$11)))^2)+IF(OR(D$7="",D$8=0),0,D$8*(D$7-M$16*(1-$A160)*(1-(1-$A160)^MIN(D$6,$B$11))/($A160*MIN(D$6,$B$11)))^2)+IF(OR(E$7="",E$8=0),0,E$8*(E$7-M$16*(1-$A160)*(1-(1-$A160)^MIN(E$6,$B$11))/($A160*MIN(E$6,$B$11)))^2)</f>
        <v/>
      </c>
      <c r="N160" s="27">
        <f>IF(OR(B$7="",B$8=0),0,B$8*(B$7-N$16*(1-$A160)*(1-(1-$A160)^MIN(B$6,$B$11))/($A160*MIN(B$6,$B$11)))^2)+IF(OR(C$7="",C$8=0),0,C$8*(C$7-N$16*(1-$A160)*(1-(1-$A160)^MIN(C$6,$B$11))/($A160*MIN(C$6,$B$11)))^2)+IF(OR(D$7="",D$8=0),0,D$8*(D$7-N$16*(1-$A160)*(1-(1-$A160)^MIN(D$6,$B$11))/($A160*MIN(D$6,$B$11)))^2)+IF(OR(E$7="",E$8=0),0,E$8*(E$7-N$16*(1-$A160)*(1-(1-$A160)^MIN(E$6,$B$11))/($A160*MIN(E$6,$B$11)))^2)</f>
        <v/>
      </c>
      <c r="O160" s="27">
        <f>IF(OR(B$7="",B$8=0),0,B$8*(B$7-O$16*(1-$A160)*(1-(1-$A160)^MIN(B$6,$B$11))/($A160*MIN(B$6,$B$11)))^2)+IF(OR(C$7="",C$8=0),0,C$8*(C$7-O$16*(1-$A160)*(1-(1-$A160)^MIN(C$6,$B$11))/($A160*MIN(C$6,$B$11)))^2)+IF(OR(D$7="",D$8=0),0,D$8*(D$7-O$16*(1-$A160)*(1-(1-$A160)^MIN(D$6,$B$11))/($A160*MIN(D$6,$B$11)))^2)+IF(OR(E$7="",E$8=0),0,E$8*(E$7-O$16*(1-$A160)*(1-(1-$A160)^MIN(E$6,$B$11))/($A160*MIN(E$6,$B$11)))^2)</f>
        <v/>
      </c>
      <c r="P160" s="27">
        <f>IF(OR(B$7="",B$8=0),0,B$8*(B$7-P$16*(1-$A160)*(1-(1-$A160)^MIN(B$6,$B$11))/($A160*MIN(B$6,$B$11)))^2)+IF(OR(C$7="",C$8=0),0,C$8*(C$7-P$16*(1-$A160)*(1-(1-$A160)^MIN(C$6,$B$11))/($A160*MIN(C$6,$B$11)))^2)+IF(OR(D$7="",D$8=0),0,D$8*(D$7-P$16*(1-$A160)*(1-(1-$A160)^MIN(D$6,$B$11))/($A160*MIN(D$6,$B$11)))^2)+IF(OR(E$7="",E$8=0),0,E$8*(E$7-P$16*(1-$A160)*(1-(1-$A160)^MIN(E$6,$B$11))/($A160*MIN(E$6,$B$11)))^2)</f>
        <v/>
      </c>
      <c r="Q160" s="27">
        <f>IF(OR(B$7="",B$8=0),0,B$8*(B$7-Q$16*(1-$A160)*(1-(1-$A160)^MIN(B$6,$B$11))/($A160*MIN(B$6,$B$11)))^2)+IF(OR(C$7="",C$8=0),0,C$8*(C$7-Q$16*(1-$A160)*(1-(1-$A160)^MIN(C$6,$B$11))/($A160*MIN(C$6,$B$11)))^2)+IF(OR(D$7="",D$8=0),0,D$8*(D$7-Q$16*(1-$A160)*(1-(1-$A160)^MIN(D$6,$B$11))/($A160*MIN(D$6,$B$11)))^2)+IF(OR(E$7="",E$8=0),0,E$8*(E$7-Q$16*(1-$A160)*(1-(1-$A160)^MIN(E$6,$B$11))/($A160*MIN(E$6,$B$11)))^2)</f>
        <v/>
      </c>
      <c r="R160" s="27">
        <f>IF(OR(B$7="",B$8=0),0,B$8*(B$7-R$16*(1-$A160)*(1-(1-$A160)^MIN(B$6,$B$11))/($A160*MIN(B$6,$B$11)))^2)+IF(OR(C$7="",C$8=0),0,C$8*(C$7-R$16*(1-$A160)*(1-(1-$A160)^MIN(C$6,$B$11))/($A160*MIN(C$6,$B$11)))^2)+IF(OR(D$7="",D$8=0),0,D$8*(D$7-R$16*(1-$A160)*(1-(1-$A160)^MIN(D$6,$B$11))/($A160*MIN(D$6,$B$11)))^2)+IF(OR(E$7="",E$8=0),0,E$8*(E$7-R$16*(1-$A160)*(1-(1-$A160)^MIN(E$6,$B$11))/($A160*MIN(E$6,$B$11)))^2)</f>
        <v/>
      </c>
      <c r="S160" s="27">
        <f>IF(OR(B$7="",B$8=0),0,B$8*(B$7-S$16*(1-$A160)*(1-(1-$A160)^MIN(B$6,$B$11))/($A160*MIN(B$6,$B$11)))^2)+IF(OR(C$7="",C$8=0),0,C$8*(C$7-S$16*(1-$A160)*(1-(1-$A160)^MIN(C$6,$B$11))/($A160*MIN(C$6,$B$11)))^2)+IF(OR(D$7="",D$8=0),0,D$8*(D$7-S$16*(1-$A160)*(1-(1-$A160)^MIN(D$6,$B$11))/($A160*MIN(D$6,$B$11)))^2)+IF(OR(E$7="",E$8=0),0,E$8*(E$7-S$16*(1-$A160)*(1-(1-$A160)^MIN(E$6,$B$11))/($A160*MIN(E$6,$B$11)))^2)</f>
        <v/>
      </c>
      <c r="U160" s="27">
        <f>MIN(B160:S160)</f>
        <v/>
      </c>
      <c r="V160" s="17">
        <f>MATCH(U160,B160:S160,0)</f>
        <v/>
      </c>
    </row>
    <row r="161">
      <c r="A161" s="26" t="n">
        <v>0.077</v>
      </c>
      <c r="B161" s="27">
        <f>IF(OR(B$7="",B$8=0),0,B$8*(B$7-B$16*(1-$A161)*(1-(1-$A161)^MIN(B$6,$B$11))/($A161*MIN(B$6,$B$11)))^2)+IF(OR(C$7="",C$8=0),0,C$8*(C$7-B$16*(1-$A161)*(1-(1-$A161)^MIN(C$6,$B$11))/($A161*MIN(C$6,$B$11)))^2)+IF(OR(D$7="",D$8=0),0,D$8*(D$7-B$16*(1-$A161)*(1-(1-$A161)^MIN(D$6,$B$11))/($A161*MIN(D$6,$B$11)))^2)+IF(OR(E$7="",E$8=0),0,E$8*(E$7-B$16*(1-$A161)*(1-(1-$A161)^MIN(E$6,$B$11))/($A161*MIN(E$6,$B$11)))^2)</f>
        <v/>
      </c>
      <c r="C161" s="27">
        <f>IF(OR(B$7="",B$8=0),0,B$8*(B$7-C$16*(1-$A161)*(1-(1-$A161)^MIN(B$6,$B$11))/($A161*MIN(B$6,$B$11)))^2)+IF(OR(C$7="",C$8=0),0,C$8*(C$7-C$16*(1-$A161)*(1-(1-$A161)^MIN(C$6,$B$11))/($A161*MIN(C$6,$B$11)))^2)+IF(OR(D$7="",D$8=0),0,D$8*(D$7-C$16*(1-$A161)*(1-(1-$A161)^MIN(D$6,$B$11))/($A161*MIN(D$6,$B$11)))^2)+IF(OR(E$7="",E$8=0),0,E$8*(E$7-C$16*(1-$A161)*(1-(1-$A161)^MIN(E$6,$B$11))/($A161*MIN(E$6,$B$11)))^2)</f>
        <v/>
      </c>
      <c r="D161" s="27">
        <f>IF(OR(B$7="",B$8=0),0,B$8*(B$7-D$16*(1-$A161)*(1-(1-$A161)^MIN(B$6,$B$11))/($A161*MIN(B$6,$B$11)))^2)+IF(OR(C$7="",C$8=0),0,C$8*(C$7-D$16*(1-$A161)*(1-(1-$A161)^MIN(C$6,$B$11))/($A161*MIN(C$6,$B$11)))^2)+IF(OR(D$7="",D$8=0),0,D$8*(D$7-D$16*(1-$A161)*(1-(1-$A161)^MIN(D$6,$B$11))/($A161*MIN(D$6,$B$11)))^2)+IF(OR(E$7="",E$8=0),0,E$8*(E$7-D$16*(1-$A161)*(1-(1-$A161)^MIN(E$6,$B$11))/($A161*MIN(E$6,$B$11)))^2)</f>
        <v/>
      </c>
      <c r="E161" s="27">
        <f>IF(OR(B$7="",B$8=0),0,B$8*(B$7-E$16*(1-$A161)*(1-(1-$A161)^MIN(B$6,$B$11))/($A161*MIN(B$6,$B$11)))^2)+IF(OR(C$7="",C$8=0),0,C$8*(C$7-E$16*(1-$A161)*(1-(1-$A161)^MIN(C$6,$B$11))/($A161*MIN(C$6,$B$11)))^2)+IF(OR(D$7="",D$8=0),0,D$8*(D$7-E$16*(1-$A161)*(1-(1-$A161)^MIN(D$6,$B$11))/($A161*MIN(D$6,$B$11)))^2)+IF(OR(E$7="",E$8=0),0,E$8*(E$7-E$16*(1-$A161)*(1-(1-$A161)^MIN(E$6,$B$11))/($A161*MIN(E$6,$B$11)))^2)</f>
        <v/>
      </c>
      <c r="F161" s="27">
        <f>IF(OR(B$7="",B$8=0),0,B$8*(B$7-F$16*(1-$A161)*(1-(1-$A161)^MIN(B$6,$B$11))/($A161*MIN(B$6,$B$11)))^2)+IF(OR(C$7="",C$8=0),0,C$8*(C$7-F$16*(1-$A161)*(1-(1-$A161)^MIN(C$6,$B$11))/($A161*MIN(C$6,$B$11)))^2)+IF(OR(D$7="",D$8=0),0,D$8*(D$7-F$16*(1-$A161)*(1-(1-$A161)^MIN(D$6,$B$11))/($A161*MIN(D$6,$B$11)))^2)+IF(OR(E$7="",E$8=0),0,E$8*(E$7-F$16*(1-$A161)*(1-(1-$A161)^MIN(E$6,$B$11))/($A161*MIN(E$6,$B$11)))^2)</f>
        <v/>
      </c>
      <c r="G161" s="27">
        <f>IF(OR(B$7="",B$8=0),0,B$8*(B$7-G$16*(1-$A161)*(1-(1-$A161)^MIN(B$6,$B$11))/($A161*MIN(B$6,$B$11)))^2)+IF(OR(C$7="",C$8=0),0,C$8*(C$7-G$16*(1-$A161)*(1-(1-$A161)^MIN(C$6,$B$11))/($A161*MIN(C$6,$B$11)))^2)+IF(OR(D$7="",D$8=0),0,D$8*(D$7-G$16*(1-$A161)*(1-(1-$A161)^MIN(D$6,$B$11))/($A161*MIN(D$6,$B$11)))^2)+IF(OR(E$7="",E$8=0),0,E$8*(E$7-G$16*(1-$A161)*(1-(1-$A161)^MIN(E$6,$B$11))/($A161*MIN(E$6,$B$11)))^2)</f>
        <v/>
      </c>
      <c r="H161" s="27">
        <f>IF(OR(B$7="",B$8=0),0,B$8*(B$7-H$16*(1-$A161)*(1-(1-$A161)^MIN(B$6,$B$11))/($A161*MIN(B$6,$B$11)))^2)+IF(OR(C$7="",C$8=0),0,C$8*(C$7-H$16*(1-$A161)*(1-(1-$A161)^MIN(C$6,$B$11))/($A161*MIN(C$6,$B$11)))^2)+IF(OR(D$7="",D$8=0),0,D$8*(D$7-H$16*(1-$A161)*(1-(1-$A161)^MIN(D$6,$B$11))/($A161*MIN(D$6,$B$11)))^2)+IF(OR(E$7="",E$8=0),0,E$8*(E$7-H$16*(1-$A161)*(1-(1-$A161)^MIN(E$6,$B$11))/($A161*MIN(E$6,$B$11)))^2)</f>
        <v/>
      </c>
      <c r="I161" s="27">
        <f>IF(OR(B$7="",B$8=0),0,B$8*(B$7-I$16*(1-$A161)*(1-(1-$A161)^MIN(B$6,$B$11))/($A161*MIN(B$6,$B$11)))^2)+IF(OR(C$7="",C$8=0),0,C$8*(C$7-I$16*(1-$A161)*(1-(1-$A161)^MIN(C$6,$B$11))/($A161*MIN(C$6,$B$11)))^2)+IF(OR(D$7="",D$8=0),0,D$8*(D$7-I$16*(1-$A161)*(1-(1-$A161)^MIN(D$6,$B$11))/($A161*MIN(D$6,$B$11)))^2)+IF(OR(E$7="",E$8=0),0,E$8*(E$7-I$16*(1-$A161)*(1-(1-$A161)^MIN(E$6,$B$11))/($A161*MIN(E$6,$B$11)))^2)</f>
        <v/>
      </c>
      <c r="J161" s="27">
        <f>IF(OR(B$7="",B$8=0),0,B$8*(B$7-J$16*(1-$A161)*(1-(1-$A161)^MIN(B$6,$B$11))/($A161*MIN(B$6,$B$11)))^2)+IF(OR(C$7="",C$8=0),0,C$8*(C$7-J$16*(1-$A161)*(1-(1-$A161)^MIN(C$6,$B$11))/($A161*MIN(C$6,$B$11)))^2)+IF(OR(D$7="",D$8=0),0,D$8*(D$7-J$16*(1-$A161)*(1-(1-$A161)^MIN(D$6,$B$11))/($A161*MIN(D$6,$B$11)))^2)+IF(OR(E$7="",E$8=0),0,E$8*(E$7-J$16*(1-$A161)*(1-(1-$A161)^MIN(E$6,$B$11))/($A161*MIN(E$6,$B$11)))^2)</f>
        <v/>
      </c>
      <c r="K161" s="27">
        <f>IF(OR(B$7="",B$8=0),0,B$8*(B$7-K$16*(1-$A161)*(1-(1-$A161)^MIN(B$6,$B$11))/($A161*MIN(B$6,$B$11)))^2)+IF(OR(C$7="",C$8=0),0,C$8*(C$7-K$16*(1-$A161)*(1-(1-$A161)^MIN(C$6,$B$11))/($A161*MIN(C$6,$B$11)))^2)+IF(OR(D$7="",D$8=0),0,D$8*(D$7-K$16*(1-$A161)*(1-(1-$A161)^MIN(D$6,$B$11))/($A161*MIN(D$6,$B$11)))^2)+IF(OR(E$7="",E$8=0),0,E$8*(E$7-K$16*(1-$A161)*(1-(1-$A161)^MIN(E$6,$B$11))/($A161*MIN(E$6,$B$11)))^2)</f>
        <v/>
      </c>
      <c r="L161" s="27">
        <f>IF(OR(B$7="",B$8=0),0,B$8*(B$7-L$16*(1-$A161)*(1-(1-$A161)^MIN(B$6,$B$11))/($A161*MIN(B$6,$B$11)))^2)+IF(OR(C$7="",C$8=0),0,C$8*(C$7-L$16*(1-$A161)*(1-(1-$A161)^MIN(C$6,$B$11))/($A161*MIN(C$6,$B$11)))^2)+IF(OR(D$7="",D$8=0),0,D$8*(D$7-L$16*(1-$A161)*(1-(1-$A161)^MIN(D$6,$B$11))/($A161*MIN(D$6,$B$11)))^2)+IF(OR(E$7="",E$8=0),0,E$8*(E$7-L$16*(1-$A161)*(1-(1-$A161)^MIN(E$6,$B$11))/($A161*MIN(E$6,$B$11)))^2)</f>
        <v/>
      </c>
      <c r="M161" s="27">
        <f>IF(OR(B$7="",B$8=0),0,B$8*(B$7-M$16*(1-$A161)*(1-(1-$A161)^MIN(B$6,$B$11))/($A161*MIN(B$6,$B$11)))^2)+IF(OR(C$7="",C$8=0),0,C$8*(C$7-M$16*(1-$A161)*(1-(1-$A161)^MIN(C$6,$B$11))/($A161*MIN(C$6,$B$11)))^2)+IF(OR(D$7="",D$8=0),0,D$8*(D$7-M$16*(1-$A161)*(1-(1-$A161)^MIN(D$6,$B$11))/($A161*MIN(D$6,$B$11)))^2)+IF(OR(E$7="",E$8=0),0,E$8*(E$7-M$16*(1-$A161)*(1-(1-$A161)^MIN(E$6,$B$11))/($A161*MIN(E$6,$B$11)))^2)</f>
        <v/>
      </c>
      <c r="N161" s="27">
        <f>IF(OR(B$7="",B$8=0),0,B$8*(B$7-N$16*(1-$A161)*(1-(1-$A161)^MIN(B$6,$B$11))/($A161*MIN(B$6,$B$11)))^2)+IF(OR(C$7="",C$8=0),0,C$8*(C$7-N$16*(1-$A161)*(1-(1-$A161)^MIN(C$6,$B$11))/($A161*MIN(C$6,$B$11)))^2)+IF(OR(D$7="",D$8=0),0,D$8*(D$7-N$16*(1-$A161)*(1-(1-$A161)^MIN(D$6,$B$11))/($A161*MIN(D$6,$B$11)))^2)+IF(OR(E$7="",E$8=0),0,E$8*(E$7-N$16*(1-$A161)*(1-(1-$A161)^MIN(E$6,$B$11))/($A161*MIN(E$6,$B$11)))^2)</f>
        <v/>
      </c>
      <c r="O161" s="27">
        <f>IF(OR(B$7="",B$8=0),0,B$8*(B$7-O$16*(1-$A161)*(1-(1-$A161)^MIN(B$6,$B$11))/($A161*MIN(B$6,$B$11)))^2)+IF(OR(C$7="",C$8=0),0,C$8*(C$7-O$16*(1-$A161)*(1-(1-$A161)^MIN(C$6,$B$11))/($A161*MIN(C$6,$B$11)))^2)+IF(OR(D$7="",D$8=0),0,D$8*(D$7-O$16*(1-$A161)*(1-(1-$A161)^MIN(D$6,$B$11))/($A161*MIN(D$6,$B$11)))^2)+IF(OR(E$7="",E$8=0),0,E$8*(E$7-O$16*(1-$A161)*(1-(1-$A161)^MIN(E$6,$B$11))/($A161*MIN(E$6,$B$11)))^2)</f>
        <v/>
      </c>
      <c r="P161" s="27">
        <f>IF(OR(B$7="",B$8=0),0,B$8*(B$7-P$16*(1-$A161)*(1-(1-$A161)^MIN(B$6,$B$11))/($A161*MIN(B$6,$B$11)))^2)+IF(OR(C$7="",C$8=0),0,C$8*(C$7-P$16*(1-$A161)*(1-(1-$A161)^MIN(C$6,$B$11))/($A161*MIN(C$6,$B$11)))^2)+IF(OR(D$7="",D$8=0),0,D$8*(D$7-P$16*(1-$A161)*(1-(1-$A161)^MIN(D$6,$B$11))/($A161*MIN(D$6,$B$11)))^2)+IF(OR(E$7="",E$8=0),0,E$8*(E$7-P$16*(1-$A161)*(1-(1-$A161)^MIN(E$6,$B$11))/($A161*MIN(E$6,$B$11)))^2)</f>
        <v/>
      </c>
      <c r="Q161" s="27">
        <f>IF(OR(B$7="",B$8=0),0,B$8*(B$7-Q$16*(1-$A161)*(1-(1-$A161)^MIN(B$6,$B$11))/($A161*MIN(B$6,$B$11)))^2)+IF(OR(C$7="",C$8=0),0,C$8*(C$7-Q$16*(1-$A161)*(1-(1-$A161)^MIN(C$6,$B$11))/($A161*MIN(C$6,$B$11)))^2)+IF(OR(D$7="",D$8=0),0,D$8*(D$7-Q$16*(1-$A161)*(1-(1-$A161)^MIN(D$6,$B$11))/($A161*MIN(D$6,$B$11)))^2)+IF(OR(E$7="",E$8=0),0,E$8*(E$7-Q$16*(1-$A161)*(1-(1-$A161)^MIN(E$6,$B$11))/($A161*MIN(E$6,$B$11)))^2)</f>
        <v/>
      </c>
      <c r="R161" s="27">
        <f>IF(OR(B$7="",B$8=0),0,B$8*(B$7-R$16*(1-$A161)*(1-(1-$A161)^MIN(B$6,$B$11))/($A161*MIN(B$6,$B$11)))^2)+IF(OR(C$7="",C$8=0),0,C$8*(C$7-R$16*(1-$A161)*(1-(1-$A161)^MIN(C$6,$B$11))/($A161*MIN(C$6,$B$11)))^2)+IF(OR(D$7="",D$8=0),0,D$8*(D$7-R$16*(1-$A161)*(1-(1-$A161)^MIN(D$6,$B$11))/($A161*MIN(D$6,$B$11)))^2)+IF(OR(E$7="",E$8=0),0,E$8*(E$7-R$16*(1-$A161)*(1-(1-$A161)^MIN(E$6,$B$11))/($A161*MIN(E$6,$B$11)))^2)</f>
        <v/>
      </c>
      <c r="S161" s="27">
        <f>IF(OR(B$7="",B$8=0),0,B$8*(B$7-S$16*(1-$A161)*(1-(1-$A161)^MIN(B$6,$B$11))/($A161*MIN(B$6,$B$11)))^2)+IF(OR(C$7="",C$8=0),0,C$8*(C$7-S$16*(1-$A161)*(1-(1-$A161)^MIN(C$6,$B$11))/($A161*MIN(C$6,$B$11)))^2)+IF(OR(D$7="",D$8=0),0,D$8*(D$7-S$16*(1-$A161)*(1-(1-$A161)^MIN(D$6,$B$11))/($A161*MIN(D$6,$B$11)))^2)+IF(OR(E$7="",E$8=0),0,E$8*(E$7-S$16*(1-$A161)*(1-(1-$A161)^MIN(E$6,$B$11))/($A161*MIN(E$6,$B$11)))^2)</f>
        <v/>
      </c>
      <c r="U161" s="27">
        <f>MIN(B161:S161)</f>
        <v/>
      </c>
      <c r="V161" s="17">
        <f>MATCH(U161,B161:S161,0)</f>
        <v/>
      </c>
    </row>
    <row r="162">
      <c r="A162" s="26" t="n">
        <v>0.0775</v>
      </c>
      <c r="B162" s="27">
        <f>IF(OR(B$7="",B$8=0),0,B$8*(B$7-B$16*(1-$A162)*(1-(1-$A162)^MIN(B$6,$B$11))/($A162*MIN(B$6,$B$11)))^2)+IF(OR(C$7="",C$8=0),0,C$8*(C$7-B$16*(1-$A162)*(1-(1-$A162)^MIN(C$6,$B$11))/($A162*MIN(C$6,$B$11)))^2)+IF(OR(D$7="",D$8=0),0,D$8*(D$7-B$16*(1-$A162)*(1-(1-$A162)^MIN(D$6,$B$11))/($A162*MIN(D$6,$B$11)))^2)+IF(OR(E$7="",E$8=0),0,E$8*(E$7-B$16*(1-$A162)*(1-(1-$A162)^MIN(E$6,$B$11))/($A162*MIN(E$6,$B$11)))^2)</f>
        <v/>
      </c>
      <c r="C162" s="27">
        <f>IF(OR(B$7="",B$8=0),0,B$8*(B$7-C$16*(1-$A162)*(1-(1-$A162)^MIN(B$6,$B$11))/($A162*MIN(B$6,$B$11)))^2)+IF(OR(C$7="",C$8=0),0,C$8*(C$7-C$16*(1-$A162)*(1-(1-$A162)^MIN(C$6,$B$11))/($A162*MIN(C$6,$B$11)))^2)+IF(OR(D$7="",D$8=0),0,D$8*(D$7-C$16*(1-$A162)*(1-(1-$A162)^MIN(D$6,$B$11))/($A162*MIN(D$6,$B$11)))^2)+IF(OR(E$7="",E$8=0),0,E$8*(E$7-C$16*(1-$A162)*(1-(1-$A162)^MIN(E$6,$B$11))/($A162*MIN(E$6,$B$11)))^2)</f>
        <v/>
      </c>
      <c r="D162" s="27">
        <f>IF(OR(B$7="",B$8=0),0,B$8*(B$7-D$16*(1-$A162)*(1-(1-$A162)^MIN(B$6,$B$11))/($A162*MIN(B$6,$B$11)))^2)+IF(OR(C$7="",C$8=0),0,C$8*(C$7-D$16*(1-$A162)*(1-(1-$A162)^MIN(C$6,$B$11))/($A162*MIN(C$6,$B$11)))^2)+IF(OR(D$7="",D$8=0),0,D$8*(D$7-D$16*(1-$A162)*(1-(1-$A162)^MIN(D$6,$B$11))/($A162*MIN(D$6,$B$11)))^2)+IF(OR(E$7="",E$8=0),0,E$8*(E$7-D$16*(1-$A162)*(1-(1-$A162)^MIN(E$6,$B$11))/($A162*MIN(E$6,$B$11)))^2)</f>
        <v/>
      </c>
      <c r="E162" s="27">
        <f>IF(OR(B$7="",B$8=0),0,B$8*(B$7-E$16*(1-$A162)*(1-(1-$A162)^MIN(B$6,$B$11))/($A162*MIN(B$6,$B$11)))^2)+IF(OR(C$7="",C$8=0),0,C$8*(C$7-E$16*(1-$A162)*(1-(1-$A162)^MIN(C$6,$B$11))/($A162*MIN(C$6,$B$11)))^2)+IF(OR(D$7="",D$8=0),0,D$8*(D$7-E$16*(1-$A162)*(1-(1-$A162)^MIN(D$6,$B$11))/($A162*MIN(D$6,$B$11)))^2)+IF(OR(E$7="",E$8=0),0,E$8*(E$7-E$16*(1-$A162)*(1-(1-$A162)^MIN(E$6,$B$11))/($A162*MIN(E$6,$B$11)))^2)</f>
        <v/>
      </c>
      <c r="F162" s="27">
        <f>IF(OR(B$7="",B$8=0),0,B$8*(B$7-F$16*(1-$A162)*(1-(1-$A162)^MIN(B$6,$B$11))/($A162*MIN(B$6,$B$11)))^2)+IF(OR(C$7="",C$8=0),0,C$8*(C$7-F$16*(1-$A162)*(1-(1-$A162)^MIN(C$6,$B$11))/($A162*MIN(C$6,$B$11)))^2)+IF(OR(D$7="",D$8=0),0,D$8*(D$7-F$16*(1-$A162)*(1-(1-$A162)^MIN(D$6,$B$11))/($A162*MIN(D$6,$B$11)))^2)+IF(OR(E$7="",E$8=0),0,E$8*(E$7-F$16*(1-$A162)*(1-(1-$A162)^MIN(E$6,$B$11))/($A162*MIN(E$6,$B$11)))^2)</f>
        <v/>
      </c>
      <c r="G162" s="27">
        <f>IF(OR(B$7="",B$8=0),0,B$8*(B$7-G$16*(1-$A162)*(1-(1-$A162)^MIN(B$6,$B$11))/($A162*MIN(B$6,$B$11)))^2)+IF(OR(C$7="",C$8=0),0,C$8*(C$7-G$16*(1-$A162)*(1-(1-$A162)^MIN(C$6,$B$11))/($A162*MIN(C$6,$B$11)))^2)+IF(OR(D$7="",D$8=0),0,D$8*(D$7-G$16*(1-$A162)*(1-(1-$A162)^MIN(D$6,$B$11))/($A162*MIN(D$6,$B$11)))^2)+IF(OR(E$7="",E$8=0),0,E$8*(E$7-G$16*(1-$A162)*(1-(1-$A162)^MIN(E$6,$B$11))/($A162*MIN(E$6,$B$11)))^2)</f>
        <v/>
      </c>
      <c r="H162" s="27">
        <f>IF(OR(B$7="",B$8=0),0,B$8*(B$7-H$16*(1-$A162)*(1-(1-$A162)^MIN(B$6,$B$11))/($A162*MIN(B$6,$B$11)))^2)+IF(OR(C$7="",C$8=0),0,C$8*(C$7-H$16*(1-$A162)*(1-(1-$A162)^MIN(C$6,$B$11))/($A162*MIN(C$6,$B$11)))^2)+IF(OR(D$7="",D$8=0),0,D$8*(D$7-H$16*(1-$A162)*(1-(1-$A162)^MIN(D$6,$B$11))/($A162*MIN(D$6,$B$11)))^2)+IF(OR(E$7="",E$8=0),0,E$8*(E$7-H$16*(1-$A162)*(1-(1-$A162)^MIN(E$6,$B$11))/($A162*MIN(E$6,$B$11)))^2)</f>
        <v/>
      </c>
      <c r="I162" s="27">
        <f>IF(OR(B$7="",B$8=0),0,B$8*(B$7-I$16*(1-$A162)*(1-(1-$A162)^MIN(B$6,$B$11))/($A162*MIN(B$6,$B$11)))^2)+IF(OR(C$7="",C$8=0),0,C$8*(C$7-I$16*(1-$A162)*(1-(1-$A162)^MIN(C$6,$B$11))/($A162*MIN(C$6,$B$11)))^2)+IF(OR(D$7="",D$8=0),0,D$8*(D$7-I$16*(1-$A162)*(1-(1-$A162)^MIN(D$6,$B$11))/($A162*MIN(D$6,$B$11)))^2)+IF(OR(E$7="",E$8=0),0,E$8*(E$7-I$16*(1-$A162)*(1-(1-$A162)^MIN(E$6,$B$11))/($A162*MIN(E$6,$B$11)))^2)</f>
        <v/>
      </c>
      <c r="J162" s="27">
        <f>IF(OR(B$7="",B$8=0),0,B$8*(B$7-J$16*(1-$A162)*(1-(1-$A162)^MIN(B$6,$B$11))/($A162*MIN(B$6,$B$11)))^2)+IF(OR(C$7="",C$8=0),0,C$8*(C$7-J$16*(1-$A162)*(1-(1-$A162)^MIN(C$6,$B$11))/($A162*MIN(C$6,$B$11)))^2)+IF(OR(D$7="",D$8=0),0,D$8*(D$7-J$16*(1-$A162)*(1-(1-$A162)^MIN(D$6,$B$11))/($A162*MIN(D$6,$B$11)))^2)+IF(OR(E$7="",E$8=0),0,E$8*(E$7-J$16*(1-$A162)*(1-(1-$A162)^MIN(E$6,$B$11))/($A162*MIN(E$6,$B$11)))^2)</f>
        <v/>
      </c>
      <c r="K162" s="27">
        <f>IF(OR(B$7="",B$8=0),0,B$8*(B$7-K$16*(1-$A162)*(1-(1-$A162)^MIN(B$6,$B$11))/($A162*MIN(B$6,$B$11)))^2)+IF(OR(C$7="",C$8=0),0,C$8*(C$7-K$16*(1-$A162)*(1-(1-$A162)^MIN(C$6,$B$11))/($A162*MIN(C$6,$B$11)))^2)+IF(OR(D$7="",D$8=0),0,D$8*(D$7-K$16*(1-$A162)*(1-(1-$A162)^MIN(D$6,$B$11))/($A162*MIN(D$6,$B$11)))^2)+IF(OR(E$7="",E$8=0),0,E$8*(E$7-K$16*(1-$A162)*(1-(1-$A162)^MIN(E$6,$B$11))/($A162*MIN(E$6,$B$11)))^2)</f>
        <v/>
      </c>
      <c r="L162" s="27">
        <f>IF(OR(B$7="",B$8=0),0,B$8*(B$7-L$16*(1-$A162)*(1-(1-$A162)^MIN(B$6,$B$11))/($A162*MIN(B$6,$B$11)))^2)+IF(OR(C$7="",C$8=0),0,C$8*(C$7-L$16*(1-$A162)*(1-(1-$A162)^MIN(C$6,$B$11))/($A162*MIN(C$6,$B$11)))^2)+IF(OR(D$7="",D$8=0),0,D$8*(D$7-L$16*(1-$A162)*(1-(1-$A162)^MIN(D$6,$B$11))/($A162*MIN(D$6,$B$11)))^2)+IF(OR(E$7="",E$8=0),0,E$8*(E$7-L$16*(1-$A162)*(1-(1-$A162)^MIN(E$6,$B$11))/($A162*MIN(E$6,$B$11)))^2)</f>
        <v/>
      </c>
      <c r="M162" s="27">
        <f>IF(OR(B$7="",B$8=0),0,B$8*(B$7-M$16*(1-$A162)*(1-(1-$A162)^MIN(B$6,$B$11))/($A162*MIN(B$6,$B$11)))^2)+IF(OR(C$7="",C$8=0),0,C$8*(C$7-M$16*(1-$A162)*(1-(1-$A162)^MIN(C$6,$B$11))/($A162*MIN(C$6,$B$11)))^2)+IF(OR(D$7="",D$8=0),0,D$8*(D$7-M$16*(1-$A162)*(1-(1-$A162)^MIN(D$6,$B$11))/($A162*MIN(D$6,$B$11)))^2)+IF(OR(E$7="",E$8=0),0,E$8*(E$7-M$16*(1-$A162)*(1-(1-$A162)^MIN(E$6,$B$11))/($A162*MIN(E$6,$B$11)))^2)</f>
        <v/>
      </c>
      <c r="N162" s="27">
        <f>IF(OR(B$7="",B$8=0),0,B$8*(B$7-N$16*(1-$A162)*(1-(1-$A162)^MIN(B$6,$B$11))/($A162*MIN(B$6,$B$11)))^2)+IF(OR(C$7="",C$8=0),0,C$8*(C$7-N$16*(1-$A162)*(1-(1-$A162)^MIN(C$6,$B$11))/($A162*MIN(C$6,$B$11)))^2)+IF(OR(D$7="",D$8=0),0,D$8*(D$7-N$16*(1-$A162)*(1-(1-$A162)^MIN(D$6,$B$11))/($A162*MIN(D$6,$B$11)))^2)+IF(OR(E$7="",E$8=0),0,E$8*(E$7-N$16*(1-$A162)*(1-(1-$A162)^MIN(E$6,$B$11))/($A162*MIN(E$6,$B$11)))^2)</f>
        <v/>
      </c>
      <c r="O162" s="27">
        <f>IF(OR(B$7="",B$8=0),0,B$8*(B$7-O$16*(1-$A162)*(1-(1-$A162)^MIN(B$6,$B$11))/($A162*MIN(B$6,$B$11)))^2)+IF(OR(C$7="",C$8=0),0,C$8*(C$7-O$16*(1-$A162)*(1-(1-$A162)^MIN(C$6,$B$11))/($A162*MIN(C$6,$B$11)))^2)+IF(OR(D$7="",D$8=0),0,D$8*(D$7-O$16*(1-$A162)*(1-(1-$A162)^MIN(D$6,$B$11))/($A162*MIN(D$6,$B$11)))^2)+IF(OR(E$7="",E$8=0),0,E$8*(E$7-O$16*(1-$A162)*(1-(1-$A162)^MIN(E$6,$B$11))/($A162*MIN(E$6,$B$11)))^2)</f>
        <v/>
      </c>
      <c r="P162" s="27">
        <f>IF(OR(B$7="",B$8=0),0,B$8*(B$7-P$16*(1-$A162)*(1-(1-$A162)^MIN(B$6,$B$11))/($A162*MIN(B$6,$B$11)))^2)+IF(OR(C$7="",C$8=0),0,C$8*(C$7-P$16*(1-$A162)*(1-(1-$A162)^MIN(C$6,$B$11))/($A162*MIN(C$6,$B$11)))^2)+IF(OR(D$7="",D$8=0),0,D$8*(D$7-P$16*(1-$A162)*(1-(1-$A162)^MIN(D$6,$B$11))/($A162*MIN(D$6,$B$11)))^2)+IF(OR(E$7="",E$8=0),0,E$8*(E$7-P$16*(1-$A162)*(1-(1-$A162)^MIN(E$6,$B$11))/($A162*MIN(E$6,$B$11)))^2)</f>
        <v/>
      </c>
      <c r="Q162" s="27">
        <f>IF(OR(B$7="",B$8=0),0,B$8*(B$7-Q$16*(1-$A162)*(1-(1-$A162)^MIN(B$6,$B$11))/($A162*MIN(B$6,$B$11)))^2)+IF(OR(C$7="",C$8=0),0,C$8*(C$7-Q$16*(1-$A162)*(1-(1-$A162)^MIN(C$6,$B$11))/($A162*MIN(C$6,$B$11)))^2)+IF(OR(D$7="",D$8=0),0,D$8*(D$7-Q$16*(1-$A162)*(1-(1-$A162)^MIN(D$6,$B$11))/($A162*MIN(D$6,$B$11)))^2)+IF(OR(E$7="",E$8=0),0,E$8*(E$7-Q$16*(1-$A162)*(1-(1-$A162)^MIN(E$6,$B$11))/($A162*MIN(E$6,$B$11)))^2)</f>
        <v/>
      </c>
      <c r="R162" s="27">
        <f>IF(OR(B$7="",B$8=0),0,B$8*(B$7-R$16*(1-$A162)*(1-(1-$A162)^MIN(B$6,$B$11))/($A162*MIN(B$6,$B$11)))^2)+IF(OR(C$7="",C$8=0),0,C$8*(C$7-R$16*(1-$A162)*(1-(1-$A162)^MIN(C$6,$B$11))/($A162*MIN(C$6,$B$11)))^2)+IF(OR(D$7="",D$8=0),0,D$8*(D$7-R$16*(1-$A162)*(1-(1-$A162)^MIN(D$6,$B$11))/($A162*MIN(D$6,$B$11)))^2)+IF(OR(E$7="",E$8=0),0,E$8*(E$7-R$16*(1-$A162)*(1-(1-$A162)^MIN(E$6,$B$11))/($A162*MIN(E$6,$B$11)))^2)</f>
        <v/>
      </c>
      <c r="S162" s="27">
        <f>IF(OR(B$7="",B$8=0),0,B$8*(B$7-S$16*(1-$A162)*(1-(1-$A162)^MIN(B$6,$B$11))/($A162*MIN(B$6,$B$11)))^2)+IF(OR(C$7="",C$8=0),0,C$8*(C$7-S$16*(1-$A162)*(1-(1-$A162)^MIN(C$6,$B$11))/($A162*MIN(C$6,$B$11)))^2)+IF(OR(D$7="",D$8=0),0,D$8*(D$7-S$16*(1-$A162)*(1-(1-$A162)^MIN(D$6,$B$11))/($A162*MIN(D$6,$B$11)))^2)+IF(OR(E$7="",E$8=0),0,E$8*(E$7-S$16*(1-$A162)*(1-(1-$A162)^MIN(E$6,$B$11))/($A162*MIN(E$6,$B$11)))^2)</f>
        <v/>
      </c>
      <c r="U162" s="27">
        <f>MIN(B162:S162)</f>
        <v/>
      </c>
      <c r="V162" s="17">
        <f>MATCH(U162,B162:S162,0)</f>
        <v/>
      </c>
    </row>
    <row r="163">
      <c r="A163" s="26" t="n">
        <v>0.078</v>
      </c>
      <c r="B163" s="27">
        <f>IF(OR(B$7="",B$8=0),0,B$8*(B$7-B$16*(1-$A163)*(1-(1-$A163)^MIN(B$6,$B$11))/($A163*MIN(B$6,$B$11)))^2)+IF(OR(C$7="",C$8=0),0,C$8*(C$7-B$16*(1-$A163)*(1-(1-$A163)^MIN(C$6,$B$11))/($A163*MIN(C$6,$B$11)))^2)+IF(OR(D$7="",D$8=0),0,D$8*(D$7-B$16*(1-$A163)*(1-(1-$A163)^MIN(D$6,$B$11))/($A163*MIN(D$6,$B$11)))^2)+IF(OR(E$7="",E$8=0),0,E$8*(E$7-B$16*(1-$A163)*(1-(1-$A163)^MIN(E$6,$B$11))/($A163*MIN(E$6,$B$11)))^2)</f>
        <v/>
      </c>
      <c r="C163" s="27">
        <f>IF(OR(B$7="",B$8=0),0,B$8*(B$7-C$16*(1-$A163)*(1-(1-$A163)^MIN(B$6,$B$11))/($A163*MIN(B$6,$B$11)))^2)+IF(OR(C$7="",C$8=0),0,C$8*(C$7-C$16*(1-$A163)*(1-(1-$A163)^MIN(C$6,$B$11))/($A163*MIN(C$6,$B$11)))^2)+IF(OR(D$7="",D$8=0),0,D$8*(D$7-C$16*(1-$A163)*(1-(1-$A163)^MIN(D$6,$B$11))/($A163*MIN(D$6,$B$11)))^2)+IF(OR(E$7="",E$8=0),0,E$8*(E$7-C$16*(1-$A163)*(1-(1-$A163)^MIN(E$6,$B$11))/($A163*MIN(E$6,$B$11)))^2)</f>
        <v/>
      </c>
      <c r="D163" s="27">
        <f>IF(OR(B$7="",B$8=0),0,B$8*(B$7-D$16*(1-$A163)*(1-(1-$A163)^MIN(B$6,$B$11))/($A163*MIN(B$6,$B$11)))^2)+IF(OR(C$7="",C$8=0),0,C$8*(C$7-D$16*(1-$A163)*(1-(1-$A163)^MIN(C$6,$B$11))/($A163*MIN(C$6,$B$11)))^2)+IF(OR(D$7="",D$8=0),0,D$8*(D$7-D$16*(1-$A163)*(1-(1-$A163)^MIN(D$6,$B$11))/($A163*MIN(D$6,$B$11)))^2)+IF(OR(E$7="",E$8=0),0,E$8*(E$7-D$16*(1-$A163)*(1-(1-$A163)^MIN(E$6,$B$11))/($A163*MIN(E$6,$B$11)))^2)</f>
        <v/>
      </c>
      <c r="E163" s="27">
        <f>IF(OR(B$7="",B$8=0),0,B$8*(B$7-E$16*(1-$A163)*(1-(1-$A163)^MIN(B$6,$B$11))/($A163*MIN(B$6,$B$11)))^2)+IF(OR(C$7="",C$8=0),0,C$8*(C$7-E$16*(1-$A163)*(1-(1-$A163)^MIN(C$6,$B$11))/($A163*MIN(C$6,$B$11)))^2)+IF(OR(D$7="",D$8=0),0,D$8*(D$7-E$16*(1-$A163)*(1-(1-$A163)^MIN(D$6,$B$11))/($A163*MIN(D$6,$B$11)))^2)+IF(OR(E$7="",E$8=0),0,E$8*(E$7-E$16*(1-$A163)*(1-(1-$A163)^MIN(E$6,$B$11))/($A163*MIN(E$6,$B$11)))^2)</f>
        <v/>
      </c>
      <c r="F163" s="27">
        <f>IF(OR(B$7="",B$8=0),0,B$8*(B$7-F$16*(1-$A163)*(1-(1-$A163)^MIN(B$6,$B$11))/($A163*MIN(B$6,$B$11)))^2)+IF(OR(C$7="",C$8=0),0,C$8*(C$7-F$16*(1-$A163)*(1-(1-$A163)^MIN(C$6,$B$11))/($A163*MIN(C$6,$B$11)))^2)+IF(OR(D$7="",D$8=0),0,D$8*(D$7-F$16*(1-$A163)*(1-(1-$A163)^MIN(D$6,$B$11))/($A163*MIN(D$6,$B$11)))^2)+IF(OR(E$7="",E$8=0),0,E$8*(E$7-F$16*(1-$A163)*(1-(1-$A163)^MIN(E$6,$B$11))/($A163*MIN(E$6,$B$11)))^2)</f>
        <v/>
      </c>
      <c r="G163" s="27">
        <f>IF(OR(B$7="",B$8=0),0,B$8*(B$7-G$16*(1-$A163)*(1-(1-$A163)^MIN(B$6,$B$11))/($A163*MIN(B$6,$B$11)))^2)+IF(OR(C$7="",C$8=0),0,C$8*(C$7-G$16*(1-$A163)*(1-(1-$A163)^MIN(C$6,$B$11))/($A163*MIN(C$6,$B$11)))^2)+IF(OR(D$7="",D$8=0),0,D$8*(D$7-G$16*(1-$A163)*(1-(1-$A163)^MIN(D$6,$B$11))/($A163*MIN(D$6,$B$11)))^2)+IF(OR(E$7="",E$8=0),0,E$8*(E$7-G$16*(1-$A163)*(1-(1-$A163)^MIN(E$6,$B$11))/($A163*MIN(E$6,$B$11)))^2)</f>
        <v/>
      </c>
      <c r="H163" s="27">
        <f>IF(OR(B$7="",B$8=0),0,B$8*(B$7-H$16*(1-$A163)*(1-(1-$A163)^MIN(B$6,$B$11))/($A163*MIN(B$6,$B$11)))^2)+IF(OR(C$7="",C$8=0),0,C$8*(C$7-H$16*(1-$A163)*(1-(1-$A163)^MIN(C$6,$B$11))/($A163*MIN(C$6,$B$11)))^2)+IF(OR(D$7="",D$8=0),0,D$8*(D$7-H$16*(1-$A163)*(1-(1-$A163)^MIN(D$6,$B$11))/($A163*MIN(D$6,$B$11)))^2)+IF(OR(E$7="",E$8=0),0,E$8*(E$7-H$16*(1-$A163)*(1-(1-$A163)^MIN(E$6,$B$11))/($A163*MIN(E$6,$B$11)))^2)</f>
        <v/>
      </c>
      <c r="I163" s="27">
        <f>IF(OR(B$7="",B$8=0),0,B$8*(B$7-I$16*(1-$A163)*(1-(1-$A163)^MIN(B$6,$B$11))/($A163*MIN(B$6,$B$11)))^2)+IF(OR(C$7="",C$8=0),0,C$8*(C$7-I$16*(1-$A163)*(1-(1-$A163)^MIN(C$6,$B$11))/($A163*MIN(C$6,$B$11)))^2)+IF(OR(D$7="",D$8=0),0,D$8*(D$7-I$16*(1-$A163)*(1-(1-$A163)^MIN(D$6,$B$11))/($A163*MIN(D$6,$B$11)))^2)+IF(OR(E$7="",E$8=0),0,E$8*(E$7-I$16*(1-$A163)*(1-(1-$A163)^MIN(E$6,$B$11))/($A163*MIN(E$6,$B$11)))^2)</f>
        <v/>
      </c>
      <c r="J163" s="27">
        <f>IF(OR(B$7="",B$8=0),0,B$8*(B$7-J$16*(1-$A163)*(1-(1-$A163)^MIN(B$6,$B$11))/($A163*MIN(B$6,$B$11)))^2)+IF(OR(C$7="",C$8=0),0,C$8*(C$7-J$16*(1-$A163)*(1-(1-$A163)^MIN(C$6,$B$11))/($A163*MIN(C$6,$B$11)))^2)+IF(OR(D$7="",D$8=0),0,D$8*(D$7-J$16*(1-$A163)*(1-(1-$A163)^MIN(D$6,$B$11))/($A163*MIN(D$6,$B$11)))^2)+IF(OR(E$7="",E$8=0),0,E$8*(E$7-J$16*(1-$A163)*(1-(1-$A163)^MIN(E$6,$B$11))/($A163*MIN(E$6,$B$11)))^2)</f>
        <v/>
      </c>
      <c r="K163" s="27">
        <f>IF(OR(B$7="",B$8=0),0,B$8*(B$7-K$16*(1-$A163)*(1-(1-$A163)^MIN(B$6,$B$11))/($A163*MIN(B$6,$B$11)))^2)+IF(OR(C$7="",C$8=0),0,C$8*(C$7-K$16*(1-$A163)*(1-(1-$A163)^MIN(C$6,$B$11))/($A163*MIN(C$6,$B$11)))^2)+IF(OR(D$7="",D$8=0),0,D$8*(D$7-K$16*(1-$A163)*(1-(1-$A163)^MIN(D$6,$B$11))/($A163*MIN(D$6,$B$11)))^2)+IF(OR(E$7="",E$8=0),0,E$8*(E$7-K$16*(1-$A163)*(1-(1-$A163)^MIN(E$6,$B$11))/($A163*MIN(E$6,$B$11)))^2)</f>
        <v/>
      </c>
      <c r="L163" s="27">
        <f>IF(OR(B$7="",B$8=0),0,B$8*(B$7-L$16*(1-$A163)*(1-(1-$A163)^MIN(B$6,$B$11))/($A163*MIN(B$6,$B$11)))^2)+IF(OR(C$7="",C$8=0),0,C$8*(C$7-L$16*(1-$A163)*(1-(1-$A163)^MIN(C$6,$B$11))/($A163*MIN(C$6,$B$11)))^2)+IF(OR(D$7="",D$8=0),0,D$8*(D$7-L$16*(1-$A163)*(1-(1-$A163)^MIN(D$6,$B$11))/($A163*MIN(D$6,$B$11)))^2)+IF(OR(E$7="",E$8=0),0,E$8*(E$7-L$16*(1-$A163)*(1-(1-$A163)^MIN(E$6,$B$11))/($A163*MIN(E$6,$B$11)))^2)</f>
        <v/>
      </c>
      <c r="M163" s="27">
        <f>IF(OR(B$7="",B$8=0),0,B$8*(B$7-M$16*(1-$A163)*(1-(1-$A163)^MIN(B$6,$B$11))/($A163*MIN(B$6,$B$11)))^2)+IF(OR(C$7="",C$8=0),0,C$8*(C$7-M$16*(1-$A163)*(1-(1-$A163)^MIN(C$6,$B$11))/($A163*MIN(C$6,$B$11)))^2)+IF(OR(D$7="",D$8=0),0,D$8*(D$7-M$16*(1-$A163)*(1-(1-$A163)^MIN(D$6,$B$11))/($A163*MIN(D$6,$B$11)))^2)+IF(OR(E$7="",E$8=0),0,E$8*(E$7-M$16*(1-$A163)*(1-(1-$A163)^MIN(E$6,$B$11))/($A163*MIN(E$6,$B$11)))^2)</f>
        <v/>
      </c>
      <c r="N163" s="27">
        <f>IF(OR(B$7="",B$8=0),0,B$8*(B$7-N$16*(1-$A163)*(1-(1-$A163)^MIN(B$6,$B$11))/($A163*MIN(B$6,$B$11)))^2)+IF(OR(C$7="",C$8=0),0,C$8*(C$7-N$16*(1-$A163)*(1-(1-$A163)^MIN(C$6,$B$11))/($A163*MIN(C$6,$B$11)))^2)+IF(OR(D$7="",D$8=0),0,D$8*(D$7-N$16*(1-$A163)*(1-(1-$A163)^MIN(D$6,$B$11))/($A163*MIN(D$6,$B$11)))^2)+IF(OR(E$7="",E$8=0),0,E$8*(E$7-N$16*(1-$A163)*(1-(1-$A163)^MIN(E$6,$B$11))/($A163*MIN(E$6,$B$11)))^2)</f>
        <v/>
      </c>
      <c r="O163" s="27">
        <f>IF(OR(B$7="",B$8=0),0,B$8*(B$7-O$16*(1-$A163)*(1-(1-$A163)^MIN(B$6,$B$11))/($A163*MIN(B$6,$B$11)))^2)+IF(OR(C$7="",C$8=0),0,C$8*(C$7-O$16*(1-$A163)*(1-(1-$A163)^MIN(C$6,$B$11))/($A163*MIN(C$6,$B$11)))^2)+IF(OR(D$7="",D$8=0),0,D$8*(D$7-O$16*(1-$A163)*(1-(1-$A163)^MIN(D$6,$B$11))/($A163*MIN(D$6,$B$11)))^2)+IF(OR(E$7="",E$8=0),0,E$8*(E$7-O$16*(1-$A163)*(1-(1-$A163)^MIN(E$6,$B$11))/($A163*MIN(E$6,$B$11)))^2)</f>
        <v/>
      </c>
      <c r="P163" s="27">
        <f>IF(OR(B$7="",B$8=0),0,B$8*(B$7-P$16*(1-$A163)*(1-(1-$A163)^MIN(B$6,$B$11))/($A163*MIN(B$6,$B$11)))^2)+IF(OR(C$7="",C$8=0),0,C$8*(C$7-P$16*(1-$A163)*(1-(1-$A163)^MIN(C$6,$B$11))/($A163*MIN(C$6,$B$11)))^2)+IF(OR(D$7="",D$8=0),0,D$8*(D$7-P$16*(1-$A163)*(1-(1-$A163)^MIN(D$6,$B$11))/($A163*MIN(D$6,$B$11)))^2)+IF(OR(E$7="",E$8=0),0,E$8*(E$7-P$16*(1-$A163)*(1-(1-$A163)^MIN(E$6,$B$11))/($A163*MIN(E$6,$B$11)))^2)</f>
        <v/>
      </c>
      <c r="Q163" s="27">
        <f>IF(OR(B$7="",B$8=0),0,B$8*(B$7-Q$16*(1-$A163)*(1-(1-$A163)^MIN(B$6,$B$11))/($A163*MIN(B$6,$B$11)))^2)+IF(OR(C$7="",C$8=0),0,C$8*(C$7-Q$16*(1-$A163)*(1-(1-$A163)^MIN(C$6,$B$11))/($A163*MIN(C$6,$B$11)))^2)+IF(OR(D$7="",D$8=0),0,D$8*(D$7-Q$16*(1-$A163)*(1-(1-$A163)^MIN(D$6,$B$11))/($A163*MIN(D$6,$B$11)))^2)+IF(OR(E$7="",E$8=0),0,E$8*(E$7-Q$16*(1-$A163)*(1-(1-$A163)^MIN(E$6,$B$11))/($A163*MIN(E$6,$B$11)))^2)</f>
        <v/>
      </c>
      <c r="R163" s="27">
        <f>IF(OR(B$7="",B$8=0),0,B$8*(B$7-R$16*(1-$A163)*(1-(1-$A163)^MIN(B$6,$B$11))/($A163*MIN(B$6,$B$11)))^2)+IF(OR(C$7="",C$8=0),0,C$8*(C$7-R$16*(1-$A163)*(1-(1-$A163)^MIN(C$6,$B$11))/($A163*MIN(C$6,$B$11)))^2)+IF(OR(D$7="",D$8=0),0,D$8*(D$7-R$16*(1-$A163)*(1-(1-$A163)^MIN(D$6,$B$11))/($A163*MIN(D$6,$B$11)))^2)+IF(OR(E$7="",E$8=0),0,E$8*(E$7-R$16*(1-$A163)*(1-(1-$A163)^MIN(E$6,$B$11))/($A163*MIN(E$6,$B$11)))^2)</f>
        <v/>
      </c>
      <c r="S163" s="27">
        <f>IF(OR(B$7="",B$8=0),0,B$8*(B$7-S$16*(1-$A163)*(1-(1-$A163)^MIN(B$6,$B$11))/($A163*MIN(B$6,$B$11)))^2)+IF(OR(C$7="",C$8=0),0,C$8*(C$7-S$16*(1-$A163)*(1-(1-$A163)^MIN(C$6,$B$11))/($A163*MIN(C$6,$B$11)))^2)+IF(OR(D$7="",D$8=0),0,D$8*(D$7-S$16*(1-$A163)*(1-(1-$A163)^MIN(D$6,$B$11))/($A163*MIN(D$6,$B$11)))^2)+IF(OR(E$7="",E$8=0),0,E$8*(E$7-S$16*(1-$A163)*(1-(1-$A163)^MIN(E$6,$B$11))/($A163*MIN(E$6,$B$11)))^2)</f>
        <v/>
      </c>
      <c r="U163" s="27">
        <f>MIN(B163:S163)</f>
        <v/>
      </c>
      <c r="V163" s="17">
        <f>MATCH(U163,B163:S163,0)</f>
        <v/>
      </c>
    </row>
    <row r="164">
      <c r="A164" s="26" t="n">
        <v>0.0785</v>
      </c>
      <c r="B164" s="27">
        <f>IF(OR(B$7="",B$8=0),0,B$8*(B$7-B$16*(1-$A164)*(1-(1-$A164)^MIN(B$6,$B$11))/($A164*MIN(B$6,$B$11)))^2)+IF(OR(C$7="",C$8=0),0,C$8*(C$7-B$16*(1-$A164)*(1-(1-$A164)^MIN(C$6,$B$11))/($A164*MIN(C$6,$B$11)))^2)+IF(OR(D$7="",D$8=0),0,D$8*(D$7-B$16*(1-$A164)*(1-(1-$A164)^MIN(D$6,$B$11))/($A164*MIN(D$6,$B$11)))^2)+IF(OR(E$7="",E$8=0),0,E$8*(E$7-B$16*(1-$A164)*(1-(1-$A164)^MIN(E$6,$B$11))/($A164*MIN(E$6,$B$11)))^2)</f>
        <v/>
      </c>
      <c r="C164" s="27">
        <f>IF(OR(B$7="",B$8=0),0,B$8*(B$7-C$16*(1-$A164)*(1-(1-$A164)^MIN(B$6,$B$11))/($A164*MIN(B$6,$B$11)))^2)+IF(OR(C$7="",C$8=0),0,C$8*(C$7-C$16*(1-$A164)*(1-(1-$A164)^MIN(C$6,$B$11))/($A164*MIN(C$6,$B$11)))^2)+IF(OR(D$7="",D$8=0),0,D$8*(D$7-C$16*(1-$A164)*(1-(1-$A164)^MIN(D$6,$B$11))/($A164*MIN(D$6,$B$11)))^2)+IF(OR(E$7="",E$8=0),0,E$8*(E$7-C$16*(1-$A164)*(1-(1-$A164)^MIN(E$6,$B$11))/($A164*MIN(E$6,$B$11)))^2)</f>
        <v/>
      </c>
      <c r="D164" s="27">
        <f>IF(OR(B$7="",B$8=0),0,B$8*(B$7-D$16*(1-$A164)*(1-(1-$A164)^MIN(B$6,$B$11))/($A164*MIN(B$6,$B$11)))^2)+IF(OR(C$7="",C$8=0),0,C$8*(C$7-D$16*(1-$A164)*(1-(1-$A164)^MIN(C$6,$B$11))/($A164*MIN(C$6,$B$11)))^2)+IF(OR(D$7="",D$8=0),0,D$8*(D$7-D$16*(1-$A164)*(1-(1-$A164)^MIN(D$6,$B$11))/($A164*MIN(D$6,$B$11)))^2)+IF(OR(E$7="",E$8=0),0,E$8*(E$7-D$16*(1-$A164)*(1-(1-$A164)^MIN(E$6,$B$11))/($A164*MIN(E$6,$B$11)))^2)</f>
        <v/>
      </c>
      <c r="E164" s="27">
        <f>IF(OR(B$7="",B$8=0),0,B$8*(B$7-E$16*(1-$A164)*(1-(1-$A164)^MIN(B$6,$B$11))/($A164*MIN(B$6,$B$11)))^2)+IF(OR(C$7="",C$8=0),0,C$8*(C$7-E$16*(1-$A164)*(1-(1-$A164)^MIN(C$6,$B$11))/($A164*MIN(C$6,$B$11)))^2)+IF(OR(D$7="",D$8=0),0,D$8*(D$7-E$16*(1-$A164)*(1-(1-$A164)^MIN(D$6,$B$11))/($A164*MIN(D$6,$B$11)))^2)+IF(OR(E$7="",E$8=0),0,E$8*(E$7-E$16*(1-$A164)*(1-(1-$A164)^MIN(E$6,$B$11))/($A164*MIN(E$6,$B$11)))^2)</f>
        <v/>
      </c>
      <c r="F164" s="27">
        <f>IF(OR(B$7="",B$8=0),0,B$8*(B$7-F$16*(1-$A164)*(1-(1-$A164)^MIN(B$6,$B$11))/($A164*MIN(B$6,$B$11)))^2)+IF(OR(C$7="",C$8=0),0,C$8*(C$7-F$16*(1-$A164)*(1-(1-$A164)^MIN(C$6,$B$11))/($A164*MIN(C$6,$B$11)))^2)+IF(OR(D$7="",D$8=0),0,D$8*(D$7-F$16*(1-$A164)*(1-(1-$A164)^MIN(D$6,$B$11))/($A164*MIN(D$6,$B$11)))^2)+IF(OR(E$7="",E$8=0),0,E$8*(E$7-F$16*(1-$A164)*(1-(1-$A164)^MIN(E$6,$B$11))/($A164*MIN(E$6,$B$11)))^2)</f>
        <v/>
      </c>
      <c r="G164" s="27">
        <f>IF(OR(B$7="",B$8=0),0,B$8*(B$7-G$16*(1-$A164)*(1-(1-$A164)^MIN(B$6,$B$11))/($A164*MIN(B$6,$B$11)))^2)+IF(OR(C$7="",C$8=0),0,C$8*(C$7-G$16*(1-$A164)*(1-(1-$A164)^MIN(C$6,$B$11))/($A164*MIN(C$6,$B$11)))^2)+IF(OR(D$7="",D$8=0),0,D$8*(D$7-G$16*(1-$A164)*(1-(1-$A164)^MIN(D$6,$B$11))/($A164*MIN(D$6,$B$11)))^2)+IF(OR(E$7="",E$8=0),0,E$8*(E$7-G$16*(1-$A164)*(1-(1-$A164)^MIN(E$6,$B$11))/($A164*MIN(E$6,$B$11)))^2)</f>
        <v/>
      </c>
      <c r="H164" s="27">
        <f>IF(OR(B$7="",B$8=0),0,B$8*(B$7-H$16*(1-$A164)*(1-(1-$A164)^MIN(B$6,$B$11))/($A164*MIN(B$6,$B$11)))^2)+IF(OR(C$7="",C$8=0),0,C$8*(C$7-H$16*(1-$A164)*(1-(1-$A164)^MIN(C$6,$B$11))/($A164*MIN(C$6,$B$11)))^2)+IF(OR(D$7="",D$8=0),0,D$8*(D$7-H$16*(1-$A164)*(1-(1-$A164)^MIN(D$6,$B$11))/($A164*MIN(D$6,$B$11)))^2)+IF(OR(E$7="",E$8=0),0,E$8*(E$7-H$16*(1-$A164)*(1-(1-$A164)^MIN(E$6,$B$11))/($A164*MIN(E$6,$B$11)))^2)</f>
        <v/>
      </c>
      <c r="I164" s="27">
        <f>IF(OR(B$7="",B$8=0),0,B$8*(B$7-I$16*(1-$A164)*(1-(1-$A164)^MIN(B$6,$B$11))/($A164*MIN(B$6,$B$11)))^2)+IF(OR(C$7="",C$8=0),0,C$8*(C$7-I$16*(1-$A164)*(1-(1-$A164)^MIN(C$6,$B$11))/($A164*MIN(C$6,$B$11)))^2)+IF(OR(D$7="",D$8=0),0,D$8*(D$7-I$16*(1-$A164)*(1-(1-$A164)^MIN(D$6,$B$11))/($A164*MIN(D$6,$B$11)))^2)+IF(OR(E$7="",E$8=0),0,E$8*(E$7-I$16*(1-$A164)*(1-(1-$A164)^MIN(E$6,$B$11))/($A164*MIN(E$6,$B$11)))^2)</f>
        <v/>
      </c>
      <c r="J164" s="27">
        <f>IF(OR(B$7="",B$8=0),0,B$8*(B$7-J$16*(1-$A164)*(1-(1-$A164)^MIN(B$6,$B$11))/($A164*MIN(B$6,$B$11)))^2)+IF(OR(C$7="",C$8=0),0,C$8*(C$7-J$16*(1-$A164)*(1-(1-$A164)^MIN(C$6,$B$11))/($A164*MIN(C$6,$B$11)))^2)+IF(OR(D$7="",D$8=0),0,D$8*(D$7-J$16*(1-$A164)*(1-(1-$A164)^MIN(D$6,$B$11))/($A164*MIN(D$6,$B$11)))^2)+IF(OR(E$7="",E$8=0),0,E$8*(E$7-J$16*(1-$A164)*(1-(1-$A164)^MIN(E$6,$B$11))/($A164*MIN(E$6,$B$11)))^2)</f>
        <v/>
      </c>
      <c r="K164" s="27">
        <f>IF(OR(B$7="",B$8=0),0,B$8*(B$7-K$16*(1-$A164)*(1-(1-$A164)^MIN(B$6,$B$11))/($A164*MIN(B$6,$B$11)))^2)+IF(OR(C$7="",C$8=0),0,C$8*(C$7-K$16*(1-$A164)*(1-(1-$A164)^MIN(C$6,$B$11))/($A164*MIN(C$6,$B$11)))^2)+IF(OR(D$7="",D$8=0),0,D$8*(D$7-K$16*(1-$A164)*(1-(1-$A164)^MIN(D$6,$B$11))/($A164*MIN(D$6,$B$11)))^2)+IF(OR(E$7="",E$8=0),0,E$8*(E$7-K$16*(1-$A164)*(1-(1-$A164)^MIN(E$6,$B$11))/($A164*MIN(E$6,$B$11)))^2)</f>
        <v/>
      </c>
      <c r="L164" s="27">
        <f>IF(OR(B$7="",B$8=0),0,B$8*(B$7-L$16*(1-$A164)*(1-(1-$A164)^MIN(B$6,$B$11))/($A164*MIN(B$6,$B$11)))^2)+IF(OR(C$7="",C$8=0),0,C$8*(C$7-L$16*(1-$A164)*(1-(1-$A164)^MIN(C$6,$B$11))/($A164*MIN(C$6,$B$11)))^2)+IF(OR(D$7="",D$8=0),0,D$8*(D$7-L$16*(1-$A164)*(1-(1-$A164)^MIN(D$6,$B$11))/($A164*MIN(D$6,$B$11)))^2)+IF(OR(E$7="",E$8=0),0,E$8*(E$7-L$16*(1-$A164)*(1-(1-$A164)^MIN(E$6,$B$11))/($A164*MIN(E$6,$B$11)))^2)</f>
        <v/>
      </c>
      <c r="M164" s="27">
        <f>IF(OR(B$7="",B$8=0),0,B$8*(B$7-M$16*(1-$A164)*(1-(1-$A164)^MIN(B$6,$B$11))/($A164*MIN(B$6,$B$11)))^2)+IF(OR(C$7="",C$8=0),0,C$8*(C$7-M$16*(1-$A164)*(1-(1-$A164)^MIN(C$6,$B$11))/($A164*MIN(C$6,$B$11)))^2)+IF(OR(D$7="",D$8=0),0,D$8*(D$7-M$16*(1-$A164)*(1-(1-$A164)^MIN(D$6,$B$11))/($A164*MIN(D$6,$B$11)))^2)+IF(OR(E$7="",E$8=0),0,E$8*(E$7-M$16*(1-$A164)*(1-(1-$A164)^MIN(E$6,$B$11))/($A164*MIN(E$6,$B$11)))^2)</f>
        <v/>
      </c>
      <c r="N164" s="27">
        <f>IF(OR(B$7="",B$8=0),0,B$8*(B$7-N$16*(1-$A164)*(1-(1-$A164)^MIN(B$6,$B$11))/($A164*MIN(B$6,$B$11)))^2)+IF(OR(C$7="",C$8=0),0,C$8*(C$7-N$16*(1-$A164)*(1-(1-$A164)^MIN(C$6,$B$11))/($A164*MIN(C$6,$B$11)))^2)+IF(OR(D$7="",D$8=0),0,D$8*(D$7-N$16*(1-$A164)*(1-(1-$A164)^MIN(D$6,$B$11))/($A164*MIN(D$6,$B$11)))^2)+IF(OR(E$7="",E$8=0),0,E$8*(E$7-N$16*(1-$A164)*(1-(1-$A164)^MIN(E$6,$B$11))/($A164*MIN(E$6,$B$11)))^2)</f>
        <v/>
      </c>
      <c r="O164" s="27">
        <f>IF(OR(B$7="",B$8=0),0,B$8*(B$7-O$16*(1-$A164)*(1-(1-$A164)^MIN(B$6,$B$11))/($A164*MIN(B$6,$B$11)))^2)+IF(OR(C$7="",C$8=0),0,C$8*(C$7-O$16*(1-$A164)*(1-(1-$A164)^MIN(C$6,$B$11))/($A164*MIN(C$6,$B$11)))^2)+IF(OR(D$7="",D$8=0),0,D$8*(D$7-O$16*(1-$A164)*(1-(1-$A164)^MIN(D$6,$B$11))/($A164*MIN(D$6,$B$11)))^2)+IF(OR(E$7="",E$8=0),0,E$8*(E$7-O$16*(1-$A164)*(1-(1-$A164)^MIN(E$6,$B$11))/($A164*MIN(E$6,$B$11)))^2)</f>
        <v/>
      </c>
      <c r="P164" s="27">
        <f>IF(OR(B$7="",B$8=0),0,B$8*(B$7-P$16*(1-$A164)*(1-(1-$A164)^MIN(B$6,$B$11))/($A164*MIN(B$6,$B$11)))^2)+IF(OR(C$7="",C$8=0),0,C$8*(C$7-P$16*(1-$A164)*(1-(1-$A164)^MIN(C$6,$B$11))/($A164*MIN(C$6,$B$11)))^2)+IF(OR(D$7="",D$8=0),0,D$8*(D$7-P$16*(1-$A164)*(1-(1-$A164)^MIN(D$6,$B$11))/($A164*MIN(D$6,$B$11)))^2)+IF(OR(E$7="",E$8=0),0,E$8*(E$7-P$16*(1-$A164)*(1-(1-$A164)^MIN(E$6,$B$11))/($A164*MIN(E$6,$B$11)))^2)</f>
        <v/>
      </c>
      <c r="Q164" s="27">
        <f>IF(OR(B$7="",B$8=0),0,B$8*(B$7-Q$16*(1-$A164)*(1-(1-$A164)^MIN(B$6,$B$11))/($A164*MIN(B$6,$B$11)))^2)+IF(OR(C$7="",C$8=0),0,C$8*(C$7-Q$16*(1-$A164)*(1-(1-$A164)^MIN(C$6,$B$11))/($A164*MIN(C$6,$B$11)))^2)+IF(OR(D$7="",D$8=0),0,D$8*(D$7-Q$16*(1-$A164)*(1-(1-$A164)^MIN(D$6,$B$11))/($A164*MIN(D$6,$B$11)))^2)+IF(OR(E$7="",E$8=0),0,E$8*(E$7-Q$16*(1-$A164)*(1-(1-$A164)^MIN(E$6,$B$11))/($A164*MIN(E$6,$B$11)))^2)</f>
        <v/>
      </c>
      <c r="R164" s="27">
        <f>IF(OR(B$7="",B$8=0),0,B$8*(B$7-R$16*(1-$A164)*(1-(1-$A164)^MIN(B$6,$B$11))/($A164*MIN(B$6,$B$11)))^2)+IF(OR(C$7="",C$8=0),0,C$8*(C$7-R$16*(1-$A164)*(1-(1-$A164)^MIN(C$6,$B$11))/($A164*MIN(C$6,$B$11)))^2)+IF(OR(D$7="",D$8=0),0,D$8*(D$7-R$16*(1-$A164)*(1-(1-$A164)^MIN(D$6,$B$11))/($A164*MIN(D$6,$B$11)))^2)+IF(OR(E$7="",E$8=0),0,E$8*(E$7-R$16*(1-$A164)*(1-(1-$A164)^MIN(E$6,$B$11))/($A164*MIN(E$6,$B$11)))^2)</f>
        <v/>
      </c>
      <c r="S164" s="27">
        <f>IF(OR(B$7="",B$8=0),0,B$8*(B$7-S$16*(1-$A164)*(1-(1-$A164)^MIN(B$6,$B$11))/($A164*MIN(B$6,$B$11)))^2)+IF(OR(C$7="",C$8=0),0,C$8*(C$7-S$16*(1-$A164)*(1-(1-$A164)^MIN(C$6,$B$11))/($A164*MIN(C$6,$B$11)))^2)+IF(OR(D$7="",D$8=0),0,D$8*(D$7-S$16*(1-$A164)*(1-(1-$A164)^MIN(D$6,$B$11))/($A164*MIN(D$6,$B$11)))^2)+IF(OR(E$7="",E$8=0),0,E$8*(E$7-S$16*(1-$A164)*(1-(1-$A164)^MIN(E$6,$B$11))/($A164*MIN(E$6,$B$11)))^2)</f>
        <v/>
      </c>
      <c r="U164" s="27">
        <f>MIN(B164:S164)</f>
        <v/>
      </c>
      <c r="V164" s="17">
        <f>MATCH(U164,B164:S164,0)</f>
        <v/>
      </c>
    </row>
    <row r="165">
      <c r="A165" s="26" t="n">
        <v>0.079</v>
      </c>
      <c r="B165" s="27">
        <f>IF(OR(B$7="",B$8=0),0,B$8*(B$7-B$16*(1-$A165)*(1-(1-$A165)^MIN(B$6,$B$11))/($A165*MIN(B$6,$B$11)))^2)+IF(OR(C$7="",C$8=0),0,C$8*(C$7-B$16*(1-$A165)*(1-(1-$A165)^MIN(C$6,$B$11))/($A165*MIN(C$6,$B$11)))^2)+IF(OR(D$7="",D$8=0),0,D$8*(D$7-B$16*(1-$A165)*(1-(1-$A165)^MIN(D$6,$B$11))/($A165*MIN(D$6,$B$11)))^2)+IF(OR(E$7="",E$8=0),0,E$8*(E$7-B$16*(1-$A165)*(1-(1-$A165)^MIN(E$6,$B$11))/($A165*MIN(E$6,$B$11)))^2)</f>
        <v/>
      </c>
      <c r="C165" s="27">
        <f>IF(OR(B$7="",B$8=0),0,B$8*(B$7-C$16*(1-$A165)*(1-(1-$A165)^MIN(B$6,$B$11))/($A165*MIN(B$6,$B$11)))^2)+IF(OR(C$7="",C$8=0),0,C$8*(C$7-C$16*(1-$A165)*(1-(1-$A165)^MIN(C$6,$B$11))/($A165*MIN(C$6,$B$11)))^2)+IF(OR(D$7="",D$8=0),0,D$8*(D$7-C$16*(1-$A165)*(1-(1-$A165)^MIN(D$6,$B$11))/($A165*MIN(D$6,$B$11)))^2)+IF(OR(E$7="",E$8=0),0,E$8*(E$7-C$16*(1-$A165)*(1-(1-$A165)^MIN(E$6,$B$11))/($A165*MIN(E$6,$B$11)))^2)</f>
        <v/>
      </c>
      <c r="D165" s="27">
        <f>IF(OR(B$7="",B$8=0),0,B$8*(B$7-D$16*(1-$A165)*(1-(1-$A165)^MIN(B$6,$B$11))/($A165*MIN(B$6,$B$11)))^2)+IF(OR(C$7="",C$8=0),0,C$8*(C$7-D$16*(1-$A165)*(1-(1-$A165)^MIN(C$6,$B$11))/($A165*MIN(C$6,$B$11)))^2)+IF(OR(D$7="",D$8=0),0,D$8*(D$7-D$16*(1-$A165)*(1-(1-$A165)^MIN(D$6,$B$11))/($A165*MIN(D$6,$B$11)))^2)+IF(OR(E$7="",E$8=0),0,E$8*(E$7-D$16*(1-$A165)*(1-(1-$A165)^MIN(E$6,$B$11))/($A165*MIN(E$6,$B$11)))^2)</f>
        <v/>
      </c>
      <c r="E165" s="27">
        <f>IF(OR(B$7="",B$8=0),0,B$8*(B$7-E$16*(1-$A165)*(1-(1-$A165)^MIN(B$6,$B$11))/($A165*MIN(B$6,$B$11)))^2)+IF(OR(C$7="",C$8=0),0,C$8*(C$7-E$16*(1-$A165)*(1-(1-$A165)^MIN(C$6,$B$11))/($A165*MIN(C$6,$B$11)))^2)+IF(OR(D$7="",D$8=0),0,D$8*(D$7-E$16*(1-$A165)*(1-(1-$A165)^MIN(D$6,$B$11))/($A165*MIN(D$6,$B$11)))^2)+IF(OR(E$7="",E$8=0),0,E$8*(E$7-E$16*(1-$A165)*(1-(1-$A165)^MIN(E$6,$B$11))/($A165*MIN(E$6,$B$11)))^2)</f>
        <v/>
      </c>
      <c r="F165" s="27">
        <f>IF(OR(B$7="",B$8=0),0,B$8*(B$7-F$16*(1-$A165)*(1-(1-$A165)^MIN(B$6,$B$11))/($A165*MIN(B$6,$B$11)))^2)+IF(OR(C$7="",C$8=0),0,C$8*(C$7-F$16*(1-$A165)*(1-(1-$A165)^MIN(C$6,$B$11))/($A165*MIN(C$6,$B$11)))^2)+IF(OR(D$7="",D$8=0),0,D$8*(D$7-F$16*(1-$A165)*(1-(1-$A165)^MIN(D$6,$B$11))/($A165*MIN(D$6,$B$11)))^2)+IF(OR(E$7="",E$8=0),0,E$8*(E$7-F$16*(1-$A165)*(1-(1-$A165)^MIN(E$6,$B$11))/($A165*MIN(E$6,$B$11)))^2)</f>
        <v/>
      </c>
      <c r="G165" s="27">
        <f>IF(OR(B$7="",B$8=0),0,B$8*(B$7-G$16*(1-$A165)*(1-(1-$A165)^MIN(B$6,$B$11))/($A165*MIN(B$6,$B$11)))^2)+IF(OR(C$7="",C$8=0),0,C$8*(C$7-G$16*(1-$A165)*(1-(1-$A165)^MIN(C$6,$B$11))/($A165*MIN(C$6,$B$11)))^2)+IF(OR(D$7="",D$8=0),0,D$8*(D$7-G$16*(1-$A165)*(1-(1-$A165)^MIN(D$6,$B$11))/($A165*MIN(D$6,$B$11)))^2)+IF(OR(E$7="",E$8=0),0,E$8*(E$7-G$16*(1-$A165)*(1-(1-$A165)^MIN(E$6,$B$11))/($A165*MIN(E$6,$B$11)))^2)</f>
        <v/>
      </c>
      <c r="H165" s="27">
        <f>IF(OR(B$7="",B$8=0),0,B$8*(B$7-H$16*(1-$A165)*(1-(1-$A165)^MIN(B$6,$B$11))/($A165*MIN(B$6,$B$11)))^2)+IF(OR(C$7="",C$8=0),0,C$8*(C$7-H$16*(1-$A165)*(1-(1-$A165)^MIN(C$6,$B$11))/($A165*MIN(C$6,$B$11)))^2)+IF(OR(D$7="",D$8=0),0,D$8*(D$7-H$16*(1-$A165)*(1-(1-$A165)^MIN(D$6,$B$11))/($A165*MIN(D$6,$B$11)))^2)+IF(OR(E$7="",E$8=0),0,E$8*(E$7-H$16*(1-$A165)*(1-(1-$A165)^MIN(E$6,$B$11))/($A165*MIN(E$6,$B$11)))^2)</f>
        <v/>
      </c>
      <c r="I165" s="27">
        <f>IF(OR(B$7="",B$8=0),0,B$8*(B$7-I$16*(1-$A165)*(1-(1-$A165)^MIN(B$6,$B$11))/($A165*MIN(B$6,$B$11)))^2)+IF(OR(C$7="",C$8=0),0,C$8*(C$7-I$16*(1-$A165)*(1-(1-$A165)^MIN(C$6,$B$11))/($A165*MIN(C$6,$B$11)))^2)+IF(OR(D$7="",D$8=0),0,D$8*(D$7-I$16*(1-$A165)*(1-(1-$A165)^MIN(D$6,$B$11))/($A165*MIN(D$6,$B$11)))^2)+IF(OR(E$7="",E$8=0),0,E$8*(E$7-I$16*(1-$A165)*(1-(1-$A165)^MIN(E$6,$B$11))/($A165*MIN(E$6,$B$11)))^2)</f>
        <v/>
      </c>
      <c r="J165" s="27">
        <f>IF(OR(B$7="",B$8=0),0,B$8*(B$7-J$16*(1-$A165)*(1-(1-$A165)^MIN(B$6,$B$11))/($A165*MIN(B$6,$B$11)))^2)+IF(OR(C$7="",C$8=0),0,C$8*(C$7-J$16*(1-$A165)*(1-(1-$A165)^MIN(C$6,$B$11))/($A165*MIN(C$6,$B$11)))^2)+IF(OR(D$7="",D$8=0),0,D$8*(D$7-J$16*(1-$A165)*(1-(1-$A165)^MIN(D$6,$B$11))/($A165*MIN(D$6,$B$11)))^2)+IF(OR(E$7="",E$8=0),0,E$8*(E$7-J$16*(1-$A165)*(1-(1-$A165)^MIN(E$6,$B$11))/($A165*MIN(E$6,$B$11)))^2)</f>
        <v/>
      </c>
      <c r="K165" s="27">
        <f>IF(OR(B$7="",B$8=0),0,B$8*(B$7-K$16*(1-$A165)*(1-(1-$A165)^MIN(B$6,$B$11))/($A165*MIN(B$6,$B$11)))^2)+IF(OR(C$7="",C$8=0),0,C$8*(C$7-K$16*(1-$A165)*(1-(1-$A165)^MIN(C$6,$B$11))/($A165*MIN(C$6,$B$11)))^2)+IF(OR(D$7="",D$8=0),0,D$8*(D$7-K$16*(1-$A165)*(1-(1-$A165)^MIN(D$6,$B$11))/($A165*MIN(D$6,$B$11)))^2)+IF(OR(E$7="",E$8=0),0,E$8*(E$7-K$16*(1-$A165)*(1-(1-$A165)^MIN(E$6,$B$11))/($A165*MIN(E$6,$B$11)))^2)</f>
        <v/>
      </c>
      <c r="L165" s="27">
        <f>IF(OR(B$7="",B$8=0),0,B$8*(B$7-L$16*(1-$A165)*(1-(1-$A165)^MIN(B$6,$B$11))/($A165*MIN(B$6,$B$11)))^2)+IF(OR(C$7="",C$8=0),0,C$8*(C$7-L$16*(1-$A165)*(1-(1-$A165)^MIN(C$6,$B$11))/($A165*MIN(C$6,$B$11)))^2)+IF(OR(D$7="",D$8=0),0,D$8*(D$7-L$16*(1-$A165)*(1-(1-$A165)^MIN(D$6,$B$11))/($A165*MIN(D$6,$B$11)))^2)+IF(OR(E$7="",E$8=0),0,E$8*(E$7-L$16*(1-$A165)*(1-(1-$A165)^MIN(E$6,$B$11))/($A165*MIN(E$6,$B$11)))^2)</f>
        <v/>
      </c>
      <c r="M165" s="27">
        <f>IF(OR(B$7="",B$8=0),0,B$8*(B$7-M$16*(1-$A165)*(1-(1-$A165)^MIN(B$6,$B$11))/($A165*MIN(B$6,$B$11)))^2)+IF(OR(C$7="",C$8=0),0,C$8*(C$7-M$16*(1-$A165)*(1-(1-$A165)^MIN(C$6,$B$11))/($A165*MIN(C$6,$B$11)))^2)+IF(OR(D$7="",D$8=0),0,D$8*(D$7-M$16*(1-$A165)*(1-(1-$A165)^MIN(D$6,$B$11))/($A165*MIN(D$6,$B$11)))^2)+IF(OR(E$7="",E$8=0),0,E$8*(E$7-M$16*(1-$A165)*(1-(1-$A165)^MIN(E$6,$B$11))/($A165*MIN(E$6,$B$11)))^2)</f>
        <v/>
      </c>
      <c r="N165" s="27">
        <f>IF(OR(B$7="",B$8=0),0,B$8*(B$7-N$16*(1-$A165)*(1-(1-$A165)^MIN(B$6,$B$11))/($A165*MIN(B$6,$B$11)))^2)+IF(OR(C$7="",C$8=0),0,C$8*(C$7-N$16*(1-$A165)*(1-(1-$A165)^MIN(C$6,$B$11))/($A165*MIN(C$6,$B$11)))^2)+IF(OR(D$7="",D$8=0),0,D$8*(D$7-N$16*(1-$A165)*(1-(1-$A165)^MIN(D$6,$B$11))/($A165*MIN(D$6,$B$11)))^2)+IF(OR(E$7="",E$8=0),0,E$8*(E$7-N$16*(1-$A165)*(1-(1-$A165)^MIN(E$6,$B$11))/($A165*MIN(E$6,$B$11)))^2)</f>
        <v/>
      </c>
      <c r="O165" s="27">
        <f>IF(OR(B$7="",B$8=0),0,B$8*(B$7-O$16*(1-$A165)*(1-(1-$A165)^MIN(B$6,$B$11))/($A165*MIN(B$6,$B$11)))^2)+IF(OR(C$7="",C$8=0),0,C$8*(C$7-O$16*(1-$A165)*(1-(1-$A165)^MIN(C$6,$B$11))/($A165*MIN(C$6,$B$11)))^2)+IF(OR(D$7="",D$8=0),0,D$8*(D$7-O$16*(1-$A165)*(1-(1-$A165)^MIN(D$6,$B$11))/($A165*MIN(D$6,$B$11)))^2)+IF(OR(E$7="",E$8=0),0,E$8*(E$7-O$16*(1-$A165)*(1-(1-$A165)^MIN(E$6,$B$11))/($A165*MIN(E$6,$B$11)))^2)</f>
        <v/>
      </c>
      <c r="P165" s="27">
        <f>IF(OR(B$7="",B$8=0),0,B$8*(B$7-P$16*(1-$A165)*(1-(1-$A165)^MIN(B$6,$B$11))/($A165*MIN(B$6,$B$11)))^2)+IF(OR(C$7="",C$8=0),0,C$8*(C$7-P$16*(1-$A165)*(1-(1-$A165)^MIN(C$6,$B$11))/($A165*MIN(C$6,$B$11)))^2)+IF(OR(D$7="",D$8=0),0,D$8*(D$7-P$16*(1-$A165)*(1-(1-$A165)^MIN(D$6,$B$11))/($A165*MIN(D$6,$B$11)))^2)+IF(OR(E$7="",E$8=0),0,E$8*(E$7-P$16*(1-$A165)*(1-(1-$A165)^MIN(E$6,$B$11))/($A165*MIN(E$6,$B$11)))^2)</f>
        <v/>
      </c>
      <c r="Q165" s="27">
        <f>IF(OR(B$7="",B$8=0),0,B$8*(B$7-Q$16*(1-$A165)*(1-(1-$A165)^MIN(B$6,$B$11))/($A165*MIN(B$6,$B$11)))^2)+IF(OR(C$7="",C$8=0),0,C$8*(C$7-Q$16*(1-$A165)*(1-(1-$A165)^MIN(C$6,$B$11))/($A165*MIN(C$6,$B$11)))^2)+IF(OR(D$7="",D$8=0),0,D$8*(D$7-Q$16*(1-$A165)*(1-(1-$A165)^MIN(D$6,$B$11))/($A165*MIN(D$6,$B$11)))^2)+IF(OR(E$7="",E$8=0),0,E$8*(E$7-Q$16*(1-$A165)*(1-(1-$A165)^MIN(E$6,$B$11))/($A165*MIN(E$6,$B$11)))^2)</f>
        <v/>
      </c>
      <c r="R165" s="27">
        <f>IF(OR(B$7="",B$8=0),0,B$8*(B$7-R$16*(1-$A165)*(1-(1-$A165)^MIN(B$6,$B$11))/($A165*MIN(B$6,$B$11)))^2)+IF(OR(C$7="",C$8=0),0,C$8*(C$7-R$16*(1-$A165)*(1-(1-$A165)^MIN(C$6,$B$11))/($A165*MIN(C$6,$B$11)))^2)+IF(OR(D$7="",D$8=0),0,D$8*(D$7-R$16*(1-$A165)*(1-(1-$A165)^MIN(D$6,$B$11))/($A165*MIN(D$6,$B$11)))^2)+IF(OR(E$7="",E$8=0),0,E$8*(E$7-R$16*(1-$A165)*(1-(1-$A165)^MIN(E$6,$B$11))/($A165*MIN(E$6,$B$11)))^2)</f>
        <v/>
      </c>
      <c r="S165" s="27">
        <f>IF(OR(B$7="",B$8=0),0,B$8*(B$7-S$16*(1-$A165)*(1-(1-$A165)^MIN(B$6,$B$11))/($A165*MIN(B$6,$B$11)))^2)+IF(OR(C$7="",C$8=0),0,C$8*(C$7-S$16*(1-$A165)*(1-(1-$A165)^MIN(C$6,$B$11))/($A165*MIN(C$6,$B$11)))^2)+IF(OR(D$7="",D$8=0),0,D$8*(D$7-S$16*(1-$A165)*(1-(1-$A165)^MIN(D$6,$B$11))/($A165*MIN(D$6,$B$11)))^2)+IF(OR(E$7="",E$8=0),0,E$8*(E$7-S$16*(1-$A165)*(1-(1-$A165)^MIN(E$6,$B$11))/($A165*MIN(E$6,$B$11)))^2)</f>
        <v/>
      </c>
      <c r="U165" s="27">
        <f>MIN(B165:S165)</f>
        <v/>
      </c>
      <c r="V165" s="17">
        <f>MATCH(U165,B165:S165,0)</f>
        <v/>
      </c>
    </row>
    <row r="166">
      <c r="A166" s="26" t="n">
        <v>0.0795</v>
      </c>
      <c r="B166" s="27">
        <f>IF(OR(B$7="",B$8=0),0,B$8*(B$7-B$16*(1-$A166)*(1-(1-$A166)^MIN(B$6,$B$11))/($A166*MIN(B$6,$B$11)))^2)+IF(OR(C$7="",C$8=0),0,C$8*(C$7-B$16*(1-$A166)*(1-(1-$A166)^MIN(C$6,$B$11))/($A166*MIN(C$6,$B$11)))^2)+IF(OR(D$7="",D$8=0),0,D$8*(D$7-B$16*(1-$A166)*(1-(1-$A166)^MIN(D$6,$B$11))/($A166*MIN(D$6,$B$11)))^2)+IF(OR(E$7="",E$8=0),0,E$8*(E$7-B$16*(1-$A166)*(1-(1-$A166)^MIN(E$6,$B$11))/($A166*MIN(E$6,$B$11)))^2)</f>
        <v/>
      </c>
      <c r="C166" s="27">
        <f>IF(OR(B$7="",B$8=0),0,B$8*(B$7-C$16*(1-$A166)*(1-(1-$A166)^MIN(B$6,$B$11))/($A166*MIN(B$6,$B$11)))^2)+IF(OR(C$7="",C$8=0),0,C$8*(C$7-C$16*(1-$A166)*(1-(1-$A166)^MIN(C$6,$B$11))/($A166*MIN(C$6,$B$11)))^2)+IF(OR(D$7="",D$8=0),0,D$8*(D$7-C$16*(1-$A166)*(1-(1-$A166)^MIN(D$6,$B$11))/($A166*MIN(D$6,$B$11)))^2)+IF(OR(E$7="",E$8=0),0,E$8*(E$7-C$16*(1-$A166)*(1-(1-$A166)^MIN(E$6,$B$11))/($A166*MIN(E$6,$B$11)))^2)</f>
        <v/>
      </c>
      <c r="D166" s="27">
        <f>IF(OR(B$7="",B$8=0),0,B$8*(B$7-D$16*(1-$A166)*(1-(1-$A166)^MIN(B$6,$B$11))/($A166*MIN(B$6,$B$11)))^2)+IF(OR(C$7="",C$8=0),0,C$8*(C$7-D$16*(1-$A166)*(1-(1-$A166)^MIN(C$6,$B$11))/($A166*MIN(C$6,$B$11)))^2)+IF(OR(D$7="",D$8=0),0,D$8*(D$7-D$16*(1-$A166)*(1-(1-$A166)^MIN(D$6,$B$11))/($A166*MIN(D$6,$B$11)))^2)+IF(OR(E$7="",E$8=0),0,E$8*(E$7-D$16*(1-$A166)*(1-(1-$A166)^MIN(E$6,$B$11))/($A166*MIN(E$6,$B$11)))^2)</f>
        <v/>
      </c>
      <c r="E166" s="27">
        <f>IF(OR(B$7="",B$8=0),0,B$8*(B$7-E$16*(1-$A166)*(1-(1-$A166)^MIN(B$6,$B$11))/($A166*MIN(B$6,$B$11)))^2)+IF(OR(C$7="",C$8=0),0,C$8*(C$7-E$16*(1-$A166)*(1-(1-$A166)^MIN(C$6,$B$11))/($A166*MIN(C$6,$B$11)))^2)+IF(OR(D$7="",D$8=0),0,D$8*(D$7-E$16*(1-$A166)*(1-(1-$A166)^MIN(D$6,$B$11))/($A166*MIN(D$6,$B$11)))^2)+IF(OR(E$7="",E$8=0),0,E$8*(E$7-E$16*(1-$A166)*(1-(1-$A166)^MIN(E$6,$B$11))/($A166*MIN(E$6,$B$11)))^2)</f>
        <v/>
      </c>
      <c r="F166" s="27">
        <f>IF(OR(B$7="",B$8=0),0,B$8*(B$7-F$16*(1-$A166)*(1-(1-$A166)^MIN(B$6,$B$11))/($A166*MIN(B$6,$B$11)))^2)+IF(OR(C$7="",C$8=0),0,C$8*(C$7-F$16*(1-$A166)*(1-(1-$A166)^MIN(C$6,$B$11))/($A166*MIN(C$6,$B$11)))^2)+IF(OR(D$7="",D$8=0),0,D$8*(D$7-F$16*(1-$A166)*(1-(1-$A166)^MIN(D$6,$B$11))/($A166*MIN(D$6,$B$11)))^2)+IF(OR(E$7="",E$8=0),0,E$8*(E$7-F$16*(1-$A166)*(1-(1-$A166)^MIN(E$6,$B$11))/($A166*MIN(E$6,$B$11)))^2)</f>
        <v/>
      </c>
      <c r="G166" s="27">
        <f>IF(OR(B$7="",B$8=0),0,B$8*(B$7-G$16*(1-$A166)*(1-(1-$A166)^MIN(B$6,$B$11))/($A166*MIN(B$6,$B$11)))^2)+IF(OR(C$7="",C$8=0),0,C$8*(C$7-G$16*(1-$A166)*(1-(1-$A166)^MIN(C$6,$B$11))/($A166*MIN(C$6,$B$11)))^2)+IF(OR(D$7="",D$8=0),0,D$8*(D$7-G$16*(1-$A166)*(1-(1-$A166)^MIN(D$6,$B$11))/($A166*MIN(D$6,$B$11)))^2)+IF(OR(E$7="",E$8=0),0,E$8*(E$7-G$16*(1-$A166)*(1-(1-$A166)^MIN(E$6,$B$11))/($A166*MIN(E$6,$B$11)))^2)</f>
        <v/>
      </c>
      <c r="H166" s="27">
        <f>IF(OR(B$7="",B$8=0),0,B$8*(B$7-H$16*(1-$A166)*(1-(1-$A166)^MIN(B$6,$B$11))/($A166*MIN(B$6,$B$11)))^2)+IF(OR(C$7="",C$8=0),0,C$8*(C$7-H$16*(1-$A166)*(1-(1-$A166)^MIN(C$6,$B$11))/($A166*MIN(C$6,$B$11)))^2)+IF(OR(D$7="",D$8=0),0,D$8*(D$7-H$16*(1-$A166)*(1-(1-$A166)^MIN(D$6,$B$11))/($A166*MIN(D$6,$B$11)))^2)+IF(OR(E$7="",E$8=0),0,E$8*(E$7-H$16*(1-$A166)*(1-(1-$A166)^MIN(E$6,$B$11))/($A166*MIN(E$6,$B$11)))^2)</f>
        <v/>
      </c>
      <c r="I166" s="27">
        <f>IF(OR(B$7="",B$8=0),0,B$8*(B$7-I$16*(1-$A166)*(1-(1-$A166)^MIN(B$6,$B$11))/($A166*MIN(B$6,$B$11)))^2)+IF(OR(C$7="",C$8=0),0,C$8*(C$7-I$16*(1-$A166)*(1-(1-$A166)^MIN(C$6,$B$11))/($A166*MIN(C$6,$B$11)))^2)+IF(OR(D$7="",D$8=0),0,D$8*(D$7-I$16*(1-$A166)*(1-(1-$A166)^MIN(D$6,$B$11))/($A166*MIN(D$6,$B$11)))^2)+IF(OR(E$7="",E$8=0),0,E$8*(E$7-I$16*(1-$A166)*(1-(1-$A166)^MIN(E$6,$B$11))/($A166*MIN(E$6,$B$11)))^2)</f>
        <v/>
      </c>
      <c r="J166" s="27">
        <f>IF(OR(B$7="",B$8=0),0,B$8*(B$7-J$16*(1-$A166)*(1-(1-$A166)^MIN(B$6,$B$11))/($A166*MIN(B$6,$B$11)))^2)+IF(OR(C$7="",C$8=0),0,C$8*(C$7-J$16*(1-$A166)*(1-(1-$A166)^MIN(C$6,$B$11))/($A166*MIN(C$6,$B$11)))^2)+IF(OR(D$7="",D$8=0),0,D$8*(D$7-J$16*(1-$A166)*(1-(1-$A166)^MIN(D$6,$B$11))/($A166*MIN(D$6,$B$11)))^2)+IF(OR(E$7="",E$8=0),0,E$8*(E$7-J$16*(1-$A166)*(1-(1-$A166)^MIN(E$6,$B$11))/($A166*MIN(E$6,$B$11)))^2)</f>
        <v/>
      </c>
      <c r="K166" s="27">
        <f>IF(OR(B$7="",B$8=0),0,B$8*(B$7-K$16*(1-$A166)*(1-(1-$A166)^MIN(B$6,$B$11))/($A166*MIN(B$6,$B$11)))^2)+IF(OR(C$7="",C$8=0),0,C$8*(C$7-K$16*(1-$A166)*(1-(1-$A166)^MIN(C$6,$B$11))/($A166*MIN(C$6,$B$11)))^2)+IF(OR(D$7="",D$8=0),0,D$8*(D$7-K$16*(1-$A166)*(1-(1-$A166)^MIN(D$6,$B$11))/($A166*MIN(D$6,$B$11)))^2)+IF(OR(E$7="",E$8=0),0,E$8*(E$7-K$16*(1-$A166)*(1-(1-$A166)^MIN(E$6,$B$11))/($A166*MIN(E$6,$B$11)))^2)</f>
        <v/>
      </c>
      <c r="L166" s="27">
        <f>IF(OR(B$7="",B$8=0),0,B$8*(B$7-L$16*(1-$A166)*(1-(1-$A166)^MIN(B$6,$B$11))/($A166*MIN(B$6,$B$11)))^2)+IF(OR(C$7="",C$8=0),0,C$8*(C$7-L$16*(1-$A166)*(1-(1-$A166)^MIN(C$6,$B$11))/($A166*MIN(C$6,$B$11)))^2)+IF(OR(D$7="",D$8=0),0,D$8*(D$7-L$16*(1-$A166)*(1-(1-$A166)^MIN(D$6,$B$11))/($A166*MIN(D$6,$B$11)))^2)+IF(OR(E$7="",E$8=0),0,E$8*(E$7-L$16*(1-$A166)*(1-(1-$A166)^MIN(E$6,$B$11))/($A166*MIN(E$6,$B$11)))^2)</f>
        <v/>
      </c>
      <c r="M166" s="27">
        <f>IF(OR(B$7="",B$8=0),0,B$8*(B$7-M$16*(1-$A166)*(1-(1-$A166)^MIN(B$6,$B$11))/($A166*MIN(B$6,$B$11)))^2)+IF(OR(C$7="",C$8=0),0,C$8*(C$7-M$16*(1-$A166)*(1-(1-$A166)^MIN(C$6,$B$11))/($A166*MIN(C$6,$B$11)))^2)+IF(OR(D$7="",D$8=0),0,D$8*(D$7-M$16*(1-$A166)*(1-(1-$A166)^MIN(D$6,$B$11))/($A166*MIN(D$6,$B$11)))^2)+IF(OR(E$7="",E$8=0),0,E$8*(E$7-M$16*(1-$A166)*(1-(1-$A166)^MIN(E$6,$B$11))/($A166*MIN(E$6,$B$11)))^2)</f>
        <v/>
      </c>
      <c r="N166" s="27">
        <f>IF(OR(B$7="",B$8=0),0,B$8*(B$7-N$16*(1-$A166)*(1-(1-$A166)^MIN(B$6,$B$11))/($A166*MIN(B$6,$B$11)))^2)+IF(OR(C$7="",C$8=0),0,C$8*(C$7-N$16*(1-$A166)*(1-(1-$A166)^MIN(C$6,$B$11))/($A166*MIN(C$6,$B$11)))^2)+IF(OR(D$7="",D$8=0),0,D$8*(D$7-N$16*(1-$A166)*(1-(1-$A166)^MIN(D$6,$B$11))/($A166*MIN(D$6,$B$11)))^2)+IF(OR(E$7="",E$8=0),0,E$8*(E$7-N$16*(1-$A166)*(1-(1-$A166)^MIN(E$6,$B$11))/($A166*MIN(E$6,$B$11)))^2)</f>
        <v/>
      </c>
      <c r="O166" s="27">
        <f>IF(OR(B$7="",B$8=0),0,B$8*(B$7-O$16*(1-$A166)*(1-(1-$A166)^MIN(B$6,$B$11))/($A166*MIN(B$6,$B$11)))^2)+IF(OR(C$7="",C$8=0),0,C$8*(C$7-O$16*(1-$A166)*(1-(1-$A166)^MIN(C$6,$B$11))/($A166*MIN(C$6,$B$11)))^2)+IF(OR(D$7="",D$8=0),0,D$8*(D$7-O$16*(1-$A166)*(1-(1-$A166)^MIN(D$6,$B$11))/($A166*MIN(D$6,$B$11)))^2)+IF(OR(E$7="",E$8=0),0,E$8*(E$7-O$16*(1-$A166)*(1-(1-$A166)^MIN(E$6,$B$11))/($A166*MIN(E$6,$B$11)))^2)</f>
        <v/>
      </c>
      <c r="P166" s="27">
        <f>IF(OR(B$7="",B$8=0),0,B$8*(B$7-P$16*(1-$A166)*(1-(1-$A166)^MIN(B$6,$B$11))/($A166*MIN(B$6,$B$11)))^2)+IF(OR(C$7="",C$8=0),0,C$8*(C$7-P$16*(1-$A166)*(1-(1-$A166)^MIN(C$6,$B$11))/($A166*MIN(C$6,$B$11)))^2)+IF(OR(D$7="",D$8=0),0,D$8*(D$7-P$16*(1-$A166)*(1-(1-$A166)^MIN(D$6,$B$11))/($A166*MIN(D$6,$B$11)))^2)+IF(OR(E$7="",E$8=0),0,E$8*(E$7-P$16*(1-$A166)*(1-(1-$A166)^MIN(E$6,$B$11))/($A166*MIN(E$6,$B$11)))^2)</f>
        <v/>
      </c>
      <c r="Q166" s="27">
        <f>IF(OR(B$7="",B$8=0),0,B$8*(B$7-Q$16*(1-$A166)*(1-(1-$A166)^MIN(B$6,$B$11))/($A166*MIN(B$6,$B$11)))^2)+IF(OR(C$7="",C$8=0),0,C$8*(C$7-Q$16*(1-$A166)*(1-(1-$A166)^MIN(C$6,$B$11))/($A166*MIN(C$6,$B$11)))^2)+IF(OR(D$7="",D$8=0),0,D$8*(D$7-Q$16*(1-$A166)*(1-(1-$A166)^MIN(D$6,$B$11))/($A166*MIN(D$6,$B$11)))^2)+IF(OR(E$7="",E$8=0),0,E$8*(E$7-Q$16*(1-$A166)*(1-(1-$A166)^MIN(E$6,$B$11))/($A166*MIN(E$6,$B$11)))^2)</f>
        <v/>
      </c>
      <c r="R166" s="27">
        <f>IF(OR(B$7="",B$8=0),0,B$8*(B$7-R$16*(1-$A166)*(1-(1-$A166)^MIN(B$6,$B$11))/($A166*MIN(B$6,$B$11)))^2)+IF(OR(C$7="",C$8=0),0,C$8*(C$7-R$16*(1-$A166)*(1-(1-$A166)^MIN(C$6,$B$11))/($A166*MIN(C$6,$B$11)))^2)+IF(OR(D$7="",D$8=0),0,D$8*(D$7-R$16*(1-$A166)*(1-(1-$A166)^MIN(D$6,$B$11))/($A166*MIN(D$6,$B$11)))^2)+IF(OR(E$7="",E$8=0),0,E$8*(E$7-R$16*(1-$A166)*(1-(1-$A166)^MIN(E$6,$B$11))/($A166*MIN(E$6,$B$11)))^2)</f>
        <v/>
      </c>
      <c r="S166" s="27">
        <f>IF(OR(B$7="",B$8=0),0,B$8*(B$7-S$16*(1-$A166)*(1-(1-$A166)^MIN(B$6,$B$11))/($A166*MIN(B$6,$B$11)))^2)+IF(OR(C$7="",C$8=0),0,C$8*(C$7-S$16*(1-$A166)*(1-(1-$A166)^MIN(C$6,$B$11))/($A166*MIN(C$6,$B$11)))^2)+IF(OR(D$7="",D$8=0),0,D$8*(D$7-S$16*(1-$A166)*(1-(1-$A166)^MIN(D$6,$B$11))/($A166*MIN(D$6,$B$11)))^2)+IF(OR(E$7="",E$8=0),0,E$8*(E$7-S$16*(1-$A166)*(1-(1-$A166)^MIN(E$6,$B$11))/($A166*MIN(E$6,$B$11)))^2)</f>
        <v/>
      </c>
      <c r="U166" s="27">
        <f>MIN(B166:S166)</f>
        <v/>
      </c>
      <c r="V166" s="17">
        <f>MATCH(U166,B166:S166,0)</f>
        <v/>
      </c>
    </row>
    <row r="167">
      <c r="A167" s="26" t="n">
        <v>0.08</v>
      </c>
      <c r="B167" s="27">
        <f>IF(OR(B$7="",B$8=0),0,B$8*(B$7-B$16*(1-$A167)*(1-(1-$A167)^MIN(B$6,$B$11))/($A167*MIN(B$6,$B$11)))^2)+IF(OR(C$7="",C$8=0),0,C$8*(C$7-B$16*(1-$A167)*(1-(1-$A167)^MIN(C$6,$B$11))/($A167*MIN(C$6,$B$11)))^2)+IF(OR(D$7="",D$8=0),0,D$8*(D$7-B$16*(1-$A167)*(1-(1-$A167)^MIN(D$6,$B$11))/($A167*MIN(D$6,$B$11)))^2)+IF(OR(E$7="",E$8=0),0,E$8*(E$7-B$16*(1-$A167)*(1-(1-$A167)^MIN(E$6,$B$11))/($A167*MIN(E$6,$B$11)))^2)</f>
        <v/>
      </c>
      <c r="C167" s="27">
        <f>IF(OR(B$7="",B$8=0),0,B$8*(B$7-C$16*(1-$A167)*(1-(1-$A167)^MIN(B$6,$B$11))/($A167*MIN(B$6,$B$11)))^2)+IF(OR(C$7="",C$8=0),0,C$8*(C$7-C$16*(1-$A167)*(1-(1-$A167)^MIN(C$6,$B$11))/($A167*MIN(C$6,$B$11)))^2)+IF(OR(D$7="",D$8=0),0,D$8*(D$7-C$16*(1-$A167)*(1-(1-$A167)^MIN(D$6,$B$11))/($A167*MIN(D$6,$B$11)))^2)+IF(OR(E$7="",E$8=0),0,E$8*(E$7-C$16*(1-$A167)*(1-(1-$A167)^MIN(E$6,$B$11))/($A167*MIN(E$6,$B$11)))^2)</f>
        <v/>
      </c>
      <c r="D167" s="27">
        <f>IF(OR(B$7="",B$8=0),0,B$8*(B$7-D$16*(1-$A167)*(1-(1-$A167)^MIN(B$6,$B$11))/($A167*MIN(B$6,$B$11)))^2)+IF(OR(C$7="",C$8=0),0,C$8*(C$7-D$16*(1-$A167)*(1-(1-$A167)^MIN(C$6,$B$11))/($A167*MIN(C$6,$B$11)))^2)+IF(OR(D$7="",D$8=0),0,D$8*(D$7-D$16*(1-$A167)*(1-(1-$A167)^MIN(D$6,$B$11))/($A167*MIN(D$6,$B$11)))^2)+IF(OR(E$7="",E$8=0),0,E$8*(E$7-D$16*(1-$A167)*(1-(1-$A167)^MIN(E$6,$B$11))/($A167*MIN(E$6,$B$11)))^2)</f>
        <v/>
      </c>
      <c r="E167" s="27">
        <f>IF(OR(B$7="",B$8=0),0,B$8*(B$7-E$16*(1-$A167)*(1-(1-$A167)^MIN(B$6,$B$11))/($A167*MIN(B$6,$B$11)))^2)+IF(OR(C$7="",C$8=0),0,C$8*(C$7-E$16*(1-$A167)*(1-(1-$A167)^MIN(C$6,$B$11))/($A167*MIN(C$6,$B$11)))^2)+IF(OR(D$7="",D$8=0),0,D$8*(D$7-E$16*(1-$A167)*(1-(1-$A167)^MIN(D$6,$B$11))/($A167*MIN(D$6,$B$11)))^2)+IF(OR(E$7="",E$8=0),0,E$8*(E$7-E$16*(1-$A167)*(1-(1-$A167)^MIN(E$6,$B$11))/($A167*MIN(E$6,$B$11)))^2)</f>
        <v/>
      </c>
      <c r="F167" s="27">
        <f>IF(OR(B$7="",B$8=0),0,B$8*(B$7-F$16*(1-$A167)*(1-(1-$A167)^MIN(B$6,$B$11))/($A167*MIN(B$6,$B$11)))^2)+IF(OR(C$7="",C$8=0),0,C$8*(C$7-F$16*(1-$A167)*(1-(1-$A167)^MIN(C$6,$B$11))/($A167*MIN(C$6,$B$11)))^2)+IF(OR(D$7="",D$8=0),0,D$8*(D$7-F$16*(1-$A167)*(1-(1-$A167)^MIN(D$6,$B$11))/($A167*MIN(D$6,$B$11)))^2)+IF(OR(E$7="",E$8=0),0,E$8*(E$7-F$16*(1-$A167)*(1-(1-$A167)^MIN(E$6,$B$11))/($A167*MIN(E$6,$B$11)))^2)</f>
        <v/>
      </c>
      <c r="G167" s="27">
        <f>IF(OR(B$7="",B$8=0),0,B$8*(B$7-G$16*(1-$A167)*(1-(1-$A167)^MIN(B$6,$B$11))/($A167*MIN(B$6,$B$11)))^2)+IF(OR(C$7="",C$8=0),0,C$8*(C$7-G$16*(1-$A167)*(1-(1-$A167)^MIN(C$6,$B$11))/($A167*MIN(C$6,$B$11)))^2)+IF(OR(D$7="",D$8=0),0,D$8*(D$7-G$16*(1-$A167)*(1-(1-$A167)^MIN(D$6,$B$11))/($A167*MIN(D$6,$B$11)))^2)+IF(OR(E$7="",E$8=0),0,E$8*(E$7-G$16*(1-$A167)*(1-(1-$A167)^MIN(E$6,$B$11))/($A167*MIN(E$6,$B$11)))^2)</f>
        <v/>
      </c>
      <c r="H167" s="27">
        <f>IF(OR(B$7="",B$8=0),0,B$8*(B$7-H$16*(1-$A167)*(1-(1-$A167)^MIN(B$6,$B$11))/($A167*MIN(B$6,$B$11)))^2)+IF(OR(C$7="",C$8=0),0,C$8*(C$7-H$16*(1-$A167)*(1-(1-$A167)^MIN(C$6,$B$11))/($A167*MIN(C$6,$B$11)))^2)+IF(OR(D$7="",D$8=0),0,D$8*(D$7-H$16*(1-$A167)*(1-(1-$A167)^MIN(D$6,$B$11))/($A167*MIN(D$6,$B$11)))^2)+IF(OR(E$7="",E$8=0),0,E$8*(E$7-H$16*(1-$A167)*(1-(1-$A167)^MIN(E$6,$B$11))/($A167*MIN(E$6,$B$11)))^2)</f>
        <v/>
      </c>
      <c r="I167" s="27">
        <f>IF(OR(B$7="",B$8=0),0,B$8*(B$7-I$16*(1-$A167)*(1-(1-$A167)^MIN(B$6,$B$11))/($A167*MIN(B$6,$B$11)))^2)+IF(OR(C$7="",C$8=0),0,C$8*(C$7-I$16*(1-$A167)*(1-(1-$A167)^MIN(C$6,$B$11))/($A167*MIN(C$6,$B$11)))^2)+IF(OR(D$7="",D$8=0),0,D$8*(D$7-I$16*(1-$A167)*(1-(1-$A167)^MIN(D$6,$B$11))/($A167*MIN(D$6,$B$11)))^2)+IF(OR(E$7="",E$8=0),0,E$8*(E$7-I$16*(1-$A167)*(1-(1-$A167)^MIN(E$6,$B$11))/($A167*MIN(E$6,$B$11)))^2)</f>
        <v/>
      </c>
      <c r="J167" s="27">
        <f>IF(OR(B$7="",B$8=0),0,B$8*(B$7-J$16*(1-$A167)*(1-(1-$A167)^MIN(B$6,$B$11))/($A167*MIN(B$6,$B$11)))^2)+IF(OR(C$7="",C$8=0),0,C$8*(C$7-J$16*(1-$A167)*(1-(1-$A167)^MIN(C$6,$B$11))/($A167*MIN(C$6,$B$11)))^2)+IF(OR(D$7="",D$8=0),0,D$8*(D$7-J$16*(1-$A167)*(1-(1-$A167)^MIN(D$6,$B$11))/($A167*MIN(D$6,$B$11)))^2)+IF(OR(E$7="",E$8=0),0,E$8*(E$7-J$16*(1-$A167)*(1-(1-$A167)^MIN(E$6,$B$11))/($A167*MIN(E$6,$B$11)))^2)</f>
        <v/>
      </c>
      <c r="K167" s="27">
        <f>IF(OR(B$7="",B$8=0),0,B$8*(B$7-K$16*(1-$A167)*(1-(1-$A167)^MIN(B$6,$B$11))/($A167*MIN(B$6,$B$11)))^2)+IF(OR(C$7="",C$8=0),0,C$8*(C$7-K$16*(1-$A167)*(1-(1-$A167)^MIN(C$6,$B$11))/($A167*MIN(C$6,$B$11)))^2)+IF(OR(D$7="",D$8=0),0,D$8*(D$7-K$16*(1-$A167)*(1-(1-$A167)^MIN(D$6,$B$11))/($A167*MIN(D$6,$B$11)))^2)+IF(OR(E$7="",E$8=0),0,E$8*(E$7-K$16*(1-$A167)*(1-(1-$A167)^MIN(E$6,$B$11))/($A167*MIN(E$6,$B$11)))^2)</f>
        <v/>
      </c>
      <c r="L167" s="27">
        <f>IF(OR(B$7="",B$8=0),0,B$8*(B$7-L$16*(1-$A167)*(1-(1-$A167)^MIN(B$6,$B$11))/($A167*MIN(B$6,$B$11)))^2)+IF(OR(C$7="",C$8=0),0,C$8*(C$7-L$16*(1-$A167)*(1-(1-$A167)^MIN(C$6,$B$11))/($A167*MIN(C$6,$B$11)))^2)+IF(OR(D$7="",D$8=0),0,D$8*(D$7-L$16*(1-$A167)*(1-(1-$A167)^MIN(D$6,$B$11))/($A167*MIN(D$6,$B$11)))^2)+IF(OR(E$7="",E$8=0),0,E$8*(E$7-L$16*(1-$A167)*(1-(1-$A167)^MIN(E$6,$B$11))/($A167*MIN(E$6,$B$11)))^2)</f>
        <v/>
      </c>
      <c r="M167" s="27">
        <f>IF(OR(B$7="",B$8=0),0,B$8*(B$7-M$16*(1-$A167)*(1-(1-$A167)^MIN(B$6,$B$11))/($A167*MIN(B$6,$B$11)))^2)+IF(OR(C$7="",C$8=0),0,C$8*(C$7-M$16*(1-$A167)*(1-(1-$A167)^MIN(C$6,$B$11))/($A167*MIN(C$6,$B$11)))^2)+IF(OR(D$7="",D$8=0),0,D$8*(D$7-M$16*(1-$A167)*(1-(1-$A167)^MIN(D$6,$B$11))/($A167*MIN(D$6,$B$11)))^2)+IF(OR(E$7="",E$8=0),0,E$8*(E$7-M$16*(1-$A167)*(1-(1-$A167)^MIN(E$6,$B$11))/($A167*MIN(E$6,$B$11)))^2)</f>
        <v/>
      </c>
      <c r="N167" s="27">
        <f>IF(OR(B$7="",B$8=0),0,B$8*(B$7-N$16*(1-$A167)*(1-(1-$A167)^MIN(B$6,$B$11))/($A167*MIN(B$6,$B$11)))^2)+IF(OR(C$7="",C$8=0),0,C$8*(C$7-N$16*(1-$A167)*(1-(1-$A167)^MIN(C$6,$B$11))/($A167*MIN(C$6,$B$11)))^2)+IF(OR(D$7="",D$8=0),0,D$8*(D$7-N$16*(1-$A167)*(1-(1-$A167)^MIN(D$6,$B$11))/($A167*MIN(D$6,$B$11)))^2)+IF(OR(E$7="",E$8=0),0,E$8*(E$7-N$16*(1-$A167)*(1-(1-$A167)^MIN(E$6,$B$11))/($A167*MIN(E$6,$B$11)))^2)</f>
        <v/>
      </c>
      <c r="O167" s="27">
        <f>IF(OR(B$7="",B$8=0),0,B$8*(B$7-O$16*(1-$A167)*(1-(1-$A167)^MIN(B$6,$B$11))/($A167*MIN(B$6,$B$11)))^2)+IF(OR(C$7="",C$8=0),0,C$8*(C$7-O$16*(1-$A167)*(1-(1-$A167)^MIN(C$6,$B$11))/($A167*MIN(C$6,$B$11)))^2)+IF(OR(D$7="",D$8=0),0,D$8*(D$7-O$16*(1-$A167)*(1-(1-$A167)^MIN(D$6,$B$11))/($A167*MIN(D$6,$B$11)))^2)+IF(OR(E$7="",E$8=0),0,E$8*(E$7-O$16*(1-$A167)*(1-(1-$A167)^MIN(E$6,$B$11))/($A167*MIN(E$6,$B$11)))^2)</f>
        <v/>
      </c>
      <c r="P167" s="27">
        <f>IF(OR(B$7="",B$8=0),0,B$8*(B$7-P$16*(1-$A167)*(1-(1-$A167)^MIN(B$6,$B$11))/($A167*MIN(B$6,$B$11)))^2)+IF(OR(C$7="",C$8=0),0,C$8*(C$7-P$16*(1-$A167)*(1-(1-$A167)^MIN(C$6,$B$11))/($A167*MIN(C$6,$B$11)))^2)+IF(OR(D$7="",D$8=0),0,D$8*(D$7-P$16*(1-$A167)*(1-(1-$A167)^MIN(D$6,$B$11))/($A167*MIN(D$6,$B$11)))^2)+IF(OR(E$7="",E$8=0),0,E$8*(E$7-P$16*(1-$A167)*(1-(1-$A167)^MIN(E$6,$B$11))/($A167*MIN(E$6,$B$11)))^2)</f>
        <v/>
      </c>
      <c r="Q167" s="27">
        <f>IF(OR(B$7="",B$8=0),0,B$8*(B$7-Q$16*(1-$A167)*(1-(1-$A167)^MIN(B$6,$B$11))/($A167*MIN(B$6,$B$11)))^2)+IF(OR(C$7="",C$8=0),0,C$8*(C$7-Q$16*(1-$A167)*(1-(1-$A167)^MIN(C$6,$B$11))/($A167*MIN(C$6,$B$11)))^2)+IF(OR(D$7="",D$8=0),0,D$8*(D$7-Q$16*(1-$A167)*(1-(1-$A167)^MIN(D$6,$B$11))/($A167*MIN(D$6,$B$11)))^2)+IF(OR(E$7="",E$8=0),0,E$8*(E$7-Q$16*(1-$A167)*(1-(1-$A167)^MIN(E$6,$B$11))/($A167*MIN(E$6,$B$11)))^2)</f>
        <v/>
      </c>
      <c r="R167" s="27">
        <f>IF(OR(B$7="",B$8=0),0,B$8*(B$7-R$16*(1-$A167)*(1-(1-$A167)^MIN(B$6,$B$11))/($A167*MIN(B$6,$B$11)))^2)+IF(OR(C$7="",C$8=0),0,C$8*(C$7-R$16*(1-$A167)*(1-(1-$A167)^MIN(C$6,$B$11))/($A167*MIN(C$6,$B$11)))^2)+IF(OR(D$7="",D$8=0),0,D$8*(D$7-R$16*(1-$A167)*(1-(1-$A167)^MIN(D$6,$B$11))/($A167*MIN(D$6,$B$11)))^2)+IF(OR(E$7="",E$8=0),0,E$8*(E$7-R$16*(1-$A167)*(1-(1-$A167)^MIN(E$6,$B$11))/($A167*MIN(E$6,$B$11)))^2)</f>
        <v/>
      </c>
      <c r="S167" s="27">
        <f>IF(OR(B$7="",B$8=0),0,B$8*(B$7-S$16*(1-$A167)*(1-(1-$A167)^MIN(B$6,$B$11))/($A167*MIN(B$6,$B$11)))^2)+IF(OR(C$7="",C$8=0),0,C$8*(C$7-S$16*(1-$A167)*(1-(1-$A167)^MIN(C$6,$B$11))/($A167*MIN(C$6,$B$11)))^2)+IF(OR(D$7="",D$8=0),0,D$8*(D$7-S$16*(1-$A167)*(1-(1-$A167)^MIN(D$6,$B$11))/($A167*MIN(D$6,$B$11)))^2)+IF(OR(E$7="",E$8=0),0,E$8*(E$7-S$16*(1-$A167)*(1-(1-$A167)^MIN(E$6,$B$11))/($A167*MIN(E$6,$B$11)))^2)</f>
        <v/>
      </c>
      <c r="U167" s="27">
        <f>MIN(B167:S167)</f>
        <v/>
      </c>
      <c r="V167" s="17">
        <f>MATCH(U167,B167:S167,0)</f>
        <v/>
      </c>
    </row>
  </sheetData>
  <printOptions horizontalCentered="1"/>
  <pageMargins left="0.5" right="0.5" top="0.6" bottom="0.7" header="0.5" footer="0.5"/>
  <pageSetup orientation="landscape" paperSize="9" fitToHeight="0" fitToWidth="1"/>
  <headerFooter>
    <oddHeader/>
    <oddFooter>&amp;L&amp;"Arial"&amp;8 Africa Energy Finance | Book 2 Decision tool D3 | Version 0.9 (pre-release)&amp;C&amp;"Arial"&amp;8 &amp;A&amp;R&amp;"Arial"&amp;8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4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AFRICA ENERGY FINANCE  |  BOOK 2  |  PAYGO SOLAR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Portfolio growth and the collection rate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Same customer behaviour, different growth rates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5" t="inlineStr">
        <is>
          <t>Decision tool D3  |  Version 0.9 (pre-release)  |  Author &amp; ideation: Emmanuel Boujieka Kamga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/>
    <row r="6">
      <c r="A6" s="24" t="inlineStr">
        <is>
          <t>Hazard, collection rate and tenor are linked to the Curve sheet.</t>
        </is>
      </c>
    </row>
    <row r="7"/>
    <row r="8">
      <c r="A8" s="9" t="inlineStr">
        <is>
          <t>Monthly growth in originations</t>
        </is>
      </c>
      <c r="B8" s="19" t="n">
        <v>0</v>
      </c>
      <c r="C8" s="19" t="n">
        <v>0.02</v>
      </c>
      <c r="D8" s="19" t="n">
        <v>0.05</v>
      </c>
      <c r="E8" s="19" t="n">
        <v>0.1</v>
      </c>
      <c r="H8" s="24" t="inlineStr">
        <is>
          <t>Chapter 6 reports 64.4%, 68.3% and 71.6% for 0%, 5% and 10% monthly growth on the default Tier 2 curve.</t>
        </is>
      </c>
    </row>
    <row r="9">
      <c r="A9" s="9" t="inlineStr">
        <is>
          <t>Portfolio operational collection rate (not a PERFORM KPI), steady growth state</t>
        </is>
      </c>
      <c r="B9" s="21">
        <f>SUMPRODUCT(B13:B72,$G$13:$G$72)/SUM(B13:B72)</f>
        <v/>
      </c>
      <c r="C9" s="21">
        <f>SUMPRODUCT(C13:C72,$G$13:$G$72)/SUM(C13:C72)</f>
        <v/>
      </c>
      <c r="D9" s="21">
        <f>SUMPRODUCT(D13:D72,$G$13:$G$72)/SUM(D13:D72)</f>
        <v/>
      </c>
      <c r="E9" s="21">
        <f>SUMPRODUCT(E13:E72,$G$13:$G$72)/SUM(E13:E72)</f>
        <v/>
      </c>
    </row>
    <row r="10">
      <c r="A10" s="11" t="inlineStr">
        <is>
          <t>Difference with the cohort average (points)</t>
        </is>
      </c>
      <c r="B10" s="18">
        <f>B9-$B$9</f>
        <v/>
      </c>
      <c r="C10" s="18">
        <f>C9-$B$9</f>
        <v/>
      </c>
      <c r="D10" s="18">
        <f>D9-$B$9</f>
        <v/>
      </c>
      <c r="E10" s="18">
        <f>E9-$B$9</f>
        <v/>
      </c>
    </row>
    <row r="11"/>
    <row r="12" ht="30" customHeight="1">
      <c r="A12" s="15" t="inlineStr">
        <is>
          <t>Age (months)</t>
        </is>
      </c>
      <c r="B12" s="15" t="inlineStr">
        <is>
          <t>Weight at g1</t>
        </is>
      </c>
      <c r="C12" s="15" t="inlineStr">
        <is>
          <t>Weight at g2</t>
        </is>
      </c>
      <c r="D12" s="15" t="inlineStr">
        <is>
          <t>Weight at g3</t>
        </is>
      </c>
      <c r="E12" s="15" t="inlineStr">
        <is>
          <t>Weight at g4</t>
        </is>
      </c>
      <c r="F12" s="15" t="inlineStr"/>
      <c r="G12" s="15" t="inlineStr">
        <is>
          <t>Payment share</t>
        </is>
      </c>
      <c r="H12" s="15" t="inlineStr"/>
      <c r="I12" s="15" t="inlineStr"/>
    </row>
    <row r="13">
      <c r="A13" s="17" t="n">
        <v>1</v>
      </c>
      <c r="B13" s="28">
        <f>IF(A13&lt;=Curve!$B$9,(1+B$8)^(-A13),0)</f>
        <v/>
      </c>
      <c r="C13" s="28">
        <f>IF(A13&lt;=Curve!$B$9,(1+C$8)^(-A13),0)</f>
        <v/>
      </c>
      <c r="D13" s="28">
        <f>IF(A13&lt;=Curve!$B$9,(1+D$8)^(-A13),0)</f>
        <v/>
      </c>
      <c r="E13" s="28">
        <f>IF(A13&lt;=Curve!$B$9,(1+E$8)^(-A13),0)</f>
        <v/>
      </c>
      <c r="G13" s="18">
        <f>Curve!F7</f>
        <v/>
      </c>
    </row>
    <row r="14">
      <c r="A14" s="17" t="n">
        <v>2</v>
      </c>
      <c r="B14" s="28">
        <f>IF(A14&lt;=Curve!$B$9,(1+B$8)^(-A14),0)</f>
        <v/>
      </c>
      <c r="C14" s="28">
        <f>IF(A14&lt;=Curve!$B$9,(1+C$8)^(-A14),0)</f>
        <v/>
      </c>
      <c r="D14" s="28">
        <f>IF(A14&lt;=Curve!$B$9,(1+D$8)^(-A14),0)</f>
        <v/>
      </c>
      <c r="E14" s="28">
        <f>IF(A14&lt;=Curve!$B$9,(1+E$8)^(-A14),0)</f>
        <v/>
      </c>
      <c r="G14" s="18">
        <f>Curve!F8</f>
        <v/>
      </c>
    </row>
    <row r="15">
      <c r="A15" s="17" t="n">
        <v>3</v>
      </c>
      <c r="B15" s="28">
        <f>IF(A15&lt;=Curve!$B$9,(1+B$8)^(-A15),0)</f>
        <v/>
      </c>
      <c r="C15" s="28">
        <f>IF(A15&lt;=Curve!$B$9,(1+C$8)^(-A15),0)</f>
        <v/>
      </c>
      <c r="D15" s="28">
        <f>IF(A15&lt;=Curve!$B$9,(1+D$8)^(-A15),0)</f>
        <v/>
      </c>
      <c r="E15" s="28">
        <f>IF(A15&lt;=Curve!$B$9,(1+E$8)^(-A15),0)</f>
        <v/>
      </c>
      <c r="G15" s="18">
        <f>Curve!F9</f>
        <v/>
      </c>
    </row>
    <row r="16">
      <c r="A16" s="17" t="n">
        <v>4</v>
      </c>
      <c r="B16" s="28">
        <f>IF(A16&lt;=Curve!$B$9,(1+B$8)^(-A16),0)</f>
        <v/>
      </c>
      <c r="C16" s="28">
        <f>IF(A16&lt;=Curve!$B$9,(1+C$8)^(-A16),0)</f>
        <v/>
      </c>
      <c r="D16" s="28">
        <f>IF(A16&lt;=Curve!$B$9,(1+D$8)^(-A16),0)</f>
        <v/>
      </c>
      <c r="E16" s="28">
        <f>IF(A16&lt;=Curve!$B$9,(1+E$8)^(-A16),0)</f>
        <v/>
      </c>
      <c r="G16" s="18">
        <f>Curve!F10</f>
        <v/>
      </c>
    </row>
    <row r="17">
      <c r="A17" s="17" t="n">
        <v>5</v>
      </c>
      <c r="B17" s="28">
        <f>IF(A17&lt;=Curve!$B$9,(1+B$8)^(-A17),0)</f>
        <v/>
      </c>
      <c r="C17" s="28">
        <f>IF(A17&lt;=Curve!$B$9,(1+C$8)^(-A17),0)</f>
        <v/>
      </c>
      <c r="D17" s="28">
        <f>IF(A17&lt;=Curve!$B$9,(1+D$8)^(-A17),0)</f>
        <v/>
      </c>
      <c r="E17" s="28">
        <f>IF(A17&lt;=Curve!$B$9,(1+E$8)^(-A17),0)</f>
        <v/>
      </c>
      <c r="G17" s="18">
        <f>Curve!F11</f>
        <v/>
      </c>
    </row>
    <row r="18">
      <c r="A18" s="17" t="n">
        <v>6</v>
      </c>
      <c r="B18" s="28">
        <f>IF(A18&lt;=Curve!$B$9,(1+B$8)^(-A18),0)</f>
        <v/>
      </c>
      <c r="C18" s="28">
        <f>IF(A18&lt;=Curve!$B$9,(1+C$8)^(-A18),0)</f>
        <v/>
      </c>
      <c r="D18" s="28">
        <f>IF(A18&lt;=Curve!$B$9,(1+D$8)^(-A18),0)</f>
        <v/>
      </c>
      <c r="E18" s="28">
        <f>IF(A18&lt;=Curve!$B$9,(1+E$8)^(-A18),0)</f>
        <v/>
      </c>
      <c r="G18" s="18">
        <f>Curve!F12</f>
        <v/>
      </c>
    </row>
    <row r="19">
      <c r="A19" s="17" t="n">
        <v>7</v>
      </c>
      <c r="B19" s="28">
        <f>IF(A19&lt;=Curve!$B$9,(1+B$8)^(-A19),0)</f>
        <v/>
      </c>
      <c r="C19" s="28">
        <f>IF(A19&lt;=Curve!$B$9,(1+C$8)^(-A19),0)</f>
        <v/>
      </c>
      <c r="D19" s="28">
        <f>IF(A19&lt;=Curve!$B$9,(1+D$8)^(-A19),0)</f>
        <v/>
      </c>
      <c r="E19" s="28">
        <f>IF(A19&lt;=Curve!$B$9,(1+E$8)^(-A19),0)</f>
        <v/>
      </c>
      <c r="G19" s="18">
        <f>Curve!F13</f>
        <v/>
      </c>
    </row>
    <row r="20">
      <c r="A20" s="17" t="n">
        <v>8</v>
      </c>
      <c r="B20" s="28">
        <f>IF(A20&lt;=Curve!$B$9,(1+B$8)^(-A20),0)</f>
        <v/>
      </c>
      <c r="C20" s="28">
        <f>IF(A20&lt;=Curve!$B$9,(1+C$8)^(-A20),0)</f>
        <v/>
      </c>
      <c r="D20" s="28">
        <f>IF(A20&lt;=Curve!$B$9,(1+D$8)^(-A20),0)</f>
        <v/>
      </c>
      <c r="E20" s="28">
        <f>IF(A20&lt;=Curve!$B$9,(1+E$8)^(-A20),0)</f>
        <v/>
      </c>
      <c r="G20" s="18">
        <f>Curve!F14</f>
        <v/>
      </c>
    </row>
    <row r="21">
      <c r="A21" s="17" t="n">
        <v>9</v>
      </c>
      <c r="B21" s="28">
        <f>IF(A21&lt;=Curve!$B$9,(1+B$8)^(-A21),0)</f>
        <v/>
      </c>
      <c r="C21" s="28">
        <f>IF(A21&lt;=Curve!$B$9,(1+C$8)^(-A21),0)</f>
        <v/>
      </c>
      <c r="D21" s="28">
        <f>IF(A21&lt;=Curve!$B$9,(1+D$8)^(-A21),0)</f>
        <v/>
      </c>
      <c r="E21" s="28">
        <f>IF(A21&lt;=Curve!$B$9,(1+E$8)^(-A21),0)</f>
        <v/>
      </c>
      <c r="G21" s="18">
        <f>Curve!F15</f>
        <v/>
      </c>
    </row>
    <row r="22">
      <c r="A22" s="17" t="n">
        <v>10</v>
      </c>
      <c r="B22" s="28">
        <f>IF(A22&lt;=Curve!$B$9,(1+B$8)^(-A22),0)</f>
        <v/>
      </c>
      <c r="C22" s="28">
        <f>IF(A22&lt;=Curve!$B$9,(1+C$8)^(-A22),0)</f>
        <v/>
      </c>
      <c r="D22" s="28">
        <f>IF(A22&lt;=Curve!$B$9,(1+D$8)^(-A22),0)</f>
        <v/>
      </c>
      <c r="E22" s="28">
        <f>IF(A22&lt;=Curve!$B$9,(1+E$8)^(-A22),0)</f>
        <v/>
      </c>
      <c r="G22" s="18">
        <f>Curve!F16</f>
        <v/>
      </c>
    </row>
    <row r="23">
      <c r="A23" s="17" t="n">
        <v>11</v>
      </c>
      <c r="B23" s="28">
        <f>IF(A23&lt;=Curve!$B$9,(1+B$8)^(-A23),0)</f>
        <v/>
      </c>
      <c r="C23" s="28">
        <f>IF(A23&lt;=Curve!$B$9,(1+C$8)^(-A23),0)</f>
        <v/>
      </c>
      <c r="D23" s="28">
        <f>IF(A23&lt;=Curve!$B$9,(1+D$8)^(-A23),0)</f>
        <v/>
      </c>
      <c r="E23" s="28">
        <f>IF(A23&lt;=Curve!$B$9,(1+E$8)^(-A23),0)</f>
        <v/>
      </c>
      <c r="G23" s="18">
        <f>Curve!F17</f>
        <v/>
      </c>
    </row>
    <row r="24">
      <c r="A24" s="17" t="n">
        <v>12</v>
      </c>
      <c r="B24" s="28">
        <f>IF(A24&lt;=Curve!$B$9,(1+B$8)^(-A24),0)</f>
        <v/>
      </c>
      <c r="C24" s="28">
        <f>IF(A24&lt;=Curve!$B$9,(1+C$8)^(-A24),0)</f>
        <v/>
      </c>
      <c r="D24" s="28">
        <f>IF(A24&lt;=Curve!$B$9,(1+D$8)^(-A24),0)</f>
        <v/>
      </c>
      <c r="E24" s="28">
        <f>IF(A24&lt;=Curve!$B$9,(1+E$8)^(-A24),0)</f>
        <v/>
      </c>
      <c r="G24" s="18">
        <f>Curve!F18</f>
        <v/>
      </c>
    </row>
    <row r="25">
      <c r="A25" s="17" t="n">
        <v>13</v>
      </c>
      <c r="B25" s="28">
        <f>IF(A25&lt;=Curve!$B$9,(1+B$8)^(-A25),0)</f>
        <v/>
      </c>
      <c r="C25" s="28">
        <f>IF(A25&lt;=Curve!$B$9,(1+C$8)^(-A25),0)</f>
        <v/>
      </c>
      <c r="D25" s="28">
        <f>IF(A25&lt;=Curve!$B$9,(1+D$8)^(-A25),0)</f>
        <v/>
      </c>
      <c r="E25" s="28">
        <f>IF(A25&lt;=Curve!$B$9,(1+E$8)^(-A25),0)</f>
        <v/>
      </c>
      <c r="G25" s="18">
        <f>Curve!F19</f>
        <v/>
      </c>
    </row>
    <row r="26">
      <c r="A26" s="17" t="n">
        <v>14</v>
      </c>
      <c r="B26" s="28">
        <f>IF(A26&lt;=Curve!$B$9,(1+B$8)^(-A26),0)</f>
        <v/>
      </c>
      <c r="C26" s="28">
        <f>IF(A26&lt;=Curve!$B$9,(1+C$8)^(-A26),0)</f>
        <v/>
      </c>
      <c r="D26" s="28">
        <f>IF(A26&lt;=Curve!$B$9,(1+D$8)^(-A26),0)</f>
        <v/>
      </c>
      <c r="E26" s="28">
        <f>IF(A26&lt;=Curve!$B$9,(1+E$8)^(-A26),0)</f>
        <v/>
      </c>
      <c r="G26" s="18">
        <f>Curve!F20</f>
        <v/>
      </c>
    </row>
    <row r="27">
      <c r="A27" s="17" t="n">
        <v>15</v>
      </c>
      <c r="B27" s="28">
        <f>IF(A27&lt;=Curve!$B$9,(1+B$8)^(-A27),0)</f>
        <v/>
      </c>
      <c r="C27" s="28">
        <f>IF(A27&lt;=Curve!$B$9,(1+C$8)^(-A27),0)</f>
        <v/>
      </c>
      <c r="D27" s="28">
        <f>IF(A27&lt;=Curve!$B$9,(1+D$8)^(-A27),0)</f>
        <v/>
      </c>
      <c r="E27" s="28">
        <f>IF(A27&lt;=Curve!$B$9,(1+E$8)^(-A27),0)</f>
        <v/>
      </c>
      <c r="G27" s="18">
        <f>Curve!F21</f>
        <v/>
      </c>
    </row>
    <row r="28">
      <c r="A28" s="17" t="n">
        <v>16</v>
      </c>
      <c r="B28" s="28">
        <f>IF(A28&lt;=Curve!$B$9,(1+B$8)^(-A28),0)</f>
        <v/>
      </c>
      <c r="C28" s="28">
        <f>IF(A28&lt;=Curve!$B$9,(1+C$8)^(-A28),0)</f>
        <v/>
      </c>
      <c r="D28" s="28">
        <f>IF(A28&lt;=Curve!$B$9,(1+D$8)^(-A28),0)</f>
        <v/>
      </c>
      <c r="E28" s="28">
        <f>IF(A28&lt;=Curve!$B$9,(1+E$8)^(-A28),0)</f>
        <v/>
      </c>
      <c r="G28" s="18">
        <f>Curve!F22</f>
        <v/>
      </c>
    </row>
    <row r="29">
      <c r="A29" s="17" t="n">
        <v>17</v>
      </c>
      <c r="B29" s="28">
        <f>IF(A29&lt;=Curve!$B$9,(1+B$8)^(-A29),0)</f>
        <v/>
      </c>
      <c r="C29" s="28">
        <f>IF(A29&lt;=Curve!$B$9,(1+C$8)^(-A29),0)</f>
        <v/>
      </c>
      <c r="D29" s="28">
        <f>IF(A29&lt;=Curve!$B$9,(1+D$8)^(-A29),0)</f>
        <v/>
      </c>
      <c r="E29" s="28">
        <f>IF(A29&lt;=Curve!$B$9,(1+E$8)^(-A29),0)</f>
        <v/>
      </c>
      <c r="G29" s="18">
        <f>Curve!F23</f>
        <v/>
      </c>
    </row>
    <row r="30">
      <c r="A30" s="17" t="n">
        <v>18</v>
      </c>
      <c r="B30" s="28">
        <f>IF(A30&lt;=Curve!$B$9,(1+B$8)^(-A30),0)</f>
        <v/>
      </c>
      <c r="C30" s="28">
        <f>IF(A30&lt;=Curve!$B$9,(1+C$8)^(-A30),0)</f>
        <v/>
      </c>
      <c r="D30" s="28">
        <f>IF(A30&lt;=Curve!$B$9,(1+D$8)^(-A30),0)</f>
        <v/>
      </c>
      <c r="E30" s="28">
        <f>IF(A30&lt;=Curve!$B$9,(1+E$8)^(-A30),0)</f>
        <v/>
      </c>
      <c r="G30" s="18">
        <f>Curve!F24</f>
        <v/>
      </c>
    </row>
    <row r="31">
      <c r="A31" s="17" t="n">
        <v>19</v>
      </c>
      <c r="B31" s="28">
        <f>IF(A31&lt;=Curve!$B$9,(1+B$8)^(-A31),0)</f>
        <v/>
      </c>
      <c r="C31" s="28">
        <f>IF(A31&lt;=Curve!$B$9,(1+C$8)^(-A31),0)</f>
        <v/>
      </c>
      <c r="D31" s="28">
        <f>IF(A31&lt;=Curve!$B$9,(1+D$8)^(-A31),0)</f>
        <v/>
      </c>
      <c r="E31" s="28">
        <f>IF(A31&lt;=Curve!$B$9,(1+E$8)^(-A31),0)</f>
        <v/>
      </c>
      <c r="G31" s="18">
        <f>Curve!F25</f>
        <v/>
      </c>
    </row>
    <row r="32">
      <c r="A32" s="17" t="n">
        <v>20</v>
      </c>
      <c r="B32" s="28">
        <f>IF(A32&lt;=Curve!$B$9,(1+B$8)^(-A32),0)</f>
        <v/>
      </c>
      <c r="C32" s="28">
        <f>IF(A32&lt;=Curve!$B$9,(1+C$8)^(-A32),0)</f>
        <v/>
      </c>
      <c r="D32" s="28">
        <f>IF(A32&lt;=Curve!$B$9,(1+D$8)^(-A32),0)</f>
        <v/>
      </c>
      <c r="E32" s="28">
        <f>IF(A32&lt;=Curve!$B$9,(1+E$8)^(-A32),0)</f>
        <v/>
      </c>
      <c r="G32" s="18">
        <f>Curve!F26</f>
        <v/>
      </c>
    </row>
    <row r="33">
      <c r="A33" s="17" t="n">
        <v>21</v>
      </c>
      <c r="B33" s="28">
        <f>IF(A33&lt;=Curve!$B$9,(1+B$8)^(-A33),0)</f>
        <v/>
      </c>
      <c r="C33" s="28">
        <f>IF(A33&lt;=Curve!$B$9,(1+C$8)^(-A33),0)</f>
        <v/>
      </c>
      <c r="D33" s="28">
        <f>IF(A33&lt;=Curve!$B$9,(1+D$8)^(-A33),0)</f>
        <v/>
      </c>
      <c r="E33" s="28">
        <f>IF(A33&lt;=Curve!$B$9,(1+E$8)^(-A33),0)</f>
        <v/>
      </c>
      <c r="G33" s="18">
        <f>Curve!F27</f>
        <v/>
      </c>
    </row>
    <row r="34">
      <c r="A34" s="17" t="n">
        <v>22</v>
      </c>
      <c r="B34" s="28">
        <f>IF(A34&lt;=Curve!$B$9,(1+B$8)^(-A34),0)</f>
        <v/>
      </c>
      <c r="C34" s="28">
        <f>IF(A34&lt;=Curve!$B$9,(1+C$8)^(-A34),0)</f>
        <v/>
      </c>
      <c r="D34" s="28">
        <f>IF(A34&lt;=Curve!$B$9,(1+D$8)^(-A34),0)</f>
        <v/>
      </c>
      <c r="E34" s="28">
        <f>IF(A34&lt;=Curve!$B$9,(1+E$8)^(-A34),0)</f>
        <v/>
      </c>
      <c r="G34" s="18">
        <f>Curve!F28</f>
        <v/>
      </c>
    </row>
    <row r="35">
      <c r="A35" s="17" t="n">
        <v>23</v>
      </c>
      <c r="B35" s="28">
        <f>IF(A35&lt;=Curve!$B$9,(1+B$8)^(-A35),0)</f>
        <v/>
      </c>
      <c r="C35" s="28">
        <f>IF(A35&lt;=Curve!$B$9,(1+C$8)^(-A35),0)</f>
        <v/>
      </c>
      <c r="D35" s="28">
        <f>IF(A35&lt;=Curve!$B$9,(1+D$8)^(-A35),0)</f>
        <v/>
      </c>
      <c r="E35" s="28">
        <f>IF(A35&lt;=Curve!$B$9,(1+E$8)^(-A35),0)</f>
        <v/>
      </c>
      <c r="G35" s="18">
        <f>Curve!F29</f>
        <v/>
      </c>
    </row>
    <row r="36">
      <c r="A36" s="17" t="n">
        <v>24</v>
      </c>
      <c r="B36" s="28">
        <f>IF(A36&lt;=Curve!$B$9,(1+B$8)^(-A36),0)</f>
        <v/>
      </c>
      <c r="C36" s="28">
        <f>IF(A36&lt;=Curve!$B$9,(1+C$8)^(-A36),0)</f>
        <v/>
      </c>
      <c r="D36" s="28">
        <f>IF(A36&lt;=Curve!$B$9,(1+D$8)^(-A36),0)</f>
        <v/>
      </c>
      <c r="E36" s="28">
        <f>IF(A36&lt;=Curve!$B$9,(1+E$8)^(-A36),0)</f>
        <v/>
      </c>
      <c r="G36" s="18">
        <f>Curve!F30</f>
        <v/>
      </c>
    </row>
    <row r="37">
      <c r="A37" s="17" t="n">
        <v>25</v>
      </c>
      <c r="B37" s="28">
        <f>IF(A37&lt;=Curve!$B$9,(1+B$8)^(-A37),0)</f>
        <v/>
      </c>
      <c r="C37" s="28">
        <f>IF(A37&lt;=Curve!$B$9,(1+C$8)^(-A37),0)</f>
        <v/>
      </c>
      <c r="D37" s="28">
        <f>IF(A37&lt;=Curve!$B$9,(1+D$8)^(-A37),0)</f>
        <v/>
      </c>
      <c r="E37" s="28">
        <f>IF(A37&lt;=Curve!$B$9,(1+E$8)^(-A37),0)</f>
        <v/>
      </c>
      <c r="G37" s="18">
        <f>Curve!F31</f>
        <v/>
      </c>
    </row>
    <row r="38">
      <c r="A38" s="17" t="n">
        <v>26</v>
      </c>
      <c r="B38" s="28">
        <f>IF(A38&lt;=Curve!$B$9,(1+B$8)^(-A38),0)</f>
        <v/>
      </c>
      <c r="C38" s="28">
        <f>IF(A38&lt;=Curve!$B$9,(1+C$8)^(-A38),0)</f>
        <v/>
      </c>
      <c r="D38" s="28">
        <f>IF(A38&lt;=Curve!$B$9,(1+D$8)^(-A38),0)</f>
        <v/>
      </c>
      <c r="E38" s="28">
        <f>IF(A38&lt;=Curve!$B$9,(1+E$8)^(-A38),0)</f>
        <v/>
      </c>
      <c r="G38" s="18">
        <f>Curve!F32</f>
        <v/>
      </c>
    </row>
    <row r="39">
      <c r="A39" s="17" t="n">
        <v>27</v>
      </c>
      <c r="B39" s="28">
        <f>IF(A39&lt;=Curve!$B$9,(1+B$8)^(-A39),0)</f>
        <v/>
      </c>
      <c r="C39" s="28">
        <f>IF(A39&lt;=Curve!$B$9,(1+C$8)^(-A39),0)</f>
        <v/>
      </c>
      <c r="D39" s="28">
        <f>IF(A39&lt;=Curve!$B$9,(1+D$8)^(-A39),0)</f>
        <v/>
      </c>
      <c r="E39" s="28">
        <f>IF(A39&lt;=Curve!$B$9,(1+E$8)^(-A39),0)</f>
        <v/>
      </c>
      <c r="G39" s="18">
        <f>Curve!F33</f>
        <v/>
      </c>
    </row>
    <row r="40">
      <c r="A40" s="17" t="n">
        <v>28</v>
      </c>
      <c r="B40" s="28">
        <f>IF(A40&lt;=Curve!$B$9,(1+B$8)^(-A40),0)</f>
        <v/>
      </c>
      <c r="C40" s="28">
        <f>IF(A40&lt;=Curve!$B$9,(1+C$8)^(-A40),0)</f>
        <v/>
      </c>
      <c r="D40" s="28">
        <f>IF(A40&lt;=Curve!$B$9,(1+D$8)^(-A40),0)</f>
        <v/>
      </c>
      <c r="E40" s="28">
        <f>IF(A40&lt;=Curve!$B$9,(1+E$8)^(-A40),0)</f>
        <v/>
      </c>
      <c r="G40" s="18">
        <f>Curve!F34</f>
        <v/>
      </c>
    </row>
    <row r="41">
      <c r="A41" s="17" t="n">
        <v>29</v>
      </c>
      <c r="B41" s="28">
        <f>IF(A41&lt;=Curve!$B$9,(1+B$8)^(-A41),0)</f>
        <v/>
      </c>
      <c r="C41" s="28">
        <f>IF(A41&lt;=Curve!$B$9,(1+C$8)^(-A41),0)</f>
        <v/>
      </c>
      <c r="D41" s="28">
        <f>IF(A41&lt;=Curve!$B$9,(1+D$8)^(-A41),0)</f>
        <v/>
      </c>
      <c r="E41" s="28">
        <f>IF(A41&lt;=Curve!$B$9,(1+E$8)^(-A41),0)</f>
        <v/>
      </c>
      <c r="G41" s="18">
        <f>Curve!F35</f>
        <v/>
      </c>
    </row>
    <row r="42">
      <c r="A42" s="17" t="n">
        <v>30</v>
      </c>
      <c r="B42" s="28">
        <f>IF(A42&lt;=Curve!$B$9,(1+B$8)^(-A42),0)</f>
        <v/>
      </c>
      <c r="C42" s="28">
        <f>IF(A42&lt;=Curve!$B$9,(1+C$8)^(-A42),0)</f>
        <v/>
      </c>
      <c r="D42" s="28">
        <f>IF(A42&lt;=Curve!$B$9,(1+D$8)^(-A42),0)</f>
        <v/>
      </c>
      <c r="E42" s="28">
        <f>IF(A42&lt;=Curve!$B$9,(1+E$8)^(-A42),0)</f>
        <v/>
      </c>
      <c r="G42" s="18">
        <f>Curve!F36</f>
        <v/>
      </c>
    </row>
    <row r="43">
      <c r="A43" s="17" t="n">
        <v>31</v>
      </c>
      <c r="B43" s="28">
        <f>IF(A43&lt;=Curve!$B$9,(1+B$8)^(-A43),0)</f>
        <v/>
      </c>
      <c r="C43" s="28">
        <f>IF(A43&lt;=Curve!$B$9,(1+C$8)^(-A43),0)</f>
        <v/>
      </c>
      <c r="D43" s="28">
        <f>IF(A43&lt;=Curve!$B$9,(1+D$8)^(-A43),0)</f>
        <v/>
      </c>
      <c r="E43" s="28">
        <f>IF(A43&lt;=Curve!$B$9,(1+E$8)^(-A43),0)</f>
        <v/>
      </c>
      <c r="G43" s="18">
        <f>Curve!F37</f>
        <v/>
      </c>
    </row>
    <row r="44">
      <c r="A44" s="17" t="n">
        <v>32</v>
      </c>
      <c r="B44" s="28">
        <f>IF(A44&lt;=Curve!$B$9,(1+B$8)^(-A44),0)</f>
        <v/>
      </c>
      <c r="C44" s="28">
        <f>IF(A44&lt;=Curve!$B$9,(1+C$8)^(-A44),0)</f>
        <v/>
      </c>
      <c r="D44" s="28">
        <f>IF(A44&lt;=Curve!$B$9,(1+D$8)^(-A44),0)</f>
        <v/>
      </c>
      <c r="E44" s="28">
        <f>IF(A44&lt;=Curve!$B$9,(1+E$8)^(-A44),0)</f>
        <v/>
      </c>
      <c r="G44" s="18">
        <f>Curve!F38</f>
        <v/>
      </c>
    </row>
    <row r="45">
      <c r="A45" s="17" t="n">
        <v>33</v>
      </c>
      <c r="B45" s="28">
        <f>IF(A45&lt;=Curve!$B$9,(1+B$8)^(-A45),0)</f>
        <v/>
      </c>
      <c r="C45" s="28">
        <f>IF(A45&lt;=Curve!$B$9,(1+C$8)^(-A45),0)</f>
        <v/>
      </c>
      <c r="D45" s="28">
        <f>IF(A45&lt;=Curve!$B$9,(1+D$8)^(-A45),0)</f>
        <v/>
      </c>
      <c r="E45" s="28">
        <f>IF(A45&lt;=Curve!$B$9,(1+E$8)^(-A45),0)</f>
        <v/>
      </c>
      <c r="G45" s="18">
        <f>Curve!F39</f>
        <v/>
      </c>
    </row>
    <row r="46">
      <c r="A46" s="17" t="n">
        <v>34</v>
      </c>
      <c r="B46" s="28">
        <f>IF(A46&lt;=Curve!$B$9,(1+B$8)^(-A46),0)</f>
        <v/>
      </c>
      <c r="C46" s="28">
        <f>IF(A46&lt;=Curve!$B$9,(1+C$8)^(-A46),0)</f>
        <v/>
      </c>
      <c r="D46" s="28">
        <f>IF(A46&lt;=Curve!$B$9,(1+D$8)^(-A46),0)</f>
        <v/>
      </c>
      <c r="E46" s="28">
        <f>IF(A46&lt;=Curve!$B$9,(1+E$8)^(-A46),0)</f>
        <v/>
      </c>
      <c r="G46" s="18">
        <f>Curve!F40</f>
        <v/>
      </c>
    </row>
    <row r="47">
      <c r="A47" s="17" t="n">
        <v>35</v>
      </c>
      <c r="B47" s="28">
        <f>IF(A47&lt;=Curve!$B$9,(1+B$8)^(-A47),0)</f>
        <v/>
      </c>
      <c r="C47" s="28">
        <f>IF(A47&lt;=Curve!$B$9,(1+C$8)^(-A47),0)</f>
        <v/>
      </c>
      <c r="D47" s="28">
        <f>IF(A47&lt;=Curve!$B$9,(1+D$8)^(-A47),0)</f>
        <v/>
      </c>
      <c r="E47" s="28">
        <f>IF(A47&lt;=Curve!$B$9,(1+E$8)^(-A47),0)</f>
        <v/>
      </c>
      <c r="G47" s="18">
        <f>Curve!F41</f>
        <v/>
      </c>
    </row>
    <row r="48">
      <c r="A48" s="17" t="n">
        <v>36</v>
      </c>
      <c r="B48" s="28">
        <f>IF(A48&lt;=Curve!$B$9,(1+B$8)^(-A48),0)</f>
        <v/>
      </c>
      <c r="C48" s="28">
        <f>IF(A48&lt;=Curve!$B$9,(1+C$8)^(-A48),0)</f>
        <v/>
      </c>
      <c r="D48" s="28">
        <f>IF(A48&lt;=Curve!$B$9,(1+D$8)^(-A48),0)</f>
        <v/>
      </c>
      <c r="E48" s="28">
        <f>IF(A48&lt;=Curve!$B$9,(1+E$8)^(-A48),0)</f>
        <v/>
      </c>
      <c r="G48" s="18">
        <f>Curve!F42</f>
        <v/>
      </c>
    </row>
    <row r="49">
      <c r="A49" s="17" t="n">
        <v>37</v>
      </c>
      <c r="B49" s="28">
        <f>IF(A49&lt;=Curve!$B$9,(1+B$8)^(-A49),0)</f>
        <v/>
      </c>
      <c r="C49" s="28">
        <f>IF(A49&lt;=Curve!$B$9,(1+C$8)^(-A49),0)</f>
        <v/>
      </c>
      <c r="D49" s="28">
        <f>IF(A49&lt;=Curve!$B$9,(1+D$8)^(-A49),0)</f>
        <v/>
      </c>
      <c r="E49" s="28">
        <f>IF(A49&lt;=Curve!$B$9,(1+E$8)^(-A49),0)</f>
        <v/>
      </c>
      <c r="G49" s="18">
        <f>Curve!F43</f>
        <v/>
      </c>
    </row>
    <row r="50">
      <c r="A50" s="17" t="n">
        <v>38</v>
      </c>
      <c r="B50" s="28">
        <f>IF(A50&lt;=Curve!$B$9,(1+B$8)^(-A50),0)</f>
        <v/>
      </c>
      <c r="C50" s="28">
        <f>IF(A50&lt;=Curve!$B$9,(1+C$8)^(-A50),0)</f>
        <v/>
      </c>
      <c r="D50" s="28">
        <f>IF(A50&lt;=Curve!$B$9,(1+D$8)^(-A50),0)</f>
        <v/>
      </c>
      <c r="E50" s="28">
        <f>IF(A50&lt;=Curve!$B$9,(1+E$8)^(-A50),0)</f>
        <v/>
      </c>
      <c r="G50" s="18">
        <f>Curve!F44</f>
        <v/>
      </c>
    </row>
    <row r="51">
      <c r="A51" s="17" t="n">
        <v>39</v>
      </c>
      <c r="B51" s="28">
        <f>IF(A51&lt;=Curve!$B$9,(1+B$8)^(-A51),0)</f>
        <v/>
      </c>
      <c r="C51" s="28">
        <f>IF(A51&lt;=Curve!$B$9,(1+C$8)^(-A51),0)</f>
        <v/>
      </c>
      <c r="D51" s="28">
        <f>IF(A51&lt;=Curve!$B$9,(1+D$8)^(-A51),0)</f>
        <v/>
      </c>
      <c r="E51" s="28">
        <f>IF(A51&lt;=Curve!$B$9,(1+E$8)^(-A51),0)</f>
        <v/>
      </c>
      <c r="G51" s="18">
        <f>Curve!F45</f>
        <v/>
      </c>
    </row>
    <row r="52">
      <c r="A52" s="17" t="n">
        <v>40</v>
      </c>
      <c r="B52" s="28">
        <f>IF(A52&lt;=Curve!$B$9,(1+B$8)^(-A52),0)</f>
        <v/>
      </c>
      <c r="C52" s="28">
        <f>IF(A52&lt;=Curve!$B$9,(1+C$8)^(-A52),0)</f>
        <v/>
      </c>
      <c r="D52" s="28">
        <f>IF(A52&lt;=Curve!$B$9,(1+D$8)^(-A52),0)</f>
        <v/>
      </c>
      <c r="E52" s="28">
        <f>IF(A52&lt;=Curve!$B$9,(1+E$8)^(-A52),0)</f>
        <v/>
      </c>
      <c r="G52" s="18">
        <f>Curve!F46</f>
        <v/>
      </c>
    </row>
    <row r="53">
      <c r="A53" s="17" t="n">
        <v>41</v>
      </c>
      <c r="B53" s="28">
        <f>IF(A53&lt;=Curve!$B$9,(1+B$8)^(-A53),0)</f>
        <v/>
      </c>
      <c r="C53" s="28">
        <f>IF(A53&lt;=Curve!$B$9,(1+C$8)^(-A53),0)</f>
        <v/>
      </c>
      <c r="D53" s="28">
        <f>IF(A53&lt;=Curve!$B$9,(1+D$8)^(-A53),0)</f>
        <v/>
      </c>
      <c r="E53" s="28">
        <f>IF(A53&lt;=Curve!$B$9,(1+E$8)^(-A53),0)</f>
        <v/>
      </c>
      <c r="G53" s="18">
        <f>Curve!F47</f>
        <v/>
      </c>
    </row>
    <row r="54">
      <c r="A54" s="17" t="n">
        <v>42</v>
      </c>
      <c r="B54" s="28">
        <f>IF(A54&lt;=Curve!$B$9,(1+B$8)^(-A54),0)</f>
        <v/>
      </c>
      <c r="C54" s="28">
        <f>IF(A54&lt;=Curve!$B$9,(1+C$8)^(-A54),0)</f>
        <v/>
      </c>
      <c r="D54" s="28">
        <f>IF(A54&lt;=Curve!$B$9,(1+D$8)^(-A54),0)</f>
        <v/>
      </c>
      <c r="E54" s="28">
        <f>IF(A54&lt;=Curve!$B$9,(1+E$8)^(-A54),0)</f>
        <v/>
      </c>
      <c r="G54" s="18">
        <f>Curve!F48</f>
        <v/>
      </c>
    </row>
    <row r="55">
      <c r="A55" s="17" t="n">
        <v>43</v>
      </c>
      <c r="B55" s="28">
        <f>IF(A55&lt;=Curve!$B$9,(1+B$8)^(-A55),0)</f>
        <v/>
      </c>
      <c r="C55" s="28">
        <f>IF(A55&lt;=Curve!$B$9,(1+C$8)^(-A55),0)</f>
        <v/>
      </c>
      <c r="D55" s="28">
        <f>IF(A55&lt;=Curve!$B$9,(1+D$8)^(-A55),0)</f>
        <v/>
      </c>
      <c r="E55" s="28">
        <f>IF(A55&lt;=Curve!$B$9,(1+E$8)^(-A55),0)</f>
        <v/>
      </c>
      <c r="G55" s="18">
        <f>Curve!F49</f>
        <v/>
      </c>
    </row>
    <row r="56">
      <c r="A56" s="17" t="n">
        <v>44</v>
      </c>
      <c r="B56" s="28">
        <f>IF(A56&lt;=Curve!$B$9,(1+B$8)^(-A56),0)</f>
        <v/>
      </c>
      <c r="C56" s="28">
        <f>IF(A56&lt;=Curve!$B$9,(1+C$8)^(-A56),0)</f>
        <v/>
      </c>
      <c r="D56" s="28">
        <f>IF(A56&lt;=Curve!$B$9,(1+D$8)^(-A56),0)</f>
        <v/>
      </c>
      <c r="E56" s="28">
        <f>IF(A56&lt;=Curve!$B$9,(1+E$8)^(-A56),0)</f>
        <v/>
      </c>
      <c r="G56" s="18">
        <f>Curve!F50</f>
        <v/>
      </c>
    </row>
    <row r="57">
      <c r="A57" s="17" t="n">
        <v>45</v>
      </c>
      <c r="B57" s="28">
        <f>IF(A57&lt;=Curve!$B$9,(1+B$8)^(-A57),0)</f>
        <v/>
      </c>
      <c r="C57" s="28">
        <f>IF(A57&lt;=Curve!$B$9,(1+C$8)^(-A57),0)</f>
        <v/>
      </c>
      <c r="D57" s="28">
        <f>IF(A57&lt;=Curve!$B$9,(1+D$8)^(-A57),0)</f>
        <v/>
      </c>
      <c r="E57" s="28">
        <f>IF(A57&lt;=Curve!$B$9,(1+E$8)^(-A57),0)</f>
        <v/>
      </c>
      <c r="G57" s="18">
        <f>Curve!F51</f>
        <v/>
      </c>
    </row>
    <row r="58">
      <c r="A58" s="17" t="n">
        <v>46</v>
      </c>
      <c r="B58" s="28">
        <f>IF(A58&lt;=Curve!$B$9,(1+B$8)^(-A58),0)</f>
        <v/>
      </c>
      <c r="C58" s="28">
        <f>IF(A58&lt;=Curve!$B$9,(1+C$8)^(-A58),0)</f>
        <v/>
      </c>
      <c r="D58" s="28">
        <f>IF(A58&lt;=Curve!$B$9,(1+D$8)^(-A58),0)</f>
        <v/>
      </c>
      <c r="E58" s="28">
        <f>IF(A58&lt;=Curve!$B$9,(1+E$8)^(-A58),0)</f>
        <v/>
      </c>
      <c r="G58" s="18">
        <f>Curve!F52</f>
        <v/>
      </c>
    </row>
    <row r="59">
      <c r="A59" s="17" t="n">
        <v>47</v>
      </c>
      <c r="B59" s="28">
        <f>IF(A59&lt;=Curve!$B$9,(1+B$8)^(-A59),0)</f>
        <v/>
      </c>
      <c r="C59" s="28">
        <f>IF(A59&lt;=Curve!$B$9,(1+C$8)^(-A59),0)</f>
        <v/>
      </c>
      <c r="D59" s="28">
        <f>IF(A59&lt;=Curve!$B$9,(1+D$8)^(-A59),0)</f>
        <v/>
      </c>
      <c r="E59" s="28">
        <f>IF(A59&lt;=Curve!$B$9,(1+E$8)^(-A59),0)</f>
        <v/>
      </c>
      <c r="G59" s="18">
        <f>Curve!F53</f>
        <v/>
      </c>
    </row>
    <row r="60">
      <c r="A60" s="17" t="n">
        <v>48</v>
      </c>
      <c r="B60" s="28">
        <f>IF(A60&lt;=Curve!$B$9,(1+B$8)^(-A60),0)</f>
        <v/>
      </c>
      <c r="C60" s="28">
        <f>IF(A60&lt;=Curve!$B$9,(1+C$8)^(-A60),0)</f>
        <v/>
      </c>
      <c r="D60" s="28">
        <f>IF(A60&lt;=Curve!$B$9,(1+D$8)^(-A60),0)</f>
        <v/>
      </c>
      <c r="E60" s="28">
        <f>IF(A60&lt;=Curve!$B$9,(1+E$8)^(-A60),0)</f>
        <v/>
      </c>
      <c r="G60" s="18">
        <f>Curve!F54</f>
        <v/>
      </c>
    </row>
    <row r="61">
      <c r="A61" s="17" t="n">
        <v>49</v>
      </c>
      <c r="B61" s="28">
        <f>IF(A61&lt;=Curve!$B$9,(1+B$8)^(-A61),0)</f>
        <v/>
      </c>
      <c r="C61" s="28">
        <f>IF(A61&lt;=Curve!$B$9,(1+C$8)^(-A61),0)</f>
        <v/>
      </c>
      <c r="D61" s="28">
        <f>IF(A61&lt;=Curve!$B$9,(1+D$8)^(-A61),0)</f>
        <v/>
      </c>
      <c r="E61" s="28">
        <f>IF(A61&lt;=Curve!$B$9,(1+E$8)^(-A61),0)</f>
        <v/>
      </c>
      <c r="G61" s="18">
        <f>Curve!F55</f>
        <v/>
      </c>
    </row>
    <row r="62">
      <c r="A62" s="17" t="n">
        <v>50</v>
      </c>
      <c r="B62" s="28">
        <f>IF(A62&lt;=Curve!$B$9,(1+B$8)^(-A62),0)</f>
        <v/>
      </c>
      <c r="C62" s="28">
        <f>IF(A62&lt;=Curve!$B$9,(1+C$8)^(-A62),0)</f>
        <v/>
      </c>
      <c r="D62" s="28">
        <f>IF(A62&lt;=Curve!$B$9,(1+D$8)^(-A62),0)</f>
        <v/>
      </c>
      <c r="E62" s="28">
        <f>IF(A62&lt;=Curve!$B$9,(1+E$8)^(-A62),0)</f>
        <v/>
      </c>
      <c r="G62" s="18">
        <f>Curve!F56</f>
        <v/>
      </c>
    </row>
    <row r="63">
      <c r="A63" s="17" t="n">
        <v>51</v>
      </c>
      <c r="B63" s="28">
        <f>IF(A63&lt;=Curve!$B$9,(1+B$8)^(-A63),0)</f>
        <v/>
      </c>
      <c r="C63" s="28">
        <f>IF(A63&lt;=Curve!$B$9,(1+C$8)^(-A63),0)</f>
        <v/>
      </c>
      <c r="D63" s="28">
        <f>IF(A63&lt;=Curve!$B$9,(1+D$8)^(-A63),0)</f>
        <v/>
      </c>
      <c r="E63" s="28">
        <f>IF(A63&lt;=Curve!$B$9,(1+E$8)^(-A63),0)</f>
        <v/>
      </c>
      <c r="G63" s="18">
        <f>Curve!F57</f>
        <v/>
      </c>
    </row>
    <row r="64">
      <c r="A64" s="17" t="n">
        <v>52</v>
      </c>
      <c r="B64" s="28">
        <f>IF(A64&lt;=Curve!$B$9,(1+B$8)^(-A64),0)</f>
        <v/>
      </c>
      <c r="C64" s="28">
        <f>IF(A64&lt;=Curve!$B$9,(1+C$8)^(-A64),0)</f>
        <v/>
      </c>
      <c r="D64" s="28">
        <f>IF(A64&lt;=Curve!$B$9,(1+D$8)^(-A64),0)</f>
        <v/>
      </c>
      <c r="E64" s="28">
        <f>IF(A64&lt;=Curve!$B$9,(1+E$8)^(-A64),0)</f>
        <v/>
      </c>
      <c r="G64" s="18">
        <f>Curve!F58</f>
        <v/>
      </c>
    </row>
    <row r="65">
      <c r="A65" s="17" t="n">
        <v>53</v>
      </c>
      <c r="B65" s="28">
        <f>IF(A65&lt;=Curve!$B$9,(1+B$8)^(-A65),0)</f>
        <v/>
      </c>
      <c r="C65" s="28">
        <f>IF(A65&lt;=Curve!$B$9,(1+C$8)^(-A65),0)</f>
        <v/>
      </c>
      <c r="D65" s="28">
        <f>IF(A65&lt;=Curve!$B$9,(1+D$8)^(-A65),0)</f>
        <v/>
      </c>
      <c r="E65" s="28">
        <f>IF(A65&lt;=Curve!$B$9,(1+E$8)^(-A65),0)</f>
        <v/>
      </c>
      <c r="G65" s="18">
        <f>Curve!F59</f>
        <v/>
      </c>
    </row>
    <row r="66">
      <c r="A66" s="17" t="n">
        <v>54</v>
      </c>
      <c r="B66" s="28">
        <f>IF(A66&lt;=Curve!$B$9,(1+B$8)^(-A66),0)</f>
        <v/>
      </c>
      <c r="C66" s="28">
        <f>IF(A66&lt;=Curve!$B$9,(1+C$8)^(-A66),0)</f>
        <v/>
      </c>
      <c r="D66" s="28">
        <f>IF(A66&lt;=Curve!$B$9,(1+D$8)^(-A66),0)</f>
        <v/>
      </c>
      <c r="E66" s="28">
        <f>IF(A66&lt;=Curve!$B$9,(1+E$8)^(-A66),0)</f>
        <v/>
      </c>
      <c r="G66" s="18">
        <f>Curve!F60</f>
        <v/>
      </c>
    </row>
    <row r="67">
      <c r="A67" s="17" t="n">
        <v>55</v>
      </c>
      <c r="B67" s="28">
        <f>IF(A67&lt;=Curve!$B$9,(1+B$8)^(-A67),0)</f>
        <v/>
      </c>
      <c r="C67" s="28">
        <f>IF(A67&lt;=Curve!$B$9,(1+C$8)^(-A67),0)</f>
        <v/>
      </c>
      <c r="D67" s="28">
        <f>IF(A67&lt;=Curve!$B$9,(1+D$8)^(-A67),0)</f>
        <v/>
      </c>
      <c r="E67" s="28">
        <f>IF(A67&lt;=Curve!$B$9,(1+E$8)^(-A67),0)</f>
        <v/>
      </c>
      <c r="G67" s="18">
        <f>Curve!F61</f>
        <v/>
      </c>
    </row>
    <row r="68">
      <c r="A68" s="17" t="n">
        <v>56</v>
      </c>
      <c r="B68" s="28">
        <f>IF(A68&lt;=Curve!$B$9,(1+B$8)^(-A68),0)</f>
        <v/>
      </c>
      <c r="C68" s="28">
        <f>IF(A68&lt;=Curve!$B$9,(1+C$8)^(-A68),0)</f>
        <v/>
      </c>
      <c r="D68" s="28">
        <f>IF(A68&lt;=Curve!$B$9,(1+D$8)^(-A68),0)</f>
        <v/>
      </c>
      <c r="E68" s="28">
        <f>IF(A68&lt;=Curve!$B$9,(1+E$8)^(-A68),0)</f>
        <v/>
      </c>
      <c r="G68" s="18">
        <f>Curve!F62</f>
        <v/>
      </c>
    </row>
    <row r="69">
      <c r="A69" s="17" t="n">
        <v>57</v>
      </c>
      <c r="B69" s="28">
        <f>IF(A69&lt;=Curve!$B$9,(1+B$8)^(-A69),0)</f>
        <v/>
      </c>
      <c r="C69" s="28">
        <f>IF(A69&lt;=Curve!$B$9,(1+C$8)^(-A69),0)</f>
        <v/>
      </c>
      <c r="D69" s="28">
        <f>IF(A69&lt;=Curve!$B$9,(1+D$8)^(-A69),0)</f>
        <v/>
      </c>
      <c r="E69" s="28">
        <f>IF(A69&lt;=Curve!$B$9,(1+E$8)^(-A69),0)</f>
        <v/>
      </c>
      <c r="G69" s="18">
        <f>Curve!F63</f>
        <v/>
      </c>
    </row>
    <row r="70">
      <c r="A70" s="17" t="n">
        <v>58</v>
      </c>
      <c r="B70" s="28">
        <f>IF(A70&lt;=Curve!$B$9,(1+B$8)^(-A70),0)</f>
        <v/>
      </c>
      <c r="C70" s="28">
        <f>IF(A70&lt;=Curve!$B$9,(1+C$8)^(-A70),0)</f>
        <v/>
      </c>
      <c r="D70" s="28">
        <f>IF(A70&lt;=Curve!$B$9,(1+D$8)^(-A70),0)</f>
        <v/>
      </c>
      <c r="E70" s="28">
        <f>IF(A70&lt;=Curve!$B$9,(1+E$8)^(-A70),0)</f>
        <v/>
      </c>
      <c r="G70" s="18">
        <f>Curve!F64</f>
        <v/>
      </c>
    </row>
    <row r="71">
      <c r="A71" s="17" t="n">
        <v>59</v>
      </c>
      <c r="B71" s="28">
        <f>IF(A71&lt;=Curve!$B$9,(1+B$8)^(-A71),0)</f>
        <v/>
      </c>
      <c r="C71" s="28">
        <f>IF(A71&lt;=Curve!$B$9,(1+C$8)^(-A71),0)</f>
        <v/>
      </c>
      <c r="D71" s="28">
        <f>IF(A71&lt;=Curve!$B$9,(1+D$8)^(-A71),0)</f>
        <v/>
      </c>
      <c r="E71" s="28">
        <f>IF(A71&lt;=Curve!$B$9,(1+E$8)^(-A71),0)</f>
        <v/>
      </c>
      <c r="G71" s="18">
        <f>Curve!F65</f>
        <v/>
      </c>
    </row>
    <row r="72">
      <c r="A72" s="17" t="n">
        <v>60</v>
      </c>
      <c r="B72" s="28">
        <f>IF(A72&lt;=Curve!$B$9,(1+B$8)^(-A72),0)</f>
        <v/>
      </c>
      <c r="C72" s="28">
        <f>IF(A72&lt;=Curve!$B$9,(1+C$8)^(-A72),0)</f>
        <v/>
      </c>
      <c r="D72" s="28">
        <f>IF(A72&lt;=Curve!$B$9,(1+D$8)^(-A72),0)</f>
        <v/>
      </c>
      <c r="E72" s="28">
        <f>IF(A72&lt;=Curve!$B$9,(1+E$8)^(-A72),0)</f>
        <v/>
      </c>
      <c r="G72" s="18">
        <f>Curve!F66</f>
        <v/>
      </c>
    </row>
  </sheetData>
  <printOptions horizontalCentered="1"/>
  <pageMargins left="0.5" right="0.5" top="0.6" bottom="0.7" header="0.5" footer="0.5"/>
  <pageSetup orientation="landscape" paperSize="9" fitToHeight="0" fitToWidth="1"/>
  <headerFooter>
    <oddHeader/>
    <oddFooter>&amp;L&amp;"Arial"&amp;8 Africa Energy Finance | Book 2 Decision tool D3 | Version 0.9 (pre-release)&amp;C&amp;"Arial"&amp;8 &amp;A&amp;R&amp;"Arial"&amp;8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Africa Energy Finance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Boujieka Kamga</dc:creator>
  <dc:title xmlns:dc="http://purl.org/dc/elements/1.1/">AEF Book 2 Decision Tool D3: Repayment curve and cohort calibration</dc:title>
  <dc:subject xmlns:dc="http://purl.org/dc/elements/1.1/">Africa Energy Finance, Book 2 Decision Tools</dc:subject>
  <dcterms:created xmlns:dcterms="http://purl.org/dc/terms/" xmlns:xsi="http://www.w3.org/2001/XMLSchema-instance" xsi:type="dcterms:W3CDTF">2026-10-03T06:26:23Z</dcterms:created>
  <dcterms:modified xmlns:dcterms="http://purl.org/dc/terms/" xmlns:xsi="http://www.w3.org/2001/XMLSchema-instance" xsi:type="dcterms:W3CDTF">2026-10-03T06:26:23Z</dcterms:modified>
  <cp:lastModifiedBy>Emmanuel Boujieka Kamga</cp:lastModifiedBy>
  <cp:keywords>Africa Energy Finance; Book 2; PAYGo Solar Finance; template</cp:keywords>
</cp:coreProperties>
</file>