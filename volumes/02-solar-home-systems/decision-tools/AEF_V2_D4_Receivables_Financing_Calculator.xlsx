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uide" sheetId="1" state="visible" r:id="rId1"/>
    <sheet xmlns:r="http://schemas.openxmlformats.org/officeDocument/2006/relationships" name="Inputs" sheetId="2" state="visible" r:id="rId2"/>
    <sheet xmlns:r="http://schemas.openxmlformats.org/officeDocument/2006/relationships" name="Per_Unit" sheetId="3" state="visible" r:id="rId3"/>
    <sheet xmlns:r="http://schemas.openxmlformats.org/officeDocument/2006/relationships" name="Cohorts" sheetId="4" state="visible" r:id="rId4"/>
    <sheet xmlns:r="http://schemas.openxmlformats.org/officeDocument/2006/relationships" name="Funding" sheetId="5" state="visible" r:id="rId5"/>
    <sheet xmlns:r="http://schemas.openxmlformats.org/officeDocument/2006/relationships" name="Summary" sheetId="6" state="visible" r:id="rId6"/>
    <sheet xmlns:r="http://schemas.openxmlformats.org/officeDocument/2006/relationships" name="Currency" sheetId="7" state="visible" r:id="rId7"/>
  </sheets>
  <definedNames/>
  <calcPr calcId="124519" fullCalcOnLoad="1"/>
</workbook>
</file>

<file path=xl/styles.xml><?xml version="1.0" encoding="utf-8"?>
<styleSheet xmlns="http://schemas.openxmlformats.org/spreadsheetml/2006/main">
  <numFmts count="4">
    <numFmt numFmtId="164" formatCode="#,##0;(#,##0);0"/>
    <numFmt numFmtId="165" formatCode="#,##0.0;(#,##0.0);0.0"/>
    <numFmt numFmtId="166" formatCode="0.00%;(0.00%);0.00%"/>
    <numFmt numFmtId="167" formatCode="0.0%;(0.0%);0.0%"/>
  </numFmts>
  <fonts count="11">
    <font>
      <name val="Calibri"/>
      <family val="2"/>
      <color theme="1"/>
      <sz val="11"/>
      <scheme val="minor"/>
    </font>
    <font>
      <name val="Arial"/>
      <b val="1"/>
      <color rgb="00E3C27A"/>
      <sz val="8"/>
    </font>
    <font>
      <name val="Arial"/>
      <b val="1"/>
      <color rgb="00FFFFFF"/>
      <sz val="15"/>
    </font>
    <font>
      <name val="Arial"/>
      <i val="1"/>
      <color rgb="00E8E8E8"/>
      <sz val="9"/>
    </font>
    <font>
      <name val="Arial"/>
      <color rgb="00666666"/>
      <sz val="8"/>
    </font>
    <font>
      <name val="Arial"/>
      <b val="1"/>
      <color rgb="000B3020"/>
      <sz val="11"/>
    </font>
    <font>
      <name val="Arial"/>
      <sz val="10"/>
    </font>
    <font>
      <name val="Arial"/>
      <b val="1"/>
      <sz val="10"/>
    </font>
    <font>
      <name val="Arial"/>
      <color rgb="000000FF"/>
      <sz val="10"/>
    </font>
    <font>
      <name val="Arial"/>
      <i val="1"/>
      <color rgb="00666666"/>
      <sz val="9"/>
    </font>
    <font>
      <name val="Arial"/>
      <b val="1"/>
      <color rgb="00FFFFFF"/>
      <sz val="10"/>
    </font>
  </fonts>
  <fills count="4">
    <fill>
      <patternFill/>
    </fill>
    <fill>
      <patternFill patternType="gray125"/>
    </fill>
    <fill>
      <patternFill patternType="solid">
        <fgColor rgb="000B3020"/>
      </patternFill>
    </fill>
    <fill>
      <patternFill patternType="solid">
        <fgColor rgb="00FFF8E1"/>
      </patternFill>
    </fill>
  </fills>
  <borders count="3">
    <border>
      <left/>
      <right/>
      <top/>
      <bottom/>
      <diagonal/>
    </border>
    <border>
      <bottom style="medium">
        <color rgb="00B07C0F"/>
      </bottom>
    </border>
    <border>
      <left style="thin">
        <color rgb="00D0D0D0"/>
      </left>
      <right style="thin">
        <color rgb="00D0D0D0"/>
      </right>
      <top style="thin">
        <color rgb="00D0D0D0"/>
      </top>
      <bottom style="thin">
        <color rgb="00D0D0D0"/>
      </bottom>
    </border>
  </borders>
  <cellStyleXfs count="1">
    <xf numFmtId="0" fontId="0" fillId="0" borderId="0"/>
  </cellStyleXfs>
  <cellXfs count="24">
    <xf numFmtId="0" fontId="0" fillId="0" borderId="0" pivotButton="0" quotePrefix="0" xfId="0"/>
    <xf numFmtId="0" fontId="1" fillId="2" borderId="0" pivotButton="0" quotePrefix="0" xfId="0"/>
    <xf numFmtId="0" fontId="0" fillId="2" borderId="0" pivotButton="0" quotePrefix="0" xfId="0"/>
    <xf numFmtId="0" fontId="2" fillId="2" borderId="0" pivotButton="0" quotePrefix="0" xfId="0"/>
    <xf numFmtId="0" fontId="3" fillId="2" borderId="0" pivotButton="0" quotePrefix="0" xfId="0"/>
    <xf numFmtId="0" fontId="4" fillId="0" borderId="1" pivotButton="0" quotePrefix="0" xfId="0"/>
    <xf numFmtId="0" fontId="0" fillId="0" borderId="1" pivotButton="0" quotePrefix="0" xfId="0"/>
    <xf numFmtId="0" fontId="5" fillId="0" borderId="1" pivotButton="0" quotePrefix="0" xfId="0"/>
    <xf numFmtId="0" fontId="6" fillId="0" borderId="0" applyAlignment="1" pivotButton="0" quotePrefix="0" xfId="0">
      <alignment vertical="top" wrapText="1"/>
    </xf>
    <xf numFmtId="0" fontId="7" fillId="0" borderId="0" pivotButton="0" quotePrefix="0" xfId="0"/>
    <xf numFmtId="0" fontId="8" fillId="3" borderId="2" pivotButton="0" quotePrefix="0" xfId="0"/>
    <xf numFmtId="0" fontId="6" fillId="0" borderId="0" pivotButton="0" quotePrefix="0" xfId="0"/>
    <xf numFmtId="0" fontId="6" fillId="0" borderId="2" pivotButton="0" quotePrefix="0" xfId="0"/>
    <xf numFmtId="0" fontId="9" fillId="0" borderId="0" applyAlignment="1" pivotButton="0" quotePrefix="0" xfId="0">
      <alignment vertical="top" wrapText="1"/>
    </xf>
    <xf numFmtId="164" fontId="8" fillId="3" borderId="2" pivotButton="0" quotePrefix="0" xfId="0"/>
    <xf numFmtId="165" fontId="8" fillId="3" borderId="2" pivotButton="0" quotePrefix="0" xfId="0"/>
    <xf numFmtId="166" fontId="8" fillId="3" borderId="2" pivotButton="0" quotePrefix="0" xfId="0"/>
    <xf numFmtId="167" fontId="8" fillId="3" borderId="2" pivotButton="0" quotePrefix="0" xfId="0"/>
    <xf numFmtId="0" fontId="9" fillId="0" borderId="0" pivotButton="0" quotePrefix="0" xfId="0"/>
    <xf numFmtId="164" fontId="6" fillId="0" borderId="2" pivotButton="0" quotePrefix="0" xfId="0"/>
    <xf numFmtId="0" fontId="10" fillId="2" borderId="2" applyAlignment="1" pivotButton="0" quotePrefix="0" xfId="0">
      <alignment vertical="center" wrapText="1"/>
    </xf>
    <xf numFmtId="167" fontId="6" fillId="0" borderId="2" pivotButton="0" quotePrefix="0" xfId="0"/>
    <xf numFmtId="164" fontId="7" fillId="0" borderId="2" pivotButton="0" quotePrefix="0" xfId="0"/>
    <xf numFmtId="166" fontId="7"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Funding of the receivables book</a:t>
            </a:r>
          </a:p>
        </rich>
      </tx>
    </title>
    <plotArea>
      <lineChart>
        <grouping val="standard"/>
        <ser>
          <idx val="0"/>
          <order val="0"/>
          <tx>
            <v>Receivables, carrying amount</v>
          </tx>
          <spPr>
            <a:ln xmlns:a="http://schemas.openxmlformats.org/drawingml/2006/main">
              <a:prstDash val="solid"/>
            </a:ln>
          </spPr>
          <marker>
            <symbol val="none"/>
            <spPr>
              <a:ln xmlns:a="http://schemas.openxmlformats.org/drawingml/2006/main">
                <a:prstDash val="solid"/>
              </a:ln>
            </spPr>
          </marker>
          <cat>
            <numRef>
              <f>'Funding'!$A$7:$A$66</f>
            </numRef>
          </cat>
          <val>
            <numRef>
              <f>'Funding'!$H$7:$H$66</f>
            </numRef>
          </val>
        </ser>
        <ser>
          <idx val="1"/>
          <order val="1"/>
          <tx>
            <v>Facility drawn</v>
          </tx>
          <spPr>
            <a:ln xmlns:a="http://schemas.openxmlformats.org/drawingml/2006/main">
              <a:prstDash val="solid"/>
            </a:ln>
          </spPr>
          <marker>
            <symbol val="none"/>
            <spPr>
              <a:ln xmlns:a="http://schemas.openxmlformats.org/drawingml/2006/main">
                <a:prstDash val="solid"/>
              </a:ln>
            </spPr>
          </marker>
          <cat>
            <numRef>
              <f>'Funding'!$A$7:$A$66</f>
            </numRef>
          </cat>
          <val>
            <numRef>
              <f>'Funding'!$K$7:$K$66</f>
            </numRef>
          </val>
        </ser>
        <ser>
          <idx val="2"/>
          <order val="2"/>
          <tx>
            <v>Equity required</v>
          </tx>
          <spPr>
            <a:ln xmlns:a="http://schemas.openxmlformats.org/drawingml/2006/main">
              <a:prstDash val="solid"/>
            </a:ln>
          </spPr>
          <marker>
            <symbol val="none"/>
            <spPr>
              <a:ln xmlns:a="http://schemas.openxmlformats.org/drawingml/2006/main">
                <a:prstDash val="solid"/>
              </a:ln>
            </spPr>
          </marker>
          <cat>
            <numRef>
              <f>'Funding'!$A$7:$A$66</f>
            </numRef>
          </cat>
          <val>
            <numRef>
              <f>'Funding'!$L$7:$L$66</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0</col>
      <colOff>0</colOff>
      <row>19</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F28"/>
  <sheetViews>
    <sheetView showGridLines="0" workbookViewId="0">
      <selection activeCell="A1" sqref="A1"/>
    </sheetView>
  </sheetViews>
  <sheetFormatPr baseColWidth="8" defaultRowHeight="15"/>
  <cols>
    <col width="26" customWidth="1" min="1" max="1"/>
    <col width="30" customWidth="1" min="2" max="2"/>
    <col width="30" customWidth="1" min="3" max="3"/>
    <col width="30" customWidth="1" min="4" max="4"/>
    <col width="10" customWidth="1" min="5" max="5"/>
    <col width="10" customWidth="1" min="6" max="6"/>
  </cols>
  <sheetData>
    <row r="1">
      <c r="A1" s="1" t="inlineStr">
        <is>
          <t>AFRICA ENERGY FINANCE  |  VOLUME 2  |  SOLAR HOME SYSTEMS</t>
        </is>
      </c>
      <c r="B1" s="2" t="n"/>
      <c r="C1" s="2" t="n"/>
      <c r="D1" s="2" t="n"/>
      <c r="E1" s="2" t="n"/>
      <c r="F1" s="2" t="n"/>
    </row>
    <row r="2" ht="22" customHeight="1">
      <c r="A2" s="3" t="inlineStr">
        <is>
          <t>Receivables financing calculator</t>
        </is>
      </c>
      <c r="B2" s="2" t="n"/>
      <c r="C2" s="2" t="n"/>
      <c r="D2" s="2" t="n"/>
      <c r="E2" s="2" t="n"/>
      <c r="F2" s="2" t="n"/>
    </row>
    <row r="3">
      <c r="A3" s="4" t="inlineStr">
        <is>
          <t>How to use this template</t>
        </is>
      </c>
      <c r="B3" s="2" t="n"/>
      <c r="C3" s="2" t="n"/>
      <c r="D3" s="2" t="n"/>
      <c r="E3" s="2" t="n"/>
      <c r="F3" s="2" t="n"/>
    </row>
    <row r="4">
      <c r="A4" s="5" t="inlineStr">
        <is>
          <t>Decision tool D4  |  Version 1.0  |  Author &amp; ideation: Emmanuel Boujieka Kamga</t>
        </is>
      </c>
      <c r="B4" s="6" t="n"/>
      <c r="C4" s="6" t="n"/>
      <c r="D4" s="6" t="n"/>
      <c r="E4" s="6" t="n"/>
      <c r="F4" s="6" t="n"/>
    </row>
    <row r="5"/>
    <row r="6">
      <c r="A6" s="7" t="inlineStr">
        <is>
          <t>Purpose</t>
        </is>
      </c>
      <c r="B6" s="6" t="n"/>
      <c r="C6" s="6" t="n"/>
      <c r="D6" s="6" t="n"/>
      <c r="E6" s="6" t="n"/>
      <c r="F6" s="6" t="n"/>
    </row>
    <row r="7">
      <c r="A7" s="8" t="inlineStr">
        <is>
          <t>Shows how much cash a sales plan consumes before it returns any, how much of that the receivables facility can carry, and how much must be equity; and compares local currency and hard currency debt.</t>
        </is>
      </c>
    </row>
    <row r="8"/>
    <row r="9"/>
    <row r="10"/>
    <row r="11">
      <c r="A11" s="7" t="inlineStr">
        <is>
          <t>How to use it</t>
        </is>
      </c>
      <c r="B11" s="6" t="n"/>
      <c r="C11" s="6" t="n"/>
      <c r="D11" s="6" t="n"/>
      <c r="E11" s="6" t="n"/>
      <c r="F11" s="6" t="n"/>
    </row>
    <row r="12" ht="30" customHeight="1">
      <c r="A12" s="9" t="inlineStr">
        <is>
          <t>Step 1</t>
        </is>
      </c>
      <c r="B12" s="8" t="inlineStr">
        <is>
          <t>Enter units sold per year, the price plan, credit behaviour, the day one outlay per unit and the facility terms.</t>
        </is>
      </c>
    </row>
    <row r="13" ht="15" customHeight="1">
      <c r="A13" s="9" t="inlineStr">
        <is>
          <t>Step 2</t>
        </is>
      </c>
      <c r="B13" s="8" t="inlineStr">
        <is>
          <t>Read the monthly funding path on Funding and the year end summary on Summary.</t>
        </is>
      </c>
    </row>
    <row r="14" ht="30" customHeight="1">
      <c r="A14" s="9" t="inlineStr">
        <is>
          <t>Step 3</t>
        </is>
      </c>
      <c r="B14" s="8" t="inlineStr">
        <is>
          <t>Peak equity is the most the plan needs from shareholders to fund the book and central costs, before interest, tax and capex.</t>
        </is>
      </c>
    </row>
    <row r="15" ht="15" customHeight="1">
      <c r="A15" s="9" t="inlineStr">
        <is>
          <t>Step 4</t>
        </is>
      </c>
      <c r="B15" s="8" t="inlineStr">
        <is>
          <t>Use Currency to compare a local currency facility with dollar debt plus expected depreciation.</t>
        </is>
      </c>
    </row>
    <row r="16" ht="15" customHeight="1">
      <c r="A16" s="9" t="inlineStr">
        <is>
          <t>Step 5</t>
        </is>
      </c>
      <c r="B16" s="8" t="inlineStr">
        <is>
          <t>For a full plan with overheads, tax and interest, use the AEF SHS PAYGo model.</t>
        </is>
      </c>
    </row>
    <row r="17"/>
    <row r="18">
      <c r="A18" s="7" t="inlineStr">
        <is>
          <t>Colour code</t>
        </is>
      </c>
      <c r="B18" s="6" t="n"/>
      <c r="C18" s="6" t="n"/>
      <c r="D18" s="6" t="n"/>
      <c r="E18" s="6" t="n"/>
      <c r="F18" s="6" t="n"/>
    </row>
    <row r="19">
      <c r="A19" s="10" t="inlineStr">
        <is>
          <t>Input</t>
        </is>
      </c>
      <c r="B19" s="11" t="inlineStr">
        <is>
          <t>Blue font on cream: the only cells to edit</t>
        </is>
      </c>
    </row>
    <row r="20">
      <c r="A20" s="12" t="inlineStr">
        <is>
          <t>Formula</t>
        </is>
      </c>
      <c r="B20" s="11" t="inlineStr">
        <is>
          <t>Black font: calculated, do not overwrite</t>
        </is>
      </c>
    </row>
    <row r="21"/>
    <row r="22">
      <c r="A22" s="7" t="inlineStr">
        <is>
          <t>Links to the Volume 2 model and book</t>
        </is>
      </c>
      <c r="B22" s="6" t="n"/>
      <c r="C22" s="6" t="n"/>
      <c r="D22" s="6" t="n"/>
      <c r="E22" s="6" t="n"/>
      <c r="F22" s="6" t="n"/>
    </row>
    <row r="23">
      <c r="A23" s="9" t="inlineStr">
        <is>
          <t>Book</t>
        </is>
      </c>
      <c r="B23" s="8" t="inlineStr">
        <is>
          <t>Chapter 10 (working capital and FX), Chapter 11 (funding the book)</t>
        </is>
      </c>
    </row>
    <row r="24">
      <c r="A24" s="9" t="inlineStr">
        <is>
          <t>Model</t>
        </is>
      </c>
      <c r="B24" s="8" t="inlineStr">
        <is>
          <t>Financing, FS, Credit_Portfolio, Investment_Summary</t>
        </is>
      </c>
    </row>
    <row r="25">
      <c r="A25" s="9" t="inlineStr">
        <is>
          <t>Default inputs</t>
        </is>
      </c>
      <c r="B25" s="8" t="inlineStr">
        <is>
          <t>The default Tier 2 product of the model, sold at 10,000, 20,000, 35,000, 50,000 and 50,000 units a year (the volumes of Chapter 10).</t>
        </is>
      </c>
    </row>
    <row r="26"/>
    <row r="27">
      <c r="A27" s="13" t="inlineStr">
        <is>
          <t>Decision support material; not investment, legal, tax or accounting advice. Example values are illustrative and refer to the book's worked examples or to the fictional SolaraPay case. (c) 2026 Emmanuel Boujieka Kamga.</t>
        </is>
      </c>
    </row>
    <row r="28"/>
  </sheetData>
  <mergeCells count="10">
    <mergeCell ref="B12:F12"/>
    <mergeCell ref="B24:F24"/>
    <mergeCell ref="B16:F16"/>
    <mergeCell ref="B15:F15"/>
    <mergeCell ref="B25:F25"/>
    <mergeCell ref="A27:F28"/>
    <mergeCell ref="A7:F9"/>
    <mergeCell ref="B23:F23"/>
    <mergeCell ref="B14:F14"/>
    <mergeCell ref="B13:F13"/>
  </mergeCells>
  <printOptions horizontalCentered="1"/>
  <pageMargins left="0.5" right="0.5" top="0.6" bottom="0.7" header="0.5" footer="0.5"/>
  <pageSetup orientation="portrait" paperSize="9" fitToHeight="0" fitToWidth="1"/>
  <headerFooter>
    <oddHeader/>
    <oddFooter>&amp;L&amp;"Arial"&amp;8 Africa Energy Finance | Volume 2 Decision tool D4&amp;C&amp;"Arial"&amp;8 &amp;A&amp;R&amp;"Arial"&amp;8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E27"/>
  <sheetViews>
    <sheetView showGridLines="0" workbookViewId="0">
      <selection activeCell="A1" sqref="A1"/>
    </sheetView>
  </sheetViews>
  <sheetFormatPr baseColWidth="8" defaultRowHeight="15"/>
  <cols>
    <col width="52" customWidth="1" min="1" max="1"/>
    <col width="14" customWidth="1" min="2" max="2"/>
    <col width="4" customWidth="1" min="3" max="3"/>
    <col width="46" customWidth="1" min="4" max="4"/>
    <col width="4" customWidth="1" min="5" max="5"/>
  </cols>
  <sheetData>
    <row r="1">
      <c r="A1" s="1" t="inlineStr">
        <is>
          <t>AFRICA ENERGY FINANCE  |  VOLUME 2  |  SOLAR HOME SYSTEMS</t>
        </is>
      </c>
      <c r="B1" s="2" t="n"/>
      <c r="C1" s="2" t="n"/>
      <c r="D1" s="2" t="n"/>
      <c r="E1" s="2" t="n"/>
    </row>
    <row r="2" ht="22" customHeight="1">
      <c r="A2" s="3" t="inlineStr">
        <is>
          <t>Financing inputs</t>
        </is>
      </c>
      <c r="B2" s="2" t="n"/>
      <c r="C2" s="2" t="n"/>
      <c r="D2" s="2" t="n"/>
      <c r="E2" s="2" t="n"/>
    </row>
    <row r="3">
      <c r="A3" s="4" t="inlineStr">
        <is>
          <t>Single product; local currency</t>
        </is>
      </c>
      <c r="B3" s="2" t="n"/>
      <c r="C3" s="2" t="n"/>
      <c r="D3" s="2" t="n"/>
      <c r="E3" s="2" t="n"/>
    </row>
    <row r="4">
      <c r="A4" s="5" t="inlineStr">
        <is>
          <t>Decision tool D4  |  Version 1.0  |  Author &amp; ideation: Emmanuel Boujieka Kamga</t>
        </is>
      </c>
      <c r="B4" s="6" t="n"/>
      <c r="C4" s="6" t="n"/>
      <c r="D4" s="6" t="n"/>
      <c r="E4" s="6" t="n"/>
    </row>
    <row r="5"/>
    <row r="6">
      <c r="A6" s="7" t="inlineStr">
        <is>
          <t>Inputs</t>
        </is>
      </c>
      <c r="B6" s="6" t="n"/>
      <c r="C6" s="6" t="n"/>
      <c r="D6" s="6" t="n"/>
      <c r="E6" s="6" t="n"/>
    </row>
    <row r="7">
      <c r="A7" s="11" t="inlineStr">
        <is>
          <t>Units sold, Year 1</t>
        </is>
      </c>
      <c r="B7" s="14" t="n">
        <v>10000</v>
      </c>
    </row>
    <row r="8">
      <c r="A8" s="11" t="inlineStr">
        <is>
          <t>Units sold, Year 2</t>
        </is>
      </c>
      <c r="B8" s="14" t="n">
        <v>20000</v>
      </c>
    </row>
    <row r="9">
      <c r="A9" s="11" t="inlineStr">
        <is>
          <t>Units sold, Year 3</t>
        </is>
      </c>
      <c r="B9" s="14" t="n">
        <v>35000</v>
      </c>
    </row>
    <row r="10">
      <c r="A10" s="11" t="inlineStr">
        <is>
          <t>Units sold, Year 4</t>
        </is>
      </c>
      <c r="B10" s="14" t="n">
        <v>50000</v>
      </c>
    </row>
    <row r="11">
      <c r="A11" s="11" t="inlineStr">
        <is>
          <t>Units sold, Year 5</t>
        </is>
      </c>
      <c r="B11" s="14" t="n">
        <v>50000</v>
      </c>
    </row>
    <row r="12">
      <c r="A12" s="11" t="inlineStr">
        <is>
          <t>Cash price</t>
        </is>
      </c>
      <c r="B12" s="14" t="n">
        <v>39000</v>
      </c>
    </row>
    <row r="13">
      <c r="A13" s="11" t="inlineStr">
        <is>
          <t>Deposit</t>
        </is>
      </c>
      <c r="B13" s="14" t="n">
        <v>4000</v>
      </c>
    </row>
    <row r="14">
      <c r="A14" s="11" t="inlineStr">
        <is>
          <t>Daily rate</t>
        </is>
      </c>
      <c r="B14" s="15" t="n">
        <v>77</v>
      </c>
    </row>
    <row r="15">
      <c r="A15" s="11" t="inlineStr">
        <is>
          <t>Tenor (months)</t>
        </is>
      </c>
      <c r="B15" s="14" t="n">
        <v>24</v>
      </c>
    </row>
    <row r="16">
      <c r="A16" s="11" t="inlineStr">
        <is>
          <t>Monthly default hazard</t>
        </is>
      </c>
      <c r="B16" s="16" t="n">
        <v>0.026</v>
      </c>
    </row>
    <row r="17">
      <c r="A17" s="11" t="inlineStr">
        <is>
          <t>Collection rate on paying accounts</t>
        </is>
      </c>
      <c r="B17" s="17" t="n">
        <v>0.88</v>
      </c>
    </row>
    <row r="18">
      <c r="A18" s="11" t="inlineStr">
        <is>
          <t>Day one outlay per unit (hardware, installation, CAC)</t>
        </is>
      </c>
      <c r="B18" s="14" t="n">
        <v>26900</v>
      </c>
      <c r="D18" s="18" t="inlineStr">
        <is>
          <t>Landed 23,400 + installation 500 + CAC 3,000</t>
        </is>
      </c>
    </row>
    <row r="19">
      <c r="A19" s="11" t="inlineStr">
        <is>
          <t>Advance rate on eligible receivables</t>
        </is>
      </c>
      <c r="B19" s="17" t="n">
        <v>0.7</v>
      </c>
    </row>
    <row r="20">
      <c r="A20" s="11" t="inlineStr">
        <is>
          <t>Eligible share of paying account balances</t>
        </is>
      </c>
      <c r="B20" s="17" t="n">
        <v>1</v>
      </c>
      <c r="D20" s="18" t="inlineStr">
        <is>
          <t>Paying accounts are current or 1 to 30 DPD in the model's proxy</t>
        </is>
      </c>
    </row>
    <row r="21">
      <c r="A21" s="11" t="inlineStr">
        <is>
          <t>Facility limit</t>
        </is>
      </c>
      <c r="B21" s="14" t="n">
        <v>3000000000</v>
      </c>
    </row>
    <row r="22">
      <c r="A22" s="11" t="inlineStr">
        <is>
          <t>Facility available from month</t>
        </is>
      </c>
      <c r="B22" s="14" t="n">
        <v>7</v>
      </c>
      <c r="D22" s="18" t="inlineStr">
        <is>
          <t>Model default</t>
        </is>
      </c>
    </row>
    <row r="23">
      <c r="A23" s="11" t="inlineStr">
        <is>
          <t>Central costs per month (staff, G&amp;A)</t>
        </is>
      </c>
      <c r="B23" s="14" t="n">
        <v>36400000</v>
      </c>
      <c r="D23" s="18" t="inlineStr">
        <is>
          <t>Model default; set to zero to isolate the book</t>
        </is>
      </c>
    </row>
    <row r="24">
      <c r="A24" s="11" t="inlineStr">
        <is>
          <t>Exchange rate (local per USD) for the USD summary</t>
        </is>
      </c>
      <c r="B24" s="15" t="n">
        <v>130</v>
      </c>
    </row>
    <row r="25"/>
    <row r="26">
      <c r="A26" s="11" t="inlineStr">
        <is>
          <t>Monthly instalment</t>
        </is>
      </c>
      <c r="B26" s="19">
        <f>'Inputs'!$B$14*365/12</f>
        <v/>
      </c>
    </row>
    <row r="27">
      <c r="A27" s="11" t="inlineStr">
        <is>
          <t>PAYGo premium per unit</t>
        </is>
      </c>
      <c r="B27" s="19">
        <f>'Inputs'!$B$13+'Inputs'!$B$26*'Inputs'!$B$15-'Inputs'!$B$12</f>
        <v/>
      </c>
    </row>
  </sheetData>
  <printOptions horizontalCentered="1"/>
  <pageMargins left="0.5" right="0.5" top="0.6" bottom="0.7" header="0.5" footer="0.5"/>
  <pageSetup orientation="portrait" paperSize="9" fitToHeight="0" fitToWidth="1"/>
  <headerFooter>
    <oddHeader/>
    <oddFooter>&amp;L&amp;"Arial"&amp;8 Africa Energy Finance | Volume 2 Decision tool D4&amp;C&amp;"Arial"&amp;8 &amp;A&amp;R&amp;"Arial"&amp;8 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E67"/>
  <sheetViews>
    <sheetView showGridLines="0" workbookViewId="0">
      <selection activeCell="A1" sqref="A1"/>
    </sheetView>
  </sheetViews>
  <sheetFormatPr baseColWidth="8" defaultRowHeight="15"/>
  <cols>
    <col width="10" customWidth="1" min="1" max="1"/>
    <col width="14" customWidth="1" min="2" max="2"/>
    <col width="16" customWidth="1" min="3" max="3"/>
    <col width="18" customWidth="1" min="4" max="4"/>
    <col width="4" customWidth="1" min="5" max="5"/>
  </cols>
  <sheetData>
    <row r="1">
      <c r="A1" s="1" t="inlineStr">
        <is>
          <t>AFRICA ENERGY FINANCE  |  VOLUME 2  |  SOLAR HOME SYSTEMS</t>
        </is>
      </c>
      <c r="B1" s="2" t="n"/>
      <c r="C1" s="2" t="n"/>
      <c r="D1" s="2" t="n"/>
      <c r="E1" s="2" t="n"/>
    </row>
    <row r="2" ht="22" customHeight="1">
      <c r="A2" s="3" t="inlineStr">
        <is>
          <t>Per unit curve</t>
        </is>
      </c>
      <c r="B2" s="2" t="n"/>
      <c r="C2" s="2" t="n"/>
      <c r="D2" s="2" t="n"/>
      <c r="E2" s="2" t="n"/>
    </row>
    <row r="3">
      <c r="A3" s="4" t="inlineStr">
        <is>
          <t>Expected collections and balance of one unit by age</t>
        </is>
      </c>
      <c r="B3" s="2" t="n"/>
      <c r="C3" s="2" t="n"/>
      <c r="D3" s="2" t="n"/>
      <c r="E3" s="2" t="n"/>
    </row>
    <row r="4">
      <c r="A4" s="5" t="inlineStr">
        <is>
          <t>Decision tool D4  |  Version 1.0  |  Author &amp; ideation: Emmanuel Boujieka Kamga</t>
        </is>
      </c>
      <c r="B4" s="6" t="n"/>
      <c r="C4" s="6" t="n"/>
      <c r="D4" s="6" t="n"/>
      <c r="E4" s="6" t="n"/>
    </row>
    <row r="5"/>
    <row r="6" ht="30" customHeight="1">
      <c r="A6" s="20" t="inlineStr">
        <is>
          <t>Age</t>
        </is>
      </c>
      <c r="B6" s="20" t="inlineStr">
        <is>
          <t>Share still paying</t>
        </is>
      </c>
      <c r="C6" s="20" t="inlineStr">
        <is>
          <t>Collection</t>
        </is>
      </c>
      <c r="D6" s="20" t="inlineStr">
        <is>
          <t>Carrying amount of paying accounts</t>
        </is>
      </c>
      <c r="E6" s="20" t="inlineStr"/>
    </row>
    <row r="7">
      <c r="A7" s="19" t="n">
        <v>0</v>
      </c>
      <c r="B7" s="21">
        <f>(1-'Inputs'!$B$16)^A7</f>
        <v/>
      </c>
      <c r="C7" s="19">
        <f>IF(AND(A7&gt;=1,A7&lt;='Inputs'!$B$15),'Inputs'!$B$26*'Inputs'!$B$17*B7,0)</f>
        <v/>
      </c>
      <c r="D7" s="19">
        <f>IF(A7&lt;='Inputs'!$B$15,('Inputs'!$B$15-A7)*('Inputs'!$B$26-'Inputs'!$B$27/'Inputs'!$B$15)*B7,0)</f>
        <v/>
      </c>
    </row>
    <row r="8">
      <c r="A8" s="19" t="n">
        <v>1</v>
      </c>
      <c r="B8" s="21">
        <f>(1-'Inputs'!$B$16)^A8</f>
        <v/>
      </c>
      <c r="C8" s="19">
        <f>IF(AND(A8&gt;=1,A8&lt;='Inputs'!$B$15),'Inputs'!$B$26*'Inputs'!$B$17*B8,0)</f>
        <v/>
      </c>
      <c r="D8" s="19">
        <f>IF(A8&lt;='Inputs'!$B$15,('Inputs'!$B$15-A8)*('Inputs'!$B$26-'Inputs'!$B$27/'Inputs'!$B$15)*B8,0)</f>
        <v/>
      </c>
    </row>
    <row r="9">
      <c r="A9" s="19" t="n">
        <v>2</v>
      </c>
      <c r="B9" s="21">
        <f>(1-'Inputs'!$B$16)^A9</f>
        <v/>
      </c>
      <c r="C9" s="19">
        <f>IF(AND(A9&gt;=1,A9&lt;='Inputs'!$B$15),'Inputs'!$B$26*'Inputs'!$B$17*B9,0)</f>
        <v/>
      </c>
      <c r="D9" s="19">
        <f>IF(A9&lt;='Inputs'!$B$15,('Inputs'!$B$15-A9)*('Inputs'!$B$26-'Inputs'!$B$27/'Inputs'!$B$15)*B9,0)</f>
        <v/>
      </c>
    </row>
    <row r="10">
      <c r="A10" s="19" t="n">
        <v>3</v>
      </c>
      <c r="B10" s="21">
        <f>(1-'Inputs'!$B$16)^A10</f>
        <v/>
      </c>
      <c r="C10" s="19">
        <f>IF(AND(A10&gt;=1,A10&lt;='Inputs'!$B$15),'Inputs'!$B$26*'Inputs'!$B$17*B10,0)</f>
        <v/>
      </c>
      <c r="D10" s="19">
        <f>IF(A10&lt;='Inputs'!$B$15,('Inputs'!$B$15-A10)*('Inputs'!$B$26-'Inputs'!$B$27/'Inputs'!$B$15)*B10,0)</f>
        <v/>
      </c>
    </row>
    <row r="11">
      <c r="A11" s="19" t="n">
        <v>4</v>
      </c>
      <c r="B11" s="21">
        <f>(1-'Inputs'!$B$16)^A11</f>
        <v/>
      </c>
      <c r="C11" s="19">
        <f>IF(AND(A11&gt;=1,A11&lt;='Inputs'!$B$15),'Inputs'!$B$26*'Inputs'!$B$17*B11,0)</f>
        <v/>
      </c>
      <c r="D11" s="19">
        <f>IF(A11&lt;='Inputs'!$B$15,('Inputs'!$B$15-A11)*('Inputs'!$B$26-'Inputs'!$B$27/'Inputs'!$B$15)*B11,0)</f>
        <v/>
      </c>
    </row>
    <row r="12">
      <c r="A12" s="19" t="n">
        <v>5</v>
      </c>
      <c r="B12" s="21">
        <f>(1-'Inputs'!$B$16)^A12</f>
        <v/>
      </c>
      <c r="C12" s="19">
        <f>IF(AND(A12&gt;=1,A12&lt;='Inputs'!$B$15),'Inputs'!$B$26*'Inputs'!$B$17*B12,0)</f>
        <v/>
      </c>
      <c r="D12" s="19">
        <f>IF(A12&lt;='Inputs'!$B$15,('Inputs'!$B$15-A12)*('Inputs'!$B$26-'Inputs'!$B$27/'Inputs'!$B$15)*B12,0)</f>
        <v/>
      </c>
    </row>
    <row r="13">
      <c r="A13" s="19" t="n">
        <v>6</v>
      </c>
      <c r="B13" s="21">
        <f>(1-'Inputs'!$B$16)^A13</f>
        <v/>
      </c>
      <c r="C13" s="19">
        <f>IF(AND(A13&gt;=1,A13&lt;='Inputs'!$B$15),'Inputs'!$B$26*'Inputs'!$B$17*B13,0)</f>
        <v/>
      </c>
      <c r="D13" s="19">
        <f>IF(A13&lt;='Inputs'!$B$15,('Inputs'!$B$15-A13)*('Inputs'!$B$26-'Inputs'!$B$27/'Inputs'!$B$15)*B13,0)</f>
        <v/>
      </c>
    </row>
    <row r="14">
      <c r="A14" s="19" t="n">
        <v>7</v>
      </c>
      <c r="B14" s="21">
        <f>(1-'Inputs'!$B$16)^A14</f>
        <v/>
      </c>
      <c r="C14" s="19">
        <f>IF(AND(A14&gt;=1,A14&lt;='Inputs'!$B$15),'Inputs'!$B$26*'Inputs'!$B$17*B14,0)</f>
        <v/>
      </c>
      <c r="D14" s="19">
        <f>IF(A14&lt;='Inputs'!$B$15,('Inputs'!$B$15-A14)*('Inputs'!$B$26-'Inputs'!$B$27/'Inputs'!$B$15)*B14,0)</f>
        <v/>
      </c>
    </row>
    <row r="15">
      <c r="A15" s="19" t="n">
        <v>8</v>
      </c>
      <c r="B15" s="21">
        <f>(1-'Inputs'!$B$16)^A15</f>
        <v/>
      </c>
      <c r="C15" s="19">
        <f>IF(AND(A15&gt;=1,A15&lt;='Inputs'!$B$15),'Inputs'!$B$26*'Inputs'!$B$17*B15,0)</f>
        <v/>
      </c>
      <c r="D15" s="19">
        <f>IF(A15&lt;='Inputs'!$B$15,('Inputs'!$B$15-A15)*('Inputs'!$B$26-'Inputs'!$B$27/'Inputs'!$B$15)*B15,0)</f>
        <v/>
      </c>
    </row>
    <row r="16">
      <c r="A16" s="19" t="n">
        <v>9</v>
      </c>
      <c r="B16" s="21">
        <f>(1-'Inputs'!$B$16)^A16</f>
        <v/>
      </c>
      <c r="C16" s="19">
        <f>IF(AND(A16&gt;=1,A16&lt;='Inputs'!$B$15),'Inputs'!$B$26*'Inputs'!$B$17*B16,0)</f>
        <v/>
      </c>
      <c r="D16" s="19">
        <f>IF(A16&lt;='Inputs'!$B$15,('Inputs'!$B$15-A16)*('Inputs'!$B$26-'Inputs'!$B$27/'Inputs'!$B$15)*B16,0)</f>
        <v/>
      </c>
    </row>
    <row r="17">
      <c r="A17" s="19" t="n">
        <v>10</v>
      </c>
      <c r="B17" s="21">
        <f>(1-'Inputs'!$B$16)^A17</f>
        <v/>
      </c>
      <c r="C17" s="19">
        <f>IF(AND(A17&gt;=1,A17&lt;='Inputs'!$B$15),'Inputs'!$B$26*'Inputs'!$B$17*B17,0)</f>
        <v/>
      </c>
      <c r="D17" s="19">
        <f>IF(A17&lt;='Inputs'!$B$15,('Inputs'!$B$15-A17)*('Inputs'!$B$26-'Inputs'!$B$27/'Inputs'!$B$15)*B17,0)</f>
        <v/>
      </c>
    </row>
    <row r="18">
      <c r="A18" s="19" t="n">
        <v>11</v>
      </c>
      <c r="B18" s="21">
        <f>(1-'Inputs'!$B$16)^A18</f>
        <v/>
      </c>
      <c r="C18" s="19">
        <f>IF(AND(A18&gt;=1,A18&lt;='Inputs'!$B$15),'Inputs'!$B$26*'Inputs'!$B$17*B18,0)</f>
        <v/>
      </c>
      <c r="D18" s="19">
        <f>IF(A18&lt;='Inputs'!$B$15,('Inputs'!$B$15-A18)*('Inputs'!$B$26-'Inputs'!$B$27/'Inputs'!$B$15)*B18,0)</f>
        <v/>
      </c>
    </row>
    <row r="19">
      <c r="A19" s="19" t="n">
        <v>12</v>
      </c>
      <c r="B19" s="21">
        <f>(1-'Inputs'!$B$16)^A19</f>
        <v/>
      </c>
      <c r="C19" s="19">
        <f>IF(AND(A19&gt;=1,A19&lt;='Inputs'!$B$15),'Inputs'!$B$26*'Inputs'!$B$17*B19,0)</f>
        <v/>
      </c>
      <c r="D19" s="19">
        <f>IF(A19&lt;='Inputs'!$B$15,('Inputs'!$B$15-A19)*('Inputs'!$B$26-'Inputs'!$B$27/'Inputs'!$B$15)*B19,0)</f>
        <v/>
      </c>
    </row>
    <row r="20">
      <c r="A20" s="19" t="n">
        <v>13</v>
      </c>
      <c r="B20" s="21">
        <f>(1-'Inputs'!$B$16)^A20</f>
        <v/>
      </c>
      <c r="C20" s="19">
        <f>IF(AND(A20&gt;=1,A20&lt;='Inputs'!$B$15),'Inputs'!$B$26*'Inputs'!$B$17*B20,0)</f>
        <v/>
      </c>
      <c r="D20" s="19">
        <f>IF(A20&lt;='Inputs'!$B$15,('Inputs'!$B$15-A20)*('Inputs'!$B$26-'Inputs'!$B$27/'Inputs'!$B$15)*B20,0)</f>
        <v/>
      </c>
    </row>
    <row r="21">
      <c r="A21" s="19" t="n">
        <v>14</v>
      </c>
      <c r="B21" s="21">
        <f>(1-'Inputs'!$B$16)^A21</f>
        <v/>
      </c>
      <c r="C21" s="19">
        <f>IF(AND(A21&gt;=1,A21&lt;='Inputs'!$B$15),'Inputs'!$B$26*'Inputs'!$B$17*B21,0)</f>
        <v/>
      </c>
      <c r="D21" s="19">
        <f>IF(A21&lt;='Inputs'!$B$15,('Inputs'!$B$15-A21)*('Inputs'!$B$26-'Inputs'!$B$27/'Inputs'!$B$15)*B21,0)</f>
        <v/>
      </c>
    </row>
    <row r="22">
      <c r="A22" s="19" t="n">
        <v>15</v>
      </c>
      <c r="B22" s="21">
        <f>(1-'Inputs'!$B$16)^A22</f>
        <v/>
      </c>
      <c r="C22" s="19">
        <f>IF(AND(A22&gt;=1,A22&lt;='Inputs'!$B$15),'Inputs'!$B$26*'Inputs'!$B$17*B22,0)</f>
        <v/>
      </c>
      <c r="D22" s="19">
        <f>IF(A22&lt;='Inputs'!$B$15,('Inputs'!$B$15-A22)*('Inputs'!$B$26-'Inputs'!$B$27/'Inputs'!$B$15)*B22,0)</f>
        <v/>
      </c>
    </row>
    <row r="23">
      <c r="A23" s="19" t="n">
        <v>16</v>
      </c>
      <c r="B23" s="21">
        <f>(1-'Inputs'!$B$16)^A23</f>
        <v/>
      </c>
      <c r="C23" s="19">
        <f>IF(AND(A23&gt;=1,A23&lt;='Inputs'!$B$15),'Inputs'!$B$26*'Inputs'!$B$17*B23,0)</f>
        <v/>
      </c>
      <c r="D23" s="19">
        <f>IF(A23&lt;='Inputs'!$B$15,('Inputs'!$B$15-A23)*('Inputs'!$B$26-'Inputs'!$B$27/'Inputs'!$B$15)*B23,0)</f>
        <v/>
      </c>
    </row>
    <row r="24">
      <c r="A24" s="19" t="n">
        <v>17</v>
      </c>
      <c r="B24" s="21">
        <f>(1-'Inputs'!$B$16)^A24</f>
        <v/>
      </c>
      <c r="C24" s="19">
        <f>IF(AND(A24&gt;=1,A24&lt;='Inputs'!$B$15),'Inputs'!$B$26*'Inputs'!$B$17*B24,0)</f>
        <v/>
      </c>
      <c r="D24" s="19">
        <f>IF(A24&lt;='Inputs'!$B$15,('Inputs'!$B$15-A24)*('Inputs'!$B$26-'Inputs'!$B$27/'Inputs'!$B$15)*B24,0)</f>
        <v/>
      </c>
    </row>
    <row r="25">
      <c r="A25" s="19" t="n">
        <v>18</v>
      </c>
      <c r="B25" s="21">
        <f>(1-'Inputs'!$B$16)^A25</f>
        <v/>
      </c>
      <c r="C25" s="19">
        <f>IF(AND(A25&gt;=1,A25&lt;='Inputs'!$B$15),'Inputs'!$B$26*'Inputs'!$B$17*B25,0)</f>
        <v/>
      </c>
      <c r="D25" s="19">
        <f>IF(A25&lt;='Inputs'!$B$15,('Inputs'!$B$15-A25)*('Inputs'!$B$26-'Inputs'!$B$27/'Inputs'!$B$15)*B25,0)</f>
        <v/>
      </c>
    </row>
    <row r="26">
      <c r="A26" s="19" t="n">
        <v>19</v>
      </c>
      <c r="B26" s="21">
        <f>(1-'Inputs'!$B$16)^A26</f>
        <v/>
      </c>
      <c r="C26" s="19">
        <f>IF(AND(A26&gt;=1,A26&lt;='Inputs'!$B$15),'Inputs'!$B$26*'Inputs'!$B$17*B26,0)</f>
        <v/>
      </c>
      <c r="D26" s="19">
        <f>IF(A26&lt;='Inputs'!$B$15,('Inputs'!$B$15-A26)*('Inputs'!$B$26-'Inputs'!$B$27/'Inputs'!$B$15)*B26,0)</f>
        <v/>
      </c>
    </row>
    <row r="27">
      <c r="A27" s="19" t="n">
        <v>20</v>
      </c>
      <c r="B27" s="21">
        <f>(1-'Inputs'!$B$16)^A27</f>
        <v/>
      </c>
      <c r="C27" s="19">
        <f>IF(AND(A27&gt;=1,A27&lt;='Inputs'!$B$15),'Inputs'!$B$26*'Inputs'!$B$17*B27,0)</f>
        <v/>
      </c>
      <c r="D27" s="19">
        <f>IF(A27&lt;='Inputs'!$B$15,('Inputs'!$B$15-A27)*('Inputs'!$B$26-'Inputs'!$B$27/'Inputs'!$B$15)*B27,0)</f>
        <v/>
      </c>
    </row>
    <row r="28">
      <c r="A28" s="19" t="n">
        <v>21</v>
      </c>
      <c r="B28" s="21">
        <f>(1-'Inputs'!$B$16)^A28</f>
        <v/>
      </c>
      <c r="C28" s="19">
        <f>IF(AND(A28&gt;=1,A28&lt;='Inputs'!$B$15),'Inputs'!$B$26*'Inputs'!$B$17*B28,0)</f>
        <v/>
      </c>
      <c r="D28" s="19">
        <f>IF(A28&lt;='Inputs'!$B$15,('Inputs'!$B$15-A28)*('Inputs'!$B$26-'Inputs'!$B$27/'Inputs'!$B$15)*B28,0)</f>
        <v/>
      </c>
    </row>
    <row r="29">
      <c r="A29" s="19" t="n">
        <v>22</v>
      </c>
      <c r="B29" s="21">
        <f>(1-'Inputs'!$B$16)^A29</f>
        <v/>
      </c>
      <c r="C29" s="19">
        <f>IF(AND(A29&gt;=1,A29&lt;='Inputs'!$B$15),'Inputs'!$B$26*'Inputs'!$B$17*B29,0)</f>
        <v/>
      </c>
      <c r="D29" s="19">
        <f>IF(A29&lt;='Inputs'!$B$15,('Inputs'!$B$15-A29)*('Inputs'!$B$26-'Inputs'!$B$27/'Inputs'!$B$15)*B29,0)</f>
        <v/>
      </c>
    </row>
    <row r="30">
      <c r="A30" s="19" t="n">
        <v>23</v>
      </c>
      <c r="B30" s="21">
        <f>(1-'Inputs'!$B$16)^A30</f>
        <v/>
      </c>
      <c r="C30" s="19">
        <f>IF(AND(A30&gt;=1,A30&lt;='Inputs'!$B$15),'Inputs'!$B$26*'Inputs'!$B$17*B30,0)</f>
        <v/>
      </c>
      <c r="D30" s="19">
        <f>IF(A30&lt;='Inputs'!$B$15,('Inputs'!$B$15-A30)*('Inputs'!$B$26-'Inputs'!$B$27/'Inputs'!$B$15)*B30,0)</f>
        <v/>
      </c>
    </row>
    <row r="31">
      <c r="A31" s="19" t="n">
        <v>24</v>
      </c>
      <c r="B31" s="21">
        <f>(1-'Inputs'!$B$16)^A31</f>
        <v/>
      </c>
      <c r="C31" s="19">
        <f>IF(AND(A31&gt;=1,A31&lt;='Inputs'!$B$15),'Inputs'!$B$26*'Inputs'!$B$17*B31,0)</f>
        <v/>
      </c>
      <c r="D31" s="19">
        <f>IF(A31&lt;='Inputs'!$B$15,('Inputs'!$B$15-A31)*('Inputs'!$B$26-'Inputs'!$B$27/'Inputs'!$B$15)*B31,0)</f>
        <v/>
      </c>
    </row>
    <row r="32">
      <c r="A32" s="19" t="n">
        <v>25</v>
      </c>
      <c r="B32" s="21">
        <f>(1-'Inputs'!$B$16)^A32</f>
        <v/>
      </c>
      <c r="C32" s="19">
        <f>IF(AND(A32&gt;=1,A32&lt;='Inputs'!$B$15),'Inputs'!$B$26*'Inputs'!$B$17*B32,0)</f>
        <v/>
      </c>
      <c r="D32" s="19">
        <f>IF(A32&lt;='Inputs'!$B$15,('Inputs'!$B$15-A32)*('Inputs'!$B$26-'Inputs'!$B$27/'Inputs'!$B$15)*B32,0)</f>
        <v/>
      </c>
    </row>
    <row r="33">
      <c r="A33" s="19" t="n">
        <v>26</v>
      </c>
      <c r="B33" s="21">
        <f>(1-'Inputs'!$B$16)^A33</f>
        <v/>
      </c>
      <c r="C33" s="19">
        <f>IF(AND(A33&gt;=1,A33&lt;='Inputs'!$B$15),'Inputs'!$B$26*'Inputs'!$B$17*B33,0)</f>
        <v/>
      </c>
      <c r="D33" s="19">
        <f>IF(A33&lt;='Inputs'!$B$15,('Inputs'!$B$15-A33)*('Inputs'!$B$26-'Inputs'!$B$27/'Inputs'!$B$15)*B33,0)</f>
        <v/>
      </c>
    </row>
    <row r="34">
      <c r="A34" s="19" t="n">
        <v>27</v>
      </c>
      <c r="B34" s="21">
        <f>(1-'Inputs'!$B$16)^A34</f>
        <v/>
      </c>
      <c r="C34" s="19">
        <f>IF(AND(A34&gt;=1,A34&lt;='Inputs'!$B$15),'Inputs'!$B$26*'Inputs'!$B$17*B34,0)</f>
        <v/>
      </c>
      <c r="D34" s="19">
        <f>IF(A34&lt;='Inputs'!$B$15,('Inputs'!$B$15-A34)*('Inputs'!$B$26-'Inputs'!$B$27/'Inputs'!$B$15)*B34,0)</f>
        <v/>
      </c>
    </row>
    <row r="35">
      <c r="A35" s="19" t="n">
        <v>28</v>
      </c>
      <c r="B35" s="21">
        <f>(1-'Inputs'!$B$16)^A35</f>
        <v/>
      </c>
      <c r="C35" s="19">
        <f>IF(AND(A35&gt;=1,A35&lt;='Inputs'!$B$15),'Inputs'!$B$26*'Inputs'!$B$17*B35,0)</f>
        <v/>
      </c>
      <c r="D35" s="19">
        <f>IF(A35&lt;='Inputs'!$B$15,('Inputs'!$B$15-A35)*('Inputs'!$B$26-'Inputs'!$B$27/'Inputs'!$B$15)*B35,0)</f>
        <v/>
      </c>
    </row>
    <row r="36">
      <c r="A36" s="19" t="n">
        <v>29</v>
      </c>
      <c r="B36" s="21">
        <f>(1-'Inputs'!$B$16)^A36</f>
        <v/>
      </c>
      <c r="C36" s="19">
        <f>IF(AND(A36&gt;=1,A36&lt;='Inputs'!$B$15),'Inputs'!$B$26*'Inputs'!$B$17*B36,0)</f>
        <v/>
      </c>
      <c r="D36" s="19">
        <f>IF(A36&lt;='Inputs'!$B$15,('Inputs'!$B$15-A36)*('Inputs'!$B$26-'Inputs'!$B$27/'Inputs'!$B$15)*B36,0)</f>
        <v/>
      </c>
    </row>
    <row r="37">
      <c r="A37" s="19" t="n">
        <v>30</v>
      </c>
      <c r="B37" s="21">
        <f>(1-'Inputs'!$B$16)^A37</f>
        <v/>
      </c>
      <c r="C37" s="19">
        <f>IF(AND(A37&gt;=1,A37&lt;='Inputs'!$B$15),'Inputs'!$B$26*'Inputs'!$B$17*B37,0)</f>
        <v/>
      </c>
      <c r="D37" s="19">
        <f>IF(A37&lt;='Inputs'!$B$15,('Inputs'!$B$15-A37)*('Inputs'!$B$26-'Inputs'!$B$27/'Inputs'!$B$15)*B37,0)</f>
        <v/>
      </c>
    </row>
    <row r="38">
      <c r="A38" s="19" t="n">
        <v>31</v>
      </c>
      <c r="B38" s="21">
        <f>(1-'Inputs'!$B$16)^A38</f>
        <v/>
      </c>
      <c r="C38" s="19">
        <f>IF(AND(A38&gt;=1,A38&lt;='Inputs'!$B$15),'Inputs'!$B$26*'Inputs'!$B$17*B38,0)</f>
        <v/>
      </c>
      <c r="D38" s="19">
        <f>IF(A38&lt;='Inputs'!$B$15,('Inputs'!$B$15-A38)*('Inputs'!$B$26-'Inputs'!$B$27/'Inputs'!$B$15)*B38,0)</f>
        <v/>
      </c>
    </row>
    <row r="39">
      <c r="A39" s="19" t="n">
        <v>32</v>
      </c>
      <c r="B39" s="21">
        <f>(1-'Inputs'!$B$16)^A39</f>
        <v/>
      </c>
      <c r="C39" s="19">
        <f>IF(AND(A39&gt;=1,A39&lt;='Inputs'!$B$15),'Inputs'!$B$26*'Inputs'!$B$17*B39,0)</f>
        <v/>
      </c>
      <c r="D39" s="19">
        <f>IF(A39&lt;='Inputs'!$B$15,('Inputs'!$B$15-A39)*('Inputs'!$B$26-'Inputs'!$B$27/'Inputs'!$B$15)*B39,0)</f>
        <v/>
      </c>
    </row>
    <row r="40">
      <c r="A40" s="19" t="n">
        <v>33</v>
      </c>
      <c r="B40" s="21">
        <f>(1-'Inputs'!$B$16)^A40</f>
        <v/>
      </c>
      <c r="C40" s="19">
        <f>IF(AND(A40&gt;=1,A40&lt;='Inputs'!$B$15),'Inputs'!$B$26*'Inputs'!$B$17*B40,0)</f>
        <v/>
      </c>
      <c r="D40" s="19">
        <f>IF(A40&lt;='Inputs'!$B$15,('Inputs'!$B$15-A40)*('Inputs'!$B$26-'Inputs'!$B$27/'Inputs'!$B$15)*B40,0)</f>
        <v/>
      </c>
    </row>
    <row r="41">
      <c r="A41" s="19" t="n">
        <v>34</v>
      </c>
      <c r="B41" s="21">
        <f>(1-'Inputs'!$B$16)^A41</f>
        <v/>
      </c>
      <c r="C41" s="19">
        <f>IF(AND(A41&gt;=1,A41&lt;='Inputs'!$B$15),'Inputs'!$B$26*'Inputs'!$B$17*B41,0)</f>
        <v/>
      </c>
      <c r="D41" s="19">
        <f>IF(A41&lt;='Inputs'!$B$15,('Inputs'!$B$15-A41)*('Inputs'!$B$26-'Inputs'!$B$27/'Inputs'!$B$15)*B41,0)</f>
        <v/>
      </c>
    </row>
    <row r="42">
      <c r="A42" s="19" t="n">
        <v>35</v>
      </c>
      <c r="B42" s="21">
        <f>(1-'Inputs'!$B$16)^A42</f>
        <v/>
      </c>
      <c r="C42" s="19">
        <f>IF(AND(A42&gt;=1,A42&lt;='Inputs'!$B$15),'Inputs'!$B$26*'Inputs'!$B$17*B42,0)</f>
        <v/>
      </c>
      <c r="D42" s="19">
        <f>IF(A42&lt;='Inputs'!$B$15,('Inputs'!$B$15-A42)*('Inputs'!$B$26-'Inputs'!$B$27/'Inputs'!$B$15)*B42,0)</f>
        <v/>
      </c>
    </row>
    <row r="43">
      <c r="A43" s="19" t="n">
        <v>36</v>
      </c>
      <c r="B43" s="21">
        <f>(1-'Inputs'!$B$16)^A43</f>
        <v/>
      </c>
      <c r="C43" s="19">
        <f>IF(AND(A43&gt;=1,A43&lt;='Inputs'!$B$15),'Inputs'!$B$26*'Inputs'!$B$17*B43,0)</f>
        <v/>
      </c>
      <c r="D43" s="19">
        <f>IF(A43&lt;='Inputs'!$B$15,('Inputs'!$B$15-A43)*('Inputs'!$B$26-'Inputs'!$B$27/'Inputs'!$B$15)*B43,0)</f>
        <v/>
      </c>
    </row>
    <row r="44">
      <c r="A44" s="19" t="n">
        <v>37</v>
      </c>
      <c r="B44" s="21">
        <f>(1-'Inputs'!$B$16)^A44</f>
        <v/>
      </c>
      <c r="C44" s="19">
        <f>IF(AND(A44&gt;=1,A44&lt;='Inputs'!$B$15),'Inputs'!$B$26*'Inputs'!$B$17*B44,0)</f>
        <v/>
      </c>
      <c r="D44" s="19">
        <f>IF(A44&lt;='Inputs'!$B$15,('Inputs'!$B$15-A44)*('Inputs'!$B$26-'Inputs'!$B$27/'Inputs'!$B$15)*B44,0)</f>
        <v/>
      </c>
    </row>
    <row r="45">
      <c r="A45" s="19" t="n">
        <v>38</v>
      </c>
      <c r="B45" s="21">
        <f>(1-'Inputs'!$B$16)^A45</f>
        <v/>
      </c>
      <c r="C45" s="19">
        <f>IF(AND(A45&gt;=1,A45&lt;='Inputs'!$B$15),'Inputs'!$B$26*'Inputs'!$B$17*B45,0)</f>
        <v/>
      </c>
      <c r="D45" s="19">
        <f>IF(A45&lt;='Inputs'!$B$15,('Inputs'!$B$15-A45)*('Inputs'!$B$26-'Inputs'!$B$27/'Inputs'!$B$15)*B45,0)</f>
        <v/>
      </c>
    </row>
    <row r="46">
      <c r="A46" s="19" t="n">
        <v>39</v>
      </c>
      <c r="B46" s="21">
        <f>(1-'Inputs'!$B$16)^A46</f>
        <v/>
      </c>
      <c r="C46" s="19">
        <f>IF(AND(A46&gt;=1,A46&lt;='Inputs'!$B$15),'Inputs'!$B$26*'Inputs'!$B$17*B46,0)</f>
        <v/>
      </c>
      <c r="D46" s="19">
        <f>IF(A46&lt;='Inputs'!$B$15,('Inputs'!$B$15-A46)*('Inputs'!$B$26-'Inputs'!$B$27/'Inputs'!$B$15)*B46,0)</f>
        <v/>
      </c>
    </row>
    <row r="47">
      <c r="A47" s="19" t="n">
        <v>40</v>
      </c>
      <c r="B47" s="21">
        <f>(1-'Inputs'!$B$16)^A47</f>
        <v/>
      </c>
      <c r="C47" s="19">
        <f>IF(AND(A47&gt;=1,A47&lt;='Inputs'!$B$15),'Inputs'!$B$26*'Inputs'!$B$17*B47,0)</f>
        <v/>
      </c>
      <c r="D47" s="19">
        <f>IF(A47&lt;='Inputs'!$B$15,('Inputs'!$B$15-A47)*('Inputs'!$B$26-'Inputs'!$B$27/'Inputs'!$B$15)*B47,0)</f>
        <v/>
      </c>
    </row>
    <row r="48">
      <c r="A48" s="19" t="n">
        <v>41</v>
      </c>
      <c r="B48" s="21">
        <f>(1-'Inputs'!$B$16)^A48</f>
        <v/>
      </c>
      <c r="C48" s="19">
        <f>IF(AND(A48&gt;=1,A48&lt;='Inputs'!$B$15),'Inputs'!$B$26*'Inputs'!$B$17*B48,0)</f>
        <v/>
      </c>
      <c r="D48" s="19">
        <f>IF(A48&lt;='Inputs'!$B$15,('Inputs'!$B$15-A48)*('Inputs'!$B$26-'Inputs'!$B$27/'Inputs'!$B$15)*B48,0)</f>
        <v/>
      </c>
    </row>
    <row r="49">
      <c r="A49" s="19" t="n">
        <v>42</v>
      </c>
      <c r="B49" s="21">
        <f>(1-'Inputs'!$B$16)^A49</f>
        <v/>
      </c>
      <c r="C49" s="19">
        <f>IF(AND(A49&gt;=1,A49&lt;='Inputs'!$B$15),'Inputs'!$B$26*'Inputs'!$B$17*B49,0)</f>
        <v/>
      </c>
      <c r="D49" s="19">
        <f>IF(A49&lt;='Inputs'!$B$15,('Inputs'!$B$15-A49)*('Inputs'!$B$26-'Inputs'!$B$27/'Inputs'!$B$15)*B49,0)</f>
        <v/>
      </c>
    </row>
    <row r="50">
      <c r="A50" s="19" t="n">
        <v>43</v>
      </c>
      <c r="B50" s="21">
        <f>(1-'Inputs'!$B$16)^A50</f>
        <v/>
      </c>
      <c r="C50" s="19">
        <f>IF(AND(A50&gt;=1,A50&lt;='Inputs'!$B$15),'Inputs'!$B$26*'Inputs'!$B$17*B50,0)</f>
        <v/>
      </c>
      <c r="D50" s="19">
        <f>IF(A50&lt;='Inputs'!$B$15,('Inputs'!$B$15-A50)*('Inputs'!$B$26-'Inputs'!$B$27/'Inputs'!$B$15)*B50,0)</f>
        <v/>
      </c>
    </row>
    <row r="51">
      <c r="A51" s="19" t="n">
        <v>44</v>
      </c>
      <c r="B51" s="21">
        <f>(1-'Inputs'!$B$16)^A51</f>
        <v/>
      </c>
      <c r="C51" s="19">
        <f>IF(AND(A51&gt;=1,A51&lt;='Inputs'!$B$15),'Inputs'!$B$26*'Inputs'!$B$17*B51,0)</f>
        <v/>
      </c>
      <c r="D51" s="19">
        <f>IF(A51&lt;='Inputs'!$B$15,('Inputs'!$B$15-A51)*('Inputs'!$B$26-'Inputs'!$B$27/'Inputs'!$B$15)*B51,0)</f>
        <v/>
      </c>
    </row>
    <row r="52">
      <c r="A52" s="19" t="n">
        <v>45</v>
      </c>
      <c r="B52" s="21">
        <f>(1-'Inputs'!$B$16)^A52</f>
        <v/>
      </c>
      <c r="C52" s="19">
        <f>IF(AND(A52&gt;=1,A52&lt;='Inputs'!$B$15),'Inputs'!$B$26*'Inputs'!$B$17*B52,0)</f>
        <v/>
      </c>
      <c r="D52" s="19">
        <f>IF(A52&lt;='Inputs'!$B$15,('Inputs'!$B$15-A52)*('Inputs'!$B$26-'Inputs'!$B$27/'Inputs'!$B$15)*B52,0)</f>
        <v/>
      </c>
    </row>
    <row r="53">
      <c r="A53" s="19" t="n">
        <v>46</v>
      </c>
      <c r="B53" s="21">
        <f>(1-'Inputs'!$B$16)^A53</f>
        <v/>
      </c>
      <c r="C53" s="19">
        <f>IF(AND(A53&gt;=1,A53&lt;='Inputs'!$B$15),'Inputs'!$B$26*'Inputs'!$B$17*B53,0)</f>
        <v/>
      </c>
      <c r="D53" s="19">
        <f>IF(A53&lt;='Inputs'!$B$15,('Inputs'!$B$15-A53)*('Inputs'!$B$26-'Inputs'!$B$27/'Inputs'!$B$15)*B53,0)</f>
        <v/>
      </c>
    </row>
    <row r="54">
      <c r="A54" s="19" t="n">
        <v>47</v>
      </c>
      <c r="B54" s="21">
        <f>(1-'Inputs'!$B$16)^A54</f>
        <v/>
      </c>
      <c r="C54" s="19">
        <f>IF(AND(A54&gt;=1,A54&lt;='Inputs'!$B$15),'Inputs'!$B$26*'Inputs'!$B$17*B54,0)</f>
        <v/>
      </c>
      <c r="D54" s="19">
        <f>IF(A54&lt;='Inputs'!$B$15,('Inputs'!$B$15-A54)*('Inputs'!$B$26-'Inputs'!$B$27/'Inputs'!$B$15)*B54,0)</f>
        <v/>
      </c>
    </row>
    <row r="55">
      <c r="A55" s="19" t="n">
        <v>48</v>
      </c>
      <c r="B55" s="21">
        <f>(1-'Inputs'!$B$16)^A55</f>
        <v/>
      </c>
      <c r="C55" s="19">
        <f>IF(AND(A55&gt;=1,A55&lt;='Inputs'!$B$15),'Inputs'!$B$26*'Inputs'!$B$17*B55,0)</f>
        <v/>
      </c>
      <c r="D55" s="19">
        <f>IF(A55&lt;='Inputs'!$B$15,('Inputs'!$B$15-A55)*('Inputs'!$B$26-'Inputs'!$B$27/'Inputs'!$B$15)*B55,0)</f>
        <v/>
      </c>
    </row>
    <row r="56">
      <c r="A56" s="19" t="n">
        <v>49</v>
      </c>
      <c r="B56" s="21">
        <f>(1-'Inputs'!$B$16)^A56</f>
        <v/>
      </c>
      <c r="C56" s="19">
        <f>IF(AND(A56&gt;=1,A56&lt;='Inputs'!$B$15),'Inputs'!$B$26*'Inputs'!$B$17*B56,0)</f>
        <v/>
      </c>
      <c r="D56" s="19">
        <f>IF(A56&lt;='Inputs'!$B$15,('Inputs'!$B$15-A56)*('Inputs'!$B$26-'Inputs'!$B$27/'Inputs'!$B$15)*B56,0)</f>
        <v/>
      </c>
    </row>
    <row r="57">
      <c r="A57" s="19" t="n">
        <v>50</v>
      </c>
      <c r="B57" s="21">
        <f>(1-'Inputs'!$B$16)^A57</f>
        <v/>
      </c>
      <c r="C57" s="19">
        <f>IF(AND(A57&gt;=1,A57&lt;='Inputs'!$B$15),'Inputs'!$B$26*'Inputs'!$B$17*B57,0)</f>
        <v/>
      </c>
      <c r="D57" s="19">
        <f>IF(A57&lt;='Inputs'!$B$15,('Inputs'!$B$15-A57)*('Inputs'!$B$26-'Inputs'!$B$27/'Inputs'!$B$15)*B57,0)</f>
        <v/>
      </c>
    </row>
    <row r="58">
      <c r="A58" s="19" t="n">
        <v>51</v>
      </c>
      <c r="B58" s="21">
        <f>(1-'Inputs'!$B$16)^A58</f>
        <v/>
      </c>
      <c r="C58" s="19">
        <f>IF(AND(A58&gt;=1,A58&lt;='Inputs'!$B$15),'Inputs'!$B$26*'Inputs'!$B$17*B58,0)</f>
        <v/>
      </c>
      <c r="D58" s="19">
        <f>IF(A58&lt;='Inputs'!$B$15,('Inputs'!$B$15-A58)*('Inputs'!$B$26-'Inputs'!$B$27/'Inputs'!$B$15)*B58,0)</f>
        <v/>
      </c>
    </row>
    <row r="59">
      <c r="A59" s="19" t="n">
        <v>52</v>
      </c>
      <c r="B59" s="21">
        <f>(1-'Inputs'!$B$16)^A59</f>
        <v/>
      </c>
      <c r="C59" s="19">
        <f>IF(AND(A59&gt;=1,A59&lt;='Inputs'!$B$15),'Inputs'!$B$26*'Inputs'!$B$17*B59,0)</f>
        <v/>
      </c>
      <c r="D59" s="19">
        <f>IF(A59&lt;='Inputs'!$B$15,('Inputs'!$B$15-A59)*('Inputs'!$B$26-'Inputs'!$B$27/'Inputs'!$B$15)*B59,0)</f>
        <v/>
      </c>
    </row>
    <row r="60">
      <c r="A60" s="19" t="n">
        <v>53</v>
      </c>
      <c r="B60" s="21">
        <f>(1-'Inputs'!$B$16)^A60</f>
        <v/>
      </c>
      <c r="C60" s="19">
        <f>IF(AND(A60&gt;=1,A60&lt;='Inputs'!$B$15),'Inputs'!$B$26*'Inputs'!$B$17*B60,0)</f>
        <v/>
      </c>
      <c r="D60" s="19">
        <f>IF(A60&lt;='Inputs'!$B$15,('Inputs'!$B$15-A60)*('Inputs'!$B$26-'Inputs'!$B$27/'Inputs'!$B$15)*B60,0)</f>
        <v/>
      </c>
    </row>
    <row r="61">
      <c r="A61" s="19" t="n">
        <v>54</v>
      </c>
      <c r="B61" s="21">
        <f>(1-'Inputs'!$B$16)^A61</f>
        <v/>
      </c>
      <c r="C61" s="19">
        <f>IF(AND(A61&gt;=1,A61&lt;='Inputs'!$B$15),'Inputs'!$B$26*'Inputs'!$B$17*B61,0)</f>
        <v/>
      </c>
      <c r="D61" s="19">
        <f>IF(A61&lt;='Inputs'!$B$15,('Inputs'!$B$15-A61)*('Inputs'!$B$26-'Inputs'!$B$27/'Inputs'!$B$15)*B61,0)</f>
        <v/>
      </c>
    </row>
    <row r="62">
      <c r="A62" s="19" t="n">
        <v>55</v>
      </c>
      <c r="B62" s="21">
        <f>(1-'Inputs'!$B$16)^A62</f>
        <v/>
      </c>
      <c r="C62" s="19">
        <f>IF(AND(A62&gt;=1,A62&lt;='Inputs'!$B$15),'Inputs'!$B$26*'Inputs'!$B$17*B62,0)</f>
        <v/>
      </c>
      <c r="D62" s="19">
        <f>IF(A62&lt;='Inputs'!$B$15,('Inputs'!$B$15-A62)*('Inputs'!$B$26-'Inputs'!$B$27/'Inputs'!$B$15)*B62,0)</f>
        <v/>
      </c>
    </row>
    <row r="63">
      <c r="A63" s="19" t="n">
        <v>56</v>
      </c>
      <c r="B63" s="21">
        <f>(1-'Inputs'!$B$16)^A63</f>
        <v/>
      </c>
      <c r="C63" s="19">
        <f>IF(AND(A63&gt;=1,A63&lt;='Inputs'!$B$15),'Inputs'!$B$26*'Inputs'!$B$17*B63,0)</f>
        <v/>
      </c>
      <c r="D63" s="19">
        <f>IF(A63&lt;='Inputs'!$B$15,('Inputs'!$B$15-A63)*('Inputs'!$B$26-'Inputs'!$B$27/'Inputs'!$B$15)*B63,0)</f>
        <v/>
      </c>
    </row>
    <row r="64">
      <c r="A64" s="19" t="n">
        <v>57</v>
      </c>
      <c r="B64" s="21">
        <f>(1-'Inputs'!$B$16)^A64</f>
        <v/>
      </c>
      <c r="C64" s="19">
        <f>IF(AND(A64&gt;=1,A64&lt;='Inputs'!$B$15),'Inputs'!$B$26*'Inputs'!$B$17*B64,0)</f>
        <v/>
      </c>
      <c r="D64" s="19">
        <f>IF(A64&lt;='Inputs'!$B$15,('Inputs'!$B$15-A64)*('Inputs'!$B$26-'Inputs'!$B$27/'Inputs'!$B$15)*B64,0)</f>
        <v/>
      </c>
    </row>
    <row r="65">
      <c r="A65" s="19" t="n">
        <v>58</v>
      </c>
      <c r="B65" s="21">
        <f>(1-'Inputs'!$B$16)^A65</f>
        <v/>
      </c>
      <c r="C65" s="19">
        <f>IF(AND(A65&gt;=1,A65&lt;='Inputs'!$B$15),'Inputs'!$B$26*'Inputs'!$B$17*B65,0)</f>
        <v/>
      </c>
      <c r="D65" s="19">
        <f>IF(A65&lt;='Inputs'!$B$15,('Inputs'!$B$15-A65)*('Inputs'!$B$26-'Inputs'!$B$27/'Inputs'!$B$15)*B65,0)</f>
        <v/>
      </c>
    </row>
    <row r="66">
      <c r="A66" s="19" t="n">
        <v>59</v>
      </c>
      <c r="B66" s="21">
        <f>(1-'Inputs'!$B$16)^A66</f>
        <v/>
      </c>
      <c r="C66" s="19">
        <f>IF(AND(A66&gt;=1,A66&lt;='Inputs'!$B$15),'Inputs'!$B$26*'Inputs'!$B$17*B66,0)</f>
        <v/>
      </c>
      <c r="D66" s="19">
        <f>IF(A66&lt;='Inputs'!$B$15,('Inputs'!$B$15-A66)*('Inputs'!$B$26-'Inputs'!$B$27/'Inputs'!$B$15)*B66,0)</f>
        <v/>
      </c>
    </row>
    <row r="67">
      <c r="A67" s="19" t="n">
        <v>60</v>
      </c>
      <c r="B67" s="21">
        <f>(1-'Inputs'!$B$16)^A67</f>
        <v/>
      </c>
      <c r="C67" s="19">
        <f>IF(AND(A67&gt;=1,A67&lt;='Inputs'!$B$15),'Inputs'!$B$26*'Inputs'!$B$17*B67,0)</f>
        <v/>
      </c>
      <c r="D67" s="19">
        <f>IF(A67&lt;='Inputs'!$B$15,('Inputs'!$B$15-A67)*('Inputs'!$B$26-'Inputs'!$B$27/'Inputs'!$B$15)*B67,0)</f>
        <v/>
      </c>
    </row>
  </sheetData>
  <printOptions horizontalCentered="1"/>
  <pageMargins left="0.5" right="0.5" top="0.6" bottom="0.7" header="0.5" footer="0.5"/>
  <pageSetup orientation="portrait" paperSize="9" fitToHeight="0" fitToWidth="1"/>
  <headerFooter>
    <oddHeader/>
    <oddFooter>&amp;L&amp;"Arial"&amp;8 Africa Energy Finance | Volume 2 Decision tool D4&amp;C&amp;"Arial"&amp;8 &amp;A&amp;R&amp;"Arial"&amp;8 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BJ131"/>
  <sheetViews>
    <sheetView showGridLines="0" workbookViewId="0">
      <selection activeCell="A1" sqref="A1"/>
    </sheetView>
  </sheetViews>
  <sheetFormatPr baseColWidth="8" defaultRowHeight="15"/>
  <cols>
    <col width="10"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width="9" customWidth="1" min="41" max="41"/>
    <col width="9" customWidth="1" min="42" max="42"/>
    <col width="9" customWidth="1" min="43" max="43"/>
    <col width="9" customWidth="1" min="44" max="44"/>
    <col width="9" customWidth="1" min="45" max="45"/>
    <col width="9" customWidth="1" min="46" max="46"/>
    <col width="9" customWidth="1" min="47" max="47"/>
    <col width="9" customWidth="1" min="48" max="48"/>
    <col width="9" customWidth="1" min="49" max="49"/>
    <col width="9" customWidth="1" min="50" max="50"/>
    <col width="9" customWidth="1" min="51" max="51"/>
    <col width="9" customWidth="1" min="52" max="52"/>
    <col width="9" customWidth="1" min="53" max="53"/>
    <col width="9" customWidth="1" min="54" max="54"/>
    <col width="9" customWidth="1" min="55" max="55"/>
    <col width="9" customWidth="1" min="56" max="56"/>
    <col width="9" customWidth="1" min="57" max="57"/>
    <col width="9" customWidth="1" min="58" max="58"/>
    <col width="9" customWidth="1" min="59" max="59"/>
    <col width="9" customWidth="1" min="60" max="60"/>
    <col width="9" customWidth="1" min="61" max="61"/>
    <col width="9" customWidth="1" min="62" max="62"/>
  </cols>
  <sheetData>
    <row r="1">
      <c r="A1" s="1" t="inlineStr">
        <is>
          <t>AFRICA ENERGY FINANCE  |  VOLUME 2  |  SOLAR HOME SYSTEMS</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c r="AO1" s="2" t="n"/>
      <c r="AP1" s="2" t="n"/>
      <c r="AQ1" s="2" t="n"/>
      <c r="AR1" s="2" t="n"/>
      <c r="AS1" s="2" t="n"/>
      <c r="AT1" s="2" t="n"/>
      <c r="AU1" s="2" t="n"/>
      <c r="AV1" s="2" t="n"/>
      <c r="AW1" s="2" t="n"/>
      <c r="AX1" s="2" t="n"/>
      <c r="AY1" s="2" t="n"/>
      <c r="AZ1" s="2" t="n"/>
      <c r="BA1" s="2" t="n"/>
      <c r="BB1" s="2" t="n"/>
      <c r="BC1" s="2" t="n"/>
      <c r="BD1" s="2" t="n"/>
      <c r="BE1" s="2" t="n"/>
      <c r="BF1" s="2" t="n"/>
      <c r="BG1" s="2" t="n"/>
      <c r="BH1" s="2" t="n"/>
      <c r="BI1" s="2" t="n"/>
      <c r="BJ1" s="2" t="n"/>
    </row>
    <row r="2" ht="22" customHeight="1">
      <c r="A2" s="3" t="inlineStr">
        <is>
          <t>Cohort matrix</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c r="AN2" s="2" t="n"/>
      <c r="AO2" s="2" t="n"/>
      <c r="AP2" s="2" t="n"/>
      <c r="AQ2" s="2" t="n"/>
      <c r="AR2" s="2" t="n"/>
      <c r="AS2" s="2" t="n"/>
      <c r="AT2" s="2" t="n"/>
      <c r="AU2" s="2" t="n"/>
      <c r="AV2" s="2" t="n"/>
      <c r="AW2" s="2" t="n"/>
      <c r="AX2" s="2" t="n"/>
      <c r="AY2" s="2" t="n"/>
      <c r="AZ2" s="2" t="n"/>
      <c r="BA2" s="2" t="n"/>
      <c r="BB2" s="2" t="n"/>
      <c r="BC2" s="2" t="n"/>
      <c r="BD2" s="2" t="n"/>
      <c r="BE2" s="2" t="n"/>
      <c r="BF2" s="2" t="n"/>
      <c r="BG2" s="2" t="n"/>
      <c r="BH2" s="2" t="n"/>
      <c r="BI2" s="2" t="n"/>
      <c r="BJ2" s="2" t="n"/>
    </row>
    <row r="3">
      <c r="A3" s="4" t="inlineStr">
        <is>
          <t>Rows: calendar month; columns: month of sale. Upper block balances, lower block collections</t>
        </is>
      </c>
      <c r="B3" s="2" t="n"/>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c r="AA3" s="2" t="n"/>
      <c r="AB3" s="2" t="n"/>
      <c r="AC3" s="2" t="n"/>
      <c r="AD3" s="2" t="n"/>
      <c r="AE3" s="2" t="n"/>
      <c r="AF3" s="2" t="n"/>
      <c r="AG3" s="2" t="n"/>
      <c r="AH3" s="2" t="n"/>
      <c r="AI3" s="2" t="n"/>
      <c r="AJ3" s="2" t="n"/>
      <c r="AK3" s="2" t="n"/>
      <c r="AL3" s="2" t="n"/>
      <c r="AM3" s="2" t="n"/>
      <c r="AN3" s="2" t="n"/>
      <c r="AO3" s="2" t="n"/>
      <c r="AP3" s="2" t="n"/>
      <c r="AQ3" s="2" t="n"/>
      <c r="AR3" s="2" t="n"/>
      <c r="AS3" s="2" t="n"/>
      <c r="AT3" s="2" t="n"/>
      <c r="AU3" s="2" t="n"/>
      <c r="AV3" s="2" t="n"/>
      <c r="AW3" s="2" t="n"/>
      <c r="AX3" s="2" t="n"/>
      <c r="AY3" s="2" t="n"/>
      <c r="AZ3" s="2" t="n"/>
      <c r="BA3" s="2" t="n"/>
      <c r="BB3" s="2" t="n"/>
      <c r="BC3" s="2" t="n"/>
      <c r="BD3" s="2" t="n"/>
      <c r="BE3" s="2" t="n"/>
      <c r="BF3" s="2" t="n"/>
      <c r="BG3" s="2" t="n"/>
      <c r="BH3" s="2" t="n"/>
      <c r="BI3" s="2" t="n"/>
      <c r="BJ3" s="2" t="n"/>
    </row>
    <row r="4">
      <c r="A4" s="5" t="inlineStr">
        <is>
          <t>Decision tool D4  |  Version 1.0  |  Author &amp; ideation: Emmanuel Boujieka Kamga</t>
        </is>
      </c>
      <c r="B4" s="6" t="n"/>
      <c r="C4" s="6" t="n"/>
      <c r="D4" s="6" t="n"/>
      <c r="E4" s="6" t="n"/>
      <c r="F4" s="6" t="n"/>
      <c r="G4" s="6" t="n"/>
      <c r="H4" s="6" t="n"/>
      <c r="I4" s="6" t="n"/>
      <c r="J4" s="6" t="n"/>
      <c r="K4" s="6" t="n"/>
      <c r="L4" s="6" t="n"/>
      <c r="M4" s="6" t="n"/>
      <c r="N4" s="6" t="n"/>
      <c r="O4" s="6" t="n"/>
      <c r="P4" s="6" t="n"/>
      <c r="Q4" s="6" t="n"/>
      <c r="R4" s="6" t="n"/>
      <c r="S4" s="6" t="n"/>
      <c r="T4" s="6" t="n"/>
      <c r="U4" s="6" t="n"/>
      <c r="V4" s="6" t="n"/>
      <c r="W4" s="6" t="n"/>
      <c r="X4" s="6" t="n"/>
      <c r="Y4" s="6" t="n"/>
      <c r="Z4" s="6" t="n"/>
      <c r="AA4" s="6" t="n"/>
      <c r="AB4" s="6" t="n"/>
      <c r="AC4" s="6" t="n"/>
      <c r="AD4" s="6" t="n"/>
      <c r="AE4" s="6" t="n"/>
      <c r="AF4" s="6" t="n"/>
      <c r="AG4" s="6" t="n"/>
      <c r="AH4" s="6" t="n"/>
      <c r="AI4" s="6" t="n"/>
      <c r="AJ4" s="6" t="n"/>
      <c r="AK4" s="6" t="n"/>
      <c r="AL4" s="6" t="n"/>
      <c r="AM4" s="6" t="n"/>
      <c r="AN4" s="6" t="n"/>
      <c r="AO4" s="6" t="n"/>
      <c r="AP4" s="6" t="n"/>
      <c r="AQ4" s="6" t="n"/>
      <c r="AR4" s="6" t="n"/>
      <c r="AS4" s="6" t="n"/>
      <c r="AT4" s="6" t="n"/>
      <c r="AU4" s="6" t="n"/>
      <c r="AV4" s="6" t="n"/>
      <c r="AW4" s="6" t="n"/>
      <c r="AX4" s="6" t="n"/>
      <c r="AY4" s="6" t="n"/>
      <c r="AZ4" s="6" t="n"/>
      <c r="BA4" s="6" t="n"/>
      <c r="BB4" s="6" t="n"/>
      <c r="BC4" s="6" t="n"/>
      <c r="BD4" s="6" t="n"/>
      <c r="BE4" s="6" t="n"/>
      <c r="BF4" s="6" t="n"/>
      <c r="BG4" s="6" t="n"/>
      <c r="BH4" s="6" t="n"/>
      <c r="BI4" s="6" t="n"/>
      <c r="BJ4" s="6" t="n"/>
    </row>
    <row r="5"/>
    <row r="6">
      <c r="A6" s="20" t="inlineStr">
        <is>
          <t>Month of sale</t>
        </is>
      </c>
      <c r="B6" s="20" t="n">
        <v>1</v>
      </c>
      <c r="C6" s="20" t="n">
        <v>2</v>
      </c>
      <c r="D6" s="20" t="n">
        <v>3</v>
      </c>
      <c r="E6" s="20" t="n">
        <v>4</v>
      </c>
      <c r="F6" s="20" t="n">
        <v>5</v>
      </c>
      <c r="G6" s="20" t="n">
        <v>6</v>
      </c>
      <c r="H6" s="20" t="n">
        <v>7</v>
      </c>
      <c r="I6" s="20" t="n">
        <v>8</v>
      </c>
      <c r="J6" s="20" t="n">
        <v>9</v>
      </c>
      <c r="K6" s="20" t="n">
        <v>10</v>
      </c>
      <c r="L6" s="20" t="n">
        <v>11</v>
      </c>
      <c r="M6" s="20" t="n">
        <v>12</v>
      </c>
      <c r="N6" s="20" t="n">
        <v>13</v>
      </c>
      <c r="O6" s="20" t="n">
        <v>14</v>
      </c>
      <c r="P6" s="20" t="n">
        <v>15</v>
      </c>
      <c r="Q6" s="20" t="n">
        <v>16</v>
      </c>
      <c r="R6" s="20" t="n">
        <v>17</v>
      </c>
      <c r="S6" s="20" t="n">
        <v>18</v>
      </c>
      <c r="T6" s="20" t="n">
        <v>19</v>
      </c>
      <c r="U6" s="20" t="n">
        <v>20</v>
      </c>
      <c r="V6" s="20" t="n">
        <v>21</v>
      </c>
      <c r="W6" s="20" t="n">
        <v>22</v>
      </c>
      <c r="X6" s="20" t="n">
        <v>23</v>
      </c>
      <c r="Y6" s="20" t="n">
        <v>24</v>
      </c>
      <c r="Z6" s="20" t="n">
        <v>25</v>
      </c>
      <c r="AA6" s="20" t="n">
        <v>26</v>
      </c>
      <c r="AB6" s="20" t="n">
        <v>27</v>
      </c>
      <c r="AC6" s="20" t="n">
        <v>28</v>
      </c>
      <c r="AD6" s="20" t="n">
        <v>29</v>
      </c>
      <c r="AE6" s="20" t="n">
        <v>30</v>
      </c>
      <c r="AF6" s="20" t="n">
        <v>31</v>
      </c>
      <c r="AG6" s="20" t="n">
        <v>32</v>
      </c>
      <c r="AH6" s="20" t="n">
        <v>33</v>
      </c>
      <c r="AI6" s="20" t="n">
        <v>34</v>
      </c>
      <c r="AJ6" s="20" t="n">
        <v>35</v>
      </c>
      <c r="AK6" s="20" t="n">
        <v>36</v>
      </c>
      <c r="AL6" s="20" t="n">
        <v>37</v>
      </c>
      <c r="AM6" s="20" t="n">
        <v>38</v>
      </c>
      <c r="AN6" s="20" t="n">
        <v>39</v>
      </c>
      <c r="AO6" s="20" t="n">
        <v>40</v>
      </c>
      <c r="AP6" s="20" t="n">
        <v>41</v>
      </c>
      <c r="AQ6" s="20" t="n">
        <v>42</v>
      </c>
      <c r="AR6" s="20" t="n">
        <v>43</v>
      </c>
      <c r="AS6" s="20" t="n">
        <v>44</v>
      </c>
      <c r="AT6" s="20" t="n">
        <v>45</v>
      </c>
      <c r="AU6" s="20" t="n">
        <v>46</v>
      </c>
      <c r="AV6" s="20" t="n">
        <v>47</v>
      </c>
      <c r="AW6" s="20" t="n">
        <v>48</v>
      </c>
      <c r="AX6" s="20" t="n">
        <v>49</v>
      </c>
      <c r="AY6" s="20" t="n">
        <v>50</v>
      </c>
      <c r="AZ6" s="20" t="n">
        <v>51</v>
      </c>
      <c r="BA6" s="20" t="n">
        <v>52</v>
      </c>
      <c r="BB6" s="20" t="n">
        <v>53</v>
      </c>
      <c r="BC6" s="20" t="n">
        <v>54</v>
      </c>
      <c r="BD6" s="20" t="n">
        <v>55</v>
      </c>
      <c r="BE6" s="20" t="n">
        <v>56</v>
      </c>
      <c r="BF6" s="20" t="n">
        <v>57</v>
      </c>
      <c r="BG6" s="20" t="n">
        <v>58</v>
      </c>
      <c r="BH6" s="20" t="n">
        <v>59</v>
      </c>
      <c r="BI6" s="20" t="n">
        <v>60</v>
      </c>
    </row>
    <row r="7">
      <c r="A7" s="9" t="inlineStr">
        <is>
          <t>Units sold</t>
        </is>
      </c>
      <c r="B7" s="19">
        <f>CHOOSE(ROUNDUP(B6/12,0),'Inputs'!$B$7,'Inputs'!$B$8,'Inputs'!$B$9,'Inputs'!$B$10,'Inputs'!$B$11)/12</f>
        <v/>
      </c>
      <c r="C7" s="19">
        <f>CHOOSE(ROUNDUP(C6/12,0),'Inputs'!$B$7,'Inputs'!$B$8,'Inputs'!$B$9,'Inputs'!$B$10,'Inputs'!$B$11)/12</f>
        <v/>
      </c>
      <c r="D7" s="19">
        <f>CHOOSE(ROUNDUP(D6/12,0),'Inputs'!$B$7,'Inputs'!$B$8,'Inputs'!$B$9,'Inputs'!$B$10,'Inputs'!$B$11)/12</f>
        <v/>
      </c>
      <c r="E7" s="19">
        <f>CHOOSE(ROUNDUP(E6/12,0),'Inputs'!$B$7,'Inputs'!$B$8,'Inputs'!$B$9,'Inputs'!$B$10,'Inputs'!$B$11)/12</f>
        <v/>
      </c>
      <c r="F7" s="19">
        <f>CHOOSE(ROUNDUP(F6/12,0),'Inputs'!$B$7,'Inputs'!$B$8,'Inputs'!$B$9,'Inputs'!$B$10,'Inputs'!$B$11)/12</f>
        <v/>
      </c>
      <c r="G7" s="19">
        <f>CHOOSE(ROUNDUP(G6/12,0),'Inputs'!$B$7,'Inputs'!$B$8,'Inputs'!$B$9,'Inputs'!$B$10,'Inputs'!$B$11)/12</f>
        <v/>
      </c>
      <c r="H7" s="19">
        <f>CHOOSE(ROUNDUP(H6/12,0),'Inputs'!$B$7,'Inputs'!$B$8,'Inputs'!$B$9,'Inputs'!$B$10,'Inputs'!$B$11)/12</f>
        <v/>
      </c>
      <c r="I7" s="19">
        <f>CHOOSE(ROUNDUP(I6/12,0),'Inputs'!$B$7,'Inputs'!$B$8,'Inputs'!$B$9,'Inputs'!$B$10,'Inputs'!$B$11)/12</f>
        <v/>
      </c>
      <c r="J7" s="19">
        <f>CHOOSE(ROUNDUP(J6/12,0),'Inputs'!$B$7,'Inputs'!$B$8,'Inputs'!$B$9,'Inputs'!$B$10,'Inputs'!$B$11)/12</f>
        <v/>
      </c>
      <c r="K7" s="19">
        <f>CHOOSE(ROUNDUP(K6/12,0),'Inputs'!$B$7,'Inputs'!$B$8,'Inputs'!$B$9,'Inputs'!$B$10,'Inputs'!$B$11)/12</f>
        <v/>
      </c>
      <c r="L7" s="19">
        <f>CHOOSE(ROUNDUP(L6/12,0),'Inputs'!$B$7,'Inputs'!$B$8,'Inputs'!$B$9,'Inputs'!$B$10,'Inputs'!$B$11)/12</f>
        <v/>
      </c>
      <c r="M7" s="19">
        <f>CHOOSE(ROUNDUP(M6/12,0),'Inputs'!$B$7,'Inputs'!$B$8,'Inputs'!$B$9,'Inputs'!$B$10,'Inputs'!$B$11)/12</f>
        <v/>
      </c>
      <c r="N7" s="19">
        <f>CHOOSE(ROUNDUP(N6/12,0),'Inputs'!$B$7,'Inputs'!$B$8,'Inputs'!$B$9,'Inputs'!$B$10,'Inputs'!$B$11)/12</f>
        <v/>
      </c>
      <c r="O7" s="19">
        <f>CHOOSE(ROUNDUP(O6/12,0),'Inputs'!$B$7,'Inputs'!$B$8,'Inputs'!$B$9,'Inputs'!$B$10,'Inputs'!$B$11)/12</f>
        <v/>
      </c>
      <c r="P7" s="19">
        <f>CHOOSE(ROUNDUP(P6/12,0),'Inputs'!$B$7,'Inputs'!$B$8,'Inputs'!$B$9,'Inputs'!$B$10,'Inputs'!$B$11)/12</f>
        <v/>
      </c>
      <c r="Q7" s="19">
        <f>CHOOSE(ROUNDUP(Q6/12,0),'Inputs'!$B$7,'Inputs'!$B$8,'Inputs'!$B$9,'Inputs'!$B$10,'Inputs'!$B$11)/12</f>
        <v/>
      </c>
      <c r="R7" s="19">
        <f>CHOOSE(ROUNDUP(R6/12,0),'Inputs'!$B$7,'Inputs'!$B$8,'Inputs'!$B$9,'Inputs'!$B$10,'Inputs'!$B$11)/12</f>
        <v/>
      </c>
      <c r="S7" s="19">
        <f>CHOOSE(ROUNDUP(S6/12,0),'Inputs'!$B$7,'Inputs'!$B$8,'Inputs'!$B$9,'Inputs'!$B$10,'Inputs'!$B$11)/12</f>
        <v/>
      </c>
      <c r="T7" s="19">
        <f>CHOOSE(ROUNDUP(T6/12,0),'Inputs'!$B$7,'Inputs'!$B$8,'Inputs'!$B$9,'Inputs'!$B$10,'Inputs'!$B$11)/12</f>
        <v/>
      </c>
      <c r="U7" s="19">
        <f>CHOOSE(ROUNDUP(U6/12,0),'Inputs'!$B$7,'Inputs'!$B$8,'Inputs'!$B$9,'Inputs'!$B$10,'Inputs'!$B$11)/12</f>
        <v/>
      </c>
      <c r="V7" s="19">
        <f>CHOOSE(ROUNDUP(V6/12,0),'Inputs'!$B$7,'Inputs'!$B$8,'Inputs'!$B$9,'Inputs'!$B$10,'Inputs'!$B$11)/12</f>
        <v/>
      </c>
      <c r="W7" s="19">
        <f>CHOOSE(ROUNDUP(W6/12,0),'Inputs'!$B$7,'Inputs'!$B$8,'Inputs'!$B$9,'Inputs'!$B$10,'Inputs'!$B$11)/12</f>
        <v/>
      </c>
      <c r="X7" s="19">
        <f>CHOOSE(ROUNDUP(X6/12,0),'Inputs'!$B$7,'Inputs'!$B$8,'Inputs'!$B$9,'Inputs'!$B$10,'Inputs'!$B$11)/12</f>
        <v/>
      </c>
      <c r="Y7" s="19">
        <f>CHOOSE(ROUNDUP(Y6/12,0),'Inputs'!$B$7,'Inputs'!$B$8,'Inputs'!$B$9,'Inputs'!$B$10,'Inputs'!$B$11)/12</f>
        <v/>
      </c>
      <c r="Z7" s="19">
        <f>CHOOSE(ROUNDUP(Z6/12,0),'Inputs'!$B$7,'Inputs'!$B$8,'Inputs'!$B$9,'Inputs'!$B$10,'Inputs'!$B$11)/12</f>
        <v/>
      </c>
      <c r="AA7" s="19">
        <f>CHOOSE(ROUNDUP(AA6/12,0),'Inputs'!$B$7,'Inputs'!$B$8,'Inputs'!$B$9,'Inputs'!$B$10,'Inputs'!$B$11)/12</f>
        <v/>
      </c>
      <c r="AB7" s="19">
        <f>CHOOSE(ROUNDUP(AB6/12,0),'Inputs'!$B$7,'Inputs'!$B$8,'Inputs'!$B$9,'Inputs'!$B$10,'Inputs'!$B$11)/12</f>
        <v/>
      </c>
      <c r="AC7" s="19">
        <f>CHOOSE(ROUNDUP(AC6/12,0),'Inputs'!$B$7,'Inputs'!$B$8,'Inputs'!$B$9,'Inputs'!$B$10,'Inputs'!$B$11)/12</f>
        <v/>
      </c>
      <c r="AD7" s="19">
        <f>CHOOSE(ROUNDUP(AD6/12,0),'Inputs'!$B$7,'Inputs'!$B$8,'Inputs'!$B$9,'Inputs'!$B$10,'Inputs'!$B$11)/12</f>
        <v/>
      </c>
      <c r="AE7" s="19">
        <f>CHOOSE(ROUNDUP(AE6/12,0),'Inputs'!$B$7,'Inputs'!$B$8,'Inputs'!$B$9,'Inputs'!$B$10,'Inputs'!$B$11)/12</f>
        <v/>
      </c>
      <c r="AF7" s="19">
        <f>CHOOSE(ROUNDUP(AF6/12,0),'Inputs'!$B$7,'Inputs'!$B$8,'Inputs'!$B$9,'Inputs'!$B$10,'Inputs'!$B$11)/12</f>
        <v/>
      </c>
      <c r="AG7" s="19">
        <f>CHOOSE(ROUNDUP(AG6/12,0),'Inputs'!$B$7,'Inputs'!$B$8,'Inputs'!$B$9,'Inputs'!$B$10,'Inputs'!$B$11)/12</f>
        <v/>
      </c>
      <c r="AH7" s="19">
        <f>CHOOSE(ROUNDUP(AH6/12,0),'Inputs'!$B$7,'Inputs'!$B$8,'Inputs'!$B$9,'Inputs'!$B$10,'Inputs'!$B$11)/12</f>
        <v/>
      </c>
      <c r="AI7" s="19">
        <f>CHOOSE(ROUNDUP(AI6/12,0),'Inputs'!$B$7,'Inputs'!$B$8,'Inputs'!$B$9,'Inputs'!$B$10,'Inputs'!$B$11)/12</f>
        <v/>
      </c>
      <c r="AJ7" s="19">
        <f>CHOOSE(ROUNDUP(AJ6/12,0),'Inputs'!$B$7,'Inputs'!$B$8,'Inputs'!$B$9,'Inputs'!$B$10,'Inputs'!$B$11)/12</f>
        <v/>
      </c>
      <c r="AK7" s="19">
        <f>CHOOSE(ROUNDUP(AK6/12,0),'Inputs'!$B$7,'Inputs'!$B$8,'Inputs'!$B$9,'Inputs'!$B$10,'Inputs'!$B$11)/12</f>
        <v/>
      </c>
      <c r="AL7" s="19">
        <f>CHOOSE(ROUNDUP(AL6/12,0),'Inputs'!$B$7,'Inputs'!$B$8,'Inputs'!$B$9,'Inputs'!$B$10,'Inputs'!$B$11)/12</f>
        <v/>
      </c>
      <c r="AM7" s="19">
        <f>CHOOSE(ROUNDUP(AM6/12,0),'Inputs'!$B$7,'Inputs'!$B$8,'Inputs'!$B$9,'Inputs'!$B$10,'Inputs'!$B$11)/12</f>
        <v/>
      </c>
      <c r="AN7" s="19">
        <f>CHOOSE(ROUNDUP(AN6/12,0),'Inputs'!$B$7,'Inputs'!$B$8,'Inputs'!$B$9,'Inputs'!$B$10,'Inputs'!$B$11)/12</f>
        <v/>
      </c>
      <c r="AO7" s="19">
        <f>CHOOSE(ROUNDUP(AO6/12,0),'Inputs'!$B$7,'Inputs'!$B$8,'Inputs'!$B$9,'Inputs'!$B$10,'Inputs'!$B$11)/12</f>
        <v/>
      </c>
      <c r="AP7" s="19">
        <f>CHOOSE(ROUNDUP(AP6/12,0),'Inputs'!$B$7,'Inputs'!$B$8,'Inputs'!$B$9,'Inputs'!$B$10,'Inputs'!$B$11)/12</f>
        <v/>
      </c>
      <c r="AQ7" s="19">
        <f>CHOOSE(ROUNDUP(AQ6/12,0),'Inputs'!$B$7,'Inputs'!$B$8,'Inputs'!$B$9,'Inputs'!$B$10,'Inputs'!$B$11)/12</f>
        <v/>
      </c>
      <c r="AR7" s="19">
        <f>CHOOSE(ROUNDUP(AR6/12,0),'Inputs'!$B$7,'Inputs'!$B$8,'Inputs'!$B$9,'Inputs'!$B$10,'Inputs'!$B$11)/12</f>
        <v/>
      </c>
      <c r="AS7" s="19">
        <f>CHOOSE(ROUNDUP(AS6/12,0),'Inputs'!$B$7,'Inputs'!$B$8,'Inputs'!$B$9,'Inputs'!$B$10,'Inputs'!$B$11)/12</f>
        <v/>
      </c>
      <c r="AT7" s="19">
        <f>CHOOSE(ROUNDUP(AT6/12,0),'Inputs'!$B$7,'Inputs'!$B$8,'Inputs'!$B$9,'Inputs'!$B$10,'Inputs'!$B$11)/12</f>
        <v/>
      </c>
      <c r="AU7" s="19">
        <f>CHOOSE(ROUNDUP(AU6/12,0),'Inputs'!$B$7,'Inputs'!$B$8,'Inputs'!$B$9,'Inputs'!$B$10,'Inputs'!$B$11)/12</f>
        <v/>
      </c>
      <c r="AV7" s="19">
        <f>CHOOSE(ROUNDUP(AV6/12,0),'Inputs'!$B$7,'Inputs'!$B$8,'Inputs'!$B$9,'Inputs'!$B$10,'Inputs'!$B$11)/12</f>
        <v/>
      </c>
      <c r="AW7" s="19">
        <f>CHOOSE(ROUNDUP(AW6/12,0),'Inputs'!$B$7,'Inputs'!$B$8,'Inputs'!$B$9,'Inputs'!$B$10,'Inputs'!$B$11)/12</f>
        <v/>
      </c>
      <c r="AX7" s="19">
        <f>CHOOSE(ROUNDUP(AX6/12,0),'Inputs'!$B$7,'Inputs'!$B$8,'Inputs'!$B$9,'Inputs'!$B$10,'Inputs'!$B$11)/12</f>
        <v/>
      </c>
      <c r="AY7" s="19">
        <f>CHOOSE(ROUNDUP(AY6/12,0),'Inputs'!$B$7,'Inputs'!$B$8,'Inputs'!$B$9,'Inputs'!$B$10,'Inputs'!$B$11)/12</f>
        <v/>
      </c>
      <c r="AZ7" s="19">
        <f>CHOOSE(ROUNDUP(AZ6/12,0),'Inputs'!$B$7,'Inputs'!$B$8,'Inputs'!$B$9,'Inputs'!$B$10,'Inputs'!$B$11)/12</f>
        <v/>
      </c>
      <c r="BA7" s="19">
        <f>CHOOSE(ROUNDUP(BA6/12,0),'Inputs'!$B$7,'Inputs'!$B$8,'Inputs'!$B$9,'Inputs'!$B$10,'Inputs'!$B$11)/12</f>
        <v/>
      </c>
      <c r="BB7" s="19">
        <f>CHOOSE(ROUNDUP(BB6/12,0),'Inputs'!$B$7,'Inputs'!$B$8,'Inputs'!$B$9,'Inputs'!$B$10,'Inputs'!$B$11)/12</f>
        <v/>
      </c>
      <c r="BC7" s="19">
        <f>CHOOSE(ROUNDUP(BC6/12,0),'Inputs'!$B$7,'Inputs'!$B$8,'Inputs'!$B$9,'Inputs'!$B$10,'Inputs'!$B$11)/12</f>
        <v/>
      </c>
      <c r="BD7" s="19">
        <f>CHOOSE(ROUNDUP(BD6/12,0),'Inputs'!$B$7,'Inputs'!$B$8,'Inputs'!$B$9,'Inputs'!$B$10,'Inputs'!$B$11)/12</f>
        <v/>
      </c>
      <c r="BE7" s="19">
        <f>CHOOSE(ROUNDUP(BE6/12,0),'Inputs'!$B$7,'Inputs'!$B$8,'Inputs'!$B$9,'Inputs'!$B$10,'Inputs'!$B$11)/12</f>
        <v/>
      </c>
      <c r="BF7" s="19">
        <f>CHOOSE(ROUNDUP(BF6/12,0),'Inputs'!$B$7,'Inputs'!$B$8,'Inputs'!$B$9,'Inputs'!$B$10,'Inputs'!$B$11)/12</f>
        <v/>
      </c>
      <c r="BG7" s="19">
        <f>CHOOSE(ROUNDUP(BG6/12,0),'Inputs'!$B$7,'Inputs'!$B$8,'Inputs'!$B$9,'Inputs'!$B$10,'Inputs'!$B$11)/12</f>
        <v/>
      </c>
      <c r="BH7" s="19">
        <f>CHOOSE(ROUNDUP(BH6/12,0),'Inputs'!$B$7,'Inputs'!$B$8,'Inputs'!$B$9,'Inputs'!$B$10,'Inputs'!$B$11)/12</f>
        <v/>
      </c>
      <c r="BI7" s="19">
        <f>CHOOSE(ROUNDUP(BI6/12,0),'Inputs'!$B$7,'Inputs'!$B$8,'Inputs'!$B$9,'Inputs'!$B$10,'Inputs'!$B$11)/12</f>
        <v/>
      </c>
    </row>
    <row r="8"/>
    <row r="9">
      <c r="A9" s="9" t="inlineStr">
        <is>
          <t>Balances</t>
        </is>
      </c>
    </row>
    <row r="10">
      <c r="A10" s="19" t="n">
        <v>1</v>
      </c>
      <c r="B10" s="19">
        <f>B$7*Per_Unit!$D$7</f>
        <v/>
      </c>
    </row>
    <row r="11">
      <c r="A11" s="19" t="n">
        <v>2</v>
      </c>
      <c r="B11" s="19">
        <f>B$7*Per_Unit!$D$8</f>
        <v/>
      </c>
      <c r="C11" s="19">
        <f>C$7*Per_Unit!$D$7</f>
        <v/>
      </c>
    </row>
    <row r="12">
      <c r="A12" s="19" t="n">
        <v>3</v>
      </c>
      <c r="B12" s="19">
        <f>B$7*Per_Unit!$D$9</f>
        <v/>
      </c>
      <c r="C12" s="19">
        <f>C$7*Per_Unit!$D$8</f>
        <v/>
      </c>
      <c r="D12" s="19">
        <f>D$7*Per_Unit!$D$7</f>
        <v/>
      </c>
    </row>
    <row r="13">
      <c r="A13" s="19" t="n">
        <v>4</v>
      </c>
      <c r="B13" s="19">
        <f>B$7*Per_Unit!$D$10</f>
        <v/>
      </c>
      <c r="C13" s="19">
        <f>C$7*Per_Unit!$D$9</f>
        <v/>
      </c>
      <c r="D13" s="19">
        <f>D$7*Per_Unit!$D$8</f>
        <v/>
      </c>
      <c r="E13" s="19">
        <f>E$7*Per_Unit!$D$7</f>
        <v/>
      </c>
    </row>
    <row r="14">
      <c r="A14" s="19" t="n">
        <v>5</v>
      </c>
      <c r="B14" s="19">
        <f>B$7*Per_Unit!$D$11</f>
        <v/>
      </c>
      <c r="C14" s="19">
        <f>C$7*Per_Unit!$D$10</f>
        <v/>
      </c>
      <c r="D14" s="19">
        <f>D$7*Per_Unit!$D$9</f>
        <v/>
      </c>
      <c r="E14" s="19">
        <f>E$7*Per_Unit!$D$8</f>
        <v/>
      </c>
      <c r="F14" s="19">
        <f>F$7*Per_Unit!$D$7</f>
        <v/>
      </c>
    </row>
    <row r="15">
      <c r="A15" s="19" t="n">
        <v>6</v>
      </c>
      <c r="B15" s="19">
        <f>B$7*Per_Unit!$D$12</f>
        <v/>
      </c>
      <c r="C15" s="19">
        <f>C$7*Per_Unit!$D$11</f>
        <v/>
      </c>
      <c r="D15" s="19">
        <f>D$7*Per_Unit!$D$10</f>
        <v/>
      </c>
      <c r="E15" s="19">
        <f>E$7*Per_Unit!$D$9</f>
        <v/>
      </c>
      <c r="F15" s="19">
        <f>F$7*Per_Unit!$D$8</f>
        <v/>
      </c>
      <c r="G15" s="19">
        <f>G$7*Per_Unit!$D$7</f>
        <v/>
      </c>
    </row>
    <row r="16">
      <c r="A16" s="19" t="n">
        <v>7</v>
      </c>
      <c r="B16" s="19">
        <f>B$7*Per_Unit!$D$13</f>
        <v/>
      </c>
      <c r="C16" s="19">
        <f>C$7*Per_Unit!$D$12</f>
        <v/>
      </c>
      <c r="D16" s="19">
        <f>D$7*Per_Unit!$D$11</f>
        <v/>
      </c>
      <c r="E16" s="19">
        <f>E$7*Per_Unit!$D$10</f>
        <v/>
      </c>
      <c r="F16" s="19">
        <f>F$7*Per_Unit!$D$9</f>
        <v/>
      </c>
      <c r="G16" s="19">
        <f>G$7*Per_Unit!$D$8</f>
        <v/>
      </c>
      <c r="H16" s="19">
        <f>H$7*Per_Unit!$D$7</f>
        <v/>
      </c>
    </row>
    <row r="17">
      <c r="A17" s="19" t="n">
        <v>8</v>
      </c>
      <c r="B17" s="19">
        <f>B$7*Per_Unit!$D$14</f>
        <v/>
      </c>
      <c r="C17" s="19">
        <f>C$7*Per_Unit!$D$13</f>
        <v/>
      </c>
      <c r="D17" s="19">
        <f>D$7*Per_Unit!$D$12</f>
        <v/>
      </c>
      <c r="E17" s="19">
        <f>E$7*Per_Unit!$D$11</f>
        <v/>
      </c>
      <c r="F17" s="19">
        <f>F$7*Per_Unit!$D$10</f>
        <v/>
      </c>
      <c r="G17" s="19">
        <f>G$7*Per_Unit!$D$9</f>
        <v/>
      </c>
      <c r="H17" s="19">
        <f>H$7*Per_Unit!$D$8</f>
        <v/>
      </c>
      <c r="I17" s="19">
        <f>I$7*Per_Unit!$D$7</f>
        <v/>
      </c>
    </row>
    <row r="18">
      <c r="A18" s="19" t="n">
        <v>9</v>
      </c>
      <c r="B18" s="19">
        <f>B$7*Per_Unit!$D$15</f>
        <v/>
      </c>
      <c r="C18" s="19">
        <f>C$7*Per_Unit!$D$14</f>
        <v/>
      </c>
      <c r="D18" s="19">
        <f>D$7*Per_Unit!$D$13</f>
        <v/>
      </c>
      <c r="E18" s="19">
        <f>E$7*Per_Unit!$D$12</f>
        <v/>
      </c>
      <c r="F18" s="19">
        <f>F$7*Per_Unit!$D$11</f>
        <v/>
      </c>
      <c r="G18" s="19">
        <f>G$7*Per_Unit!$D$10</f>
        <v/>
      </c>
      <c r="H18" s="19">
        <f>H$7*Per_Unit!$D$9</f>
        <v/>
      </c>
      <c r="I18" s="19">
        <f>I$7*Per_Unit!$D$8</f>
        <v/>
      </c>
      <c r="J18" s="19">
        <f>J$7*Per_Unit!$D$7</f>
        <v/>
      </c>
    </row>
    <row r="19">
      <c r="A19" s="19" t="n">
        <v>10</v>
      </c>
      <c r="B19" s="19">
        <f>B$7*Per_Unit!$D$16</f>
        <v/>
      </c>
      <c r="C19" s="19">
        <f>C$7*Per_Unit!$D$15</f>
        <v/>
      </c>
      <c r="D19" s="19">
        <f>D$7*Per_Unit!$D$14</f>
        <v/>
      </c>
      <c r="E19" s="19">
        <f>E$7*Per_Unit!$D$13</f>
        <v/>
      </c>
      <c r="F19" s="19">
        <f>F$7*Per_Unit!$D$12</f>
        <v/>
      </c>
      <c r="G19" s="19">
        <f>G$7*Per_Unit!$D$11</f>
        <v/>
      </c>
      <c r="H19" s="19">
        <f>H$7*Per_Unit!$D$10</f>
        <v/>
      </c>
      <c r="I19" s="19">
        <f>I$7*Per_Unit!$D$9</f>
        <v/>
      </c>
      <c r="J19" s="19">
        <f>J$7*Per_Unit!$D$8</f>
        <v/>
      </c>
      <c r="K19" s="19">
        <f>K$7*Per_Unit!$D$7</f>
        <v/>
      </c>
    </row>
    <row r="20">
      <c r="A20" s="19" t="n">
        <v>11</v>
      </c>
      <c r="B20" s="19">
        <f>B$7*Per_Unit!$D$17</f>
        <v/>
      </c>
      <c r="C20" s="19">
        <f>C$7*Per_Unit!$D$16</f>
        <v/>
      </c>
      <c r="D20" s="19">
        <f>D$7*Per_Unit!$D$15</f>
        <v/>
      </c>
      <c r="E20" s="19">
        <f>E$7*Per_Unit!$D$14</f>
        <v/>
      </c>
      <c r="F20" s="19">
        <f>F$7*Per_Unit!$D$13</f>
        <v/>
      </c>
      <c r="G20" s="19">
        <f>G$7*Per_Unit!$D$12</f>
        <v/>
      </c>
      <c r="H20" s="19">
        <f>H$7*Per_Unit!$D$11</f>
        <v/>
      </c>
      <c r="I20" s="19">
        <f>I$7*Per_Unit!$D$10</f>
        <v/>
      </c>
      <c r="J20" s="19">
        <f>J$7*Per_Unit!$D$9</f>
        <v/>
      </c>
      <c r="K20" s="19">
        <f>K$7*Per_Unit!$D$8</f>
        <v/>
      </c>
      <c r="L20" s="19">
        <f>L$7*Per_Unit!$D$7</f>
        <v/>
      </c>
    </row>
    <row r="21">
      <c r="A21" s="19" t="n">
        <v>12</v>
      </c>
      <c r="B21" s="19">
        <f>B$7*Per_Unit!$D$18</f>
        <v/>
      </c>
      <c r="C21" s="19">
        <f>C$7*Per_Unit!$D$17</f>
        <v/>
      </c>
      <c r="D21" s="19">
        <f>D$7*Per_Unit!$D$16</f>
        <v/>
      </c>
      <c r="E21" s="19">
        <f>E$7*Per_Unit!$D$15</f>
        <v/>
      </c>
      <c r="F21" s="19">
        <f>F$7*Per_Unit!$D$14</f>
        <v/>
      </c>
      <c r="G21" s="19">
        <f>G$7*Per_Unit!$D$13</f>
        <v/>
      </c>
      <c r="H21" s="19">
        <f>H$7*Per_Unit!$D$12</f>
        <v/>
      </c>
      <c r="I21" s="19">
        <f>I$7*Per_Unit!$D$11</f>
        <v/>
      </c>
      <c r="J21" s="19">
        <f>J$7*Per_Unit!$D$10</f>
        <v/>
      </c>
      <c r="K21" s="19">
        <f>K$7*Per_Unit!$D$9</f>
        <v/>
      </c>
      <c r="L21" s="19">
        <f>L$7*Per_Unit!$D$8</f>
        <v/>
      </c>
      <c r="M21" s="19">
        <f>M$7*Per_Unit!$D$7</f>
        <v/>
      </c>
    </row>
    <row r="22">
      <c r="A22" s="19" t="n">
        <v>13</v>
      </c>
      <c r="B22" s="19">
        <f>B$7*Per_Unit!$D$19</f>
        <v/>
      </c>
      <c r="C22" s="19">
        <f>C$7*Per_Unit!$D$18</f>
        <v/>
      </c>
      <c r="D22" s="19">
        <f>D$7*Per_Unit!$D$17</f>
        <v/>
      </c>
      <c r="E22" s="19">
        <f>E$7*Per_Unit!$D$16</f>
        <v/>
      </c>
      <c r="F22" s="19">
        <f>F$7*Per_Unit!$D$15</f>
        <v/>
      </c>
      <c r="G22" s="19">
        <f>G$7*Per_Unit!$D$14</f>
        <v/>
      </c>
      <c r="H22" s="19">
        <f>H$7*Per_Unit!$D$13</f>
        <v/>
      </c>
      <c r="I22" s="19">
        <f>I$7*Per_Unit!$D$12</f>
        <v/>
      </c>
      <c r="J22" s="19">
        <f>J$7*Per_Unit!$D$11</f>
        <v/>
      </c>
      <c r="K22" s="19">
        <f>K$7*Per_Unit!$D$10</f>
        <v/>
      </c>
      <c r="L22" s="19">
        <f>L$7*Per_Unit!$D$9</f>
        <v/>
      </c>
      <c r="M22" s="19">
        <f>M$7*Per_Unit!$D$8</f>
        <v/>
      </c>
      <c r="N22" s="19">
        <f>N$7*Per_Unit!$D$7</f>
        <v/>
      </c>
    </row>
    <row r="23">
      <c r="A23" s="19" t="n">
        <v>14</v>
      </c>
      <c r="B23" s="19">
        <f>B$7*Per_Unit!$D$20</f>
        <v/>
      </c>
      <c r="C23" s="19">
        <f>C$7*Per_Unit!$D$19</f>
        <v/>
      </c>
      <c r="D23" s="19">
        <f>D$7*Per_Unit!$D$18</f>
        <v/>
      </c>
      <c r="E23" s="19">
        <f>E$7*Per_Unit!$D$17</f>
        <v/>
      </c>
      <c r="F23" s="19">
        <f>F$7*Per_Unit!$D$16</f>
        <v/>
      </c>
      <c r="G23" s="19">
        <f>G$7*Per_Unit!$D$15</f>
        <v/>
      </c>
      <c r="H23" s="19">
        <f>H$7*Per_Unit!$D$14</f>
        <v/>
      </c>
      <c r="I23" s="19">
        <f>I$7*Per_Unit!$D$13</f>
        <v/>
      </c>
      <c r="J23" s="19">
        <f>J$7*Per_Unit!$D$12</f>
        <v/>
      </c>
      <c r="K23" s="19">
        <f>K$7*Per_Unit!$D$11</f>
        <v/>
      </c>
      <c r="L23" s="19">
        <f>L$7*Per_Unit!$D$10</f>
        <v/>
      </c>
      <c r="M23" s="19">
        <f>M$7*Per_Unit!$D$9</f>
        <v/>
      </c>
      <c r="N23" s="19">
        <f>N$7*Per_Unit!$D$8</f>
        <v/>
      </c>
      <c r="O23" s="19">
        <f>O$7*Per_Unit!$D$7</f>
        <v/>
      </c>
    </row>
    <row r="24">
      <c r="A24" s="19" t="n">
        <v>15</v>
      </c>
      <c r="B24" s="19">
        <f>B$7*Per_Unit!$D$21</f>
        <v/>
      </c>
      <c r="C24" s="19">
        <f>C$7*Per_Unit!$D$20</f>
        <v/>
      </c>
      <c r="D24" s="19">
        <f>D$7*Per_Unit!$D$19</f>
        <v/>
      </c>
      <c r="E24" s="19">
        <f>E$7*Per_Unit!$D$18</f>
        <v/>
      </c>
      <c r="F24" s="19">
        <f>F$7*Per_Unit!$D$17</f>
        <v/>
      </c>
      <c r="G24" s="19">
        <f>G$7*Per_Unit!$D$16</f>
        <v/>
      </c>
      <c r="H24" s="19">
        <f>H$7*Per_Unit!$D$15</f>
        <v/>
      </c>
      <c r="I24" s="19">
        <f>I$7*Per_Unit!$D$14</f>
        <v/>
      </c>
      <c r="J24" s="19">
        <f>J$7*Per_Unit!$D$13</f>
        <v/>
      </c>
      <c r="K24" s="19">
        <f>K$7*Per_Unit!$D$12</f>
        <v/>
      </c>
      <c r="L24" s="19">
        <f>L$7*Per_Unit!$D$11</f>
        <v/>
      </c>
      <c r="M24" s="19">
        <f>M$7*Per_Unit!$D$10</f>
        <v/>
      </c>
      <c r="N24" s="19">
        <f>N$7*Per_Unit!$D$9</f>
        <v/>
      </c>
      <c r="O24" s="19">
        <f>O$7*Per_Unit!$D$8</f>
        <v/>
      </c>
      <c r="P24" s="19">
        <f>P$7*Per_Unit!$D$7</f>
        <v/>
      </c>
    </row>
    <row r="25">
      <c r="A25" s="19" t="n">
        <v>16</v>
      </c>
      <c r="B25" s="19">
        <f>B$7*Per_Unit!$D$22</f>
        <v/>
      </c>
      <c r="C25" s="19">
        <f>C$7*Per_Unit!$D$21</f>
        <v/>
      </c>
      <c r="D25" s="19">
        <f>D$7*Per_Unit!$D$20</f>
        <v/>
      </c>
      <c r="E25" s="19">
        <f>E$7*Per_Unit!$D$19</f>
        <v/>
      </c>
      <c r="F25" s="19">
        <f>F$7*Per_Unit!$D$18</f>
        <v/>
      </c>
      <c r="G25" s="19">
        <f>G$7*Per_Unit!$D$17</f>
        <v/>
      </c>
      <c r="H25" s="19">
        <f>H$7*Per_Unit!$D$16</f>
        <v/>
      </c>
      <c r="I25" s="19">
        <f>I$7*Per_Unit!$D$15</f>
        <v/>
      </c>
      <c r="J25" s="19">
        <f>J$7*Per_Unit!$D$14</f>
        <v/>
      </c>
      <c r="K25" s="19">
        <f>K$7*Per_Unit!$D$13</f>
        <v/>
      </c>
      <c r="L25" s="19">
        <f>L$7*Per_Unit!$D$12</f>
        <v/>
      </c>
      <c r="M25" s="19">
        <f>M$7*Per_Unit!$D$11</f>
        <v/>
      </c>
      <c r="N25" s="19">
        <f>N$7*Per_Unit!$D$10</f>
        <v/>
      </c>
      <c r="O25" s="19">
        <f>O$7*Per_Unit!$D$9</f>
        <v/>
      </c>
      <c r="P25" s="19">
        <f>P$7*Per_Unit!$D$8</f>
        <v/>
      </c>
      <c r="Q25" s="19">
        <f>Q$7*Per_Unit!$D$7</f>
        <v/>
      </c>
    </row>
    <row r="26">
      <c r="A26" s="19" t="n">
        <v>17</v>
      </c>
      <c r="B26" s="19">
        <f>B$7*Per_Unit!$D$23</f>
        <v/>
      </c>
      <c r="C26" s="19">
        <f>C$7*Per_Unit!$D$22</f>
        <v/>
      </c>
      <c r="D26" s="19">
        <f>D$7*Per_Unit!$D$21</f>
        <v/>
      </c>
      <c r="E26" s="19">
        <f>E$7*Per_Unit!$D$20</f>
        <v/>
      </c>
      <c r="F26" s="19">
        <f>F$7*Per_Unit!$D$19</f>
        <v/>
      </c>
      <c r="G26" s="19">
        <f>G$7*Per_Unit!$D$18</f>
        <v/>
      </c>
      <c r="H26" s="19">
        <f>H$7*Per_Unit!$D$17</f>
        <v/>
      </c>
      <c r="I26" s="19">
        <f>I$7*Per_Unit!$D$16</f>
        <v/>
      </c>
      <c r="J26" s="19">
        <f>J$7*Per_Unit!$D$15</f>
        <v/>
      </c>
      <c r="K26" s="19">
        <f>K$7*Per_Unit!$D$14</f>
        <v/>
      </c>
      <c r="L26" s="19">
        <f>L$7*Per_Unit!$D$13</f>
        <v/>
      </c>
      <c r="M26" s="19">
        <f>M$7*Per_Unit!$D$12</f>
        <v/>
      </c>
      <c r="N26" s="19">
        <f>N$7*Per_Unit!$D$11</f>
        <v/>
      </c>
      <c r="O26" s="19">
        <f>O$7*Per_Unit!$D$10</f>
        <v/>
      </c>
      <c r="P26" s="19">
        <f>P$7*Per_Unit!$D$9</f>
        <v/>
      </c>
      <c r="Q26" s="19">
        <f>Q$7*Per_Unit!$D$8</f>
        <v/>
      </c>
      <c r="R26" s="19">
        <f>R$7*Per_Unit!$D$7</f>
        <v/>
      </c>
    </row>
    <row r="27">
      <c r="A27" s="19" t="n">
        <v>18</v>
      </c>
      <c r="B27" s="19">
        <f>B$7*Per_Unit!$D$24</f>
        <v/>
      </c>
      <c r="C27" s="19">
        <f>C$7*Per_Unit!$D$23</f>
        <v/>
      </c>
      <c r="D27" s="19">
        <f>D$7*Per_Unit!$D$22</f>
        <v/>
      </c>
      <c r="E27" s="19">
        <f>E$7*Per_Unit!$D$21</f>
        <v/>
      </c>
      <c r="F27" s="19">
        <f>F$7*Per_Unit!$D$20</f>
        <v/>
      </c>
      <c r="G27" s="19">
        <f>G$7*Per_Unit!$D$19</f>
        <v/>
      </c>
      <c r="H27" s="19">
        <f>H$7*Per_Unit!$D$18</f>
        <v/>
      </c>
      <c r="I27" s="19">
        <f>I$7*Per_Unit!$D$17</f>
        <v/>
      </c>
      <c r="J27" s="19">
        <f>J$7*Per_Unit!$D$16</f>
        <v/>
      </c>
      <c r="K27" s="19">
        <f>K$7*Per_Unit!$D$15</f>
        <v/>
      </c>
      <c r="L27" s="19">
        <f>L$7*Per_Unit!$D$14</f>
        <v/>
      </c>
      <c r="M27" s="19">
        <f>M$7*Per_Unit!$D$13</f>
        <v/>
      </c>
      <c r="N27" s="19">
        <f>N$7*Per_Unit!$D$12</f>
        <v/>
      </c>
      <c r="O27" s="19">
        <f>O$7*Per_Unit!$D$11</f>
        <v/>
      </c>
      <c r="P27" s="19">
        <f>P$7*Per_Unit!$D$10</f>
        <v/>
      </c>
      <c r="Q27" s="19">
        <f>Q$7*Per_Unit!$D$9</f>
        <v/>
      </c>
      <c r="R27" s="19">
        <f>R$7*Per_Unit!$D$8</f>
        <v/>
      </c>
      <c r="S27" s="19">
        <f>S$7*Per_Unit!$D$7</f>
        <v/>
      </c>
    </row>
    <row r="28">
      <c r="A28" s="19" t="n">
        <v>19</v>
      </c>
      <c r="B28" s="19">
        <f>B$7*Per_Unit!$D$25</f>
        <v/>
      </c>
      <c r="C28" s="19">
        <f>C$7*Per_Unit!$D$24</f>
        <v/>
      </c>
      <c r="D28" s="19">
        <f>D$7*Per_Unit!$D$23</f>
        <v/>
      </c>
      <c r="E28" s="19">
        <f>E$7*Per_Unit!$D$22</f>
        <v/>
      </c>
      <c r="F28" s="19">
        <f>F$7*Per_Unit!$D$21</f>
        <v/>
      </c>
      <c r="G28" s="19">
        <f>G$7*Per_Unit!$D$20</f>
        <v/>
      </c>
      <c r="H28" s="19">
        <f>H$7*Per_Unit!$D$19</f>
        <v/>
      </c>
      <c r="I28" s="19">
        <f>I$7*Per_Unit!$D$18</f>
        <v/>
      </c>
      <c r="J28" s="19">
        <f>J$7*Per_Unit!$D$17</f>
        <v/>
      </c>
      <c r="K28" s="19">
        <f>K$7*Per_Unit!$D$16</f>
        <v/>
      </c>
      <c r="L28" s="19">
        <f>L$7*Per_Unit!$D$15</f>
        <v/>
      </c>
      <c r="M28" s="19">
        <f>M$7*Per_Unit!$D$14</f>
        <v/>
      </c>
      <c r="N28" s="19">
        <f>N$7*Per_Unit!$D$13</f>
        <v/>
      </c>
      <c r="O28" s="19">
        <f>O$7*Per_Unit!$D$12</f>
        <v/>
      </c>
      <c r="P28" s="19">
        <f>P$7*Per_Unit!$D$11</f>
        <v/>
      </c>
      <c r="Q28" s="19">
        <f>Q$7*Per_Unit!$D$10</f>
        <v/>
      </c>
      <c r="R28" s="19">
        <f>R$7*Per_Unit!$D$9</f>
        <v/>
      </c>
      <c r="S28" s="19">
        <f>S$7*Per_Unit!$D$8</f>
        <v/>
      </c>
      <c r="T28" s="19">
        <f>T$7*Per_Unit!$D$7</f>
        <v/>
      </c>
    </row>
    <row r="29">
      <c r="A29" s="19" t="n">
        <v>20</v>
      </c>
      <c r="B29" s="19">
        <f>B$7*Per_Unit!$D$26</f>
        <v/>
      </c>
      <c r="C29" s="19">
        <f>C$7*Per_Unit!$D$25</f>
        <v/>
      </c>
      <c r="D29" s="19">
        <f>D$7*Per_Unit!$D$24</f>
        <v/>
      </c>
      <c r="E29" s="19">
        <f>E$7*Per_Unit!$D$23</f>
        <v/>
      </c>
      <c r="F29" s="19">
        <f>F$7*Per_Unit!$D$22</f>
        <v/>
      </c>
      <c r="G29" s="19">
        <f>G$7*Per_Unit!$D$21</f>
        <v/>
      </c>
      <c r="H29" s="19">
        <f>H$7*Per_Unit!$D$20</f>
        <v/>
      </c>
      <c r="I29" s="19">
        <f>I$7*Per_Unit!$D$19</f>
        <v/>
      </c>
      <c r="J29" s="19">
        <f>J$7*Per_Unit!$D$18</f>
        <v/>
      </c>
      <c r="K29" s="19">
        <f>K$7*Per_Unit!$D$17</f>
        <v/>
      </c>
      <c r="L29" s="19">
        <f>L$7*Per_Unit!$D$16</f>
        <v/>
      </c>
      <c r="M29" s="19">
        <f>M$7*Per_Unit!$D$15</f>
        <v/>
      </c>
      <c r="N29" s="19">
        <f>N$7*Per_Unit!$D$14</f>
        <v/>
      </c>
      <c r="O29" s="19">
        <f>O$7*Per_Unit!$D$13</f>
        <v/>
      </c>
      <c r="P29" s="19">
        <f>P$7*Per_Unit!$D$12</f>
        <v/>
      </c>
      <c r="Q29" s="19">
        <f>Q$7*Per_Unit!$D$11</f>
        <v/>
      </c>
      <c r="R29" s="19">
        <f>R$7*Per_Unit!$D$10</f>
        <v/>
      </c>
      <c r="S29" s="19">
        <f>S$7*Per_Unit!$D$9</f>
        <v/>
      </c>
      <c r="T29" s="19">
        <f>T$7*Per_Unit!$D$8</f>
        <v/>
      </c>
      <c r="U29" s="19">
        <f>U$7*Per_Unit!$D$7</f>
        <v/>
      </c>
    </row>
    <row r="30">
      <c r="A30" s="19" t="n">
        <v>21</v>
      </c>
      <c r="B30" s="19">
        <f>B$7*Per_Unit!$D$27</f>
        <v/>
      </c>
      <c r="C30" s="19">
        <f>C$7*Per_Unit!$D$26</f>
        <v/>
      </c>
      <c r="D30" s="19">
        <f>D$7*Per_Unit!$D$25</f>
        <v/>
      </c>
      <c r="E30" s="19">
        <f>E$7*Per_Unit!$D$24</f>
        <v/>
      </c>
      <c r="F30" s="19">
        <f>F$7*Per_Unit!$D$23</f>
        <v/>
      </c>
      <c r="G30" s="19">
        <f>G$7*Per_Unit!$D$22</f>
        <v/>
      </c>
      <c r="H30" s="19">
        <f>H$7*Per_Unit!$D$21</f>
        <v/>
      </c>
      <c r="I30" s="19">
        <f>I$7*Per_Unit!$D$20</f>
        <v/>
      </c>
      <c r="J30" s="19">
        <f>J$7*Per_Unit!$D$19</f>
        <v/>
      </c>
      <c r="K30" s="19">
        <f>K$7*Per_Unit!$D$18</f>
        <v/>
      </c>
      <c r="L30" s="19">
        <f>L$7*Per_Unit!$D$17</f>
        <v/>
      </c>
      <c r="M30" s="19">
        <f>M$7*Per_Unit!$D$16</f>
        <v/>
      </c>
      <c r="N30" s="19">
        <f>N$7*Per_Unit!$D$15</f>
        <v/>
      </c>
      <c r="O30" s="19">
        <f>O$7*Per_Unit!$D$14</f>
        <v/>
      </c>
      <c r="P30" s="19">
        <f>P$7*Per_Unit!$D$13</f>
        <v/>
      </c>
      <c r="Q30" s="19">
        <f>Q$7*Per_Unit!$D$12</f>
        <v/>
      </c>
      <c r="R30" s="19">
        <f>R$7*Per_Unit!$D$11</f>
        <v/>
      </c>
      <c r="S30" s="19">
        <f>S$7*Per_Unit!$D$10</f>
        <v/>
      </c>
      <c r="T30" s="19">
        <f>T$7*Per_Unit!$D$9</f>
        <v/>
      </c>
      <c r="U30" s="19">
        <f>U$7*Per_Unit!$D$8</f>
        <v/>
      </c>
      <c r="V30" s="19">
        <f>V$7*Per_Unit!$D$7</f>
        <v/>
      </c>
    </row>
    <row r="31">
      <c r="A31" s="19" t="n">
        <v>22</v>
      </c>
      <c r="B31" s="19">
        <f>B$7*Per_Unit!$D$28</f>
        <v/>
      </c>
      <c r="C31" s="19">
        <f>C$7*Per_Unit!$D$27</f>
        <v/>
      </c>
      <c r="D31" s="19">
        <f>D$7*Per_Unit!$D$26</f>
        <v/>
      </c>
      <c r="E31" s="19">
        <f>E$7*Per_Unit!$D$25</f>
        <v/>
      </c>
      <c r="F31" s="19">
        <f>F$7*Per_Unit!$D$24</f>
        <v/>
      </c>
      <c r="G31" s="19">
        <f>G$7*Per_Unit!$D$23</f>
        <v/>
      </c>
      <c r="H31" s="19">
        <f>H$7*Per_Unit!$D$22</f>
        <v/>
      </c>
      <c r="I31" s="19">
        <f>I$7*Per_Unit!$D$21</f>
        <v/>
      </c>
      <c r="J31" s="19">
        <f>J$7*Per_Unit!$D$20</f>
        <v/>
      </c>
      <c r="K31" s="19">
        <f>K$7*Per_Unit!$D$19</f>
        <v/>
      </c>
      <c r="L31" s="19">
        <f>L$7*Per_Unit!$D$18</f>
        <v/>
      </c>
      <c r="M31" s="19">
        <f>M$7*Per_Unit!$D$17</f>
        <v/>
      </c>
      <c r="N31" s="19">
        <f>N$7*Per_Unit!$D$16</f>
        <v/>
      </c>
      <c r="O31" s="19">
        <f>O$7*Per_Unit!$D$15</f>
        <v/>
      </c>
      <c r="P31" s="19">
        <f>P$7*Per_Unit!$D$14</f>
        <v/>
      </c>
      <c r="Q31" s="19">
        <f>Q$7*Per_Unit!$D$13</f>
        <v/>
      </c>
      <c r="R31" s="19">
        <f>R$7*Per_Unit!$D$12</f>
        <v/>
      </c>
      <c r="S31" s="19">
        <f>S$7*Per_Unit!$D$11</f>
        <v/>
      </c>
      <c r="T31" s="19">
        <f>T$7*Per_Unit!$D$10</f>
        <v/>
      </c>
      <c r="U31" s="19">
        <f>U$7*Per_Unit!$D$9</f>
        <v/>
      </c>
      <c r="V31" s="19">
        <f>V$7*Per_Unit!$D$8</f>
        <v/>
      </c>
      <c r="W31" s="19">
        <f>W$7*Per_Unit!$D$7</f>
        <v/>
      </c>
    </row>
    <row r="32">
      <c r="A32" s="19" t="n">
        <v>23</v>
      </c>
      <c r="B32" s="19">
        <f>B$7*Per_Unit!$D$29</f>
        <v/>
      </c>
      <c r="C32" s="19">
        <f>C$7*Per_Unit!$D$28</f>
        <v/>
      </c>
      <c r="D32" s="19">
        <f>D$7*Per_Unit!$D$27</f>
        <v/>
      </c>
      <c r="E32" s="19">
        <f>E$7*Per_Unit!$D$26</f>
        <v/>
      </c>
      <c r="F32" s="19">
        <f>F$7*Per_Unit!$D$25</f>
        <v/>
      </c>
      <c r="G32" s="19">
        <f>G$7*Per_Unit!$D$24</f>
        <v/>
      </c>
      <c r="H32" s="19">
        <f>H$7*Per_Unit!$D$23</f>
        <v/>
      </c>
      <c r="I32" s="19">
        <f>I$7*Per_Unit!$D$22</f>
        <v/>
      </c>
      <c r="J32" s="19">
        <f>J$7*Per_Unit!$D$21</f>
        <v/>
      </c>
      <c r="K32" s="19">
        <f>K$7*Per_Unit!$D$20</f>
        <v/>
      </c>
      <c r="L32" s="19">
        <f>L$7*Per_Unit!$D$19</f>
        <v/>
      </c>
      <c r="M32" s="19">
        <f>M$7*Per_Unit!$D$18</f>
        <v/>
      </c>
      <c r="N32" s="19">
        <f>N$7*Per_Unit!$D$17</f>
        <v/>
      </c>
      <c r="O32" s="19">
        <f>O$7*Per_Unit!$D$16</f>
        <v/>
      </c>
      <c r="P32" s="19">
        <f>P$7*Per_Unit!$D$15</f>
        <v/>
      </c>
      <c r="Q32" s="19">
        <f>Q$7*Per_Unit!$D$14</f>
        <v/>
      </c>
      <c r="R32" s="19">
        <f>R$7*Per_Unit!$D$13</f>
        <v/>
      </c>
      <c r="S32" s="19">
        <f>S$7*Per_Unit!$D$12</f>
        <v/>
      </c>
      <c r="T32" s="19">
        <f>T$7*Per_Unit!$D$11</f>
        <v/>
      </c>
      <c r="U32" s="19">
        <f>U$7*Per_Unit!$D$10</f>
        <v/>
      </c>
      <c r="V32" s="19">
        <f>V$7*Per_Unit!$D$9</f>
        <v/>
      </c>
      <c r="W32" s="19">
        <f>W$7*Per_Unit!$D$8</f>
        <v/>
      </c>
      <c r="X32" s="19">
        <f>X$7*Per_Unit!$D$7</f>
        <v/>
      </c>
    </row>
    <row r="33">
      <c r="A33" s="19" t="n">
        <v>24</v>
      </c>
      <c r="B33" s="19">
        <f>B$7*Per_Unit!$D$30</f>
        <v/>
      </c>
      <c r="C33" s="19">
        <f>C$7*Per_Unit!$D$29</f>
        <v/>
      </c>
      <c r="D33" s="19">
        <f>D$7*Per_Unit!$D$28</f>
        <v/>
      </c>
      <c r="E33" s="19">
        <f>E$7*Per_Unit!$D$27</f>
        <v/>
      </c>
      <c r="F33" s="19">
        <f>F$7*Per_Unit!$D$26</f>
        <v/>
      </c>
      <c r="G33" s="19">
        <f>G$7*Per_Unit!$D$25</f>
        <v/>
      </c>
      <c r="H33" s="19">
        <f>H$7*Per_Unit!$D$24</f>
        <v/>
      </c>
      <c r="I33" s="19">
        <f>I$7*Per_Unit!$D$23</f>
        <v/>
      </c>
      <c r="J33" s="19">
        <f>J$7*Per_Unit!$D$22</f>
        <v/>
      </c>
      <c r="K33" s="19">
        <f>K$7*Per_Unit!$D$21</f>
        <v/>
      </c>
      <c r="L33" s="19">
        <f>L$7*Per_Unit!$D$20</f>
        <v/>
      </c>
      <c r="M33" s="19">
        <f>M$7*Per_Unit!$D$19</f>
        <v/>
      </c>
      <c r="N33" s="19">
        <f>N$7*Per_Unit!$D$18</f>
        <v/>
      </c>
      <c r="O33" s="19">
        <f>O$7*Per_Unit!$D$17</f>
        <v/>
      </c>
      <c r="P33" s="19">
        <f>P$7*Per_Unit!$D$16</f>
        <v/>
      </c>
      <c r="Q33" s="19">
        <f>Q$7*Per_Unit!$D$15</f>
        <v/>
      </c>
      <c r="R33" s="19">
        <f>R$7*Per_Unit!$D$14</f>
        <v/>
      </c>
      <c r="S33" s="19">
        <f>S$7*Per_Unit!$D$13</f>
        <v/>
      </c>
      <c r="T33" s="19">
        <f>T$7*Per_Unit!$D$12</f>
        <v/>
      </c>
      <c r="U33" s="19">
        <f>U$7*Per_Unit!$D$11</f>
        <v/>
      </c>
      <c r="V33" s="19">
        <f>V$7*Per_Unit!$D$10</f>
        <v/>
      </c>
      <c r="W33" s="19">
        <f>W$7*Per_Unit!$D$9</f>
        <v/>
      </c>
      <c r="X33" s="19">
        <f>X$7*Per_Unit!$D$8</f>
        <v/>
      </c>
      <c r="Y33" s="19">
        <f>Y$7*Per_Unit!$D$7</f>
        <v/>
      </c>
    </row>
    <row r="34">
      <c r="A34" s="19" t="n">
        <v>25</v>
      </c>
      <c r="B34" s="19">
        <f>B$7*Per_Unit!$D$31</f>
        <v/>
      </c>
      <c r="C34" s="19">
        <f>C$7*Per_Unit!$D$30</f>
        <v/>
      </c>
      <c r="D34" s="19">
        <f>D$7*Per_Unit!$D$29</f>
        <v/>
      </c>
      <c r="E34" s="19">
        <f>E$7*Per_Unit!$D$28</f>
        <v/>
      </c>
      <c r="F34" s="19">
        <f>F$7*Per_Unit!$D$27</f>
        <v/>
      </c>
      <c r="G34" s="19">
        <f>G$7*Per_Unit!$D$26</f>
        <v/>
      </c>
      <c r="H34" s="19">
        <f>H$7*Per_Unit!$D$25</f>
        <v/>
      </c>
      <c r="I34" s="19">
        <f>I$7*Per_Unit!$D$24</f>
        <v/>
      </c>
      <c r="J34" s="19">
        <f>J$7*Per_Unit!$D$23</f>
        <v/>
      </c>
      <c r="K34" s="19">
        <f>K$7*Per_Unit!$D$22</f>
        <v/>
      </c>
      <c r="L34" s="19">
        <f>L$7*Per_Unit!$D$21</f>
        <v/>
      </c>
      <c r="M34" s="19">
        <f>M$7*Per_Unit!$D$20</f>
        <v/>
      </c>
      <c r="N34" s="19">
        <f>N$7*Per_Unit!$D$19</f>
        <v/>
      </c>
      <c r="O34" s="19">
        <f>O$7*Per_Unit!$D$18</f>
        <v/>
      </c>
      <c r="P34" s="19">
        <f>P$7*Per_Unit!$D$17</f>
        <v/>
      </c>
      <c r="Q34" s="19">
        <f>Q$7*Per_Unit!$D$16</f>
        <v/>
      </c>
      <c r="R34" s="19">
        <f>R$7*Per_Unit!$D$15</f>
        <v/>
      </c>
      <c r="S34" s="19">
        <f>S$7*Per_Unit!$D$14</f>
        <v/>
      </c>
      <c r="T34" s="19">
        <f>T$7*Per_Unit!$D$13</f>
        <v/>
      </c>
      <c r="U34" s="19">
        <f>U$7*Per_Unit!$D$12</f>
        <v/>
      </c>
      <c r="V34" s="19">
        <f>V$7*Per_Unit!$D$11</f>
        <v/>
      </c>
      <c r="W34" s="19">
        <f>W$7*Per_Unit!$D$10</f>
        <v/>
      </c>
      <c r="X34" s="19">
        <f>X$7*Per_Unit!$D$9</f>
        <v/>
      </c>
      <c r="Y34" s="19">
        <f>Y$7*Per_Unit!$D$8</f>
        <v/>
      </c>
      <c r="Z34" s="19">
        <f>Z$7*Per_Unit!$D$7</f>
        <v/>
      </c>
    </row>
    <row r="35">
      <c r="A35" s="19" t="n">
        <v>26</v>
      </c>
      <c r="B35" s="19">
        <f>B$7*Per_Unit!$D$32</f>
        <v/>
      </c>
      <c r="C35" s="19">
        <f>C$7*Per_Unit!$D$31</f>
        <v/>
      </c>
      <c r="D35" s="19">
        <f>D$7*Per_Unit!$D$30</f>
        <v/>
      </c>
      <c r="E35" s="19">
        <f>E$7*Per_Unit!$D$29</f>
        <v/>
      </c>
      <c r="F35" s="19">
        <f>F$7*Per_Unit!$D$28</f>
        <v/>
      </c>
      <c r="G35" s="19">
        <f>G$7*Per_Unit!$D$27</f>
        <v/>
      </c>
      <c r="H35" s="19">
        <f>H$7*Per_Unit!$D$26</f>
        <v/>
      </c>
      <c r="I35" s="19">
        <f>I$7*Per_Unit!$D$25</f>
        <v/>
      </c>
      <c r="J35" s="19">
        <f>J$7*Per_Unit!$D$24</f>
        <v/>
      </c>
      <c r="K35" s="19">
        <f>K$7*Per_Unit!$D$23</f>
        <v/>
      </c>
      <c r="L35" s="19">
        <f>L$7*Per_Unit!$D$22</f>
        <v/>
      </c>
      <c r="M35" s="19">
        <f>M$7*Per_Unit!$D$21</f>
        <v/>
      </c>
      <c r="N35" s="19">
        <f>N$7*Per_Unit!$D$20</f>
        <v/>
      </c>
      <c r="O35" s="19">
        <f>O$7*Per_Unit!$D$19</f>
        <v/>
      </c>
      <c r="P35" s="19">
        <f>P$7*Per_Unit!$D$18</f>
        <v/>
      </c>
      <c r="Q35" s="19">
        <f>Q$7*Per_Unit!$D$17</f>
        <v/>
      </c>
      <c r="R35" s="19">
        <f>R$7*Per_Unit!$D$16</f>
        <v/>
      </c>
      <c r="S35" s="19">
        <f>S$7*Per_Unit!$D$15</f>
        <v/>
      </c>
      <c r="T35" s="19">
        <f>T$7*Per_Unit!$D$14</f>
        <v/>
      </c>
      <c r="U35" s="19">
        <f>U$7*Per_Unit!$D$13</f>
        <v/>
      </c>
      <c r="V35" s="19">
        <f>V$7*Per_Unit!$D$12</f>
        <v/>
      </c>
      <c r="W35" s="19">
        <f>W$7*Per_Unit!$D$11</f>
        <v/>
      </c>
      <c r="X35" s="19">
        <f>X$7*Per_Unit!$D$10</f>
        <v/>
      </c>
      <c r="Y35" s="19">
        <f>Y$7*Per_Unit!$D$9</f>
        <v/>
      </c>
      <c r="Z35" s="19">
        <f>Z$7*Per_Unit!$D$8</f>
        <v/>
      </c>
      <c r="AA35" s="19">
        <f>AA$7*Per_Unit!$D$7</f>
        <v/>
      </c>
    </row>
    <row r="36">
      <c r="A36" s="19" t="n">
        <v>27</v>
      </c>
      <c r="B36" s="19">
        <f>B$7*Per_Unit!$D$33</f>
        <v/>
      </c>
      <c r="C36" s="19">
        <f>C$7*Per_Unit!$D$32</f>
        <v/>
      </c>
      <c r="D36" s="19">
        <f>D$7*Per_Unit!$D$31</f>
        <v/>
      </c>
      <c r="E36" s="19">
        <f>E$7*Per_Unit!$D$30</f>
        <v/>
      </c>
      <c r="F36" s="19">
        <f>F$7*Per_Unit!$D$29</f>
        <v/>
      </c>
      <c r="G36" s="19">
        <f>G$7*Per_Unit!$D$28</f>
        <v/>
      </c>
      <c r="H36" s="19">
        <f>H$7*Per_Unit!$D$27</f>
        <v/>
      </c>
      <c r="I36" s="19">
        <f>I$7*Per_Unit!$D$26</f>
        <v/>
      </c>
      <c r="J36" s="19">
        <f>J$7*Per_Unit!$D$25</f>
        <v/>
      </c>
      <c r="K36" s="19">
        <f>K$7*Per_Unit!$D$24</f>
        <v/>
      </c>
      <c r="L36" s="19">
        <f>L$7*Per_Unit!$D$23</f>
        <v/>
      </c>
      <c r="M36" s="19">
        <f>M$7*Per_Unit!$D$22</f>
        <v/>
      </c>
      <c r="N36" s="19">
        <f>N$7*Per_Unit!$D$21</f>
        <v/>
      </c>
      <c r="O36" s="19">
        <f>O$7*Per_Unit!$D$20</f>
        <v/>
      </c>
      <c r="P36" s="19">
        <f>P$7*Per_Unit!$D$19</f>
        <v/>
      </c>
      <c r="Q36" s="19">
        <f>Q$7*Per_Unit!$D$18</f>
        <v/>
      </c>
      <c r="R36" s="19">
        <f>R$7*Per_Unit!$D$17</f>
        <v/>
      </c>
      <c r="S36" s="19">
        <f>S$7*Per_Unit!$D$16</f>
        <v/>
      </c>
      <c r="T36" s="19">
        <f>T$7*Per_Unit!$D$15</f>
        <v/>
      </c>
      <c r="U36" s="19">
        <f>U$7*Per_Unit!$D$14</f>
        <v/>
      </c>
      <c r="V36" s="19">
        <f>V$7*Per_Unit!$D$13</f>
        <v/>
      </c>
      <c r="W36" s="19">
        <f>W$7*Per_Unit!$D$12</f>
        <v/>
      </c>
      <c r="X36" s="19">
        <f>X$7*Per_Unit!$D$11</f>
        <v/>
      </c>
      <c r="Y36" s="19">
        <f>Y$7*Per_Unit!$D$10</f>
        <v/>
      </c>
      <c r="Z36" s="19">
        <f>Z$7*Per_Unit!$D$9</f>
        <v/>
      </c>
      <c r="AA36" s="19">
        <f>AA$7*Per_Unit!$D$8</f>
        <v/>
      </c>
      <c r="AB36" s="19">
        <f>AB$7*Per_Unit!$D$7</f>
        <v/>
      </c>
    </row>
    <row r="37">
      <c r="A37" s="19" t="n">
        <v>28</v>
      </c>
      <c r="B37" s="19">
        <f>B$7*Per_Unit!$D$34</f>
        <v/>
      </c>
      <c r="C37" s="19">
        <f>C$7*Per_Unit!$D$33</f>
        <v/>
      </c>
      <c r="D37" s="19">
        <f>D$7*Per_Unit!$D$32</f>
        <v/>
      </c>
      <c r="E37" s="19">
        <f>E$7*Per_Unit!$D$31</f>
        <v/>
      </c>
      <c r="F37" s="19">
        <f>F$7*Per_Unit!$D$30</f>
        <v/>
      </c>
      <c r="G37" s="19">
        <f>G$7*Per_Unit!$D$29</f>
        <v/>
      </c>
      <c r="H37" s="19">
        <f>H$7*Per_Unit!$D$28</f>
        <v/>
      </c>
      <c r="I37" s="19">
        <f>I$7*Per_Unit!$D$27</f>
        <v/>
      </c>
      <c r="J37" s="19">
        <f>J$7*Per_Unit!$D$26</f>
        <v/>
      </c>
      <c r="K37" s="19">
        <f>K$7*Per_Unit!$D$25</f>
        <v/>
      </c>
      <c r="L37" s="19">
        <f>L$7*Per_Unit!$D$24</f>
        <v/>
      </c>
      <c r="M37" s="19">
        <f>M$7*Per_Unit!$D$23</f>
        <v/>
      </c>
      <c r="N37" s="19">
        <f>N$7*Per_Unit!$D$22</f>
        <v/>
      </c>
      <c r="O37" s="19">
        <f>O$7*Per_Unit!$D$21</f>
        <v/>
      </c>
      <c r="P37" s="19">
        <f>P$7*Per_Unit!$D$20</f>
        <v/>
      </c>
      <c r="Q37" s="19">
        <f>Q$7*Per_Unit!$D$19</f>
        <v/>
      </c>
      <c r="R37" s="19">
        <f>R$7*Per_Unit!$D$18</f>
        <v/>
      </c>
      <c r="S37" s="19">
        <f>S$7*Per_Unit!$D$17</f>
        <v/>
      </c>
      <c r="T37" s="19">
        <f>T$7*Per_Unit!$D$16</f>
        <v/>
      </c>
      <c r="U37" s="19">
        <f>U$7*Per_Unit!$D$15</f>
        <v/>
      </c>
      <c r="V37" s="19">
        <f>V$7*Per_Unit!$D$14</f>
        <v/>
      </c>
      <c r="W37" s="19">
        <f>W$7*Per_Unit!$D$13</f>
        <v/>
      </c>
      <c r="X37" s="19">
        <f>X$7*Per_Unit!$D$12</f>
        <v/>
      </c>
      <c r="Y37" s="19">
        <f>Y$7*Per_Unit!$D$11</f>
        <v/>
      </c>
      <c r="Z37" s="19">
        <f>Z$7*Per_Unit!$D$10</f>
        <v/>
      </c>
      <c r="AA37" s="19">
        <f>AA$7*Per_Unit!$D$9</f>
        <v/>
      </c>
      <c r="AB37" s="19">
        <f>AB$7*Per_Unit!$D$8</f>
        <v/>
      </c>
      <c r="AC37" s="19">
        <f>AC$7*Per_Unit!$D$7</f>
        <v/>
      </c>
    </row>
    <row r="38">
      <c r="A38" s="19" t="n">
        <v>29</v>
      </c>
      <c r="B38" s="19">
        <f>B$7*Per_Unit!$D$35</f>
        <v/>
      </c>
      <c r="C38" s="19">
        <f>C$7*Per_Unit!$D$34</f>
        <v/>
      </c>
      <c r="D38" s="19">
        <f>D$7*Per_Unit!$D$33</f>
        <v/>
      </c>
      <c r="E38" s="19">
        <f>E$7*Per_Unit!$D$32</f>
        <v/>
      </c>
      <c r="F38" s="19">
        <f>F$7*Per_Unit!$D$31</f>
        <v/>
      </c>
      <c r="G38" s="19">
        <f>G$7*Per_Unit!$D$30</f>
        <v/>
      </c>
      <c r="H38" s="19">
        <f>H$7*Per_Unit!$D$29</f>
        <v/>
      </c>
      <c r="I38" s="19">
        <f>I$7*Per_Unit!$D$28</f>
        <v/>
      </c>
      <c r="J38" s="19">
        <f>J$7*Per_Unit!$D$27</f>
        <v/>
      </c>
      <c r="K38" s="19">
        <f>K$7*Per_Unit!$D$26</f>
        <v/>
      </c>
      <c r="L38" s="19">
        <f>L$7*Per_Unit!$D$25</f>
        <v/>
      </c>
      <c r="M38" s="19">
        <f>M$7*Per_Unit!$D$24</f>
        <v/>
      </c>
      <c r="N38" s="19">
        <f>N$7*Per_Unit!$D$23</f>
        <v/>
      </c>
      <c r="O38" s="19">
        <f>O$7*Per_Unit!$D$22</f>
        <v/>
      </c>
      <c r="P38" s="19">
        <f>P$7*Per_Unit!$D$21</f>
        <v/>
      </c>
      <c r="Q38" s="19">
        <f>Q$7*Per_Unit!$D$20</f>
        <v/>
      </c>
      <c r="R38" s="19">
        <f>R$7*Per_Unit!$D$19</f>
        <v/>
      </c>
      <c r="S38" s="19">
        <f>S$7*Per_Unit!$D$18</f>
        <v/>
      </c>
      <c r="T38" s="19">
        <f>T$7*Per_Unit!$D$17</f>
        <v/>
      </c>
      <c r="U38" s="19">
        <f>U$7*Per_Unit!$D$16</f>
        <v/>
      </c>
      <c r="V38" s="19">
        <f>V$7*Per_Unit!$D$15</f>
        <v/>
      </c>
      <c r="W38" s="19">
        <f>W$7*Per_Unit!$D$14</f>
        <v/>
      </c>
      <c r="X38" s="19">
        <f>X$7*Per_Unit!$D$13</f>
        <v/>
      </c>
      <c r="Y38" s="19">
        <f>Y$7*Per_Unit!$D$12</f>
        <v/>
      </c>
      <c r="Z38" s="19">
        <f>Z$7*Per_Unit!$D$11</f>
        <v/>
      </c>
      <c r="AA38" s="19">
        <f>AA$7*Per_Unit!$D$10</f>
        <v/>
      </c>
      <c r="AB38" s="19">
        <f>AB$7*Per_Unit!$D$9</f>
        <v/>
      </c>
      <c r="AC38" s="19">
        <f>AC$7*Per_Unit!$D$8</f>
        <v/>
      </c>
      <c r="AD38" s="19">
        <f>AD$7*Per_Unit!$D$7</f>
        <v/>
      </c>
    </row>
    <row r="39">
      <c r="A39" s="19" t="n">
        <v>30</v>
      </c>
      <c r="B39" s="19">
        <f>B$7*Per_Unit!$D$36</f>
        <v/>
      </c>
      <c r="C39" s="19">
        <f>C$7*Per_Unit!$D$35</f>
        <v/>
      </c>
      <c r="D39" s="19">
        <f>D$7*Per_Unit!$D$34</f>
        <v/>
      </c>
      <c r="E39" s="19">
        <f>E$7*Per_Unit!$D$33</f>
        <v/>
      </c>
      <c r="F39" s="19">
        <f>F$7*Per_Unit!$D$32</f>
        <v/>
      </c>
      <c r="G39" s="19">
        <f>G$7*Per_Unit!$D$31</f>
        <v/>
      </c>
      <c r="H39" s="19">
        <f>H$7*Per_Unit!$D$30</f>
        <v/>
      </c>
      <c r="I39" s="19">
        <f>I$7*Per_Unit!$D$29</f>
        <v/>
      </c>
      <c r="J39" s="19">
        <f>J$7*Per_Unit!$D$28</f>
        <v/>
      </c>
      <c r="K39" s="19">
        <f>K$7*Per_Unit!$D$27</f>
        <v/>
      </c>
      <c r="L39" s="19">
        <f>L$7*Per_Unit!$D$26</f>
        <v/>
      </c>
      <c r="M39" s="19">
        <f>M$7*Per_Unit!$D$25</f>
        <v/>
      </c>
      <c r="N39" s="19">
        <f>N$7*Per_Unit!$D$24</f>
        <v/>
      </c>
      <c r="O39" s="19">
        <f>O$7*Per_Unit!$D$23</f>
        <v/>
      </c>
      <c r="P39" s="19">
        <f>P$7*Per_Unit!$D$22</f>
        <v/>
      </c>
      <c r="Q39" s="19">
        <f>Q$7*Per_Unit!$D$21</f>
        <v/>
      </c>
      <c r="R39" s="19">
        <f>R$7*Per_Unit!$D$20</f>
        <v/>
      </c>
      <c r="S39" s="19">
        <f>S$7*Per_Unit!$D$19</f>
        <v/>
      </c>
      <c r="T39" s="19">
        <f>T$7*Per_Unit!$D$18</f>
        <v/>
      </c>
      <c r="U39" s="19">
        <f>U$7*Per_Unit!$D$17</f>
        <v/>
      </c>
      <c r="V39" s="19">
        <f>V$7*Per_Unit!$D$16</f>
        <v/>
      </c>
      <c r="W39" s="19">
        <f>W$7*Per_Unit!$D$15</f>
        <v/>
      </c>
      <c r="X39" s="19">
        <f>X$7*Per_Unit!$D$14</f>
        <v/>
      </c>
      <c r="Y39" s="19">
        <f>Y$7*Per_Unit!$D$13</f>
        <v/>
      </c>
      <c r="Z39" s="19">
        <f>Z$7*Per_Unit!$D$12</f>
        <v/>
      </c>
      <c r="AA39" s="19">
        <f>AA$7*Per_Unit!$D$11</f>
        <v/>
      </c>
      <c r="AB39" s="19">
        <f>AB$7*Per_Unit!$D$10</f>
        <v/>
      </c>
      <c r="AC39" s="19">
        <f>AC$7*Per_Unit!$D$9</f>
        <v/>
      </c>
      <c r="AD39" s="19">
        <f>AD$7*Per_Unit!$D$8</f>
        <v/>
      </c>
      <c r="AE39" s="19">
        <f>AE$7*Per_Unit!$D$7</f>
        <v/>
      </c>
    </row>
    <row r="40">
      <c r="A40" s="19" t="n">
        <v>31</v>
      </c>
      <c r="B40" s="19">
        <f>B$7*Per_Unit!$D$37</f>
        <v/>
      </c>
      <c r="C40" s="19">
        <f>C$7*Per_Unit!$D$36</f>
        <v/>
      </c>
      <c r="D40" s="19">
        <f>D$7*Per_Unit!$D$35</f>
        <v/>
      </c>
      <c r="E40" s="19">
        <f>E$7*Per_Unit!$D$34</f>
        <v/>
      </c>
      <c r="F40" s="19">
        <f>F$7*Per_Unit!$D$33</f>
        <v/>
      </c>
      <c r="G40" s="19">
        <f>G$7*Per_Unit!$D$32</f>
        <v/>
      </c>
      <c r="H40" s="19">
        <f>H$7*Per_Unit!$D$31</f>
        <v/>
      </c>
      <c r="I40" s="19">
        <f>I$7*Per_Unit!$D$30</f>
        <v/>
      </c>
      <c r="J40" s="19">
        <f>J$7*Per_Unit!$D$29</f>
        <v/>
      </c>
      <c r="K40" s="19">
        <f>K$7*Per_Unit!$D$28</f>
        <v/>
      </c>
      <c r="L40" s="19">
        <f>L$7*Per_Unit!$D$27</f>
        <v/>
      </c>
      <c r="M40" s="19">
        <f>M$7*Per_Unit!$D$26</f>
        <v/>
      </c>
      <c r="N40" s="19">
        <f>N$7*Per_Unit!$D$25</f>
        <v/>
      </c>
      <c r="O40" s="19">
        <f>O$7*Per_Unit!$D$24</f>
        <v/>
      </c>
      <c r="P40" s="19">
        <f>P$7*Per_Unit!$D$23</f>
        <v/>
      </c>
      <c r="Q40" s="19">
        <f>Q$7*Per_Unit!$D$22</f>
        <v/>
      </c>
      <c r="R40" s="19">
        <f>R$7*Per_Unit!$D$21</f>
        <v/>
      </c>
      <c r="S40" s="19">
        <f>S$7*Per_Unit!$D$20</f>
        <v/>
      </c>
      <c r="T40" s="19">
        <f>T$7*Per_Unit!$D$19</f>
        <v/>
      </c>
      <c r="U40" s="19">
        <f>U$7*Per_Unit!$D$18</f>
        <v/>
      </c>
      <c r="V40" s="19">
        <f>V$7*Per_Unit!$D$17</f>
        <v/>
      </c>
      <c r="W40" s="19">
        <f>W$7*Per_Unit!$D$16</f>
        <v/>
      </c>
      <c r="X40" s="19">
        <f>X$7*Per_Unit!$D$15</f>
        <v/>
      </c>
      <c r="Y40" s="19">
        <f>Y$7*Per_Unit!$D$14</f>
        <v/>
      </c>
      <c r="Z40" s="19">
        <f>Z$7*Per_Unit!$D$13</f>
        <v/>
      </c>
      <c r="AA40" s="19">
        <f>AA$7*Per_Unit!$D$12</f>
        <v/>
      </c>
      <c r="AB40" s="19">
        <f>AB$7*Per_Unit!$D$11</f>
        <v/>
      </c>
      <c r="AC40" s="19">
        <f>AC$7*Per_Unit!$D$10</f>
        <v/>
      </c>
      <c r="AD40" s="19">
        <f>AD$7*Per_Unit!$D$9</f>
        <v/>
      </c>
      <c r="AE40" s="19">
        <f>AE$7*Per_Unit!$D$8</f>
        <v/>
      </c>
      <c r="AF40" s="19">
        <f>AF$7*Per_Unit!$D$7</f>
        <v/>
      </c>
    </row>
    <row r="41">
      <c r="A41" s="19" t="n">
        <v>32</v>
      </c>
      <c r="B41" s="19">
        <f>B$7*Per_Unit!$D$38</f>
        <v/>
      </c>
      <c r="C41" s="19">
        <f>C$7*Per_Unit!$D$37</f>
        <v/>
      </c>
      <c r="D41" s="19">
        <f>D$7*Per_Unit!$D$36</f>
        <v/>
      </c>
      <c r="E41" s="19">
        <f>E$7*Per_Unit!$D$35</f>
        <v/>
      </c>
      <c r="F41" s="19">
        <f>F$7*Per_Unit!$D$34</f>
        <v/>
      </c>
      <c r="G41" s="19">
        <f>G$7*Per_Unit!$D$33</f>
        <v/>
      </c>
      <c r="H41" s="19">
        <f>H$7*Per_Unit!$D$32</f>
        <v/>
      </c>
      <c r="I41" s="19">
        <f>I$7*Per_Unit!$D$31</f>
        <v/>
      </c>
      <c r="J41" s="19">
        <f>J$7*Per_Unit!$D$30</f>
        <v/>
      </c>
      <c r="K41" s="19">
        <f>K$7*Per_Unit!$D$29</f>
        <v/>
      </c>
      <c r="L41" s="19">
        <f>L$7*Per_Unit!$D$28</f>
        <v/>
      </c>
      <c r="M41" s="19">
        <f>M$7*Per_Unit!$D$27</f>
        <v/>
      </c>
      <c r="N41" s="19">
        <f>N$7*Per_Unit!$D$26</f>
        <v/>
      </c>
      <c r="O41" s="19">
        <f>O$7*Per_Unit!$D$25</f>
        <v/>
      </c>
      <c r="P41" s="19">
        <f>P$7*Per_Unit!$D$24</f>
        <v/>
      </c>
      <c r="Q41" s="19">
        <f>Q$7*Per_Unit!$D$23</f>
        <v/>
      </c>
      <c r="R41" s="19">
        <f>R$7*Per_Unit!$D$22</f>
        <v/>
      </c>
      <c r="S41" s="19">
        <f>S$7*Per_Unit!$D$21</f>
        <v/>
      </c>
      <c r="T41" s="19">
        <f>T$7*Per_Unit!$D$20</f>
        <v/>
      </c>
      <c r="U41" s="19">
        <f>U$7*Per_Unit!$D$19</f>
        <v/>
      </c>
      <c r="V41" s="19">
        <f>V$7*Per_Unit!$D$18</f>
        <v/>
      </c>
      <c r="W41" s="19">
        <f>W$7*Per_Unit!$D$17</f>
        <v/>
      </c>
      <c r="X41" s="19">
        <f>X$7*Per_Unit!$D$16</f>
        <v/>
      </c>
      <c r="Y41" s="19">
        <f>Y$7*Per_Unit!$D$15</f>
        <v/>
      </c>
      <c r="Z41" s="19">
        <f>Z$7*Per_Unit!$D$14</f>
        <v/>
      </c>
      <c r="AA41" s="19">
        <f>AA$7*Per_Unit!$D$13</f>
        <v/>
      </c>
      <c r="AB41" s="19">
        <f>AB$7*Per_Unit!$D$12</f>
        <v/>
      </c>
      <c r="AC41" s="19">
        <f>AC$7*Per_Unit!$D$11</f>
        <v/>
      </c>
      <c r="AD41" s="19">
        <f>AD$7*Per_Unit!$D$10</f>
        <v/>
      </c>
      <c r="AE41" s="19">
        <f>AE$7*Per_Unit!$D$9</f>
        <v/>
      </c>
      <c r="AF41" s="19">
        <f>AF$7*Per_Unit!$D$8</f>
        <v/>
      </c>
      <c r="AG41" s="19">
        <f>AG$7*Per_Unit!$D$7</f>
        <v/>
      </c>
    </row>
    <row r="42">
      <c r="A42" s="19" t="n">
        <v>33</v>
      </c>
      <c r="B42" s="19">
        <f>B$7*Per_Unit!$D$39</f>
        <v/>
      </c>
      <c r="C42" s="19">
        <f>C$7*Per_Unit!$D$38</f>
        <v/>
      </c>
      <c r="D42" s="19">
        <f>D$7*Per_Unit!$D$37</f>
        <v/>
      </c>
      <c r="E42" s="19">
        <f>E$7*Per_Unit!$D$36</f>
        <v/>
      </c>
      <c r="F42" s="19">
        <f>F$7*Per_Unit!$D$35</f>
        <v/>
      </c>
      <c r="G42" s="19">
        <f>G$7*Per_Unit!$D$34</f>
        <v/>
      </c>
      <c r="H42" s="19">
        <f>H$7*Per_Unit!$D$33</f>
        <v/>
      </c>
      <c r="I42" s="19">
        <f>I$7*Per_Unit!$D$32</f>
        <v/>
      </c>
      <c r="J42" s="19">
        <f>J$7*Per_Unit!$D$31</f>
        <v/>
      </c>
      <c r="K42" s="19">
        <f>K$7*Per_Unit!$D$30</f>
        <v/>
      </c>
      <c r="L42" s="19">
        <f>L$7*Per_Unit!$D$29</f>
        <v/>
      </c>
      <c r="M42" s="19">
        <f>M$7*Per_Unit!$D$28</f>
        <v/>
      </c>
      <c r="N42" s="19">
        <f>N$7*Per_Unit!$D$27</f>
        <v/>
      </c>
      <c r="O42" s="19">
        <f>O$7*Per_Unit!$D$26</f>
        <v/>
      </c>
      <c r="P42" s="19">
        <f>P$7*Per_Unit!$D$25</f>
        <v/>
      </c>
      <c r="Q42" s="19">
        <f>Q$7*Per_Unit!$D$24</f>
        <v/>
      </c>
      <c r="R42" s="19">
        <f>R$7*Per_Unit!$D$23</f>
        <v/>
      </c>
      <c r="S42" s="19">
        <f>S$7*Per_Unit!$D$22</f>
        <v/>
      </c>
      <c r="T42" s="19">
        <f>T$7*Per_Unit!$D$21</f>
        <v/>
      </c>
      <c r="U42" s="19">
        <f>U$7*Per_Unit!$D$20</f>
        <v/>
      </c>
      <c r="V42" s="19">
        <f>V$7*Per_Unit!$D$19</f>
        <v/>
      </c>
      <c r="W42" s="19">
        <f>W$7*Per_Unit!$D$18</f>
        <v/>
      </c>
      <c r="X42" s="19">
        <f>X$7*Per_Unit!$D$17</f>
        <v/>
      </c>
      <c r="Y42" s="19">
        <f>Y$7*Per_Unit!$D$16</f>
        <v/>
      </c>
      <c r="Z42" s="19">
        <f>Z$7*Per_Unit!$D$15</f>
        <v/>
      </c>
      <c r="AA42" s="19">
        <f>AA$7*Per_Unit!$D$14</f>
        <v/>
      </c>
      <c r="AB42" s="19">
        <f>AB$7*Per_Unit!$D$13</f>
        <v/>
      </c>
      <c r="AC42" s="19">
        <f>AC$7*Per_Unit!$D$12</f>
        <v/>
      </c>
      <c r="AD42" s="19">
        <f>AD$7*Per_Unit!$D$11</f>
        <v/>
      </c>
      <c r="AE42" s="19">
        <f>AE$7*Per_Unit!$D$10</f>
        <v/>
      </c>
      <c r="AF42" s="19">
        <f>AF$7*Per_Unit!$D$9</f>
        <v/>
      </c>
      <c r="AG42" s="19">
        <f>AG$7*Per_Unit!$D$8</f>
        <v/>
      </c>
      <c r="AH42" s="19">
        <f>AH$7*Per_Unit!$D$7</f>
        <v/>
      </c>
    </row>
    <row r="43">
      <c r="A43" s="19" t="n">
        <v>34</v>
      </c>
      <c r="B43" s="19">
        <f>B$7*Per_Unit!$D$40</f>
        <v/>
      </c>
      <c r="C43" s="19">
        <f>C$7*Per_Unit!$D$39</f>
        <v/>
      </c>
      <c r="D43" s="19">
        <f>D$7*Per_Unit!$D$38</f>
        <v/>
      </c>
      <c r="E43" s="19">
        <f>E$7*Per_Unit!$D$37</f>
        <v/>
      </c>
      <c r="F43" s="19">
        <f>F$7*Per_Unit!$D$36</f>
        <v/>
      </c>
      <c r="G43" s="19">
        <f>G$7*Per_Unit!$D$35</f>
        <v/>
      </c>
      <c r="H43" s="19">
        <f>H$7*Per_Unit!$D$34</f>
        <v/>
      </c>
      <c r="I43" s="19">
        <f>I$7*Per_Unit!$D$33</f>
        <v/>
      </c>
      <c r="J43" s="19">
        <f>J$7*Per_Unit!$D$32</f>
        <v/>
      </c>
      <c r="K43" s="19">
        <f>K$7*Per_Unit!$D$31</f>
        <v/>
      </c>
      <c r="L43" s="19">
        <f>L$7*Per_Unit!$D$30</f>
        <v/>
      </c>
      <c r="M43" s="19">
        <f>M$7*Per_Unit!$D$29</f>
        <v/>
      </c>
      <c r="N43" s="19">
        <f>N$7*Per_Unit!$D$28</f>
        <v/>
      </c>
      <c r="O43" s="19">
        <f>O$7*Per_Unit!$D$27</f>
        <v/>
      </c>
      <c r="P43" s="19">
        <f>P$7*Per_Unit!$D$26</f>
        <v/>
      </c>
      <c r="Q43" s="19">
        <f>Q$7*Per_Unit!$D$25</f>
        <v/>
      </c>
      <c r="R43" s="19">
        <f>R$7*Per_Unit!$D$24</f>
        <v/>
      </c>
      <c r="S43" s="19">
        <f>S$7*Per_Unit!$D$23</f>
        <v/>
      </c>
      <c r="T43" s="19">
        <f>T$7*Per_Unit!$D$22</f>
        <v/>
      </c>
      <c r="U43" s="19">
        <f>U$7*Per_Unit!$D$21</f>
        <v/>
      </c>
      <c r="V43" s="19">
        <f>V$7*Per_Unit!$D$20</f>
        <v/>
      </c>
      <c r="W43" s="19">
        <f>W$7*Per_Unit!$D$19</f>
        <v/>
      </c>
      <c r="X43" s="19">
        <f>X$7*Per_Unit!$D$18</f>
        <v/>
      </c>
      <c r="Y43" s="19">
        <f>Y$7*Per_Unit!$D$17</f>
        <v/>
      </c>
      <c r="Z43" s="19">
        <f>Z$7*Per_Unit!$D$16</f>
        <v/>
      </c>
      <c r="AA43" s="19">
        <f>AA$7*Per_Unit!$D$15</f>
        <v/>
      </c>
      <c r="AB43" s="19">
        <f>AB$7*Per_Unit!$D$14</f>
        <v/>
      </c>
      <c r="AC43" s="19">
        <f>AC$7*Per_Unit!$D$13</f>
        <v/>
      </c>
      <c r="AD43" s="19">
        <f>AD$7*Per_Unit!$D$12</f>
        <v/>
      </c>
      <c r="AE43" s="19">
        <f>AE$7*Per_Unit!$D$11</f>
        <v/>
      </c>
      <c r="AF43" s="19">
        <f>AF$7*Per_Unit!$D$10</f>
        <v/>
      </c>
      <c r="AG43" s="19">
        <f>AG$7*Per_Unit!$D$9</f>
        <v/>
      </c>
      <c r="AH43" s="19">
        <f>AH$7*Per_Unit!$D$8</f>
        <v/>
      </c>
      <c r="AI43" s="19">
        <f>AI$7*Per_Unit!$D$7</f>
        <v/>
      </c>
    </row>
    <row r="44">
      <c r="A44" s="19" t="n">
        <v>35</v>
      </c>
      <c r="B44" s="19">
        <f>B$7*Per_Unit!$D$41</f>
        <v/>
      </c>
      <c r="C44" s="19">
        <f>C$7*Per_Unit!$D$40</f>
        <v/>
      </c>
      <c r="D44" s="19">
        <f>D$7*Per_Unit!$D$39</f>
        <v/>
      </c>
      <c r="E44" s="19">
        <f>E$7*Per_Unit!$D$38</f>
        <v/>
      </c>
      <c r="F44" s="19">
        <f>F$7*Per_Unit!$D$37</f>
        <v/>
      </c>
      <c r="G44" s="19">
        <f>G$7*Per_Unit!$D$36</f>
        <v/>
      </c>
      <c r="H44" s="19">
        <f>H$7*Per_Unit!$D$35</f>
        <v/>
      </c>
      <c r="I44" s="19">
        <f>I$7*Per_Unit!$D$34</f>
        <v/>
      </c>
      <c r="J44" s="19">
        <f>J$7*Per_Unit!$D$33</f>
        <v/>
      </c>
      <c r="K44" s="19">
        <f>K$7*Per_Unit!$D$32</f>
        <v/>
      </c>
      <c r="L44" s="19">
        <f>L$7*Per_Unit!$D$31</f>
        <v/>
      </c>
      <c r="M44" s="19">
        <f>M$7*Per_Unit!$D$30</f>
        <v/>
      </c>
      <c r="N44" s="19">
        <f>N$7*Per_Unit!$D$29</f>
        <v/>
      </c>
      <c r="O44" s="19">
        <f>O$7*Per_Unit!$D$28</f>
        <v/>
      </c>
      <c r="P44" s="19">
        <f>P$7*Per_Unit!$D$27</f>
        <v/>
      </c>
      <c r="Q44" s="19">
        <f>Q$7*Per_Unit!$D$26</f>
        <v/>
      </c>
      <c r="R44" s="19">
        <f>R$7*Per_Unit!$D$25</f>
        <v/>
      </c>
      <c r="S44" s="19">
        <f>S$7*Per_Unit!$D$24</f>
        <v/>
      </c>
      <c r="T44" s="19">
        <f>T$7*Per_Unit!$D$23</f>
        <v/>
      </c>
      <c r="U44" s="19">
        <f>U$7*Per_Unit!$D$22</f>
        <v/>
      </c>
      <c r="V44" s="19">
        <f>V$7*Per_Unit!$D$21</f>
        <v/>
      </c>
      <c r="W44" s="19">
        <f>W$7*Per_Unit!$D$20</f>
        <v/>
      </c>
      <c r="X44" s="19">
        <f>X$7*Per_Unit!$D$19</f>
        <v/>
      </c>
      <c r="Y44" s="19">
        <f>Y$7*Per_Unit!$D$18</f>
        <v/>
      </c>
      <c r="Z44" s="19">
        <f>Z$7*Per_Unit!$D$17</f>
        <v/>
      </c>
      <c r="AA44" s="19">
        <f>AA$7*Per_Unit!$D$16</f>
        <v/>
      </c>
      <c r="AB44" s="19">
        <f>AB$7*Per_Unit!$D$15</f>
        <v/>
      </c>
      <c r="AC44" s="19">
        <f>AC$7*Per_Unit!$D$14</f>
        <v/>
      </c>
      <c r="AD44" s="19">
        <f>AD$7*Per_Unit!$D$13</f>
        <v/>
      </c>
      <c r="AE44" s="19">
        <f>AE$7*Per_Unit!$D$12</f>
        <v/>
      </c>
      <c r="AF44" s="19">
        <f>AF$7*Per_Unit!$D$11</f>
        <v/>
      </c>
      <c r="AG44" s="19">
        <f>AG$7*Per_Unit!$D$10</f>
        <v/>
      </c>
      <c r="AH44" s="19">
        <f>AH$7*Per_Unit!$D$9</f>
        <v/>
      </c>
      <c r="AI44" s="19">
        <f>AI$7*Per_Unit!$D$8</f>
        <v/>
      </c>
      <c r="AJ44" s="19">
        <f>AJ$7*Per_Unit!$D$7</f>
        <v/>
      </c>
    </row>
    <row r="45">
      <c r="A45" s="19" t="n">
        <v>36</v>
      </c>
      <c r="B45" s="19">
        <f>B$7*Per_Unit!$D$42</f>
        <v/>
      </c>
      <c r="C45" s="19">
        <f>C$7*Per_Unit!$D$41</f>
        <v/>
      </c>
      <c r="D45" s="19">
        <f>D$7*Per_Unit!$D$40</f>
        <v/>
      </c>
      <c r="E45" s="19">
        <f>E$7*Per_Unit!$D$39</f>
        <v/>
      </c>
      <c r="F45" s="19">
        <f>F$7*Per_Unit!$D$38</f>
        <v/>
      </c>
      <c r="G45" s="19">
        <f>G$7*Per_Unit!$D$37</f>
        <v/>
      </c>
      <c r="H45" s="19">
        <f>H$7*Per_Unit!$D$36</f>
        <v/>
      </c>
      <c r="I45" s="19">
        <f>I$7*Per_Unit!$D$35</f>
        <v/>
      </c>
      <c r="J45" s="19">
        <f>J$7*Per_Unit!$D$34</f>
        <v/>
      </c>
      <c r="K45" s="19">
        <f>K$7*Per_Unit!$D$33</f>
        <v/>
      </c>
      <c r="L45" s="19">
        <f>L$7*Per_Unit!$D$32</f>
        <v/>
      </c>
      <c r="M45" s="19">
        <f>M$7*Per_Unit!$D$31</f>
        <v/>
      </c>
      <c r="N45" s="19">
        <f>N$7*Per_Unit!$D$30</f>
        <v/>
      </c>
      <c r="O45" s="19">
        <f>O$7*Per_Unit!$D$29</f>
        <v/>
      </c>
      <c r="P45" s="19">
        <f>P$7*Per_Unit!$D$28</f>
        <v/>
      </c>
      <c r="Q45" s="19">
        <f>Q$7*Per_Unit!$D$27</f>
        <v/>
      </c>
      <c r="R45" s="19">
        <f>R$7*Per_Unit!$D$26</f>
        <v/>
      </c>
      <c r="S45" s="19">
        <f>S$7*Per_Unit!$D$25</f>
        <v/>
      </c>
      <c r="T45" s="19">
        <f>T$7*Per_Unit!$D$24</f>
        <v/>
      </c>
      <c r="U45" s="19">
        <f>U$7*Per_Unit!$D$23</f>
        <v/>
      </c>
      <c r="V45" s="19">
        <f>V$7*Per_Unit!$D$22</f>
        <v/>
      </c>
      <c r="W45" s="19">
        <f>W$7*Per_Unit!$D$21</f>
        <v/>
      </c>
      <c r="X45" s="19">
        <f>X$7*Per_Unit!$D$20</f>
        <v/>
      </c>
      <c r="Y45" s="19">
        <f>Y$7*Per_Unit!$D$19</f>
        <v/>
      </c>
      <c r="Z45" s="19">
        <f>Z$7*Per_Unit!$D$18</f>
        <v/>
      </c>
      <c r="AA45" s="19">
        <f>AA$7*Per_Unit!$D$17</f>
        <v/>
      </c>
      <c r="AB45" s="19">
        <f>AB$7*Per_Unit!$D$16</f>
        <v/>
      </c>
      <c r="AC45" s="19">
        <f>AC$7*Per_Unit!$D$15</f>
        <v/>
      </c>
      <c r="AD45" s="19">
        <f>AD$7*Per_Unit!$D$14</f>
        <v/>
      </c>
      <c r="AE45" s="19">
        <f>AE$7*Per_Unit!$D$13</f>
        <v/>
      </c>
      <c r="AF45" s="19">
        <f>AF$7*Per_Unit!$D$12</f>
        <v/>
      </c>
      <c r="AG45" s="19">
        <f>AG$7*Per_Unit!$D$11</f>
        <v/>
      </c>
      <c r="AH45" s="19">
        <f>AH$7*Per_Unit!$D$10</f>
        <v/>
      </c>
      <c r="AI45" s="19">
        <f>AI$7*Per_Unit!$D$9</f>
        <v/>
      </c>
      <c r="AJ45" s="19">
        <f>AJ$7*Per_Unit!$D$8</f>
        <v/>
      </c>
      <c r="AK45" s="19">
        <f>AK$7*Per_Unit!$D$7</f>
        <v/>
      </c>
    </row>
    <row r="46">
      <c r="A46" s="19" t="n">
        <v>37</v>
      </c>
      <c r="B46" s="19">
        <f>B$7*Per_Unit!$D$43</f>
        <v/>
      </c>
      <c r="C46" s="19">
        <f>C$7*Per_Unit!$D$42</f>
        <v/>
      </c>
      <c r="D46" s="19">
        <f>D$7*Per_Unit!$D$41</f>
        <v/>
      </c>
      <c r="E46" s="19">
        <f>E$7*Per_Unit!$D$40</f>
        <v/>
      </c>
      <c r="F46" s="19">
        <f>F$7*Per_Unit!$D$39</f>
        <v/>
      </c>
      <c r="G46" s="19">
        <f>G$7*Per_Unit!$D$38</f>
        <v/>
      </c>
      <c r="H46" s="19">
        <f>H$7*Per_Unit!$D$37</f>
        <v/>
      </c>
      <c r="I46" s="19">
        <f>I$7*Per_Unit!$D$36</f>
        <v/>
      </c>
      <c r="J46" s="19">
        <f>J$7*Per_Unit!$D$35</f>
        <v/>
      </c>
      <c r="K46" s="19">
        <f>K$7*Per_Unit!$D$34</f>
        <v/>
      </c>
      <c r="L46" s="19">
        <f>L$7*Per_Unit!$D$33</f>
        <v/>
      </c>
      <c r="M46" s="19">
        <f>M$7*Per_Unit!$D$32</f>
        <v/>
      </c>
      <c r="N46" s="19">
        <f>N$7*Per_Unit!$D$31</f>
        <v/>
      </c>
      <c r="O46" s="19">
        <f>O$7*Per_Unit!$D$30</f>
        <v/>
      </c>
      <c r="P46" s="19">
        <f>P$7*Per_Unit!$D$29</f>
        <v/>
      </c>
      <c r="Q46" s="19">
        <f>Q$7*Per_Unit!$D$28</f>
        <v/>
      </c>
      <c r="R46" s="19">
        <f>R$7*Per_Unit!$D$27</f>
        <v/>
      </c>
      <c r="S46" s="19">
        <f>S$7*Per_Unit!$D$26</f>
        <v/>
      </c>
      <c r="T46" s="19">
        <f>T$7*Per_Unit!$D$25</f>
        <v/>
      </c>
      <c r="U46" s="19">
        <f>U$7*Per_Unit!$D$24</f>
        <v/>
      </c>
      <c r="V46" s="19">
        <f>V$7*Per_Unit!$D$23</f>
        <v/>
      </c>
      <c r="W46" s="19">
        <f>W$7*Per_Unit!$D$22</f>
        <v/>
      </c>
      <c r="X46" s="19">
        <f>X$7*Per_Unit!$D$21</f>
        <v/>
      </c>
      <c r="Y46" s="19">
        <f>Y$7*Per_Unit!$D$20</f>
        <v/>
      </c>
      <c r="Z46" s="19">
        <f>Z$7*Per_Unit!$D$19</f>
        <v/>
      </c>
      <c r="AA46" s="19">
        <f>AA$7*Per_Unit!$D$18</f>
        <v/>
      </c>
      <c r="AB46" s="19">
        <f>AB$7*Per_Unit!$D$17</f>
        <v/>
      </c>
      <c r="AC46" s="19">
        <f>AC$7*Per_Unit!$D$16</f>
        <v/>
      </c>
      <c r="AD46" s="19">
        <f>AD$7*Per_Unit!$D$15</f>
        <v/>
      </c>
      <c r="AE46" s="19">
        <f>AE$7*Per_Unit!$D$14</f>
        <v/>
      </c>
      <c r="AF46" s="19">
        <f>AF$7*Per_Unit!$D$13</f>
        <v/>
      </c>
      <c r="AG46" s="19">
        <f>AG$7*Per_Unit!$D$12</f>
        <v/>
      </c>
      <c r="AH46" s="19">
        <f>AH$7*Per_Unit!$D$11</f>
        <v/>
      </c>
      <c r="AI46" s="19">
        <f>AI$7*Per_Unit!$D$10</f>
        <v/>
      </c>
      <c r="AJ46" s="19">
        <f>AJ$7*Per_Unit!$D$9</f>
        <v/>
      </c>
      <c r="AK46" s="19">
        <f>AK$7*Per_Unit!$D$8</f>
        <v/>
      </c>
      <c r="AL46" s="19">
        <f>AL$7*Per_Unit!$D$7</f>
        <v/>
      </c>
    </row>
    <row r="47">
      <c r="A47" s="19" t="n">
        <v>38</v>
      </c>
      <c r="B47" s="19">
        <f>B$7*Per_Unit!$D$44</f>
        <v/>
      </c>
      <c r="C47" s="19">
        <f>C$7*Per_Unit!$D$43</f>
        <v/>
      </c>
      <c r="D47" s="19">
        <f>D$7*Per_Unit!$D$42</f>
        <v/>
      </c>
      <c r="E47" s="19">
        <f>E$7*Per_Unit!$D$41</f>
        <v/>
      </c>
      <c r="F47" s="19">
        <f>F$7*Per_Unit!$D$40</f>
        <v/>
      </c>
      <c r="G47" s="19">
        <f>G$7*Per_Unit!$D$39</f>
        <v/>
      </c>
      <c r="H47" s="19">
        <f>H$7*Per_Unit!$D$38</f>
        <v/>
      </c>
      <c r="I47" s="19">
        <f>I$7*Per_Unit!$D$37</f>
        <v/>
      </c>
      <c r="J47" s="19">
        <f>J$7*Per_Unit!$D$36</f>
        <v/>
      </c>
      <c r="K47" s="19">
        <f>K$7*Per_Unit!$D$35</f>
        <v/>
      </c>
      <c r="L47" s="19">
        <f>L$7*Per_Unit!$D$34</f>
        <v/>
      </c>
      <c r="M47" s="19">
        <f>M$7*Per_Unit!$D$33</f>
        <v/>
      </c>
      <c r="N47" s="19">
        <f>N$7*Per_Unit!$D$32</f>
        <v/>
      </c>
      <c r="O47" s="19">
        <f>O$7*Per_Unit!$D$31</f>
        <v/>
      </c>
      <c r="P47" s="19">
        <f>P$7*Per_Unit!$D$30</f>
        <v/>
      </c>
      <c r="Q47" s="19">
        <f>Q$7*Per_Unit!$D$29</f>
        <v/>
      </c>
      <c r="R47" s="19">
        <f>R$7*Per_Unit!$D$28</f>
        <v/>
      </c>
      <c r="S47" s="19">
        <f>S$7*Per_Unit!$D$27</f>
        <v/>
      </c>
      <c r="T47" s="19">
        <f>T$7*Per_Unit!$D$26</f>
        <v/>
      </c>
      <c r="U47" s="19">
        <f>U$7*Per_Unit!$D$25</f>
        <v/>
      </c>
      <c r="V47" s="19">
        <f>V$7*Per_Unit!$D$24</f>
        <v/>
      </c>
      <c r="W47" s="19">
        <f>W$7*Per_Unit!$D$23</f>
        <v/>
      </c>
      <c r="X47" s="19">
        <f>X$7*Per_Unit!$D$22</f>
        <v/>
      </c>
      <c r="Y47" s="19">
        <f>Y$7*Per_Unit!$D$21</f>
        <v/>
      </c>
      <c r="Z47" s="19">
        <f>Z$7*Per_Unit!$D$20</f>
        <v/>
      </c>
      <c r="AA47" s="19">
        <f>AA$7*Per_Unit!$D$19</f>
        <v/>
      </c>
      <c r="AB47" s="19">
        <f>AB$7*Per_Unit!$D$18</f>
        <v/>
      </c>
      <c r="AC47" s="19">
        <f>AC$7*Per_Unit!$D$17</f>
        <v/>
      </c>
      <c r="AD47" s="19">
        <f>AD$7*Per_Unit!$D$16</f>
        <v/>
      </c>
      <c r="AE47" s="19">
        <f>AE$7*Per_Unit!$D$15</f>
        <v/>
      </c>
      <c r="AF47" s="19">
        <f>AF$7*Per_Unit!$D$14</f>
        <v/>
      </c>
      <c r="AG47" s="19">
        <f>AG$7*Per_Unit!$D$13</f>
        <v/>
      </c>
      <c r="AH47" s="19">
        <f>AH$7*Per_Unit!$D$12</f>
        <v/>
      </c>
      <c r="AI47" s="19">
        <f>AI$7*Per_Unit!$D$11</f>
        <v/>
      </c>
      <c r="AJ47" s="19">
        <f>AJ$7*Per_Unit!$D$10</f>
        <v/>
      </c>
      <c r="AK47" s="19">
        <f>AK$7*Per_Unit!$D$9</f>
        <v/>
      </c>
      <c r="AL47" s="19">
        <f>AL$7*Per_Unit!$D$8</f>
        <v/>
      </c>
      <c r="AM47" s="19">
        <f>AM$7*Per_Unit!$D$7</f>
        <v/>
      </c>
    </row>
    <row r="48">
      <c r="A48" s="19" t="n">
        <v>39</v>
      </c>
      <c r="B48" s="19">
        <f>B$7*Per_Unit!$D$45</f>
        <v/>
      </c>
      <c r="C48" s="19">
        <f>C$7*Per_Unit!$D$44</f>
        <v/>
      </c>
      <c r="D48" s="19">
        <f>D$7*Per_Unit!$D$43</f>
        <v/>
      </c>
      <c r="E48" s="19">
        <f>E$7*Per_Unit!$D$42</f>
        <v/>
      </c>
      <c r="F48" s="19">
        <f>F$7*Per_Unit!$D$41</f>
        <v/>
      </c>
      <c r="G48" s="19">
        <f>G$7*Per_Unit!$D$40</f>
        <v/>
      </c>
      <c r="H48" s="19">
        <f>H$7*Per_Unit!$D$39</f>
        <v/>
      </c>
      <c r="I48" s="19">
        <f>I$7*Per_Unit!$D$38</f>
        <v/>
      </c>
      <c r="J48" s="19">
        <f>J$7*Per_Unit!$D$37</f>
        <v/>
      </c>
      <c r="K48" s="19">
        <f>K$7*Per_Unit!$D$36</f>
        <v/>
      </c>
      <c r="L48" s="19">
        <f>L$7*Per_Unit!$D$35</f>
        <v/>
      </c>
      <c r="M48" s="19">
        <f>M$7*Per_Unit!$D$34</f>
        <v/>
      </c>
      <c r="N48" s="19">
        <f>N$7*Per_Unit!$D$33</f>
        <v/>
      </c>
      <c r="O48" s="19">
        <f>O$7*Per_Unit!$D$32</f>
        <v/>
      </c>
      <c r="P48" s="19">
        <f>P$7*Per_Unit!$D$31</f>
        <v/>
      </c>
      <c r="Q48" s="19">
        <f>Q$7*Per_Unit!$D$30</f>
        <v/>
      </c>
      <c r="R48" s="19">
        <f>R$7*Per_Unit!$D$29</f>
        <v/>
      </c>
      <c r="S48" s="19">
        <f>S$7*Per_Unit!$D$28</f>
        <v/>
      </c>
      <c r="T48" s="19">
        <f>T$7*Per_Unit!$D$27</f>
        <v/>
      </c>
      <c r="U48" s="19">
        <f>U$7*Per_Unit!$D$26</f>
        <v/>
      </c>
      <c r="V48" s="19">
        <f>V$7*Per_Unit!$D$25</f>
        <v/>
      </c>
      <c r="W48" s="19">
        <f>W$7*Per_Unit!$D$24</f>
        <v/>
      </c>
      <c r="X48" s="19">
        <f>X$7*Per_Unit!$D$23</f>
        <v/>
      </c>
      <c r="Y48" s="19">
        <f>Y$7*Per_Unit!$D$22</f>
        <v/>
      </c>
      <c r="Z48" s="19">
        <f>Z$7*Per_Unit!$D$21</f>
        <v/>
      </c>
      <c r="AA48" s="19">
        <f>AA$7*Per_Unit!$D$20</f>
        <v/>
      </c>
      <c r="AB48" s="19">
        <f>AB$7*Per_Unit!$D$19</f>
        <v/>
      </c>
      <c r="AC48" s="19">
        <f>AC$7*Per_Unit!$D$18</f>
        <v/>
      </c>
      <c r="AD48" s="19">
        <f>AD$7*Per_Unit!$D$17</f>
        <v/>
      </c>
      <c r="AE48" s="19">
        <f>AE$7*Per_Unit!$D$16</f>
        <v/>
      </c>
      <c r="AF48" s="19">
        <f>AF$7*Per_Unit!$D$15</f>
        <v/>
      </c>
      <c r="AG48" s="19">
        <f>AG$7*Per_Unit!$D$14</f>
        <v/>
      </c>
      <c r="AH48" s="19">
        <f>AH$7*Per_Unit!$D$13</f>
        <v/>
      </c>
      <c r="AI48" s="19">
        <f>AI$7*Per_Unit!$D$12</f>
        <v/>
      </c>
      <c r="AJ48" s="19">
        <f>AJ$7*Per_Unit!$D$11</f>
        <v/>
      </c>
      <c r="AK48" s="19">
        <f>AK$7*Per_Unit!$D$10</f>
        <v/>
      </c>
      <c r="AL48" s="19">
        <f>AL$7*Per_Unit!$D$9</f>
        <v/>
      </c>
      <c r="AM48" s="19">
        <f>AM$7*Per_Unit!$D$8</f>
        <v/>
      </c>
      <c r="AN48" s="19">
        <f>AN$7*Per_Unit!$D$7</f>
        <v/>
      </c>
    </row>
    <row r="49">
      <c r="A49" s="19" t="n">
        <v>40</v>
      </c>
      <c r="B49" s="19">
        <f>B$7*Per_Unit!$D$46</f>
        <v/>
      </c>
      <c r="C49" s="19">
        <f>C$7*Per_Unit!$D$45</f>
        <v/>
      </c>
      <c r="D49" s="19">
        <f>D$7*Per_Unit!$D$44</f>
        <v/>
      </c>
      <c r="E49" s="19">
        <f>E$7*Per_Unit!$D$43</f>
        <v/>
      </c>
      <c r="F49" s="19">
        <f>F$7*Per_Unit!$D$42</f>
        <v/>
      </c>
      <c r="G49" s="19">
        <f>G$7*Per_Unit!$D$41</f>
        <v/>
      </c>
      <c r="H49" s="19">
        <f>H$7*Per_Unit!$D$40</f>
        <v/>
      </c>
      <c r="I49" s="19">
        <f>I$7*Per_Unit!$D$39</f>
        <v/>
      </c>
      <c r="J49" s="19">
        <f>J$7*Per_Unit!$D$38</f>
        <v/>
      </c>
      <c r="K49" s="19">
        <f>K$7*Per_Unit!$D$37</f>
        <v/>
      </c>
      <c r="L49" s="19">
        <f>L$7*Per_Unit!$D$36</f>
        <v/>
      </c>
      <c r="M49" s="19">
        <f>M$7*Per_Unit!$D$35</f>
        <v/>
      </c>
      <c r="N49" s="19">
        <f>N$7*Per_Unit!$D$34</f>
        <v/>
      </c>
      <c r="O49" s="19">
        <f>O$7*Per_Unit!$D$33</f>
        <v/>
      </c>
      <c r="P49" s="19">
        <f>P$7*Per_Unit!$D$32</f>
        <v/>
      </c>
      <c r="Q49" s="19">
        <f>Q$7*Per_Unit!$D$31</f>
        <v/>
      </c>
      <c r="R49" s="19">
        <f>R$7*Per_Unit!$D$30</f>
        <v/>
      </c>
      <c r="S49" s="19">
        <f>S$7*Per_Unit!$D$29</f>
        <v/>
      </c>
      <c r="T49" s="19">
        <f>T$7*Per_Unit!$D$28</f>
        <v/>
      </c>
      <c r="U49" s="19">
        <f>U$7*Per_Unit!$D$27</f>
        <v/>
      </c>
      <c r="V49" s="19">
        <f>V$7*Per_Unit!$D$26</f>
        <v/>
      </c>
      <c r="W49" s="19">
        <f>W$7*Per_Unit!$D$25</f>
        <v/>
      </c>
      <c r="X49" s="19">
        <f>X$7*Per_Unit!$D$24</f>
        <v/>
      </c>
      <c r="Y49" s="19">
        <f>Y$7*Per_Unit!$D$23</f>
        <v/>
      </c>
      <c r="Z49" s="19">
        <f>Z$7*Per_Unit!$D$22</f>
        <v/>
      </c>
      <c r="AA49" s="19">
        <f>AA$7*Per_Unit!$D$21</f>
        <v/>
      </c>
      <c r="AB49" s="19">
        <f>AB$7*Per_Unit!$D$20</f>
        <v/>
      </c>
      <c r="AC49" s="19">
        <f>AC$7*Per_Unit!$D$19</f>
        <v/>
      </c>
      <c r="AD49" s="19">
        <f>AD$7*Per_Unit!$D$18</f>
        <v/>
      </c>
      <c r="AE49" s="19">
        <f>AE$7*Per_Unit!$D$17</f>
        <v/>
      </c>
      <c r="AF49" s="19">
        <f>AF$7*Per_Unit!$D$16</f>
        <v/>
      </c>
      <c r="AG49" s="19">
        <f>AG$7*Per_Unit!$D$15</f>
        <v/>
      </c>
      <c r="AH49" s="19">
        <f>AH$7*Per_Unit!$D$14</f>
        <v/>
      </c>
      <c r="AI49" s="19">
        <f>AI$7*Per_Unit!$D$13</f>
        <v/>
      </c>
      <c r="AJ49" s="19">
        <f>AJ$7*Per_Unit!$D$12</f>
        <v/>
      </c>
      <c r="AK49" s="19">
        <f>AK$7*Per_Unit!$D$11</f>
        <v/>
      </c>
      <c r="AL49" s="19">
        <f>AL$7*Per_Unit!$D$10</f>
        <v/>
      </c>
      <c r="AM49" s="19">
        <f>AM$7*Per_Unit!$D$9</f>
        <v/>
      </c>
      <c r="AN49" s="19">
        <f>AN$7*Per_Unit!$D$8</f>
        <v/>
      </c>
      <c r="AO49" s="19">
        <f>AO$7*Per_Unit!$D$7</f>
        <v/>
      </c>
    </row>
    <row r="50">
      <c r="A50" s="19" t="n">
        <v>41</v>
      </c>
      <c r="B50" s="19">
        <f>B$7*Per_Unit!$D$47</f>
        <v/>
      </c>
      <c r="C50" s="19">
        <f>C$7*Per_Unit!$D$46</f>
        <v/>
      </c>
      <c r="D50" s="19">
        <f>D$7*Per_Unit!$D$45</f>
        <v/>
      </c>
      <c r="E50" s="19">
        <f>E$7*Per_Unit!$D$44</f>
        <v/>
      </c>
      <c r="F50" s="19">
        <f>F$7*Per_Unit!$D$43</f>
        <v/>
      </c>
      <c r="G50" s="19">
        <f>G$7*Per_Unit!$D$42</f>
        <v/>
      </c>
      <c r="H50" s="19">
        <f>H$7*Per_Unit!$D$41</f>
        <v/>
      </c>
      <c r="I50" s="19">
        <f>I$7*Per_Unit!$D$40</f>
        <v/>
      </c>
      <c r="J50" s="19">
        <f>J$7*Per_Unit!$D$39</f>
        <v/>
      </c>
      <c r="K50" s="19">
        <f>K$7*Per_Unit!$D$38</f>
        <v/>
      </c>
      <c r="L50" s="19">
        <f>L$7*Per_Unit!$D$37</f>
        <v/>
      </c>
      <c r="M50" s="19">
        <f>M$7*Per_Unit!$D$36</f>
        <v/>
      </c>
      <c r="N50" s="19">
        <f>N$7*Per_Unit!$D$35</f>
        <v/>
      </c>
      <c r="O50" s="19">
        <f>O$7*Per_Unit!$D$34</f>
        <v/>
      </c>
      <c r="P50" s="19">
        <f>P$7*Per_Unit!$D$33</f>
        <v/>
      </c>
      <c r="Q50" s="19">
        <f>Q$7*Per_Unit!$D$32</f>
        <v/>
      </c>
      <c r="R50" s="19">
        <f>R$7*Per_Unit!$D$31</f>
        <v/>
      </c>
      <c r="S50" s="19">
        <f>S$7*Per_Unit!$D$30</f>
        <v/>
      </c>
      <c r="T50" s="19">
        <f>T$7*Per_Unit!$D$29</f>
        <v/>
      </c>
      <c r="U50" s="19">
        <f>U$7*Per_Unit!$D$28</f>
        <v/>
      </c>
      <c r="V50" s="19">
        <f>V$7*Per_Unit!$D$27</f>
        <v/>
      </c>
      <c r="W50" s="19">
        <f>W$7*Per_Unit!$D$26</f>
        <v/>
      </c>
      <c r="X50" s="19">
        <f>X$7*Per_Unit!$D$25</f>
        <v/>
      </c>
      <c r="Y50" s="19">
        <f>Y$7*Per_Unit!$D$24</f>
        <v/>
      </c>
      <c r="Z50" s="19">
        <f>Z$7*Per_Unit!$D$23</f>
        <v/>
      </c>
      <c r="AA50" s="19">
        <f>AA$7*Per_Unit!$D$22</f>
        <v/>
      </c>
      <c r="AB50" s="19">
        <f>AB$7*Per_Unit!$D$21</f>
        <v/>
      </c>
      <c r="AC50" s="19">
        <f>AC$7*Per_Unit!$D$20</f>
        <v/>
      </c>
      <c r="AD50" s="19">
        <f>AD$7*Per_Unit!$D$19</f>
        <v/>
      </c>
      <c r="AE50" s="19">
        <f>AE$7*Per_Unit!$D$18</f>
        <v/>
      </c>
      <c r="AF50" s="19">
        <f>AF$7*Per_Unit!$D$17</f>
        <v/>
      </c>
      <c r="AG50" s="19">
        <f>AG$7*Per_Unit!$D$16</f>
        <v/>
      </c>
      <c r="AH50" s="19">
        <f>AH$7*Per_Unit!$D$15</f>
        <v/>
      </c>
      <c r="AI50" s="19">
        <f>AI$7*Per_Unit!$D$14</f>
        <v/>
      </c>
      <c r="AJ50" s="19">
        <f>AJ$7*Per_Unit!$D$13</f>
        <v/>
      </c>
      <c r="AK50" s="19">
        <f>AK$7*Per_Unit!$D$12</f>
        <v/>
      </c>
      <c r="AL50" s="19">
        <f>AL$7*Per_Unit!$D$11</f>
        <v/>
      </c>
      <c r="AM50" s="19">
        <f>AM$7*Per_Unit!$D$10</f>
        <v/>
      </c>
      <c r="AN50" s="19">
        <f>AN$7*Per_Unit!$D$9</f>
        <v/>
      </c>
      <c r="AO50" s="19">
        <f>AO$7*Per_Unit!$D$8</f>
        <v/>
      </c>
      <c r="AP50" s="19">
        <f>AP$7*Per_Unit!$D$7</f>
        <v/>
      </c>
    </row>
    <row r="51">
      <c r="A51" s="19" t="n">
        <v>42</v>
      </c>
      <c r="B51" s="19">
        <f>B$7*Per_Unit!$D$48</f>
        <v/>
      </c>
      <c r="C51" s="19">
        <f>C$7*Per_Unit!$D$47</f>
        <v/>
      </c>
      <c r="D51" s="19">
        <f>D$7*Per_Unit!$D$46</f>
        <v/>
      </c>
      <c r="E51" s="19">
        <f>E$7*Per_Unit!$D$45</f>
        <v/>
      </c>
      <c r="F51" s="19">
        <f>F$7*Per_Unit!$D$44</f>
        <v/>
      </c>
      <c r="G51" s="19">
        <f>G$7*Per_Unit!$D$43</f>
        <v/>
      </c>
      <c r="H51" s="19">
        <f>H$7*Per_Unit!$D$42</f>
        <v/>
      </c>
      <c r="I51" s="19">
        <f>I$7*Per_Unit!$D$41</f>
        <v/>
      </c>
      <c r="J51" s="19">
        <f>J$7*Per_Unit!$D$40</f>
        <v/>
      </c>
      <c r="K51" s="19">
        <f>K$7*Per_Unit!$D$39</f>
        <v/>
      </c>
      <c r="L51" s="19">
        <f>L$7*Per_Unit!$D$38</f>
        <v/>
      </c>
      <c r="M51" s="19">
        <f>M$7*Per_Unit!$D$37</f>
        <v/>
      </c>
      <c r="N51" s="19">
        <f>N$7*Per_Unit!$D$36</f>
        <v/>
      </c>
      <c r="O51" s="19">
        <f>O$7*Per_Unit!$D$35</f>
        <v/>
      </c>
      <c r="P51" s="19">
        <f>P$7*Per_Unit!$D$34</f>
        <v/>
      </c>
      <c r="Q51" s="19">
        <f>Q$7*Per_Unit!$D$33</f>
        <v/>
      </c>
      <c r="R51" s="19">
        <f>R$7*Per_Unit!$D$32</f>
        <v/>
      </c>
      <c r="S51" s="19">
        <f>S$7*Per_Unit!$D$31</f>
        <v/>
      </c>
      <c r="T51" s="19">
        <f>T$7*Per_Unit!$D$30</f>
        <v/>
      </c>
      <c r="U51" s="19">
        <f>U$7*Per_Unit!$D$29</f>
        <v/>
      </c>
      <c r="V51" s="19">
        <f>V$7*Per_Unit!$D$28</f>
        <v/>
      </c>
      <c r="W51" s="19">
        <f>W$7*Per_Unit!$D$27</f>
        <v/>
      </c>
      <c r="X51" s="19">
        <f>X$7*Per_Unit!$D$26</f>
        <v/>
      </c>
      <c r="Y51" s="19">
        <f>Y$7*Per_Unit!$D$25</f>
        <v/>
      </c>
      <c r="Z51" s="19">
        <f>Z$7*Per_Unit!$D$24</f>
        <v/>
      </c>
      <c r="AA51" s="19">
        <f>AA$7*Per_Unit!$D$23</f>
        <v/>
      </c>
      <c r="AB51" s="19">
        <f>AB$7*Per_Unit!$D$22</f>
        <v/>
      </c>
      <c r="AC51" s="19">
        <f>AC$7*Per_Unit!$D$21</f>
        <v/>
      </c>
      <c r="AD51" s="19">
        <f>AD$7*Per_Unit!$D$20</f>
        <v/>
      </c>
      <c r="AE51" s="19">
        <f>AE$7*Per_Unit!$D$19</f>
        <v/>
      </c>
      <c r="AF51" s="19">
        <f>AF$7*Per_Unit!$D$18</f>
        <v/>
      </c>
      <c r="AG51" s="19">
        <f>AG$7*Per_Unit!$D$17</f>
        <v/>
      </c>
      <c r="AH51" s="19">
        <f>AH$7*Per_Unit!$D$16</f>
        <v/>
      </c>
      <c r="AI51" s="19">
        <f>AI$7*Per_Unit!$D$15</f>
        <v/>
      </c>
      <c r="AJ51" s="19">
        <f>AJ$7*Per_Unit!$D$14</f>
        <v/>
      </c>
      <c r="AK51" s="19">
        <f>AK$7*Per_Unit!$D$13</f>
        <v/>
      </c>
      <c r="AL51" s="19">
        <f>AL$7*Per_Unit!$D$12</f>
        <v/>
      </c>
      <c r="AM51" s="19">
        <f>AM$7*Per_Unit!$D$11</f>
        <v/>
      </c>
      <c r="AN51" s="19">
        <f>AN$7*Per_Unit!$D$10</f>
        <v/>
      </c>
      <c r="AO51" s="19">
        <f>AO$7*Per_Unit!$D$9</f>
        <v/>
      </c>
      <c r="AP51" s="19">
        <f>AP$7*Per_Unit!$D$8</f>
        <v/>
      </c>
      <c r="AQ51" s="19">
        <f>AQ$7*Per_Unit!$D$7</f>
        <v/>
      </c>
    </row>
    <row r="52">
      <c r="A52" s="19" t="n">
        <v>43</v>
      </c>
      <c r="B52" s="19">
        <f>B$7*Per_Unit!$D$49</f>
        <v/>
      </c>
      <c r="C52" s="19">
        <f>C$7*Per_Unit!$D$48</f>
        <v/>
      </c>
      <c r="D52" s="19">
        <f>D$7*Per_Unit!$D$47</f>
        <v/>
      </c>
      <c r="E52" s="19">
        <f>E$7*Per_Unit!$D$46</f>
        <v/>
      </c>
      <c r="F52" s="19">
        <f>F$7*Per_Unit!$D$45</f>
        <v/>
      </c>
      <c r="G52" s="19">
        <f>G$7*Per_Unit!$D$44</f>
        <v/>
      </c>
      <c r="H52" s="19">
        <f>H$7*Per_Unit!$D$43</f>
        <v/>
      </c>
      <c r="I52" s="19">
        <f>I$7*Per_Unit!$D$42</f>
        <v/>
      </c>
      <c r="J52" s="19">
        <f>J$7*Per_Unit!$D$41</f>
        <v/>
      </c>
      <c r="K52" s="19">
        <f>K$7*Per_Unit!$D$40</f>
        <v/>
      </c>
      <c r="L52" s="19">
        <f>L$7*Per_Unit!$D$39</f>
        <v/>
      </c>
      <c r="M52" s="19">
        <f>M$7*Per_Unit!$D$38</f>
        <v/>
      </c>
      <c r="N52" s="19">
        <f>N$7*Per_Unit!$D$37</f>
        <v/>
      </c>
      <c r="O52" s="19">
        <f>O$7*Per_Unit!$D$36</f>
        <v/>
      </c>
      <c r="P52" s="19">
        <f>P$7*Per_Unit!$D$35</f>
        <v/>
      </c>
      <c r="Q52" s="19">
        <f>Q$7*Per_Unit!$D$34</f>
        <v/>
      </c>
      <c r="R52" s="19">
        <f>R$7*Per_Unit!$D$33</f>
        <v/>
      </c>
      <c r="S52" s="19">
        <f>S$7*Per_Unit!$D$32</f>
        <v/>
      </c>
      <c r="T52" s="19">
        <f>T$7*Per_Unit!$D$31</f>
        <v/>
      </c>
      <c r="U52" s="19">
        <f>U$7*Per_Unit!$D$30</f>
        <v/>
      </c>
      <c r="V52" s="19">
        <f>V$7*Per_Unit!$D$29</f>
        <v/>
      </c>
      <c r="W52" s="19">
        <f>W$7*Per_Unit!$D$28</f>
        <v/>
      </c>
      <c r="X52" s="19">
        <f>X$7*Per_Unit!$D$27</f>
        <v/>
      </c>
      <c r="Y52" s="19">
        <f>Y$7*Per_Unit!$D$26</f>
        <v/>
      </c>
      <c r="Z52" s="19">
        <f>Z$7*Per_Unit!$D$25</f>
        <v/>
      </c>
      <c r="AA52" s="19">
        <f>AA$7*Per_Unit!$D$24</f>
        <v/>
      </c>
      <c r="AB52" s="19">
        <f>AB$7*Per_Unit!$D$23</f>
        <v/>
      </c>
      <c r="AC52" s="19">
        <f>AC$7*Per_Unit!$D$22</f>
        <v/>
      </c>
      <c r="AD52" s="19">
        <f>AD$7*Per_Unit!$D$21</f>
        <v/>
      </c>
      <c r="AE52" s="19">
        <f>AE$7*Per_Unit!$D$20</f>
        <v/>
      </c>
      <c r="AF52" s="19">
        <f>AF$7*Per_Unit!$D$19</f>
        <v/>
      </c>
      <c r="AG52" s="19">
        <f>AG$7*Per_Unit!$D$18</f>
        <v/>
      </c>
      <c r="AH52" s="19">
        <f>AH$7*Per_Unit!$D$17</f>
        <v/>
      </c>
      <c r="AI52" s="19">
        <f>AI$7*Per_Unit!$D$16</f>
        <v/>
      </c>
      <c r="AJ52" s="19">
        <f>AJ$7*Per_Unit!$D$15</f>
        <v/>
      </c>
      <c r="AK52" s="19">
        <f>AK$7*Per_Unit!$D$14</f>
        <v/>
      </c>
      <c r="AL52" s="19">
        <f>AL$7*Per_Unit!$D$13</f>
        <v/>
      </c>
      <c r="AM52" s="19">
        <f>AM$7*Per_Unit!$D$12</f>
        <v/>
      </c>
      <c r="AN52" s="19">
        <f>AN$7*Per_Unit!$D$11</f>
        <v/>
      </c>
      <c r="AO52" s="19">
        <f>AO$7*Per_Unit!$D$10</f>
        <v/>
      </c>
      <c r="AP52" s="19">
        <f>AP$7*Per_Unit!$D$9</f>
        <v/>
      </c>
      <c r="AQ52" s="19">
        <f>AQ$7*Per_Unit!$D$8</f>
        <v/>
      </c>
      <c r="AR52" s="19">
        <f>AR$7*Per_Unit!$D$7</f>
        <v/>
      </c>
    </row>
    <row r="53">
      <c r="A53" s="19" t="n">
        <v>44</v>
      </c>
      <c r="B53" s="19">
        <f>B$7*Per_Unit!$D$50</f>
        <v/>
      </c>
      <c r="C53" s="19">
        <f>C$7*Per_Unit!$D$49</f>
        <v/>
      </c>
      <c r="D53" s="19">
        <f>D$7*Per_Unit!$D$48</f>
        <v/>
      </c>
      <c r="E53" s="19">
        <f>E$7*Per_Unit!$D$47</f>
        <v/>
      </c>
      <c r="F53" s="19">
        <f>F$7*Per_Unit!$D$46</f>
        <v/>
      </c>
      <c r="G53" s="19">
        <f>G$7*Per_Unit!$D$45</f>
        <v/>
      </c>
      <c r="H53" s="19">
        <f>H$7*Per_Unit!$D$44</f>
        <v/>
      </c>
      <c r="I53" s="19">
        <f>I$7*Per_Unit!$D$43</f>
        <v/>
      </c>
      <c r="J53" s="19">
        <f>J$7*Per_Unit!$D$42</f>
        <v/>
      </c>
      <c r="K53" s="19">
        <f>K$7*Per_Unit!$D$41</f>
        <v/>
      </c>
      <c r="L53" s="19">
        <f>L$7*Per_Unit!$D$40</f>
        <v/>
      </c>
      <c r="M53" s="19">
        <f>M$7*Per_Unit!$D$39</f>
        <v/>
      </c>
      <c r="N53" s="19">
        <f>N$7*Per_Unit!$D$38</f>
        <v/>
      </c>
      <c r="O53" s="19">
        <f>O$7*Per_Unit!$D$37</f>
        <v/>
      </c>
      <c r="P53" s="19">
        <f>P$7*Per_Unit!$D$36</f>
        <v/>
      </c>
      <c r="Q53" s="19">
        <f>Q$7*Per_Unit!$D$35</f>
        <v/>
      </c>
      <c r="R53" s="19">
        <f>R$7*Per_Unit!$D$34</f>
        <v/>
      </c>
      <c r="S53" s="19">
        <f>S$7*Per_Unit!$D$33</f>
        <v/>
      </c>
      <c r="T53" s="19">
        <f>T$7*Per_Unit!$D$32</f>
        <v/>
      </c>
      <c r="U53" s="19">
        <f>U$7*Per_Unit!$D$31</f>
        <v/>
      </c>
      <c r="V53" s="19">
        <f>V$7*Per_Unit!$D$30</f>
        <v/>
      </c>
      <c r="W53" s="19">
        <f>W$7*Per_Unit!$D$29</f>
        <v/>
      </c>
      <c r="X53" s="19">
        <f>X$7*Per_Unit!$D$28</f>
        <v/>
      </c>
      <c r="Y53" s="19">
        <f>Y$7*Per_Unit!$D$27</f>
        <v/>
      </c>
      <c r="Z53" s="19">
        <f>Z$7*Per_Unit!$D$26</f>
        <v/>
      </c>
      <c r="AA53" s="19">
        <f>AA$7*Per_Unit!$D$25</f>
        <v/>
      </c>
      <c r="AB53" s="19">
        <f>AB$7*Per_Unit!$D$24</f>
        <v/>
      </c>
      <c r="AC53" s="19">
        <f>AC$7*Per_Unit!$D$23</f>
        <v/>
      </c>
      <c r="AD53" s="19">
        <f>AD$7*Per_Unit!$D$22</f>
        <v/>
      </c>
      <c r="AE53" s="19">
        <f>AE$7*Per_Unit!$D$21</f>
        <v/>
      </c>
      <c r="AF53" s="19">
        <f>AF$7*Per_Unit!$D$20</f>
        <v/>
      </c>
      <c r="AG53" s="19">
        <f>AG$7*Per_Unit!$D$19</f>
        <v/>
      </c>
      <c r="AH53" s="19">
        <f>AH$7*Per_Unit!$D$18</f>
        <v/>
      </c>
      <c r="AI53" s="19">
        <f>AI$7*Per_Unit!$D$17</f>
        <v/>
      </c>
      <c r="AJ53" s="19">
        <f>AJ$7*Per_Unit!$D$16</f>
        <v/>
      </c>
      <c r="AK53" s="19">
        <f>AK$7*Per_Unit!$D$15</f>
        <v/>
      </c>
      <c r="AL53" s="19">
        <f>AL$7*Per_Unit!$D$14</f>
        <v/>
      </c>
      <c r="AM53" s="19">
        <f>AM$7*Per_Unit!$D$13</f>
        <v/>
      </c>
      <c r="AN53" s="19">
        <f>AN$7*Per_Unit!$D$12</f>
        <v/>
      </c>
      <c r="AO53" s="19">
        <f>AO$7*Per_Unit!$D$11</f>
        <v/>
      </c>
      <c r="AP53" s="19">
        <f>AP$7*Per_Unit!$D$10</f>
        <v/>
      </c>
      <c r="AQ53" s="19">
        <f>AQ$7*Per_Unit!$D$9</f>
        <v/>
      </c>
      <c r="AR53" s="19">
        <f>AR$7*Per_Unit!$D$8</f>
        <v/>
      </c>
      <c r="AS53" s="19">
        <f>AS$7*Per_Unit!$D$7</f>
        <v/>
      </c>
    </row>
    <row r="54">
      <c r="A54" s="19" t="n">
        <v>45</v>
      </c>
      <c r="B54" s="19">
        <f>B$7*Per_Unit!$D$51</f>
        <v/>
      </c>
      <c r="C54" s="19">
        <f>C$7*Per_Unit!$D$50</f>
        <v/>
      </c>
      <c r="D54" s="19">
        <f>D$7*Per_Unit!$D$49</f>
        <v/>
      </c>
      <c r="E54" s="19">
        <f>E$7*Per_Unit!$D$48</f>
        <v/>
      </c>
      <c r="F54" s="19">
        <f>F$7*Per_Unit!$D$47</f>
        <v/>
      </c>
      <c r="G54" s="19">
        <f>G$7*Per_Unit!$D$46</f>
        <v/>
      </c>
      <c r="H54" s="19">
        <f>H$7*Per_Unit!$D$45</f>
        <v/>
      </c>
      <c r="I54" s="19">
        <f>I$7*Per_Unit!$D$44</f>
        <v/>
      </c>
      <c r="J54" s="19">
        <f>J$7*Per_Unit!$D$43</f>
        <v/>
      </c>
      <c r="K54" s="19">
        <f>K$7*Per_Unit!$D$42</f>
        <v/>
      </c>
      <c r="L54" s="19">
        <f>L$7*Per_Unit!$D$41</f>
        <v/>
      </c>
      <c r="M54" s="19">
        <f>M$7*Per_Unit!$D$40</f>
        <v/>
      </c>
      <c r="N54" s="19">
        <f>N$7*Per_Unit!$D$39</f>
        <v/>
      </c>
      <c r="O54" s="19">
        <f>O$7*Per_Unit!$D$38</f>
        <v/>
      </c>
      <c r="P54" s="19">
        <f>P$7*Per_Unit!$D$37</f>
        <v/>
      </c>
      <c r="Q54" s="19">
        <f>Q$7*Per_Unit!$D$36</f>
        <v/>
      </c>
      <c r="R54" s="19">
        <f>R$7*Per_Unit!$D$35</f>
        <v/>
      </c>
      <c r="S54" s="19">
        <f>S$7*Per_Unit!$D$34</f>
        <v/>
      </c>
      <c r="T54" s="19">
        <f>T$7*Per_Unit!$D$33</f>
        <v/>
      </c>
      <c r="U54" s="19">
        <f>U$7*Per_Unit!$D$32</f>
        <v/>
      </c>
      <c r="V54" s="19">
        <f>V$7*Per_Unit!$D$31</f>
        <v/>
      </c>
      <c r="W54" s="19">
        <f>W$7*Per_Unit!$D$30</f>
        <v/>
      </c>
      <c r="X54" s="19">
        <f>X$7*Per_Unit!$D$29</f>
        <v/>
      </c>
      <c r="Y54" s="19">
        <f>Y$7*Per_Unit!$D$28</f>
        <v/>
      </c>
      <c r="Z54" s="19">
        <f>Z$7*Per_Unit!$D$27</f>
        <v/>
      </c>
      <c r="AA54" s="19">
        <f>AA$7*Per_Unit!$D$26</f>
        <v/>
      </c>
      <c r="AB54" s="19">
        <f>AB$7*Per_Unit!$D$25</f>
        <v/>
      </c>
      <c r="AC54" s="19">
        <f>AC$7*Per_Unit!$D$24</f>
        <v/>
      </c>
      <c r="AD54" s="19">
        <f>AD$7*Per_Unit!$D$23</f>
        <v/>
      </c>
      <c r="AE54" s="19">
        <f>AE$7*Per_Unit!$D$22</f>
        <v/>
      </c>
      <c r="AF54" s="19">
        <f>AF$7*Per_Unit!$D$21</f>
        <v/>
      </c>
      <c r="AG54" s="19">
        <f>AG$7*Per_Unit!$D$20</f>
        <v/>
      </c>
      <c r="AH54" s="19">
        <f>AH$7*Per_Unit!$D$19</f>
        <v/>
      </c>
      <c r="AI54" s="19">
        <f>AI$7*Per_Unit!$D$18</f>
        <v/>
      </c>
      <c r="AJ54" s="19">
        <f>AJ$7*Per_Unit!$D$17</f>
        <v/>
      </c>
      <c r="AK54" s="19">
        <f>AK$7*Per_Unit!$D$16</f>
        <v/>
      </c>
      <c r="AL54" s="19">
        <f>AL$7*Per_Unit!$D$15</f>
        <v/>
      </c>
      <c r="AM54" s="19">
        <f>AM$7*Per_Unit!$D$14</f>
        <v/>
      </c>
      <c r="AN54" s="19">
        <f>AN$7*Per_Unit!$D$13</f>
        <v/>
      </c>
      <c r="AO54" s="19">
        <f>AO$7*Per_Unit!$D$12</f>
        <v/>
      </c>
      <c r="AP54" s="19">
        <f>AP$7*Per_Unit!$D$11</f>
        <v/>
      </c>
      <c r="AQ54" s="19">
        <f>AQ$7*Per_Unit!$D$10</f>
        <v/>
      </c>
      <c r="AR54" s="19">
        <f>AR$7*Per_Unit!$D$9</f>
        <v/>
      </c>
      <c r="AS54" s="19">
        <f>AS$7*Per_Unit!$D$8</f>
        <v/>
      </c>
      <c r="AT54" s="19">
        <f>AT$7*Per_Unit!$D$7</f>
        <v/>
      </c>
    </row>
    <row r="55">
      <c r="A55" s="19" t="n">
        <v>46</v>
      </c>
      <c r="B55" s="19">
        <f>B$7*Per_Unit!$D$52</f>
        <v/>
      </c>
      <c r="C55" s="19">
        <f>C$7*Per_Unit!$D$51</f>
        <v/>
      </c>
      <c r="D55" s="19">
        <f>D$7*Per_Unit!$D$50</f>
        <v/>
      </c>
      <c r="E55" s="19">
        <f>E$7*Per_Unit!$D$49</f>
        <v/>
      </c>
      <c r="F55" s="19">
        <f>F$7*Per_Unit!$D$48</f>
        <v/>
      </c>
      <c r="G55" s="19">
        <f>G$7*Per_Unit!$D$47</f>
        <v/>
      </c>
      <c r="H55" s="19">
        <f>H$7*Per_Unit!$D$46</f>
        <v/>
      </c>
      <c r="I55" s="19">
        <f>I$7*Per_Unit!$D$45</f>
        <v/>
      </c>
      <c r="J55" s="19">
        <f>J$7*Per_Unit!$D$44</f>
        <v/>
      </c>
      <c r="K55" s="19">
        <f>K$7*Per_Unit!$D$43</f>
        <v/>
      </c>
      <c r="L55" s="19">
        <f>L$7*Per_Unit!$D$42</f>
        <v/>
      </c>
      <c r="M55" s="19">
        <f>M$7*Per_Unit!$D$41</f>
        <v/>
      </c>
      <c r="N55" s="19">
        <f>N$7*Per_Unit!$D$40</f>
        <v/>
      </c>
      <c r="O55" s="19">
        <f>O$7*Per_Unit!$D$39</f>
        <v/>
      </c>
      <c r="P55" s="19">
        <f>P$7*Per_Unit!$D$38</f>
        <v/>
      </c>
      <c r="Q55" s="19">
        <f>Q$7*Per_Unit!$D$37</f>
        <v/>
      </c>
      <c r="R55" s="19">
        <f>R$7*Per_Unit!$D$36</f>
        <v/>
      </c>
      <c r="S55" s="19">
        <f>S$7*Per_Unit!$D$35</f>
        <v/>
      </c>
      <c r="T55" s="19">
        <f>T$7*Per_Unit!$D$34</f>
        <v/>
      </c>
      <c r="U55" s="19">
        <f>U$7*Per_Unit!$D$33</f>
        <v/>
      </c>
      <c r="V55" s="19">
        <f>V$7*Per_Unit!$D$32</f>
        <v/>
      </c>
      <c r="W55" s="19">
        <f>W$7*Per_Unit!$D$31</f>
        <v/>
      </c>
      <c r="X55" s="19">
        <f>X$7*Per_Unit!$D$30</f>
        <v/>
      </c>
      <c r="Y55" s="19">
        <f>Y$7*Per_Unit!$D$29</f>
        <v/>
      </c>
      <c r="Z55" s="19">
        <f>Z$7*Per_Unit!$D$28</f>
        <v/>
      </c>
      <c r="AA55" s="19">
        <f>AA$7*Per_Unit!$D$27</f>
        <v/>
      </c>
      <c r="AB55" s="19">
        <f>AB$7*Per_Unit!$D$26</f>
        <v/>
      </c>
      <c r="AC55" s="19">
        <f>AC$7*Per_Unit!$D$25</f>
        <v/>
      </c>
      <c r="AD55" s="19">
        <f>AD$7*Per_Unit!$D$24</f>
        <v/>
      </c>
      <c r="AE55" s="19">
        <f>AE$7*Per_Unit!$D$23</f>
        <v/>
      </c>
      <c r="AF55" s="19">
        <f>AF$7*Per_Unit!$D$22</f>
        <v/>
      </c>
      <c r="AG55" s="19">
        <f>AG$7*Per_Unit!$D$21</f>
        <v/>
      </c>
      <c r="AH55" s="19">
        <f>AH$7*Per_Unit!$D$20</f>
        <v/>
      </c>
      <c r="AI55" s="19">
        <f>AI$7*Per_Unit!$D$19</f>
        <v/>
      </c>
      <c r="AJ55" s="19">
        <f>AJ$7*Per_Unit!$D$18</f>
        <v/>
      </c>
      <c r="AK55" s="19">
        <f>AK$7*Per_Unit!$D$17</f>
        <v/>
      </c>
      <c r="AL55" s="19">
        <f>AL$7*Per_Unit!$D$16</f>
        <v/>
      </c>
      <c r="AM55" s="19">
        <f>AM$7*Per_Unit!$D$15</f>
        <v/>
      </c>
      <c r="AN55" s="19">
        <f>AN$7*Per_Unit!$D$14</f>
        <v/>
      </c>
      <c r="AO55" s="19">
        <f>AO$7*Per_Unit!$D$13</f>
        <v/>
      </c>
      <c r="AP55" s="19">
        <f>AP$7*Per_Unit!$D$12</f>
        <v/>
      </c>
      <c r="AQ55" s="19">
        <f>AQ$7*Per_Unit!$D$11</f>
        <v/>
      </c>
      <c r="AR55" s="19">
        <f>AR$7*Per_Unit!$D$10</f>
        <v/>
      </c>
      <c r="AS55" s="19">
        <f>AS$7*Per_Unit!$D$9</f>
        <v/>
      </c>
      <c r="AT55" s="19">
        <f>AT$7*Per_Unit!$D$8</f>
        <v/>
      </c>
      <c r="AU55" s="19">
        <f>AU$7*Per_Unit!$D$7</f>
        <v/>
      </c>
    </row>
    <row r="56">
      <c r="A56" s="19" t="n">
        <v>47</v>
      </c>
      <c r="B56" s="19">
        <f>B$7*Per_Unit!$D$53</f>
        <v/>
      </c>
      <c r="C56" s="19">
        <f>C$7*Per_Unit!$D$52</f>
        <v/>
      </c>
      <c r="D56" s="19">
        <f>D$7*Per_Unit!$D$51</f>
        <v/>
      </c>
      <c r="E56" s="19">
        <f>E$7*Per_Unit!$D$50</f>
        <v/>
      </c>
      <c r="F56" s="19">
        <f>F$7*Per_Unit!$D$49</f>
        <v/>
      </c>
      <c r="G56" s="19">
        <f>G$7*Per_Unit!$D$48</f>
        <v/>
      </c>
      <c r="H56" s="19">
        <f>H$7*Per_Unit!$D$47</f>
        <v/>
      </c>
      <c r="I56" s="19">
        <f>I$7*Per_Unit!$D$46</f>
        <v/>
      </c>
      <c r="J56" s="19">
        <f>J$7*Per_Unit!$D$45</f>
        <v/>
      </c>
      <c r="K56" s="19">
        <f>K$7*Per_Unit!$D$44</f>
        <v/>
      </c>
      <c r="L56" s="19">
        <f>L$7*Per_Unit!$D$43</f>
        <v/>
      </c>
      <c r="M56" s="19">
        <f>M$7*Per_Unit!$D$42</f>
        <v/>
      </c>
      <c r="N56" s="19">
        <f>N$7*Per_Unit!$D$41</f>
        <v/>
      </c>
      <c r="O56" s="19">
        <f>O$7*Per_Unit!$D$40</f>
        <v/>
      </c>
      <c r="P56" s="19">
        <f>P$7*Per_Unit!$D$39</f>
        <v/>
      </c>
      <c r="Q56" s="19">
        <f>Q$7*Per_Unit!$D$38</f>
        <v/>
      </c>
      <c r="R56" s="19">
        <f>R$7*Per_Unit!$D$37</f>
        <v/>
      </c>
      <c r="S56" s="19">
        <f>S$7*Per_Unit!$D$36</f>
        <v/>
      </c>
      <c r="T56" s="19">
        <f>T$7*Per_Unit!$D$35</f>
        <v/>
      </c>
      <c r="U56" s="19">
        <f>U$7*Per_Unit!$D$34</f>
        <v/>
      </c>
      <c r="V56" s="19">
        <f>V$7*Per_Unit!$D$33</f>
        <v/>
      </c>
      <c r="W56" s="19">
        <f>W$7*Per_Unit!$D$32</f>
        <v/>
      </c>
      <c r="X56" s="19">
        <f>X$7*Per_Unit!$D$31</f>
        <v/>
      </c>
      <c r="Y56" s="19">
        <f>Y$7*Per_Unit!$D$30</f>
        <v/>
      </c>
      <c r="Z56" s="19">
        <f>Z$7*Per_Unit!$D$29</f>
        <v/>
      </c>
      <c r="AA56" s="19">
        <f>AA$7*Per_Unit!$D$28</f>
        <v/>
      </c>
      <c r="AB56" s="19">
        <f>AB$7*Per_Unit!$D$27</f>
        <v/>
      </c>
      <c r="AC56" s="19">
        <f>AC$7*Per_Unit!$D$26</f>
        <v/>
      </c>
      <c r="AD56" s="19">
        <f>AD$7*Per_Unit!$D$25</f>
        <v/>
      </c>
      <c r="AE56" s="19">
        <f>AE$7*Per_Unit!$D$24</f>
        <v/>
      </c>
      <c r="AF56" s="19">
        <f>AF$7*Per_Unit!$D$23</f>
        <v/>
      </c>
      <c r="AG56" s="19">
        <f>AG$7*Per_Unit!$D$22</f>
        <v/>
      </c>
      <c r="AH56" s="19">
        <f>AH$7*Per_Unit!$D$21</f>
        <v/>
      </c>
      <c r="AI56" s="19">
        <f>AI$7*Per_Unit!$D$20</f>
        <v/>
      </c>
      <c r="AJ56" s="19">
        <f>AJ$7*Per_Unit!$D$19</f>
        <v/>
      </c>
      <c r="AK56" s="19">
        <f>AK$7*Per_Unit!$D$18</f>
        <v/>
      </c>
      <c r="AL56" s="19">
        <f>AL$7*Per_Unit!$D$17</f>
        <v/>
      </c>
      <c r="AM56" s="19">
        <f>AM$7*Per_Unit!$D$16</f>
        <v/>
      </c>
      <c r="AN56" s="19">
        <f>AN$7*Per_Unit!$D$15</f>
        <v/>
      </c>
      <c r="AO56" s="19">
        <f>AO$7*Per_Unit!$D$14</f>
        <v/>
      </c>
      <c r="AP56" s="19">
        <f>AP$7*Per_Unit!$D$13</f>
        <v/>
      </c>
      <c r="AQ56" s="19">
        <f>AQ$7*Per_Unit!$D$12</f>
        <v/>
      </c>
      <c r="AR56" s="19">
        <f>AR$7*Per_Unit!$D$11</f>
        <v/>
      </c>
      <c r="AS56" s="19">
        <f>AS$7*Per_Unit!$D$10</f>
        <v/>
      </c>
      <c r="AT56" s="19">
        <f>AT$7*Per_Unit!$D$9</f>
        <v/>
      </c>
      <c r="AU56" s="19">
        <f>AU$7*Per_Unit!$D$8</f>
        <v/>
      </c>
      <c r="AV56" s="19">
        <f>AV$7*Per_Unit!$D$7</f>
        <v/>
      </c>
    </row>
    <row r="57">
      <c r="A57" s="19" t="n">
        <v>48</v>
      </c>
      <c r="B57" s="19">
        <f>B$7*Per_Unit!$D$54</f>
        <v/>
      </c>
      <c r="C57" s="19">
        <f>C$7*Per_Unit!$D$53</f>
        <v/>
      </c>
      <c r="D57" s="19">
        <f>D$7*Per_Unit!$D$52</f>
        <v/>
      </c>
      <c r="E57" s="19">
        <f>E$7*Per_Unit!$D$51</f>
        <v/>
      </c>
      <c r="F57" s="19">
        <f>F$7*Per_Unit!$D$50</f>
        <v/>
      </c>
      <c r="G57" s="19">
        <f>G$7*Per_Unit!$D$49</f>
        <v/>
      </c>
      <c r="H57" s="19">
        <f>H$7*Per_Unit!$D$48</f>
        <v/>
      </c>
      <c r="I57" s="19">
        <f>I$7*Per_Unit!$D$47</f>
        <v/>
      </c>
      <c r="J57" s="19">
        <f>J$7*Per_Unit!$D$46</f>
        <v/>
      </c>
      <c r="K57" s="19">
        <f>K$7*Per_Unit!$D$45</f>
        <v/>
      </c>
      <c r="L57" s="19">
        <f>L$7*Per_Unit!$D$44</f>
        <v/>
      </c>
      <c r="M57" s="19">
        <f>M$7*Per_Unit!$D$43</f>
        <v/>
      </c>
      <c r="N57" s="19">
        <f>N$7*Per_Unit!$D$42</f>
        <v/>
      </c>
      <c r="O57" s="19">
        <f>O$7*Per_Unit!$D$41</f>
        <v/>
      </c>
      <c r="P57" s="19">
        <f>P$7*Per_Unit!$D$40</f>
        <v/>
      </c>
      <c r="Q57" s="19">
        <f>Q$7*Per_Unit!$D$39</f>
        <v/>
      </c>
      <c r="R57" s="19">
        <f>R$7*Per_Unit!$D$38</f>
        <v/>
      </c>
      <c r="S57" s="19">
        <f>S$7*Per_Unit!$D$37</f>
        <v/>
      </c>
      <c r="T57" s="19">
        <f>T$7*Per_Unit!$D$36</f>
        <v/>
      </c>
      <c r="U57" s="19">
        <f>U$7*Per_Unit!$D$35</f>
        <v/>
      </c>
      <c r="V57" s="19">
        <f>V$7*Per_Unit!$D$34</f>
        <v/>
      </c>
      <c r="W57" s="19">
        <f>W$7*Per_Unit!$D$33</f>
        <v/>
      </c>
      <c r="X57" s="19">
        <f>X$7*Per_Unit!$D$32</f>
        <v/>
      </c>
      <c r="Y57" s="19">
        <f>Y$7*Per_Unit!$D$31</f>
        <v/>
      </c>
      <c r="Z57" s="19">
        <f>Z$7*Per_Unit!$D$30</f>
        <v/>
      </c>
      <c r="AA57" s="19">
        <f>AA$7*Per_Unit!$D$29</f>
        <v/>
      </c>
      <c r="AB57" s="19">
        <f>AB$7*Per_Unit!$D$28</f>
        <v/>
      </c>
      <c r="AC57" s="19">
        <f>AC$7*Per_Unit!$D$27</f>
        <v/>
      </c>
      <c r="AD57" s="19">
        <f>AD$7*Per_Unit!$D$26</f>
        <v/>
      </c>
      <c r="AE57" s="19">
        <f>AE$7*Per_Unit!$D$25</f>
        <v/>
      </c>
      <c r="AF57" s="19">
        <f>AF$7*Per_Unit!$D$24</f>
        <v/>
      </c>
      <c r="AG57" s="19">
        <f>AG$7*Per_Unit!$D$23</f>
        <v/>
      </c>
      <c r="AH57" s="19">
        <f>AH$7*Per_Unit!$D$22</f>
        <v/>
      </c>
      <c r="AI57" s="19">
        <f>AI$7*Per_Unit!$D$21</f>
        <v/>
      </c>
      <c r="AJ57" s="19">
        <f>AJ$7*Per_Unit!$D$20</f>
        <v/>
      </c>
      <c r="AK57" s="19">
        <f>AK$7*Per_Unit!$D$19</f>
        <v/>
      </c>
      <c r="AL57" s="19">
        <f>AL$7*Per_Unit!$D$18</f>
        <v/>
      </c>
      <c r="AM57" s="19">
        <f>AM$7*Per_Unit!$D$17</f>
        <v/>
      </c>
      <c r="AN57" s="19">
        <f>AN$7*Per_Unit!$D$16</f>
        <v/>
      </c>
      <c r="AO57" s="19">
        <f>AO$7*Per_Unit!$D$15</f>
        <v/>
      </c>
      <c r="AP57" s="19">
        <f>AP$7*Per_Unit!$D$14</f>
        <v/>
      </c>
      <c r="AQ57" s="19">
        <f>AQ$7*Per_Unit!$D$13</f>
        <v/>
      </c>
      <c r="AR57" s="19">
        <f>AR$7*Per_Unit!$D$12</f>
        <v/>
      </c>
      <c r="AS57" s="19">
        <f>AS$7*Per_Unit!$D$11</f>
        <v/>
      </c>
      <c r="AT57" s="19">
        <f>AT$7*Per_Unit!$D$10</f>
        <v/>
      </c>
      <c r="AU57" s="19">
        <f>AU$7*Per_Unit!$D$9</f>
        <v/>
      </c>
      <c r="AV57" s="19">
        <f>AV$7*Per_Unit!$D$8</f>
        <v/>
      </c>
      <c r="AW57" s="19">
        <f>AW$7*Per_Unit!$D$7</f>
        <v/>
      </c>
    </row>
    <row r="58">
      <c r="A58" s="19" t="n">
        <v>49</v>
      </c>
      <c r="B58" s="19">
        <f>B$7*Per_Unit!$D$55</f>
        <v/>
      </c>
      <c r="C58" s="19">
        <f>C$7*Per_Unit!$D$54</f>
        <v/>
      </c>
      <c r="D58" s="19">
        <f>D$7*Per_Unit!$D$53</f>
        <v/>
      </c>
      <c r="E58" s="19">
        <f>E$7*Per_Unit!$D$52</f>
        <v/>
      </c>
      <c r="F58" s="19">
        <f>F$7*Per_Unit!$D$51</f>
        <v/>
      </c>
      <c r="G58" s="19">
        <f>G$7*Per_Unit!$D$50</f>
        <v/>
      </c>
      <c r="H58" s="19">
        <f>H$7*Per_Unit!$D$49</f>
        <v/>
      </c>
      <c r="I58" s="19">
        <f>I$7*Per_Unit!$D$48</f>
        <v/>
      </c>
      <c r="J58" s="19">
        <f>J$7*Per_Unit!$D$47</f>
        <v/>
      </c>
      <c r="K58" s="19">
        <f>K$7*Per_Unit!$D$46</f>
        <v/>
      </c>
      <c r="L58" s="19">
        <f>L$7*Per_Unit!$D$45</f>
        <v/>
      </c>
      <c r="M58" s="19">
        <f>M$7*Per_Unit!$D$44</f>
        <v/>
      </c>
      <c r="N58" s="19">
        <f>N$7*Per_Unit!$D$43</f>
        <v/>
      </c>
      <c r="O58" s="19">
        <f>O$7*Per_Unit!$D$42</f>
        <v/>
      </c>
      <c r="P58" s="19">
        <f>P$7*Per_Unit!$D$41</f>
        <v/>
      </c>
      <c r="Q58" s="19">
        <f>Q$7*Per_Unit!$D$40</f>
        <v/>
      </c>
      <c r="R58" s="19">
        <f>R$7*Per_Unit!$D$39</f>
        <v/>
      </c>
      <c r="S58" s="19">
        <f>S$7*Per_Unit!$D$38</f>
        <v/>
      </c>
      <c r="T58" s="19">
        <f>T$7*Per_Unit!$D$37</f>
        <v/>
      </c>
      <c r="U58" s="19">
        <f>U$7*Per_Unit!$D$36</f>
        <v/>
      </c>
      <c r="V58" s="19">
        <f>V$7*Per_Unit!$D$35</f>
        <v/>
      </c>
      <c r="W58" s="19">
        <f>W$7*Per_Unit!$D$34</f>
        <v/>
      </c>
      <c r="X58" s="19">
        <f>X$7*Per_Unit!$D$33</f>
        <v/>
      </c>
      <c r="Y58" s="19">
        <f>Y$7*Per_Unit!$D$32</f>
        <v/>
      </c>
      <c r="Z58" s="19">
        <f>Z$7*Per_Unit!$D$31</f>
        <v/>
      </c>
      <c r="AA58" s="19">
        <f>AA$7*Per_Unit!$D$30</f>
        <v/>
      </c>
      <c r="AB58" s="19">
        <f>AB$7*Per_Unit!$D$29</f>
        <v/>
      </c>
      <c r="AC58" s="19">
        <f>AC$7*Per_Unit!$D$28</f>
        <v/>
      </c>
      <c r="AD58" s="19">
        <f>AD$7*Per_Unit!$D$27</f>
        <v/>
      </c>
      <c r="AE58" s="19">
        <f>AE$7*Per_Unit!$D$26</f>
        <v/>
      </c>
      <c r="AF58" s="19">
        <f>AF$7*Per_Unit!$D$25</f>
        <v/>
      </c>
      <c r="AG58" s="19">
        <f>AG$7*Per_Unit!$D$24</f>
        <v/>
      </c>
      <c r="AH58" s="19">
        <f>AH$7*Per_Unit!$D$23</f>
        <v/>
      </c>
      <c r="AI58" s="19">
        <f>AI$7*Per_Unit!$D$22</f>
        <v/>
      </c>
      <c r="AJ58" s="19">
        <f>AJ$7*Per_Unit!$D$21</f>
        <v/>
      </c>
      <c r="AK58" s="19">
        <f>AK$7*Per_Unit!$D$20</f>
        <v/>
      </c>
      <c r="AL58" s="19">
        <f>AL$7*Per_Unit!$D$19</f>
        <v/>
      </c>
      <c r="AM58" s="19">
        <f>AM$7*Per_Unit!$D$18</f>
        <v/>
      </c>
      <c r="AN58" s="19">
        <f>AN$7*Per_Unit!$D$17</f>
        <v/>
      </c>
      <c r="AO58" s="19">
        <f>AO$7*Per_Unit!$D$16</f>
        <v/>
      </c>
      <c r="AP58" s="19">
        <f>AP$7*Per_Unit!$D$15</f>
        <v/>
      </c>
      <c r="AQ58" s="19">
        <f>AQ$7*Per_Unit!$D$14</f>
        <v/>
      </c>
      <c r="AR58" s="19">
        <f>AR$7*Per_Unit!$D$13</f>
        <v/>
      </c>
      <c r="AS58" s="19">
        <f>AS$7*Per_Unit!$D$12</f>
        <v/>
      </c>
      <c r="AT58" s="19">
        <f>AT$7*Per_Unit!$D$11</f>
        <v/>
      </c>
      <c r="AU58" s="19">
        <f>AU$7*Per_Unit!$D$10</f>
        <v/>
      </c>
      <c r="AV58" s="19">
        <f>AV$7*Per_Unit!$D$9</f>
        <v/>
      </c>
      <c r="AW58" s="19">
        <f>AW$7*Per_Unit!$D$8</f>
        <v/>
      </c>
      <c r="AX58" s="19">
        <f>AX$7*Per_Unit!$D$7</f>
        <v/>
      </c>
    </row>
    <row r="59">
      <c r="A59" s="19" t="n">
        <v>50</v>
      </c>
      <c r="B59" s="19">
        <f>B$7*Per_Unit!$D$56</f>
        <v/>
      </c>
      <c r="C59" s="19">
        <f>C$7*Per_Unit!$D$55</f>
        <v/>
      </c>
      <c r="D59" s="19">
        <f>D$7*Per_Unit!$D$54</f>
        <v/>
      </c>
      <c r="E59" s="19">
        <f>E$7*Per_Unit!$D$53</f>
        <v/>
      </c>
      <c r="F59" s="19">
        <f>F$7*Per_Unit!$D$52</f>
        <v/>
      </c>
      <c r="G59" s="19">
        <f>G$7*Per_Unit!$D$51</f>
        <v/>
      </c>
      <c r="H59" s="19">
        <f>H$7*Per_Unit!$D$50</f>
        <v/>
      </c>
      <c r="I59" s="19">
        <f>I$7*Per_Unit!$D$49</f>
        <v/>
      </c>
      <c r="J59" s="19">
        <f>J$7*Per_Unit!$D$48</f>
        <v/>
      </c>
      <c r="K59" s="19">
        <f>K$7*Per_Unit!$D$47</f>
        <v/>
      </c>
      <c r="L59" s="19">
        <f>L$7*Per_Unit!$D$46</f>
        <v/>
      </c>
      <c r="M59" s="19">
        <f>M$7*Per_Unit!$D$45</f>
        <v/>
      </c>
      <c r="N59" s="19">
        <f>N$7*Per_Unit!$D$44</f>
        <v/>
      </c>
      <c r="O59" s="19">
        <f>O$7*Per_Unit!$D$43</f>
        <v/>
      </c>
      <c r="P59" s="19">
        <f>P$7*Per_Unit!$D$42</f>
        <v/>
      </c>
      <c r="Q59" s="19">
        <f>Q$7*Per_Unit!$D$41</f>
        <v/>
      </c>
      <c r="R59" s="19">
        <f>R$7*Per_Unit!$D$40</f>
        <v/>
      </c>
      <c r="S59" s="19">
        <f>S$7*Per_Unit!$D$39</f>
        <v/>
      </c>
      <c r="T59" s="19">
        <f>T$7*Per_Unit!$D$38</f>
        <v/>
      </c>
      <c r="U59" s="19">
        <f>U$7*Per_Unit!$D$37</f>
        <v/>
      </c>
      <c r="V59" s="19">
        <f>V$7*Per_Unit!$D$36</f>
        <v/>
      </c>
      <c r="W59" s="19">
        <f>W$7*Per_Unit!$D$35</f>
        <v/>
      </c>
      <c r="X59" s="19">
        <f>X$7*Per_Unit!$D$34</f>
        <v/>
      </c>
      <c r="Y59" s="19">
        <f>Y$7*Per_Unit!$D$33</f>
        <v/>
      </c>
      <c r="Z59" s="19">
        <f>Z$7*Per_Unit!$D$32</f>
        <v/>
      </c>
      <c r="AA59" s="19">
        <f>AA$7*Per_Unit!$D$31</f>
        <v/>
      </c>
      <c r="AB59" s="19">
        <f>AB$7*Per_Unit!$D$30</f>
        <v/>
      </c>
      <c r="AC59" s="19">
        <f>AC$7*Per_Unit!$D$29</f>
        <v/>
      </c>
      <c r="AD59" s="19">
        <f>AD$7*Per_Unit!$D$28</f>
        <v/>
      </c>
      <c r="AE59" s="19">
        <f>AE$7*Per_Unit!$D$27</f>
        <v/>
      </c>
      <c r="AF59" s="19">
        <f>AF$7*Per_Unit!$D$26</f>
        <v/>
      </c>
      <c r="AG59" s="19">
        <f>AG$7*Per_Unit!$D$25</f>
        <v/>
      </c>
      <c r="AH59" s="19">
        <f>AH$7*Per_Unit!$D$24</f>
        <v/>
      </c>
      <c r="AI59" s="19">
        <f>AI$7*Per_Unit!$D$23</f>
        <v/>
      </c>
      <c r="AJ59" s="19">
        <f>AJ$7*Per_Unit!$D$22</f>
        <v/>
      </c>
      <c r="AK59" s="19">
        <f>AK$7*Per_Unit!$D$21</f>
        <v/>
      </c>
      <c r="AL59" s="19">
        <f>AL$7*Per_Unit!$D$20</f>
        <v/>
      </c>
      <c r="AM59" s="19">
        <f>AM$7*Per_Unit!$D$19</f>
        <v/>
      </c>
      <c r="AN59" s="19">
        <f>AN$7*Per_Unit!$D$18</f>
        <v/>
      </c>
      <c r="AO59" s="19">
        <f>AO$7*Per_Unit!$D$17</f>
        <v/>
      </c>
      <c r="AP59" s="19">
        <f>AP$7*Per_Unit!$D$16</f>
        <v/>
      </c>
      <c r="AQ59" s="19">
        <f>AQ$7*Per_Unit!$D$15</f>
        <v/>
      </c>
      <c r="AR59" s="19">
        <f>AR$7*Per_Unit!$D$14</f>
        <v/>
      </c>
      <c r="AS59" s="19">
        <f>AS$7*Per_Unit!$D$13</f>
        <v/>
      </c>
      <c r="AT59" s="19">
        <f>AT$7*Per_Unit!$D$12</f>
        <v/>
      </c>
      <c r="AU59" s="19">
        <f>AU$7*Per_Unit!$D$11</f>
        <v/>
      </c>
      <c r="AV59" s="19">
        <f>AV$7*Per_Unit!$D$10</f>
        <v/>
      </c>
      <c r="AW59" s="19">
        <f>AW$7*Per_Unit!$D$9</f>
        <v/>
      </c>
      <c r="AX59" s="19">
        <f>AX$7*Per_Unit!$D$8</f>
        <v/>
      </c>
      <c r="AY59" s="19">
        <f>AY$7*Per_Unit!$D$7</f>
        <v/>
      </c>
    </row>
    <row r="60">
      <c r="A60" s="19" t="n">
        <v>51</v>
      </c>
      <c r="B60" s="19">
        <f>B$7*Per_Unit!$D$57</f>
        <v/>
      </c>
      <c r="C60" s="19">
        <f>C$7*Per_Unit!$D$56</f>
        <v/>
      </c>
      <c r="D60" s="19">
        <f>D$7*Per_Unit!$D$55</f>
        <v/>
      </c>
      <c r="E60" s="19">
        <f>E$7*Per_Unit!$D$54</f>
        <v/>
      </c>
      <c r="F60" s="19">
        <f>F$7*Per_Unit!$D$53</f>
        <v/>
      </c>
      <c r="G60" s="19">
        <f>G$7*Per_Unit!$D$52</f>
        <v/>
      </c>
      <c r="H60" s="19">
        <f>H$7*Per_Unit!$D$51</f>
        <v/>
      </c>
      <c r="I60" s="19">
        <f>I$7*Per_Unit!$D$50</f>
        <v/>
      </c>
      <c r="J60" s="19">
        <f>J$7*Per_Unit!$D$49</f>
        <v/>
      </c>
      <c r="K60" s="19">
        <f>K$7*Per_Unit!$D$48</f>
        <v/>
      </c>
      <c r="L60" s="19">
        <f>L$7*Per_Unit!$D$47</f>
        <v/>
      </c>
      <c r="M60" s="19">
        <f>M$7*Per_Unit!$D$46</f>
        <v/>
      </c>
      <c r="N60" s="19">
        <f>N$7*Per_Unit!$D$45</f>
        <v/>
      </c>
      <c r="O60" s="19">
        <f>O$7*Per_Unit!$D$44</f>
        <v/>
      </c>
      <c r="P60" s="19">
        <f>P$7*Per_Unit!$D$43</f>
        <v/>
      </c>
      <c r="Q60" s="19">
        <f>Q$7*Per_Unit!$D$42</f>
        <v/>
      </c>
      <c r="R60" s="19">
        <f>R$7*Per_Unit!$D$41</f>
        <v/>
      </c>
      <c r="S60" s="19">
        <f>S$7*Per_Unit!$D$40</f>
        <v/>
      </c>
      <c r="T60" s="19">
        <f>T$7*Per_Unit!$D$39</f>
        <v/>
      </c>
      <c r="U60" s="19">
        <f>U$7*Per_Unit!$D$38</f>
        <v/>
      </c>
      <c r="V60" s="19">
        <f>V$7*Per_Unit!$D$37</f>
        <v/>
      </c>
      <c r="W60" s="19">
        <f>W$7*Per_Unit!$D$36</f>
        <v/>
      </c>
      <c r="X60" s="19">
        <f>X$7*Per_Unit!$D$35</f>
        <v/>
      </c>
      <c r="Y60" s="19">
        <f>Y$7*Per_Unit!$D$34</f>
        <v/>
      </c>
      <c r="Z60" s="19">
        <f>Z$7*Per_Unit!$D$33</f>
        <v/>
      </c>
      <c r="AA60" s="19">
        <f>AA$7*Per_Unit!$D$32</f>
        <v/>
      </c>
      <c r="AB60" s="19">
        <f>AB$7*Per_Unit!$D$31</f>
        <v/>
      </c>
      <c r="AC60" s="19">
        <f>AC$7*Per_Unit!$D$30</f>
        <v/>
      </c>
      <c r="AD60" s="19">
        <f>AD$7*Per_Unit!$D$29</f>
        <v/>
      </c>
      <c r="AE60" s="19">
        <f>AE$7*Per_Unit!$D$28</f>
        <v/>
      </c>
      <c r="AF60" s="19">
        <f>AF$7*Per_Unit!$D$27</f>
        <v/>
      </c>
      <c r="AG60" s="19">
        <f>AG$7*Per_Unit!$D$26</f>
        <v/>
      </c>
      <c r="AH60" s="19">
        <f>AH$7*Per_Unit!$D$25</f>
        <v/>
      </c>
      <c r="AI60" s="19">
        <f>AI$7*Per_Unit!$D$24</f>
        <v/>
      </c>
      <c r="AJ60" s="19">
        <f>AJ$7*Per_Unit!$D$23</f>
        <v/>
      </c>
      <c r="AK60" s="19">
        <f>AK$7*Per_Unit!$D$22</f>
        <v/>
      </c>
      <c r="AL60" s="19">
        <f>AL$7*Per_Unit!$D$21</f>
        <v/>
      </c>
      <c r="AM60" s="19">
        <f>AM$7*Per_Unit!$D$20</f>
        <v/>
      </c>
      <c r="AN60" s="19">
        <f>AN$7*Per_Unit!$D$19</f>
        <v/>
      </c>
      <c r="AO60" s="19">
        <f>AO$7*Per_Unit!$D$18</f>
        <v/>
      </c>
      <c r="AP60" s="19">
        <f>AP$7*Per_Unit!$D$17</f>
        <v/>
      </c>
      <c r="AQ60" s="19">
        <f>AQ$7*Per_Unit!$D$16</f>
        <v/>
      </c>
      <c r="AR60" s="19">
        <f>AR$7*Per_Unit!$D$15</f>
        <v/>
      </c>
      <c r="AS60" s="19">
        <f>AS$7*Per_Unit!$D$14</f>
        <v/>
      </c>
      <c r="AT60" s="19">
        <f>AT$7*Per_Unit!$D$13</f>
        <v/>
      </c>
      <c r="AU60" s="19">
        <f>AU$7*Per_Unit!$D$12</f>
        <v/>
      </c>
      <c r="AV60" s="19">
        <f>AV$7*Per_Unit!$D$11</f>
        <v/>
      </c>
      <c r="AW60" s="19">
        <f>AW$7*Per_Unit!$D$10</f>
        <v/>
      </c>
      <c r="AX60" s="19">
        <f>AX$7*Per_Unit!$D$9</f>
        <v/>
      </c>
      <c r="AY60" s="19">
        <f>AY$7*Per_Unit!$D$8</f>
        <v/>
      </c>
      <c r="AZ60" s="19">
        <f>AZ$7*Per_Unit!$D$7</f>
        <v/>
      </c>
    </row>
    <row r="61">
      <c r="A61" s="19" t="n">
        <v>52</v>
      </c>
      <c r="B61" s="19">
        <f>B$7*Per_Unit!$D$58</f>
        <v/>
      </c>
      <c r="C61" s="19">
        <f>C$7*Per_Unit!$D$57</f>
        <v/>
      </c>
      <c r="D61" s="19">
        <f>D$7*Per_Unit!$D$56</f>
        <v/>
      </c>
      <c r="E61" s="19">
        <f>E$7*Per_Unit!$D$55</f>
        <v/>
      </c>
      <c r="F61" s="19">
        <f>F$7*Per_Unit!$D$54</f>
        <v/>
      </c>
      <c r="G61" s="19">
        <f>G$7*Per_Unit!$D$53</f>
        <v/>
      </c>
      <c r="H61" s="19">
        <f>H$7*Per_Unit!$D$52</f>
        <v/>
      </c>
      <c r="I61" s="19">
        <f>I$7*Per_Unit!$D$51</f>
        <v/>
      </c>
      <c r="J61" s="19">
        <f>J$7*Per_Unit!$D$50</f>
        <v/>
      </c>
      <c r="K61" s="19">
        <f>K$7*Per_Unit!$D$49</f>
        <v/>
      </c>
      <c r="L61" s="19">
        <f>L$7*Per_Unit!$D$48</f>
        <v/>
      </c>
      <c r="M61" s="19">
        <f>M$7*Per_Unit!$D$47</f>
        <v/>
      </c>
      <c r="N61" s="19">
        <f>N$7*Per_Unit!$D$46</f>
        <v/>
      </c>
      <c r="O61" s="19">
        <f>O$7*Per_Unit!$D$45</f>
        <v/>
      </c>
      <c r="P61" s="19">
        <f>P$7*Per_Unit!$D$44</f>
        <v/>
      </c>
      <c r="Q61" s="19">
        <f>Q$7*Per_Unit!$D$43</f>
        <v/>
      </c>
      <c r="R61" s="19">
        <f>R$7*Per_Unit!$D$42</f>
        <v/>
      </c>
      <c r="S61" s="19">
        <f>S$7*Per_Unit!$D$41</f>
        <v/>
      </c>
      <c r="T61" s="19">
        <f>T$7*Per_Unit!$D$40</f>
        <v/>
      </c>
      <c r="U61" s="19">
        <f>U$7*Per_Unit!$D$39</f>
        <v/>
      </c>
      <c r="V61" s="19">
        <f>V$7*Per_Unit!$D$38</f>
        <v/>
      </c>
      <c r="W61" s="19">
        <f>W$7*Per_Unit!$D$37</f>
        <v/>
      </c>
      <c r="X61" s="19">
        <f>X$7*Per_Unit!$D$36</f>
        <v/>
      </c>
      <c r="Y61" s="19">
        <f>Y$7*Per_Unit!$D$35</f>
        <v/>
      </c>
      <c r="Z61" s="19">
        <f>Z$7*Per_Unit!$D$34</f>
        <v/>
      </c>
      <c r="AA61" s="19">
        <f>AA$7*Per_Unit!$D$33</f>
        <v/>
      </c>
      <c r="AB61" s="19">
        <f>AB$7*Per_Unit!$D$32</f>
        <v/>
      </c>
      <c r="AC61" s="19">
        <f>AC$7*Per_Unit!$D$31</f>
        <v/>
      </c>
      <c r="AD61" s="19">
        <f>AD$7*Per_Unit!$D$30</f>
        <v/>
      </c>
      <c r="AE61" s="19">
        <f>AE$7*Per_Unit!$D$29</f>
        <v/>
      </c>
      <c r="AF61" s="19">
        <f>AF$7*Per_Unit!$D$28</f>
        <v/>
      </c>
      <c r="AG61" s="19">
        <f>AG$7*Per_Unit!$D$27</f>
        <v/>
      </c>
      <c r="AH61" s="19">
        <f>AH$7*Per_Unit!$D$26</f>
        <v/>
      </c>
      <c r="AI61" s="19">
        <f>AI$7*Per_Unit!$D$25</f>
        <v/>
      </c>
      <c r="AJ61" s="19">
        <f>AJ$7*Per_Unit!$D$24</f>
        <v/>
      </c>
      <c r="AK61" s="19">
        <f>AK$7*Per_Unit!$D$23</f>
        <v/>
      </c>
      <c r="AL61" s="19">
        <f>AL$7*Per_Unit!$D$22</f>
        <v/>
      </c>
      <c r="AM61" s="19">
        <f>AM$7*Per_Unit!$D$21</f>
        <v/>
      </c>
      <c r="AN61" s="19">
        <f>AN$7*Per_Unit!$D$20</f>
        <v/>
      </c>
      <c r="AO61" s="19">
        <f>AO$7*Per_Unit!$D$19</f>
        <v/>
      </c>
      <c r="AP61" s="19">
        <f>AP$7*Per_Unit!$D$18</f>
        <v/>
      </c>
      <c r="AQ61" s="19">
        <f>AQ$7*Per_Unit!$D$17</f>
        <v/>
      </c>
      <c r="AR61" s="19">
        <f>AR$7*Per_Unit!$D$16</f>
        <v/>
      </c>
      <c r="AS61" s="19">
        <f>AS$7*Per_Unit!$D$15</f>
        <v/>
      </c>
      <c r="AT61" s="19">
        <f>AT$7*Per_Unit!$D$14</f>
        <v/>
      </c>
      <c r="AU61" s="19">
        <f>AU$7*Per_Unit!$D$13</f>
        <v/>
      </c>
      <c r="AV61" s="19">
        <f>AV$7*Per_Unit!$D$12</f>
        <v/>
      </c>
      <c r="AW61" s="19">
        <f>AW$7*Per_Unit!$D$11</f>
        <v/>
      </c>
      <c r="AX61" s="19">
        <f>AX$7*Per_Unit!$D$10</f>
        <v/>
      </c>
      <c r="AY61" s="19">
        <f>AY$7*Per_Unit!$D$9</f>
        <v/>
      </c>
      <c r="AZ61" s="19">
        <f>AZ$7*Per_Unit!$D$8</f>
        <v/>
      </c>
      <c r="BA61" s="19">
        <f>BA$7*Per_Unit!$D$7</f>
        <v/>
      </c>
    </row>
    <row r="62">
      <c r="A62" s="19" t="n">
        <v>53</v>
      </c>
      <c r="B62" s="19">
        <f>B$7*Per_Unit!$D$59</f>
        <v/>
      </c>
      <c r="C62" s="19">
        <f>C$7*Per_Unit!$D$58</f>
        <v/>
      </c>
      <c r="D62" s="19">
        <f>D$7*Per_Unit!$D$57</f>
        <v/>
      </c>
      <c r="E62" s="19">
        <f>E$7*Per_Unit!$D$56</f>
        <v/>
      </c>
      <c r="F62" s="19">
        <f>F$7*Per_Unit!$D$55</f>
        <v/>
      </c>
      <c r="G62" s="19">
        <f>G$7*Per_Unit!$D$54</f>
        <v/>
      </c>
      <c r="H62" s="19">
        <f>H$7*Per_Unit!$D$53</f>
        <v/>
      </c>
      <c r="I62" s="19">
        <f>I$7*Per_Unit!$D$52</f>
        <v/>
      </c>
      <c r="J62" s="19">
        <f>J$7*Per_Unit!$D$51</f>
        <v/>
      </c>
      <c r="K62" s="19">
        <f>K$7*Per_Unit!$D$50</f>
        <v/>
      </c>
      <c r="L62" s="19">
        <f>L$7*Per_Unit!$D$49</f>
        <v/>
      </c>
      <c r="M62" s="19">
        <f>M$7*Per_Unit!$D$48</f>
        <v/>
      </c>
      <c r="N62" s="19">
        <f>N$7*Per_Unit!$D$47</f>
        <v/>
      </c>
      <c r="O62" s="19">
        <f>O$7*Per_Unit!$D$46</f>
        <v/>
      </c>
      <c r="P62" s="19">
        <f>P$7*Per_Unit!$D$45</f>
        <v/>
      </c>
      <c r="Q62" s="19">
        <f>Q$7*Per_Unit!$D$44</f>
        <v/>
      </c>
      <c r="R62" s="19">
        <f>R$7*Per_Unit!$D$43</f>
        <v/>
      </c>
      <c r="S62" s="19">
        <f>S$7*Per_Unit!$D$42</f>
        <v/>
      </c>
      <c r="T62" s="19">
        <f>T$7*Per_Unit!$D$41</f>
        <v/>
      </c>
      <c r="U62" s="19">
        <f>U$7*Per_Unit!$D$40</f>
        <v/>
      </c>
      <c r="V62" s="19">
        <f>V$7*Per_Unit!$D$39</f>
        <v/>
      </c>
      <c r="W62" s="19">
        <f>W$7*Per_Unit!$D$38</f>
        <v/>
      </c>
      <c r="X62" s="19">
        <f>X$7*Per_Unit!$D$37</f>
        <v/>
      </c>
      <c r="Y62" s="19">
        <f>Y$7*Per_Unit!$D$36</f>
        <v/>
      </c>
      <c r="Z62" s="19">
        <f>Z$7*Per_Unit!$D$35</f>
        <v/>
      </c>
      <c r="AA62" s="19">
        <f>AA$7*Per_Unit!$D$34</f>
        <v/>
      </c>
      <c r="AB62" s="19">
        <f>AB$7*Per_Unit!$D$33</f>
        <v/>
      </c>
      <c r="AC62" s="19">
        <f>AC$7*Per_Unit!$D$32</f>
        <v/>
      </c>
      <c r="AD62" s="19">
        <f>AD$7*Per_Unit!$D$31</f>
        <v/>
      </c>
      <c r="AE62" s="19">
        <f>AE$7*Per_Unit!$D$30</f>
        <v/>
      </c>
      <c r="AF62" s="19">
        <f>AF$7*Per_Unit!$D$29</f>
        <v/>
      </c>
      <c r="AG62" s="19">
        <f>AG$7*Per_Unit!$D$28</f>
        <v/>
      </c>
      <c r="AH62" s="19">
        <f>AH$7*Per_Unit!$D$27</f>
        <v/>
      </c>
      <c r="AI62" s="19">
        <f>AI$7*Per_Unit!$D$26</f>
        <v/>
      </c>
      <c r="AJ62" s="19">
        <f>AJ$7*Per_Unit!$D$25</f>
        <v/>
      </c>
      <c r="AK62" s="19">
        <f>AK$7*Per_Unit!$D$24</f>
        <v/>
      </c>
      <c r="AL62" s="19">
        <f>AL$7*Per_Unit!$D$23</f>
        <v/>
      </c>
      <c r="AM62" s="19">
        <f>AM$7*Per_Unit!$D$22</f>
        <v/>
      </c>
      <c r="AN62" s="19">
        <f>AN$7*Per_Unit!$D$21</f>
        <v/>
      </c>
      <c r="AO62" s="19">
        <f>AO$7*Per_Unit!$D$20</f>
        <v/>
      </c>
      <c r="AP62" s="19">
        <f>AP$7*Per_Unit!$D$19</f>
        <v/>
      </c>
      <c r="AQ62" s="19">
        <f>AQ$7*Per_Unit!$D$18</f>
        <v/>
      </c>
      <c r="AR62" s="19">
        <f>AR$7*Per_Unit!$D$17</f>
        <v/>
      </c>
      <c r="AS62" s="19">
        <f>AS$7*Per_Unit!$D$16</f>
        <v/>
      </c>
      <c r="AT62" s="19">
        <f>AT$7*Per_Unit!$D$15</f>
        <v/>
      </c>
      <c r="AU62" s="19">
        <f>AU$7*Per_Unit!$D$14</f>
        <v/>
      </c>
      <c r="AV62" s="19">
        <f>AV$7*Per_Unit!$D$13</f>
        <v/>
      </c>
      <c r="AW62" s="19">
        <f>AW$7*Per_Unit!$D$12</f>
        <v/>
      </c>
      <c r="AX62" s="19">
        <f>AX$7*Per_Unit!$D$11</f>
        <v/>
      </c>
      <c r="AY62" s="19">
        <f>AY$7*Per_Unit!$D$10</f>
        <v/>
      </c>
      <c r="AZ62" s="19">
        <f>AZ$7*Per_Unit!$D$9</f>
        <v/>
      </c>
      <c r="BA62" s="19">
        <f>BA$7*Per_Unit!$D$8</f>
        <v/>
      </c>
      <c r="BB62" s="19">
        <f>BB$7*Per_Unit!$D$7</f>
        <v/>
      </c>
    </row>
    <row r="63">
      <c r="A63" s="19" t="n">
        <v>54</v>
      </c>
      <c r="B63" s="19">
        <f>B$7*Per_Unit!$D$60</f>
        <v/>
      </c>
      <c r="C63" s="19">
        <f>C$7*Per_Unit!$D$59</f>
        <v/>
      </c>
      <c r="D63" s="19">
        <f>D$7*Per_Unit!$D$58</f>
        <v/>
      </c>
      <c r="E63" s="19">
        <f>E$7*Per_Unit!$D$57</f>
        <v/>
      </c>
      <c r="F63" s="19">
        <f>F$7*Per_Unit!$D$56</f>
        <v/>
      </c>
      <c r="G63" s="19">
        <f>G$7*Per_Unit!$D$55</f>
        <v/>
      </c>
      <c r="H63" s="19">
        <f>H$7*Per_Unit!$D$54</f>
        <v/>
      </c>
      <c r="I63" s="19">
        <f>I$7*Per_Unit!$D$53</f>
        <v/>
      </c>
      <c r="J63" s="19">
        <f>J$7*Per_Unit!$D$52</f>
        <v/>
      </c>
      <c r="K63" s="19">
        <f>K$7*Per_Unit!$D$51</f>
        <v/>
      </c>
      <c r="L63" s="19">
        <f>L$7*Per_Unit!$D$50</f>
        <v/>
      </c>
      <c r="M63" s="19">
        <f>M$7*Per_Unit!$D$49</f>
        <v/>
      </c>
      <c r="N63" s="19">
        <f>N$7*Per_Unit!$D$48</f>
        <v/>
      </c>
      <c r="O63" s="19">
        <f>O$7*Per_Unit!$D$47</f>
        <v/>
      </c>
      <c r="P63" s="19">
        <f>P$7*Per_Unit!$D$46</f>
        <v/>
      </c>
      <c r="Q63" s="19">
        <f>Q$7*Per_Unit!$D$45</f>
        <v/>
      </c>
      <c r="R63" s="19">
        <f>R$7*Per_Unit!$D$44</f>
        <v/>
      </c>
      <c r="S63" s="19">
        <f>S$7*Per_Unit!$D$43</f>
        <v/>
      </c>
      <c r="T63" s="19">
        <f>T$7*Per_Unit!$D$42</f>
        <v/>
      </c>
      <c r="U63" s="19">
        <f>U$7*Per_Unit!$D$41</f>
        <v/>
      </c>
      <c r="V63" s="19">
        <f>V$7*Per_Unit!$D$40</f>
        <v/>
      </c>
      <c r="W63" s="19">
        <f>W$7*Per_Unit!$D$39</f>
        <v/>
      </c>
      <c r="X63" s="19">
        <f>X$7*Per_Unit!$D$38</f>
        <v/>
      </c>
      <c r="Y63" s="19">
        <f>Y$7*Per_Unit!$D$37</f>
        <v/>
      </c>
      <c r="Z63" s="19">
        <f>Z$7*Per_Unit!$D$36</f>
        <v/>
      </c>
      <c r="AA63" s="19">
        <f>AA$7*Per_Unit!$D$35</f>
        <v/>
      </c>
      <c r="AB63" s="19">
        <f>AB$7*Per_Unit!$D$34</f>
        <v/>
      </c>
      <c r="AC63" s="19">
        <f>AC$7*Per_Unit!$D$33</f>
        <v/>
      </c>
      <c r="AD63" s="19">
        <f>AD$7*Per_Unit!$D$32</f>
        <v/>
      </c>
      <c r="AE63" s="19">
        <f>AE$7*Per_Unit!$D$31</f>
        <v/>
      </c>
      <c r="AF63" s="19">
        <f>AF$7*Per_Unit!$D$30</f>
        <v/>
      </c>
      <c r="AG63" s="19">
        <f>AG$7*Per_Unit!$D$29</f>
        <v/>
      </c>
      <c r="AH63" s="19">
        <f>AH$7*Per_Unit!$D$28</f>
        <v/>
      </c>
      <c r="AI63" s="19">
        <f>AI$7*Per_Unit!$D$27</f>
        <v/>
      </c>
      <c r="AJ63" s="19">
        <f>AJ$7*Per_Unit!$D$26</f>
        <v/>
      </c>
      <c r="AK63" s="19">
        <f>AK$7*Per_Unit!$D$25</f>
        <v/>
      </c>
      <c r="AL63" s="19">
        <f>AL$7*Per_Unit!$D$24</f>
        <v/>
      </c>
      <c r="AM63" s="19">
        <f>AM$7*Per_Unit!$D$23</f>
        <v/>
      </c>
      <c r="AN63" s="19">
        <f>AN$7*Per_Unit!$D$22</f>
        <v/>
      </c>
      <c r="AO63" s="19">
        <f>AO$7*Per_Unit!$D$21</f>
        <v/>
      </c>
      <c r="AP63" s="19">
        <f>AP$7*Per_Unit!$D$20</f>
        <v/>
      </c>
      <c r="AQ63" s="19">
        <f>AQ$7*Per_Unit!$D$19</f>
        <v/>
      </c>
      <c r="AR63" s="19">
        <f>AR$7*Per_Unit!$D$18</f>
        <v/>
      </c>
      <c r="AS63" s="19">
        <f>AS$7*Per_Unit!$D$17</f>
        <v/>
      </c>
      <c r="AT63" s="19">
        <f>AT$7*Per_Unit!$D$16</f>
        <v/>
      </c>
      <c r="AU63" s="19">
        <f>AU$7*Per_Unit!$D$15</f>
        <v/>
      </c>
      <c r="AV63" s="19">
        <f>AV$7*Per_Unit!$D$14</f>
        <v/>
      </c>
      <c r="AW63" s="19">
        <f>AW$7*Per_Unit!$D$13</f>
        <v/>
      </c>
      <c r="AX63" s="19">
        <f>AX$7*Per_Unit!$D$12</f>
        <v/>
      </c>
      <c r="AY63" s="19">
        <f>AY$7*Per_Unit!$D$11</f>
        <v/>
      </c>
      <c r="AZ63" s="19">
        <f>AZ$7*Per_Unit!$D$10</f>
        <v/>
      </c>
      <c r="BA63" s="19">
        <f>BA$7*Per_Unit!$D$9</f>
        <v/>
      </c>
      <c r="BB63" s="19">
        <f>BB$7*Per_Unit!$D$8</f>
        <v/>
      </c>
      <c r="BC63" s="19">
        <f>BC$7*Per_Unit!$D$7</f>
        <v/>
      </c>
    </row>
    <row r="64">
      <c r="A64" s="19" t="n">
        <v>55</v>
      </c>
      <c r="B64" s="19">
        <f>B$7*Per_Unit!$D$61</f>
        <v/>
      </c>
      <c r="C64" s="19">
        <f>C$7*Per_Unit!$D$60</f>
        <v/>
      </c>
      <c r="D64" s="19">
        <f>D$7*Per_Unit!$D$59</f>
        <v/>
      </c>
      <c r="E64" s="19">
        <f>E$7*Per_Unit!$D$58</f>
        <v/>
      </c>
      <c r="F64" s="19">
        <f>F$7*Per_Unit!$D$57</f>
        <v/>
      </c>
      <c r="G64" s="19">
        <f>G$7*Per_Unit!$D$56</f>
        <v/>
      </c>
      <c r="H64" s="19">
        <f>H$7*Per_Unit!$D$55</f>
        <v/>
      </c>
      <c r="I64" s="19">
        <f>I$7*Per_Unit!$D$54</f>
        <v/>
      </c>
      <c r="J64" s="19">
        <f>J$7*Per_Unit!$D$53</f>
        <v/>
      </c>
      <c r="K64" s="19">
        <f>K$7*Per_Unit!$D$52</f>
        <v/>
      </c>
      <c r="L64" s="19">
        <f>L$7*Per_Unit!$D$51</f>
        <v/>
      </c>
      <c r="M64" s="19">
        <f>M$7*Per_Unit!$D$50</f>
        <v/>
      </c>
      <c r="N64" s="19">
        <f>N$7*Per_Unit!$D$49</f>
        <v/>
      </c>
      <c r="O64" s="19">
        <f>O$7*Per_Unit!$D$48</f>
        <v/>
      </c>
      <c r="P64" s="19">
        <f>P$7*Per_Unit!$D$47</f>
        <v/>
      </c>
      <c r="Q64" s="19">
        <f>Q$7*Per_Unit!$D$46</f>
        <v/>
      </c>
      <c r="R64" s="19">
        <f>R$7*Per_Unit!$D$45</f>
        <v/>
      </c>
      <c r="S64" s="19">
        <f>S$7*Per_Unit!$D$44</f>
        <v/>
      </c>
      <c r="T64" s="19">
        <f>T$7*Per_Unit!$D$43</f>
        <v/>
      </c>
      <c r="U64" s="19">
        <f>U$7*Per_Unit!$D$42</f>
        <v/>
      </c>
      <c r="V64" s="19">
        <f>V$7*Per_Unit!$D$41</f>
        <v/>
      </c>
      <c r="W64" s="19">
        <f>W$7*Per_Unit!$D$40</f>
        <v/>
      </c>
      <c r="X64" s="19">
        <f>X$7*Per_Unit!$D$39</f>
        <v/>
      </c>
      <c r="Y64" s="19">
        <f>Y$7*Per_Unit!$D$38</f>
        <v/>
      </c>
      <c r="Z64" s="19">
        <f>Z$7*Per_Unit!$D$37</f>
        <v/>
      </c>
      <c r="AA64" s="19">
        <f>AA$7*Per_Unit!$D$36</f>
        <v/>
      </c>
      <c r="AB64" s="19">
        <f>AB$7*Per_Unit!$D$35</f>
        <v/>
      </c>
      <c r="AC64" s="19">
        <f>AC$7*Per_Unit!$D$34</f>
        <v/>
      </c>
      <c r="AD64" s="19">
        <f>AD$7*Per_Unit!$D$33</f>
        <v/>
      </c>
      <c r="AE64" s="19">
        <f>AE$7*Per_Unit!$D$32</f>
        <v/>
      </c>
      <c r="AF64" s="19">
        <f>AF$7*Per_Unit!$D$31</f>
        <v/>
      </c>
      <c r="AG64" s="19">
        <f>AG$7*Per_Unit!$D$30</f>
        <v/>
      </c>
      <c r="AH64" s="19">
        <f>AH$7*Per_Unit!$D$29</f>
        <v/>
      </c>
      <c r="AI64" s="19">
        <f>AI$7*Per_Unit!$D$28</f>
        <v/>
      </c>
      <c r="AJ64" s="19">
        <f>AJ$7*Per_Unit!$D$27</f>
        <v/>
      </c>
      <c r="AK64" s="19">
        <f>AK$7*Per_Unit!$D$26</f>
        <v/>
      </c>
      <c r="AL64" s="19">
        <f>AL$7*Per_Unit!$D$25</f>
        <v/>
      </c>
      <c r="AM64" s="19">
        <f>AM$7*Per_Unit!$D$24</f>
        <v/>
      </c>
      <c r="AN64" s="19">
        <f>AN$7*Per_Unit!$D$23</f>
        <v/>
      </c>
      <c r="AO64" s="19">
        <f>AO$7*Per_Unit!$D$22</f>
        <v/>
      </c>
      <c r="AP64" s="19">
        <f>AP$7*Per_Unit!$D$21</f>
        <v/>
      </c>
      <c r="AQ64" s="19">
        <f>AQ$7*Per_Unit!$D$20</f>
        <v/>
      </c>
      <c r="AR64" s="19">
        <f>AR$7*Per_Unit!$D$19</f>
        <v/>
      </c>
      <c r="AS64" s="19">
        <f>AS$7*Per_Unit!$D$18</f>
        <v/>
      </c>
      <c r="AT64" s="19">
        <f>AT$7*Per_Unit!$D$17</f>
        <v/>
      </c>
      <c r="AU64" s="19">
        <f>AU$7*Per_Unit!$D$16</f>
        <v/>
      </c>
      <c r="AV64" s="19">
        <f>AV$7*Per_Unit!$D$15</f>
        <v/>
      </c>
      <c r="AW64" s="19">
        <f>AW$7*Per_Unit!$D$14</f>
        <v/>
      </c>
      <c r="AX64" s="19">
        <f>AX$7*Per_Unit!$D$13</f>
        <v/>
      </c>
      <c r="AY64" s="19">
        <f>AY$7*Per_Unit!$D$12</f>
        <v/>
      </c>
      <c r="AZ64" s="19">
        <f>AZ$7*Per_Unit!$D$11</f>
        <v/>
      </c>
      <c r="BA64" s="19">
        <f>BA$7*Per_Unit!$D$10</f>
        <v/>
      </c>
      <c r="BB64" s="19">
        <f>BB$7*Per_Unit!$D$9</f>
        <v/>
      </c>
      <c r="BC64" s="19">
        <f>BC$7*Per_Unit!$D$8</f>
        <v/>
      </c>
      <c r="BD64" s="19">
        <f>BD$7*Per_Unit!$D$7</f>
        <v/>
      </c>
    </row>
    <row r="65">
      <c r="A65" s="19" t="n">
        <v>56</v>
      </c>
      <c r="B65" s="19">
        <f>B$7*Per_Unit!$D$62</f>
        <v/>
      </c>
      <c r="C65" s="19">
        <f>C$7*Per_Unit!$D$61</f>
        <v/>
      </c>
      <c r="D65" s="19">
        <f>D$7*Per_Unit!$D$60</f>
        <v/>
      </c>
      <c r="E65" s="19">
        <f>E$7*Per_Unit!$D$59</f>
        <v/>
      </c>
      <c r="F65" s="19">
        <f>F$7*Per_Unit!$D$58</f>
        <v/>
      </c>
      <c r="G65" s="19">
        <f>G$7*Per_Unit!$D$57</f>
        <v/>
      </c>
      <c r="H65" s="19">
        <f>H$7*Per_Unit!$D$56</f>
        <v/>
      </c>
      <c r="I65" s="19">
        <f>I$7*Per_Unit!$D$55</f>
        <v/>
      </c>
      <c r="J65" s="19">
        <f>J$7*Per_Unit!$D$54</f>
        <v/>
      </c>
      <c r="K65" s="19">
        <f>K$7*Per_Unit!$D$53</f>
        <v/>
      </c>
      <c r="L65" s="19">
        <f>L$7*Per_Unit!$D$52</f>
        <v/>
      </c>
      <c r="M65" s="19">
        <f>M$7*Per_Unit!$D$51</f>
        <v/>
      </c>
      <c r="N65" s="19">
        <f>N$7*Per_Unit!$D$50</f>
        <v/>
      </c>
      <c r="O65" s="19">
        <f>O$7*Per_Unit!$D$49</f>
        <v/>
      </c>
      <c r="P65" s="19">
        <f>P$7*Per_Unit!$D$48</f>
        <v/>
      </c>
      <c r="Q65" s="19">
        <f>Q$7*Per_Unit!$D$47</f>
        <v/>
      </c>
      <c r="R65" s="19">
        <f>R$7*Per_Unit!$D$46</f>
        <v/>
      </c>
      <c r="S65" s="19">
        <f>S$7*Per_Unit!$D$45</f>
        <v/>
      </c>
      <c r="T65" s="19">
        <f>T$7*Per_Unit!$D$44</f>
        <v/>
      </c>
      <c r="U65" s="19">
        <f>U$7*Per_Unit!$D$43</f>
        <v/>
      </c>
      <c r="V65" s="19">
        <f>V$7*Per_Unit!$D$42</f>
        <v/>
      </c>
      <c r="W65" s="19">
        <f>W$7*Per_Unit!$D$41</f>
        <v/>
      </c>
      <c r="X65" s="19">
        <f>X$7*Per_Unit!$D$40</f>
        <v/>
      </c>
      <c r="Y65" s="19">
        <f>Y$7*Per_Unit!$D$39</f>
        <v/>
      </c>
      <c r="Z65" s="19">
        <f>Z$7*Per_Unit!$D$38</f>
        <v/>
      </c>
      <c r="AA65" s="19">
        <f>AA$7*Per_Unit!$D$37</f>
        <v/>
      </c>
      <c r="AB65" s="19">
        <f>AB$7*Per_Unit!$D$36</f>
        <v/>
      </c>
      <c r="AC65" s="19">
        <f>AC$7*Per_Unit!$D$35</f>
        <v/>
      </c>
      <c r="AD65" s="19">
        <f>AD$7*Per_Unit!$D$34</f>
        <v/>
      </c>
      <c r="AE65" s="19">
        <f>AE$7*Per_Unit!$D$33</f>
        <v/>
      </c>
      <c r="AF65" s="19">
        <f>AF$7*Per_Unit!$D$32</f>
        <v/>
      </c>
      <c r="AG65" s="19">
        <f>AG$7*Per_Unit!$D$31</f>
        <v/>
      </c>
      <c r="AH65" s="19">
        <f>AH$7*Per_Unit!$D$30</f>
        <v/>
      </c>
      <c r="AI65" s="19">
        <f>AI$7*Per_Unit!$D$29</f>
        <v/>
      </c>
      <c r="AJ65" s="19">
        <f>AJ$7*Per_Unit!$D$28</f>
        <v/>
      </c>
      <c r="AK65" s="19">
        <f>AK$7*Per_Unit!$D$27</f>
        <v/>
      </c>
      <c r="AL65" s="19">
        <f>AL$7*Per_Unit!$D$26</f>
        <v/>
      </c>
      <c r="AM65" s="19">
        <f>AM$7*Per_Unit!$D$25</f>
        <v/>
      </c>
      <c r="AN65" s="19">
        <f>AN$7*Per_Unit!$D$24</f>
        <v/>
      </c>
      <c r="AO65" s="19">
        <f>AO$7*Per_Unit!$D$23</f>
        <v/>
      </c>
      <c r="AP65" s="19">
        <f>AP$7*Per_Unit!$D$22</f>
        <v/>
      </c>
      <c r="AQ65" s="19">
        <f>AQ$7*Per_Unit!$D$21</f>
        <v/>
      </c>
      <c r="AR65" s="19">
        <f>AR$7*Per_Unit!$D$20</f>
        <v/>
      </c>
      <c r="AS65" s="19">
        <f>AS$7*Per_Unit!$D$19</f>
        <v/>
      </c>
      <c r="AT65" s="19">
        <f>AT$7*Per_Unit!$D$18</f>
        <v/>
      </c>
      <c r="AU65" s="19">
        <f>AU$7*Per_Unit!$D$17</f>
        <v/>
      </c>
      <c r="AV65" s="19">
        <f>AV$7*Per_Unit!$D$16</f>
        <v/>
      </c>
      <c r="AW65" s="19">
        <f>AW$7*Per_Unit!$D$15</f>
        <v/>
      </c>
      <c r="AX65" s="19">
        <f>AX$7*Per_Unit!$D$14</f>
        <v/>
      </c>
      <c r="AY65" s="19">
        <f>AY$7*Per_Unit!$D$13</f>
        <v/>
      </c>
      <c r="AZ65" s="19">
        <f>AZ$7*Per_Unit!$D$12</f>
        <v/>
      </c>
      <c r="BA65" s="19">
        <f>BA$7*Per_Unit!$D$11</f>
        <v/>
      </c>
      <c r="BB65" s="19">
        <f>BB$7*Per_Unit!$D$10</f>
        <v/>
      </c>
      <c r="BC65" s="19">
        <f>BC$7*Per_Unit!$D$9</f>
        <v/>
      </c>
      <c r="BD65" s="19">
        <f>BD$7*Per_Unit!$D$8</f>
        <v/>
      </c>
      <c r="BE65" s="19">
        <f>BE$7*Per_Unit!$D$7</f>
        <v/>
      </c>
    </row>
    <row r="66">
      <c r="A66" s="19" t="n">
        <v>57</v>
      </c>
      <c r="B66" s="19">
        <f>B$7*Per_Unit!$D$63</f>
        <v/>
      </c>
      <c r="C66" s="19">
        <f>C$7*Per_Unit!$D$62</f>
        <v/>
      </c>
      <c r="D66" s="19">
        <f>D$7*Per_Unit!$D$61</f>
        <v/>
      </c>
      <c r="E66" s="19">
        <f>E$7*Per_Unit!$D$60</f>
        <v/>
      </c>
      <c r="F66" s="19">
        <f>F$7*Per_Unit!$D$59</f>
        <v/>
      </c>
      <c r="G66" s="19">
        <f>G$7*Per_Unit!$D$58</f>
        <v/>
      </c>
      <c r="H66" s="19">
        <f>H$7*Per_Unit!$D$57</f>
        <v/>
      </c>
      <c r="I66" s="19">
        <f>I$7*Per_Unit!$D$56</f>
        <v/>
      </c>
      <c r="J66" s="19">
        <f>J$7*Per_Unit!$D$55</f>
        <v/>
      </c>
      <c r="K66" s="19">
        <f>K$7*Per_Unit!$D$54</f>
        <v/>
      </c>
      <c r="L66" s="19">
        <f>L$7*Per_Unit!$D$53</f>
        <v/>
      </c>
      <c r="M66" s="19">
        <f>M$7*Per_Unit!$D$52</f>
        <v/>
      </c>
      <c r="N66" s="19">
        <f>N$7*Per_Unit!$D$51</f>
        <v/>
      </c>
      <c r="O66" s="19">
        <f>O$7*Per_Unit!$D$50</f>
        <v/>
      </c>
      <c r="P66" s="19">
        <f>P$7*Per_Unit!$D$49</f>
        <v/>
      </c>
      <c r="Q66" s="19">
        <f>Q$7*Per_Unit!$D$48</f>
        <v/>
      </c>
      <c r="R66" s="19">
        <f>R$7*Per_Unit!$D$47</f>
        <v/>
      </c>
      <c r="S66" s="19">
        <f>S$7*Per_Unit!$D$46</f>
        <v/>
      </c>
      <c r="T66" s="19">
        <f>T$7*Per_Unit!$D$45</f>
        <v/>
      </c>
      <c r="U66" s="19">
        <f>U$7*Per_Unit!$D$44</f>
        <v/>
      </c>
      <c r="V66" s="19">
        <f>V$7*Per_Unit!$D$43</f>
        <v/>
      </c>
      <c r="W66" s="19">
        <f>W$7*Per_Unit!$D$42</f>
        <v/>
      </c>
      <c r="X66" s="19">
        <f>X$7*Per_Unit!$D$41</f>
        <v/>
      </c>
      <c r="Y66" s="19">
        <f>Y$7*Per_Unit!$D$40</f>
        <v/>
      </c>
      <c r="Z66" s="19">
        <f>Z$7*Per_Unit!$D$39</f>
        <v/>
      </c>
      <c r="AA66" s="19">
        <f>AA$7*Per_Unit!$D$38</f>
        <v/>
      </c>
      <c r="AB66" s="19">
        <f>AB$7*Per_Unit!$D$37</f>
        <v/>
      </c>
      <c r="AC66" s="19">
        <f>AC$7*Per_Unit!$D$36</f>
        <v/>
      </c>
      <c r="AD66" s="19">
        <f>AD$7*Per_Unit!$D$35</f>
        <v/>
      </c>
      <c r="AE66" s="19">
        <f>AE$7*Per_Unit!$D$34</f>
        <v/>
      </c>
      <c r="AF66" s="19">
        <f>AF$7*Per_Unit!$D$33</f>
        <v/>
      </c>
      <c r="AG66" s="19">
        <f>AG$7*Per_Unit!$D$32</f>
        <v/>
      </c>
      <c r="AH66" s="19">
        <f>AH$7*Per_Unit!$D$31</f>
        <v/>
      </c>
      <c r="AI66" s="19">
        <f>AI$7*Per_Unit!$D$30</f>
        <v/>
      </c>
      <c r="AJ66" s="19">
        <f>AJ$7*Per_Unit!$D$29</f>
        <v/>
      </c>
      <c r="AK66" s="19">
        <f>AK$7*Per_Unit!$D$28</f>
        <v/>
      </c>
      <c r="AL66" s="19">
        <f>AL$7*Per_Unit!$D$27</f>
        <v/>
      </c>
      <c r="AM66" s="19">
        <f>AM$7*Per_Unit!$D$26</f>
        <v/>
      </c>
      <c r="AN66" s="19">
        <f>AN$7*Per_Unit!$D$25</f>
        <v/>
      </c>
      <c r="AO66" s="19">
        <f>AO$7*Per_Unit!$D$24</f>
        <v/>
      </c>
      <c r="AP66" s="19">
        <f>AP$7*Per_Unit!$D$23</f>
        <v/>
      </c>
      <c r="AQ66" s="19">
        <f>AQ$7*Per_Unit!$D$22</f>
        <v/>
      </c>
      <c r="AR66" s="19">
        <f>AR$7*Per_Unit!$D$21</f>
        <v/>
      </c>
      <c r="AS66" s="19">
        <f>AS$7*Per_Unit!$D$20</f>
        <v/>
      </c>
      <c r="AT66" s="19">
        <f>AT$7*Per_Unit!$D$19</f>
        <v/>
      </c>
      <c r="AU66" s="19">
        <f>AU$7*Per_Unit!$D$18</f>
        <v/>
      </c>
      <c r="AV66" s="19">
        <f>AV$7*Per_Unit!$D$17</f>
        <v/>
      </c>
      <c r="AW66" s="19">
        <f>AW$7*Per_Unit!$D$16</f>
        <v/>
      </c>
      <c r="AX66" s="19">
        <f>AX$7*Per_Unit!$D$15</f>
        <v/>
      </c>
      <c r="AY66" s="19">
        <f>AY$7*Per_Unit!$D$14</f>
        <v/>
      </c>
      <c r="AZ66" s="19">
        <f>AZ$7*Per_Unit!$D$13</f>
        <v/>
      </c>
      <c r="BA66" s="19">
        <f>BA$7*Per_Unit!$D$12</f>
        <v/>
      </c>
      <c r="BB66" s="19">
        <f>BB$7*Per_Unit!$D$11</f>
        <v/>
      </c>
      <c r="BC66" s="19">
        <f>BC$7*Per_Unit!$D$10</f>
        <v/>
      </c>
      <c r="BD66" s="19">
        <f>BD$7*Per_Unit!$D$9</f>
        <v/>
      </c>
      <c r="BE66" s="19">
        <f>BE$7*Per_Unit!$D$8</f>
        <v/>
      </c>
      <c r="BF66" s="19">
        <f>BF$7*Per_Unit!$D$7</f>
        <v/>
      </c>
    </row>
    <row r="67">
      <c r="A67" s="19" t="n">
        <v>58</v>
      </c>
      <c r="B67" s="19">
        <f>B$7*Per_Unit!$D$64</f>
        <v/>
      </c>
      <c r="C67" s="19">
        <f>C$7*Per_Unit!$D$63</f>
        <v/>
      </c>
      <c r="D67" s="19">
        <f>D$7*Per_Unit!$D$62</f>
        <v/>
      </c>
      <c r="E67" s="19">
        <f>E$7*Per_Unit!$D$61</f>
        <v/>
      </c>
      <c r="F67" s="19">
        <f>F$7*Per_Unit!$D$60</f>
        <v/>
      </c>
      <c r="G67" s="19">
        <f>G$7*Per_Unit!$D$59</f>
        <v/>
      </c>
      <c r="H67" s="19">
        <f>H$7*Per_Unit!$D$58</f>
        <v/>
      </c>
      <c r="I67" s="19">
        <f>I$7*Per_Unit!$D$57</f>
        <v/>
      </c>
      <c r="J67" s="19">
        <f>J$7*Per_Unit!$D$56</f>
        <v/>
      </c>
      <c r="K67" s="19">
        <f>K$7*Per_Unit!$D$55</f>
        <v/>
      </c>
      <c r="L67" s="19">
        <f>L$7*Per_Unit!$D$54</f>
        <v/>
      </c>
      <c r="M67" s="19">
        <f>M$7*Per_Unit!$D$53</f>
        <v/>
      </c>
      <c r="N67" s="19">
        <f>N$7*Per_Unit!$D$52</f>
        <v/>
      </c>
      <c r="O67" s="19">
        <f>O$7*Per_Unit!$D$51</f>
        <v/>
      </c>
      <c r="P67" s="19">
        <f>P$7*Per_Unit!$D$50</f>
        <v/>
      </c>
      <c r="Q67" s="19">
        <f>Q$7*Per_Unit!$D$49</f>
        <v/>
      </c>
      <c r="R67" s="19">
        <f>R$7*Per_Unit!$D$48</f>
        <v/>
      </c>
      <c r="S67" s="19">
        <f>S$7*Per_Unit!$D$47</f>
        <v/>
      </c>
      <c r="T67" s="19">
        <f>T$7*Per_Unit!$D$46</f>
        <v/>
      </c>
      <c r="U67" s="19">
        <f>U$7*Per_Unit!$D$45</f>
        <v/>
      </c>
      <c r="V67" s="19">
        <f>V$7*Per_Unit!$D$44</f>
        <v/>
      </c>
      <c r="W67" s="19">
        <f>W$7*Per_Unit!$D$43</f>
        <v/>
      </c>
      <c r="X67" s="19">
        <f>X$7*Per_Unit!$D$42</f>
        <v/>
      </c>
      <c r="Y67" s="19">
        <f>Y$7*Per_Unit!$D$41</f>
        <v/>
      </c>
      <c r="Z67" s="19">
        <f>Z$7*Per_Unit!$D$40</f>
        <v/>
      </c>
      <c r="AA67" s="19">
        <f>AA$7*Per_Unit!$D$39</f>
        <v/>
      </c>
      <c r="AB67" s="19">
        <f>AB$7*Per_Unit!$D$38</f>
        <v/>
      </c>
      <c r="AC67" s="19">
        <f>AC$7*Per_Unit!$D$37</f>
        <v/>
      </c>
      <c r="AD67" s="19">
        <f>AD$7*Per_Unit!$D$36</f>
        <v/>
      </c>
      <c r="AE67" s="19">
        <f>AE$7*Per_Unit!$D$35</f>
        <v/>
      </c>
      <c r="AF67" s="19">
        <f>AF$7*Per_Unit!$D$34</f>
        <v/>
      </c>
      <c r="AG67" s="19">
        <f>AG$7*Per_Unit!$D$33</f>
        <v/>
      </c>
      <c r="AH67" s="19">
        <f>AH$7*Per_Unit!$D$32</f>
        <v/>
      </c>
      <c r="AI67" s="19">
        <f>AI$7*Per_Unit!$D$31</f>
        <v/>
      </c>
      <c r="AJ67" s="19">
        <f>AJ$7*Per_Unit!$D$30</f>
        <v/>
      </c>
      <c r="AK67" s="19">
        <f>AK$7*Per_Unit!$D$29</f>
        <v/>
      </c>
      <c r="AL67" s="19">
        <f>AL$7*Per_Unit!$D$28</f>
        <v/>
      </c>
      <c r="AM67" s="19">
        <f>AM$7*Per_Unit!$D$27</f>
        <v/>
      </c>
      <c r="AN67" s="19">
        <f>AN$7*Per_Unit!$D$26</f>
        <v/>
      </c>
      <c r="AO67" s="19">
        <f>AO$7*Per_Unit!$D$25</f>
        <v/>
      </c>
      <c r="AP67" s="19">
        <f>AP$7*Per_Unit!$D$24</f>
        <v/>
      </c>
      <c r="AQ67" s="19">
        <f>AQ$7*Per_Unit!$D$23</f>
        <v/>
      </c>
      <c r="AR67" s="19">
        <f>AR$7*Per_Unit!$D$22</f>
        <v/>
      </c>
      <c r="AS67" s="19">
        <f>AS$7*Per_Unit!$D$21</f>
        <v/>
      </c>
      <c r="AT67" s="19">
        <f>AT$7*Per_Unit!$D$20</f>
        <v/>
      </c>
      <c r="AU67" s="19">
        <f>AU$7*Per_Unit!$D$19</f>
        <v/>
      </c>
      <c r="AV67" s="19">
        <f>AV$7*Per_Unit!$D$18</f>
        <v/>
      </c>
      <c r="AW67" s="19">
        <f>AW$7*Per_Unit!$D$17</f>
        <v/>
      </c>
      <c r="AX67" s="19">
        <f>AX$7*Per_Unit!$D$16</f>
        <v/>
      </c>
      <c r="AY67" s="19">
        <f>AY$7*Per_Unit!$D$15</f>
        <v/>
      </c>
      <c r="AZ67" s="19">
        <f>AZ$7*Per_Unit!$D$14</f>
        <v/>
      </c>
      <c r="BA67" s="19">
        <f>BA$7*Per_Unit!$D$13</f>
        <v/>
      </c>
      <c r="BB67" s="19">
        <f>BB$7*Per_Unit!$D$12</f>
        <v/>
      </c>
      <c r="BC67" s="19">
        <f>BC$7*Per_Unit!$D$11</f>
        <v/>
      </c>
      <c r="BD67" s="19">
        <f>BD$7*Per_Unit!$D$10</f>
        <v/>
      </c>
      <c r="BE67" s="19">
        <f>BE$7*Per_Unit!$D$9</f>
        <v/>
      </c>
      <c r="BF67" s="19">
        <f>BF$7*Per_Unit!$D$8</f>
        <v/>
      </c>
      <c r="BG67" s="19">
        <f>BG$7*Per_Unit!$D$7</f>
        <v/>
      </c>
    </row>
    <row r="68">
      <c r="A68" s="19" t="n">
        <v>59</v>
      </c>
      <c r="B68" s="19">
        <f>B$7*Per_Unit!$D$65</f>
        <v/>
      </c>
      <c r="C68" s="19">
        <f>C$7*Per_Unit!$D$64</f>
        <v/>
      </c>
      <c r="D68" s="19">
        <f>D$7*Per_Unit!$D$63</f>
        <v/>
      </c>
      <c r="E68" s="19">
        <f>E$7*Per_Unit!$D$62</f>
        <v/>
      </c>
      <c r="F68" s="19">
        <f>F$7*Per_Unit!$D$61</f>
        <v/>
      </c>
      <c r="G68" s="19">
        <f>G$7*Per_Unit!$D$60</f>
        <v/>
      </c>
      <c r="H68" s="19">
        <f>H$7*Per_Unit!$D$59</f>
        <v/>
      </c>
      <c r="I68" s="19">
        <f>I$7*Per_Unit!$D$58</f>
        <v/>
      </c>
      <c r="J68" s="19">
        <f>J$7*Per_Unit!$D$57</f>
        <v/>
      </c>
      <c r="K68" s="19">
        <f>K$7*Per_Unit!$D$56</f>
        <v/>
      </c>
      <c r="L68" s="19">
        <f>L$7*Per_Unit!$D$55</f>
        <v/>
      </c>
      <c r="M68" s="19">
        <f>M$7*Per_Unit!$D$54</f>
        <v/>
      </c>
      <c r="N68" s="19">
        <f>N$7*Per_Unit!$D$53</f>
        <v/>
      </c>
      <c r="O68" s="19">
        <f>O$7*Per_Unit!$D$52</f>
        <v/>
      </c>
      <c r="P68" s="19">
        <f>P$7*Per_Unit!$D$51</f>
        <v/>
      </c>
      <c r="Q68" s="19">
        <f>Q$7*Per_Unit!$D$50</f>
        <v/>
      </c>
      <c r="R68" s="19">
        <f>R$7*Per_Unit!$D$49</f>
        <v/>
      </c>
      <c r="S68" s="19">
        <f>S$7*Per_Unit!$D$48</f>
        <v/>
      </c>
      <c r="T68" s="19">
        <f>T$7*Per_Unit!$D$47</f>
        <v/>
      </c>
      <c r="U68" s="19">
        <f>U$7*Per_Unit!$D$46</f>
        <v/>
      </c>
      <c r="V68" s="19">
        <f>V$7*Per_Unit!$D$45</f>
        <v/>
      </c>
      <c r="W68" s="19">
        <f>W$7*Per_Unit!$D$44</f>
        <v/>
      </c>
      <c r="X68" s="19">
        <f>X$7*Per_Unit!$D$43</f>
        <v/>
      </c>
      <c r="Y68" s="19">
        <f>Y$7*Per_Unit!$D$42</f>
        <v/>
      </c>
      <c r="Z68" s="19">
        <f>Z$7*Per_Unit!$D$41</f>
        <v/>
      </c>
      <c r="AA68" s="19">
        <f>AA$7*Per_Unit!$D$40</f>
        <v/>
      </c>
      <c r="AB68" s="19">
        <f>AB$7*Per_Unit!$D$39</f>
        <v/>
      </c>
      <c r="AC68" s="19">
        <f>AC$7*Per_Unit!$D$38</f>
        <v/>
      </c>
      <c r="AD68" s="19">
        <f>AD$7*Per_Unit!$D$37</f>
        <v/>
      </c>
      <c r="AE68" s="19">
        <f>AE$7*Per_Unit!$D$36</f>
        <v/>
      </c>
      <c r="AF68" s="19">
        <f>AF$7*Per_Unit!$D$35</f>
        <v/>
      </c>
      <c r="AG68" s="19">
        <f>AG$7*Per_Unit!$D$34</f>
        <v/>
      </c>
      <c r="AH68" s="19">
        <f>AH$7*Per_Unit!$D$33</f>
        <v/>
      </c>
      <c r="AI68" s="19">
        <f>AI$7*Per_Unit!$D$32</f>
        <v/>
      </c>
      <c r="AJ68" s="19">
        <f>AJ$7*Per_Unit!$D$31</f>
        <v/>
      </c>
      <c r="AK68" s="19">
        <f>AK$7*Per_Unit!$D$30</f>
        <v/>
      </c>
      <c r="AL68" s="19">
        <f>AL$7*Per_Unit!$D$29</f>
        <v/>
      </c>
      <c r="AM68" s="19">
        <f>AM$7*Per_Unit!$D$28</f>
        <v/>
      </c>
      <c r="AN68" s="19">
        <f>AN$7*Per_Unit!$D$27</f>
        <v/>
      </c>
      <c r="AO68" s="19">
        <f>AO$7*Per_Unit!$D$26</f>
        <v/>
      </c>
      <c r="AP68" s="19">
        <f>AP$7*Per_Unit!$D$25</f>
        <v/>
      </c>
      <c r="AQ68" s="19">
        <f>AQ$7*Per_Unit!$D$24</f>
        <v/>
      </c>
      <c r="AR68" s="19">
        <f>AR$7*Per_Unit!$D$23</f>
        <v/>
      </c>
      <c r="AS68" s="19">
        <f>AS$7*Per_Unit!$D$22</f>
        <v/>
      </c>
      <c r="AT68" s="19">
        <f>AT$7*Per_Unit!$D$21</f>
        <v/>
      </c>
      <c r="AU68" s="19">
        <f>AU$7*Per_Unit!$D$20</f>
        <v/>
      </c>
      <c r="AV68" s="19">
        <f>AV$7*Per_Unit!$D$19</f>
        <v/>
      </c>
      <c r="AW68" s="19">
        <f>AW$7*Per_Unit!$D$18</f>
        <v/>
      </c>
      <c r="AX68" s="19">
        <f>AX$7*Per_Unit!$D$17</f>
        <v/>
      </c>
      <c r="AY68" s="19">
        <f>AY$7*Per_Unit!$D$16</f>
        <v/>
      </c>
      <c r="AZ68" s="19">
        <f>AZ$7*Per_Unit!$D$15</f>
        <v/>
      </c>
      <c r="BA68" s="19">
        <f>BA$7*Per_Unit!$D$14</f>
        <v/>
      </c>
      <c r="BB68" s="19">
        <f>BB$7*Per_Unit!$D$13</f>
        <v/>
      </c>
      <c r="BC68" s="19">
        <f>BC$7*Per_Unit!$D$12</f>
        <v/>
      </c>
      <c r="BD68" s="19">
        <f>BD$7*Per_Unit!$D$11</f>
        <v/>
      </c>
      <c r="BE68" s="19">
        <f>BE$7*Per_Unit!$D$10</f>
        <v/>
      </c>
      <c r="BF68" s="19">
        <f>BF$7*Per_Unit!$D$9</f>
        <v/>
      </c>
      <c r="BG68" s="19">
        <f>BG$7*Per_Unit!$D$8</f>
        <v/>
      </c>
      <c r="BH68" s="19">
        <f>BH$7*Per_Unit!$D$7</f>
        <v/>
      </c>
    </row>
    <row r="69">
      <c r="A69" s="19" t="n">
        <v>60</v>
      </c>
      <c r="B69" s="19">
        <f>B$7*Per_Unit!$D$66</f>
        <v/>
      </c>
      <c r="C69" s="19">
        <f>C$7*Per_Unit!$D$65</f>
        <v/>
      </c>
      <c r="D69" s="19">
        <f>D$7*Per_Unit!$D$64</f>
        <v/>
      </c>
      <c r="E69" s="19">
        <f>E$7*Per_Unit!$D$63</f>
        <v/>
      </c>
      <c r="F69" s="19">
        <f>F$7*Per_Unit!$D$62</f>
        <v/>
      </c>
      <c r="G69" s="19">
        <f>G$7*Per_Unit!$D$61</f>
        <v/>
      </c>
      <c r="H69" s="19">
        <f>H$7*Per_Unit!$D$60</f>
        <v/>
      </c>
      <c r="I69" s="19">
        <f>I$7*Per_Unit!$D$59</f>
        <v/>
      </c>
      <c r="J69" s="19">
        <f>J$7*Per_Unit!$D$58</f>
        <v/>
      </c>
      <c r="K69" s="19">
        <f>K$7*Per_Unit!$D$57</f>
        <v/>
      </c>
      <c r="L69" s="19">
        <f>L$7*Per_Unit!$D$56</f>
        <v/>
      </c>
      <c r="M69" s="19">
        <f>M$7*Per_Unit!$D$55</f>
        <v/>
      </c>
      <c r="N69" s="19">
        <f>N$7*Per_Unit!$D$54</f>
        <v/>
      </c>
      <c r="O69" s="19">
        <f>O$7*Per_Unit!$D$53</f>
        <v/>
      </c>
      <c r="P69" s="19">
        <f>P$7*Per_Unit!$D$52</f>
        <v/>
      </c>
      <c r="Q69" s="19">
        <f>Q$7*Per_Unit!$D$51</f>
        <v/>
      </c>
      <c r="R69" s="19">
        <f>R$7*Per_Unit!$D$50</f>
        <v/>
      </c>
      <c r="S69" s="19">
        <f>S$7*Per_Unit!$D$49</f>
        <v/>
      </c>
      <c r="T69" s="19">
        <f>T$7*Per_Unit!$D$48</f>
        <v/>
      </c>
      <c r="U69" s="19">
        <f>U$7*Per_Unit!$D$47</f>
        <v/>
      </c>
      <c r="V69" s="19">
        <f>V$7*Per_Unit!$D$46</f>
        <v/>
      </c>
      <c r="W69" s="19">
        <f>W$7*Per_Unit!$D$45</f>
        <v/>
      </c>
      <c r="X69" s="19">
        <f>X$7*Per_Unit!$D$44</f>
        <v/>
      </c>
      <c r="Y69" s="19">
        <f>Y$7*Per_Unit!$D$43</f>
        <v/>
      </c>
      <c r="Z69" s="19">
        <f>Z$7*Per_Unit!$D$42</f>
        <v/>
      </c>
      <c r="AA69" s="19">
        <f>AA$7*Per_Unit!$D$41</f>
        <v/>
      </c>
      <c r="AB69" s="19">
        <f>AB$7*Per_Unit!$D$40</f>
        <v/>
      </c>
      <c r="AC69" s="19">
        <f>AC$7*Per_Unit!$D$39</f>
        <v/>
      </c>
      <c r="AD69" s="19">
        <f>AD$7*Per_Unit!$D$38</f>
        <v/>
      </c>
      <c r="AE69" s="19">
        <f>AE$7*Per_Unit!$D$37</f>
        <v/>
      </c>
      <c r="AF69" s="19">
        <f>AF$7*Per_Unit!$D$36</f>
        <v/>
      </c>
      <c r="AG69" s="19">
        <f>AG$7*Per_Unit!$D$35</f>
        <v/>
      </c>
      <c r="AH69" s="19">
        <f>AH$7*Per_Unit!$D$34</f>
        <v/>
      </c>
      <c r="AI69" s="19">
        <f>AI$7*Per_Unit!$D$33</f>
        <v/>
      </c>
      <c r="AJ69" s="19">
        <f>AJ$7*Per_Unit!$D$32</f>
        <v/>
      </c>
      <c r="AK69" s="19">
        <f>AK$7*Per_Unit!$D$31</f>
        <v/>
      </c>
      <c r="AL69" s="19">
        <f>AL$7*Per_Unit!$D$30</f>
        <v/>
      </c>
      <c r="AM69" s="19">
        <f>AM$7*Per_Unit!$D$29</f>
        <v/>
      </c>
      <c r="AN69" s="19">
        <f>AN$7*Per_Unit!$D$28</f>
        <v/>
      </c>
      <c r="AO69" s="19">
        <f>AO$7*Per_Unit!$D$27</f>
        <v/>
      </c>
      <c r="AP69" s="19">
        <f>AP$7*Per_Unit!$D$26</f>
        <v/>
      </c>
      <c r="AQ69" s="19">
        <f>AQ$7*Per_Unit!$D$25</f>
        <v/>
      </c>
      <c r="AR69" s="19">
        <f>AR$7*Per_Unit!$D$24</f>
        <v/>
      </c>
      <c r="AS69" s="19">
        <f>AS$7*Per_Unit!$D$23</f>
        <v/>
      </c>
      <c r="AT69" s="19">
        <f>AT$7*Per_Unit!$D$22</f>
        <v/>
      </c>
      <c r="AU69" s="19">
        <f>AU$7*Per_Unit!$D$21</f>
        <v/>
      </c>
      <c r="AV69" s="19">
        <f>AV$7*Per_Unit!$D$20</f>
        <v/>
      </c>
      <c r="AW69" s="19">
        <f>AW$7*Per_Unit!$D$19</f>
        <v/>
      </c>
      <c r="AX69" s="19">
        <f>AX$7*Per_Unit!$D$18</f>
        <v/>
      </c>
      <c r="AY69" s="19">
        <f>AY$7*Per_Unit!$D$17</f>
        <v/>
      </c>
      <c r="AZ69" s="19">
        <f>AZ$7*Per_Unit!$D$16</f>
        <v/>
      </c>
      <c r="BA69" s="19">
        <f>BA$7*Per_Unit!$D$15</f>
        <v/>
      </c>
      <c r="BB69" s="19">
        <f>BB$7*Per_Unit!$D$14</f>
        <v/>
      </c>
      <c r="BC69" s="19">
        <f>BC$7*Per_Unit!$D$13</f>
        <v/>
      </c>
      <c r="BD69" s="19">
        <f>BD$7*Per_Unit!$D$12</f>
        <v/>
      </c>
      <c r="BE69" s="19">
        <f>BE$7*Per_Unit!$D$11</f>
        <v/>
      </c>
      <c r="BF69" s="19">
        <f>BF$7*Per_Unit!$D$10</f>
        <v/>
      </c>
      <c r="BG69" s="19">
        <f>BG$7*Per_Unit!$D$9</f>
        <v/>
      </c>
      <c r="BH69" s="19">
        <f>BH$7*Per_Unit!$D$8</f>
        <v/>
      </c>
      <c r="BI69" s="19">
        <f>BI$7*Per_Unit!$D$7</f>
        <v/>
      </c>
    </row>
    <row r="70"/>
    <row r="71">
      <c r="A71" s="9" t="inlineStr">
        <is>
          <t>Collections</t>
        </is>
      </c>
    </row>
    <row r="72">
      <c r="A72" s="19" t="n">
        <v>1</v>
      </c>
      <c r="B72" s="19">
        <f>B$7*Per_Unit!$C$7</f>
        <v/>
      </c>
    </row>
    <row r="73">
      <c r="A73" s="19" t="n">
        <v>2</v>
      </c>
      <c r="B73" s="19">
        <f>B$7*Per_Unit!$C$8</f>
        <v/>
      </c>
      <c r="C73" s="19">
        <f>C$7*Per_Unit!$C$7</f>
        <v/>
      </c>
    </row>
    <row r="74">
      <c r="A74" s="19" t="n">
        <v>3</v>
      </c>
      <c r="B74" s="19">
        <f>B$7*Per_Unit!$C$9</f>
        <v/>
      </c>
      <c r="C74" s="19">
        <f>C$7*Per_Unit!$C$8</f>
        <v/>
      </c>
      <c r="D74" s="19">
        <f>D$7*Per_Unit!$C$7</f>
        <v/>
      </c>
    </row>
    <row r="75">
      <c r="A75" s="19" t="n">
        <v>4</v>
      </c>
      <c r="B75" s="19">
        <f>B$7*Per_Unit!$C$10</f>
        <v/>
      </c>
      <c r="C75" s="19">
        <f>C$7*Per_Unit!$C$9</f>
        <v/>
      </c>
      <c r="D75" s="19">
        <f>D$7*Per_Unit!$C$8</f>
        <v/>
      </c>
      <c r="E75" s="19">
        <f>E$7*Per_Unit!$C$7</f>
        <v/>
      </c>
    </row>
    <row r="76">
      <c r="A76" s="19" t="n">
        <v>5</v>
      </c>
      <c r="B76" s="19">
        <f>B$7*Per_Unit!$C$11</f>
        <v/>
      </c>
      <c r="C76" s="19">
        <f>C$7*Per_Unit!$C$10</f>
        <v/>
      </c>
      <c r="D76" s="19">
        <f>D$7*Per_Unit!$C$9</f>
        <v/>
      </c>
      <c r="E76" s="19">
        <f>E$7*Per_Unit!$C$8</f>
        <v/>
      </c>
      <c r="F76" s="19">
        <f>F$7*Per_Unit!$C$7</f>
        <v/>
      </c>
    </row>
    <row r="77">
      <c r="A77" s="19" t="n">
        <v>6</v>
      </c>
      <c r="B77" s="19">
        <f>B$7*Per_Unit!$C$12</f>
        <v/>
      </c>
      <c r="C77" s="19">
        <f>C$7*Per_Unit!$C$11</f>
        <v/>
      </c>
      <c r="D77" s="19">
        <f>D$7*Per_Unit!$C$10</f>
        <v/>
      </c>
      <c r="E77" s="19">
        <f>E$7*Per_Unit!$C$9</f>
        <v/>
      </c>
      <c r="F77" s="19">
        <f>F$7*Per_Unit!$C$8</f>
        <v/>
      </c>
      <c r="G77" s="19">
        <f>G$7*Per_Unit!$C$7</f>
        <v/>
      </c>
    </row>
    <row r="78">
      <c r="A78" s="19" t="n">
        <v>7</v>
      </c>
      <c r="B78" s="19">
        <f>B$7*Per_Unit!$C$13</f>
        <v/>
      </c>
      <c r="C78" s="19">
        <f>C$7*Per_Unit!$C$12</f>
        <v/>
      </c>
      <c r="D78" s="19">
        <f>D$7*Per_Unit!$C$11</f>
        <v/>
      </c>
      <c r="E78" s="19">
        <f>E$7*Per_Unit!$C$10</f>
        <v/>
      </c>
      <c r="F78" s="19">
        <f>F$7*Per_Unit!$C$9</f>
        <v/>
      </c>
      <c r="G78" s="19">
        <f>G$7*Per_Unit!$C$8</f>
        <v/>
      </c>
      <c r="H78" s="19">
        <f>H$7*Per_Unit!$C$7</f>
        <v/>
      </c>
    </row>
    <row r="79">
      <c r="A79" s="19" t="n">
        <v>8</v>
      </c>
      <c r="B79" s="19">
        <f>B$7*Per_Unit!$C$14</f>
        <v/>
      </c>
      <c r="C79" s="19">
        <f>C$7*Per_Unit!$C$13</f>
        <v/>
      </c>
      <c r="D79" s="19">
        <f>D$7*Per_Unit!$C$12</f>
        <v/>
      </c>
      <c r="E79" s="19">
        <f>E$7*Per_Unit!$C$11</f>
        <v/>
      </c>
      <c r="F79" s="19">
        <f>F$7*Per_Unit!$C$10</f>
        <v/>
      </c>
      <c r="G79" s="19">
        <f>G$7*Per_Unit!$C$9</f>
        <v/>
      </c>
      <c r="H79" s="19">
        <f>H$7*Per_Unit!$C$8</f>
        <v/>
      </c>
      <c r="I79" s="19">
        <f>I$7*Per_Unit!$C$7</f>
        <v/>
      </c>
    </row>
    <row r="80">
      <c r="A80" s="19" t="n">
        <v>9</v>
      </c>
      <c r="B80" s="19">
        <f>B$7*Per_Unit!$C$15</f>
        <v/>
      </c>
      <c r="C80" s="19">
        <f>C$7*Per_Unit!$C$14</f>
        <v/>
      </c>
      <c r="D80" s="19">
        <f>D$7*Per_Unit!$C$13</f>
        <v/>
      </c>
      <c r="E80" s="19">
        <f>E$7*Per_Unit!$C$12</f>
        <v/>
      </c>
      <c r="F80" s="19">
        <f>F$7*Per_Unit!$C$11</f>
        <v/>
      </c>
      <c r="G80" s="19">
        <f>G$7*Per_Unit!$C$10</f>
        <v/>
      </c>
      <c r="H80" s="19">
        <f>H$7*Per_Unit!$C$9</f>
        <v/>
      </c>
      <c r="I80" s="19">
        <f>I$7*Per_Unit!$C$8</f>
        <v/>
      </c>
      <c r="J80" s="19">
        <f>J$7*Per_Unit!$C$7</f>
        <v/>
      </c>
    </row>
    <row r="81">
      <c r="A81" s="19" t="n">
        <v>10</v>
      </c>
      <c r="B81" s="19">
        <f>B$7*Per_Unit!$C$16</f>
        <v/>
      </c>
      <c r="C81" s="19">
        <f>C$7*Per_Unit!$C$15</f>
        <v/>
      </c>
      <c r="D81" s="19">
        <f>D$7*Per_Unit!$C$14</f>
        <v/>
      </c>
      <c r="E81" s="19">
        <f>E$7*Per_Unit!$C$13</f>
        <v/>
      </c>
      <c r="F81" s="19">
        <f>F$7*Per_Unit!$C$12</f>
        <v/>
      </c>
      <c r="G81" s="19">
        <f>G$7*Per_Unit!$C$11</f>
        <v/>
      </c>
      <c r="H81" s="19">
        <f>H$7*Per_Unit!$C$10</f>
        <v/>
      </c>
      <c r="I81" s="19">
        <f>I$7*Per_Unit!$C$9</f>
        <v/>
      </c>
      <c r="J81" s="19">
        <f>J$7*Per_Unit!$C$8</f>
        <v/>
      </c>
      <c r="K81" s="19">
        <f>K$7*Per_Unit!$C$7</f>
        <v/>
      </c>
    </row>
    <row r="82">
      <c r="A82" s="19" t="n">
        <v>11</v>
      </c>
      <c r="B82" s="19">
        <f>B$7*Per_Unit!$C$17</f>
        <v/>
      </c>
      <c r="C82" s="19">
        <f>C$7*Per_Unit!$C$16</f>
        <v/>
      </c>
      <c r="D82" s="19">
        <f>D$7*Per_Unit!$C$15</f>
        <v/>
      </c>
      <c r="E82" s="19">
        <f>E$7*Per_Unit!$C$14</f>
        <v/>
      </c>
      <c r="F82" s="19">
        <f>F$7*Per_Unit!$C$13</f>
        <v/>
      </c>
      <c r="G82" s="19">
        <f>G$7*Per_Unit!$C$12</f>
        <v/>
      </c>
      <c r="H82" s="19">
        <f>H$7*Per_Unit!$C$11</f>
        <v/>
      </c>
      <c r="I82" s="19">
        <f>I$7*Per_Unit!$C$10</f>
        <v/>
      </c>
      <c r="J82" s="19">
        <f>J$7*Per_Unit!$C$9</f>
        <v/>
      </c>
      <c r="K82" s="19">
        <f>K$7*Per_Unit!$C$8</f>
        <v/>
      </c>
      <c r="L82" s="19">
        <f>L$7*Per_Unit!$C$7</f>
        <v/>
      </c>
    </row>
    <row r="83">
      <c r="A83" s="19" t="n">
        <v>12</v>
      </c>
      <c r="B83" s="19">
        <f>B$7*Per_Unit!$C$18</f>
        <v/>
      </c>
      <c r="C83" s="19">
        <f>C$7*Per_Unit!$C$17</f>
        <v/>
      </c>
      <c r="D83" s="19">
        <f>D$7*Per_Unit!$C$16</f>
        <v/>
      </c>
      <c r="E83" s="19">
        <f>E$7*Per_Unit!$C$15</f>
        <v/>
      </c>
      <c r="F83" s="19">
        <f>F$7*Per_Unit!$C$14</f>
        <v/>
      </c>
      <c r="G83" s="19">
        <f>G$7*Per_Unit!$C$13</f>
        <v/>
      </c>
      <c r="H83" s="19">
        <f>H$7*Per_Unit!$C$12</f>
        <v/>
      </c>
      <c r="I83" s="19">
        <f>I$7*Per_Unit!$C$11</f>
        <v/>
      </c>
      <c r="J83" s="19">
        <f>J$7*Per_Unit!$C$10</f>
        <v/>
      </c>
      <c r="K83" s="19">
        <f>K$7*Per_Unit!$C$9</f>
        <v/>
      </c>
      <c r="L83" s="19">
        <f>L$7*Per_Unit!$C$8</f>
        <v/>
      </c>
      <c r="M83" s="19">
        <f>M$7*Per_Unit!$C$7</f>
        <v/>
      </c>
    </row>
    <row r="84">
      <c r="A84" s="19" t="n">
        <v>13</v>
      </c>
      <c r="B84" s="19">
        <f>B$7*Per_Unit!$C$19</f>
        <v/>
      </c>
      <c r="C84" s="19">
        <f>C$7*Per_Unit!$C$18</f>
        <v/>
      </c>
      <c r="D84" s="19">
        <f>D$7*Per_Unit!$C$17</f>
        <v/>
      </c>
      <c r="E84" s="19">
        <f>E$7*Per_Unit!$C$16</f>
        <v/>
      </c>
      <c r="F84" s="19">
        <f>F$7*Per_Unit!$C$15</f>
        <v/>
      </c>
      <c r="G84" s="19">
        <f>G$7*Per_Unit!$C$14</f>
        <v/>
      </c>
      <c r="H84" s="19">
        <f>H$7*Per_Unit!$C$13</f>
        <v/>
      </c>
      <c r="I84" s="19">
        <f>I$7*Per_Unit!$C$12</f>
        <v/>
      </c>
      <c r="J84" s="19">
        <f>J$7*Per_Unit!$C$11</f>
        <v/>
      </c>
      <c r="K84" s="19">
        <f>K$7*Per_Unit!$C$10</f>
        <v/>
      </c>
      <c r="L84" s="19">
        <f>L$7*Per_Unit!$C$9</f>
        <v/>
      </c>
      <c r="M84" s="19">
        <f>M$7*Per_Unit!$C$8</f>
        <v/>
      </c>
      <c r="N84" s="19">
        <f>N$7*Per_Unit!$C$7</f>
        <v/>
      </c>
    </row>
    <row r="85">
      <c r="A85" s="19" t="n">
        <v>14</v>
      </c>
      <c r="B85" s="19">
        <f>B$7*Per_Unit!$C$20</f>
        <v/>
      </c>
      <c r="C85" s="19">
        <f>C$7*Per_Unit!$C$19</f>
        <v/>
      </c>
      <c r="D85" s="19">
        <f>D$7*Per_Unit!$C$18</f>
        <v/>
      </c>
      <c r="E85" s="19">
        <f>E$7*Per_Unit!$C$17</f>
        <v/>
      </c>
      <c r="F85" s="19">
        <f>F$7*Per_Unit!$C$16</f>
        <v/>
      </c>
      <c r="G85" s="19">
        <f>G$7*Per_Unit!$C$15</f>
        <v/>
      </c>
      <c r="H85" s="19">
        <f>H$7*Per_Unit!$C$14</f>
        <v/>
      </c>
      <c r="I85" s="19">
        <f>I$7*Per_Unit!$C$13</f>
        <v/>
      </c>
      <c r="J85" s="19">
        <f>J$7*Per_Unit!$C$12</f>
        <v/>
      </c>
      <c r="K85" s="19">
        <f>K$7*Per_Unit!$C$11</f>
        <v/>
      </c>
      <c r="L85" s="19">
        <f>L$7*Per_Unit!$C$10</f>
        <v/>
      </c>
      <c r="M85" s="19">
        <f>M$7*Per_Unit!$C$9</f>
        <v/>
      </c>
      <c r="N85" s="19">
        <f>N$7*Per_Unit!$C$8</f>
        <v/>
      </c>
      <c r="O85" s="19">
        <f>O$7*Per_Unit!$C$7</f>
        <v/>
      </c>
    </row>
    <row r="86">
      <c r="A86" s="19" t="n">
        <v>15</v>
      </c>
      <c r="B86" s="19">
        <f>B$7*Per_Unit!$C$21</f>
        <v/>
      </c>
      <c r="C86" s="19">
        <f>C$7*Per_Unit!$C$20</f>
        <v/>
      </c>
      <c r="D86" s="19">
        <f>D$7*Per_Unit!$C$19</f>
        <v/>
      </c>
      <c r="E86" s="19">
        <f>E$7*Per_Unit!$C$18</f>
        <v/>
      </c>
      <c r="F86" s="19">
        <f>F$7*Per_Unit!$C$17</f>
        <v/>
      </c>
      <c r="G86" s="19">
        <f>G$7*Per_Unit!$C$16</f>
        <v/>
      </c>
      <c r="H86" s="19">
        <f>H$7*Per_Unit!$C$15</f>
        <v/>
      </c>
      <c r="I86" s="19">
        <f>I$7*Per_Unit!$C$14</f>
        <v/>
      </c>
      <c r="J86" s="19">
        <f>J$7*Per_Unit!$C$13</f>
        <v/>
      </c>
      <c r="K86" s="19">
        <f>K$7*Per_Unit!$C$12</f>
        <v/>
      </c>
      <c r="L86" s="19">
        <f>L$7*Per_Unit!$C$11</f>
        <v/>
      </c>
      <c r="M86" s="19">
        <f>M$7*Per_Unit!$C$10</f>
        <v/>
      </c>
      <c r="N86" s="19">
        <f>N$7*Per_Unit!$C$9</f>
        <v/>
      </c>
      <c r="O86" s="19">
        <f>O$7*Per_Unit!$C$8</f>
        <v/>
      </c>
      <c r="P86" s="19">
        <f>P$7*Per_Unit!$C$7</f>
        <v/>
      </c>
    </row>
    <row r="87">
      <c r="A87" s="19" t="n">
        <v>16</v>
      </c>
      <c r="B87" s="19">
        <f>B$7*Per_Unit!$C$22</f>
        <v/>
      </c>
      <c r="C87" s="19">
        <f>C$7*Per_Unit!$C$21</f>
        <v/>
      </c>
      <c r="D87" s="19">
        <f>D$7*Per_Unit!$C$20</f>
        <v/>
      </c>
      <c r="E87" s="19">
        <f>E$7*Per_Unit!$C$19</f>
        <v/>
      </c>
      <c r="F87" s="19">
        <f>F$7*Per_Unit!$C$18</f>
        <v/>
      </c>
      <c r="G87" s="19">
        <f>G$7*Per_Unit!$C$17</f>
        <v/>
      </c>
      <c r="H87" s="19">
        <f>H$7*Per_Unit!$C$16</f>
        <v/>
      </c>
      <c r="I87" s="19">
        <f>I$7*Per_Unit!$C$15</f>
        <v/>
      </c>
      <c r="J87" s="19">
        <f>J$7*Per_Unit!$C$14</f>
        <v/>
      </c>
      <c r="K87" s="19">
        <f>K$7*Per_Unit!$C$13</f>
        <v/>
      </c>
      <c r="L87" s="19">
        <f>L$7*Per_Unit!$C$12</f>
        <v/>
      </c>
      <c r="M87" s="19">
        <f>M$7*Per_Unit!$C$11</f>
        <v/>
      </c>
      <c r="N87" s="19">
        <f>N$7*Per_Unit!$C$10</f>
        <v/>
      </c>
      <c r="O87" s="19">
        <f>O$7*Per_Unit!$C$9</f>
        <v/>
      </c>
      <c r="P87" s="19">
        <f>P$7*Per_Unit!$C$8</f>
        <v/>
      </c>
      <c r="Q87" s="19">
        <f>Q$7*Per_Unit!$C$7</f>
        <v/>
      </c>
    </row>
    <row r="88">
      <c r="A88" s="19" t="n">
        <v>17</v>
      </c>
      <c r="B88" s="19">
        <f>B$7*Per_Unit!$C$23</f>
        <v/>
      </c>
      <c r="C88" s="19">
        <f>C$7*Per_Unit!$C$22</f>
        <v/>
      </c>
      <c r="D88" s="19">
        <f>D$7*Per_Unit!$C$21</f>
        <v/>
      </c>
      <c r="E88" s="19">
        <f>E$7*Per_Unit!$C$20</f>
        <v/>
      </c>
      <c r="F88" s="19">
        <f>F$7*Per_Unit!$C$19</f>
        <v/>
      </c>
      <c r="G88" s="19">
        <f>G$7*Per_Unit!$C$18</f>
        <v/>
      </c>
      <c r="H88" s="19">
        <f>H$7*Per_Unit!$C$17</f>
        <v/>
      </c>
      <c r="I88" s="19">
        <f>I$7*Per_Unit!$C$16</f>
        <v/>
      </c>
      <c r="J88" s="19">
        <f>J$7*Per_Unit!$C$15</f>
        <v/>
      </c>
      <c r="K88" s="19">
        <f>K$7*Per_Unit!$C$14</f>
        <v/>
      </c>
      <c r="L88" s="19">
        <f>L$7*Per_Unit!$C$13</f>
        <v/>
      </c>
      <c r="M88" s="19">
        <f>M$7*Per_Unit!$C$12</f>
        <v/>
      </c>
      <c r="N88" s="19">
        <f>N$7*Per_Unit!$C$11</f>
        <v/>
      </c>
      <c r="O88" s="19">
        <f>O$7*Per_Unit!$C$10</f>
        <v/>
      </c>
      <c r="P88" s="19">
        <f>P$7*Per_Unit!$C$9</f>
        <v/>
      </c>
      <c r="Q88" s="19">
        <f>Q$7*Per_Unit!$C$8</f>
        <v/>
      </c>
      <c r="R88" s="19">
        <f>R$7*Per_Unit!$C$7</f>
        <v/>
      </c>
    </row>
    <row r="89">
      <c r="A89" s="19" t="n">
        <v>18</v>
      </c>
      <c r="B89" s="19">
        <f>B$7*Per_Unit!$C$24</f>
        <v/>
      </c>
      <c r="C89" s="19">
        <f>C$7*Per_Unit!$C$23</f>
        <v/>
      </c>
      <c r="D89" s="19">
        <f>D$7*Per_Unit!$C$22</f>
        <v/>
      </c>
      <c r="E89" s="19">
        <f>E$7*Per_Unit!$C$21</f>
        <v/>
      </c>
      <c r="F89" s="19">
        <f>F$7*Per_Unit!$C$20</f>
        <v/>
      </c>
      <c r="G89" s="19">
        <f>G$7*Per_Unit!$C$19</f>
        <v/>
      </c>
      <c r="H89" s="19">
        <f>H$7*Per_Unit!$C$18</f>
        <v/>
      </c>
      <c r="I89" s="19">
        <f>I$7*Per_Unit!$C$17</f>
        <v/>
      </c>
      <c r="J89" s="19">
        <f>J$7*Per_Unit!$C$16</f>
        <v/>
      </c>
      <c r="K89" s="19">
        <f>K$7*Per_Unit!$C$15</f>
        <v/>
      </c>
      <c r="L89" s="19">
        <f>L$7*Per_Unit!$C$14</f>
        <v/>
      </c>
      <c r="M89" s="19">
        <f>M$7*Per_Unit!$C$13</f>
        <v/>
      </c>
      <c r="N89" s="19">
        <f>N$7*Per_Unit!$C$12</f>
        <v/>
      </c>
      <c r="O89" s="19">
        <f>O$7*Per_Unit!$C$11</f>
        <v/>
      </c>
      <c r="P89" s="19">
        <f>P$7*Per_Unit!$C$10</f>
        <v/>
      </c>
      <c r="Q89" s="19">
        <f>Q$7*Per_Unit!$C$9</f>
        <v/>
      </c>
      <c r="R89" s="19">
        <f>R$7*Per_Unit!$C$8</f>
        <v/>
      </c>
      <c r="S89" s="19">
        <f>S$7*Per_Unit!$C$7</f>
        <v/>
      </c>
    </row>
    <row r="90">
      <c r="A90" s="19" t="n">
        <v>19</v>
      </c>
      <c r="B90" s="19">
        <f>B$7*Per_Unit!$C$25</f>
        <v/>
      </c>
      <c r="C90" s="19">
        <f>C$7*Per_Unit!$C$24</f>
        <v/>
      </c>
      <c r="D90" s="19">
        <f>D$7*Per_Unit!$C$23</f>
        <v/>
      </c>
      <c r="E90" s="19">
        <f>E$7*Per_Unit!$C$22</f>
        <v/>
      </c>
      <c r="F90" s="19">
        <f>F$7*Per_Unit!$C$21</f>
        <v/>
      </c>
      <c r="G90" s="19">
        <f>G$7*Per_Unit!$C$20</f>
        <v/>
      </c>
      <c r="H90" s="19">
        <f>H$7*Per_Unit!$C$19</f>
        <v/>
      </c>
      <c r="I90" s="19">
        <f>I$7*Per_Unit!$C$18</f>
        <v/>
      </c>
      <c r="J90" s="19">
        <f>J$7*Per_Unit!$C$17</f>
        <v/>
      </c>
      <c r="K90" s="19">
        <f>K$7*Per_Unit!$C$16</f>
        <v/>
      </c>
      <c r="L90" s="19">
        <f>L$7*Per_Unit!$C$15</f>
        <v/>
      </c>
      <c r="M90" s="19">
        <f>M$7*Per_Unit!$C$14</f>
        <v/>
      </c>
      <c r="N90" s="19">
        <f>N$7*Per_Unit!$C$13</f>
        <v/>
      </c>
      <c r="O90" s="19">
        <f>O$7*Per_Unit!$C$12</f>
        <v/>
      </c>
      <c r="P90" s="19">
        <f>P$7*Per_Unit!$C$11</f>
        <v/>
      </c>
      <c r="Q90" s="19">
        <f>Q$7*Per_Unit!$C$10</f>
        <v/>
      </c>
      <c r="R90" s="19">
        <f>R$7*Per_Unit!$C$9</f>
        <v/>
      </c>
      <c r="S90" s="19">
        <f>S$7*Per_Unit!$C$8</f>
        <v/>
      </c>
      <c r="T90" s="19">
        <f>T$7*Per_Unit!$C$7</f>
        <v/>
      </c>
    </row>
    <row r="91">
      <c r="A91" s="19" t="n">
        <v>20</v>
      </c>
      <c r="B91" s="19">
        <f>B$7*Per_Unit!$C$26</f>
        <v/>
      </c>
      <c r="C91" s="19">
        <f>C$7*Per_Unit!$C$25</f>
        <v/>
      </c>
      <c r="D91" s="19">
        <f>D$7*Per_Unit!$C$24</f>
        <v/>
      </c>
      <c r="E91" s="19">
        <f>E$7*Per_Unit!$C$23</f>
        <v/>
      </c>
      <c r="F91" s="19">
        <f>F$7*Per_Unit!$C$22</f>
        <v/>
      </c>
      <c r="G91" s="19">
        <f>G$7*Per_Unit!$C$21</f>
        <v/>
      </c>
      <c r="H91" s="19">
        <f>H$7*Per_Unit!$C$20</f>
        <v/>
      </c>
      <c r="I91" s="19">
        <f>I$7*Per_Unit!$C$19</f>
        <v/>
      </c>
      <c r="J91" s="19">
        <f>J$7*Per_Unit!$C$18</f>
        <v/>
      </c>
      <c r="K91" s="19">
        <f>K$7*Per_Unit!$C$17</f>
        <v/>
      </c>
      <c r="L91" s="19">
        <f>L$7*Per_Unit!$C$16</f>
        <v/>
      </c>
      <c r="M91" s="19">
        <f>M$7*Per_Unit!$C$15</f>
        <v/>
      </c>
      <c r="N91" s="19">
        <f>N$7*Per_Unit!$C$14</f>
        <v/>
      </c>
      <c r="O91" s="19">
        <f>O$7*Per_Unit!$C$13</f>
        <v/>
      </c>
      <c r="P91" s="19">
        <f>P$7*Per_Unit!$C$12</f>
        <v/>
      </c>
      <c r="Q91" s="19">
        <f>Q$7*Per_Unit!$C$11</f>
        <v/>
      </c>
      <c r="R91" s="19">
        <f>R$7*Per_Unit!$C$10</f>
        <v/>
      </c>
      <c r="S91" s="19">
        <f>S$7*Per_Unit!$C$9</f>
        <v/>
      </c>
      <c r="T91" s="19">
        <f>T$7*Per_Unit!$C$8</f>
        <v/>
      </c>
      <c r="U91" s="19">
        <f>U$7*Per_Unit!$C$7</f>
        <v/>
      </c>
    </row>
    <row r="92">
      <c r="A92" s="19" t="n">
        <v>21</v>
      </c>
      <c r="B92" s="19">
        <f>B$7*Per_Unit!$C$27</f>
        <v/>
      </c>
      <c r="C92" s="19">
        <f>C$7*Per_Unit!$C$26</f>
        <v/>
      </c>
      <c r="D92" s="19">
        <f>D$7*Per_Unit!$C$25</f>
        <v/>
      </c>
      <c r="E92" s="19">
        <f>E$7*Per_Unit!$C$24</f>
        <v/>
      </c>
      <c r="F92" s="19">
        <f>F$7*Per_Unit!$C$23</f>
        <v/>
      </c>
      <c r="G92" s="19">
        <f>G$7*Per_Unit!$C$22</f>
        <v/>
      </c>
      <c r="H92" s="19">
        <f>H$7*Per_Unit!$C$21</f>
        <v/>
      </c>
      <c r="I92" s="19">
        <f>I$7*Per_Unit!$C$20</f>
        <v/>
      </c>
      <c r="J92" s="19">
        <f>J$7*Per_Unit!$C$19</f>
        <v/>
      </c>
      <c r="K92" s="19">
        <f>K$7*Per_Unit!$C$18</f>
        <v/>
      </c>
      <c r="L92" s="19">
        <f>L$7*Per_Unit!$C$17</f>
        <v/>
      </c>
      <c r="M92" s="19">
        <f>M$7*Per_Unit!$C$16</f>
        <v/>
      </c>
      <c r="N92" s="19">
        <f>N$7*Per_Unit!$C$15</f>
        <v/>
      </c>
      <c r="O92" s="19">
        <f>O$7*Per_Unit!$C$14</f>
        <v/>
      </c>
      <c r="P92" s="19">
        <f>P$7*Per_Unit!$C$13</f>
        <v/>
      </c>
      <c r="Q92" s="19">
        <f>Q$7*Per_Unit!$C$12</f>
        <v/>
      </c>
      <c r="R92" s="19">
        <f>R$7*Per_Unit!$C$11</f>
        <v/>
      </c>
      <c r="S92" s="19">
        <f>S$7*Per_Unit!$C$10</f>
        <v/>
      </c>
      <c r="T92" s="19">
        <f>T$7*Per_Unit!$C$9</f>
        <v/>
      </c>
      <c r="U92" s="19">
        <f>U$7*Per_Unit!$C$8</f>
        <v/>
      </c>
      <c r="V92" s="19">
        <f>V$7*Per_Unit!$C$7</f>
        <v/>
      </c>
    </row>
    <row r="93">
      <c r="A93" s="19" t="n">
        <v>22</v>
      </c>
      <c r="B93" s="19">
        <f>B$7*Per_Unit!$C$28</f>
        <v/>
      </c>
      <c r="C93" s="19">
        <f>C$7*Per_Unit!$C$27</f>
        <v/>
      </c>
      <c r="D93" s="19">
        <f>D$7*Per_Unit!$C$26</f>
        <v/>
      </c>
      <c r="E93" s="19">
        <f>E$7*Per_Unit!$C$25</f>
        <v/>
      </c>
      <c r="F93" s="19">
        <f>F$7*Per_Unit!$C$24</f>
        <v/>
      </c>
      <c r="G93" s="19">
        <f>G$7*Per_Unit!$C$23</f>
        <v/>
      </c>
      <c r="H93" s="19">
        <f>H$7*Per_Unit!$C$22</f>
        <v/>
      </c>
      <c r="I93" s="19">
        <f>I$7*Per_Unit!$C$21</f>
        <v/>
      </c>
      <c r="J93" s="19">
        <f>J$7*Per_Unit!$C$20</f>
        <v/>
      </c>
      <c r="K93" s="19">
        <f>K$7*Per_Unit!$C$19</f>
        <v/>
      </c>
      <c r="L93" s="19">
        <f>L$7*Per_Unit!$C$18</f>
        <v/>
      </c>
      <c r="M93" s="19">
        <f>M$7*Per_Unit!$C$17</f>
        <v/>
      </c>
      <c r="N93" s="19">
        <f>N$7*Per_Unit!$C$16</f>
        <v/>
      </c>
      <c r="O93" s="19">
        <f>O$7*Per_Unit!$C$15</f>
        <v/>
      </c>
      <c r="P93" s="19">
        <f>P$7*Per_Unit!$C$14</f>
        <v/>
      </c>
      <c r="Q93" s="19">
        <f>Q$7*Per_Unit!$C$13</f>
        <v/>
      </c>
      <c r="R93" s="19">
        <f>R$7*Per_Unit!$C$12</f>
        <v/>
      </c>
      <c r="S93" s="19">
        <f>S$7*Per_Unit!$C$11</f>
        <v/>
      </c>
      <c r="T93" s="19">
        <f>T$7*Per_Unit!$C$10</f>
        <v/>
      </c>
      <c r="U93" s="19">
        <f>U$7*Per_Unit!$C$9</f>
        <v/>
      </c>
      <c r="V93" s="19">
        <f>V$7*Per_Unit!$C$8</f>
        <v/>
      </c>
      <c r="W93" s="19">
        <f>W$7*Per_Unit!$C$7</f>
        <v/>
      </c>
    </row>
    <row r="94">
      <c r="A94" s="19" t="n">
        <v>23</v>
      </c>
      <c r="B94" s="19">
        <f>B$7*Per_Unit!$C$29</f>
        <v/>
      </c>
      <c r="C94" s="19">
        <f>C$7*Per_Unit!$C$28</f>
        <v/>
      </c>
      <c r="D94" s="19">
        <f>D$7*Per_Unit!$C$27</f>
        <v/>
      </c>
      <c r="E94" s="19">
        <f>E$7*Per_Unit!$C$26</f>
        <v/>
      </c>
      <c r="F94" s="19">
        <f>F$7*Per_Unit!$C$25</f>
        <v/>
      </c>
      <c r="G94" s="19">
        <f>G$7*Per_Unit!$C$24</f>
        <v/>
      </c>
      <c r="H94" s="19">
        <f>H$7*Per_Unit!$C$23</f>
        <v/>
      </c>
      <c r="I94" s="19">
        <f>I$7*Per_Unit!$C$22</f>
        <v/>
      </c>
      <c r="J94" s="19">
        <f>J$7*Per_Unit!$C$21</f>
        <v/>
      </c>
      <c r="K94" s="19">
        <f>K$7*Per_Unit!$C$20</f>
        <v/>
      </c>
      <c r="L94" s="19">
        <f>L$7*Per_Unit!$C$19</f>
        <v/>
      </c>
      <c r="M94" s="19">
        <f>M$7*Per_Unit!$C$18</f>
        <v/>
      </c>
      <c r="N94" s="19">
        <f>N$7*Per_Unit!$C$17</f>
        <v/>
      </c>
      <c r="O94" s="19">
        <f>O$7*Per_Unit!$C$16</f>
        <v/>
      </c>
      <c r="P94" s="19">
        <f>P$7*Per_Unit!$C$15</f>
        <v/>
      </c>
      <c r="Q94" s="19">
        <f>Q$7*Per_Unit!$C$14</f>
        <v/>
      </c>
      <c r="R94" s="19">
        <f>R$7*Per_Unit!$C$13</f>
        <v/>
      </c>
      <c r="S94" s="19">
        <f>S$7*Per_Unit!$C$12</f>
        <v/>
      </c>
      <c r="T94" s="19">
        <f>T$7*Per_Unit!$C$11</f>
        <v/>
      </c>
      <c r="U94" s="19">
        <f>U$7*Per_Unit!$C$10</f>
        <v/>
      </c>
      <c r="V94" s="19">
        <f>V$7*Per_Unit!$C$9</f>
        <v/>
      </c>
      <c r="W94" s="19">
        <f>W$7*Per_Unit!$C$8</f>
        <v/>
      </c>
      <c r="X94" s="19">
        <f>X$7*Per_Unit!$C$7</f>
        <v/>
      </c>
    </row>
    <row r="95">
      <c r="A95" s="19" t="n">
        <v>24</v>
      </c>
      <c r="B95" s="19">
        <f>B$7*Per_Unit!$C$30</f>
        <v/>
      </c>
      <c r="C95" s="19">
        <f>C$7*Per_Unit!$C$29</f>
        <v/>
      </c>
      <c r="D95" s="19">
        <f>D$7*Per_Unit!$C$28</f>
        <v/>
      </c>
      <c r="E95" s="19">
        <f>E$7*Per_Unit!$C$27</f>
        <v/>
      </c>
      <c r="F95" s="19">
        <f>F$7*Per_Unit!$C$26</f>
        <v/>
      </c>
      <c r="G95" s="19">
        <f>G$7*Per_Unit!$C$25</f>
        <v/>
      </c>
      <c r="H95" s="19">
        <f>H$7*Per_Unit!$C$24</f>
        <v/>
      </c>
      <c r="I95" s="19">
        <f>I$7*Per_Unit!$C$23</f>
        <v/>
      </c>
      <c r="J95" s="19">
        <f>J$7*Per_Unit!$C$22</f>
        <v/>
      </c>
      <c r="K95" s="19">
        <f>K$7*Per_Unit!$C$21</f>
        <v/>
      </c>
      <c r="L95" s="19">
        <f>L$7*Per_Unit!$C$20</f>
        <v/>
      </c>
      <c r="M95" s="19">
        <f>M$7*Per_Unit!$C$19</f>
        <v/>
      </c>
      <c r="N95" s="19">
        <f>N$7*Per_Unit!$C$18</f>
        <v/>
      </c>
      <c r="O95" s="19">
        <f>O$7*Per_Unit!$C$17</f>
        <v/>
      </c>
      <c r="P95" s="19">
        <f>P$7*Per_Unit!$C$16</f>
        <v/>
      </c>
      <c r="Q95" s="19">
        <f>Q$7*Per_Unit!$C$15</f>
        <v/>
      </c>
      <c r="R95" s="19">
        <f>R$7*Per_Unit!$C$14</f>
        <v/>
      </c>
      <c r="S95" s="19">
        <f>S$7*Per_Unit!$C$13</f>
        <v/>
      </c>
      <c r="T95" s="19">
        <f>T$7*Per_Unit!$C$12</f>
        <v/>
      </c>
      <c r="U95" s="19">
        <f>U$7*Per_Unit!$C$11</f>
        <v/>
      </c>
      <c r="V95" s="19">
        <f>V$7*Per_Unit!$C$10</f>
        <v/>
      </c>
      <c r="W95" s="19">
        <f>W$7*Per_Unit!$C$9</f>
        <v/>
      </c>
      <c r="X95" s="19">
        <f>X$7*Per_Unit!$C$8</f>
        <v/>
      </c>
      <c r="Y95" s="19">
        <f>Y$7*Per_Unit!$C$7</f>
        <v/>
      </c>
    </row>
    <row r="96">
      <c r="A96" s="19" t="n">
        <v>25</v>
      </c>
      <c r="B96" s="19">
        <f>B$7*Per_Unit!$C$31</f>
        <v/>
      </c>
      <c r="C96" s="19">
        <f>C$7*Per_Unit!$C$30</f>
        <v/>
      </c>
      <c r="D96" s="19">
        <f>D$7*Per_Unit!$C$29</f>
        <v/>
      </c>
      <c r="E96" s="19">
        <f>E$7*Per_Unit!$C$28</f>
        <v/>
      </c>
      <c r="F96" s="19">
        <f>F$7*Per_Unit!$C$27</f>
        <v/>
      </c>
      <c r="G96" s="19">
        <f>G$7*Per_Unit!$C$26</f>
        <v/>
      </c>
      <c r="H96" s="19">
        <f>H$7*Per_Unit!$C$25</f>
        <v/>
      </c>
      <c r="I96" s="19">
        <f>I$7*Per_Unit!$C$24</f>
        <v/>
      </c>
      <c r="J96" s="19">
        <f>J$7*Per_Unit!$C$23</f>
        <v/>
      </c>
      <c r="K96" s="19">
        <f>K$7*Per_Unit!$C$22</f>
        <v/>
      </c>
      <c r="L96" s="19">
        <f>L$7*Per_Unit!$C$21</f>
        <v/>
      </c>
      <c r="M96" s="19">
        <f>M$7*Per_Unit!$C$20</f>
        <v/>
      </c>
      <c r="N96" s="19">
        <f>N$7*Per_Unit!$C$19</f>
        <v/>
      </c>
      <c r="O96" s="19">
        <f>O$7*Per_Unit!$C$18</f>
        <v/>
      </c>
      <c r="P96" s="19">
        <f>P$7*Per_Unit!$C$17</f>
        <v/>
      </c>
      <c r="Q96" s="19">
        <f>Q$7*Per_Unit!$C$16</f>
        <v/>
      </c>
      <c r="R96" s="19">
        <f>R$7*Per_Unit!$C$15</f>
        <v/>
      </c>
      <c r="S96" s="19">
        <f>S$7*Per_Unit!$C$14</f>
        <v/>
      </c>
      <c r="T96" s="19">
        <f>T$7*Per_Unit!$C$13</f>
        <v/>
      </c>
      <c r="U96" s="19">
        <f>U$7*Per_Unit!$C$12</f>
        <v/>
      </c>
      <c r="V96" s="19">
        <f>V$7*Per_Unit!$C$11</f>
        <v/>
      </c>
      <c r="W96" s="19">
        <f>W$7*Per_Unit!$C$10</f>
        <v/>
      </c>
      <c r="X96" s="19">
        <f>X$7*Per_Unit!$C$9</f>
        <v/>
      </c>
      <c r="Y96" s="19">
        <f>Y$7*Per_Unit!$C$8</f>
        <v/>
      </c>
      <c r="Z96" s="19">
        <f>Z$7*Per_Unit!$C$7</f>
        <v/>
      </c>
    </row>
    <row r="97">
      <c r="A97" s="19" t="n">
        <v>26</v>
      </c>
      <c r="B97" s="19">
        <f>B$7*Per_Unit!$C$32</f>
        <v/>
      </c>
      <c r="C97" s="19">
        <f>C$7*Per_Unit!$C$31</f>
        <v/>
      </c>
      <c r="D97" s="19">
        <f>D$7*Per_Unit!$C$30</f>
        <v/>
      </c>
      <c r="E97" s="19">
        <f>E$7*Per_Unit!$C$29</f>
        <v/>
      </c>
      <c r="F97" s="19">
        <f>F$7*Per_Unit!$C$28</f>
        <v/>
      </c>
      <c r="G97" s="19">
        <f>G$7*Per_Unit!$C$27</f>
        <v/>
      </c>
      <c r="H97" s="19">
        <f>H$7*Per_Unit!$C$26</f>
        <v/>
      </c>
      <c r="I97" s="19">
        <f>I$7*Per_Unit!$C$25</f>
        <v/>
      </c>
      <c r="J97" s="19">
        <f>J$7*Per_Unit!$C$24</f>
        <v/>
      </c>
      <c r="K97" s="19">
        <f>K$7*Per_Unit!$C$23</f>
        <v/>
      </c>
      <c r="L97" s="19">
        <f>L$7*Per_Unit!$C$22</f>
        <v/>
      </c>
      <c r="M97" s="19">
        <f>M$7*Per_Unit!$C$21</f>
        <v/>
      </c>
      <c r="N97" s="19">
        <f>N$7*Per_Unit!$C$20</f>
        <v/>
      </c>
      <c r="O97" s="19">
        <f>O$7*Per_Unit!$C$19</f>
        <v/>
      </c>
      <c r="P97" s="19">
        <f>P$7*Per_Unit!$C$18</f>
        <v/>
      </c>
      <c r="Q97" s="19">
        <f>Q$7*Per_Unit!$C$17</f>
        <v/>
      </c>
      <c r="R97" s="19">
        <f>R$7*Per_Unit!$C$16</f>
        <v/>
      </c>
      <c r="S97" s="19">
        <f>S$7*Per_Unit!$C$15</f>
        <v/>
      </c>
      <c r="T97" s="19">
        <f>T$7*Per_Unit!$C$14</f>
        <v/>
      </c>
      <c r="U97" s="19">
        <f>U$7*Per_Unit!$C$13</f>
        <v/>
      </c>
      <c r="V97" s="19">
        <f>V$7*Per_Unit!$C$12</f>
        <v/>
      </c>
      <c r="W97" s="19">
        <f>W$7*Per_Unit!$C$11</f>
        <v/>
      </c>
      <c r="X97" s="19">
        <f>X$7*Per_Unit!$C$10</f>
        <v/>
      </c>
      <c r="Y97" s="19">
        <f>Y$7*Per_Unit!$C$9</f>
        <v/>
      </c>
      <c r="Z97" s="19">
        <f>Z$7*Per_Unit!$C$8</f>
        <v/>
      </c>
      <c r="AA97" s="19">
        <f>AA$7*Per_Unit!$C$7</f>
        <v/>
      </c>
    </row>
    <row r="98">
      <c r="A98" s="19" t="n">
        <v>27</v>
      </c>
      <c r="B98" s="19">
        <f>B$7*Per_Unit!$C$33</f>
        <v/>
      </c>
      <c r="C98" s="19">
        <f>C$7*Per_Unit!$C$32</f>
        <v/>
      </c>
      <c r="D98" s="19">
        <f>D$7*Per_Unit!$C$31</f>
        <v/>
      </c>
      <c r="E98" s="19">
        <f>E$7*Per_Unit!$C$30</f>
        <v/>
      </c>
      <c r="F98" s="19">
        <f>F$7*Per_Unit!$C$29</f>
        <v/>
      </c>
      <c r="G98" s="19">
        <f>G$7*Per_Unit!$C$28</f>
        <v/>
      </c>
      <c r="H98" s="19">
        <f>H$7*Per_Unit!$C$27</f>
        <v/>
      </c>
      <c r="I98" s="19">
        <f>I$7*Per_Unit!$C$26</f>
        <v/>
      </c>
      <c r="J98" s="19">
        <f>J$7*Per_Unit!$C$25</f>
        <v/>
      </c>
      <c r="K98" s="19">
        <f>K$7*Per_Unit!$C$24</f>
        <v/>
      </c>
      <c r="L98" s="19">
        <f>L$7*Per_Unit!$C$23</f>
        <v/>
      </c>
      <c r="M98" s="19">
        <f>M$7*Per_Unit!$C$22</f>
        <v/>
      </c>
      <c r="N98" s="19">
        <f>N$7*Per_Unit!$C$21</f>
        <v/>
      </c>
      <c r="O98" s="19">
        <f>O$7*Per_Unit!$C$20</f>
        <v/>
      </c>
      <c r="P98" s="19">
        <f>P$7*Per_Unit!$C$19</f>
        <v/>
      </c>
      <c r="Q98" s="19">
        <f>Q$7*Per_Unit!$C$18</f>
        <v/>
      </c>
      <c r="R98" s="19">
        <f>R$7*Per_Unit!$C$17</f>
        <v/>
      </c>
      <c r="S98" s="19">
        <f>S$7*Per_Unit!$C$16</f>
        <v/>
      </c>
      <c r="T98" s="19">
        <f>T$7*Per_Unit!$C$15</f>
        <v/>
      </c>
      <c r="U98" s="19">
        <f>U$7*Per_Unit!$C$14</f>
        <v/>
      </c>
      <c r="V98" s="19">
        <f>V$7*Per_Unit!$C$13</f>
        <v/>
      </c>
      <c r="W98" s="19">
        <f>W$7*Per_Unit!$C$12</f>
        <v/>
      </c>
      <c r="X98" s="19">
        <f>X$7*Per_Unit!$C$11</f>
        <v/>
      </c>
      <c r="Y98" s="19">
        <f>Y$7*Per_Unit!$C$10</f>
        <v/>
      </c>
      <c r="Z98" s="19">
        <f>Z$7*Per_Unit!$C$9</f>
        <v/>
      </c>
      <c r="AA98" s="19">
        <f>AA$7*Per_Unit!$C$8</f>
        <v/>
      </c>
      <c r="AB98" s="19">
        <f>AB$7*Per_Unit!$C$7</f>
        <v/>
      </c>
    </row>
    <row r="99">
      <c r="A99" s="19" t="n">
        <v>28</v>
      </c>
      <c r="B99" s="19">
        <f>B$7*Per_Unit!$C$34</f>
        <v/>
      </c>
      <c r="C99" s="19">
        <f>C$7*Per_Unit!$C$33</f>
        <v/>
      </c>
      <c r="D99" s="19">
        <f>D$7*Per_Unit!$C$32</f>
        <v/>
      </c>
      <c r="E99" s="19">
        <f>E$7*Per_Unit!$C$31</f>
        <v/>
      </c>
      <c r="F99" s="19">
        <f>F$7*Per_Unit!$C$30</f>
        <v/>
      </c>
      <c r="G99" s="19">
        <f>G$7*Per_Unit!$C$29</f>
        <v/>
      </c>
      <c r="H99" s="19">
        <f>H$7*Per_Unit!$C$28</f>
        <v/>
      </c>
      <c r="I99" s="19">
        <f>I$7*Per_Unit!$C$27</f>
        <v/>
      </c>
      <c r="J99" s="19">
        <f>J$7*Per_Unit!$C$26</f>
        <v/>
      </c>
      <c r="K99" s="19">
        <f>K$7*Per_Unit!$C$25</f>
        <v/>
      </c>
      <c r="L99" s="19">
        <f>L$7*Per_Unit!$C$24</f>
        <v/>
      </c>
      <c r="M99" s="19">
        <f>M$7*Per_Unit!$C$23</f>
        <v/>
      </c>
      <c r="N99" s="19">
        <f>N$7*Per_Unit!$C$22</f>
        <v/>
      </c>
      <c r="O99" s="19">
        <f>O$7*Per_Unit!$C$21</f>
        <v/>
      </c>
      <c r="P99" s="19">
        <f>P$7*Per_Unit!$C$20</f>
        <v/>
      </c>
      <c r="Q99" s="19">
        <f>Q$7*Per_Unit!$C$19</f>
        <v/>
      </c>
      <c r="R99" s="19">
        <f>R$7*Per_Unit!$C$18</f>
        <v/>
      </c>
      <c r="S99" s="19">
        <f>S$7*Per_Unit!$C$17</f>
        <v/>
      </c>
      <c r="T99" s="19">
        <f>T$7*Per_Unit!$C$16</f>
        <v/>
      </c>
      <c r="U99" s="19">
        <f>U$7*Per_Unit!$C$15</f>
        <v/>
      </c>
      <c r="V99" s="19">
        <f>V$7*Per_Unit!$C$14</f>
        <v/>
      </c>
      <c r="W99" s="19">
        <f>W$7*Per_Unit!$C$13</f>
        <v/>
      </c>
      <c r="X99" s="19">
        <f>X$7*Per_Unit!$C$12</f>
        <v/>
      </c>
      <c r="Y99" s="19">
        <f>Y$7*Per_Unit!$C$11</f>
        <v/>
      </c>
      <c r="Z99" s="19">
        <f>Z$7*Per_Unit!$C$10</f>
        <v/>
      </c>
      <c r="AA99" s="19">
        <f>AA$7*Per_Unit!$C$9</f>
        <v/>
      </c>
      <c r="AB99" s="19">
        <f>AB$7*Per_Unit!$C$8</f>
        <v/>
      </c>
      <c r="AC99" s="19">
        <f>AC$7*Per_Unit!$C$7</f>
        <v/>
      </c>
    </row>
    <row r="100">
      <c r="A100" s="19" t="n">
        <v>29</v>
      </c>
      <c r="B100" s="19">
        <f>B$7*Per_Unit!$C$35</f>
        <v/>
      </c>
      <c r="C100" s="19">
        <f>C$7*Per_Unit!$C$34</f>
        <v/>
      </c>
      <c r="D100" s="19">
        <f>D$7*Per_Unit!$C$33</f>
        <v/>
      </c>
      <c r="E100" s="19">
        <f>E$7*Per_Unit!$C$32</f>
        <v/>
      </c>
      <c r="F100" s="19">
        <f>F$7*Per_Unit!$C$31</f>
        <v/>
      </c>
      <c r="G100" s="19">
        <f>G$7*Per_Unit!$C$30</f>
        <v/>
      </c>
      <c r="H100" s="19">
        <f>H$7*Per_Unit!$C$29</f>
        <v/>
      </c>
      <c r="I100" s="19">
        <f>I$7*Per_Unit!$C$28</f>
        <v/>
      </c>
      <c r="J100" s="19">
        <f>J$7*Per_Unit!$C$27</f>
        <v/>
      </c>
      <c r="K100" s="19">
        <f>K$7*Per_Unit!$C$26</f>
        <v/>
      </c>
      <c r="L100" s="19">
        <f>L$7*Per_Unit!$C$25</f>
        <v/>
      </c>
      <c r="M100" s="19">
        <f>M$7*Per_Unit!$C$24</f>
        <v/>
      </c>
      <c r="N100" s="19">
        <f>N$7*Per_Unit!$C$23</f>
        <v/>
      </c>
      <c r="O100" s="19">
        <f>O$7*Per_Unit!$C$22</f>
        <v/>
      </c>
      <c r="P100" s="19">
        <f>P$7*Per_Unit!$C$21</f>
        <v/>
      </c>
      <c r="Q100" s="19">
        <f>Q$7*Per_Unit!$C$20</f>
        <v/>
      </c>
      <c r="R100" s="19">
        <f>R$7*Per_Unit!$C$19</f>
        <v/>
      </c>
      <c r="S100" s="19">
        <f>S$7*Per_Unit!$C$18</f>
        <v/>
      </c>
      <c r="T100" s="19">
        <f>T$7*Per_Unit!$C$17</f>
        <v/>
      </c>
      <c r="U100" s="19">
        <f>U$7*Per_Unit!$C$16</f>
        <v/>
      </c>
      <c r="V100" s="19">
        <f>V$7*Per_Unit!$C$15</f>
        <v/>
      </c>
      <c r="W100" s="19">
        <f>W$7*Per_Unit!$C$14</f>
        <v/>
      </c>
      <c r="X100" s="19">
        <f>X$7*Per_Unit!$C$13</f>
        <v/>
      </c>
      <c r="Y100" s="19">
        <f>Y$7*Per_Unit!$C$12</f>
        <v/>
      </c>
      <c r="Z100" s="19">
        <f>Z$7*Per_Unit!$C$11</f>
        <v/>
      </c>
      <c r="AA100" s="19">
        <f>AA$7*Per_Unit!$C$10</f>
        <v/>
      </c>
      <c r="AB100" s="19">
        <f>AB$7*Per_Unit!$C$9</f>
        <v/>
      </c>
      <c r="AC100" s="19">
        <f>AC$7*Per_Unit!$C$8</f>
        <v/>
      </c>
      <c r="AD100" s="19">
        <f>AD$7*Per_Unit!$C$7</f>
        <v/>
      </c>
    </row>
    <row r="101">
      <c r="A101" s="19" t="n">
        <v>30</v>
      </c>
      <c r="B101" s="19">
        <f>B$7*Per_Unit!$C$36</f>
        <v/>
      </c>
      <c r="C101" s="19">
        <f>C$7*Per_Unit!$C$35</f>
        <v/>
      </c>
      <c r="D101" s="19">
        <f>D$7*Per_Unit!$C$34</f>
        <v/>
      </c>
      <c r="E101" s="19">
        <f>E$7*Per_Unit!$C$33</f>
        <v/>
      </c>
      <c r="F101" s="19">
        <f>F$7*Per_Unit!$C$32</f>
        <v/>
      </c>
      <c r="G101" s="19">
        <f>G$7*Per_Unit!$C$31</f>
        <v/>
      </c>
      <c r="H101" s="19">
        <f>H$7*Per_Unit!$C$30</f>
        <v/>
      </c>
      <c r="I101" s="19">
        <f>I$7*Per_Unit!$C$29</f>
        <v/>
      </c>
      <c r="J101" s="19">
        <f>J$7*Per_Unit!$C$28</f>
        <v/>
      </c>
      <c r="K101" s="19">
        <f>K$7*Per_Unit!$C$27</f>
        <v/>
      </c>
      <c r="L101" s="19">
        <f>L$7*Per_Unit!$C$26</f>
        <v/>
      </c>
      <c r="M101" s="19">
        <f>M$7*Per_Unit!$C$25</f>
        <v/>
      </c>
      <c r="N101" s="19">
        <f>N$7*Per_Unit!$C$24</f>
        <v/>
      </c>
      <c r="O101" s="19">
        <f>O$7*Per_Unit!$C$23</f>
        <v/>
      </c>
      <c r="P101" s="19">
        <f>P$7*Per_Unit!$C$22</f>
        <v/>
      </c>
      <c r="Q101" s="19">
        <f>Q$7*Per_Unit!$C$21</f>
        <v/>
      </c>
      <c r="R101" s="19">
        <f>R$7*Per_Unit!$C$20</f>
        <v/>
      </c>
      <c r="S101" s="19">
        <f>S$7*Per_Unit!$C$19</f>
        <v/>
      </c>
      <c r="T101" s="19">
        <f>T$7*Per_Unit!$C$18</f>
        <v/>
      </c>
      <c r="U101" s="19">
        <f>U$7*Per_Unit!$C$17</f>
        <v/>
      </c>
      <c r="V101" s="19">
        <f>V$7*Per_Unit!$C$16</f>
        <v/>
      </c>
      <c r="W101" s="19">
        <f>W$7*Per_Unit!$C$15</f>
        <v/>
      </c>
      <c r="X101" s="19">
        <f>X$7*Per_Unit!$C$14</f>
        <v/>
      </c>
      <c r="Y101" s="19">
        <f>Y$7*Per_Unit!$C$13</f>
        <v/>
      </c>
      <c r="Z101" s="19">
        <f>Z$7*Per_Unit!$C$12</f>
        <v/>
      </c>
      <c r="AA101" s="19">
        <f>AA$7*Per_Unit!$C$11</f>
        <v/>
      </c>
      <c r="AB101" s="19">
        <f>AB$7*Per_Unit!$C$10</f>
        <v/>
      </c>
      <c r="AC101" s="19">
        <f>AC$7*Per_Unit!$C$9</f>
        <v/>
      </c>
      <c r="AD101" s="19">
        <f>AD$7*Per_Unit!$C$8</f>
        <v/>
      </c>
      <c r="AE101" s="19">
        <f>AE$7*Per_Unit!$C$7</f>
        <v/>
      </c>
    </row>
    <row r="102">
      <c r="A102" s="19" t="n">
        <v>31</v>
      </c>
      <c r="B102" s="19">
        <f>B$7*Per_Unit!$C$37</f>
        <v/>
      </c>
      <c r="C102" s="19">
        <f>C$7*Per_Unit!$C$36</f>
        <v/>
      </c>
      <c r="D102" s="19">
        <f>D$7*Per_Unit!$C$35</f>
        <v/>
      </c>
      <c r="E102" s="19">
        <f>E$7*Per_Unit!$C$34</f>
        <v/>
      </c>
      <c r="F102" s="19">
        <f>F$7*Per_Unit!$C$33</f>
        <v/>
      </c>
      <c r="G102" s="19">
        <f>G$7*Per_Unit!$C$32</f>
        <v/>
      </c>
      <c r="H102" s="19">
        <f>H$7*Per_Unit!$C$31</f>
        <v/>
      </c>
      <c r="I102" s="19">
        <f>I$7*Per_Unit!$C$30</f>
        <v/>
      </c>
      <c r="J102" s="19">
        <f>J$7*Per_Unit!$C$29</f>
        <v/>
      </c>
      <c r="K102" s="19">
        <f>K$7*Per_Unit!$C$28</f>
        <v/>
      </c>
      <c r="L102" s="19">
        <f>L$7*Per_Unit!$C$27</f>
        <v/>
      </c>
      <c r="M102" s="19">
        <f>M$7*Per_Unit!$C$26</f>
        <v/>
      </c>
      <c r="N102" s="19">
        <f>N$7*Per_Unit!$C$25</f>
        <v/>
      </c>
      <c r="O102" s="19">
        <f>O$7*Per_Unit!$C$24</f>
        <v/>
      </c>
      <c r="P102" s="19">
        <f>P$7*Per_Unit!$C$23</f>
        <v/>
      </c>
      <c r="Q102" s="19">
        <f>Q$7*Per_Unit!$C$22</f>
        <v/>
      </c>
      <c r="R102" s="19">
        <f>R$7*Per_Unit!$C$21</f>
        <v/>
      </c>
      <c r="S102" s="19">
        <f>S$7*Per_Unit!$C$20</f>
        <v/>
      </c>
      <c r="T102" s="19">
        <f>T$7*Per_Unit!$C$19</f>
        <v/>
      </c>
      <c r="U102" s="19">
        <f>U$7*Per_Unit!$C$18</f>
        <v/>
      </c>
      <c r="V102" s="19">
        <f>V$7*Per_Unit!$C$17</f>
        <v/>
      </c>
      <c r="W102" s="19">
        <f>W$7*Per_Unit!$C$16</f>
        <v/>
      </c>
      <c r="X102" s="19">
        <f>X$7*Per_Unit!$C$15</f>
        <v/>
      </c>
      <c r="Y102" s="19">
        <f>Y$7*Per_Unit!$C$14</f>
        <v/>
      </c>
      <c r="Z102" s="19">
        <f>Z$7*Per_Unit!$C$13</f>
        <v/>
      </c>
      <c r="AA102" s="19">
        <f>AA$7*Per_Unit!$C$12</f>
        <v/>
      </c>
      <c r="AB102" s="19">
        <f>AB$7*Per_Unit!$C$11</f>
        <v/>
      </c>
      <c r="AC102" s="19">
        <f>AC$7*Per_Unit!$C$10</f>
        <v/>
      </c>
      <c r="AD102" s="19">
        <f>AD$7*Per_Unit!$C$9</f>
        <v/>
      </c>
      <c r="AE102" s="19">
        <f>AE$7*Per_Unit!$C$8</f>
        <v/>
      </c>
      <c r="AF102" s="19">
        <f>AF$7*Per_Unit!$C$7</f>
        <v/>
      </c>
    </row>
    <row r="103">
      <c r="A103" s="19" t="n">
        <v>32</v>
      </c>
      <c r="B103" s="19">
        <f>B$7*Per_Unit!$C$38</f>
        <v/>
      </c>
      <c r="C103" s="19">
        <f>C$7*Per_Unit!$C$37</f>
        <v/>
      </c>
      <c r="D103" s="19">
        <f>D$7*Per_Unit!$C$36</f>
        <v/>
      </c>
      <c r="E103" s="19">
        <f>E$7*Per_Unit!$C$35</f>
        <v/>
      </c>
      <c r="F103" s="19">
        <f>F$7*Per_Unit!$C$34</f>
        <v/>
      </c>
      <c r="G103" s="19">
        <f>G$7*Per_Unit!$C$33</f>
        <v/>
      </c>
      <c r="H103" s="19">
        <f>H$7*Per_Unit!$C$32</f>
        <v/>
      </c>
      <c r="I103" s="19">
        <f>I$7*Per_Unit!$C$31</f>
        <v/>
      </c>
      <c r="J103" s="19">
        <f>J$7*Per_Unit!$C$30</f>
        <v/>
      </c>
      <c r="K103" s="19">
        <f>K$7*Per_Unit!$C$29</f>
        <v/>
      </c>
      <c r="L103" s="19">
        <f>L$7*Per_Unit!$C$28</f>
        <v/>
      </c>
      <c r="M103" s="19">
        <f>M$7*Per_Unit!$C$27</f>
        <v/>
      </c>
      <c r="N103" s="19">
        <f>N$7*Per_Unit!$C$26</f>
        <v/>
      </c>
      <c r="O103" s="19">
        <f>O$7*Per_Unit!$C$25</f>
        <v/>
      </c>
      <c r="P103" s="19">
        <f>P$7*Per_Unit!$C$24</f>
        <v/>
      </c>
      <c r="Q103" s="19">
        <f>Q$7*Per_Unit!$C$23</f>
        <v/>
      </c>
      <c r="R103" s="19">
        <f>R$7*Per_Unit!$C$22</f>
        <v/>
      </c>
      <c r="S103" s="19">
        <f>S$7*Per_Unit!$C$21</f>
        <v/>
      </c>
      <c r="T103" s="19">
        <f>T$7*Per_Unit!$C$20</f>
        <v/>
      </c>
      <c r="U103" s="19">
        <f>U$7*Per_Unit!$C$19</f>
        <v/>
      </c>
      <c r="V103" s="19">
        <f>V$7*Per_Unit!$C$18</f>
        <v/>
      </c>
      <c r="W103" s="19">
        <f>W$7*Per_Unit!$C$17</f>
        <v/>
      </c>
      <c r="X103" s="19">
        <f>X$7*Per_Unit!$C$16</f>
        <v/>
      </c>
      <c r="Y103" s="19">
        <f>Y$7*Per_Unit!$C$15</f>
        <v/>
      </c>
      <c r="Z103" s="19">
        <f>Z$7*Per_Unit!$C$14</f>
        <v/>
      </c>
      <c r="AA103" s="19">
        <f>AA$7*Per_Unit!$C$13</f>
        <v/>
      </c>
      <c r="AB103" s="19">
        <f>AB$7*Per_Unit!$C$12</f>
        <v/>
      </c>
      <c r="AC103" s="19">
        <f>AC$7*Per_Unit!$C$11</f>
        <v/>
      </c>
      <c r="AD103" s="19">
        <f>AD$7*Per_Unit!$C$10</f>
        <v/>
      </c>
      <c r="AE103" s="19">
        <f>AE$7*Per_Unit!$C$9</f>
        <v/>
      </c>
      <c r="AF103" s="19">
        <f>AF$7*Per_Unit!$C$8</f>
        <v/>
      </c>
      <c r="AG103" s="19">
        <f>AG$7*Per_Unit!$C$7</f>
        <v/>
      </c>
    </row>
    <row r="104">
      <c r="A104" s="19" t="n">
        <v>33</v>
      </c>
      <c r="B104" s="19">
        <f>B$7*Per_Unit!$C$39</f>
        <v/>
      </c>
      <c r="C104" s="19">
        <f>C$7*Per_Unit!$C$38</f>
        <v/>
      </c>
      <c r="D104" s="19">
        <f>D$7*Per_Unit!$C$37</f>
        <v/>
      </c>
      <c r="E104" s="19">
        <f>E$7*Per_Unit!$C$36</f>
        <v/>
      </c>
      <c r="F104" s="19">
        <f>F$7*Per_Unit!$C$35</f>
        <v/>
      </c>
      <c r="G104" s="19">
        <f>G$7*Per_Unit!$C$34</f>
        <v/>
      </c>
      <c r="H104" s="19">
        <f>H$7*Per_Unit!$C$33</f>
        <v/>
      </c>
      <c r="I104" s="19">
        <f>I$7*Per_Unit!$C$32</f>
        <v/>
      </c>
      <c r="J104" s="19">
        <f>J$7*Per_Unit!$C$31</f>
        <v/>
      </c>
      <c r="K104" s="19">
        <f>K$7*Per_Unit!$C$30</f>
        <v/>
      </c>
      <c r="L104" s="19">
        <f>L$7*Per_Unit!$C$29</f>
        <v/>
      </c>
      <c r="M104" s="19">
        <f>M$7*Per_Unit!$C$28</f>
        <v/>
      </c>
      <c r="N104" s="19">
        <f>N$7*Per_Unit!$C$27</f>
        <v/>
      </c>
      <c r="O104" s="19">
        <f>O$7*Per_Unit!$C$26</f>
        <v/>
      </c>
      <c r="P104" s="19">
        <f>P$7*Per_Unit!$C$25</f>
        <v/>
      </c>
      <c r="Q104" s="19">
        <f>Q$7*Per_Unit!$C$24</f>
        <v/>
      </c>
      <c r="R104" s="19">
        <f>R$7*Per_Unit!$C$23</f>
        <v/>
      </c>
      <c r="S104" s="19">
        <f>S$7*Per_Unit!$C$22</f>
        <v/>
      </c>
      <c r="T104" s="19">
        <f>T$7*Per_Unit!$C$21</f>
        <v/>
      </c>
      <c r="U104" s="19">
        <f>U$7*Per_Unit!$C$20</f>
        <v/>
      </c>
      <c r="V104" s="19">
        <f>V$7*Per_Unit!$C$19</f>
        <v/>
      </c>
      <c r="W104" s="19">
        <f>W$7*Per_Unit!$C$18</f>
        <v/>
      </c>
      <c r="X104" s="19">
        <f>X$7*Per_Unit!$C$17</f>
        <v/>
      </c>
      <c r="Y104" s="19">
        <f>Y$7*Per_Unit!$C$16</f>
        <v/>
      </c>
      <c r="Z104" s="19">
        <f>Z$7*Per_Unit!$C$15</f>
        <v/>
      </c>
      <c r="AA104" s="19">
        <f>AA$7*Per_Unit!$C$14</f>
        <v/>
      </c>
      <c r="AB104" s="19">
        <f>AB$7*Per_Unit!$C$13</f>
        <v/>
      </c>
      <c r="AC104" s="19">
        <f>AC$7*Per_Unit!$C$12</f>
        <v/>
      </c>
      <c r="AD104" s="19">
        <f>AD$7*Per_Unit!$C$11</f>
        <v/>
      </c>
      <c r="AE104" s="19">
        <f>AE$7*Per_Unit!$C$10</f>
        <v/>
      </c>
      <c r="AF104" s="19">
        <f>AF$7*Per_Unit!$C$9</f>
        <v/>
      </c>
      <c r="AG104" s="19">
        <f>AG$7*Per_Unit!$C$8</f>
        <v/>
      </c>
      <c r="AH104" s="19">
        <f>AH$7*Per_Unit!$C$7</f>
        <v/>
      </c>
    </row>
    <row r="105">
      <c r="A105" s="19" t="n">
        <v>34</v>
      </c>
      <c r="B105" s="19">
        <f>B$7*Per_Unit!$C$40</f>
        <v/>
      </c>
      <c r="C105" s="19">
        <f>C$7*Per_Unit!$C$39</f>
        <v/>
      </c>
      <c r="D105" s="19">
        <f>D$7*Per_Unit!$C$38</f>
        <v/>
      </c>
      <c r="E105" s="19">
        <f>E$7*Per_Unit!$C$37</f>
        <v/>
      </c>
      <c r="F105" s="19">
        <f>F$7*Per_Unit!$C$36</f>
        <v/>
      </c>
      <c r="G105" s="19">
        <f>G$7*Per_Unit!$C$35</f>
        <v/>
      </c>
      <c r="H105" s="19">
        <f>H$7*Per_Unit!$C$34</f>
        <v/>
      </c>
      <c r="I105" s="19">
        <f>I$7*Per_Unit!$C$33</f>
        <v/>
      </c>
      <c r="J105" s="19">
        <f>J$7*Per_Unit!$C$32</f>
        <v/>
      </c>
      <c r="K105" s="19">
        <f>K$7*Per_Unit!$C$31</f>
        <v/>
      </c>
      <c r="L105" s="19">
        <f>L$7*Per_Unit!$C$30</f>
        <v/>
      </c>
      <c r="M105" s="19">
        <f>M$7*Per_Unit!$C$29</f>
        <v/>
      </c>
      <c r="N105" s="19">
        <f>N$7*Per_Unit!$C$28</f>
        <v/>
      </c>
      <c r="O105" s="19">
        <f>O$7*Per_Unit!$C$27</f>
        <v/>
      </c>
      <c r="P105" s="19">
        <f>P$7*Per_Unit!$C$26</f>
        <v/>
      </c>
      <c r="Q105" s="19">
        <f>Q$7*Per_Unit!$C$25</f>
        <v/>
      </c>
      <c r="R105" s="19">
        <f>R$7*Per_Unit!$C$24</f>
        <v/>
      </c>
      <c r="S105" s="19">
        <f>S$7*Per_Unit!$C$23</f>
        <v/>
      </c>
      <c r="T105" s="19">
        <f>T$7*Per_Unit!$C$22</f>
        <v/>
      </c>
      <c r="U105" s="19">
        <f>U$7*Per_Unit!$C$21</f>
        <v/>
      </c>
      <c r="V105" s="19">
        <f>V$7*Per_Unit!$C$20</f>
        <v/>
      </c>
      <c r="W105" s="19">
        <f>W$7*Per_Unit!$C$19</f>
        <v/>
      </c>
      <c r="X105" s="19">
        <f>X$7*Per_Unit!$C$18</f>
        <v/>
      </c>
      <c r="Y105" s="19">
        <f>Y$7*Per_Unit!$C$17</f>
        <v/>
      </c>
      <c r="Z105" s="19">
        <f>Z$7*Per_Unit!$C$16</f>
        <v/>
      </c>
      <c r="AA105" s="19">
        <f>AA$7*Per_Unit!$C$15</f>
        <v/>
      </c>
      <c r="AB105" s="19">
        <f>AB$7*Per_Unit!$C$14</f>
        <v/>
      </c>
      <c r="AC105" s="19">
        <f>AC$7*Per_Unit!$C$13</f>
        <v/>
      </c>
      <c r="AD105" s="19">
        <f>AD$7*Per_Unit!$C$12</f>
        <v/>
      </c>
      <c r="AE105" s="19">
        <f>AE$7*Per_Unit!$C$11</f>
        <v/>
      </c>
      <c r="AF105" s="19">
        <f>AF$7*Per_Unit!$C$10</f>
        <v/>
      </c>
      <c r="AG105" s="19">
        <f>AG$7*Per_Unit!$C$9</f>
        <v/>
      </c>
      <c r="AH105" s="19">
        <f>AH$7*Per_Unit!$C$8</f>
        <v/>
      </c>
      <c r="AI105" s="19">
        <f>AI$7*Per_Unit!$C$7</f>
        <v/>
      </c>
    </row>
    <row r="106">
      <c r="A106" s="19" t="n">
        <v>35</v>
      </c>
      <c r="B106" s="19">
        <f>B$7*Per_Unit!$C$41</f>
        <v/>
      </c>
      <c r="C106" s="19">
        <f>C$7*Per_Unit!$C$40</f>
        <v/>
      </c>
      <c r="D106" s="19">
        <f>D$7*Per_Unit!$C$39</f>
        <v/>
      </c>
      <c r="E106" s="19">
        <f>E$7*Per_Unit!$C$38</f>
        <v/>
      </c>
      <c r="F106" s="19">
        <f>F$7*Per_Unit!$C$37</f>
        <v/>
      </c>
      <c r="G106" s="19">
        <f>G$7*Per_Unit!$C$36</f>
        <v/>
      </c>
      <c r="H106" s="19">
        <f>H$7*Per_Unit!$C$35</f>
        <v/>
      </c>
      <c r="I106" s="19">
        <f>I$7*Per_Unit!$C$34</f>
        <v/>
      </c>
      <c r="J106" s="19">
        <f>J$7*Per_Unit!$C$33</f>
        <v/>
      </c>
      <c r="K106" s="19">
        <f>K$7*Per_Unit!$C$32</f>
        <v/>
      </c>
      <c r="L106" s="19">
        <f>L$7*Per_Unit!$C$31</f>
        <v/>
      </c>
      <c r="M106" s="19">
        <f>M$7*Per_Unit!$C$30</f>
        <v/>
      </c>
      <c r="N106" s="19">
        <f>N$7*Per_Unit!$C$29</f>
        <v/>
      </c>
      <c r="O106" s="19">
        <f>O$7*Per_Unit!$C$28</f>
        <v/>
      </c>
      <c r="P106" s="19">
        <f>P$7*Per_Unit!$C$27</f>
        <v/>
      </c>
      <c r="Q106" s="19">
        <f>Q$7*Per_Unit!$C$26</f>
        <v/>
      </c>
      <c r="R106" s="19">
        <f>R$7*Per_Unit!$C$25</f>
        <v/>
      </c>
      <c r="S106" s="19">
        <f>S$7*Per_Unit!$C$24</f>
        <v/>
      </c>
      <c r="T106" s="19">
        <f>T$7*Per_Unit!$C$23</f>
        <v/>
      </c>
      <c r="U106" s="19">
        <f>U$7*Per_Unit!$C$22</f>
        <v/>
      </c>
      <c r="V106" s="19">
        <f>V$7*Per_Unit!$C$21</f>
        <v/>
      </c>
      <c r="W106" s="19">
        <f>W$7*Per_Unit!$C$20</f>
        <v/>
      </c>
      <c r="X106" s="19">
        <f>X$7*Per_Unit!$C$19</f>
        <v/>
      </c>
      <c r="Y106" s="19">
        <f>Y$7*Per_Unit!$C$18</f>
        <v/>
      </c>
      <c r="Z106" s="19">
        <f>Z$7*Per_Unit!$C$17</f>
        <v/>
      </c>
      <c r="AA106" s="19">
        <f>AA$7*Per_Unit!$C$16</f>
        <v/>
      </c>
      <c r="AB106" s="19">
        <f>AB$7*Per_Unit!$C$15</f>
        <v/>
      </c>
      <c r="AC106" s="19">
        <f>AC$7*Per_Unit!$C$14</f>
        <v/>
      </c>
      <c r="AD106" s="19">
        <f>AD$7*Per_Unit!$C$13</f>
        <v/>
      </c>
      <c r="AE106" s="19">
        <f>AE$7*Per_Unit!$C$12</f>
        <v/>
      </c>
      <c r="AF106" s="19">
        <f>AF$7*Per_Unit!$C$11</f>
        <v/>
      </c>
      <c r="AG106" s="19">
        <f>AG$7*Per_Unit!$C$10</f>
        <v/>
      </c>
      <c r="AH106" s="19">
        <f>AH$7*Per_Unit!$C$9</f>
        <v/>
      </c>
      <c r="AI106" s="19">
        <f>AI$7*Per_Unit!$C$8</f>
        <v/>
      </c>
      <c r="AJ106" s="19">
        <f>AJ$7*Per_Unit!$C$7</f>
        <v/>
      </c>
    </row>
    <row r="107">
      <c r="A107" s="19" t="n">
        <v>36</v>
      </c>
      <c r="B107" s="19">
        <f>B$7*Per_Unit!$C$42</f>
        <v/>
      </c>
      <c r="C107" s="19">
        <f>C$7*Per_Unit!$C$41</f>
        <v/>
      </c>
      <c r="D107" s="19">
        <f>D$7*Per_Unit!$C$40</f>
        <v/>
      </c>
      <c r="E107" s="19">
        <f>E$7*Per_Unit!$C$39</f>
        <v/>
      </c>
      <c r="F107" s="19">
        <f>F$7*Per_Unit!$C$38</f>
        <v/>
      </c>
      <c r="G107" s="19">
        <f>G$7*Per_Unit!$C$37</f>
        <v/>
      </c>
      <c r="H107" s="19">
        <f>H$7*Per_Unit!$C$36</f>
        <v/>
      </c>
      <c r="I107" s="19">
        <f>I$7*Per_Unit!$C$35</f>
        <v/>
      </c>
      <c r="J107" s="19">
        <f>J$7*Per_Unit!$C$34</f>
        <v/>
      </c>
      <c r="K107" s="19">
        <f>K$7*Per_Unit!$C$33</f>
        <v/>
      </c>
      <c r="L107" s="19">
        <f>L$7*Per_Unit!$C$32</f>
        <v/>
      </c>
      <c r="M107" s="19">
        <f>M$7*Per_Unit!$C$31</f>
        <v/>
      </c>
      <c r="N107" s="19">
        <f>N$7*Per_Unit!$C$30</f>
        <v/>
      </c>
      <c r="O107" s="19">
        <f>O$7*Per_Unit!$C$29</f>
        <v/>
      </c>
      <c r="P107" s="19">
        <f>P$7*Per_Unit!$C$28</f>
        <v/>
      </c>
      <c r="Q107" s="19">
        <f>Q$7*Per_Unit!$C$27</f>
        <v/>
      </c>
      <c r="R107" s="19">
        <f>R$7*Per_Unit!$C$26</f>
        <v/>
      </c>
      <c r="S107" s="19">
        <f>S$7*Per_Unit!$C$25</f>
        <v/>
      </c>
      <c r="T107" s="19">
        <f>T$7*Per_Unit!$C$24</f>
        <v/>
      </c>
      <c r="U107" s="19">
        <f>U$7*Per_Unit!$C$23</f>
        <v/>
      </c>
      <c r="V107" s="19">
        <f>V$7*Per_Unit!$C$22</f>
        <v/>
      </c>
      <c r="W107" s="19">
        <f>W$7*Per_Unit!$C$21</f>
        <v/>
      </c>
      <c r="X107" s="19">
        <f>X$7*Per_Unit!$C$20</f>
        <v/>
      </c>
      <c r="Y107" s="19">
        <f>Y$7*Per_Unit!$C$19</f>
        <v/>
      </c>
      <c r="Z107" s="19">
        <f>Z$7*Per_Unit!$C$18</f>
        <v/>
      </c>
      <c r="AA107" s="19">
        <f>AA$7*Per_Unit!$C$17</f>
        <v/>
      </c>
      <c r="AB107" s="19">
        <f>AB$7*Per_Unit!$C$16</f>
        <v/>
      </c>
      <c r="AC107" s="19">
        <f>AC$7*Per_Unit!$C$15</f>
        <v/>
      </c>
      <c r="AD107" s="19">
        <f>AD$7*Per_Unit!$C$14</f>
        <v/>
      </c>
      <c r="AE107" s="19">
        <f>AE$7*Per_Unit!$C$13</f>
        <v/>
      </c>
      <c r="AF107" s="19">
        <f>AF$7*Per_Unit!$C$12</f>
        <v/>
      </c>
      <c r="AG107" s="19">
        <f>AG$7*Per_Unit!$C$11</f>
        <v/>
      </c>
      <c r="AH107" s="19">
        <f>AH$7*Per_Unit!$C$10</f>
        <v/>
      </c>
      <c r="AI107" s="19">
        <f>AI$7*Per_Unit!$C$9</f>
        <v/>
      </c>
      <c r="AJ107" s="19">
        <f>AJ$7*Per_Unit!$C$8</f>
        <v/>
      </c>
      <c r="AK107" s="19">
        <f>AK$7*Per_Unit!$C$7</f>
        <v/>
      </c>
    </row>
    <row r="108">
      <c r="A108" s="19" t="n">
        <v>37</v>
      </c>
      <c r="B108" s="19">
        <f>B$7*Per_Unit!$C$43</f>
        <v/>
      </c>
      <c r="C108" s="19">
        <f>C$7*Per_Unit!$C$42</f>
        <v/>
      </c>
      <c r="D108" s="19">
        <f>D$7*Per_Unit!$C$41</f>
        <v/>
      </c>
      <c r="E108" s="19">
        <f>E$7*Per_Unit!$C$40</f>
        <v/>
      </c>
      <c r="F108" s="19">
        <f>F$7*Per_Unit!$C$39</f>
        <v/>
      </c>
      <c r="G108" s="19">
        <f>G$7*Per_Unit!$C$38</f>
        <v/>
      </c>
      <c r="H108" s="19">
        <f>H$7*Per_Unit!$C$37</f>
        <v/>
      </c>
      <c r="I108" s="19">
        <f>I$7*Per_Unit!$C$36</f>
        <v/>
      </c>
      <c r="J108" s="19">
        <f>J$7*Per_Unit!$C$35</f>
        <v/>
      </c>
      <c r="K108" s="19">
        <f>K$7*Per_Unit!$C$34</f>
        <v/>
      </c>
      <c r="L108" s="19">
        <f>L$7*Per_Unit!$C$33</f>
        <v/>
      </c>
      <c r="M108" s="19">
        <f>M$7*Per_Unit!$C$32</f>
        <v/>
      </c>
      <c r="N108" s="19">
        <f>N$7*Per_Unit!$C$31</f>
        <v/>
      </c>
      <c r="O108" s="19">
        <f>O$7*Per_Unit!$C$30</f>
        <v/>
      </c>
      <c r="P108" s="19">
        <f>P$7*Per_Unit!$C$29</f>
        <v/>
      </c>
      <c r="Q108" s="19">
        <f>Q$7*Per_Unit!$C$28</f>
        <v/>
      </c>
      <c r="R108" s="19">
        <f>R$7*Per_Unit!$C$27</f>
        <v/>
      </c>
      <c r="S108" s="19">
        <f>S$7*Per_Unit!$C$26</f>
        <v/>
      </c>
      <c r="T108" s="19">
        <f>T$7*Per_Unit!$C$25</f>
        <v/>
      </c>
      <c r="U108" s="19">
        <f>U$7*Per_Unit!$C$24</f>
        <v/>
      </c>
      <c r="V108" s="19">
        <f>V$7*Per_Unit!$C$23</f>
        <v/>
      </c>
      <c r="W108" s="19">
        <f>W$7*Per_Unit!$C$22</f>
        <v/>
      </c>
      <c r="X108" s="19">
        <f>X$7*Per_Unit!$C$21</f>
        <v/>
      </c>
      <c r="Y108" s="19">
        <f>Y$7*Per_Unit!$C$20</f>
        <v/>
      </c>
      <c r="Z108" s="19">
        <f>Z$7*Per_Unit!$C$19</f>
        <v/>
      </c>
      <c r="AA108" s="19">
        <f>AA$7*Per_Unit!$C$18</f>
        <v/>
      </c>
      <c r="AB108" s="19">
        <f>AB$7*Per_Unit!$C$17</f>
        <v/>
      </c>
      <c r="AC108" s="19">
        <f>AC$7*Per_Unit!$C$16</f>
        <v/>
      </c>
      <c r="AD108" s="19">
        <f>AD$7*Per_Unit!$C$15</f>
        <v/>
      </c>
      <c r="AE108" s="19">
        <f>AE$7*Per_Unit!$C$14</f>
        <v/>
      </c>
      <c r="AF108" s="19">
        <f>AF$7*Per_Unit!$C$13</f>
        <v/>
      </c>
      <c r="AG108" s="19">
        <f>AG$7*Per_Unit!$C$12</f>
        <v/>
      </c>
      <c r="AH108" s="19">
        <f>AH$7*Per_Unit!$C$11</f>
        <v/>
      </c>
      <c r="AI108" s="19">
        <f>AI$7*Per_Unit!$C$10</f>
        <v/>
      </c>
      <c r="AJ108" s="19">
        <f>AJ$7*Per_Unit!$C$9</f>
        <v/>
      </c>
      <c r="AK108" s="19">
        <f>AK$7*Per_Unit!$C$8</f>
        <v/>
      </c>
      <c r="AL108" s="19">
        <f>AL$7*Per_Unit!$C$7</f>
        <v/>
      </c>
    </row>
    <row r="109">
      <c r="A109" s="19" t="n">
        <v>38</v>
      </c>
      <c r="B109" s="19">
        <f>B$7*Per_Unit!$C$44</f>
        <v/>
      </c>
      <c r="C109" s="19">
        <f>C$7*Per_Unit!$C$43</f>
        <v/>
      </c>
      <c r="D109" s="19">
        <f>D$7*Per_Unit!$C$42</f>
        <v/>
      </c>
      <c r="E109" s="19">
        <f>E$7*Per_Unit!$C$41</f>
        <v/>
      </c>
      <c r="F109" s="19">
        <f>F$7*Per_Unit!$C$40</f>
        <v/>
      </c>
      <c r="G109" s="19">
        <f>G$7*Per_Unit!$C$39</f>
        <v/>
      </c>
      <c r="H109" s="19">
        <f>H$7*Per_Unit!$C$38</f>
        <v/>
      </c>
      <c r="I109" s="19">
        <f>I$7*Per_Unit!$C$37</f>
        <v/>
      </c>
      <c r="J109" s="19">
        <f>J$7*Per_Unit!$C$36</f>
        <v/>
      </c>
      <c r="K109" s="19">
        <f>K$7*Per_Unit!$C$35</f>
        <v/>
      </c>
      <c r="L109" s="19">
        <f>L$7*Per_Unit!$C$34</f>
        <v/>
      </c>
      <c r="M109" s="19">
        <f>M$7*Per_Unit!$C$33</f>
        <v/>
      </c>
      <c r="N109" s="19">
        <f>N$7*Per_Unit!$C$32</f>
        <v/>
      </c>
      <c r="O109" s="19">
        <f>O$7*Per_Unit!$C$31</f>
        <v/>
      </c>
      <c r="P109" s="19">
        <f>P$7*Per_Unit!$C$30</f>
        <v/>
      </c>
      <c r="Q109" s="19">
        <f>Q$7*Per_Unit!$C$29</f>
        <v/>
      </c>
      <c r="R109" s="19">
        <f>R$7*Per_Unit!$C$28</f>
        <v/>
      </c>
      <c r="S109" s="19">
        <f>S$7*Per_Unit!$C$27</f>
        <v/>
      </c>
      <c r="T109" s="19">
        <f>T$7*Per_Unit!$C$26</f>
        <v/>
      </c>
      <c r="U109" s="19">
        <f>U$7*Per_Unit!$C$25</f>
        <v/>
      </c>
      <c r="V109" s="19">
        <f>V$7*Per_Unit!$C$24</f>
        <v/>
      </c>
      <c r="W109" s="19">
        <f>W$7*Per_Unit!$C$23</f>
        <v/>
      </c>
      <c r="X109" s="19">
        <f>X$7*Per_Unit!$C$22</f>
        <v/>
      </c>
      <c r="Y109" s="19">
        <f>Y$7*Per_Unit!$C$21</f>
        <v/>
      </c>
      <c r="Z109" s="19">
        <f>Z$7*Per_Unit!$C$20</f>
        <v/>
      </c>
      <c r="AA109" s="19">
        <f>AA$7*Per_Unit!$C$19</f>
        <v/>
      </c>
      <c r="AB109" s="19">
        <f>AB$7*Per_Unit!$C$18</f>
        <v/>
      </c>
      <c r="AC109" s="19">
        <f>AC$7*Per_Unit!$C$17</f>
        <v/>
      </c>
      <c r="AD109" s="19">
        <f>AD$7*Per_Unit!$C$16</f>
        <v/>
      </c>
      <c r="AE109" s="19">
        <f>AE$7*Per_Unit!$C$15</f>
        <v/>
      </c>
      <c r="AF109" s="19">
        <f>AF$7*Per_Unit!$C$14</f>
        <v/>
      </c>
      <c r="AG109" s="19">
        <f>AG$7*Per_Unit!$C$13</f>
        <v/>
      </c>
      <c r="AH109" s="19">
        <f>AH$7*Per_Unit!$C$12</f>
        <v/>
      </c>
      <c r="AI109" s="19">
        <f>AI$7*Per_Unit!$C$11</f>
        <v/>
      </c>
      <c r="AJ109" s="19">
        <f>AJ$7*Per_Unit!$C$10</f>
        <v/>
      </c>
      <c r="AK109" s="19">
        <f>AK$7*Per_Unit!$C$9</f>
        <v/>
      </c>
      <c r="AL109" s="19">
        <f>AL$7*Per_Unit!$C$8</f>
        <v/>
      </c>
      <c r="AM109" s="19">
        <f>AM$7*Per_Unit!$C$7</f>
        <v/>
      </c>
    </row>
    <row r="110">
      <c r="A110" s="19" t="n">
        <v>39</v>
      </c>
      <c r="B110" s="19">
        <f>B$7*Per_Unit!$C$45</f>
        <v/>
      </c>
      <c r="C110" s="19">
        <f>C$7*Per_Unit!$C$44</f>
        <v/>
      </c>
      <c r="D110" s="19">
        <f>D$7*Per_Unit!$C$43</f>
        <v/>
      </c>
      <c r="E110" s="19">
        <f>E$7*Per_Unit!$C$42</f>
        <v/>
      </c>
      <c r="F110" s="19">
        <f>F$7*Per_Unit!$C$41</f>
        <v/>
      </c>
      <c r="G110" s="19">
        <f>G$7*Per_Unit!$C$40</f>
        <v/>
      </c>
      <c r="H110" s="19">
        <f>H$7*Per_Unit!$C$39</f>
        <v/>
      </c>
      <c r="I110" s="19">
        <f>I$7*Per_Unit!$C$38</f>
        <v/>
      </c>
      <c r="J110" s="19">
        <f>J$7*Per_Unit!$C$37</f>
        <v/>
      </c>
      <c r="K110" s="19">
        <f>K$7*Per_Unit!$C$36</f>
        <v/>
      </c>
      <c r="L110" s="19">
        <f>L$7*Per_Unit!$C$35</f>
        <v/>
      </c>
      <c r="M110" s="19">
        <f>M$7*Per_Unit!$C$34</f>
        <v/>
      </c>
      <c r="N110" s="19">
        <f>N$7*Per_Unit!$C$33</f>
        <v/>
      </c>
      <c r="O110" s="19">
        <f>O$7*Per_Unit!$C$32</f>
        <v/>
      </c>
      <c r="P110" s="19">
        <f>P$7*Per_Unit!$C$31</f>
        <v/>
      </c>
      <c r="Q110" s="19">
        <f>Q$7*Per_Unit!$C$30</f>
        <v/>
      </c>
      <c r="R110" s="19">
        <f>R$7*Per_Unit!$C$29</f>
        <v/>
      </c>
      <c r="S110" s="19">
        <f>S$7*Per_Unit!$C$28</f>
        <v/>
      </c>
      <c r="T110" s="19">
        <f>T$7*Per_Unit!$C$27</f>
        <v/>
      </c>
      <c r="U110" s="19">
        <f>U$7*Per_Unit!$C$26</f>
        <v/>
      </c>
      <c r="V110" s="19">
        <f>V$7*Per_Unit!$C$25</f>
        <v/>
      </c>
      <c r="W110" s="19">
        <f>W$7*Per_Unit!$C$24</f>
        <v/>
      </c>
      <c r="X110" s="19">
        <f>X$7*Per_Unit!$C$23</f>
        <v/>
      </c>
      <c r="Y110" s="19">
        <f>Y$7*Per_Unit!$C$22</f>
        <v/>
      </c>
      <c r="Z110" s="19">
        <f>Z$7*Per_Unit!$C$21</f>
        <v/>
      </c>
      <c r="AA110" s="19">
        <f>AA$7*Per_Unit!$C$20</f>
        <v/>
      </c>
      <c r="AB110" s="19">
        <f>AB$7*Per_Unit!$C$19</f>
        <v/>
      </c>
      <c r="AC110" s="19">
        <f>AC$7*Per_Unit!$C$18</f>
        <v/>
      </c>
      <c r="AD110" s="19">
        <f>AD$7*Per_Unit!$C$17</f>
        <v/>
      </c>
      <c r="AE110" s="19">
        <f>AE$7*Per_Unit!$C$16</f>
        <v/>
      </c>
      <c r="AF110" s="19">
        <f>AF$7*Per_Unit!$C$15</f>
        <v/>
      </c>
      <c r="AG110" s="19">
        <f>AG$7*Per_Unit!$C$14</f>
        <v/>
      </c>
      <c r="AH110" s="19">
        <f>AH$7*Per_Unit!$C$13</f>
        <v/>
      </c>
      <c r="AI110" s="19">
        <f>AI$7*Per_Unit!$C$12</f>
        <v/>
      </c>
      <c r="AJ110" s="19">
        <f>AJ$7*Per_Unit!$C$11</f>
        <v/>
      </c>
      <c r="AK110" s="19">
        <f>AK$7*Per_Unit!$C$10</f>
        <v/>
      </c>
      <c r="AL110" s="19">
        <f>AL$7*Per_Unit!$C$9</f>
        <v/>
      </c>
      <c r="AM110" s="19">
        <f>AM$7*Per_Unit!$C$8</f>
        <v/>
      </c>
      <c r="AN110" s="19">
        <f>AN$7*Per_Unit!$C$7</f>
        <v/>
      </c>
    </row>
    <row r="111">
      <c r="A111" s="19" t="n">
        <v>40</v>
      </c>
      <c r="B111" s="19">
        <f>B$7*Per_Unit!$C$46</f>
        <v/>
      </c>
      <c r="C111" s="19">
        <f>C$7*Per_Unit!$C$45</f>
        <v/>
      </c>
      <c r="D111" s="19">
        <f>D$7*Per_Unit!$C$44</f>
        <v/>
      </c>
      <c r="E111" s="19">
        <f>E$7*Per_Unit!$C$43</f>
        <v/>
      </c>
      <c r="F111" s="19">
        <f>F$7*Per_Unit!$C$42</f>
        <v/>
      </c>
      <c r="G111" s="19">
        <f>G$7*Per_Unit!$C$41</f>
        <v/>
      </c>
      <c r="H111" s="19">
        <f>H$7*Per_Unit!$C$40</f>
        <v/>
      </c>
      <c r="I111" s="19">
        <f>I$7*Per_Unit!$C$39</f>
        <v/>
      </c>
      <c r="J111" s="19">
        <f>J$7*Per_Unit!$C$38</f>
        <v/>
      </c>
      <c r="K111" s="19">
        <f>K$7*Per_Unit!$C$37</f>
        <v/>
      </c>
      <c r="L111" s="19">
        <f>L$7*Per_Unit!$C$36</f>
        <v/>
      </c>
      <c r="M111" s="19">
        <f>M$7*Per_Unit!$C$35</f>
        <v/>
      </c>
      <c r="N111" s="19">
        <f>N$7*Per_Unit!$C$34</f>
        <v/>
      </c>
      <c r="O111" s="19">
        <f>O$7*Per_Unit!$C$33</f>
        <v/>
      </c>
      <c r="P111" s="19">
        <f>P$7*Per_Unit!$C$32</f>
        <v/>
      </c>
      <c r="Q111" s="19">
        <f>Q$7*Per_Unit!$C$31</f>
        <v/>
      </c>
      <c r="R111" s="19">
        <f>R$7*Per_Unit!$C$30</f>
        <v/>
      </c>
      <c r="S111" s="19">
        <f>S$7*Per_Unit!$C$29</f>
        <v/>
      </c>
      <c r="T111" s="19">
        <f>T$7*Per_Unit!$C$28</f>
        <v/>
      </c>
      <c r="U111" s="19">
        <f>U$7*Per_Unit!$C$27</f>
        <v/>
      </c>
      <c r="V111" s="19">
        <f>V$7*Per_Unit!$C$26</f>
        <v/>
      </c>
      <c r="W111" s="19">
        <f>W$7*Per_Unit!$C$25</f>
        <v/>
      </c>
      <c r="X111" s="19">
        <f>X$7*Per_Unit!$C$24</f>
        <v/>
      </c>
      <c r="Y111" s="19">
        <f>Y$7*Per_Unit!$C$23</f>
        <v/>
      </c>
      <c r="Z111" s="19">
        <f>Z$7*Per_Unit!$C$22</f>
        <v/>
      </c>
      <c r="AA111" s="19">
        <f>AA$7*Per_Unit!$C$21</f>
        <v/>
      </c>
      <c r="AB111" s="19">
        <f>AB$7*Per_Unit!$C$20</f>
        <v/>
      </c>
      <c r="AC111" s="19">
        <f>AC$7*Per_Unit!$C$19</f>
        <v/>
      </c>
      <c r="AD111" s="19">
        <f>AD$7*Per_Unit!$C$18</f>
        <v/>
      </c>
      <c r="AE111" s="19">
        <f>AE$7*Per_Unit!$C$17</f>
        <v/>
      </c>
      <c r="AF111" s="19">
        <f>AF$7*Per_Unit!$C$16</f>
        <v/>
      </c>
      <c r="AG111" s="19">
        <f>AG$7*Per_Unit!$C$15</f>
        <v/>
      </c>
      <c r="AH111" s="19">
        <f>AH$7*Per_Unit!$C$14</f>
        <v/>
      </c>
      <c r="AI111" s="19">
        <f>AI$7*Per_Unit!$C$13</f>
        <v/>
      </c>
      <c r="AJ111" s="19">
        <f>AJ$7*Per_Unit!$C$12</f>
        <v/>
      </c>
      <c r="AK111" s="19">
        <f>AK$7*Per_Unit!$C$11</f>
        <v/>
      </c>
      <c r="AL111" s="19">
        <f>AL$7*Per_Unit!$C$10</f>
        <v/>
      </c>
      <c r="AM111" s="19">
        <f>AM$7*Per_Unit!$C$9</f>
        <v/>
      </c>
      <c r="AN111" s="19">
        <f>AN$7*Per_Unit!$C$8</f>
        <v/>
      </c>
      <c r="AO111" s="19">
        <f>AO$7*Per_Unit!$C$7</f>
        <v/>
      </c>
    </row>
    <row r="112">
      <c r="A112" s="19" t="n">
        <v>41</v>
      </c>
      <c r="B112" s="19">
        <f>B$7*Per_Unit!$C$47</f>
        <v/>
      </c>
      <c r="C112" s="19">
        <f>C$7*Per_Unit!$C$46</f>
        <v/>
      </c>
      <c r="D112" s="19">
        <f>D$7*Per_Unit!$C$45</f>
        <v/>
      </c>
      <c r="E112" s="19">
        <f>E$7*Per_Unit!$C$44</f>
        <v/>
      </c>
      <c r="F112" s="19">
        <f>F$7*Per_Unit!$C$43</f>
        <v/>
      </c>
      <c r="G112" s="19">
        <f>G$7*Per_Unit!$C$42</f>
        <v/>
      </c>
      <c r="H112" s="19">
        <f>H$7*Per_Unit!$C$41</f>
        <v/>
      </c>
      <c r="I112" s="19">
        <f>I$7*Per_Unit!$C$40</f>
        <v/>
      </c>
      <c r="J112" s="19">
        <f>J$7*Per_Unit!$C$39</f>
        <v/>
      </c>
      <c r="K112" s="19">
        <f>K$7*Per_Unit!$C$38</f>
        <v/>
      </c>
      <c r="L112" s="19">
        <f>L$7*Per_Unit!$C$37</f>
        <v/>
      </c>
      <c r="M112" s="19">
        <f>M$7*Per_Unit!$C$36</f>
        <v/>
      </c>
      <c r="N112" s="19">
        <f>N$7*Per_Unit!$C$35</f>
        <v/>
      </c>
      <c r="O112" s="19">
        <f>O$7*Per_Unit!$C$34</f>
        <v/>
      </c>
      <c r="P112" s="19">
        <f>P$7*Per_Unit!$C$33</f>
        <v/>
      </c>
      <c r="Q112" s="19">
        <f>Q$7*Per_Unit!$C$32</f>
        <v/>
      </c>
      <c r="R112" s="19">
        <f>R$7*Per_Unit!$C$31</f>
        <v/>
      </c>
      <c r="S112" s="19">
        <f>S$7*Per_Unit!$C$30</f>
        <v/>
      </c>
      <c r="T112" s="19">
        <f>T$7*Per_Unit!$C$29</f>
        <v/>
      </c>
      <c r="U112" s="19">
        <f>U$7*Per_Unit!$C$28</f>
        <v/>
      </c>
      <c r="V112" s="19">
        <f>V$7*Per_Unit!$C$27</f>
        <v/>
      </c>
      <c r="W112" s="19">
        <f>W$7*Per_Unit!$C$26</f>
        <v/>
      </c>
      <c r="X112" s="19">
        <f>X$7*Per_Unit!$C$25</f>
        <v/>
      </c>
      <c r="Y112" s="19">
        <f>Y$7*Per_Unit!$C$24</f>
        <v/>
      </c>
      <c r="Z112" s="19">
        <f>Z$7*Per_Unit!$C$23</f>
        <v/>
      </c>
      <c r="AA112" s="19">
        <f>AA$7*Per_Unit!$C$22</f>
        <v/>
      </c>
      <c r="AB112" s="19">
        <f>AB$7*Per_Unit!$C$21</f>
        <v/>
      </c>
      <c r="AC112" s="19">
        <f>AC$7*Per_Unit!$C$20</f>
        <v/>
      </c>
      <c r="AD112" s="19">
        <f>AD$7*Per_Unit!$C$19</f>
        <v/>
      </c>
      <c r="AE112" s="19">
        <f>AE$7*Per_Unit!$C$18</f>
        <v/>
      </c>
      <c r="AF112" s="19">
        <f>AF$7*Per_Unit!$C$17</f>
        <v/>
      </c>
      <c r="AG112" s="19">
        <f>AG$7*Per_Unit!$C$16</f>
        <v/>
      </c>
      <c r="AH112" s="19">
        <f>AH$7*Per_Unit!$C$15</f>
        <v/>
      </c>
      <c r="AI112" s="19">
        <f>AI$7*Per_Unit!$C$14</f>
        <v/>
      </c>
      <c r="AJ112" s="19">
        <f>AJ$7*Per_Unit!$C$13</f>
        <v/>
      </c>
      <c r="AK112" s="19">
        <f>AK$7*Per_Unit!$C$12</f>
        <v/>
      </c>
      <c r="AL112" s="19">
        <f>AL$7*Per_Unit!$C$11</f>
        <v/>
      </c>
      <c r="AM112" s="19">
        <f>AM$7*Per_Unit!$C$10</f>
        <v/>
      </c>
      <c r="AN112" s="19">
        <f>AN$7*Per_Unit!$C$9</f>
        <v/>
      </c>
      <c r="AO112" s="19">
        <f>AO$7*Per_Unit!$C$8</f>
        <v/>
      </c>
      <c r="AP112" s="19">
        <f>AP$7*Per_Unit!$C$7</f>
        <v/>
      </c>
    </row>
    <row r="113">
      <c r="A113" s="19" t="n">
        <v>42</v>
      </c>
      <c r="B113" s="19">
        <f>B$7*Per_Unit!$C$48</f>
        <v/>
      </c>
      <c r="C113" s="19">
        <f>C$7*Per_Unit!$C$47</f>
        <v/>
      </c>
      <c r="D113" s="19">
        <f>D$7*Per_Unit!$C$46</f>
        <v/>
      </c>
      <c r="E113" s="19">
        <f>E$7*Per_Unit!$C$45</f>
        <v/>
      </c>
      <c r="F113" s="19">
        <f>F$7*Per_Unit!$C$44</f>
        <v/>
      </c>
      <c r="G113" s="19">
        <f>G$7*Per_Unit!$C$43</f>
        <v/>
      </c>
      <c r="H113" s="19">
        <f>H$7*Per_Unit!$C$42</f>
        <v/>
      </c>
      <c r="I113" s="19">
        <f>I$7*Per_Unit!$C$41</f>
        <v/>
      </c>
      <c r="J113" s="19">
        <f>J$7*Per_Unit!$C$40</f>
        <v/>
      </c>
      <c r="K113" s="19">
        <f>K$7*Per_Unit!$C$39</f>
        <v/>
      </c>
      <c r="L113" s="19">
        <f>L$7*Per_Unit!$C$38</f>
        <v/>
      </c>
      <c r="M113" s="19">
        <f>M$7*Per_Unit!$C$37</f>
        <v/>
      </c>
      <c r="N113" s="19">
        <f>N$7*Per_Unit!$C$36</f>
        <v/>
      </c>
      <c r="O113" s="19">
        <f>O$7*Per_Unit!$C$35</f>
        <v/>
      </c>
      <c r="P113" s="19">
        <f>P$7*Per_Unit!$C$34</f>
        <v/>
      </c>
      <c r="Q113" s="19">
        <f>Q$7*Per_Unit!$C$33</f>
        <v/>
      </c>
      <c r="R113" s="19">
        <f>R$7*Per_Unit!$C$32</f>
        <v/>
      </c>
      <c r="S113" s="19">
        <f>S$7*Per_Unit!$C$31</f>
        <v/>
      </c>
      <c r="T113" s="19">
        <f>T$7*Per_Unit!$C$30</f>
        <v/>
      </c>
      <c r="U113" s="19">
        <f>U$7*Per_Unit!$C$29</f>
        <v/>
      </c>
      <c r="V113" s="19">
        <f>V$7*Per_Unit!$C$28</f>
        <v/>
      </c>
      <c r="W113" s="19">
        <f>W$7*Per_Unit!$C$27</f>
        <v/>
      </c>
      <c r="X113" s="19">
        <f>X$7*Per_Unit!$C$26</f>
        <v/>
      </c>
      <c r="Y113" s="19">
        <f>Y$7*Per_Unit!$C$25</f>
        <v/>
      </c>
      <c r="Z113" s="19">
        <f>Z$7*Per_Unit!$C$24</f>
        <v/>
      </c>
      <c r="AA113" s="19">
        <f>AA$7*Per_Unit!$C$23</f>
        <v/>
      </c>
      <c r="AB113" s="19">
        <f>AB$7*Per_Unit!$C$22</f>
        <v/>
      </c>
      <c r="AC113" s="19">
        <f>AC$7*Per_Unit!$C$21</f>
        <v/>
      </c>
      <c r="AD113" s="19">
        <f>AD$7*Per_Unit!$C$20</f>
        <v/>
      </c>
      <c r="AE113" s="19">
        <f>AE$7*Per_Unit!$C$19</f>
        <v/>
      </c>
      <c r="AF113" s="19">
        <f>AF$7*Per_Unit!$C$18</f>
        <v/>
      </c>
      <c r="AG113" s="19">
        <f>AG$7*Per_Unit!$C$17</f>
        <v/>
      </c>
      <c r="AH113" s="19">
        <f>AH$7*Per_Unit!$C$16</f>
        <v/>
      </c>
      <c r="AI113" s="19">
        <f>AI$7*Per_Unit!$C$15</f>
        <v/>
      </c>
      <c r="AJ113" s="19">
        <f>AJ$7*Per_Unit!$C$14</f>
        <v/>
      </c>
      <c r="AK113" s="19">
        <f>AK$7*Per_Unit!$C$13</f>
        <v/>
      </c>
      <c r="AL113" s="19">
        <f>AL$7*Per_Unit!$C$12</f>
        <v/>
      </c>
      <c r="AM113" s="19">
        <f>AM$7*Per_Unit!$C$11</f>
        <v/>
      </c>
      <c r="AN113" s="19">
        <f>AN$7*Per_Unit!$C$10</f>
        <v/>
      </c>
      <c r="AO113" s="19">
        <f>AO$7*Per_Unit!$C$9</f>
        <v/>
      </c>
      <c r="AP113" s="19">
        <f>AP$7*Per_Unit!$C$8</f>
        <v/>
      </c>
      <c r="AQ113" s="19">
        <f>AQ$7*Per_Unit!$C$7</f>
        <v/>
      </c>
    </row>
    <row r="114">
      <c r="A114" s="19" t="n">
        <v>43</v>
      </c>
      <c r="B114" s="19">
        <f>B$7*Per_Unit!$C$49</f>
        <v/>
      </c>
      <c r="C114" s="19">
        <f>C$7*Per_Unit!$C$48</f>
        <v/>
      </c>
      <c r="D114" s="19">
        <f>D$7*Per_Unit!$C$47</f>
        <v/>
      </c>
      <c r="E114" s="19">
        <f>E$7*Per_Unit!$C$46</f>
        <v/>
      </c>
      <c r="F114" s="19">
        <f>F$7*Per_Unit!$C$45</f>
        <v/>
      </c>
      <c r="G114" s="19">
        <f>G$7*Per_Unit!$C$44</f>
        <v/>
      </c>
      <c r="H114" s="19">
        <f>H$7*Per_Unit!$C$43</f>
        <v/>
      </c>
      <c r="I114" s="19">
        <f>I$7*Per_Unit!$C$42</f>
        <v/>
      </c>
      <c r="J114" s="19">
        <f>J$7*Per_Unit!$C$41</f>
        <v/>
      </c>
      <c r="K114" s="19">
        <f>K$7*Per_Unit!$C$40</f>
        <v/>
      </c>
      <c r="L114" s="19">
        <f>L$7*Per_Unit!$C$39</f>
        <v/>
      </c>
      <c r="M114" s="19">
        <f>M$7*Per_Unit!$C$38</f>
        <v/>
      </c>
      <c r="N114" s="19">
        <f>N$7*Per_Unit!$C$37</f>
        <v/>
      </c>
      <c r="O114" s="19">
        <f>O$7*Per_Unit!$C$36</f>
        <v/>
      </c>
      <c r="P114" s="19">
        <f>P$7*Per_Unit!$C$35</f>
        <v/>
      </c>
      <c r="Q114" s="19">
        <f>Q$7*Per_Unit!$C$34</f>
        <v/>
      </c>
      <c r="R114" s="19">
        <f>R$7*Per_Unit!$C$33</f>
        <v/>
      </c>
      <c r="S114" s="19">
        <f>S$7*Per_Unit!$C$32</f>
        <v/>
      </c>
      <c r="T114" s="19">
        <f>T$7*Per_Unit!$C$31</f>
        <v/>
      </c>
      <c r="U114" s="19">
        <f>U$7*Per_Unit!$C$30</f>
        <v/>
      </c>
      <c r="V114" s="19">
        <f>V$7*Per_Unit!$C$29</f>
        <v/>
      </c>
      <c r="W114" s="19">
        <f>W$7*Per_Unit!$C$28</f>
        <v/>
      </c>
      <c r="X114" s="19">
        <f>X$7*Per_Unit!$C$27</f>
        <v/>
      </c>
      <c r="Y114" s="19">
        <f>Y$7*Per_Unit!$C$26</f>
        <v/>
      </c>
      <c r="Z114" s="19">
        <f>Z$7*Per_Unit!$C$25</f>
        <v/>
      </c>
      <c r="AA114" s="19">
        <f>AA$7*Per_Unit!$C$24</f>
        <v/>
      </c>
      <c r="AB114" s="19">
        <f>AB$7*Per_Unit!$C$23</f>
        <v/>
      </c>
      <c r="AC114" s="19">
        <f>AC$7*Per_Unit!$C$22</f>
        <v/>
      </c>
      <c r="AD114" s="19">
        <f>AD$7*Per_Unit!$C$21</f>
        <v/>
      </c>
      <c r="AE114" s="19">
        <f>AE$7*Per_Unit!$C$20</f>
        <v/>
      </c>
      <c r="AF114" s="19">
        <f>AF$7*Per_Unit!$C$19</f>
        <v/>
      </c>
      <c r="AG114" s="19">
        <f>AG$7*Per_Unit!$C$18</f>
        <v/>
      </c>
      <c r="AH114" s="19">
        <f>AH$7*Per_Unit!$C$17</f>
        <v/>
      </c>
      <c r="AI114" s="19">
        <f>AI$7*Per_Unit!$C$16</f>
        <v/>
      </c>
      <c r="AJ114" s="19">
        <f>AJ$7*Per_Unit!$C$15</f>
        <v/>
      </c>
      <c r="AK114" s="19">
        <f>AK$7*Per_Unit!$C$14</f>
        <v/>
      </c>
      <c r="AL114" s="19">
        <f>AL$7*Per_Unit!$C$13</f>
        <v/>
      </c>
      <c r="AM114" s="19">
        <f>AM$7*Per_Unit!$C$12</f>
        <v/>
      </c>
      <c r="AN114" s="19">
        <f>AN$7*Per_Unit!$C$11</f>
        <v/>
      </c>
      <c r="AO114" s="19">
        <f>AO$7*Per_Unit!$C$10</f>
        <v/>
      </c>
      <c r="AP114" s="19">
        <f>AP$7*Per_Unit!$C$9</f>
        <v/>
      </c>
      <c r="AQ114" s="19">
        <f>AQ$7*Per_Unit!$C$8</f>
        <v/>
      </c>
      <c r="AR114" s="19">
        <f>AR$7*Per_Unit!$C$7</f>
        <v/>
      </c>
    </row>
    <row r="115">
      <c r="A115" s="19" t="n">
        <v>44</v>
      </c>
      <c r="B115" s="19">
        <f>B$7*Per_Unit!$C$50</f>
        <v/>
      </c>
      <c r="C115" s="19">
        <f>C$7*Per_Unit!$C$49</f>
        <v/>
      </c>
      <c r="D115" s="19">
        <f>D$7*Per_Unit!$C$48</f>
        <v/>
      </c>
      <c r="E115" s="19">
        <f>E$7*Per_Unit!$C$47</f>
        <v/>
      </c>
      <c r="F115" s="19">
        <f>F$7*Per_Unit!$C$46</f>
        <v/>
      </c>
      <c r="G115" s="19">
        <f>G$7*Per_Unit!$C$45</f>
        <v/>
      </c>
      <c r="H115" s="19">
        <f>H$7*Per_Unit!$C$44</f>
        <v/>
      </c>
      <c r="I115" s="19">
        <f>I$7*Per_Unit!$C$43</f>
        <v/>
      </c>
      <c r="J115" s="19">
        <f>J$7*Per_Unit!$C$42</f>
        <v/>
      </c>
      <c r="K115" s="19">
        <f>K$7*Per_Unit!$C$41</f>
        <v/>
      </c>
      <c r="L115" s="19">
        <f>L$7*Per_Unit!$C$40</f>
        <v/>
      </c>
      <c r="M115" s="19">
        <f>M$7*Per_Unit!$C$39</f>
        <v/>
      </c>
      <c r="N115" s="19">
        <f>N$7*Per_Unit!$C$38</f>
        <v/>
      </c>
      <c r="O115" s="19">
        <f>O$7*Per_Unit!$C$37</f>
        <v/>
      </c>
      <c r="P115" s="19">
        <f>P$7*Per_Unit!$C$36</f>
        <v/>
      </c>
      <c r="Q115" s="19">
        <f>Q$7*Per_Unit!$C$35</f>
        <v/>
      </c>
      <c r="R115" s="19">
        <f>R$7*Per_Unit!$C$34</f>
        <v/>
      </c>
      <c r="S115" s="19">
        <f>S$7*Per_Unit!$C$33</f>
        <v/>
      </c>
      <c r="T115" s="19">
        <f>T$7*Per_Unit!$C$32</f>
        <v/>
      </c>
      <c r="U115" s="19">
        <f>U$7*Per_Unit!$C$31</f>
        <v/>
      </c>
      <c r="V115" s="19">
        <f>V$7*Per_Unit!$C$30</f>
        <v/>
      </c>
      <c r="W115" s="19">
        <f>W$7*Per_Unit!$C$29</f>
        <v/>
      </c>
      <c r="X115" s="19">
        <f>X$7*Per_Unit!$C$28</f>
        <v/>
      </c>
      <c r="Y115" s="19">
        <f>Y$7*Per_Unit!$C$27</f>
        <v/>
      </c>
      <c r="Z115" s="19">
        <f>Z$7*Per_Unit!$C$26</f>
        <v/>
      </c>
      <c r="AA115" s="19">
        <f>AA$7*Per_Unit!$C$25</f>
        <v/>
      </c>
      <c r="AB115" s="19">
        <f>AB$7*Per_Unit!$C$24</f>
        <v/>
      </c>
      <c r="AC115" s="19">
        <f>AC$7*Per_Unit!$C$23</f>
        <v/>
      </c>
      <c r="AD115" s="19">
        <f>AD$7*Per_Unit!$C$22</f>
        <v/>
      </c>
      <c r="AE115" s="19">
        <f>AE$7*Per_Unit!$C$21</f>
        <v/>
      </c>
      <c r="AF115" s="19">
        <f>AF$7*Per_Unit!$C$20</f>
        <v/>
      </c>
      <c r="AG115" s="19">
        <f>AG$7*Per_Unit!$C$19</f>
        <v/>
      </c>
      <c r="AH115" s="19">
        <f>AH$7*Per_Unit!$C$18</f>
        <v/>
      </c>
      <c r="AI115" s="19">
        <f>AI$7*Per_Unit!$C$17</f>
        <v/>
      </c>
      <c r="AJ115" s="19">
        <f>AJ$7*Per_Unit!$C$16</f>
        <v/>
      </c>
      <c r="AK115" s="19">
        <f>AK$7*Per_Unit!$C$15</f>
        <v/>
      </c>
      <c r="AL115" s="19">
        <f>AL$7*Per_Unit!$C$14</f>
        <v/>
      </c>
      <c r="AM115" s="19">
        <f>AM$7*Per_Unit!$C$13</f>
        <v/>
      </c>
      <c r="AN115" s="19">
        <f>AN$7*Per_Unit!$C$12</f>
        <v/>
      </c>
      <c r="AO115" s="19">
        <f>AO$7*Per_Unit!$C$11</f>
        <v/>
      </c>
      <c r="AP115" s="19">
        <f>AP$7*Per_Unit!$C$10</f>
        <v/>
      </c>
      <c r="AQ115" s="19">
        <f>AQ$7*Per_Unit!$C$9</f>
        <v/>
      </c>
      <c r="AR115" s="19">
        <f>AR$7*Per_Unit!$C$8</f>
        <v/>
      </c>
      <c r="AS115" s="19">
        <f>AS$7*Per_Unit!$C$7</f>
        <v/>
      </c>
    </row>
    <row r="116">
      <c r="A116" s="19" t="n">
        <v>45</v>
      </c>
      <c r="B116" s="19">
        <f>B$7*Per_Unit!$C$51</f>
        <v/>
      </c>
      <c r="C116" s="19">
        <f>C$7*Per_Unit!$C$50</f>
        <v/>
      </c>
      <c r="D116" s="19">
        <f>D$7*Per_Unit!$C$49</f>
        <v/>
      </c>
      <c r="E116" s="19">
        <f>E$7*Per_Unit!$C$48</f>
        <v/>
      </c>
      <c r="F116" s="19">
        <f>F$7*Per_Unit!$C$47</f>
        <v/>
      </c>
      <c r="G116" s="19">
        <f>G$7*Per_Unit!$C$46</f>
        <v/>
      </c>
      <c r="H116" s="19">
        <f>H$7*Per_Unit!$C$45</f>
        <v/>
      </c>
      <c r="I116" s="19">
        <f>I$7*Per_Unit!$C$44</f>
        <v/>
      </c>
      <c r="J116" s="19">
        <f>J$7*Per_Unit!$C$43</f>
        <v/>
      </c>
      <c r="K116" s="19">
        <f>K$7*Per_Unit!$C$42</f>
        <v/>
      </c>
      <c r="L116" s="19">
        <f>L$7*Per_Unit!$C$41</f>
        <v/>
      </c>
      <c r="M116" s="19">
        <f>M$7*Per_Unit!$C$40</f>
        <v/>
      </c>
      <c r="N116" s="19">
        <f>N$7*Per_Unit!$C$39</f>
        <v/>
      </c>
      <c r="O116" s="19">
        <f>O$7*Per_Unit!$C$38</f>
        <v/>
      </c>
      <c r="P116" s="19">
        <f>P$7*Per_Unit!$C$37</f>
        <v/>
      </c>
      <c r="Q116" s="19">
        <f>Q$7*Per_Unit!$C$36</f>
        <v/>
      </c>
      <c r="R116" s="19">
        <f>R$7*Per_Unit!$C$35</f>
        <v/>
      </c>
      <c r="S116" s="19">
        <f>S$7*Per_Unit!$C$34</f>
        <v/>
      </c>
      <c r="T116" s="19">
        <f>T$7*Per_Unit!$C$33</f>
        <v/>
      </c>
      <c r="U116" s="19">
        <f>U$7*Per_Unit!$C$32</f>
        <v/>
      </c>
      <c r="V116" s="19">
        <f>V$7*Per_Unit!$C$31</f>
        <v/>
      </c>
      <c r="W116" s="19">
        <f>W$7*Per_Unit!$C$30</f>
        <v/>
      </c>
      <c r="X116" s="19">
        <f>X$7*Per_Unit!$C$29</f>
        <v/>
      </c>
      <c r="Y116" s="19">
        <f>Y$7*Per_Unit!$C$28</f>
        <v/>
      </c>
      <c r="Z116" s="19">
        <f>Z$7*Per_Unit!$C$27</f>
        <v/>
      </c>
      <c r="AA116" s="19">
        <f>AA$7*Per_Unit!$C$26</f>
        <v/>
      </c>
      <c r="AB116" s="19">
        <f>AB$7*Per_Unit!$C$25</f>
        <v/>
      </c>
      <c r="AC116" s="19">
        <f>AC$7*Per_Unit!$C$24</f>
        <v/>
      </c>
      <c r="AD116" s="19">
        <f>AD$7*Per_Unit!$C$23</f>
        <v/>
      </c>
      <c r="AE116" s="19">
        <f>AE$7*Per_Unit!$C$22</f>
        <v/>
      </c>
      <c r="AF116" s="19">
        <f>AF$7*Per_Unit!$C$21</f>
        <v/>
      </c>
      <c r="AG116" s="19">
        <f>AG$7*Per_Unit!$C$20</f>
        <v/>
      </c>
      <c r="AH116" s="19">
        <f>AH$7*Per_Unit!$C$19</f>
        <v/>
      </c>
      <c r="AI116" s="19">
        <f>AI$7*Per_Unit!$C$18</f>
        <v/>
      </c>
      <c r="AJ116" s="19">
        <f>AJ$7*Per_Unit!$C$17</f>
        <v/>
      </c>
      <c r="AK116" s="19">
        <f>AK$7*Per_Unit!$C$16</f>
        <v/>
      </c>
      <c r="AL116" s="19">
        <f>AL$7*Per_Unit!$C$15</f>
        <v/>
      </c>
      <c r="AM116" s="19">
        <f>AM$7*Per_Unit!$C$14</f>
        <v/>
      </c>
      <c r="AN116" s="19">
        <f>AN$7*Per_Unit!$C$13</f>
        <v/>
      </c>
      <c r="AO116" s="19">
        <f>AO$7*Per_Unit!$C$12</f>
        <v/>
      </c>
      <c r="AP116" s="19">
        <f>AP$7*Per_Unit!$C$11</f>
        <v/>
      </c>
      <c r="AQ116" s="19">
        <f>AQ$7*Per_Unit!$C$10</f>
        <v/>
      </c>
      <c r="AR116" s="19">
        <f>AR$7*Per_Unit!$C$9</f>
        <v/>
      </c>
      <c r="AS116" s="19">
        <f>AS$7*Per_Unit!$C$8</f>
        <v/>
      </c>
      <c r="AT116" s="19">
        <f>AT$7*Per_Unit!$C$7</f>
        <v/>
      </c>
    </row>
    <row r="117">
      <c r="A117" s="19" t="n">
        <v>46</v>
      </c>
      <c r="B117" s="19">
        <f>B$7*Per_Unit!$C$52</f>
        <v/>
      </c>
      <c r="C117" s="19">
        <f>C$7*Per_Unit!$C$51</f>
        <v/>
      </c>
      <c r="D117" s="19">
        <f>D$7*Per_Unit!$C$50</f>
        <v/>
      </c>
      <c r="E117" s="19">
        <f>E$7*Per_Unit!$C$49</f>
        <v/>
      </c>
      <c r="F117" s="19">
        <f>F$7*Per_Unit!$C$48</f>
        <v/>
      </c>
      <c r="G117" s="19">
        <f>G$7*Per_Unit!$C$47</f>
        <v/>
      </c>
      <c r="H117" s="19">
        <f>H$7*Per_Unit!$C$46</f>
        <v/>
      </c>
      <c r="I117" s="19">
        <f>I$7*Per_Unit!$C$45</f>
        <v/>
      </c>
      <c r="J117" s="19">
        <f>J$7*Per_Unit!$C$44</f>
        <v/>
      </c>
      <c r="K117" s="19">
        <f>K$7*Per_Unit!$C$43</f>
        <v/>
      </c>
      <c r="L117" s="19">
        <f>L$7*Per_Unit!$C$42</f>
        <v/>
      </c>
      <c r="M117" s="19">
        <f>M$7*Per_Unit!$C$41</f>
        <v/>
      </c>
      <c r="N117" s="19">
        <f>N$7*Per_Unit!$C$40</f>
        <v/>
      </c>
      <c r="O117" s="19">
        <f>O$7*Per_Unit!$C$39</f>
        <v/>
      </c>
      <c r="P117" s="19">
        <f>P$7*Per_Unit!$C$38</f>
        <v/>
      </c>
      <c r="Q117" s="19">
        <f>Q$7*Per_Unit!$C$37</f>
        <v/>
      </c>
      <c r="R117" s="19">
        <f>R$7*Per_Unit!$C$36</f>
        <v/>
      </c>
      <c r="S117" s="19">
        <f>S$7*Per_Unit!$C$35</f>
        <v/>
      </c>
      <c r="T117" s="19">
        <f>T$7*Per_Unit!$C$34</f>
        <v/>
      </c>
      <c r="U117" s="19">
        <f>U$7*Per_Unit!$C$33</f>
        <v/>
      </c>
      <c r="V117" s="19">
        <f>V$7*Per_Unit!$C$32</f>
        <v/>
      </c>
      <c r="W117" s="19">
        <f>W$7*Per_Unit!$C$31</f>
        <v/>
      </c>
      <c r="X117" s="19">
        <f>X$7*Per_Unit!$C$30</f>
        <v/>
      </c>
      <c r="Y117" s="19">
        <f>Y$7*Per_Unit!$C$29</f>
        <v/>
      </c>
      <c r="Z117" s="19">
        <f>Z$7*Per_Unit!$C$28</f>
        <v/>
      </c>
      <c r="AA117" s="19">
        <f>AA$7*Per_Unit!$C$27</f>
        <v/>
      </c>
      <c r="AB117" s="19">
        <f>AB$7*Per_Unit!$C$26</f>
        <v/>
      </c>
      <c r="AC117" s="19">
        <f>AC$7*Per_Unit!$C$25</f>
        <v/>
      </c>
      <c r="AD117" s="19">
        <f>AD$7*Per_Unit!$C$24</f>
        <v/>
      </c>
      <c r="AE117" s="19">
        <f>AE$7*Per_Unit!$C$23</f>
        <v/>
      </c>
      <c r="AF117" s="19">
        <f>AF$7*Per_Unit!$C$22</f>
        <v/>
      </c>
      <c r="AG117" s="19">
        <f>AG$7*Per_Unit!$C$21</f>
        <v/>
      </c>
      <c r="AH117" s="19">
        <f>AH$7*Per_Unit!$C$20</f>
        <v/>
      </c>
      <c r="AI117" s="19">
        <f>AI$7*Per_Unit!$C$19</f>
        <v/>
      </c>
      <c r="AJ117" s="19">
        <f>AJ$7*Per_Unit!$C$18</f>
        <v/>
      </c>
      <c r="AK117" s="19">
        <f>AK$7*Per_Unit!$C$17</f>
        <v/>
      </c>
      <c r="AL117" s="19">
        <f>AL$7*Per_Unit!$C$16</f>
        <v/>
      </c>
      <c r="AM117" s="19">
        <f>AM$7*Per_Unit!$C$15</f>
        <v/>
      </c>
      <c r="AN117" s="19">
        <f>AN$7*Per_Unit!$C$14</f>
        <v/>
      </c>
      <c r="AO117" s="19">
        <f>AO$7*Per_Unit!$C$13</f>
        <v/>
      </c>
      <c r="AP117" s="19">
        <f>AP$7*Per_Unit!$C$12</f>
        <v/>
      </c>
      <c r="AQ117" s="19">
        <f>AQ$7*Per_Unit!$C$11</f>
        <v/>
      </c>
      <c r="AR117" s="19">
        <f>AR$7*Per_Unit!$C$10</f>
        <v/>
      </c>
      <c r="AS117" s="19">
        <f>AS$7*Per_Unit!$C$9</f>
        <v/>
      </c>
      <c r="AT117" s="19">
        <f>AT$7*Per_Unit!$C$8</f>
        <v/>
      </c>
      <c r="AU117" s="19">
        <f>AU$7*Per_Unit!$C$7</f>
        <v/>
      </c>
    </row>
    <row r="118">
      <c r="A118" s="19" t="n">
        <v>47</v>
      </c>
      <c r="B118" s="19">
        <f>B$7*Per_Unit!$C$53</f>
        <v/>
      </c>
      <c r="C118" s="19">
        <f>C$7*Per_Unit!$C$52</f>
        <v/>
      </c>
      <c r="D118" s="19">
        <f>D$7*Per_Unit!$C$51</f>
        <v/>
      </c>
      <c r="E118" s="19">
        <f>E$7*Per_Unit!$C$50</f>
        <v/>
      </c>
      <c r="F118" s="19">
        <f>F$7*Per_Unit!$C$49</f>
        <v/>
      </c>
      <c r="G118" s="19">
        <f>G$7*Per_Unit!$C$48</f>
        <v/>
      </c>
      <c r="H118" s="19">
        <f>H$7*Per_Unit!$C$47</f>
        <v/>
      </c>
      <c r="I118" s="19">
        <f>I$7*Per_Unit!$C$46</f>
        <v/>
      </c>
      <c r="J118" s="19">
        <f>J$7*Per_Unit!$C$45</f>
        <v/>
      </c>
      <c r="K118" s="19">
        <f>K$7*Per_Unit!$C$44</f>
        <v/>
      </c>
      <c r="L118" s="19">
        <f>L$7*Per_Unit!$C$43</f>
        <v/>
      </c>
      <c r="M118" s="19">
        <f>M$7*Per_Unit!$C$42</f>
        <v/>
      </c>
      <c r="N118" s="19">
        <f>N$7*Per_Unit!$C$41</f>
        <v/>
      </c>
      <c r="O118" s="19">
        <f>O$7*Per_Unit!$C$40</f>
        <v/>
      </c>
      <c r="P118" s="19">
        <f>P$7*Per_Unit!$C$39</f>
        <v/>
      </c>
      <c r="Q118" s="19">
        <f>Q$7*Per_Unit!$C$38</f>
        <v/>
      </c>
      <c r="R118" s="19">
        <f>R$7*Per_Unit!$C$37</f>
        <v/>
      </c>
      <c r="S118" s="19">
        <f>S$7*Per_Unit!$C$36</f>
        <v/>
      </c>
      <c r="T118" s="19">
        <f>T$7*Per_Unit!$C$35</f>
        <v/>
      </c>
      <c r="U118" s="19">
        <f>U$7*Per_Unit!$C$34</f>
        <v/>
      </c>
      <c r="V118" s="19">
        <f>V$7*Per_Unit!$C$33</f>
        <v/>
      </c>
      <c r="W118" s="19">
        <f>W$7*Per_Unit!$C$32</f>
        <v/>
      </c>
      <c r="X118" s="19">
        <f>X$7*Per_Unit!$C$31</f>
        <v/>
      </c>
      <c r="Y118" s="19">
        <f>Y$7*Per_Unit!$C$30</f>
        <v/>
      </c>
      <c r="Z118" s="19">
        <f>Z$7*Per_Unit!$C$29</f>
        <v/>
      </c>
      <c r="AA118" s="19">
        <f>AA$7*Per_Unit!$C$28</f>
        <v/>
      </c>
      <c r="AB118" s="19">
        <f>AB$7*Per_Unit!$C$27</f>
        <v/>
      </c>
      <c r="AC118" s="19">
        <f>AC$7*Per_Unit!$C$26</f>
        <v/>
      </c>
      <c r="AD118" s="19">
        <f>AD$7*Per_Unit!$C$25</f>
        <v/>
      </c>
      <c r="AE118" s="19">
        <f>AE$7*Per_Unit!$C$24</f>
        <v/>
      </c>
      <c r="AF118" s="19">
        <f>AF$7*Per_Unit!$C$23</f>
        <v/>
      </c>
      <c r="AG118" s="19">
        <f>AG$7*Per_Unit!$C$22</f>
        <v/>
      </c>
      <c r="AH118" s="19">
        <f>AH$7*Per_Unit!$C$21</f>
        <v/>
      </c>
      <c r="AI118" s="19">
        <f>AI$7*Per_Unit!$C$20</f>
        <v/>
      </c>
      <c r="AJ118" s="19">
        <f>AJ$7*Per_Unit!$C$19</f>
        <v/>
      </c>
      <c r="AK118" s="19">
        <f>AK$7*Per_Unit!$C$18</f>
        <v/>
      </c>
      <c r="AL118" s="19">
        <f>AL$7*Per_Unit!$C$17</f>
        <v/>
      </c>
      <c r="AM118" s="19">
        <f>AM$7*Per_Unit!$C$16</f>
        <v/>
      </c>
      <c r="AN118" s="19">
        <f>AN$7*Per_Unit!$C$15</f>
        <v/>
      </c>
      <c r="AO118" s="19">
        <f>AO$7*Per_Unit!$C$14</f>
        <v/>
      </c>
      <c r="AP118" s="19">
        <f>AP$7*Per_Unit!$C$13</f>
        <v/>
      </c>
      <c r="AQ118" s="19">
        <f>AQ$7*Per_Unit!$C$12</f>
        <v/>
      </c>
      <c r="AR118" s="19">
        <f>AR$7*Per_Unit!$C$11</f>
        <v/>
      </c>
      <c r="AS118" s="19">
        <f>AS$7*Per_Unit!$C$10</f>
        <v/>
      </c>
      <c r="AT118" s="19">
        <f>AT$7*Per_Unit!$C$9</f>
        <v/>
      </c>
      <c r="AU118" s="19">
        <f>AU$7*Per_Unit!$C$8</f>
        <v/>
      </c>
      <c r="AV118" s="19">
        <f>AV$7*Per_Unit!$C$7</f>
        <v/>
      </c>
    </row>
    <row r="119">
      <c r="A119" s="19" t="n">
        <v>48</v>
      </c>
      <c r="B119" s="19">
        <f>B$7*Per_Unit!$C$54</f>
        <v/>
      </c>
      <c r="C119" s="19">
        <f>C$7*Per_Unit!$C$53</f>
        <v/>
      </c>
      <c r="D119" s="19">
        <f>D$7*Per_Unit!$C$52</f>
        <v/>
      </c>
      <c r="E119" s="19">
        <f>E$7*Per_Unit!$C$51</f>
        <v/>
      </c>
      <c r="F119" s="19">
        <f>F$7*Per_Unit!$C$50</f>
        <v/>
      </c>
      <c r="G119" s="19">
        <f>G$7*Per_Unit!$C$49</f>
        <v/>
      </c>
      <c r="H119" s="19">
        <f>H$7*Per_Unit!$C$48</f>
        <v/>
      </c>
      <c r="I119" s="19">
        <f>I$7*Per_Unit!$C$47</f>
        <v/>
      </c>
      <c r="J119" s="19">
        <f>J$7*Per_Unit!$C$46</f>
        <v/>
      </c>
      <c r="K119" s="19">
        <f>K$7*Per_Unit!$C$45</f>
        <v/>
      </c>
      <c r="L119" s="19">
        <f>L$7*Per_Unit!$C$44</f>
        <v/>
      </c>
      <c r="M119" s="19">
        <f>M$7*Per_Unit!$C$43</f>
        <v/>
      </c>
      <c r="N119" s="19">
        <f>N$7*Per_Unit!$C$42</f>
        <v/>
      </c>
      <c r="O119" s="19">
        <f>O$7*Per_Unit!$C$41</f>
        <v/>
      </c>
      <c r="P119" s="19">
        <f>P$7*Per_Unit!$C$40</f>
        <v/>
      </c>
      <c r="Q119" s="19">
        <f>Q$7*Per_Unit!$C$39</f>
        <v/>
      </c>
      <c r="R119" s="19">
        <f>R$7*Per_Unit!$C$38</f>
        <v/>
      </c>
      <c r="S119" s="19">
        <f>S$7*Per_Unit!$C$37</f>
        <v/>
      </c>
      <c r="T119" s="19">
        <f>T$7*Per_Unit!$C$36</f>
        <v/>
      </c>
      <c r="U119" s="19">
        <f>U$7*Per_Unit!$C$35</f>
        <v/>
      </c>
      <c r="V119" s="19">
        <f>V$7*Per_Unit!$C$34</f>
        <v/>
      </c>
      <c r="W119" s="19">
        <f>W$7*Per_Unit!$C$33</f>
        <v/>
      </c>
      <c r="X119" s="19">
        <f>X$7*Per_Unit!$C$32</f>
        <v/>
      </c>
      <c r="Y119" s="19">
        <f>Y$7*Per_Unit!$C$31</f>
        <v/>
      </c>
      <c r="Z119" s="19">
        <f>Z$7*Per_Unit!$C$30</f>
        <v/>
      </c>
      <c r="AA119" s="19">
        <f>AA$7*Per_Unit!$C$29</f>
        <v/>
      </c>
      <c r="AB119" s="19">
        <f>AB$7*Per_Unit!$C$28</f>
        <v/>
      </c>
      <c r="AC119" s="19">
        <f>AC$7*Per_Unit!$C$27</f>
        <v/>
      </c>
      <c r="AD119" s="19">
        <f>AD$7*Per_Unit!$C$26</f>
        <v/>
      </c>
      <c r="AE119" s="19">
        <f>AE$7*Per_Unit!$C$25</f>
        <v/>
      </c>
      <c r="AF119" s="19">
        <f>AF$7*Per_Unit!$C$24</f>
        <v/>
      </c>
      <c r="AG119" s="19">
        <f>AG$7*Per_Unit!$C$23</f>
        <v/>
      </c>
      <c r="AH119" s="19">
        <f>AH$7*Per_Unit!$C$22</f>
        <v/>
      </c>
      <c r="AI119" s="19">
        <f>AI$7*Per_Unit!$C$21</f>
        <v/>
      </c>
      <c r="AJ119" s="19">
        <f>AJ$7*Per_Unit!$C$20</f>
        <v/>
      </c>
      <c r="AK119" s="19">
        <f>AK$7*Per_Unit!$C$19</f>
        <v/>
      </c>
      <c r="AL119" s="19">
        <f>AL$7*Per_Unit!$C$18</f>
        <v/>
      </c>
      <c r="AM119" s="19">
        <f>AM$7*Per_Unit!$C$17</f>
        <v/>
      </c>
      <c r="AN119" s="19">
        <f>AN$7*Per_Unit!$C$16</f>
        <v/>
      </c>
      <c r="AO119" s="19">
        <f>AO$7*Per_Unit!$C$15</f>
        <v/>
      </c>
      <c r="AP119" s="19">
        <f>AP$7*Per_Unit!$C$14</f>
        <v/>
      </c>
      <c r="AQ119" s="19">
        <f>AQ$7*Per_Unit!$C$13</f>
        <v/>
      </c>
      <c r="AR119" s="19">
        <f>AR$7*Per_Unit!$C$12</f>
        <v/>
      </c>
      <c r="AS119" s="19">
        <f>AS$7*Per_Unit!$C$11</f>
        <v/>
      </c>
      <c r="AT119" s="19">
        <f>AT$7*Per_Unit!$C$10</f>
        <v/>
      </c>
      <c r="AU119" s="19">
        <f>AU$7*Per_Unit!$C$9</f>
        <v/>
      </c>
      <c r="AV119" s="19">
        <f>AV$7*Per_Unit!$C$8</f>
        <v/>
      </c>
      <c r="AW119" s="19">
        <f>AW$7*Per_Unit!$C$7</f>
        <v/>
      </c>
    </row>
    <row r="120">
      <c r="A120" s="19" t="n">
        <v>49</v>
      </c>
      <c r="B120" s="19">
        <f>B$7*Per_Unit!$C$55</f>
        <v/>
      </c>
      <c r="C120" s="19">
        <f>C$7*Per_Unit!$C$54</f>
        <v/>
      </c>
      <c r="D120" s="19">
        <f>D$7*Per_Unit!$C$53</f>
        <v/>
      </c>
      <c r="E120" s="19">
        <f>E$7*Per_Unit!$C$52</f>
        <v/>
      </c>
      <c r="F120" s="19">
        <f>F$7*Per_Unit!$C$51</f>
        <v/>
      </c>
      <c r="G120" s="19">
        <f>G$7*Per_Unit!$C$50</f>
        <v/>
      </c>
      <c r="H120" s="19">
        <f>H$7*Per_Unit!$C$49</f>
        <v/>
      </c>
      <c r="I120" s="19">
        <f>I$7*Per_Unit!$C$48</f>
        <v/>
      </c>
      <c r="J120" s="19">
        <f>J$7*Per_Unit!$C$47</f>
        <v/>
      </c>
      <c r="K120" s="19">
        <f>K$7*Per_Unit!$C$46</f>
        <v/>
      </c>
      <c r="L120" s="19">
        <f>L$7*Per_Unit!$C$45</f>
        <v/>
      </c>
      <c r="M120" s="19">
        <f>M$7*Per_Unit!$C$44</f>
        <v/>
      </c>
      <c r="N120" s="19">
        <f>N$7*Per_Unit!$C$43</f>
        <v/>
      </c>
      <c r="O120" s="19">
        <f>O$7*Per_Unit!$C$42</f>
        <v/>
      </c>
      <c r="P120" s="19">
        <f>P$7*Per_Unit!$C$41</f>
        <v/>
      </c>
      <c r="Q120" s="19">
        <f>Q$7*Per_Unit!$C$40</f>
        <v/>
      </c>
      <c r="R120" s="19">
        <f>R$7*Per_Unit!$C$39</f>
        <v/>
      </c>
      <c r="S120" s="19">
        <f>S$7*Per_Unit!$C$38</f>
        <v/>
      </c>
      <c r="T120" s="19">
        <f>T$7*Per_Unit!$C$37</f>
        <v/>
      </c>
      <c r="U120" s="19">
        <f>U$7*Per_Unit!$C$36</f>
        <v/>
      </c>
      <c r="V120" s="19">
        <f>V$7*Per_Unit!$C$35</f>
        <v/>
      </c>
      <c r="W120" s="19">
        <f>W$7*Per_Unit!$C$34</f>
        <v/>
      </c>
      <c r="X120" s="19">
        <f>X$7*Per_Unit!$C$33</f>
        <v/>
      </c>
      <c r="Y120" s="19">
        <f>Y$7*Per_Unit!$C$32</f>
        <v/>
      </c>
      <c r="Z120" s="19">
        <f>Z$7*Per_Unit!$C$31</f>
        <v/>
      </c>
      <c r="AA120" s="19">
        <f>AA$7*Per_Unit!$C$30</f>
        <v/>
      </c>
      <c r="AB120" s="19">
        <f>AB$7*Per_Unit!$C$29</f>
        <v/>
      </c>
      <c r="AC120" s="19">
        <f>AC$7*Per_Unit!$C$28</f>
        <v/>
      </c>
      <c r="AD120" s="19">
        <f>AD$7*Per_Unit!$C$27</f>
        <v/>
      </c>
      <c r="AE120" s="19">
        <f>AE$7*Per_Unit!$C$26</f>
        <v/>
      </c>
      <c r="AF120" s="19">
        <f>AF$7*Per_Unit!$C$25</f>
        <v/>
      </c>
      <c r="AG120" s="19">
        <f>AG$7*Per_Unit!$C$24</f>
        <v/>
      </c>
      <c r="AH120" s="19">
        <f>AH$7*Per_Unit!$C$23</f>
        <v/>
      </c>
      <c r="AI120" s="19">
        <f>AI$7*Per_Unit!$C$22</f>
        <v/>
      </c>
      <c r="AJ120" s="19">
        <f>AJ$7*Per_Unit!$C$21</f>
        <v/>
      </c>
      <c r="AK120" s="19">
        <f>AK$7*Per_Unit!$C$20</f>
        <v/>
      </c>
      <c r="AL120" s="19">
        <f>AL$7*Per_Unit!$C$19</f>
        <v/>
      </c>
      <c r="AM120" s="19">
        <f>AM$7*Per_Unit!$C$18</f>
        <v/>
      </c>
      <c r="AN120" s="19">
        <f>AN$7*Per_Unit!$C$17</f>
        <v/>
      </c>
      <c r="AO120" s="19">
        <f>AO$7*Per_Unit!$C$16</f>
        <v/>
      </c>
      <c r="AP120" s="19">
        <f>AP$7*Per_Unit!$C$15</f>
        <v/>
      </c>
      <c r="AQ120" s="19">
        <f>AQ$7*Per_Unit!$C$14</f>
        <v/>
      </c>
      <c r="AR120" s="19">
        <f>AR$7*Per_Unit!$C$13</f>
        <v/>
      </c>
      <c r="AS120" s="19">
        <f>AS$7*Per_Unit!$C$12</f>
        <v/>
      </c>
      <c r="AT120" s="19">
        <f>AT$7*Per_Unit!$C$11</f>
        <v/>
      </c>
      <c r="AU120" s="19">
        <f>AU$7*Per_Unit!$C$10</f>
        <v/>
      </c>
      <c r="AV120" s="19">
        <f>AV$7*Per_Unit!$C$9</f>
        <v/>
      </c>
      <c r="AW120" s="19">
        <f>AW$7*Per_Unit!$C$8</f>
        <v/>
      </c>
      <c r="AX120" s="19">
        <f>AX$7*Per_Unit!$C$7</f>
        <v/>
      </c>
    </row>
    <row r="121">
      <c r="A121" s="19" t="n">
        <v>50</v>
      </c>
      <c r="B121" s="19">
        <f>B$7*Per_Unit!$C$56</f>
        <v/>
      </c>
      <c r="C121" s="19">
        <f>C$7*Per_Unit!$C$55</f>
        <v/>
      </c>
      <c r="D121" s="19">
        <f>D$7*Per_Unit!$C$54</f>
        <v/>
      </c>
      <c r="E121" s="19">
        <f>E$7*Per_Unit!$C$53</f>
        <v/>
      </c>
      <c r="F121" s="19">
        <f>F$7*Per_Unit!$C$52</f>
        <v/>
      </c>
      <c r="G121" s="19">
        <f>G$7*Per_Unit!$C$51</f>
        <v/>
      </c>
      <c r="H121" s="19">
        <f>H$7*Per_Unit!$C$50</f>
        <v/>
      </c>
      <c r="I121" s="19">
        <f>I$7*Per_Unit!$C$49</f>
        <v/>
      </c>
      <c r="J121" s="19">
        <f>J$7*Per_Unit!$C$48</f>
        <v/>
      </c>
      <c r="K121" s="19">
        <f>K$7*Per_Unit!$C$47</f>
        <v/>
      </c>
      <c r="L121" s="19">
        <f>L$7*Per_Unit!$C$46</f>
        <v/>
      </c>
      <c r="M121" s="19">
        <f>M$7*Per_Unit!$C$45</f>
        <v/>
      </c>
      <c r="N121" s="19">
        <f>N$7*Per_Unit!$C$44</f>
        <v/>
      </c>
      <c r="O121" s="19">
        <f>O$7*Per_Unit!$C$43</f>
        <v/>
      </c>
      <c r="P121" s="19">
        <f>P$7*Per_Unit!$C$42</f>
        <v/>
      </c>
      <c r="Q121" s="19">
        <f>Q$7*Per_Unit!$C$41</f>
        <v/>
      </c>
      <c r="R121" s="19">
        <f>R$7*Per_Unit!$C$40</f>
        <v/>
      </c>
      <c r="S121" s="19">
        <f>S$7*Per_Unit!$C$39</f>
        <v/>
      </c>
      <c r="T121" s="19">
        <f>T$7*Per_Unit!$C$38</f>
        <v/>
      </c>
      <c r="U121" s="19">
        <f>U$7*Per_Unit!$C$37</f>
        <v/>
      </c>
      <c r="V121" s="19">
        <f>V$7*Per_Unit!$C$36</f>
        <v/>
      </c>
      <c r="W121" s="19">
        <f>W$7*Per_Unit!$C$35</f>
        <v/>
      </c>
      <c r="X121" s="19">
        <f>X$7*Per_Unit!$C$34</f>
        <v/>
      </c>
      <c r="Y121" s="19">
        <f>Y$7*Per_Unit!$C$33</f>
        <v/>
      </c>
      <c r="Z121" s="19">
        <f>Z$7*Per_Unit!$C$32</f>
        <v/>
      </c>
      <c r="AA121" s="19">
        <f>AA$7*Per_Unit!$C$31</f>
        <v/>
      </c>
      <c r="AB121" s="19">
        <f>AB$7*Per_Unit!$C$30</f>
        <v/>
      </c>
      <c r="AC121" s="19">
        <f>AC$7*Per_Unit!$C$29</f>
        <v/>
      </c>
      <c r="AD121" s="19">
        <f>AD$7*Per_Unit!$C$28</f>
        <v/>
      </c>
      <c r="AE121" s="19">
        <f>AE$7*Per_Unit!$C$27</f>
        <v/>
      </c>
      <c r="AF121" s="19">
        <f>AF$7*Per_Unit!$C$26</f>
        <v/>
      </c>
      <c r="AG121" s="19">
        <f>AG$7*Per_Unit!$C$25</f>
        <v/>
      </c>
      <c r="AH121" s="19">
        <f>AH$7*Per_Unit!$C$24</f>
        <v/>
      </c>
      <c r="AI121" s="19">
        <f>AI$7*Per_Unit!$C$23</f>
        <v/>
      </c>
      <c r="AJ121" s="19">
        <f>AJ$7*Per_Unit!$C$22</f>
        <v/>
      </c>
      <c r="AK121" s="19">
        <f>AK$7*Per_Unit!$C$21</f>
        <v/>
      </c>
      <c r="AL121" s="19">
        <f>AL$7*Per_Unit!$C$20</f>
        <v/>
      </c>
      <c r="AM121" s="19">
        <f>AM$7*Per_Unit!$C$19</f>
        <v/>
      </c>
      <c r="AN121" s="19">
        <f>AN$7*Per_Unit!$C$18</f>
        <v/>
      </c>
      <c r="AO121" s="19">
        <f>AO$7*Per_Unit!$C$17</f>
        <v/>
      </c>
      <c r="AP121" s="19">
        <f>AP$7*Per_Unit!$C$16</f>
        <v/>
      </c>
      <c r="AQ121" s="19">
        <f>AQ$7*Per_Unit!$C$15</f>
        <v/>
      </c>
      <c r="AR121" s="19">
        <f>AR$7*Per_Unit!$C$14</f>
        <v/>
      </c>
      <c r="AS121" s="19">
        <f>AS$7*Per_Unit!$C$13</f>
        <v/>
      </c>
      <c r="AT121" s="19">
        <f>AT$7*Per_Unit!$C$12</f>
        <v/>
      </c>
      <c r="AU121" s="19">
        <f>AU$7*Per_Unit!$C$11</f>
        <v/>
      </c>
      <c r="AV121" s="19">
        <f>AV$7*Per_Unit!$C$10</f>
        <v/>
      </c>
      <c r="AW121" s="19">
        <f>AW$7*Per_Unit!$C$9</f>
        <v/>
      </c>
      <c r="AX121" s="19">
        <f>AX$7*Per_Unit!$C$8</f>
        <v/>
      </c>
      <c r="AY121" s="19">
        <f>AY$7*Per_Unit!$C$7</f>
        <v/>
      </c>
    </row>
    <row r="122">
      <c r="A122" s="19" t="n">
        <v>51</v>
      </c>
      <c r="B122" s="19">
        <f>B$7*Per_Unit!$C$57</f>
        <v/>
      </c>
      <c r="C122" s="19">
        <f>C$7*Per_Unit!$C$56</f>
        <v/>
      </c>
      <c r="D122" s="19">
        <f>D$7*Per_Unit!$C$55</f>
        <v/>
      </c>
      <c r="E122" s="19">
        <f>E$7*Per_Unit!$C$54</f>
        <v/>
      </c>
      <c r="F122" s="19">
        <f>F$7*Per_Unit!$C$53</f>
        <v/>
      </c>
      <c r="G122" s="19">
        <f>G$7*Per_Unit!$C$52</f>
        <v/>
      </c>
      <c r="H122" s="19">
        <f>H$7*Per_Unit!$C$51</f>
        <v/>
      </c>
      <c r="I122" s="19">
        <f>I$7*Per_Unit!$C$50</f>
        <v/>
      </c>
      <c r="J122" s="19">
        <f>J$7*Per_Unit!$C$49</f>
        <v/>
      </c>
      <c r="K122" s="19">
        <f>K$7*Per_Unit!$C$48</f>
        <v/>
      </c>
      <c r="L122" s="19">
        <f>L$7*Per_Unit!$C$47</f>
        <v/>
      </c>
      <c r="M122" s="19">
        <f>M$7*Per_Unit!$C$46</f>
        <v/>
      </c>
      <c r="N122" s="19">
        <f>N$7*Per_Unit!$C$45</f>
        <v/>
      </c>
      <c r="O122" s="19">
        <f>O$7*Per_Unit!$C$44</f>
        <v/>
      </c>
      <c r="P122" s="19">
        <f>P$7*Per_Unit!$C$43</f>
        <v/>
      </c>
      <c r="Q122" s="19">
        <f>Q$7*Per_Unit!$C$42</f>
        <v/>
      </c>
      <c r="R122" s="19">
        <f>R$7*Per_Unit!$C$41</f>
        <v/>
      </c>
      <c r="S122" s="19">
        <f>S$7*Per_Unit!$C$40</f>
        <v/>
      </c>
      <c r="T122" s="19">
        <f>T$7*Per_Unit!$C$39</f>
        <v/>
      </c>
      <c r="U122" s="19">
        <f>U$7*Per_Unit!$C$38</f>
        <v/>
      </c>
      <c r="V122" s="19">
        <f>V$7*Per_Unit!$C$37</f>
        <v/>
      </c>
      <c r="W122" s="19">
        <f>W$7*Per_Unit!$C$36</f>
        <v/>
      </c>
      <c r="X122" s="19">
        <f>X$7*Per_Unit!$C$35</f>
        <v/>
      </c>
      <c r="Y122" s="19">
        <f>Y$7*Per_Unit!$C$34</f>
        <v/>
      </c>
      <c r="Z122" s="19">
        <f>Z$7*Per_Unit!$C$33</f>
        <v/>
      </c>
      <c r="AA122" s="19">
        <f>AA$7*Per_Unit!$C$32</f>
        <v/>
      </c>
      <c r="AB122" s="19">
        <f>AB$7*Per_Unit!$C$31</f>
        <v/>
      </c>
      <c r="AC122" s="19">
        <f>AC$7*Per_Unit!$C$30</f>
        <v/>
      </c>
      <c r="AD122" s="19">
        <f>AD$7*Per_Unit!$C$29</f>
        <v/>
      </c>
      <c r="AE122" s="19">
        <f>AE$7*Per_Unit!$C$28</f>
        <v/>
      </c>
      <c r="AF122" s="19">
        <f>AF$7*Per_Unit!$C$27</f>
        <v/>
      </c>
      <c r="AG122" s="19">
        <f>AG$7*Per_Unit!$C$26</f>
        <v/>
      </c>
      <c r="AH122" s="19">
        <f>AH$7*Per_Unit!$C$25</f>
        <v/>
      </c>
      <c r="AI122" s="19">
        <f>AI$7*Per_Unit!$C$24</f>
        <v/>
      </c>
      <c r="AJ122" s="19">
        <f>AJ$7*Per_Unit!$C$23</f>
        <v/>
      </c>
      <c r="AK122" s="19">
        <f>AK$7*Per_Unit!$C$22</f>
        <v/>
      </c>
      <c r="AL122" s="19">
        <f>AL$7*Per_Unit!$C$21</f>
        <v/>
      </c>
      <c r="AM122" s="19">
        <f>AM$7*Per_Unit!$C$20</f>
        <v/>
      </c>
      <c r="AN122" s="19">
        <f>AN$7*Per_Unit!$C$19</f>
        <v/>
      </c>
      <c r="AO122" s="19">
        <f>AO$7*Per_Unit!$C$18</f>
        <v/>
      </c>
      <c r="AP122" s="19">
        <f>AP$7*Per_Unit!$C$17</f>
        <v/>
      </c>
      <c r="AQ122" s="19">
        <f>AQ$7*Per_Unit!$C$16</f>
        <v/>
      </c>
      <c r="AR122" s="19">
        <f>AR$7*Per_Unit!$C$15</f>
        <v/>
      </c>
      <c r="AS122" s="19">
        <f>AS$7*Per_Unit!$C$14</f>
        <v/>
      </c>
      <c r="AT122" s="19">
        <f>AT$7*Per_Unit!$C$13</f>
        <v/>
      </c>
      <c r="AU122" s="19">
        <f>AU$7*Per_Unit!$C$12</f>
        <v/>
      </c>
      <c r="AV122" s="19">
        <f>AV$7*Per_Unit!$C$11</f>
        <v/>
      </c>
      <c r="AW122" s="19">
        <f>AW$7*Per_Unit!$C$10</f>
        <v/>
      </c>
      <c r="AX122" s="19">
        <f>AX$7*Per_Unit!$C$9</f>
        <v/>
      </c>
      <c r="AY122" s="19">
        <f>AY$7*Per_Unit!$C$8</f>
        <v/>
      </c>
      <c r="AZ122" s="19">
        <f>AZ$7*Per_Unit!$C$7</f>
        <v/>
      </c>
    </row>
    <row r="123">
      <c r="A123" s="19" t="n">
        <v>52</v>
      </c>
      <c r="B123" s="19">
        <f>B$7*Per_Unit!$C$58</f>
        <v/>
      </c>
      <c r="C123" s="19">
        <f>C$7*Per_Unit!$C$57</f>
        <v/>
      </c>
      <c r="D123" s="19">
        <f>D$7*Per_Unit!$C$56</f>
        <v/>
      </c>
      <c r="E123" s="19">
        <f>E$7*Per_Unit!$C$55</f>
        <v/>
      </c>
      <c r="F123" s="19">
        <f>F$7*Per_Unit!$C$54</f>
        <v/>
      </c>
      <c r="G123" s="19">
        <f>G$7*Per_Unit!$C$53</f>
        <v/>
      </c>
      <c r="H123" s="19">
        <f>H$7*Per_Unit!$C$52</f>
        <v/>
      </c>
      <c r="I123" s="19">
        <f>I$7*Per_Unit!$C$51</f>
        <v/>
      </c>
      <c r="J123" s="19">
        <f>J$7*Per_Unit!$C$50</f>
        <v/>
      </c>
      <c r="K123" s="19">
        <f>K$7*Per_Unit!$C$49</f>
        <v/>
      </c>
      <c r="L123" s="19">
        <f>L$7*Per_Unit!$C$48</f>
        <v/>
      </c>
      <c r="M123" s="19">
        <f>M$7*Per_Unit!$C$47</f>
        <v/>
      </c>
      <c r="N123" s="19">
        <f>N$7*Per_Unit!$C$46</f>
        <v/>
      </c>
      <c r="O123" s="19">
        <f>O$7*Per_Unit!$C$45</f>
        <v/>
      </c>
      <c r="P123" s="19">
        <f>P$7*Per_Unit!$C$44</f>
        <v/>
      </c>
      <c r="Q123" s="19">
        <f>Q$7*Per_Unit!$C$43</f>
        <v/>
      </c>
      <c r="R123" s="19">
        <f>R$7*Per_Unit!$C$42</f>
        <v/>
      </c>
      <c r="S123" s="19">
        <f>S$7*Per_Unit!$C$41</f>
        <v/>
      </c>
      <c r="T123" s="19">
        <f>T$7*Per_Unit!$C$40</f>
        <v/>
      </c>
      <c r="U123" s="19">
        <f>U$7*Per_Unit!$C$39</f>
        <v/>
      </c>
      <c r="V123" s="19">
        <f>V$7*Per_Unit!$C$38</f>
        <v/>
      </c>
      <c r="W123" s="19">
        <f>W$7*Per_Unit!$C$37</f>
        <v/>
      </c>
      <c r="X123" s="19">
        <f>X$7*Per_Unit!$C$36</f>
        <v/>
      </c>
      <c r="Y123" s="19">
        <f>Y$7*Per_Unit!$C$35</f>
        <v/>
      </c>
      <c r="Z123" s="19">
        <f>Z$7*Per_Unit!$C$34</f>
        <v/>
      </c>
      <c r="AA123" s="19">
        <f>AA$7*Per_Unit!$C$33</f>
        <v/>
      </c>
      <c r="AB123" s="19">
        <f>AB$7*Per_Unit!$C$32</f>
        <v/>
      </c>
      <c r="AC123" s="19">
        <f>AC$7*Per_Unit!$C$31</f>
        <v/>
      </c>
      <c r="AD123" s="19">
        <f>AD$7*Per_Unit!$C$30</f>
        <v/>
      </c>
      <c r="AE123" s="19">
        <f>AE$7*Per_Unit!$C$29</f>
        <v/>
      </c>
      <c r="AF123" s="19">
        <f>AF$7*Per_Unit!$C$28</f>
        <v/>
      </c>
      <c r="AG123" s="19">
        <f>AG$7*Per_Unit!$C$27</f>
        <v/>
      </c>
      <c r="AH123" s="19">
        <f>AH$7*Per_Unit!$C$26</f>
        <v/>
      </c>
      <c r="AI123" s="19">
        <f>AI$7*Per_Unit!$C$25</f>
        <v/>
      </c>
      <c r="AJ123" s="19">
        <f>AJ$7*Per_Unit!$C$24</f>
        <v/>
      </c>
      <c r="AK123" s="19">
        <f>AK$7*Per_Unit!$C$23</f>
        <v/>
      </c>
      <c r="AL123" s="19">
        <f>AL$7*Per_Unit!$C$22</f>
        <v/>
      </c>
      <c r="AM123" s="19">
        <f>AM$7*Per_Unit!$C$21</f>
        <v/>
      </c>
      <c r="AN123" s="19">
        <f>AN$7*Per_Unit!$C$20</f>
        <v/>
      </c>
      <c r="AO123" s="19">
        <f>AO$7*Per_Unit!$C$19</f>
        <v/>
      </c>
      <c r="AP123" s="19">
        <f>AP$7*Per_Unit!$C$18</f>
        <v/>
      </c>
      <c r="AQ123" s="19">
        <f>AQ$7*Per_Unit!$C$17</f>
        <v/>
      </c>
      <c r="AR123" s="19">
        <f>AR$7*Per_Unit!$C$16</f>
        <v/>
      </c>
      <c r="AS123" s="19">
        <f>AS$7*Per_Unit!$C$15</f>
        <v/>
      </c>
      <c r="AT123" s="19">
        <f>AT$7*Per_Unit!$C$14</f>
        <v/>
      </c>
      <c r="AU123" s="19">
        <f>AU$7*Per_Unit!$C$13</f>
        <v/>
      </c>
      <c r="AV123" s="19">
        <f>AV$7*Per_Unit!$C$12</f>
        <v/>
      </c>
      <c r="AW123" s="19">
        <f>AW$7*Per_Unit!$C$11</f>
        <v/>
      </c>
      <c r="AX123" s="19">
        <f>AX$7*Per_Unit!$C$10</f>
        <v/>
      </c>
      <c r="AY123" s="19">
        <f>AY$7*Per_Unit!$C$9</f>
        <v/>
      </c>
      <c r="AZ123" s="19">
        <f>AZ$7*Per_Unit!$C$8</f>
        <v/>
      </c>
      <c r="BA123" s="19">
        <f>BA$7*Per_Unit!$C$7</f>
        <v/>
      </c>
    </row>
    <row r="124">
      <c r="A124" s="19" t="n">
        <v>53</v>
      </c>
      <c r="B124" s="19">
        <f>B$7*Per_Unit!$C$59</f>
        <v/>
      </c>
      <c r="C124" s="19">
        <f>C$7*Per_Unit!$C$58</f>
        <v/>
      </c>
      <c r="D124" s="19">
        <f>D$7*Per_Unit!$C$57</f>
        <v/>
      </c>
      <c r="E124" s="19">
        <f>E$7*Per_Unit!$C$56</f>
        <v/>
      </c>
      <c r="F124" s="19">
        <f>F$7*Per_Unit!$C$55</f>
        <v/>
      </c>
      <c r="G124" s="19">
        <f>G$7*Per_Unit!$C$54</f>
        <v/>
      </c>
      <c r="H124" s="19">
        <f>H$7*Per_Unit!$C$53</f>
        <v/>
      </c>
      <c r="I124" s="19">
        <f>I$7*Per_Unit!$C$52</f>
        <v/>
      </c>
      <c r="J124" s="19">
        <f>J$7*Per_Unit!$C$51</f>
        <v/>
      </c>
      <c r="K124" s="19">
        <f>K$7*Per_Unit!$C$50</f>
        <v/>
      </c>
      <c r="L124" s="19">
        <f>L$7*Per_Unit!$C$49</f>
        <v/>
      </c>
      <c r="M124" s="19">
        <f>M$7*Per_Unit!$C$48</f>
        <v/>
      </c>
      <c r="N124" s="19">
        <f>N$7*Per_Unit!$C$47</f>
        <v/>
      </c>
      <c r="O124" s="19">
        <f>O$7*Per_Unit!$C$46</f>
        <v/>
      </c>
      <c r="P124" s="19">
        <f>P$7*Per_Unit!$C$45</f>
        <v/>
      </c>
      <c r="Q124" s="19">
        <f>Q$7*Per_Unit!$C$44</f>
        <v/>
      </c>
      <c r="R124" s="19">
        <f>R$7*Per_Unit!$C$43</f>
        <v/>
      </c>
      <c r="S124" s="19">
        <f>S$7*Per_Unit!$C$42</f>
        <v/>
      </c>
      <c r="T124" s="19">
        <f>T$7*Per_Unit!$C$41</f>
        <v/>
      </c>
      <c r="U124" s="19">
        <f>U$7*Per_Unit!$C$40</f>
        <v/>
      </c>
      <c r="V124" s="19">
        <f>V$7*Per_Unit!$C$39</f>
        <v/>
      </c>
      <c r="W124" s="19">
        <f>W$7*Per_Unit!$C$38</f>
        <v/>
      </c>
      <c r="X124" s="19">
        <f>X$7*Per_Unit!$C$37</f>
        <v/>
      </c>
      <c r="Y124" s="19">
        <f>Y$7*Per_Unit!$C$36</f>
        <v/>
      </c>
      <c r="Z124" s="19">
        <f>Z$7*Per_Unit!$C$35</f>
        <v/>
      </c>
      <c r="AA124" s="19">
        <f>AA$7*Per_Unit!$C$34</f>
        <v/>
      </c>
      <c r="AB124" s="19">
        <f>AB$7*Per_Unit!$C$33</f>
        <v/>
      </c>
      <c r="AC124" s="19">
        <f>AC$7*Per_Unit!$C$32</f>
        <v/>
      </c>
      <c r="AD124" s="19">
        <f>AD$7*Per_Unit!$C$31</f>
        <v/>
      </c>
      <c r="AE124" s="19">
        <f>AE$7*Per_Unit!$C$30</f>
        <v/>
      </c>
      <c r="AF124" s="19">
        <f>AF$7*Per_Unit!$C$29</f>
        <v/>
      </c>
      <c r="AG124" s="19">
        <f>AG$7*Per_Unit!$C$28</f>
        <v/>
      </c>
      <c r="AH124" s="19">
        <f>AH$7*Per_Unit!$C$27</f>
        <v/>
      </c>
      <c r="AI124" s="19">
        <f>AI$7*Per_Unit!$C$26</f>
        <v/>
      </c>
      <c r="AJ124" s="19">
        <f>AJ$7*Per_Unit!$C$25</f>
        <v/>
      </c>
      <c r="AK124" s="19">
        <f>AK$7*Per_Unit!$C$24</f>
        <v/>
      </c>
      <c r="AL124" s="19">
        <f>AL$7*Per_Unit!$C$23</f>
        <v/>
      </c>
      <c r="AM124" s="19">
        <f>AM$7*Per_Unit!$C$22</f>
        <v/>
      </c>
      <c r="AN124" s="19">
        <f>AN$7*Per_Unit!$C$21</f>
        <v/>
      </c>
      <c r="AO124" s="19">
        <f>AO$7*Per_Unit!$C$20</f>
        <v/>
      </c>
      <c r="AP124" s="19">
        <f>AP$7*Per_Unit!$C$19</f>
        <v/>
      </c>
      <c r="AQ124" s="19">
        <f>AQ$7*Per_Unit!$C$18</f>
        <v/>
      </c>
      <c r="AR124" s="19">
        <f>AR$7*Per_Unit!$C$17</f>
        <v/>
      </c>
      <c r="AS124" s="19">
        <f>AS$7*Per_Unit!$C$16</f>
        <v/>
      </c>
      <c r="AT124" s="19">
        <f>AT$7*Per_Unit!$C$15</f>
        <v/>
      </c>
      <c r="AU124" s="19">
        <f>AU$7*Per_Unit!$C$14</f>
        <v/>
      </c>
      <c r="AV124" s="19">
        <f>AV$7*Per_Unit!$C$13</f>
        <v/>
      </c>
      <c r="AW124" s="19">
        <f>AW$7*Per_Unit!$C$12</f>
        <v/>
      </c>
      <c r="AX124" s="19">
        <f>AX$7*Per_Unit!$C$11</f>
        <v/>
      </c>
      <c r="AY124" s="19">
        <f>AY$7*Per_Unit!$C$10</f>
        <v/>
      </c>
      <c r="AZ124" s="19">
        <f>AZ$7*Per_Unit!$C$9</f>
        <v/>
      </c>
      <c r="BA124" s="19">
        <f>BA$7*Per_Unit!$C$8</f>
        <v/>
      </c>
      <c r="BB124" s="19">
        <f>BB$7*Per_Unit!$C$7</f>
        <v/>
      </c>
    </row>
    <row r="125">
      <c r="A125" s="19" t="n">
        <v>54</v>
      </c>
      <c r="B125" s="19">
        <f>B$7*Per_Unit!$C$60</f>
        <v/>
      </c>
      <c r="C125" s="19">
        <f>C$7*Per_Unit!$C$59</f>
        <v/>
      </c>
      <c r="D125" s="19">
        <f>D$7*Per_Unit!$C$58</f>
        <v/>
      </c>
      <c r="E125" s="19">
        <f>E$7*Per_Unit!$C$57</f>
        <v/>
      </c>
      <c r="F125" s="19">
        <f>F$7*Per_Unit!$C$56</f>
        <v/>
      </c>
      <c r="G125" s="19">
        <f>G$7*Per_Unit!$C$55</f>
        <v/>
      </c>
      <c r="H125" s="19">
        <f>H$7*Per_Unit!$C$54</f>
        <v/>
      </c>
      <c r="I125" s="19">
        <f>I$7*Per_Unit!$C$53</f>
        <v/>
      </c>
      <c r="J125" s="19">
        <f>J$7*Per_Unit!$C$52</f>
        <v/>
      </c>
      <c r="K125" s="19">
        <f>K$7*Per_Unit!$C$51</f>
        <v/>
      </c>
      <c r="L125" s="19">
        <f>L$7*Per_Unit!$C$50</f>
        <v/>
      </c>
      <c r="M125" s="19">
        <f>M$7*Per_Unit!$C$49</f>
        <v/>
      </c>
      <c r="N125" s="19">
        <f>N$7*Per_Unit!$C$48</f>
        <v/>
      </c>
      <c r="O125" s="19">
        <f>O$7*Per_Unit!$C$47</f>
        <v/>
      </c>
      <c r="P125" s="19">
        <f>P$7*Per_Unit!$C$46</f>
        <v/>
      </c>
      <c r="Q125" s="19">
        <f>Q$7*Per_Unit!$C$45</f>
        <v/>
      </c>
      <c r="R125" s="19">
        <f>R$7*Per_Unit!$C$44</f>
        <v/>
      </c>
      <c r="S125" s="19">
        <f>S$7*Per_Unit!$C$43</f>
        <v/>
      </c>
      <c r="T125" s="19">
        <f>T$7*Per_Unit!$C$42</f>
        <v/>
      </c>
      <c r="U125" s="19">
        <f>U$7*Per_Unit!$C$41</f>
        <v/>
      </c>
      <c r="V125" s="19">
        <f>V$7*Per_Unit!$C$40</f>
        <v/>
      </c>
      <c r="W125" s="19">
        <f>W$7*Per_Unit!$C$39</f>
        <v/>
      </c>
      <c r="X125" s="19">
        <f>X$7*Per_Unit!$C$38</f>
        <v/>
      </c>
      <c r="Y125" s="19">
        <f>Y$7*Per_Unit!$C$37</f>
        <v/>
      </c>
      <c r="Z125" s="19">
        <f>Z$7*Per_Unit!$C$36</f>
        <v/>
      </c>
      <c r="AA125" s="19">
        <f>AA$7*Per_Unit!$C$35</f>
        <v/>
      </c>
      <c r="AB125" s="19">
        <f>AB$7*Per_Unit!$C$34</f>
        <v/>
      </c>
      <c r="AC125" s="19">
        <f>AC$7*Per_Unit!$C$33</f>
        <v/>
      </c>
      <c r="AD125" s="19">
        <f>AD$7*Per_Unit!$C$32</f>
        <v/>
      </c>
      <c r="AE125" s="19">
        <f>AE$7*Per_Unit!$C$31</f>
        <v/>
      </c>
      <c r="AF125" s="19">
        <f>AF$7*Per_Unit!$C$30</f>
        <v/>
      </c>
      <c r="AG125" s="19">
        <f>AG$7*Per_Unit!$C$29</f>
        <v/>
      </c>
      <c r="AH125" s="19">
        <f>AH$7*Per_Unit!$C$28</f>
        <v/>
      </c>
      <c r="AI125" s="19">
        <f>AI$7*Per_Unit!$C$27</f>
        <v/>
      </c>
      <c r="AJ125" s="19">
        <f>AJ$7*Per_Unit!$C$26</f>
        <v/>
      </c>
      <c r="AK125" s="19">
        <f>AK$7*Per_Unit!$C$25</f>
        <v/>
      </c>
      <c r="AL125" s="19">
        <f>AL$7*Per_Unit!$C$24</f>
        <v/>
      </c>
      <c r="AM125" s="19">
        <f>AM$7*Per_Unit!$C$23</f>
        <v/>
      </c>
      <c r="AN125" s="19">
        <f>AN$7*Per_Unit!$C$22</f>
        <v/>
      </c>
      <c r="AO125" s="19">
        <f>AO$7*Per_Unit!$C$21</f>
        <v/>
      </c>
      <c r="AP125" s="19">
        <f>AP$7*Per_Unit!$C$20</f>
        <v/>
      </c>
      <c r="AQ125" s="19">
        <f>AQ$7*Per_Unit!$C$19</f>
        <v/>
      </c>
      <c r="AR125" s="19">
        <f>AR$7*Per_Unit!$C$18</f>
        <v/>
      </c>
      <c r="AS125" s="19">
        <f>AS$7*Per_Unit!$C$17</f>
        <v/>
      </c>
      <c r="AT125" s="19">
        <f>AT$7*Per_Unit!$C$16</f>
        <v/>
      </c>
      <c r="AU125" s="19">
        <f>AU$7*Per_Unit!$C$15</f>
        <v/>
      </c>
      <c r="AV125" s="19">
        <f>AV$7*Per_Unit!$C$14</f>
        <v/>
      </c>
      <c r="AW125" s="19">
        <f>AW$7*Per_Unit!$C$13</f>
        <v/>
      </c>
      <c r="AX125" s="19">
        <f>AX$7*Per_Unit!$C$12</f>
        <v/>
      </c>
      <c r="AY125" s="19">
        <f>AY$7*Per_Unit!$C$11</f>
        <v/>
      </c>
      <c r="AZ125" s="19">
        <f>AZ$7*Per_Unit!$C$10</f>
        <v/>
      </c>
      <c r="BA125" s="19">
        <f>BA$7*Per_Unit!$C$9</f>
        <v/>
      </c>
      <c r="BB125" s="19">
        <f>BB$7*Per_Unit!$C$8</f>
        <v/>
      </c>
      <c r="BC125" s="19">
        <f>BC$7*Per_Unit!$C$7</f>
        <v/>
      </c>
    </row>
    <row r="126">
      <c r="A126" s="19" t="n">
        <v>55</v>
      </c>
      <c r="B126" s="19">
        <f>B$7*Per_Unit!$C$61</f>
        <v/>
      </c>
      <c r="C126" s="19">
        <f>C$7*Per_Unit!$C$60</f>
        <v/>
      </c>
      <c r="D126" s="19">
        <f>D$7*Per_Unit!$C$59</f>
        <v/>
      </c>
      <c r="E126" s="19">
        <f>E$7*Per_Unit!$C$58</f>
        <v/>
      </c>
      <c r="F126" s="19">
        <f>F$7*Per_Unit!$C$57</f>
        <v/>
      </c>
      <c r="G126" s="19">
        <f>G$7*Per_Unit!$C$56</f>
        <v/>
      </c>
      <c r="H126" s="19">
        <f>H$7*Per_Unit!$C$55</f>
        <v/>
      </c>
      <c r="I126" s="19">
        <f>I$7*Per_Unit!$C$54</f>
        <v/>
      </c>
      <c r="J126" s="19">
        <f>J$7*Per_Unit!$C$53</f>
        <v/>
      </c>
      <c r="K126" s="19">
        <f>K$7*Per_Unit!$C$52</f>
        <v/>
      </c>
      <c r="L126" s="19">
        <f>L$7*Per_Unit!$C$51</f>
        <v/>
      </c>
      <c r="M126" s="19">
        <f>M$7*Per_Unit!$C$50</f>
        <v/>
      </c>
      <c r="N126" s="19">
        <f>N$7*Per_Unit!$C$49</f>
        <v/>
      </c>
      <c r="O126" s="19">
        <f>O$7*Per_Unit!$C$48</f>
        <v/>
      </c>
      <c r="P126" s="19">
        <f>P$7*Per_Unit!$C$47</f>
        <v/>
      </c>
      <c r="Q126" s="19">
        <f>Q$7*Per_Unit!$C$46</f>
        <v/>
      </c>
      <c r="R126" s="19">
        <f>R$7*Per_Unit!$C$45</f>
        <v/>
      </c>
      <c r="S126" s="19">
        <f>S$7*Per_Unit!$C$44</f>
        <v/>
      </c>
      <c r="T126" s="19">
        <f>T$7*Per_Unit!$C$43</f>
        <v/>
      </c>
      <c r="U126" s="19">
        <f>U$7*Per_Unit!$C$42</f>
        <v/>
      </c>
      <c r="V126" s="19">
        <f>V$7*Per_Unit!$C$41</f>
        <v/>
      </c>
      <c r="W126" s="19">
        <f>W$7*Per_Unit!$C$40</f>
        <v/>
      </c>
      <c r="X126" s="19">
        <f>X$7*Per_Unit!$C$39</f>
        <v/>
      </c>
      <c r="Y126" s="19">
        <f>Y$7*Per_Unit!$C$38</f>
        <v/>
      </c>
      <c r="Z126" s="19">
        <f>Z$7*Per_Unit!$C$37</f>
        <v/>
      </c>
      <c r="AA126" s="19">
        <f>AA$7*Per_Unit!$C$36</f>
        <v/>
      </c>
      <c r="AB126" s="19">
        <f>AB$7*Per_Unit!$C$35</f>
        <v/>
      </c>
      <c r="AC126" s="19">
        <f>AC$7*Per_Unit!$C$34</f>
        <v/>
      </c>
      <c r="AD126" s="19">
        <f>AD$7*Per_Unit!$C$33</f>
        <v/>
      </c>
      <c r="AE126" s="19">
        <f>AE$7*Per_Unit!$C$32</f>
        <v/>
      </c>
      <c r="AF126" s="19">
        <f>AF$7*Per_Unit!$C$31</f>
        <v/>
      </c>
      <c r="AG126" s="19">
        <f>AG$7*Per_Unit!$C$30</f>
        <v/>
      </c>
      <c r="AH126" s="19">
        <f>AH$7*Per_Unit!$C$29</f>
        <v/>
      </c>
      <c r="AI126" s="19">
        <f>AI$7*Per_Unit!$C$28</f>
        <v/>
      </c>
      <c r="AJ126" s="19">
        <f>AJ$7*Per_Unit!$C$27</f>
        <v/>
      </c>
      <c r="AK126" s="19">
        <f>AK$7*Per_Unit!$C$26</f>
        <v/>
      </c>
      <c r="AL126" s="19">
        <f>AL$7*Per_Unit!$C$25</f>
        <v/>
      </c>
      <c r="AM126" s="19">
        <f>AM$7*Per_Unit!$C$24</f>
        <v/>
      </c>
      <c r="AN126" s="19">
        <f>AN$7*Per_Unit!$C$23</f>
        <v/>
      </c>
      <c r="AO126" s="19">
        <f>AO$7*Per_Unit!$C$22</f>
        <v/>
      </c>
      <c r="AP126" s="19">
        <f>AP$7*Per_Unit!$C$21</f>
        <v/>
      </c>
      <c r="AQ126" s="19">
        <f>AQ$7*Per_Unit!$C$20</f>
        <v/>
      </c>
      <c r="AR126" s="19">
        <f>AR$7*Per_Unit!$C$19</f>
        <v/>
      </c>
      <c r="AS126" s="19">
        <f>AS$7*Per_Unit!$C$18</f>
        <v/>
      </c>
      <c r="AT126" s="19">
        <f>AT$7*Per_Unit!$C$17</f>
        <v/>
      </c>
      <c r="AU126" s="19">
        <f>AU$7*Per_Unit!$C$16</f>
        <v/>
      </c>
      <c r="AV126" s="19">
        <f>AV$7*Per_Unit!$C$15</f>
        <v/>
      </c>
      <c r="AW126" s="19">
        <f>AW$7*Per_Unit!$C$14</f>
        <v/>
      </c>
      <c r="AX126" s="19">
        <f>AX$7*Per_Unit!$C$13</f>
        <v/>
      </c>
      <c r="AY126" s="19">
        <f>AY$7*Per_Unit!$C$12</f>
        <v/>
      </c>
      <c r="AZ126" s="19">
        <f>AZ$7*Per_Unit!$C$11</f>
        <v/>
      </c>
      <c r="BA126" s="19">
        <f>BA$7*Per_Unit!$C$10</f>
        <v/>
      </c>
      <c r="BB126" s="19">
        <f>BB$7*Per_Unit!$C$9</f>
        <v/>
      </c>
      <c r="BC126" s="19">
        <f>BC$7*Per_Unit!$C$8</f>
        <v/>
      </c>
      <c r="BD126" s="19">
        <f>BD$7*Per_Unit!$C$7</f>
        <v/>
      </c>
    </row>
    <row r="127">
      <c r="A127" s="19" t="n">
        <v>56</v>
      </c>
      <c r="B127" s="19">
        <f>B$7*Per_Unit!$C$62</f>
        <v/>
      </c>
      <c r="C127" s="19">
        <f>C$7*Per_Unit!$C$61</f>
        <v/>
      </c>
      <c r="D127" s="19">
        <f>D$7*Per_Unit!$C$60</f>
        <v/>
      </c>
      <c r="E127" s="19">
        <f>E$7*Per_Unit!$C$59</f>
        <v/>
      </c>
      <c r="F127" s="19">
        <f>F$7*Per_Unit!$C$58</f>
        <v/>
      </c>
      <c r="G127" s="19">
        <f>G$7*Per_Unit!$C$57</f>
        <v/>
      </c>
      <c r="H127" s="19">
        <f>H$7*Per_Unit!$C$56</f>
        <v/>
      </c>
      <c r="I127" s="19">
        <f>I$7*Per_Unit!$C$55</f>
        <v/>
      </c>
      <c r="J127" s="19">
        <f>J$7*Per_Unit!$C$54</f>
        <v/>
      </c>
      <c r="K127" s="19">
        <f>K$7*Per_Unit!$C$53</f>
        <v/>
      </c>
      <c r="L127" s="19">
        <f>L$7*Per_Unit!$C$52</f>
        <v/>
      </c>
      <c r="M127" s="19">
        <f>M$7*Per_Unit!$C$51</f>
        <v/>
      </c>
      <c r="N127" s="19">
        <f>N$7*Per_Unit!$C$50</f>
        <v/>
      </c>
      <c r="O127" s="19">
        <f>O$7*Per_Unit!$C$49</f>
        <v/>
      </c>
      <c r="P127" s="19">
        <f>P$7*Per_Unit!$C$48</f>
        <v/>
      </c>
      <c r="Q127" s="19">
        <f>Q$7*Per_Unit!$C$47</f>
        <v/>
      </c>
      <c r="R127" s="19">
        <f>R$7*Per_Unit!$C$46</f>
        <v/>
      </c>
      <c r="S127" s="19">
        <f>S$7*Per_Unit!$C$45</f>
        <v/>
      </c>
      <c r="T127" s="19">
        <f>T$7*Per_Unit!$C$44</f>
        <v/>
      </c>
      <c r="U127" s="19">
        <f>U$7*Per_Unit!$C$43</f>
        <v/>
      </c>
      <c r="V127" s="19">
        <f>V$7*Per_Unit!$C$42</f>
        <v/>
      </c>
      <c r="W127" s="19">
        <f>W$7*Per_Unit!$C$41</f>
        <v/>
      </c>
      <c r="X127" s="19">
        <f>X$7*Per_Unit!$C$40</f>
        <v/>
      </c>
      <c r="Y127" s="19">
        <f>Y$7*Per_Unit!$C$39</f>
        <v/>
      </c>
      <c r="Z127" s="19">
        <f>Z$7*Per_Unit!$C$38</f>
        <v/>
      </c>
      <c r="AA127" s="19">
        <f>AA$7*Per_Unit!$C$37</f>
        <v/>
      </c>
      <c r="AB127" s="19">
        <f>AB$7*Per_Unit!$C$36</f>
        <v/>
      </c>
      <c r="AC127" s="19">
        <f>AC$7*Per_Unit!$C$35</f>
        <v/>
      </c>
      <c r="AD127" s="19">
        <f>AD$7*Per_Unit!$C$34</f>
        <v/>
      </c>
      <c r="AE127" s="19">
        <f>AE$7*Per_Unit!$C$33</f>
        <v/>
      </c>
      <c r="AF127" s="19">
        <f>AF$7*Per_Unit!$C$32</f>
        <v/>
      </c>
      <c r="AG127" s="19">
        <f>AG$7*Per_Unit!$C$31</f>
        <v/>
      </c>
      <c r="AH127" s="19">
        <f>AH$7*Per_Unit!$C$30</f>
        <v/>
      </c>
      <c r="AI127" s="19">
        <f>AI$7*Per_Unit!$C$29</f>
        <v/>
      </c>
      <c r="AJ127" s="19">
        <f>AJ$7*Per_Unit!$C$28</f>
        <v/>
      </c>
      <c r="AK127" s="19">
        <f>AK$7*Per_Unit!$C$27</f>
        <v/>
      </c>
      <c r="AL127" s="19">
        <f>AL$7*Per_Unit!$C$26</f>
        <v/>
      </c>
      <c r="AM127" s="19">
        <f>AM$7*Per_Unit!$C$25</f>
        <v/>
      </c>
      <c r="AN127" s="19">
        <f>AN$7*Per_Unit!$C$24</f>
        <v/>
      </c>
      <c r="AO127" s="19">
        <f>AO$7*Per_Unit!$C$23</f>
        <v/>
      </c>
      <c r="AP127" s="19">
        <f>AP$7*Per_Unit!$C$22</f>
        <v/>
      </c>
      <c r="AQ127" s="19">
        <f>AQ$7*Per_Unit!$C$21</f>
        <v/>
      </c>
      <c r="AR127" s="19">
        <f>AR$7*Per_Unit!$C$20</f>
        <v/>
      </c>
      <c r="AS127" s="19">
        <f>AS$7*Per_Unit!$C$19</f>
        <v/>
      </c>
      <c r="AT127" s="19">
        <f>AT$7*Per_Unit!$C$18</f>
        <v/>
      </c>
      <c r="AU127" s="19">
        <f>AU$7*Per_Unit!$C$17</f>
        <v/>
      </c>
      <c r="AV127" s="19">
        <f>AV$7*Per_Unit!$C$16</f>
        <v/>
      </c>
      <c r="AW127" s="19">
        <f>AW$7*Per_Unit!$C$15</f>
        <v/>
      </c>
      <c r="AX127" s="19">
        <f>AX$7*Per_Unit!$C$14</f>
        <v/>
      </c>
      <c r="AY127" s="19">
        <f>AY$7*Per_Unit!$C$13</f>
        <v/>
      </c>
      <c r="AZ127" s="19">
        <f>AZ$7*Per_Unit!$C$12</f>
        <v/>
      </c>
      <c r="BA127" s="19">
        <f>BA$7*Per_Unit!$C$11</f>
        <v/>
      </c>
      <c r="BB127" s="19">
        <f>BB$7*Per_Unit!$C$10</f>
        <v/>
      </c>
      <c r="BC127" s="19">
        <f>BC$7*Per_Unit!$C$9</f>
        <v/>
      </c>
      <c r="BD127" s="19">
        <f>BD$7*Per_Unit!$C$8</f>
        <v/>
      </c>
      <c r="BE127" s="19">
        <f>BE$7*Per_Unit!$C$7</f>
        <v/>
      </c>
    </row>
    <row r="128">
      <c r="A128" s="19" t="n">
        <v>57</v>
      </c>
      <c r="B128" s="19">
        <f>B$7*Per_Unit!$C$63</f>
        <v/>
      </c>
      <c r="C128" s="19">
        <f>C$7*Per_Unit!$C$62</f>
        <v/>
      </c>
      <c r="D128" s="19">
        <f>D$7*Per_Unit!$C$61</f>
        <v/>
      </c>
      <c r="E128" s="19">
        <f>E$7*Per_Unit!$C$60</f>
        <v/>
      </c>
      <c r="F128" s="19">
        <f>F$7*Per_Unit!$C$59</f>
        <v/>
      </c>
      <c r="G128" s="19">
        <f>G$7*Per_Unit!$C$58</f>
        <v/>
      </c>
      <c r="H128" s="19">
        <f>H$7*Per_Unit!$C$57</f>
        <v/>
      </c>
      <c r="I128" s="19">
        <f>I$7*Per_Unit!$C$56</f>
        <v/>
      </c>
      <c r="J128" s="19">
        <f>J$7*Per_Unit!$C$55</f>
        <v/>
      </c>
      <c r="K128" s="19">
        <f>K$7*Per_Unit!$C$54</f>
        <v/>
      </c>
      <c r="L128" s="19">
        <f>L$7*Per_Unit!$C$53</f>
        <v/>
      </c>
      <c r="M128" s="19">
        <f>M$7*Per_Unit!$C$52</f>
        <v/>
      </c>
      <c r="N128" s="19">
        <f>N$7*Per_Unit!$C$51</f>
        <v/>
      </c>
      <c r="O128" s="19">
        <f>O$7*Per_Unit!$C$50</f>
        <v/>
      </c>
      <c r="P128" s="19">
        <f>P$7*Per_Unit!$C$49</f>
        <v/>
      </c>
      <c r="Q128" s="19">
        <f>Q$7*Per_Unit!$C$48</f>
        <v/>
      </c>
      <c r="R128" s="19">
        <f>R$7*Per_Unit!$C$47</f>
        <v/>
      </c>
      <c r="S128" s="19">
        <f>S$7*Per_Unit!$C$46</f>
        <v/>
      </c>
      <c r="T128" s="19">
        <f>T$7*Per_Unit!$C$45</f>
        <v/>
      </c>
      <c r="U128" s="19">
        <f>U$7*Per_Unit!$C$44</f>
        <v/>
      </c>
      <c r="V128" s="19">
        <f>V$7*Per_Unit!$C$43</f>
        <v/>
      </c>
      <c r="W128" s="19">
        <f>W$7*Per_Unit!$C$42</f>
        <v/>
      </c>
      <c r="X128" s="19">
        <f>X$7*Per_Unit!$C$41</f>
        <v/>
      </c>
      <c r="Y128" s="19">
        <f>Y$7*Per_Unit!$C$40</f>
        <v/>
      </c>
      <c r="Z128" s="19">
        <f>Z$7*Per_Unit!$C$39</f>
        <v/>
      </c>
      <c r="AA128" s="19">
        <f>AA$7*Per_Unit!$C$38</f>
        <v/>
      </c>
      <c r="AB128" s="19">
        <f>AB$7*Per_Unit!$C$37</f>
        <v/>
      </c>
      <c r="AC128" s="19">
        <f>AC$7*Per_Unit!$C$36</f>
        <v/>
      </c>
      <c r="AD128" s="19">
        <f>AD$7*Per_Unit!$C$35</f>
        <v/>
      </c>
      <c r="AE128" s="19">
        <f>AE$7*Per_Unit!$C$34</f>
        <v/>
      </c>
      <c r="AF128" s="19">
        <f>AF$7*Per_Unit!$C$33</f>
        <v/>
      </c>
      <c r="AG128" s="19">
        <f>AG$7*Per_Unit!$C$32</f>
        <v/>
      </c>
      <c r="AH128" s="19">
        <f>AH$7*Per_Unit!$C$31</f>
        <v/>
      </c>
      <c r="AI128" s="19">
        <f>AI$7*Per_Unit!$C$30</f>
        <v/>
      </c>
      <c r="AJ128" s="19">
        <f>AJ$7*Per_Unit!$C$29</f>
        <v/>
      </c>
      <c r="AK128" s="19">
        <f>AK$7*Per_Unit!$C$28</f>
        <v/>
      </c>
      <c r="AL128" s="19">
        <f>AL$7*Per_Unit!$C$27</f>
        <v/>
      </c>
      <c r="AM128" s="19">
        <f>AM$7*Per_Unit!$C$26</f>
        <v/>
      </c>
      <c r="AN128" s="19">
        <f>AN$7*Per_Unit!$C$25</f>
        <v/>
      </c>
      <c r="AO128" s="19">
        <f>AO$7*Per_Unit!$C$24</f>
        <v/>
      </c>
      <c r="AP128" s="19">
        <f>AP$7*Per_Unit!$C$23</f>
        <v/>
      </c>
      <c r="AQ128" s="19">
        <f>AQ$7*Per_Unit!$C$22</f>
        <v/>
      </c>
      <c r="AR128" s="19">
        <f>AR$7*Per_Unit!$C$21</f>
        <v/>
      </c>
      <c r="AS128" s="19">
        <f>AS$7*Per_Unit!$C$20</f>
        <v/>
      </c>
      <c r="AT128" s="19">
        <f>AT$7*Per_Unit!$C$19</f>
        <v/>
      </c>
      <c r="AU128" s="19">
        <f>AU$7*Per_Unit!$C$18</f>
        <v/>
      </c>
      <c r="AV128" s="19">
        <f>AV$7*Per_Unit!$C$17</f>
        <v/>
      </c>
      <c r="AW128" s="19">
        <f>AW$7*Per_Unit!$C$16</f>
        <v/>
      </c>
      <c r="AX128" s="19">
        <f>AX$7*Per_Unit!$C$15</f>
        <v/>
      </c>
      <c r="AY128" s="19">
        <f>AY$7*Per_Unit!$C$14</f>
        <v/>
      </c>
      <c r="AZ128" s="19">
        <f>AZ$7*Per_Unit!$C$13</f>
        <v/>
      </c>
      <c r="BA128" s="19">
        <f>BA$7*Per_Unit!$C$12</f>
        <v/>
      </c>
      <c r="BB128" s="19">
        <f>BB$7*Per_Unit!$C$11</f>
        <v/>
      </c>
      <c r="BC128" s="19">
        <f>BC$7*Per_Unit!$C$10</f>
        <v/>
      </c>
      <c r="BD128" s="19">
        <f>BD$7*Per_Unit!$C$9</f>
        <v/>
      </c>
      <c r="BE128" s="19">
        <f>BE$7*Per_Unit!$C$8</f>
        <v/>
      </c>
      <c r="BF128" s="19">
        <f>BF$7*Per_Unit!$C$7</f>
        <v/>
      </c>
    </row>
    <row r="129">
      <c r="A129" s="19" t="n">
        <v>58</v>
      </c>
      <c r="B129" s="19">
        <f>B$7*Per_Unit!$C$64</f>
        <v/>
      </c>
      <c r="C129" s="19">
        <f>C$7*Per_Unit!$C$63</f>
        <v/>
      </c>
      <c r="D129" s="19">
        <f>D$7*Per_Unit!$C$62</f>
        <v/>
      </c>
      <c r="E129" s="19">
        <f>E$7*Per_Unit!$C$61</f>
        <v/>
      </c>
      <c r="F129" s="19">
        <f>F$7*Per_Unit!$C$60</f>
        <v/>
      </c>
      <c r="G129" s="19">
        <f>G$7*Per_Unit!$C$59</f>
        <v/>
      </c>
      <c r="H129" s="19">
        <f>H$7*Per_Unit!$C$58</f>
        <v/>
      </c>
      <c r="I129" s="19">
        <f>I$7*Per_Unit!$C$57</f>
        <v/>
      </c>
      <c r="J129" s="19">
        <f>J$7*Per_Unit!$C$56</f>
        <v/>
      </c>
      <c r="K129" s="19">
        <f>K$7*Per_Unit!$C$55</f>
        <v/>
      </c>
      <c r="L129" s="19">
        <f>L$7*Per_Unit!$C$54</f>
        <v/>
      </c>
      <c r="M129" s="19">
        <f>M$7*Per_Unit!$C$53</f>
        <v/>
      </c>
      <c r="N129" s="19">
        <f>N$7*Per_Unit!$C$52</f>
        <v/>
      </c>
      <c r="O129" s="19">
        <f>O$7*Per_Unit!$C$51</f>
        <v/>
      </c>
      <c r="P129" s="19">
        <f>P$7*Per_Unit!$C$50</f>
        <v/>
      </c>
      <c r="Q129" s="19">
        <f>Q$7*Per_Unit!$C$49</f>
        <v/>
      </c>
      <c r="R129" s="19">
        <f>R$7*Per_Unit!$C$48</f>
        <v/>
      </c>
      <c r="S129" s="19">
        <f>S$7*Per_Unit!$C$47</f>
        <v/>
      </c>
      <c r="T129" s="19">
        <f>T$7*Per_Unit!$C$46</f>
        <v/>
      </c>
      <c r="U129" s="19">
        <f>U$7*Per_Unit!$C$45</f>
        <v/>
      </c>
      <c r="V129" s="19">
        <f>V$7*Per_Unit!$C$44</f>
        <v/>
      </c>
      <c r="W129" s="19">
        <f>W$7*Per_Unit!$C$43</f>
        <v/>
      </c>
      <c r="X129" s="19">
        <f>X$7*Per_Unit!$C$42</f>
        <v/>
      </c>
      <c r="Y129" s="19">
        <f>Y$7*Per_Unit!$C$41</f>
        <v/>
      </c>
      <c r="Z129" s="19">
        <f>Z$7*Per_Unit!$C$40</f>
        <v/>
      </c>
      <c r="AA129" s="19">
        <f>AA$7*Per_Unit!$C$39</f>
        <v/>
      </c>
      <c r="AB129" s="19">
        <f>AB$7*Per_Unit!$C$38</f>
        <v/>
      </c>
      <c r="AC129" s="19">
        <f>AC$7*Per_Unit!$C$37</f>
        <v/>
      </c>
      <c r="AD129" s="19">
        <f>AD$7*Per_Unit!$C$36</f>
        <v/>
      </c>
      <c r="AE129" s="19">
        <f>AE$7*Per_Unit!$C$35</f>
        <v/>
      </c>
      <c r="AF129" s="19">
        <f>AF$7*Per_Unit!$C$34</f>
        <v/>
      </c>
      <c r="AG129" s="19">
        <f>AG$7*Per_Unit!$C$33</f>
        <v/>
      </c>
      <c r="AH129" s="19">
        <f>AH$7*Per_Unit!$C$32</f>
        <v/>
      </c>
      <c r="AI129" s="19">
        <f>AI$7*Per_Unit!$C$31</f>
        <v/>
      </c>
      <c r="AJ129" s="19">
        <f>AJ$7*Per_Unit!$C$30</f>
        <v/>
      </c>
      <c r="AK129" s="19">
        <f>AK$7*Per_Unit!$C$29</f>
        <v/>
      </c>
      <c r="AL129" s="19">
        <f>AL$7*Per_Unit!$C$28</f>
        <v/>
      </c>
      <c r="AM129" s="19">
        <f>AM$7*Per_Unit!$C$27</f>
        <v/>
      </c>
      <c r="AN129" s="19">
        <f>AN$7*Per_Unit!$C$26</f>
        <v/>
      </c>
      <c r="AO129" s="19">
        <f>AO$7*Per_Unit!$C$25</f>
        <v/>
      </c>
      <c r="AP129" s="19">
        <f>AP$7*Per_Unit!$C$24</f>
        <v/>
      </c>
      <c r="AQ129" s="19">
        <f>AQ$7*Per_Unit!$C$23</f>
        <v/>
      </c>
      <c r="AR129" s="19">
        <f>AR$7*Per_Unit!$C$22</f>
        <v/>
      </c>
      <c r="AS129" s="19">
        <f>AS$7*Per_Unit!$C$21</f>
        <v/>
      </c>
      <c r="AT129" s="19">
        <f>AT$7*Per_Unit!$C$20</f>
        <v/>
      </c>
      <c r="AU129" s="19">
        <f>AU$7*Per_Unit!$C$19</f>
        <v/>
      </c>
      <c r="AV129" s="19">
        <f>AV$7*Per_Unit!$C$18</f>
        <v/>
      </c>
      <c r="AW129" s="19">
        <f>AW$7*Per_Unit!$C$17</f>
        <v/>
      </c>
      <c r="AX129" s="19">
        <f>AX$7*Per_Unit!$C$16</f>
        <v/>
      </c>
      <c r="AY129" s="19">
        <f>AY$7*Per_Unit!$C$15</f>
        <v/>
      </c>
      <c r="AZ129" s="19">
        <f>AZ$7*Per_Unit!$C$14</f>
        <v/>
      </c>
      <c r="BA129" s="19">
        <f>BA$7*Per_Unit!$C$13</f>
        <v/>
      </c>
      <c r="BB129" s="19">
        <f>BB$7*Per_Unit!$C$12</f>
        <v/>
      </c>
      <c r="BC129" s="19">
        <f>BC$7*Per_Unit!$C$11</f>
        <v/>
      </c>
      <c r="BD129" s="19">
        <f>BD$7*Per_Unit!$C$10</f>
        <v/>
      </c>
      <c r="BE129" s="19">
        <f>BE$7*Per_Unit!$C$9</f>
        <v/>
      </c>
      <c r="BF129" s="19">
        <f>BF$7*Per_Unit!$C$8</f>
        <v/>
      </c>
      <c r="BG129" s="19">
        <f>BG$7*Per_Unit!$C$7</f>
        <v/>
      </c>
    </row>
    <row r="130">
      <c r="A130" s="19" t="n">
        <v>59</v>
      </c>
      <c r="B130" s="19">
        <f>B$7*Per_Unit!$C$65</f>
        <v/>
      </c>
      <c r="C130" s="19">
        <f>C$7*Per_Unit!$C$64</f>
        <v/>
      </c>
      <c r="D130" s="19">
        <f>D$7*Per_Unit!$C$63</f>
        <v/>
      </c>
      <c r="E130" s="19">
        <f>E$7*Per_Unit!$C$62</f>
        <v/>
      </c>
      <c r="F130" s="19">
        <f>F$7*Per_Unit!$C$61</f>
        <v/>
      </c>
      <c r="G130" s="19">
        <f>G$7*Per_Unit!$C$60</f>
        <v/>
      </c>
      <c r="H130" s="19">
        <f>H$7*Per_Unit!$C$59</f>
        <v/>
      </c>
      <c r="I130" s="19">
        <f>I$7*Per_Unit!$C$58</f>
        <v/>
      </c>
      <c r="J130" s="19">
        <f>J$7*Per_Unit!$C$57</f>
        <v/>
      </c>
      <c r="K130" s="19">
        <f>K$7*Per_Unit!$C$56</f>
        <v/>
      </c>
      <c r="L130" s="19">
        <f>L$7*Per_Unit!$C$55</f>
        <v/>
      </c>
      <c r="M130" s="19">
        <f>M$7*Per_Unit!$C$54</f>
        <v/>
      </c>
      <c r="N130" s="19">
        <f>N$7*Per_Unit!$C$53</f>
        <v/>
      </c>
      <c r="O130" s="19">
        <f>O$7*Per_Unit!$C$52</f>
        <v/>
      </c>
      <c r="P130" s="19">
        <f>P$7*Per_Unit!$C$51</f>
        <v/>
      </c>
      <c r="Q130" s="19">
        <f>Q$7*Per_Unit!$C$50</f>
        <v/>
      </c>
      <c r="R130" s="19">
        <f>R$7*Per_Unit!$C$49</f>
        <v/>
      </c>
      <c r="S130" s="19">
        <f>S$7*Per_Unit!$C$48</f>
        <v/>
      </c>
      <c r="T130" s="19">
        <f>T$7*Per_Unit!$C$47</f>
        <v/>
      </c>
      <c r="U130" s="19">
        <f>U$7*Per_Unit!$C$46</f>
        <v/>
      </c>
      <c r="V130" s="19">
        <f>V$7*Per_Unit!$C$45</f>
        <v/>
      </c>
      <c r="W130" s="19">
        <f>W$7*Per_Unit!$C$44</f>
        <v/>
      </c>
      <c r="X130" s="19">
        <f>X$7*Per_Unit!$C$43</f>
        <v/>
      </c>
      <c r="Y130" s="19">
        <f>Y$7*Per_Unit!$C$42</f>
        <v/>
      </c>
      <c r="Z130" s="19">
        <f>Z$7*Per_Unit!$C$41</f>
        <v/>
      </c>
      <c r="AA130" s="19">
        <f>AA$7*Per_Unit!$C$40</f>
        <v/>
      </c>
      <c r="AB130" s="19">
        <f>AB$7*Per_Unit!$C$39</f>
        <v/>
      </c>
      <c r="AC130" s="19">
        <f>AC$7*Per_Unit!$C$38</f>
        <v/>
      </c>
      <c r="AD130" s="19">
        <f>AD$7*Per_Unit!$C$37</f>
        <v/>
      </c>
      <c r="AE130" s="19">
        <f>AE$7*Per_Unit!$C$36</f>
        <v/>
      </c>
      <c r="AF130" s="19">
        <f>AF$7*Per_Unit!$C$35</f>
        <v/>
      </c>
      <c r="AG130" s="19">
        <f>AG$7*Per_Unit!$C$34</f>
        <v/>
      </c>
      <c r="AH130" s="19">
        <f>AH$7*Per_Unit!$C$33</f>
        <v/>
      </c>
      <c r="AI130" s="19">
        <f>AI$7*Per_Unit!$C$32</f>
        <v/>
      </c>
      <c r="AJ130" s="19">
        <f>AJ$7*Per_Unit!$C$31</f>
        <v/>
      </c>
      <c r="AK130" s="19">
        <f>AK$7*Per_Unit!$C$30</f>
        <v/>
      </c>
      <c r="AL130" s="19">
        <f>AL$7*Per_Unit!$C$29</f>
        <v/>
      </c>
      <c r="AM130" s="19">
        <f>AM$7*Per_Unit!$C$28</f>
        <v/>
      </c>
      <c r="AN130" s="19">
        <f>AN$7*Per_Unit!$C$27</f>
        <v/>
      </c>
      <c r="AO130" s="19">
        <f>AO$7*Per_Unit!$C$26</f>
        <v/>
      </c>
      <c r="AP130" s="19">
        <f>AP$7*Per_Unit!$C$25</f>
        <v/>
      </c>
      <c r="AQ130" s="19">
        <f>AQ$7*Per_Unit!$C$24</f>
        <v/>
      </c>
      <c r="AR130" s="19">
        <f>AR$7*Per_Unit!$C$23</f>
        <v/>
      </c>
      <c r="AS130" s="19">
        <f>AS$7*Per_Unit!$C$22</f>
        <v/>
      </c>
      <c r="AT130" s="19">
        <f>AT$7*Per_Unit!$C$21</f>
        <v/>
      </c>
      <c r="AU130" s="19">
        <f>AU$7*Per_Unit!$C$20</f>
        <v/>
      </c>
      <c r="AV130" s="19">
        <f>AV$7*Per_Unit!$C$19</f>
        <v/>
      </c>
      <c r="AW130" s="19">
        <f>AW$7*Per_Unit!$C$18</f>
        <v/>
      </c>
      <c r="AX130" s="19">
        <f>AX$7*Per_Unit!$C$17</f>
        <v/>
      </c>
      <c r="AY130" s="19">
        <f>AY$7*Per_Unit!$C$16</f>
        <v/>
      </c>
      <c r="AZ130" s="19">
        <f>AZ$7*Per_Unit!$C$15</f>
        <v/>
      </c>
      <c r="BA130" s="19">
        <f>BA$7*Per_Unit!$C$14</f>
        <v/>
      </c>
      <c r="BB130" s="19">
        <f>BB$7*Per_Unit!$C$13</f>
        <v/>
      </c>
      <c r="BC130" s="19">
        <f>BC$7*Per_Unit!$C$12</f>
        <v/>
      </c>
      <c r="BD130" s="19">
        <f>BD$7*Per_Unit!$C$11</f>
        <v/>
      </c>
      <c r="BE130" s="19">
        <f>BE$7*Per_Unit!$C$10</f>
        <v/>
      </c>
      <c r="BF130" s="19">
        <f>BF$7*Per_Unit!$C$9</f>
        <v/>
      </c>
      <c r="BG130" s="19">
        <f>BG$7*Per_Unit!$C$8</f>
        <v/>
      </c>
      <c r="BH130" s="19">
        <f>BH$7*Per_Unit!$C$7</f>
        <v/>
      </c>
    </row>
    <row r="131">
      <c r="A131" s="19" t="n">
        <v>60</v>
      </c>
      <c r="B131" s="19">
        <f>B$7*Per_Unit!$C$66</f>
        <v/>
      </c>
      <c r="C131" s="19">
        <f>C$7*Per_Unit!$C$65</f>
        <v/>
      </c>
      <c r="D131" s="19">
        <f>D$7*Per_Unit!$C$64</f>
        <v/>
      </c>
      <c r="E131" s="19">
        <f>E$7*Per_Unit!$C$63</f>
        <v/>
      </c>
      <c r="F131" s="19">
        <f>F$7*Per_Unit!$C$62</f>
        <v/>
      </c>
      <c r="G131" s="19">
        <f>G$7*Per_Unit!$C$61</f>
        <v/>
      </c>
      <c r="H131" s="19">
        <f>H$7*Per_Unit!$C$60</f>
        <v/>
      </c>
      <c r="I131" s="19">
        <f>I$7*Per_Unit!$C$59</f>
        <v/>
      </c>
      <c r="J131" s="19">
        <f>J$7*Per_Unit!$C$58</f>
        <v/>
      </c>
      <c r="K131" s="19">
        <f>K$7*Per_Unit!$C$57</f>
        <v/>
      </c>
      <c r="L131" s="19">
        <f>L$7*Per_Unit!$C$56</f>
        <v/>
      </c>
      <c r="M131" s="19">
        <f>M$7*Per_Unit!$C$55</f>
        <v/>
      </c>
      <c r="N131" s="19">
        <f>N$7*Per_Unit!$C$54</f>
        <v/>
      </c>
      <c r="O131" s="19">
        <f>O$7*Per_Unit!$C$53</f>
        <v/>
      </c>
      <c r="P131" s="19">
        <f>P$7*Per_Unit!$C$52</f>
        <v/>
      </c>
      <c r="Q131" s="19">
        <f>Q$7*Per_Unit!$C$51</f>
        <v/>
      </c>
      <c r="R131" s="19">
        <f>R$7*Per_Unit!$C$50</f>
        <v/>
      </c>
      <c r="S131" s="19">
        <f>S$7*Per_Unit!$C$49</f>
        <v/>
      </c>
      <c r="T131" s="19">
        <f>T$7*Per_Unit!$C$48</f>
        <v/>
      </c>
      <c r="U131" s="19">
        <f>U$7*Per_Unit!$C$47</f>
        <v/>
      </c>
      <c r="V131" s="19">
        <f>V$7*Per_Unit!$C$46</f>
        <v/>
      </c>
      <c r="W131" s="19">
        <f>W$7*Per_Unit!$C$45</f>
        <v/>
      </c>
      <c r="X131" s="19">
        <f>X$7*Per_Unit!$C$44</f>
        <v/>
      </c>
      <c r="Y131" s="19">
        <f>Y$7*Per_Unit!$C$43</f>
        <v/>
      </c>
      <c r="Z131" s="19">
        <f>Z$7*Per_Unit!$C$42</f>
        <v/>
      </c>
      <c r="AA131" s="19">
        <f>AA$7*Per_Unit!$C$41</f>
        <v/>
      </c>
      <c r="AB131" s="19">
        <f>AB$7*Per_Unit!$C$40</f>
        <v/>
      </c>
      <c r="AC131" s="19">
        <f>AC$7*Per_Unit!$C$39</f>
        <v/>
      </c>
      <c r="AD131" s="19">
        <f>AD$7*Per_Unit!$C$38</f>
        <v/>
      </c>
      <c r="AE131" s="19">
        <f>AE$7*Per_Unit!$C$37</f>
        <v/>
      </c>
      <c r="AF131" s="19">
        <f>AF$7*Per_Unit!$C$36</f>
        <v/>
      </c>
      <c r="AG131" s="19">
        <f>AG$7*Per_Unit!$C$35</f>
        <v/>
      </c>
      <c r="AH131" s="19">
        <f>AH$7*Per_Unit!$C$34</f>
        <v/>
      </c>
      <c r="AI131" s="19">
        <f>AI$7*Per_Unit!$C$33</f>
        <v/>
      </c>
      <c r="AJ131" s="19">
        <f>AJ$7*Per_Unit!$C$32</f>
        <v/>
      </c>
      <c r="AK131" s="19">
        <f>AK$7*Per_Unit!$C$31</f>
        <v/>
      </c>
      <c r="AL131" s="19">
        <f>AL$7*Per_Unit!$C$30</f>
        <v/>
      </c>
      <c r="AM131" s="19">
        <f>AM$7*Per_Unit!$C$29</f>
        <v/>
      </c>
      <c r="AN131" s="19">
        <f>AN$7*Per_Unit!$C$28</f>
        <v/>
      </c>
      <c r="AO131" s="19">
        <f>AO$7*Per_Unit!$C$27</f>
        <v/>
      </c>
      <c r="AP131" s="19">
        <f>AP$7*Per_Unit!$C$26</f>
        <v/>
      </c>
      <c r="AQ131" s="19">
        <f>AQ$7*Per_Unit!$C$25</f>
        <v/>
      </c>
      <c r="AR131" s="19">
        <f>AR$7*Per_Unit!$C$24</f>
        <v/>
      </c>
      <c r="AS131" s="19">
        <f>AS$7*Per_Unit!$C$23</f>
        <v/>
      </c>
      <c r="AT131" s="19">
        <f>AT$7*Per_Unit!$C$22</f>
        <v/>
      </c>
      <c r="AU131" s="19">
        <f>AU$7*Per_Unit!$C$21</f>
        <v/>
      </c>
      <c r="AV131" s="19">
        <f>AV$7*Per_Unit!$C$20</f>
        <v/>
      </c>
      <c r="AW131" s="19">
        <f>AW$7*Per_Unit!$C$19</f>
        <v/>
      </c>
      <c r="AX131" s="19">
        <f>AX$7*Per_Unit!$C$18</f>
        <v/>
      </c>
      <c r="AY131" s="19">
        <f>AY$7*Per_Unit!$C$17</f>
        <v/>
      </c>
      <c r="AZ131" s="19">
        <f>AZ$7*Per_Unit!$C$16</f>
        <v/>
      </c>
      <c r="BA131" s="19">
        <f>BA$7*Per_Unit!$C$15</f>
        <v/>
      </c>
      <c r="BB131" s="19">
        <f>BB$7*Per_Unit!$C$14</f>
        <v/>
      </c>
      <c r="BC131" s="19">
        <f>BC$7*Per_Unit!$C$13</f>
        <v/>
      </c>
      <c r="BD131" s="19">
        <f>BD$7*Per_Unit!$C$12</f>
        <v/>
      </c>
      <c r="BE131" s="19">
        <f>BE$7*Per_Unit!$C$11</f>
        <v/>
      </c>
      <c r="BF131" s="19">
        <f>BF$7*Per_Unit!$C$10</f>
        <v/>
      </c>
      <c r="BG131" s="19">
        <f>BG$7*Per_Unit!$C$9</f>
        <v/>
      </c>
      <c r="BH131" s="19">
        <f>BH$7*Per_Unit!$C$8</f>
        <v/>
      </c>
      <c r="BI131" s="19">
        <f>BI$7*Per_Unit!$C$7</f>
        <v/>
      </c>
    </row>
  </sheetData>
  <printOptions horizontalCentered="1"/>
  <pageMargins left="0.5" right="0.5" top="0.6" bottom="0.7" header="0.5" footer="0.5"/>
  <pageSetup orientation="landscape" paperSize="9" fitToHeight="0" fitToWidth="1"/>
  <headerFooter>
    <oddHeader/>
    <oddFooter>&amp;L&amp;"Arial"&amp;8 Africa Energy Finance | Volume 2 Decision tool D4&amp;C&amp;"Arial"&amp;8 &amp;A&amp;R&amp;"Arial"&amp;8 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L66"/>
  <sheetViews>
    <sheetView showGridLines="0" workbookViewId="0">
      <pane xSplit="1" ySplit="6" topLeftCell="B7" activePane="bottomRight" state="frozen"/>
      <selection pane="topRight"/>
      <selection pane="bottomLeft"/>
      <selection pane="bottomRight" activeCell="A1" sqref="A1"/>
    </sheetView>
  </sheetViews>
  <sheetFormatPr baseColWidth="8" defaultRowHeight="15"/>
  <cols>
    <col width="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AFRICA ENERGY FINANCE  |  VOLUME 2  |  SOLAR HOME SYSTEMS</t>
        </is>
      </c>
      <c r="B1" s="2" t="n"/>
      <c r="C1" s="2" t="n"/>
      <c r="D1" s="2" t="n"/>
      <c r="E1" s="2" t="n"/>
      <c r="F1" s="2" t="n"/>
      <c r="G1" s="2" t="n"/>
      <c r="H1" s="2" t="n"/>
      <c r="I1" s="2" t="n"/>
      <c r="J1" s="2" t="n"/>
      <c r="K1" s="2" t="n"/>
      <c r="L1" s="2" t="n"/>
    </row>
    <row r="2" ht="22" customHeight="1">
      <c r="A2" s="3" t="inlineStr">
        <is>
          <t>Monthly funding path</t>
        </is>
      </c>
      <c r="B2" s="2" t="n"/>
      <c r="C2" s="2" t="n"/>
      <c r="D2" s="2" t="n"/>
      <c r="E2" s="2" t="n"/>
      <c r="F2" s="2" t="n"/>
      <c r="G2" s="2" t="n"/>
      <c r="H2" s="2" t="n"/>
      <c r="I2" s="2" t="n"/>
      <c r="J2" s="2" t="n"/>
      <c r="K2" s="2" t="n"/>
      <c r="L2" s="2" t="n"/>
    </row>
    <row r="3">
      <c r="A3" s="4" t="inlineStr">
        <is>
          <t>Funding of the receivables book and central costs, before tax, interest and capex</t>
        </is>
      </c>
      <c r="B3" s="2" t="n"/>
      <c r="C3" s="2" t="n"/>
      <c r="D3" s="2" t="n"/>
      <c r="E3" s="2" t="n"/>
      <c r="F3" s="2" t="n"/>
      <c r="G3" s="2" t="n"/>
      <c r="H3" s="2" t="n"/>
      <c r="I3" s="2" t="n"/>
      <c r="J3" s="2" t="n"/>
      <c r="K3" s="2" t="n"/>
      <c r="L3" s="2" t="n"/>
    </row>
    <row r="4">
      <c r="A4" s="5" t="inlineStr">
        <is>
          <t>Decision tool D4  |  Version 1.0  |  Author &amp; ideation: Emmanuel Boujieka Kamga</t>
        </is>
      </c>
      <c r="B4" s="6" t="n"/>
      <c r="C4" s="6" t="n"/>
      <c r="D4" s="6" t="n"/>
      <c r="E4" s="6" t="n"/>
      <c r="F4" s="6" t="n"/>
      <c r="G4" s="6" t="n"/>
      <c r="H4" s="6" t="n"/>
      <c r="I4" s="6" t="n"/>
      <c r="J4" s="6" t="n"/>
      <c r="K4" s="6" t="n"/>
      <c r="L4" s="6" t="n"/>
    </row>
    <row r="5"/>
    <row r="6" ht="30" customHeight="1">
      <c r="A6" s="20" t="inlineStr">
        <is>
          <t>Month</t>
        </is>
      </c>
      <c r="B6" s="20" t="inlineStr">
        <is>
          <t>Units sold</t>
        </is>
      </c>
      <c r="C6" s="20" t="inlineStr">
        <is>
          <t>Collections</t>
        </is>
      </c>
      <c r="D6" s="20" t="inlineStr">
        <is>
          <t>Deposits</t>
        </is>
      </c>
      <c r="E6" s="20" t="inlineStr">
        <is>
          <t>Day one outlay and central costs</t>
        </is>
      </c>
      <c r="F6" s="20" t="inlineStr">
        <is>
          <t>Net cash</t>
        </is>
      </c>
      <c r="G6" s="20" t="inlineStr">
        <is>
          <t>Cumulative net cash</t>
        </is>
      </c>
      <c r="H6" s="20" t="inlineStr">
        <is>
          <t>Receivables, carrying amount</t>
        </is>
      </c>
      <c r="I6" s="20" t="inlineStr">
        <is>
          <t>Facility capacity</t>
        </is>
      </c>
      <c r="J6" s="20" t="inlineStr">
        <is>
          <t>Funding need</t>
        </is>
      </c>
      <c r="K6" s="20" t="inlineStr">
        <is>
          <t>Facility drawn</t>
        </is>
      </c>
      <c r="L6" s="20" t="inlineStr">
        <is>
          <t>Equity required</t>
        </is>
      </c>
    </row>
    <row r="7">
      <c r="A7" s="19" t="n">
        <v>1</v>
      </c>
      <c r="B7" s="19">
        <f>INDEX(Cohorts!$B$7:$BI$7,A7)</f>
        <v/>
      </c>
      <c r="C7" s="19">
        <f>SUM(Cohorts!B72:BI72)</f>
        <v/>
      </c>
      <c r="D7" s="19">
        <f>B7*'Inputs'!$B$13</f>
        <v/>
      </c>
      <c r="E7" s="19">
        <f>-B7*'Inputs'!$B$18-'Inputs'!$B$23</f>
        <v/>
      </c>
      <c r="F7" s="19">
        <f>C7+D7+E7</f>
        <v/>
      </c>
      <c r="G7" s="19">
        <f>F7</f>
        <v/>
      </c>
      <c r="H7" s="19">
        <f>SUM(Cohorts!B10:BI10)</f>
        <v/>
      </c>
      <c r="I7" s="19">
        <f>IF(A7&lt;'Inputs'!$B$22,0,MIN('Inputs'!$B$21,H7*'Inputs'!$B$20*'Inputs'!$B$19))</f>
        <v/>
      </c>
      <c r="J7" s="19">
        <f>MAX(0,-G7)</f>
        <v/>
      </c>
      <c r="K7" s="19">
        <f>MIN(I7,J7)</f>
        <v/>
      </c>
      <c r="L7" s="19">
        <f>J7-K7</f>
        <v/>
      </c>
    </row>
    <row r="8">
      <c r="A8" s="19" t="n">
        <v>2</v>
      </c>
      <c r="B8" s="19">
        <f>INDEX(Cohorts!$B$7:$BI$7,A8)</f>
        <v/>
      </c>
      <c r="C8" s="19">
        <f>SUM(Cohorts!B73:BI73)</f>
        <v/>
      </c>
      <c r="D8" s="19">
        <f>B8*'Inputs'!$B$13</f>
        <v/>
      </c>
      <c r="E8" s="19">
        <f>-B8*'Inputs'!$B$18-'Inputs'!$B$23</f>
        <v/>
      </c>
      <c r="F8" s="19">
        <f>C8+D8+E8</f>
        <v/>
      </c>
      <c r="G8" s="19">
        <f>G7+F8</f>
        <v/>
      </c>
      <c r="H8" s="19">
        <f>SUM(Cohorts!B11:BI11)</f>
        <v/>
      </c>
      <c r="I8" s="19">
        <f>IF(A8&lt;'Inputs'!$B$22,0,MIN('Inputs'!$B$21,H8*'Inputs'!$B$20*'Inputs'!$B$19))</f>
        <v/>
      </c>
      <c r="J8" s="19">
        <f>MAX(0,-G8)</f>
        <v/>
      </c>
      <c r="K8" s="19">
        <f>MIN(I8,J8)</f>
        <v/>
      </c>
      <c r="L8" s="19">
        <f>J8-K8</f>
        <v/>
      </c>
    </row>
    <row r="9">
      <c r="A9" s="19" t="n">
        <v>3</v>
      </c>
      <c r="B9" s="19">
        <f>INDEX(Cohorts!$B$7:$BI$7,A9)</f>
        <v/>
      </c>
      <c r="C9" s="19">
        <f>SUM(Cohorts!B74:BI74)</f>
        <v/>
      </c>
      <c r="D9" s="19">
        <f>B9*'Inputs'!$B$13</f>
        <v/>
      </c>
      <c r="E9" s="19">
        <f>-B9*'Inputs'!$B$18-'Inputs'!$B$23</f>
        <v/>
      </c>
      <c r="F9" s="19">
        <f>C9+D9+E9</f>
        <v/>
      </c>
      <c r="G9" s="19">
        <f>G8+F9</f>
        <v/>
      </c>
      <c r="H9" s="19">
        <f>SUM(Cohorts!B12:BI12)</f>
        <v/>
      </c>
      <c r="I9" s="19">
        <f>IF(A9&lt;'Inputs'!$B$22,0,MIN('Inputs'!$B$21,H9*'Inputs'!$B$20*'Inputs'!$B$19))</f>
        <v/>
      </c>
      <c r="J9" s="19">
        <f>MAX(0,-G9)</f>
        <v/>
      </c>
      <c r="K9" s="19">
        <f>MIN(I9,J9)</f>
        <v/>
      </c>
      <c r="L9" s="19">
        <f>J9-K9</f>
        <v/>
      </c>
    </row>
    <row r="10">
      <c r="A10" s="19" t="n">
        <v>4</v>
      </c>
      <c r="B10" s="19">
        <f>INDEX(Cohorts!$B$7:$BI$7,A10)</f>
        <v/>
      </c>
      <c r="C10" s="19">
        <f>SUM(Cohorts!B75:BI75)</f>
        <v/>
      </c>
      <c r="D10" s="19">
        <f>B10*'Inputs'!$B$13</f>
        <v/>
      </c>
      <c r="E10" s="19">
        <f>-B10*'Inputs'!$B$18-'Inputs'!$B$23</f>
        <v/>
      </c>
      <c r="F10" s="19">
        <f>C10+D10+E10</f>
        <v/>
      </c>
      <c r="G10" s="19">
        <f>G9+F10</f>
        <v/>
      </c>
      <c r="H10" s="19">
        <f>SUM(Cohorts!B13:BI13)</f>
        <v/>
      </c>
      <c r="I10" s="19">
        <f>IF(A10&lt;'Inputs'!$B$22,0,MIN('Inputs'!$B$21,H10*'Inputs'!$B$20*'Inputs'!$B$19))</f>
        <v/>
      </c>
      <c r="J10" s="19">
        <f>MAX(0,-G10)</f>
        <v/>
      </c>
      <c r="K10" s="19">
        <f>MIN(I10,J10)</f>
        <v/>
      </c>
      <c r="L10" s="19">
        <f>J10-K10</f>
        <v/>
      </c>
    </row>
    <row r="11">
      <c r="A11" s="19" t="n">
        <v>5</v>
      </c>
      <c r="B11" s="19">
        <f>INDEX(Cohorts!$B$7:$BI$7,A11)</f>
        <v/>
      </c>
      <c r="C11" s="19">
        <f>SUM(Cohorts!B76:BI76)</f>
        <v/>
      </c>
      <c r="D11" s="19">
        <f>B11*'Inputs'!$B$13</f>
        <v/>
      </c>
      <c r="E11" s="19">
        <f>-B11*'Inputs'!$B$18-'Inputs'!$B$23</f>
        <v/>
      </c>
      <c r="F11" s="19">
        <f>C11+D11+E11</f>
        <v/>
      </c>
      <c r="G11" s="19">
        <f>G10+F11</f>
        <v/>
      </c>
      <c r="H11" s="19">
        <f>SUM(Cohorts!B14:BI14)</f>
        <v/>
      </c>
      <c r="I11" s="19">
        <f>IF(A11&lt;'Inputs'!$B$22,0,MIN('Inputs'!$B$21,H11*'Inputs'!$B$20*'Inputs'!$B$19))</f>
        <v/>
      </c>
      <c r="J11" s="19">
        <f>MAX(0,-G11)</f>
        <v/>
      </c>
      <c r="K11" s="19">
        <f>MIN(I11,J11)</f>
        <v/>
      </c>
      <c r="L11" s="19">
        <f>J11-K11</f>
        <v/>
      </c>
    </row>
    <row r="12">
      <c r="A12" s="19" t="n">
        <v>6</v>
      </c>
      <c r="B12" s="19">
        <f>INDEX(Cohorts!$B$7:$BI$7,A12)</f>
        <v/>
      </c>
      <c r="C12" s="19">
        <f>SUM(Cohorts!B77:BI77)</f>
        <v/>
      </c>
      <c r="D12" s="19">
        <f>B12*'Inputs'!$B$13</f>
        <v/>
      </c>
      <c r="E12" s="19">
        <f>-B12*'Inputs'!$B$18-'Inputs'!$B$23</f>
        <v/>
      </c>
      <c r="F12" s="19">
        <f>C12+D12+E12</f>
        <v/>
      </c>
      <c r="G12" s="19">
        <f>G11+F12</f>
        <v/>
      </c>
      <c r="H12" s="19">
        <f>SUM(Cohorts!B15:BI15)</f>
        <v/>
      </c>
      <c r="I12" s="19">
        <f>IF(A12&lt;'Inputs'!$B$22,0,MIN('Inputs'!$B$21,H12*'Inputs'!$B$20*'Inputs'!$B$19))</f>
        <v/>
      </c>
      <c r="J12" s="19">
        <f>MAX(0,-G12)</f>
        <v/>
      </c>
      <c r="K12" s="19">
        <f>MIN(I12,J12)</f>
        <v/>
      </c>
      <c r="L12" s="19">
        <f>J12-K12</f>
        <v/>
      </c>
    </row>
    <row r="13">
      <c r="A13" s="19" t="n">
        <v>7</v>
      </c>
      <c r="B13" s="19">
        <f>INDEX(Cohorts!$B$7:$BI$7,A13)</f>
        <v/>
      </c>
      <c r="C13" s="19">
        <f>SUM(Cohorts!B78:BI78)</f>
        <v/>
      </c>
      <c r="D13" s="19">
        <f>B13*'Inputs'!$B$13</f>
        <v/>
      </c>
      <c r="E13" s="19">
        <f>-B13*'Inputs'!$B$18-'Inputs'!$B$23</f>
        <v/>
      </c>
      <c r="F13" s="19">
        <f>C13+D13+E13</f>
        <v/>
      </c>
      <c r="G13" s="19">
        <f>G12+F13</f>
        <v/>
      </c>
      <c r="H13" s="19">
        <f>SUM(Cohorts!B16:BI16)</f>
        <v/>
      </c>
      <c r="I13" s="19">
        <f>IF(A13&lt;'Inputs'!$B$22,0,MIN('Inputs'!$B$21,H13*'Inputs'!$B$20*'Inputs'!$B$19))</f>
        <v/>
      </c>
      <c r="J13" s="19">
        <f>MAX(0,-G13)</f>
        <v/>
      </c>
      <c r="K13" s="19">
        <f>MIN(I13,J13)</f>
        <v/>
      </c>
      <c r="L13" s="19">
        <f>J13-K13</f>
        <v/>
      </c>
    </row>
    <row r="14">
      <c r="A14" s="19" t="n">
        <v>8</v>
      </c>
      <c r="B14" s="19">
        <f>INDEX(Cohorts!$B$7:$BI$7,A14)</f>
        <v/>
      </c>
      <c r="C14" s="19">
        <f>SUM(Cohorts!B79:BI79)</f>
        <v/>
      </c>
      <c r="D14" s="19">
        <f>B14*'Inputs'!$B$13</f>
        <v/>
      </c>
      <c r="E14" s="19">
        <f>-B14*'Inputs'!$B$18-'Inputs'!$B$23</f>
        <v/>
      </c>
      <c r="F14" s="19">
        <f>C14+D14+E14</f>
        <v/>
      </c>
      <c r="G14" s="19">
        <f>G13+F14</f>
        <v/>
      </c>
      <c r="H14" s="19">
        <f>SUM(Cohorts!B17:BI17)</f>
        <v/>
      </c>
      <c r="I14" s="19">
        <f>IF(A14&lt;'Inputs'!$B$22,0,MIN('Inputs'!$B$21,H14*'Inputs'!$B$20*'Inputs'!$B$19))</f>
        <v/>
      </c>
      <c r="J14" s="19">
        <f>MAX(0,-G14)</f>
        <v/>
      </c>
      <c r="K14" s="19">
        <f>MIN(I14,J14)</f>
        <v/>
      </c>
      <c r="L14" s="19">
        <f>J14-K14</f>
        <v/>
      </c>
    </row>
    <row r="15">
      <c r="A15" s="19" t="n">
        <v>9</v>
      </c>
      <c r="B15" s="19">
        <f>INDEX(Cohorts!$B$7:$BI$7,A15)</f>
        <v/>
      </c>
      <c r="C15" s="19">
        <f>SUM(Cohorts!B80:BI80)</f>
        <v/>
      </c>
      <c r="D15" s="19">
        <f>B15*'Inputs'!$B$13</f>
        <v/>
      </c>
      <c r="E15" s="19">
        <f>-B15*'Inputs'!$B$18-'Inputs'!$B$23</f>
        <v/>
      </c>
      <c r="F15" s="19">
        <f>C15+D15+E15</f>
        <v/>
      </c>
      <c r="G15" s="19">
        <f>G14+F15</f>
        <v/>
      </c>
      <c r="H15" s="19">
        <f>SUM(Cohorts!B18:BI18)</f>
        <v/>
      </c>
      <c r="I15" s="19">
        <f>IF(A15&lt;'Inputs'!$B$22,0,MIN('Inputs'!$B$21,H15*'Inputs'!$B$20*'Inputs'!$B$19))</f>
        <v/>
      </c>
      <c r="J15" s="19">
        <f>MAX(0,-G15)</f>
        <v/>
      </c>
      <c r="K15" s="19">
        <f>MIN(I15,J15)</f>
        <v/>
      </c>
      <c r="L15" s="19">
        <f>J15-K15</f>
        <v/>
      </c>
    </row>
    <row r="16">
      <c r="A16" s="19" t="n">
        <v>10</v>
      </c>
      <c r="B16" s="19">
        <f>INDEX(Cohorts!$B$7:$BI$7,A16)</f>
        <v/>
      </c>
      <c r="C16" s="19">
        <f>SUM(Cohorts!B81:BI81)</f>
        <v/>
      </c>
      <c r="D16" s="19">
        <f>B16*'Inputs'!$B$13</f>
        <v/>
      </c>
      <c r="E16" s="19">
        <f>-B16*'Inputs'!$B$18-'Inputs'!$B$23</f>
        <v/>
      </c>
      <c r="F16" s="19">
        <f>C16+D16+E16</f>
        <v/>
      </c>
      <c r="G16" s="19">
        <f>G15+F16</f>
        <v/>
      </c>
      <c r="H16" s="19">
        <f>SUM(Cohorts!B19:BI19)</f>
        <v/>
      </c>
      <c r="I16" s="19">
        <f>IF(A16&lt;'Inputs'!$B$22,0,MIN('Inputs'!$B$21,H16*'Inputs'!$B$20*'Inputs'!$B$19))</f>
        <v/>
      </c>
      <c r="J16" s="19">
        <f>MAX(0,-G16)</f>
        <v/>
      </c>
      <c r="K16" s="19">
        <f>MIN(I16,J16)</f>
        <v/>
      </c>
      <c r="L16" s="19">
        <f>J16-K16</f>
        <v/>
      </c>
    </row>
    <row r="17">
      <c r="A17" s="19" t="n">
        <v>11</v>
      </c>
      <c r="B17" s="19">
        <f>INDEX(Cohorts!$B$7:$BI$7,A17)</f>
        <v/>
      </c>
      <c r="C17" s="19">
        <f>SUM(Cohorts!B82:BI82)</f>
        <v/>
      </c>
      <c r="D17" s="19">
        <f>B17*'Inputs'!$B$13</f>
        <v/>
      </c>
      <c r="E17" s="19">
        <f>-B17*'Inputs'!$B$18-'Inputs'!$B$23</f>
        <v/>
      </c>
      <c r="F17" s="19">
        <f>C17+D17+E17</f>
        <v/>
      </c>
      <c r="G17" s="19">
        <f>G16+F17</f>
        <v/>
      </c>
      <c r="H17" s="19">
        <f>SUM(Cohorts!B20:BI20)</f>
        <v/>
      </c>
      <c r="I17" s="19">
        <f>IF(A17&lt;'Inputs'!$B$22,0,MIN('Inputs'!$B$21,H17*'Inputs'!$B$20*'Inputs'!$B$19))</f>
        <v/>
      </c>
      <c r="J17" s="19">
        <f>MAX(0,-G17)</f>
        <v/>
      </c>
      <c r="K17" s="19">
        <f>MIN(I17,J17)</f>
        <v/>
      </c>
      <c r="L17" s="19">
        <f>J17-K17</f>
        <v/>
      </c>
    </row>
    <row r="18">
      <c r="A18" s="19" t="n">
        <v>12</v>
      </c>
      <c r="B18" s="19">
        <f>INDEX(Cohorts!$B$7:$BI$7,A18)</f>
        <v/>
      </c>
      <c r="C18" s="19">
        <f>SUM(Cohorts!B83:BI83)</f>
        <v/>
      </c>
      <c r="D18" s="19">
        <f>B18*'Inputs'!$B$13</f>
        <v/>
      </c>
      <c r="E18" s="19">
        <f>-B18*'Inputs'!$B$18-'Inputs'!$B$23</f>
        <v/>
      </c>
      <c r="F18" s="19">
        <f>C18+D18+E18</f>
        <v/>
      </c>
      <c r="G18" s="19">
        <f>G17+F18</f>
        <v/>
      </c>
      <c r="H18" s="19">
        <f>SUM(Cohorts!B21:BI21)</f>
        <v/>
      </c>
      <c r="I18" s="19">
        <f>IF(A18&lt;'Inputs'!$B$22,0,MIN('Inputs'!$B$21,H18*'Inputs'!$B$20*'Inputs'!$B$19))</f>
        <v/>
      </c>
      <c r="J18" s="19">
        <f>MAX(0,-G18)</f>
        <v/>
      </c>
      <c r="K18" s="19">
        <f>MIN(I18,J18)</f>
        <v/>
      </c>
      <c r="L18" s="19">
        <f>J18-K18</f>
        <v/>
      </c>
    </row>
    <row r="19">
      <c r="A19" s="19" t="n">
        <v>13</v>
      </c>
      <c r="B19" s="19">
        <f>INDEX(Cohorts!$B$7:$BI$7,A19)</f>
        <v/>
      </c>
      <c r="C19" s="19">
        <f>SUM(Cohorts!B84:BI84)</f>
        <v/>
      </c>
      <c r="D19" s="19">
        <f>B19*'Inputs'!$B$13</f>
        <v/>
      </c>
      <c r="E19" s="19">
        <f>-B19*'Inputs'!$B$18-'Inputs'!$B$23</f>
        <v/>
      </c>
      <c r="F19" s="19">
        <f>C19+D19+E19</f>
        <v/>
      </c>
      <c r="G19" s="19">
        <f>G18+F19</f>
        <v/>
      </c>
      <c r="H19" s="19">
        <f>SUM(Cohorts!B22:BI22)</f>
        <v/>
      </c>
      <c r="I19" s="19">
        <f>IF(A19&lt;'Inputs'!$B$22,0,MIN('Inputs'!$B$21,H19*'Inputs'!$B$20*'Inputs'!$B$19))</f>
        <v/>
      </c>
      <c r="J19" s="19">
        <f>MAX(0,-G19)</f>
        <v/>
      </c>
      <c r="K19" s="19">
        <f>MIN(I19,J19)</f>
        <v/>
      </c>
      <c r="L19" s="19">
        <f>J19-K19</f>
        <v/>
      </c>
    </row>
    <row r="20">
      <c r="A20" s="19" t="n">
        <v>14</v>
      </c>
      <c r="B20" s="19">
        <f>INDEX(Cohorts!$B$7:$BI$7,A20)</f>
        <v/>
      </c>
      <c r="C20" s="19">
        <f>SUM(Cohorts!B85:BI85)</f>
        <v/>
      </c>
      <c r="D20" s="19">
        <f>B20*'Inputs'!$B$13</f>
        <v/>
      </c>
      <c r="E20" s="19">
        <f>-B20*'Inputs'!$B$18-'Inputs'!$B$23</f>
        <v/>
      </c>
      <c r="F20" s="19">
        <f>C20+D20+E20</f>
        <v/>
      </c>
      <c r="G20" s="19">
        <f>G19+F20</f>
        <v/>
      </c>
      <c r="H20" s="19">
        <f>SUM(Cohorts!B23:BI23)</f>
        <v/>
      </c>
      <c r="I20" s="19">
        <f>IF(A20&lt;'Inputs'!$B$22,0,MIN('Inputs'!$B$21,H20*'Inputs'!$B$20*'Inputs'!$B$19))</f>
        <v/>
      </c>
      <c r="J20" s="19">
        <f>MAX(0,-G20)</f>
        <v/>
      </c>
      <c r="K20" s="19">
        <f>MIN(I20,J20)</f>
        <v/>
      </c>
      <c r="L20" s="19">
        <f>J20-K20</f>
        <v/>
      </c>
    </row>
    <row r="21">
      <c r="A21" s="19" t="n">
        <v>15</v>
      </c>
      <c r="B21" s="19">
        <f>INDEX(Cohorts!$B$7:$BI$7,A21)</f>
        <v/>
      </c>
      <c r="C21" s="19">
        <f>SUM(Cohorts!B86:BI86)</f>
        <v/>
      </c>
      <c r="D21" s="19">
        <f>B21*'Inputs'!$B$13</f>
        <v/>
      </c>
      <c r="E21" s="19">
        <f>-B21*'Inputs'!$B$18-'Inputs'!$B$23</f>
        <v/>
      </c>
      <c r="F21" s="19">
        <f>C21+D21+E21</f>
        <v/>
      </c>
      <c r="G21" s="19">
        <f>G20+F21</f>
        <v/>
      </c>
      <c r="H21" s="19">
        <f>SUM(Cohorts!B24:BI24)</f>
        <v/>
      </c>
      <c r="I21" s="19">
        <f>IF(A21&lt;'Inputs'!$B$22,0,MIN('Inputs'!$B$21,H21*'Inputs'!$B$20*'Inputs'!$B$19))</f>
        <v/>
      </c>
      <c r="J21" s="19">
        <f>MAX(0,-G21)</f>
        <v/>
      </c>
      <c r="K21" s="19">
        <f>MIN(I21,J21)</f>
        <v/>
      </c>
      <c r="L21" s="19">
        <f>J21-K21</f>
        <v/>
      </c>
    </row>
    <row r="22">
      <c r="A22" s="19" t="n">
        <v>16</v>
      </c>
      <c r="B22" s="19">
        <f>INDEX(Cohorts!$B$7:$BI$7,A22)</f>
        <v/>
      </c>
      <c r="C22" s="19">
        <f>SUM(Cohorts!B87:BI87)</f>
        <v/>
      </c>
      <c r="D22" s="19">
        <f>B22*'Inputs'!$B$13</f>
        <v/>
      </c>
      <c r="E22" s="19">
        <f>-B22*'Inputs'!$B$18-'Inputs'!$B$23</f>
        <v/>
      </c>
      <c r="F22" s="19">
        <f>C22+D22+E22</f>
        <v/>
      </c>
      <c r="G22" s="19">
        <f>G21+F22</f>
        <v/>
      </c>
      <c r="H22" s="19">
        <f>SUM(Cohorts!B25:BI25)</f>
        <v/>
      </c>
      <c r="I22" s="19">
        <f>IF(A22&lt;'Inputs'!$B$22,0,MIN('Inputs'!$B$21,H22*'Inputs'!$B$20*'Inputs'!$B$19))</f>
        <v/>
      </c>
      <c r="J22" s="19">
        <f>MAX(0,-G22)</f>
        <v/>
      </c>
      <c r="K22" s="19">
        <f>MIN(I22,J22)</f>
        <v/>
      </c>
      <c r="L22" s="19">
        <f>J22-K22</f>
        <v/>
      </c>
    </row>
    <row r="23">
      <c r="A23" s="19" t="n">
        <v>17</v>
      </c>
      <c r="B23" s="19">
        <f>INDEX(Cohorts!$B$7:$BI$7,A23)</f>
        <v/>
      </c>
      <c r="C23" s="19">
        <f>SUM(Cohorts!B88:BI88)</f>
        <v/>
      </c>
      <c r="D23" s="19">
        <f>B23*'Inputs'!$B$13</f>
        <v/>
      </c>
      <c r="E23" s="19">
        <f>-B23*'Inputs'!$B$18-'Inputs'!$B$23</f>
        <v/>
      </c>
      <c r="F23" s="19">
        <f>C23+D23+E23</f>
        <v/>
      </c>
      <c r="G23" s="19">
        <f>G22+F23</f>
        <v/>
      </c>
      <c r="H23" s="19">
        <f>SUM(Cohorts!B26:BI26)</f>
        <v/>
      </c>
      <c r="I23" s="19">
        <f>IF(A23&lt;'Inputs'!$B$22,0,MIN('Inputs'!$B$21,H23*'Inputs'!$B$20*'Inputs'!$B$19))</f>
        <v/>
      </c>
      <c r="J23" s="19">
        <f>MAX(0,-G23)</f>
        <v/>
      </c>
      <c r="K23" s="19">
        <f>MIN(I23,J23)</f>
        <v/>
      </c>
      <c r="L23" s="19">
        <f>J23-K23</f>
        <v/>
      </c>
    </row>
    <row r="24">
      <c r="A24" s="19" t="n">
        <v>18</v>
      </c>
      <c r="B24" s="19">
        <f>INDEX(Cohorts!$B$7:$BI$7,A24)</f>
        <v/>
      </c>
      <c r="C24" s="19">
        <f>SUM(Cohorts!B89:BI89)</f>
        <v/>
      </c>
      <c r="D24" s="19">
        <f>B24*'Inputs'!$B$13</f>
        <v/>
      </c>
      <c r="E24" s="19">
        <f>-B24*'Inputs'!$B$18-'Inputs'!$B$23</f>
        <v/>
      </c>
      <c r="F24" s="19">
        <f>C24+D24+E24</f>
        <v/>
      </c>
      <c r="G24" s="19">
        <f>G23+F24</f>
        <v/>
      </c>
      <c r="H24" s="19">
        <f>SUM(Cohorts!B27:BI27)</f>
        <v/>
      </c>
      <c r="I24" s="19">
        <f>IF(A24&lt;'Inputs'!$B$22,0,MIN('Inputs'!$B$21,H24*'Inputs'!$B$20*'Inputs'!$B$19))</f>
        <v/>
      </c>
      <c r="J24" s="19">
        <f>MAX(0,-G24)</f>
        <v/>
      </c>
      <c r="K24" s="19">
        <f>MIN(I24,J24)</f>
        <v/>
      </c>
      <c r="L24" s="19">
        <f>J24-K24</f>
        <v/>
      </c>
    </row>
    <row r="25">
      <c r="A25" s="19" t="n">
        <v>19</v>
      </c>
      <c r="B25" s="19">
        <f>INDEX(Cohorts!$B$7:$BI$7,A25)</f>
        <v/>
      </c>
      <c r="C25" s="19">
        <f>SUM(Cohorts!B90:BI90)</f>
        <v/>
      </c>
      <c r="D25" s="19">
        <f>B25*'Inputs'!$B$13</f>
        <v/>
      </c>
      <c r="E25" s="19">
        <f>-B25*'Inputs'!$B$18-'Inputs'!$B$23</f>
        <v/>
      </c>
      <c r="F25" s="19">
        <f>C25+D25+E25</f>
        <v/>
      </c>
      <c r="G25" s="19">
        <f>G24+F25</f>
        <v/>
      </c>
      <c r="H25" s="19">
        <f>SUM(Cohorts!B28:BI28)</f>
        <v/>
      </c>
      <c r="I25" s="19">
        <f>IF(A25&lt;'Inputs'!$B$22,0,MIN('Inputs'!$B$21,H25*'Inputs'!$B$20*'Inputs'!$B$19))</f>
        <v/>
      </c>
      <c r="J25" s="19">
        <f>MAX(0,-G25)</f>
        <v/>
      </c>
      <c r="K25" s="19">
        <f>MIN(I25,J25)</f>
        <v/>
      </c>
      <c r="L25" s="19">
        <f>J25-K25</f>
        <v/>
      </c>
    </row>
    <row r="26">
      <c r="A26" s="19" t="n">
        <v>20</v>
      </c>
      <c r="B26" s="19">
        <f>INDEX(Cohorts!$B$7:$BI$7,A26)</f>
        <v/>
      </c>
      <c r="C26" s="19">
        <f>SUM(Cohorts!B91:BI91)</f>
        <v/>
      </c>
      <c r="D26" s="19">
        <f>B26*'Inputs'!$B$13</f>
        <v/>
      </c>
      <c r="E26" s="19">
        <f>-B26*'Inputs'!$B$18-'Inputs'!$B$23</f>
        <v/>
      </c>
      <c r="F26" s="19">
        <f>C26+D26+E26</f>
        <v/>
      </c>
      <c r="G26" s="19">
        <f>G25+F26</f>
        <v/>
      </c>
      <c r="H26" s="19">
        <f>SUM(Cohorts!B29:BI29)</f>
        <v/>
      </c>
      <c r="I26" s="19">
        <f>IF(A26&lt;'Inputs'!$B$22,0,MIN('Inputs'!$B$21,H26*'Inputs'!$B$20*'Inputs'!$B$19))</f>
        <v/>
      </c>
      <c r="J26" s="19">
        <f>MAX(0,-G26)</f>
        <v/>
      </c>
      <c r="K26" s="19">
        <f>MIN(I26,J26)</f>
        <v/>
      </c>
      <c r="L26" s="19">
        <f>J26-K26</f>
        <v/>
      </c>
    </row>
    <row r="27">
      <c r="A27" s="19" t="n">
        <v>21</v>
      </c>
      <c r="B27" s="19">
        <f>INDEX(Cohorts!$B$7:$BI$7,A27)</f>
        <v/>
      </c>
      <c r="C27" s="19">
        <f>SUM(Cohorts!B92:BI92)</f>
        <v/>
      </c>
      <c r="D27" s="19">
        <f>B27*'Inputs'!$B$13</f>
        <v/>
      </c>
      <c r="E27" s="19">
        <f>-B27*'Inputs'!$B$18-'Inputs'!$B$23</f>
        <v/>
      </c>
      <c r="F27" s="19">
        <f>C27+D27+E27</f>
        <v/>
      </c>
      <c r="G27" s="19">
        <f>G26+F27</f>
        <v/>
      </c>
      <c r="H27" s="19">
        <f>SUM(Cohorts!B30:BI30)</f>
        <v/>
      </c>
      <c r="I27" s="19">
        <f>IF(A27&lt;'Inputs'!$B$22,0,MIN('Inputs'!$B$21,H27*'Inputs'!$B$20*'Inputs'!$B$19))</f>
        <v/>
      </c>
      <c r="J27" s="19">
        <f>MAX(0,-G27)</f>
        <v/>
      </c>
      <c r="K27" s="19">
        <f>MIN(I27,J27)</f>
        <v/>
      </c>
      <c r="L27" s="19">
        <f>J27-K27</f>
        <v/>
      </c>
    </row>
    <row r="28">
      <c r="A28" s="19" t="n">
        <v>22</v>
      </c>
      <c r="B28" s="19">
        <f>INDEX(Cohorts!$B$7:$BI$7,A28)</f>
        <v/>
      </c>
      <c r="C28" s="19">
        <f>SUM(Cohorts!B93:BI93)</f>
        <v/>
      </c>
      <c r="D28" s="19">
        <f>B28*'Inputs'!$B$13</f>
        <v/>
      </c>
      <c r="E28" s="19">
        <f>-B28*'Inputs'!$B$18-'Inputs'!$B$23</f>
        <v/>
      </c>
      <c r="F28" s="19">
        <f>C28+D28+E28</f>
        <v/>
      </c>
      <c r="G28" s="19">
        <f>G27+F28</f>
        <v/>
      </c>
      <c r="H28" s="19">
        <f>SUM(Cohorts!B31:BI31)</f>
        <v/>
      </c>
      <c r="I28" s="19">
        <f>IF(A28&lt;'Inputs'!$B$22,0,MIN('Inputs'!$B$21,H28*'Inputs'!$B$20*'Inputs'!$B$19))</f>
        <v/>
      </c>
      <c r="J28" s="19">
        <f>MAX(0,-G28)</f>
        <v/>
      </c>
      <c r="K28" s="19">
        <f>MIN(I28,J28)</f>
        <v/>
      </c>
      <c r="L28" s="19">
        <f>J28-K28</f>
        <v/>
      </c>
    </row>
    <row r="29">
      <c r="A29" s="19" t="n">
        <v>23</v>
      </c>
      <c r="B29" s="19">
        <f>INDEX(Cohorts!$B$7:$BI$7,A29)</f>
        <v/>
      </c>
      <c r="C29" s="19">
        <f>SUM(Cohorts!B94:BI94)</f>
        <v/>
      </c>
      <c r="D29" s="19">
        <f>B29*'Inputs'!$B$13</f>
        <v/>
      </c>
      <c r="E29" s="19">
        <f>-B29*'Inputs'!$B$18-'Inputs'!$B$23</f>
        <v/>
      </c>
      <c r="F29" s="19">
        <f>C29+D29+E29</f>
        <v/>
      </c>
      <c r="G29" s="19">
        <f>G28+F29</f>
        <v/>
      </c>
      <c r="H29" s="19">
        <f>SUM(Cohorts!B32:BI32)</f>
        <v/>
      </c>
      <c r="I29" s="19">
        <f>IF(A29&lt;'Inputs'!$B$22,0,MIN('Inputs'!$B$21,H29*'Inputs'!$B$20*'Inputs'!$B$19))</f>
        <v/>
      </c>
      <c r="J29" s="19">
        <f>MAX(0,-G29)</f>
        <v/>
      </c>
      <c r="K29" s="19">
        <f>MIN(I29,J29)</f>
        <v/>
      </c>
      <c r="L29" s="19">
        <f>J29-K29</f>
        <v/>
      </c>
    </row>
    <row r="30">
      <c r="A30" s="19" t="n">
        <v>24</v>
      </c>
      <c r="B30" s="19">
        <f>INDEX(Cohorts!$B$7:$BI$7,A30)</f>
        <v/>
      </c>
      <c r="C30" s="19">
        <f>SUM(Cohorts!B95:BI95)</f>
        <v/>
      </c>
      <c r="D30" s="19">
        <f>B30*'Inputs'!$B$13</f>
        <v/>
      </c>
      <c r="E30" s="19">
        <f>-B30*'Inputs'!$B$18-'Inputs'!$B$23</f>
        <v/>
      </c>
      <c r="F30" s="19">
        <f>C30+D30+E30</f>
        <v/>
      </c>
      <c r="G30" s="19">
        <f>G29+F30</f>
        <v/>
      </c>
      <c r="H30" s="19">
        <f>SUM(Cohorts!B33:BI33)</f>
        <v/>
      </c>
      <c r="I30" s="19">
        <f>IF(A30&lt;'Inputs'!$B$22,0,MIN('Inputs'!$B$21,H30*'Inputs'!$B$20*'Inputs'!$B$19))</f>
        <v/>
      </c>
      <c r="J30" s="19">
        <f>MAX(0,-G30)</f>
        <v/>
      </c>
      <c r="K30" s="19">
        <f>MIN(I30,J30)</f>
        <v/>
      </c>
      <c r="L30" s="19">
        <f>J30-K30</f>
        <v/>
      </c>
    </row>
    <row r="31">
      <c r="A31" s="19" t="n">
        <v>25</v>
      </c>
      <c r="B31" s="19">
        <f>INDEX(Cohorts!$B$7:$BI$7,A31)</f>
        <v/>
      </c>
      <c r="C31" s="19">
        <f>SUM(Cohorts!B96:BI96)</f>
        <v/>
      </c>
      <c r="D31" s="19">
        <f>B31*'Inputs'!$B$13</f>
        <v/>
      </c>
      <c r="E31" s="19">
        <f>-B31*'Inputs'!$B$18-'Inputs'!$B$23</f>
        <v/>
      </c>
      <c r="F31" s="19">
        <f>C31+D31+E31</f>
        <v/>
      </c>
      <c r="G31" s="19">
        <f>G30+F31</f>
        <v/>
      </c>
      <c r="H31" s="19">
        <f>SUM(Cohorts!B34:BI34)</f>
        <v/>
      </c>
      <c r="I31" s="19">
        <f>IF(A31&lt;'Inputs'!$B$22,0,MIN('Inputs'!$B$21,H31*'Inputs'!$B$20*'Inputs'!$B$19))</f>
        <v/>
      </c>
      <c r="J31" s="19">
        <f>MAX(0,-G31)</f>
        <v/>
      </c>
      <c r="K31" s="19">
        <f>MIN(I31,J31)</f>
        <v/>
      </c>
      <c r="L31" s="19">
        <f>J31-K31</f>
        <v/>
      </c>
    </row>
    <row r="32">
      <c r="A32" s="19" t="n">
        <v>26</v>
      </c>
      <c r="B32" s="19">
        <f>INDEX(Cohorts!$B$7:$BI$7,A32)</f>
        <v/>
      </c>
      <c r="C32" s="19">
        <f>SUM(Cohorts!B97:BI97)</f>
        <v/>
      </c>
      <c r="D32" s="19">
        <f>B32*'Inputs'!$B$13</f>
        <v/>
      </c>
      <c r="E32" s="19">
        <f>-B32*'Inputs'!$B$18-'Inputs'!$B$23</f>
        <v/>
      </c>
      <c r="F32" s="19">
        <f>C32+D32+E32</f>
        <v/>
      </c>
      <c r="G32" s="19">
        <f>G31+F32</f>
        <v/>
      </c>
      <c r="H32" s="19">
        <f>SUM(Cohorts!B35:BI35)</f>
        <v/>
      </c>
      <c r="I32" s="19">
        <f>IF(A32&lt;'Inputs'!$B$22,0,MIN('Inputs'!$B$21,H32*'Inputs'!$B$20*'Inputs'!$B$19))</f>
        <v/>
      </c>
      <c r="J32" s="19">
        <f>MAX(0,-G32)</f>
        <v/>
      </c>
      <c r="K32" s="19">
        <f>MIN(I32,J32)</f>
        <v/>
      </c>
      <c r="L32" s="19">
        <f>J32-K32</f>
        <v/>
      </c>
    </row>
    <row r="33">
      <c r="A33" s="19" t="n">
        <v>27</v>
      </c>
      <c r="B33" s="19">
        <f>INDEX(Cohorts!$B$7:$BI$7,A33)</f>
        <v/>
      </c>
      <c r="C33" s="19">
        <f>SUM(Cohorts!B98:BI98)</f>
        <v/>
      </c>
      <c r="D33" s="19">
        <f>B33*'Inputs'!$B$13</f>
        <v/>
      </c>
      <c r="E33" s="19">
        <f>-B33*'Inputs'!$B$18-'Inputs'!$B$23</f>
        <v/>
      </c>
      <c r="F33" s="19">
        <f>C33+D33+E33</f>
        <v/>
      </c>
      <c r="G33" s="19">
        <f>G32+F33</f>
        <v/>
      </c>
      <c r="H33" s="19">
        <f>SUM(Cohorts!B36:BI36)</f>
        <v/>
      </c>
      <c r="I33" s="19">
        <f>IF(A33&lt;'Inputs'!$B$22,0,MIN('Inputs'!$B$21,H33*'Inputs'!$B$20*'Inputs'!$B$19))</f>
        <v/>
      </c>
      <c r="J33" s="19">
        <f>MAX(0,-G33)</f>
        <v/>
      </c>
      <c r="K33" s="19">
        <f>MIN(I33,J33)</f>
        <v/>
      </c>
      <c r="L33" s="19">
        <f>J33-K33</f>
        <v/>
      </c>
    </row>
    <row r="34">
      <c r="A34" s="19" t="n">
        <v>28</v>
      </c>
      <c r="B34" s="19">
        <f>INDEX(Cohorts!$B$7:$BI$7,A34)</f>
        <v/>
      </c>
      <c r="C34" s="19">
        <f>SUM(Cohorts!B99:BI99)</f>
        <v/>
      </c>
      <c r="D34" s="19">
        <f>B34*'Inputs'!$B$13</f>
        <v/>
      </c>
      <c r="E34" s="19">
        <f>-B34*'Inputs'!$B$18-'Inputs'!$B$23</f>
        <v/>
      </c>
      <c r="F34" s="19">
        <f>C34+D34+E34</f>
        <v/>
      </c>
      <c r="G34" s="19">
        <f>G33+F34</f>
        <v/>
      </c>
      <c r="H34" s="19">
        <f>SUM(Cohorts!B37:BI37)</f>
        <v/>
      </c>
      <c r="I34" s="19">
        <f>IF(A34&lt;'Inputs'!$B$22,0,MIN('Inputs'!$B$21,H34*'Inputs'!$B$20*'Inputs'!$B$19))</f>
        <v/>
      </c>
      <c r="J34" s="19">
        <f>MAX(0,-G34)</f>
        <v/>
      </c>
      <c r="K34" s="19">
        <f>MIN(I34,J34)</f>
        <v/>
      </c>
      <c r="L34" s="19">
        <f>J34-K34</f>
        <v/>
      </c>
    </row>
    <row r="35">
      <c r="A35" s="19" t="n">
        <v>29</v>
      </c>
      <c r="B35" s="19">
        <f>INDEX(Cohorts!$B$7:$BI$7,A35)</f>
        <v/>
      </c>
      <c r="C35" s="19">
        <f>SUM(Cohorts!B100:BI100)</f>
        <v/>
      </c>
      <c r="D35" s="19">
        <f>B35*'Inputs'!$B$13</f>
        <v/>
      </c>
      <c r="E35" s="19">
        <f>-B35*'Inputs'!$B$18-'Inputs'!$B$23</f>
        <v/>
      </c>
      <c r="F35" s="19">
        <f>C35+D35+E35</f>
        <v/>
      </c>
      <c r="G35" s="19">
        <f>G34+F35</f>
        <v/>
      </c>
      <c r="H35" s="19">
        <f>SUM(Cohorts!B38:BI38)</f>
        <v/>
      </c>
      <c r="I35" s="19">
        <f>IF(A35&lt;'Inputs'!$B$22,0,MIN('Inputs'!$B$21,H35*'Inputs'!$B$20*'Inputs'!$B$19))</f>
        <v/>
      </c>
      <c r="J35" s="19">
        <f>MAX(0,-G35)</f>
        <v/>
      </c>
      <c r="K35" s="19">
        <f>MIN(I35,J35)</f>
        <v/>
      </c>
      <c r="L35" s="19">
        <f>J35-K35</f>
        <v/>
      </c>
    </row>
    <row r="36">
      <c r="A36" s="19" t="n">
        <v>30</v>
      </c>
      <c r="B36" s="19">
        <f>INDEX(Cohorts!$B$7:$BI$7,A36)</f>
        <v/>
      </c>
      <c r="C36" s="19">
        <f>SUM(Cohorts!B101:BI101)</f>
        <v/>
      </c>
      <c r="D36" s="19">
        <f>B36*'Inputs'!$B$13</f>
        <v/>
      </c>
      <c r="E36" s="19">
        <f>-B36*'Inputs'!$B$18-'Inputs'!$B$23</f>
        <v/>
      </c>
      <c r="F36" s="19">
        <f>C36+D36+E36</f>
        <v/>
      </c>
      <c r="G36" s="19">
        <f>G35+F36</f>
        <v/>
      </c>
      <c r="H36" s="19">
        <f>SUM(Cohorts!B39:BI39)</f>
        <v/>
      </c>
      <c r="I36" s="19">
        <f>IF(A36&lt;'Inputs'!$B$22,0,MIN('Inputs'!$B$21,H36*'Inputs'!$B$20*'Inputs'!$B$19))</f>
        <v/>
      </c>
      <c r="J36" s="19">
        <f>MAX(0,-G36)</f>
        <v/>
      </c>
      <c r="K36" s="19">
        <f>MIN(I36,J36)</f>
        <v/>
      </c>
      <c r="L36" s="19">
        <f>J36-K36</f>
        <v/>
      </c>
    </row>
    <row r="37">
      <c r="A37" s="19" t="n">
        <v>31</v>
      </c>
      <c r="B37" s="19">
        <f>INDEX(Cohorts!$B$7:$BI$7,A37)</f>
        <v/>
      </c>
      <c r="C37" s="19">
        <f>SUM(Cohorts!B102:BI102)</f>
        <v/>
      </c>
      <c r="D37" s="19">
        <f>B37*'Inputs'!$B$13</f>
        <v/>
      </c>
      <c r="E37" s="19">
        <f>-B37*'Inputs'!$B$18-'Inputs'!$B$23</f>
        <v/>
      </c>
      <c r="F37" s="19">
        <f>C37+D37+E37</f>
        <v/>
      </c>
      <c r="G37" s="19">
        <f>G36+F37</f>
        <v/>
      </c>
      <c r="H37" s="19">
        <f>SUM(Cohorts!B40:BI40)</f>
        <v/>
      </c>
      <c r="I37" s="19">
        <f>IF(A37&lt;'Inputs'!$B$22,0,MIN('Inputs'!$B$21,H37*'Inputs'!$B$20*'Inputs'!$B$19))</f>
        <v/>
      </c>
      <c r="J37" s="19">
        <f>MAX(0,-G37)</f>
        <v/>
      </c>
      <c r="K37" s="19">
        <f>MIN(I37,J37)</f>
        <v/>
      </c>
      <c r="L37" s="19">
        <f>J37-K37</f>
        <v/>
      </c>
    </row>
    <row r="38">
      <c r="A38" s="19" t="n">
        <v>32</v>
      </c>
      <c r="B38" s="19">
        <f>INDEX(Cohorts!$B$7:$BI$7,A38)</f>
        <v/>
      </c>
      <c r="C38" s="19">
        <f>SUM(Cohorts!B103:BI103)</f>
        <v/>
      </c>
      <c r="D38" s="19">
        <f>B38*'Inputs'!$B$13</f>
        <v/>
      </c>
      <c r="E38" s="19">
        <f>-B38*'Inputs'!$B$18-'Inputs'!$B$23</f>
        <v/>
      </c>
      <c r="F38" s="19">
        <f>C38+D38+E38</f>
        <v/>
      </c>
      <c r="G38" s="19">
        <f>G37+F38</f>
        <v/>
      </c>
      <c r="H38" s="19">
        <f>SUM(Cohorts!B41:BI41)</f>
        <v/>
      </c>
      <c r="I38" s="19">
        <f>IF(A38&lt;'Inputs'!$B$22,0,MIN('Inputs'!$B$21,H38*'Inputs'!$B$20*'Inputs'!$B$19))</f>
        <v/>
      </c>
      <c r="J38" s="19">
        <f>MAX(0,-G38)</f>
        <v/>
      </c>
      <c r="K38" s="19">
        <f>MIN(I38,J38)</f>
        <v/>
      </c>
      <c r="L38" s="19">
        <f>J38-K38</f>
        <v/>
      </c>
    </row>
    <row r="39">
      <c r="A39" s="19" t="n">
        <v>33</v>
      </c>
      <c r="B39" s="19">
        <f>INDEX(Cohorts!$B$7:$BI$7,A39)</f>
        <v/>
      </c>
      <c r="C39" s="19">
        <f>SUM(Cohorts!B104:BI104)</f>
        <v/>
      </c>
      <c r="D39" s="19">
        <f>B39*'Inputs'!$B$13</f>
        <v/>
      </c>
      <c r="E39" s="19">
        <f>-B39*'Inputs'!$B$18-'Inputs'!$B$23</f>
        <v/>
      </c>
      <c r="F39" s="19">
        <f>C39+D39+E39</f>
        <v/>
      </c>
      <c r="G39" s="19">
        <f>G38+F39</f>
        <v/>
      </c>
      <c r="H39" s="19">
        <f>SUM(Cohorts!B42:BI42)</f>
        <v/>
      </c>
      <c r="I39" s="19">
        <f>IF(A39&lt;'Inputs'!$B$22,0,MIN('Inputs'!$B$21,H39*'Inputs'!$B$20*'Inputs'!$B$19))</f>
        <v/>
      </c>
      <c r="J39" s="19">
        <f>MAX(0,-G39)</f>
        <v/>
      </c>
      <c r="K39" s="19">
        <f>MIN(I39,J39)</f>
        <v/>
      </c>
      <c r="L39" s="19">
        <f>J39-K39</f>
        <v/>
      </c>
    </row>
    <row r="40">
      <c r="A40" s="19" t="n">
        <v>34</v>
      </c>
      <c r="B40" s="19">
        <f>INDEX(Cohorts!$B$7:$BI$7,A40)</f>
        <v/>
      </c>
      <c r="C40" s="19">
        <f>SUM(Cohorts!B105:BI105)</f>
        <v/>
      </c>
      <c r="D40" s="19">
        <f>B40*'Inputs'!$B$13</f>
        <v/>
      </c>
      <c r="E40" s="19">
        <f>-B40*'Inputs'!$B$18-'Inputs'!$B$23</f>
        <v/>
      </c>
      <c r="F40" s="19">
        <f>C40+D40+E40</f>
        <v/>
      </c>
      <c r="G40" s="19">
        <f>G39+F40</f>
        <v/>
      </c>
      <c r="H40" s="19">
        <f>SUM(Cohorts!B43:BI43)</f>
        <v/>
      </c>
      <c r="I40" s="19">
        <f>IF(A40&lt;'Inputs'!$B$22,0,MIN('Inputs'!$B$21,H40*'Inputs'!$B$20*'Inputs'!$B$19))</f>
        <v/>
      </c>
      <c r="J40" s="19">
        <f>MAX(0,-G40)</f>
        <v/>
      </c>
      <c r="K40" s="19">
        <f>MIN(I40,J40)</f>
        <v/>
      </c>
      <c r="L40" s="19">
        <f>J40-K40</f>
        <v/>
      </c>
    </row>
    <row r="41">
      <c r="A41" s="19" t="n">
        <v>35</v>
      </c>
      <c r="B41" s="19">
        <f>INDEX(Cohorts!$B$7:$BI$7,A41)</f>
        <v/>
      </c>
      <c r="C41" s="19">
        <f>SUM(Cohorts!B106:BI106)</f>
        <v/>
      </c>
      <c r="D41" s="19">
        <f>B41*'Inputs'!$B$13</f>
        <v/>
      </c>
      <c r="E41" s="19">
        <f>-B41*'Inputs'!$B$18-'Inputs'!$B$23</f>
        <v/>
      </c>
      <c r="F41" s="19">
        <f>C41+D41+E41</f>
        <v/>
      </c>
      <c r="G41" s="19">
        <f>G40+F41</f>
        <v/>
      </c>
      <c r="H41" s="19">
        <f>SUM(Cohorts!B44:BI44)</f>
        <v/>
      </c>
      <c r="I41" s="19">
        <f>IF(A41&lt;'Inputs'!$B$22,0,MIN('Inputs'!$B$21,H41*'Inputs'!$B$20*'Inputs'!$B$19))</f>
        <v/>
      </c>
      <c r="J41" s="19">
        <f>MAX(0,-G41)</f>
        <v/>
      </c>
      <c r="K41" s="19">
        <f>MIN(I41,J41)</f>
        <v/>
      </c>
      <c r="L41" s="19">
        <f>J41-K41</f>
        <v/>
      </c>
    </row>
    <row r="42">
      <c r="A42" s="19" t="n">
        <v>36</v>
      </c>
      <c r="B42" s="19">
        <f>INDEX(Cohorts!$B$7:$BI$7,A42)</f>
        <v/>
      </c>
      <c r="C42" s="19">
        <f>SUM(Cohorts!B107:BI107)</f>
        <v/>
      </c>
      <c r="D42" s="19">
        <f>B42*'Inputs'!$B$13</f>
        <v/>
      </c>
      <c r="E42" s="19">
        <f>-B42*'Inputs'!$B$18-'Inputs'!$B$23</f>
        <v/>
      </c>
      <c r="F42" s="19">
        <f>C42+D42+E42</f>
        <v/>
      </c>
      <c r="G42" s="19">
        <f>G41+F42</f>
        <v/>
      </c>
      <c r="H42" s="19">
        <f>SUM(Cohorts!B45:BI45)</f>
        <v/>
      </c>
      <c r="I42" s="19">
        <f>IF(A42&lt;'Inputs'!$B$22,0,MIN('Inputs'!$B$21,H42*'Inputs'!$B$20*'Inputs'!$B$19))</f>
        <v/>
      </c>
      <c r="J42" s="19">
        <f>MAX(0,-G42)</f>
        <v/>
      </c>
      <c r="K42" s="19">
        <f>MIN(I42,J42)</f>
        <v/>
      </c>
      <c r="L42" s="19">
        <f>J42-K42</f>
        <v/>
      </c>
    </row>
    <row r="43">
      <c r="A43" s="19" t="n">
        <v>37</v>
      </c>
      <c r="B43" s="19">
        <f>INDEX(Cohorts!$B$7:$BI$7,A43)</f>
        <v/>
      </c>
      <c r="C43" s="19">
        <f>SUM(Cohorts!B108:BI108)</f>
        <v/>
      </c>
      <c r="D43" s="19">
        <f>B43*'Inputs'!$B$13</f>
        <v/>
      </c>
      <c r="E43" s="19">
        <f>-B43*'Inputs'!$B$18-'Inputs'!$B$23</f>
        <v/>
      </c>
      <c r="F43" s="19">
        <f>C43+D43+E43</f>
        <v/>
      </c>
      <c r="G43" s="19">
        <f>G42+F43</f>
        <v/>
      </c>
      <c r="H43" s="19">
        <f>SUM(Cohorts!B46:BI46)</f>
        <v/>
      </c>
      <c r="I43" s="19">
        <f>IF(A43&lt;'Inputs'!$B$22,0,MIN('Inputs'!$B$21,H43*'Inputs'!$B$20*'Inputs'!$B$19))</f>
        <v/>
      </c>
      <c r="J43" s="19">
        <f>MAX(0,-G43)</f>
        <v/>
      </c>
      <c r="K43" s="19">
        <f>MIN(I43,J43)</f>
        <v/>
      </c>
      <c r="L43" s="19">
        <f>J43-K43</f>
        <v/>
      </c>
    </row>
    <row r="44">
      <c r="A44" s="19" t="n">
        <v>38</v>
      </c>
      <c r="B44" s="19">
        <f>INDEX(Cohorts!$B$7:$BI$7,A44)</f>
        <v/>
      </c>
      <c r="C44" s="19">
        <f>SUM(Cohorts!B109:BI109)</f>
        <v/>
      </c>
      <c r="D44" s="19">
        <f>B44*'Inputs'!$B$13</f>
        <v/>
      </c>
      <c r="E44" s="19">
        <f>-B44*'Inputs'!$B$18-'Inputs'!$B$23</f>
        <v/>
      </c>
      <c r="F44" s="19">
        <f>C44+D44+E44</f>
        <v/>
      </c>
      <c r="G44" s="19">
        <f>G43+F44</f>
        <v/>
      </c>
      <c r="H44" s="19">
        <f>SUM(Cohorts!B47:BI47)</f>
        <v/>
      </c>
      <c r="I44" s="19">
        <f>IF(A44&lt;'Inputs'!$B$22,0,MIN('Inputs'!$B$21,H44*'Inputs'!$B$20*'Inputs'!$B$19))</f>
        <v/>
      </c>
      <c r="J44" s="19">
        <f>MAX(0,-G44)</f>
        <v/>
      </c>
      <c r="K44" s="19">
        <f>MIN(I44,J44)</f>
        <v/>
      </c>
      <c r="L44" s="19">
        <f>J44-K44</f>
        <v/>
      </c>
    </row>
    <row r="45">
      <c r="A45" s="19" t="n">
        <v>39</v>
      </c>
      <c r="B45" s="19">
        <f>INDEX(Cohorts!$B$7:$BI$7,A45)</f>
        <v/>
      </c>
      <c r="C45" s="19">
        <f>SUM(Cohorts!B110:BI110)</f>
        <v/>
      </c>
      <c r="D45" s="19">
        <f>B45*'Inputs'!$B$13</f>
        <v/>
      </c>
      <c r="E45" s="19">
        <f>-B45*'Inputs'!$B$18-'Inputs'!$B$23</f>
        <v/>
      </c>
      <c r="F45" s="19">
        <f>C45+D45+E45</f>
        <v/>
      </c>
      <c r="G45" s="19">
        <f>G44+F45</f>
        <v/>
      </c>
      <c r="H45" s="19">
        <f>SUM(Cohorts!B48:BI48)</f>
        <v/>
      </c>
      <c r="I45" s="19">
        <f>IF(A45&lt;'Inputs'!$B$22,0,MIN('Inputs'!$B$21,H45*'Inputs'!$B$20*'Inputs'!$B$19))</f>
        <v/>
      </c>
      <c r="J45" s="19">
        <f>MAX(0,-G45)</f>
        <v/>
      </c>
      <c r="K45" s="19">
        <f>MIN(I45,J45)</f>
        <v/>
      </c>
      <c r="L45" s="19">
        <f>J45-K45</f>
        <v/>
      </c>
    </row>
    <row r="46">
      <c r="A46" s="19" t="n">
        <v>40</v>
      </c>
      <c r="B46" s="19">
        <f>INDEX(Cohorts!$B$7:$BI$7,A46)</f>
        <v/>
      </c>
      <c r="C46" s="19">
        <f>SUM(Cohorts!B111:BI111)</f>
        <v/>
      </c>
      <c r="D46" s="19">
        <f>B46*'Inputs'!$B$13</f>
        <v/>
      </c>
      <c r="E46" s="19">
        <f>-B46*'Inputs'!$B$18-'Inputs'!$B$23</f>
        <v/>
      </c>
      <c r="F46" s="19">
        <f>C46+D46+E46</f>
        <v/>
      </c>
      <c r="G46" s="19">
        <f>G45+F46</f>
        <v/>
      </c>
      <c r="H46" s="19">
        <f>SUM(Cohorts!B49:BI49)</f>
        <v/>
      </c>
      <c r="I46" s="19">
        <f>IF(A46&lt;'Inputs'!$B$22,0,MIN('Inputs'!$B$21,H46*'Inputs'!$B$20*'Inputs'!$B$19))</f>
        <v/>
      </c>
      <c r="J46" s="19">
        <f>MAX(0,-G46)</f>
        <v/>
      </c>
      <c r="K46" s="19">
        <f>MIN(I46,J46)</f>
        <v/>
      </c>
      <c r="L46" s="19">
        <f>J46-K46</f>
        <v/>
      </c>
    </row>
    <row r="47">
      <c r="A47" s="19" t="n">
        <v>41</v>
      </c>
      <c r="B47" s="19">
        <f>INDEX(Cohorts!$B$7:$BI$7,A47)</f>
        <v/>
      </c>
      <c r="C47" s="19">
        <f>SUM(Cohorts!B112:BI112)</f>
        <v/>
      </c>
      <c r="D47" s="19">
        <f>B47*'Inputs'!$B$13</f>
        <v/>
      </c>
      <c r="E47" s="19">
        <f>-B47*'Inputs'!$B$18-'Inputs'!$B$23</f>
        <v/>
      </c>
      <c r="F47" s="19">
        <f>C47+D47+E47</f>
        <v/>
      </c>
      <c r="G47" s="19">
        <f>G46+F47</f>
        <v/>
      </c>
      <c r="H47" s="19">
        <f>SUM(Cohorts!B50:BI50)</f>
        <v/>
      </c>
      <c r="I47" s="19">
        <f>IF(A47&lt;'Inputs'!$B$22,0,MIN('Inputs'!$B$21,H47*'Inputs'!$B$20*'Inputs'!$B$19))</f>
        <v/>
      </c>
      <c r="J47" s="19">
        <f>MAX(0,-G47)</f>
        <v/>
      </c>
      <c r="K47" s="19">
        <f>MIN(I47,J47)</f>
        <v/>
      </c>
      <c r="L47" s="19">
        <f>J47-K47</f>
        <v/>
      </c>
    </row>
    <row r="48">
      <c r="A48" s="19" t="n">
        <v>42</v>
      </c>
      <c r="B48" s="19">
        <f>INDEX(Cohorts!$B$7:$BI$7,A48)</f>
        <v/>
      </c>
      <c r="C48" s="19">
        <f>SUM(Cohorts!B113:BI113)</f>
        <v/>
      </c>
      <c r="D48" s="19">
        <f>B48*'Inputs'!$B$13</f>
        <v/>
      </c>
      <c r="E48" s="19">
        <f>-B48*'Inputs'!$B$18-'Inputs'!$B$23</f>
        <v/>
      </c>
      <c r="F48" s="19">
        <f>C48+D48+E48</f>
        <v/>
      </c>
      <c r="G48" s="19">
        <f>G47+F48</f>
        <v/>
      </c>
      <c r="H48" s="19">
        <f>SUM(Cohorts!B51:BI51)</f>
        <v/>
      </c>
      <c r="I48" s="19">
        <f>IF(A48&lt;'Inputs'!$B$22,0,MIN('Inputs'!$B$21,H48*'Inputs'!$B$20*'Inputs'!$B$19))</f>
        <v/>
      </c>
      <c r="J48" s="19">
        <f>MAX(0,-G48)</f>
        <v/>
      </c>
      <c r="K48" s="19">
        <f>MIN(I48,J48)</f>
        <v/>
      </c>
      <c r="L48" s="19">
        <f>J48-K48</f>
        <v/>
      </c>
    </row>
    <row r="49">
      <c r="A49" s="19" t="n">
        <v>43</v>
      </c>
      <c r="B49" s="19">
        <f>INDEX(Cohorts!$B$7:$BI$7,A49)</f>
        <v/>
      </c>
      <c r="C49" s="19">
        <f>SUM(Cohorts!B114:BI114)</f>
        <v/>
      </c>
      <c r="D49" s="19">
        <f>B49*'Inputs'!$B$13</f>
        <v/>
      </c>
      <c r="E49" s="19">
        <f>-B49*'Inputs'!$B$18-'Inputs'!$B$23</f>
        <v/>
      </c>
      <c r="F49" s="19">
        <f>C49+D49+E49</f>
        <v/>
      </c>
      <c r="G49" s="19">
        <f>G48+F49</f>
        <v/>
      </c>
      <c r="H49" s="19">
        <f>SUM(Cohorts!B52:BI52)</f>
        <v/>
      </c>
      <c r="I49" s="19">
        <f>IF(A49&lt;'Inputs'!$B$22,0,MIN('Inputs'!$B$21,H49*'Inputs'!$B$20*'Inputs'!$B$19))</f>
        <v/>
      </c>
      <c r="J49" s="19">
        <f>MAX(0,-G49)</f>
        <v/>
      </c>
      <c r="K49" s="19">
        <f>MIN(I49,J49)</f>
        <v/>
      </c>
      <c r="L49" s="19">
        <f>J49-K49</f>
        <v/>
      </c>
    </row>
    <row r="50">
      <c r="A50" s="19" t="n">
        <v>44</v>
      </c>
      <c r="B50" s="19">
        <f>INDEX(Cohorts!$B$7:$BI$7,A50)</f>
        <v/>
      </c>
      <c r="C50" s="19">
        <f>SUM(Cohorts!B115:BI115)</f>
        <v/>
      </c>
      <c r="D50" s="19">
        <f>B50*'Inputs'!$B$13</f>
        <v/>
      </c>
      <c r="E50" s="19">
        <f>-B50*'Inputs'!$B$18-'Inputs'!$B$23</f>
        <v/>
      </c>
      <c r="F50" s="19">
        <f>C50+D50+E50</f>
        <v/>
      </c>
      <c r="G50" s="19">
        <f>G49+F50</f>
        <v/>
      </c>
      <c r="H50" s="19">
        <f>SUM(Cohorts!B53:BI53)</f>
        <v/>
      </c>
      <c r="I50" s="19">
        <f>IF(A50&lt;'Inputs'!$B$22,0,MIN('Inputs'!$B$21,H50*'Inputs'!$B$20*'Inputs'!$B$19))</f>
        <v/>
      </c>
      <c r="J50" s="19">
        <f>MAX(0,-G50)</f>
        <v/>
      </c>
      <c r="K50" s="19">
        <f>MIN(I50,J50)</f>
        <v/>
      </c>
      <c r="L50" s="19">
        <f>J50-K50</f>
        <v/>
      </c>
    </row>
    <row r="51">
      <c r="A51" s="19" t="n">
        <v>45</v>
      </c>
      <c r="B51" s="19">
        <f>INDEX(Cohorts!$B$7:$BI$7,A51)</f>
        <v/>
      </c>
      <c r="C51" s="19">
        <f>SUM(Cohorts!B116:BI116)</f>
        <v/>
      </c>
      <c r="D51" s="19">
        <f>B51*'Inputs'!$B$13</f>
        <v/>
      </c>
      <c r="E51" s="19">
        <f>-B51*'Inputs'!$B$18-'Inputs'!$B$23</f>
        <v/>
      </c>
      <c r="F51" s="19">
        <f>C51+D51+E51</f>
        <v/>
      </c>
      <c r="G51" s="19">
        <f>G50+F51</f>
        <v/>
      </c>
      <c r="H51" s="19">
        <f>SUM(Cohorts!B54:BI54)</f>
        <v/>
      </c>
      <c r="I51" s="19">
        <f>IF(A51&lt;'Inputs'!$B$22,0,MIN('Inputs'!$B$21,H51*'Inputs'!$B$20*'Inputs'!$B$19))</f>
        <v/>
      </c>
      <c r="J51" s="19">
        <f>MAX(0,-G51)</f>
        <v/>
      </c>
      <c r="K51" s="19">
        <f>MIN(I51,J51)</f>
        <v/>
      </c>
      <c r="L51" s="19">
        <f>J51-K51</f>
        <v/>
      </c>
    </row>
    <row r="52">
      <c r="A52" s="19" t="n">
        <v>46</v>
      </c>
      <c r="B52" s="19">
        <f>INDEX(Cohorts!$B$7:$BI$7,A52)</f>
        <v/>
      </c>
      <c r="C52" s="19">
        <f>SUM(Cohorts!B117:BI117)</f>
        <v/>
      </c>
      <c r="D52" s="19">
        <f>B52*'Inputs'!$B$13</f>
        <v/>
      </c>
      <c r="E52" s="19">
        <f>-B52*'Inputs'!$B$18-'Inputs'!$B$23</f>
        <v/>
      </c>
      <c r="F52" s="19">
        <f>C52+D52+E52</f>
        <v/>
      </c>
      <c r="G52" s="19">
        <f>G51+F52</f>
        <v/>
      </c>
      <c r="H52" s="19">
        <f>SUM(Cohorts!B55:BI55)</f>
        <v/>
      </c>
      <c r="I52" s="19">
        <f>IF(A52&lt;'Inputs'!$B$22,0,MIN('Inputs'!$B$21,H52*'Inputs'!$B$20*'Inputs'!$B$19))</f>
        <v/>
      </c>
      <c r="J52" s="19">
        <f>MAX(0,-G52)</f>
        <v/>
      </c>
      <c r="K52" s="19">
        <f>MIN(I52,J52)</f>
        <v/>
      </c>
      <c r="L52" s="19">
        <f>J52-K52</f>
        <v/>
      </c>
    </row>
    <row r="53">
      <c r="A53" s="19" t="n">
        <v>47</v>
      </c>
      <c r="B53" s="19">
        <f>INDEX(Cohorts!$B$7:$BI$7,A53)</f>
        <v/>
      </c>
      <c r="C53" s="19">
        <f>SUM(Cohorts!B118:BI118)</f>
        <v/>
      </c>
      <c r="D53" s="19">
        <f>B53*'Inputs'!$B$13</f>
        <v/>
      </c>
      <c r="E53" s="19">
        <f>-B53*'Inputs'!$B$18-'Inputs'!$B$23</f>
        <v/>
      </c>
      <c r="F53" s="19">
        <f>C53+D53+E53</f>
        <v/>
      </c>
      <c r="G53" s="19">
        <f>G52+F53</f>
        <v/>
      </c>
      <c r="H53" s="19">
        <f>SUM(Cohorts!B56:BI56)</f>
        <v/>
      </c>
      <c r="I53" s="19">
        <f>IF(A53&lt;'Inputs'!$B$22,0,MIN('Inputs'!$B$21,H53*'Inputs'!$B$20*'Inputs'!$B$19))</f>
        <v/>
      </c>
      <c r="J53" s="19">
        <f>MAX(0,-G53)</f>
        <v/>
      </c>
      <c r="K53" s="19">
        <f>MIN(I53,J53)</f>
        <v/>
      </c>
      <c r="L53" s="19">
        <f>J53-K53</f>
        <v/>
      </c>
    </row>
    <row r="54">
      <c r="A54" s="19" t="n">
        <v>48</v>
      </c>
      <c r="B54" s="19">
        <f>INDEX(Cohorts!$B$7:$BI$7,A54)</f>
        <v/>
      </c>
      <c r="C54" s="19">
        <f>SUM(Cohorts!B119:BI119)</f>
        <v/>
      </c>
      <c r="D54" s="19">
        <f>B54*'Inputs'!$B$13</f>
        <v/>
      </c>
      <c r="E54" s="19">
        <f>-B54*'Inputs'!$B$18-'Inputs'!$B$23</f>
        <v/>
      </c>
      <c r="F54" s="19">
        <f>C54+D54+E54</f>
        <v/>
      </c>
      <c r="G54" s="19">
        <f>G53+F54</f>
        <v/>
      </c>
      <c r="H54" s="19">
        <f>SUM(Cohorts!B57:BI57)</f>
        <v/>
      </c>
      <c r="I54" s="19">
        <f>IF(A54&lt;'Inputs'!$B$22,0,MIN('Inputs'!$B$21,H54*'Inputs'!$B$20*'Inputs'!$B$19))</f>
        <v/>
      </c>
      <c r="J54" s="19">
        <f>MAX(0,-G54)</f>
        <v/>
      </c>
      <c r="K54" s="19">
        <f>MIN(I54,J54)</f>
        <v/>
      </c>
      <c r="L54" s="19">
        <f>J54-K54</f>
        <v/>
      </c>
    </row>
    <row r="55">
      <c r="A55" s="19" t="n">
        <v>49</v>
      </c>
      <c r="B55" s="19">
        <f>INDEX(Cohorts!$B$7:$BI$7,A55)</f>
        <v/>
      </c>
      <c r="C55" s="19">
        <f>SUM(Cohorts!B120:BI120)</f>
        <v/>
      </c>
      <c r="D55" s="19">
        <f>B55*'Inputs'!$B$13</f>
        <v/>
      </c>
      <c r="E55" s="19">
        <f>-B55*'Inputs'!$B$18-'Inputs'!$B$23</f>
        <v/>
      </c>
      <c r="F55" s="19">
        <f>C55+D55+E55</f>
        <v/>
      </c>
      <c r="G55" s="19">
        <f>G54+F55</f>
        <v/>
      </c>
      <c r="H55" s="19">
        <f>SUM(Cohorts!B58:BI58)</f>
        <v/>
      </c>
      <c r="I55" s="19">
        <f>IF(A55&lt;'Inputs'!$B$22,0,MIN('Inputs'!$B$21,H55*'Inputs'!$B$20*'Inputs'!$B$19))</f>
        <v/>
      </c>
      <c r="J55" s="19">
        <f>MAX(0,-G55)</f>
        <v/>
      </c>
      <c r="K55" s="19">
        <f>MIN(I55,J55)</f>
        <v/>
      </c>
      <c r="L55" s="19">
        <f>J55-K55</f>
        <v/>
      </c>
    </row>
    <row r="56">
      <c r="A56" s="19" t="n">
        <v>50</v>
      </c>
      <c r="B56" s="19">
        <f>INDEX(Cohorts!$B$7:$BI$7,A56)</f>
        <v/>
      </c>
      <c r="C56" s="19">
        <f>SUM(Cohorts!B121:BI121)</f>
        <v/>
      </c>
      <c r="D56" s="19">
        <f>B56*'Inputs'!$B$13</f>
        <v/>
      </c>
      <c r="E56" s="19">
        <f>-B56*'Inputs'!$B$18-'Inputs'!$B$23</f>
        <v/>
      </c>
      <c r="F56" s="19">
        <f>C56+D56+E56</f>
        <v/>
      </c>
      <c r="G56" s="19">
        <f>G55+F56</f>
        <v/>
      </c>
      <c r="H56" s="19">
        <f>SUM(Cohorts!B59:BI59)</f>
        <v/>
      </c>
      <c r="I56" s="19">
        <f>IF(A56&lt;'Inputs'!$B$22,0,MIN('Inputs'!$B$21,H56*'Inputs'!$B$20*'Inputs'!$B$19))</f>
        <v/>
      </c>
      <c r="J56" s="19">
        <f>MAX(0,-G56)</f>
        <v/>
      </c>
      <c r="K56" s="19">
        <f>MIN(I56,J56)</f>
        <v/>
      </c>
      <c r="L56" s="19">
        <f>J56-K56</f>
        <v/>
      </c>
    </row>
    <row r="57">
      <c r="A57" s="19" t="n">
        <v>51</v>
      </c>
      <c r="B57" s="19">
        <f>INDEX(Cohorts!$B$7:$BI$7,A57)</f>
        <v/>
      </c>
      <c r="C57" s="19">
        <f>SUM(Cohorts!B122:BI122)</f>
        <v/>
      </c>
      <c r="D57" s="19">
        <f>B57*'Inputs'!$B$13</f>
        <v/>
      </c>
      <c r="E57" s="19">
        <f>-B57*'Inputs'!$B$18-'Inputs'!$B$23</f>
        <v/>
      </c>
      <c r="F57" s="19">
        <f>C57+D57+E57</f>
        <v/>
      </c>
      <c r="G57" s="19">
        <f>G56+F57</f>
        <v/>
      </c>
      <c r="H57" s="19">
        <f>SUM(Cohorts!B60:BI60)</f>
        <v/>
      </c>
      <c r="I57" s="19">
        <f>IF(A57&lt;'Inputs'!$B$22,0,MIN('Inputs'!$B$21,H57*'Inputs'!$B$20*'Inputs'!$B$19))</f>
        <v/>
      </c>
      <c r="J57" s="19">
        <f>MAX(0,-G57)</f>
        <v/>
      </c>
      <c r="K57" s="19">
        <f>MIN(I57,J57)</f>
        <v/>
      </c>
      <c r="L57" s="19">
        <f>J57-K57</f>
        <v/>
      </c>
    </row>
    <row r="58">
      <c r="A58" s="19" t="n">
        <v>52</v>
      </c>
      <c r="B58" s="19">
        <f>INDEX(Cohorts!$B$7:$BI$7,A58)</f>
        <v/>
      </c>
      <c r="C58" s="19">
        <f>SUM(Cohorts!B123:BI123)</f>
        <v/>
      </c>
      <c r="D58" s="19">
        <f>B58*'Inputs'!$B$13</f>
        <v/>
      </c>
      <c r="E58" s="19">
        <f>-B58*'Inputs'!$B$18-'Inputs'!$B$23</f>
        <v/>
      </c>
      <c r="F58" s="19">
        <f>C58+D58+E58</f>
        <v/>
      </c>
      <c r="G58" s="19">
        <f>G57+F58</f>
        <v/>
      </c>
      <c r="H58" s="19">
        <f>SUM(Cohorts!B61:BI61)</f>
        <v/>
      </c>
      <c r="I58" s="19">
        <f>IF(A58&lt;'Inputs'!$B$22,0,MIN('Inputs'!$B$21,H58*'Inputs'!$B$20*'Inputs'!$B$19))</f>
        <v/>
      </c>
      <c r="J58" s="19">
        <f>MAX(0,-G58)</f>
        <v/>
      </c>
      <c r="K58" s="19">
        <f>MIN(I58,J58)</f>
        <v/>
      </c>
      <c r="L58" s="19">
        <f>J58-K58</f>
        <v/>
      </c>
    </row>
    <row r="59">
      <c r="A59" s="19" t="n">
        <v>53</v>
      </c>
      <c r="B59" s="19">
        <f>INDEX(Cohorts!$B$7:$BI$7,A59)</f>
        <v/>
      </c>
      <c r="C59" s="19">
        <f>SUM(Cohorts!B124:BI124)</f>
        <v/>
      </c>
      <c r="D59" s="19">
        <f>B59*'Inputs'!$B$13</f>
        <v/>
      </c>
      <c r="E59" s="19">
        <f>-B59*'Inputs'!$B$18-'Inputs'!$B$23</f>
        <v/>
      </c>
      <c r="F59" s="19">
        <f>C59+D59+E59</f>
        <v/>
      </c>
      <c r="G59" s="19">
        <f>G58+F59</f>
        <v/>
      </c>
      <c r="H59" s="19">
        <f>SUM(Cohorts!B62:BI62)</f>
        <v/>
      </c>
      <c r="I59" s="19">
        <f>IF(A59&lt;'Inputs'!$B$22,0,MIN('Inputs'!$B$21,H59*'Inputs'!$B$20*'Inputs'!$B$19))</f>
        <v/>
      </c>
      <c r="J59" s="19">
        <f>MAX(0,-G59)</f>
        <v/>
      </c>
      <c r="K59" s="19">
        <f>MIN(I59,J59)</f>
        <v/>
      </c>
      <c r="L59" s="19">
        <f>J59-K59</f>
        <v/>
      </c>
    </row>
    <row r="60">
      <c r="A60" s="19" t="n">
        <v>54</v>
      </c>
      <c r="B60" s="19">
        <f>INDEX(Cohorts!$B$7:$BI$7,A60)</f>
        <v/>
      </c>
      <c r="C60" s="19">
        <f>SUM(Cohorts!B125:BI125)</f>
        <v/>
      </c>
      <c r="D60" s="19">
        <f>B60*'Inputs'!$B$13</f>
        <v/>
      </c>
      <c r="E60" s="19">
        <f>-B60*'Inputs'!$B$18-'Inputs'!$B$23</f>
        <v/>
      </c>
      <c r="F60" s="19">
        <f>C60+D60+E60</f>
        <v/>
      </c>
      <c r="G60" s="19">
        <f>G59+F60</f>
        <v/>
      </c>
      <c r="H60" s="19">
        <f>SUM(Cohorts!B63:BI63)</f>
        <v/>
      </c>
      <c r="I60" s="19">
        <f>IF(A60&lt;'Inputs'!$B$22,0,MIN('Inputs'!$B$21,H60*'Inputs'!$B$20*'Inputs'!$B$19))</f>
        <v/>
      </c>
      <c r="J60" s="19">
        <f>MAX(0,-G60)</f>
        <v/>
      </c>
      <c r="K60" s="19">
        <f>MIN(I60,J60)</f>
        <v/>
      </c>
      <c r="L60" s="19">
        <f>J60-K60</f>
        <v/>
      </c>
    </row>
    <row r="61">
      <c r="A61" s="19" t="n">
        <v>55</v>
      </c>
      <c r="B61" s="19">
        <f>INDEX(Cohorts!$B$7:$BI$7,A61)</f>
        <v/>
      </c>
      <c r="C61" s="19">
        <f>SUM(Cohorts!B126:BI126)</f>
        <v/>
      </c>
      <c r="D61" s="19">
        <f>B61*'Inputs'!$B$13</f>
        <v/>
      </c>
      <c r="E61" s="19">
        <f>-B61*'Inputs'!$B$18-'Inputs'!$B$23</f>
        <v/>
      </c>
      <c r="F61" s="19">
        <f>C61+D61+E61</f>
        <v/>
      </c>
      <c r="G61" s="19">
        <f>G60+F61</f>
        <v/>
      </c>
      <c r="H61" s="19">
        <f>SUM(Cohorts!B64:BI64)</f>
        <v/>
      </c>
      <c r="I61" s="19">
        <f>IF(A61&lt;'Inputs'!$B$22,0,MIN('Inputs'!$B$21,H61*'Inputs'!$B$20*'Inputs'!$B$19))</f>
        <v/>
      </c>
      <c r="J61" s="19">
        <f>MAX(0,-G61)</f>
        <v/>
      </c>
      <c r="K61" s="19">
        <f>MIN(I61,J61)</f>
        <v/>
      </c>
      <c r="L61" s="19">
        <f>J61-K61</f>
        <v/>
      </c>
    </row>
    <row r="62">
      <c r="A62" s="19" t="n">
        <v>56</v>
      </c>
      <c r="B62" s="19">
        <f>INDEX(Cohorts!$B$7:$BI$7,A62)</f>
        <v/>
      </c>
      <c r="C62" s="19">
        <f>SUM(Cohorts!B127:BI127)</f>
        <v/>
      </c>
      <c r="D62" s="19">
        <f>B62*'Inputs'!$B$13</f>
        <v/>
      </c>
      <c r="E62" s="19">
        <f>-B62*'Inputs'!$B$18-'Inputs'!$B$23</f>
        <v/>
      </c>
      <c r="F62" s="19">
        <f>C62+D62+E62</f>
        <v/>
      </c>
      <c r="G62" s="19">
        <f>G61+F62</f>
        <v/>
      </c>
      <c r="H62" s="19">
        <f>SUM(Cohorts!B65:BI65)</f>
        <v/>
      </c>
      <c r="I62" s="19">
        <f>IF(A62&lt;'Inputs'!$B$22,0,MIN('Inputs'!$B$21,H62*'Inputs'!$B$20*'Inputs'!$B$19))</f>
        <v/>
      </c>
      <c r="J62" s="19">
        <f>MAX(0,-G62)</f>
        <v/>
      </c>
      <c r="K62" s="19">
        <f>MIN(I62,J62)</f>
        <v/>
      </c>
      <c r="L62" s="19">
        <f>J62-K62</f>
        <v/>
      </c>
    </row>
    <row r="63">
      <c r="A63" s="19" t="n">
        <v>57</v>
      </c>
      <c r="B63" s="19">
        <f>INDEX(Cohorts!$B$7:$BI$7,A63)</f>
        <v/>
      </c>
      <c r="C63" s="19">
        <f>SUM(Cohorts!B128:BI128)</f>
        <v/>
      </c>
      <c r="D63" s="19">
        <f>B63*'Inputs'!$B$13</f>
        <v/>
      </c>
      <c r="E63" s="19">
        <f>-B63*'Inputs'!$B$18-'Inputs'!$B$23</f>
        <v/>
      </c>
      <c r="F63" s="19">
        <f>C63+D63+E63</f>
        <v/>
      </c>
      <c r="G63" s="19">
        <f>G62+F63</f>
        <v/>
      </c>
      <c r="H63" s="19">
        <f>SUM(Cohorts!B66:BI66)</f>
        <v/>
      </c>
      <c r="I63" s="19">
        <f>IF(A63&lt;'Inputs'!$B$22,0,MIN('Inputs'!$B$21,H63*'Inputs'!$B$20*'Inputs'!$B$19))</f>
        <v/>
      </c>
      <c r="J63" s="19">
        <f>MAX(0,-G63)</f>
        <v/>
      </c>
      <c r="K63" s="19">
        <f>MIN(I63,J63)</f>
        <v/>
      </c>
      <c r="L63" s="19">
        <f>J63-K63</f>
        <v/>
      </c>
    </row>
    <row r="64">
      <c r="A64" s="19" t="n">
        <v>58</v>
      </c>
      <c r="B64" s="19">
        <f>INDEX(Cohorts!$B$7:$BI$7,A64)</f>
        <v/>
      </c>
      <c r="C64" s="19">
        <f>SUM(Cohorts!B129:BI129)</f>
        <v/>
      </c>
      <c r="D64" s="19">
        <f>B64*'Inputs'!$B$13</f>
        <v/>
      </c>
      <c r="E64" s="19">
        <f>-B64*'Inputs'!$B$18-'Inputs'!$B$23</f>
        <v/>
      </c>
      <c r="F64" s="19">
        <f>C64+D64+E64</f>
        <v/>
      </c>
      <c r="G64" s="19">
        <f>G63+F64</f>
        <v/>
      </c>
      <c r="H64" s="19">
        <f>SUM(Cohorts!B67:BI67)</f>
        <v/>
      </c>
      <c r="I64" s="19">
        <f>IF(A64&lt;'Inputs'!$B$22,0,MIN('Inputs'!$B$21,H64*'Inputs'!$B$20*'Inputs'!$B$19))</f>
        <v/>
      </c>
      <c r="J64" s="19">
        <f>MAX(0,-G64)</f>
        <v/>
      </c>
      <c r="K64" s="19">
        <f>MIN(I64,J64)</f>
        <v/>
      </c>
      <c r="L64" s="19">
        <f>J64-K64</f>
        <v/>
      </c>
    </row>
    <row r="65">
      <c r="A65" s="19" t="n">
        <v>59</v>
      </c>
      <c r="B65" s="19">
        <f>INDEX(Cohorts!$B$7:$BI$7,A65)</f>
        <v/>
      </c>
      <c r="C65" s="19">
        <f>SUM(Cohorts!B130:BI130)</f>
        <v/>
      </c>
      <c r="D65" s="19">
        <f>B65*'Inputs'!$B$13</f>
        <v/>
      </c>
      <c r="E65" s="19">
        <f>-B65*'Inputs'!$B$18-'Inputs'!$B$23</f>
        <v/>
      </c>
      <c r="F65" s="19">
        <f>C65+D65+E65</f>
        <v/>
      </c>
      <c r="G65" s="19">
        <f>G64+F65</f>
        <v/>
      </c>
      <c r="H65" s="19">
        <f>SUM(Cohorts!B68:BI68)</f>
        <v/>
      </c>
      <c r="I65" s="19">
        <f>IF(A65&lt;'Inputs'!$B$22,0,MIN('Inputs'!$B$21,H65*'Inputs'!$B$20*'Inputs'!$B$19))</f>
        <v/>
      </c>
      <c r="J65" s="19">
        <f>MAX(0,-G65)</f>
        <v/>
      </c>
      <c r="K65" s="19">
        <f>MIN(I65,J65)</f>
        <v/>
      </c>
      <c r="L65" s="19">
        <f>J65-K65</f>
        <v/>
      </c>
    </row>
    <row r="66">
      <c r="A66" s="19" t="n">
        <v>60</v>
      </c>
      <c r="B66" s="19">
        <f>INDEX(Cohorts!$B$7:$BI$7,A66)</f>
        <v/>
      </c>
      <c r="C66" s="19">
        <f>SUM(Cohorts!B131:BI131)</f>
        <v/>
      </c>
      <c r="D66" s="19">
        <f>B66*'Inputs'!$B$13</f>
        <v/>
      </c>
      <c r="E66" s="19">
        <f>-B66*'Inputs'!$B$18-'Inputs'!$B$23</f>
        <v/>
      </c>
      <c r="F66" s="19">
        <f>C66+D66+E66</f>
        <v/>
      </c>
      <c r="G66" s="19">
        <f>G65+F66</f>
        <v/>
      </c>
      <c r="H66" s="19">
        <f>SUM(Cohorts!B69:BI69)</f>
        <v/>
      </c>
      <c r="I66" s="19">
        <f>IF(A66&lt;'Inputs'!$B$22,0,MIN('Inputs'!$B$21,H66*'Inputs'!$B$20*'Inputs'!$B$19))</f>
        <v/>
      </c>
      <c r="J66" s="19">
        <f>MAX(0,-G66)</f>
        <v/>
      </c>
      <c r="K66" s="19">
        <f>MIN(I66,J66)</f>
        <v/>
      </c>
      <c r="L66" s="19">
        <f>J66-K66</f>
        <v/>
      </c>
    </row>
  </sheetData>
  <printOptions horizontalCentered="1"/>
  <pageMargins left="0.5" right="0.5" top="0.6" bottom="0.7" header="0.5" footer="0.5"/>
  <pageSetup orientation="landscape" paperSize="9" fitToHeight="0" fitToWidth="1"/>
  <headerFooter>
    <oddHeader/>
    <oddFooter>&amp;L&amp;"Arial"&amp;8 Africa Energy Finance | Volume 2 Decision tool D4&amp;C&amp;"Arial"&amp;8 &amp;A&amp;R&amp;"Arial"&amp;8 Page &amp;P of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G18"/>
  <sheetViews>
    <sheetView showGridLines="0" workbookViewId="0">
      <selection activeCell="A1" sqref="A1"/>
    </sheetView>
  </sheetViews>
  <sheetFormatPr baseColWidth="8" defaultRowHeight="15"/>
  <cols>
    <col width="44" customWidth="1" min="1" max="1"/>
    <col width="14" customWidth="1" min="2" max="2"/>
    <col width="14" customWidth="1" min="3" max="3"/>
    <col width="14" customWidth="1" min="4" max="4"/>
    <col width="14" customWidth="1" min="5" max="5"/>
    <col width="14" customWidth="1" min="6" max="6"/>
    <col width="4" customWidth="1" min="7" max="7"/>
  </cols>
  <sheetData>
    <row r="1">
      <c r="A1" s="1" t="inlineStr">
        <is>
          <t>AFRICA ENERGY FINANCE  |  VOLUME 2  |  SOLAR HOME SYSTEMS</t>
        </is>
      </c>
      <c r="B1" s="2" t="n"/>
      <c r="C1" s="2" t="n"/>
      <c r="D1" s="2" t="n"/>
      <c r="E1" s="2" t="n"/>
      <c r="F1" s="2" t="n"/>
      <c r="G1" s="2" t="n"/>
    </row>
    <row r="2" ht="22" customHeight="1">
      <c r="A2" s="3" t="inlineStr">
        <is>
          <t>Funding summary</t>
        </is>
      </c>
      <c r="B2" s="2" t="n"/>
      <c r="C2" s="2" t="n"/>
      <c r="D2" s="2" t="n"/>
      <c r="E2" s="2" t="n"/>
      <c r="F2" s="2" t="n"/>
      <c r="G2" s="2" t="n"/>
    </row>
    <row r="3">
      <c r="A3" s="4" t="inlineStr">
        <is>
          <t>Year end and peak values</t>
        </is>
      </c>
      <c r="B3" s="2" t="n"/>
      <c r="C3" s="2" t="n"/>
      <c r="D3" s="2" t="n"/>
      <c r="E3" s="2" t="n"/>
      <c r="F3" s="2" t="n"/>
      <c r="G3" s="2" t="n"/>
    </row>
    <row r="4">
      <c r="A4" s="5" t="inlineStr">
        <is>
          <t>Decision tool D4  |  Version 1.0  |  Author &amp; ideation: Emmanuel Boujieka Kamga</t>
        </is>
      </c>
      <c r="B4" s="6" t="n"/>
      <c r="C4" s="6" t="n"/>
      <c r="D4" s="6" t="n"/>
      <c r="E4" s="6" t="n"/>
      <c r="F4" s="6" t="n"/>
      <c r="G4" s="6" t="n"/>
    </row>
    <row r="5"/>
    <row r="6" ht="30" customHeight="1">
      <c r="A6" s="20" t="inlineStr">
        <is>
          <t>Item</t>
        </is>
      </c>
      <c r="B6" s="20" t="inlineStr">
        <is>
          <t>Year 1</t>
        </is>
      </c>
      <c r="C6" s="20" t="inlineStr">
        <is>
          <t>Year 2</t>
        </is>
      </c>
      <c r="D6" s="20" t="inlineStr">
        <is>
          <t>Year 3</t>
        </is>
      </c>
      <c r="E6" s="20" t="inlineStr">
        <is>
          <t>Year 4</t>
        </is>
      </c>
      <c r="F6" s="20" t="inlineStr">
        <is>
          <t>Year 5</t>
        </is>
      </c>
      <c r="G6" s="20" t="inlineStr"/>
    </row>
    <row r="7">
      <c r="A7" s="11" t="inlineStr">
        <is>
          <t>Receivables, carrying amount (year end)</t>
        </is>
      </c>
      <c r="B7" s="19">
        <f>Funding!H18</f>
        <v/>
      </c>
      <c r="C7" s="19">
        <f>Funding!H30</f>
        <v/>
      </c>
      <c r="D7" s="19">
        <f>Funding!H42</f>
        <v/>
      </c>
      <c r="E7" s="19">
        <f>Funding!H54</f>
        <v/>
      </c>
      <c r="F7" s="19">
        <f>Funding!H66</f>
        <v/>
      </c>
    </row>
    <row r="8">
      <c r="A8" s="11" t="inlineStr">
        <is>
          <t>Facility drawn (year end)</t>
        </is>
      </c>
      <c r="B8" s="19">
        <f>Funding!K18</f>
        <v/>
      </c>
      <c r="C8" s="19">
        <f>Funding!K30</f>
        <v/>
      </c>
      <c r="D8" s="19">
        <f>Funding!K42</f>
        <v/>
      </c>
      <c r="E8" s="19">
        <f>Funding!K54</f>
        <v/>
      </c>
      <c r="F8" s="19">
        <f>Funding!K66</f>
        <v/>
      </c>
    </row>
    <row r="9">
      <c r="A9" s="11" t="inlineStr">
        <is>
          <t>Equity required (year end)</t>
        </is>
      </c>
      <c r="B9" s="19">
        <f>Funding!L18</f>
        <v/>
      </c>
      <c r="C9" s="19">
        <f>Funding!L30</f>
        <v/>
      </c>
      <c r="D9" s="19">
        <f>Funding!L42</f>
        <v/>
      </c>
      <c r="E9" s="19">
        <f>Funding!L54</f>
        <v/>
      </c>
      <c r="F9" s="19">
        <f>Funding!L66</f>
        <v/>
      </c>
    </row>
    <row r="10">
      <c r="A10" s="11" t="inlineStr">
        <is>
          <t>Cumulative net cash (year end)</t>
        </is>
      </c>
      <c r="B10" s="19">
        <f>Funding!G18</f>
        <v/>
      </c>
      <c r="C10" s="19">
        <f>Funding!G30</f>
        <v/>
      </c>
      <c r="D10" s="19">
        <f>Funding!G42</f>
        <v/>
      </c>
      <c r="E10" s="19">
        <f>Funding!G54</f>
        <v/>
      </c>
      <c r="F10" s="19">
        <f>Funding!G66</f>
        <v/>
      </c>
    </row>
    <row r="11"/>
    <row r="12">
      <c r="A12" s="9" t="inlineStr">
        <is>
          <t>Peak funding need</t>
        </is>
      </c>
      <c r="B12" s="22">
        <f>MAX(Funding!J7:J66)</f>
        <v/>
      </c>
    </row>
    <row r="13">
      <c r="A13" s="9" t="inlineStr">
        <is>
          <t>Peak facility drawn</t>
        </is>
      </c>
      <c r="B13" s="22">
        <f>MAX(Funding!K7:K66)</f>
        <v/>
      </c>
    </row>
    <row r="14">
      <c r="A14" s="9" t="inlineStr">
        <is>
          <t>Peak equity required</t>
        </is>
      </c>
      <c r="B14" s="22">
        <f>MAX(Funding!L7:L66)</f>
        <v/>
      </c>
    </row>
    <row r="15">
      <c r="A15" s="11" t="inlineStr">
        <is>
          <t>Month of peak equity</t>
        </is>
      </c>
      <c r="B15" s="19">
        <f>MATCH(B14,Funding!L7:L66,0)</f>
        <v/>
      </c>
    </row>
    <row r="16">
      <c r="A16" s="9" t="inlineStr">
        <is>
          <t>Peak equity required (USD)</t>
        </is>
      </c>
      <c r="B16" s="22">
        <f>B14/'Inputs'!$B$24</f>
        <v/>
      </c>
    </row>
    <row r="17"/>
    <row r="18">
      <c r="A18" s="18" t="inlineStr">
        <is>
          <t>Receivables are the carrying amount of paying accounts (remaining instalments less unearned premium), the basis on which the facility advances. Defaulted balances are written off as they fall due. Interest, tax and capex are excluded.</t>
        </is>
      </c>
    </row>
  </sheetData>
  <printOptions horizontalCentered="1"/>
  <pageMargins left="0.5" right="0.5" top="0.6" bottom="0.7" header="0.5" footer="0.5"/>
  <pageSetup orientation="portrait" paperSize="9" fitToHeight="0" fitToWidth="1"/>
  <headerFooter>
    <oddHeader/>
    <oddFooter>&amp;L&amp;"Arial"&amp;8 Africa Energy Finance | Volume 2 Decision tool D4&amp;C&amp;"Arial"&amp;8 &amp;A&amp;R&amp;"Arial"&amp;8 Page &amp;P of &amp;N</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outlinePr summaryBelow="1" summaryRight="1"/>
    <pageSetUpPr fitToPage="1"/>
  </sheetPr>
  <dimension ref="A1:F15"/>
  <sheetViews>
    <sheetView showGridLines="0" workbookViewId="0">
      <selection activeCell="A1" sqref="A1"/>
    </sheetView>
  </sheetViews>
  <sheetFormatPr baseColWidth="8" defaultRowHeight="15"/>
  <cols>
    <col width="52" customWidth="1" min="1" max="1"/>
    <col width="14" customWidth="1" min="2" max="2"/>
    <col width="14" customWidth="1" min="3" max="3"/>
    <col width="14" customWidth="1" min="4" max="4"/>
    <col width="4" customWidth="1" min="5" max="5"/>
    <col width="4" customWidth="1" min="6" max="6"/>
  </cols>
  <sheetData>
    <row r="1">
      <c r="A1" s="1" t="inlineStr">
        <is>
          <t>AFRICA ENERGY FINANCE  |  VOLUME 2  |  SOLAR HOME SYSTEMS</t>
        </is>
      </c>
      <c r="B1" s="2" t="n"/>
      <c r="C1" s="2" t="n"/>
      <c r="D1" s="2" t="n"/>
      <c r="E1" s="2" t="n"/>
      <c r="F1" s="2" t="n"/>
    </row>
    <row r="2" ht="22" customHeight="1">
      <c r="A2" s="3" t="inlineStr">
        <is>
          <t>Local currency or dollar debt</t>
        </is>
      </c>
      <c r="B2" s="2" t="n"/>
      <c r="C2" s="2" t="n"/>
      <c r="D2" s="2" t="n"/>
      <c r="E2" s="2" t="n"/>
      <c r="F2" s="2" t="n"/>
    </row>
    <row r="3">
      <c r="A3" s="4" t="inlineStr">
        <is>
          <t>Cost of dollar debt in local currency terms</t>
        </is>
      </c>
      <c r="B3" s="2" t="n"/>
      <c r="C3" s="2" t="n"/>
      <c r="D3" s="2" t="n"/>
      <c r="E3" s="2" t="n"/>
      <c r="F3" s="2" t="n"/>
    </row>
    <row r="4">
      <c r="A4" s="5" t="inlineStr">
        <is>
          <t>Decision tool D4  |  Version 1.0  |  Author &amp; ideation: Emmanuel Boujieka Kamga</t>
        </is>
      </c>
      <c r="B4" s="6" t="n"/>
      <c r="C4" s="6" t="n"/>
      <c r="D4" s="6" t="n"/>
      <c r="E4" s="6" t="n"/>
      <c r="F4" s="6" t="n"/>
    </row>
    <row r="5"/>
    <row r="6">
      <c r="A6" s="11" t="inlineStr">
        <is>
          <t>Dollar interest rate</t>
        </is>
      </c>
      <c r="B6" s="17" t="n">
        <v>0.1</v>
      </c>
    </row>
    <row r="7">
      <c r="A7" s="11" t="inlineStr">
        <is>
          <t>Local currency facility rate</t>
        </is>
      </c>
      <c r="B7" s="17" t="n">
        <v>0.16</v>
      </c>
    </row>
    <row r="8">
      <c r="A8" s="9" t="inlineStr">
        <is>
          <t>Break even depreciation of the local currency, per year</t>
        </is>
      </c>
      <c r="B8" s="23">
        <f>(1+B7)/(1+B6)-1</f>
        <v/>
      </c>
    </row>
    <row r="9"/>
    <row r="10" ht="30" customHeight="1">
      <c r="A10" s="20" t="inlineStr">
        <is>
          <t>Depreciation scenario</t>
        </is>
      </c>
      <c r="B10" s="20" t="inlineStr">
        <is>
          <t>Depreciation per year</t>
        </is>
      </c>
      <c r="C10" s="20" t="inlineStr">
        <is>
          <t>Dollar debt cost in local currency</t>
        </is>
      </c>
      <c r="D10" s="20" t="inlineStr">
        <is>
          <t>Cheaper</t>
        </is>
      </c>
    </row>
    <row r="11">
      <c r="A11" s="11" t="inlineStr">
        <is>
          <t>Base</t>
        </is>
      </c>
      <c r="B11" s="17" t="n">
        <v>0.05</v>
      </c>
      <c r="C11" s="21">
        <f>(1+$B$6)*(1+B11)-1</f>
        <v/>
      </c>
      <c r="D11" s="12">
        <f>IF(C11&gt;$B$7,"Local currency","Dollar debt")</f>
        <v/>
      </c>
    </row>
    <row r="12">
      <c r="A12" s="11" t="inlineStr">
        <is>
          <t>Downside</t>
        </is>
      </c>
      <c r="B12" s="17" t="n">
        <v>0.12</v>
      </c>
      <c r="C12" s="21">
        <f>(1+$B$6)*(1+B12)-1</f>
        <v/>
      </c>
      <c r="D12" s="12">
        <f>IF(C12&gt;$B$7,"Local currency","Dollar debt")</f>
        <v/>
      </c>
    </row>
    <row r="13">
      <c r="A13" s="11" t="inlineStr">
        <is>
          <t>Severe</t>
        </is>
      </c>
      <c r="B13" s="17" t="n">
        <v>0.25</v>
      </c>
      <c r="C13" s="21">
        <f>(1+$B$6)*(1+B13)-1</f>
        <v/>
      </c>
      <c r="D13" s="12">
        <f>IF(C13&gt;$B$7,"Local currency","Dollar debt")</f>
        <v/>
      </c>
    </row>
    <row r="14"/>
    <row r="15">
      <c r="A15" s="18" t="inlineStr">
        <is>
          <t>The comparison covers the expected cost only. Dollar debt also carries the volatility of the exchange rate and the translation loss on the principal, which local currency debt does not (Chapter 10).</t>
        </is>
      </c>
    </row>
  </sheetData>
  <printOptions horizontalCentered="1"/>
  <pageMargins left="0.5" right="0.5" top="0.6" bottom="0.7" header="0.5" footer="0.5"/>
  <pageSetup orientation="portrait" paperSize="9" fitToHeight="0" fitToWidth="1"/>
  <headerFooter>
    <oddHeader/>
    <oddFooter>&amp;L&amp;"Arial"&amp;8 Africa Energy Finance | Volume 2 Decision tool D4&amp;C&amp;"Arial"&amp;8 &amp;A&amp;R&amp;"Arial"&amp;8 Page &amp;P of &amp;N</oddFooter>
    <evenHeader/>
    <evenFooter/>
    <firstHeader/>
    <firstFooter/>
  </headerFooter>
</worksheet>
</file>

<file path=docProps/app.xml><?xml version="1.0" encoding="utf-8"?>
<Properties xmlns="http://schemas.openxmlformats.org/officeDocument/2006/extended-properties">
  <Application>Africa Energy Finance</Application>
  <AppVersion>3.1</AppVersion>
</Properties>
</file>

<file path=docProps/core.xml><?xml version="1.0" encoding="utf-8"?>
<cp:coreProperties xmlns:cp="http://schemas.openxmlformats.org/package/2006/metadata/core-properties">
  <dc:creator xmlns:dc="http://purl.org/dc/elements/1.1/">Emmanuel Boujieka Kamga</dc:creator>
  <dc:title xmlns:dc="http://purl.org/dc/elements/1.1/">AEF Volume 2 Decision Tool D4: Receivables financing calculator</dc:title>
  <dc:subject xmlns:dc="http://purl.org/dc/elements/1.1/">Africa Energy Finance, Volume 2 Decision Tools</dc:subject>
  <dcterms:created xmlns:dcterms="http://purl.org/dc/terms/" xmlns:xsi="http://www.w3.org/2001/XMLSchema-instance" xsi:type="dcterms:W3CDTF">2026-10-02T21:09:48Z</dcterms:created>
  <dcterms:modified xmlns:dcterms="http://purl.org/dc/terms/" xmlns:xsi="http://www.w3.org/2001/XMLSchema-instance" xsi:type="dcterms:W3CDTF">2026-10-02T21:09:48Z</dcterms:modified>
  <cp:lastModifiedBy>Emmanuel Boujieka Kamga</cp:lastModifiedBy>
  <cp:keywords>Africa Energy Finance; Volume 2; PAYGo; template</cp:keywords>
</cp:coreProperties>
</file>