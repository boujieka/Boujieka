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0"/>
    <numFmt numFmtId="165" formatCode="0.00&quot;x&quot;;(0.00&quot;x&quot;);0.00&quot;x&quot;"/>
    <numFmt numFmtId="166" formatCode="#,##0.0;(#,##0.0);0.0"/>
    <numFmt numFmtId="167" formatCode="0.0%;(0.0%);0.0%"/>
  </numFmts>
  <fonts count="11">
    <font>
      <name val="Calibri"/>
      <family val="2"/>
      <color theme="1"/>
      <sz val="11"/>
      <scheme val="minor"/>
    </font>
    <font>
      <name val="Arial"/>
      <b val="1"/>
      <color rgb="00E3C27A"/>
      <sz val="8"/>
    </font>
    <font>
      <name val="Arial"/>
      <b val="1"/>
      <color rgb="00FFFFFF"/>
      <sz val="15"/>
    </font>
    <font>
      <name val="Arial"/>
      <i val="1"/>
      <color rgb="00E8E8E8"/>
      <sz val="9"/>
    </font>
    <font>
      <name val="Arial"/>
      <color rgb="00666666"/>
      <sz val="8"/>
    </font>
    <font>
      <name val="Arial"/>
      <b val="1"/>
      <color rgb="000B3020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020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bottom style="medium">
        <color rgb="00B07C0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2" pivotButton="0" quotePrefix="0" xfId="0"/>
    <xf numFmtId="0" fontId="6" fillId="0" borderId="0" pivotButton="0" quotePrefix="0" xfId="0"/>
    <xf numFmtId="0" fontId="6" fillId="0" borderId="2" pivotButton="0" quotePrefix="0" xfId="0"/>
    <xf numFmtId="0" fontId="9" fillId="0" borderId="0" applyAlignment="1" pivotButton="0" quotePrefix="0" xfId="0">
      <alignment vertical="top" wrapText="1"/>
    </xf>
    <xf numFmtId="164" fontId="8" fillId="3" borderId="2" pivotButton="0" quotePrefix="0" xfId="0"/>
    <xf numFmtId="165" fontId="8" fillId="3" borderId="2" pivotButton="0" quotePrefix="0" xfId="0"/>
    <xf numFmtId="166" fontId="8" fillId="3" borderId="2" pivotButton="0" quotePrefix="0" xfId="0"/>
    <xf numFmtId="167" fontId="8" fillId="3" borderId="2" pivotButton="0" quotePrefix="0" xfId="0"/>
    <xf numFmtId="0" fontId="10" fillId="2" borderId="2" applyAlignment="1" pivotButton="0" quotePrefix="0" xfId="0">
      <alignment vertical="center" wrapText="1"/>
    </xf>
    <xf numFmtId="167" fontId="6" fillId="0" borderId="2" pivotButton="0" quotePrefix="0" xfId="0"/>
    <xf numFmtId="164" fontId="6" fillId="0" borderId="2" pivotButton="0" quotePrefix="0" xfId="0"/>
    <xf numFmtId="166" fontId="6" fillId="0" borderId="2" pivotButton="0" quotePrefix="0" xfId="0"/>
    <xf numFmtId="165" fontId="7" fillId="0" borderId="2" pivotButton="0" quotePrefix="0" xfId="0"/>
    <xf numFmtId="167" fontId="7" fillId="0" borderId="2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Investor returns calculator</t>
        </is>
      </c>
      <c r="B2" s="2" t="n"/>
      <c r="C2" s="2" t="n"/>
      <c r="D2" s="2" t="n"/>
      <c r="E2" s="2" t="n"/>
      <c r="F2" s="2" t="n"/>
    </row>
    <row r="3">
      <c r="A3" s="4" t="inlineStr">
        <is>
          <t>How to use this template</t>
        </is>
      </c>
      <c r="B3" s="2" t="n"/>
      <c r="C3" s="2" t="n"/>
      <c r="D3" s="2" t="n"/>
      <c r="E3" s="2" t="n"/>
      <c r="F3" s="2" t="n"/>
    </row>
    <row r="4">
      <c r="A4" s="5" t="inlineStr">
        <is>
          <t>Decision tool D6  |  Version 0.9 (pre-release)  |  Author &amp; ideation: Emmanuel Boujieka Kamga</t>
        </is>
      </c>
      <c r="B4" s="6" t="n"/>
      <c r="C4" s="6" t="n"/>
      <c r="D4" s="6" t="n"/>
      <c r="E4" s="6" t="n"/>
      <c r="F4" s="6" t="n"/>
    </row>
    <row r="5"/>
    <row r="6">
      <c r="A6" s="7" t="inlineStr">
        <is>
          <t>Purpose</t>
        </is>
      </c>
      <c r="B6" s="6" t="n"/>
      <c r="C6" s="6" t="n"/>
      <c r="D6" s="6" t="n"/>
      <c r="E6" s="6" t="n"/>
      <c r="F6" s="6" t="n"/>
    </row>
    <row r="7">
      <c r="A7" s="8" t="inlineStr">
        <is>
          <t>Translates an entry price and an exit case into the investor's stake, multiple and IRR in US dollars, including the effect of currency depreciation and of follow on equity; solves for the highest pre money valuation that meets a target IRR; and tabulates the IRR across exit multiples and depreciation rates.</t>
        </is>
      </c>
    </row>
    <row r="8"/>
    <row r="9"/>
    <row r="10"/>
    <row r="11">
      <c r="A11" s="7" t="inlineStr">
        <is>
          <t>How to use it</t>
        </is>
      </c>
      <c r="B11" s="6" t="n"/>
      <c r="C11" s="6" t="n"/>
      <c r="D11" s="6" t="n"/>
      <c r="E11" s="6" t="n"/>
      <c r="F11" s="6" t="n"/>
    </row>
    <row r="12" ht="15" customHeight="1">
      <c r="A12" s="9" t="inlineStr">
        <is>
          <t>Step 1</t>
        </is>
      </c>
      <c r="B12" s="8" t="inlineStr">
        <is>
          <t>Enter the ticket, the pre money valuation, the exit year and the exit case in local currency.</t>
        </is>
      </c>
    </row>
    <row r="13" ht="15" customHeight="1">
      <c r="A13" s="9" t="inlineStr">
        <is>
          <t>Step 2</t>
        </is>
      </c>
      <c r="B13" s="8" t="inlineStr">
        <is>
          <t>Enter expected depreciation and any follow on equity calls the investor must fund pro rata.</t>
        </is>
      </c>
    </row>
    <row r="14" ht="30" customHeight="1">
      <c r="A14" s="9" t="inlineStr">
        <is>
          <t>Step 3</t>
        </is>
      </c>
      <c r="B14" s="8" t="inlineStr">
        <is>
          <t>Read stake, exit proceeds, multiple and IRR; then the maximum pre money valuation for the target IRR.</t>
        </is>
      </c>
    </row>
    <row r="15" ht="15" customHeight="1">
      <c r="A15" s="9" t="inlineStr">
        <is>
          <t>Step 4</t>
        </is>
      </c>
      <c r="B15" s="8" t="inlineStr">
        <is>
          <t>Use the grid to see how much of the return depends on the exit multiple and on the currency.</t>
        </is>
      </c>
    </row>
    <row r="16"/>
    <row r="17">
      <c r="A17" s="7" t="inlineStr">
        <is>
          <t>Colour code</t>
        </is>
      </c>
      <c r="B17" s="6" t="n"/>
      <c r="C17" s="6" t="n"/>
      <c r="D17" s="6" t="n"/>
      <c r="E17" s="6" t="n"/>
      <c r="F17" s="6" t="n"/>
    </row>
    <row r="18">
      <c r="A18" s="10" t="inlineStr">
        <is>
          <t>Input</t>
        </is>
      </c>
      <c r="B18" s="11" t="inlineStr">
        <is>
          <t>Blue font on cream: the only cells to edit</t>
        </is>
      </c>
    </row>
    <row r="19">
      <c r="A19" s="12" t="inlineStr">
        <is>
          <t>Formula</t>
        </is>
      </c>
      <c r="B19" s="11" t="inlineStr">
        <is>
          <t>Black font: calculated, do not overwrite</t>
        </is>
      </c>
    </row>
    <row r="20"/>
    <row r="21">
      <c r="A21" s="7" t="inlineStr">
        <is>
          <t>Links to Book 2 and MODEL 2</t>
        </is>
      </c>
      <c r="B21" s="6" t="n"/>
      <c r="C21" s="6" t="n"/>
      <c r="D21" s="6" t="n"/>
      <c r="E21" s="6" t="n"/>
      <c r="F21" s="6" t="n"/>
    </row>
    <row r="22">
      <c r="A22" s="9" t="inlineStr">
        <is>
          <t>Book</t>
        </is>
      </c>
      <c r="B22" s="8" t="inlineStr">
        <is>
          <t>Chapter 15 (valuation, IRR and multiple in USD), Chapter 16 (SolaraPay returns)</t>
        </is>
      </c>
    </row>
    <row r="23">
      <c r="A23" s="9" t="inlineStr">
        <is>
          <t>Model</t>
        </is>
      </c>
      <c r="B23" s="8" t="inlineStr">
        <is>
          <t>Valuation, Investment_Summary</t>
        </is>
      </c>
    </row>
    <row r="24">
      <c r="A24" s="9" t="inlineStr">
        <is>
          <t>Default inputs</t>
        </is>
      </c>
      <c r="B24" s="8" t="inlineStr">
        <is>
          <t>SolaraPay calibrated Base: USD 4.0m at USD 8.0m pre money, Year 5 EBITDA KVS 1,418m at 6x, net debt KVS 1,122m, KVS 135 per USD and 5% depreciation a year. The tool returns the case's 29.0% IRR and 3.6x multiple.</t>
        </is>
      </c>
    </row>
    <row r="25"/>
    <row r="26">
      <c r="A26" s="13" t="inlineStr">
        <is>
          <t>Decision support material; not investment, legal, tax or accounting advice. Example values are illustrative and refer to the book's worked examples or to the fictional SolaraPay case. (c) 2026 Emmanuel Boujieka Kamga.</t>
        </is>
      </c>
    </row>
    <row r="27"/>
  </sheetData>
  <mergeCells count="9">
    <mergeCell ref="B12:F12"/>
    <mergeCell ref="B24:F24"/>
    <mergeCell ref="B15:F15"/>
    <mergeCell ref="A7:F9"/>
    <mergeCell ref="B23:F23"/>
    <mergeCell ref="B22:F22"/>
    <mergeCell ref="B14:F14"/>
    <mergeCell ref="A26:F27"/>
    <mergeCell ref="B13:F13"/>
  </mergeCells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Book 2 Decision tool D6 | Version 0.9 (pre-release)&amp;C&amp;"Arial"&amp;8 &amp;A&amp;R&amp;"Arial"&amp;8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Investor returns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US dollar returns on a local currency exit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5" t="inlineStr">
        <is>
          <t>Decision tool D6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/>
    <row r="6">
      <c r="A6" s="7" t="inlineStr">
        <is>
          <t>Inputs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11" t="inlineStr">
        <is>
          <t>Investment (USD)</t>
        </is>
      </c>
      <c r="B7" s="14" t="n">
        <v>4000000</v>
      </c>
    </row>
    <row r="8">
      <c r="A8" s="11" t="inlineStr">
        <is>
          <t>Pre money valuation (USD)</t>
        </is>
      </c>
      <c r="B8" s="14" t="n">
        <v>8000000</v>
      </c>
    </row>
    <row r="9">
      <c r="A9" s="11" t="inlineStr">
        <is>
          <t>Exit year (1 to 7)</t>
        </is>
      </c>
      <c r="B9" s="14" t="n">
        <v>5</v>
      </c>
    </row>
    <row r="10">
      <c r="A10" s="11" t="inlineStr">
        <is>
          <t>Exit year EBITDA (local currency)</t>
        </is>
      </c>
      <c r="B10" s="14" t="n">
        <v>1418022460</v>
      </c>
    </row>
    <row r="11">
      <c r="A11" s="11" t="inlineStr">
        <is>
          <t>Exit multiple of EBITDA</t>
        </is>
      </c>
      <c r="B11" s="15" t="n">
        <v>6</v>
      </c>
    </row>
    <row r="12">
      <c r="A12" s="11" t="inlineStr">
        <is>
          <t>Net debt at exit (local currency)</t>
        </is>
      </c>
      <c r="B12" s="14" t="n">
        <v>1121735060</v>
      </c>
    </row>
    <row r="13">
      <c r="A13" s="11" t="inlineStr">
        <is>
          <t>Exchange rate at entry (local per USD)</t>
        </is>
      </c>
      <c r="B13" s="16" t="n">
        <v>135</v>
      </c>
    </row>
    <row r="14">
      <c r="A14" s="11" t="inlineStr">
        <is>
          <t>Depreciation of the local currency, per year</t>
        </is>
      </c>
      <c r="B14" s="17" t="n">
        <v>0.05</v>
      </c>
    </row>
    <row r="15">
      <c r="A15" s="11" t="inlineStr">
        <is>
          <t>Target IRR</t>
        </is>
      </c>
      <c r="B15" s="17" t="n">
        <v>0.25</v>
      </c>
    </row>
    <row r="16"/>
    <row r="17">
      <c r="A17" s="7" t="inlineStr">
        <is>
          <t>Follow on equity calls, total company (USD)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C18" s="18" t="inlineStr">
        <is>
          <t>Year 1</t>
        </is>
      </c>
      <c r="D18" s="18" t="inlineStr">
        <is>
          <t>Year 2</t>
        </is>
      </c>
      <c r="E18" s="18" t="inlineStr">
        <is>
          <t>Year 3</t>
        </is>
      </c>
      <c r="F18" s="18" t="inlineStr">
        <is>
          <t>Year 4</t>
        </is>
      </c>
      <c r="G18" s="18" t="inlineStr">
        <is>
          <t>Year 5</t>
        </is>
      </c>
      <c r="H18" s="18" t="inlineStr">
        <is>
          <t>Year 6</t>
        </is>
      </c>
      <c r="I18" s="18" t="inlineStr">
        <is>
          <t>Year 7</t>
        </is>
      </c>
    </row>
    <row r="19">
      <c r="A19" s="11" t="inlineStr">
        <is>
          <t>Equity called from shareholders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</row>
    <row r="20"/>
    <row r="21">
      <c r="A21" s="7" t="inlineStr">
        <is>
          <t>Results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11" t="inlineStr">
        <is>
          <t>Stake</t>
        </is>
      </c>
      <c r="B22" s="19">
        <f>'Returns'!$B$7/('Returns'!$B$8+'Returns'!$B$7)</f>
        <v/>
      </c>
    </row>
    <row r="23">
      <c r="A23" s="11" t="inlineStr">
        <is>
          <t>Exit enterprise value (local currency)</t>
        </is>
      </c>
      <c r="B23" s="20">
        <f>'Returns'!$B$10*'Returns'!$B$11</f>
        <v/>
      </c>
    </row>
    <row r="24">
      <c r="A24" s="11" t="inlineStr">
        <is>
          <t>Exit equity value, 100% (local currency)</t>
        </is>
      </c>
      <c r="B24" s="20">
        <f>MAX(0,B23-'Returns'!$B$12)</f>
        <v/>
      </c>
    </row>
    <row r="25">
      <c r="A25" s="11" t="inlineStr">
        <is>
          <t>Exchange rate at exit</t>
        </is>
      </c>
      <c r="B25" s="21">
        <f>'Returns'!$B$13*(1+'Returns'!$B$14)^'Returns'!$B$9</f>
        <v/>
      </c>
    </row>
    <row r="26">
      <c r="A26" s="11" t="inlineStr">
        <is>
          <t>Exit equity value, 100% (USD)</t>
        </is>
      </c>
      <c r="B26" s="20">
        <f>B24/B25</f>
        <v/>
      </c>
    </row>
    <row r="27">
      <c r="A27" s="11" t="inlineStr">
        <is>
          <t>Investor proceeds at exit (USD)</t>
        </is>
      </c>
      <c r="B27" s="20">
        <f>B22*B26</f>
        <v/>
      </c>
    </row>
    <row r="28">
      <c r="A28" s="11" t="inlineStr">
        <is>
          <t>Investor follow on equity (USD)</t>
        </is>
      </c>
      <c r="B28" s="20">
        <f>B22*(IF(1&lt;='Returns'!$B$9,C19,0)+IF(2&lt;='Returns'!$B$9,D19,0)+IF(3&lt;='Returns'!$B$9,E19,0)+IF(4&lt;='Returns'!$B$9,F19,0)+IF(5&lt;='Returns'!$B$9,G19,0)+IF(6&lt;='Returns'!$B$9,H19,0)+IF(7&lt;='Returns'!$B$9,I19,0))</f>
        <v/>
      </c>
    </row>
    <row r="29">
      <c r="A29" s="9" t="inlineStr">
        <is>
          <t>Multiple on invested capital</t>
        </is>
      </c>
      <c r="B29" s="22">
        <f>IF((B7+B28)=0,"",B27/('Returns'!$B$7+B28))</f>
        <v/>
      </c>
    </row>
    <row r="30">
      <c r="A30" s="9" t="inlineStr">
        <is>
          <t>IRR (USD)</t>
        </is>
      </c>
      <c r="B30" s="23">
        <f>IFERROR(IRR(C33:J33),"Total loss")</f>
        <v/>
      </c>
    </row>
    <row r="31">
      <c r="A31" s="11" t="inlineStr">
        <is>
          <t>Maximum pre money valuation for the target IRR, no follow on (USD)</t>
        </is>
      </c>
      <c r="B31" s="20">
        <f>IF(B26&lt;=0,"No value at exit",MAX(0,B26*'Returns'!$B$7/('Returns'!$B$7*(1+'Returns'!$B$15)^'Returns'!$B$9)-'Returns'!$B$7))</f>
        <v/>
      </c>
    </row>
    <row r="32">
      <c r="C32" s="18" t="n">
        <v>0</v>
      </c>
      <c r="D32" s="18" t="n">
        <v>1</v>
      </c>
      <c r="E32" s="18" t="n">
        <v>2</v>
      </c>
      <c r="F32" s="18" t="n">
        <v>3</v>
      </c>
      <c r="G32" s="18" t="n">
        <v>4</v>
      </c>
      <c r="H32" s="18" t="n">
        <v>5</v>
      </c>
      <c r="I32" s="18" t="n">
        <v>6</v>
      </c>
      <c r="J32" s="18" t="n">
        <v>7</v>
      </c>
    </row>
    <row r="33">
      <c r="A33" s="11" t="inlineStr">
        <is>
          <t>Investor cash flows (USD), year 0 to year 7</t>
        </is>
      </c>
      <c r="C33" s="20">
        <f>-'Returns'!$B$7</f>
        <v/>
      </c>
      <c r="D33" s="20">
        <f>IF(1&lt;='Returns'!$B$9,-$B$22*C19,0)+IF(1='Returns'!$B$9,$B$27,0)</f>
        <v/>
      </c>
      <c r="E33" s="20">
        <f>IF(2&lt;='Returns'!$B$9,-$B$22*D19,0)+IF(2='Returns'!$B$9,$B$27,0)</f>
        <v/>
      </c>
      <c r="F33" s="20">
        <f>IF(3&lt;='Returns'!$B$9,-$B$22*E19,0)+IF(3='Returns'!$B$9,$B$27,0)</f>
        <v/>
      </c>
      <c r="G33" s="20">
        <f>IF(4&lt;='Returns'!$B$9,-$B$22*F19,0)+IF(4='Returns'!$B$9,$B$27,0)</f>
        <v/>
      </c>
      <c r="H33" s="20">
        <f>IF(5&lt;='Returns'!$B$9,-$B$22*G19,0)+IF(5='Returns'!$B$9,$B$27,0)</f>
        <v/>
      </c>
      <c r="I33" s="20">
        <f>IF(6&lt;='Returns'!$B$9,-$B$22*H19,0)+IF(6='Returns'!$B$9,$B$27,0)</f>
        <v/>
      </c>
      <c r="J33" s="20">
        <f>IF(7&lt;='Returns'!$B$9,-$B$22*I19,0)+IF(7='Returns'!$B$9,$B$27,0)</f>
        <v/>
      </c>
    </row>
    <row r="34">
      <c r="A34" s="24" t="inlineStr">
        <is>
          <t>Follow on calls after the exit year are ignored.</t>
        </is>
      </c>
    </row>
    <row r="35"/>
    <row r="36">
      <c r="A36" s="7" t="inlineStr">
        <is>
          <t>IRR by exit multiple and depreciation (no follow on equity)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18" t="inlineStr">
        <is>
          <t>Exit multiple (rows) × depreciation per year (columns)</t>
        </is>
      </c>
      <c r="B37" s="17" t="n">
        <v>0</v>
      </c>
      <c r="C37" s="17" t="n">
        <v>0.05</v>
      </c>
      <c r="D37" s="17" t="n">
        <v>0.12</v>
      </c>
      <c r="E37" s="17" t="n">
        <v>0.2</v>
      </c>
      <c r="F37" s="17" t="n">
        <v>0.25</v>
      </c>
    </row>
    <row r="38">
      <c r="A38" s="15" t="n">
        <v>4</v>
      </c>
      <c r="B38" s="19">
        <f>IF(MAX(0,'Returns'!$B$10*$A38-'Returns'!$B$12)/('Returns'!$B$13*(1+B$37)^'Returns'!$B$9)&lt;=0,"Total loss",($B$22*MAX(0,'Returns'!$B$10*$A38-'Returns'!$B$12)/('Returns'!$B$13*(1+B$37)^'Returns'!$B$9)/'Returns'!$B$7)^(1/'Returns'!$B$9)-1)</f>
        <v/>
      </c>
      <c r="C38" s="19">
        <f>IF(MAX(0,'Returns'!$B$10*$A38-'Returns'!$B$12)/('Returns'!$B$13*(1+C$37)^'Returns'!$B$9)&lt;=0,"Total loss",($B$22*MAX(0,'Returns'!$B$10*$A38-'Returns'!$B$12)/('Returns'!$B$13*(1+C$37)^'Returns'!$B$9)/'Returns'!$B$7)^(1/'Returns'!$B$9)-1)</f>
        <v/>
      </c>
      <c r="D38" s="19">
        <f>IF(MAX(0,'Returns'!$B$10*$A38-'Returns'!$B$12)/('Returns'!$B$13*(1+D$37)^'Returns'!$B$9)&lt;=0,"Total loss",($B$22*MAX(0,'Returns'!$B$10*$A38-'Returns'!$B$12)/('Returns'!$B$13*(1+D$37)^'Returns'!$B$9)/'Returns'!$B$7)^(1/'Returns'!$B$9)-1)</f>
        <v/>
      </c>
      <c r="E38" s="19">
        <f>IF(MAX(0,'Returns'!$B$10*$A38-'Returns'!$B$12)/('Returns'!$B$13*(1+E$37)^'Returns'!$B$9)&lt;=0,"Total loss",($B$22*MAX(0,'Returns'!$B$10*$A38-'Returns'!$B$12)/('Returns'!$B$13*(1+E$37)^'Returns'!$B$9)/'Returns'!$B$7)^(1/'Returns'!$B$9)-1)</f>
        <v/>
      </c>
      <c r="F38" s="19">
        <f>IF(MAX(0,'Returns'!$B$10*$A38-'Returns'!$B$12)/('Returns'!$B$13*(1+F$37)^'Returns'!$B$9)&lt;=0,"Total loss",($B$22*MAX(0,'Returns'!$B$10*$A38-'Returns'!$B$12)/('Returns'!$B$13*(1+F$37)^'Returns'!$B$9)/'Returns'!$B$7)^(1/'Returns'!$B$9)-1)</f>
        <v/>
      </c>
    </row>
    <row r="39">
      <c r="A39" s="15" t="n">
        <v>5</v>
      </c>
      <c r="B39" s="19">
        <f>IF(MAX(0,'Returns'!$B$10*$A39-'Returns'!$B$12)/('Returns'!$B$13*(1+B$37)^'Returns'!$B$9)&lt;=0,"Total loss",($B$22*MAX(0,'Returns'!$B$10*$A39-'Returns'!$B$12)/('Returns'!$B$13*(1+B$37)^'Returns'!$B$9)/'Returns'!$B$7)^(1/'Returns'!$B$9)-1)</f>
        <v/>
      </c>
      <c r="C39" s="19">
        <f>IF(MAX(0,'Returns'!$B$10*$A39-'Returns'!$B$12)/('Returns'!$B$13*(1+C$37)^'Returns'!$B$9)&lt;=0,"Total loss",($B$22*MAX(0,'Returns'!$B$10*$A39-'Returns'!$B$12)/('Returns'!$B$13*(1+C$37)^'Returns'!$B$9)/'Returns'!$B$7)^(1/'Returns'!$B$9)-1)</f>
        <v/>
      </c>
      <c r="D39" s="19">
        <f>IF(MAX(0,'Returns'!$B$10*$A39-'Returns'!$B$12)/('Returns'!$B$13*(1+D$37)^'Returns'!$B$9)&lt;=0,"Total loss",($B$22*MAX(0,'Returns'!$B$10*$A39-'Returns'!$B$12)/('Returns'!$B$13*(1+D$37)^'Returns'!$B$9)/'Returns'!$B$7)^(1/'Returns'!$B$9)-1)</f>
        <v/>
      </c>
      <c r="E39" s="19">
        <f>IF(MAX(0,'Returns'!$B$10*$A39-'Returns'!$B$12)/('Returns'!$B$13*(1+E$37)^'Returns'!$B$9)&lt;=0,"Total loss",($B$22*MAX(0,'Returns'!$B$10*$A39-'Returns'!$B$12)/('Returns'!$B$13*(1+E$37)^'Returns'!$B$9)/'Returns'!$B$7)^(1/'Returns'!$B$9)-1)</f>
        <v/>
      </c>
      <c r="F39" s="19">
        <f>IF(MAX(0,'Returns'!$B$10*$A39-'Returns'!$B$12)/('Returns'!$B$13*(1+F$37)^'Returns'!$B$9)&lt;=0,"Total loss",($B$22*MAX(0,'Returns'!$B$10*$A39-'Returns'!$B$12)/('Returns'!$B$13*(1+F$37)^'Returns'!$B$9)/'Returns'!$B$7)^(1/'Returns'!$B$9)-1)</f>
        <v/>
      </c>
    </row>
    <row r="40">
      <c r="A40" s="15" t="n">
        <v>6</v>
      </c>
      <c r="B40" s="19">
        <f>IF(MAX(0,'Returns'!$B$10*$A40-'Returns'!$B$12)/('Returns'!$B$13*(1+B$37)^'Returns'!$B$9)&lt;=0,"Total loss",($B$22*MAX(0,'Returns'!$B$10*$A40-'Returns'!$B$12)/('Returns'!$B$13*(1+B$37)^'Returns'!$B$9)/'Returns'!$B$7)^(1/'Returns'!$B$9)-1)</f>
        <v/>
      </c>
      <c r="C40" s="19">
        <f>IF(MAX(0,'Returns'!$B$10*$A40-'Returns'!$B$12)/('Returns'!$B$13*(1+C$37)^'Returns'!$B$9)&lt;=0,"Total loss",($B$22*MAX(0,'Returns'!$B$10*$A40-'Returns'!$B$12)/('Returns'!$B$13*(1+C$37)^'Returns'!$B$9)/'Returns'!$B$7)^(1/'Returns'!$B$9)-1)</f>
        <v/>
      </c>
      <c r="D40" s="19">
        <f>IF(MAX(0,'Returns'!$B$10*$A40-'Returns'!$B$12)/('Returns'!$B$13*(1+D$37)^'Returns'!$B$9)&lt;=0,"Total loss",($B$22*MAX(0,'Returns'!$B$10*$A40-'Returns'!$B$12)/('Returns'!$B$13*(1+D$37)^'Returns'!$B$9)/'Returns'!$B$7)^(1/'Returns'!$B$9)-1)</f>
        <v/>
      </c>
      <c r="E40" s="19">
        <f>IF(MAX(0,'Returns'!$B$10*$A40-'Returns'!$B$12)/('Returns'!$B$13*(1+E$37)^'Returns'!$B$9)&lt;=0,"Total loss",($B$22*MAX(0,'Returns'!$B$10*$A40-'Returns'!$B$12)/('Returns'!$B$13*(1+E$37)^'Returns'!$B$9)/'Returns'!$B$7)^(1/'Returns'!$B$9)-1)</f>
        <v/>
      </c>
      <c r="F40" s="19">
        <f>IF(MAX(0,'Returns'!$B$10*$A40-'Returns'!$B$12)/('Returns'!$B$13*(1+F$37)^'Returns'!$B$9)&lt;=0,"Total loss",($B$22*MAX(0,'Returns'!$B$10*$A40-'Returns'!$B$12)/('Returns'!$B$13*(1+F$37)^'Returns'!$B$9)/'Returns'!$B$7)^(1/'Returns'!$B$9)-1)</f>
        <v/>
      </c>
    </row>
    <row r="41">
      <c r="A41" s="15" t="n">
        <v>7</v>
      </c>
      <c r="B41" s="19">
        <f>IF(MAX(0,'Returns'!$B$10*$A41-'Returns'!$B$12)/('Returns'!$B$13*(1+B$37)^'Returns'!$B$9)&lt;=0,"Total loss",($B$22*MAX(0,'Returns'!$B$10*$A41-'Returns'!$B$12)/('Returns'!$B$13*(1+B$37)^'Returns'!$B$9)/'Returns'!$B$7)^(1/'Returns'!$B$9)-1)</f>
        <v/>
      </c>
      <c r="C41" s="19">
        <f>IF(MAX(0,'Returns'!$B$10*$A41-'Returns'!$B$12)/('Returns'!$B$13*(1+C$37)^'Returns'!$B$9)&lt;=0,"Total loss",($B$22*MAX(0,'Returns'!$B$10*$A41-'Returns'!$B$12)/('Returns'!$B$13*(1+C$37)^'Returns'!$B$9)/'Returns'!$B$7)^(1/'Returns'!$B$9)-1)</f>
        <v/>
      </c>
      <c r="D41" s="19">
        <f>IF(MAX(0,'Returns'!$B$10*$A41-'Returns'!$B$12)/('Returns'!$B$13*(1+D$37)^'Returns'!$B$9)&lt;=0,"Total loss",($B$22*MAX(0,'Returns'!$B$10*$A41-'Returns'!$B$12)/('Returns'!$B$13*(1+D$37)^'Returns'!$B$9)/'Returns'!$B$7)^(1/'Returns'!$B$9)-1)</f>
        <v/>
      </c>
      <c r="E41" s="19">
        <f>IF(MAX(0,'Returns'!$B$10*$A41-'Returns'!$B$12)/('Returns'!$B$13*(1+E$37)^'Returns'!$B$9)&lt;=0,"Total loss",($B$22*MAX(0,'Returns'!$B$10*$A41-'Returns'!$B$12)/('Returns'!$B$13*(1+E$37)^'Returns'!$B$9)/'Returns'!$B$7)^(1/'Returns'!$B$9)-1)</f>
        <v/>
      </c>
      <c r="F41" s="19">
        <f>IF(MAX(0,'Returns'!$B$10*$A41-'Returns'!$B$12)/('Returns'!$B$13*(1+F$37)^'Returns'!$B$9)&lt;=0,"Total loss",($B$22*MAX(0,'Returns'!$B$10*$A41-'Returns'!$B$12)/('Returns'!$B$13*(1+F$37)^'Returns'!$B$9)/'Returns'!$B$7)^(1/'Returns'!$B$9)-1)</f>
        <v/>
      </c>
    </row>
    <row r="42">
      <c r="A42" s="15" t="n">
        <v>8</v>
      </c>
      <c r="B42" s="19">
        <f>IF(MAX(0,'Returns'!$B$10*$A42-'Returns'!$B$12)/('Returns'!$B$13*(1+B$37)^'Returns'!$B$9)&lt;=0,"Total loss",($B$22*MAX(0,'Returns'!$B$10*$A42-'Returns'!$B$12)/('Returns'!$B$13*(1+B$37)^'Returns'!$B$9)/'Returns'!$B$7)^(1/'Returns'!$B$9)-1)</f>
        <v/>
      </c>
      <c r="C42" s="19">
        <f>IF(MAX(0,'Returns'!$B$10*$A42-'Returns'!$B$12)/('Returns'!$B$13*(1+C$37)^'Returns'!$B$9)&lt;=0,"Total loss",($B$22*MAX(0,'Returns'!$B$10*$A42-'Returns'!$B$12)/('Returns'!$B$13*(1+C$37)^'Returns'!$B$9)/'Returns'!$B$7)^(1/'Returns'!$B$9)-1)</f>
        <v/>
      </c>
      <c r="D42" s="19">
        <f>IF(MAX(0,'Returns'!$B$10*$A42-'Returns'!$B$12)/('Returns'!$B$13*(1+D$37)^'Returns'!$B$9)&lt;=0,"Total loss",($B$22*MAX(0,'Returns'!$B$10*$A42-'Returns'!$B$12)/('Returns'!$B$13*(1+D$37)^'Returns'!$B$9)/'Returns'!$B$7)^(1/'Returns'!$B$9)-1)</f>
        <v/>
      </c>
      <c r="E42" s="19">
        <f>IF(MAX(0,'Returns'!$B$10*$A42-'Returns'!$B$12)/('Returns'!$B$13*(1+E$37)^'Returns'!$B$9)&lt;=0,"Total loss",($B$22*MAX(0,'Returns'!$B$10*$A42-'Returns'!$B$12)/('Returns'!$B$13*(1+E$37)^'Returns'!$B$9)/'Returns'!$B$7)^(1/'Returns'!$B$9)-1)</f>
        <v/>
      </c>
      <c r="F42" s="19">
        <f>IF(MAX(0,'Returns'!$B$10*$A42-'Returns'!$B$12)/('Returns'!$B$13*(1+F$37)^'Returns'!$B$9)&lt;=0,"Total loss",($B$22*MAX(0,'Returns'!$B$10*$A42-'Returns'!$B$12)/('Returns'!$B$13*(1+F$37)^'Returns'!$B$9)/'Returns'!$B$7)^(1/'Returns'!$B$9)-1)</f>
        <v/>
      </c>
    </row>
    <row r="43"/>
    <row r="44">
      <c r="A44" s="24" t="inlineStr">
        <is>
          <t>Exit equity is floored at zero: when net debt exceeds the exit enterprise value, the stake is worth nothing.</t>
        </is>
      </c>
    </row>
  </sheetData>
  <conditionalFormatting sqref="B38:F42">
    <cfRule type="expression" priority="1" dxfId="0">
      <formula>OR(B38="Total loss",B38&lt;0)</formula>
    </cfRule>
    <cfRule type="expression" priority="2" dxfId="1">
      <formula>AND(ISNUMBER(B38),B38&gt;='Returns'!$B$15)</formula>
    </cfRule>
  </conditionalFormatting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Book 2 Decision tool D6 | Version 0.9 (pre-release)&amp;C&amp;"Arial"&amp;8 &amp;A&amp;R&amp;"Arial"&amp;8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Africa Energy Finance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Boujieka Kamga</dc:creator>
  <dc:title xmlns:dc="http://purl.org/dc/elements/1.1/">AEF Book 2 Decision Tool D6: Investor returns calculator</dc:title>
  <dc:subject xmlns:dc="http://purl.org/dc/elements/1.1/">Africa Energy Finance, Book 2 Decision Tools</dc:subject>
  <dcterms:created xmlns:dcterms="http://purl.org/dc/terms/" xmlns:xsi="http://www.w3.org/2001/XMLSchema-instance" xsi:type="dcterms:W3CDTF">2026-10-03T06:26:23Z</dcterms:created>
  <dcterms:modified xmlns:dcterms="http://purl.org/dc/terms/" xmlns:xsi="http://www.w3.org/2001/XMLSchema-instance" xsi:type="dcterms:W3CDTF">2026-10-03T06:26:23Z</dcterms:modified>
  <cp:lastModifiedBy>Emmanuel Boujieka Kamga</cp:lastModifiedBy>
  <cp:keywords>Africa Energy Finance; Book 2; PAYGo Solar Finance; template</cp:keywords>
</cp:coreProperties>
</file>