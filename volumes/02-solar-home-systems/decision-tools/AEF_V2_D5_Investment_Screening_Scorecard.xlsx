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Scorec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0"/>
    <numFmt numFmtId="165" formatCode="0.0%;(0.0%);0.0%"/>
    <numFmt numFmtId="166" formatCode="0.00&quot;x&quot;;(0.00&quot;x&quot;);0.00&quot;x&quot;"/>
  </numFmts>
  <fonts count="11">
    <font>
      <name val="Calibri"/>
      <family val="2"/>
      <color theme="1"/>
      <sz val="11"/>
      <scheme val="minor"/>
    </font>
    <font>
      <name val="Arial"/>
      <b val="1"/>
      <color rgb="00E3C27A"/>
      <sz val="8"/>
    </font>
    <font>
      <name val="Arial"/>
      <b val="1"/>
      <color rgb="00FFFFFF"/>
      <sz val="15"/>
    </font>
    <font>
      <name val="Arial"/>
      <i val="1"/>
      <color rgb="00E8E8E8"/>
      <sz val="9"/>
    </font>
    <font>
      <name val="Arial"/>
      <color rgb="00666666"/>
      <sz val="8"/>
    </font>
    <font>
      <name val="Arial"/>
      <b val="1"/>
      <color rgb="000B3020"/>
      <sz val="11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020"/>
      </patternFill>
    </fill>
    <fill>
      <patternFill patternType="solid">
        <fgColor rgb="00FFF8E1"/>
      </patternFill>
    </fill>
  </fills>
  <borders count="7">
    <border>
      <left/>
      <right/>
      <top/>
      <bottom/>
      <diagonal/>
    </border>
    <border>
      <bottom style="medium">
        <color rgb="00B07C0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3" borderId="2" pivotButton="0" quotePrefix="0" xfId="0"/>
    <xf numFmtId="0" fontId="6" fillId="0" borderId="0" pivotButton="0" quotePrefix="0" xfId="0"/>
    <xf numFmtId="0" fontId="6" fillId="0" borderId="2" pivotButton="0" quotePrefix="0" xfId="0"/>
    <xf numFmtId="0" fontId="9" fillId="0" borderId="0" applyAlignment="1" pivotButton="0" quotePrefix="0" xfId="0">
      <alignment vertical="top" wrapText="1"/>
    </xf>
    <xf numFmtId="0" fontId="10" fillId="2" borderId="2" applyAlignment="1" pivotButton="0" quotePrefix="0" xfId="0">
      <alignment vertical="center" wrapText="1"/>
    </xf>
    <xf numFmtId="164" fontId="8" fillId="3" borderId="2" pivotButton="0" quotePrefix="0" xfId="0"/>
    <xf numFmtId="0" fontId="7" fillId="0" borderId="2" pivotButton="0" quotePrefix="0" xfId="0"/>
    <xf numFmtId="164" fontId="6" fillId="0" borderId="2" pivotButton="0" quotePrefix="0" xfId="0"/>
    <xf numFmtId="0" fontId="9" fillId="0" borderId="0" pivotButton="0" quotePrefix="0" xfId="0"/>
    <xf numFmtId="165" fontId="8" fillId="3" borderId="2" pivotButton="0" quotePrefix="0" xfId="0"/>
    <xf numFmtId="166" fontId="8" fillId="3" borderId="2" pivotButton="0" quotePrefix="0" xfId="0"/>
    <xf numFmtId="164" fontId="7" fillId="0" borderId="2" pivotButton="0" quotePrefix="0" xfId="0"/>
    <xf numFmtId="165" fontId="7" fillId="0" borderId="2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CE8B2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0" customWidth="1" min="4" max="4"/>
    <col width="10" customWidth="1" min="5" max="5"/>
    <col width="10" customWidth="1" min="6" max="6"/>
  </cols>
  <sheetData>
    <row r="1">
      <c r="A1" s="1" t="inlineStr">
        <is>
          <t>AFRICA ENERGY FINANCE  |  VOLUME 2  |  SOLAR HOME SYSTEMS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Investment screening scorecard</t>
        </is>
      </c>
      <c r="B2" s="2" t="n"/>
      <c r="C2" s="2" t="n"/>
      <c r="D2" s="2" t="n"/>
      <c r="E2" s="2" t="n"/>
      <c r="F2" s="2" t="n"/>
    </row>
    <row r="3">
      <c r="A3" s="4" t="inlineStr">
        <is>
          <t>How to use this template</t>
        </is>
      </c>
      <c r="B3" s="2" t="n"/>
      <c r="C3" s="2" t="n"/>
      <c r="D3" s="2" t="n"/>
      <c r="E3" s="2" t="n"/>
      <c r="F3" s="2" t="n"/>
    </row>
    <row r="4">
      <c r="A4" s="5" t="inlineStr">
        <is>
          <t>Decision tool D5  |  Version 1.0  |  Author &amp; ideation: Emmanuel Boujieka Kamga</t>
        </is>
      </c>
      <c r="B4" s="6" t="n"/>
      <c r="C4" s="6" t="n"/>
      <c r="D4" s="6" t="n"/>
      <c r="E4" s="6" t="n"/>
      <c r="F4" s="6" t="n"/>
    </row>
    <row r="5"/>
    <row r="6">
      <c r="A6" s="7" t="inlineStr">
        <is>
          <t>Purpose</t>
        </is>
      </c>
      <c r="B6" s="6" t="n"/>
      <c r="C6" s="6" t="n"/>
      <c r="D6" s="6" t="n"/>
      <c r="E6" s="6" t="n"/>
      <c r="F6" s="6" t="n"/>
    </row>
    <row r="7">
      <c r="A7" s="8" t="inlineStr">
        <is>
          <t>A one page screen that decides whether a PAYGo company deserves full diligence. Twelve criteria are scored green, amber or red against editable thresholds; three are kill criteria; blank criteria are reported as not assessed, never scored.</t>
        </is>
      </c>
    </row>
    <row r="8"/>
    <row r="9"/>
    <row r="10"/>
    <row r="11">
      <c r="A11" s="7" t="inlineStr">
        <is>
          <t>How to use it</t>
        </is>
      </c>
      <c r="B11" s="6" t="n"/>
      <c r="C11" s="6" t="n"/>
      <c r="D11" s="6" t="n"/>
      <c r="E11" s="6" t="n"/>
      <c r="F11" s="6" t="n"/>
    </row>
    <row r="12" ht="30" customHeight="1">
      <c r="A12" s="9" t="inlineStr">
        <is>
          <t>Step 1</t>
        </is>
      </c>
      <c r="B12" s="8" t="inlineStr">
        <is>
          <t>Enter the value of each criterion from the company's data; leave it blank if it has not been assessed.</t>
        </is>
      </c>
    </row>
    <row r="13" ht="30" customHeight="1">
      <c r="A13" s="9" t="inlineStr">
        <is>
          <t>Step 2</t>
        </is>
      </c>
      <c r="B13" s="8" t="inlineStr">
        <is>
          <t>Review the thresholds and weights; they are the author's suggested defaults and should reflect the fund's policy.</t>
        </is>
      </c>
    </row>
    <row r="14" ht="30" customHeight="1">
      <c r="A14" s="9" t="inlineStr">
        <is>
          <t>Step 3</t>
        </is>
      </c>
      <c r="B14" s="8" t="inlineStr">
        <is>
          <t>Read the verdict: Decline if a kill criterion fails; Incomplete if criteria are missing; otherwise the weighted score decides.</t>
        </is>
      </c>
    </row>
    <row r="15" ht="30" customHeight="1">
      <c r="A15" s="9" t="inlineStr">
        <is>
          <t>Step 4</t>
        </is>
      </c>
      <c r="B15" s="8" t="inlineStr">
        <is>
          <t>Carry every red and amber criterion into the diligence checklist (Template T02) as a priority item.</t>
        </is>
      </c>
    </row>
    <row r="16"/>
    <row r="17">
      <c r="A17" s="7" t="inlineStr">
        <is>
          <t>Colour code</t>
        </is>
      </c>
      <c r="B17" s="6" t="n"/>
      <c r="C17" s="6" t="n"/>
      <c r="D17" s="6" t="n"/>
      <c r="E17" s="6" t="n"/>
      <c r="F17" s="6" t="n"/>
    </row>
    <row r="18">
      <c r="A18" s="10" t="inlineStr">
        <is>
          <t>Input</t>
        </is>
      </c>
      <c r="B18" s="11" t="inlineStr">
        <is>
          <t>Blue font on cream: the only cells to edit</t>
        </is>
      </c>
    </row>
    <row r="19">
      <c r="A19" s="12" t="inlineStr">
        <is>
          <t>Formula</t>
        </is>
      </c>
      <c r="B19" s="11" t="inlineStr">
        <is>
          <t>Black font: calculated, do not overwrite</t>
        </is>
      </c>
    </row>
    <row r="20"/>
    <row r="21">
      <c r="A21" s="7" t="inlineStr">
        <is>
          <t>Links to the Volume 2 model and book</t>
        </is>
      </c>
      <c r="B21" s="6" t="n"/>
      <c r="C21" s="6" t="n"/>
      <c r="D21" s="6" t="n"/>
      <c r="E21" s="6" t="n"/>
      <c r="F21" s="6" t="n"/>
    </row>
    <row r="22">
      <c r="A22" s="9" t="inlineStr">
        <is>
          <t>Book</t>
        </is>
      </c>
      <c r="B22" s="8" t="inlineStr">
        <is>
          <t>Chapter 15 (red flags, diligence), Chapter 16 (SolaraPay)</t>
        </is>
      </c>
    </row>
    <row r="23">
      <c r="A23" s="9" t="inlineStr">
        <is>
          <t>Related</t>
        </is>
      </c>
      <c r="B23" s="8" t="inlineStr">
        <is>
          <t>Template T02 checklist; Template T01 memo</t>
        </is>
      </c>
    </row>
    <row r="24">
      <c r="A24" s="9" t="inlineStr">
        <is>
          <t>Default inputs</t>
        </is>
      </c>
      <c r="B24" s="8" t="inlineStr">
        <is>
          <t>SolaraPay case values where the case reports them; other criteria left blank.</t>
        </is>
      </c>
    </row>
    <row r="25"/>
    <row r="26">
      <c r="A26" s="13" t="inlineStr">
        <is>
          <t>Decision support material; not investment, legal, tax or accounting advice. Example values are illustrative and refer to the book's worked examples or to the fictional SolaraPay case. (c) 2026 Emmanuel Boujieka Kamga.</t>
        </is>
      </c>
    </row>
    <row r="27"/>
  </sheetData>
  <mergeCells count="9">
    <mergeCell ref="B12:F12"/>
    <mergeCell ref="B24:F24"/>
    <mergeCell ref="B15:F15"/>
    <mergeCell ref="A7:F9"/>
    <mergeCell ref="B23:F23"/>
    <mergeCell ref="B22:F22"/>
    <mergeCell ref="B14:F14"/>
    <mergeCell ref="A26:F27"/>
    <mergeCell ref="B13:F13"/>
  </mergeCells>
  <printOptions horizontalCentered="1"/>
  <pageMargins left="0.5" right="0.5" top="0.6" bottom="0.7" header="0.5" footer="0.5"/>
  <pageSetup orientation="portrait" paperSize="9" fitToHeight="0" fitToWidth="1"/>
  <headerFooter>
    <oddHeader/>
    <oddFooter>&amp;L&amp;"Arial"&amp;8 Africa Energy Finance | Volume 2 Decision tool D5&amp;C&amp;"Arial"&amp;8 &amp;A&amp;R&amp;"Arial"&amp;8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9" customWidth="1" min="2" max="2"/>
    <col width="12" customWidth="1" min="3" max="3"/>
    <col width="8" customWidth="1" min="4" max="4"/>
    <col width="10" customWidth="1" min="5" max="5"/>
    <col width="8" customWidth="1" min="6" max="6"/>
    <col width="10" customWidth="1" min="7" max="7"/>
    <col width="8" customWidth="1" min="8" max="8"/>
    <col width="12" customWidth="1" min="9" max="9"/>
    <col width="10" customWidth="1" min="10" max="10"/>
    <col width="34" customWidth="1" min="11" max="11"/>
  </cols>
  <sheetData>
    <row r="1">
      <c r="A1" s="1" t="inlineStr">
        <is>
          <t>AFRICA ENERGY FINANCE  |  VOLUME 2  |  SOLAR HOME SYSTEMS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2" customHeight="1">
      <c r="A2" s="3" t="inlineStr">
        <is>
          <t>Investment screening scorecard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4" t="inlineStr">
        <is>
          <t>Green 2 points, amber 1, red 0; weights apply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5" t="inlineStr">
        <is>
          <t>Decision tool D5  |  Version 1.0  |  Author &amp; ideation: Emmanuel Boujieka Kamga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/>
    <row r="6" ht="30" customHeight="1">
      <c r="A6" s="14" t="inlineStr">
        <is>
          <t>Criterion</t>
        </is>
      </c>
      <c r="B6" s="14" t="inlineStr">
        <is>
          <t>Unit</t>
        </is>
      </c>
      <c r="C6" s="14" t="inlineStr">
        <is>
          <t>Value</t>
        </is>
      </c>
      <c r="D6" s="14" t="inlineStr">
        <is>
          <t>Green if</t>
        </is>
      </c>
      <c r="E6" s="14" t="inlineStr"/>
      <c r="F6" s="14" t="inlineStr">
        <is>
          <t>Amber if</t>
        </is>
      </c>
      <c r="G6" s="14" t="inlineStr"/>
      <c r="H6" s="14" t="inlineStr">
        <is>
          <t>Weight</t>
        </is>
      </c>
      <c r="I6" s="14" t="inlineStr">
        <is>
          <t>Rating</t>
        </is>
      </c>
      <c r="J6" s="14" t="inlineStr">
        <is>
          <t>Points</t>
        </is>
      </c>
      <c r="K6" s="14" t="inlineStr">
        <is>
          <t>Note</t>
        </is>
      </c>
    </row>
    <row r="7" ht="26" customHeight="1">
      <c r="A7" s="8" t="inlineStr">
        <is>
          <t>Months of reconciled portfolio history</t>
        </is>
      </c>
      <c r="B7" s="11" t="inlineStr">
        <is>
          <t>months</t>
        </is>
      </c>
      <c r="C7" s="15" t="n">
        <v>24</v>
      </c>
      <c r="D7" s="10" t="inlineStr">
        <is>
          <t>&gt;=</t>
        </is>
      </c>
      <c r="E7" s="15" t="n">
        <v>24</v>
      </c>
      <c r="F7" s="10" t="inlineStr">
        <is>
          <t>&gt;=</t>
        </is>
      </c>
      <c r="G7" s="15" t="n">
        <v>12</v>
      </c>
      <c r="H7" s="15" t="n">
        <v>2</v>
      </c>
      <c r="I7" s="16">
        <f>IF(C7="","Not assessed",IF(IF(D7="&gt;=",C7&gt;=E7,C7&lt;=E7),"Green",IF(IF(F7="&gt;=",C7&gt;=G7,C7&lt;=G7),"Amber","Red")))</f>
        <v/>
      </c>
      <c r="J7" s="17">
        <f>IF(I7="Green",2,IF(I7="Amber",1,0))*H7</f>
        <v/>
      </c>
      <c r="K7" s="18" t="inlineStr">
        <is>
          <t>Below 12 months the credit case rests on proxies</t>
        </is>
      </c>
    </row>
    <row r="8" ht="26" customHeight="1">
      <c r="A8" s="8" t="inlineStr">
        <is>
          <t>DPD buckets reconcile to the ledger</t>
        </is>
      </c>
      <c r="B8" s="11" t="inlineStr">
        <is>
          <t>Yes/No</t>
        </is>
      </c>
      <c r="C8" s="10" t="inlineStr">
        <is>
          <t>Yes</t>
        </is>
      </c>
      <c r="D8" s="11" t="inlineStr">
        <is>
          <t>Yes</t>
        </is>
      </c>
      <c r="H8" s="15" t="n">
        <v>2</v>
      </c>
      <c r="I8" s="16">
        <f>IF(C8="","Not assessed",IF(C8="Yes","Green","Red: kill"))</f>
        <v/>
      </c>
      <c r="J8" s="17">
        <f>IF(I8="Green",2,IF(I8="Amber",1,0))*H8</f>
        <v/>
      </c>
      <c r="K8" s="18" t="inlineStr">
        <is>
          <t>Kill criterion if No</t>
        </is>
      </c>
    </row>
    <row r="9" ht="26" customHeight="1">
      <c r="A9" s="8" t="inlineStr">
        <is>
          <t>Cohort repayment at M12, gap to plan</t>
        </is>
      </c>
      <c r="B9" s="11" t="inlineStr">
        <is>
          <t>points</t>
        </is>
      </c>
      <c r="C9" s="19" t="n">
        <v>0.051</v>
      </c>
      <c r="D9" s="10" t="inlineStr">
        <is>
          <t>&lt;=</t>
        </is>
      </c>
      <c r="E9" s="19" t="n">
        <v>0.03</v>
      </c>
      <c r="F9" s="10" t="inlineStr">
        <is>
          <t>&lt;=</t>
        </is>
      </c>
      <c r="G9" s="19" t="n">
        <v>0.06</v>
      </c>
      <c r="H9" s="15" t="n">
        <v>2</v>
      </c>
      <c r="I9" s="16">
        <f>IF(C9="","Not assessed",IF(IF(D9="&gt;=",C9&gt;=E9,C9&lt;=E9),"Green",IF(IF(F9="&gt;=",C9&gt;=G9,C9&lt;=G9),"Amber","Red")))</f>
        <v/>
      </c>
      <c r="J9" s="17">
        <f>IF(I9="Green",2,IF(I9="Amber",1,0))*H9</f>
        <v/>
      </c>
      <c r="K9" s="18" t="inlineStr">
        <is>
          <t>SolaraPay Tier 2: 5.1 points</t>
        </is>
      </c>
    </row>
    <row r="10" ht="26" customHeight="1">
      <c r="A10" s="8" t="inlineStr">
        <is>
          <t>PAR30</t>
        </is>
      </c>
      <c r="B10" s="11" t="inlineStr">
        <is>
          <t>%</t>
        </is>
      </c>
      <c r="C10" s="19" t="n">
        <v>0.17</v>
      </c>
      <c r="D10" s="10" t="inlineStr">
        <is>
          <t>&lt;=</t>
        </is>
      </c>
      <c r="E10" s="19" t="n">
        <v>0.1</v>
      </c>
      <c r="F10" s="10" t="inlineStr">
        <is>
          <t>&lt;=</t>
        </is>
      </c>
      <c r="G10" s="19" t="n">
        <v>0.2</v>
      </c>
      <c r="H10" s="15" t="n">
        <v>2</v>
      </c>
      <c r="I10" s="16">
        <f>IF(C10="","Not assessed",IF(IF(D10="&gt;=",C10&gt;=E10,C10&lt;=E10),"Green",IF(IF(F10="&gt;=",C10&gt;=G10,C10&lt;=G10),"Amber","Red")))</f>
        <v/>
      </c>
      <c r="J10" s="17">
        <f>IF(I10="Green",2,IF(I10="Amber",1,0))*H10</f>
        <v/>
      </c>
      <c r="K10" s="18" t="inlineStr">
        <is>
          <t>SolaraPay latest month: 17.0%</t>
        </is>
      </c>
    </row>
    <row r="11" ht="26" customHeight="1">
      <c r="A11" s="8" t="inlineStr">
        <is>
          <t>Collection rate, trailing 12 months</t>
        </is>
      </c>
      <c r="B11" s="11" t="inlineStr">
        <is>
          <t>%</t>
        </is>
      </c>
      <c r="C11" s="19" t="n">
        <v>0.6929999999999999</v>
      </c>
      <c r="D11" s="10" t="inlineStr">
        <is>
          <t>&gt;=</t>
        </is>
      </c>
      <c r="E11" s="19" t="n">
        <v>0.8</v>
      </c>
      <c r="F11" s="10" t="inlineStr">
        <is>
          <t>&gt;=</t>
        </is>
      </c>
      <c r="G11" s="19" t="n">
        <v>0.7</v>
      </c>
      <c r="H11" s="15" t="n">
        <v>2</v>
      </c>
      <c r="I11" s="16">
        <f>IF(C11="","Not assessed",IF(IF(D11="&gt;=",C11&gt;=E11,C11&lt;=E11),"Green",IF(IF(F11="&gt;=",C11&gt;=G11,C11&lt;=G11),"Amber","Red")))</f>
        <v/>
      </c>
      <c r="J11" s="17">
        <f>IF(I11="Green",2,IF(I11="Amber",1,0))*H11</f>
        <v/>
      </c>
      <c r="K11" s="18" t="inlineStr">
        <is>
          <t>SolaraPay: 69.3%</t>
        </is>
      </c>
    </row>
    <row r="12" ht="26" customHeight="1">
      <c r="A12" s="8" t="inlineStr">
        <is>
          <t>Positive unit contribution in every tier</t>
        </is>
      </c>
      <c r="B12" s="11" t="inlineStr">
        <is>
          <t>Yes/No</t>
        </is>
      </c>
      <c r="C12" s="10" t="inlineStr">
        <is>
          <t>Yes</t>
        </is>
      </c>
      <c r="D12" s="11" t="inlineStr">
        <is>
          <t>Yes</t>
        </is>
      </c>
      <c r="H12" s="15" t="n">
        <v>2</v>
      </c>
      <c r="I12" s="16">
        <f>IF(C12="","Not assessed",IF(C12="Yes","Green","Red: kill"))</f>
        <v/>
      </c>
      <c r="J12" s="17">
        <f>IF(I12="Green",2,IF(I12="Amber",1,0))*H12</f>
        <v/>
      </c>
      <c r="K12" s="18" t="inlineStr">
        <is>
          <t>Kill criterion if No</t>
        </is>
      </c>
    </row>
    <row r="13" ht="26" customHeight="1">
      <c r="A13" s="8" t="inlineStr">
        <is>
          <t>LTV to CAC, mix weighted</t>
        </is>
      </c>
      <c r="B13" s="11" t="inlineStr">
        <is>
          <t>x</t>
        </is>
      </c>
      <c r="C13" s="20" t="n">
        <v>4.8</v>
      </c>
      <c r="D13" s="10" t="inlineStr">
        <is>
          <t>&gt;=</t>
        </is>
      </c>
      <c r="E13" s="20" t="n">
        <v>3</v>
      </c>
      <c r="F13" s="10" t="inlineStr">
        <is>
          <t>&gt;=</t>
        </is>
      </c>
      <c r="G13" s="20" t="n">
        <v>2</v>
      </c>
      <c r="H13" s="15" t="n">
        <v>1</v>
      </c>
      <c r="I13" s="16">
        <f>IF(C13="","Not assessed",IF(IF(D13="&gt;=",C13&gt;=E13,C13&lt;=E13),"Green",IF(IF(F13="&gt;=",C13&gt;=G13,C13&lt;=G13),"Amber","Red")))</f>
        <v/>
      </c>
      <c r="J13" s="17">
        <f>IF(I13="Green",2,IF(I13="Amber",1,0))*H13</f>
        <v/>
      </c>
      <c r="K13" s="18" t="inlineStr">
        <is>
          <t>SolaraPay calibrated, weighted by planned mix</t>
        </is>
      </c>
    </row>
    <row r="14" ht="26" customHeight="1">
      <c r="A14" s="8" t="inlineStr">
        <is>
          <t>Highest payment burden across tiers</t>
        </is>
      </c>
      <c r="B14" s="11" t="inlineStr">
        <is>
          <t>%</t>
        </is>
      </c>
      <c r="C14" s="19" t="n">
        <v>0.132</v>
      </c>
      <c r="D14" s="10" t="inlineStr">
        <is>
          <t>&lt;=</t>
        </is>
      </c>
      <c r="E14" s="19" t="n">
        <v>0.1</v>
      </c>
      <c r="F14" s="10" t="inlineStr">
        <is>
          <t>&lt;=</t>
        </is>
      </c>
      <c r="G14" s="19" t="n">
        <v>0.13</v>
      </c>
      <c r="H14" s="15" t="n">
        <v>1</v>
      </c>
      <c r="I14" s="16">
        <f>IF(C14="","Not assessed",IF(IF(D14="&gt;=",C14&gt;=E14,C14&lt;=E14),"Green",IF(IF(F14="&gt;=",C14&gt;=G14,C14&lt;=G14),"Amber","Red")))</f>
        <v/>
      </c>
      <c r="J14" s="17">
        <f>IF(I14="Green",2,IF(I14="Amber",1,0))*H14</f>
        <v/>
      </c>
      <c r="K14" s="18" t="inlineStr">
        <is>
          <t>SolaraPay Tier 3: 13.2%</t>
        </is>
      </c>
    </row>
    <row r="15" ht="26" customHeight="1">
      <c r="A15" s="8" t="inlineStr">
        <is>
          <t>Share of hard currency debt funding the receivables book</t>
        </is>
      </c>
      <c r="B15" s="11" t="inlineStr">
        <is>
          <t>%</t>
        </is>
      </c>
      <c r="C15" s="19" t="n"/>
      <c r="D15" s="10" t="inlineStr">
        <is>
          <t>&lt;=</t>
        </is>
      </c>
      <c r="E15" s="19" t="n">
        <v>0.25</v>
      </c>
      <c r="F15" s="10" t="inlineStr">
        <is>
          <t>&lt;=</t>
        </is>
      </c>
      <c r="G15" s="19" t="n">
        <v>0.5</v>
      </c>
      <c r="H15" s="15" t="n">
        <v>1</v>
      </c>
      <c r="I15" s="16">
        <f>IF(C15="","Not assessed",IF(IF(D15="&gt;=",C15&gt;=E15,C15&lt;=E15),"Green",IF(IF(F15="&gt;=",C15&gt;=G15,C15&lt;=G15),"Amber","Red")))</f>
        <v/>
      </c>
      <c r="J15" s="17">
        <f>IF(I15="Green",2,IF(I15="Amber",1,0))*H15</f>
        <v/>
      </c>
      <c r="K15" s="18" t="inlineStr">
        <is>
          <t>Not assessed in the case</t>
        </is>
      </c>
    </row>
    <row r="16" ht="26" customHeight="1">
      <c r="A16" s="8" t="inlineStr">
        <is>
          <t>Funding runway without new money</t>
        </is>
      </c>
      <c r="B16" s="11" t="inlineStr">
        <is>
          <t>months</t>
        </is>
      </c>
      <c r="C16" s="15" t="n"/>
      <c r="D16" s="10" t="inlineStr">
        <is>
          <t>&gt;=</t>
        </is>
      </c>
      <c r="E16" s="15" t="n">
        <v>12</v>
      </c>
      <c r="F16" s="10" t="inlineStr">
        <is>
          <t>&gt;=</t>
        </is>
      </c>
      <c r="G16" s="15" t="n">
        <v>6</v>
      </c>
      <c r="H16" s="15" t="n">
        <v>1</v>
      </c>
      <c r="I16" s="16">
        <f>IF(C16="","Not assessed",IF(IF(D16="&gt;=",C16&gt;=E16,C16&lt;=E16),"Green",IF(IF(F16="&gt;=",C16&gt;=G16,C16&lt;=G16),"Amber","Red")))</f>
        <v/>
      </c>
      <c r="J16" s="17">
        <f>IF(I16="Green",2,IF(I16="Amber",1,0))*H16</f>
        <v/>
      </c>
      <c r="K16" s="18" t="inlineStr">
        <is>
          <t>Not assessed in the case</t>
        </is>
      </c>
    </row>
    <row r="17" ht="26" customHeight="1">
      <c r="A17" s="8" t="inlineStr">
        <is>
          <t>Lending licence position confirmed by counsel</t>
        </is>
      </c>
      <c r="B17" s="11" t="inlineStr">
        <is>
          <t>Yes/No</t>
        </is>
      </c>
      <c r="C17" s="10" t="n"/>
      <c r="D17" s="11" t="inlineStr">
        <is>
          <t>Yes</t>
        </is>
      </c>
      <c r="H17" s="15" t="n">
        <v>1</v>
      </c>
      <c r="I17" s="16">
        <f>IF(C17="","Not assessed",IF(C17="Yes","Green","Red: kill"))</f>
        <v/>
      </c>
      <c r="J17" s="17">
        <f>IF(I17="Green",2,IF(I17="Amber",1,0))*H17</f>
        <v/>
      </c>
      <c r="K17" s="18" t="inlineStr">
        <is>
          <t>Kill criterion if No</t>
        </is>
      </c>
    </row>
    <row r="18" ht="26" customHeight="1">
      <c r="A18" s="8" t="inlineStr">
        <is>
          <t>Credit function independent of sales</t>
        </is>
      </c>
      <c r="B18" s="11" t="inlineStr">
        <is>
          <t>Yes/No</t>
        </is>
      </c>
      <c r="C18" s="10" t="n"/>
      <c r="D18" s="11" t="inlineStr">
        <is>
          <t>Yes</t>
        </is>
      </c>
      <c r="H18" s="15" t="n">
        <v>1</v>
      </c>
      <c r="I18" s="16">
        <f>IF(C18="","Not assessed",IF(C18="Yes","Green","Red"))</f>
        <v/>
      </c>
      <c r="J18" s="17">
        <f>IF(I18="Green",2,IF(I18="Amber",1,0))*H18</f>
        <v/>
      </c>
      <c r="K18" s="18" t="inlineStr"/>
    </row>
    <row r="19"/>
    <row r="20">
      <c r="A20" s="9" t="inlineStr">
        <is>
          <t>Criteria assessed</t>
        </is>
      </c>
      <c r="C20" s="21">
        <f>COUNTA(A7:A18)-COUNTIF(I7:I18,"Not assessed")</f>
        <v/>
      </c>
      <c r="D20" s="11">
        <f>"of "&amp;COUNTA(A7:A18)</f>
        <v/>
      </c>
    </row>
    <row r="21">
      <c r="A21" s="9" t="inlineStr">
        <is>
          <t>Weighted score on assessed criteria</t>
        </is>
      </c>
      <c r="C21" s="22">
        <f>IFERROR(SUM(J7:J18)/(2*SUMIF(I7:I18,"&lt;&gt;Not assessed",H7:H18)),0)</f>
        <v/>
      </c>
    </row>
    <row r="22">
      <c r="A22" s="9" t="inlineStr">
        <is>
          <t>Kill criteria failed</t>
        </is>
      </c>
      <c r="C22" s="21">
        <f>COUNTIF(I7:I18,"Red: kill")</f>
        <v/>
      </c>
    </row>
    <row r="23">
      <c r="A23" s="11" t="inlineStr">
        <is>
          <t>Score needed to proceed (input)</t>
        </is>
      </c>
      <c r="C23" s="19" t="n">
        <v>0.6</v>
      </c>
    </row>
    <row r="24">
      <c r="A24" s="11" t="inlineStr">
        <is>
          <t>Score needed to proceed without conditions (input)</t>
        </is>
      </c>
      <c r="C24" s="19" t="n">
        <v>0.8</v>
      </c>
    </row>
    <row r="25"/>
    <row r="26">
      <c r="A26" s="9" t="inlineStr">
        <is>
          <t>Verdict</t>
        </is>
      </c>
      <c r="C26" s="16">
        <f>IF(C22&gt;0,"Decline: a kill criterion fails",IF(C20&lt;COUNTA(A7:A18),"Incomplete: "&amp;(COUNTA(A7:A18)-C20)&amp;" criteria not assessed; provisional score "&amp;TEXT(C21,"0%"),IF(C21&gt;=C24,"Proceed to diligence",IF(C21&gt;=C23,"Proceed with conditions","Decline"))))</f>
        <v/>
      </c>
      <c r="D26" s="23" t="n"/>
      <c r="E26" s="23" t="n"/>
      <c r="F26" s="23" t="n"/>
      <c r="G26" s="23" t="n"/>
      <c r="H26" s="23" t="n"/>
      <c r="I26" s="23" t="n"/>
      <c r="J26" s="23" t="n"/>
      <c r="K26" s="24" t="n"/>
    </row>
    <row r="27"/>
    <row r="28">
      <c r="A28" s="18" t="inlineStr">
        <is>
          <t>Thresholds and weights are suggested defaults reflecting the author's judgement, not sector standards. Set them to the fund's credit policy before use.</t>
        </is>
      </c>
    </row>
  </sheetData>
  <mergeCells count="1">
    <mergeCell ref="C26:K26"/>
  </mergeCells>
  <conditionalFormatting sqref="I7:I18">
    <cfRule type="expression" priority="1" dxfId="0">
      <formula>ISNUMBER(SEARCH("Red",I7))</formula>
    </cfRule>
    <cfRule type="expression" priority="2" dxfId="1">
      <formula>ISNUMBER(SEARCH("Amber",I7))</formula>
    </cfRule>
    <cfRule type="expression" priority="3" dxfId="2">
      <formula>ISNUMBER(SEARCH("Green",I7))</formula>
    </cfRule>
  </conditionalFormatting>
  <conditionalFormatting sqref="C26">
    <cfRule type="expression" priority="4" dxfId="0">
      <formula>ISNUMBER(SEARCH("Decline",C26))</formula>
    </cfRule>
    <cfRule type="expression" priority="5" dxfId="1">
      <formula>ISNUMBER(SEARCH("Incomplete",C26))</formula>
    </cfRule>
    <cfRule type="expression" priority="6" dxfId="2">
      <formula>ISNUMBER(SEARCH("Proceed",C26))</formula>
    </cfRule>
  </conditionalFormatting>
  <dataValidations count="20">
    <dataValidation sqref="D7" showDropDown="0" showInputMessage="0" showErrorMessage="0" allowBlank="1" type="list">
      <formula1>"&gt;=,&lt;="</formula1>
    </dataValidation>
    <dataValidation sqref="F7" showDropDown="0" showInputMessage="0" showErrorMessage="0" allowBlank="1" type="list">
      <formula1>"&gt;=,&lt;="</formula1>
    </dataValidation>
    <dataValidation sqref="C8" showDropDown="0" showInputMessage="0" showErrorMessage="0" allowBlank="1" type="list">
      <formula1>"Yes,No"</formula1>
    </dataValidation>
    <dataValidation sqref="D9" showDropDown="0" showInputMessage="0" showErrorMessage="0" allowBlank="1" type="list">
      <formula1>"&gt;=,&lt;="</formula1>
    </dataValidation>
    <dataValidation sqref="F9" showDropDown="0" showInputMessage="0" showErrorMessage="0" allowBlank="1" type="list">
      <formula1>"&gt;=,&lt;="</formula1>
    </dataValidation>
    <dataValidation sqref="D10" showDropDown="0" showInputMessage="0" showErrorMessage="0" allowBlank="1" type="list">
      <formula1>"&gt;=,&lt;="</formula1>
    </dataValidation>
    <dataValidation sqref="F10" showDropDown="0" showInputMessage="0" showErrorMessage="0" allowBlank="1" type="list">
      <formula1>"&gt;=,&lt;="</formula1>
    </dataValidation>
    <dataValidation sqref="D11" showDropDown="0" showInputMessage="0" showErrorMessage="0" allowBlank="1" type="list">
      <formula1>"&gt;=,&lt;="</formula1>
    </dataValidation>
    <dataValidation sqref="F11" showDropDown="0" showInputMessage="0" showErrorMessage="0" allowBlank="1" type="list">
      <formula1>"&gt;=,&lt;="</formula1>
    </dataValidation>
    <dataValidation sqref="C12" showDropDown="0" showInputMessage="0" showErrorMessage="0" allowBlank="1" type="list">
      <formula1>"Yes,No"</formula1>
    </dataValidation>
    <dataValidation sqref="D13" showDropDown="0" showInputMessage="0" showErrorMessage="0" allowBlank="1" type="list">
      <formula1>"&gt;=,&lt;="</formula1>
    </dataValidation>
    <dataValidation sqref="F13" showDropDown="0" showInputMessage="0" showErrorMessage="0" allowBlank="1" type="list">
      <formula1>"&gt;=,&lt;="</formula1>
    </dataValidation>
    <dataValidation sqref="D14" showDropDown="0" showInputMessage="0" showErrorMessage="0" allowBlank="1" type="list">
      <formula1>"&gt;=,&lt;="</formula1>
    </dataValidation>
    <dataValidation sqref="F14" showDropDown="0" showInputMessage="0" showErrorMessage="0" allowBlank="1" type="list">
      <formula1>"&gt;=,&lt;="</formula1>
    </dataValidation>
    <dataValidation sqref="D15" showDropDown="0" showInputMessage="0" showErrorMessage="0" allowBlank="1" type="list">
      <formula1>"&gt;=,&lt;="</formula1>
    </dataValidation>
    <dataValidation sqref="F15" showDropDown="0" showInputMessage="0" showErrorMessage="0" allowBlank="1" type="list">
      <formula1>"&gt;=,&lt;="</formula1>
    </dataValidation>
    <dataValidation sqref="D16" showDropDown="0" showInputMessage="0" showErrorMessage="0" allowBlank="1" type="list">
      <formula1>"&gt;=,&lt;="</formula1>
    </dataValidation>
    <dataValidation sqref="F16" showDropDown="0" showInputMessage="0" showErrorMessage="0" allowBlank="1" type="list">
      <formula1>"&gt;=,&lt;="</formula1>
    </dataValidation>
    <dataValidation sqref="C17" showDropDown="0" showInputMessage="0" showErrorMessage="0" allowBlank="1" type="list">
      <formula1>"Yes,No"</formula1>
    </dataValidation>
    <dataValidation sqref="C18" showDropDown="0" showInputMessage="0" showErrorMessage="0" allowBlank="1" type="list">
      <formula1>"Yes,No"</formula1>
    </dataValidation>
  </dataValidations>
  <printOptions horizontalCentered="1"/>
  <pageMargins left="0.5" right="0.5" top="0.6" bottom="0.7" header="0.5" footer="0.5"/>
  <pageSetup orientation="landscape" paperSize="9" fitToHeight="0" fitToWidth="1"/>
  <headerFooter>
    <oddHeader/>
    <oddFooter>&amp;L&amp;"Arial"&amp;8 Africa Energy Finance | Volume 2 Decision tool D5&amp;C&amp;"Arial"&amp;8 &amp;A&amp;R&amp;"Arial"&amp;8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Africa Energy Finance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Emmanuel Boujieka Kamga</dc:creator>
  <dc:title xmlns:dc="http://purl.org/dc/elements/1.1/">AEF Volume 2 Decision Tool D5: Investment screening scorecard</dc:title>
  <dc:subject xmlns:dc="http://purl.org/dc/elements/1.1/">Africa Energy Finance, Volume 2 Decision Tools</dc:subject>
  <dcterms:created xmlns:dcterms="http://purl.org/dc/terms/" xmlns:xsi="http://www.w3.org/2001/XMLSchema-instance" xsi:type="dcterms:W3CDTF">2026-10-02T21:09:49Z</dcterms:created>
  <dcterms:modified xmlns:dcterms="http://purl.org/dc/terms/" xmlns:xsi="http://www.w3.org/2001/XMLSchema-instance" xsi:type="dcterms:W3CDTF">2026-10-02T21:09:49Z</dcterms:modified>
  <cp:lastModifiedBy>Emmanuel Boujieka Kamga</cp:lastModifiedBy>
  <cp:keywords>Africa Energy Finance; Volume 2; PAYGo; template</cp:keywords>
</cp:coreProperties>
</file>