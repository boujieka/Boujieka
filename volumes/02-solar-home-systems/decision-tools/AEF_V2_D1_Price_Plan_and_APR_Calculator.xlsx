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Price_Plans" sheetId="2" state="visible" r:id="rId2"/>
  </sheets>
  <definedNames/>
  <calcPr calcId="124519" fullCalcOnLoad="1"/>
</workbook>
</file>

<file path=xl/styles.xml><?xml version="1.0" encoding="utf-8"?>
<styleSheet xmlns="http://schemas.openxmlformats.org/spreadsheetml/2006/main">
  <numFmts count="4">
    <numFmt numFmtId="164" formatCode="#,##0;(#,##0);0"/>
    <numFmt numFmtId="165" formatCode="#,##0.0;(#,##0.0);0.0"/>
    <numFmt numFmtId="166" formatCode="0.0%;(0.0%);0.0%"/>
    <numFmt numFmtId="167" formatCode="0.00%;(0.00%);0.00%"/>
  </numFmts>
  <fonts count="11">
    <font>
      <name val="Calibri"/>
      <family val="2"/>
      <color theme="1"/>
      <sz val="11"/>
      <scheme val="minor"/>
    </font>
    <font>
      <name val="Arial"/>
      <b val="1"/>
      <color rgb="00E3C27A"/>
      <sz val="8"/>
    </font>
    <font>
      <name val="Arial"/>
      <b val="1"/>
      <color rgb="00FFFFFF"/>
      <sz val="15"/>
    </font>
    <font>
      <name val="Arial"/>
      <i val="1"/>
      <color rgb="00E8E8E8"/>
      <sz val="9"/>
    </font>
    <font>
      <name val="Arial"/>
      <color rgb="00666666"/>
      <sz val="8"/>
    </font>
    <font>
      <name val="Arial"/>
      <b val="1"/>
      <color rgb="000B3020"/>
      <sz val="11"/>
    </font>
    <font>
      <name val="Arial"/>
      <sz val="10"/>
    </font>
    <font>
      <name val="Arial"/>
      <b val="1"/>
      <sz val="10"/>
    </font>
    <font>
      <name val="Arial"/>
      <color rgb="000000FF"/>
      <sz val="10"/>
    </font>
    <font>
      <name val="Arial"/>
      <i val="1"/>
      <color rgb="00666666"/>
      <sz val="9"/>
    </font>
    <font>
      <name val="Arial"/>
      <b val="1"/>
      <color rgb="00FFFFFF"/>
      <sz val="10"/>
    </font>
  </fonts>
  <fills count="4">
    <fill>
      <patternFill/>
    </fill>
    <fill>
      <patternFill patternType="gray125"/>
    </fill>
    <fill>
      <patternFill patternType="solid">
        <fgColor rgb="000B3020"/>
      </patternFill>
    </fill>
    <fill>
      <patternFill patternType="solid">
        <fgColor rgb="00FFF8E1"/>
      </patternFill>
    </fill>
  </fills>
  <borders count="3">
    <border>
      <left/>
      <right/>
      <top/>
      <bottom/>
      <diagonal/>
    </border>
    <border>
      <bottom style="medium">
        <color rgb="00B07C0F"/>
      </bottom>
    </border>
    <border>
      <left style="thin">
        <color rgb="00D0D0D0"/>
      </left>
      <right style="thin">
        <color rgb="00D0D0D0"/>
      </right>
      <top style="thin">
        <color rgb="00D0D0D0"/>
      </top>
      <bottom style="thin">
        <color rgb="00D0D0D0"/>
      </bottom>
    </border>
  </borders>
  <cellStyleXfs count="1">
    <xf numFmtId="0" fontId="0" fillId="0" borderId="0"/>
  </cellStyleXfs>
  <cellXfs count="24">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4" fillId="0" borderId="1" pivotButton="0" quotePrefix="0" xfId="0"/>
    <xf numFmtId="0" fontId="0" fillId="0" borderId="1" pivotButton="0" quotePrefix="0" xfId="0"/>
    <xf numFmtId="0" fontId="5" fillId="0" borderId="1" pivotButton="0" quotePrefix="0" xfId="0"/>
    <xf numFmtId="0" fontId="6" fillId="0" borderId="0" applyAlignment="1" pivotButton="0" quotePrefix="0" xfId="0">
      <alignment vertical="top" wrapText="1"/>
    </xf>
    <xf numFmtId="0" fontId="7" fillId="0" borderId="0" pivotButton="0" quotePrefix="0" xfId="0"/>
    <xf numFmtId="0" fontId="8" fillId="3" borderId="2" pivotButton="0" quotePrefix="0" xfId="0"/>
    <xf numFmtId="0" fontId="6" fillId="0" borderId="0" pivotButton="0" quotePrefix="0" xfId="0"/>
    <xf numFmtId="0" fontId="6" fillId="0" borderId="2" pivotButton="0" quotePrefix="0" xfId="0"/>
    <xf numFmtId="0" fontId="9" fillId="0" borderId="0" applyAlignment="1" pivotButton="0" quotePrefix="0" xfId="0">
      <alignment vertical="top" wrapText="1"/>
    </xf>
    <xf numFmtId="0" fontId="10" fillId="2" borderId="2" applyAlignment="1" pivotButton="0" quotePrefix="0" xfId="0">
      <alignment vertical="center" wrapText="1"/>
    </xf>
    <xf numFmtId="164" fontId="8" fillId="3" borderId="2" pivotButton="0" quotePrefix="0" xfId="0"/>
    <xf numFmtId="165" fontId="8" fillId="3" borderId="2" pivotButton="0" quotePrefix="0" xfId="0"/>
    <xf numFmtId="0" fontId="9" fillId="0" borderId="0" pivotButton="0" quotePrefix="0" xfId="0"/>
    <xf numFmtId="166" fontId="8" fillId="3" borderId="2" pivotButton="0" quotePrefix="0" xfId="0"/>
    <xf numFmtId="164" fontId="6" fillId="0" borderId="2" pivotButton="0" quotePrefix="0" xfId="0"/>
    <xf numFmtId="166" fontId="6" fillId="0" borderId="2" pivotButton="0" quotePrefix="0" xfId="0"/>
    <xf numFmtId="167" fontId="6" fillId="0" borderId="2" pivotButton="0" quotePrefix="0" xfId="0"/>
    <xf numFmtId="0" fontId="7" fillId="0" borderId="2" pivotButton="0" quotePrefix="0" xfId="0"/>
    <xf numFmtId="165" fontId="6" fillId="0" borderId="2" pivotButton="0" quotePrefix="0" xfId="0"/>
  </cellXfs>
  <cellStyles count="1">
    <cellStyle name="Normal" xfId="0" builtinId="0" hidden="0"/>
  </cellStyles>
  <dxfs count="3">
    <dxf>
      <fill>
        <patternFill patternType="solid">
          <fgColor rgb="00F4CCCC"/>
        </patternFill>
      </fill>
    </dxf>
    <dxf>
      <fill>
        <patternFill patternType="solid">
          <fgColor rgb="00FCE8B2"/>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10" customWidth="1" min="5" max="5"/>
    <col width="10" customWidth="1" min="6" max="6"/>
  </cols>
  <sheetData>
    <row r="1">
      <c r="A1" s="1" t="inlineStr">
        <is>
          <t>AFRICA ENERGY FINANCE  |  BOOK 2  |  PAYGO SOLAR FINANCE</t>
        </is>
      </c>
      <c r="B1" s="2" t="n"/>
      <c r="C1" s="2" t="n"/>
      <c r="D1" s="2" t="n"/>
      <c r="E1" s="2" t="n"/>
      <c r="F1" s="2" t="n"/>
    </row>
    <row r="2" ht="22" customHeight="1">
      <c r="A2" s="3" t="inlineStr">
        <is>
          <t>Price plan and APR calculator</t>
        </is>
      </c>
      <c r="B2" s="2" t="n"/>
      <c r="C2" s="2" t="n"/>
      <c r="D2" s="2" t="n"/>
      <c r="E2" s="2" t="n"/>
      <c r="F2" s="2" t="n"/>
    </row>
    <row r="3">
      <c r="A3" s="4" t="inlineStr">
        <is>
          <t>How to use this template</t>
        </is>
      </c>
      <c r="B3" s="2" t="n"/>
      <c r="C3" s="2" t="n"/>
      <c r="D3" s="2" t="n"/>
      <c r="E3" s="2" t="n"/>
      <c r="F3" s="2" t="n"/>
    </row>
    <row r="4">
      <c r="A4" s="5" t="inlineStr">
        <is>
          <t>Decision tool D1  |  Version 0.9 (pre-release)  |  Author &amp; ideation: Emmanuel Boujieka Kamga</t>
        </is>
      </c>
      <c r="B4" s="6" t="n"/>
      <c r="C4" s="6" t="n"/>
      <c r="D4" s="6" t="n"/>
      <c r="E4" s="6" t="n"/>
      <c r="F4" s="6" t="n"/>
    </row>
    <row r="5"/>
    <row r="6">
      <c r="A6" s="7" t="inlineStr">
        <is>
          <t>Purpose</t>
        </is>
      </c>
      <c r="B6" s="6" t="n"/>
      <c r="C6" s="6" t="n"/>
      <c r="D6" s="6" t="n"/>
      <c r="E6" s="6" t="n"/>
      <c r="F6" s="6" t="n"/>
    </row>
    <row r="7">
      <c r="A7" s="8" t="inlineStr">
        <is>
          <t>Compares up to five PAYGo price plans on the figures that matter to a customer, a regulator and a lender: instalment, total contract value, PAYGo premium, implied monthly rate, nominal APR, effective annual rate, flat rate and payment burden; and solves for the daily rate, tenor or price that meets an affordability threshold.</t>
        </is>
      </c>
    </row>
    <row r="8"/>
    <row r="9"/>
    <row r="10"/>
    <row r="11">
      <c r="A11" s="7" t="inlineStr">
        <is>
          <t>How to use it</t>
        </is>
      </c>
      <c r="B11" s="6" t="n"/>
      <c r="C11" s="6" t="n"/>
      <c r="D11" s="6" t="n"/>
      <c r="E11" s="6" t="n"/>
      <c r="F11" s="6" t="n"/>
    </row>
    <row r="12" ht="30" customHeight="1">
      <c r="A12" s="9" t="inlineStr">
        <is>
          <t>Step 1</t>
        </is>
      </c>
      <c r="B12" s="8" t="inlineStr">
        <is>
          <t>Enter each plan's cash price, deposit, daily rate and tenor, and the household incomes of its target segment.</t>
        </is>
      </c>
    </row>
    <row r="13" ht="30" customHeight="1">
      <c r="A13" s="9" t="inlineStr">
        <is>
          <t>Step 2</t>
        </is>
      </c>
      <c r="B13" s="8" t="inlineStr">
        <is>
          <t>Read the implied rates and the payment burden; the flag shows whether the plan meets the threshold in a lean month.</t>
        </is>
      </c>
    </row>
    <row r="14" ht="30" customHeight="1">
      <c r="A14" s="9" t="inlineStr">
        <is>
          <t>Step 3</t>
        </is>
      </c>
      <c r="B14" s="8" t="inlineStr">
        <is>
          <t>Use the solver block to find the daily rate, tenor or price reduction that meets the threshold, or the daily rate for a target APR.</t>
        </is>
      </c>
    </row>
    <row r="15" ht="30" customHeight="1">
      <c r="A15" s="9" t="inlineStr">
        <is>
          <t>Step 4</t>
        </is>
      </c>
      <c r="B15" s="8" t="inlineStr">
        <is>
          <t>State which APR convention a disclosure uses; confirm with local counsel which one the rules require.</t>
        </is>
      </c>
    </row>
    <row r="16"/>
    <row r="17">
      <c r="A17" s="7" t="inlineStr">
        <is>
          <t>Colour code</t>
        </is>
      </c>
      <c r="B17" s="6" t="n"/>
      <c r="C17" s="6" t="n"/>
      <c r="D17" s="6" t="n"/>
      <c r="E17" s="6" t="n"/>
      <c r="F17" s="6" t="n"/>
    </row>
    <row r="18">
      <c r="A18" s="10" t="inlineStr">
        <is>
          <t>Input</t>
        </is>
      </c>
      <c r="B18" s="11" t="inlineStr">
        <is>
          <t>Blue font on cream: the only cells to edit</t>
        </is>
      </c>
    </row>
    <row r="19">
      <c r="A19" s="12" t="inlineStr">
        <is>
          <t>Formula</t>
        </is>
      </c>
      <c r="B19" s="11" t="inlineStr">
        <is>
          <t>Black font: calculated, do not overwrite</t>
        </is>
      </c>
    </row>
    <row r="20"/>
    <row r="21">
      <c r="A21" s="7" t="inlineStr">
        <is>
          <t>Links to Book 2 and MODEL 2</t>
        </is>
      </c>
      <c r="B21" s="6" t="n"/>
      <c r="C21" s="6" t="n"/>
      <c r="D21" s="6" t="n"/>
      <c r="E21" s="6" t="n"/>
      <c r="F21" s="6" t="n"/>
    </row>
    <row r="22">
      <c r="A22" s="9" t="inlineStr">
        <is>
          <t>Book</t>
        </is>
      </c>
      <c r="B22" s="8" t="inlineStr">
        <is>
          <t>Chapter 2 (payment burden, implied APR), Chapter 3 (APR caps), Chapter 4 (price plan design)</t>
        </is>
      </c>
    </row>
    <row r="23">
      <c r="A23" s="9" t="inlineStr">
        <is>
          <t>Model</t>
        </is>
      </c>
      <c r="B23" s="8" t="inlineStr">
        <is>
          <t>Products (price plans), Consumer_Risk (burden, APR)</t>
        </is>
      </c>
    </row>
    <row r="24">
      <c r="A24" s="9" t="inlineStr">
        <is>
          <t>Default inputs</t>
        </is>
      </c>
      <c r="B24" s="8" t="inlineStr">
        <is>
          <t>Plan A is the illustrative Tier 2 plan of Chapters 1 and 2; Plans B to E are the model's default Tiers 1 to 4. Lean month income is set at two thirds of average income for illustration.</t>
        </is>
      </c>
    </row>
    <row r="25"/>
    <row r="26">
      <c r="A26" s="13" t="inlineStr">
        <is>
          <t>Decision support material; not investment, legal, tax or accounting advice. Example values are illustrative and refer to the book's worked examples or to the fictional SolaraPay case. (c) 2026 Emmanuel Boujieka Kamga.</t>
        </is>
      </c>
    </row>
    <row r="27"/>
  </sheetData>
  <mergeCells count="9">
    <mergeCell ref="B12:F12"/>
    <mergeCell ref="B24:F24"/>
    <mergeCell ref="B15:F15"/>
    <mergeCell ref="A7:F9"/>
    <mergeCell ref="B23:F23"/>
    <mergeCell ref="B22:F22"/>
    <mergeCell ref="B14:F14"/>
    <mergeCell ref="A26:F27"/>
    <mergeCell ref="B13:F13"/>
  </mergeCells>
  <printOptions horizontalCentered="1"/>
  <pageMargins left="0.5" right="0.5" top="0.6" bottom="0.7" header="0.5" footer="0.5"/>
  <pageSetup orientation="portrait" paperSize="9" fitToHeight="0" fitToWidth="1"/>
  <headerFooter>
    <oddHeader/>
    <oddFooter>&amp;L&amp;"Arial"&amp;8 Africa Energy Finance | Book 2 Decision tool D1 | Version 0.9 (pre-release)&amp;C&amp;"Arial"&amp;8 &amp;A&amp;R&amp;"Arial"&amp;8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41"/>
  <sheetViews>
    <sheetView showGridLines="0" workbookViewId="0">
      <selection activeCell="A1" sqref="A1"/>
    </sheetView>
  </sheetViews>
  <sheetFormatPr baseColWidth="8" defaultRowHeight="15"/>
  <cols>
    <col width="52" customWidth="1" min="1" max="1"/>
    <col width="12" customWidth="1" min="2" max="2"/>
    <col width="15" customWidth="1" min="3" max="3"/>
    <col width="15" customWidth="1" min="4" max="4"/>
    <col width="15" customWidth="1" min="5" max="5"/>
    <col width="15" customWidth="1" min="6" max="6"/>
    <col width="15" customWidth="1" min="7" max="7"/>
    <col width="30" customWidth="1" min="8" max="8"/>
  </cols>
  <sheetData>
    <row r="1">
      <c r="A1" s="1" t="inlineStr">
        <is>
          <t>AFRICA ENERGY FINANCE  |  BOOK 2  |  PAYGO SOLAR FINANCE</t>
        </is>
      </c>
      <c r="B1" s="2" t="n"/>
      <c r="C1" s="2" t="n"/>
      <c r="D1" s="2" t="n"/>
      <c r="E1" s="2" t="n"/>
      <c r="F1" s="2" t="n"/>
      <c r="G1" s="2" t="n"/>
      <c r="H1" s="2" t="n"/>
    </row>
    <row r="2" ht="22" customHeight="1">
      <c r="A2" s="3" t="inlineStr">
        <is>
          <t>Price plan and APR calculator</t>
        </is>
      </c>
      <c r="B2" s="2" t="n"/>
      <c r="C2" s="2" t="n"/>
      <c r="D2" s="2" t="n"/>
      <c r="E2" s="2" t="n"/>
      <c r="F2" s="2" t="n"/>
      <c r="G2" s="2" t="n"/>
      <c r="H2" s="2" t="n"/>
    </row>
    <row r="3">
      <c r="A3" s="4" t="inlineStr">
        <is>
          <t>Local currency; five plans side by side</t>
        </is>
      </c>
      <c r="B3" s="2" t="n"/>
      <c r="C3" s="2" t="n"/>
      <c r="D3" s="2" t="n"/>
      <c r="E3" s="2" t="n"/>
      <c r="F3" s="2" t="n"/>
      <c r="G3" s="2" t="n"/>
      <c r="H3" s="2" t="n"/>
    </row>
    <row r="4">
      <c r="A4" s="5" t="inlineStr">
        <is>
          <t>Decision tool D1  |  Version 0.9 (pre-release)  |  Author &amp; ideation: Emmanuel Boujieka Kamga</t>
        </is>
      </c>
      <c r="B4" s="6" t="n"/>
      <c r="C4" s="6" t="n"/>
      <c r="D4" s="6" t="n"/>
      <c r="E4" s="6" t="n"/>
      <c r="F4" s="6" t="n"/>
      <c r="G4" s="6" t="n"/>
      <c r="H4" s="6" t="n"/>
    </row>
    <row r="5"/>
    <row r="6" ht="30" customHeight="1">
      <c r="A6" s="14" t="inlineStr">
        <is>
          <t>Item</t>
        </is>
      </c>
      <c r="B6" s="14" t="inlineStr">
        <is>
          <t>Unit</t>
        </is>
      </c>
      <c r="C6" s="14" t="inlineStr">
        <is>
          <t>Plan A</t>
        </is>
      </c>
      <c r="D6" s="14" t="inlineStr">
        <is>
          <t>Plan B</t>
        </is>
      </c>
      <c r="E6" s="14" t="inlineStr">
        <is>
          <t>Plan C</t>
        </is>
      </c>
      <c r="F6" s="14" t="inlineStr">
        <is>
          <t>Plan D</t>
        </is>
      </c>
      <c r="G6" s="14" t="inlineStr">
        <is>
          <t>Plan E</t>
        </is>
      </c>
      <c r="H6" s="14" t="inlineStr">
        <is>
          <t>Notes</t>
        </is>
      </c>
    </row>
    <row r="7">
      <c r="A7" s="9" t="inlineStr">
        <is>
          <t>Plan name</t>
        </is>
      </c>
      <c r="B7" s="11" t="inlineStr"/>
      <c r="C7" s="10" t="inlineStr">
        <is>
          <t>Chapter 2 example</t>
        </is>
      </c>
      <c r="D7" s="10" t="inlineStr">
        <is>
          <t>Tier 1 default</t>
        </is>
      </c>
      <c r="E7" s="10" t="inlineStr">
        <is>
          <t>Tier 2 default</t>
        </is>
      </c>
      <c r="F7" s="10" t="inlineStr">
        <is>
          <t>Tier 3 default</t>
        </is>
      </c>
      <c r="G7" s="10" t="inlineStr">
        <is>
          <t>Tier 4 default</t>
        </is>
      </c>
    </row>
    <row r="8">
      <c r="A8" s="11" t="inlineStr">
        <is>
          <t>Cash price</t>
        </is>
      </c>
      <c r="B8" s="11" t="inlineStr">
        <is>
          <t>LCY</t>
        </is>
      </c>
      <c r="C8" s="15" t="n">
        <v>40000</v>
      </c>
      <c r="D8" s="15" t="n">
        <v>6500</v>
      </c>
      <c r="E8" s="15" t="n">
        <v>39000</v>
      </c>
      <c r="F8" s="15" t="n">
        <v>117000</v>
      </c>
      <c r="G8" s="15" t="n">
        <v>390000</v>
      </c>
    </row>
    <row r="9">
      <c r="A9" s="11" t="inlineStr">
        <is>
          <t>Deposit</t>
        </is>
      </c>
      <c r="B9" s="11" t="inlineStr">
        <is>
          <t>LCY</t>
        </is>
      </c>
      <c r="C9" s="15" t="n">
        <v>4000</v>
      </c>
      <c r="D9" s="15" t="n">
        <v>1000</v>
      </c>
      <c r="E9" s="15" t="n">
        <v>4000</v>
      </c>
      <c r="F9" s="15" t="n">
        <v>17550</v>
      </c>
      <c r="G9" s="15" t="n">
        <v>78000</v>
      </c>
    </row>
    <row r="10">
      <c r="A10" s="11" t="inlineStr">
        <is>
          <t>Daily rate</t>
        </is>
      </c>
      <c r="B10" s="11" t="inlineStr">
        <is>
          <t>LCY</t>
        </is>
      </c>
      <c r="C10" s="16" t="n">
        <v>72</v>
      </c>
      <c r="D10" s="16" t="n">
        <v>25</v>
      </c>
      <c r="E10" s="16" t="n">
        <v>77</v>
      </c>
      <c r="F10" s="16" t="n">
        <v>173</v>
      </c>
      <c r="G10" s="16" t="n">
        <v>445</v>
      </c>
    </row>
    <row r="11">
      <c r="A11" s="11" t="inlineStr">
        <is>
          <t>Tenor</t>
        </is>
      </c>
      <c r="B11" s="11" t="inlineStr">
        <is>
          <t>months</t>
        </is>
      </c>
      <c r="C11" s="15" t="n">
        <v>24</v>
      </c>
      <c r="D11" s="15" t="n">
        <v>12</v>
      </c>
      <c r="E11" s="15" t="n">
        <v>24</v>
      </c>
      <c r="F11" s="15" t="n">
        <v>30</v>
      </c>
      <c r="G11" s="15" t="n">
        <v>36</v>
      </c>
    </row>
    <row r="12">
      <c r="A12" s="11" t="inlineStr">
        <is>
          <t>Average monthly household income</t>
        </is>
      </c>
      <c r="B12" s="11" t="inlineStr">
        <is>
          <t>LCY</t>
        </is>
      </c>
      <c r="C12" s="15" t="n">
        <v>18000</v>
      </c>
      <c r="D12" s="15" t="n">
        <v>9000</v>
      </c>
      <c r="E12" s="15" t="n">
        <v>18000</v>
      </c>
      <c r="F12" s="15" t="n">
        <v>40000</v>
      </c>
      <c r="G12" s="15" t="n">
        <v>120000</v>
      </c>
    </row>
    <row r="13">
      <c r="A13" s="11" t="inlineStr">
        <is>
          <t>Lean month household income</t>
        </is>
      </c>
      <c r="B13" s="11" t="inlineStr">
        <is>
          <t>LCY</t>
        </is>
      </c>
      <c r="C13" s="15" t="n">
        <v>12000</v>
      </c>
      <c r="D13" s="15" t="n">
        <v>6000</v>
      </c>
      <c r="E13" s="15" t="n">
        <v>12000</v>
      </c>
      <c r="F13" s="15" t="n">
        <v>26667</v>
      </c>
      <c r="G13" s="15" t="n">
        <v>80000</v>
      </c>
      <c r="H13" s="17" t="inlineStr">
        <is>
          <t>Illustrative: two thirds of average income</t>
        </is>
      </c>
    </row>
    <row r="14"/>
    <row r="15">
      <c r="A15" s="7" t="inlineStr">
        <is>
          <t>Results</t>
        </is>
      </c>
      <c r="B15" s="6" t="n"/>
      <c r="C15" s="6" t="n"/>
      <c r="D15" s="6" t="n"/>
      <c r="E15" s="6" t="n"/>
      <c r="F15" s="6" t="n"/>
      <c r="G15" s="6" t="n"/>
      <c r="H15" s="6" t="n"/>
    </row>
    <row r="16">
      <c r="A16" s="9" t="inlineStr">
        <is>
          <t>Maximum payment burden (threshold)</t>
        </is>
      </c>
      <c r="C16" s="18" t="n">
        <v>0.1</v>
      </c>
      <c r="H16" s="17" t="inlineStr">
        <is>
          <t>Policy choice, not a rule (Chapter 2)</t>
        </is>
      </c>
    </row>
    <row r="17">
      <c r="A17" s="9" t="inlineStr">
        <is>
          <t>Target nominal APR for the solver</t>
        </is>
      </c>
      <c r="C17" s="18" t="n">
        <v>0.4</v>
      </c>
    </row>
    <row r="18"/>
    <row r="19">
      <c r="A19" s="11" t="inlineStr">
        <is>
          <t>Amount financed</t>
        </is>
      </c>
      <c r="B19" s="11" t="inlineStr">
        <is>
          <t>LCY</t>
        </is>
      </c>
      <c r="C19" s="19">
        <f>C8-C9</f>
        <v/>
      </c>
      <c r="D19" s="19">
        <f>D8-D9</f>
        <v/>
      </c>
      <c r="E19" s="19">
        <f>E8-E9</f>
        <v/>
      </c>
      <c r="F19" s="19">
        <f>F8-F9</f>
        <v/>
      </c>
      <c r="G19" s="19">
        <f>G8-G9</f>
        <v/>
      </c>
    </row>
    <row r="20">
      <c r="A20" s="11" t="inlineStr">
        <is>
          <t>Monthly instalment</t>
        </is>
      </c>
      <c r="B20" s="11" t="inlineStr">
        <is>
          <t>LCY</t>
        </is>
      </c>
      <c r="C20" s="19">
        <f>C10*365/12</f>
        <v/>
      </c>
      <c r="D20" s="19">
        <f>D10*365/12</f>
        <v/>
      </c>
      <c r="E20" s="19">
        <f>E10*365/12</f>
        <v/>
      </c>
      <c r="F20" s="19">
        <f>F10*365/12</f>
        <v/>
      </c>
      <c r="G20" s="19">
        <f>G10*365/12</f>
        <v/>
      </c>
    </row>
    <row r="21">
      <c r="A21" s="11" t="inlineStr">
        <is>
          <t>Scheduled instalments</t>
        </is>
      </c>
      <c r="B21" s="11" t="inlineStr">
        <is>
          <t>LCY</t>
        </is>
      </c>
      <c r="C21" s="19">
        <f>C20*C11</f>
        <v/>
      </c>
      <c r="D21" s="19">
        <f>D20*D11</f>
        <v/>
      </c>
      <c r="E21" s="19">
        <f>E20*E11</f>
        <v/>
      </c>
      <c r="F21" s="19">
        <f>F20*F11</f>
        <v/>
      </c>
      <c r="G21" s="19">
        <f>G20*G11</f>
        <v/>
      </c>
    </row>
    <row r="22">
      <c r="A22" s="11" t="inlineStr">
        <is>
          <t>Total contract value</t>
        </is>
      </c>
      <c r="B22" s="11" t="inlineStr">
        <is>
          <t>LCY</t>
        </is>
      </c>
      <c r="C22" s="19">
        <f>C9+C21</f>
        <v/>
      </c>
      <c r="D22" s="19">
        <f>D9+D21</f>
        <v/>
      </c>
      <c r="E22" s="19">
        <f>E9+E21</f>
        <v/>
      </c>
      <c r="F22" s="19">
        <f>F9+F21</f>
        <v/>
      </c>
      <c r="G22" s="19">
        <f>G9+G21</f>
        <v/>
      </c>
    </row>
    <row r="23">
      <c r="A23" s="11" t="inlineStr">
        <is>
          <t>PAYGo premium</t>
        </is>
      </c>
      <c r="B23" s="11" t="inlineStr">
        <is>
          <t>LCY</t>
        </is>
      </c>
      <c r="C23" s="19">
        <f>C22-C8</f>
        <v/>
      </c>
      <c r="D23" s="19">
        <f>D22-D8</f>
        <v/>
      </c>
      <c r="E23" s="19">
        <f>E22-E8</f>
        <v/>
      </c>
      <c r="F23" s="19">
        <f>F22-F8</f>
        <v/>
      </c>
      <c r="G23" s="19">
        <f>G22-G8</f>
        <v/>
      </c>
    </row>
    <row r="24">
      <c r="A24" s="11" t="inlineStr">
        <is>
          <t>Premium as share of cash price</t>
        </is>
      </c>
      <c r="B24" s="11" t="inlineStr">
        <is>
          <t>%</t>
        </is>
      </c>
      <c r="C24" s="20">
        <f>IF(C8=0,0,C23/C8)</f>
        <v/>
      </c>
      <c r="D24" s="20">
        <f>IF(D8=0,0,D23/D8)</f>
        <v/>
      </c>
      <c r="E24" s="20">
        <f>IF(E8=0,0,E23/E8)</f>
        <v/>
      </c>
      <c r="F24" s="20">
        <f>IF(F8=0,0,F23/F8)</f>
        <v/>
      </c>
      <c r="G24" s="20">
        <f>IF(G8=0,0,G23/G8)</f>
        <v/>
      </c>
    </row>
    <row r="25">
      <c r="A25" s="11" t="inlineStr">
        <is>
          <t>Implied monthly rate</t>
        </is>
      </c>
      <c r="B25" s="11" t="inlineStr">
        <is>
          <t>%</t>
        </is>
      </c>
      <c r="C25" s="21">
        <f>IFERROR(RATE(C11,-C20,C19),"")</f>
        <v/>
      </c>
      <c r="D25" s="21">
        <f>IFERROR(RATE(D11,-D20,D19),"")</f>
        <v/>
      </c>
      <c r="E25" s="21">
        <f>IFERROR(RATE(E11,-E20,E19),"")</f>
        <v/>
      </c>
      <c r="F25" s="21">
        <f>IFERROR(RATE(F11,-F20,F19),"")</f>
        <v/>
      </c>
      <c r="G25" s="21">
        <f>IFERROR(RATE(G11,-G20,G19),"")</f>
        <v/>
      </c>
    </row>
    <row r="26">
      <c r="A26" s="9" t="inlineStr">
        <is>
          <t>Nominal APR (12 × monthly rate)</t>
        </is>
      </c>
      <c r="B26" s="11" t="inlineStr">
        <is>
          <t>%</t>
        </is>
      </c>
      <c r="C26" s="20">
        <f>IF(C25="","",12*C25)</f>
        <v/>
      </c>
      <c r="D26" s="20">
        <f>IF(D25="","",12*D25)</f>
        <v/>
      </c>
      <c r="E26" s="20">
        <f>IF(E25="","",12*E25)</f>
        <v/>
      </c>
      <c r="F26" s="20">
        <f>IF(F25="","",12*F25)</f>
        <v/>
      </c>
      <c r="G26" s="20">
        <f>IF(G25="","",12*G25)</f>
        <v/>
      </c>
    </row>
    <row r="27">
      <c r="A27" s="11" t="inlineStr">
        <is>
          <t>Effective annual rate</t>
        </is>
      </c>
      <c r="B27" s="11" t="inlineStr">
        <is>
          <t>%</t>
        </is>
      </c>
      <c r="C27" s="20">
        <f>IF(C25="","",(1+C25)^12-1)</f>
        <v/>
      </c>
      <c r="D27" s="20">
        <f>IF(D25="","",(1+D25)^12-1)</f>
        <v/>
      </c>
      <c r="E27" s="20">
        <f>IF(E25="","",(1+E25)^12-1)</f>
        <v/>
      </c>
      <c r="F27" s="20">
        <f>IF(F25="","",(1+F25)^12-1)</f>
        <v/>
      </c>
      <c r="G27" s="20">
        <f>IF(G25="","",(1+G25)^12-1)</f>
        <v/>
      </c>
    </row>
    <row r="28">
      <c r="A28" s="11" t="inlineStr">
        <is>
          <t>Flat rate (premium ÷ amount financed ÷ years)</t>
        </is>
      </c>
      <c r="B28" s="11" t="inlineStr">
        <is>
          <t>%</t>
        </is>
      </c>
      <c r="C28" s="20">
        <f>IF(C19=0,0,C23/C19/(C11/12))</f>
        <v/>
      </c>
      <c r="D28" s="20">
        <f>IF(D19=0,0,D23/D19/(D11/12))</f>
        <v/>
      </c>
      <c r="E28" s="20">
        <f>IF(E19=0,0,E23/E19/(E11/12))</f>
        <v/>
      </c>
      <c r="F28" s="20">
        <f>IF(F19=0,0,F23/F19/(F11/12))</f>
        <v/>
      </c>
      <c r="G28" s="20">
        <f>IF(G19=0,0,G23/G19/(G11/12))</f>
        <v/>
      </c>
    </row>
    <row r="29">
      <c r="A29" s="11" t="inlineStr">
        <is>
          <t>Payment burden, average income</t>
        </is>
      </c>
      <c r="B29" s="11" t="inlineStr">
        <is>
          <t>%</t>
        </is>
      </c>
      <c r="C29" s="20">
        <f>IF(C12=0,0,C20/C12)</f>
        <v/>
      </c>
      <c r="D29" s="20">
        <f>IF(D12=0,0,D20/D12)</f>
        <v/>
      </c>
      <c r="E29" s="20">
        <f>IF(E12=0,0,E20/E12)</f>
        <v/>
      </c>
      <c r="F29" s="20">
        <f>IF(F12=0,0,F20/F12)</f>
        <v/>
      </c>
      <c r="G29" s="20">
        <f>IF(G12=0,0,G20/G12)</f>
        <v/>
      </c>
    </row>
    <row r="30">
      <c r="A30" s="11" t="inlineStr">
        <is>
          <t>Payment burden, lean month</t>
        </is>
      </c>
      <c r="B30" s="11" t="inlineStr">
        <is>
          <t>%</t>
        </is>
      </c>
      <c r="C30" s="20">
        <f>IF(C13=0,0,C20/C13)</f>
        <v/>
      </c>
      <c r="D30" s="20">
        <f>IF(D13=0,0,D20/D13)</f>
        <v/>
      </c>
      <c r="E30" s="20">
        <f>IF(E13=0,0,E20/E13)</f>
        <v/>
      </c>
      <c r="F30" s="20">
        <f>IF(F13=0,0,F20/F13)</f>
        <v/>
      </c>
      <c r="G30" s="20">
        <f>IF(G13=0,0,G20/G13)</f>
        <v/>
      </c>
    </row>
    <row r="31">
      <c r="A31" s="11" t="inlineStr">
        <is>
          <t>Deposit as share of average monthly income</t>
        </is>
      </c>
      <c r="B31" s="11" t="inlineStr">
        <is>
          <t>%</t>
        </is>
      </c>
      <c r="C31" s="20">
        <f>IF(C12=0,0,C9/C12)</f>
        <v/>
      </c>
      <c r="D31" s="20">
        <f>IF(D12=0,0,D9/D12)</f>
        <v/>
      </c>
      <c r="E31" s="20">
        <f>IF(E12=0,0,E9/E12)</f>
        <v/>
      </c>
      <c r="F31" s="20">
        <f>IF(F12=0,0,F9/F12)</f>
        <v/>
      </c>
      <c r="G31" s="20">
        <f>IF(G12=0,0,G9/G12)</f>
        <v/>
      </c>
    </row>
    <row r="32">
      <c r="A32" s="9" t="inlineStr">
        <is>
          <t>Affordability</t>
        </is>
      </c>
      <c r="B32" s="11" t="inlineStr"/>
      <c r="C32" s="22">
        <f>IF(C30&gt;$C$16,IF(C29&gt;$C$16,"Above threshold on average","Above threshold in lean months"),"Within threshold")</f>
        <v/>
      </c>
      <c r="D32" s="22">
        <f>IF(D30&gt;$C$16,IF(D29&gt;$C$16,"Above threshold on average","Above threshold in lean months"),"Within threshold")</f>
        <v/>
      </c>
      <c r="E32" s="22">
        <f>IF(E30&gt;$C$16,IF(E29&gt;$C$16,"Above threshold on average","Above threshold in lean months"),"Within threshold")</f>
        <v/>
      </c>
      <c r="F32" s="22">
        <f>IF(F30&gt;$C$16,IF(F29&gt;$C$16,"Above threshold on average","Above threshold in lean months"),"Within threshold")</f>
        <v/>
      </c>
      <c r="G32" s="22">
        <f>IF(G30&gt;$C$16,IF(G29&gt;$C$16,"Above threshold on average","Above threshold in lean months"),"Within threshold")</f>
        <v/>
      </c>
    </row>
    <row r="33"/>
    <row r="34">
      <c r="A34" s="7" t="inlineStr">
        <is>
          <t>Solver</t>
        </is>
      </c>
      <c r="B34" s="6" t="n"/>
      <c r="C34" s="6" t="n"/>
      <c r="D34" s="6" t="n"/>
      <c r="E34" s="6" t="n"/>
      <c r="F34" s="6" t="n"/>
      <c r="G34" s="6" t="n"/>
      <c r="H34" s="6" t="n"/>
    </row>
    <row r="35" ht="26" customHeight="1">
      <c r="A35" s="8" t="inlineStr">
        <is>
          <t>Daily rate that meets the threshold on lean month income</t>
        </is>
      </c>
      <c r="B35" s="11" t="inlineStr">
        <is>
          <t>LCY</t>
        </is>
      </c>
      <c r="C35" s="23">
        <f>$C$16*C13*12/365</f>
        <v/>
      </c>
      <c r="D35" s="23">
        <f>$C$16*D13*12/365</f>
        <v/>
      </c>
      <c r="E35" s="23">
        <f>$C$16*E13*12/365</f>
        <v/>
      </c>
      <c r="F35" s="23">
        <f>$C$16*F13*12/365</f>
        <v/>
      </c>
      <c r="G35" s="23">
        <f>$C$16*G13*12/365</f>
        <v/>
      </c>
    </row>
    <row r="36" ht="26" customHeight="1">
      <c r="A36" s="8" t="inlineStr">
        <is>
          <t>Daily rate that meets the threshold on average income</t>
        </is>
      </c>
      <c r="B36" s="11" t="inlineStr">
        <is>
          <t>LCY</t>
        </is>
      </c>
      <c r="C36" s="23">
        <f>$C$16*C12*12/365</f>
        <v/>
      </c>
      <c r="D36" s="23">
        <f>$C$16*D12*12/365</f>
        <v/>
      </c>
      <c r="E36" s="23">
        <f>$C$16*E12*12/365</f>
        <v/>
      </c>
      <c r="F36" s="23">
        <f>$C$16*F12*12/365</f>
        <v/>
      </c>
      <c r="G36" s="23">
        <f>$C$16*G12*12/365</f>
        <v/>
      </c>
    </row>
    <row r="37" ht="26" customHeight="1">
      <c r="A37" s="8" t="inlineStr">
        <is>
          <t>Daily rate for the target nominal APR</t>
        </is>
      </c>
      <c r="B37" s="11" t="inlineStr">
        <is>
          <t>LCY</t>
        </is>
      </c>
      <c r="C37" s="23">
        <f>IF(C19&lt;=0,0,PMT($C$17/12,C11,-C19)*12/365)</f>
        <v/>
      </c>
      <c r="D37" s="23">
        <f>IF(D19&lt;=0,0,PMT($C$17/12,D11,-D19)*12/365)</f>
        <v/>
      </c>
      <c r="E37" s="23">
        <f>IF(E19&lt;=0,0,PMT($C$17/12,E11,-E19)*12/365)</f>
        <v/>
      </c>
      <c r="F37" s="23">
        <f>IF(F19&lt;=0,0,PMT($C$17/12,F11,-F19)*12/365)</f>
        <v/>
      </c>
      <c r="G37" s="23">
        <f>IF(G19&lt;=0,0,PMT($C$17/12,G11,-G19)*12/365)</f>
        <v/>
      </c>
    </row>
    <row r="38" ht="26" customHeight="1">
      <c r="A38" s="8" t="inlineStr">
        <is>
          <t>Tenor that meets the lean month threshold at the same monthly rate</t>
        </is>
      </c>
      <c r="B38" s="11" t="inlineStr">
        <is>
          <t>months</t>
        </is>
      </c>
      <c r="C38" s="23">
        <f>IFERROR(NPER(C25,-$C$16*C13,C19),"Not reachable")</f>
        <v/>
      </c>
      <c r="D38" s="23">
        <f>IFERROR(NPER(D25,-$C$16*D13,D19),"Not reachable")</f>
        <v/>
      </c>
      <c r="E38" s="23">
        <f>IFERROR(NPER(E25,-$C$16*E13,E19),"Not reachable")</f>
        <v/>
      </c>
      <c r="F38" s="23">
        <f>IFERROR(NPER(F25,-$C$16*F13,F19),"Not reachable")</f>
        <v/>
      </c>
      <c r="G38" s="23">
        <f>IFERROR(NPER(G25,-$C$16*G13,G19),"Not reachable")</f>
        <v/>
      </c>
    </row>
    <row r="39" ht="26" customHeight="1">
      <c r="A39" s="8" t="inlineStr">
        <is>
          <t>Reduction in amount financed to meet the lean month threshold, same rate and tenor</t>
        </is>
      </c>
      <c r="B39" s="11" t="inlineStr">
        <is>
          <t>LCY</t>
        </is>
      </c>
      <c r="C39" s="19">
        <f>IFERROR(MAX(0,C19-PV(C25,C11,-$C$16*C13)),"")</f>
        <v/>
      </c>
      <c r="D39" s="19">
        <f>IFERROR(MAX(0,D19-PV(D25,D11,-$C$16*D13)),"")</f>
        <v/>
      </c>
      <c r="E39" s="19">
        <f>IFERROR(MAX(0,E19-PV(E25,E11,-$C$16*E13)),"")</f>
        <v/>
      </c>
      <c r="F39" s="19">
        <f>IFERROR(MAX(0,F19-PV(F25,F11,-$C$16*F13)),"")</f>
        <v/>
      </c>
      <c r="G39" s="19">
        <f>IFERROR(MAX(0,G19-PV(G25,G11,-$C$16*G13)),"")</f>
        <v/>
      </c>
    </row>
    <row r="40"/>
    <row r="41">
      <c r="A41" s="17" t="inlineStr">
        <is>
          <t>A longer tenor lowers the instalment but extends the months over which default hazard acts (Chapter 4). "Not reachable" means no tenor brings the instalment within the threshold at this monthly rate.</t>
        </is>
      </c>
    </row>
  </sheetData>
  <conditionalFormatting sqref="C32:G32">
    <cfRule type="expression" priority="1" dxfId="0">
      <formula>ISNUMBER(SEARCH("Above threshold on",C32))</formula>
    </cfRule>
    <cfRule type="expression" priority="2" dxfId="1">
      <formula>ISNUMBER(SEARCH("lean",C32))</formula>
    </cfRule>
    <cfRule type="expression" priority="3" dxfId="2">
      <formula>ISNUMBER(SEARCH("Within",C32))</formula>
    </cfRule>
  </conditionalFormatting>
  <printOptions horizontalCentered="1"/>
  <pageMargins left="0.5" right="0.5" top="0.6" bottom="0.7" header="0.5" footer="0.5"/>
  <pageSetup orientation="landscape" paperSize="9" fitToHeight="0" fitToWidth="1"/>
  <headerFooter>
    <oddHeader/>
    <oddFooter>&amp;L&amp;"Arial"&amp;8 Africa Energy Finance | Book 2 Decision tool D1 | Version 0.9 (pre-release)&amp;C&amp;"Arial"&amp;8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AEF Book 2 Decision Tool D1: Price plan and APR calculator</dc:title>
  <dc:subject xmlns:dc="http://purl.org/dc/elements/1.1/">Africa Energy Finance, Book 2 Decision Tools</dc:subject>
  <dcterms:created xmlns:dcterms="http://purl.org/dc/terms/" xmlns:xsi="http://www.w3.org/2001/XMLSchema-instance" xsi:type="dcterms:W3CDTF">2026-10-03T06:26:22Z</dcterms:created>
  <dcterms:modified xmlns:dcterms="http://purl.org/dc/terms/" xmlns:xsi="http://www.w3.org/2001/XMLSchema-instance" xsi:type="dcterms:W3CDTF">2026-10-03T06:26:22Z</dcterms:modified>
  <cp:lastModifiedBy>Emmanuel Boujieka Kamga</cp:lastModifiedBy>
  <cp:keywords>Africa Energy Finance; Book 2; PAYGo Solar Finance; template</cp:keywords>
</cp:coreProperties>
</file>