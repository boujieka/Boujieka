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mencer ici" sheetId="1" state="visible" r:id="rId3"/>
    <sheet name="Hypothèses" sheetId="2" state="visible" r:id="rId4"/>
    <sheet name="Tableau de bord" sheetId="3" state="visible" r:id="rId5"/>
    <sheet name="Flux de trésorerie" sheetId="4" state="visible" r:id="rId6"/>
    <sheet name="Contrôles" sheetId="5" state="visible" r:id="rId7"/>
  </sheets>
  <definedNames>
    <definedName function="false" hidden="false" name="AvgTariff" vbProcedure="false">'Tableau de bord'!$C$12</definedName>
    <definedName function="false" hidden="false" name="BattLife" vbProcedure="false">Hypothèses!$C$69</definedName>
    <definedName function="false" hidden="false" name="BESS_kWh" vbProcedure="false">Hypothèses!$D$56</definedName>
    <definedName function="false" hidden="false" name="CapexPerConn" vbProcedure="false">Hypothèses!$C$75</definedName>
    <definedName function="false" hidden="false" name="ChecksOverall" vbProcedure="false">Contrôles!$B$13</definedName>
    <definedName function="false" hidden="false" name="CO2perL" vbProcedure="false">Hypothèses!$C$99</definedName>
    <definedName function="false" hidden="false" name="Collection" vbProcedure="false">Hypothèses!$C$38</definedName>
    <definedName function="false" hidden="false" name="CostEsc" vbProcedure="false">Hypothèses!$C$15</definedName>
    <definedName function="false" hidden="false" name="Currency" vbProcedure="false">Hypothèses!$C$8</definedName>
    <definedName function="false" hidden="false" name="C_BattRepl" vbProcedure="false">Hypothèses!$C$70</definedName>
    <definedName function="false" hidden="false" name="C_BESS" vbProcedure="false">Hypothèses!$C$62</definedName>
    <definedName function="false" hidden="false" name="C_BOS" vbProcedure="false">Hypothèses!$C$66</definedName>
    <definedName function="false" hidden="false" name="C_ContPct" vbProcedure="false">Hypothèses!$C$68</definedName>
    <definedName function="false" hidden="false" name="C_DevPct" vbProcedure="false">Hypothèses!$C$67</definedName>
    <definedName function="false" hidden="false" name="C_Diesel" vbProcedure="false">Hypothèses!$C$63</definedName>
    <definedName function="false" hidden="false" name="C_Meter" vbProcedure="false">Hypothèses!$C$65</definedName>
    <definedName function="false" hidden="false" name="C_Network" vbProcedure="false">Hypothèses!$C$64</definedName>
    <definedName function="false" hidden="false" name="C_PV" vbProcedure="false">Hypothèses!$C$61</definedName>
    <definedName function="false" hidden="false" name="DebtAmt" vbProcedure="false">Hypothèses!$C$94</definedName>
    <definedName function="false" hidden="false" name="DebtPct" vbProcedure="false">Hypothèses!$C$89</definedName>
    <definedName function="false" hidden="false" name="Degradation" vbProcedure="false">Hypothèses!$C$42</definedName>
    <definedName function="false" hidden="false" name="DemandGrowth" vbProcedure="false">Hypothèses!$C$37</definedName>
    <definedName function="false" hidden="false" name="DepYears" vbProcedure="false">Hypothèses!$C$17</definedName>
    <definedName function="false" hidden="false" name="DesignEnergy" vbProcedure="false">Hypothèses!$B$53</definedName>
    <definedName function="false" hidden="false" name="DesignGen" vbProcedure="false">Hypothèses!$B$54</definedName>
    <definedName function="false" hidden="false" name="DieselEff" vbProcedure="false">Hypothèses!$C$49</definedName>
    <definedName function="false" hidden="false" name="Diesel_kW" vbProcedure="false">Hypothèses!$D$57</definedName>
    <definedName function="false" hidden="false" name="DoD" vbProcedure="false">Hypothèses!$C$47</definedName>
    <definedName function="false" hidden="false" name="DSCR_Min" vbProcedure="false">'Tableau de bord'!$F$9</definedName>
    <definedName function="false" hidden="false" name="EquityAmt" vbProcedure="false">Hypothèses!$C$95</definedName>
    <definedName function="false" hidden="false" name="FuelPrice" vbProcedure="false">Hypothèses!$C$50</definedName>
    <definedName function="false" hidden="false" name="Grace" vbProcedure="false">Hypothèses!$C$92</definedName>
    <definedName function="false" hidden="false" name="Grant" vbProcedure="false">Hypothèses!$C$86</definedName>
    <definedName function="false" hidden="false" name="HardCapex" vbProcedure="false">Hypothèses!$C$73</definedName>
    <definedName function="false" hidden="false" name="Hurdle" vbProcedure="false">Hypothèses!$C$11</definedName>
    <definedName function="false" hidden="false" name="IntRate" vbProcedure="false">Hypothèses!$C$90</definedName>
    <definedName function="false" hidden="false" name="IRR_Eq" vbProcedure="false">'Tableau de bord'!$F$11</definedName>
    <definedName function="false" hidden="false" name="IRR_Post" vbProcedure="false">'Tableau de bord'!$C$8</definedName>
    <definedName function="false" hidden="false" name="IRR_Pre" vbProcedure="false">'Tableau de bord'!$C$7</definedName>
    <definedName function="false" hidden="false" name="LCOE" vbProcedure="false">'Tableau de bord'!$C$11</definedName>
    <definedName function="false" hidden="false" name="LevCapex" vbProcedure="false">Hypothèses!$C$22</definedName>
    <definedName function="false" hidden="false" name="LevDemand" vbProcedure="false">Hypothèses!$C$21</definedName>
    <definedName function="false" hidden="false" name="LevOpex" vbProcedure="false">Hypothèses!$C$23</definedName>
    <definedName function="false" hidden="false" name="LevRev" vbProcedure="false">'Tableau de bord'!$C$13</definedName>
    <definedName function="false" hidden="false" name="LevTariff" vbProcedure="false">Hypothèses!$C$20</definedName>
    <definedName function="false" hidden="false" name="Life" vbProcedure="false">Hypothèses!$C$10</definedName>
    <definedName function="false" hidden="false" name="Losses" vbProcedure="false">Hypothèses!$C$43</definedName>
    <definedName function="false" hidden="false" name="MinDSCR" vbProcedure="false">Hypothèses!$C$13</definedName>
    <definedName function="false" hidden="false" name="NightShare" vbProcedure="false">Hypothèses!$C$46</definedName>
    <definedName function="false" hidden="false" name="NPV_Post" vbProcedure="false">'Tableau de bord'!$C$10</definedName>
    <definedName function="false" hidden="false" name="NPV_Pre" vbProcedure="false">'Tableau de bord'!$C$9</definedName>
    <definedName function="false" hidden="false" name="O_CustPct" vbProcedure="false">Hypothèses!$C$83</definedName>
    <definedName function="false" hidden="false" name="O_DieselOM" vbProcedure="false">Hypothèses!$C$82</definedName>
    <definedName function="false" hidden="false" name="O_Fees" vbProcedure="false">Hypothèses!$C$81</definedName>
    <definedName function="false" hidden="false" name="O_FixedPct" vbProcedure="false">Hypothèses!$C$78</definedName>
    <definedName function="false" hidden="false" name="O_InsPct" vbProcedure="false">Hypothèses!$C$80</definedName>
    <definedName function="false" hidden="false" name="O_Staff" vbProcedure="false">Hypothèses!$C$79</definedName>
    <definedName function="false" hidden="false" name="PeakRatio" vbProcedure="false">Hypothèses!$C$48</definedName>
    <definedName function="false" hidden="false" name="ProjectName" vbProcedure="false">Hypothèses!$C$6</definedName>
    <definedName function="false" hidden="false" name="PVOversize" vbProcedure="false">Hypothèses!$C$45</definedName>
    <definedName function="false" hidden="false" name="PV_kWp" vbProcedure="false">Hypothèses!$D$55</definedName>
    <definedName function="false" hidden="false" name="Ramp1" vbProcedure="false">Hypothèses!$C$34</definedName>
    <definedName function="false" hidden="false" name="Ramp2" vbProcedure="false">Hypothèses!$C$35</definedName>
    <definedName function="false" hidden="false" name="Ramp3" vbProcedure="false">Hypothèses!$C$36</definedName>
    <definedName function="false" hidden="false" name="RBFLag" vbProcedure="false">Hypothèses!$C$88</definedName>
    <definedName function="false" hidden="false" name="RBFperConn" vbProcedure="false">Hypothèses!$C$87</definedName>
    <definedName function="false" hidden="false" name="RemainingGap" vbProcedure="false">'Tableau de bord'!$C$21</definedName>
    <definedName function="false" hidden="false" name="Seg1_Fee" vbProcedure="false">Hypothèses!$E$27</definedName>
    <definedName function="false" hidden="false" name="Seg1_kWh" vbProcedure="false">Hypothèses!$C$27</definedName>
    <definedName function="false" hidden="false" name="Seg1_N" vbProcedure="false">Hypothèses!$B$27</definedName>
    <definedName function="false" hidden="false" name="Seg1_Name" vbProcedure="false">Hypothèses!$A$27</definedName>
    <definedName function="false" hidden="false" name="Seg1_Tariff" vbProcedure="false">Hypothèses!$D$27</definedName>
    <definedName function="false" hidden="false" name="Seg2_Fee" vbProcedure="false">Hypothèses!$E$28</definedName>
    <definedName function="false" hidden="false" name="Seg2_kWh" vbProcedure="false">Hypothèses!$C$28</definedName>
    <definedName function="false" hidden="false" name="Seg2_N" vbProcedure="false">Hypothèses!$B$28</definedName>
    <definedName function="false" hidden="false" name="Seg2_Name" vbProcedure="false">Hypothèses!$A$28</definedName>
    <definedName function="false" hidden="false" name="Seg2_Tariff" vbProcedure="false">Hypothèses!$D$28</definedName>
    <definedName function="false" hidden="false" name="Seg3_Fee" vbProcedure="false">Hypothèses!$E$29</definedName>
    <definedName function="false" hidden="false" name="Seg3_kWh" vbProcedure="false">Hypothèses!$C$29</definedName>
    <definedName function="false" hidden="false" name="Seg3_N" vbProcedure="false">Hypothèses!$B$29</definedName>
    <definedName function="false" hidden="false" name="Seg3_Name" vbProcedure="false">Hypothèses!$A$29</definedName>
    <definedName function="false" hidden="false" name="Seg3_Tariff" vbProcedure="false">Hypothèses!$D$29</definedName>
    <definedName function="false" hidden="false" name="Seg4_Fee" vbProcedure="false">Hypothèses!$E$30</definedName>
    <definedName function="false" hidden="false" name="Seg4_kWh" vbProcedure="false">Hypothèses!$C$30</definedName>
    <definedName function="false" hidden="false" name="Seg4_N" vbProcedure="false">Hypothèses!$B$30</definedName>
    <definedName function="false" hidden="false" name="Seg4_Name" vbProcedure="false">Hypothèses!$A$30</definedName>
    <definedName function="false" hidden="false" name="Seg4_Tariff" vbProcedure="false">Hypothèses!$D$30</definedName>
    <definedName function="false" hidden="false" name="Seg5_Fee" vbProcedure="false">Hypothèses!$E$31</definedName>
    <definedName function="false" hidden="false" name="Seg5_kWh" vbProcedure="false">Hypothèses!$C$31</definedName>
    <definedName function="false" hidden="false" name="Seg5_N" vbProcedure="false">Hypothèses!$B$31</definedName>
    <definedName function="false" hidden="false" name="Seg5_Name" vbProcedure="false">Hypothèses!$A$31</definedName>
    <definedName function="false" hidden="false" name="Seg5_Tariff" vbProcedure="false">Hypothèses!$D$31</definedName>
    <definedName function="false" hidden="false" name="Site" vbProcedure="false">Hypothèses!$C$7</definedName>
    <definedName function="false" hidden="false" name="SolarFraction" vbProcedure="false">Hypothèses!$C$44</definedName>
    <definedName function="false" hidden="false" name="SpecYield" vbProcedure="false">Hypothèses!$C$41</definedName>
    <definedName function="false" hidden="false" name="StartYear" vbProcedure="false">Hypothèses!$C$9</definedName>
    <definedName function="false" hidden="false" name="SubsidyPV" vbProcedure="false">'Tableau de bord'!$C$20</definedName>
    <definedName function="false" hidden="false" name="TargetEqIRR" vbProcedure="false">Hypothèses!$C$12</definedName>
    <definedName function="false" hidden="false" name="TariffEsc" vbProcedure="false">Hypothèses!$C$14</definedName>
    <definedName function="false" hidden="false" name="TaxRate" vbProcedure="false">Hypothèses!$C$16</definedName>
    <definedName function="false" hidden="false" name="Tenor" vbProcedure="false">Hypothèses!$C$91</definedName>
    <definedName function="false" hidden="false" name="TotalCapex" vbProcedure="false">Hypothèses!$C$74</definedName>
    <definedName function="false" hidden="false" name="TotalCustomers" vbProcedure="false">Hypothèses!$B$32</definedName>
    <definedName function="false" hidden="false" name="TotalSubsidy" vbProcedure="false">'Tableau de bord'!$F$7</definedName>
    <definedName function="false" hidden="false" name="UseMRA" vbProcedure="false">Hypothèses!$C$71</definedName>
    <definedName function="false" hidden="false" name="VGF" vbProcedure="false">'Tableau de bord'!$C$18</definedName>
    <definedName function="false" hidden="false" name="VGFperConn" vbProcedure="false">'Tableau de bord'!$C$19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<sst xmlns="http://schemas.openxmlformats.org/spreadsheetml/2006/main" count="295" uniqueCount="275">
  <si>
    <t xml:space="preserve">Calculateur de faisabilité financière de mini-réseau</t>
  </si>
  <si>
    <t xml:space="preserve">Hybride solaire PV + batterie + diesel  |  modèle annuel sur 20 ans  |  édition accès à l'énergie</t>
  </si>
  <si>
    <t xml:space="preserve">À QUELLE QUESTION RÉPOND CET OUTIL</t>
  </si>
  <si>
    <t xml:space="preserve">Ce mini-réseau est-il financièrement viable, peut-il supporter de la dette, et quelle subvention (grant / RBF) comble le déficit ?</t>
  </si>
  <si>
    <t xml:space="preserve">MODE D'EMPLOI (10 minutes)</t>
  </si>
  <si>
    <t xml:space="preserve">1. Allez dans « Hypothèses ». Modifiez UNIQUEMENT les cellules jaunes à texte bleu. Toutes les autres cellules sont des formules.</t>
  </si>
  <si>
    <t xml:space="preserve">2. Saisissez vos segments de clientèle (ménages, usagers productifs, commerces, institutions).</t>
  </si>
  <si>
    <t xml:space="preserve">3. Vérifiez le dimensionnement automatique dans « Hypothèses » (PV, batterie, diesel). Saisissez une valeur dans la colonne Forçage pour imposer votre propre conception.</t>
  </si>
  <si>
    <t xml:space="preserve">4. Saisissez les coûts unitaires, les coûts d'exploitation et la structure de financement (grant, RBF par raccordement, dette).</t>
  </si>
  <si>
    <t xml:space="preserve">5. Lisez le « Tableau de bord » : TRI, VAN, LCOE, DSCR, délai de récupération et déficit de viabilité (subvention nécessaire pour atteindre votre taux de rendement minimal).</t>
  </si>
  <si>
    <t xml:space="preserve">6. Utilisez les leviers de scénario dans « Hypothèses » (multiplicateurs de tarif, demande, CAPEX) pour tester la résistance du projet.</t>
  </si>
  <si>
    <t xml:space="preserve">LÉGENDE DES COULEURS</t>
  </si>
  <si>
    <t xml:space="preserve">Texte bleu sur fond jaune = hypothèse modifiable   |   Texte noir = formule, ne pas écraser   |   Texte vert = lien vers un autre onglet</t>
  </si>
  <si>
    <t xml:space="preserve">ONGLETS</t>
  </si>
  <si>
    <t xml:space="preserve">Hypothèses         - toutes les hypothèses, le dimensionnement automatique et les leviers de scénario</t>
  </si>
  <si>
    <t xml:space="preserve">Flux de trésorerie - moteur annuel sur 20 ans : demande, production, recettes, OPEX, impôt, dette, CFADS, DSCR, flux projet et fonds propres</t>
  </si>
  <si>
    <t xml:space="preserve">Tableau de bord    - indicateurs clés, tests de bancabilité, déficit de viabilité et graphiques</t>
  </si>
  <si>
    <t xml:space="preserve">Contrôles          - contrôles d'intégrité (tous doivent afficher OK)</t>
  </si>
  <si>
    <t xml:space="preserve">PRINCIPALES SIMPLIFICATIONS (à lire avant d'utiliser les résultats)</t>
  </si>
  <si>
    <t xml:space="preserve">- Pas de temps annuel ; construction en année 0, exploitation à partir de l'année 1. Pas de dispatch infra-annuel : la part solaire est plafonnée par la fraction solaire cible (limite du stockage).</t>
  </si>
  <si>
    <t xml:space="preserve">- Impôt : taux unique sur le bénéfice imposable positif, sans report des pertes. Le RBF et les subventions sont traités comme des encaissements non imposables. Vérifiez le régime fiscal local.</t>
  </si>
  <si>
    <t xml:space="preserve">- Dette : un seul prêt senior, remboursement par annuités après d'éventuelles années de différé (intérêts seuls). Pas de DSRA, pas de frais, pas de refinancement.</t>
  </si>
  <si>
    <t xml:space="preserve">- Les capacités PV et batterie sont fixes après l'année 0. Si la demande continue de croître, le diesel comble l'écart et le coût du carburant augmente. Prévoyez une extension ou plafonnez la croissance.</t>
  </si>
  <si>
    <t xml:space="preserve">- Les remplacements de batteries créent des années de flux négatifs : le TRI peut donc être trompeur. Utilisez la VAN et le déficit de viabilité comme critères de décision principaux.</t>
  </si>
  <si>
    <t xml:space="preserve">- Déficit de viabilité = subvention initiale qui ramène à zéro la VAN du projet avant subventions (au taux de rendement minimal).</t>
  </si>
  <si>
    <t xml:space="preserve">- Les valeurs d'exemple pré-remplies sont PUREMENT ILLUSTRATIVES. Ce ne sont pas des références de marché. Remplacez-les par vos propres données et devis.</t>
  </si>
  <si>
    <t xml:space="preserve">AVERTISSEMENT</t>
  </si>
  <si>
    <t xml:space="preserve">Ce classeur est un outil de présélection à visée pédagogique et de préfaisabilité. Il ne constitue pas un conseil en investissement, juridique, fiscal ou d'ingénierie.</t>
  </si>
  <si>
    <t xml:space="preserve">Les résultats dépendent entièrement des hypothèses saisies. Réalisez une due diligence technique et financière indépendante avant toute décision d'investissement.</t>
  </si>
  <si>
    <t xml:space="preserve">Licence : un utilisateur / une organisation. Revente et redistribution interdites.</t>
  </si>
  <si>
    <t xml:space="preserve">HYPOTHÈSES</t>
  </si>
  <si>
    <t xml:space="preserve">Ne modifiez que les cellules jaunes. Les valeurs d'exemple sont illustratives et ne sont pas des références.</t>
  </si>
  <si>
    <t xml:space="preserve">1. PROJET</t>
  </si>
  <si>
    <t xml:space="preserve">Nom du projet</t>
  </si>
  <si>
    <t xml:space="preserve">Mini-réseau villageois (exemple)</t>
  </si>
  <si>
    <t xml:space="preserve">Pays / site</t>
  </si>
  <si>
    <t xml:space="preserve">Site exemple</t>
  </si>
  <si>
    <t xml:space="preserve">Libellé de la devise</t>
  </si>
  <si>
    <t xml:space="preserve">USD</t>
  </si>
  <si>
    <t xml:space="preserve">Libellé uniquement. Tous les montants doivent être saisis dans cette devise.</t>
  </si>
  <si>
    <t xml:space="preserve">Première année d'exploitation</t>
  </si>
  <si>
    <t xml:space="preserve">année</t>
  </si>
  <si>
    <t xml:space="preserve">Durée de vie du projet</t>
  </si>
  <si>
    <t xml:space="preserve">ans</t>
  </si>
  <si>
    <t xml:space="preserve">Maximum 20. Les flux au-delà de cette année sont nuls.</t>
  </si>
  <si>
    <t xml:space="preserve">Taux d'actualisation / taux de rendement minimal (projet)</t>
  </si>
  <si>
    <t xml:space="preserve">Utilisé pour la VAN, le LCOE et le déficit de viabilité.</t>
  </si>
  <si>
    <t xml:space="preserve">TRI cible des fonds propres</t>
  </si>
  <si>
    <t xml:space="preserve">DSCR minimum exigé par le prêteur</t>
  </si>
  <si>
    <t xml:space="preserve">Indexation du tarif</t>
  </si>
  <si>
    <t xml:space="preserve">par an</t>
  </si>
  <si>
    <t xml:space="preserve">Indexation des coûts (OPEX, carburant)</t>
  </si>
  <si>
    <t xml:space="preserve">Taux d'impôt sur les sociétés</t>
  </si>
  <si>
    <t xml:space="preserve">Durée d'amortissement fiscal</t>
  </si>
  <si>
    <t xml:space="preserve">Linéaire sur le CAPEX total.</t>
  </si>
  <si>
    <t xml:space="preserve">2. LEVIERS DE SCÉNARIO (1,00 = cas de base)</t>
  </si>
  <si>
    <t xml:space="preserve">Multiplicateur de tarif</t>
  </si>
  <si>
    <t xml:space="preserve">Multiplicateur de demande</t>
  </si>
  <si>
    <t xml:space="preserve">Multiplicateur de CAPEX</t>
  </si>
  <si>
    <t xml:space="preserve">Multiplicateur d'OPEX</t>
  </si>
  <si>
    <t xml:space="preserve">3. CLIENTS &amp; DEMANDE</t>
  </si>
  <si>
    <t xml:space="preserve">Segment</t>
  </si>
  <si>
    <t xml:space="preserve">Clients</t>
  </si>
  <si>
    <t xml:space="preserve">kWh / mois</t>
  </si>
  <si>
    <t xml:space="preserve">Tarif /kWh</t>
  </si>
  <si>
    <t xml:space="preserve">Frais de racc.</t>
  </si>
  <si>
    <t xml:space="preserve">Facture mensuelle</t>
  </si>
  <si>
    <t xml:space="preserve">Ménages</t>
  </si>
  <si>
    <t xml:space="preserve">Usagers productifs (moulins, soudure, chambres froides)</t>
  </si>
  <si>
    <t xml:space="preserve">Commerces (boutiques, bars, kiosques)</t>
  </si>
  <si>
    <t xml:space="preserve">Institutions (centre de santé, école, eau)</t>
  </si>
  <si>
    <t xml:space="preserve">Autre / personnalisé</t>
  </si>
  <si>
    <t xml:space="preserve">Total / moyenne pondérée</t>
  </si>
  <si>
    <t xml:space="preserve">Montée en charge des raccordements - année 1 (% des clients raccordés)</t>
  </si>
  <si>
    <t xml:space="preserve">Montée en charge des raccordements - année 2</t>
  </si>
  <si>
    <t xml:space="preserve">Montée en charge des raccordements - année 3 et suivantes</t>
  </si>
  <si>
    <t xml:space="preserve">Croissance annuelle de la consommation par client</t>
  </si>
  <si>
    <t xml:space="preserve">Taux de recouvrement (part des factures effectivement payées)</t>
  </si>
  <si>
    <t xml:space="preserve">4. CONCEPTION TECHNIQUE &amp; DIMENSIONNEMENT AUTOMATIQUE</t>
  </si>
  <si>
    <t xml:space="preserve">Productible spécifique PV</t>
  </si>
  <si>
    <t xml:space="preserve">kWh/kWc/an</t>
  </si>
  <si>
    <t xml:space="preserve">Utilisez PVGIS ou votre étude de conception pour le site.</t>
  </si>
  <si>
    <t xml:space="preserve">Dégradation PV</t>
  </si>
  <si>
    <t xml:space="preserve">Pertes de distribution et de conversion</t>
  </si>
  <si>
    <t xml:space="preserve">Énergie produite par rapport à l'énergie vendue.</t>
  </si>
  <si>
    <t xml:space="preserve">Fraction solaire cible (part max de la production issue du PV)</t>
  </si>
  <si>
    <t xml:space="preserve">Plafond lié au stockage ; le reste provient du diesel.</t>
  </si>
  <si>
    <t xml:space="preserve">Facteur de surdimensionnement PV</t>
  </si>
  <si>
    <t xml:space="preserve">Marge pour la météo, l'écrêtage et la croissance.</t>
  </si>
  <si>
    <t xml:space="preserve">Part de l'énergie journalière consommée la nuit</t>
  </si>
  <si>
    <t xml:space="preserve">Profondeur de décharge utile de la batterie</t>
  </si>
  <si>
    <t xml:space="preserve">Ratio charge de pointe / charge moyenne</t>
  </si>
  <si>
    <t xml:space="preserve">Rendement du groupe diesel</t>
  </si>
  <si>
    <t xml:space="preserve">kWh/litre</t>
  </si>
  <si>
    <t xml:space="preserve">Prix du diesel en année 1</t>
  </si>
  <si>
    <t xml:space="preserve">par litre</t>
  </si>
  <si>
    <t xml:space="preserve">Composant</t>
  </si>
  <si>
    <t xml:space="preserve">Auto-dimensionné</t>
  </si>
  <si>
    <t xml:space="preserve">Forçage</t>
  </si>
  <si>
    <t xml:space="preserve">Retenu</t>
  </si>
  <si>
    <t xml:space="preserve">Unité</t>
  </si>
  <si>
    <t xml:space="preserve">Énergie vendue de conception (année 3, raccordement complet)</t>
  </si>
  <si>
    <t xml:space="preserve">kWh/an</t>
  </si>
  <si>
    <t xml:space="preserve">Production de conception (pertes incluses)</t>
  </si>
  <si>
    <t xml:space="preserve">Champ PV</t>
  </si>
  <si>
    <t xml:space="preserve">kWc</t>
  </si>
  <si>
    <t xml:space="preserve">Stockage batterie (base utile -&gt; nominale)</t>
  </si>
  <si>
    <t xml:space="preserve">kWh</t>
  </si>
  <si>
    <t xml:space="preserve">Groupe diesel (secours, couvre la pointe)</t>
  </si>
  <si>
    <t xml:space="preserve">kW</t>
  </si>
  <si>
    <t xml:space="preserve">Laissez Forçage vide pour utiliser l'auto-dimensionnement. C'est une règle empirique de présélection, pas une conception d'ingénierie (utilisez HOMER ou équivalent pour la conception finale).</t>
  </si>
  <si>
    <t xml:space="preserve">5. CAPEX (coûts unitaires, année 0)</t>
  </si>
  <si>
    <t xml:space="preserve">Modules PV, structures et onduleurs</t>
  </si>
  <si>
    <t xml:space="preserve">par kWc</t>
  </si>
  <si>
    <t xml:space="preserve">Système de stockage par batterie</t>
  </si>
  <si>
    <t xml:space="preserve">par kWh</t>
  </si>
  <si>
    <t xml:space="preserve">Groupe diesel</t>
  </si>
  <si>
    <t xml:space="preserve">par kW</t>
  </si>
  <si>
    <t xml:space="preserve">Réseau de distribution</t>
  </si>
  <si>
    <t xml:space="preserve">par raccordement</t>
  </si>
  <si>
    <t xml:space="preserve">Compteurs intelligents et branchements</t>
  </si>
  <si>
    <t xml:space="preserve">Local technique, BOS, génie civil (forfait)</t>
  </si>
  <si>
    <t xml:space="preserve">Coûts de développement (études, permis, communauté)</t>
  </si>
  <si>
    <t xml:space="preserve">du CAPEX direct</t>
  </si>
  <si>
    <t xml:space="preserve">Imprévus</t>
  </si>
  <si>
    <t xml:space="preserve">Durée de vie des batteries</t>
  </si>
  <si>
    <t xml:space="preserve">Coût de remplacement des batteries</t>
  </si>
  <si>
    <t xml:space="preserve">En termes réels de l'année 0, indexé avec les coûts.</t>
  </si>
  <si>
    <t xml:space="preserve">Financer les remplacements via une réserve de maintenance ? (1 = oui, 0 = non)</t>
  </si>
  <si>
    <t xml:space="preserve">1 = des dotations annuelles à la réserve lissent le remplacement des batteries dans le CFADS (pratique des prêteurs).</t>
  </si>
  <si>
    <t xml:space="preserve">CAPEX direct</t>
  </si>
  <si>
    <t xml:space="preserve">CAPEX TOTAL</t>
  </si>
  <si>
    <t xml:space="preserve">CAPEX par raccordement</t>
  </si>
  <si>
    <t xml:space="preserve">6. OPEX (valeurs année 1, indexées)</t>
  </si>
  <si>
    <t xml:space="preserve">Exploitation et maintenance fixes</t>
  </si>
  <si>
    <t xml:space="preserve">du CAPEX direct / an</t>
  </si>
  <si>
    <t xml:space="preserve">Personnel local et opérateur</t>
  </si>
  <si>
    <t xml:space="preserve">Assurance</t>
  </si>
  <si>
    <t xml:space="preserve">du CAPEX total / an</t>
  </si>
  <si>
    <t xml:space="preserve">Licences, foncier, redevances réglementaires</t>
  </si>
  <si>
    <t xml:space="preserve">Maintenance du groupe diesel</t>
  </si>
  <si>
    <t xml:space="preserve">par kWh diesel</t>
  </si>
  <si>
    <t xml:space="preserve">Gestion clientèle, frais de mobile money</t>
  </si>
  <si>
    <t xml:space="preserve">du chiffre d'affaires</t>
  </si>
  <si>
    <t xml:space="preserve">7. FINANCEMENT &amp; SUBVENTIONS</t>
  </si>
  <si>
    <t xml:space="preserve">Subvention d'investissement initiale</t>
  </si>
  <si>
    <t xml:space="preserve">Subvention d'investissement reçue en année 0.</t>
  </si>
  <si>
    <t xml:space="preserve">RBF par nouveau raccordement</t>
  </si>
  <si>
    <t xml:space="preserve">Versé l'année où le raccordement est réalisé (et vérifié).</t>
  </si>
  <si>
    <t xml:space="preserve">Délai de vérification du RBF</t>
  </si>
  <si>
    <t xml:space="preserve">0 = payé la même année, 1 = payé l'année suivante.</t>
  </si>
  <si>
    <t xml:space="preserve">Part de dette dans le CAPEX net de subvention</t>
  </si>
  <si>
    <t xml:space="preserve">Taux d'intérêt</t>
  </si>
  <si>
    <t xml:space="preserve">Durée du prêt (différé inclus)</t>
  </si>
  <si>
    <t xml:space="preserve">Différé (intérêts seuls)</t>
  </si>
  <si>
    <t xml:space="preserve">Montant de la dette</t>
  </si>
  <si>
    <t xml:space="preserve">Montant des fonds propres</t>
  </si>
  <si>
    <t xml:space="preserve">8. IMPACT</t>
  </si>
  <si>
    <t xml:space="preserve">Facteur d'émission CO2 du diesel</t>
  </si>
  <si>
    <t xml:space="preserve">kgCO2/litre</t>
  </si>
  <si>
    <t xml:space="preserve">Facteur de combustion couramment utilisé pour le diesel ; à vérifier selon la norme de votre bailleur.</t>
  </si>
  <si>
    <t xml:space="preserve">ÉCONOMIE DU PROJET</t>
  </si>
  <si>
    <t xml:space="preserve">FINANCEMENT &amp; BANCABILITÉ</t>
  </si>
  <si>
    <t xml:space="preserve">CAPEX total</t>
  </si>
  <si>
    <t xml:space="preserve">TRI du projet - avant subventions</t>
  </si>
  <si>
    <t xml:space="preserve">Total des subventions (grant + RBF, nominal)</t>
  </si>
  <si>
    <t xml:space="preserve">TRI du projet - après subventions</t>
  </si>
  <si>
    <t xml:space="preserve">Part des subventions dans le CAPEX</t>
  </si>
  <si>
    <t xml:space="preserve">VAN du projet au taux minimal - avant subventions</t>
  </si>
  <si>
    <t xml:space="preserve">DSCR minimum</t>
  </si>
  <si>
    <t xml:space="preserve">VAN du projet au taux minimal - après subventions</t>
  </si>
  <si>
    <t xml:space="preserve">DSCR moyen</t>
  </si>
  <si>
    <t xml:space="preserve">LCOE (coût par kWh vendu)</t>
  </si>
  <si>
    <t xml:space="preserve">TRI des fonds propres</t>
  </si>
  <si>
    <t xml:space="preserve">Tarif moyen facturé (pondéré, année 1)</t>
  </si>
  <si>
    <t xml:space="preserve">Délai de récupération des fonds propres (ans)</t>
  </si>
  <si>
    <t xml:space="preserve">Recette encaissée actualisée par kWh</t>
  </si>
  <si>
    <t xml:space="preserve">CO2 évité sur la durée de vie vs tout-diesel (tCO2)</t>
  </si>
  <si>
    <t xml:space="preserve">Marge d'EBE année 1</t>
  </si>
  <si>
    <t xml:space="preserve">Énergie totale vendue sur la durée de vie (MWh)</t>
  </si>
  <si>
    <t xml:space="preserve">Fraction solaire moyenne (durée de vie)</t>
  </si>
  <si>
    <t xml:space="preserve">DÉFICIT DE VIABILITÉ &amp; VERDICT DE BANCABILITÉ</t>
  </si>
  <si>
    <t xml:space="preserve">Déficit de viabilité : subvention initiale nécessaire pour VAN = 0 au taux minimal</t>
  </si>
  <si>
    <t xml:space="preserve">Viable commercialement sans subvention ?</t>
  </si>
  <si>
    <t xml:space="preserve">Déficit de viabilité par raccordement</t>
  </si>
  <si>
    <t xml:space="preserve">Viable au taux minimal après subventions prévues ?</t>
  </si>
  <si>
    <t xml:space="preserve">Subventions déjà prévues (VA du grant + RBF au taux minimal)</t>
  </si>
  <si>
    <t xml:space="preserve">Covenant de dette respecté (DSCR min &gt;= exigé) ?</t>
  </si>
  <si>
    <t xml:space="preserve">Déficit restant après subventions prévues</t>
  </si>
  <si>
    <t xml:space="preserve">TRI des fonds propres conforme à la cible ?</t>
  </si>
  <si>
    <t xml:space="preserve">Le tarif encaissé couvre-t-il le LCOE ?</t>
  </si>
  <si>
    <t xml:space="preserve">Le déficit de viabilité utilise le flux du projet avant subventions actualisé au taux minimal. C'est la subvention initiale minimale en valeur actuelle ; un RBF versé plus tard doit être plus élevé en nominal.</t>
  </si>
  <si>
    <t xml:space="preserve">Les données des graphiques sont liées à « Flux de trésorerie » (colonnes L-R).</t>
  </si>
  <si>
    <t xml:space="preserve">Année</t>
  </si>
  <si>
    <t xml:space="preserve">Recettes</t>
  </si>
  <si>
    <t xml:space="preserve">OPEX</t>
  </si>
  <si>
    <t xml:space="preserve">CFADS</t>
  </si>
  <si>
    <t xml:space="preserve">Service de la dette</t>
  </si>
  <si>
    <t xml:space="preserve">kWh solaire</t>
  </si>
  <si>
    <t xml:space="preserve">kWh diesel</t>
  </si>
  <si>
    <t xml:space="preserve">MOTEUR DE FLUX DE TRÉSORERIE (annuel, nominal)</t>
  </si>
  <si>
    <t xml:space="preserve">Toutes les cellules sont des formules. Colonne B = total ou VAN selon le cas.</t>
  </si>
  <si>
    <t xml:space="preserve">Année du projet</t>
  </si>
  <si>
    <t xml:space="preserve">Total / VAN</t>
  </si>
  <si>
    <t xml:space="preserve">Année civile</t>
  </si>
  <si>
    <t xml:space="preserve">Indicateur d'exploitation</t>
  </si>
  <si>
    <t xml:space="preserve">Montée en charge des raccordements</t>
  </si>
  <si>
    <t xml:space="preserve">Indice tarifaire</t>
  </si>
  <si>
    <t xml:space="preserve">Indice des coûts</t>
  </si>
  <si>
    <t xml:space="preserve">Indice de croissance de la consommation</t>
  </si>
  <si>
    <t xml:space="preserve">DEMANDE &amp; RACCORDEMENTS</t>
  </si>
  <si>
    <t xml:space="preserve">Total des raccordements</t>
  </si>
  <si>
    <t xml:space="preserve">Nouveaux raccordements de l'année</t>
  </si>
  <si>
    <t xml:space="preserve">Énergie totale vendue (kWh)</t>
  </si>
  <si>
    <t xml:space="preserve">MIX DE PRODUCTION</t>
  </si>
  <si>
    <t xml:space="preserve">Production brute nécessaire (kWh)</t>
  </si>
  <si>
    <t xml:space="preserve">Énergie PV disponible (kWh)</t>
  </si>
  <si>
    <t xml:space="preserve">Énergie solaire livrée (kWh)</t>
  </si>
  <si>
    <t xml:space="preserve">Énergie diesel livrée (kWh)</t>
  </si>
  <si>
    <t xml:space="preserve">Fraction solaire effective</t>
  </si>
  <si>
    <t xml:space="preserve">Diesel consommé (litres)</t>
  </si>
  <si>
    <t xml:space="preserve">RECETTES</t>
  </si>
  <si>
    <t xml:space="preserve">Total des recettes d'énergie facturées</t>
  </si>
  <si>
    <t xml:space="preserve">Recettes d'énergie encaissées</t>
  </si>
  <si>
    <t xml:space="preserve">Frais de raccordement</t>
  </si>
  <si>
    <t xml:space="preserve">TOTAL DES RECETTES D'EXPLOITATION  [B = VAN]</t>
  </si>
  <si>
    <t xml:space="preserve">COÛTS D'EXPLOITATION</t>
  </si>
  <si>
    <t xml:space="preserve">Personnel et opérateur</t>
  </si>
  <si>
    <t xml:space="preserve">Licences et redevances</t>
  </si>
  <si>
    <t xml:space="preserve">Gestion clientèle</t>
  </si>
  <si>
    <t xml:space="preserve">Maintenance diesel</t>
  </si>
  <si>
    <t xml:space="preserve">Carburant diesel</t>
  </si>
  <si>
    <t xml:space="preserve">TOTAL OPEX  [B = VAN]</t>
  </si>
  <si>
    <t xml:space="preserve">EBE</t>
  </si>
  <si>
    <t xml:space="preserve">Marge d'EBE</t>
  </si>
  <si>
    <t xml:space="preserve">CAPEX, REMPLACEMENTS &amp; SUBVENTIONS</t>
  </si>
  <si>
    <t xml:space="preserve">CAPEX initial  [B = VAN]</t>
  </si>
  <si>
    <t xml:space="preserve">Remplacement des batteries  [B = VAN]</t>
  </si>
  <si>
    <t xml:space="preserve">Subvention d'investissement reçue</t>
  </si>
  <si>
    <t xml:space="preserve">RBF reçu</t>
  </si>
  <si>
    <t xml:space="preserve">Dotation à la réserve de maintenance (batteries)</t>
  </si>
  <si>
    <t xml:space="preserve">Coût de remplacement imputé au CFADS</t>
  </si>
  <si>
    <t xml:space="preserve">IMPÔT (simplifié)</t>
  </si>
  <si>
    <t xml:space="preserve">Amortissement fiscal</t>
  </si>
  <si>
    <t xml:space="preserve">Impôt - hors dette (pour le TRI projet)</t>
  </si>
  <si>
    <t xml:space="preserve">Impôt - avec dette (après intérêts)</t>
  </si>
  <si>
    <t xml:space="preserve">DETTE SENIOR</t>
  </si>
  <si>
    <t xml:space="preserve">Solde d'ouverture</t>
  </si>
  <si>
    <t xml:space="preserve">Tirage</t>
  </si>
  <si>
    <t xml:space="preserve">Intérêts</t>
  </si>
  <si>
    <t xml:space="preserve">Remboursement du principal</t>
  </si>
  <si>
    <t xml:space="preserve">Solde de clôture</t>
  </si>
  <si>
    <t xml:space="preserve">Service total de la dette</t>
  </si>
  <si>
    <t xml:space="preserve">FLUX DE TRÉSORERIE</t>
  </si>
  <si>
    <t xml:space="preserve">Flux du projet AVANT subventions (hors dette)  [B = VAN]</t>
  </si>
  <si>
    <t xml:space="preserve">Flux du projet APRÈS subventions (hors dette)  [B = VAN]</t>
  </si>
  <si>
    <t xml:space="preserve">CFADS (flux disponible pour le service de la dette)</t>
  </si>
  <si>
    <t xml:space="preserve">DSCR</t>
  </si>
  <si>
    <t xml:space="preserve">Flux des fonds propres  [B = VAN]</t>
  </si>
  <si>
    <t xml:space="preserve">Flux cumulé des fonds propres</t>
  </si>
  <si>
    <t xml:space="preserve">ÉLÉMENTS DU LCOE (actualisés au taux minimal)</t>
  </si>
  <si>
    <t xml:space="preserve">Coût sur le cycle de vie (CAPEX + OPEX + remplacements)  [B = VAN]</t>
  </si>
  <si>
    <t xml:space="preserve">Énergie vendue (kWh)  [B = VAN]</t>
  </si>
  <si>
    <t xml:space="preserve">Recettes d'énergie encaissées  [B = VAN]</t>
  </si>
  <si>
    <t xml:space="preserve">CONTRÔLES D'INTÉGRITÉ</t>
  </si>
  <si>
    <t xml:space="preserve">Ressources = emplois en année 0 (grant + dette + fonds propres = CAPEX)</t>
  </si>
  <si>
    <t xml:space="preserve">Dette entièrement remboursée à l'échéance</t>
  </si>
  <si>
    <t xml:space="preserve">Durée de vie dans l'horizon modélisé</t>
  </si>
  <si>
    <t xml:space="preserve">Durée du prêt dans la durée de vie</t>
  </si>
  <si>
    <t xml:space="preserve">Différé plus court que la durée</t>
  </si>
  <si>
    <t xml:space="preserve">Dotations à la réserve = remplacements (si réserve utilisée)</t>
  </si>
  <si>
    <t xml:space="preserve">Pourcentages de montée en charge entre 0 et 100 %</t>
  </si>
  <si>
    <t xml:space="preserve">Bilan énergétique : solaire + diesel = production</t>
  </si>
  <si>
    <t xml:space="preserve">Au moins un client saisi</t>
  </si>
  <si>
    <t xml:space="preserve">GLOBAL</t>
  </si>
</sst>
</file>

<file path=xl/styles.xml><?xml version="1.0" encoding="utf-8"?>
<styleSheet xmlns="http://schemas.openxmlformats.org/spreadsheetml/2006/main">
  <numFmts count="11">
    <numFmt numFmtId="164" formatCode="General"/>
    <numFmt numFmtId="165" formatCode="@"/>
    <numFmt numFmtId="166" formatCode="0"/>
    <numFmt numFmtId="167" formatCode="0.0%;\(0.0%\);\-"/>
    <numFmt numFmtId="168" formatCode="0.00\x;\(0.00&quot;x)&quot;;\-"/>
    <numFmt numFmtId="169" formatCode="#,##0;\(#,##0\);\-"/>
    <numFmt numFmtId="170" formatCode="#,##0.0;\(#,##0.0\);\-"/>
    <numFmt numFmtId="171" formatCode="#,##0.000;\(#,##0.000\);\-"/>
    <numFmt numFmtId="172" formatCode="#,##0.00;\(#,##0.00\);\-"/>
    <numFmt numFmtId="173" formatCode="0.00"/>
    <numFmt numFmtId="174" formatCode="0.000"/>
  </numFmts>
  <fonts count="15">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color rgb="FF1F3A5F"/>
      <name val="Arial"/>
      <family val="0"/>
      <charset val="1"/>
    </font>
    <font>
      <sz val="10"/>
      <name val="Arial"/>
      <family val="0"/>
      <charset val="1"/>
    </font>
    <font>
      <i val="true"/>
      <sz val="9"/>
      <color rgb="FF666666"/>
      <name val="Arial"/>
      <family val="0"/>
      <charset val="1"/>
    </font>
    <font>
      <b val="true"/>
      <sz val="12"/>
      <color rgb="FFFFFFFF"/>
      <name val="Arial"/>
      <family val="0"/>
      <charset val="1"/>
    </font>
    <font>
      <sz val="10"/>
      <color rgb="FF0000FF"/>
      <name val="Arial"/>
      <family val="0"/>
      <charset val="1"/>
    </font>
    <font>
      <b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3A5F"/>
        <bgColor rgb="FF333333"/>
      </patternFill>
    </fill>
    <fill>
      <patternFill patternType="solid">
        <fgColor rgb="FFFFF2CC"/>
        <bgColor rgb="FFEEF3F8"/>
      </patternFill>
    </fill>
    <fill>
      <patternFill patternType="solid">
        <fgColor rgb="FFEEF3F8"/>
        <bgColor rgb="FFE2F0EE"/>
      </patternFill>
    </fill>
    <fill>
      <patternFill patternType="solid">
        <fgColor rgb="FFE2F0EE"/>
        <bgColor rgb="FFEEF3F8"/>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tru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9" fontId="10" fillId="0" borderId="2" xfId="0" applyFont="true" applyBorder="true" applyAlignment="false" applyProtection="false">
      <alignment horizontal="general" vertical="bottom" textRotation="0" wrapText="false" indent="0" shrinkToFit="false"/>
      <protection locked="true" hidden="false"/>
    </xf>
    <xf numFmtId="170" fontId="10" fillId="0" borderId="2" xfId="0" applyFont="true" applyBorder="true" applyAlignment="false" applyProtection="false">
      <alignment horizontal="general" vertical="bottom" textRotation="0" wrapText="false" indent="0" shrinkToFit="false"/>
      <protection locked="true" hidden="false"/>
    </xf>
    <xf numFmtId="171" fontId="10" fillId="0" borderId="2"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3" fontId="9"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10" fillId="5" borderId="1" xfId="0" applyFont="true" applyBorder="true" applyAlignment="true" applyProtection="false">
      <alignment horizontal="right" vertical="bottom" textRotation="0" wrapText="false" indent="0" shrinkToFit="false"/>
      <protection locked="true" hidden="false"/>
    </xf>
    <xf numFmtId="167" fontId="10" fillId="5" borderId="1" xfId="0" applyFont="true" applyBorder="true" applyAlignment="true" applyProtection="false">
      <alignment horizontal="right" vertical="bottom" textRotation="0" wrapText="false" indent="0" shrinkToFit="false"/>
      <protection locked="true" hidden="false"/>
    </xf>
    <xf numFmtId="168" fontId="10" fillId="5" borderId="1" xfId="0" applyFont="true" applyBorder="true" applyAlignment="true" applyProtection="false">
      <alignment horizontal="right" vertical="bottom" textRotation="0" wrapText="false" indent="0" shrinkToFit="false"/>
      <protection locked="true" hidden="false"/>
    </xf>
    <xf numFmtId="171" fontId="10" fillId="5" borderId="1" xfId="0" applyFont="true" applyBorder="true" applyAlignment="true" applyProtection="false">
      <alignment horizontal="right" vertical="bottom" textRotation="0" wrapText="false" indent="0" shrinkToFit="false"/>
      <protection locked="true" hidden="false"/>
    </xf>
    <xf numFmtId="166" fontId="10" fillId="5" borderId="1" xfId="0" applyFont="true" applyBorder="true" applyAlignment="true" applyProtection="false">
      <alignment horizontal="right" vertical="bottom" textRotation="0" wrapText="false" indent="0" shrinkToFit="false"/>
      <protection locked="true" hidden="false"/>
    </xf>
    <xf numFmtId="169" fontId="10" fillId="5"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4"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ont>
        <name val="Arial"/>
        <charset val="1"/>
        <family val="0"/>
        <b val="1"/>
        <color rgb="FF155724"/>
      </font>
      <fill>
        <patternFill>
          <bgColor rgb="FFD4EDDA"/>
        </patternFill>
      </fill>
    </dxf>
    <dxf>
      <font>
        <name val="Arial"/>
        <charset val="1"/>
        <family val="0"/>
        <b val="1"/>
        <color rgb="FF721C24"/>
      </font>
      <fill>
        <patternFill>
          <bgColor rgb="FFF8D7DA"/>
        </patternFill>
      </fill>
    </dxf>
    <dxf>
      <font>
        <name val="Arial"/>
        <charset val="1"/>
        <family val="0"/>
        <b val="1"/>
        <color rgb="FFC00000"/>
      </font>
      <fill>
        <patternFill>
          <bgColor rgb="FFF8D7DA"/>
        </patternFill>
      </fill>
    </dxf>
    <dxf>
      <font>
        <name val="Arial"/>
        <charset val="1"/>
        <family val="0"/>
        <color rgb="FFC00000"/>
      </font>
    </dxf>
    <dxf>
      <fill>
        <patternFill>
          <bgColor rgb="FFD4EDDA"/>
        </patternFill>
      </fill>
    </dxf>
    <dxf>
      <fill>
        <patternFill>
          <bgColor rgb="FFF8D7DA"/>
        </patternFill>
      </fill>
    </dxf>
  </dxfs>
  <colors>
    <indexedColors>
      <rgbColor rgb="FF000000"/>
      <rgbColor rgb="FFFFFFFF"/>
      <rgbColor rgb="FFC00000"/>
      <rgbColor rgb="FF00FF00"/>
      <rgbColor rgb="FF0000FF"/>
      <rgbColor rgb="FFFFFF00"/>
      <rgbColor rgb="FFFF00FF"/>
      <rgbColor rgb="FF00FFFF"/>
      <rgbColor rgb="FF721C24"/>
      <rgbColor rgb="FF008000"/>
      <rgbColor rgb="FF000080"/>
      <rgbColor rgb="FF666666"/>
      <rgbColor rgb="FF800080"/>
      <rgbColor rgb="FF1B7F79"/>
      <rgbColor rgb="FFBFBFBF"/>
      <rgbColor rgb="FF7F7F7F"/>
      <rgbColor rgb="FF9999FF"/>
      <rgbColor rgb="FFC0504D"/>
      <rgbColor rgb="FFFFF2CC"/>
      <rgbColor rgb="FFE2F0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EF3F8"/>
      <rgbColor rgb="FFD4EDDA"/>
      <rgbColor rgb="FFFFFF99"/>
      <rgbColor rgb="FF99CCFF"/>
      <rgbColor rgb="FFFF99CC"/>
      <rgbColor rgb="FFCC99FF"/>
      <rgbColor rgb="FFF8D7DA"/>
      <rgbColor rgb="FF4F81BD"/>
      <rgbColor rgb="FF33CCCC"/>
      <rgbColor rgb="FF9BBB59"/>
      <rgbColor rgb="FFFFC000"/>
      <rgbColor rgb="FFFF9900"/>
      <rgbColor rgb="FFFF6600"/>
      <rgbColor rgb="FF7D5FA0"/>
      <rgbColor rgb="FF878787"/>
      <rgbColor rgb="FF1F3A5F"/>
      <rgbColor rgb="FF339966"/>
      <rgbColor rgb="FF15572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Recettes, OPEX et CFADS</a:t>
            </a:r>
          </a:p>
        </c:rich>
      </c:tx>
      <c:overlay val="0"/>
      <c:spPr>
        <a:noFill/>
        <a:ln w="0">
          <a:noFill/>
        </a:ln>
      </c:spPr>
    </c:title>
    <c:autoTitleDeleted val="0"/>
    <c:plotArea>
      <c:barChart>
        <c:barDir val="col"/>
        <c:grouping val="clustered"/>
        <c:varyColors val="0"/>
        <c:ser>
          <c:idx val="0"/>
          <c:order val="0"/>
          <c:tx>
            <c:strRef>
              <c:f>'Tableau de bord'!M28</c:f>
              <c:strCache>
                <c:ptCount val="1"/>
                <c:pt idx="0">
                  <c:v>Recettes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bord'!$L$29:$L$48</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bord'!$M$29:$M$48</c:f>
              <c:numCache>
                <c:formatCode>#,##0;\(#,##0\);\-</c:formatCode>
                <c:ptCount val="20"/>
                <c:pt idx="0">
                  <c:v>93674.4</c:v>
                </c:pt>
                <c:pt idx="1">
                  <c:v>133291.86136</c:v>
                </c:pt>
                <c:pt idx="2">
                  <c:v>164500.58613744</c:v>
                </c:pt>
                <c:pt idx="3">
                  <c:v>172688.61933321</c:v>
                </c:pt>
                <c:pt idx="4">
                  <c:v>183205.356250603</c:v>
                </c:pt>
                <c:pt idx="5">
                  <c:v>194362.562446264</c:v>
                </c:pt>
                <c:pt idx="6">
                  <c:v>206199.242499242</c:v>
                </c:pt>
                <c:pt idx="7">
                  <c:v>218756.776367446</c:v>
                </c:pt>
                <c:pt idx="8">
                  <c:v>232079.064048223</c:v>
                </c:pt>
                <c:pt idx="9">
                  <c:v>246212.67904876</c:v>
                </c:pt>
                <c:pt idx="10">
                  <c:v>261207.031202829</c:v>
                </c:pt>
                <c:pt idx="11">
                  <c:v>277114.539403082</c:v>
                </c:pt>
                <c:pt idx="12">
                  <c:v>293990.814852729</c:v>
                </c:pt>
                <c:pt idx="13">
                  <c:v>311894.855477261</c:v>
                </c:pt>
                <c:pt idx="14">
                  <c:v>330889.252175826</c:v>
                </c:pt>
                <c:pt idx="15">
                  <c:v>351040.407633334</c:v>
                </c:pt>
                <c:pt idx="16">
                  <c:v>372418.768458204</c:v>
                </c:pt>
                <c:pt idx="17">
                  <c:v>395099.071457308</c:v>
                </c:pt>
                <c:pt idx="18">
                  <c:v>419160.604909059</c:v>
                </c:pt>
                <c:pt idx="19">
                  <c:v>444687.48574802</c:v>
                </c:pt>
              </c:numCache>
            </c:numRef>
          </c:val>
        </c:ser>
        <c:ser>
          <c:idx val="1"/>
          <c:order val="1"/>
          <c:tx>
            <c:strRef>
              <c:f>'Tableau de bord'!N28</c:f>
              <c:strCache>
                <c:ptCount val="1"/>
                <c:pt idx="0">
                  <c:v>OPEX</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bord'!$L$29:$L$48</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bord'!$N$29:$N$48</c:f>
              <c:numCache>
                <c:formatCode>#,##0;\(#,##0\);\-</c:formatCode>
                <c:ptCount val="20"/>
                <c:pt idx="0">
                  <c:v>71473.2538773194</c:v>
                </c:pt>
                <c:pt idx="1">
                  <c:v>80545.3000789844</c:v>
                </c:pt>
                <c:pt idx="2">
                  <c:v>87814.5910262714</c:v>
                </c:pt>
                <c:pt idx="3">
                  <c:v>91260.363195245</c:v>
                </c:pt>
                <c:pt idx="4">
                  <c:v>94915.4674188233</c:v>
                </c:pt>
                <c:pt idx="5">
                  <c:v>98736.0879327672</c:v>
                </c:pt>
                <c:pt idx="6">
                  <c:v>104972.20263554</c:v>
                </c:pt>
                <c:pt idx="7">
                  <c:v>118698.690446866</c:v>
                </c:pt>
                <c:pt idx="8">
                  <c:v>133432.656073222</c:v>
                </c:pt>
                <c:pt idx="9">
                  <c:v>149239.396333297</c:v>
                </c:pt>
                <c:pt idx="10">
                  <c:v>166188.272929792</c:v>
                </c:pt>
                <c:pt idx="11">
                  <c:v>184352.961906201</c:v>
                </c:pt>
                <c:pt idx="12">
                  <c:v>203811.718334195</c:v>
                </c:pt>
                <c:pt idx="13">
                  <c:v>224647.657159841</c:v>
                </c:pt>
                <c:pt idx="14">
                  <c:v>246949.05119344</c:v>
                </c:pt>
                <c:pt idx="15">
                  <c:v>270809.647287755</c:v>
                </c:pt>
                <c:pt idx="16">
                  <c:v>296329.001813033</c:v>
                </c:pt>
                <c:pt idx="17">
                  <c:v>323612.836604722</c:v>
                </c:pt>
                <c:pt idx="18">
                  <c:v>352773.416631438</c:v>
                </c:pt>
                <c:pt idx="19">
                  <c:v>383929.950706688</c:v>
                </c:pt>
              </c:numCache>
            </c:numRef>
          </c:val>
        </c:ser>
        <c:ser>
          <c:idx val="2"/>
          <c:order val="2"/>
          <c:tx>
            <c:strRef>
              <c:f>'Tableau de bord'!O28</c:f>
              <c:strCache>
                <c:ptCount val="1"/>
                <c:pt idx="0">
                  <c:v>CFADS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bord'!$L$29:$L$48</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bord'!$O$29:$O$48</c:f>
              <c:numCache>
                <c:formatCode>#,##0;\(#,##0\);\-</c:formatCode>
                <c:ptCount val="20"/>
                <c:pt idx="0">
                  <c:v>137710.810595784</c:v>
                </c:pt>
                <c:pt idx="1">
                  <c:v>83381.2257541185</c:v>
                </c:pt>
                <c:pt idx="2">
                  <c:v>83070.6595842716</c:v>
                </c:pt>
                <c:pt idx="3">
                  <c:v>51437.9206110681</c:v>
                </c:pt>
                <c:pt idx="4">
                  <c:v>58299.5533048823</c:v>
                </c:pt>
                <c:pt idx="5">
                  <c:v>65636.1389866</c:v>
                </c:pt>
                <c:pt idx="6">
                  <c:v>70305.2142656857</c:v>
                </c:pt>
                <c:pt idx="7">
                  <c:v>68916.4254403708</c:v>
                </c:pt>
                <c:pt idx="8">
                  <c:v>59298.9827607449</c:v>
                </c:pt>
                <c:pt idx="9">
                  <c:v>57435.7444476024</c:v>
                </c:pt>
                <c:pt idx="10">
                  <c:v>55306.7012541307</c:v>
                </c:pt>
                <c:pt idx="11">
                  <c:v>53613.8156720131</c:v>
                </c:pt>
                <c:pt idx="12">
                  <c:v>51676.9549382532</c:v>
                </c:pt>
                <c:pt idx="13">
                  <c:v>49256.3385411703</c:v>
                </c:pt>
                <c:pt idx="14">
                  <c:v>45949.3412061369</c:v>
                </c:pt>
                <c:pt idx="15">
                  <c:v>22182.2104829346</c:v>
                </c:pt>
                <c:pt idx="16">
                  <c:v>57067.324983878</c:v>
                </c:pt>
                <c:pt idx="17">
                  <c:v>53614.6761394399</c:v>
                </c:pt>
                <c:pt idx="18">
                  <c:v>49790.3912082158</c:v>
                </c:pt>
                <c:pt idx="19">
                  <c:v>45568.1512809994</c:v>
                </c:pt>
              </c:numCache>
            </c:numRef>
          </c:val>
        </c:ser>
        <c:gapWidth val="150"/>
        <c:overlap val="0"/>
        <c:axId val="23251896"/>
        <c:axId val="63682204"/>
      </c:barChart>
      <c:lineChart>
        <c:grouping val="standard"/>
        <c:varyColors val="0"/>
        <c:ser>
          <c:idx val="3"/>
          <c:order val="3"/>
          <c:tx>
            <c:strRef>
              <c:f>'Tableau de bord'!P28</c:f>
              <c:strCache>
                <c:ptCount val="1"/>
                <c:pt idx="0">
                  <c:v>Service de la dette</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bord'!$L$29:$L$48</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bord'!$P$29:$P$48</c:f>
              <c:numCache>
                <c:formatCode>#,##0;\(#,##0\);\-</c:formatCode>
                <c:ptCount val="20"/>
                <c:pt idx="0">
                  <c:v>17334.2575674751</c:v>
                </c:pt>
                <c:pt idx="1">
                  <c:v>32125.9266311669</c:v>
                </c:pt>
                <c:pt idx="2">
                  <c:v>32125.9266311669</c:v>
                </c:pt>
                <c:pt idx="3">
                  <c:v>32125.9266311668</c:v>
                </c:pt>
                <c:pt idx="4">
                  <c:v>32125.9266311669</c:v>
                </c:pt>
                <c:pt idx="5">
                  <c:v>32125.9266311669</c:v>
                </c:pt>
                <c:pt idx="6">
                  <c:v>32125.9266311669</c:v>
                </c:pt>
                <c:pt idx="7">
                  <c:v>32125.9266311669</c:v>
                </c:pt>
                <c:pt idx="8">
                  <c:v>32125.9266311669</c:v>
                </c:pt>
                <c:pt idx="9">
                  <c:v>32125.9266311669</c:v>
                </c:pt>
                <c:pt idx="10">
                  <c:v>0</c:v>
                </c:pt>
                <c:pt idx="11">
                  <c:v>0</c:v>
                </c:pt>
                <c:pt idx="12">
                  <c:v>0</c:v>
                </c:pt>
                <c:pt idx="13">
                  <c:v>0</c:v>
                </c:pt>
                <c:pt idx="14">
                  <c:v>0</c:v>
                </c:pt>
                <c:pt idx="15">
                  <c:v>0</c:v>
                </c:pt>
                <c:pt idx="16">
                  <c:v>0</c:v>
                </c:pt>
                <c:pt idx="17">
                  <c:v>0</c:v>
                </c:pt>
                <c:pt idx="18">
                  <c:v>0</c:v>
                </c:pt>
                <c:pt idx="19">
                  <c:v>0</c:v>
                </c:pt>
              </c:numCache>
            </c:numRef>
          </c:val>
          <c:smooth val="1"/>
        </c:ser>
        <c:hiLowLines>
          <c:spPr>
            <a:ln w="0">
              <a:noFill/>
            </a:ln>
          </c:spPr>
        </c:hiLowLines>
        <c:marker val="0"/>
        <c:axId val="23251896"/>
        <c:axId val="63682204"/>
      </c:lineChart>
      <c:catAx>
        <c:axId val="23251896"/>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682204"/>
        <c:crosses val="autoZero"/>
        <c:auto val="1"/>
        <c:lblAlgn val="ctr"/>
        <c:lblOffset val="100"/>
        <c:noMultiLvlLbl val="0"/>
      </c:catAx>
      <c:valAx>
        <c:axId val="6368220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Devise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2518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Mix de production (kWh)</a:t>
            </a:r>
          </a:p>
        </c:rich>
      </c:tx>
      <c:overlay val="0"/>
      <c:spPr>
        <a:noFill/>
        <a:ln w="0">
          <a:noFill/>
        </a:ln>
      </c:spPr>
    </c:title>
    <c:autoTitleDeleted val="0"/>
    <c:plotArea>
      <c:barChart>
        <c:barDir val="col"/>
        <c:grouping val="stacked"/>
        <c:varyColors val="0"/>
        <c:ser>
          <c:idx val="0"/>
          <c:order val="0"/>
          <c:tx>
            <c:strRef>
              <c:f>'Tableau de bord'!Q28</c:f>
              <c:strCache>
                <c:ptCount val="1"/>
                <c:pt idx="0">
                  <c:v>kWh solaire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bord'!$L$29:$L$48</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bord'!$Q$29:$Q$48</c:f>
              <c:numCache>
                <c:formatCode>#,##0;\(#,##0\);\-</c:formatCode>
                <c:ptCount val="20"/>
                <c:pt idx="0">
                  <c:v>257727.272727273</c:v>
                </c:pt>
                <c:pt idx="1">
                  <c:v>376067.045454545</c:v>
                </c:pt>
                <c:pt idx="2">
                  <c:v>455704.772727273</c:v>
                </c:pt>
                <c:pt idx="3">
                  <c:v>469375.915909091</c:v>
                </c:pt>
                <c:pt idx="4">
                  <c:v>483457.193386364</c:v>
                </c:pt>
                <c:pt idx="5">
                  <c:v>497960.909187955</c:v>
                </c:pt>
                <c:pt idx="6">
                  <c:v>508533.891412539</c:v>
                </c:pt>
                <c:pt idx="7">
                  <c:v>505991.221955476</c:v>
                </c:pt>
                <c:pt idx="8">
                  <c:v>503461.265845699</c:v>
                </c:pt>
                <c:pt idx="9">
                  <c:v>500943.95951647</c:v>
                </c:pt>
                <c:pt idx="10">
                  <c:v>498439.239718888</c:v>
                </c:pt>
                <c:pt idx="11">
                  <c:v>495947.043520294</c:v>
                </c:pt>
                <c:pt idx="12">
                  <c:v>493467.308302692</c:v>
                </c:pt>
                <c:pt idx="13">
                  <c:v>490999.971761179</c:v>
                </c:pt>
                <c:pt idx="14">
                  <c:v>488544.971902373</c:v>
                </c:pt>
                <c:pt idx="15">
                  <c:v>486102.247042861</c:v>
                </c:pt>
                <c:pt idx="16">
                  <c:v>483671.735807647</c:v>
                </c:pt>
                <c:pt idx="17">
                  <c:v>481253.377128608</c:v>
                </c:pt>
                <c:pt idx="18">
                  <c:v>478847.110242965</c:v>
                </c:pt>
                <c:pt idx="19">
                  <c:v>476452.87469175</c:v>
                </c:pt>
              </c:numCache>
            </c:numRef>
          </c:val>
        </c:ser>
        <c:ser>
          <c:idx val="1"/>
          <c:order val="1"/>
          <c:tx>
            <c:strRef>
              <c:f>'Tableau de bord'!R28</c:f>
              <c:strCache>
                <c:ptCount val="1"/>
                <c:pt idx="0">
                  <c:v>kWh diesel</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bord'!$L$29:$L$48</c:f>
              <c:strCache>
                <c:ptCount val="20"/>
                <c:pt idx="0">
                  <c:v>2027</c:v>
                </c:pt>
                <c:pt idx="1">
                  <c:v>2028</c:v>
                </c:pt>
                <c:pt idx="2">
                  <c:v>2029</c:v>
                </c:pt>
                <c:pt idx="3">
                  <c:v>2030</c:v>
                </c:pt>
                <c:pt idx="4">
                  <c:v>2031</c:v>
                </c:pt>
                <c:pt idx="5">
                  <c:v>2032</c:v>
                </c:pt>
                <c:pt idx="6">
                  <c:v>2033</c:v>
                </c:pt>
                <c:pt idx="7">
                  <c:v>2034</c:v>
                </c:pt>
                <c:pt idx="8">
                  <c:v>2035</c:v>
                </c:pt>
                <c:pt idx="9">
                  <c:v>2036</c:v>
                </c:pt>
                <c:pt idx="10">
                  <c:v>2037</c:v>
                </c:pt>
                <c:pt idx="11">
                  <c:v>2038</c:v>
                </c:pt>
                <c:pt idx="12">
                  <c:v>2039</c:v>
                </c:pt>
                <c:pt idx="13">
                  <c:v>2040</c:v>
                </c:pt>
                <c:pt idx="14">
                  <c:v>2041</c:v>
                </c:pt>
                <c:pt idx="15">
                  <c:v>2042</c:v>
                </c:pt>
                <c:pt idx="16">
                  <c:v>2043</c:v>
                </c:pt>
                <c:pt idx="17">
                  <c:v>2044</c:v>
                </c:pt>
                <c:pt idx="18">
                  <c:v>2045</c:v>
                </c:pt>
                <c:pt idx="19">
                  <c:v>2046</c:v>
                </c:pt>
              </c:strCache>
            </c:strRef>
          </c:cat>
          <c:val>
            <c:numRef>
              <c:f>'Tableau de bord'!$R$29:$R$48</c:f>
              <c:numCache>
                <c:formatCode>#,##0;\(#,##0\);\-</c:formatCode>
                <c:ptCount val="20"/>
                <c:pt idx="0">
                  <c:v>28636.3636363636</c:v>
                </c:pt>
                <c:pt idx="1">
                  <c:v>41785.2272727272</c:v>
                </c:pt>
                <c:pt idx="2">
                  <c:v>50633.8636363637</c:v>
                </c:pt>
                <c:pt idx="3">
                  <c:v>52152.8795454545</c:v>
                </c:pt>
                <c:pt idx="4">
                  <c:v>53717.4659318182</c:v>
                </c:pt>
                <c:pt idx="5">
                  <c:v>55328.9899097727</c:v>
                </c:pt>
                <c:pt idx="6">
                  <c:v>61354.7046581202</c:v>
                </c:pt>
                <c:pt idx="7">
                  <c:v>80994.0319973028</c:v>
                </c:pt>
                <c:pt idx="8">
                  <c:v>101133.545725664</c:v>
                </c:pt>
                <c:pt idx="9">
                  <c:v>121788.696402033</c:v>
                </c:pt>
                <c:pt idx="10">
                  <c:v>142975.39587717</c:v>
                </c:pt>
                <c:pt idx="11">
                  <c:v>164710.031143647</c:v>
                </c:pt>
                <c:pt idx="12">
                  <c:v>187009.478601166</c:v>
                </c:pt>
                <c:pt idx="13">
                  <c:v>209891.118749795</c:v>
                </c:pt>
                <c:pt idx="14">
                  <c:v>233372.851323931</c:v>
                </c:pt>
                <c:pt idx="15">
                  <c:v>257473.110880231</c:v>
                </c:pt>
                <c:pt idx="16">
                  <c:v>282210.882853139</c:v>
                </c:pt>
                <c:pt idx="17">
                  <c:v>307605.720092001</c:v>
                </c:pt>
                <c:pt idx="18">
                  <c:v>333677.759894262</c:v>
                </c:pt>
                <c:pt idx="19">
                  <c:v>360447.741549594</c:v>
                </c:pt>
              </c:numCache>
            </c:numRef>
          </c:val>
        </c:ser>
        <c:gapWidth val="150"/>
        <c:overlap val="100"/>
        <c:axId val="4491170"/>
        <c:axId val="78945054"/>
      </c:barChart>
      <c:catAx>
        <c:axId val="4491170"/>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945054"/>
        <c:crosses val="autoZero"/>
        <c:auto val="1"/>
        <c:lblAlgn val="ctr"/>
        <c:lblOffset val="100"/>
        <c:noMultiLvlLbl val="0"/>
      </c:catAx>
      <c:valAx>
        <c:axId val="7894505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9117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27</xdr:row>
      <xdr:rowOff>131040</xdr:rowOff>
    </xdr:from>
    <xdr:to>
      <xdr:col>4</xdr:col>
      <xdr:colOff>1954440</xdr:colOff>
      <xdr:row>42</xdr:row>
      <xdr:rowOff>153000</xdr:rowOff>
    </xdr:to>
    <xdr:graphicFrame>
      <xdr:nvGraphicFramePr>
        <xdr:cNvPr id="0" name="Chart 1"/>
        <xdr:cNvGraphicFramePr/>
      </xdr:nvGraphicFramePr>
      <xdr:xfrm>
        <a:off x="266760" y="5334120"/>
        <a:ext cx="71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44</xdr:row>
      <xdr:rowOff>131040</xdr:rowOff>
    </xdr:from>
    <xdr:to>
      <xdr:col>4</xdr:col>
      <xdr:colOff>1954440</xdr:colOff>
      <xdr:row>59</xdr:row>
      <xdr:rowOff>153000</xdr:rowOff>
    </xdr:to>
    <xdr:graphicFrame>
      <xdr:nvGraphicFramePr>
        <xdr:cNvPr id="1" name="Chart 2"/>
        <xdr:cNvGraphicFramePr/>
      </xdr:nvGraphicFramePr>
      <xdr:xfrm>
        <a:off x="266760" y="8572680"/>
        <a:ext cx="719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2:B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2" t="s">
        <v>2</v>
      </c>
    </row>
    <row r="6" customFormat="false" ht="15" hidden="false" customHeight="false" outlineLevel="0" collapsed="false">
      <c r="B6" s="4" t="s">
        <v>3</v>
      </c>
    </row>
    <row r="7" customFormat="false" ht="15" hidden="false" customHeight="false" outlineLevel="0" collapsed="false">
      <c r="B7" s="3"/>
    </row>
    <row r="8" customFormat="false" ht="15" hidden="false" customHeight="false" outlineLevel="0" collapsed="false">
      <c r="B8" s="2" t="s">
        <v>4</v>
      </c>
    </row>
    <row r="9" customFormat="false" ht="15" hidden="false" customHeight="false" outlineLevel="0" collapsed="false">
      <c r="B9" s="4" t="s">
        <v>5</v>
      </c>
    </row>
    <row r="10" customFormat="false" ht="15" hidden="false" customHeight="false" outlineLevel="0" collapsed="false">
      <c r="B10" s="4" t="s">
        <v>6</v>
      </c>
    </row>
    <row r="11" customFormat="false" ht="23.85" hidden="false" customHeight="false" outlineLevel="0" collapsed="false">
      <c r="B11" s="4" t="s">
        <v>7</v>
      </c>
    </row>
    <row r="12" customFormat="false" ht="15" hidden="false" customHeight="false" outlineLevel="0" collapsed="false">
      <c r="B12" s="4" t="s">
        <v>8</v>
      </c>
    </row>
    <row r="13" customFormat="false" ht="23.8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3"/>
    </row>
    <row r="16" customFormat="false" ht="15" hidden="false" customHeight="false" outlineLevel="0" collapsed="false">
      <c r="B16" s="2" t="s">
        <v>11</v>
      </c>
    </row>
    <row r="17" customFormat="false" ht="15" hidden="false" customHeight="false" outlineLevel="0" collapsed="false">
      <c r="B17" s="4" t="s">
        <v>12</v>
      </c>
    </row>
    <row r="18" customFormat="false" ht="15" hidden="false" customHeight="false" outlineLevel="0" collapsed="false">
      <c r="B18" s="3"/>
    </row>
    <row r="19" customFormat="false" ht="15" hidden="false" customHeight="false" outlineLevel="0" collapsed="false">
      <c r="B19" s="2" t="s">
        <v>13</v>
      </c>
    </row>
    <row r="20" customFormat="false" ht="15" hidden="false" customHeight="false" outlineLevel="0" collapsed="false">
      <c r="B20" s="4" t="s">
        <v>14</v>
      </c>
    </row>
    <row r="21" customFormat="false" ht="15" hidden="false" customHeight="false" outlineLevel="0" collapsed="false">
      <c r="B21" s="4" t="s">
        <v>15</v>
      </c>
    </row>
    <row r="22" customFormat="false" ht="15" hidden="false" customHeight="false" outlineLevel="0" collapsed="false">
      <c r="B22" s="4" t="s">
        <v>16</v>
      </c>
    </row>
    <row r="23" customFormat="false" ht="15" hidden="false" customHeight="false" outlineLevel="0" collapsed="false">
      <c r="B23" s="4" t="s">
        <v>17</v>
      </c>
    </row>
    <row r="24" customFormat="false" ht="15" hidden="false" customHeight="false" outlineLevel="0" collapsed="false">
      <c r="B24" s="3"/>
    </row>
    <row r="25" customFormat="false" ht="15" hidden="false" customHeight="false" outlineLevel="0" collapsed="false">
      <c r="B25" s="2" t="s">
        <v>18</v>
      </c>
    </row>
    <row r="26" customFormat="false" ht="23.85" hidden="false" customHeight="false" outlineLevel="0" collapsed="false">
      <c r="B26" s="4" t="s">
        <v>19</v>
      </c>
    </row>
    <row r="27" customFormat="false" ht="23.85" hidden="false" customHeight="false" outlineLevel="0" collapsed="false">
      <c r="B27" s="4" t="s">
        <v>20</v>
      </c>
    </row>
    <row r="28" customFormat="false" ht="15" hidden="false" customHeight="false" outlineLevel="0" collapsed="false">
      <c r="B28" s="4" t="s">
        <v>21</v>
      </c>
    </row>
    <row r="29" customFormat="false" ht="23.85" hidden="false" customHeight="false" outlineLevel="0" collapsed="false">
      <c r="B29" s="4" t="s">
        <v>22</v>
      </c>
    </row>
    <row r="30" customFormat="false" ht="23.85" hidden="false" customHeight="false" outlineLevel="0" collapsed="false">
      <c r="B30" s="4" t="s">
        <v>23</v>
      </c>
    </row>
    <row r="31" customFormat="false" ht="15" hidden="false" customHeight="false" outlineLevel="0" collapsed="false">
      <c r="B31" s="4" t="s">
        <v>24</v>
      </c>
    </row>
    <row r="32" customFormat="false" ht="15" hidden="false" customHeight="false" outlineLevel="0" collapsed="false">
      <c r="B32" s="4" t="s">
        <v>25</v>
      </c>
    </row>
    <row r="33" customFormat="false" ht="15" hidden="false" customHeight="false" outlineLevel="0" collapsed="false">
      <c r="B33" s="3"/>
    </row>
    <row r="34" customFormat="false" ht="15" hidden="false" customHeight="false" outlineLevel="0" collapsed="false">
      <c r="B34" s="2" t="s">
        <v>26</v>
      </c>
    </row>
    <row r="35" customFormat="false" ht="15" hidden="false" customHeight="false" outlineLevel="0" collapsed="false">
      <c r="B35" s="5" t="s">
        <v>27</v>
      </c>
    </row>
    <row r="36" customFormat="false" ht="15" hidden="false" customHeight="false" outlineLevel="0" collapsed="false">
      <c r="B36" s="5" t="s">
        <v>28</v>
      </c>
    </row>
    <row r="37" customFormat="false" ht="15" hidden="false" customHeight="false" outlineLevel="0" collapsed="false">
      <c r="B37" s="5" t="s">
        <v>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H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6" min="2" style="0" width="14"/>
    <col collapsed="false" customWidth="true" hidden="false" outlineLevel="0" max="7" min="7" style="0" width="3"/>
    <col collapsed="false" customWidth="true" hidden="false" outlineLevel="0" max="8" min="8" style="0" width="60"/>
  </cols>
  <sheetData>
    <row r="1" customFormat="false" ht="19.7" hidden="false" customHeight="false" outlineLevel="0" collapsed="false">
      <c r="A1" s="6" t="s">
        <v>30</v>
      </c>
    </row>
    <row r="2" customFormat="false" ht="15" hidden="false" customHeight="false" outlineLevel="0" collapsed="false">
      <c r="A2" s="7" t="s">
        <v>31</v>
      </c>
    </row>
    <row r="5" customFormat="false" ht="15" hidden="false" customHeight="false" outlineLevel="0" collapsed="false">
      <c r="A5" s="8" t="s">
        <v>32</v>
      </c>
      <c r="B5" s="9"/>
      <c r="C5" s="9"/>
      <c r="D5" s="9"/>
      <c r="E5" s="9"/>
      <c r="F5" s="9"/>
    </row>
    <row r="6" customFormat="false" ht="15" hidden="false" customHeight="false" outlineLevel="0" collapsed="false">
      <c r="A6" s="10" t="s">
        <v>33</v>
      </c>
      <c r="C6" s="11" t="s">
        <v>34</v>
      </c>
    </row>
    <row r="7" customFormat="false" ht="15" hidden="false" customHeight="false" outlineLevel="0" collapsed="false">
      <c r="A7" s="10" t="s">
        <v>35</v>
      </c>
      <c r="C7" s="11" t="s">
        <v>36</v>
      </c>
    </row>
    <row r="8" customFormat="false" ht="15" hidden="false" customHeight="false" outlineLevel="0" collapsed="false">
      <c r="A8" s="10" t="s">
        <v>37</v>
      </c>
      <c r="C8" s="11" t="s">
        <v>38</v>
      </c>
      <c r="H8" s="7" t="s">
        <v>39</v>
      </c>
    </row>
    <row r="9" customFormat="false" ht="15" hidden="false" customHeight="false" outlineLevel="0" collapsed="false">
      <c r="A9" s="10" t="s">
        <v>40</v>
      </c>
      <c r="C9" s="12" t="n">
        <v>2027</v>
      </c>
      <c r="D9" s="7" t="s">
        <v>41</v>
      </c>
    </row>
    <row r="10" customFormat="false" ht="15" hidden="false" customHeight="false" outlineLevel="0" collapsed="false">
      <c r="A10" s="10" t="s">
        <v>42</v>
      </c>
      <c r="C10" s="12" t="n">
        <v>20</v>
      </c>
      <c r="D10" s="7" t="s">
        <v>43</v>
      </c>
      <c r="H10" s="7" t="s">
        <v>44</v>
      </c>
    </row>
    <row r="11" customFormat="false" ht="15" hidden="false" customHeight="false" outlineLevel="0" collapsed="false">
      <c r="A11" s="10" t="s">
        <v>45</v>
      </c>
      <c r="C11" s="13" t="n">
        <v>0.1</v>
      </c>
      <c r="H11" s="7" t="s">
        <v>46</v>
      </c>
    </row>
    <row r="12" customFormat="false" ht="15" hidden="false" customHeight="false" outlineLevel="0" collapsed="false">
      <c r="A12" s="10" t="s">
        <v>47</v>
      </c>
      <c r="C12" s="13" t="n">
        <v>0.15</v>
      </c>
    </row>
    <row r="13" customFormat="false" ht="15" hidden="false" customHeight="false" outlineLevel="0" collapsed="false">
      <c r="A13" s="10" t="s">
        <v>48</v>
      </c>
      <c r="C13" s="14" t="n">
        <v>1.3</v>
      </c>
    </row>
    <row r="14" customFormat="false" ht="15" hidden="false" customHeight="false" outlineLevel="0" collapsed="false">
      <c r="A14" s="10" t="s">
        <v>49</v>
      </c>
      <c r="C14" s="13" t="n">
        <v>0.03</v>
      </c>
      <c r="D14" s="7" t="s">
        <v>50</v>
      </c>
    </row>
    <row r="15" customFormat="false" ht="15" hidden="false" customHeight="false" outlineLevel="0" collapsed="false">
      <c r="A15" s="10" t="s">
        <v>51</v>
      </c>
      <c r="C15" s="13" t="n">
        <v>0.03</v>
      </c>
      <c r="D15" s="7" t="s">
        <v>50</v>
      </c>
    </row>
    <row r="16" customFormat="false" ht="15" hidden="false" customHeight="false" outlineLevel="0" collapsed="false">
      <c r="A16" s="10" t="s">
        <v>52</v>
      </c>
      <c r="C16" s="13" t="n">
        <v>0.25</v>
      </c>
    </row>
    <row r="17" customFormat="false" ht="15" hidden="false" customHeight="false" outlineLevel="0" collapsed="false">
      <c r="A17" s="10" t="s">
        <v>53</v>
      </c>
      <c r="C17" s="12" t="n">
        <v>15</v>
      </c>
      <c r="D17" s="7" t="s">
        <v>43</v>
      </c>
      <c r="H17" s="7" t="s">
        <v>54</v>
      </c>
    </row>
    <row r="19" customFormat="false" ht="15" hidden="false" customHeight="false" outlineLevel="0" collapsed="false">
      <c r="A19" s="8" t="s">
        <v>55</v>
      </c>
      <c r="B19" s="9"/>
      <c r="C19" s="9"/>
      <c r="D19" s="9"/>
      <c r="E19" s="9"/>
      <c r="F19" s="9"/>
    </row>
    <row r="20" customFormat="false" ht="15" hidden="false" customHeight="false" outlineLevel="0" collapsed="false">
      <c r="A20" s="10" t="s">
        <v>56</v>
      </c>
      <c r="C20" s="14" t="n">
        <v>1</v>
      </c>
    </row>
    <row r="21" customFormat="false" ht="15" hidden="false" customHeight="false" outlineLevel="0" collapsed="false">
      <c r="A21" s="10" t="s">
        <v>57</v>
      </c>
      <c r="C21" s="14" t="n">
        <v>1</v>
      </c>
    </row>
    <row r="22" customFormat="false" ht="15" hidden="false" customHeight="false" outlineLevel="0" collapsed="false">
      <c r="A22" s="10" t="s">
        <v>58</v>
      </c>
      <c r="C22" s="14" t="n">
        <v>1</v>
      </c>
    </row>
    <row r="23" customFormat="false" ht="15" hidden="false" customHeight="false" outlineLevel="0" collapsed="false">
      <c r="A23" s="10" t="s">
        <v>59</v>
      </c>
      <c r="C23" s="14" t="n">
        <v>1</v>
      </c>
    </row>
    <row r="25" customFormat="false" ht="15" hidden="false" customHeight="false" outlineLevel="0" collapsed="false">
      <c r="A25" s="8" t="s">
        <v>60</v>
      </c>
      <c r="B25" s="9"/>
      <c r="C25" s="9"/>
      <c r="D25" s="9"/>
      <c r="E25" s="9"/>
      <c r="F25" s="9"/>
    </row>
    <row r="26" customFormat="false" ht="15" hidden="false" customHeight="false" outlineLevel="0" collapsed="false">
      <c r="A26" s="15" t="s">
        <v>61</v>
      </c>
      <c r="B26" s="15" t="s">
        <v>62</v>
      </c>
      <c r="C26" s="15" t="s">
        <v>63</v>
      </c>
      <c r="D26" s="15" t="s">
        <v>64</v>
      </c>
      <c r="E26" s="15" t="s">
        <v>65</v>
      </c>
      <c r="F26" s="15" t="s">
        <v>66</v>
      </c>
    </row>
    <row r="27" customFormat="false" ht="15" hidden="false" customHeight="false" outlineLevel="0" collapsed="false">
      <c r="A27" s="16" t="s">
        <v>67</v>
      </c>
      <c r="B27" s="17" t="n">
        <v>800</v>
      </c>
      <c r="C27" s="18" t="n">
        <v>15</v>
      </c>
      <c r="D27" s="19" t="n">
        <v>0.4</v>
      </c>
      <c r="E27" s="17" t="n">
        <v>10</v>
      </c>
      <c r="F27" s="20" t="n">
        <f aca="false">C27*D27</f>
        <v>6</v>
      </c>
    </row>
    <row r="28" customFormat="false" ht="15" hidden="false" customHeight="false" outlineLevel="0" collapsed="false">
      <c r="A28" s="16" t="s">
        <v>68</v>
      </c>
      <c r="B28" s="17" t="n">
        <v>60</v>
      </c>
      <c r="C28" s="18" t="n">
        <v>250</v>
      </c>
      <c r="D28" s="19" t="n">
        <v>0.35</v>
      </c>
      <c r="E28" s="17" t="n">
        <v>25</v>
      </c>
      <c r="F28" s="20" t="n">
        <f aca="false">C28*D28</f>
        <v>87.5</v>
      </c>
    </row>
    <row r="29" customFormat="false" ht="15" hidden="false" customHeight="false" outlineLevel="0" collapsed="false">
      <c r="A29" s="16" t="s">
        <v>69</v>
      </c>
      <c r="B29" s="17" t="n">
        <v>100</v>
      </c>
      <c r="C29" s="18" t="n">
        <v>50</v>
      </c>
      <c r="D29" s="19" t="n">
        <v>0.4</v>
      </c>
      <c r="E29" s="17" t="n">
        <v>15</v>
      </c>
      <c r="F29" s="20" t="n">
        <f aca="false">C29*D29</f>
        <v>20</v>
      </c>
    </row>
    <row r="30" customFormat="false" ht="15" hidden="false" customHeight="false" outlineLevel="0" collapsed="false">
      <c r="A30" s="16" t="s">
        <v>70</v>
      </c>
      <c r="B30" s="17" t="n">
        <v>10</v>
      </c>
      <c r="C30" s="18" t="n">
        <v>300</v>
      </c>
      <c r="D30" s="19" t="n">
        <v>0.35</v>
      </c>
      <c r="E30" s="17" t="n">
        <v>50</v>
      </c>
      <c r="F30" s="20" t="n">
        <f aca="false">C30*D30</f>
        <v>105</v>
      </c>
    </row>
    <row r="31" customFormat="false" ht="15" hidden="false" customHeight="false" outlineLevel="0" collapsed="false">
      <c r="A31" s="16" t="s">
        <v>71</v>
      </c>
      <c r="B31" s="17" t="n">
        <v>0</v>
      </c>
      <c r="C31" s="18" t="n">
        <v>0</v>
      </c>
      <c r="D31" s="19" t="n">
        <v>0</v>
      </c>
      <c r="E31" s="17" t="n">
        <v>0</v>
      </c>
      <c r="F31" s="20" t="n">
        <f aca="false">C31*D31</f>
        <v>0</v>
      </c>
    </row>
    <row r="32" customFormat="false" ht="15" hidden="false" customHeight="false" outlineLevel="0" collapsed="false">
      <c r="A32" s="21" t="s">
        <v>72</v>
      </c>
      <c r="B32" s="22" t="n">
        <f aca="false">SUM(B27:B31)</f>
        <v>970</v>
      </c>
      <c r="C32" s="23" t="n">
        <f aca="false">IFERROR(SUMPRODUCT(B27:B31,C27:C31)/B32,0)</f>
        <v>36.0824742268041</v>
      </c>
      <c r="D32" s="24" t="n">
        <f aca="false">IFERROR(SUMPRODUCT(B27:B31,C27:C31,D27:D31)/SUMPRODUCT(B27:B31,C27:C31),0)</f>
        <v>0.374285714285714</v>
      </c>
      <c r="E32" s="21"/>
      <c r="F32" s="21"/>
    </row>
    <row r="34" customFormat="false" ht="15" hidden="false" customHeight="false" outlineLevel="0" collapsed="false">
      <c r="A34" s="10" t="s">
        <v>73</v>
      </c>
      <c r="C34" s="13" t="n">
        <v>0.6</v>
      </c>
    </row>
    <row r="35" customFormat="false" ht="15" hidden="false" customHeight="false" outlineLevel="0" collapsed="false">
      <c r="A35" s="10" t="s">
        <v>74</v>
      </c>
      <c r="C35" s="13" t="n">
        <v>0.85</v>
      </c>
    </row>
    <row r="36" customFormat="false" ht="15" hidden="false" customHeight="false" outlineLevel="0" collapsed="false">
      <c r="A36" s="10" t="s">
        <v>75</v>
      </c>
      <c r="C36" s="13" t="n">
        <v>1</v>
      </c>
    </row>
    <row r="37" customFormat="false" ht="15" hidden="false" customHeight="false" outlineLevel="0" collapsed="false">
      <c r="A37" s="10" t="s">
        <v>76</v>
      </c>
      <c r="C37" s="13" t="n">
        <v>0.03</v>
      </c>
      <c r="D37" s="7" t="s">
        <v>50</v>
      </c>
    </row>
    <row r="38" customFormat="false" ht="15" hidden="false" customHeight="false" outlineLevel="0" collapsed="false">
      <c r="A38" s="10" t="s">
        <v>77</v>
      </c>
      <c r="C38" s="13" t="n">
        <v>0.92</v>
      </c>
    </row>
    <row r="40" customFormat="false" ht="15" hidden="false" customHeight="false" outlineLevel="0" collapsed="false">
      <c r="A40" s="8" t="s">
        <v>78</v>
      </c>
      <c r="B40" s="9"/>
      <c r="C40" s="9"/>
      <c r="D40" s="9"/>
      <c r="E40" s="9"/>
      <c r="F40" s="9"/>
    </row>
    <row r="41" customFormat="false" ht="15" hidden="false" customHeight="false" outlineLevel="0" collapsed="false">
      <c r="A41" s="10" t="s">
        <v>79</v>
      </c>
      <c r="C41" s="17" t="n">
        <v>1500</v>
      </c>
      <c r="D41" s="7" t="s">
        <v>80</v>
      </c>
      <c r="H41" s="7" t="s">
        <v>81</v>
      </c>
    </row>
    <row r="42" customFormat="false" ht="15" hidden="false" customHeight="false" outlineLevel="0" collapsed="false">
      <c r="A42" s="10" t="s">
        <v>82</v>
      </c>
      <c r="C42" s="13" t="n">
        <v>0.005</v>
      </c>
      <c r="D42" s="7" t="s">
        <v>50</v>
      </c>
    </row>
    <row r="43" customFormat="false" ht="15" hidden="false" customHeight="false" outlineLevel="0" collapsed="false">
      <c r="A43" s="10" t="s">
        <v>83</v>
      </c>
      <c r="C43" s="13" t="n">
        <v>0.12</v>
      </c>
      <c r="H43" s="7" t="s">
        <v>84</v>
      </c>
    </row>
    <row r="44" customFormat="false" ht="15" hidden="false" customHeight="false" outlineLevel="0" collapsed="false">
      <c r="A44" s="10" t="s">
        <v>85</v>
      </c>
      <c r="C44" s="13" t="n">
        <v>0.9</v>
      </c>
      <c r="H44" s="7" t="s">
        <v>86</v>
      </c>
    </row>
    <row r="45" customFormat="false" ht="15" hidden="false" customHeight="false" outlineLevel="0" collapsed="false">
      <c r="A45" s="10" t="s">
        <v>87</v>
      </c>
      <c r="C45" s="14" t="n">
        <v>1.15</v>
      </c>
      <c r="H45" s="7" t="s">
        <v>88</v>
      </c>
    </row>
    <row r="46" customFormat="false" ht="15" hidden="false" customHeight="false" outlineLevel="0" collapsed="false">
      <c r="A46" s="10" t="s">
        <v>89</v>
      </c>
      <c r="C46" s="13" t="n">
        <v>0.45</v>
      </c>
    </row>
    <row r="47" customFormat="false" ht="15" hidden="false" customHeight="false" outlineLevel="0" collapsed="false">
      <c r="A47" s="10" t="s">
        <v>90</v>
      </c>
      <c r="C47" s="13" t="n">
        <v>0.8</v>
      </c>
    </row>
    <row r="48" customFormat="false" ht="15" hidden="false" customHeight="false" outlineLevel="0" collapsed="false">
      <c r="A48" s="10" t="s">
        <v>91</v>
      </c>
      <c r="C48" s="14" t="n">
        <v>2.5</v>
      </c>
    </row>
    <row r="49" customFormat="false" ht="15" hidden="false" customHeight="false" outlineLevel="0" collapsed="false">
      <c r="A49" s="10" t="s">
        <v>92</v>
      </c>
      <c r="C49" s="18" t="n">
        <v>3</v>
      </c>
      <c r="D49" s="7" t="s">
        <v>93</v>
      </c>
    </row>
    <row r="50" customFormat="false" ht="15" hidden="false" customHeight="false" outlineLevel="0" collapsed="false">
      <c r="A50" s="10" t="s">
        <v>94</v>
      </c>
      <c r="C50" s="25" t="n">
        <v>1.2</v>
      </c>
      <c r="D50" s="7" t="s">
        <v>95</v>
      </c>
    </row>
    <row r="52" customFormat="false" ht="15" hidden="false" customHeight="false" outlineLevel="0" collapsed="false">
      <c r="A52" s="26" t="s">
        <v>96</v>
      </c>
      <c r="B52" s="26" t="s">
        <v>97</v>
      </c>
      <c r="C52" s="26" t="s">
        <v>98</v>
      </c>
      <c r="D52" s="26" t="s">
        <v>99</v>
      </c>
      <c r="E52" s="26" t="s">
        <v>100</v>
      </c>
    </row>
    <row r="53" customFormat="false" ht="15" hidden="false" customHeight="false" outlineLevel="0" collapsed="false">
      <c r="A53" s="10" t="s">
        <v>101</v>
      </c>
      <c r="B53" s="27" t="n">
        <f aca="false">(Seg1_N*Seg1_kWh+Seg2_N*Seg2_kWh+Seg3_N*Seg3_kWh+Seg4_N*Seg4_kWh+Seg5_N*Seg5_kWh)*12*LevDemand*Ramp3*(1+DemandGrowth)^2</f>
        <v>445578</v>
      </c>
      <c r="E53" s="7" t="s">
        <v>102</v>
      </c>
    </row>
    <row r="54" customFormat="false" ht="15" hidden="false" customHeight="false" outlineLevel="0" collapsed="false">
      <c r="A54" s="10" t="s">
        <v>103</v>
      </c>
      <c r="B54" s="27" t="n">
        <f aca="false">DesignEnergy/(1-Losses)</f>
        <v>506338.636363636</v>
      </c>
      <c r="E54" s="7" t="s">
        <v>102</v>
      </c>
    </row>
    <row r="55" customFormat="false" ht="15" hidden="false" customHeight="false" outlineLevel="0" collapsed="false">
      <c r="A55" s="10" t="s">
        <v>104</v>
      </c>
      <c r="B55" s="28" t="n">
        <f aca="false">DesignGen*SolarFraction/SpecYield*PVOversize</f>
        <v>349.373659090909</v>
      </c>
      <c r="C55" s="18"/>
      <c r="D55" s="29" t="n">
        <f aca="false">IF(ISNUMBER(C55),C55,B55)</f>
        <v>349.373659090909</v>
      </c>
      <c r="E55" s="7" t="s">
        <v>105</v>
      </c>
    </row>
    <row r="56" customFormat="false" ht="15" hidden="false" customHeight="false" outlineLevel="0" collapsed="false">
      <c r="A56" s="10" t="s">
        <v>106</v>
      </c>
      <c r="B56" s="28" t="n">
        <f aca="false">DesignGen/365*NightShare/DoD</f>
        <v>780.316391656289</v>
      </c>
      <c r="C56" s="18"/>
      <c r="D56" s="29" t="n">
        <f aca="false">IF(ISNUMBER(C56),C56,B56)</f>
        <v>780.316391656289</v>
      </c>
      <c r="E56" s="7" t="s">
        <v>107</v>
      </c>
    </row>
    <row r="57" customFormat="false" ht="15" hidden="false" customHeight="false" outlineLevel="0" collapsed="false">
      <c r="A57" s="10" t="s">
        <v>108</v>
      </c>
      <c r="B57" s="28" t="n">
        <f aca="false">DesignGen/8760*PeakRatio</f>
        <v>144.503035491905</v>
      </c>
      <c r="C57" s="18"/>
      <c r="D57" s="29" t="n">
        <f aca="false">IF(ISNUMBER(C57),C57,B57)</f>
        <v>144.503035491905</v>
      </c>
      <c r="E57" s="7" t="s">
        <v>109</v>
      </c>
    </row>
    <row r="58" customFormat="false" ht="15" hidden="false" customHeight="false" outlineLevel="0" collapsed="false">
      <c r="A58" s="7" t="s">
        <v>110</v>
      </c>
    </row>
    <row r="60" customFormat="false" ht="15" hidden="false" customHeight="false" outlineLevel="0" collapsed="false">
      <c r="A60" s="8" t="s">
        <v>111</v>
      </c>
      <c r="B60" s="9"/>
      <c r="C60" s="9"/>
      <c r="D60" s="9"/>
      <c r="E60" s="9"/>
      <c r="F60" s="9"/>
    </row>
    <row r="61" customFormat="false" ht="15" hidden="false" customHeight="false" outlineLevel="0" collapsed="false">
      <c r="A61" s="10" t="s">
        <v>112</v>
      </c>
      <c r="C61" s="17" t="n">
        <v>700</v>
      </c>
      <c r="D61" s="7" t="s">
        <v>113</v>
      </c>
    </row>
    <row r="62" customFormat="false" ht="15" hidden="false" customHeight="false" outlineLevel="0" collapsed="false">
      <c r="A62" s="10" t="s">
        <v>114</v>
      </c>
      <c r="C62" s="17" t="n">
        <v>350</v>
      </c>
      <c r="D62" s="7" t="s">
        <v>115</v>
      </c>
    </row>
    <row r="63" customFormat="false" ht="15" hidden="false" customHeight="false" outlineLevel="0" collapsed="false">
      <c r="A63" s="10" t="s">
        <v>116</v>
      </c>
      <c r="C63" s="17" t="n">
        <v>400</v>
      </c>
      <c r="D63" s="7" t="s">
        <v>117</v>
      </c>
    </row>
    <row r="64" customFormat="false" ht="15" hidden="false" customHeight="false" outlineLevel="0" collapsed="false">
      <c r="A64" s="10" t="s">
        <v>118</v>
      </c>
      <c r="C64" s="17" t="n">
        <v>450</v>
      </c>
      <c r="D64" s="7" t="s">
        <v>119</v>
      </c>
    </row>
    <row r="65" customFormat="false" ht="15" hidden="false" customHeight="false" outlineLevel="0" collapsed="false">
      <c r="A65" s="10" t="s">
        <v>120</v>
      </c>
      <c r="C65" s="17" t="n">
        <v>80</v>
      </c>
      <c r="D65" s="7" t="s">
        <v>119</v>
      </c>
    </row>
    <row r="66" customFormat="false" ht="15" hidden="false" customHeight="false" outlineLevel="0" collapsed="false">
      <c r="A66" s="10" t="s">
        <v>121</v>
      </c>
      <c r="C66" s="17" t="n">
        <v>60000</v>
      </c>
    </row>
    <row r="67" customFormat="false" ht="15" hidden="false" customHeight="false" outlineLevel="0" collapsed="false">
      <c r="A67" s="10" t="s">
        <v>122</v>
      </c>
      <c r="C67" s="13" t="n">
        <v>0.08</v>
      </c>
      <c r="D67" s="7" t="s">
        <v>123</v>
      </c>
    </row>
    <row r="68" customFormat="false" ht="15" hidden="false" customHeight="false" outlineLevel="0" collapsed="false">
      <c r="A68" s="10" t="s">
        <v>124</v>
      </c>
      <c r="C68" s="13" t="n">
        <v>0.07</v>
      </c>
      <c r="D68" s="7" t="s">
        <v>123</v>
      </c>
    </row>
    <row r="69" customFormat="false" ht="15" hidden="false" customHeight="false" outlineLevel="0" collapsed="false">
      <c r="A69" s="10" t="s">
        <v>125</v>
      </c>
      <c r="C69" s="12" t="n">
        <v>8</v>
      </c>
      <c r="D69" s="7" t="s">
        <v>43</v>
      </c>
    </row>
    <row r="70" customFormat="false" ht="15" hidden="false" customHeight="false" outlineLevel="0" collapsed="false">
      <c r="A70" s="10" t="s">
        <v>126</v>
      </c>
      <c r="C70" s="17" t="n">
        <v>250</v>
      </c>
      <c r="D70" s="7" t="s">
        <v>115</v>
      </c>
      <c r="H70" s="7" t="s">
        <v>127</v>
      </c>
    </row>
    <row r="71" customFormat="false" ht="15" hidden="false" customHeight="false" outlineLevel="0" collapsed="false">
      <c r="A71" s="10" t="s">
        <v>128</v>
      </c>
      <c r="C71" s="12" t="n">
        <v>1</v>
      </c>
      <c r="H71" s="7" t="s">
        <v>129</v>
      </c>
    </row>
    <row r="73" customFormat="false" ht="15" hidden="false" customHeight="false" outlineLevel="0" collapsed="false">
      <c r="A73" s="10" t="s">
        <v>130</v>
      </c>
      <c r="C73" s="30" t="n">
        <f aca="false">(PV_kWp*C_PV+BESS_kWh*C_BESS+Diesel_kW*C_Diesel+TotalCustomers*(C_Network+C_Meter)+C_BOS)*LevCapex</f>
        <v>1149573.5126401</v>
      </c>
    </row>
    <row r="74" customFormat="false" ht="15" hidden="false" customHeight="false" outlineLevel="0" collapsed="false">
      <c r="A74" s="31" t="s">
        <v>131</v>
      </c>
      <c r="C74" s="32" t="n">
        <f aca="false">HardCapex*(1+C_DevPct+C_ContPct)</f>
        <v>1322009.53953611</v>
      </c>
    </row>
    <row r="75" customFormat="false" ht="15" hidden="false" customHeight="false" outlineLevel="0" collapsed="false">
      <c r="A75" s="10" t="s">
        <v>132</v>
      </c>
      <c r="C75" s="30" t="n">
        <f aca="false">IFERROR(TotalCapex/TotalCustomers,0)</f>
        <v>1362.89643251146</v>
      </c>
    </row>
    <row r="77" customFormat="false" ht="15" hidden="false" customHeight="false" outlineLevel="0" collapsed="false">
      <c r="A77" s="8" t="s">
        <v>133</v>
      </c>
      <c r="B77" s="9"/>
      <c r="C77" s="9"/>
      <c r="D77" s="9"/>
      <c r="E77" s="9"/>
      <c r="F77" s="9"/>
    </row>
    <row r="78" customFormat="false" ht="15" hidden="false" customHeight="false" outlineLevel="0" collapsed="false">
      <c r="A78" s="10" t="s">
        <v>134</v>
      </c>
      <c r="C78" s="13" t="n">
        <v>0.025</v>
      </c>
      <c r="D78" s="7" t="s">
        <v>135</v>
      </c>
    </row>
    <row r="79" customFormat="false" ht="15" hidden="false" customHeight="false" outlineLevel="0" collapsed="false">
      <c r="A79" s="10" t="s">
        <v>136</v>
      </c>
      <c r="C79" s="17" t="n">
        <v>18000</v>
      </c>
      <c r="D79" s="7" t="s">
        <v>50</v>
      </c>
    </row>
    <row r="80" customFormat="false" ht="15" hidden="false" customHeight="false" outlineLevel="0" collapsed="false">
      <c r="A80" s="10" t="s">
        <v>137</v>
      </c>
      <c r="C80" s="13" t="n">
        <v>0.005</v>
      </c>
      <c r="D80" s="7" t="s">
        <v>138</v>
      </c>
    </row>
    <row r="81" customFormat="false" ht="15" hidden="false" customHeight="false" outlineLevel="0" collapsed="false">
      <c r="A81" s="10" t="s">
        <v>139</v>
      </c>
      <c r="C81" s="17" t="n">
        <v>3000</v>
      </c>
      <c r="D81" s="7" t="s">
        <v>50</v>
      </c>
    </row>
    <row r="82" customFormat="false" ht="15" hidden="false" customHeight="false" outlineLevel="0" collapsed="false">
      <c r="A82" s="10" t="s">
        <v>140</v>
      </c>
      <c r="C82" s="19" t="n">
        <v>0.03</v>
      </c>
      <c r="D82" s="7" t="s">
        <v>141</v>
      </c>
    </row>
    <row r="83" customFormat="false" ht="15" hidden="false" customHeight="false" outlineLevel="0" collapsed="false">
      <c r="A83" s="10" t="s">
        <v>142</v>
      </c>
      <c r="C83" s="13" t="n">
        <v>0.03</v>
      </c>
      <c r="D83" s="7" t="s">
        <v>143</v>
      </c>
    </row>
    <row r="85" customFormat="false" ht="15" hidden="false" customHeight="false" outlineLevel="0" collapsed="false">
      <c r="A85" s="8" t="s">
        <v>144</v>
      </c>
      <c r="B85" s="9"/>
      <c r="C85" s="9"/>
      <c r="D85" s="9"/>
      <c r="E85" s="9"/>
      <c r="F85" s="9"/>
    </row>
    <row r="86" customFormat="false" ht="15" hidden="false" customHeight="false" outlineLevel="0" collapsed="false">
      <c r="A86" s="10" t="s">
        <v>145</v>
      </c>
      <c r="C86" s="17" t="n">
        <v>680000</v>
      </c>
      <c r="H86" s="7" t="s">
        <v>146</v>
      </c>
    </row>
    <row r="87" customFormat="false" ht="15" hidden="false" customHeight="false" outlineLevel="0" collapsed="false">
      <c r="A87" s="10" t="s">
        <v>147</v>
      </c>
      <c r="C87" s="17" t="n">
        <v>250</v>
      </c>
      <c r="D87" s="7" t="s">
        <v>119</v>
      </c>
      <c r="H87" s="7" t="s">
        <v>148</v>
      </c>
    </row>
    <row r="88" customFormat="false" ht="15" hidden="false" customHeight="false" outlineLevel="0" collapsed="false">
      <c r="A88" s="10" t="s">
        <v>149</v>
      </c>
      <c r="C88" s="12" t="n">
        <v>0</v>
      </c>
      <c r="D88" s="7" t="s">
        <v>43</v>
      </c>
      <c r="H88" s="7" t="s">
        <v>150</v>
      </c>
    </row>
    <row r="89" customFormat="false" ht="15" hidden="false" customHeight="false" outlineLevel="0" collapsed="false">
      <c r="A89" s="10" t="s">
        <v>151</v>
      </c>
      <c r="C89" s="13" t="n">
        <v>0.3</v>
      </c>
    </row>
    <row r="90" customFormat="false" ht="15" hidden="false" customHeight="false" outlineLevel="0" collapsed="false">
      <c r="A90" s="10" t="s">
        <v>152</v>
      </c>
      <c r="C90" s="13" t="n">
        <v>0.09</v>
      </c>
    </row>
    <row r="91" customFormat="false" ht="15" hidden="false" customHeight="false" outlineLevel="0" collapsed="false">
      <c r="A91" s="10" t="s">
        <v>153</v>
      </c>
      <c r="C91" s="12" t="n">
        <v>10</v>
      </c>
      <c r="D91" s="7" t="s">
        <v>43</v>
      </c>
    </row>
    <row r="92" customFormat="false" ht="15" hidden="false" customHeight="false" outlineLevel="0" collapsed="false">
      <c r="A92" s="10" t="s">
        <v>154</v>
      </c>
      <c r="C92" s="12" t="n">
        <v>1</v>
      </c>
      <c r="D92" s="7" t="s">
        <v>43</v>
      </c>
    </row>
    <row r="94" customFormat="false" ht="15" hidden="false" customHeight="false" outlineLevel="0" collapsed="false">
      <c r="A94" s="10" t="s">
        <v>155</v>
      </c>
      <c r="C94" s="30" t="n">
        <f aca="false">MAX(0,(TotalCapex-Grant))*DebtPct</f>
        <v>192602.861860834</v>
      </c>
    </row>
    <row r="95" customFormat="false" ht="15" hidden="false" customHeight="false" outlineLevel="0" collapsed="false">
      <c r="A95" s="10" t="s">
        <v>156</v>
      </c>
      <c r="C95" s="30" t="n">
        <f aca="false">MAX(0,TotalCapex-Grant-DebtAmt)</f>
        <v>449406.67767528</v>
      </c>
    </row>
    <row r="98" customFormat="false" ht="15" hidden="false" customHeight="false" outlineLevel="0" collapsed="false">
      <c r="A98" s="8" t="s">
        <v>157</v>
      </c>
      <c r="B98" s="9"/>
      <c r="C98" s="9"/>
      <c r="D98" s="9"/>
      <c r="E98" s="9"/>
      <c r="F98" s="9"/>
    </row>
    <row r="99" customFormat="false" ht="15" hidden="false" customHeight="false" outlineLevel="0" collapsed="false">
      <c r="A99" s="10" t="s">
        <v>158</v>
      </c>
      <c r="C99" s="33" t="n">
        <v>2.68</v>
      </c>
      <c r="D99" s="7" t="s">
        <v>159</v>
      </c>
      <c r="H99" s="7" t="s">
        <v>160</v>
      </c>
    </row>
  </sheetData>
  <dataValidations count="2">
    <dataValidation allowBlank="false" error="Saisissez une valeur entre 0 % et 100 %." errorStyle="stop" errorTitle="Valeur invalide" operator="between" showDropDown="false" showErrorMessage="true" showInputMessage="false" sqref="C16 C34:C36 C38 C43:C44 C46:C47 C89" type="decimal">
      <formula1>0</formula1>
      <formula2>1</formula2>
    </dataValidation>
    <dataValidation allowBlank="false" error="La durée de vie doit être comprise entre 1 et 20 ans." errorStyle="stop" operator="between" showDropDown="false" showErrorMessage="true" showInputMessage="false" sqref="C10" type="whole">
      <formula1>1</formula1>
      <formula2>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F79"/>
    <pageSetUpPr fitToPage="true"/>
  </sheetPr>
  <dimension ref="B1:R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3"/>
    <col collapsed="false" customWidth="true" hidden="false" outlineLevel="0" max="5" min="5" style="0" width="40"/>
    <col collapsed="false" customWidth="true" hidden="false" outlineLevel="0" max="6" min="6" style="0" width="28"/>
    <col collapsed="false" customWidth="true" hidden="false" outlineLevel="0" max="10" min="7" style="0" width="3"/>
    <col collapsed="false" customWidth="true" hidden="false" outlineLevel="0" max="18" min="12" style="0" width="12"/>
  </cols>
  <sheetData>
    <row r="1" customFormat="false" ht="19.7" hidden="false" customHeight="false" outlineLevel="0" collapsed="false">
      <c r="B1" s="6" t="str">
        <f aca="false">"TABLEAU DE BORD - "&amp;ProjectName</f>
        <v>TABLEAU DE BORD - Mini-réseau villageois (exemple)</v>
      </c>
    </row>
    <row r="2" customFormat="false" ht="15" hidden="false" customHeight="false" outlineLevel="0" collapsed="false">
      <c r="B2" s="34" t="str">
        <f aca="false">Site&amp;"  |  "&amp;TotalCustomers&amp;" clients  |  "&amp;FIXED(PV_kWp,0)&amp;" kWc PV / "&amp;FIXED(BESS_kWh,0)&amp;" kWh batterie / "&amp;FIXED(Diesel_kW,0)&amp;" kW diesel  |  montants en "&amp;Currency</f>
        <v>Site exemple  |  970 clients  |  349 kWc PV / 780 kWh batterie / 145 kW diesel  |  montants en USD</v>
      </c>
      <c r="F2" s="34" t="str">
        <f aca="false">"Contrôles du modèle : "&amp;ChecksOverall</f>
        <v>Contrôles du modèle : TOUT OK</v>
      </c>
    </row>
    <row r="4" customFormat="false" ht="15" hidden="false" customHeight="false" outlineLevel="0" collapsed="false">
      <c r="B4" s="8" t="s">
        <v>161</v>
      </c>
      <c r="C4" s="9"/>
      <c r="E4" s="8" t="s">
        <v>162</v>
      </c>
      <c r="F4" s="9"/>
    </row>
    <row r="5" customFormat="false" ht="15" hidden="false" customHeight="false" outlineLevel="0" collapsed="false">
      <c r="B5" s="35" t="s">
        <v>163</v>
      </c>
      <c r="C5" s="36" t="n">
        <f aca="false">TotalCapex</f>
        <v>1322009.53953611</v>
      </c>
      <c r="E5" s="35" t="s">
        <v>155</v>
      </c>
      <c r="F5" s="36" t="n">
        <f aca="false">DebtAmt</f>
        <v>192602.861860834</v>
      </c>
    </row>
    <row r="6" customFormat="false" ht="15" hidden="false" customHeight="false" outlineLevel="0" collapsed="false">
      <c r="B6" s="35" t="s">
        <v>132</v>
      </c>
      <c r="C6" s="36" t="n">
        <f aca="false">CapexPerConn</f>
        <v>1362.89643251146</v>
      </c>
      <c r="E6" s="35" t="s">
        <v>156</v>
      </c>
      <c r="F6" s="36" t="n">
        <f aca="false">EquityAmt</f>
        <v>449406.67767528</v>
      </c>
    </row>
    <row r="7" customFormat="false" ht="15" hidden="false" customHeight="false" outlineLevel="0" collapsed="false">
      <c r="B7" s="35" t="s">
        <v>164</v>
      </c>
      <c r="C7" s="37" t="n">
        <f aca="false">IFERROR(IRR('Flux de trésorerie'!$C$82:$W$82),"n.d.")</f>
        <v>-0.0323878798718529</v>
      </c>
      <c r="E7" s="35" t="s">
        <v>165</v>
      </c>
      <c r="F7" s="36" t="n">
        <f aca="false">Grant+'Flux de trésorerie'!$B$64</f>
        <v>922500</v>
      </c>
    </row>
    <row r="8" customFormat="false" ht="15" hidden="false" customHeight="false" outlineLevel="0" collapsed="false">
      <c r="B8" s="35" t="s">
        <v>166</v>
      </c>
      <c r="C8" s="37" t="n">
        <f aca="false">IFERROR(IRR('Flux de trésorerie'!$C$83:$W$83),"n.d.")</f>
        <v>0.109005675673048</v>
      </c>
      <c r="E8" s="35" t="s">
        <v>167</v>
      </c>
      <c r="F8" s="37" t="n">
        <f aca="false">IFERROR(TotalSubsidy/TotalCapex,0)</f>
        <v>0.697801318683146</v>
      </c>
    </row>
    <row r="9" customFormat="false" ht="15" hidden="false" customHeight="false" outlineLevel="0" collapsed="false">
      <c r="B9" s="35" t="s">
        <v>168</v>
      </c>
      <c r="C9" s="36" t="n">
        <f aca="false">'Flux de trésorerie'!$B$82</f>
        <v>-862669.040843095</v>
      </c>
      <c r="E9" s="35" t="s">
        <v>169</v>
      </c>
      <c r="F9" s="38" t="n">
        <f aca="false">IF(DebtAmt&gt;0,MIN('Flux de trésorerie'!$D$85:$W$85),"pas de dette")</f>
        <v>1.60113422413054</v>
      </c>
    </row>
    <row r="10" customFormat="false" ht="15" hidden="false" customHeight="false" outlineLevel="0" collapsed="false">
      <c r="B10" s="35" t="s">
        <v>170</v>
      </c>
      <c r="C10" s="36" t="n">
        <f aca="false">'Flux de trésorerie'!$B$83</f>
        <v>27036.0680975511</v>
      </c>
      <c r="E10" s="35" t="s">
        <v>171</v>
      </c>
      <c r="F10" s="38" t="n">
        <f aca="false">IF(DebtAmt&gt;0,AVERAGE('Flux de trésorerie'!$D$85:$W$85),"pas de dette")</f>
        <v>2.65518899295772</v>
      </c>
    </row>
    <row r="11" customFormat="false" ht="15" hidden="false" customHeight="false" outlineLevel="0" collapsed="false">
      <c r="B11" s="35" t="s">
        <v>172</v>
      </c>
      <c r="C11" s="39" t="n">
        <f aca="false">IFERROR('Flux de trésorerie'!$B$90/'Flux de trésorerie'!$B$91,0)</f>
        <v>0.628154961673034</v>
      </c>
      <c r="E11" s="35" t="s">
        <v>173</v>
      </c>
      <c r="F11" s="37" t="n">
        <f aca="false">IFERROR(IRR('Flux de trésorerie'!$C$86:$W$86),"n.d.")</f>
        <v>0.0862703541475983</v>
      </c>
    </row>
    <row r="12" customFormat="false" ht="15" hidden="false" customHeight="false" outlineLevel="0" collapsed="false">
      <c r="B12" s="35" t="s">
        <v>174</v>
      </c>
      <c r="C12" s="39" t="n">
        <f aca="false">IFERROR('Flux de trésorerie'!D42/'Flux de trésorerie'!D26,0)</f>
        <v>0.374285714285714</v>
      </c>
      <c r="E12" s="35" t="s">
        <v>175</v>
      </c>
      <c r="F12" s="40" t="n">
        <f aca="false">IFERROR(MATCH(TRUE(),INDEX('Flux de trésorerie'!$C$87:$W$87&gt;=0,0),0)-1,"&gt; durée de vie")</f>
        <v>11</v>
      </c>
    </row>
    <row r="13" customFormat="false" ht="15" hidden="false" customHeight="false" outlineLevel="0" collapsed="false">
      <c r="B13" s="35" t="s">
        <v>176</v>
      </c>
      <c r="C13" s="39" t="n">
        <f aca="false">IFERROR('Flux de trésorerie'!$B$92/'Flux de trésorerie'!$B$91,0)</f>
        <v>0.43839148796642</v>
      </c>
      <c r="E13" s="35" t="s">
        <v>177</v>
      </c>
      <c r="F13" s="36" t="n">
        <f aca="false">'Flux de trésorerie'!$B$31/DieselEff*CO2perL/1000</f>
        <v>8426.7680665628</v>
      </c>
    </row>
    <row r="14" customFormat="false" ht="15" hidden="false" customHeight="false" outlineLevel="0" collapsed="false">
      <c r="B14" s="35" t="s">
        <v>178</v>
      </c>
      <c r="C14" s="37" t="n">
        <f aca="false">'Flux de trésorerie'!D58</f>
        <v>0.237003344805844</v>
      </c>
      <c r="E14" s="35" t="s">
        <v>179</v>
      </c>
      <c r="F14" s="36" t="n">
        <f aca="false">'Flux de trésorerie'!$B$26/1000</f>
        <v>11052.6672853718</v>
      </c>
    </row>
    <row r="15" customFormat="false" ht="15" hidden="false" customHeight="false" outlineLevel="0" collapsed="false">
      <c r="B15" s="35" t="s">
        <v>180</v>
      </c>
      <c r="C15" s="37" t="n">
        <f aca="false">IFERROR('Flux de trésorerie'!$B$31/'Flux de trésorerie'!$B$29,0)</f>
        <v>0.751040015457561</v>
      </c>
    </row>
    <row r="17" customFormat="false" ht="15" hidden="false" customHeight="false" outlineLevel="0" collapsed="false">
      <c r="B17" s="8" t="s">
        <v>181</v>
      </c>
      <c r="C17" s="9"/>
      <c r="D17" s="9"/>
      <c r="E17" s="9"/>
      <c r="F17" s="9"/>
    </row>
    <row r="18" customFormat="false" ht="15" hidden="false" customHeight="false" outlineLevel="0" collapsed="false">
      <c r="B18" s="35" t="s">
        <v>182</v>
      </c>
      <c r="C18" s="41" t="n">
        <f aca="false">MAX(0,-NPV_Pre)</f>
        <v>862669.040843095</v>
      </c>
      <c r="E18" s="35" t="s">
        <v>183</v>
      </c>
      <c r="F18" s="42" t="str">
        <f aca="false">IF(NPV_Pre&gt;=0,"OUI","NON - subvention nécessaire")</f>
        <v>NON - subvention nécessaire</v>
      </c>
    </row>
    <row r="19" customFormat="false" ht="15" hidden="false" customHeight="false" outlineLevel="0" collapsed="false">
      <c r="B19" s="35" t="s">
        <v>184</v>
      </c>
      <c r="C19" s="41" t="n">
        <f aca="false">IFERROR(VGF/TotalCustomers,0)</f>
        <v>889.349526642366</v>
      </c>
      <c r="E19" s="35" t="s">
        <v>185</v>
      </c>
      <c r="F19" s="42" t="str">
        <f aca="false">IF(NPV_Post&gt;=0,"OUI","NON - déficit restant")</f>
        <v>OUI</v>
      </c>
    </row>
    <row r="20" customFormat="false" ht="15" hidden="false" customHeight="false" outlineLevel="0" collapsed="false">
      <c r="B20" s="35" t="s">
        <v>186</v>
      </c>
      <c r="C20" s="41" t="n">
        <f aca="false">NPV_Post-NPV_Pre</f>
        <v>889705.108940646</v>
      </c>
      <c r="E20" s="35" t="s">
        <v>187</v>
      </c>
      <c r="F20" s="42" t="str">
        <f aca="false">IF(DebtAmt=0,"Pas de dette",IF(DSCR_Min&gt;=MinDSCR,"OUI","NON - redimensionner la dette"))</f>
        <v>OUI</v>
      </c>
    </row>
    <row r="21" customFormat="false" ht="15" hidden="false" customHeight="false" outlineLevel="0" collapsed="false">
      <c r="B21" s="35" t="s">
        <v>188</v>
      </c>
      <c r="C21" s="41" t="n">
        <f aca="false">MAX(0,VGF-SubsidyPV)</f>
        <v>0</v>
      </c>
      <c r="E21" s="35" t="s">
        <v>189</v>
      </c>
      <c r="F21" s="42" t="str">
        <f aca="false">IF(ISNUMBER(IRR_Eq),IF(IRR_Eq&gt;=TargetEqIRR,"OUI","NON"),"n.d.")</f>
        <v>NON</v>
      </c>
    </row>
    <row r="22" customFormat="false" ht="15" hidden="false" customHeight="false" outlineLevel="0" collapsed="false">
      <c r="E22" s="35" t="s">
        <v>190</v>
      </c>
      <c r="F22" s="42" t="str">
        <f aca="false">IF(LevRev&gt;=LCOE,"OUI","NON - tarif inférieur au coût")</f>
        <v>NON - tarif inférieur au coût</v>
      </c>
    </row>
    <row r="24" customFormat="false" ht="15" hidden="false" customHeight="false" outlineLevel="0" collapsed="false">
      <c r="B24" s="7" t="s">
        <v>191</v>
      </c>
    </row>
    <row r="27" customFormat="false" ht="15" hidden="false" customHeight="false" outlineLevel="0" collapsed="false">
      <c r="B27" s="7" t="s">
        <v>192</v>
      </c>
    </row>
    <row r="28" customFormat="false" ht="15" hidden="false" customHeight="false" outlineLevel="0" collapsed="false">
      <c r="L28" s="34" t="s">
        <v>193</v>
      </c>
      <c r="M28" s="34" t="s">
        <v>194</v>
      </c>
      <c r="N28" s="34" t="s">
        <v>195</v>
      </c>
      <c r="O28" s="34" t="s">
        <v>196</v>
      </c>
      <c r="P28" s="34" t="s">
        <v>197</v>
      </c>
      <c r="Q28" s="34" t="s">
        <v>198</v>
      </c>
      <c r="R28" s="34" t="s">
        <v>199</v>
      </c>
    </row>
    <row r="29" customFormat="false" ht="15" hidden="false" customHeight="false" outlineLevel="0" collapsed="false">
      <c r="L29" s="43" t="n">
        <f aca="false">'Flux de trésorerie'!D5</f>
        <v>2027</v>
      </c>
      <c r="M29" s="44" t="n">
        <f aca="false">'Flux de trésorerie'!D45</f>
        <v>93674.4</v>
      </c>
      <c r="N29" s="44" t="n">
        <f aca="false">'Flux de trésorerie'!D55</f>
        <v>71473.2538773194</v>
      </c>
      <c r="O29" s="44" t="n">
        <f aca="false">'Flux de trésorerie'!D84</f>
        <v>137710.810595784</v>
      </c>
      <c r="P29" s="44" t="n">
        <f aca="false">'Flux de trésorerie'!D79</f>
        <v>17334.2575674751</v>
      </c>
      <c r="Q29" s="44" t="n">
        <f aca="false">'Flux de trésorerie'!D31</f>
        <v>257727.272727273</v>
      </c>
      <c r="R29" s="44" t="n">
        <f aca="false">'Flux de trésorerie'!D32</f>
        <v>28636.3636363636</v>
      </c>
    </row>
    <row r="30" customFormat="false" ht="15" hidden="false" customHeight="false" outlineLevel="0" collapsed="false">
      <c r="L30" s="43" t="n">
        <f aca="false">'Flux de trésorerie'!E5</f>
        <v>2028</v>
      </c>
      <c r="M30" s="44" t="n">
        <f aca="false">'Flux de trésorerie'!E45</f>
        <v>133291.86136</v>
      </c>
      <c r="N30" s="44" t="n">
        <f aca="false">'Flux de trésorerie'!E55</f>
        <v>80545.3000789844</v>
      </c>
      <c r="O30" s="44" t="n">
        <f aca="false">'Flux de trésorerie'!E84</f>
        <v>83381.2257541185</v>
      </c>
      <c r="P30" s="44" t="n">
        <f aca="false">'Flux de trésorerie'!E79</f>
        <v>32125.9266311669</v>
      </c>
      <c r="Q30" s="44" t="n">
        <f aca="false">'Flux de trésorerie'!E31</f>
        <v>376067.045454545</v>
      </c>
      <c r="R30" s="44" t="n">
        <f aca="false">'Flux de trésorerie'!E32</f>
        <v>41785.2272727272</v>
      </c>
    </row>
    <row r="31" customFormat="false" ht="15" hidden="false" customHeight="false" outlineLevel="0" collapsed="false">
      <c r="L31" s="43" t="n">
        <f aca="false">'Flux de trésorerie'!F5</f>
        <v>2029</v>
      </c>
      <c r="M31" s="44" t="n">
        <f aca="false">'Flux de trésorerie'!F45</f>
        <v>164500.58613744</v>
      </c>
      <c r="N31" s="44" t="n">
        <f aca="false">'Flux de trésorerie'!F55</f>
        <v>87814.5910262714</v>
      </c>
      <c r="O31" s="44" t="n">
        <f aca="false">'Flux de trésorerie'!F84</f>
        <v>83070.6595842716</v>
      </c>
      <c r="P31" s="44" t="n">
        <f aca="false">'Flux de trésorerie'!F79</f>
        <v>32125.9266311669</v>
      </c>
      <c r="Q31" s="44" t="n">
        <f aca="false">'Flux de trésorerie'!F31</f>
        <v>455704.772727273</v>
      </c>
      <c r="R31" s="44" t="n">
        <f aca="false">'Flux de trésorerie'!F32</f>
        <v>50633.8636363637</v>
      </c>
    </row>
    <row r="32" customFormat="false" ht="15" hidden="false" customHeight="false" outlineLevel="0" collapsed="false">
      <c r="L32" s="43" t="n">
        <f aca="false">'Flux de trésorerie'!G5</f>
        <v>2030</v>
      </c>
      <c r="M32" s="44" t="n">
        <f aca="false">'Flux de trésorerie'!G45</f>
        <v>172688.61933321</v>
      </c>
      <c r="N32" s="44" t="n">
        <f aca="false">'Flux de trésorerie'!G55</f>
        <v>91260.363195245</v>
      </c>
      <c r="O32" s="44" t="n">
        <f aca="false">'Flux de trésorerie'!G84</f>
        <v>51437.9206110681</v>
      </c>
      <c r="P32" s="44" t="n">
        <f aca="false">'Flux de trésorerie'!G79</f>
        <v>32125.9266311668</v>
      </c>
      <c r="Q32" s="44" t="n">
        <f aca="false">'Flux de trésorerie'!G31</f>
        <v>469375.915909091</v>
      </c>
      <c r="R32" s="44" t="n">
        <f aca="false">'Flux de trésorerie'!G32</f>
        <v>52152.8795454545</v>
      </c>
    </row>
    <row r="33" customFormat="false" ht="15" hidden="false" customHeight="false" outlineLevel="0" collapsed="false">
      <c r="L33" s="43" t="n">
        <f aca="false">'Flux de trésorerie'!H5</f>
        <v>2031</v>
      </c>
      <c r="M33" s="44" t="n">
        <f aca="false">'Flux de trésorerie'!H45</f>
        <v>183205.356250603</v>
      </c>
      <c r="N33" s="44" t="n">
        <f aca="false">'Flux de trésorerie'!H55</f>
        <v>94915.4674188233</v>
      </c>
      <c r="O33" s="44" t="n">
        <f aca="false">'Flux de trésorerie'!H84</f>
        <v>58299.5533048823</v>
      </c>
      <c r="P33" s="44" t="n">
        <f aca="false">'Flux de trésorerie'!H79</f>
        <v>32125.9266311669</v>
      </c>
      <c r="Q33" s="44" t="n">
        <f aca="false">'Flux de trésorerie'!H31</f>
        <v>483457.193386364</v>
      </c>
      <c r="R33" s="44" t="n">
        <f aca="false">'Flux de trésorerie'!H32</f>
        <v>53717.4659318182</v>
      </c>
    </row>
    <row r="34" customFormat="false" ht="15" hidden="false" customHeight="false" outlineLevel="0" collapsed="false">
      <c r="L34" s="43" t="n">
        <f aca="false">'Flux de trésorerie'!I5</f>
        <v>2032</v>
      </c>
      <c r="M34" s="44" t="n">
        <f aca="false">'Flux de trésorerie'!I45</f>
        <v>194362.562446264</v>
      </c>
      <c r="N34" s="44" t="n">
        <f aca="false">'Flux de trésorerie'!I55</f>
        <v>98736.0879327672</v>
      </c>
      <c r="O34" s="44" t="n">
        <f aca="false">'Flux de trésorerie'!I84</f>
        <v>65636.1389866</v>
      </c>
      <c r="P34" s="44" t="n">
        <f aca="false">'Flux de trésorerie'!I79</f>
        <v>32125.9266311669</v>
      </c>
      <c r="Q34" s="44" t="n">
        <f aca="false">'Flux de trésorerie'!I31</f>
        <v>497960.909187955</v>
      </c>
      <c r="R34" s="44" t="n">
        <f aca="false">'Flux de trésorerie'!I32</f>
        <v>55328.9899097727</v>
      </c>
    </row>
    <row r="35" customFormat="false" ht="15" hidden="false" customHeight="false" outlineLevel="0" collapsed="false">
      <c r="L35" s="43" t="n">
        <f aca="false">'Flux de trésorerie'!J5</f>
        <v>2033</v>
      </c>
      <c r="M35" s="44" t="n">
        <f aca="false">'Flux de trésorerie'!J45</f>
        <v>206199.242499242</v>
      </c>
      <c r="N35" s="44" t="n">
        <f aca="false">'Flux de trésorerie'!J55</f>
        <v>104972.20263554</v>
      </c>
      <c r="O35" s="44" t="n">
        <f aca="false">'Flux de trésorerie'!J84</f>
        <v>70305.2142656857</v>
      </c>
      <c r="P35" s="44" t="n">
        <f aca="false">'Flux de trésorerie'!J79</f>
        <v>32125.9266311669</v>
      </c>
      <c r="Q35" s="44" t="n">
        <f aca="false">'Flux de trésorerie'!J31</f>
        <v>508533.891412539</v>
      </c>
      <c r="R35" s="44" t="n">
        <f aca="false">'Flux de trésorerie'!J32</f>
        <v>61354.7046581202</v>
      </c>
    </row>
    <row r="36" customFormat="false" ht="15" hidden="false" customHeight="false" outlineLevel="0" collapsed="false">
      <c r="L36" s="43" t="n">
        <f aca="false">'Flux de trésorerie'!K5</f>
        <v>2034</v>
      </c>
      <c r="M36" s="44" t="n">
        <f aca="false">'Flux de trésorerie'!K45</f>
        <v>218756.776367446</v>
      </c>
      <c r="N36" s="44" t="n">
        <f aca="false">'Flux de trésorerie'!K55</f>
        <v>118698.690446866</v>
      </c>
      <c r="O36" s="44" t="n">
        <f aca="false">'Flux de trésorerie'!K84</f>
        <v>68916.4254403708</v>
      </c>
      <c r="P36" s="44" t="n">
        <f aca="false">'Flux de trésorerie'!K79</f>
        <v>32125.9266311669</v>
      </c>
      <c r="Q36" s="44" t="n">
        <f aca="false">'Flux de trésorerie'!K31</f>
        <v>505991.221955476</v>
      </c>
      <c r="R36" s="44" t="n">
        <f aca="false">'Flux de trésorerie'!K32</f>
        <v>80994.0319973028</v>
      </c>
    </row>
    <row r="37" customFormat="false" ht="15" hidden="false" customHeight="false" outlineLevel="0" collapsed="false">
      <c r="L37" s="43" t="n">
        <f aca="false">'Flux de trésorerie'!L5</f>
        <v>2035</v>
      </c>
      <c r="M37" s="44" t="n">
        <f aca="false">'Flux de trésorerie'!L45</f>
        <v>232079.064048223</v>
      </c>
      <c r="N37" s="44" t="n">
        <f aca="false">'Flux de trésorerie'!L55</f>
        <v>133432.656073222</v>
      </c>
      <c r="O37" s="44" t="n">
        <f aca="false">'Flux de trésorerie'!L84</f>
        <v>59298.9827607449</v>
      </c>
      <c r="P37" s="44" t="n">
        <f aca="false">'Flux de trésorerie'!L79</f>
        <v>32125.9266311669</v>
      </c>
      <c r="Q37" s="44" t="n">
        <f aca="false">'Flux de trésorerie'!L31</f>
        <v>503461.265845699</v>
      </c>
      <c r="R37" s="44" t="n">
        <f aca="false">'Flux de trésorerie'!L32</f>
        <v>101133.545725664</v>
      </c>
    </row>
    <row r="38" customFormat="false" ht="15" hidden="false" customHeight="false" outlineLevel="0" collapsed="false">
      <c r="L38" s="43" t="n">
        <f aca="false">'Flux de trésorerie'!M5</f>
        <v>2036</v>
      </c>
      <c r="M38" s="44" t="n">
        <f aca="false">'Flux de trésorerie'!M45</f>
        <v>246212.67904876</v>
      </c>
      <c r="N38" s="44" t="n">
        <f aca="false">'Flux de trésorerie'!M55</f>
        <v>149239.396333297</v>
      </c>
      <c r="O38" s="44" t="n">
        <f aca="false">'Flux de trésorerie'!M84</f>
        <v>57435.7444476024</v>
      </c>
      <c r="P38" s="44" t="n">
        <f aca="false">'Flux de trésorerie'!M79</f>
        <v>32125.9266311669</v>
      </c>
      <c r="Q38" s="44" t="n">
        <f aca="false">'Flux de trésorerie'!M31</f>
        <v>500943.95951647</v>
      </c>
      <c r="R38" s="44" t="n">
        <f aca="false">'Flux de trésorerie'!M32</f>
        <v>121788.696402033</v>
      </c>
    </row>
    <row r="39" customFormat="false" ht="15" hidden="false" customHeight="false" outlineLevel="0" collapsed="false">
      <c r="L39" s="43" t="n">
        <f aca="false">'Flux de trésorerie'!N5</f>
        <v>2037</v>
      </c>
      <c r="M39" s="44" t="n">
        <f aca="false">'Flux de trésorerie'!N45</f>
        <v>261207.031202829</v>
      </c>
      <c r="N39" s="44" t="n">
        <f aca="false">'Flux de trésorerie'!N55</f>
        <v>166188.272929792</v>
      </c>
      <c r="O39" s="44" t="n">
        <f aca="false">'Flux de trésorerie'!N84</f>
        <v>55306.7012541307</v>
      </c>
      <c r="P39" s="44" t="n">
        <f aca="false">'Flux de trésorerie'!N79</f>
        <v>0</v>
      </c>
      <c r="Q39" s="44" t="n">
        <f aca="false">'Flux de trésorerie'!N31</f>
        <v>498439.239718888</v>
      </c>
      <c r="R39" s="44" t="n">
        <f aca="false">'Flux de trésorerie'!N32</f>
        <v>142975.39587717</v>
      </c>
    </row>
    <row r="40" customFormat="false" ht="15" hidden="false" customHeight="false" outlineLevel="0" collapsed="false">
      <c r="L40" s="43" t="n">
        <f aca="false">'Flux de trésorerie'!O5</f>
        <v>2038</v>
      </c>
      <c r="M40" s="44" t="n">
        <f aca="false">'Flux de trésorerie'!O45</f>
        <v>277114.539403082</v>
      </c>
      <c r="N40" s="44" t="n">
        <f aca="false">'Flux de trésorerie'!O55</f>
        <v>184352.961906201</v>
      </c>
      <c r="O40" s="44" t="n">
        <f aca="false">'Flux de trésorerie'!O84</f>
        <v>53613.8156720131</v>
      </c>
      <c r="P40" s="44" t="n">
        <f aca="false">'Flux de trésorerie'!O79</f>
        <v>0</v>
      </c>
      <c r="Q40" s="44" t="n">
        <f aca="false">'Flux de trésorerie'!O31</f>
        <v>495947.043520294</v>
      </c>
      <c r="R40" s="44" t="n">
        <f aca="false">'Flux de trésorerie'!O32</f>
        <v>164710.031143647</v>
      </c>
    </row>
    <row r="41" customFormat="false" ht="15" hidden="false" customHeight="false" outlineLevel="0" collapsed="false">
      <c r="L41" s="43" t="n">
        <f aca="false">'Flux de trésorerie'!P5</f>
        <v>2039</v>
      </c>
      <c r="M41" s="44" t="n">
        <f aca="false">'Flux de trésorerie'!P45</f>
        <v>293990.814852729</v>
      </c>
      <c r="N41" s="44" t="n">
        <f aca="false">'Flux de trésorerie'!P55</f>
        <v>203811.718334195</v>
      </c>
      <c r="O41" s="44" t="n">
        <f aca="false">'Flux de trésorerie'!P84</f>
        <v>51676.9549382532</v>
      </c>
      <c r="P41" s="44" t="n">
        <f aca="false">'Flux de trésorerie'!P79</f>
        <v>0</v>
      </c>
      <c r="Q41" s="44" t="n">
        <f aca="false">'Flux de trésorerie'!P31</f>
        <v>493467.308302692</v>
      </c>
      <c r="R41" s="44" t="n">
        <f aca="false">'Flux de trésorerie'!P32</f>
        <v>187009.478601166</v>
      </c>
    </row>
    <row r="42" customFormat="false" ht="15" hidden="false" customHeight="false" outlineLevel="0" collapsed="false">
      <c r="L42" s="43" t="n">
        <f aca="false">'Flux de trésorerie'!Q5</f>
        <v>2040</v>
      </c>
      <c r="M42" s="44" t="n">
        <f aca="false">'Flux de trésorerie'!Q45</f>
        <v>311894.855477261</v>
      </c>
      <c r="N42" s="44" t="n">
        <f aca="false">'Flux de trésorerie'!Q55</f>
        <v>224647.657159841</v>
      </c>
      <c r="O42" s="44" t="n">
        <f aca="false">'Flux de trésorerie'!Q84</f>
        <v>49256.3385411703</v>
      </c>
      <c r="P42" s="44" t="n">
        <f aca="false">'Flux de trésorerie'!Q79</f>
        <v>0</v>
      </c>
      <c r="Q42" s="44" t="n">
        <f aca="false">'Flux de trésorerie'!Q31</f>
        <v>490999.971761179</v>
      </c>
      <c r="R42" s="44" t="n">
        <f aca="false">'Flux de trésorerie'!Q32</f>
        <v>209891.118749795</v>
      </c>
    </row>
    <row r="43" customFormat="false" ht="15" hidden="false" customHeight="false" outlineLevel="0" collapsed="false">
      <c r="L43" s="43" t="n">
        <f aca="false">'Flux de trésorerie'!R5</f>
        <v>2041</v>
      </c>
      <c r="M43" s="44" t="n">
        <f aca="false">'Flux de trésorerie'!R45</f>
        <v>330889.252175826</v>
      </c>
      <c r="N43" s="44" t="n">
        <f aca="false">'Flux de trésorerie'!R55</f>
        <v>246949.05119344</v>
      </c>
      <c r="O43" s="44" t="n">
        <f aca="false">'Flux de trésorerie'!R84</f>
        <v>45949.3412061369</v>
      </c>
      <c r="P43" s="44" t="n">
        <f aca="false">'Flux de trésorerie'!R79</f>
        <v>0</v>
      </c>
      <c r="Q43" s="44" t="n">
        <f aca="false">'Flux de trésorerie'!R31</f>
        <v>488544.971902373</v>
      </c>
      <c r="R43" s="44" t="n">
        <f aca="false">'Flux de trésorerie'!R32</f>
        <v>233372.851323931</v>
      </c>
    </row>
    <row r="44" customFormat="false" ht="15" hidden="false" customHeight="false" outlineLevel="0" collapsed="false">
      <c r="L44" s="43" t="n">
        <f aca="false">'Flux de trésorerie'!S5</f>
        <v>2042</v>
      </c>
      <c r="M44" s="44" t="n">
        <f aca="false">'Flux de trésorerie'!S45</f>
        <v>351040.407633334</v>
      </c>
      <c r="N44" s="44" t="n">
        <f aca="false">'Flux de trésorerie'!S55</f>
        <v>270809.647287755</v>
      </c>
      <c r="O44" s="44" t="n">
        <f aca="false">'Flux de trésorerie'!S84</f>
        <v>22182.2104829346</v>
      </c>
      <c r="P44" s="44" t="n">
        <f aca="false">'Flux de trésorerie'!S79</f>
        <v>0</v>
      </c>
      <c r="Q44" s="44" t="n">
        <f aca="false">'Flux de trésorerie'!S31</f>
        <v>486102.247042861</v>
      </c>
      <c r="R44" s="44" t="n">
        <f aca="false">'Flux de trésorerie'!S32</f>
        <v>257473.110880231</v>
      </c>
    </row>
    <row r="45" customFormat="false" ht="15" hidden="false" customHeight="false" outlineLevel="0" collapsed="false">
      <c r="L45" s="43" t="n">
        <f aca="false">'Flux de trésorerie'!T5</f>
        <v>2043</v>
      </c>
      <c r="M45" s="44" t="n">
        <f aca="false">'Flux de trésorerie'!T45</f>
        <v>372418.768458204</v>
      </c>
      <c r="N45" s="44" t="n">
        <f aca="false">'Flux de trésorerie'!T55</f>
        <v>296329.001813033</v>
      </c>
      <c r="O45" s="44" t="n">
        <f aca="false">'Flux de trésorerie'!T84</f>
        <v>57067.324983878</v>
      </c>
      <c r="P45" s="44" t="n">
        <f aca="false">'Flux de trésorerie'!T79</f>
        <v>0</v>
      </c>
      <c r="Q45" s="44" t="n">
        <f aca="false">'Flux de trésorerie'!T31</f>
        <v>483671.735807647</v>
      </c>
      <c r="R45" s="44" t="n">
        <f aca="false">'Flux de trésorerie'!T32</f>
        <v>282210.882853139</v>
      </c>
    </row>
    <row r="46" customFormat="false" ht="15" hidden="false" customHeight="false" outlineLevel="0" collapsed="false">
      <c r="L46" s="43" t="n">
        <f aca="false">'Flux de trésorerie'!U5</f>
        <v>2044</v>
      </c>
      <c r="M46" s="44" t="n">
        <f aca="false">'Flux de trésorerie'!U45</f>
        <v>395099.071457308</v>
      </c>
      <c r="N46" s="44" t="n">
        <f aca="false">'Flux de trésorerie'!U55</f>
        <v>323612.836604722</v>
      </c>
      <c r="O46" s="44" t="n">
        <f aca="false">'Flux de trésorerie'!U84</f>
        <v>53614.6761394399</v>
      </c>
      <c r="P46" s="44" t="n">
        <f aca="false">'Flux de trésorerie'!U79</f>
        <v>0</v>
      </c>
      <c r="Q46" s="44" t="n">
        <f aca="false">'Flux de trésorerie'!U31</f>
        <v>481253.377128608</v>
      </c>
      <c r="R46" s="44" t="n">
        <f aca="false">'Flux de trésorerie'!U32</f>
        <v>307605.720092001</v>
      </c>
    </row>
    <row r="47" customFormat="false" ht="15" hidden="false" customHeight="false" outlineLevel="0" collapsed="false">
      <c r="L47" s="43" t="n">
        <f aca="false">'Flux de trésorerie'!V5</f>
        <v>2045</v>
      </c>
      <c r="M47" s="44" t="n">
        <f aca="false">'Flux de trésorerie'!V45</f>
        <v>419160.604909059</v>
      </c>
      <c r="N47" s="44" t="n">
        <f aca="false">'Flux de trésorerie'!V55</f>
        <v>352773.416631438</v>
      </c>
      <c r="O47" s="44" t="n">
        <f aca="false">'Flux de trésorerie'!V84</f>
        <v>49790.3912082158</v>
      </c>
      <c r="P47" s="44" t="n">
        <f aca="false">'Flux de trésorerie'!V79</f>
        <v>0</v>
      </c>
      <c r="Q47" s="44" t="n">
        <f aca="false">'Flux de trésorerie'!V31</f>
        <v>478847.110242965</v>
      </c>
      <c r="R47" s="44" t="n">
        <f aca="false">'Flux de trésorerie'!V32</f>
        <v>333677.759894262</v>
      </c>
    </row>
    <row r="48" customFormat="false" ht="15" hidden="false" customHeight="false" outlineLevel="0" collapsed="false">
      <c r="L48" s="43" t="n">
        <f aca="false">'Flux de trésorerie'!W5</f>
        <v>2046</v>
      </c>
      <c r="M48" s="44" t="n">
        <f aca="false">'Flux de trésorerie'!W45</f>
        <v>444687.48574802</v>
      </c>
      <c r="N48" s="44" t="n">
        <f aca="false">'Flux de trésorerie'!W55</f>
        <v>383929.950706688</v>
      </c>
      <c r="O48" s="44" t="n">
        <f aca="false">'Flux de trésorerie'!W84</f>
        <v>45568.1512809994</v>
      </c>
      <c r="P48" s="44" t="n">
        <f aca="false">'Flux de trésorerie'!W79</f>
        <v>0</v>
      </c>
      <c r="Q48" s="44" t="n">
        <f aca="false">'Flux de trésorerie'!W31</f>
        <v>476452.87469175</v>
      </c>
      <c r="R48" s="44" t="n">
        <f aca="false">'Flux de trésorerie'!W32</f>
        <v>360447.741549594</v>
      </c>
    </row>
  </sheetData>
  <conditionalFormatting sqref="F18:F22">
    <cfRule type="expression" priority="2" aboveAverage="0" equalAverage="0" bottom="0" percent="0" rank="0" text="" dxfId="0">
      <formula>LEFT(F18,LEN("OUI"))="OUI"</formula>
    </cfRule>
    <cfRule type="expression" priority="3" aboveAverage="0" equalAverage="0" bottom="0" percent="0" rank="0" text="" dxfId="1">
      <formula>OR(LEFT(F18,LEN("NON - "))="NON - ",F18="NON")</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W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23" min="3" style="0" width="11"/>
  </cols>
  <sheetData>
    <row r="1" customFormat="false" ht="19.7" hidden="false" customHeight="false" outlineLevel="0" collapsed="false">
      <c r="A1" s="6" t="s">
        <v>200</v>
      </c>
    </row>
    <row r="2" customFormat="false" ht="15" hidden="false" customHeight="false" outlineLevel="0" collapsed="false">
      <c r="A2" s="7" t="s">
        <v>201</v>
      </c>
    </row>
    <row r="4" customFormat="false" ht="15" hidden="false" customHeight="false" outlineLevel="0" collapsed="false">
      <c r="A4" s="31" t="s">
        <v>202</v>
      </c>
      <c r="B4" s="45" t="s">
        <v>203</v>
      </c>
      <c r="C4" s="46" t="n">
        <v>0</v>
      </c>
      <c r="D4" s="46" t="n">
        <v>1</v>
      </c>
      <c r="E4" s="46" t="n">
        <v>2</v>
      </c>
      <c r="F4" s="46" t="n">
        <v>3</v>
      </c>
      <c r="G4" s="46" t="n">
        <v>4</v>
      </c>
      <c r="H4" s="46" t="n">
        <v>5</v>
      </c>
      <c r="I4" s="46" t="n">
        <v>6</v>
      </c>
      <c r="J4" s="46" t="n">
        <v>7</v>
      </c>
      <c r="K4" s="46" t="n">
        <v>8</v>
      </c>
      <c r="L4" s="46" t="n">
        <v>9</v>
      </c>
      <c r="M4" s="46" t="n">
        <v>10</v>
      </c>
      <c r="N4" s="46" t="n">
        <v>11</v>
      </c>
      <c r="O4" s="46" t="n">
        <v>12</v>
      </c>
      <c r="P4" s="46" t="n">
        <v>13</v>
      </c>
      <c r="Q4" s="46" t="n">
        <v>14</v>
      </c>
      <c r="R4" s="46" t="n">
        <v>15</v>
      </c>
      <c r="S4" s="46" t="n">
        <v>16</v>
      </c>
      <c r="T4" s="46" t="n">
        <v>17</v>
      </c>
      <c r="U4" s="46" t="n">
        <v>18</v>
      </c>
      <c r="V4" s="46" t="n">
        <v>19</v>
      </c>
      <c r="W4" s="46" t="n">
        <v>20</v>
      </c>
    </row>
    <row r="5" customFormat="false" ht="15" hidden="false" customHeight="false" outlineLevel="0" collapsed="false">
      <c r="A5" s="10" t="s">
        <v>204</v>
      </c>
      <c r="C5" s="47" t="n">
        <f aca="false">StartYear-1+C4</f>
        <v>2026</v>
      </c>
      <c r="D5" s="47" t="n">
        <f aca="false">StartYear-1+D4</f>
        <v>2027</v>
      </c>
      <c r="E5" s="47" t="n">
        <f aca="false">StartYear-1+E4</f>
        <v>2028</v>
      </c>
      <c r="F5" s="47" t="n">
        <f aca="false">StartYear-1+F4</f>
        <v>2029</v>
      </c>
      <c r="G5" s="47" t="n">
        <f aca="false">StartYear-1+G4</f>
        <v>2030</v>
      </c>
      <c r="H5" s="47" t="n">
        <f aca="false">StartYear-1+H4</f>
        <v>2031</v>
      </c>
      <c r="I5" s="47" t="n">
        <f aca="false">StartYear-1+I4</f>
        <v>2032</v>
      </c>
      <c r="J5" s="47" t="n">
        <f aca="false">StartYear-1+J4</f>
        <v>2033</v>
      </c>
      <c r="K5" s="47" t="n">
        <f aca="false">StartYear-1+K4</f>
        <v>2034</v>
      </c>
      <c r="L5" s="47" t="n">
        <f aca="false">StartYear-1+L4</f>
        <v>2035</v>
      </c>
      <c r="M5" s="47" t="n">
        <f aca="false">StartYear-1+M4</f>
        <v>2036</v>
      </c>
      <c r="N5" s="47" t="n">
        <f aca="false">StartYear-1+N4</f>
        <v>2037</v>
      </c>
      <c r="O5" s="47" t="n">
        <f aca="false">StartYear-1+O4</f>
        <v>2038</v>
      </c>
      <c r="P5" s="47" t="n">
        <f aca="false">StartYear-1+P4</f>
        <v>2039</v>
      </c>
      <c r="Q5" s="47" t="n">
        <f aca="false">StartYear-1+Q4</f>
        <v>2040</v>
      </c>
      <c r="R5" s="47" t="n">
        <f aca="false">StartYear-1+R4</f>
        <v>2041</v>
      </c>
      <c r="S5" s="47" t="n">
        <f aca="false">StartYear-1+S4</f>
        <v>2042</v>
      </c>
      <c r="T5" s="47" t="n">
        <f aca="false">StartYear-1+T4</f>
        <v>2043</v>
      </c>
      <c r="U5" s="47" t="n">
        <f aca="false">StartYear-1+U4</f>
        <v>2044</v>
      </c>
      <c r="V5" s="47" t="n">
        <f aca="false">StartYear-1+V4</f>
        <v>2045</v>
      </c>
      <c r="W5" s="47" t="n">
        <f aca="false">StartYear-1+W4</f>
        <v>2046</v>
      </c>
    </row>
    <row r="6" customFormat="false" ht="15" hidden="false" customHeight="false" outlineLevel="0" collapsed="false">
      <c r="A6" s="10" t="s">
        <v>205</v>
      </c>
      <c r="C6" s="47" t="n">
        <f aca="false">IF(AND(C4&gt;=1,C4&lt;=Life),1,0)</f>
        <v>0</v>
      </c>
      <c r="D6" s="47" t="n">
        <f aca="false">IF(AND(D4&gt;=1,D4&lt;=Life),1,0)</f>
        <v>1</v>
      </c>
      <c r="E6" s="47" t="n">
        <f aca="false">IF(AND(E4&gt;=1,E4&lt;=Life),1,0)</f>
        <v>1</v>
      </c>
      <c r="F6" s="47" t="n">
        <f aca="false">IF(AND(F4&gt;=1,F4&lt;=Life),1,0)</f>
        <v>1</v>
      </c>
      <c r="G6" s="47" t="n">
        <f aca="false">IF(AND(G4&gt;=1,G4&lt;=Life),1,0)</f>
        <v>1</v>
      </c>
      <c r="H6" s="47" t="n">
        <f aca="false">IF(AND(H4&gt;=1,H4&lt;=Life),1,0)</f>
        <v>1</v>
      </c>
      <c r="I6" s="47" t="n">
        <f aca="false">IF(AND(I4&gt;=1,I4&lt;=Life),1,0)</f>
        <v>1</v>
      </c>
      <c r="J6" s="47" t="n">
        <f aca="false">IF(AND(J4&gt;=1,J4&lt;=Life),1,0)</f>
        <v>1</v>
      </c>
      <c r="K6" s="47" t="n">
        <f aca="false">IF(AND(K4&gt;=1,K4&lt;=Life),1,0)</f>
        <v>1</v>
      </c>
      <c r="L6" s="47" t="n">
        <f aca="false">IF(AND(L4&gt;=1,L4&lt;=Life),1,0)</f>
        <v>1</v>
      </c>
      <c r="M6" s="47" t="n">
        <f aca="false">IF(AND(M4&gt;=1,M4&lt;=Life),1,0)</f>
        <v>1</v>
      </c>
      <c r="N6" s="47" t="n">
        <f aca="false">IF(AND(N4&gt;=1,N4&lt;=Life),1,0)</f>
        <v>1</v>
      </c>
      <c r="O6" s="47" t="n">
        <f aca="false">IF(AND(O4&gt;=1,O4&lt;=Life),1,0)</f>
        <v>1</v>
      </c>
      <c r="P6" s="47" t="n">
        <f aca="false">IF(AND(P4&gt;=1,P4&lt;=Life),1,0)</f>
        <v>1</v>
      </c>
      <c r="Q6" s="47" t="n">
        <f aca="false">IF(AND(Q4&gt;=1,Q4&lt;=Life),1,0)</f>
        <v>1</v>
      </c>
      <c r="R6" s="47" t="n">
        <f aca="false">IF(AND(R4&gt;=1,R4&lt;=Life),1,0)</f>
        <v>1</v>
      </c>
      <c r="S6" s="47" t="n">
        <f aca="false">IF(AND(S4&gt;=1,S4&lt;=Life),1,0)</f>
        <v>1</v>
      </c>
      <c r="T6" s="47" t="n">
        <f aca="false">IF(AND(T4&gt;=1,T4&lt;=Life),1,0)</f>
        <v>1</v>
      </c>
      <c r="U6" s="47" t="n">
        <f aca="false">IF(AND(U4&gt;=1,U4&lt;=Life),1,0)</f>
        <v>1</v>
      </c>
      <c r="V6" s="47" t="n">
        <f aca="false">IF(AND(V4&gt;=1,V4&lt;=Life),1,0)</f>
        <v>1</v>
      </c>
      <c r="W6" s="47" t="n">
        <f aca="false">IF(AND(W4&gt;=1,W4&lt;=Life),1,0)</f>
        <v>1</v>
      </c>
    </row>
    <row r="7" customFormat="false" ht="15" hidden="false" customHeight="false" outlineLevel="0" collapsed="false">
      <c r="A7" s="10" t="s">
        <v>206</v>
      </c>
      <c r="C7" s="48" t="n">
        <v>0</v>
      </c>
      <c r="D7" s="48" t="n">
        <f aca="false">IF(D4=1,Ramp1,IF(D4=2,Ramp2,Ramp3))*D6</f>
        <v>0.6</v>
      </c>
      <c r="E7" s="48" t="n">
        <f aca="false">IF(E4=1,Ramp1,IF(E4=2,Ramp2,Ramp3))*E6</f>
        <v>0.85</v>
      </c>
      <c r="F7" s="48" t="n">
        <f aca="false">IF(F4=1,Ramp1,IF(F4=2,Ramp2,Ramp3))*F6</f>
        <v>1</v>
      </c>
      <c r="G7" s="48" t="n">
        <f aca="false">IF(G4=1,Ramp1,IF(G4=2,Ramp2,Ramp3))*G6</f>
        <v>1</v>
      </c>
      <c r="H7" s="48" t="n">
        <f aca="false">IF(H4=1,Ramp1,IF(H4=2,Ramp2,Ramp3))*H6</f>
        <v>1</v>
      </c>
      <c r="I7" s="48" t="n">
        <f aca="false">IF(I4=1,Ramp1,IF(I4=2,Ramp2,Ramp3))*I6</f>
        <v>1</v>
      </c>
      <c r="J7" s="48" t="n">
        <f aca="false">IF(J4=1,Ramp1,IF(J4=2,Ramp2,Ramp3))*J6</f>
        <v>1</v>
      </c>
      <c r="K7" s="48" t="n">
        <f aca="false">IF(K4=1,Ramp1,IF(K4=2,Ramp2,Ramp3))*K6</f>
        <v>1</v>
      </c>
      <c r="L7" s="48" t="n">
        <f aca="false">IF(L4=1,Ramp1,IF(L4=2,Ramp2,Ramp3))*L6</f>
        <v>1</v>
      </c>
      <c r="M7" s="48" t="n">
        <f aca="false">IF(M4=1,Ramp1,IF(M4=2,Ramp2,Ramp3))*M6</f>
        <v>1</v>
      </c>
      <c r="N7" s="48" t="n">
        <f aca="false">IF(N4=1,Ramp1,IF(N4=2,Ramp2,Ramp3))*N6</f>
        <v>1</v>
      </c>
      <c r="O7" s="48" t="n">
        <f aca="false">IF(O4=1,Ramp1,IF(O4=2,Ramp2,Ramp3))*O6</f>
        <v>1</v>
      </c>
      <c r="P7" s="48" t="n">
        <f aca="false">IF(P4=1,Ramp1,IF(P4=2,Ramp2,Ramp3))*P6</f>
        <v>1</v>
      </c>
      <c r="Q7" s="48" t="n">
        <f aca="false">IF(Q4=1,Ramp1,IF(Q4=2,Ramp2,Ramp3))*Q6</f>
        <v>1</v>
      </c>
      <c r="R7" s="48" t="n">
        <f aca="false">IF(R4=1,Ramp1,IF(R4=2,Ramp2,Ramp3))*R6</f>
        <v>1</v>
      </c>
      <c r="S7" s="48" t="n">
        <f aca="false">IF(S4=1,Ramp1,IF(S4=2,Ramp2,Ramp3))*S6</f>
        <v>1</v>
      </c>
      <c r="T7" s="48" t="n">
        <f aca="false">IF(T4=1,Ramp1,IF(T4=2,Ramp2,Ramp3))*T6</f>
        <v>1</v>
      </c>
      <c r="U7" s="48" t="n">
        <f aca="false">IF(U4=1,Ramp1,IF(U4=2,Ramp2,Ramp3))*U6</f>
        <v>1</v>
      </c>
      <c r="V7" s="48" t="n">
        <f aca="false">IF(V4=1,Ramp1,IF(V4=2,Ramp2,Ramp3))*V6</f>
        <v>1</v>
      </c>
      <c r="W7" s="48" t="n">
        <f aca="false">IF(W4=1,Ramp1,IF(W4=2,Ramp2,Ramp3))*W6</f>
        <v>1</v>
      </c>
    </row>
    <row r="8" customFormat="false" ht="15" hidden="false" customHeight="false" outlineLevel="0" collapsed="false">
      <c r="A8" s="10" t="s">
        <v>207</v>
      </c>
      <c r="C8" s="49" t="n">
        <v>0</v>
      </c>
      <c r="D8" s="49" t="n">
        <f aca="false">(1+TariffEsc)^(D4-1)</f>
        <v>1</v>
      </c>
      <c r="E8" s="49" t="n">
        <f aca="false">(1+TariffEsc)^(E4-1)</f>
        <v>1.03</v>
      </c>
      <c r="F8" s="49" t="n">
        <f aca="false">(1+TariffEsc)^(F4-1)</f>
        <v>1.0609</v>
      </c>
      <c r="G8" s="49" t="n">
        <f aca="false">(1+TariffEsc)^(G4-1)</f>
        <v>1.092727</v>
      </c>
      <c r="H8" s="49" t="n">
        <f aca="false">(1+TariffEsc)^(H4-1)</f>
        <v>1.12550881</v>
      </c>
      <c r="I8" s="49" t="n">
        <f aca="false">(1+TariffEsc)^(I4-1)</f>
        <v>1.1592740743</v>
      </c>
      <c r="J8" s="49" t="n">
        <f aca="false">(1+TariffEsc)^(J4-1)</f>
        <v>1.194052296529</v>
      </c>
      <c r="K8" s="49" t="n">
        <f aca="false">(1+TariffEsc)^(K4-1)</f>
        <v>1.22987386542487</v>
      </c>
      <c r="L8" s="49" t="n">
        <f aca="false">(1+TariffEsc)^(L4-1)</f>
        <v>1.26677008138762</v>
      </c>
      <c r="M8" s="49" t="n">
        <f aca="false">(1+TariffEsc)^(M4-1)</f>
        <v>1.30477318382925</v>
      </c>
      <c r="N8" s="49" t="n">
        <f aca="false">(1+TariffEsc)^(N4-1)</f>
        <v>1.34391637934412</v>
      </c>
      <c r="O8" s="49" t="n">
        <f aca="false">(1+TariffEsc)^(O4-1)</f>
        <v>1.38423387072445</v>
      </c>
      <c r="P8" s="49" t="n">
        <f aca="false">(1+TariffEsc)^(P4-1)</f>
        <v>1.42576088684618</v>
      </c>
      <c r="Q8" s="49" t="n">
        <f aca="false">(1+TariffEsc)^(Q4-1)</f>
        <v>1.46853371345156</v>
      </c>
      <c r="R8" s="49" t="n">
        <f aca="false">(1+TariffEsc)^(R4-1)</f>
        <v>1.51258972485511</v>
      </c>
      <c r="S8" s="49" t="n">
        <f aca="false">(1+TariffEsc)^(S4-1)</f>
        <v>1.55796741660077</v>
      </c>
      <c r="T8" s="49" t="n">
        <f aca="false">(1+TariffEsc)^(T4-1)</f>
        <v>1.60470643909879</v>
      </c>
      <c r="U8" s="49" t="n">
        <f aca="false">(1+TariffEsc)^(U4-1)</f>
        <v>1.65284763227175</v>
      </c>
      <c r="V8" s="49" t="n">
        <f aca="false">(1+TariffEsc)^(V4-1)</f>
        <v>1.7024330612399</v>
      </c>
      <c r="W8" s="49" t="n">
        <f aca="false">(1+TariffEsc)^(W4-1)</f>
        <v>1.7535060530771</v>
      </c>
    </row>
    <row r="9" customFormat="false" ht="15" hidden="false" customHeight="false" outlineLevel="0" collapsed="false">
      <c r="A9" s="10" t="s">
        <v>208</v>
      </c>
      <c r="C9" s="49" t="n">
        <v>0</v>
      </c>
      <c r="D9" s="49" t="n">
        <f aca="false">(1+CostEsc)^(D4-1)</f>
        <v>1</v>
      </c>
      <c r="E9" s="49" t="n">
        <f aca="false">(1+CostEsc)^(E4-1)</f>
        <v>1.03</v>
      </c>
      <c r="F9" s="49" t="n">
        <f aca="false">(1+CostEsc)^(F4-1)</f>
        <v>1.0609</v>
      </c>
      <c r="G9" s="49" t="n">
        <f aca="false">(1+CostEsc)^(G4-1)</f>
        <v>1.092727</v>
      </c>
      <c r="H9" s="49" t="n">
        <f aca="false">(1+CostEsc)^(H4-1)</f>
        <v>1.12550881</v>
      </c>
      <c r="I9" s="49" t="n">
        <f aca="false">(1+CostEsc)^(I4-1)</f>
        <v>1.1592740743</v>
      </c>
      <c r="J9" s="49" t="n">
        <f aca="false">(1+CostEsc)^(J4-1)</f>
        <v>1.194052296529</v>
      </c>
      <c r="K9" s="49" t="n">
        <f aca="false">(1+CostEsc)^(K4-1)</f>
        <v>1.22987386542487</v>
      </c>
      <c r="L9" s="49" t="n">
        <f aca="false">(1+CostEsc)^(L4-1)</f>
        <v>1.26677008138762</v>
      </c>
      <c r="M9" s="49" t="n">
        <f aca="false">(1+CostEsc)^(M4-1)</f>
        <v>1.30477318382925</v>
      </c>
      <c r="N9" s="49" t="n">
        <f aca="false">(1+CostEsc)^(N4-1)</f>
        <v>1.34391637934412</v>
      </c>
      <c r="O9" s="49" t="n">
        <f aca="false">(1+CostEsc)^(O4-1)</f>
        <v>1.38423387072445</v>
      </c>
      <c r="P9" s="49" t="n">
        <f aca="false">(1+CostEsc)^(P4-1)</f>
        <v>1.42576088684618</v>
      </c>
      <c r="Q9" s="49" t="n">
        <f aca="false">(1+CostEsc)^(Q4-1)</f>
        <v>1.46853371345156</v>
      </c>
      <c r="R9" s="49" t="n">
        <f aca="false">(1+CostEsc)^(R4-1)</f>
        <v>1.51258972485511</v>
      </c>
      <c r="S9" s="49" t="n">
        <f aca="false">(1+CostEsc)^(S4-1)</f>
        <v>1.55796741660077</v>
      </c>
      <c r="T9" s="49" t="n">
        <f aca="false">(1+CostEsc)^(T4-1)</f>
        <v>1.60470643909879</v>
      </c>
      <c r="U9" s="49" t="n">
        <f aca="false">(1+CostEsc)^(U4-1)</f>
        <v>1.65284763227175</v>
      </c>
      <c r="V9" s="49" t="n">
        <f aca="false">(1+CostEsc)^(V4-1)</f>
        <v>1.7024330612399</v>
      </c>
      <c r="W9" s="49" t="n">
        <f aca="false">(1+CostEsc)^(W4-1)</f>
        <v>1.7535060530771</v>
      </c>
    </row>
    <row r="10" customFormat="false" ht="15" hidden="false" customHeight="false" outlineLevel="0" collapsed="false">
      <c r="A10" s="10" t="s">
        <v>209</v>
      </c>
      <c r="C10" s="49" t="n">
        <v>0</v>
      </c>
      <c r="D10" s="49" t="n">
        <f aca="false">(1+DemandGrowth)^(D4-1)*LevDemand</f>
        <v>1</v>
      </c>
      <c r="E10" s="49" t="n">
        <f aca="false">(1+DemandGrowth)^(E4-1)*LevDemand</f>
        <v>1.03</v>
      </c>
      <c r="F10" s="49" t="n">
        <f aca="false">(1+DemandGrowth)^(F4-1)*LevDemand</f>
        <v>1.0609</v>
      </c>
      <c r="G10" s="49" t="n">
        <f aca="false">(1+DemandGrowth)^(G4-1)*LevDemand</f>
        <v>1.092727</v>
      </c>
      <c r="H10" s="49" t="n">
        <f aca="false">(1+DemandGrowth)^(H4-1)*LevDemand</f>
        <v>1.12550881</v>
      </c>
      <c r="I10" s="49" t="n">
        <f aca="false">(1+DemandGrowth)^(I4-1)*LevDemand</f>
        <v>1.1592740743</v>
      </c>
      <c r="J10" s="49" t="n">
        <f aca="false">(1+DemandGrowth)^(J4-1)*LevDemand</f>
        <v>1.194052296529</v>
      </c>
      <c r="K10" s="49" t="n">
        <f aca="false">(1+DemandGrowth)^(K4-1)*LevDemand</f>
        <v>1.22987386542487</v>
      </c>
      <c r="L10" s="49" t="n">
        <f aca="false">(1+DemandGrowth)^(L4-1)*LevDemand</f>
        <v>1.26677008138762</v>
      </c>
      <c r="M10" s="49" t="n">
        <f aca="false">(1+DemandGrowth)^(M4-1)*LevDemand</f>
        <v>1.30477318382925</v>
      </c>
      <c r="N10" s="49" t="n">
        <f aca="false">(1+DemandGrowth)^(N4-1)*LevDemand</f>
        <v>1.34391637934412</v>
      </c>
      <c r="O10" s="49" t="n">
        <f aca="false">(1+DemandGrowth)^(O4-1)*LevDemand</f>
        <v>1.38423387072445</v>
      </c>
      <c r="P10" s="49" t="n">
        <f aca="false">(1+DemandGrowth)^(P4-1)*LevDemand</f>
        <v>1.42576088684618</v>
      </c>
      <c r="Q10" s="49" t="n">
        <f aca="false">(1+DemandGrowth)^(Q4-1)*LevDemand</f>
        <v>1.46853371345156</v>
      </c>
      <c r="R10" s="49" t="n">
        <f aca="false">(1+DemandGrowth)^(R4-1)*LevDemand</f>
        <v>1.51258972485511</v>
      </c>
      <c r="S10" s="49" t="n">
        <f aca="false">(1+DemandGrowth)^(S4-1)*LevDemand</f>
        <v>1.55796741660077</v>
      </c>
      <c r="T10" s="49" t="n">
        <f aca="false">(1+DemandGrowth)^(T4-1)*LevDemand</f>
        <v>1.60470643909879</v>
      </c>
      <c r="U10" s="49" t="n">
        <f aca="false">(1+DemandGrowth)^(U4-1)*LevDemand</f>
        <v>1.65284763227175</v>
      </c>
      <c r="V10" s="49" t="n">
        <f aca="false">(1+DemandGrowth)^(V4-1)*LevDemand</f>
        <v>1.7024330612399</v>
      </c>
      <c r="W10" s="49" t="n">
        <f aca="false">(1+DemandGrowth)^(W4-1)*LevDemand</f>
        <v>1.7535060530771</v>
      </c>
    </row>
    <row r="12" customFormat="false" ht="15" hidden="false" customHeight="false" outlineLevel="0" collapsed="false">
      <c r="A12" s="8" t="s">
        <v>210</v>
      </c>
      <c r="B12" s="9"/>
      <c r="C12" s="9"/>
      <c r="D12" s="9"/>
      <c r="E12" s="9"/>
      <c r="F12" s="9"/>
      <c r="G12" s="9"/>
      <c r="H12" s="9"/>
      <c r="I12" s="9"/>
      <c r="J12" s="9"/>
      <c r="K12" s="9"/>
      <c r="L12" s="9"/>
      <c r="M12" s="9"/>
      <c r="N12" s="9"/>
      <c r="O12" s="9"/>
      <c r="P12" s="9"/>
      <c r="Q12" s="9"/>
      <c r="R12" s="9"/>
      <c r="S12" s="9"/>
      <c r="T12" s="9"/>
      <c r="U12" s="9"/>
      <c r="V12" s="9"/>
      <c r="W12" s="9"/>
    </row>
    <row r="13" customFormat="false" ht="15" hidden="false" customHeight="false" outlineLevel="0" collapsed="false">
      <c r="A13" s="10" t="str">
        <f aca="false">"Raccordements - "&amp;Seg1_Name</f>
        <v>Raccordements - Ménages</v>
      </c>
      <c r="C13" s="50" t="n">
        <v>0</v>
      </c>
      <c r="D13" s="50" t="n">
        <f aca="false">Seg1_N*D7</f>
        <v>480</v>
      </c>
      <c r="E13" s="50" t="n">
        <f aca="false">Seg1_N*E7</f>
        <v>680</v>
      </c>
      <c r="F13" s="50" t="n">
        <f aca="false">Seg1_N*F7</f>
        <v>800</v>
      </c>
      <c r="G13" s="50" t="n">
        <f aca="false">Seg1_N*G7</f>
        <v>800</v>
      </c>
      <c r="H13" s="50" t="n">
        <f aca="false">Seg1_N*H7</f>
        <v>800</v>
      </c>
      <c r="I13" s="50" t="n">
        <f aca="false">Seg1_N*I7</f>
        <v>800</v>
      </c>
      <c r="J13" s="50" t="n">
        <f aca="false">Seg1_N*J7</f>
        <v>800</v>
      </c>
      <c r="K13" s="50" t="n">
        <f aca="false">Seg1_N*K7</f>
        <v>800</v>
      </c>
      <c r="L13" s="50" t="n">
        <f aca="false">Seg1_N*L7</f>
        <v>800</v>
      </c>
      <c r="M13" s="50" t="n">
        <f aca="false">Seg1_N*M7</f>
        <v>800</v>
      </c>
      <c r="N13" s="50" t="n">
        <f aca="false">Seg1_N*N7</f>
        <v>800</v>
      </c>
      <c r="O13" s="50" t="n">
        <f aca="false">Seg1_N*O7</f>
        <v>800</v>
      </c>
      <c r="P13" s="50" t="n">
        <f aca="false">Seg1_N*P7</f>
        <v>800</v>
      </c>
      <c r="Q13" s="50" t="n">
        <f aca="false">Seg1_N*Q7</f>
        <v>800</v>
      </c>
      <c r="R13" s="50" t="n">
        <f aca="false">Seg1_N*R7</f>
        <v>800</v>
      </c>
      <c r="S13" s="50" t="n">
        <f aca="false">Seg1_N*S7</f>
        <v>800</v>
      </c>
      <c r="T13" s="50" t="n">
        <f aca="false">Seg1_N*T7</f>
        <v>800</v>
      </c>
      <c r="U13" s="50" t="n">
        <f aca="false">Seg1_N*U7</f>
        <v>800</v>
      </c>
      <c r="V13" s="50" t="n">
        <f aca="false">Seg1_N*V7</f>
        <v>800</v>
      </c>
      <c r="W13" s="50" t="n">
        <f aca="false">Seg1_N*W7</f>
        <v>800</v>
      </c>
    </row>
    <row r="14" customFormat="false" ht="15" hidden="false" customHeight="false" outlineLevel="0" collapsed="false">
      <c r="A14" s="10" t="str">
        <f aca="false">"Raccordements - "&amp;Seg2_Name</f>
        <v>Raccordements - Usagers productifs (moulins, soudure, chambres froides)</v>
      </c>
      <c r="C14" s="50" t="n">
        <v>0</v>
      </c>
      <c r="D14" s="50" t="n">
        <f aca="false">Seg2_N*D7</f>
        <v>36</v>
      </c>
      <c r="E14" s="50" t="n">
        <f aca="false">Seg2_N*E7</f>
        <v>51</v>
      </c>
      <c r="F14" s="50" t="n">
        <f aca="false">Seg2_N*F7</f>
        <v>60</v>
      </c>
      <c r="G14" s="50" t="n">
        <f aca="false">Seg2_N*G7</f>
        <v>60</v>
      </c>
      <c r="H14" s="50" t="n">
        <f aca="false">Seg2_N*H7</f>
        <v>60</v>
      </c>
      <c r="I14" s="50" t="n">
        <f aca="false">Seg2_N*I7</f>
        <v>60</v>
      </c>
      <c r="J14" s="50" t="n">
        <f aca="false">Seg2_N*J7</f>
        <v>60</v>
      </c>
      <c r="K14" s="50" t="n">
        <f aca="false">Seg2_N*K7</f>
        <v>60</v>
      </c>
      <c r="L14" s="50" t="n">
        <f aca="false">Seg2_N*L7</f>
        <v>60</v>
      </c>
      <c r="M14" s="50" t="n">
        <f aca="false">Seg2_N*M7</f>
        <v>60</v>
      </c>
      <c r="N14" s="50" t="n">
        <f aca="false">Seg2_N*N7</f>
        <v>60</v>
      </c>
      <c r="O14" s="50" t="n">
        <f aca="false">Seg2_N*O7</f>
        <v>60</v>
      </c>
      <c r="P14" s="50" t="n">
        <f aca="false">Seg2_N*P7</f>
        <v>60</v>
      </c>
      <c r="Q14" s="50" t="n">
        <f aca="false">Seg2_N*Q7</f>
        <v>60</v>
      </c>
      <c r="R14" s="50" t="n">
        <f aca="false">Seg2_N*R7</f>
        <v>60</v>
      </c>
      <c r="S14" s="50" t="n">
        <f aca="false">Seg2_N*S7</f>
        <v>60</v>
      </c>
      <c r="T14" s="50" t="n">
        <f aca="false">Seg2_N*T7</f>
        <v>60</v>
      </c>
      <c r="U14" s="50" t="n">
        <f aca="false">Seg2_N*U7</f>
        <v>60</v>
      </c>
      <c r="V14" s="50" t="n">
        <f aca="false">Seg2_N*V7</f>
        <v>60</v>
      </c>
      <c r="W14" s="50" t="n">
        <f aca="false">Seg2_N*W7</f>
        <v>60</v>
      </c>
    </row>
    <row r="15" customFormat="false" ht="15" hidden="false" customHeight="false" outlineLevel="0" collapsed="false">
      <c r="A15" s="10" t="str">
        <f aca="false">"Raccordements - "&amp;Seg3_Name</f>
        <v>Raccordements - Commerces (boutiques, bars, kiosques)</v>
      </c>
      <c r="C15" s="50" t="n">
        <v>0</v>
      </c>
      <c r="D15" s="50" t="n">
        <f aca="false">Seg3_N*D7</f>
        <v>60</v>
      </c>
      <c r="E15" s="50" t="n">
        <f aca="false">Seg3_N*E7</f>
        <v>85</v>
      </c>
      <c r="F15" s="50" t="n">
        <f aca="false">Seg3_N*F7</f>
        <v>100</v>
      </c>
      <c r="G15" s="50" t="n">
        <f aca="false">Seg3_N*G7</f>
        <v>100</v>
      </c>
      <c r="H15" s="50" t="n">
        <f aca="false">Seg3_N*H7</f>
        <v>100</v>
      </c>
      <c r="I15" s="50" t="n">
        <f aca="false">Seg3_N*I7</f>
        <v>100</v>
      </c>
      <c r="J15" s="50" t="n">
        <f aca="false">Seg3_N*J7</f>
        <v>100</v>
      </c>
      <c r="K15" s="50" t="n">
        <f aca="false">Seg3_N*K7</f>
        <v>100</v>
      </c>
      <c r="L15" s="50" t="n">
        <f aca="false">Seg3_N*L7</f>
        <v>100</v>
      </c>
      <c r="M15" s="50" t="n">
        <f aca="false">Seg3_N*M7</f>
        <v>100</v>
      </c>
      <c r="N15" s="50" t="n">
        <f aca="false">Seg3_N*N7</f>
        <v>100</v>
      </c>
      <c r="O15" s="50" t="n">
        <f aca="false">Seg3_N*O7</f>
        <v>100</v>
      </c>
      <c r="P15" s="50" t="n">
        <f aca="false">Seg3_N*P7</f>
        <v>100</v>
      </c>
      <c r="Q15" s="50" t="n">
        <f aca="false">Seg3_N*Q7</f>
        <v>100</v>
      </c>
      <c r="R15" s="50" t="n">
        <f aca="false">Seg3_N*R7</f>
        <v>100</v>
      </c>
      <c r="S15" s="50" t="n">
        <f aca="false">Seg3_N*S7</f>
        <v>100</v>
      </c>
      <c r="T15" s="50" t="n">
        <f aca="false">Seg3_N*T7</f>
        <v>100</v>
      </c>
      <c r="U15" s="50" t="n">
        <f aca="false">Seg3_N*U7</f>
        <v>100</v>
      </c>
      <c r="V15" s="50" t="n">
        <f aca="false">Seg3_N*V7</f>
        <v>100</v>
      </c>
      <c r="W15" s="50" t="n">
        <f aca="false">Seg3_N*W7</f>
        <v>100</v>
      </c>
    </row>
    <row r="16" customFormat="false" ht="15" hidden="false" customHeight="false" outlineLevel="0" collapsed="false">
      <c r="A16" s="10" t="str">
        <f aca="false">"Raccordements - "&amp;Seg4_Name</f>
        <v>Raccordements - Institutions (centre de santé, école, eau)</v>
      </c>
      <c r="C16" s="50" t="n">
        <v>0</v>
      </c>
      <c r="D16" s="50" t="n">
        <f aca="false">Seg4_N*D7</f>
        <v>6</v>
      </c>
      <c r="E16" s="50" t="n">
        <f aca="false">Seg4_N*E7</f>
        <v>8.5</v>
      </c>
      <c r="F16" s="50" t="n">
        <f aca="false">Seg4_N*F7</f>
        <v>10</v>
      </c>
      <c r="G16" s="50" t="n">
        <f aca="false">Seg4_N*G7</f>
        <v>10</v>
      </c>
      <c r="H16" s="50" t="n">
        <f aca="false">Seg4_N*H7</f>
        <v>10</v>
      </c>
      <c r="I16" s="50" t="n">
        <f aca="false">Seg4_N*I7</f>
        <v>10</v>
      </c>
      <c r="J16" s="50" t="n">
        <f aca="false">Seg4_N*J7</f>
        <v>10</v>
      </c>
      <c r="K16" s="50" t="n">
        <f aca="false">Seg4_N*K7</f>
        <v>10</v>
      </c>
      <c r="L16" s="50" t="n">
        <f aca="false">Seg4_N*L7</f>
        <v>10</v>
      </c>
      <c r="M16" s="50" t="n">
        <f aca="false">Seg4_N*M7</f>
        <v>10</v>
      </c>
      <c r="N16" s="50" t="n">
        <f aca="false">Seg4_N*N7</f>
        <v>10</v>
      </c>
      <c r="O16" s="50" t="n">
        <f aca="false">Seg4_N*O7</f>
        <v>10</v>
      </c>
      <c r="P16" s="50" t="n">
        <f aca="false">Seg4_N*P7</f>
        <v>10</v>
      </c>
      <c r="Q16" s="50" t="n">
        <f aca="false">Seg4_N*Q7</f>
        <v>10</v>
      </c>
      <c r="R16" s="50" t="n">
        <f aca="false">Seg4_N*R7</f>
        <v>10</v>
      </c>
      <c r="S16" s="50" t="n">
        <f aca="false">Seg4_N*S7</f>
        <v>10</v>
      </c>
      <c r="T16" s="50" t="n">
        <f aca="false">Seg4_N*T7</f>
        <v>10</v>
      </c>
      <c r="U16" s="50" t="n">
        <f aca="false">Seg4_N*U7</f>
        <v>10</v>
      </c>
      <c r="V16" s="50" t="n">
        <f aca="false">Seg4_N*V7</f>
        <v>10</v>
      </c>
      <c r="W16" s="50" t="n">
        <f aca="false">Seg4_N*W7</f>
        <v>10</v>
      </c>
    </row>
    <row r="17" customFormat="false" ht="15" hidden="false" customHeight="false" outlineLevel="0" collapsed="false">
      <c r="A17" s="10" t="str">
        <f aca="false">"Raccordements - "&amp;Seg5_Name</f>
        <v>Raccordements - Autre / personnalisé</v>
      </c>
      <c r="C17" s="50" t="n">
        <v>0</v>
      </c>
      <c r="D17" s="50" t="n">
        <f aca="false">Seg5_N*D7</f>
        <v>0</v>
      </c>
      <c r="E17" s="50" t="n">
        <f aca="false">Seg5_N*E7</f>
        <v>0</v>
      </c>
      <c r="F17" s="50" t="n">
        <f aca="false">Seg5_N*F7</f>
        <v>0</v>
      </c>
      <c r="G17" s="50" t="n">
        <f aca="false">Seg5_N*G7</f>
        <v>0</v>
      </c>
      <c r="H17" s="50" t="n">
        <f aca="false">Seg5_N*H7</f>
        <v>0</v>
      </c>
      <c r="I17" s="50" t="n">
        <f aca="false">Seg5_N*I7</f>
        <v>0</v>
      </c>
      <c r="J17" s="50" t="n">
        <f aca="false">Seg5_N*J7</f>
        <v>0</v>
      </c>
      <c r="K17" s="50" t="n">
        <f aca="false">Seg5_N*K7</f>
        <v>0</v>
      </c>
      <c r="L17" s="50" t="n">
        <f aca="false">Seg5_N*L7</f>
        <v>0</v>
      </c>
      <c r="M17" s="50" t="n">
        <f aca="false">Seg5_N*M7</f>
        <v>0</v>
      </c>
      <c r="N17" s="50" t="n">
        <f aca="false">Seg5_N*N7</f>
        <v>0</v>
      </c>
      <c r="O17" s="50" t="n">
        <f aca="false">Seg5_N*O7</f>
        <v>0</v>
      </c>
      <c r="P17" s="50" t="n">
        <f aca="false">Seg5_N*P7</f>
        <v>0</v>
      </c>
      <c r="Q17" s="50" t="n">
        <f aca="false">Seg5_N*Q7</f>
        <v>0</v>
      </c>
      <c r="R17" s="50" t="n">
        <f aca="false">Seg5_N*R7</f>
        <v>0</v>
      </c>
      <c r="S17" s="50" t="n">
        <f aca="false">Seg5_N*S7</f>
        <v>0</v>
      </c>
      <c r="T17" s="50" t="n">
        <f aca="false">Seg5_N*T7</f>
        <v>0</v>
      </c>
      <c r="U17" s="50" t="n">
        <f aca="false">Seg5_N*U7</f>
        <v>0</v>
      </c>
      <c r="V17" s="50" t="n">
        <f aca="false">Seg5_N*V7</f>
        <v>0</v>
      </c>
      <c r="W17" s="50" t="n">
        <f aca="false">Seg5_N*W7</f>
        <v>0</v>
      </c>
    </row>
    <row r="18" customFormat="false" ht="15" hidden="false" customHeight="false" outlineLevel="0" collapsed="false">
      <c r="A18" s="31" t="s">
        <v>211</v>
      </c>
      <c r="C18" s="22" t="n">
        <f aca="false">C13+C14+C15+C16+C17</f>
        <v>0</v>
      </c>
      <c r="D18" s="22" t="n">
        <f aca="false">D13+D14+D15+D16+D17</f>
        <v>582</v>
      </c>
      <c r="E18" s="22" t="n">
        <f aca="false">E13+E14+E15+E16+E17</f>
        <v>824.5</v>
      </c>
      <c r="F18" s="22" t="n">
        <f aca="false">F13+F14+F15+F16+F17</f>
        <v>970</v>
      </c>
      <c r="G18" s="22" t="n">
        <f aca="false">G13+G14+G15+G16+G17</f>
        <v>970</v>
      </c>
      <c r="H18" s="22" t="n">
        <f aca="false">H13+H14+H15+H16+H17</f>
        <v>970</v>
      </c>
      <c r="I18" s="22" t="n">
        <f aca="false">I13+I14+I15+I16+I17</f>
        <v>970</v>
      </c>
      <c r="J18" s="22" t="n">
        <f aca="false">J13+J14+J15+J16+J17</f>
        <v>970</v>
      </c>
      <c r="K18" s="22" t="n">
        <f aca="false">K13+K14+K15+K16+K17</f>
        <v>970</v>
      </c>
      <c r="L18" s="22" t="n">
        <f aca="false">L13+L14+L15+L16+L17</f>
        <v>970</v>
      </c>
      <c r="M18" s="22" t="n">
        <f aca="false">M13+M14+M15+M16+M17</f>
        <v>970</v>
      </c>
      <c r="N18" s="22" t="n">
        <f aca="false">N13+N14+N15+N16+N17</f>
        <v>970</v>
      </c>
      <c r="O18" s="22" t="n">
        <f aca="false">O13+O14+O15+O16+O17</f>
        <v>970</v>
      </c>
      <c r="P18" s="22" t="n">
        <f aca="false">P13+P14+P15+P16+P17</f>
        <v>970</v>
      </c>
      <c r="Q18" s="22" t="n">
        <f aca="false">Q13+Q14+Q15+Q16+Q17</f>
        <v>970</v>
      </c>
      <c r="R18" s="22" t="n">
        <f aca="false">R13+R14+R15+R16+R17</f>
        <v>970</v>
      </c>
      <c r="S18" s="22" t="n">
        <f aca="false">S13+S14+S15+S16+S17</f>
        <v>970</v>
      </c>
      <c r="T18" s="22" t="n">
        <f aca="false">T13+T14+T15+T16+T17</f>
        <v>970</v>
      </c>
      <c r="U18" s="22" t="n">
        <f aca="false">U13+U14+U15+U16+U17</f>
        <v>970</v>
      </c>
      <c r="V18" s="22" t="n">
        <f aca="false">V13+V14+V15+V16+V17</f>
        <v>970</v>
      </c>
      <c r="W18" s="22" t="n">
        <f aca="false">W13+W14+W15+W16+W17</f>
        <v>970</v>
      </c>
    </row>
    <row r="19" customFormat="false" ht="15" hidden="false" customHeight="false" outlineLevel="0" collapsed="false">
      <c r="A19" s="10" t="s">
        <v>212</v>
      </c>
      <c r="B19" s="51" t="n">
        <f aca="false">SUM(C19:W19)</f>
        <v>970</v>
      </c>
      <c r="C19" s="50" t="n">
        <v>0</v>
      </c>
      <c r="D19" s="50" t="n">
        <f aca="false">MAX(0,D18-C18)</f>
        <v>582</v>
      </c>
      <c r="E19" s="50" t="n">
        <f aca="false">MAX(0,E18-D18)</f>
        <v>242.5</v>
      </c>
      <c r="F19" s="50" t="n">
        <f aca="false">MAX(0,F18-E18)</f>
        <v>145.5</v>
      </c>
      <c r="G19" s="50" t="n">
        <f aca="false">MAX(0,G18-F18)</f>
        <v>0</v>
      </c>
      <c r="H19" s="50" t="n">
        <f aca="false">MAX(0,H18-G18)</f>
        <v>0</v>
      </c>
      <c r="I19" s="50" t="n">
        <f aca="false">MAX(0,I18-H18)</f>
        <v>0</v>
      </c>
      <c r="J19" s="50" t="n">
        <f aca="false">MAX(0,J18-I18)</f>
        <v>0</v>
      </c>
      <c r="K19" s="50" t="n">
        <f aca="false">MAX(0,K18-J18)</f>
        <v>0</v>
      </c>
      <c r="L19" s="50" t="n">
        <f aca="false">MAX(0,L18-K18)</f>
        <v>0</v>
      </c>
      <c r="M19" s="50" t="n">
        <f aca="false">MAX(0,M18-L18)</f>
        <v>0</v>
      </c>
      <c r="N19" s="50" t="n">
        <f aca="false">MAX(0,N18-M18)</f>
        <v>0</v>
      </c>
      <c r="O19" s="50" t="n">
        <f aca="false">MAX(0,O18-N18)</f>
        <v>0</v>
      </c>
      <c r="P19" s="50" t="n">
        <f aca="false">MAX(0,P18-O18)</f>
        <v>0</v>
      </c>
      <c r="Q19" s="50" t="n">
        <f aca="false">MAX(0,Q18-P18)</f>
        <v>0</v>
      </c>
      <c r="R19" s="50" t="n">
        <f aca="false">MAX(0,R18-Q18)</f>
        <v>0</v>
      </c>
      <c r="S19" s="50" t="n">
        <f aca="false">MAX(0,S18-R18)</f>
        <v>0</v>
      </c>
      <c r="T19" s="50" t="n">
        <f aca="false">MAX(0,T18-S18)</f>
        <v>0</v>
      </c>
      <c r="U19" s="50" t="n">
        <f aca="false">MAX(0,U18-T18)</f>
        <v>0</v>
      </c>
      <c r="V19" s="50" t="n">
        <f aca="false">MAX(0,V18-U18)</f>
        <v>0</v>
      </c>
      <c r="W19" s="50" t="n">
        <f aca="false">MAX(0,W18-V18)</f>
        <v>0</v>
      </c>
    </row>
    <row r="21" customFormat="false" ht="15" hidden="false" customHeight="false" outlineLevel="0" collapsed="false">
      <c r="A21" s="10" t="str">
        <f aca="false">"Énergie vendue - "&amp;Seg1_Name&amp;" (kWh)"</f>
        <v>Énergie vendue - Ménages (kWh)</v>
      </c>
      <c r="B21" s="51" t="n">
        <f aca="false">SUM(C21:W21)</f>
        <v>3789485.92641319</v>
      </c>
      <c r="C21" s="50" t="n">
        <v>0</v>
      </c>
      <c r="D21" s="50" t="n">
        <f aca="false">D13*Seg1_kWh*12*D10</f>
        <v>86400</v>
      </c>
      <c r="E21" s="50" t="n">
        <f aca="false">E13*Seg1_kWh*12*E10</f>
        <v>126072</v>
      </c>
      <c r="F21" s="50" t="n">
        <f aca="false">F13*Seg1_kWh*12*F10</f>
        <v>152769.6</v>
      </c>
      <c r="G21" s="50" t="n">
        <f aca="false">G13*Seg1_kWh*12*G10</f>
        <v>157352.688</v>
      </c>
      <c r="H21" s="50" t="n">
        <f aca="false">H13*Seg1_kWh*12*H10</f>
        <v>162073.26864</v>
      </c>
      <c r="I21" s="50" t="n">
        <f aca="false">I13*Seg1_kWh*12*I10</f>
        <v>166935.4666992</v>
      </c>
      <c r="J21" s="50" t="n">
        <f aca="false">J13*Seg1_kWh*12*J10</f>
        <v>171943.530700176</v>
      </c>
      <c r="K21" s="50" t="n">
        <f aca="false">K13*Seg1_kWh*12*K10</f>
        <v>177101.836621181</v>
      </c>
      <c r="L21" s="50" t="n">
        <f aca="false">L13*Seg1_kWh*12*L10</f>
        <v>182414.891719817</v>
      </c>
      <c r="M21" s="50" t="n">
        <f aca="false">M13*Seg1_kWh*12*M10</f>
        <v>187887.338471411</v>
      </c>
      <c r="N21" s="50" t="n">
        <f aca="false">N13*Seg1_kWh*12*N10</f>
        <v>193523.958625554</v>
      </c>
      <c r="O21" s="50" t="n">
        <f aca="false">O13*Seg1_kWh*12*O10</f>
        <v>199329.67738432</v>
      </c>
      <c r="P21" s="50" t="n">
        <f aca="false">P13*Seg1_kWh*12*P10</f>
        <v>205309.56770585</v>
      </c>
      <c r="Q21" s="50" t="n">
        <f aca="false">Q13*Seg1_kWh*12*Q10</f>
        <v>211468.854737025</v>
      </c>
      <c r="R21" s="50" t="n">
        <f aca="false">R13*Seg1_kWh*12*R10</f>
        <v>217812.920379136</v>
      </c>
      <c r="S21" s="50" t="n">
        <f aca="false">S13*Seg1_kWh*12*S10</f>
        <v>224347.30799051</v>
      </c>
      <c r="T21" s="50" t="n">
        <f aca="false">T13*Seg1_kWh*12*T10</f>
        <v>231077.727230226</v>
      </c>
      <c r="U21" s="50" t="n">
        <f aca="false">U13*Seg1_kWh*12*U10</f>
        <v>238010.059047132</v>
      </c>
      <c r="V21" s="50" t="n">
        <f aca="false">V13*Seg1_kWh*12*V10</f>
        <v>245150.360818546</v>
      </c>
      <c r="W21" s="50" t="n">
        <f aca="false">W13*Seg1_kWh*12*W10</f>
        <v>252504.871643103</v>
      </c>
    </row>
    <row r="22" customFormat="false" ht="15" hidden="false" customHeight="false" outlineLevel="0" collapsed="false">
      <c r="A22" s="10" t="str">
        <f aca="false">"Énergie vendue - "&amp;Seg2_Name&amp;" (kWh)"</f>
        <v>Énergie vendue - Usagers productifs (moulins, soudure, chambres froides) (kWh)</v>
      </c>
      <c r="B22" s="51" t="n">
        <f aca="false">SUM(C22:W22)</f>
        <v>4736857.40801648</v>
      </c>
      <c r="C22" s="50" t="n">
        <v>0</v>
      </c>
      <c r="D22" s="50" t="n">
        <f aca="false">D14*Seg2_kWh*12*D10</f>
        <v>108000</v>
      </c>
      <c r="E22" s="50" t="n">
        <f aca="false">E14*Seg2_kWh*12*E10</f>
        <v>157590</v>
      </c>
      <c r="F22" s="50" t="n">
        <f aca="false">F14*Seg2_kWh*12*F10</f>
        <v>190962</v>
      </c>
      <c r="G22" s="50" t="n">
        <f aca="false">G14*Seg2_kWh*12*G10</f>
        <v>196690.86</v>
      </c>
      <c r="H22" s="50" t="n">
        <f aca="false">H14*Seg2_kWh*12*H10</f>
        <v>202591.5858</v>
      </c>
      <c r="I22" s="50" t="n">
        <f aca="false">I14*Seg2_kWh*12*I10</f>
        <v>208669.333374</v>
      </c>
      <c r="J22" s="50" t="n">
        <f aca="false">J14*Seg2_kWh*12*J10</f>
        <v>214929.41337522</v>
      </c>
      <c r="K22" s="50" t="n">
        <f aca="false">K14*Seg2_kWh*12*K10</f>
        <v>221377.295776477</v>
      </c>
      <c r="L22" s="50" t="n">
        <f aca="false">L14*Seg2_kWh*12*L10</f>
        <v>228018.614649771</v>
      </c>
      <c r="M22" s="50" t="n">
        <f aca="false">M14*Seg2_kWh*12*M10</f>
        <v>234859.173089264</v>
      </c>
      <c r="N22" s="50" t="n">
        <f aca="false">N14*Seg2_kWh*12*N10</f>
        <v>241904.948281942</v>
      </c>
      <c r="O22" s="50" t="n">
        <f aca="false">O14*Seg2_kWh*12*O10</f>
        <v>249162.0967304</v>
      </c>
      <c r="P22" s="50" t="n">
        <f aca="false">P14*Seg2_kWh*12*P10</f>
        <v>256636.959632312</v>
      </c>
      <c r="Q22" s="50" t="n">
        <f aca="false">Q14*Seg2_kWh*12*Q10</f>
        <v>264336.068421282</v>
      </c>
      <c r="R22" s="50" t="n">
        <f aca="false">R14*Seg2_kWh*12*R10</f>
        <v>272266.15047392</v>
      </c>
      <c r="S22" s="50" t="n">
        <f aca="false">S14*Seg2_kWh*12*S10</f>
        <v>280434.134988138</v>
      </c>
      <c r="T22" s="50" t="n">
        <f aca="false">T14*Seg2_kWh*12*T10</f>
        <v>288847.159037782</v>
      </c>
      <c r="U22" s="50" t="n">
        <f aca="false">U14*Seg2_kWh*12*U10</f>
        <v>297512.573808915</v>
      </c>
      <c r="V22" s="50" t="n">
        <f aca="false">V14*Seg2_kWh*12*V10</f>
        <v>306437.951023183</v>
      </c>
      <c r="W22" s="50" t="n">
        <f aca="false">W14*Seg2_kWh*12*W10</f>
        <v>315631.089553878</v>
      </c>
    </row>
    <row r="23" customFormat="false" ht="15" hidden="false" customHeight="false" outlineLevel="0" collapsed="false">
      <c r="A23" s="10" t="str">
        <f aca="false">"Énergie vendue - "&amp;Seg3_Name&amp;" (kWh)"</f>
        <v>Énergie vendue - Commerces (boutiques, bars, kiosques) (kWh)</v>
      </c>
      <c r="B23" s="51" t="n">
        <f aca="false">SUM(C23:W23)</f>
        <v>1578952.46933883</v>
      </c>
      <c r="C23" s="50" t="n">
        <v>0</v>
      </c>
      <c r="D23" s="50" t="n">
        <f aca="false">D15*Seg3_kWh*12*D10</f>
        <v>36000</v>
      </c>
      <c r="E23" s="50" t="n">
        <f aca="false">E15*Seg3_kWh*12*E10</f>
        <v>52530</v>
      </c>
      <c r="F23" s="50" t="n">
        <f aca="false">F15*Seg3_kWh*12*F10</f>
        <v>63654</v>
      </c>
      <c r="G23" s="50" t="n">
        <f aca="false">G15*Seg3_kWh*12*G10</f>
        <v>65563.62</v>
      </c>
      <c r="H23" s="50" t="n">
        <f aca="false">H15*Seg3_kWh*12*H10</f>
        <v>67530.5286</v>
      </c>
      <c r="I23" s="50" t="n">
        <f aca="false">I15*Seg3_kWh*12*I10</f>
        <v>69556.444458</v>
      </c>
      <c r="J23" s="50" t="n">
        <f aca="false">J15*Seg3_kWh*12*J10</f>
        <v>71643.13779174</v>
      </c>
      <c r="K23" s="50" t="n">
        <f aca="false">K15*Seg3_kWh*12*K10</f>
        <v>73792.4319254922</v>
      </c>
      <c r="L23" s="50" t="n">
        <f aca="false">L15*Seg3_kWh*12*L10</f>
        <v>76006.204883257</v>
      </c>
      <c r="M23" s="50" t="n">
        <f aca="false">M15*Seg3_kWh*12*M10</f>
        <v>78286.3910297547</v>
      </c>
      <c r="N23" s="50" t="n">
        <f aca="false">N15*Seg3_kWh*12*N10</f>
        <v>80634.9827606473</v>
      </c>
      <c r="O23" s="50" t="n">
        <f aca="false">O15*Seg3_kWh*12*O10</f>
        <v>83054.0322434668</v>
      </c>
      <c r="P23" s="50" t="n">
        <f aca="false">P15*Seg3_kWh*12*P10</f>
        <v>85545.6532107708</v>
      </c>
      <c r="Q23" s="50" t="n">
        <f aca="false">Q15*Seg3_kWh*12*Q10</f>
        <v>88112.0228070939</v>
      </c>
      <c r="R23" s="50" t="n">
        <f aca="false">R15*Seg3_kWh*12*R10</f>
        <v>90755.3834913067</v>
      </c>
      <c r="S23" s="50" t="n">
        <f aca="false">S15*Seg3_kWh*12*S10</f>
        <v>93478.0449960459</v>
      </c>
      <c r="T23" s="50" t="n">
        <f aca="false">T15*Seg3_kWh*12*T10</f>
        <v>96282.3863459273</v>
      </c>
      <c r="U23" s="50" t="n">
        <f aca="false">U15*Seg3_kWh*12*U10</f>
        <v>99170.8579363051</v>
      </c>
      <c r="V23" s="50" t="n">
        <f aca="false">V15*Seg3_kWh*12*V10</f>
        <v>102145.983674394</v>
      </c>
      <c r="W23" s="50" t="n">
        <f aca="false">W15*Seg3_kWh*12*W10</f>
        <v>105210.363184626</v>
      </c>
    </row>
    <row r="24" customFormat="false" ht="15" hidden="false" customHeight="false" outlineLevel="0" collapsed="false">
      <c r="A24" s="10" t="str">
        <f aca="false">"Énergie vendue - "&amp;Seg4_Name&amp;" (kWh)"</f>
        <v>Énergie vendue - Institutions (centre de santé, école, eau) (kWh)</v>
      </c>
      <c r="B24" s="51" t="n">
        <f aca="false">SUM(C24:W24)</f>
        <v>947371.481603297</v>
      </c>
      <c r="C24" s="50" t="n">
        <v>0</v>
      </c>
      <c r="D24" s="50" t="n">
        <f aca="false">D16*Seg4_kWh*12*D10</f>
        <v>21600</v>
      </c>
      <c r="E24" s="50" t="n">
        <f aca="false">E16*Seg4_kWh*12*E10</f>
        <v>31518</v>
      </c>
      <c r="F24" s="50" t="n">
        <f aca="false">F16*Seg4_kWh*12*F10</f>
        <v>38192.4</v>
      </c>
      <c r="G24" s="50" t="n">
        <f aca="false">G16*Seg4_kWh*12*G10</f>
        <v>39338.172</v>
      </c>
      <c r="H24" s="50" t="n">
        <f aca="false">H16*Seg4_kWh*12*H10</f>
        <v>40518.31716</v>
      </c>
      <c r="I24" s="50" t="n">
        <f aca="false">I16*Seg4_kWh*12*I10</f>
        <v>41733.8666748</v>
      </c>
      <c r="J24" s="50" t="n">
        <f aca="false">J16*Seg4_kWh*12*J10</f>
        <v>42985.882675044</v>
      </c>
      <c r="K24" s="50" t="n">
        <f aca="false">K16*Seg4_kWh*12*K10</f>
        <v>44275.4591552953</v>
      </c>
      <c r="L24" s="50" t="n">
        <f aca="false">L16*Seg4_kWh*12*L10</f>
        <v>45603.7229299542</v>
      </c>
      <c r="M24" s="50" t="n">
        <f aca="false">M16*Seg4_kWh*12*M10</f>
        <v>46971.8346178528</v>
      </c>
      <c r="N24" s="50" t="n">
        <f aca="false">N16*Seg4_kWh*12*N10</f>
        <v>48380.9896563884</v>
      </c>
      <c r="O24" s="50" t="n">
        <f aca="false">O16*Seg4_kWh*12*O10</f>
        <v>49832.4193460801</v>
      </c>
      <c r="P24" s="50" t="n">
        <f aca="false">P16*Seg4_kWh*12*P10</f>
        <v>51327.3919264625</v>
      </c>
      <c r="Q24" s="50" t="n">
        <f aca="false">Q16*Seg4_kWh*12*Q10</f>
        <v>52867.2136842563</v>
      </c>
      <c r="R24" s="50" t="n">
        <f aca="false">R16*Seg4_kWh*12*R10</f>
        <v>54453.230094784</v>
      </c>
      <c r="S24" s="50" t="n">
        <f aca="false">S16*Seg4_kWh*12*S10</f>
        <v>56086.8269976275</v>
      </c>
      <c r="T24" s="50" t="n">
        <f aca="false">T16*Seg4_kWh*12*T10</f>
        <v>57769.4318075564</v>
      </c>
      <c r="U24" s="50" t="n">
        <f aca="false">U16*Seg4_kWh*12*U10</f>
        <v>59502.5147617831</v>
      </c>
      <c r="V24" s="50" t="n">
        <f aca="false">V16*Seg4_kWh*12*V10</f>
        <v>61287.5902046366</v>
      </c>
      <c r="W24" s="50" t="n">
        <f aca="false">W16*Seg4_kWh*12*W10</f>
        <v>63126.2179107757</v>
      </c>
    </row>
    <row r="25" customFormat="false" ht="15" hidden="false" customHeight="false" outlineLevel="0" collapsed="false">
      <c r="A25" s="10" t="str">
        <f aca="false">"Énergie vendue - "&amp;Seg5_Name&amp;" (kWh)"</f>
        <v>Énergie vendue - Autre / personnalisé (kWh)</v>
      </c>
      <c r="B25" s="51" t="n">
        <f aca="false">SUM(C25:W25)</f>
        <v>0</v>
      </c>
      <c r="C25" s="50" t="n">
        <v>0</v>
      </c>
      <c r="D25" s="50" t="n">
        <f aca="false">D17*Seg5_kWh*12*D10</f>
        <v>0</v>
      </c>
      <c r="E25" s="50" t="n">
        <f aca="false">E17*Seg5_kWh*12*E10</f>
        <v>0</v>
      </c>
      <c r="F25" s="50" t="n">
        <f aca="false">F17*Seg5_kWh*12*F10</f>
        <v>0</v>
      </c>
      <c r="G25" s="50" t="n">
        <f aca="false">G17*Seg5_kWh*12*G10</f>
        <v>0</v>
      </c>
      <c r="H25" s="50" t="n">
        <f aca="false">H17*Seg5_kWh*12*H10</f>
        <v>0</v>
      </c>
      <c r="I25" s="50" t="n">
        <f aca="false">I17*Seg5_kWh*12*I10</f>
        <v>0</v>
      </c>
      <c r="J25" s="50" t="n">
        <f aca="false">J17*Seg5_kWh*12*J10</f>
        <v>0</v>
      </c>
      <c r="K25" s="50" t="n">
        <f aca="false">K17*Seg5_kWh*12*K10</f>
        <v>0</v>
      </c>
      <c r="L25" s="50" t="n">
        <f aca="false">L17*Seg5_kWh*12*L10</f>
        <v>0</v>
      </c>
      <c r="M25" s="50" t="n">
        <f aca="false">M17*Seg5_kWh*12*M10</f>
        <v>0</v>
      </c>
      <c r="N25" s="50" t="n">
        <f aca="false">N17*Seg5_kWh*12*N10</f>
        <v>0</v>
      </c>
      <c r="O25" s="50" t="n">
        <f aca="false">O17*Seg5_kWh*12*O10</f>
        <v>0</v>
      </c>
      <c r="P25" s="50" t="n">
        <f aca="false">P17*Seg5_kWh*12*P10</f>
        <v>0</v>
      </c>
      <c r="Q25" s="50" t="n">
        <f aca="false">Q17*Seg5_kWh*12*Q10</f>
        <v>0</v>
      </c>
      <c r="R25" s="50" t="n">
        <f aca="false">R17*Seg5_kWh*12*R10</f>
        <v>0</v>
      </c>
      <c r="S25" s="50" t="n">
        <f aca="false">S17*Seg5_kWh*12*S10</f>
        <v>0</v>
      </c>
      <c r="T25" s="50" t="n">
        <f aca="false">T17*Seg5_kWh*12*T10</f>
        <v>0</v>
      </c>
      <c r="U25" s="50" t="n">
        <f aca="false">U17*Seg5_kWh*12*U10</f>
        <v>0</v>
      </c>
      <c r="V25" s="50" t="n">
        <f aca="false">V17*Seg5_kWh*12*V10</f>
        <v>0</v>
      </c>
      <c r="W25" s="50" t="n">
        <f aca="false">W17*Seg5_kWh*12*W10</f>
        <v>0</v>
      </c>
    </row>
    <row r="26" customFormat="false" ht="15" hidden="false" customHeight="false" outlineLevel="0" collapsed="false">
      <c r="A26" s="31" t="s">
        <v>213</v>
      </c>
      <c r="B26" s="51" t="n">
        <f aca="false">SUM(C26:W26)</f>
        <v>11052667.2853718</v>
      </c>
      <c r="C26" s="22" t="n">
        <f aca="false">C21+C22+C23+C24+C25</f>
        <v>0</v>
      </c>
      <c r="D26" s="22" t="n">
        <f aca="false">D21+D22+D23+D24+D25</f>
        <v>252000</v>
      </c>
      <c r="E26" s="22" t="n">
        <f aca="false">E21+E22+E23+E24+E25</f>
        <v>367710</v>
      </c>
      <c r="F26" s="22" t="n">
        <f aca="false">F21+F22+F23+F24+F25</f>
        <v>445578</v>
      </c>
      <c r="G26" s="22" t="n">
        <f aca="false">G21+G22+G23+G24+G25</f>
        <v>458945.34</v>
      </c>
      <c r="H26" s="22" t="n">
        <f aca="false">H21+H22+H23+H24+H25</f>
        <v>472713.7002</v>
      </c>
      <c r="I26" s="22" t="n">
        <f aca="false">I21+I22+I23+I24+I25</f>
        <v>486895.111206</v>
      </c>
      <c r="J26" s="22" t="n">
        <f aca="false">J21+J22+J23+J24+J25</f>
        <v>501501.96454218</v>
      </c>
      <c r="K26" s="22" t="n">
        <f aca="false">K21+K22+K23+K24+K25</f>
        <v>516547.023478446</v>
      </c>
      <c r="L26" s="22" t="n">
        <f aca="false">L21+L22+L23+L24+L25</f>
        <v>532043.434182799</v>
      </c>
      <c r="M26" s="22" t="n">
        <f aca="false">M21+M22+M23+M24+M25</f>
        <v>548004.737208283</v>
      </c>
      <c r="N26" s="22" t="n">
        <f aca="false">N21+N22+N23+N24+N25</f>
        <v>564444.879324531</v>
      </c>
      <c r="O26" s="22" t="n">
        <f aca="false">O21+O22+O23+O24+O25</f>
        <v>581378.225704267</v>
      </c>
      <c r="P26" s="22" t="n">
        <f aca="false">P21+P22+P23+P24+P25</f>
        <v>598819.572475395</v>
      </c>
      <c r="Q26" s="22" t="n">
        <f aca="false">Q21+Q22+Q23+Q24+Q25</f>
        <v>616784.159649657</v>
      </c>
      <c r="R26" s="22" t="n">
        <f aca="false">R21+R22+R23+R24+R25</f>
        <v>635287.684439147</v>
      </c>
      <c r="S26" s="22" t="n">
        <f aca="false">S21+S22+S23+S24+S25</f>
        <v>654346.314972321</v>
      </c>
      <c r="T26" s="22" t="n">
        <f aca="false">T21+T22+T23+T24+T25</f>
        <v>673976.704421491</v>
      </c>
      <c r="U26" s="22" t="n">
        <f aca="false">U21+U22+U23+U24+U25</f>
        <v>694196.005554136</v>
      </c>
      <c r="V26" s="22" t="n">
        <f aca="false">V21+V22+V23+V24+V25</f>
        <v>715021.88572076</v>
      </c>
      <c r="W26" s="22" t="n">
        <f aca="false">W21+W22+W23+W24+W25</f>
        <v>736472.542292383</v>
      </c>
    </row>
    <row r="28" customFormat="false" ht="15" hidden="false" customHeight="false" outlineLevel="0" collapsed="false">
      <c r="A28" s="8" t="s">
        <v>214</v>
      </c>
      <c r="B28" s="9"/>
      <c r="C28" s="9"/>
      <c r="D28" s="9"/>
      <c r="E28" s="9"/>
      <c r="F28" s="9"/>
      <c r="G28" s="9"/>
      <c r="H28" s="9"/>
      <c r="I28" s="9"/>
      <c r="J28" s="9"/>
      <c r="K28" s="9"/>
      <c r="L28" s="9"/>
      <c r="M28" s="9"/>
      <c r="N28" s="9"/>
      <c r="O28" s="9"/>
      <c r="P28" s="9"/>
      <c r="Q28" s="9"/>
      <c r="R28" s="9"/>
      <c r="S28" s="9"/>
      <c r="T28" s="9"/>
      <c r="U28" s="9"/>
      <c r="V28" s="9"/>
      <c r="W28" s="9"/>
    </row>
    <row r="29" customFormat="false" ht="15" hidden="false" customHeight="false" outlineLevel="0" collapsed="false">
      <c r="A29" s="10" t="s">
        <v>215</v>
      </c>
      <c r="B29" s="51" t="n">
        <f aca="false">SUM(C29:W29)</f>
        <v>12559849.1879225</v>
      </c>
      <c r="C29" s="50" t="n">
        <v>0</v>
      </c>
      <c r="D29" s="50" t="n">
        <f aca="false">D26/(1-Losses)</f>
        <v>286363.636363636</v>
      </c>
      <c r="E29" s="50" t="n">
        <f aca="false">E26/(1-Losses)</f>
        <v>417852.272727273</v>
      </c>
      <c r="F29" s="50" t="n">
        <f aca="false">F26/(1-Losses)</f>
        <v>506338.636363636</v>
      </c>
      <c r="G29" s="50" t="n">
        <f aca="false">G26/(1-Losses)</f>
        <v>521528.795454545</v>
      </c>
      <c r="H29" s="50" t="n">
        <f aca="false">H26/(1-Losses)</f>
        <v>537174.659318182</v>
      </c>
      <c r="I29" s="50" t="n">
        <f aca="false">I26/(1-Losses)</f>
        <v>553289.899097727</v>
      </c>
      <c r="J29" s="50" t="n">
        <f aca="false">J26/(1-Losses)</f>
        <v>569888.596070659</v>
      </c>
      <c r="K29" s="50" t="n">
        <f aca="false">K26/(1-Losses)</f>
        <v>586985.253952779</v>
      </c>
      <c r="L29" s="50" t="n">
        <f aca="false">L26/(1-Losses)</f>
        <v>604594.811571362</v>
      </c>
      <c r="M29" s="50" t="n">
        <f aca="false">M26/(1-Losses)</f>
        <v>622732.655918503</v>
      </c>
      <c r="N29" s="50" t="n">
        <f aca="false">N26/(1-Losses)</f>
        <v>641414.635596058</v>
      </c>
      <c r="O29" s="50" t="n">
        <f aca="false">O26/(1-Losses)</f>
        <v>660657.07466394</v>
      </c>
      <c r="P29" s="50" t="n">
        <f aca="false">P26/(1-Losses)</f>
        <v>680476.786903858</v>
      </c>
      <c r="Q29" s="50" t="n">
        <f aca="false">Q26/(1-Losses)</f>
        <v>700891.090510974</v>
      </c>
      <c r="R29" s="50" t="n">
        <f aca="false">R26/(1-Losses)</f>
        <v>721917.823226303</v>
      </c>
      <c r="S29" s="50" t="n">
        <f aca="false">S26/(1-Losses)</f>
        <v>743575.357923092</v>
      </c>
      <c r="T29" s="50" t="n">
        <f aca="false">T26/(1-Losses)</f>
        <v>765882.618660785</v>
      </c>
      <c r="U29" s="50" t="n">
        <f aca="false">U26/(1-Losses)</f>
        <v>788859.097220609</v>
      </c>
      <c r="V29" s="50" t="n">
        <f aca="false">V26/(1-Losses)</f>
        <v>812524.870137227</v>
      </c>
      <c r="W29" s="50" t="n">
        <f aca="false">W26/(1-Losses)</f>
        <v>836900.616241344</v>
      </c>
    </row>
    <row r="30" customFormat="false" ht="15" hidden="false" customHeight="false" outlineLevel="0" collapsed="false">
      <c r="A30" s="10" t="s">
        <v>216</v>
      </c>
      <c r="B30" s="51" t="n">
        <f aca="false">SUM(C30:W30)</f>
        <v>9997975.66361439</v>
      </c>
      <c r="C30" s="50" t="n">
        <v>0</v>
      </c>
      <c r="D30" s="50" t="n">
        <f aca="false">PV_kWp*SpecYield*(1-Degradation)^(D4-1)*D6</f>
        <v>524060.488636364</v>
      </c>
      <c r="E30" s="50" t="n">
        <f aca="false">PV_kWp*SpecYield*(1-Degradation)^(E4-1)*E6</f>
        <v>521440.186193182</v>
      </c>
      <c r="F30" s="50" t="n">
        <f aca="false">PV_kWp*SpecYield*(1-Degradation)^(F4-1)*F6</f>
        <v>518832.985262216</v>
      </c>
      <c r="G30" s="50" t="n">
        <f aca="false">PV_kWp*SpecYield*(1-Degradation)^(G4-1)*G6</f>
        <v>516238.820335905</v>
      </c>
      <c r="H30" s="50" t="n">
        <f aca="false">PV_kWp*SpecYield*(1-Degradation)^(H4-1)*H6</f>
        <v>513657.626234225</v>
      </c>
      <c r="I30" s="50" t="n">
        <f aca="false">PV_kWp*SpecYield*(1-Degradation)^(I4-1)*I6</f>
        <v>511089.338103054</v>
      </c>
      <c r="J30" s="50" t="n">
        <f aca="false">PV_kWp*SpecYield*(1-Degradation)^(J4-1)*J6</f>
        <v>508533.891412539</v>
      </c>
      <c r="K30" s="50" t="n">
        <f aca="false">PV_kWp*SpecYield*(1-Degradation)^(K4-1)*K6</f>
        <v>505991.221955476</v>
      </c>
      <c r="L30" s="50" t="n">
        <f aca="false">PV_kWp*SpecYield*(1-Degradation)^(L4-1)*L6</f>
        <v>503461.265845699</v>
      </c>
      <c r="M30" s="50" t="n">
        <f aca="false">PV_kWp*SpecYield*(1-Degradation)^(M4-1)*M6</f>
        <v>500943.95951647</v>
      </c>
      <c r="N30" s="50" t="n">
        <f aca="false">PV_kWp*SpecYield*(1-Degradation)^(N4-1)*N6</f>
        <v>498439.239718888</v>
      </c>
      <c r="O30" s="50" t="n">
        <f aca="false">PV_kWp*SpecYield*(1-Degradation)^(O4-1)*O6</f>
        <v>495947.043520294</v>
      </c>
      <c r="P30" s="50" t="n">
        <f aca="false">PV_kWp*SpecYield*(1-Degradation)^(P4-1)*P6</f>
        <v>493467.308302692</v>
      </c>
      <c r="Q30" s="50" t="n">
        <f aca="false">PV_kWp*SpecYield*(1-Degradation)^(Q4-1)*Q6</f>
        <v>490999.971761179</v>
      </c>
      <c r="R30" s="50" t="n">
        <f aca="false">PV_kWp*SpecYield*(1-Degradation)^(R4-1)*R6</f>
        <v>488544.971902373</v>
      </c>
      <c r="S30" s="50" t="n">
        <f aca="false">PV_kWp*SpecYield*(1-Degradation)^(S4-1)*S6</f>
        <v>486102.247042861</v>
      </c>
      <c r="T30" s="50" t="n">
        <f aca="false">PV_kWp*SpecYield*(1-Degradation)^(T4-1)*T6</f>
        <v>483671.735807647</v>
      </c>
      <c r="U30" s="50" t="n">
        <f aca="false">PV_kWp*SpecYield*(1-Degradation)^(U4-1)*U6</f>
        <v>481253.377128608</v>
      </c>
      <c r="V30" s="50" t="n">
        <f aca="false">PV_kWp*SpecYield*(1-Degradation)^(V4-1)*V6</f>
        <v>478847.110242965</v>
      </c>
      <c r="W30" s="50" t="n">
        <f aca="false">PV_kWp*SpecYield*(1-Degradation)^(W4-1)*W6</f>
        <v>476452.87469175</v>
      </c>
    </row>
    <row r="31" customFormat="false" ht="15" hidden="false" customHeight="false" outlineLevel="0" collapsed="false">
      <c r="A31" s="10" t="s">
        <v>217</v>
      </c>
      <c r="B31" s="51" t="n">
        <f aca="false">SUM(C31:W31)</f>
        <v>9432949.32824194</v>
      </c>
      <c r="C31" s="50" t="n">
        <v>0</v>
      </c>
      <c r="D31" s="50" t="n">
        <f aca="false">MIN(D30,D29*SolarFraction)</f>
        <v>257727.272727273</v>
      </c>
      <c r="E31" s="50" t="n">
        <f aca="false">MIN(E30,E29*SolarFraction)</f>
        <v>376067.045454545</v>
      </c>
      <c r="F31" s="50" t="n">
        <f aca="false">MIN(F30,F29*SolarFraction)</f>
        <v>455704.772727273</v>
      </c>
      <c r="G31" s="50" t="n">
        <f aca="false">MIN(G30,G29*SolarFraction)</f>
        <v>469375.915909091</v>
      </c>
      <c r="H31" s="50" t="n">
        <f aca="false">MIN(H30,H29*SolarFraction)</f>
        <v>483457.193386364</v>
      </c>
      <c r="I31" s="50" t="n">
        <f aca="false">MIN(I30,I29*SolarFraction)</f>
        <v>497960.909187955</v>
      </c>
      <c r="J31" s="50" t="n">
        <f aca="false">MIN(J30,J29*SolarFraction)</f>
        <v>508533.891412539</v>
      </c>
      <c r="K31" s="50" t="n">
        <f aca="false">MIN(K30,K29*SolarFraction)</f>
        <v>505991.221955476</v>
      </c>
      <c r="L31" s="50" t="n">
        <f aca="false">MIN(L30,L29*SolarFraction)</f>
        <v>503461.265845699</v>
      </c>
      <c r="M31" s="50" t="n">
        <f aca="false">MIN(M30,M29*SolarFraction)</f>
        <v>500943.95951647</v>
      </c>
      <c r="N31" s="50" t="n">
        <f aca="false">MIN(N30,N29*SolarFraction)</f>
        <v>498439.239718888</v>
      </c>
      <c r="O31" s="50" t="n">
        <f aca="false">MIN(O30,O29*SolarFraction)</f>
        <v>495947.043520294</v>
      </c>
      <c r="P31" s="50" t="n">
        <f aca="false">MIN(P30,P29*SolarFraction)</f>
        <v>493467.308302692</v>
      </c>
      <c r="Q31" s="50" t="n">
        <f aca="false">MIN(Q30,Q29*SolarFraction)</f>
        <v>490999.971761179</v>
      </c>
      <c r="R31" s="50" t="n">
        <f aca="false">MIN(R30,R29*SolarFraction)</f>
        <v>488544.971902373</v>
      </c>
      <c r="S31" s="50" t="n">
        <f aca="false">MIN(S30,S29*SolarFraction)</f>
        <v>486102.247042861</v>
      </c>
      <c r="T31" s="50" t="n">
        <f aca="false">MIN(T30,T29*SolarFraction)</f>
        <v>483671.735807647</v>
      </c>
      <c r="U31" s="50" t="n">
        <f aca="false">MIN(U30,U29*SolarFraction)</f>
        <v>481253.377128608</v>
      </c>
      <c r="V31" s="50" t="n">
        <f aca="false">MIN(V30,V29*SolarFraction)</f>
        <v>478847.110242965</v>
      </c>
      <c r="W31" s="50" t="n">
        <f aca="false">MIN(W30,W29*SolarFraction)</f>
        <v>476452.87469175</v>
      </c>
    </row>
    <row r="32" customFormat="false" ht="15" hidden="false" customHeight="false" outlineLevel="0" collapsed="false">
      <c r="A32" s="10" t="s">
        <v>218</v>
      </c>
      <c r="B32" s="51" t="n">
        <f aca="false">SUM(C32:W32)</f>
        <v>3126899.85968056</v>
      </c>
      <c r="C32" s="50" t="n">
        <v>0</v>
      </c>
      <c r="D32" s="50" t="n">
        <f aca="false">D29-D31</f>
        <v>28636.3636363636</v>
      </c>
      <c r="E32" s="50" t="n">
        <f aca="false">E29-E31</f>
        <v>41785.2272727272</v>
      </c>
      <c r="F32" s="50" t="n">
        <f aca="false">F29-F31</f>
        <v>50633.8636363637</v>
      </c>
      <c r="G32" s="50" t="n">
        <f aca="false">G29-G31</f>
        <v>52152.8795454545</v>
      </c>
      <c r="H32" s="50" t="n">
        <f aca="false">H29-H31</f>
        <v>53717.4659318182</v>
      </c>
      <c r="I32" s="50" t="n">
        <f aca="false">I29-I31</f>
        <v>55328.9899097727</v>
      </c>
      <c r="J32" s="50" t="n">
        <f aca="false">J29-J31</f>
        <v>61354.7046581202</v>
      </c>
      <c r="K32" s="50" t="n">
        <f aca="false">K29-K31</f>
        <v>80994.0319973028</v>
      </c>
      <c r="L32" s="50" t="n">
        <f aca="false">L29-L31</f>
        <v>101133.545725664</v>
      </c>
      <c r="M32" s="50" t="n">
        <f aca="false">M29-M31</f>
        <v>121788.696402033</v>
      </c>
      <c r="N32" s="50" t="n">
        <f aca="false">N29-N31</f>
        <v>142975.39587717</v>
      </c>
      <c r="O32" s="50" t="n">
        <f aca="false">O29-O31</f>
        <v>164710.031143647</v>
      </c>
      <c r="P32" s="50" t="n">
        <f aca="false">P29-P31</f>
        <v>187009.478601166</v>
      </c>
      <c r="Q32" s="50" t="n">
        <f aca="false">Q29-Q31</f>
        <v>209891.118749795</v>
      </c>
      <c r="R32" s="50" t="n">
        <f aca="false">R29-R31</f>
        <v>233372.851323931</v>
      </c>
      <c r="S32" s="50" t="n">
        <f aca="false">S29-S31</f>
        <v>257473.110880231</v>
      </c>
      <c r="T32" s="50" t="n">
        <f aca="false">T29-T31</f>
        <v>282210.882853139</v>
      </c>
      <c r="U32" s="50" t="n">
        <f aca="false">U29-U31</f>
        <v>307605.720092001</v>
      </c>
      <c r="V32" s="50" t="n">
        <f aca="false">V29-V31</f>
        <v>333677.759894262</v>
      </c>
      <c r="W32" s="50" t="n">
        <f aca="false">W29-W31</f>
        <v>360447.741549594</v>
      </c>
    </row>
    <row r="33" customFormat="false" ht="15" hidden="false" customHeight="false" outlineLevel="0" collapsed="false">
      <c r="A33" s="10" t="s">
        <v>219</v>
      </c>
      <c r="C33" s="48" t="n">
        <v>0</v>
      </c>
      <c r="D33" s="48" t="n">
        <f aca="false">IFERROR(D31/D29,0)</f>
        <v>0.9</v>
      </c>
      <c r="E33" s="48" t="n">
        <f aca="false">IFERROR(E31/E29,0)</f>
        <v>0.9</v>
      </c>
      <c r="F33" s="48" t="n">
        <f aca="false">IFERROR(F31/F29,0)</f>
        <v>0.9</v>
      </c>
      <c r="G33" s="48" t="n">
        <f aca="false">IFERROR(G31/G29,0)</f>
        <v>0.9</v>
      </c>
      <c r="H33" s="48" t="n">
        <f aca="false">IFERROR(H31/H29,0)</f>
        <v>0.9</v>
      </c>
      <c r="I33" s="48" t="n">
        <f aca="false">IFERROR(I31/I29,0)</f>
        <v>0.9</v>
      </c>
      <c r="J33" s="48" t="n">
        <f aca="false">IFERROR(J31/J29,0)</f>
        <v>0.892339125434065</v>
      </c>
      <c r="K33" s="48" t="n">
        <f aca="false">IFERROR(K31/K29,0)</f>
        <v>0.862016922142616</v>
      </c>
      <c r="L33" s="48" t="n">
        <f aca="false">IFERROR(L31/L29,0)</f>
        <v>0.83272508498243</v>
      </c>
      <c r="M33" s="48" t="n">
        <f aca="false">IFERROR(M31/M29,0)</f>
        <v>0.804428601512153</v>
      </c>
      <c r="N33" s="48" t="n">
        <f aca="false">IFERROR(N31/N29,0)</f>
        <v>0.777093649033585</v>
      </c>
      <c r="O33" s="48" t="n">
        <f aca="false">IFERROR(O31/O29,0)</f>
        <v>0.750687554163511</v>
      </c>
      <c r="P33" s="48" t="n">
        <f aca="false">IFERROR(P31/P29,0)</f>
        <v>0.725178753779314</v>
      </c>
      <c r="Q33" s="48" t="n">
        <f aca="false">IFERROR(Q31/Q29,0)</f>
        <v>0.700536757291668</v>
      </c>
      <c r="R33" s="48" t="n">
        <f aca="false">IFERROR(R31/R29,0)</f>
        <v>0.676732110199232</v>
      </c>
      <c r="S33" s="48" t="n">
        <f aca="false">IFERROR(S31/S29,0)</f>
        <v>0.653736358881783</v>
      </c>
      <c r="T33" s="48" t="n">
        <f aca="false">IFERROR(T31/T29,0)</f>
        <v>0.631522016589683</v>
      </c>
      <c r="U33" s="48" t="n">
        <f aca="false">IFERROR(U31/U29,0)</f>
        <v>0.610062530589063</v>
      </c>
      <c r="V33" s="48" t="n">
        <f aca="false">IFERROR(V31/V29,0)</f>
        <v>0.589332250423415</v>
      </c>
      <c r="W33" s="48" t="n">
        <f aca="false">IFERROR(W31/W29,0)</f>
        <v>0.569306397253688</v>
      </c>
    </row>
    <row r="34" customFormat="false" ht="15" hidden="false" customHeight="false" outlineLevel="0" collapsed="false">
      <c r="A34" s="10" t="s">
        <v>220</v>
      </c>
      <c r="B34" s="51" t="n">
        <f aca="false">SUM(C34:W34)</f>
        <v>1042299.95322685</v>
      </c>
      <c r="C34" s="50" t="n">
        <v>0</v>
      </c>
      <c r="D34" s="50" t="n">
        <f aca="false">D32/DieselEff</f>
        <v>9545.45454545454</v>
      </c>
      <c r="E34" s="50" t="n">
        <f aca="false">E32/DieselEff</f>
        <v>13928.4090909091</v>
      </c>
      <c r="F34" s="50" t="n">
        <f aca="false">F32/DieselEff</f>
        <v>16877.9545454545</v>
      </c>
      <c r="G34" s="50" t="n">
        <f aca="false">G32/DieselEff</f>
        <v>17384.2931818182</v>
      </c>
      <c r="H34" s="50" t="n">
        <f aca="false">H32/DieselEff</f>
        <v>17905.8219772727</v>
      </c>
      <c r="I34" s="50" t="n">
        <f aca="false">I32/DieselEff</f>
        <v>18442.9966365909</v>
      </c>
      <c r="J34" s="50" t="n">
        <f aca="false">J32/DieselEff</f>
        <v>20451.5682193734</v>
      </c>
      <c r="K34" s="50" t="n">
        <f aca="false">K32/DieselEff</f>
        <v>26998.0106657676</v>
      </c>
      <c r="L34" s="50" t="n">
        <f aca="false">L32/DieselEff</f>
        <v>33711.1819085545</v>
      </c>
      <c r="M34" s="50" t="n">
        <f aca="false">M32/DieselEff</f>
        <v>40596.232134011</v>
      </c>
      <c r="N34" s="50" t="n">
        <f aca="false">N32/DieselEff</f>
        <v>47658.4652923901</v>
      </c>
      <c r="O34" s="50" t="n">
        <f aca="false">O32/DieselEff</f>
        <v>54903.3437145489</v>
      </c>
      <c r="P34" s="50" t="n">
        <f aca="false">P32/DieselEff</f>
        <v>62336.4928670554</v>
      </c>
      <c r="Q34" s="50" t="n">
        <f aca="false">Q32/DieselEff</f>
        <v>69963.7062499318</v>
      </c>
      <c r="R34" s="50" t="n">
        <f aca="false">R32/DieselEff</f>
        <v>77790.9504413102</v>
      </c>
      <c r="S34" s="50" t="n">
        <f aca="false">S32/DieselEff</f>
        <v>85824.3702934105</v>
      </c>
      <c r="T34" s="50" t="n">
        <f aca="false">T32/DieselEff</f>
        <v>94070.2942843796</v>
      </c>
      <c r="U34" s="50" t="n">
        <f aca="false">U32/DieselEff</f>
        <v>102535.240030667</v>
      </c>
      <c r="V34" s="50" t="n">
        <f aca="false">V32/DieselEff</f>
        <v>111225.919964754</v>
      </c>
      <c r="W34" s="50" t="n">
        <f aca="false">W32/DieselEff</f>
        <v>120149.247183198</v>
      </c>
    </row>
    <row r="36" customFormat="false" ht="15" hidden="false" customHeight="false" outlineLevel="0" collapsed="false">
      <c r="A36" s="8" t="s">
        <v>221</v>
      </c>
      <c r="B36" s="9"/>
      <c r="C36" s="9"/>
      <c r="D36" s="9"/>
      <c r="E36" s="9"/>
      <c r="F36" s="9"/>
      <c r="G36" s="9"/>
      <c r="H36" s="9"/>
      <c r="I36" s="9"/>
      <c r="J36" s="9"/>
      <c r="K36" s="9"/>
      <c r="L36" s="9"/>
      <c r="M36" s="9"/>
      <c r="N36" s="9"/>
      <c r="O36" s="9"/>
      <c r="P36" s="9"/>
      <c r="Q36" s="9"/>
      <c r="R36" s="9"/>
      <c r="S36" s="9"/>
      <c r="T36" s="9"/>
      <c r="U36" s="9"/>
      <c r="V36" s="9"/>
      <c r="W36" s="9"/>
    </row>
    <row r="37" customFormat="false" ht="15" hidden="false" customHeight="false" outlineLevel="0" collapsed="false">
      <c r="A37" s="10" t="str">
        <f aca="false">"Recettes facturées - "&amp;Seg1_Name</f>
        <v>Recettes facturées - Ménages</v>
      </c>
      <c r="B37" s="51" t="n">
        <f aca="false">SUM(C37:W37)</f>
        <v>2107258.13958533</v>
      </c>
      <c r="C37" s="50" t="n">
        <v>0</v>
      </c>
      <c r="D37" s="50" t="n">
        <f aca="false">D21*Seg1_Tariff*LevTariff*D8</f>
        <v>34560</v>
      </c>
      <c r="E37" s="50" t="n">
        <f aca="false">E21*Seg1_Tariff*LevTariff*E8</f>
        <v>51941.664</v>
      </c>
      <c r="F37" s="50" t="n">
        <f aca="false">F21*Seg1_Tariff*LevTariff*F8</f>
        <v>64829.307456</v>
      </c>
      <c r="G37" s="50" t="n">
        <f aca="false">G21*Seg1_Tariff*LevTariff*G8</f>
        <v>68777.4122800704</v>
      </c>
      <c r="H37" s="50" t="n">
        <f aca="false">H21*Seg1_Tariff*LevTariff*H8</f>
        <v>72965.9566879267</v>
      </c>
      <c r="I37" s="50" t="n">
        <f aca="false">I21*Seg1_Tariff*LevTariff*I8</f>
        <v>77409.5834502214</v>
      </c>
      <c r="J37" s="50" t="n">
        <f aca="false">J21*Seg1_Tariff*LevTariff*J8</f>
        <v>82123.8270823399</v>
      </c>
      <c r="K37" s="50" t="n">
        <f aca="false">K21*Seg1_Tariff*LevTariff*K8</f>
        <v>87125.1681516545</v>
      </c>
      <c r="L37" s="50" t="n">
        <f aca="false">L21*Seg1_Tariff*LevTariff*L8</f>
        <v>92431.0908920902</v>
      </c>
      <c r="M37" s="50" t="n">
        <f aca="false">M21*Seg1_Tariff*LevTariff*M8</f>
        <v>98060.1443274185</v>
      </c>
      <c r="N37" s="50" t="n">
        <f aca="false">N21*Seg1_Tariff*LevTariff*N8</f>
        <v>104032.007116958</v>
      </c>
      <c r="O37" s="50" t="n">
        <f aca="false">O21*Seg1_Tariff*LevTariff*O8</f>
        <v>110367.556350381</v>
      </c>
      <c r="P37" s="50" t="n">
        <f aca="false">P21*Seg1_Tariff*LevTariff*P8</f>
        <v>117088.940532119</v>
      </c>
      <c r="Q37" s="50" t="n">
        <f aca="false">Q21*Seg1_Tariff*LevTariff*Q8</f>
        <v>124219.657010525</v>
      </c>
      <c r="R37" s="50" t="n">
        <f aca="false">R21*Seg1_Tariff*LevTariff*R8</f>
        <v>131784.634122466</v>
      </c>
      <c r="S37" s="50" t="n">
        <f aca="false">S21*Seg1_Tariff*LevTariff*S8</f>
        <v>139810.318340525</v>
      </c>
      <c r="T37" s="50" t="n">
        <f aca="false">T21*Seg1_Tariff*LevTariff*T8</f>
        <v>148324.766727463</v>
      </c>
      <c r="U37" s="50" t="n">
        <f aca="false">U21*Seg1_Tariff*LevTariff*U8</f>
        <v>157357.745021165</v>
      </c>
      <c r="V37" s="50" t="n">
        <f aca="false">V21*Seg1_Tariff*LevTariff*V8</f>
        <v>166940.831692954</v>
      </c>
      <c r="W37" s="50" t="n">
        <f aca="false">W21*Seg1_Tariff*LevTariff*W8</f>
        <v>177107.528343055</v>
      </c>
    </row>
    <row r="38" customFormat="false" ht="15" hidden="false" customHeight="false" outlineLevel="0" collapsed="false">
      <c r="A38" s="10" t="str">
        <f aca="false">"Recettes facturées - "&amp;Seg2_Name</f>
        <v>Recettes facturées - Usagers productifs (moulins, soudure, chambres froides)</v>
      </c>
      <c r="B38" s="51" t="n">
        <f aca="false">SUM(C38:W38)</f>
        <v>2304813.59017146</v>
      </c>
      <c r="C38" s="50" t="n">
        <v>0</v>
      </c>
      <c r="D38" s="50" t="n">
        <f aca="false">D22*Seg2_Tariff*LevTariff*D8</f>
        <v>37800</v>
      </c>
      <c r="E38" s="50" t="n">
        <f aca="false">E22*Seg2_Tariff*LevTariff*E8</f>
        <v>56811.195</v>
      </c>
      <c r="F38" s="50" t="n">
        <f aca="false">F22*Seg2_Tariff*LevTariff*F8</f>
        <v>70907.05503</v>
      </c>
      <c r="G38" s="50" t="n">
        <f aca="false">G22*Seg2_Tariff*LevTariff*G8</f>
        <v>75225.294681327</v>
      </c>
      <c r="H38" s="50" t="n">
        <f aca="false">H22*Seg2_Tariff*LevTariff*H8</f>
        <v>79806.5151274198</v>
      </c>
      <c r="I38" s="50" t="n">
        <f aca="false">I22*Seg2_Tariff*LevTariff*I8</f>
        <v>84666.7318986797</v>
      </c>
      <c r="J38" s="50" t="n">
        <f aca="false">J22*Seg2_Tariff*LevTariff*J8</f>
        <v>89822.9358713093</v>
      </c>
      <c r="K38" s="50" t="n">
        <f aca="false">K22*Seg2_Tariff*LevTariff*K8</f>
        <v>95293.152665872</v>
      </c>
      <c r="L38" s="50" t="n">
        <f aca="false">L22*Seg2_Tariff*LevTariff*L8</f>
        <v>101096.505663224</v>
      </c>
      <c r="M38" s="50" t="n">
        <f aca="false">M22*Seg2_Tariff*LevTariff*M8</f>
        <v>107253.282858114</v>
      </c>
      <c r="N38" s="50" t="n">
        <f aca="false">N22*Seg2_Tariff*LevTariff*N8</f>
        <v>113785.007784173</v>
      </c>
      <c r="O38" s="50" t="n">
        <f aca="false">O22*Seg2_Tariff*LevTariff*O8</f>
        <v>120714.514758229</v>
      </c>
      <c r="P38" s="50" t="n">
        <f aca="false">P22*Seg2_Tariff*LevTariff*P8</f>
        <v>128066.028707005</v>
      </c>
      <c r="Q38" s="50" t="n">
        <f aca="false">Q22*Seg2_Tariff*LevTariff*Q8</f>
        <v>135865.249855262</v>
      </c>
      <c r="R38" s="50" t="n">
        <f aca="false">R22*Seg2_Tariff*LevTariff*R8</f>
        <v>144139.443571448</v>
      </c>
      <c r="S38" s="50" t="n">
        <f aca="false">S22*Seg2_Tariff*LevTariff*S8</f>
        <v>152917.535684949</v>
      </c>
      <c r="T38" s="50" t="n">
        <f aca="false">T22*Seg2_Tariff*LevTariff*T8</f>
        <v>162230.213608162</v>
      </c>
      <c r="U38" s="50" t="n">
        <f aca="false">U22*Seg2_Tariff*LevTariff*U8</f>
        <v>172110.033616899</v>
      </c>
      <c r="V38" s="50" t="n">
        <f aca="false">V22*Seg2_Tariff*LevTariff*V8</f>
        <v>182591.534664168</v>
      </c>
      <c r="W38" s="50" t="n">
        <f aca="false">W22*Seg2_Tariff*LevTariff*W8</f>
        <v>193711.359125216</v>
      </c>
    </row>
    <row r="39" customFormat="false" ht="15" hidden="false" customHeight="false" outlineLevel="0" collapsed="false">
      <c r="A39" s="10" t="str">
        <f aca="false">"Recettes facturées - "&amp;Seg3_Name</f>
        <v>Recettes facturées - Commerces (boutiques, bars, kiosques)</v>
      </c>
      <c r="B39" s="51" t="n">
        <f aca="false">SUM(C39:W39)</f>
        <v>878024.224827222</v>
      </c>
      <c r="C39" s="50" t="n">
        <v>0</v>
      </c>
      <c r="D39" s="50" t="n">
        <f aca="false">D23*Seg3_Tariff*LevTariff*D8</f>
        <v>14400</v>
      </c>
      <c r="E39" s="50" t="n">
        <f aca="false">E23*Seg3_Tariff*LevTariff*E8</f>
        <v>21642.36</v>
      </c>
      <c r="F39" s="50" t="n">
        <f aca="false">F23*Seg3_Tariff*LevTariff*F8</f>
        <v>27012.21144</v>
      </c>
      <c r="G39" s="50" t="n">
        <f aca="false">G23*Seg3_Tariff*LevTariff*G8</f>
        <v>28657.255116696</v>
      </c>
      <c r="H39" s="50" t="n">
        <f aca="false">H23*Seg3_Tariff*LevTariff*H8</f>
        <v>30402.4819533028</v>
      </c>
      <c r="I39" s="50" t="n">
        <f aca="false">I23*Seg3_Tariff*LevTariff*I8</f>
        <v>32253.9931042589</v>
      </c>
      <c r="J39" s="50" t="n">
        <f aca="false">J23*Seg3_Tariff*LevTariff*J8</f>
        <v>34218.2612843083</v>
      </c>
      <c r="K39" s="50" t="n">
        <f aca="false">K23*Seg3_Tariff*LevTariff*K8</f>
        <v>36302.1533965227</v>
      </c>
      <c r="L39" s="50" t="n">
        <f aca="false">L23*Seg3_Tariff*LevTariff*L8</f>
        <v>38512.9545383709</v>
      </c>
      <c r="M39" s="50" t="n">
        <f aca="false">M23*Seg3_Tariff*LevTariff*M8</f>
        <v>40858.3934697577</v>
      </c>
      <c r="N39" s="50" t="n">
        <f aca="false">N23*Seg3_Tariff*LevTariff*N8</f>
        <v>43346.669632066</v>
      </c>
      <c r="O39" s="50" t="n">
        <f aca="false">O23*Seg3_Tariff*LevTariff*O8</f>
        <v>45986.4818126588</v>
      </c>
      <c r="P39" s="50" t="n">
        <f aca="false">P23*Seg3_Tariff*LevTariff*P8</f>
        <v>48787.0585550497</v>
      </c>
      <c r="Q39" s="50" t="n">
        <f aca="false">Q23*Seg3_Tariff*LevTariff*Q8</f>
        <v>51758.1904210522</v>
      </c>
      <c r="R39" s="50" t="n">
        <f aca="false">R23*Seg3_Tariff*LevTariff*R8</f>
        <v>54910.2642176943</v>
      </c>
      <c r="S39" s="50" t="n">
        <f aca="false">S23*Seg3_Tariff*LevTariff*S8</f>
        <v>58254.2993085519</v>
      </c>
      <c r="T39" s="50" t="n">
        <f aca="false">T23*Seg3_Tariff*LevTariff*T8</f>
        <v>61801.9861364427</v>
      </c>
      <c r="U39" s="50" t="n">
        <f aca="false">U23*Seg3_Tariff*LevTariff*U8</f>
        <v>65565.7270921521</v>
      </c>
      <c r="V39" s="50" t="n">
        <f aca="false">V23*Seg3_Tariff*LevTariff*V8</f>
        <v>69558.6798720642</v>
      </c>
      <c r="W39" s="50" t="n">
        <f aca="false">W23*Seg3_Tariff*LevTariff*W8</f>
        <v>73794.8034762729</v>
      </c>
    </row>
    <row r="40" customFormat="false" ht="15" hidden="false" customHeight="false" outlineLevel="0" collapsed="false">
      <c r="A40" s="10" t="str">
        <f aca="false">"Recettes facturées - "&amp;Seg4_Name</f>
        <v>Recettes facturées - Institutions (centre de santé, école, eau)</v>
      </c>
      <c r="B40" s="51" t="n">
        <f aca="false">SUM(C40:W40)</f>
        <v>460962.718034292</v>
      </c>
      <c r="C40" s="50" t="n">
        <v>0</v>
      </c>
      <c r="D40" s="50" t="n">
        <f aca="false">D24*Seg4_Tariff*LevTariff*D8</f>
        <v>7560</v>
      </c>
      <c r="E40" s="50" t="n">
        <f aca="false">E24*Seg4_Tariff*LevTariff*E8</f>
        <v>11362.239</v>
      </c>
      <c r="F40" s="50" t="n">
        <f aca="false">F24*Seg4_Tariff*LevTariff*F8</f>
        <v>14181.411006</v>
      </c>
      <c r="G40" s="50" t="n">
        <f aca="false">G24*Seg4_Tariff*LevTariff*G8</f>
        <v>15045.0589362654</v>
      </c>
      <c r="H40" s="50" t="n">
        <f aca="false">H24*Seg4_Tariff*LevTariff*H8</f>
        <v>15961.303025484</v>
      </c>
      <c r="I40" s="50" t="n">
        <f aca="false">I24*Seg4_Tariff*LevTariff*I8</f>
        <v>16933.3463797359</v>
      </c>
      <c r="J40" s="50" t="n">
        <f aca="false">J24*Seg4_Tariff*LevTariff*J8</f>
        <v>17964.5871742619</v>
      </c>
      <c r="K40" s="50" t="n">
        <f aca="false">K24*Seg4_Tariff*LevTariff*K8</f>
        <v>19058.6305331744</v>
      </c>
      <c r="L40" s="50" t="n">
        <f aca="false">L24*Seg4_Tariff*LevTariff*L8</f>
        <v>20219.3011326447</v>
      </c>
      <c r="M40" s="50" t="n">
        <f aca="false">M24*Seg4_Tariff*LevTariff*M8</f>
        <v>21450.6565716228</v>
      </c>
      <c r="N40" s="50" t="n">
        <f aca="false">N24*Seg4_Tariff*LevTariff*N8</f>
        <v>22757.0015568346</v>
      </c>
      <c r="O40" s="50" t="n">
        <f aca="false">O24*Seg4_Tariff*LevTariff*O8</f>
        <v>24142.9029516459</v>
      </c>
      <c r="P40" s="50" t="n">
        <f aca="false">P24*Seg4_Tariff*LevTariff*P8</f>
        <v>25613.2057414011</v>
      </c>
      <c r="Q40" s="50" t="n">
        <f aca="false">Q24*Seg4_Tariff*LevTariff*Q8</f>
        <v>27173.0499710524</v>
      </c>
      <c r="R40" s="50" t="n">
        <f aca="false">R24*Seg4_Tariff*LevTariff*R8</f>
        <v>28827.8887142895</v>
      </c>
      <c r="S40" s="50" t="n">
        <f aca="false">S24*Seg4_Tariff*LevTariff*S8</f>
        <v>30583.5071369897</v>
      </c>
      <c r="T40" s="50" t="n">
        <f aca="false">T24*Seg4_Tariff*LevTariff*T8</f>
        <v>32446.0427216324</v>
      </c>
      <c r="U40" s="50" t="n">
        <f aca="false">U24*Seg4_Tariff*LevTariff*U8</f>
        <v>34422.0067233798</v>
      </c>
      <c r="V40" s="50" t="n">
        <f aca="false">V24*Seg4_Tariff*LevTariff*V8</f>
        <v>36518.3069328337</v>
      </c>
      <c r="W40" s="50" t="n">
        <f aca="false">W24*Seg4_Tariff*LevTariff*W8</f>
        <v>38742.2718250432</v>
      </c>
    </row>
    <row r="41" customFormat="false" ht="15" hidden="false" customHeight="false" outlineLevel="0" collapsed="false">
      <c r="A41" s="10" t="str">
        <f aca="false">"Recettes facturées - "&amp;Seg5_Name</f>
        <v>Recettes facturées - Autre / personnalisé</v>
      </c>
      <c r="B41" s="51" t="n">
        <f aca="false">SUM(C41:W41)</f>
        <v>0</v>
      </c>
      <c r="C41" s="50" t="n">
        <v>0</v>
      </c>
      <c r="D41" s="50" t="n">
        <f aca="false">D25*Seg5_Tariff*LevTariff*D8</f>
        <v>0</v>
      </c>
      <c r="E41" s="50" t="n">
        <f aca="false">E25*Seg5_Tariff*LevTariff*E8</f>
        <v>0</v>
      </c>
      <c r="F41" s="50" t="n">
        <f aca="false">F25*Seg5_Tariff*LevTariff*F8</f>
        <v>0</v>
      </c>
      <c r="G41" s="50" t="n">
        <f aca="false">G25*Seg5_Tariff*LevTariff*G8</f>
        <v>0</v>
      </c>
      <c r="H41" s="50" t="n">
        <f aca="false">H25*Seg5_Tariff*LevTariff*H8</f>
        <v>0</v>
      </c>
      <c r="I41" s="50" t="n">
        <f aca="false">I25*Seg5_Tariff*LevTariff*I8</f>
        <v>0</v>
      </c>
      <c r="J41" s="50" t="n">
        <f aca="false">J25*Seg5_Tariff*LevTariff*J8</f>
        <v>0</v>
      </c>
      <c r="K41" s="50" t="n">
        <f aca="false">K25*Seg5_Tariff*LevTariff*K8</f>
        <v>0</v>
      </c>
      <c r="L41" s="50" t="n">
        <f aca="false">L25*Seg5_Tariff*LevTariff*L8</f>
        <v>0</v>
      </c>
      <c r="M41" s="50" t="n">
        <f aca="false">M25*Seg5_Tariff*LevTariff*M8</f>
        <v>0</v>
      </c>
      <c r="N41" s="50" t="n">
        <f aca="false">N25*Seg5_Tariff*LevTariff*N8</f>
        <v>0</v>
      </c>
      <c r="O41" s="50" t="n">
        <f aca="false">O25*Seg5_Tariff*LevTariff*O8</f>
        <v>0</v>
      </c>
      <c r="P41" s="50" t="n">
        <f aca="false">P25*Seg5_Tariff*LevTariff*P8</f>
        <v>0</v>
      </c>
      <c r="Q41" s="50" t="n">
        <f aca="false">Q25*Seg5_Tariff*LevTariff*Q8</f>
        <v>0</v>
      </c>
      <c r="R41" s="50" t="n">
        <f aca="false">R25*Seg5_Tariff*LevTariff*R8</f>
        <v>0</v>
      </c>
      <c r="S41" s="50" t="n">
        <f aca="false">S25*Seg5_Tariff*LevTariff*S8</f>
        <v>0</v>
      </c>
      <c r="T41" s="50" t="n">
        <f aca="false">T25*Seg5_Tariff*LevTariff*T8</f>
        <v>0</v>
      </c>
      <c r="U41" s="50" t="n">
        <f aca="false">U25*Seg5_Tariff*LevTariff*U8</f>
        <v>0</v>
      </c>
      <c r="V41" s="50" t="n">
        <f aca="false">V25*Seg5_Tariff*LevTariff*V8</f>
        <v>0</v>
      </c>
      <c r="W41" s="50" t="n">
        <f aca="false">W25*Seg5_Tariff*LevTariff*W8</f>
        <v>0</v>
      </c>
    </row>
    <row r="42" customFormat="false" ht="15" hidden="false" customHeight="false" outlineLevel="0" collapsed="false">
      <c r="A42" s="31" t="s">
        <v>222</v>
      </c>
      <c r="B42" s="51" t="n">
        <f aca="false">SUM(C42:W42)</f>
        <v>5751058.6726183</v>
      </c>
      <c r="C42" s="22" t="n">
        <f aca="false">C37+C38+C39+C40+C41</f>
        <v>0</v>
      </c>
      <c r="D42" s="22" t="n">
        <f aca="false">D37+D38+D39+D40+D41</f>
        <v>94320</v>
      </c>
      <c r="E42" s="22" t="n">
        <f aca="false">E37+E38+E39+E40+E41</f>
        <v>141757.458</v>
      </c>
      <c r="F42" s="22" t="n">
        <f aca="false">F37+F38+F39+F40+F41</f>
        <v>176929.984932</v>
      </c>
      <c r="G42" s="22" t="n">
        <f aca="false">G37+G38+G39+G40+G41</f>
        <v>187705.021014359</v>
      </c>
      <c r="H42" s="22" t="n">
        <f aca="false">H37+H38+H39+H40+H41</f>
        <v>199136.256794133</v>
      </c>
      <c r="I42" s="22" t="n">
        <f aca="false">I37+I38+I39+I40+I41</f>
        <v>211263.654832896</v>
      </c>
      <c r="J42" s="22" t="n">
        <f aca="false">J37+J38+J39+J40+J41</f>
        <v>224129.611412219</v>
      </c>
      <c r="K42" s="22" t="n">
        <f aca="false">K37+K38+K39+K40+K41</f>
        <v>237779.104747224</v>
      </c>
      <c r="L42" s="22" t="n">
        <f aca="false">L37+L38+L39+L40+L41</f>
        <v>252259.85222633</v>
      </c>
      <c r="M42" s="22" t="n">
        <f aca="false">M37+M38+M39+M40+M41</f>
        <v>267622.477226913</v>
      </c>
      <c r="N42" s="22" t="n">
        <f aca="false">N37+N38+N39+N40+N41</f>
        <v>283920.686090032</v>
      </c>
      <c r="O42" s="22" t="n">
        <f aca="false">O37+O38+O39+O40+O41</f>
        <v>301211.455872915</v>
      </c>
      <c r="P42" s="22" t="n">
        <f aca="false">P37+P38+P39+P40+P41</f>
        <v>319555.233535575</v>
      </c>
      <c r="Q42" s="22" t="n">
        <f aca="false">Q37+Q38+Q39+Q40+Q41</f>
        <v>339016.147257892</v>
      </c>
      <c r="R42" s="22" t="n">
        <f aca="false">R37+R38+R39+R40+R41</f>
        <v>359662.230625898</v>
      </c>
      <c r="S42" s="22" t="n">
        <f aca="false">S37+S38+S39+S40+S41</f>
        <v>381565.660471015</v>
      </c>
      <c r="T42" s="22" t="n">
        <f aca="false">T37+T38+T39+T40+T41</f>
        <v>404803.0091937</v>
      </c>
      <c r="U42" s="22" t="n">
        <f aca="false">U37+U38+U39+U40+U41</f>
        <v>429455.512453596</v>
      </c>
      <c r="V42" s="22" t="n">
        <f aca="false">V37+V38+V39+V40+V41</f>
        <v>455609.35316202</v>
      </c>
      <c r="W42" s="22" t="n">
        <f aca="false">W37+W38+W39+W40+W41</f>
        <v>483355.962769587</v>
      </c>
    </row>
    <row r="43" customFormat="false" ht="15" hidden="false" customHeight="false" outlineLevel="0" collapsed="false">
      <c r="A43" s="10" t="s">
        <v>223</v>
      </c>
      <c r="B43" s="51" t="n">
        <f aca="false">SUM(C43:W43)</f>
        <v>5290973.97880884</v>
      </c>
      <c r="C43" s="50" t="n">
        <v>0</v>
      </c>
      <c r="D43" s="50" t="n">
        <f aca="false">D42*Collection</f>
        <v>86774.4</v>
      </c>
      <c r="E43" s="50" t="n">
        <f aca="false">E42*Collection</f>
        <v>130416.86136</v>
      </c>
      <c r="F43" s="50" t="n">
        <f aca="false">F42*Collection</f>
        <v>162775.58613744</v>
      </c>
      <c r="G43" s="50" t="n">
        <f aca="false">G42*Collection</f>
        <v>172688.61933321</v>
      </c>
      <c r="H43" s="50" t="n">
        <f aca="false">H42*Collection</f>
        <v>183205.356250603</v>
      </c>
      <c r="I43" s="50" t="n">
        <f aca="false">I42*Collection</f>
        <v>194362.562446264</v>
      </c>
      <c r="J43" s="50" t="n">
        <f aca="false">J42*Collection</f>
        <v>206199.242499242</v>
      </c>
      <c r="K43" s="50" t="n">
        <f aca="false">K42*Collection</f>
        <v>218756.776367446</v>
      </c>
      <c r="L43" s="50" t="n">
        <f aca="false">L42*Collection</f>
        <v>232079.064048223</v>
      </c>
      <c r="M43" s="50" t="n">
        <f aca="false">M42*Collection</f>
        <v>246212.67904876</v>
      </c>
      <c r="N43" s="50" t="n">
        <f aca="false">N42*Collection</f>
        <v>261207.031202829</v>
      </c>
      <c r="O43" s="50" t="n">
        <f aca="false">O42*Collection</f>
        <v>277114.539403082</v>
      </c>
      <c r="P43" s="50" t="n">
        <f aca="false">P42*Collection</f>
        <v>293990.814852729</v>
      </c>
      <c r="Q43" s="50" t="n">
        <f aca="false">Q42*Collection</f>
        <v>311894.855477261</v>
      </c>
      <c r="R43" s="50" t="n">
        <f aca="false">R42*Collection</f>
        <v>330889.252175826</v>
      </c>
      <c r="S43" s="50" t="n">
        <f aca="false">S42*Collection</f>
        <v>351040.407633334</v>
      </c>
      <c r="T43" s="50" t="n">
        <f aca="false">T42*Collection</f>
        <v>372418.768458204</v>
      </c>
      <c r="U43" s="50" t="n">
        <f aca="false">U42*Collection</f>
        <v>395099.071457308</v>
      </c>
      <c r="V43" s="50" t="n">
        <f aca="false">V42*Collection</f>
        <v>419160.604909059</v>
      </c>
      <c r="W43" s="50" t="n">
        <f aca="false">W42*Collection</f>
        <v>444687.48574802</v>
      </c>
    </row>
    <row r="44" customFormat="false" ht="15" hidden="false" customHeight="false" outlineLevel="0" collapsed="false">
      <c r="A44" s="10" t="s">
        <v>224</v>
      </c>
      <c r="B44" s="51" t="n">
        <f aca="false">SUM(C44:W44)</f>
        <v>11500</v>
      </c>
      <c r="C44" s="50" t="n">
        <v>0</v>
      </c>
      <c r="D44" s="50" t="n">
        <f aca="false">MAX(0,D13-C13)*Seg1_Fee+MAX(0,D14-C14)*Seg2_Fee+MAX(0,D15-C15)*Seg3_Fee+MAX(0,D16-C16)*Seg4_Fee+MAX(0,D17-C17)*Seg5_Fee</f>
        <v>6900</v>
      </c>
      <c r="E44" s="50" t="n">
        <f aca="false">MAX(0,E13-D13)*Seg1_Fee+MAX(0,E14-D14)*Seg2_Fee+MAX(0,E15-D15)*Seg3_Fee+MAX(0,E16-D16)*Seg4_Fee+MAX(0,E17-D17)*Seg5_Fee</f>
        <v>2875</v>
      </c>
      <c r="F44" s="50" t="n">
        <f aca="false">MAX(0,F13-E13)*Seg1_Fee+MAX(0,F14-E14)*Seg2_Fee+MAX(0,F15-E15)*Seg3_Fee+MAX(0,F16-E16)*Seg4_Fee+MAX(0,F17-E17)*Seg5_Fee</f>
        <v>1725</v>
      </c>
      <c r="G44" s="50" t="n">
        <f aca="false">MAX(0,G13-F13)*Seg1_Fee+MAX(0,G14-F14)*Seg2_Fee+MAX(0,G15-F15)*Seg3_Fee+MAX(0,G16-F16)*Seg4_Fee+MAX(0,G17-F17)*Seg5_Fee</f>
        <v>0</v>
      </c>
      <c r="H44" s="50" t="n">
        <f aca="false">MAX(0,H13-G13)*Seg1_Fee+MAX(0,H14-G14)*Seg2_Fee+MAX(0,H15-G15)*Seg3_Fee+MAX(0,H16-G16)*Seg4_Fee+MAX(0,H17-G17)*Seg5_Fee</f>
        <v>0</v>
      </c>
      <c r="I44" s="50" t="n">
        <f aca="false">MAX(0,I13-H13)*Seg1_Fee+MAX(0,I14-H14)*Seg2_Fee+MAX(0,I15-H15)*Seg3_Fee+MAX(0,I16-H16)*Seg4_Fee+MAX(0,I17-H17)*Seg5_Fee</f>
        <v>0</v>
      </c>
      <c r="J44" s="50" t="n">
        <f aca="false">MAX(0,J13-I13)*Seg1_Fee+MAX(0,J14-I14)*Seg2_Fee+MAX(0,J15-I15)*Seg3_Fee+MAX(0,J16-I16)*Seg4_Fee+MAX(0,J17-I17)*Seg5_Fee</f>
        <v>0</v>
      </c>
      <c r="K44" s="50" t="n">
        <f aca="false">MAX(0,K13-J13)*Seg1_Fee+MAX(0,K14-J14)*Seg2_Fee+MAX(0,K15-J15)*Seg3_Fee+MAX(0,K16-J16)*Seg4_Fee+MAX(0,K17-J17)*Seg5_Fee</f>
        <v>0</v>
      </c>
      <c r="L44" s="50" t="n">
        <f aca="false">MAX(0,L13-K13)*Seg1_Fee+MAX(0,L14-K14)*Seg2_Fee+MAX(0,L15-K15)*Seg3_Fee+MAX(0,L16-K16)*Seg4_Fee+MAX(0,L17-K17)*Seg5_Fee</f>
        <v>0</v>
      </c>
      <c r="M44" s="50" t="n">
        <f aca="false">MAX(0,M13-L13)*Seg1_Fee+MAX(0,M14-L14)*Seg2_Fee+MAX(0,M15-L15)*Seg3_Fee+MAX(0,M16-L16)*Seg4_Fee+MAX(0,M17-L17)*Seg5_Fee</f>
        <v>0</v>
      </c>
      <c r="N44" s="50" t="n">
        <f aca="false">MAX(0,N13-M13)*Seg1_Fee+MAX(0,N14-M14)*Seg2_Fee+MAX(0,N15-M15)*Seg3_Fee+MAX(0,N16-M16)*Seg4_Fee+MAX(0,N17-M17)*Seg5_Fee</f>
        <v>0</v>
      </c>
      <c r="O44" s="50" t="n">
        <f aca="false">MAX(0,O13-N13)*Seg1_Fee+MAX(0,O14-N14)*Seg2_Fee+MAX(0,O15-N15)*Seg3_Fee+MAX(0,O16-N16)*Seg4_Fee+MAX(0,O17-N17)*Seg5_Fee</f>
        <v>0</v>
      </c>
      <c r="P44" s="50" t="n">
        <f aca="false">MAX(0,P13-O13)*Seg1_Fee+MAX(0,P14-O14)*Seg2_Fee+MAX(0,P15-O15)*Seg3_Fee+MAX(0,P16-O16)*Seg4_Fee+MAX(0,P17-O17)*Seg5_Fee</f>
        <v>0</v>
      </c>
      <c r="Q44" s="50" t="n">
        <f aca="false">MAX(0,Q13-P13)*Seg1_Fee+MAX(0,Q14-P14)*Seg2_Fee+MAX(0,Q15-P15)*Seg3_Fee+MAX(0,Q16-P16)*Seg4_Fee+MAX(0,Q17-P17)*Seg5_Fee</f>
        <v>0</v>
      </c>
      <c r="R44" s="50" t="n">
        <f aca="false">MAX(0,R13-Q13)*Seg1_Fee+MAX(0,R14-Q14)*Seg2_Fee+MAX(0,R15-Q15)*Seg3_Fee+MAX(0,R16-Q16)*Seg4_Fee+MAX(0,R17-Q17)*Seg5_Fee</f>
        <v>0</v>
      </c>
      <c r="S44" s="50" t="n">
        <f aca="false">MAX(0,S13-R13)*Seg1_Fee+MAX(0,S14-R14)*Seg2_Fee+MAX(0,S15-R15)*Seg3_Fee+MAX(0,S16-R16)*Seg4_Fee+MAX(0,S17-R17)*Seg5_Fee</f>
        <v>0</v>
      </c>
      <c r="T44" s="50" t="n">
        <f aca="false">MAX(0,T13-S13)*Seg1_Fee+MAX(0,T14-S14)*Seg2_Fee+MAX(0,T15-S15)*Seg3_Fee+MAX(0,T16-S16)*Seg4_Fee+MAX(0,T17-S17)*Seg5_Fee</f>
        <v>0</v>
      </c>
      <c r="U44" s="50" t="n">
        <f aca="false">MAX(0,U13-T13)*Seg1_Fee+MAX(0,U14-T14)*Seg2_Fee+MAX(0,U15-T15)*Seg3_Fee+MAX(0,U16-T16)*Seg4_Fee+MAX(0,U17-T17)*Seg5_Fee</f>
        <v>0</v>
      </c>
      <c r="V44" s="50" t="n">
        <f aca="false">MAX(0,V13-U13)*Seg1_Fee+MAX(0,V14-U14)*Seg2_Fee+MAX(0,V15-U15)*Seg3_Fee+MAX(0,V16-U16)*Seg4_Fee+MAX(0,V17-U17)*Seg5_Fee</f>
        <v>0</v>
      </c>
      <c r="W44" s="50" t="n">
        <f aca="false">MAX(0,W13-V13)*Seg1_Fee+MAX(0,W14-V14)*Seg2_Fee+MAX(0,W15-V15)*Seg3_Fee+MAX(0,W16-V16)*Seg4_Fee+MAX(0,W17-V17)*Seg5_Fee</f>
        <v>0</v>
      </c>
    </row>
    <row r="45" customFormat="false" ht="15" hidden="false" customHeight="false" outlineLevel="0" collapsed="false">
      <c r="A45" s="31" t="s">
        <v>225</v>
      </c>
      <c r="B45" s="51" t="n">
        <f aca="false">C45+NPV(Hurdle,D45:W45)</f>
        <v>1843667.57525873</v>
      </c>
      <c r="C45" s="22" t="n">
        <f aca="false">C43+C44</f>
        <v>0</v>
      </c>
      <c r="D45" s="22" t="n">
        <f aca="false">D43+D44</f>
        <v>93674.4</v>
      </c>
      <c r="E45" s="22" t="n">
        <f aca="false">E43+E44</f>
        <v>133291.86136</v>
      </c>
      <c r="F45" s="22" t="n">
        <f aca="false">F43+F44</f>
        <v>164500.58613744</v>
      </c>
      <c r="G45" s="22" t="n">
        <f aca="false">G43+G44</f>
        <v>172688.61933321</v>
      </c>
      <c r="H45" s="22" t="n">
        <f aca="false">H43+H44</f>
        <v>183205.356250603</v>
      </c>
      <c r="I45" s="22" t="n">
        <f aca="false">I43+I44</f>
        <v>194362.562446264</v>
      </c>
      <c r="J45" s="22" t="n">
        <f aca="false">J43+J44</f>
        <v>206199.242499242</v>
      </c>
      <c r="K45" s="22" t="n">
        <f aca="false">K43+K44</f>
        <v>218756.776367446</v>
      </c>
      <c r="L45" s="22" t="n">
        <f aca="false">L43+L44</f>
        <v>232079.064048223</v>
      </c>
      <c r="M45" s="22" t="n">
        <f aca="false">M43+M44</f>
        <v>246212.67904876</v>
      </c>
      <c r="N45" s="22" t="n">
        <f aca="false">N43+N44</f>
        <v>261207.031202829</v>
      </c>
      <c r="O45" s="22" t="n">
        <f aca="false">O43+O44</f>
        <v>277114.539403082</v>
      </c>
      <c r="P45" s="22" t="n">
        <f aca="false">P43+P44</f>
        <v>293990.814852729</v>
      </c>
      <c r="Q45" s="22" t="n">
        <f aca="false">Q43+Q44</f>
        <v>311894.855477261</v>
      </c>
      <c r="R45" s="22" t="n">
        <f aca="false">R43+R44</f>
        <v>330889.252175826</v>
      </c>
      <c r="S45" s="22" t="n">
        <f aca="false">S43+S44</f>
        <v>351040.407633334</v>
      </c>
      <c r="T45" s="22" t="n">
        <f aca="false">T43+T44</f>
        <v>372418.768458204</v>
      </c>
      <c r="U45" s="22" t="n">
        <f aca="false">U43+U44</f>
        <v>395099.071457308</v>
      </c>
      <c r="V45" s="22" t="n">
        <f aca="false">V43+V44</f>
        <v>419160.604909059</v>
      </c>
      <c r="W45" s="22" t="n">
        <f aca="false">W43+W44</f>
        <v>444687.48574802</v>
      </c>
    </row>
    <row r="47" customFormat="false" ht="15" hidden="false" customHeight="false" outlineLevel="0" collapsed="false">
      <c r="A47" s="8" t="s">
        <v>226</v>
      </c>
      <c r="B47" s="9"/>
      <c r="C47" s="9"/>
      <c r="D47" s="9"/>
      <c r="E47" s="9"/>
      <c r="F47" s="9"/>
      <c r="G47" s="9"/>
      <c r="H47" s="9"/>
      <c r="I47" s="9"/>
      <c r="J47" s="9"/>
      <c r="K47" s="9"/>
      <c r="L47" s="9"/>
      <c r="M47" s="9"/>
      <c r="N47" s="9"/>
      <c r="O47" s="9"/>
      <c r="P47" s="9"/>
      <c r="Q47" s="9"/>
      <c r="R47" s="9"/>
      <c r="S47" s="9"/>
      <c r="T47" s="9"/>
      <c r="U47" s="9"/>
      <c r="V47" s="9"/>
      <c r="W47" s="9"/>
    </row>
    <row r="48" customFormat="false" ht="15" hidden="false" customHeight="false" outlineLevel="0" collapsed="false">
      <c r="A48" s="10" t="s">
        <v>134</v>
      </c>
      <c r="B48" s="51" t="n">
        <f aca="false">SUM(C48:W48)</f>
        <v>772236.769681305</v>
      </c>
      <c r="C48" s="50" t="n">
        <v>0</v>
      </c>
      <c r="D48" s="50" t="n">
        <f aca="false">HardCapex*O_FixedPct*D9*LevOpex*D6</f>
        <v>28739.3378160025</v>
      </c>
      <c r="E48" s="50" t="n">
        <f aca="false">HardCapex*O_FixedPct*E9*LevOpex*E6</f>
        <v>29601.5179504826</v>
      </c>
      <c r="F48" s="50" t="n">
        <f aca="false">HardCapex*O_FixedPct*F9*LevOpex*F6</f>
        <v>30489.563488997</v>
      </c>
      <c r="G48" s="50" t="n">
        <f aca="false">HardCapex*O_FixedPct*G9*LevOpex*G6</f>
        <v>31404.250393667</v>
      </c>
      <c r="H48" s="50" t="n">
        <f aca="false">HardCapex*O_FixedPct*H9*LevOpex*H6</f>
        <v>32346.377905477</v>
      </c>
      <c r="I48" s="50" t="n">
        <f aca="false">HardCapex*O_FixedPct*I9*LevOpex*I6</f>
        <v>33316.7692426413</v>
      </c>
      <c r="J48" s="50" t="n">
        <f aca="false">HardCapex*O_FixedPct*J9*LevOpex*J6</f>
        <v>34316.2723199205</v>
      </c>
      <c r="K48" s="50" t="n">
        <f aca="false">HardCapex*O_FixedPct*K9*LevOpex*K6</f>
        <v>35345.7604895181</v>
      </c>
      <c r="L48" s="50" t="n">
        <f aca="false">HardCapex*O_FixedPct*L9*LevOpex*L6</f>
        <v>36406.1333042037</v>
      </c>
      <c r="M48" s="50" t="n">
        <f aca="false">HardCapex*O_FixedPct*M9*LevOpex*M6</f>
        <v>37498.3173033298</v>
      </c>
      <c r="N48" s="50" t="n">
        <f aca="false">HardCapex*O_FixedPct*N9*LevOpex*N6</f>
        <v>38623.2668224297</v>
      </c>
      <c r="O48" s="50" t="n">
        <f aca="false">HardCapex*O_FixedPct*O9*LevOpex*O6</f>
        <v>39781.9648271026</v>
      </c>
      <c r="P48" s="50" t="n">
        <f aca="false">HardCapex*O_FixedPct*P9*LevOpex*P6</f>
        <v>40975.4237719156</v>
      </c>
      <c r="Q48" s="50" t="n">
        <f aca="false">HardCapex*O_FixedPct*Q9*LevOpex*Q6</f>
        <v>42204.6864850731</v>
      </c>
      <c r="R48" s="50" t="n">
        <f aca="false">HardCapex*O_FixedPct*R9*LevOpex*R6</f>
        <v>43470.8270796253</v>
      </c>
      <c r="S48" s="50" t="n">
        <f aca="false">HardCapex*O_FixedPct*S9*LevOpex*S6</f>
        <v>44774.9518920141</v>
      </c>
      <c r="T48" s="50" t="n">
        <f aca="false">HardCapex*O_FixedPct*T9*LevOpex*T6</f>
        <v>46118.2004487745</v>
      </c>
      <c r="U48" s="50" t="n">
        <f aca="false">HardCapex*O_FixedPct*U9*LevOpex*U6</f>
        <v>47501.7464622377</v>
      </c>
      <c r="V48" s="50" t="n">
        <f aca="false">HardCapex*O_FixedPct*V9*LevOpex*V6</f>
        <v>48926.7988561049</v>
      </c>
      <c r="W48" s="50" t="n">
        <f aca="false">HardCapex*O_FixedPct*W9*LevOpex*W6</f>
        <v>50394.602821788</v>
      </c>
    </row>
    <row r="49" customFormat="false" ht="15" hidden="false" customHeight="false" outlineLevel="0" collapsed="false">
      <c r="A49" s="10" t="s">
        <v>227</v>
      </c>
      <c r="B49" s="51" t="n">
        <f aca="false">SUM(C49:W49)</f>
        <v>483666.740801648</v>
      </c>
      <c r="C49" s="50" t="n">
        <v>0</v>
      </c>
      <c r="D49" s="50" t="n">
        <f aca="false">O_Staff*D9*LevOpex*D6</f>
        <v>18000</v>
      </c>
      <c r="E49" s="50" t="n">
        <f aca="false">O_Staff*E9*LevOpex*E6</f>
        <v>18540</v>
      </c>
      <c r="F49" s="50" t="n">
        <f aca="false">O_Staff*F9*LevOpex*F6</f>
        <v>19096.2</v>
      </c>
      <c r="G49" s="50" t="n">
        <f aca="false">O_Staff*G9*LevOpex*G6</f>
        <v>19669.086</v>
      </c>
      <c r="H49" s="50" t="n">
        <f aca="false">O_Staff*H9*LevOpex*H6</f>
        <v>20259.15858</v>
      </c>
      <c r="I49" s="50" t="n">
        <f aca="false">O_Staff*I9*LevOpex*I6</f>
        <v>20866.9333374</v>
      </c>
      <c r="J49" s="50" t="n">
        <f aca="false">O_Staff*J9*LevOpex*J6</f>
        <v>21492.941337522</v>
      </c>
      <c r="K49" s="50" t="n">
        <f aca="false">O_Staff*K9*LevOpex*K6</f>
        <v>22137.7295776477</v>
      </c>
      <c r="L49" s="50" t="n">
        <f aca="false">O_Staff*L9*LevOpex*L6</f>
        <v>22801.8614649771</v>
      </c>
      <c r="M49" s="50" t="n">
        <f aca="false">O_Staff*M9*LevOpex*M6</f>
        <v>23485.9173089264</v>
      </c>
      <c r="N49" s="50" t="n">
        <f aca="false">O_Staff*N9*LevOpex*N6</f>
        <v>24190.4948281942</v>
      </c>
      <c r="O49" s="50" t="n">
        <f aca="false">O_Staff*O9*LevOpex*O6</f>
        <v>24916.20967304</v>
      </c>
      <c r="P49" s="50" t="n">
        <f aca="false">O_Staff*P9*LevOpex*P6</f>
        <v>25663.6959632312</v>
      </c>
      <c r="Q49" s="50" t="n">
        <f aca="false">O_Staff*Q9*LevOpex*Q6</f>
        <v>26433.6068421282</v>
      </c>
      <c r="R49" s="50" t="n">
        <f aca="false">O_Staff*R9*LevOpex*R6</f>
        <v>27226.615047392</v>
      </c>
      <c r="S49" s="50" t="n">
        <f aca="false">O_Staff*S9*LevOpex*S6</f>
        <v>28043.4134988138</v>
      </c>
      <c r="T49" s="50" t="n">
        <f aca="false">O_Staff*T9*LevOpex*T6</f>
        <v>28884.7159037782</v>
      </c>
      <c r="U49" s="50" t="n">
        <f aca="false">O_Staff*U9*LevOpex*U6</f>
        <v>29751.2573808915</v>
      </c>
      <c r="V49" s="50" t="n">
        <f aca="false">O_Staff*V9*LevOpex*V6</f>
        <v>30643.7951023183</v>
      </c>
      <c r="W49" s="50" t="n">
        <f aca="false">O_Staff*W9*LevOpex*W6</f>
        <v>31563.1089553878</v>
      </c>
    </row>
    <row r="50" customFormat="false" ht="15" hidden="false" customHeight="false" outlineLevel="0" collapsed="false">
      <c r="A50" s="10" t="s">
        <v>137</v>
      </c>
      <c r="B50" s="51" t="n">
        <f aca="false">SUM(C50:W50)</f>
        <v>177614.4570267</v>
      </c>
      <c r="C50" s="50" t="n">
        <v>0</v>
      </c>
      <c r="D50" s="50" t="n">
        <f aca="false">TotalCapex*O_InsPct*D9*LevOpex*D6</f>
        <v>6610.04769768057</v>
      </c>
      <c r="E50" s="50" t="n">
        <f aca="false">TotalCapex*O_InsPct*E9*LevOpex*E6</f>
        <v>6808.34912861099</v>
      </c>
      <c r="F50" s="50" t="n">
        <f aca="false">TotalCapex*O_InsPct*F9*LevOpex*F6</f>
        <v>7012.59960246932</v>
      </c>
      <c r="G50" s="50" t="n">
        <f aca="false">TotalCapex*O_InsPct*G9*LevOpex*G6</f>
        <v>7222.9775905434</v>
      </c>
      <c r="H50" s="50" t="n">
        <f aca="false">TotalCapex*O_InsPct*H9*LevOpex*H6</f>
        <v>7439.6669182597</v>
      </c>
      <c r="I50" s="50" t="n">
        <f aca="false">TotalCapex*O_InsPct*I9*LevOpex*I6</f>
        <v>7662.85692580749</v>
      </c>
      <c r="J50" s="50" t="n">
        <f aca="false">TotalCapex*O_InsPct*J9*LevOpex*J6</f>
        <v>7892.74263358172</v>
      </c>
      <c r="K50" s="50" t="n">
        <f aca="false">TotalCapex*O_InsPct*K9*LevOpex*K6</f>
        <v>8129.52491258917</v>
      </c>
      <c r="L50" s="50" t="n">
        <f aca="false">TotalCapex*O_InsPct*L9*LevOpex*L6</f>
        <v>8373.41065996685</v>
      </c>
      <c r="M50" s="50" t="n">
        <f aca="false">TotalCapex*O_InsPct*M9*LevOpex*M6</f>
        <v>8624.61297976585</v>
      </c>
      <c r="N50" s="50" t="n">
        <f aca="false">TotalCapex*O_InsPct*N9*LevOpex*N6</f>
        <v>8883.35136915883</v>
      </c>
      <c r="O50" s="50" t="n">
        <f aca="false">TotalCapex*O_InsPct*O9*LevOpex*O6</f>
        <v>9149.85191023359</v>
      </c>
      <c r="P50" s="50" t="n">
        <f aca="false">TotalCapex*O_InsPct*P9*LevOpex*P6</f>
        <v>9424.3474675406</v>
      </c>
      <c r="Q50" s="50" t="n">
        <f aca="false">TotalCapex*O_InsPct*Q9*LevOpex*Q6</f>
        <v>9707.07789156682</v>
      </c>
      <c r="R50" s="50" t="n">
        <f aca="false">TotalCapex*O_InsPct*R9*LevOpex*R6</f>
        <v>9998.29022831383</v>
      </c>
      <c r="S50" s="50" t="n">
        <f aca="false">TotalCapex*O_InsPct*S9*LevOpex*S6</f>
        <v>10298.2389351632</v>
      </c>
      <c r="T50" s="50" t="n">
        <f aca="false">TotalCapex*O_InsPct*T9*LevOpex*T6</f>
        <v>10607.1861032181</v>
      </c>
      <c r="U50" s="50" t="n">
        <f aca="false">TotalCapex*O_InsPct*U9*LevOpex*U6</f>
        <v>10925.4016863147</v>
      </c>
      <c r="V50" s="50" t="n">
        <f aca="false">TotalCapex*O_InsPct*V9*LevOpex*V6</f>
        <v>11253.1637369041</v>
      </c>
      <c r="W50" s="50" t="n">
        <f aca="false">TotalCapex*O_InsPct*W9*LevOpex*W6</f>
        <v>11590.7586490112</v>
      </c>
    </row>
    <row r="51" customFormat="false" ht="15" hidden="false" customHeight="false" outlineLevel="0" collapsed="false">
      <c r="A51" s="10" t="s">
        <v>228</v>
      </c>
      <c r="B51" s="51" t="n">
        <f aca="false">SUM(C51:W51)</f>
        <v>80611.1234669414</v>
      </c>
      <c r="C51" s="50" t="n">
        <v>0</v>
      </c>
      <c r="D51" s="50" t="n">
        <f aca="false">O_Fees*D9*LevOpex*D6</f>
        <v>3000</v>
      </c>
      <c r="E51" s="50" t="n">
        <f aca="false">O_Fees*E9*LevOpex*E6</f>
        <v>3090</v>
      </c>
      <c r="F51" s="50" t="n">
        <f aca="false">O_Fees*F9*LevOpex*F6</f>
        <v>3182.7</v>
      </c>
      <c r="G51" s="50" t="n">
        <f aca="false">O_Fees*G9*LevOpex*G6</f>
        <v>3278.181</v>
      </c>
      <c r="H51" s="50" t="n">
        <f aca="false">O_Fees*H9*LevOpex*H6</f>
        <v>3376.52643</v>
      </c>
      <c r="I51" s="50" t="n">
        <f aca="false">O_Fees*I9*LevOpex*I6</f>
        <v>3477.8222229</v>
      </c>
      <c r="J51" s="50" t="n">
        <f aca="false">O_Fees*J9*LevOpex*J6</f>
        <v>3582.156889587</v>
      </c>
      <c r="K51" s="50" t="n">
        <f aca="false">O_Fees*K9*LevOpex*K6</f>
        <v>3689.62159627461</v>
      </c>
      <c r="L51" s="50" t="n">
        <f aca="false">O_Fees*L9*LevOpex*L6</f>
        <v>3800.31024416285</v>
      </c>
      <c r="M51" s="50" t="n">
        <f aca="false">O_Fees*M9*LevOpex*M6</f>
        <v>3914.31955148773</v>
      </c>
      <c r="N51" s="50" t="n">
        <f aca="false">O_Fees*N9*LevOpex*N6</f>
        <v>4031.74913803237</v>
      </c>
      <c r="O51" s="50" t="n">
        <f aca="false">O_Fees*O9*LevOpex*O6</f>
        <v>4152.70161217334</v>
      </c>
      <c r="P51" s="50" t="n">
        <f aca="false">O_Fees*P9*LevOpex*P6</f>
        <v>4277.28266053854</v>
      </c>
      <c r="Q51" s="50" t="n">
        <f aca="false">O_Fees*Q9*LevOpex*Q6</f>
        <v>4405.60114035469</v>
      </c>
      <c r="R51" s="50" t="n">
        <f aca="false">O_Fees*R9*LevOpex*R6</f>
        <v>4537.76917456534</v>
      </c>
      <c r="S51" s="50" t="n">
        <f aca="false">O_Fees*S9*LevOpex*S6</f>
        <v>4673.9022498023</v>
      </c>
      <c r="T51" s="50" t="n">
        <f aca="false">O_Fees*T9*LevOpex*T6</f>
        <v>4814.11931729637</v>
      </c>
      <c r="U51" s="50" t="n">
        <f aca="false">O_Fees*U9*LevOpex*U6</f>
        <v>4958.54289681526</v>
      </c>
      <c r="V51" s="50" t="n">
        <f aca="false">O_Fees*V9*LevOpex*V6</f>
        <v>5107.29918371971</v>
      </c>
      <c r="W51" s="50" t="n">
        <f aca="false">O_Fees*W9*LevOpex*W6</f>
        <v>5260.51815923131</v>
      </c>
    </row>
    <row r="52" customFormat="false" ht="15" hidden="false" customHeight="false" outlineLevel="0" collapsed="false">
      <c r="A52" s="10" t="s">
        <v>229</v>
      </c>
      <c r="B52" s="51" t="n">
        <f aca="false">SUM(C52:W52)</f>
        <v>159074.219364265</v>
      </c>
      <c r="C52" s="50" t="n">
        <v>0</v>
      </c>
      <c r="D52" s="50" t="n">
        <f aca="false">D45*O_CustPct</f>
        <v>2810.232</v>
      </c>
      <c r="E52" s="50" t="n">
        <f aca="false">E45*O_CustPct</f>
        <v>3998.7558408</v>
      </c>
      <c r="F52" s="50" t="n">
        <f aca="false">F45*O_CustPct</f>
        <v>4935.0175841232</v>
      </c>
      <c r="G52" s="50" t="n">
        <f aca="false">G45*O_CustPct</f>
        <v>5180.6585799963</v>
      </c>
      <c r="H52" s="50" t="n">
        <f aca="false">H45*O_CustPct</f>
        <v>5496.16068751808</v>
      </c>
      <c r="I52" s="50" t="n">
        <f aca="false">I45*O_CustPct</f>
        <v>5830.87687338793</v>
      </c>
      <c r="J52" s="50" t="n">
        <f aca="false">J45*O_CustPct</f>
        <v>6185.97727497726</v>
      </c>
      <c r="K52" s="50" t="n">
        <f aca="false">K45*O_CustPct</f>
        <v>6562.70329102337</v>
      </c>
      <c r="L52" s="50" t="n">
        <f aca="false">L45*O_CustPct</f>
        <v>6962.37192144669</v>
      </c>
      <c r="M52" s="50" t="n">
        <f aca="false">M45*O_CustPct</f>
        <v>7386.3803714628</v>
      </c>
      <c r="N52" s="50" t="n">
        <f aca="false">N45*O_CustPct</f>
        <v>7836.21093608488</v>
      </c>
      <c r="O52" s="50" t="n">
        <f aca="false">O45*O_CustPct</f>
        <v>8313.43618209245</v>
      </c>
      <c r="P52" s="50" t="n">
        <f aca="false">P45*O_CustPct</f>
        <v>8819.72444558188</v>
      </c>
      <c r="Q52" s="50" t="n">
        <f aca="false">Q45*O_CustPct</f>
        <v>9356.84566431782</v>
      </c>
      <c r="R52" s="50" t="n">
        <f aca="false">R45*O_CustPct</f>
        <v>9926.67756527478</v>
      </c>
      <c r="S52" s="50" t="n">
        <f aca="false">S45*O_CustPct</f>
        <v>10531.212229</v>
      </c>
      <c r="T52" s="50" t="n">
        <f aca="false">T45*O_CustPct</f>
        <v>11172.5630537461</v>
      </c>
      <c r="U52" s="50" t="n">
        <f aca="false">U45*O_CustPct</f>
        <v>11852.9721437193</v>
      </c>
      <c r="V52" s="50" t="n">
        <f aca="false">V45*O_CustPct</f>
        <v>12574.8181472718</v>
      </c>
      <c r="W52" s="50" t="n">
        <f aca="false">W45*O_CustPct</f>
        <v>13340.6245724406</v>
      </c>
    </row>
    <row r="53" customFormat="false" ht="15" hidden="false" customHeight="false" outlineLevel="0" collapsed="false">
      <c r="A53" s="10" t="s">
        <v>230</v>
      </c>
      <c r="B53" s="51" t="n">
        <f aca="false">SUM(C53:W53)</f>
        <v>140322.503249622</v>
      </c>
      <c r="C53" s="50" t="n">
        <v>0</v>
      </c>
      <c r="D53" s="50" t="n">
        <f aca="false">D32*O_DieselOM*D9*LevOpex</f>
        <v>859.090909090909</v>
      </c>
      <c r="E53" s="50" t="n">
        <f aca="false">E32*O_DieselOM*E9*LevOpex</f>
        <v>1291.16352272727</v>
      </c>
      <c r="F53" s="50" t="n">
        <f aca="false">F32*O_DieselOM*F9*LevOpex</f>
        <v>1611.52397795455</v>
      </c>
      <c r="G53" s="50" t="n">
        <f aca="false">G32*O_DieselOM*G9*LevOpex</f>
        <v>1709.66578821198</v>
      </c>
      <c r="H53" s="50" t="n">
        <f aca="false">H32*O_DieselOM*H9*LevOpex</f>
        <v>1813.78443471409</v>
      </c>
      <c r="I53" s="50" t="n">
        <f aca="false">I32*O_DieselOM*I9*LevOpex</f>
        <v>1924.24390678817</v>
      </c>
      <c r="J53" s="50" t="n">
        <f aca="false">J32*O_DieselOM*J9*LevOpex</f>
        <v>2197.82177999661</v>
      </c>
      <c r="K53" s="50" t="n">
        <f aca="false">K32*O_DieselOM*K9*LevOpex</f>
        <v>2988.37329626605</v>
      </c>
      <c r="L53" s="50" t="n">
        <f aca="false">L32*O_DieselOM*L9*LevOpex</f>
        <v>3843.38849849751</v>
      </c>
      <c r="M53" s="50" t="n">
        <f aca="false">M32*O_DieselOM*M9*LevOpex</f>
        <v>4767.19875476681</v>
      </c>
      <c r="N53" s="50" t="n">
        <f aca="false">N32*O_DieselOM*N9*LevOpex</f>
        <v>5764.40929087618</v>
      </c>
      <c r="O53" s="50" t="n">
        <f aca="false">O32*O_DieselOM*O9*LevOpex</f>
        <v>6839.91611871342</v>
      </c>
      <c r="P53" s="50" t="n">
        <f aca="false">P32*O_DieselOM*P9*LevOpex</f>
        <v>7998.92400177121</v>
      </c>
      <c r="Q53" s="50" t="n">
        <f aca="false">Q32*O_DieselOM*Q9*LevOpex</f>
        <v>9246.96552114422</v>
      </c>
      <c r="R53" s="50" t="n">
        <f aca="false">R32*O_DieselOM*R9*LevOpex</f>
        <v>10589.9213091815</v>
      </c>
      <c r="S53" s="50" t="n">
        <f aca="false">S32*O_DieselOM*S9*LevOpex</f>
        <v>12034.0415220671</v>
      </c>
      <c r="T53" s="50" t="n">
        <f aca="false">T32*O_DieselOM*T9*LevOpex</f>
        <v>13585.9686269456</v>
      </c>
      <c r="U53" s="50" t="n">
        <f aca="false">U32*O_DieselOM*U9*LevOpex</f>
        <v>15252.7615838193</v>
      </c>
      <c r="V53" s="50" t="n">
        <f aca="false">V32*O_DieselOM*V9*LevOpex</f>
        <v>17041.9215073339</v>
      </c>
      <c r="W53" s="50" t="n">
        <f aca="false">W32*O_DieselOM*W9*LevOpex</f>
        <v>18961.4188987555</v>
      </c>
    </row>
    <row r="54" customFormat="false" ht="15" hidden="false" customHeight="false" outlineLevel="0" collapsed="false">
      <c r="A54" s="10" t="s">
        <v>231</v>
      </c>
      <c r="B54" s="51" t="n">
        <f aca="false">SUM(C54:W54)</f>
        <v>1870966.70999496</v>
      </c>
      <c r="C54" s="50" t="n">
        <v>0</v>
      </c>
      <c r="D54" s="50" t="n">
        <f aca="false">D34*FuelPrice*D9</f>
        <v>11454.5454545454</v>
      </c>
      <c r="E54" s="50" t="n">
        <f aca="false">E34*FuelPrice*E9</f>
        <v>17215.5136363636</v>
      </c>
      <c r="F54" s="50" t="n">
        <f aca="false">F34*FuelPrice*F9</f>
        <v>21486.9863727273</v>
      </c>
      <c r="G54" s="50" t="n">
        <f aca="false">G34*FuelPrice*G9</f>
        <v>22795.5438428264</v>
      </c>
      <c r="H54" s="50" t="n">
        <f aca="false">H34*FuelPrice*H9</f>
        <v>24183.7924628545</v>
      </c>
      <c r="I54" s="50" t="n">
        <f aca="false">I34*FuelPrice*I9</f>
        <v>25656.5854238423</v>
      </c>
      <c r="J54" s="50" t="n">
        <f aca="false">J34*FuelPrice*J9</f>
        <v>29304.2903999548</v>
      </c>
      <c r="K54" s="50" t="n">
        <f aca="false">K34*FuelPrice*K9</f>
        <v>39844.9772835474</v>
      </c>
      <c r="L54" s="50" t="n">
        <f aca="false">L34*FuelPrice*L9</f>
        <v>51245.1799799668</v>
      </c>
      <c r="M54" s="50" t="n">
        <f aca="false">M34*FuelPrice*M9</f>
        <v>63562.6500635575</v>
      </c>
      <c r="N54" s="50" t="n">
        <f aca="false">N34*FuelPrice*N9</f>
        <v>76858.7905450157</v>
      </c>
      <c r="O54" s="50" t="n">
        <f aca="false">O34*FuelPrice*O9</f>
        <v>91198.8815828456</v>
      </c>
      <c r="P54" s="50" t="n">
        <f aca="false">P34*FuelPrice*P9</f>
        <v>106652.320023616</v>
      </c>
      <c r="Q54" s="50" t="n">
        <f aca="false">Q34*FuelPrice*Q9</f>
        <v>123292.873615256</v>
      </c>
      <c r="R54" s="50" t="n">
        <f aca="false">R34*FuelPrice*R9</f>
        <v>141198.950789087</v>
      </c>
      <c r="S54" s="50" t="n">
        <f aca="false">S34*FuelPrice*S9</f>
        <v>160453.886960895</v>
      </c>
      <c r="T54" s="50" t="n">
        <f aca="false">T34*FuelPrice*T9</f>
        <v>181146.248359274</v>
      </c>
      <c r="U54" s="50" t="n">
        <f aca="false">U34*FuelPrice*U9</f>
        <v>203370.154450924</v>
      </c>
      <c r="V54" s="50" t="n">
        <f aca="false">V34*FuelPrice*V9</f>
        <v>227225.620097785</v>
      </c>
      <c r="W54" s="50" t="n">
        <f aca="false">W34*FuelPrice*W9</f>
        <v>252818.918650073</v>
      </c>
    </row>
    <row r="55" customFormat="false" ht="15" hidden="false" customHeight="false" outlineLevel="0" collapsed="false">
      <c r="A55" s="31" t="s">
        <v>232</v>
      </c>
      <c r="B55" s="51" t="n">
        <f aca="false">C55+NPV(Hurdle,D55:W55)</f>
        <v>1182705.06862432</v>
      </c>
      <c r="C55" s="22" t="n">
        <f aca="false">C48+C49+C50+C51+C52+C53+C54</f>
        <v>0</v>
      </c>
      <c r="D55" s="22" t="n">
        <f aca="false">D48+D49+D50+D51+D52+D53+D54</f>
        <v>71473.2538773194</v>
      </c>
      <c r="E55" s="22" t="n">
        <f aca="false">E48+E49+E50+E51+E52+E53+E54</f>
        <v>80545.3000789844</v>
      </c>
      <c r="F55" s="22" t="n">
        <f aca="false">F48+F49+F50+F51+F52+F53+F54</f>
        <v>87814.5910262714</v>
      </c>
      <c r="G55" s="22" t="n">
        <f aca="false">G48+G49+G50+G51+G52+G53+G54</f>
        <v>91260.363195245</v>
      </c>
      <c r="H55" s="22" t="n">
        <f aca="false">H48+H49+H50+H51+H52+H53+H54</f>
        <v>94915.4674188233</v>
      </c>
      <c r="I55" s="22" t="n">
        <f aca="false">I48+I49+I50+I51+I52+I53+I54</f>
        <v>98736.0879327672</v>
      </c>
      <c r="J55" s="22" t="n">
        <f aca="false">J48+J49+J50+J51+J52+J53+J54</f>
        <v>104972.20263554</v>
      </c>
      <c r="K55" s="22" t="n">
        <f aca="false">K48+K49+K50+K51+K52+K53+K54</f>
        <v>118698.690446866</v>
      </c>
      <c r="L55" s="22" t="n">
        <f aca="false">L48+L49+L50+L51+L52+L53+L54</f>
        <v>133432.656073222</v>
      </c>
      <c r="M55" s="22" t="n">
        <f aca="false">M48+M49+M50+M51+M52+M53+M54</f>
        <v>149239.396333297</v>
      </c>
      <c r="N55" s="22" t="n">
        <f aca="false">N48+N49+N50+N51+N52+N53+N54</f>
        <v>166188.272929792</v>
      </c>
      <c r="O55" s="22" t="n">
        <f aca="false">O48+O49+O50+O51+O52+O53+O54</f>
        <v>184352.961906201</v>
      </c>
      <c r="P55" s="22" t="n">
        <f aca="false">P48+P49+P50+P51+P52+P53+P54</f>
        <v>203811.718334195</v>
      </c>
      <c r="Q55" s="22" t="n">
        <f aca="false">Q48+Q49+Q50+Q51+Q52+Q53+Q54</f>
        <v>224647.657159841</v>
      </c>
      <c r="R55" s="22" t="n">
        <f aca="false">R48+R49+R50+R51+R52+R53+R54</f>
        <v>246949.05119344</v>
      </c>
      <c r="S55" s="22" t="n">
        <f aca="false">S48+S49+S50+S51+S52+S53+S54</f>
        <v>270809.647287755</v>
      </c>
      <c r="T55" s="22" t="n">
        <f aca="false">T48+T49+T50+T51+T52+T53+T54</f>
        <v>296329.001813033</v>
      </c>
      <c r="U55" s="22" t="n">
        <f aca="false">U48+U49+U50+U51+U52+U53+U54</f>
        <v>323612.836604722</v>
      </c>
      <c r="V55" s="22" t="n">
        <f aca="false">V48+V49+V50+V51+V52+V53+V54</f>
        <v>352773.416631438</v>
      </c>
      <c r="W55" s="22" t="n">
        <f aca="false">W48+W49+W50+W51+W52+W53+W54</f>
        <v>383929.950706688</v>
      </c>
    </row>
    <row r="57" customFormat="false" ht="15" hidden="false" customHeight="false" outlineLevel="0" collapsed="false">
      <c r="A57" s="31" t="s">
        <v>233</v>
      </c>
      <c r="B57" s="51" t="n">
        <f aca="false">SUM(C57:W57)</f>
        <v>1617981.4552234</v>
      </c>
      <c r="C57" s="22" t="n">
        <f aca="false">C45-C55</f>
        <v>0</v>
      </c>
      <c r="D57" s="22" t="n">
        <f aca="false">D45-D55</f>
        <v>22201.1461226806</v>
      </c>
      <c r="E57" s="22" t="n">
        <f aca="false">E45-E55</f>
        <v>52746.5612810155</v>
      </c>
      <c r="F57" s="22" t="n">
        <f aca="false">F45-F55</f>
        <v>76685.9951111687</v>
      </c>
      <c r="G57" s="22" t="n">
        <f aca="false">G45-G55</f>
        <v>81428.2561379652</v>
      </c>
      <c r="H57" s="22" t="n">
        <f aca="false">H45-H55</f>
        <v>88289.8888317794</v>
      </c>
      <c r="I57" s="22" t="n">
        <f aca="false">I45-I55</f>
        <v>95626.4745134971</v>
      </c>
      <c r="J57" s="22" t="n">
        <f aca="false">J45-J55</f>
        <v>101227.039863702</v>
      </c>
      <c r="K57" s="22" t="n">
        <f aca="false">K45-K55</f>
        <v>100058.085920579</v>
      </c>
      <c r="L57" s="22" t="n">
        <f aca="false">L45-L55</f>
        <v>98646.4079750016</v>
      </c>
      <c r="M57" s="22" t="n">
        <f aca="false">M45-M55</f>
        <v>96973.2827154631</v>
      </c>
      <c r="N57" s="22" t="n">
        <f aca="false">N45-N55</f>
        <v>95018.7582730376</v>
      </c>
      <c r="O57" s="22" t="n">
        <f aca="false">O45-O55</f>
        <v>92761.5774968808</v>
      </c>
      <c r="P57" s="22" t="n">
        <f aca="false">P45-P55</f>
        <v>90179.0965185342</v>
      </c>
      <c r="Q57" s="22" t="n">
        <f aca="false">Q45-Q55</f>
        <v>87247.1983174197</v>
      </c>
      <c r="R57" s="22" t="n">
        <f aca="false">R45-R55</f>
        <v>83940.2009823863</v>
      </c>
      <c r="S57" s="22" t="n">
        <f aca="false">S45-S55</f>
        <v>80230.7603455786</v>
      </c>
      <c r="T57" s="22" t="n">
        <f aca="false">T45-T55</f>
        <v>76089.7666451706</v>
      </c>
      <c r="U57" s="22" t="n">
        <f aca="false">U45-U55</f>
        <v>71486.2348525865</v>
      </c>
      <c r="V57" s="22" t="n">
        <f aca="false">V45-V55</f>
        <v>66387.188277621</v>
      </c>
      <c r="W57" s="22" t="n">
        <f aca="false">W45-W55</f>
        <v>60757.5350413326</v>
      </c>
    </row>
    <row r="58" customFormat="false" ht="15" hidden="false" customHeight="false" outlineLevel="0" collapsed="false">
      <c r="A58" s="10" t="s">
        <v>234</v>
      </c>
      <c r="C58" s="48" t="n">
        <v>0</v>
      </c>
      <c r="D58" s="48" t="n">
        <f aca="false">IFERROR(D57/D45,0)</f>
        <v>0.237003344805844</v>
      </c>
      <c r="E58" s="48" t="n">
        <f aca="false">IFERROR(E57/E45,0)</f>
        <v>0.395722294991106</v>
      </c>
      <c r="F58" s="48" t="n">
        <f aca="false">IFERROR(F57/F45,0)</f>
        <v>0.466174601026027</v>
      </c>
      <c r="G58" s="48" t="n">
        <f aca="false">IFERROR(G57/G45,0)</f>
        <v>0.471532266876521</v>
      </c>
      <c r="H58" s="48" t="n">
        <f aca="false">IFERROR(H57/H45,0)</f>
        <v>0.48191761768695</v>
      </c>
      <c r="I58" s="48" t="n">
        <f aca="false">IFERROR(I57/I45,0)</f>
        <v>0.492000482551444</v>
      </c>
      <c r="J58" s="48" t="n">
        <f aca="false">IFERROR(J57/J45,0)</f>
        <v>0.490918582613485</v>
      </c>
      <c r="K58" s="48" t="n">
        <f aca="false">IFERROR(K57/K45,0)</f>
        <v>0.457394223768007</v>
      </c>
      <c r="L58" s="48" t="n">
        <f aca="false">IFERROR(L57/L45,0)</f>
        <v>0.425055178413268</v>
      </c>
      <c r="M58" s="48" t="n">
        <f aca="false">IFERROR(M57/M45,0)</f>
        <v>0.393859825132151</v>
      </c>
      <c r="N58" s="48" t="n">
        <f aca="false">IFERROR(N57/N45,0)</f>
        <v>0.363767995966597</v>
      </c>
      <c r="O58" s="48" t="n">
        <f aca="false">IFERROR(O57/O45,0)</f>
        <v>0.33474092588824</v>
      </c>
      <c r="P58" s="48" t="n">
        <f aca="false">IFERROR(P57/P45,0)</f>
        <v>0.306741204019276</v>
      </c>
      <c r="Q58" s="48" t="n">
        <f aca="false">IFERROR(Q57/Q45,0)</f>
        <v>0.279732726543098</v>
      </c>
      <c r="R58" s="48" t="n">
        <f aca="false">IFERROR(R57/R45,0)</f>
        <v>0.253680651246365</v>
      </c>
      <c r="S58" s="48" t="n">
        <f aca="false">IFERROR(S57/S45,0)</f>
        <v>0.228551353636134</v>
      </c>
      <c r="T58" s="48" t="n">
        <f aca="false">IFERROR(T57/T45,0)</f>
        <v>0.204312384577659</v>
      </c>
      <c r="U58" s="48" t="n">
        <f aca="false">IFERROR(U57/U45,0)</f>
        <v>0.180932429400333</v>
      </c>
      <c r="V58" s="48" t="n">
        <f aca="false">IFERROR(V57/V45,0)</f>
        <v>0.158381268421025</v>
      </c>
      <c r="W58" s="48" t="n">
        <f aca="false">IFERROR(W57/W45,0)</f>
        <v>0.136629738835872</v>
      </c>
    </row>
    <row r="60" customFormat="false" ht="15" hidden="false" customHeight="false" outlineLevel="0" collapsed="false">
      <c r="A60" s="8" t="s">
        <v>235</v>
      </c>
      <c r="B60" s="9"/>
      <c r="C60" s="9"/>
      <c r="D60" s="9"/>
      <c r="E60" s="9"/>
      <c r="F60" s="9"/>
      <c r="G60" s="9"/>
      <c r="H60" s="9"/>
      <c r="I60" s="9"/>
      <c r="J60" s="9"/>
      <c r="K60" s="9"/>
      <c r="L60" s="9"/>
      <c r="M60" s="9"/>
      <c r="N60" s="9"/>
      <c r="O60" s="9"/>
      <c r="P60" s="9"/>
      <c r="Q60" s="9"/>
      <c r="R60" s="9"/>
      <c r="S60" s="9"/>
      <c r="T60" s="9"/>
      <c r="U60" s="9"/>
      <c r="V60" s="9"/>
      <c r="W60" s="9"/>
    </row>
    <row r="61" customFormat="false" ht="15" hidden="false" customHeight="false" outlineLevel="0" collapsed="false">
      <c r="A61" s="10" t="s">
        <v>236</v>
      </c>
      <c r="B61" s="51" t="n">
        <f aca="false">C61+NPV(Hurdle,D61:W61)</f>
        <v>1322009.53953611</v>
      </c>
      <c r="C61" s="50" t="n">
        <f aca="false">TotalCapex</f>
        <v>1322009.53953611</v>
      </c>
      <c r="D61" s="50" t="n">
        <f aca="false">0</f>
        <v>0</v>
      </c>
      <c r="E61" s="50" t="n">
        <f aca="false">0</f>
        <v>0</v>
      </c>
      <c r="F61" s="50" t="n">
        <f aca="false">0</f>
        <v>0</v>
      </c>
      <c r="G61" s="50" t="n">
        <f aca="false">0</f>
        <v>0</v>
      </c>
      <c r="H61" s="50" t="n">
        <f aca="false">0</f>
        <v>0</v>
      </c>
      <c r="I61" s="50" t="n">
        <f aca="false">0</f>
        <v>0</v>
      </c>
      <c r="J61" s="50" t="n">
        <f aca="false">0</f>
        <v>0</v>
      </c>
      <c r="K61" s="50" t="n">
        <f aca="false">0</f>
        <v>0</v>
      </c>
      <c r="L61" s="50" t="n">
        <f aca="false">0</f>
        <v>0</v>
      </c>
      <c r="M61" s="50" t="n">
        <f aca="false">0</f>
        <v>0</v>
      </c>
      <c r="N61" s="50" t="n">
        <f aca="false">0</f>
        <v>0</v>
      </c>
      <c r="O61" s="50" t="n">
        <f aca="false">0</f>
        <v>0</v>
      </c>
      <c r="P61" s="50" t="n">
        <f aca="false">0</f>
        <v>0</v>
      </c>
      <c r="Q61" s="50" t="n">
        <f aca="false">0</f>
        <v>0</v>
      </c>
      <c r="R61" s="50" t="n">
        <f aca="false">0</f>
        <v>0</v>
      </c>
      <c r="S61" s="50" t="n">
        <f aca="false">0</f>
        <v>0</v>
      </c>
      <c r="T61" s="50" t="n">
        <f aca="false">0</f>
        <v>0</v>
      </c>
      <c r="U61" s="50" t="n">
        <f aca="false">0</f>
        <v>0</v>
      </c>
      <c r="V61" s="50" t="n">
        <f aca="false">0</f>
        <v>0</v>
      </c>
      <c r="W61" s="50" t="n">
        <f aca="false">0</f>
        <v>0</v>
      </c>
    </row>
    <row r="62" customFormat="false" ht="15" hidden="false" customHeight="false" outlineLevel="0" collapsed="false">
      <c r="A62" s="10" t="s">
        <v>237</v>
      </c>
      <c r="B62" s="51" t="n">
        <f aca="false">C62+NPV(Hurdle,D62:W62)</f>
        <v>178069.046714348</v>
      </c>
      <c r="C62" s="50" t="n">
        <v>0</v>
      </c>
      <c r="D62" s="50" t="n">
        <f aca="false">IF(AND(D6=1,MOD(D4,BattLife)=0,D4&lt;Life),BESS_kWh*C_BattRepl*LevCapex*D9,0)</f>
        <v>0</v>
      </c>
      <c r="E62" s="50" t="n">
        <f aca="false">IF(AND(E6=1,MOD(E4,BattLife)=0,E4&lt;Life),BESS_kWh*C_BattRepl*LevCapex*E9,0)</f>
        <v>0</v>
      </c>
      <c r="F62" s="50" t="n">
        <f aca="false">IF(AND(F6=1,MOD(F4,BattLife)=0,F4&lt;Life),BESS_kWh*C_BattRepl*LevCapex*F9,0)</f>
        <v>0</v>
      </c>
      <c r="G62" s="50" t="n">
        <f aca="false">IF(AND(G6=1,MOD(G4,BattLife)=0,G4&lt;Life),BESS_kWh*C_BattRepl*LevCapex*G9,0)</f>
        <v>0</v>
      </c>
      <c r="H62" s="50" t="n">
        <f aca="false">IF(AND(H6=1,MOD(H4,BattLife)=0,H4&lt;Life),BESS_kWh*C_BattRepl*LevCapex*H9,0)</f>
        <v>0</v>
      </c>
      <c r="I62" s="50" t="n">
        <f aca="false">IF(AND(I6=1,MOD(I4,BattLife)=0,I4&lt;Life),BESS_kWh*C_BattRepl*LevCapex*I9,0)</f>
        <v>0</v>
      </c>
      <c r="J62" s="50" t="n">
        <f aca="false">IF(AND(J6=1,MOD(J4,BattLife)=0,J4&lt;Life),BESS_kWh*C_BattRepl*LevCapex*J9,0)</f>
        <v>0</v>
      </c>
      <c r="K62" s="50" t="n">
        <f aca="false">IF(AND(K6=1,MOD(K4,BattLife)=0,K4&lt;Life),BESS_kWh*C_BattRepl*LevCapex*K9,0)</f>
        <v>239922.684215177</v>
      </c>
      <c r="L62" s="50" t="n">
        <f aca="false">IF(AND(L6=1,MOD(L4,BattLife)=0,L4&lt;Life),BESS_kWh*C_BattRepl*LevCapex*L9,0)</f>
        <v>0</v>
      </c>
      <c r="M62" s="50" t="n">
        <f aca="false">IF(AND(M6=1,MOD(M4,BattLife)=0,M4&lt;Life),BESS_kWh*C_BattRepl*LevCapex*M9,0)</f>
        <v>0</v>
      </c>
      <c r="N62" s="50" t="n">
        <f aca="false">IF(AND(N6=1,MOD(N4,BattLife)=0,N4&lt;Life),BESS_kWh*C_BattRepl*LevCapex*N9,0)</f>
        <v>0</v>
      </c>
      <c r="O62" s="50" t="n">
        <f aca="false">IF(AND(O6=1,MOD(O4,BattLife)=0,O4&lt;Life),BESS_kWh*C_BattRepl*LevCapex*O9,0)</f>
        <v>0</v>
      </c>
      <c r="P62" s="50" t="n">
        <f aca="false">IF(AND(P6=1,MOD(P4,BattLife)=0,P4&lt;Life),BESS_kWh*C_BattRepl*LevCapex*P9,0)</f>
        <v>0</v>
      </c>
      <c r="Q62" s="50" t="n">
        <f aca="false">IF(AND(Q6=1,MOD(Q4,BattLife)=0,Q4&lt;Life),BESS_kWh*C_BattRepl*LevCapex*Q9,0)</f>
        <v>0</v>
      </c>
      <c r="R62" s="50" t="n">
        <f aca="false">IF(AND(R6=1,MOD(R4,BattLife)=0,R4&lt;Life),BESS_kWh*C_BattRepl*LevCapex*R9,0)</f>
        <v>0</v>
      </c>
      <c r="S62" s="50" t="n">
        <f aca="false">IF(AND(S6=1,MOD(S4,BattLife)=0,S4&lt;Life),BESS_kWh*C_BattRepl*LevCapex*S9,0)</f>
        <v>303926.878209995</v>
      </c>
      <c r="T62" s="50" t="n">
        <f aca="false">IF(AND(T6=1,MOD(T4,BattLife)=0,T4&lt;Life),BESS_kWh*C_BattRepl*LevCapex*T9,0)</f>
        <v>0</v>
      </c>
      <c r="U62" s="50" t="n">
        <f aca="false">IF(AND(U6=1,MOD(U4,BattLife)=0,U4&lt;Life),BESS_kWh*C_BattRepl*LevCapex*U9,0)</f>
        <v>0</v>
      </c>
      <c r="V62" s="50" t="n">
        <f aca="false">IF(AND(V6=1,MOD(V4,BattLife)=0,V4&lt;Life),BESS_kWh*C_BattRepl*LevCapex*V9,0)</f>
        <v>0</v>
      </c>
      <c r="W62" s="50" t="n">
        <f aca="false">IF(AND(W6=1,MOD(W4,BattLife)=0,W4&lt;Life),BESS_kWh*C_BattRepl*LevCapex*W9,0)</f>
        <v>0</v>
      </c>
    </row>
    <row r="63" customFormat="false" ht="15" hidden="false" customHeight="false" outlineLevel="0" collapsed="false">
      <c r="A63" s="10" t="s">
        <v>238</v>
      </c>
      <c r="B63" s="51" t="n">
        <f aca="false">SUM(C63:W63)</f>
        <v>680000</v>
      </c>
      <c r="C63" s="50" t="n">
        <f aca="false">Grant</f>
        <v>680000</v>
      </c>
      <c r="D63" s="50" t="n">
        <f aca="false">0</f>
        <v>0</v>
      </c>
      <c r="E63" s="50" t="n">
        <f aca="false">0</f>
        <v>0</v>
      </c>
      <c r="F63" s="50" t="n">
        <f aca="false">0</f>
        <v>0</v>
      </c>
      <c r="G63" s="50" t="n">
        <f aca="false">0</f>
        <v>0</v>
      </c>
      <c r="H63" s="50" t="n">
        <f aca="false">0</f>
        <v>0</v>
      </c>
      <c r="I63" s="50" t="n">
        <f aca="false">0</f>
        <v>0</v>
      </c>
      <c r="J63" s="50" t="n">
        <f aca="false">0</f>
        <v>0</v>
      </c>
      <c r="K63" s="50" t="n">
        <f aca="false">0</f>
        <v>0</v>
      </c>
      <c r="L63" s="50" t="n">
        <f aca="false">0</f>
        <v>0</v>
      </c>
      <c r="M63" s="50" t="n">
        <f aca="false">0</f>
        <v>0</v>
      </c>
      <c r="N63" s="50" t="n">
        <f aca="false">0</f>
        <v>0</v>
      </c>
      <c r="O63" s="50" t="n">
        <f aca="false">0</f>
        <v>0</v>
      </c>
      <c r="P63" s="50" t="n">
        <f aca="false">0</f>
        <v>0</v>
      </c>
      <c r="Q63" s="50" t="n">
        <f aca="false">0</f>
        <v>0</v>
      </c>
      <c r="R63" s="50" t="n">
        <f aca="false">0</f>
        <v>0</v>
      </c>
      <c r="S63" s="50" t="n">
        <f aca="false">0</f>
        <v>0</v>
      </c>
      <c r="T63" s="50" t="n">
        <f aca="false">0</f>
        <v>0</v>
      </c>
      <c r="U63" s="50" t="n">
        <f aca="false">0</f>
        <v>0</v>
      </c>
      <c r="V63" s="50" t="n">
        <f aca="false">0</f>
        <v>0</v>
      </c>
      <c r="W63" s="50" t="n">
        <f aca="false">0</f>
        <v>0</v>
      </c>
    </row>
    <row r="64" customFormat="false" ht="15" hidden="false" customHeight="false" outlineLevel="0" collapsed="false">
      <c r="A64" s="10" t="s">
        <v>239</v>
      </c>
      <c r="B64" s="51" t="n">
        <f aca="false">SUM(C64:W64)</f>
        <v>242500</v>
      </c>
      <c r="C64" s="50" t="n">
        <v>0</v>
      </c>
      <c r="D64" s="50" t="n">
        <f aca="false">IF(D4-RBFLag&gt;=1,INDEX($C$19:$W$19,1,D4-RBFLag+1)*RBFperConn,0)</f>
        <v>145500</v>
      </c>
      <c r="E64" s="50" t="n">
        <f aca="false">IF(E4-RBFLag&gt;=1,INDEX($C$19:$W$19,1,E4-RBFLag+1)*RBFperConn,0)</f>
        <v>60625</v>
      </c>
      <c r="F64" s="50" t="n">
        <f aca="false">IF(F4-RBFLag&gt;=1,INDEX($C$19:$W$19,1,F4-RBFLag+1)*RBFperConn,0)</f>
        <v>36375</v>
      </c>
      <c r="G64" s="50" t="n">
        <f aca="false">IF(G4-RBFLag&gt;=1,INDEX($C$19:$W$19,1,G4-RBFLag+1)*RBFperConn,0)</f>
        <v>0</v>
      </c>
      <c r="H64" s="50" t="n">
        <f aca="false">IF(H4-RBFLag&gt;=1,INDEX($C$19:$W$19,1,H4-RBFLag+1)*RBFperConn,0)</f>
        <v>0</v>
      </c>
      <c r="I64" s="50" t="n">
        <f aca="false">IF(I4-RBFLag&gt;=1,INDEX($C$19:$W$19,1,I4-RBFLag+1)*RBFperConn,0)</f>
        <v>0</v>
      </c>
      <c r="J64" s="50" t="n">
        <f aca="false">IF(J4-RBFLag&gt;=1,INDEX($C$19:$W$19,1,J4-RBFLag+1)*RBFperConn,0)</f>
        <v>0</v>
      </c>
      <c r="K64" s="50" t="n">
        <f aca="false">IF(K4-RBFLag&gt;=1,INDEX($C$19:$W$19,1,K4-RBFLag+1)*RBFperConn,0)</f>
        <v>0</v>
      </c>
      <c r="L64" s="50" t="n">
        <f aca="false">IF(L4-RBFLag&gt;=1,INDEX($C$19:$W$19,1,L4-RBFLag+1)*RBFperConn,0)</f>
        <v>0</v>
      </c>
      <c r="M64" s="50" t="n">
        <f aca="false">IF(M4-RBFLag&gt;=1,INDEX($C$19:$W$19,1,M4-RBFLag+1)*RBFperConn,0)</f>
        <v>0</v>
      </c>
      <c r="N64" s="50" t="n">
        <f aca="false">IF(N4-RBFLag&gt;=1,INDEX($C$19:$W$19,1,N4-RBFLag+1)*RBFperConn,0)</f>
        <v>0</v>
      </c>
      <c r="O64" s="50" t="n">
        <f aca="false">IF(O4-RBFLag&gt;=1,INDEX($C$19:$W$19,1,O4-RBFLag+1)*RBFperConn,0)</f>
        <v>0</v>
      </c>
      <c r="P64" s="50" t="n">
        <f aca="false">IF(P4-RBFLag&gt;=1,INDEX($C$19:$W$19,1,P4-RBFLag+1)*RBFperConn,0)</f>
        <v>0</v>
      </c>
      <c r="Q64" s="50" t="n">
        <f aca="false">IF(Q4-RBFLag&gt;=1,INDEX($C$19:$W$19,1,Q4-RBFLag+1)*RBFperConn,0)</f>
        <v>0</v>
      </c>
      <c r="R64" s="50" t="n">
        <f aca="false">IF(R4-RBFLag&gt;=1,INDEX($C$19:$W$19,1,R4-RBFLag+1)*RBFperConn,0)</f>
        <v>0</v>
      </c>
      <c r="S64" s="50" t="n">
        <f aca="false">IF(S4-RBFLag&gt;=1,INDEX($C$19:$W$19,1,S4-RBFLag+1)*RBFperConn,0)</f>
        <v>0</v>
      </c>
      <c r="T64" s="50" t="n">
        <f aca="false">IF(T4-RBFLag&gt;=1,INDEX($C$19:$W$19,1,T4-RBFLag+1)*RBFperConn,0)</f>
        <v>0</v>
      </c>
      <c r="U64" s="50" t="n">
        <f aca="false">IF(U4-RBFLag&gt;=1,INDEX($C$19:$W$19,1,U4-RBFLag+1)*RBFperConn,0)</f>
        <v>0</v>
      </c>
      <c r="V64" s="50" t="n">
        <f aca="false">IF(V4-RBFLag&gt;=1,INDEX($C$19:$W$19,1,V4-RBFLag+1)*RBFperConn,0)</f>
        <v>0</v>
      </c>
      <c r="W64" s="50" t="n">
        <f aca="false">IF(W4-RBFLag&gt;=1,INDEX($C$19:$W$19,1,W4-RBFLag+1)*RBFperConn,0)</f>
        <v>0</v>
      </c>
    </row>
    <row r="65" customFormat="false" ht="15" hidden="false" customHeight="false" outlineLevel="0" collapsed="false">
      <c r="A65" s="10" t="s">
        <v>240</v>
      </c>
      <c r="B65" s="51" t="n">
        <f aca="false">SUM(C65:W65)</f>
        <v>543849.562425172</v>
      </c>
      <c r="C65" s="50" t="n">
        <v>0</v>
      </c>
      <c r="D65" s="50" t="n">
        <f aca="false">IF(AND(UseMRA=1,D6=1,CEILING(D4,BattLife)&lt;Life),BESS_kWh*C_BattRepl*LevCapex*(1+CostEsc)^(CEILING(D4,BattLife)-1)/BattLife,0)</f>
        <v>29990.3355268971</v>
      </c>
      <c r="E65" s="50" t="n">
        <f aca="false">IF(AND(UseMRA=1,E6=1,CEILING(E4,BattLife)&lt;Life),BESS_kWh*C_BattRepl*LevCapex*(1+CostEsc)^(CEILING(E4,BattLife)-1)/BattLife,0)</f>
        <v>29990.3355268971</v>
      </c>
      <c r="F65" s="50" t="n">
        <f aca="false">IF(AND(UseMRA=1,F6=1,CEILING(F4,BattLife)&lt;Life),BESS_kWh*C_BattRepl*LevCapex*(1+CostEsc)^(CEILING(F4,BattLife)-1)/BattLife,0)</f>
        <v>29990.3355268971</v>
      </c>
      <c r="G65" s="50" t="n">
        <f aca="false">IF(AND(UseMRA=1,G6=1,CEILING(G4,BattLife)&lt;Life),BESS_kWh*C_BattRepl*LevCapex*(1+CostEsc)^(CEILING(G4,BattLife)-1)/BattLife,0)</f>
        <v>29990.3355268971</v>
      </c>
      <c r="H65" s="50" t="n">
        <f aca="false">IF(AND(UseMRA=1,H6=1,CEILING(H4,BattLife)&lt;Life),BESS_kWh*C_BattRepl*LevCapex*(1+CostEsc)^(CEILING(H4,BattLife)-1)/BattLife,0)</f>
        <v>29990.3355268971</v>
      </c>
      <c r="I65" s="50" t="n">
        <f aca="false">IF(AND(UseMRA=1,I6=1,CEILING(I4,BattLife)&lt;Life),BESS_kWh*C_BattRepl*LevCapex*(1+CostEsc)^(CEILING(I4,BattLife)-1)/BattLife,0)</f>
        <v>29990.3355268971</v>
      </c>
      <c r="J65" s="50" t="n">
        <f aca="false">IF(AND(UseMRA=1,J6=1,CEILING(J4,BattLife)&lt;Life),BESS_kWh*C_BattRepl*LevCapex*(1+CostEsc)^(CEILING(J4,BattLife)-1)/BattLife,0)</f>
        <v>29990.3355268971</v>
      </c>
      <c r="K65" s="50" t="n">
        <f aca="false">IF(AND(UseMRA=1,K6=1,CEILING(K4,BattLife)&lt;Life),BESS_kWh*C_BattRepl*LevCapex*(1+CostEsc)^(CEILING(K4,BattLife)-1)/BattLife,0)</f>
        <v>29990.3355268971</v>
      </c>
      <c r="L65" s="50" t="n">
        <f aca="false">IF(AND(UseMRA=1,L6=1,CEILING(L4,BattLife)&lt;Life),BESS_kWh*C_BattRepl*LevCapex*(1+CostEsc)^(CEILING(L4,BattLife)-1)/BattLife,0)</f>
        <v>37990.8597762494</v>
      </c>
      <c r="M65" s="50" t="n">
        <f aca="false">IF(AND(UseMRA=1,M6=1,CEILING(M4,BattLife)&lt;Life),BESS_kWh*C_BattRepl*LevCapex*(1+CostEsc)^(CEILING(M4,BattLife)-1)/BattLife,0)</f>
        <v>37990.8597762494</v>
      </c>
      <c r="N65" s="50" t="n">
        <f aca="false">IF(AND(UseMRA=1,N6=1,CEILING(N4,BattLife)&lt;Life),BESS_kWh*C_BattRepl*LevCapex*(1+CostEsc)^(CEILING(N4,BattLife)-1)/BattLife,0)</f>
        <v>37990.8597762494</v>
      </c>
      <c r="O65" s="50" t="n">
        <f aca="false">IF(AND(UseMRA=1,O6=1,CEILING(O4,BattLife)&lt;Life),BESS_kWh*C_BattRepl*LevCapex*(1+CostEsc)^(CEILING(O4,BattLife)-1)/BattLife,0)</f>
        <v>37990.8597762494</v>
      </c>
      <c r="P65" s="50" t="n">
        <f aca="false">IF(AND(UseMRA=1,P6=1,CEILING(P4,BattLife)&lt;Life),BESS_kWh*C_BattRepl*LevCapex*(1+CostEsc)^(CEILING(P4,BattLife)-1)/BattLife,0)</f>
        <v>37990.8597762494</v>
      </c>
      <c r="Q65" s="50" t="n">
        <f aca="false">IF(AND(UseMRA=1,Q6=1,CEILING(Q4,BattLife)&lt;Life),BESS_kWh*C_BattRepl*LevCapex*(1+CostEsc)^(CEILING(Q4,BattLife)-1)/BattLife,0)</f>
        <v>37990.8597762494</v>
      </c>
      <c r="R65" s="50" t="n">
        <f aca="false">IF(AND(UseMRA=1,R6=1,CEILING(R4,BattLife)&lt;Life),BESS_kWh*C_BattRepl*LevCapex*(1+CostEsc)^(CEILING(R4,BattLife)-1)/BattLife,0)</f>
        <v>37990.8597762494</v>
      </c>
      <c r="S65" s="50" t="n">
        <f aca="false">IF(AND(UseMRA=1,S6=1,CEILING(S4,BattLife)&lt;Life),BESS_kWh*C_BattRepl*LevCapex*(1+CostEsc)^(CEILING(S4,BattLife)-1)/BattLife,0)</f>
        <v>37990.8597762494</v>
      </c>
      <c r="T65" s="50" t="n">
        <f aca="false">IF(AND(UseMRA=1,T6=1,CEILING(T4,BattLife)&lt;Life),BESS_kWh*C_BattRepl*LevCapex*(1+CostEsc)^(CEILING(T4,BattLife)-1)/BattLife,0)</f>
        <v>0</v>
      </c>
      <c r="U65" s="50" t="n">
        <f aca="false">IF(AND(UseMRA=1,U6=1,CEILING(U4,BattLife)&lt;Life),BESS_kWh*C_BattRepl*LevCapex*(1+CostEsc)^(CEILING(U4,BattLife)-1)/BattLife,0)</f>
        <v>0</v>
      </c>
      <c r="V65" s="50" t="n">
        <f aca="false">IF(AND(UseMRA=1,V6=1,CEILING(V4,BattLife)&lt;Life),BESS_kWh*C_BattRepl*LevCapex*(1+CostEsc)^(CEILING(V4,BattLife)-1)/BattLife,0)</f>
        <v>0</v>
      </c>
      <c r="W65" s="50" t="n">
        <f aca="false">IF(AND(UseMRA=1,W6=1,CEILING(W4,BattLife)&lt;Life),BESS_kWh*C_BattRepl*LevCapex*(1+CostEsc)^(CEILING(W4,BattLife)-1)/BattLife,0)</f>
        <v>0</v>
      </c>
    </row>
    <row r="66" customFormat="false" ht="15" hidden="false" customHeight="false" outlineLevel="0" collapsed="false">
      <c r="A66" s="10" t="s">
        <v>241</v>
      </c>
      <c r="B66" s="51" t="n">
        <f aca="false">SUM(C66:W66)</f>
        <v>543849.562425172</v>
      </c>
      <c r="C66" s="50" t="n">
        <v>0</v>
      </c>
      <c r="D66" s="50" t="n">
        <f aca="false">IF(UseMRA=1,D65,D62)</f>
        <v>29990.3355268971</v>
      </c>
      <c r="E66" s="50" t="n">
        <f aca="false">IF(UseMRA=1,E65,E62)</f>
        <v>29990.3355268971</v>
      </c>
      <c r="F66" s="50" t="n">
        <f aca="false">IF(UseMRA=1,F65,F62)</f>
        <v>29990.3355268971</v>
      </c>
      <c r="G66" s="50" t="n">
        <f aca="false">IF(UseMRA=1,G65,G62)</f>
        <v>29990.3355268971</v>
      </c>
      <c r="H66" s="50" t="n">
        <f aca="false">IF(UseMRA=1,H65,H62)</f>
        <v>29990.3355268971</v>
      </c>
      <c r="I66" s="50" t="n">
        <f aca="false">IF(UseMRA=1,I65,I62)</f>
        <v>29990.3355268971</v>
      </c>
      <c r="J66" s="50" t="n">
        <f aca="false">IF(UseMRA=1,J65,J62)</f>
        <v>29990.3355268971</v>
      </c>
      <c r="K66" s="50" t="n">
        <f aca="false">IF(UseMRA=1,K65,K62)</f>
        <v>29990.3355268971</v>
      </c>
      <c r="L66" s="50" t="n">
        <f aca="false">IF(UseMRA=1,L65,L62)</f>
        <v>37990.8597762494</v>
      </c>
      <c r="M66" s="50" t="n">
        <f aca="false">IF(UseMRA=1,M65,M62)</f>
        <v>37990.8597762494</v>
      </c>
      <c r="N66" s="50" t="n">
        <f aca="false">IF(UseMRA=1,N65,N62)</f>
        <v>37990.8597762494</v>
      </c>
      <c r="O66" s="50" t="n">
        <f aca="false">IF(UseMRA=1,O65,O62)</f>
        <v>37990.8597762494</v>
      </c>
      <c r="P66" s="50" t="n">
        <f aca="false">IF(UseMRA=1,P65,P62)</f>
        <v>37990.8597762494</v>
      </c>
      <c r="Q66" s="50" t="n">
        <f aca="false">IF(UseMRA=1,Q65,Q62)</f>
        <v>37990.8597762494</v>
      </c>
      <c r="R66" s="50" t="n">
        <f aca="false">IF(UseMRA=1,R65,R62)</f>
        <v>37990.8597762494</v>
      </c>
      <c r="S66" s="50" t="n">
        <f aca="false">IF(UseMRA=1,S65,S62)</f>
        <v>37990.8597762494</v>
      </c>
      <c r="T66" s="50" t="n">
        <f aca="false">IF(UseMRA=1,T65,T62)</f>
        <v>0</v>
      </c>
      <c r="U66" s="50" t="n">
        <f aca="false">IF(UseMRA=1,U65,U62)</f>
        <v>0</v>
      </c>
      <c r="V66" s="50" t="n">
        <f aca="false">IF(UseMRA=1,V65,V62)</f>
        <v>0</v>
      </c>
      <c r="W66" s="50" t="n">
        <f aca="false">IF(UseMRA=1,W65,W62)</f>
        <v>0</v>
      </c>
    </row>
    <row r="68" customFormat="false" ht="15" hidden="false" customHeight="false" outlineLevel="0" collapsed="false">
      <c r="A68" s="8" t="s">
        <v>242</v>
      </c>
      <c r="B68" s="9"/>
      <c r="C68" s="9"/>
      <c r="D68" s="9"/>
      <c r="E68" s="9"/>
      <c r="F68" s="9"/>
      <c r="G68" s="9"/>
      <c r="H68" s="9"/>
      <c r="I68" s="9"/>
      <c r="J68" s="9"/>
      <c r="K68" s="9"/>
      <c r="L68" s="9"/>
      <c r="M68" s="9"/>
      <c r="N68" s="9"/>
      <c r="O68" s="9"/>
      <c r="P68" s="9"/>
      <c r="Q68" s="9"/>
      <c r="R68" s="9"/>
      <c r="S68" s="9"/>
      <c r="T68" s="9"/>
      <c r="U68" s="9"/>
      <c r="V68" s="9"/>
      <c r="W68" s="9"/>
    </row>
    <row r="69" customFormat="false" ht="15" hidden="false" customHeight="false" outlineLevel="0" collapsed="false">
      <c r="A69" s="10" t="s">
        <v>243</v>
      </c>
      <c r="B69" s="51" t="n">
        <f aca="false">SUM(C69:W69)</f>
        <v>1322009.53953611</v>
      </c>
      <c r="C69" s="50" t="n">
        <v>0</v>
      </c>
      <c r="D69" s="50" t="n">
        <f aca="false">IF(D4&lt;=MIN(DepYears,Life),TotalCapex/DepYears,0)</f>
        <v>88133.9693024076</v>
      </c>
      <c r="E69" s="50" t="n">
        <f aca="false">IF(E4&lt;=MIN(DepYears,Life),TotalCapex/DepYears,0)</f>
        <v>88133.9693024076</v>
      </c>
      <c r="F69" s="50" t="n">
        <f aca="false">IF(F4&lt;=MIN(DepYears,Life),TotalCapex/DepYears,0)</f>
        <v>88133.9693024076</v>
      </c>
      <c r="G69" s="50" t="n">
        <f aca="false">IF(G4&lt;=MIN(DepYears,Life),TotalCapex/DepYears,0)</f>
        <v>88133.9693024076</v>
      </c>
      <c r="H69" s="50" t="n">
        <f aca="false">IF(H4&lt;=MIN(DepYears,Life),TotalCapex/DepYears,0)</f>
        <v>88133.9693024076</v>
      </c>
      <c r="I69" s="50" t="n">
        <f aca="false">IF(I4&lt;=MIN(DepYears,Life),TotalCapex/DepYears,0)</f>
        <v>88133.9693024076</v>
      </c>
      <c r="J69" s="50" t="n">
        <f aca="false">IF(J4&lt;=MIN(DepYears,Life),TotalCapex/DepYears,0)</f>
        <v>88133.9693024076</v>
      </c>
      <c r="K69" s="50" t="n">
        <f aca="false">IF(K4&lt;=MIN(DepYears,Life),TotalCapex/DepYears,0)</f>
        <v>88133.9693024076</v>
      </c>
      <c r="L69" s="50" t="n">
        <f aca="false">IF(L4&lt;=MIN(DepYears,Life),TotalCapex/DepYears,0)</f>
        <v>88133.9693024076</v>
      </c>
      <c r="M69" s="50" t="n">
        <f aca="false">IF(M4&lt;=MIN(DepYears,Life),TotalCapex/DepYears,0)</f>
        <v>88133.9693024076</v>
      </c>
      <c r="N69" s="50" t="n">
        <f aca="false">IF(N4&lt;=MIN(DepYears,Life),TotalCapex/DepYears,0)</f>
        <v>88133.9693024076</v>
      </c>
      <c r="O69" s="50" t="n">
        <f aca="false">IF(O4&lt;=MIN(DepYears,Life),TotalCapex/DepYears,0)</f>
        <v>88133.9693024076</v>
      </c>
      <c r="P69" s="50" t="n">
        <f aca="false">IF(P4&lt;=MIN(DepYears,Life),TotalCapex/DepYears,0)</f>
        <v>88133.9693024076</v>
      </c>
      <c r="Q69" s="50" t="n">
        <f aca="false">IF(Q4&lt;=MIN(DepYears,Life),TotalCapex/DepYears,0)</f>
        <v>88133.9693024076</v>
      </c>
      <c r="R69" s="50" t="n">
        <f aca="false">IF(R4&lt;=MIN(DepYears,Life),TotalCapex/DepYears,0)</f>
        <v>88133.9693024076</v>
      </c>
      <c r="S69" s="50" t="n">
        <f aca="false">IF(S4&lt;=MIN(DepYears,Life),TotalCapex/DepYears,0)</f>
        <v>0</v>
      </c>
      <c r="T69" s="50" t="n">
        <f aca="false">IF(T4&lt;=MIN(DepYears,Life),TotalCapex/DepYears,0)</f>
        <v>0</v>
      </c>
      <c r="U69" s="50" t="n">
        <f aca="false">IF(U4&lt;=MIN(DepYears,Life),TotalCapex/DepYears,0)</f>
        <v>0</v>
      </c>
      <c r="V69" s="50" t="n">
        <f aca="false">IF(V4&lt;=MIN(DepYears,Life),TotalCapex/DepYears,0)</f>
        <v>0</v>
      </c>
      <c r="W69" s="50" t="n">
        <f aca="false">IF(W4&lt;=MIN(DepYears,Life),TotalCapex/DepYears,0)</f>
        <v>0</v>
      </c>
    </row>
    <row r="70" customFormat="false" ht="15" hidden="false" customHeight="false" outlineLevel="0" collapsed="false">
      <c r="A70" s="10" t="s">
        <v>244</v>
      </c>
      <c r="B70" s="51" t="n">
        <f aca="false">SUM(C70:W70)</f>
        <v>105131.593387274</v>
      </c>
      <c r="C70" s="50" t="n">
        <v>0</v>
      </c>
      <c r="D70" s="50" t="n">
        <f aca="false">MAX(0,D57-D69)*TaxRate</f>
        <v>0</v>
      </c>
      <c r="E70" s="50" t="n">
        <f aca="false">MAX(0,E57-E69)*TaxRate</f>
        <v>0</v>
      </c>
      <c r="F70" s="50" t="n">
        <f aca="false">MAX(0,F57-F69)*TaxRate</f>
        <v>0</v>
      </c>
      <c r="G70" s="50" t="n">
        <f aca="false">MAX(0,G57-G69)*TaxRate</f>
        <v>0</v>
      </c>
      <c r="H70" s="50" t="n">
        <f aca="false">MAX(0,H57-H69)*TaxRate</f>
        <v>38.9798823429264</v>
      </c>
      <c r="I70" s="50" t="n">
        <f aca="false">MAX(0,I57-I69)*TaxRate</f>
        <v>1873.12630277237</v>
      </c>
      <c r="J70" s="50" t="n">
        <f aca="false">MAX(0,J57-J69)*TaxRate</f>
        <v>3273.26764032359</v>
      </c>
      <c r="K70" s="50" t="n">
        <f aca="false">MAX(0,K57-K69)*TaxRate</f>
        <v>2981.02915454293</v>
      </c>
      <c r="L70" s="50" t="n">
        <f aca="false">MAX(0,L57-L69)*TaxRate</f>
        <v>2628.1096681485</v>
      </c>
      <c r="M70" s="50" t="n">
        <f aca="false">MAX(0,M57-M69)*TaxRate</f>
        <v>2209.82835326386</v>
      </c>
      <c r="N70" s="50" t="n">
        <f aca="false">MAX(0,N57-N69)*TaxRate</f>
        <v>1721.19724265748</v>
      </c>
      <c r="O70" s="50" t="n">
        <f aca="false">MAX(0,O57-O69)*TaxRate</f>
        <v>1156.90204861829</v>
      </c>
      <c r="P70" s="50" t="n">
        <f aca="false">MAX(0,P57-P69)*TaxRate</f>
        <v>511.281804031634</v>
      </c>
      <c r="Q70" s="50" t="n">
        <f aca="false">MAX(0,Q57-Q69)*TaxRate</f>
        <v>0</v>
      </c>
      <c r="R70" s="50" t="n">
        <f aca="false">MAX(0,R57-R69)*TaxRate</f>
        <v>0</v>
      </c>
      <c r="S70" s="50" t="n">
        <f aca="false">MAX(0,S57-S69)*TaxRate</f>
        <v>20057.6900863947</v>
      </c>
      <c r="T70" s="50" t="n">
        <f aca="false">MAX(0,T57-T69)*TaxRate</f>
        <v>19022.4416612927</v>
      </c>
      <c r="U70" s="50" t="n">
        <f aca="false">MAX(0,U57-U69)*TaxRate</f>
        <v>17871.5587131466</v>
      </c>
      <c r="V70" s="50" t="n">
        <f aca="false">MAX(0,V57-V69)*TaxRate</f>
        <v>16596.7970694053</v>
      </c>
      <c r="W70" s="50" t="n">
        <f aca="false">MAX(0,W57-W69)*TaxRate</f>
        <v>15189.3837603331</v>
      </c>
    </row>
    <row r="71" customFormat="false" ht="15" hidden="false" customHeight="false" outlineLevel="0" collapsed="false">
      <c r="A71" s="10" t="s">
        <v>245</v>
      </c>
      <c r="B71" s="51" t="n">
        <f aca="false">SUM(C71:W71)</f>
        <v>97113.3113399291</v>
      </c>
      <c r="C71" s="50" t="n">
        <v>0</v>
      </c>
      <c r="D71" s="50" t="n">
        <f aca="false">MAX(0,D57-D69-D76)*TaxRate</f>
        <v>0</v>
      </c>
      <c r="E71" s="50" t="n">
        <f aca="false">MAX(0,E57-E69-E76)*TaxRate</f>
        <v>0</v>
      </c>
      <c r="F71" s="50" t="n">
        <f aca="false">MAX(0,F57-F69-F76)*TaxRate</f>
        <v>0</v>
      </c>
      <c r="G71" s="50" t="n">
        <f aca="false">MAX(0,G57-G69-G76)*TaxRate</f>
        <v>0</v>
      </c>
      <c r="H71" s="50" t="n">
        <f aca="false">MAX(0,H57-H69-H76)*TaxRate</f>
        <v>0</v>
      </c>
      <c r="I71" s="50" t="n">
        <f aca="false">MAX(0,I57-I69-I76)*TaxRate</f>
        <v>0</v>
      </c>
      <c r="J71" s="50" t="n">
        <f aca="false">MAX(0,J57-J69-J76)*TaxRate</f>
        <v>931.490071119221</v>
      </c>
      <c r="K71" s="50" t="n">
        <f aca="false">MAX(0,K57-K69-K76)*TaxRate</f>
        <v>1151.32495331143</v>
      </c>
      <c r="L71" s="50" t="n">
        <f aca="false">MAX(0,L57-L69-L76)*TaxRate</f>
        <v>1356.56543800742</v>
      </c>
      <c r="M71" s="50" t="n">
        <f aca="false">MAX(0,M57-M69-M76)*TaxRate</f>
        <v>1546.67849161133</v>
      </c>
      <c r="N71" s="50" t="n">
        <f aca="false">MAX(0,N57-N69-N76)*TaxRate</f>
        <v>1721.19724265748</v>
      </c>
      <c r="O71" s="50" t="n">
        <f aca="false">MAX(0,O57-O69-O76)*TaxRate</f>
        <v>1156.90204861829</v>
      </c>
      <c r="P71" s="50" t="n">
        <f aca="false">MAX(0,P57-P69-P76)*TaxRate</f>
        <v>511.281804031634</v>
      </c>
      <c r="Q71" s="50" t="n">
        <f aca="false">MAX(0,Q57-Q69-Q76)*TaxRate</f>
        <v>0</v>
      </c>
      <c r="R71" s="50" t="n">
        <f aca="false">MAX(0,R57-R69-R76)*TaxRate</f>
        <v>0</v>
      </c>
      <c r="S71" s="50" t="n">
        <f aca="false">MAX(0,S57-S69-S76)*TaxRate</f>
        <v>20057.6900863947</v>
      </c>
      <c r="T71" s="50" t="n">
        <f aca="false">MAX(0,T57-T69-T76)*TaxRate</f>
        <v>19022.4416612927</v>
      </c>
      <c r="U71" s="50" t="n">
        <f aca="false">MAX(0,U57-U69-U76)*TaxRate</f>
        <v>17871.5587131466</v>
      </c>
      <c r="V71" s="50" t="n">
        <f aca="false">MAX(0,V57-V69-V76)*TaxRate</f>
        <v>16596.7970694053</v>
      </c>
      <c r="W71" s="50" t="n">
        <f aca="false">MAX(0,W57-W69-W76)*TaxRate</f>
        <v>15189.3837603331</v>
      </c>
    </row>
    <row r="73" customFormat="false" ht="15" hidden="false" customHeight="false" outlineLevel="0" collapsed="false">
      <c r="A73" s="8" t="s">
        <v>246</v>
      </c>
      <c r="B73" s="9"/>
      <c r="C73" s="9"/>
      <c r="D73" s="9"/>
      <c r="E73" s="9"/>
      <c r="F73" s="9"/>
      <c r="G73" s="9"/>
      <c r="H73" s="9"/>
      <c r="I73" s="9"/>
      <c r="J73" s="9"/>
      <c r="K73" s="9"/>
      <c r="L73" s="9"/>
      <c r="M73" s="9"/>
      <c r="N73" s="9"/>
      <c r="O73" s="9"/>
      <c r="P73" s="9"/>
      <c r="Q73" s="9"/>
      <c r="R73" s="9"/>
      <c r="S73" s="9"/>
      <c r="T73" s="9"/>
      <c r="U73" s="9"/>
      <c r="V73" s="9"/>
      <c r="W73" s="9"/>
    </row>
    <row r="74" customFormat="false" ht="15" hidden="false" customHeight="false" outlineLevel="0" collapsed="false">
      <c r="A74" s="10" t="s">
        <v>247</v>
      </c>
      <c r="C74" s="50" t="n">
        <v>0</v>
      </c>
      <c r="D74" s="50" t="n">
        <f aca="false">C78</f>
        <v>192602.861860834</v>
      </c>
      <c r="E74" s="50" t="n">
        <f aca="false">D78</f>
        <v>192602.861860834</v>
      </c>
      <c r="F74" s="50" t="n">
        <f aca="false">E78</f>
        <v>177811.192797143</v>
      </c>
      <c r="G74" s="50" t="n">
        <f aca="false">F78</f>
        <v>161688.273517719</v>
      </c>
      <c r="H74" s="50" t="n">
        <f aca="false">G78</f>
        <v>144114.291503146</v>
      </c>
      <c r="I74" s="50" t="n">
        <f aca="false">H78</f>
        <v>124958.651107263</v>
      </c>
      <c r="J74" s="50" t="n">
        <f aca="false">I78</f>
        <v>104079.00307575</v>
      </c>
      <c r="K74" s="50" t="n">
        <f aca="false">J78</f>
        <v>81320.1867214001</v>
      </c>
      <c r="L74" s="50" t="n">
        <f aca="false">K78</f>
        <v>56513.0768951593</v>
      </c>
      <c r="M74" s="50" t="n">
        <f aca="false">L78</f>
        <v>29473.3271845568</v>
      </c>
      <c r="N74" s="50" t="n">
        <f aca="false">M78</f>
        <v>0</v>
      </c>
      <c r="O74" s="50" t="n">
        <f aca="false">N78</f>
        <v>0</v>
      </c>
      <c r="P74" s="50" t="n">
        <f aca="false">O78</f>
        <v>0</v>
      </c>
      <c r="Q74" s="50" t="n">
        <f aca="false">P78</f>
        <v>0</v>
      </c>
      <c r="R74" s="50" t="n">
        <f aca="false">Q78</f>
        <v>0</v>
      </c>
      <c r="S74" s="50" t="n">
        <f aca="false">R78</f>
        <v>0</v>
      </c>
      <c r="T74" s="50" t="n">
        <f aca="false">S78</f>
        <v>0</v>
      </c>
      <c r="U74" s="50" t="n">
        <f aca="false">T78</f>
        <v>0</v>
      </c>
      <c r="V74" s="50" t="n">
        <f aca="false">U78</f>
        <v>0</v>
      </c>
      <c r="W74" s="50" t="n">
        <f aca="false">V78</f>
        <v>0</v>
      </c>
    </row>
    <row r="75" customFormat="false" ht="15" hidden="false" customHeight="false" outlineLevel="0" collapsed="false">
      <c r="A75" s="10" t="s">
        <v>248</v>
      </c>
      <c r="B75" s="51" t="n">
        <f aca="false">SUM(C75:W75)</f>
        <v>192602.861860834</v>
      </c>
      <c r="C75" s="50" t="n">
        <f aca="false">DebtAmt</f>
        <v>192602.861860834</v>
      </c>
      <c r="D75" s="50" t="n">
        <f aca="false">0</f>
        <v>0</v>
      </c>
      <c r="E75" s="50" t="n">
        <f aca="false">0</f>
        <v>0</v>
      </c>
      <c r="F75" s="50" t="n">
        <f aca="false">0</f>
        <v>0</v>
      </c>
      <c r="G75" s="50" t="n">
        <f aca="false">0</f>
        <v>0</v>
      </c>
      <c r="H75" s="50" t="n">
        <f aca="false">0</f>
        <v>0</v>
      </c>
      <c r="I75" s="50" t="n">
        <f aca="false">0</f>
        <v>0</v>
      </c>
      <c r="J75" s="50" t="n">
        <f aca="false">0</f>
        <v>0</v>
      </c>
      <c r="K75" s="50" t="n">
        <f aca="false">0</f>
        <v>0</v>
      </c>
      <c r="L75" s="50" t="n">
        <f aca="false">0</f>
        <v>0</v>
      </c>
      <c r="M75" s="50" t="n">
        <f aca="false">0</f>
        <v>0</v>
      </c>
      <c r="N75" s="50" t="n">
        <f aca="false">0</f>
        <v>0</v>
      </c>
      <c r="O75" s="50" t="n">
        <f aca="false">0</f>
        <v>0</v>
      </c>
      <c r="P75" s="50" t="n">
        <f aca="false">0</f>
        <v>0</v>
      </c>
      <c r="Q75" s="50" t="n">
        <f aca="false">0</f>
        <v>0</v>
      </c>
      <c r="R75" s="50" t="n">
        <f aca="false">0</f>
        <v>0</v>
      </c>
      <c r="S75" s="50" t="n">
        <f aca="false">0</f>
        <v>0</v>
      </c>
      <c r="T75" s="50" t="n">
        <f aca="false">0</f>
        <v>0</v>
      </c>
      <c r="U75" s="50" t="n">
        <f aca="false">0</f>
        <v>0</v>
      </c>
      <c r="V75" s="50" t="n">
        <f aca="false">0</f>
        <v>0</v>
      </c>
      <c r="W75" s="50" t="n">
        <f aca="false">0</f>
        <v>0</v>
      </c>
    </row>
    <row r="76" customFormat="false" ht="15" hidden="false" customHeight="false" outlineLevel="0" collapsed="false">
      <c r="A76" s="10" t="s">
        <v>249</v>
      </c>
      <c r="B76" s="51" t="n">
        <f aca="false">SUM(C76:W76)</f>
        <v>113864.735387142</v>
      </c>
      <c r="C76" s="50" t="n">
        <v>0</v>
      </c>
      <c r="D76" s="50" t="n">
        <f aca="false">D74*IntRate</f>
        <v>17334.2575674751</v>
      </c>
      <c r="E76" s="50" t="n">
        <f aca="false">E74*IntRate</f>
        <v>17334.2575674751</v>
      </c>
      <c r="F76" s="50" t="n">
        <f aca="false">F74*IntRate</f>
        <v>16003.0073517428</v>
      </c>
      <c r="G76" s="50" t="n">
        <f aca="false">G74*IntRate</f>
        <v>14551.9446165947</v>
      </c>
      <c r="H76" s="50" t="n">
        <f aca="false">H74*IntRate</f>
        <v>12970.2862352832</v>
      </c>
      <c r="I76" s="50" t="n">
        <f aca="false">I74*IntRate</f>
        <v>11246.2785996536</v>
      </c>
      <c r="J76" s="50" t="n">
        <f aca="false">J74*IntRate</f>
        <v>9367.11027681746</v>
      </c>
      <c r="K76" s="50" t="n">
        <f aca="false">K74*IntRate</f>
        <v>7318.81680492601</v>
      </c>
      <c r="L76" s="50" t="n">
        <f aca="false">L74*IntRate</f>
        <v>5086.17692056434</v>
      </c>
      <c r="M76" s="50" t="n">
        <f aca="false">M74*IntRate</f>
        <v>2652.59944661011</v>
      </c>
      <c r="N76" s="50" t="n">
        <f aca="false">N74*IntRate</f>
        <v>0</v>
      </c>
      <c r="O76" s="50" t="n">
        <f aca="false">O74*IntRate</f>
        <v>0</v>
      </c>
      <c r="P76" s="50" t="n">
        <f aca="false">P74*IntRate</f>
        <v>0</v>
      </c>
      <c r="Q76" s="50" t="n">
        <f aca="false">Q74*IntRate</f>
        <v>0</v>
      </c>
      <c r="R76" s="50" t="n">
        <f aca="false">R74*IntRate</f>
        <v>0</v>
      </c>
      <c r="S76" s="50" t="n">
        <f aca="false">S74*IntRate</f>
        <v>0</v>
      </c>
      <c r="T76" s="50" t="n">
        <f aca="false">T74*IntRate</f>
        <v>0</v>
      </c>
      <c r="U76" s="50" t="n">
        <f aca="false">U74*IntRate</f>
        <v>0</v>
      </c>
      <c r="V76" s="50" t="n">
        <f aca="false">V74*IntRate</f>
        <v>0</v>
      </c>
      <c r="W76" s="50" t="n">
        <f aca="false">W74*IntRate</f>
        <v>0</v>
      </c>
    </row>
    <row r="77" customFormat="false" ht="15" hidden="false" customHeight="false" outlineLevel="0" collapsed="false">
      <c r="A77" s="10" t="s">
        <v>250</v>
      </c>
      <c r="B77" s="51" t="n">
        <f aca="false">SUM(C77:W77)</f>
        <v>192602.861860834</v>
      </c>
      <c r="C77" s="50" t="n">
        <v>0</v>
      </c>
      <c r="D77" s="50" t="n">
        <f aca="false">IF(AND(D4&gt;Grace,D4&lt;=Tenor),PMT(IntRate,Tenor-Grace,-DebtAmt)-D76,0)</f>
        <v>0</v>
      </c>
      <c r="E77" s="50" t="n">
        <f aca="false">IF(AND(E4&gt;Grace,E4&lt;=Tenor),PMT(IntRate,Tenor-Grace,-DebtAmt)-E76,0)</f>
        <v>14791.6690636918</v>
      </c>
      <c r="F77" s="50" t="n">
        <f aca="false">IF(AND(F4&gt;Grace,F4&lt;=Tenor),PMT(IntRate,Tenor-Grace,-DebtAmt)-F76,0)</f>
        <v>16122.919279424</v>
      </c>
      <c r="G77" s="50" t="n">
        <f aca="false">IF(AND(G4&gt;Grace,G4&lt;=Tenor),PMT(IntRate,Tenor-Grace,-DebtAmt)-G76,0)</f>
        <v>17573.9820145722</v>
      </c>
      <c r="H77" s="50" t="n">
        <f aca="false">IF(AND(H4&gt;Grace,H4&lt;=Tenor),PMT(IntRate,Tenor-Grace,-DebtAmt)-H76,0)</f>
        <v>19155.6403958837</v>
      </c>
      <c r="I77" s="50" t="n">
        <f aca="false">IF(AND(I4&gt;Grace,I4&lt;=Tenor),PMT(IntRate,Tenor-Grace,-DebtAmt)-I76,0)</f>
        <v>20879.6480315132</v>
      </c>
      <c r="J77" s="50" t="n">
        <f aca="false">IF(AND(J4&gt;Grace,J4&lt;=Tenor),PMT(IntRate,Tenor-Grace,-DebtAmt)-J76,0)</f>
        <v>22758.8163543494</v>
      </c>
      <c r="K77" s="50" t="n">
        <f aca="false">IF(AND(K4&gt;Grace,K4&lt;=Tenor),PMT(IntRate,Tenor-Grace,-DebtAmt)-K76,0)</f>
        <v>24807.1098262408</v>
      </c>
      <c r="L77" s="50" t="n">
        <f aca="false">IF(AND(L4&gt;Grace,L4&lt;=Tenor),PMT(IntRate,Tenor-Grace,-DebtAmt)-L76,0)</f>
        <v>27039.7497106025</v>
      </c>
      <c r="M77" s="50" t="n">
        <f aca="false">IF(AND(M4&gt;Grace,M4&lt;=Tenor),PMT(IntRate,Tenor-Grace,-DebtAmt)-M76,0)</f>
        <v>29473.3271845567</v>
      </c>
      <c r="N77" s="50" t="n">
        <f aca="false">IF(AND(N4&gt;Grace,N4&lt;=Tenor),PMT(IntRate,Tenor-Grace,-DebtAmt)-N76,0)</f>
        <v>0</v>
      </c>
      <c r="O77" s="50" t="n">
        <f aca="false">IF(AND(O4&gt;Grace,O4&lt;=Tenor),PMT(IntRate,Tenor-Grace,-DebtAmt)-O76,0)</f>
        <v>0</v>
      </c>
      <c r="P77" s="50" t="n">
        <f aca="false">IF(AND(P4&gt;Grace,P4&lt;=Tenor),PMT(IntRate,Tenor-Grace,-DebtAmt)-P76,0)</f>
        <v>0</v>
      </c>
      <c r="Q77" s="50" t="n">
        <f aca="false">IF(AND(Q4&gt;Grace,Q4&lt;=Tenor),PMT(IntRate,Tenor-Grace,-DebtAmt)-Q76,0)</f>
        <v>0</v>
      </c>
      <c r="R77" s="50" t="n">
        <f aca="false">IF(AND(R4&gt;Grace,R4&lt;=Tenor),PMT(IntRate,Tenor-Grace,-DebtAmt)-R76,0)</f>
        <v>0</v>
      </c>
      <c r="S77" s="50" t="n">
        <f aca="false">IF(AND(S4&gt;Grace,S4&lt;=Tenor),PMT(IntRate,Tenor-Grace,-DebtAmt)-S76,0)</f>
        <v>0</v>
      </c>
      <c r="T77" s="50" t="n">
        <f aca="false">IF(AND(T4&gt;Grace,T4&lt;=Tenor),PMT(IntRate,Tenor-Grace,-DebtAmt)-T76,0)</f>
        <v>0</v>
      </c>
      <c r="U77" s="50" t="n">
        <f aca="false">IF(AND(U4&gt;Grace,U4&lt;=Tenor),PMT(IntRate,Tenor-Grace,-DebtAmt)-U76,0)</f>
        <v>0</v>
      </c>
      <c r="V77" s="50" t="n">
        <f aca="false">IF(AND(V4&gt;Grace,V4&lt;=Tenor),PMT(IntRate,Tenor-Grace,-DebtAmt)-V76,0)</f>
        <v>0</v>
      </c>
      <c r="W77" s="50" t="n">
        <f aca="false">IF(AND(W4&gt;Grace,W4&lt;=Tenor),PMT(IntRate,Tenor-Grace,-DebtAmt)-W76,0)</f>
        <v>0</v>
      </c>
    </row>
    <row r="78" customFormat="false" ht="15" hidden="false" customHeight="false" outlineLevel="0" collapsed="false">
      <c r="A78" s="10" t="s">
        <v>251</v>
      </c>
      <c r="C78" s="50" t="n">
        <f aca="false">0+C75-0</f>
        <v>192602.861860834</v>
      </c>
      <c r="D78" s="50" t="n">
        <f aca="false">D74+D75-D77</f>
        <v>192602.861860834</v>
      </c>
      <c r="E78" s="50" t="n">
        <f aca="false">E74+E75-E77</f>
        <v>177811.192797143</v>
      </c>
      <c r="F78" s="50" t="n">
        <f aca="false">F74+F75-F77</f>
        <v>161688.273517719</v>
      </c>
      <c r="G78" s="50" t="n">
        <f aca="false">G74+G75-G77</f>
        <v>144114.291503146</v>
      </c>
      <c r="H78" s="50" t="n">
        <f aca="false">H74+H75-H77</f>
        <v>124958.651107263</v>
      </c>
      <c r="I78" s="50" t="n">
        <f aca="false">I74+I75-I77</f>
        <v>104079.00307575</v>
      </c>
      <c r="J78" s="50" t="n">
        <f aca="false">J74+J75-J77</f>
        <v>81320.1867214001</v>
      </c>
      <c r="K78" s="50" t="n">
        <f aca="false">K74+K75-K77</f>
        <v>56513.0768951593</v>
      </c>
      <c r="L78" s="50" t="n">
        <f aca="false">L74+L75-L77</f>
        <v>29473.3271845568</v>
      </c>
      <c r="M78" s="50" t="n">
        <f aca="false">M74+M75-M77</f>
        <v>0</v>
      </c>
      <c r="N78" s="50" t="n">
        <f aca="false">N74+N75-N77</f>
        <v>0</v>
      </c>
      <c r="O78" s="50" t="n">
        <f aca="false">O74+O75-O77</f>
        <v>0</v>
      </c>
      <c r="P78" s="50" t="n">
        <f aca="false">P74+P75-P77</f>
        <v>0</v>
      </c>
      <c r="Q78" s="50" t="n">
        <f aca="false">Q74+Q75-Q77</f>
        <v>0</v>
      </c>
      <c r="R78" s="50" t="n">
        <f aca="false">R74+R75-R77</f>
        <v>0</v>
      </c>
      <c r="S78" s="50" t="n">
        <f aca="false">S74+S75-S77</f>
        <v>0</v>
      </c>
      <c r="T78" s="50" t="n">
        <f aca="false">T74+T75-T77</f>
        <v>0</v>
      </c>
      <c r="U78" s="50" t="n">
        <f aca="false">U74+U75-U77</f>
        <v>0</v>
      </c>
      <c r="V78" s="50" t="n">
        <f aca="false">V74+V75-V77</f>
        <v>0</v>
      </c>
      <c r="W78" s="50" t="n">
        <f aca="false">W74+W75-W77</f>
        <v>0</v>
      </c>
    </row>
    <row r="79" customFormat="false" ht="15" hidden="false" customHeight="false" outlineLevel="0" collapsed="false">
      <c r="A79" s="31" t="s">
        <v>252</v>
      </c>
      <c r="B79" s="51" t="n">
        <f aca="false">SUM(C79:W79)</f>
        <v>306467.597247977</v>
      </c>
      <c r="C79" s="22" t="n">
        <v>0</v>
      </c>
      <c r="D79" s="22" t="n">
        <f aca="false">D76+D77</f>
        <v>17334.2575674751</v>
      </c>
      <c r="E79" s="22" t="n">
        <f aca="false">E76+E77</f>
        <v>32125.9266311669</v>
      </c>
      <c r="F79" s="22" t="n">
        <f aca="false">F76+F77</f>
        <v>32125.9266311669</v>
      </c>
      <c r="G79" s="22" t="n">
        <f aca="false">G76+G77</f>
        <v>32125.9266311668</v>
      </c>
      <c r="H79" s="22" t="n">
        <f aca="false">H76+H77</f>
        <v>32125.9266311669</v>
      </c>
      <c r="I79" s="22" t="n">
        <f aca="false">I76+I77</f>
        <v>32125.9266311669</v>
      </c>
      <c r="J79" s="22" t="n">
        <f aca="false">J76+J77</f>
        <v>32125.9266311669</v>
      </c>
      <c r="K79" s="22" t="n">
        <f aca="false">K76+K77</f>
        <v>32125.9266311669</v>
      </c>
      <c r="L79" s="22" t="n">
        <f aca="false">L76+L77</f>
        <v>32125.9266311669</v>
      </c>
      <c r="M79" s="22" t="n">
        <f aca="false">M76+M77</f>
        <v>32125.9266311669</v>
      </c>
      <c r="N79" s="22" t="n">
        <f aca="false">N76+N77</f>
        <v>0</v>
      </c>
      <c r="O79" s="22" t="n">
        <f aca="false">O76+O77</f>
        <v>0</v>
      </c>
      <c r="P79" s="22" t="n">
        <f aca="false">P76+P77</f>
        <v>0</v>
      </c>
      <c r="Q79" s="22" t="n">
        <f aca="false">Q76+Q77</f>
        <v>0</v>
      </c>
      <c r="R79" s="22" t="n">
        <f aca="false">R76+R77</f>
        <v>0</v>
      </c>
      <c r="S79" s="22" t="n">
        <f aca="false">S76+S77</f>
        <v>0</v>
      </c>
      <c r="T79" s="22" t="n">
        <f aca="false">T76+T77</f>
        <v>0</v>
      </c>
      <c r="U79" s="22" t="n">
        <f aca="false">U76+U77</f>
        <v>0</v>
      </c>
      <c r="V79" s="22" t="n">
        <f aca="false">V76+V77</f>
        <v>0</v>
      </c>
      <c r="W79" s="22" t="n">
        <f aca="false">W76+W77</f>
        <v>0</v>
      </c>
    </row>
    <row r="81" customFormat="false" ht="15" hidden="false" customHeight="false" outlineLevel="0" collapsed="false">
      <c r="A81" s="8" t="s">
        <v>253</v>
      </c>
      <c r="B81" s="9"/>
      <c r="C81" s="9"/>
      <c r="D81" s="9"/>
      <c r="E81" s="9"/>
      <c r="F81" s="9"/>
      <c r="G81" s="9"/>
      <c r="H81" s="9"/>
      <c r="I81" s="9"/>
      <c r="J81" s="9"/>
      <c r="K81" s="9"/>
      <c r="L81" s="9"/>
      <c r="M81" s="9"/>
      <c r="N81" s="9"/>
      <c r="O81" s="9"/>
      <c r="P81" s="9"/>
      <c r="Q81" s="9"/>
      <c r="R81" s="9"/>
      <c r="S81" s="9"/>
      <c r="T81" s="9"/>
      <c r="U81" s="9"/>
      <c r="V81" s="9"/>
      <c r="W81" s="9"/>
    </row>
    <row r="82" customFormat="false" ht="15" hidden="false" customHeight="false" outlineLevel="0" collapsed="false">
      <c r="A82" s="31" t="s">
        <v>254</v>
      </c>
      <c r="B82" s="51" t="n">
        <f aca="false">C82+NPV(Hurdle,D82:W82)</f>
        <v>-862669.040843095</v>
      </c>
      <c r="C82" s="22" t="n">
        <f aca="false">-C61+C57-C62-C70</f>
        <v>-1322009.53953611</v>
      </c>
      <c r="D82" s="22" t="n">
        <f aca="false">-D61+D57-D62-D70</f>
        <v>22201.1461226806</v>
      </c>
      <c r="E82" s="22" t="n">
        <f aca="false">-E61+E57-E62-E70</f>
        <v>52746.5612810155</v>
      </c>
      <c r="F82" s="22" t="n">
        <f aca="false">-F61+F57-F62-F70</f>
        <v>76685.9951111687</v>
      </c>
      <c r="G82" s="22" t="n">
        <f aca="false">-G61+G57-G62-G70</f>
        <v>81428.2561379652</v>
      </c>
      <c r="H82" s="22" t="n">
        <f aca="false">-H61+H57-H62-H70</f>
        <v>88250.9089494364</v>
      </c>
      <c r="I82" s="22" t="n">
        <f aca="false">-I61+I57-I62-I70</f>
        <v>93753.3482107247</v>
      </c>
      <c r="J82" s="22" t="n">
        <f aca="false">-J61+J57-J62-J70</f>
        <v>97953.7722233784</v>
      </c>
      <c r="K82" s="22" t="n">
        <f aca="false">-K61+K57-K62-K70</f>
        <v>-142845.62744914</v>
      </c>
      <c r="L82" s="22" t="n">
        <f aca="false">-L61+L57-L62-L70</f>
        <v>96018.2983068531</v>
      </c>
      <c r="M82" s="22" t="n">
        <f aca="false">-M61+M57-M62-M70</f>
        <v>94763.4543621992</v>
      </c>
      <c r="N82" s="22" t="n">
        <f aca="false">-N61+N57-N62-N70</f>
        <v>93297.5610303801</v>
      </c>
      <c r="O82" s="22" t="n">
        <f aca="false">-O61+O57-O62-O70</f>
        <v>91604.6754482625</v>
      </c>
      <c r="P82" s="22" t="n">
        <f aca="false">-P61+P57-P62-P70</f>
        <v>89667.8147145025</v>
      </c>
      <c r="Q82" s="22" t="n">
        <f aca="false">-Q61+Q57-Q62-Q70</f>
        <v>87247.1983174197</v>
      </c>
      <c r="R82" s="22" t="n">
        <f aca="false">-R61+R57-R62-R70</f>
        <v>83940.2009823863</v>
      </c>
      <c r="S82" s="22" t="n">
        <f aca="false">-S61+S57-S62-S70</f>
        <v>-243753.807950811</v>
      </c>
      <c r="T82" s="22" t="n">
        <f aca="false">-T61+T57-T62-T70</f>
        <v>57067.324983878</v>
      </c>
      <c r="U82" s="22" t="n">
        <f aca="false">-U61+U57-U62-U70</f>
        <v>53614.6761394399</v>
      </c>
      <c r="V82" s="22" t="n">
        <f aca="false">-V61+V57-V62-V70</f>
        <v>49790.3912082158</v>
      </c>
      <c r="W82" s="22" t="n">
        <f aca="false">-W61+W57-W62-W70</f>
        <v>45568.1512809994</v>
      </c>
    </row>
    <row r="83" customFormat="false" ht="15" hidden="false" customHeight="false" outlineLevel="0" collapsed="false">
      <c r="A83" s="31" t="s">
        <v>255</v>
      </c>
      <c r="B83" s="51" t="n">
        <f aca="false">C83+NPV(Hurdle,D83:W83)</f>
        <v>27036.0680975511</v>
      </c>
      <c r="C83" s="22" t="n">
        <f aca="false">C82+C63+C64</f>
        <v>-642009.539536115</v>
      </c>
      <c r="D83" s="22" t="n">
        <f aca="false">D82+D63+D64</f>
        <v>167701.146122681</v>
      </c>
      <c r="E83" s="22" t="n">
        <f aca="false">E82+E63+E64</f>
        <v>113371.561281016</v>
      </c>
      <c r="F83" s="22" t="n">
        <f aca="false">F82+F63+F64</f>
        <v>113060.995111169</v>
      </c>
      <c r="G83" s="22" t="n">
        <f aca="false">G82+G63+G64</f>
        <v>81428.2561379652</v>
      </c>
      <c r="H83" s="22" t="n">
        <f aca="false">H82+H63+H64</f>
        <v>88250.9089494364</v>
      </c>
      <c r="I83" s="22" t="n">
        <f aca="false">I82+I63+I64</f>
        <v>93753.3482107247</v>
      </c>
      <c r="J83" s="22" t="n">
        <f aca="false">J82+J63+J64</f>
        <v>97953.7722233784</v>
      </c>
      <c r="K83" s="22" t="n">
        <f aca="false">K82+K63+K64</f>
        <v>-142845.62744914</v>
      </c>
      <c r="L83" s="22" t="n">
        <f aca="false">L82+L63+L64</f>
        <v>96018.2983068531</v>
      </c>
      <c r="M83" s="22" t="n">
        <f aca="false">M82+M63+M64</f>
        <v>94763.4543621992</v>
      </c>
      <c r="N83" s="22" t="n">
        <f aca="false">N82+N63+N64</f>
        <v>93297.5610303801</v>
      </c>
      <c r="O83" s="22" t="n">
        <f aca="false">O82+O63+O64</f>
        <v>91604.6754482625</v>
      </c>
      <c r="P83" s="22" t="n">
        <f aca="false">P82+P63+P64</f>
        <v>89667.8147145025</v>
      </c>
      <c r="Q83" s="22" t="n">
        <f aca="false">Q82+Q63+Q64</f>
        <v>87247.1983174197</v>
      </c>
      <c r="R83" s="22" t="n">
        <f aca="false">R82+R63+R64</f>
        <v>83940.2009823863</v>
      </c>
      <c r="S83" s="22" t="n">
        <f aca="false">S82+S63+S64</f>
        <v>-243753.807950811</v>
      </c>
      <c r="T83" s="22" t="n">
        <f aca="false">T82+T63+T64</f>
        <v>57067.324983878</v>
      </c>
      <c r="U83" s="22" t="n">
        <f aca="false">U82+U63+U64</f>
        <v>53614.6761394399</v>
      </c>
      <c r="V83" s="22" t="n">
        <f aca="false">V82+V63+V64</f>
        <v>49790.3912082158</v>
      </c>
      <c r="W83" s="22" t="n">
        <f aca="false">W82+W63+W64</f>
        <v>45568.1512809994</v>
      </c>
    </row>
    <row r="84" customFormat="false" ht="15" hidden="false" customHeight="false" outlineLevel="0" collapsed="false">
      <c r="A84" s="10" t="s">
        <v>256</v>
      </c>
      <c r="B84" s="51" t="n">
        <f aca="false">SUM(C84:W84)</f>
        <v>1219518.5814583</v>
      </c>
      <c r="C84" s="50" t="n">
        <v>0</v>
      </c>
      <c r="D84" s="50" t="n">
        <f aca="false">D57-D66-D71+D64</f>
        <v>137710.810595784</v>
      </c>
      <c r="E84" s="50" t="n">
        <f aca="false">E57-E66-E71+E64</f>
        <v>83381.2257541185</v>
      </c>
      <c r="F84" s="50" t="n">
        <f aca="false">F57-F66-F71+F64</f>
        <v>83070.6595842716</v>
      </c>
      <c r="G84" s="50" t="n">
        <f aca="false">G57-G66-G71+G64</f>
        <v>51437.9206110681</v>
      </c>
      <c r="H84" s="50" t="n">
        <f aca="false">H57-H66-H71+H64</f>
        <v>58299.5533048823</v>
      </c>
      <c r="I84" s="50" t="n">
        <f aca="false">I57-I66-I71+I64</f>
        <v>65636.1389866</v>
      </c>
      <c r="J84" s="50" t="n">
        <f aca="false">J57-J66-J71+J64</f>
        <v>70305.2142656857</v>
      </c>
      <c r="K84" s="50" t="n">
        <f aca="false">K57-K66-K71+K64</f>
        <v>68916.4254403708</v>
      </c>
      <c r="L84" s="50" t="n">
        <f aca="false">L57-L66-L71+L64</f>
        <v>59298.9827607449</v>
      </c>
      <c r="M84" s="50" t="n">
        <f aca="false">M57-M66-M71+M64</f>
        <v>57435.7444476024</v>
      </c>
      <c r="N84" s="50" t="n">
        <f aca="false">N57-N66-N71+N64</f>
        <v>55306.7012541307</v>
      </c>
      <c r="O84" s="50" t="n">
        <f aca="false">O57-O66-O71+O64</f>
        <v>53613.8156720131</v>
      </c>
      <c r="P84" s="50" t="n">
        <f aca="false">P57-P66-P71+P64</f>
        <v>51676.9549382532</v>
      </c>
      <c r="Q84" s="50" t="n">
        <f aca="false">Q57-Q66-Q71+Q64</f>
        <v>49256.3385411703</v>
      </c>
      <c r="R84" s="50" t="n">
        <f aca="false">R57-R66-R71+R64</f>
        <v>45949.3412061369</v>
      </c>
      <c r="S84" s="50" t="n">
        <f aca="false">S57-S66-S71+S64</f>
        <v>22182.2104829346</v>
      </c>
      <c r="T84" s="50" t="n">
        <f aca="false">T57-T66-T71+T64</f>
        <v>57067.324983878</v>
      </c>
      <c r="U84" s="50" t="n">
        <f aca="false">U57-U66-U71+U64</f>
        <v>53614.6761394399</v>
      </c>
      <c r="V84" s="50" t="n">
        <f aca="false">V57-V66-V71+V64</f>
        <v>49790.3912082158</v>
      </c>
      <c r="W84" s="50" t="n">
        <f aca="false">W57-W66-W71+W64</f>
        <v>45568.1512809994</v>
      </c>
    </row>
    <row r="85" customFormat="false" ht="15" hidden="false" customHeight="false" outlineLevel="0" collapsed="false">
      <c r="A85" s="10" t="s">
        <v>257</v>
      </c>
      <c r="C85" s="52" t="n">
        <v>0</v>
      </c>
      <c r="D85" s="52" t="n">
        <f aca="false">IF(D79&gt;0,D84/D79,"")</f>
        <v>7.9444308508589</v>
      </c>
      <c r="E85" s="52" t="n">
        <f aca="false">IF(E79&gt;0,E84/E79,"")</f>
        <v>2.59544967251548</v>
      </c>
      <c r="F85" s="52" t="n">
        <f aca="false">IF(F79&gt;0,F84/F79,"")</f>
        <v>2.58578252194851</v>
      </c>
      <c r="G85" s="52" t="n">
        <f aca="false">IF(G79&gt;0,G84/G79,"")</f>
        <v>1.60113422413054</v>
      </c>
      <c r="H85" s="52" t="n">
        <f aca="false">IF(H79&gt;0,H84/H79,"")</f>
        <v>1.81471974253727</v>
      </c>
      <c r="I85" s="52" t="n">
        <f aca="false">IF(I79&gt;0,I84/I79,"")</f>
        <v>2.04308936330955</v>
      </c>
      <c r="J85" s="52" t="n">
        <f aca="false">IF(J79&gt;0,J84/J79,"")</f>
        <v>2.18842603585726</v>
      </c>
      <c r="K85" s="52" t="n">
        <f aca="false">IF(K79&gt;0,K84/K79,"")</f>
        <v>2.14519650223915</v>
      </c>
      <c r="L85" s="52" t="n">
        <f aca="false">IF(L79&gt;0,L84/L79,"")</f>
        <v>1.84582948973108</v>
      </c>
      <c r="M85" s="52" t="n">
        <f aca="false">IF(M79&gt;0,M84/M79,"")</f>
        <v>1.78783152644946</v>
      </c>
      <c r="N85" s="52" t="str">
        <f aca="false">IF(N79&gt;0,N84/N79,"")</f>
        <v/>
      </c>
      <c r="O85" s="52" t="str">
        <f aca="false">IF(O79&gt;0,O84/O79,"")</f>
        <v/>
      </c>
      <c r="P85" s="52" t="str">
        <f aca="false">IF(P79&gt;0,P84/P79,"")</f>
        <v/>
      </c>
      <c r="Q85" s="52" t="str">
        <f aca="false">IF(Q79&gt;0,Q84/Q79,"")</f>
        <v/>
      </c>
      <c r="R85" s="52" t="str">
        <f aca="false">IF(R79&gt;0,R84/R79,"")</f>
        <v/>
      </c>
      <c r="S85" s="52" t="str">
        <f aca="false">IF(S79&gt;0,S84/S79,"")</f>
        <v/>
      </c>
      <c r="T85" s="52" t="str">
        <f aca="false">IF(T79&gt;0,T84/T79,"")</f>
        <v/>
      </c>
      <c r="U85" s="52" t="str">
        <f aca="false">IF(U79&gt;0,U84/U79,"")</f>
        <v/>
      </c>
      <c r="V85" s="52" t="str">
        <f aca="false">IF(V79&gt;0,V84/V79,"")</f>
        <v/>
      </c>
      <c r="W85" s="52" t="str">
        <f aca="false">IF(W79&gt;0,W84/W79,"")</f>
        <v/>
      </c>
    </row>
    <row r="86" customFormat="false" ht="15" hidden="false" customHeight="false" outlineLevel="0" collapsed="false">
      <c r="A86" s="31" t="s">
        <v>258</v>
      </c>
      <c r="B86" s="51" t="n">
        <f aca="false">C86+NPV(Hurdle,D86:W86)</f>
        <v>-36860.4360580651</v>
      </c>
      <c r="C86" s="22" t="n">
        <f aca="false">-EquityAmt</f>
        <v>-449406.67767528</v>
      </c>
      <c r="D86" s="22" t="n">
        <f aca="false">D84-D79</f>
        <v>120376.553028308</v>
      </c>
      <c r="E86" s="22" t="n">
        <f aca="false">E84-E79</f>
        <v>51255.2991229516</v>
      </c>
      <c r="F86" s="22" t="n">
        <f aca="false">F84-F79</f>
        <v>50944.7329531047</v>
      </c>
      <c r="G86" s="22" t="n">
        <f aca="false">G84-G79</f>
        <v>19311.9939799012</v>
      </c>
      <c r="H86" s="22" t="n">
        <f aca="false">H84-H79</f>
        <v>26173.6266737154</v>
      </c>
      <c r="I86" s="22" t="n">
        <f aca="false">I84-I79</f>
        <v>33510.2123554332</v>
      </c>
      <c r="J86" s="22" t="n">
        <f aca="false">J84-J79</f>
        <v>38179.2876345188</v>
      </c>
      <c r="K86" s="22" t="n">
        <f aca="false">K84-K79</f>
        <v>36790.498809204</v>
      </c>
      <c r="L86" s="22" t="n">
        <f aca="false">L84-L79</f>
        <v>27173.056129578</v>
      </c>
      <c r="M86" s="22" t="n">
        <f aca="false">M84-M79</f>
        <v>25309.8178164355</v>
      </c>
      <c r="N86" s="22" t="n">
        <f aca="false">N84-N79</f>
        <v>55306.7012541307</v>
      </c>
      <c r="O86" s="22" t="n">
        <f aca="false">O84-O79</f>
        <v>53613.8156720131</v>
      </c>
      <c r="P86" s="22" t="n">
        <f aca="false">P84-P79</f>
        <v>51676.9549382532</v>
      </c>
      <c r="Q86" s="22" t="n">
        <f aca="false">Q84-Q79</f>
        <v>49256.3385411703</v>
      </c>
      <c r="R86" s="22" t="n">
        <f aca="false">R84-R79</f>
        <v>45949.3412061369</v>
      </c>
      <c r="S86" s="22" t="n">
        <f aca="false">S84-S79</f>
        <v>22182.2104829346</v>
      </c>
      <c r="T86" s="22" t="n">
        <f aca="false">T84-T79</f>
        <v>57067.324983878</v>
      </c>
      <c r="U86" s="22" t="n">
        <f aca="false">U84-U79</f>
        <v>53614.6761394399</v>
      </c>
      <c r="V86" s="22" t="n">
        <f aca="false">V84-V79</f>
        <v>49790.3912082158</v>
      </c>
      <c r="W86" s="22" t="n">
        <f aca="false">W84-W79</f>
        <v>45568.1512809994</v>
      </c>
    </row>
    <row r="87" customFormat="false" ht="15" hidden="false" customHeight="false" outlineLevel="0" collapsed="false">
      <c r="A87" s="10" t="s">
        <v>259</v>
      </c>
      <c r="C87" s="50" t="n">
        <f aca="false">C86</f>
        <v>-449406.67767528</v>
      </c>
      <c r="D87" s="50" t="n">
        <f aca="false">C87+D86</f>
        <v>-329030.124646972</v>
      </c>
      <c r="E87" s="50" t="n">
        <f aca="false">D87+E86</f>
        <v>-277774.82552402</v>
      </c>
      <c r="F87" s="50" t="n">
        <f aca="false">E87+F86</f>
        <v>-226830.092570915</v>
      </c>
      <c r="G87" s="50" t="n">
        <f aca="false">F87+G86</f>
        <v>-207518.098591014</v>
      </c>
      <c r="H87" s="50" t="n">
        <f aca="false">G87+H86</f>
        <v>-181344.471917299</v>
      </c>
      <c r="I87" s="50" t="n">
        <f aca="false">H87+I86</f>
        <v>-147834.259561866</v>
      </c>
      <c r="J87" s="50" t="n">
        <f aca="false">I87+J86</f>
        <v>-109654.971927347</v>
      </c>
      <c r="K87" s="50" t="n">
        <f aca="false">J87+K86</f>
        <v>-72864.4731181428</v>
      </c>
      <c r="L87" s="50" t="n">
        <f aca="false">K87+L86</f>
        <v>-45691.4169885648</v>
      </c>
      <c r="M87" s="50" t="n">
        <f aca="false">L87+M86</f>
        <v>-20381.5991721293</v>
      </c>
      <c r="N87" s="50" t="n">
        <f aca="false">M87+N86</f>
        <v>34925.1020820015</v>
      </c>
      <c r="O87" s="50" t="n">
        <f aca="false">N87+O86</f>
        <v>88538.9177540146</v>
      </c>
      <c r="P87" s="50" t="n">
        <f aca="false">O87+P86</f>
        <v>140215.872692268</v>
      </c>
      <c r="Q87" s="50" t="n">
        <f aca="false">P87+Q86</f>
        <v>189472.211233438</v>
      </c>
      <c r="R87" s="50" t="n">
        <f aca="false">Q87+R86</f>
        <v>235421.552439575</v>
      </c>
      <c r="S87" s="50" t="n">
        <f aca="false">R87+S86</f>
        <v>257603.76292251</v>
      </c>
      <c r="T87" s="50" t="n">
        <f aca="false">S87+T86</f>
        <v>314671.087906388</v>
      </c>
      <c r="U87" s="50" t="n">
        <f aca="false">T87+U86</f>
        <v>368285.764045827</v>
      </c>
      <c r="V87" s="50" t="n">
        <f aca="false">U87+V86</f>
        <v>418076.155254043</v>
      </c>
      <c r="W87" s="50" t="n">
        <f aca="false">V87+W86</f>
        <v>463644.306535043</v>
      </c>
    </row>
    <row r="89" customFormat="false" ht="15" hidden="false" customHeight="false" outlineLevel="0" collapsed="false">
      <c r="A89" s="8" t="s">
        <v>260</v>
      </c>
      <c r="B89" s="9"/>
      <c r="C89" s="9"/>
      <c r="D89" s="9"/>
      <c r="E89" s="9"/>
      <c r="F89" s="9"/>
      <c r="G89" s="9"/>
      <c r="H89" s="9"/>
      <c r="I89" s="9"/>
      <c r="J89" s="9"/>
      <c r="K89" s="9"/>
      <c r="L89" s="9"/>
      <c r="M89" s="9"/>
      <c r="N89" s="9"/>
      <c r="O89" s="9"/>
      <c r="P89" s="9"/>
      <c r="Q89" s="9"/>
      <c r="R89" s="9"/>
      <c r="S89" s="9"/>
      <c r="T89" s="9"/>
      <c r="U89" s="9"/>
      <c r="V89" s="9"/>
      <c r="W89" s="9"/>
    </row>
    <row r="90" customFormat="false" ht="15" hidden="false" customHeight="false" outlineLevel="0" collapsed="false">
      <c r="A90" s="10" t="s">
        <v>261</v>
      </c>
      <c r="B90" s="51" t="n">
        <f aca="false">C90+NPV(Hurdle,D90:W90)</f>
        <v>2627473.62761702</v>
      </c>
      <c r="C90" s="50" t="n">
        <f aca="false">C61+C55-C52+C62</f>
        <v>1322009.53953611</v>
      </c>
      <c r="D90" s="50" t="n">
        <f aca="false">D61+D55-D52+D62</f>
        <v>68663.0218773194</v>
      </c>
      <c r="E90" s="50" t="n">
        <f aca="false">E61+E55-E52+E62</f>
        <v>76546.5442381844</v>
      </c>
      <c r="F90" s="50" t="n">
        <f aca="false">F61+F55-F52+F62</f>
        <v>82879.5734421482</v>
      </c>
      <c r="G90" s="50" t="n">
        <f aca="false">G61+G55-G52+G62</f>
        <v>86079.7046152487</v>
      </c>
      <c r="H90" s="50" t="n">
        <f aca="false">H61+H55-H52+H62</f>
        <v>89419.3067313053</v>
      </c>
      <c r="I90" s="50" t="n">
        <f aca="false">I61+I55-I52+I62</f>
        <v>92905.2110593793</v>
      </c>
      <c r="J90" s="50" t="n">
        <f aca="false">J61+J55-J52+J62</f>
        <v>98786.2253605626</v>
      </c>
      <c r="K90" s="50" t="n">
        <f aca="false">K61+K55-K52+K62</f>
        <v>352058.67137102</v>
      </c>
      <c r="L90" s="50" t="n">
        <f aca="false">L61+L55-L52+L62</f>
        <v>126470.284151775</v>
      </c>
      <c r="M90" s="50" t="n">
        <f aca="false">M61+M55-M52+M62</f>
        <v>141853.015961834</v>
      </c>
      <c r="N90" s="50" t="n">
        <f aca="false">N61+N55-N52+N62</f>
        <v>158352.061993707</v>
      </c>
      <c r="O90" s="50" t="n">
        <f aca="false">O61+O55-O52+O62</f>
        <v>176039.525724109</v>
      </c>
      <c r="P90" s="50" t="n">
        <f aca="false">P61+P55-P52+P62</f>
        <v>194991.993888613</v>
      </c>
      <c r="Q90" s="50" t="n">
        <f aca="false">Q61+Q55-Q52+Q62</f>
        <v>215290.811495523</v>
      </c>
      <c r="R90" s="50" t="n">
        <f aca="false">R61+R55-R52+R62</f>
        <v>237022.373628165</v>
      </c>
      <c r="S90" s="50" t="n">
        <f aca="false">S61+S55-S52+S62</f>
        <v>564205.31326875</v>
      </c>
      <c r="T90" s="50" t="n">
        <f aca="false">T61+T55-T52+T62</f>
        <v>285156.438759287</v>
      </c>
      <c r="U90" s="50" t="n">
        <f aca="false">U61+U55-U52+U62</f>
        <v>311759.864461003</v>
      </c>
      <c r="V90" s="50" t="n">
        <f aca="false">V61+V55-V52+V62</f>
        <v>340198.598484166</v>
      </c>
      <c r="W90" s="50" t="n">
        <f aca="false">W61+W55-W52+W62</f>
        <v>370589.326134247</v>
      </c>
    </row>
    <row r="91" customFormat="false" ht="15" hidden="false" customHeight="false" outlineLevel="0" collapsed="false">
      <c r="A91" s="10" t="s">
        <v>262</v>
      </c>
      <c r="B91" s="51" t="n">
        <f aca="false">C91+NPV(Hurdle,D91:W91)</f>
        <v>4182843.06888061</v>
      </c>
      <c r="C91" s="50" t="n">
        <f aca="false">C26</f>
        <v>0</v>
      </c>
      <c r="D91" s="50" t="n">
        <f aca="false">D26</f>
        <v>252000</v>
      </c>
      <c r="E91" s="50" t="n">
        <f aca="false">E26</f>
        <v>367710</v>
      </c>
      <c r="F91" s="50" t="n">
        <f aca="false">F26</f>
        <v>445578</v>
      </c>
      <c r="G91" s="50" t="n">
        <f aca="false">G26</f>
        <v>458945.34</v>
      </c>
      <c r="H91" s="50" t="n">
        <f aca="false">H26</f>
        <v>472713.7002</v>
      </c>
      <c r="I91" s="50" t="n">
        <f aca="false">I26</f>
        <v>486895.111206</v>
      </c>
      <c r="J91" s="50" t="n">
        <f aca="false">J26</f>
        <v>501501.96454218</v>
      </c>
      <c r="K91" s="50" t="n">
        <f aca="false">K26</f>
        <v>516547.023478446</v>
      </c>
      <c r="L91" s="50" t="n">
        <f aca="false">L26</f>
        <v>532043.434182799</v>
      </c>
      <c r="M91" s="50" t="n">
        <f aca="false">M26</f>
        <v>548004.737208283</v>
      </c>
      <c r="N91" s="50" t="n">
        <f aca="false">N26</f>
        <v>564444.879324531</v>
      </c>
      <c r="O91" s="50" t="n">
        <f aca="false">O26</f>
        <v>581378.225704267</v>
      </c>
      <c r="P91" s="50" t="n">
        <f aca="false">P26</f>
        <v>598819.572475395</v>
      </c>
      <c r="Q91" s="50" t="n">
        <f aca="false">Q26</f>
        <v>616784.159649657</v>
      </c>
      <c r="R91" s="50" t="n">
        <f aca="false">R26</f>
        <v>635287.684439147</v>
      </c>
      <c r="S91" s="50" t="n">
        <f aca="false">S26</f>
        <v>654346.314972321</v>
      </c>
      <c r="T91" s="50" t="n">
        <f aca="false">T26</f>
        <v>673976.704421491</v>
      </c>
      <c r="U91" s="50" t="n">
        <f aca="false">U26</f>
        <v>694196.005554136</v>
      </c>
      <c r="V91" s="50" t="n">
        <f aca="false">V26</f>
        <v>715021.88572076</v>
      </c>
      <c r="W91" s="50" t="n">
        <f aca="false">W26</f>
        <v>736472.542292383</v>
      </c>
    </row>
    <row r="92" customFormat="false" ht="15" hidden="false" customHeight="false" outlineLevel="0" collapsed="false">
      <c r="A92" s="10" t="s">
        <v>263</v>
      </c>
      <c r="B92" s="51" t="n">
        <f aca="false">C92+NPV(Hurdle,D92:W92)</f>
        <v>1833722.7968966</v>
      </c>
      <c r="C92" s="50" t="n">
        <f aca="false">C43</f>
        <v>0</v>
      </c>
      <c r="D92" s="50" t="n">
        <f aca="false">D43</f>
        <v>86774.4</v>
      </c>
      <c r="E92" s="50" t="n">
        <f aca="false">E43</f>
        <v>130416.86136</v>
      </c>
      <c r="F92" s="50" t="n">
        <f aca="false">F43</f>
        <v>162775.58613744</v>
      </c>
      <c r="G92" s="50" t="n">
        <f aca="false">G43</f>
        <v>172688.61933321</v>
      </c>
      <c r="H92" s="50" t="n">
        <f aca="false">H43</f>
        <v>183205.356250603</v>
      </c>
      <c r="I92" s="50" t="n">
        <f aca="false">I43</f>
        <v>194362.562446264</v>
      </c>
      <c r="J92" s="50" t="n">
        <f aca="false">J43</f>
        <v>206199.242499242</v>
      </c>
      <c r="K92" s="50" t="n">
        <f aca="false">K43</f>
        <v>218756.776367446</v>
      </c>
      <c r="L92" s="50" t="n">
        <f aca="false">L43</f>
        <v>232079.064048223</v>
      </c>
      <c r="M92" s="50" t="n">
        <f aca="false">M43</f>
        <v>246212.67904876</v>
      </c>
      <c r="N92" s="50" t="n">
        <f aca="false">N43</f>
        <v>261207.031202829</v>
      </c>
      <c r="O92" s="50" t="n">
        <f aca="false">O43</f>
        <v>277114.539403082</v>
      </c>
      <c r="P92" s="50" t="n">
        <f aca="false">P43</f>
        <v>293990.814852729</v>
      </c>
      <c r="Q92" s="50" t="n">
        <f aca="false">Q43</f>
        <v>311894.855477261</v>
      </c>
      <c r="R92" s="50" t="n">
        <f aca="false">R43</f>
        <v>330889.252175826</v>
      </c>
      <c r="S92" s="50" t="n">
        <f aca="false">S43</f>
        <v>351040.407633334</v>
      </c>
      <c r="T92" s="50" t="n">
        <f aca="false">T43</f>
        <v>372418.768458204</v>
      </c>
      <c r="U92" s="50" t="n">
        <f aca="false">U43</f>
        <v>395099.071457308</v>
      </c>
      <c r="V92" s="50" t="n">
        <f aca="false">V43</f>
        <v>419160.604909059</v>
      </c>
      <c r="W92" s="50" t="n">
        <f aca="false">W43</f>
        <v>444687.48574802</v>
      </c>
    </row>
  </sheetData>
  <conditionalFormatting sqref="D85:W85">
    <cfRule type="expression" priority="2" aboveAverage="0" equalAverage="0" bottom="0" percent="0" rank="0" text="" dxfId="2">
      <formula>AND(ISNUMBER(D85),D85&lt;MinDSCR)</formula>
    </cfRule>
  </conditionalFormatting>
  <conditionalFormatting sqref="C87:W87">
    <cfRule type="cellIs" priority="3" operator="lessThan" aboveAverage="0" equalAverage="0" bottom="0" percent="0" rank="0" text="" dxfId="3">
      <formula>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70"/>
    <col collapsed="false" customWidth="true" hidden="false" outlineLevel="0" max="2" min="2" style="0" width="14"/>
  </cols>
  <sheetData>
    <row r="1" customFormat="false" ht="19.7" hidden="false" customHeight="false" outlineLevel="0" collapsed="false">
      <c r="A1" s="6" t="s">
        <v>264</v>
      </c>
    </row>
    <row r="3" customFormat="false" ht="15" hidden="false" customHeight="false" outlineLevel="0" collapsed="false">
      <c r="A3" s="35" t="s">
        <v>265</v>
      </c>
      <c r="B3" s="42" t="str">
        <f aca="false">IF(ABS(Grant+DebtAmt+EquityAmt-MAX(TotalCapex,Grant))&lt;1,"OK","À VÉRIFIER")</f>
        <v>OK</v>
      </c>
    </row>
    <row r="4" customFormat="false" ht="15" hidden="false" customHeight="false" outlineLevel="0" collapsed="false">
      <c r="A4" s="35" t="s">
        <v>266</v>
      </c>
      <c r="B4" s="42" t="str">
        <f aca="false">IF(ABS(INDEX('Flux de trésorerie'!$C$78:$W$78,1,MIN(Tenor,20)+1))&lt;1,"OK","À VÉRIFIER")</f>
        <v>OK</v>
      </c>
    </row>
    <row r="5" customFormat="false" ht="15" hidden="false" customHeight="false" outlineLevel="0" collapsed="false">
      <c r="A5" s="35" t="s">
        <v>267</v>
      </c>
      <c r="B5" s="42" t="str">
        <f aca="false">IF(AND(Life&gt;=1,Life&lt;=20),"OK","À VÉRIFIER")</f>
        <v>OK</v>
      </c>
    </row>
    <row r="6" customFormat="false" ht="15" hidden="false" customHeight="false" outlineLevel="0" collapsed="false">
      <c r="A6" s="35" t="s">
        <v>268</v>
      </c>
      <c r="B6" s="42" t="str">
        <f aca="false">IF(Tenor&lt;=Life,"OK","À VÉRIFIER")</f>
        <v>OK</v>
      </c>
    </row>
    <row r="7" customFormat="false" ht="15" hidden="false" customHeight="false" outlineLevel="0" collapsed="false">
      <c r="A7" s="35" t="s">
        <v>269</v>
      </c>
      <c r="B7" s="42" t="str">
        <f aca="false">IF(Grace&lt;Tenor,"OK","À VÉRIFIER")</f>
        <v>OK</v>
      </c>
    </row>
    <row r="8" customFormat="false" ht="15" hidden="false" customHeight="false" outlineLevel="0" collapsed="false">
      <c r="A8" s="35" t="s">
        <v>270</v>
      </c>
      <c r="B8" s="42" t="str">
        <f aca="false">IF(OR(UseMRA=0,ABS('Flux de trésorerie'!$B$65-SUM('Flux de trésorerie'!$C$62:$W$62))&lt;1),"OK","À VÉRIFIER")</f>
        <v>OK</v>
      </c>
    </row>
    <row r="9" customFormat="false" ht="15" hidden="false" customHeight="false" outlineLevel="0" collapsed="false">
      <c r="A9" s="35" t="s">
        <v>271</v>
      </c>
      <c r="B9" s="42" t="str">
        <f aca="false">IF(AND(Ramp1&gt;=0,Ramp1&lt;=1,Ramp2&gt;=0,Ramp2&lt;=1,Ramp3&gt;=0,Ramp3&lt;=1),"OK","À VÉRIFIER")</f>
        <v>OK</v>
      </c>
    </row>
    <row r="10" customFormat="false" ht="15" hidden="false" customHeight="false" outlineLevel="0" collapsed="false">
      <c r="A10" s="35" t="s">
        <v>272</v>
      </c>
      <c r="B10" s="42" t="str">
        <f aca="false">IF(ABS('Flux de trésorerie'!$B$31+'Flux de trésorerie'!$B$32-'Flux de trésorerie'!$B$29)&lt;1,"OK","À VÉRIFIER")</f>
        <v>OK</v>
      </c>
    </row>
    <row r="11" customFormat="false" ht="15" hidden="false" customHeight="false" outlineLevel="0" collapsed="false">
      <c r="A11" s="35" t="s">
        <v>273</v>
      </c>
      <c r="B11" s="42" t="str">
        <f aca="false">IF(TotalCustomers&gt;0,"OK","À VÉRIFIER")</f>
        <v>OK</v>
      </c>
    </row>
    <row r="13" customFormat="false" ht="15" hidden="false" customHeight="false" outlineLevel="0" collapsed="false">
      <c r="A13" s="31" t="s">
        <v>274</v>
      </c>
      <c r="B13" s="31" t="str">
        <f aca="false">IF(COUNTIF(B3:B11,"OK")=9,"TOUT OK","À REVOIR")</f>
        <v>TOUT OK</v>
      </c>
    </row>
  </sheetData>
  <conditionalFormatting sqref="B3:B13">
    <cfRule type="expression" priority="2" aboveAverage="0" equalAverage="0" bottom="0" percent="0" rank="0" text="" dxfId="4">
      <formula>LEFT(B3,2)="OK"</formula>
    </cfRule>
    <cfRule type="expression" priority="3" aboveAverage="0" equalAverage="0" bottom="0" percent="0" rank="0" text="" dxfId="4">
      <formula>B3="TOUT OK"</formula>
    </cfRule>
    <cfRule type="expression" priority="4" aboveAverage="0" equalAverage="0" bottom="0" percent="0" rank="0" text="" dxfId="5">
      <formula>OR(B3="À VÉRIFIER",B3="À REVOIR")</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2026-10-01T20:52:30Z</dcterms:created>
  <dc:creator>openpyxl</dc:creator>
  <dc:description/>
  <dc:language>en-US</dc:language>
  <cp:lastModifiedBy/>
  <dcterms:modified xsi:type="dcterms:W3CDTF">2026-10-01T20:52:33Z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