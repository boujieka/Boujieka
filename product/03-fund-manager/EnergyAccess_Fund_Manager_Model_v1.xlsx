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Fund Parameters" sheetId="2" state="visible" r:id="rId4"/>
    <sheet name="Pipeline" sheetId="3" state="visible" r:id="rId5"/>
    <sheet name="Eligibility &amp; Scoring" sheetId="4" state="visible" r:id="rId6"/>
    <sheet name="Allocation" sheetId="5" state="visible" r:id="rId7"/>
    <sheet name="Disbursements" sheetId="6" state="visible" r:id="rId8"/>
    <sheet name="MRV Tracker" sheetId="7" state="visible" r:id="rId9"/>
    <sheet name="Portfolio Dashboard" sheetId="8" state="visible" r:id="rId10"/>
    <sheet name="Checks" sheetId="9" state="visible" r:id="rId11"/>
  </sheets>
  <definedNames>
    <definedName function="false" hidden="false" name="AllocGrant" vbProcedure="false">'Portfolio Dashboard'!$C$13</definedName>
    <definedName function="false" hidden="false" name="AllocRBF" vbProcedure="false">'Portfolio Dashboard'!$C$12</definedName>
    <definedName function="false" hidden="false" name="AllowPartial" vbProcedure="false">'Fund Parameters'!$B$15</definedName>
    <definedName function="false" hidden="false" name="Available" vbProcedure="false">'Fund Parameters'!$B$12</definedName>
    <definedName function="false" hidden="false" name="ChecksOverall" vbProcedure="false">Checks!$B$16</definedName>
    <definedName function="false" hidden="false" name="CO2Funded" vbProcedure="false">'Portfolio Dashboard'!$C$26</definedName>
    <definedName function="false" hidden="false" name="ConnFunded" vbProcedure="false">'Portfolio Dashboard'!$C$21</definedName>
    <definedName function="false" hidden="false" name="Currency" vbProcedure="false">'Fund Parameters'!$B$7</definedName>
    <definedName function="false" hidden="false" name="Envelope" vbProcedure="false">'Fund Parameters'!$B$14</definedName>
    <definedName function="false" hidden="false" name="EnvelopeUsed" vbProcedure="false">'Portfolio Dashboard'!$C$14</definedName>
    <definedName function="false" hidden="false" name="ExpectedDecommit" vbProcedure="false">Disbursements!$C$97</definedName>
    <definedName function="false" hidden="false" name="E_Country_On" vbProcedure="false">'Fund Parameters'!$C$47</definedName>
    <definedName function="false" hidden="false" name="E_MaxCapexConn" vbProcedure="false">'Fund Parameters'!$B$41</definedName>
    <definedName function="false" hidden="false" name="E_MaxCapexConn_On" vbProcedure="false">'Fund Parameters'!$C$41</definedName>
    <definedName function="false" hidden="false" name="E_MaxTariff" vbProcedure="false">'Fund Parameters'!$B$45</definedName>
    <definedName function="false" hidden="false" name="E_MaxTariff_On" vbProcedure="false">'Fund Parameters'!$C$45</definedName>
    <definedName function="false" hidden="false" name="E_MinConn" vbProcedure="false">'Fund Parameters'!$B$40</definedName>
    <definedName function="false" hidden="false" name="E_MinConn_On" vbProcedure="false">'Fund Parameters'!$C$40</definedName>
    <definedName function="false" hidden="false" name="E_MinPrivate" vbProcedure="false">'Fund Parameters'!$B$43</definedName>
    <definedName function="false" hidden="false" name="E_MinPrivate_On" vbProcedure="false">'Fund Parameters'!$C$43</definedName>
    <definedName function="false" hidden="false" name="E_MinPU" vbProcedure="false">'Fund Parameters'!$B$46</definedName>
    <definedName function="false" hidden="false" name="E_MinPU_On" vbProcedure="false">'Fund Parameters'!$C$46</definedName>
    <definedName function="false" hidden="false" name="E_MinRE" vbProcedure="false">'Fund Parameters'!$B$42</definedName>
    <definedName function="false" hidden="false" name="E_MinReady" vbProcedure="false">'Fund Parameters'!$B$44</definedName>
    <definedName function="false" hidden="false" name="E_MinReady_On" vbProcedure="false">'Fund Parameters'!$C$44</definedName>
    <definedName function="false" hidden="false" name="E_MinRE_On" vbProcedure="false">'Fund Parameters'!$C$42</definedName>
    <definedName function="false" hidden="false" name="FundManager" vbProcedure="false">'Fund Parameters'!$B$6</definedName>
    <definedName function="false" hidden="false" name="FundName" vbProcedure="false">'Fund Parameters'!$B$5</definedName>
    <definedName function="false" hidden="false" name="FundSize" vbProcedure="false">'Fund Parameters'!$B$9</definedName>
    <definedName function="false" hidden="false" name="FundStart" vbProcedure="false">'Fund Parameters'!$B$8</definedName>
    <definedName function="false" hidden="false" name="GrantPct" vbProcedure="false">'Fund Parameters'!$B$29</definedName>
    <definedName function="false" hidden="false" name="HHFunded" vbProcedure="false">'Portfolio Dashboard'!$C$22</definedName>
    <definedName function="false" hidden="false" name="HHSize" vbProcedure="false">'Fund Parameters'!$B$19</definedName>
    <definedName function="false" hidden="false" name="InvestMobilised" vbProcedure="false">'Portfolio Dashboard'!$F$21</definedName>
    <definedName function="false" hidden="false" name="MaxCountryAlloc" vbProcedure="false">'Portfolio Dashboard'!$I$16</definedName>
    <definedName function="false" hidden="false" name="MaxCountryShare" vbProcedure="false">'Fund Parameters'!$B$17</definedName>
    <definedName function="false" hidden="false" name="MaxPerProject" vbProcedure="false">'Fund Parameters'!$B$31</definedName>
    <definedName function="false" hidden="false" name="MaxProjShare" vbProcedure="false">'Fund Parameters'!$B$16</definedName>
    <definedName function="false" hidden="false" name="MaxSupportPct" vbProcedure="false">'Fund Parameters'!$B$30</definedName>
    <definedName function="false" hidden="false" name="MgmtPct" vbProcedure="false">'Fund Parameters'!$B$10</definedName>
    <definedName function="false" hidden="false" name="MinCashBalance" vbProcedure="false">Disbursements!$C$98</definedName>
    <definedName function="false" hidden="false" name="MRV_Earned" vbProcedure="false">'MRV Tracker'!$I$32</definedName>
    <definedName function="false" hidden="false" name="MRV_Outstanding" vbProcedure="false">'MRV Tracker'!$K$32</definedName>
    <definedName function="false" hidden="false" name="MRV_Paid" vbProcedure="false">'MRV Tracker'!$J$32</definedName>
    <definedName function="false" hidden="false" name="MRV_Verified" vbProcedure="false">'MRV Tracker'!$E$32</definedName>
    <definedName function="false" hidden="false" name="NAboveVGF" vbProcedure="false">'Portfolio Dashboard'!$F$11</definedName>
    <definedName function="false" hidden="false" name="NApplied" vbProcedure="false">'Portfolio Dashboard'!$F$6</definedName>
    <definedName function="false" hidden="false" name="NEligible" vbProcedure="false">'Portfolio Dashboard'!$F$7</definedName>
    <definedName function="false" hidden="false" name="NFunded" vbProcedure="false">'Portfolio Dashboard'!$F$8</definedName>
    <definedName function="false" hidden="false" name="Overcommit" vbProcedure="false">'Fund Parameters'!$B$13</definedName>
    <definedName function="false" hidden="false" name="PeopleFunded" vbProcedure="false">'Portfolio Dashboard'!$C$25</definedName>
    <definedName function="false" hidden="false" name="PrivateMobilised" vbProcedure="false">'Portfolio Dashboard'!$F$22</definedName>
    <definedName function="false" hidden="false" name="ProfileName" vbProcedure="false">'Fund Parameters'!$B$22</definedName>
    <definedName function="false" hidden="false" name="PUFunded" vbProcedure="false">'Portfolio Dashboard'!$C$23</definedName>
    <definedName function="false" hidden="false" name="RampV1" vbProcedure="false">'Fund Parameters'!$B$35</definedName>
    <definedName function="false" hidden="false" name="RampV2" vbProcedure="false">'Fund Parameters'!$B$36</definedName>
    <definedName function="false" hidden="false" name="RBF_COM" vbProcedure="false">'Fund Parameters'!$B$27</definedName>
    <definedName function="false" hidden="false" name="RBF_HH" vbProcedure="false">'Fund Parameters'!$B$25</definedName>
    <definedName function="false" hidden="false" name="RBF_INST" vbProcedure="false">'Fund Parameters'!$B$28</definedName>
    <definedName function="false" hidden="false" name="RBF_PU" vbProcedure="false">'Fund Parameters'!$B$26</definedName>
    <definedName function="false" hidden="false" name="RepYear" vbProcedure="false">'MRV Tracker'!$D$4</definedName>
    <definedName function="false" hidden="false" name="TAPct" vbProcedure="false">'Fund Parameters'!$B$11</definedName>
    <definedName function="false" hidden="false" name="TopCountryShare" vbProcedure="false">'Portfolio Dashboard'!$C$34</definedName>
    <definedName function="false" hidden="false" name="TopProjShare" vbProcedure="false">'Portfolio Dashboard'!$C$32</definedName>
    <definedName function="false" hidden="false" name="TotalAllocated" vbProcedure="false">Allocation!$I$32</definedName>
    <definedName function="false" hidden="false" name="TotalExpectedDisb" vbProcedure="false">Disbursements!$Q$89</definedName>
    <definedName function="false" hidden="false" name="TotalRequested" vbProcedure="false">Allocation!$F$32</definedName>
    <definedName function="false" hidden="false" name="TrancheA" vbProcedure="false">'Fund Parameters'!$B$32</definedName>
    <definedName function="false" hidden="false" name="UnlistedAlloc" vbProcedure="false">'Portfolio Dashboard'!$I$15</definedName>
    <definedName function="false" hidden="false" name="VerifLag" vbProcedure="false">'Fund Parameters'!$B$33</definedName>
    <definedName function="false" hidden="false" name="VGFTol" vbProcedure="false">'Fund Parameters'!$B$18</definedName>
    <definedName function="false" hidden="false" name="W_Add" vbProcedure="false">'Fund Parameters'!$B$69</definedName>
    <definedName function="false" hidden="false" name="W_CO2" vbProcedure="false">'Fund Parameters'!$B$65</definedName>
    <definedName function="false" hidden="false" name="W_Cost" vbProcedure="false">'Fund Parameters'!$B$62</definedName>
    <definedName function="false" hidden="false" name="W_Lev" vbProcedure="false">'Fund Parameters'!$B$63</definedName>
    <definedName function="false" hidden="false" name="W_PU" vbProcedure="false">'Fund Parameters'!$B$64</definedName>
    <definedName function="false" hidden="false" name="W_Ready" vbProcedure="false">'Fund Parameters'!$B$66</definedName>
    <definedName function="false" hidden="false" name="W_Risk" vbProcedure="false">'Fund Parameters'!$B$68</definedName>
    <definedName function="false" hidden="false" name="W_Total" vbProcedure="false">'Fund Parameters'!$B$70</definedName>
    <definedName function="false" hidden="false" name="W_Track" vbProcedure="false">'Fund Parameters'!$B$67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<sst xmlns="http://schemas.openxmlformats.org/spreadsheetml/2006/main" count="384" uniqueCount="315">
  <si>
    <t xml:space="preserve">Energy Access Fund Manager Model - RBF &amp; Portfolio Edition</t>
  </si>
  <si>
    <t xml:space="preserve">From funding to impact  |  Screen, score and allocate RBF and grant funding across an energy-access project pipeline</t>
  </si>
  <si>
    <t xml:space="preserve">THE QUESTION THIS MODEL ANSWERS</t>
  </si>
  <si>
    <t xml:space="preserve">Which projects should the fund support, with how much RBF and grant, and what portfolio of connections, impact, leverage and risk does that buy?</t>
  </si>
  <si>
    <t xml:space="preserve">WORKFLOW</t>
  </si>
  <si>
    <t xml:space="preserve">1. Fund Parameters    - envelope, costs, fund profile (RBF rates, grant share, caps, tranches), eligibility rules, scoring weights, limits.</t>
  </si>
  <si>
    <t xml:space="preserve">2. Pipeline           - one row per applicant project. Outputs of the Developer Edition (CAPEX, viability gap, CO2) can be pasted here.</t>
  </si>
  <si>
    <t xml:space="preserve">3. Eligibility &amp; Scoring - eligibility tests, maximum support, request, cost-effectiveness, leverage, additionality and weighted score.</t>
  </si>
  <si>
    <t xml:space="preserve">4. Allocation         - projects funded in rank order until the envelope is used, within project and country concentration limits.</t>
  </si>
  <si>
    <t xml:space="preserve">5. Disbursements      - grant at commissioning, RBF by tranche as connections are verified, adjusted for expected delivery by risk rating.</t>
  </si>
  <si>
    <t xml:space="preserve">6. MRV Tracker        - verified connections to date against targets, RBF earned and outstanding, status per project.</t>
  </si>
  <si>
    <t xml:space="preserve">7. Portfolio Dashboard - commitments, disbursements, connections, people, CO2, leverage, cost per connection, concentration and risk.</t>
  </si>
  <si>
    <t xml:space="preserve">8. Checks             - integrity checks (all should read OK).</t>
  </si>
  <si>
    <t xml:space="preserve">COLOUR LEGEND</t>
  </si>
  <si>
    <t xml:space="preserve">Blue text on yellow = input   |   Black = formula (do not overwrite)   |   Green = link from another sheet</t>
  </si>
  <si>
    <t xml:space="preserve">METHOD AND SIMPLIFICATIONS</t>
  </si>
  <si>
    <t xml:space="preserve">- Maximum support per project = RBF (connections x rate by customer type) + CAPEX grant, capped at a share of CAPEX, an amount per project and a share of the envelope.</t>
  </si>
  <si>
    <t xml:space="preserve">- Eligibility is pass/fail on each active criterion. Only eligible projects are scored, ranked and funded.</t>
  </si>
  <si>
    <t xml:space="preserve">- Scores (0-100) are relative to the best eligible project for cost-effectiveness, leverage, productive use and CO2; absolute for readiness, track record and risk.</t>
  </si>
  <si>
    <t xml:space="preserve">- Additionality: a request at or below the project's viability gap (+ tolerance) scores 100; above it scores 0; no viability-gap data scores 50.</t>
  </si>
  <si>
    <t xml:space="preserve">- Allocation is greedy by rank. With partial funding off, a project that does not fit is skipped and the next one is tested.</t>
  </si>
  <si>
    <t xml:space="preserve">- Disbursements: annual time step. Connections are verified over three years from commissioning; RBF is paid in two tranches.</t>
  </si>
  <si>
    <t xml:space="preserve">- Expected delivery by risk rating reduces RBF disbursements (connections not delivered are not paid). Grants are assumed paid in full at commissioning.</t>
  </si>
  <si>
    <t xml:space="preserve">- Impact and leverage of funded projects are attributed pro rata to the share of their request that the fund covers.</t>
  </si>
  <si>
    <t xml:space="preserve">- Pre-filled projects, countries and parameters are ILLUSTRATIVE ONLY. They do not describe any real fund, programme or project.</t>
  </si>
  <si>
    <t xml:space="preserve">DISCLAIMER &amp; LICENCE</t>
  </si>
  <si>
    <t xml:space="preserve">Portfolio screening and planning tool. It does not replace a fund's investment committee, due diligence, procurement rules or legal documentation.</t>
  </si>
  <si>
    <t xml:space="preserve">Not investment, legal or tax advice. Licence: single user / single organisation. No resale or redistribution.</t>
  </si>
  <si>
    <t xml:space="preserve">FUND PARAMETERS</t>
  </si>
  <si>
    <t xml:space="preserve">Edit yellow cells only. All values are illustrative and do not describe any real fund.</t>
  </si>
  <si>
    <t xml:space="preserve">1. FUND</t>
  </si>
  <si>
    <t xml:space="preserve">Fund name</t>
  </si>
  <si>
    <t xml:space="preserve">Example Energy Access Fund</t>
  </si>
  <si>
    <t xml:space="preserve">Fund manager</t>
  </si>
  <si>
    <t xml:space="preserve">Example Fund Manager</t>
  </si>
  <si>
    <t xml:space="preserve">Currency label</t>
  </si>
  <si>
    <t xml:space="preserve">USD</t>
  </si>
  <si>
    <t xml:space="preserve">Label only. Enter every amount in this currency.</t>
  </si>
  <si>
    <t xml:space="preserve">First fund year (calendar)</t>
  </si>
  <si>
    <t xml:space="preserve">Total fund size</t>
  </si>
  <si>
    <t xml:space="preserve">Fund management &amp; MRV costs</t>
  </si>
  <si>
    <t xml:space="preserve">Share of fund size.</t>
  </si>
  <si>
    <t xml:space="preserve">Technical assistance window</t>
  </si>
  <si>
    <t xml:space="preserve">Share of fund size, not allocated to projects.</t>
  </si>
  <si>
    <t xml:space="preserve">Funds available for project allocation</t>
  </si>
  <si>
    <t xml:space="preserve">Over-commitment ratio</t>
  </si>
  <si>
    <t xml:space="preserve">Commit above available funds to offset expected under-delivery of connections.</t>
  </si>
  <si>
    <t xml:space="preserve">Allocation envelope (commitment limit)</t>
  </si>
  <si>
    <t xml:space="preserve">Allow partial funding of the marginal project? (1 = yes)</t>
  </si>
  <si>
    <t xml:space="preserve">Maximum share of the envelope per project</t>
  </si>
  <si>
    <t xml:space="preserve">Maximum share of the envelope per country</t>
  </si>
  <si>
    <t xml:space="preserve">Additionality tolerance above the viability gap</t>
  </si>
  <si>
    <t xml:space="preserve">A request up to viability gap x (1 + tolerance) counts as additional.</t>
  </si>
  <si>
    <t xml:space="preserve">Average household size</t>
  </si>
  <si>
    <t xml:space="preserve">2. FUND PROFILE (support rules)</t>
  </si>
  <si>
    <t xml:space="preserve">Active profile</t>
  </si>
  <si>
    <t xml:space="preserve">Capex grant + RBF</t>
  </si>
  <si>
    <t xml:space="preserve">Generic profiles. Configure 'Custom' to mirror a specific programme's published rules.</t>
  </si>
  <si>
    <t xml:space="preserve">Rule</t>
  </si>
  <si>
    <t xml:space="preserve">Active</t>
  </si>
  <si>
    <t xml:space="preserve">Per-connection RBF</t>
  </si>
  <si>
    <t xml:space="preserve">Productive-use focus</t>
  </si>
  <si>
    <t xml:space="preserve">Custom</t>
  </si>
  <si>
    <t xml:space="preserve">RBF per household connection</t>
  </si>
  <si>
    <t xml:space="preserve">RBF per productive-use connection</t>
  </si>
  <si>
    <t xml:space="preserve">RBF per commercial connection</t>
  </si>
  <si>
    <t xml:space="preserve">RBF per institution connection</t>
  </si>
  <si>
    <t xml:space="preserve">CAPEX grant (share of project CAPEX)</t>
  </si>
  <si>
    <t xml:space="preserve">Maximum public support (share of CAPEX, all sources)</t>
  </si>
  <si>
    <t xml:space="preserve">Maximum support per project</t>
  </si>
  <si>
    <t xml:space="preserve">RBF tranche paid at verification</t>
  </si>
  <si>
    <t xml:space="preserve">RBF verification lag (years)</t>
  </si>
  <si>
    <t xml:space="preserve">The remaining RBF tranche (1 - tranche at verification) is paid one year later, after a service-continuity check.</t>
  </si>
  <si>
    <t xml:space="preserve">Connections verified in commissioning year (share of target)</t>
  </si>
  <si>
    <t xml:space="preserve">Connections verified by end of the following year (cumulative)</t>
  </si>
  <si>
    <t xml:space="preserve">The rest is verified in the third year.</t>
  </si>
  <si>
    <t xml:space="preserve">3. ELIGIBILITY CRITERIA (1 = apply)</t>
  </si>
  <si>
    <t xml:space="preserve">Criterion</t>
  </si>
  <si>
    <t xml:space="preserve">Threshold</t>
  </si>
  <si>
    <t xml:space="preserve">Apply?</t>
  </si>
  <si>
    <t xml:space="preserve">Minimum number of connections</t>
  </si>
  <si>
    <t xml:space="preserve">Maximum CAPEX per connection</t>
  </si>
  <si>
    <t xml:space="preserve">Minimum renewable share of generation</t>
  </si>
  <si>
    <t xml:space="preserve">Minimum private co-finance (equity + debt) / CAPEX</t>
  </si>
  <si>
    <t xml:space="preserve">Minimum readiness stage (1-5)</t>
  </si>
  <si>
    <t xml:space="preserve">Maximum average tariff per kWh (affordability)</t>
  </si>
  <si>
    <t xml:space="preserve">Minimum productive-use share of connections</t>
  </si>
  <si>
    <t xml:space="preserve">Country must be listed as eligible (table below)</t>
  </si>
  <si>
    <t xml:space="preserve">-</t>
  </si>
  <si>
    <t xml:space="preserve">4. ELIGIBLE COUNTRIES</t>
  </si>
  <si>
    <t xml:space="preserve">Country</t>
  </si>
  <si>
    <t xml:space="preserve">Eligible? (Y/N)</t>
  </si>
  <si>
    <t xml:space="preserve">Country A</t>
  </si>
  <si>
    <t xml:space="preserve">Y</t>
  </si>
  <si>
    <t xml:space="preserve">Country B</t>
  </si>
  <si>
    <t xml:space="preserve">Country C</t>
  </si>
  <si>
    <t xml:space="preserve">N</t>
  </si>
  <si>
    <t xml:space="preserve">Country D</t>
  </si>
  <si>
    <t xml:space="preserve">5. SCORING WEIGHTS (must total 100%)</t>
  </si>
  <si>
    <t xml:space="preserve">Weight</t>
  </si>
  <si>
    <t xml:space="preserve">Cost-effectiveness (fund support per connection, lower is better)</t>
  </si>
  <si>
    <t xml:space="preserve">Leverage (private capital per $ of fund support)</t>
  </si>
  <si>
    <t xml:space="preserve">Productive-use share of connections</t>
  </si>
  <si>
    <t xml:space="preserve">Climate (lifetime CO2 avoided per $ of fund support)</t>
  </si>
  <si>
    <t xml:space="preserve">Readiness stage</t>
  </si>
  <si>
    <t xml:space="preserve">Developer track record</t>
  </si>
  <si>
    <t xml:space="preserve">Risk rating (lower risk is better)</t>
  </si>
  <si>
    <t xml:space="preserve">Additionality (request within viability gap)</t>
  </si>
  <si>
    <t xml:space="preserve">Total weights</t>
  </si>
  <si>
    <t xml:space="preserve">6. EXPECTED DELIVERY BY RISK RATING</t>
  </si>
  <si>
    <t xml:space="preserve">Risk rating</t>
  </si>
  <si>
    <t xml:space="preserve">Expected share of target connections delivered</t>
  </si>
  <si>
    <t xml:space="preserve">1 = lowest risk, 5 = highest. Calibrate on the fund's own delivery history where available.</t>
  </si>
  <si>
    <t xml:space="preserve">PROJECT PIPELINE</t>
  </si>
  <si>
    <t xml:space="preserve">One row per applicant. Projects and figures are illustrative. Paste CAPEX, viability gap and CO2 from the Developer Edition where available.</t>
  </si>
  <si>
    <t xml:space="preserve">Viability gap and amount requested are optional: leave blank if unknown. Technology is descriptive only.</t>
  </si>
  <si>
    <t xml:space="preserve">#</t>
  </si>
  <si>
    <t xml:space="preserve">Project</t>
  </si>
  <si>
    <t xml:space="preserve">Developer</t>
  </si>
  <si>
    <t xml:space="preserve">Technology</t>
  </si>
  <si>
    <t xml:space="preserve">Readiness (1-5)</t>
  </si>
  <si>
    <t xml:space="preserve">Track record (1-5)</t>
  </si>
  <si>
    <t xml:space="preserve">Risk rating (1-5)</t>
  </si>
  <si>
    <t xml:space="preserve">Commissioning (fund year)</t>
  </si>
  <si>
    <t xml:space="preserve">Household connections</t>
  </si>
  <si>
    <t xml:space="preserve">Productive-use connections</t>
  </si>
  <si>
    <t xml:space="preserve">Commercial connections</t>
  </si>
  <si>
    <t xml:space="preserve">Institution connections</t>
  </si>
  <si>
    <t xml:space="preserve">Project CAPEX</t>
  </si>
  <si>
    <t xml:space="preserve">Developer equity</t>
  </si>
  <si>
    <t xml:space="preserve">Debt secured</t>
  </si>
  <si>
    <t xml:space="preserve">Other grants</t>
  </si>
  <si>
    <t xml:space="preserve">Average tariff per kWh</t>
  </si>
  <si>
    <t xml:space="preserve">Renewable share</t>
  </si>
  <si>
    <t xml:space="preserve">Lifetime CO2 avoided (tCO2)</t>
  </si>
  <si>
    <t xml:space="preserve">Viability gap (from Developer model)</t>
  </si>
  <si>
    <t xml:space="preserve">Amount requested (optional)</t>
  </si>
  <si>
    <t xml:space="preserve">Project A - Lake village cluster</t>
  </si>
  <si>
    <t xml:space="preserve">Developer 1</t>
  </si>
  <si>
    <t xml:space="preserve">Mini-grid</t>
  </si>
  <si>
    <t xml:space="preserve">Project B - River towns</t>
  </si>
  <si>
    <t xml:space="preserve">Developer 2</t>
  </si>
  <si>
    <t xml:space="preserve">Project C - Northern corridor</t>
  </si>
  <si>
    <t xml:space="preserve">Developer 3</t>
  </si>
  <si>
    <t xml:space="preserve">Project D - Island grids</t>
  </si>
  <si>
    <t xml:space="preserve">Hybrid</t>
  </si>
  <si>
    <t xml:space="preserve">Project E - Highland villages</t>
  </si>
  <si>
    <t xml:space="preserve">Developer 4</t>
  </si>
  <si>
    <t xml:space="preserve">Project F - Market towns</t>
  </si>
  <si>
    <t xml:space="preserve">Developer 5</t>
  </si>
  <si>
    <t xml:space="preserve">Project G - Remote valley</t>
  </si>
  <si>
    <t xml:space="preserve">Developer 6</t>
  </si>
  <si>
    <t xml:space="preserve">Project H - Agro-processing hub</t>
  </si>
  <si>
    <t xml:space="preserve">Project I - Fishing communities</t>
  </si>
  <si>
    <t xml:space="preserve">Developer 7</t>
  </si>
  <si>
    <t xml:space="preserve">Project J - Health and schools first</t>
  </si>
  <si>
    <t xml:space="preserve">Developer 8</t>
  </si>
  <si>
    <t xml:space="preserve">Project K - Peri-urban extension</t>
  </si>
  <si>
    <t xml:space="preserve">Developer 9</t>
  </si>
  <si>
    <t xml:space="preserve">Project L - Mining belt</t>
  </si>
  <si>
    <t xml:space="preserve">Project M - Small pilot</t>
  </si>
  <si>
    <t xml:space="preserve">Developer 10</t>
  </si>
  <si>
    <t xml:space="preserve">Project N - Lakeside expansion</t>
  </si>
  <si>
    <t xml:space="preserve">ELIGIBILITY &amp; SCORING</t>
  </si>
  <si>
    <t xml:space="preserve">All cells are formulas. 1 = criterion met. Only eligible projects receive a score, a rank and an allocation.</t>
  </si>
  <si>
    <t xml:space="preserve">ELIGIBILITY TESTS</t>
  </si>
  <si>
    <t xml:space="preserve">Total connections</t>
  </si>
  <si>
    <t xml:space="preserve">CAPEX per connection</t>
  </si>
  <si>
    <t xml:space="preserve">Private co-finance / CAPEX</t>
  </si>
  <si>
    <t xml:space="preserve">Productive-use share</t>
  </si>
  <si>
    <t xml:space="preserve">Min. connections</t>
  </si>
  <si>
    <t xml:space="preserve">Max. CAPEX / connection</t>
  </si>
  <si>
    <t xml:space="preserve">Min. renewable share</t>
  </si>
  <si>
    <t xml:space="preserve">Min. private co-finance</t>
  </si>
  <si>
    <t xml:space="preserve">Min. readiness</t>
  </si>
  <si>
    <t xml:space="preserve">Max. tariff</t>
  </si>
  <si>
    <t xml:space="preserve">Min. productive use</t>
  </si>
  <si>
    <t xml:space="preserve">Eligible country</t>
  </si>
  <si>
    <t xml:space="preserve">ELIGIBLE</t>
  </si>
  <si>
    <t xml:space="preserve">Eligibility status</t>
  </si>
  <si>
    <t xml:space="preserve">RBF at profile rates</t>
  </si>
  <si>
    <t xml:space="preserve">CAPEX grant at profile rate</t>
  </si>
  <si>
    <t xml:space="preserve">Maximum support (after caps)</t>
  </si>
  <si>
    <t xml:space="preserve">Request considered</t>
  </si>
  <si>
    <t xml:space="preserve">RBF share of request</t>
  </si>
  <si>
    <t xml:space="preserve">Fund support per connection</t>
  </si>
  <si>
    <t xml:space="preserve">Leverage (private / fund)</t>
  </si>
  <si>
    <t xml:space="preserve">tCO2 per $1,000 of support</t>
  </si>
  <si>
    <t xml:space="preserve">Additionality check</t>
  </si>
  <si>
    <t xml:space="preserve">Score: cost-effectiveness</t>
  </si>
  <si>
    <t xml:space="preserve">Score: leverage</t>
  </si>
  <si>
    <t xml:space="preserve">Score: productive use</t>
  </si>
  <si>
    <t xml:space="preserve">Score: climate</t>
  </si>
  <si>
    <t xml:space="preserve">Score: readiness</t>
  </si>
  <si>
    <t xml:space="preserve">Score: track record</t>
  </si>
  <si>
    <t xml:space="preserve">Score: risk</t>
  </si>
  <si>
    <t xml:space="preserve">Score: additionality</t>
  </si>
  <si>
    <t xml:space="preserve">WEIGHTED SCORE</t>
  </si>
  <si>
    <t xml:space="preserve">Rank key</t>
  </si>
  <si>
    <t xml:space="preserve">RANK</t>
  </si>
  <si>
    <t xml:space="preserve">Allocated</t>
  </si>
  <si>
    <t xml:space="preserve">Share of request funded</t>
  </si>
  <si>
    <t xml:space="preserve">Allocation status</t>
  </si>
  <si>
    <t xml:space="preserve">helper: 1 / support per connection</t>
  </si>
  <si>
    <t xml:space="preserve">helper: leverage</t>
  </si>
  <si>
    <t xml:space="preserve">helper: productive share</t>
  </si>
  <si>
    <t xml:space="preserve">helper: CO2 per $</t>
  </si>
  <si>
    <t xml:space="preserve">ALLOCATION (in rank order)</t>
  </si>
  <si>
    <t xml:space="preserve">Each row only looks at the rows above it: the envelope and country limits are applied in rank order, without circular references.</t>
  </si>
  <si>
    <t xml:space="preserve">Rank</t>
  </si>
  <si>
    <t xml:space="preserve">Score</t>
  </si>
  <si>
    <t xml:space="preserve">Request</t>
  </si>
  <si>
    <t xml:space="preserve">Envelope remaining before</t>
  </si>
  <si>
    <t xml:space="preserve">Country room remaining</t>
  </si>
  <si>
    <t xml:space="preserve">ALLOCATED</t>
  </si>
  <si>
    <t xml:space="preserve">Status</t>
  </si>
  <si>
    <t xml:space="preserve">Binding constraint</t>
  </si>
  <si>
    <t xml:space="preserve">TOTAL</t>
  </si>
  <si>
    <t xml:space="preserve">DISBURSEMENTS (expected, by fund year)</t>
  </si>
  <si>
    <t xml:space="preserve">Grant: paid at commissioning. RBF: paid as connections are verified (tranche at verification, balance one year later), scaled by expected delivery.</t>
  </si>
  <si>
    <t xml:space="preserve">RBF DISBURSEMENTS</t>
  </si>
  <si>
    <t xml:space="preserve">Allocated RBF</t>
  </si>
  <si>
    <t xml:space="preserve">Allocated grant</t>
  </si>
  <si>
    <t xml:space="preserve">Expected delivery</t>
  </si>
  <si>
    <t xml:space="preserve">Expected total</t>
  </si>
  <si>
    <t xml:space="preserve">Total</t>
  </si>
  <si>
    <t xml:space="preserve">GRANT DISBURSEMENTS</t>
  </si>
  <si>
    <t xml:space="preserve">TOTAL DISBURSEMENTS</t>
  </si>
  <si>
    <t xml:space="preserve">FUND CASH POSITION</t>
  </si>
  <si>
    <t xml:space="preserve">Expected disbursements</t>
  </si>
  <si>
    <t xml:space="preserve">Cumulative disbursements</t>
  </si>
  <si>
    <t xml:space="preserve">Funds available for projects, remaining</t>
  </si>
  <si>
    <t xml:space="preserve">Undisbursed commitments</t>
  </si>
  <si>
    <t xml:space="preserve">Expected decommitment (RBF not earned)</t>
  </si>
  <si>
    <t xml:space="preserve">Lowest remaining balance over fund life</t>
  </si>
  <si>
    <t xml:space="preserve">MRV TRACKER</t>
  </si>
  <si>
    <t xml:space="preserve">Enter verified connections and RBF paid to date (yellow). Status compares progress with the expected verification profile.</t>
  </si>
  <si>
    <t xml:space="preserve">Reporting fund year</t>
  </si>
  <si>
    <t xml:space="preserve">Target connections</t>
  </si>
  <si>
    <t xml:space="preserve">Verified connections to date</t>
  </si>
  <si>
    <t xml:space="preserve">Achieved</t>
  </si>
  <si>
    <t xml:space="preserve">Expected by now</t>
  </si>
  <si>
    <t xml:space="preserve">RBF earned to date (all tranches)</t>
  </si>
  <si>
    <t xml:space="preserve">RBF paid to date</t>
  </si>
  <si>
    <t xml:space="preserve">Outstanding RBF</t>
  </si>
  <si>
    <t xml:space="preserve">Outstanding RBF = RBF earned x tranche at verification - RBF paid. The balance tranche falls due after the service-continuity check.</t>
  </si>
  <si>
    <t xml:space="preserve">COMMITMENTS</t>
  </si>
  <si>
    <t xml:space="preserve">PIPELINE</t>
  </si>
  <si>
    <t xml:space="preserve">ALLOCATION BY COUNTRY</t>
  </si>
  <si>
    <t xml:space="preserve">Fund size</t>
  </si>
  <si>
    <t xml:space="preserve">Projects in pipeline</t>
  </si>
  <si>
    <t xml:space="preserve">Share of envelope</t>
  </si>
  <si>
    <t xml:space="preserve">Available for projects (after management and TA)</t>
  </si>
  <si>
    <t xml:space="preserve">Eligible projects</t>
  </si>
  <si>
    <t xml:space="preserve">Allocation envelope (with over-commitment)</t>
  </si>
  <si>
    <t xml:space="preserve">Projects funded (fully or partly)</t>
  </si>
  <si>
    <t xml:space="preserve">Requested by eligible projects</t>
  </si>
  <si>
    <t xml:space="preserve">Projects fully funded</t>
  </si>
  <si>
    <t xml:space="preserve">Oversubscription (requested / envelope)</t>
  </si>
  <si>
    <t xml:space="preserve">Eligible projects not funded</t>
  </si>
  <si>
    <t xml:space="preserve">Projects above their viability gap (funded)</t>
  </si>
  <si>
    <t xml:space="preserve">  of which RBF</t>
  </si>
  <si>
    <t xml:space="preserve">Average weighted score of funded projects</t>
  </si>
  <si>
    <t xml:space="preserve">  of which CAPEX grants</t>
  </si>
  <si>
    <t xml:space="preserve">Envelope used</t>
  </si>
  <si>
    <t xml:space="preserve">Expected disbursements (after delivery haircut)</t>
  </si>
  <si>
    <t xml:space="preserve">Other / unlisted</t>
  </si>
  <si>
    <t xml:space="preserve">Largest country allocation</t>
  </si>
  <si>
    <t xml:space="preserve">Lowest remaining fund balance</t>
  </si>
  <si>
    <t xml:space="preserve">Over-commitment covered by expected under-delivery (indicative)</t>
  </si>
  <si>
    <t xml:space="preserve">Disbursement profile (linked)</t>
  </si>
  <si>
    <t xml:space="preserve">Year</t>
  </si>
  <si>
    <t xml:space="preserve">RBF</t>
  </si>
  <si>
    <t xml:space="preserve">Grants</t>
  </si>
  <si>
    <t xml:space="preserve">Cumulative</t>
  </si>
  <si>
    <t xml:space="preserve">IMPACT BOUGHT (pro rata to funding share)</t>
  </si>
  <si>
    <t xml:space="preserve">LEVERAGE &amp; COST-EFFECTIVENESS</t>
  </si>
  <si>
    <t xml:space="preserve">Connections funded</t>
  </si>
  <si>
    <t xml:space="preserve">Total project investment mobilised</t>
  </si>
  <si>
    <t xml:space="preserve">  household connections</t>
  </si>
  <si>
    <t xml:space="preserve">Private capital mobilised (equity + debt)</t>
  </si>
  <si>
    <t xml:space="preserve">  productive-use connections</t>
  </si>
  <si>
    <t xml:space="preserve">Leverage: private capital per $ allocated</t>
  </si>
  <si>
    <t xml:space="preserve">  commercial and institution connections</t>
  </si>
  <si>
    <t xml:space="preserve">Investment per $ allocated</t>
  </si>
  <si>
    <t xml:space="preserve">People with access (households x household size)</t>
  </si>
  <si>
    <t xml:space="preserve">Fund allocation per connection</t>
  </si>
  <si>
    <t xml:space="preserve">Fund allocation per person with access</t>
  </si>
  <si>
    <t xml:space="preserve">Verified connections to date (MRV Tracker)</t>
  </si>
  <si>
    <t xml:space="preserve">Fund allocation per tCO2 avoided</t>
  </si>
  <si>
    <t xml:space="preserve">RISK &amp; CONCENTRATION</t>
  </si>
  <si>
    <t xml:space="preserve">Allocation-weighted risk rating (1-5)</t>
  </si>
  <si>
    <t xml:space="preserve">Expected delivery of RBF connections</t>
  </si>
  <si>
    <t xml:space="preserve">Largest single project (share of allocation)</t>
  </si>
  <si>
    <t xml:space="preserve">Top 3 projects (share of allocation)</t>
  </si>
  <si>
    <t xml:space="preserve">Largest country (share of envelope)</t>
  </si>
  <si>
    <t xml:space="preserve">PORTFOLIO VERDICT</t>
  </si>
  <si>
    <t xml:space="preserve">Envelope at least 90% committed?</t>
  </si>
  <si>
    <t xml:space="preserve">Expected disbursements within available funds?</t>
  </si>
  <si>
    <t xml:space="preserve">Country concentration within limit?</t>
  </si>
  <si>
    <t xml:space="preserve">All funded projects within their viability gap?</t>
  </si>
  <si>
    <t xml:space="preserve">INTEGRITY CHECKS</t>
  </si>
  <si>
    <t xml:space="preserve">Scoring weights total 100%</t>
  </si>
  <si>
    <t xml:space="preserve">Allocation within envelope</t>
  </si>
  <si>
    <t xml:space="preserve">No allocation above a project's request</t>
  </si>
  <si>
    <t xml:space="preserve">No allocation to ineligible projects</t>
  </si>
  <si>
    <t xml:space="preserve">Each eligible project ranked exactly once</t>
  </si>
  <si>
    <t xml:space="preserve">Country allocations add up to total allocation</t>
  </si>
  <si>
    <t xml:space="preserve">Country limit respected</t>
  </si>
  <si>
    <t xml:space="preserve">Expected disbursements by year = grants + RBF x expected delivery (all paid within the fund life)</t>
  </si>
  <si>
    <t xml:space="preserve">Expected disbursements do not exceed allocations</t>
  </si>
  <si>
    <t xml:space="preserve">Verification profile valid (0 &lt;= year 1 &lt;= cumulative year 2 &lt;= 100%)</t>
  </si>
  <si>
    <t xml:space="preserve">Management + TA below 100%</t>
  </si>
  <si>
    <t xml:space="preserve">At least one project in pipeline</t>
  </si>
  <si>
    <t xml:space="preserve">OVERALL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</si>
</sst>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@"/>
    <numFmt numFmtId="166" formatCode="0"/>
    <numFmt numFmtId="167" formatCode="\$#,##0;&quot;($&quot;#,##0\);\-"/>
    <numFmt numFmtId="168" formatCode="0.0%;\(0.0%\);\-"/>
    <numFmt numFmtId="169" formatCode="0.00\x;\(0.00&quot;x)&quot;;\-"/>
    <numFmt numFmtId="170" formatCode="#,##0.0;\(#,##0.0\);\-"/>
    <numFmt numFmtId="171" formatCode="#,##0;\(#,##0\);\-"/>
    <numFmt numFmtId="172" formatCode="0.000"/>
    <numFmt numFmtId="173" formatCode="0.00"/>
    <numFmt numFmtId="174" formatCode="0;\(0\);\-"/>
    <numFmt numFmtId="175" formatCode="0.0"/>
    <numFmt numFmtId="176" formatCode="0.000000"/>
    <numFmt numFmtId="177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3CD"/>
      </patternFill>
    </fill>
    <fill>
      <patternFill patternType="solid">
        <fgColor rgb="FFEEF3F8"/>
        <bgColor rgb="FFE2F0EE"/>
      </patternFill>
    </fill>
    <fill>
      <patternFill patternType="solid">
        <fgColor rgb="FFE2F0EE"/>
        <bgColor rgb="FFEEF3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FF3CD"/>
        </patternFill>
      </fill>
    </dxf>
    <dxf>
      <font>
        <name val="Arial"/>
        <charset val="1"/>
        <family val="0"/>
        <b val="1"/>
        <color rgb="FF155724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721C24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AA64F"/>
      <rgbColor rgb="FF800080"/>
      <rgbColor rgb="FF1B7F79"/>
      <rgbColor rgb="FFBFBFBF"/>
      <rgbColor rgb="FF7F7F7F"/>
      <rgbColor rgb="FF93A9CE"/>
      <rgbColor rgb="FFAB4744"/>
      <rgbColor rgb="FFFFF3CD"/>
      <rgbColor rgb="FFE2F0EE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EF3F8"/>
      <rgbColor rgb="FFD4EDDA"/>
      <rgbColor rgb="FFFFF2CC"/>
      <rgbColor rgb="FFB8CD97"/>
      <rgbColor rgb="FFD09493"/>
      <rgbColor rgb="FFCC99FF"/>
      <rgbColor rgb="FFF8D7DA"/>
      <rgbColor rgb="FF4672A8"/>
      <rgbColor rgb="FF33CCCC"/>
      <rgbColor rgb="FF98B855"/>
      <rgbColor rgb="FFFFC000"/>
      <rgbColor rgb="FFFF9900"/>
      <rgbColor rgb="FFFF6600"/>
      <rgbColor rgb="FF725990"/>
      <rgbColor rgb="FF878787"/>
      <rgbColor rgb="FF1F3A5F"/>
      <rgbColor rgb="FF4299B0"/>
      <rgbColor rgb="FF155724"/>
      <rgbColor rgb="FF333300"/>
      <rgbColor rgb="FF993300"/>
      <rgbColor rgb="FFC0504D"/>
      <rgbColor rgb="FF66666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Allocation by project (rank order)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Allocation!I6</c:f>
              <c:strCache>
                <c:ptCount val="1"/>
                <c:pt idx="0">
                  <c:v>ALLOCATED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Allocation!$C$7:$C$21</c:f>
              <c:strCache>
                <c:ptCount val="15"/>
                <c:pt idx="0">
                  <c:v>Project C - Northern corridor</c:v>
                </c:pt>
                <c:pt idx="1">
                  <c:v>Project K - Peri-urban extension</c:v>
                </c:pt>
                <c:pt idx="2">
                  <c:v>Project L - Mining belt</c:v>
                </c:pt>
                <c:pt idx="3">
                  <c:v>Project H - Agro-processing hub</c:v>
                </c:pt>
                <c:pt idx="4">
                  <c:v>Project A - Lake village cluster</c:v>
                </c:pt>
                <c:pt idx="5">
                  <c:v>Project N - Lakeside expansion</c:v>
                </c:pt>
                <c:pt idx="6">
                  <c:v>Project I - Fishing communities</c:v>
                </c:pt>
                <c:pt idx="7">
                  <c:v>Project B - River towns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</c:strCache>
            </c:strRef>
          </c:cat>
          <c:val>
            <c:numRef>
              <c:f>Allocation!$I$7:$I$21</c:f>
              <c:numCache>
                <c:formatCode>\$#,##0;"($"#,##0\);\-</c:formatCode>
                <c:ptCount val="15"/>
                <c:pt idx="0">
                  <c:v>382500</c:v>
                </c:pt>
                <c:pt idx="1">
                  <c:v>382500</c:v>
                </c:pt>
                <c:pt idx="2">
                  <c:v>382500</c:v>
                </c:pt>
                <c:pt idx="3">
                  <c:v>382500</c:v>
                </c:pt>
                <c:pt idx="4">
                  <c:v>382500</c:v>
                </c:pt>
                <c:pt idx="5">
                  <c:v>127500</c:v>
                </c:pt>
                <c:pt idx="6">
                  <c:v>382500</c:v>
                </c:pt>
                <c:pt idx="7">
                  <c:v>127500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150"/>
        <c:overlap val="0"/>
        <c:axId val="35660604"/>
        <c:axId val="90834697"/>
      </c:barChart>
      <c:catAx>
        <c:axId val="3566060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34697"/>
        <c:crosses val="autoZero"/>
        <c:auto val="1"/>
        <c:lblAlgn val="ctr"/>
        <c:lblOffset val="100"/>
        <c:noMultiLvlLbl val="0"/>
      </c:catAx>
      <c:valAx>
        <c:axId val="908346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6606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Expected disbursements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'Portfolio Dashboard'!I19</c:f>
              <c:strCache>
                <c:ptCount val="1"/>
                <c:pt idx="0">
                  <c:v>RBF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'Portfolio Dashboard'!$H$20:$H$29</c:f>
              <c:strCache>
                <c:ptCount val="1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</c:strCache>
            </c:strRef>
          </c:cat>
          <c:val>
            <c:numRef>
              <c:f>'Portfolio Dashboard'!$I$20:$I$29</c:f>
              <c:numCache>
                <c:formatCode>#,##0;\(#,##0\);\-</c:formatCode>
                <c:ptCount val="10"/>
                <c:pt idx="0">
                  <c:v>142362.06464584</c:v>
                </c:pt>
                <c:pt idx="1">
                  <c:v>287482.814784728</c:v>
                </c:pt>
                <c:pt idx="2">
                  <c:v>198430.531594709</c:v>
                </c:pt>
                <c:pt idx="3">
                  <c:v>69326.6118717172</c:v>
                </c:pt>
                <c:pt idx="4">
                  <c:v>11092.1049315831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'Portfolio Dashboard'!J19</c:f>
              <c:strCache>
                <c:ptCount val="1"/>
                <c:pt idx="0">
                  <c:v>Grants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'Portfolio Dashboard'!$H$20:$H$29</c:f>
              <c:strCache>
                <c:ptCount val="1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</c:strCache>
            </c:strRef>
          </c:cat>
          <c:val>
            <c:numRef>
              <c:f>'Portfolio Dashboard'!$J$20:$J$29</c:f>
              <c:numCache>
                <c:formatCode>#,##0;\(#,##0\);\-</c:formatCode>
                <c:ptCount val="10"/>
                <c:pt idx="0">
                  <c:v>796766.235105239</c:v>
                </c:pt>
                <c:pt idx="1">
                  <c:v>999922.943306651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100"/>
        <c:axId val="46613232"/>
        <c:axId val="93878166"/>
      </c:barChart>
      <c:lineChart>
        <c:grouping val="stacked"/>
        <c:varyColors val="0"/>
        <c:ser>
          <c:idx val="2"/>
          <c:order val="2"/>
          <c:tx>
            <c:strRef>
              <c:f>'Portfolio Dashboard'!K19</c:f>
              <c:strCache>
                <c:ptCount val="1"/>
                <c:pt idx="0">
                  <c:v>Cumulative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'Portfolio Dashboard'!$H$20:$H$29</c:f>
              <c:strCache>
                <c:ptCount val="1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</c:strCache>
            </c:strRef>
          </c:cat>
          <c:val>
            <c:numRef>
              <c:f>'Portfolio Dashboard'!$K$20:$K$29</c:f>
              <c:numCache>
                <c:formatCode>#,##0;\(#,##0\);\-</c:formatCode>
                <c:ptCount val="10"/>
                <c:pt idx="0">
                  <c:v>939128.299751079</c:v>
                </c:pt>
                <c:pt idx="1">
                  <c:v>2226534.05784246</c:v>
                </c:pt>
                <c:pt idx="2">
                  <c:v>2424964.58943717</c:v>
                </c:pt>
                <c:pt idx="3">
                  <c:v>2494291.20130888</c:v>
                </c:pt>
                <c:pt idx="4">
                  <c:v>2505383.30624047</c:v>
                </c:pt>
                <c:pt idx="5">
                  <c:v>2505383.30624047</c:v>
                </c:pt>
                <c:pt idx="6">
                  <c:v>2505383.30624047</c:v>
                </c:pt>
                <c:pt idx="7">
                  <c:v>2505383.30624047</c:v>
                </c:pt>
                <c:pt idx="8">
                  <c:v>2505383.30624047</c:v>
                </c:pt>
                <c:pt idx="9">
                  <c:v>2505383.30624047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978840"/>
        <c:axId val="41002277"/>
      </c:lineChart>
      <c:catAx>
        <c:axId val="4661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878166"/>
        <c:crosses val="autoZero"/>
        <c:auto val="1"/>
        <c:lblAlgn val="ctr"/>
        <c:lblOffset val="100"/>
        <c:noMultiLvlLbl val="0"/>
      </c:catAx>
      <c:valAx>
        <c:axId val="938781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13232"/>
        <c:crosses val="autoZero"/>
        <c:crossBetween val="between"/>
      </c:valAx>
      <c:catAx>
        <c:axId val="9297884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02277"/>
        <c:crosses val="autoZero"/>
        <c:auto val="1"/>
        <c:lblAlgn val="ctr"/>
        <c:lblOffset val="100"/>
        <c:noMultiLvlLbl val="0"/>
      </c:catAx>
      <c:valAx>
        <c:axId val="41002277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78840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Allocation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'Portfolio Dashboard'!$H$7:$H$15</c:f>
              <c:strCache>
                <c:ptCount val="9"/>
                <c:pt idx="0">
                  <c:v>Country A</c:v>
                </c:pt>
                <c:pt idx="1">
                  <c:v>Country B</c:v>
                </c:pt>
                <c:pt idx="2">
                  <c:v>Country C</c:v>
                </c:pt>
                <c:pt idx="3">
                  <c:v>Country D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>Other / unlisted</c:v>
                </c:pt>
              </c:strCache>
            </c:strRef>
          </c:cat>
          <c:val>
            <c:numRef>
              <c:f>'Portfolio Dashboard'!$I$7:$I$15</c:f>
              <c:numCache>
                <c:formatCode>\$#,##0;"($"#,##0\);\-</c:formatCode>
                <c:ptCount val="9"/>
                <c:pt idx="0">
                  <c:v>510000</c:v>
                </c:pt>
                <c:pt idx="1">
                  <c:v>1275000</c:v>
                </c:pt>
                <c:pt idx="2">
                  <c:v>0</c:v>
                </c:pt>
                <c:pt idx="3">
                  <c:v>765000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41</xdr:row>
      <xdr:rowOff>130680</xdr:rowOff>
    </xdr:from>
    <xdr:to>
      <xdr:col>2</xdr:col>
      <xdr:colOff>1310400</xdr:colOff>
      <xdr:row>60</xdr:row>
      <xdr:rowOff>110880</xdr:rowOff>
    </xdr:to>
    <xdr:graphicFrame>
      <xdr:nvGraphicFramePr>
        <xdr:cNvPr id="0" name="Chart 1"/>
        <xdr:cNvGraphicFramePr/>
      </xdr:nvGraphicFramePr>
      <xdr:xfrm>
        <a:off x="177840" y="800100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41</xdr:row>
      <xdr:rowOff>130680</xdr:rowOff>
    </xdr:from>
    <xdr:to>
      <xdr:col>5</xdr:col>
      <xdr:colOff>1310400</xdr:colOff>
      <xdr:row>60</xdr:row>
      <xdr:rowOff>110880</xdr:rowOff>
    </xdr:to>
    <xdr:graphicFrame>
      <xdr:nvGraphicFramePr>
        <xdr:cNvPr id="1" name="Chart 2"/>
        <xdr:cNvGraphicFramePr/>
      </xdr:nvGraphicFramePr>
      <xdr:xfrm>
        <a:off x="7112160" y="800100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41</xdr:row>
      <xdr:rowOff>130680</xdr:rowOff>
    </xdr:from>
    <xdr:to>
      <xdr:col>9</xdr:col>
      <xdr:colOff>759240</xdr:colOff>
      <xdr:row>56</xdr:row>
      <xdr:rowOff>153000</xdr:rowOff>
    </xdr:to>
    <xdr:graphicFrame>
      <xdr:nvGraphicFramePr>
        <xdr:cNvPr id="2" name="Chart 3"/>
        <xdr:cNvGraphicFramePr/>
      </xdr:nvGraphicFramePr>
      <xdr:xfrm>
        <a:off x="12890520" y="800100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B2:B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3"/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2" t="s">
        <v>15</v>
      </c>
    </row>
    <row r="22" customFormat="false" ht="1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4" t="s">
        <v>17</v>
      </c>
    </row>
    <row r="24" customFormat="false" ht="15" hidden="false" customHeight="false" outlineLevel="0" collapsed="false">
      <c r="B24" s="4" t="s">
        <v>18</v>
      </c>
    </row>
    <row r="25" customFormat="false" ht="15" hidden="false" customHeight="false" outlineLevel="0" collapsed="false">
      <c r="B25" s="4" t="s">
        <v>19</v>
      </c>
    </row>
    <row r="26" customFormat="false" ht="15" hidden="false" customHeight="false" outlineLevel="0" collapsed="false">
      <c r="B26" s="4" t="s">
        <v>20</v>
      </c>
    </row>
    <row r="27" customFormat="false" ht="15" hidden="false" customHeight="false" outlineLevel="0" collapsed="false">
      <c r="B27" s="4" t="s">
        <v>21</v>
      </c>
    </row>
    <row r="28" customFormat="false" ht="15" hidden="false" customHeight="false" outlineLevel="0" collapsed="false">
      <c r="B28" s="4" t="s">
        <v>22</v>
      </c>
    </row>
    <row r="29" customFormat="false" ht="15" hidden="false" customHeight="false" outlineLevel="0" collapsed="false">
      <c r="B29" s="4" t="s">
        <v>23</v>
      </c>
    </row>
    <row r="30" customFormat="false" ht="15" hidden="false" customHeight="false" outlineLevel="0" collapsed="false">
      <c r="B30" s="4" t="s">
        <v>24</v>
      </c>
    </row>
    <row r="31" customFormat="false" ht="15" hidden="false" customHeight="false" outlineLevel="0" collapsed="false">
      <c r="B31" s="3"/>
    </row>
    <row r="32" customFormat="false" ht="15" hidden="false" customHeight="false" outlineLevel="0" collapsed="false">
      <c r="B32" s="2" t="s">
        <v>25</v>
      </c>
    </row>
    <row r="33" customFormat="false" ht="15" hidden="false" customHeight="false" outlineLevel="0" collapsed="false">
      <c r="B33" s="5" t="s">
        <v>26</v>
      </c>
    </row>
    <row r="34" customFormat="false" ht="15" hidden="false" customHeight="false" outlineLevel="0" collapsed="false">
      <c r="B34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H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5"/>
    <col collapsed="false" customWidth="true" hidden="false" outlineLevel="0" max="7" min="7" style="0" width="3"/>
    <col collapsed="false" customWidth="true" hidden="false" outlineLevel="0" max="8" min="8" style="0" width="60"/>
  </cols>
  <sheetData>
    <row r="1" customFormat="false" ht="19.7" hidden="false" customHeight="false" outlineLevel="0" collapsed="false">
      <c r="A1" s="6" t="s">
        <v>28</v>
      </c>
    </row>
    <row r="2" customFormat="false" ht="15" hidden="false" customHeight="false" outlineLevel="0" collapsed="false">
      <c r="A2" s="7" t="s">
        <v>29</v>
      </c>
    </row>
    <row r="4" customFormat="false" ht="15" hidden="false" customHeight="false" outlineLevel="0" collapsed="false">
      <c r="A4" s="8" t="s">
        <v>30</v>
      </c>
      <c r="B4" s="9"/>
      <c r="C4" s="9"/>
      <c r="D4" s="9"/>
      <c r="E4" s="9"/>
      <c r="F4" s="9"/>
    </row>
    <row r="5" customFormat="false" ht="15" hidden="false" customHeight="false" outlineLevel="0" collapsed="false">
      <c r="A5" s="10" t="s">
        <v>31</v>
      </c>
      <c r="B5" s="11" t="s">
        <v>32</v>
      </c>
    </row>
    <row r="6" customFormat="false" ht="15" hidden="false" customHeight="false" outlineLevel="0" collapsed="false">
      <c r="A6" s="10" t="s">
        <v>33</v>
      </c>
      <c r="B6" s="11" t="s">
        <v>34</v>
      </c>
    </row>
    <row r="7" customFormat="false" ht="15" hidden="false" customHeight="false" outlineLevel="0" collapsed="false">
      <c r="A7" s="10" t="s">
        <v>35</v>
      </c>
      <c r="B7" s="11" t="s">
        <v>36</v>
      </c>
      <c r="H7" s="7" t="s">
        <v>37</v>
      </c>
    </row>
    <row r="8" customFormat="false" ht="15" hidden="false" customHeight="false" outlineLevel="0" collapsed="false">
      <c r="A8" s="10" t="s">
        <v>38</v>
      </c>
      <c r="B8" s="12" t="n">
        <v>2027</v>
      </c>
    </row>
    <row r="9" customFormat="false" ht="15" hidden="false" customHeight="false" outlineLevel="0" collapsed="false">
      <c r="A9" s="10" t="s">
        <v>39</v>
      </c>
      <c r="B9" s="13" t="n">
        <v>3000000</v>
      </c>
    </row>
    <row r="10" customFormat="false" ht="15" hidden="false" customHeight="false" outlineLevel="0" collapsed="false">
      <c r="A10" s="10" t="s">
        <v>40</v>
      </c>
      <c r="B10" s="14" t="n">
        <v>0.07</v>
      </c>
      <c r="H10" s="7" t="s">
        <v>41</v>
      </c>
    </row>
    <row r="11" customFormat="false" ht="15" hidden="false" customHeight="false" outlineLevel="0" collapsed="false">
      <c r="A11" s="10" t="s">
        <v>42</v>
      </c>
      <c r="B11" s="14" t="n">
        <v>0.08</v>
      </c>
      <c r="H11" s="7" t="s">
        <v>43</v>
      </c>
    </row>
    <row r="12" customFormat="false" ht="15" hidden="false" customHeight="false" outlineLevel="0" collapsed="false">
      <c r="A12" s="15" t="s">
        <v>44</v>
      </c>
      <c r="B12" s="16" t="n">
        <f aca="false">FundSize*(1-MgmtPct-TAPct)</f>
        <v>2550000</v>
      </c>
    </row>
    <row r="13" customFormat="false" ht="15" hidden="false" customHeight="false" outlineLevel="0" collapsed="false">
      <c r="A13" s="10" t="s">
        <v>45</v>
      </c>
      <c r="B13" s="17" t="n">
        <v>1</v>
      </c>
      <c r="H13" s="7" t="s">
        <v>46</v>
      </c>
    </row>
    <row r="14" customFormat="false" ht="15" hidden="false" customHeight="false" outlineLevel="0" collapsed="false">
      <c r="A14" s="15" t="s">
        <v>47</v>
      </c>
      <c r="B14" s="16" t="n">
        <f aca="false">Available*Overcommit</f>
        <v>2550000</v>
      </c>
    </row>
    <row r="15" customFormat="false" ht="15" hidden="false" customHeight="false" outlineLevel="0" collapsed="false">
      <c r="A15" s="10" t="s">
        <v>48</v>
      </c>
      <c r="B15" s="12" t="n">
        <v>1</v>
      </c>
    </row>
    <row r="16" customFormat="false" ht="15" hidden="false" customHeight="false" outlineLevel="0" collapsed="false">
      <c r="A16" s="10" t="s">
        <v>49</v>
      </c>
      <c r="B16" s="14" t="n">
        <v>0.15</v>
      </c>
    </row>
    <row r="17" customFormat="false" ht="15" hidden="false" customHeight="false" outlineLevel="0" collapsed="false">
      <c r="A17" s="10" t="s">
        <v>50</v>
      </c>
      <c r="B17" s="14" t="n">
        <v>0.5</v>
      </c>
    </row>
    <row r="18" customFormat="false" ht="15" hidden="false" customHeight="false" outlineLevel="0" collapsed="false">
      <c r="A18" s="10" t="s">
        <v>51</v>
      </c>
      <c r="B18" s="14" t="n">
        <v>0.1</v>
      </c>
      <c r="H18" s="7" t="s">
        <v>52</v>
      </c>
    </row>
    <row r="19" customFormat="false" ht="15" hidden="false" customHeight="false" outlineLevel="0" collapsed="false">
      <c r="A19" s="10" t="s">
        <v>53</v>
      </c>
      <c r="B19" s="18" t="n">
        <v>5</v>
      </c>
    </row>
    <row r="21" customFormat="false" ht="15" hidden="false" customHeight="false" outlineLevel="0" collapsed="false">
      <c r="A21" s="8" t="s">
        <v>54</v>
      </c>
      <c r="B21" s="9"/>
      <c r="C21" s="9"/>
      <c r="D21" s="9"/>
      <c r="E21" s="9"/>
      <c r="F21" s="9"/>
    </row>
    <row r="22" customFormat="false" ht="15" hidden="false" customHeight="false" outlineLevel="0" collapsed="false">
      <c r="A22" s="15" t="s">
        <v>55</v>
      </c>
      <c r="B22" s="11" t="s">
        <v>56</v>
      </c>
      <c r="H22" s="7" t="s">
        <v>57</v>
      </c>
    </row>
    <row r="24" customFormat="false" ht="42" hidden="false" customHeight="true" outlineLevel="0" collapsed="false">
      <c r="A24" s="19" t="s">
        <v>58</v>
      </c>
      <c r="B24" s="19" t="s">
        <v>59</v>
      </c>
      <c r="C24" s="19" t="s">
        <v>60</v>
      </c>
      <c r="D24" s="19" t="s">
        <v>56</v>
      </c>
      <c r="E24" s="19" t="s">
        <v>61</v>
      </c>
      <c r="F24" s="19" t="s">
        <v>62</v>
      </c>
    </row>
    <row r="25" customFormat="false" ht="15" hidden="false" customHeight="false" outlineLevel="0" collapsed="false">
      <c r="A25" s="10" t="s">
        <v>63</v>
      </c>
      <c r="B25" s="16" t="n">
        <f aca="false">INDEX(C25:F25,1,MATCH(ProfileName,$C$24:$F$24,0))</f>
        <v>100</v>
      </c>
      <c r="C25" s="13" t="n">
        <v>150</v>
      </c>
      <c r="D25" s="13" t="n">
        <v>100</v>
      </c>
      <c r="E25" s="13" t="n">
        <v>100</v>
      </c>
      <c r="F25" s="13" t="n">
        <v>150</v>
      </c>
    </row>
    <row r="26" customFormat="false" ht="15" hidden="false" customHeight="false" outlineLevel="0" collapsed="false">
      <c r="A26" s="10" t="s">
        <v>64</v>
      </c>
      <c r="B26" s="16" t="n">
        <f aca="false">INDEX(C26:F26,1,MATCH(ProfileName,$C$24:$F$24,0))</f>
        <v>300</v>
      </c>
      <c r="C26" s="13" t="n">
        <v>400</v>
      </c>
      <c r="D26" s="13" t="n">
        <v>300</v>
      </c>
      <c r="E26" s="13" t="n">
        <v>600</v>
      </c>
      <c r="F26" s="13" t="n">
        <v>400</v>
      </c>
    </row>
    <row r="27" customFormat="false" ht="15" hidden="false" customHeight="false" outlineLevel="0" collapsed="false">
      <c r="A27" s="10" t="s">
        <v>65</v>
      </c>
      <c r="B27" s="16" t="n">
        <f aca="false">INDEX(C27:F27,1,MATCH(ProfileName,$C$24:$F$24,0))</f>
        <v>200</v>
      </c>
      <c r="C27" s="13" t="n">
        <v>250</v>
      </c>
      <c r="D27" s="13" t="n">
        <v>200</v>
      </c>
      <c r="E27" s="13" t="n">
        <v>250</v>
      </c>
      <c r="F27" s="13" t="n">
        <v>250</v>
      </c>
    </row>
    <row r="28" customFormat="false" ht="15" hidden="false" customHeight="false" outlineLevel="0" collapsed="false">
      <c r="A28" s="10" t="s">
        <v>66</v>
      </c>
      <c r="B28" s="16" t="n">
        <f aca="false">INDEX(C28:F28,1,MATCH(ProfileName,$C$24:$F$24,0))</f>
        <v>250</v>
      </c>
      <c r="C28" s="13" t="n">
        <v>300</v>
      </c>
      <c r="D28" s="13" t="n">
        <v>250</v>
      </c>
      <c r="E28" s="13" t="n">
        <v>300</v>
      </c>
      <c r="F28" s="13" t="n">
        <v>300</v>
      </c>
    </row>
    <row r="29" customFormat="false" ht="15" hidden="false" customHeight="false" outlineLevel="0" collapsed="false">
      <c r="A29" s="10" t="s">
        <v>67</v>
      </c>
      <c r="B29" s="20" t="n">
        <f aca="false">INDEX(C29:F29,1,MATCH(ProfileName,$C$24:$F$24,0))</f>
        <v>0.25</v>
      </c>
      <c r="C29" s="14" t="n">
        <v>0</v>
      </c>
      <c r="D29" s="14" t="n">
        <v>0.25</v>
      </c>
      <c r="E29" s="14" t="n">
        <v>0.1</v>
      </c>
      <c r="F29" s="14" t="n">
        <v>0</v>
      </c>
    </row>
    <row r="30" customFormat="false" ht="15" hidden="false" customHeight="false" outlineLevel="0" collapsed="false">
      <c r="A30" s="10" t="s">
        <v>68</v>
      </c>
      <c r="B30" s="20" t="n">
        <f aca="false">INDEX(C30:F30,1,MATCH(ProfileName,$C$24:$F$24,0))</f>
        <v>0.6</v>
      </c>
      <c r="C30" s="14" t="n">
        <v>0.5</v>
      </c>
      <c r="D30" s="14" t="n">
        <v>0.6</v>
      </c>
      <c r="E30" s="14" t="n">
        <v>0.55</v>
      </c>
      <c r="F30" s="14" t="n">
        <v>0.5</v>
      </c>
    </row>
    <row r="31" customFormat="false" ht="15" hidden="false" customHeight="false" outlineLevel="0" collapsed="false">
      <c r="A31" s="10" t="s">
        <v>69</v>
      </c>
      <c r="B31" s="16" t="n">
        <f aca="false">INDEX(C31:F31,1,MATCH(ProfileName,$C$24:$F$24,0))</f>
        <v>750000</v>
      </c>
      <c r="C31" s="13" t="n">
        <v>600000</v>
      </c>
      <c r="D31" s="13" t="n">
        <v>750000</v>
      </c>
      <c r="E31" s="13" t="n">
        <v>700000</v>
      </c>
      <c r="F31" s="13" t="n">
        <v>600000</v>
      </c>
    </row>
    <row r="32" customFormat="false" ht="15" hidden="false" customHeight="false" outlineLevel="0" collapsed="false">
      <c r="A32" s="10" t="s">
        <v>70</v>
      </c>
      <c r="B32" s="20" t="n">
        <f aca="false">INDEX(C32:F32,1,MATCH(ProfileName,$C$24:$F$24,0))</f>
        <v>0.7</v>
      </c>
      <c r="C32" s="14" t="n">
        <v>0.8</v>
      </c>
      <c r="D32" s="14" t="n">
        <v>0.7</v>
      </c>
      <c r="E32" s="14" t="n">
        <v>0.7</v>
      </c>
      <c r="F32" s="14" t="n">
        <v>0.8</v>
      </c>
    </row>
    <row r="33" customFormat="false" ht="15" hidden="false" customHeight="false" outlineLevel="0" collapsed="false">
      <c r="A33" s="10" t="s">
        <v>71</v>
      </c>
      <c r="B33" s="21" t="n">
        <f aca="false">INDEX(C33:F33,1,MATCH(ProfileName,$C$24:$F$24,0))</f>
        <v>0</v>
      </c>
      <c r="C33" s="12" t="n">
        <v>0</v>
      </c>
      <c r="D33" s="12" t="n">
        <v>0</v>
      </c>
      <c r="E33" s="12" t="n">
        <v>0</v>
      </c>
      <c r="F33" s="12" t="n">
        <v>0</v>
      </c>
    </row>
    <row r="34" customFormat="false" ht="15" hidden="false" customHeight="false" outlineLevel="0" collapsed="false">
      <c r="A34" s="7" t="s">
        <v>72</v>
      </c>
    </row>
    <row r="35" customFormat="false" ht="15" hidden="false" customHeight="false" outlineLevel="0" collapsed="false">
      <c r="A35" s="10" t="s">
        <v>73</v>
      </c>
      <c r="B35" s="14" t="n">
        <v>0.6</v>
      </c>
    </row>
    <row r="36" customFormat="false" ht="15" hidden="false" customHeight="false" outlineLevel="0" collapsed="false">
      <c r="A36" s="10" t="s">
        <v>74</v>
      </c>
      <c r="B36" s="14" t="n">
        <v>0.9</v>
      </c>
      <c r="H36" s="7" t="s">
        <v>75</v>
      </c>
    </row>
    <row r="38" customFormat="false" ht="15" hidden="false" customHeight="false" outlineLevel="0" collapsed="false">
      <c r="A38" s="8" t="s">
        <v>76</v>
      </c>
      <c r="B38" s="9"/>
      <c r="C38" s="9"/>
      <c r="D38" s="9"/>
      <c r="E38" s="9"/>
      <c r="F38" s="9"/>
    </row>
    <row r="39" customFormat="false" ht="27.75" hidden="false" customHeight="true" outlineLevel="0" collapsed="false">
      <c r="A39" s="19" t="s">
        <v>77</v>
      </c>
      <c r="B39" s="19" t="s">
        <v>78</v>
      </c>
      <c r="C39" s="19" t="s">
        <v>79</v>
      </c>
    </row>
    <row r="40" customFormat="false" ht="15" hidden="false" customHeight="false" outlineLevel="0" collapsed="false">
      <c r="A40" s="10" t="s">
        <v>80</v>
      </c>
      <c r="B40" s="22" t="n">
        <v>200</v>
      </c>
      <c r="C40" s="12" t="n">
        <v>1</v>
      </c>
    </row>
    <row r="41" customFormat="false" ht="15" hidden="false" customHeight="false" outlineLevel="0" collapsed="false">
      <c r="A41" s="10" t="s">
        <v>81</v>
      </c>
      <c r="B41" s="13" t="n">
        <v>2000</v>
      </c>
      <c r="C41" s="12" t="n">
        <v>1</v>
      </c>
    </row>
    <row r="42" customFormat="false" ht="15" hidden="false" customHeight="false" outlineLevel="0" collapsed="false">
      <c r="A42" s="10" t="s">
        <v>82</v>
      </c>
      <c r="B42" s="14" t="n">
        <v>0.6</v>
      </c>
      <c r="C42" s="12" t="n">
        <v>1</v>
      </c>
    </row>
    <row r="43" customFormat="false" ht="15" hidden="false" customHeight="false" outlineLevel="0" collapsed="false">
      <c r="A43" s="10" t="s">
        <v>83</v>
      </c>
      <c r="B43" s="14" t="n">
        <v>0.2</v>
      </c>
      <c r="C43" s="12" t="n">
        <v>1</v>
      </c>
    </row>
    <row r="44" customFormat="false" ht="15" hidden="false" customHeight="false" outlineLevel="0" collapsed="false">
      <c r="A44" s="10" t="s">
        <v>84</v>
      </c>
      <c r="B44" s="12" t="n">
        <v>3</v>
      </c>
      <c r="C44" s="12" t="n">
        <v>1</v>
      </c>
    </row>
    <row r="45" customFormat="false" ht="15" hidden="false" customHeight="false" outlineLevel="0" collapsed="false">
      <c r="A45" s="10" t="s">
        <v>85</v>
      </c>
      <c r="B45" s="23" t="n">
        <v>0.6</v>
      </c>
      <c r="C45" s="12" t="n">
        <v>1</v>
      </c>
    </row>
    <row r="46" customFormat="false" ht="15" hidden="false" customHeight="false" outlineLevel="0" collapsed="false">
      <c r="A46" s="10" t="s">
        <v>86</v>
      </c>
      <c r="B46" s="14" t="n">
        <v>0.04</v>
      </c>
      <c r="C46" s="12" t="n">
        <v>1</v>
      </c>
    </row>
    <row r="47" customFormat="false" ht="15" hidden="false" customHeight="false" outlineLevel="0" collapsed="false">
      <c r="A47" s="10" t="s">
        <v>87</v>
      </c>
      <c r="B47" s="7" t="s">
        <v>88</v>
      </c>
      <c r="C47" s="12" t="n">
        <v>1</v>
      </c>
    </row>
    <row r="49" customFormat="false" ht="15" hidden="false" customHeight="false" outlineLevel="0" collapsed="false">
      <c r="A49" s="8" t="s">
        <v>89</v>
      </c>
      <c r="B49" s="9"/>
      <c r="C49" s="9"/>
      <c r="D49" s="9"/>
      <c r="E49" s="9"/>
      <c r="F49" s="9"/>
    </row>
    <row r="50" customFormat="false" ht="27.75" hidden="false" customHeight="true" outlineLevel="0" collapsed="false">
      <c r="A50" s="19" t="s">
        <v>90</v>
      </c>
      <c r="B50" s="19" t="s">
        <v>91</v>
      </c>
    </row>
    <row r="51" customFormat="false" ht="15" hidden="false" customHeight="false" outlineLevel="0" collapsed="false">
      <c r="A51" s="24" t="s">
        <v>92</v>
      </c>
      <c r="B51" s="11" t="s">
        <v>93</v>
      </c>
    </row>
    <row r="52" customFormat="false" ht="15" hidden="false" customHeight="false" outlineLevel="0" collapsed="false">
      <c r="A52" s="24" t="s">
        <v>94</v>
      </c>
      <c r="B52" s="11" t="s">
        <v>93</v>
      </c>
    </row>
    <row r="53" customFormat="false" ht="15" hidden="false" customHeight="false" outlineLevel="0" collapsed="false">
      <c r="A53" s="24" t="s">
        <v>95</v>
      </c>
      <c r="B53" s="11" t="s">
        <v>96</v>
      </c>
    </row>
    <row r="54" customFormat="false" ht="15" hidden="false" customHeight="false" outlineLevel="0" collapsed="false">
      <c r="A54" s="24" t="s">
        <v>97</v>
      </c>
      <c r="B54" s="11" t="s">
        <v>93</v>
      </c>
    </row>
    <row r="55" customFormat="false" ht="15" hidden="false" customHeight="false" outlineLevel="0" collapsed="false">
      <c r="A55" s="24"/>
      <c r="B55" s="11"/>
    </row>
    <row r="56" customFormat="false" ht="15" hidden="false" customHeight="false" outlineLevel="0" collapsed="false">
      <c r="A56" s="24"/>
      <c r="B56" s="11"/>
    </row>
    <row r="57" customFormat="false" ht="15" hidden="false" customHeight="false" outlineLevel="0" collapsed="false">
      <c r="A57" s="24"/>
      <c r="B57" s="11"/>
    </row>
    <row r="58" customFormat="false" ht="15" hidden="false" customHeight="false" outlineLevel="0" collapsed="false">
      <c r="A58" s="24"/>
      <c r="B58" s="11"/>
    </row>
    <row r="60" customFormat="false" ht="15" hidden="false" customHeight="false" outlineLevel="0" collapsed="false">
      <c r="A60" s="8" t="s">
        <v>98</v>
      </c>
      <c r="B60" s="9"/>
      <c r="C60" s="9"/>
      <c r="D60" s="9"/>
      <c r="E60" s="9"/>
      <c r="F60" s="9"/>
    </row>
    <row r="61" customFormat="false" ht="27.75" hidden="false" customHeight="true" outlineLevel="0" collapsed="false">
      <c r="A61" s="19" t="s">
        <v>77</v>
      </c>
      <c r="B61" s="19" t="s">
        <v>99</v>
      </c>
    </row>
    <row r="62" customFormat="false" ht="15" hidden="false" customHeight="false" outlineLevel="0" collapsed="false">
      <c r="A62" s="10" t="s">
        <v>100</v>
      </c>
      <c r="B62" s="14" t="n">
        <v>0.25</v>
      </c>
    </row>
    <row r="63" customFormat="false" ht="15" hidden="false" customHeight="false" outlineLevel="0" collapsed="false">
      <c r="A63" s="10" t="s">
        <v>101</v>
      </c>
      <c r="B63" s="14" t="n">
        <v>0.15</v>
      </c>
    </row>
    <row r="64" customFormat="false" ht="15" hidden="false" customHeight="false" outlineLevel="0" collapsed="false">
      <c r="A64" s="10" t="s">
        <v>102</v>
      </c>
      <c r="B64" s="14" t="n">
        <v>0.15</v>
      </c>
    </row>
    <row r="65" customFormat="false" ht="15" hidden="false" customHeight="false" outlineLevel="0" collapsed="false">
      <c r="A65" s="10" t="s">
        <v>103</v>
      </c>
      <c r="B65" s="14" t="n">
        <v>0.1</v>
      </c>
    </row>
    <row r="66" customFormat="false" ht="15" hidden="false" customHeight="false" outlineLevel="0" collapsed="false">
      <c r="A66" s="10" t="s">
        <v>104</v>
      </c>
      <c r="B66" s="14" t="n">
        <v>0.1</v>
      </c>
    </row>
    <row r="67" customFormat="false" ht="15" hidden="false" customHeight="false" outlineLevel="0" collapsed="false">
      <c r="A67" s="10" t="s">
        <v>105</v>
      </c>
      <c r="B67" s="14" t="n">
        <v>0.1</v>
      </c>
    </row>
    <row r="68" customFormat="false" ht="15" hidden="false" customHeight="false" outlineLevel="0" collapsed="false">
      <c r="A68" s="10" t="s">
        <v>106</v>
      </c>
      <c r="B68" s="14" t="n">
        <v>0.05</v>
      </c>
    </row>
    <row r="69" customFormat="false" ht="15" hidden="false" customHeight="false" outlineLevel="0" collapsed="false">
      <c r="A69" s="10" t="s">
        <v>107</v>
      </c>
      <c r="B69" s="14" t="n">
        <v>0.1</v>
      </c>
    </row>
    <row r="70" customFormat="false" ht="15" hidden="false" customHeight="false" outlineLevel="0" collapsed="false">
      <c r="A70" s="15" t="s">
        <v>108</v>
      </c>
      <c r="B70" s="20" t="n">
        <f aca="false">SUM(B62:B69)</f>
        <v>1</v>
      </c>
    </row>
    <row r="72" customFormat="false" ht="15" hidden="false" customHeight="false" outlineLevel="0" collapsed="false">
      <c r="A72" s="8" t="s">
        <v>109</v>
      </c>
      <c r="B72" s="9"/>
      <c r="C72" s="9"/>
      <c r="D72" s="9"/>
      <c r="E72" s="9"/>
      <c r="F72" s="9"/>
    </row>
    <row r="73" customFormat="false" ht="42" hidden="false" customHeight="true" outlineLevel="0" collapsed="false">
      <c r="A73" s="19" t="s">
        <v>110</v>
      </c>
      <c r="B73" s="19" t="s">
        <v>111</v>
      </c>
    </row>
    <row r="74" customFormat="false" ht="15" hidden="false" customHeight="false" outlineLevel="0" collapsed="false">
      <c r="A74" s="10" t="n">
        <v>1</v>
      </c>
      <c r="B74" s="14" t="n">
        <v>1</v>
      </c>
    </row>
    <row r="75" customFormat="false" ht="15" hidden="false" customHeight="false" outlineLevel="0" collapsed="false">
      <c r="A75" s="10" t="n">
        <v>2</v>
      </c>
      <c r="B75" s="14" t="n">
        <v>0.95</v>
      </c>
    </row>
    <row r="76" customFormat="false" ht="15" hidden="false" customHeight="false" outlineLevel="0" collapsed="false">
      <c r="A76" s="10" t="n">
        <v>3</v>
      </c>
      <c r="B76" s="14" t="n">
        <v>0.9</v>
      </c>
    </row>
    <row r="77" customFormat="false" ht="15" hidden="false" customHeight="false" outlineLevel="0" collapsed="false">
      <c r="A77" s="10" t="n">
        <v>4</v>
      </c>
      <c r="B77" s="14" t="n">
        <v>0.8</v>
      </c>
    </row>
    <row r="78" customFormat="false" ht="15" hidden="false" customHeight="false" outlineLevel="0" collapsed="false">
      <c r="A78" s="10" t="n">
        <v>5</v>
      </c>
      <c r="B78" s="14" t="n">
        <v>0.7</v>
      </c>
    </row>
    <row r="79" customFormat="false" ht="15" hidden="false" customHeight="false" outlineLevel="0" collapsed="false">
      <c r="A79" s="7" t="s">
        <v>112</v>
      </c>
    </row>
  </sheetData>
  <dataValidations count="4">
    <dataValidation allowBlank="false" errorStyle="stop" operator="between" showDropDown="false" showErrorMessage="false" showInputMessage="false" sqref="B22" type="list">
      <formula1>"Per-connection RBF,Capex grant + RBF,Productive-use focus,Custom"</formula1>
      <formula2>0</formula2>
    </dataValidation>
    <dataValidation allowBlank="false" errorStyle="stop" operator="between" showDropDown="false" showErrorMessage="false" showInputMessage="false" sqref="B51:B58" type="list">
      <formula1>"Y,N"</formula1>
      <formula2>0</formula2>
    </dataValidation>
    <dataValidation allowBlank="false" error="Enter a value between 0% and 100%." errorStyle="stop" operator="between" showDropDown="false" showErrorMessage="true" showInputMessage="false" sqref="B10:B11 B16:B17 B35:B36" type="decimal">
      <formula1>0</formula1>
      <formula2>1</formula2>
    </dataValidation>
    <dataValidation allowBlank="false" errorStyle="stop" operator="between" showDropDown="false" showErrorMessage="false" showInputMessage="false" sqref="B15 C40:C47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V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8" min="6" style="0" width="10"/>
    <col collapsed="false" customWidth="true" hidden="false" outlineLevel="0" max="13" min="9" style="0" width="12"/>
    <col collapsed="false" customWidth="true" hidden="false" outlineLevel="0" max="16" min="14" style="0" width="13"/>
    <col collapsed="false" customWidth="true" hidden="false" outlineLevel="0" max="17" min="17" style="0" width="12"/>
    <col collapsed="false" customWidth="true" hidden="false" outlineLevel="0" max="19" min="18" style="0" width="10"/>
    <col collapsed="false" customWidth="true" hidden="false" outlineLevel="0" max="20" min="20" style="0" width="12"/>
    <col collapsed="false" customWidth="true" hidden="false" outlineLevel="0" max="22" min="21" style="0" width="14"/>
  </cols>
  <sheetData>
    <row r="1" customFormat="false" ht="19.7" hidden="false" customHeight="false" outlineLevel="0" collapsed="false">
      <c r="A1" s="6" t="s">
        <v>113</v>
      </c>
    </row>
    <row r="2" customFormat="false" ht="15" hidden="false" customHeight="false" outlineLevel="0" collapsed="false">
      <c r="A2" s="7" t="s">
        <v>114</v>
      </c>
    </row>
    <row r="3" customFormat="false" ht="15" hidden="false" customHeight="false" outlineLevel="0" collapsed="false">
      <c r="A3" s="7" t="s">
        <v>115</v>
      </c>
    </row>
    <row r="6" customFormat="false" ht="55.5" hidden="false" customHeight="true" outlineLevel="0" collapsed="false">
      <c r="A6" s="19" t="s">
        <v>116</v>
      </c>
      <c r="B6" s="19" t="s">
        <v>117</v>
      </c>
      <c r="C6" s="19" t="s">
        <v>90</v>
      </c>
      <c r="D6" s="19" t="s">
        <v>118</v>
      </c>
      <c r="E6" s="19" t="s">
        <v>119</v>
      </c>
      <c r="F6" s="19" t="s">
        <v>120</v>
      </c>
      <c r="G6" s="19" t="s">
        <v>121</v>
      </c>
      <c r="H6" s="19" t="s">
        <v>122</v>
      </c>
      <c r="I6" s="19" t="s">
        <v>123</v>
      </c>
      <c r="J6" s="19" t="s">
        <v>124</v>
      </c>
      <c r="K6" s="19" t="s">
        <v>125</v>
      </c>
      <c r="L6" s="19" t="s">
        <v>126</v>
      </c>
      <c r="M6" s="19" t="s">
        <v>127</v>
      </c>
      <c r="N6" s="19" t="s">
        <v>128</v>
      </c>
      <c r="O6" s="19" t="s">
        <v>129</v>
      </c>
      <c r="P6" s="19" t="s">
        <v>130</v>
      </c>
      <c r="Q6" s="19" t="s">
        <v>131</v>
      </c>
      <c r="R6" s="19" t="s">
        <v>132</v>
      </c>
      <c r="S6" s="19" t="s">
        <v>133</v>
      </c>
      <c r="T6" s="19" t="s">
        <v>134</v>
      </c>
      <c r="U6" s="19" t="s">
        <v>135</v>
      </c>
      <c r="V6" s="19" t="s">
        <v>136</v>
      </c>
    </row>
    <row r="7" customFormat="false" ht="15" hidden="false" customHeight="false" outlineLevel="0" collapsed="false">
      <c r="A7" s="15" t="n">
        <v>1</v>
      </c>
      <c r="B7" s="11" t="s">
        <v>137</v>
      </c>
      <c r="C7" s="11" t="s">
        <v>92</v>
      </c>
      <c r="D7" s="11" t="s">
        <v>138</v>
      </c>
      <c r="E7" s="11" t="s">
        <v>139</v>
      </c>
      <c r="F7" s="12" t="n">
        <v>4</v>
      </c>
      <c r="G7" s="12" t="n">
        <v>4</v>
      </c>
      <c r="H7" s="12" t="n">
        <v>2</v>
      </c>
      <c r="I7" s="12" t="n">
        <v>1</v>
      </c>
      <c r="J7" s="22" t="n">
        <v>900</v>
      </c>
      <c r="K7" s="22" t="n">
        <v>60</v>
      </c>
      <c r="L7" s="22" t="n">
        <v>110</v>
      </c>
      <c r="M7" s="22" t="n">
        <v>10</v>
      </c>
      <c r="N7" s="13" t="n">
        <v>1300000</v>
      </c>
      <c r="O7" s="13" t="n">
        <v>300000</v>
      </c>
      <c r="P7" s="13" t="n">
        <v>250000</v>
      </c>
      <c r="Q7" s="13" t="n">
        <v>0</v>
      </c>
      <c r="R7" s="23" t="n">
        <v>0.38</v>
      </c>
      <c r="S7" s="14" t="n">
        <v>0.75</v>
      </c>
      <c r="T7" s="22" t="n">
        <v>7000</v>
      </c>
      <c r="U7" s="13" t="n">
        <v>820000</v>
      </c>
      <c r="V7" s="13"/>
    </row>
    <row r="8" customFormat="false" ht="15" hidden="false" customHeight="false" outlineLevel="0" collapsed="false">
      <c r="A8" s="15" t="n">
        <v>2</v>
      </c>
      <c r="B8" s="11" t="s">
        <v>140</v>
      </c>
      <c r="C8" s="11" t="s">
        <v>92</v>
      </c>
      <c r="D8" s="11" t="s">
        <v>141</v>
      </c>
      <c r="E8" s="11" t="s">
        <v>139</v>
      </c>
      <c r="F8" s="12" t="n">
        <v>3</v>
      </c>
      <c r="G8" s="12" t="n">
        <v>3</v>
      </c>
      <c r="H8" s="12" t="n">
        <v>3</v>
      </c>
      <c r="I8" s="12" t="n">
        <v>2</v>
      </c>
      <c r="J8" s="22" t="n">
        <v>600</v>
      </c>
      <c r="K8" s="22" t="n">
        <v>30</v>
      </c>
      <c r="L8" s="22" t="n">
        <v>60</v>
      </c>
      <c r="M8" s="22" t="n">
        <v>6</v>
      </c>
      <c r="N8" s="13" t="n">
        <v>950000</v>
      </c>
      <c r="O8" s="13" t="n">
        <v>200000</v>
      </c>
      <c r="P8" s="13" t="n">
        <v>150000</v>
      </c>
      <c r="Q8" s="13" t="n">
        <v>0</v>
      </c>
      <c r="R8" s="23" t="n">
        <v>0.42</v>
      </c>
      <c r="S8" s="14" t="n">
        <v>0.85</v>
      </c>
      <c r="T8" s="22" t="n">
        <v>4500</v>
      </c>
      <c r="U8" s="13" t="n">
        <v>600000</v>
      </c>
      <c r="V8" s="13"/>
    </row>
    <row r="9" customFormat="false" ht="15" hidden="false" customHeight="false" outlineLevel="0" collapsed="false">
      <c r="A9" s="15" t="n">
        <v>3</v>
      </c>
      <c r="B9" s="11" t="s">
        <v>142</v>
      </c>
      <c r="C9" s="11" t="s">
        <v>94</v>
      </c>
      <c r="D9" s="11" t="s">
        <v>143</v>
      </c>
      <c r="E9" s="11" t="s">
        <v>139</v>
      </c>
      <c r="F9" s="12" t="n">
        <v>5</v>
      </c>
      <c r="G9" s="12" t="n">
        <v>5</v>
      </c>
      <c r="H9" s="12" t="n">
        <v>1</v>
      </c>
      <c r="I9" s="12" t="n">
        <v>1</v>
      </c>
      <c r="J9" s="22" t="n">
        <v>1400</v>
      </c>
      <c r="K9" s="22" t="n">
        <v>120</v>
      </c>
      <c r="L9" s="22" t="n">
        <v>180</v>
      </c>
      <c r="M9" s="22" t="n">
        <v>14</v>
      </c>
      <c r="N9" s="13" t="n">
        <v>2000000</v>
      </c>
      <c r="O9" s="13" t="n">
        <v>500000</v>
      </c>
      <c r="P9" s="13" t="n">
        <v>500000</v>
      </c>
      <c r="Q9" s="13" t="n">
        <v>100000</v>
      </c>
      <c r="R9" s="23" t="n">
        <v>0.35</v>
      </c>
      <c r="S9" s="14" t="n">
        <v>0.9</v>
      </c>
      <c r="T9" s="22" t="n">
        <v>12000</v>
      </c>
      <c r="U9" s="13" t="n">
        <v>1100000</v>
      </c>
      <c r="V9" s="13"/>
    </row>
    <row r="10" customFormat="false" ht="15" hidden="false" customHeight="false" outlineLevel="0" collapsed="false">
      <c r="A10" s="15" t="n">
        <v>4</v>
      </c>
      <c r="B10" s="11" t="s">
        <v>144</v>
      </c>
      <c r="C10" s="11" t="s">
        <v>94</v>
      </c>
      <c r="D10" s="11" t="s">
        <v>138</v>
      </c>
      <c r="E10" s="11" t="s">
        <v>145</v>
      </c>
      <c r="F10" s="12" t="n">
        <v>2</v>
      </c>
      <c r="G10" s="12" t="n">
        <v>4</v>
      </c>
      <c r="H10" s="12" t="n">
        <v>3</v>
      </c>
      <c r="I10" s="12" t="n">
        <v>3</v>
      </c>
      <c r="J10" s="22" t="n">
        <v>500</v>
      </c>
      <c r="K10" s="22" t="n">
        <v>40</v>
      </c>
      <c r="L10" s="22" t="n">
        <v>50</v>
      </c>
      <c r="M10" s="22" t="n">
        <v>5</v>
      </c>
      <c r="N10" s="13" t="n">
        <v>900000</v>
      </c>
      <c r="O10" s="13" t="n">
        <v>150000</v>
      </c>
      <c r="P10" s="13" t="n">
        <v>100000</v>
      </c>
      <c r="Q10" s="13" t="n">
        <v>0</v>
      </c>
      <c r="R10" s="23" t="n">
        <v>0.45</v>
      </c>
      <c r="S10" s="14" t="n">
        <v>0.7</v>
      </c>
      <c r="T10" s="22" t="n">
        <v>3500</v>
      </c>
      <c r="U10" s="13"/>
      <c r="V10" s="13"/>
    </row>
    <row r="11" customFormat="false" ht="15" hidden="false" customHeight="false" outlineLevel="0" collapsed="false">
      <c r="A11" s="15" t="n">
        <v>5</v>
      </c>
      <c r="B11" s="11" t="s">
        <v>146</v>
      </c>
      <c r="C11" s="11" t="s">
        <v>95</v>
      </c>
      <c r="D11" s="11" t="s">
        <v>147</v>
      </c>
      <c r="E11" s="11" t="s">
        <v>139</v>
      </c>
      <c r="F11" s="12" t="n">
        <v>4</v>
      </c>
      <c r="G11" s="12" t="n">
        <v>3</v>
      </c>
      <c r="H11" s="12" t="n">
        <v>3</v>
      </c>
      <c r="I11" s="12" t="n">
        <v>2</v>
      </c>
      <c r="J11" s="22" t="n">
        <v>700</v>
      </c>
      <c r="K11" s="22" t="n">
        <v>50</v>
      </c>
      <c r="L11" s="22" t="n">
        <v>70</v>
      </c>
      <c r="M11" s="22" t="n">
        <v>8</v>
      </c>
      <c r="N11" s="13" t="n">
        <v>1050000</v>
      </c>
      <c r="O11" s="13" t="n">
        <v>200000</v>
      </c>
      <c r="P11" s="13" t="n">
        <v>200000</v>
      </c>
      <c r="Q11" s="13" t="n">
        <v>0</v>
      </c>
      <c r="R11" s="23" t="n">
        <v>0.4</v>
      </c>
      <c r="S11" s="14" t="n">
        <v>0.8</v>
      </c>
      <c r="T11" s="22" t="n">
        <v>5200</v>
      </c>
      <c r="U11" s="13" t="n">
        <v>650000</v>
      </c>
      <c r="V11" s="13"/>
    </row>
    <row r="12" customFormat="false" ht="15" hidden="false" customHeight="false" outlineLevel="0" collapsed="false">
      <c r="A12" s="15" t="n">
        <v>6</v>
      </c>
      <c r="B12" s="11" t="s">
        <v>148</v>
      </c>
      <c r="C12" s="11" t="s">
        <v>92</v>
      </c>
      <c r="D12" s="11" t="s">
        <v>149</v>
      </c>
      <c r="E12" s="11" t="s">
        <v>145</v>
      </c>
      <c r="F12" s="12" t="n">
        <v>4</v>
      </c>
      <c r="G12" s="12" t="n">
        <v>2</v>
      </c>
      <c r="H12" s="12" t="n">
        <v>4</v>
      </c>
      <c r="I12" s="12" t="n">
        <v>2</v>
      </c>
      <c r="J12" s="22" t="n">
        <v>800</v>
      </c>
      <c r="K12" s="22" t="n">
        <v>60</v>
      </c>
      <c r="L12" s="22" t="n">
        <v>120</v>
      </c>
      <c r="M12" s="22" t="n">
        <v>8</v>
      </c>
      <c r="N12" s="13" t="n">
        <v>1100000</v>
      </c>
      <c r="O12" s="13" t="n">
        <v>250000</v>
      </c>
      <c r="P12" s="13" t="n">
        <v>200000</v>
      </c>
      <c r="Q12" s="13" t="n">
        <v>0</v>
      </c>
      <c r="R12" s="23" t="n">
        <v>0.36</v>
      </c>
      <c r="S12" s="14" t="n">
        <v>0.5</v>
      </c>
      <c r="T12" s="22" t="n">
        <v>3000</v>
      </c>
      <c r="U12" s="13"/>
      <c r="V12" s="13"/>
    </row>
    <row r="13" customFormat="false" ht="15" hidden="false" customHeight="false" outlineLevel="0" collapsed="false">
      <c r="A13" s="15" t="n">
        <v>7</v>
      </c>
      <c r="B13" s="11" t="s">
        <v>150</v>
      </c>
      <c r="C13" s="11" t="s">
        <v>97</v>
      </c>
      <c r="D13" s="11" t="s">
        <v>151</v>
      </c>
      <c r="E13" s="11" t="s">
        <v>139</v>
      </c>
      <c r="F13" s="12" t="n">
        <v>3</v>
      </c>
      <c r="G13" s="12" t="n">
        <v>3</v>
      </c>
      <c r="H13" s="12" t="n">
        <v>4</v>
      </c>
      <c r="I13" s="12" t="n">
        <v>3</v>
      </c>
      <c r="J13" s="22" t="n">
        <v>300</v>
      </c>
      <c r="K13" s="22" t="n">
        <v>20</v>
      </c>
      <c r="L13" s="22" t="n">
        <v>30</v>
      </c>
      <c r="M13" s="22" t="n">
        <v>4</v>
      </c>
      <c r="N13" s="13" t="n">
        <v>900000</v>
      </c>
      <c r="O13" s="13" t="n">
        <v>150000</v>
      </c>
      <c r="P13" s="13" t="n">
        <v>50000</v>
      </c>
      <c r="Q13" s="13" t="n">
        <v>0</v>
      </c>
      <c r="R13" s="23" t="n">
        <v>0.55</v>
      </c>
      <c r="S13" s="14" t="n">
        <v>0.9</v>
      </c>
      <c r="T13" s="22" t="n">
        <v>2500</v>
      </c>
      <c r="U13" s="13" t="n">
        <v>700000</v>
      </c>
      <c r="V13" s="13"/>
    </row>
    <row r="14" customFormat="false" ht="15" hidden="false" customHeight="false" outlineLevel="0" collapsed="false">
      <c r="A14" s="15" t="n">
        <v>8</v>
      </c>
      <c r="B14" s="11" t="s">
        <v>152</v>
      </c>
      <c r="C14" s="11" t="s">
        <v>94</v>
      </c>
      <c r="D14" s="11" t="s">
        <v>141</v>
      </c>
      <c r="E14" s="11" t="s">
        <v>139</v>
      </c>
      <c r="F14" s="12" t="n">
        <v>4</v>
      </c>
      <c r="G14" s="12" t="n">
        <v>3</v>
      </c>
      <c r="H14" s="12" t="n">
        <v>2</v>
      </c>
      <c r="I14" s="12" t="n">
        <v>2</v>
      </c>
      <c r="J14" s="22" t="n">
        <v>650</v>
      </c>
      <c r="K14" s="22" t="n">
        <v>140</v>
      </c>
      <c r="L14" s="22" t="n">
        <v>80</v>
      </c>
      <c r="M14" s="22" t="n">
        <v>6</v>
      </c>
      <c r="N14" s="13" t="n">
        <v>1200000</v>
      </c>
      <c r="O14" s="13" t="n">
        <v>300000</v>
      </c>
      <c r="P14" s="13" t="n">
        <v>300000</v>
      </c>
      <c r="Q14" s="13" t="n">
        <v>0</v>
      </c>
      <c r="R14" s="23" t="n">
        <v>0.33</v>
      </c>
      <c r="S14" s="14" t="n">
        <v>0.85</v>
      </c>
      <c r="T14" s="22" t="n">
        <v>6500</v>
      </c>
      <c r="U14" s="13" t="n">
        <v>550000</v>
      </c>
      <c r="V14" s="13"/>
    </row>
    <row r="15" customFormat="false" ht="15" hidden="false" customHeight="false" outlineLevel="0" collapsed="false">
      <c r="A15" s="15" t="n">
        <v>9</v>
      </c>
      <c r="B15" s="11" t="s">
        <v>153</v>
      </c>
      <c r="C15" s="11" t="s">
        <v>97</v>
      </c>
      <c r="D15" s="11" t="s">
        <v>154</v>
      </c>
      <c r="E15" s="11" t="s">
        <v>139</v>
      </c>
      <c r="F15" s="12" t="n">
        <v>3</v>
      </c>
      <c r="G15" s="12" t="n">
        <v>2</v>
      </c>
      <c r="H15" s="12" t="n">
        <v>3</v>
      </c>
      <c r="I15" s="12" t="n">
        <v>2</v>
      </c>
      <c r="J15" s="22" t="n">
        <v>750</v>
      </c>
      <c r="K15" s="22" t="n">
        <v>70</v>
      </c>
      <c r="L15" s="22" t="n">
        <v>90</v>
      </c>
      <c r="M15" s="22" t="n">
        <v>7</v>
      </c>
      <c r="N15" s="13" t="n">
        <v>1150000</v>
      </c>
      <c r="O15" s="13" t="n">
        <v>200000</v>
      </c>
      <c r="P15" s="13" t="n">
        <v>150000</v>
      </c>
      <c r="Q15" s="13" t="n">
        <v>50000</v>
      </c>
      <c r="R15" s="23" t="n">
        <v>0.4</v>
      </c>
      <c r="S15" s="14" t="n">
        <v>0.8</v>
      </c>
      <c r="T15" s="22" t="n">
        <v>5000</v>
      </c>
      <c r="U15" s="13" t="n">
        <v>700000</v>
      </c>
      <c r="V15" s="13" t="n">
        <v>450000</v>
      </c>
    </row>
    <row r="16" customFormat="false" ht="15" hidden="false" customHeight="false" outlineLevel="0" collapsed="false">
      <c r="A16" s="15" t="n">
        <v>10</v>
      </c>
      <c r="B16" s="11" t="s">
        <v>155</v>
      </c>
      <c r="C16" s="11" t="s">
        <v>92</v>
      </c>
      <c r="D16" s="11" t="s">
        <v>156</v>
      </c>
      <c r="E16" s="11" t="s">
        <v>139</v>
      </c>
      <c r="F16" s="12" t="n">
        <v>4</v>
      </c>
      <c r="G16" s="12" t="n">
        <v>4</v>
      </c>
      <c r="H16" s="12" t="n">
        <v>2</v>
      </c>
      <c r="I16" s="12" t="n">
        <v>1</v>
      </c>
      <c r="J16" s="22" t="n">
        <v>550</v>
      </c>
      <c r="K16" s="22" t="n">
        <v>25</v>
      </c>
      <c r="L16" s="22" t="n">
        <v>50</v>
      </c>
      <c r="M16" s="22" t="n">
        <v>25</v>
      </c>
      <c r="N16" s="13" t="n">
        <v>900000</v>
      </c>
      <c r="O16" s="13" t="n">
        <v>200000</v>
      </c>
      <c r="P16" s="13" t="n">
        <v>150000</v>
      </c>
      <c r="Q16" s="13" t="n">
        <v>0</v>
      </c>
      <c r="R16" s="23" t="n">
        <v>0.39</v>
      </c>
      <c r="S16" s="14" t="n">
        <v>0.95</v>
      </c>
      <c r="T16" s="22" t="n">
        <v>4200</v>
      </c>
      <c r="U16" s="13" t="n">
        <v>520000</v>
      </c>
      <c r="V16" s="13"/>
    </row>
    <row r="17" customFormat="false" ht="15" hidden="false" customHeight="false" outlineLevel="0" collapsed="false">
      <c r="A17" s="15" t="n">
        <v>11</v>
      </c>
      <c r="B17" s="11" t="s">
        <v>157</v>
      </c>
      <c r="C17" s="11" t="s">
        <v>94</v>
      </c>
      <c r="D17" s="11" t="s">
        <v>158</v>
      </c>
      <c r="E17" s="11" t="s">
        <v>139</v>
      </c>
      <c r="F17" s="12" t="n">
        <v>5</v>
      </c>
      <c r="G17" s="12" t="n">
        <v>4</v>
      </c>
      <c r="H17" s="12" t="n">
        <v>2</v>
      </c>
      <c r="I17" s="12" t="n">
        <v>1</v>
      </c>
      <c r="J17" s="22" t="n">
        <v>1200</v>
      </c>
      <c r="K17" s="22" t="n">
        <v>90</v>
      </c>
      <c r="L17" s="22" t="n">
        <v>160</v>
      </c>
      <c r="M17" s="22" t="n">
        <v>10</v>
      </c>
      <c r="N17" s="13" t="n">
        <v>1500000</v>
      </c>
      <c r="O17" s="13" t="n">
        <v>400000</v>
      </c>
      <c r="P17" s="13" t="n">
        <v>400000</v>
      </c>
      <c r="Q17" s="13" t="n">
        <v>0</v>
      </c>
      <c r="R17" s="23" t="n">
        <v>0.32</v>
      </c>
      <c r="S17" s="14" t="n">
        <v>0.8</v>
      </c>
      <c r="T17" s="22" t="n">
        <v>8000</v>
      </c>
      <c r="U17" s="13" t="n">
        <v>450000</v>
      </c>
      <c r="V17" s="13"/>
    </row>
    <row r="18" customFormat="false" ht="15" hidden="false" customHeight="false" outlineLevel="0" collapsed="false">
      <c r="A18" s="15" t="n">
        <v>12</v>
      </c>
      <c r="B18" s="11" t="s">
        <v>159</v>
      </c>
      <c r="C18" s="11" t="s">
        <v>97</v>
      </c>
      <c r="D18" s="11" t="s">
        <v>143</v>
      </c>
      <c r="E18" s="11" t="s">
        <v>145</v>
      </c>
      <c r="F18" s="12" t="n">
        <v>3</v>
      </c>
      <c r="G18" s="12" t="n">
        <v>5</v>
      </c>
      <c r="H18" s="12" t="n">
        <v>3</v>
      </c>
      <c r="I18" s="12" t="n">
        <v>2</v>
      </c>
      <c r="J18" s="22" t="n">
        <v>1000</v>
      </c>
      <c r="K18" s="22" t="n">
        <v>150</v>
      </c>
      <c r="L18" s="22" t="n">
        <v>140</v>
      </c>
      <c r="M18" s="22" t="n">
        <v>8</v>
      </c>
      <c r="N18" s="13" t="n">
        <v>1700000</v>
      </c>
      <c r="O18" s="13" t="n">
        <v>400000</v>
      </c>
      <c r="P18" s="13" t="n">
        <v>300000</v>
      </c>
      <c r="Q18" s="13" t="n">
        <v>0</v>
      </c>
      <c r="R18" s="23" t="n">
        <v>0.41</v>
      </c>
      <c r="S18" s="14" t="n">
        <v>0.75</v>
      </c>
      <c r="T18" s="22" t="n">
        <v>7500</v>
      </c>
      <c r="U18" s="13" t="n">
        <v>900000</v>
      </c>
      <c r="V18" s="13"/>
    </row>
    <row r="19" customFormat="false" ht="15" hidden="false" customHeight="false" outlineLevel="0" collapsed="false">
      <c r="A19" s="15" t="n">
        <v>13</v>
      </c>
      <c r="B19" s="11" t="s">
        <v>160</v>
      </c>
      <c r="C19" s="11" t="s">
        <v>92</v>
      </c>
      <c r="D19" s="11" t="s">
        <v>161</v>
      </c>
      <c r="E19" s="11" t="s">
        <v>139</v>
      </c>
      <c r="F19" s="12" t="n">
        <v>3</v>
      </c>
      <c r="G19" s="12" t="n">
        <v>2</v>
      </c>
      <c r="H19" s="12" t="n">
        <v>4</v>
      </c>
      <c r="I19" s="12" t="n">
        <v>2</v>
      </c>
      <c r="J19" s="22" t="n">
        <v>150</v>
      </c>
      <c r="K19" s="22" t="n">
        <v>10</v>
      </c>
      <c r="L19" s="22" t="n">
        <v>20</v>
      </c>
      <c r="M19" s="22" t="n">
        <v>2</v>
      </c>
      <c r="N19" s="13" t="n">
        <v>300000</v>
      </c>
      <c r="O19" s="13" t="n">
        <v>50000</v>
      </c>
      <c r="P19" s="13" t="n">
        <v>0</v>
      </c>
      <c r="Q19" s="13" t="n">
        <v>0</v>
      </c>
      <c r="R19" s="23" t="n">
        <v>0.5</v>
      </c>
      <c r="S19" s="14" t="n">
        <v>0.9</v>
      </c>
      <c r="T19" s="22" t="n">
        <v>900</v>
      </c>
      <c r="U19" s="13"/>
      <c r="V19" s="13"/>
    </row>
    <row r="20" customFormat="false" ht="15" hidden="false" customHeight="false" outlineLevel="0" collapsed="false">
      <c r="A20" s="15" t="n">
        <v>14</v>
      </c>
      <c r="B20" s="11" t="s">
        <v>162</v>
      </c>
      <c r="C20" s="11" t="s">
        <v>94</v>
      </c>
      <c r="D20" s="11" t="s">
        <v>138</v>
      </c>
      <c r="E20" s="11" t="s">
        <v>139</v>
      </c>
      <c r="F20" s="12" t="n">
        <v>4</v>
      </c>
      <c r="G20" s="12" t="n">
        <v>4</v>
      </c>
      <c r="H20" s="12" t="n">
        <v>2</v>
      </c>
      <c r="I20" s="12" t="n">
        <v>2</v>
      </c>
      <c r="J20" s="22" t="n">
        <v>850</v>
      </c>
      <c r="K20" s="22" t="n">
        <v>55</v>
      </c>
      <c r="L20" s="22" t="n">
        <v>100</v>
      </c>
      <c r="M20" s="22" t="n">
        <v>9</v>
      </c>
      <c r="N20" s="13" t="n">
        <v>1250000</v>
      </c>
      <c r="O20" s="13" t="n">
        <v>300000</v>
      </c>
      <c r="P20" s="13" t="n">
        <v>250000</v>
      </c>
      <c r="Q20" s="13" t="n">
        <v>0</v>
      </c>
      <c r="R20" s="23" t="n">
        <v>0.37</v>
      </c>
      <c r="S20" s="14" t="n">
        <v>0.85</v>
      </c>
      <c r="T20" s="22" t="n">
        <v>6800</v>
      </c>
      <c r="U20" s="13" t="n">
        <v>750000</v>
      </c>
      <c r="V20" s="13"/>
    </row>
    <row r="21" customFormat="false" ht="15" hidden="false" customHeight="false" outlineLevel="0" collapsed="false">
      <c r="A21" s="15" t="n">
        <v>15</v>
      </c>
      <c r="B21" s="11"/>
      <c r="C21" s="11"/>
      <c r="D21" s="11"/>
      <c r="E21" s="11"/>
      <c r="F21" s="12"/>
      <c r="G21" s="12"/>
      <c r="H21" s="12"/>
      <c r="I21" s="12"/>
      <c r="J21" s="22"/>
      <c r="K21" s="22"/>
      <c r="L21" s="22"/>
      <c r="M21" s="22"/>
      <c r="N21" s="13"/>
      <c r="O21" s="13"/>
      <c r="P21" s="13"/>
      <c r="Q21" s="13"/>
      <c r="R21" s="23"/>
      <c r="S21" s="14"/>
      <c r="T21" s="22"/>
      <c r="U21" s="13"/>
      <c r="V21" s="13"/>
    </row>
    <row r="22" customFormat="false" ht="15" hidden="false" customHeight="false" outlineLevel="0" collapsed="false">
      <c r="A22" s="15" t="n">
        <v>16</v>
      </c>
      <c r="B22" s="11"/>
      <c r="C22" s="11"/>
      <c r="D22" s="11"/>
      <c r="E22" s="11"/>
      <c r="F22" s="12"/>
      <c r="G22" s="12"/>
      <c r="H22" s="12"/>
      <c r="I22" s="12"/>
      <c r="J22" s="22"/>
      <c r="K22" s="22"/>
      <c r="L22" s="22"/>
      <c r="M22" s="22"/>
      <c r="N22" s="13"/>
      <c r="O22" s="13"/>
      <c r="P22" s="13"/>
      <c r="Q22" s="13"/>
      <c r="R22" s="23"/>
      <c r="S22" s="14"/>
      <c r="T22" s="22"/>
      <c r="U22" s="13"/>
      <c r="V22" s="13"/>
    </row>
    <row r="23" customFormat="false" ht="15" hidden="false" customHeight="false" outlineLevel="0" collapsed="false">
      <c r="A23" s="15" t="n">
        <v>17</v>
      </c>
      <c r="B23" s="11"/>
      <c r="C23" s="11"/>
      <c r="D23" s="11"/>
      <c r="E23" s="11"/>
      <c r="F23" s="12"/>
      <c r="G23" s="12"/>
      <c r="H23" s="12"/>
      <c r="I23" s="12"/>
      <c r="J23" s="22"/>
      <c r="K23" s="22"/>
      <c r="L23" s="22"/>
      <c r="M23" s="22"/>
      <c r="N23" s="13"/>
      <c r="O23" s="13"/>
      <c r="P23" s="13"/>
      <c r="Q23" s="13"/>
      <c r="R23" s="23"/>
      <c r="S23" s="14"/>
      <c r="T23" s="22"/>
      <c r="U23" s="13"/>
      <c r="V23" s="13"/>
    </row>
    <row r="24" customFormat="false" ht="15" hidden="false" customHeight="false" outlineLevel="0" collapsed="false">
      <c r="A24" s="15" t="n">
        <v>18</v>
      </c>
      <c r="B24" s="11"/>
      <c r="C24" s="11"/>
      <c r="D24" s="11"/>
      <c r="E24" s="11"/>
      <c r="F24" s="12"/>
      <c r="G24" s="12"/>
      <c r="H24" s="12"/>
      <c r="I24" s="12"/>
      <c r="J24" s="22"/>
      <c r="K24" s="22"/>
      <c r="L24" s="22"/>
      <c r="M24" s="22"/>
      <c r="N24" s="13"/>
      <c r="O24" s="13"/>
      <c r="P24" s="13"/>
      <c r="Q24" s="13"/>
      <c r="R24" s="23"/>
      <c r="S24" s="14"/>
      <c r="T24" s="22"/>
      <c r="U24" s="13"/>
      <c r="V24" s="13"/>
    </row>
    <row r="25" customFormat="false" ht="15" hidden="false" customHeight="false" outlineLevel="0" collapsed="false">
      <c r="A25" s="15" t="n">
        <v>19</v>
      </c>
      <c r="B25" s="11"/>
      <c r="C25" s="11"/>
      <c r="D25" s="11"/>
      <c r="E25" s="11"/>
      <c r="F25" s="12"/>
      <c r="G25" s="12"/>
      <c r="H25" s="12"/>
      <c r="I25" s="12"/>
      <c r="J25" s="22"/>
      <c r="K25" s="22"/>
      <c r="L25" s="22"/>
      <c r="M25" s="22"/>
      <c r="N25" s="13"/>
      <c r="O25" s="13"/>
      <c r="P25" s="13"/>
      <c r="Q25" s="13"/>
      <c r="R25" s="23"/>
      <c r="S25" s="14"/>
      <c r="T25" s="22"/>
      <c r="U25" s="13"/>
      <c r="V25" s="13"/>
    </row>
    <row r="26" customFormat="false" ht="15" hidden="false" customHeight="false" outlineLevel="0" collapsed="false">
      <c r="A26" s="15" t="n">
        <v>20</v>
      </c>
      <c r="B26" s="11"/>
      <c r="C26" s="11"/>
      <c r="D26" s="11"/>
      <c r="E26" s="11"/>
      <c r="F26" s="12"/>
      <c r="G26" s="12"/>
      <c r="H26" s="12"/>
      <c r="I26" s="12"/>
      <c r="J26" s="22"/>
      <c r="K26" s="22"/>
      <c r="L26" s="22"/>
      <c r="M26" s="22"/>
      <c r="N26" s="13"/>
      <c r="O26" s="13"/>
      <c r="P26" s="13"/>
      <c r="Q26" s="13"/>
      <c r="R26" s="23"/>
      <c r="S26" s="14"/>
      <c r="T26" s="22"/>
      <c r="U26" s="13"/>
      <c r="V26" s="13"/>
    </row>
    <row r="27" customFormat="false" ht="15" hidden="false" customHeight="false" outlineLevel="0" collapsed="false">
      <c r="A27" s="15" t="n">
        <v>21</v>
      </c>
      <c r="B27" s="11"/>
      <c r="C27" s="11"/>
      <c r="D27" s="11"/>
      <c r="E27" s="11"/>
      <c r="F27" s="12"/>
      <c r="G27" s="12"/>
      <c r="H27" s="12"/>
      <c r="I27" s="12"/>
      <c r="J27" s="22"/>
      <c r="K27" s="22"/>
      <c r="L27" s="22"/>
      <c r="M27" s="22"/>
      <c r="N27" s="13"/>
      <c r="O27" s="13"/>
      <c r="P27" s="13"/>
      <c r="Q27" s="13"/>
      <c r="R27" s="23"/>
      <c r="S27" s="14"/>
      <c r="T27" s="22"/>
      <c r="U27" s="13"/>
      <c r="V27" s="13"/>
    </row>
    <row r="28" customFormat="false" ht="15" hidden="false" customHeight="false" outlineLevel="0" collapsed="false">
      <c r="A28" s="15" t="n">
        <v>22</v>
      </c>
      <c r="B28" s="11"/>
      <c r="C28" s="11"/>
      <c r="D28" s="11"/>
      <c r="E28" s="11"/>
      <c r="F28" s="12"/>
      <c r="G28" s="12"/>
      <c r="H28" s="12"/>
      <c r="I28" s="12"/>
      <c r="J28" s="22"/>
      <c r="K28" s="22"/>
      <c r="L28" s="22"/>
      <c r="M28" s="22"/>
      <c r="N28" s="13"/>
      <c r="O28" s="13"/>
      <c r="P28" s="13"/>
      <c r="Q28" s="13"/>
      <c r="R28" s="23"/>
      <c r="S28" s="14"/>
      <c r="T28" s="22"/>
      <c r="U28" s="13"/>
      <c r="V28" s="13"/>
    </row>
    <row r="29" customFormat="false" ht="15" hidden="false" customHeight="false" outlineLevel="0" collapsed="false">
      <c r="A29" s="15" t="n">
        <v>23</v>
      </c>
      <c r="B29" s="11"/>
      <c r="C29" s="11"/>
      <c r="D29" s="11"/>
      <c r="E29" s="11"/>
      <c r="F29" s="12"/>
      <c r="G29" s="12"/>
      <c r="H29" s="12"/>
      <c r="I29" s="12"/>
      <c r="J29" s="22"/>
      <c r="K29" s="22"/>
      <c r="L29" s="22"/>
      <c r="M29" s="22"/>
      <c r="N29" s="13"/>
      <c r="O29" s="13"/>
      <c r="P29" s="13"/>
      <c r="Q29" s="13"/>
      <c r="R29" s="23"/>
      <c r="S29" s="14"/>
      <c r="T29" s="22"/>
      <c r="U29" s="13"/>
      <c r="V29" s="13"/>
    </row>
    <row r="30" customFormat="false" ht="15" hidden="false" customHeight="false" outlineLevel="0" collapsed="false">
      <c r="A30" s="15" t="n">
        <v>24</v>
      </c>
      <c r="B30" s="11"/>
      <c r="C30" s="11"/>
      <c r="D30" s="11"/>
      <c r="E30" s="11"/>
      <c r="F30" s="12"/>
      <c r="G30" s="12"/>
      <c r="H30" s="12"/>
      <c r="I30" s="12"/>
      <c r="J30" s="22"/>
      <c r="K30" s="22"/>
      <c r="L30" s="22"/>
      <c r="M30" s="22"/>
      <c r="N30" s="13"/>
      <c r="O30" s="13"/>
      <c r="P30" s="13"/>
      <c r="Q30" s="13"/>
      <c r="R30" s="23"/>
      <c r="S30" s="14"/>
      <c r="T30" s="22"/>
      <c r="U30" s="13"/>
      <c r="V30" s="13"/>
    </row>
    <row r="31" customFormat="false" ht="15" hidden="false" customHeight="false" outlineLevel="0" collapsed="false">
      <c r="A31" s="15" t="n">
        <v>25</v>
      </c>
      <c r="B31" s="11"/>
      <c r="C31" s="11"/>
      <c r="D31" s="11"/>
      <c r="E31" s="11"/>
      <c r="F31" s="12"/>
      <c r="G31" s="12"/>
      <c r="H31" s="12"/>
      <c r="I31" s="12"/>
      <c r="J31" s="22"/>
      <c r="K31" s="22"/>
      <c r="L31" s="22"/>
      <c r="M31" s="22"/>
      <c r="N31" s="13"/>
      <c r="O31" s="13"/>
      <c r="P31" s="13"/>
      <c r="Q31" s="13"/>
      <c r="R31" s="23"/>
      <c r="S31" s="14"/>
      <c r="T31" s="22"/>
      <c r="U31" s="13"/>
      <c r="V31" s="13"/>
    </row>
  </sheetData>
  <dataValidations count="3">
    <dataValidation allowBlank="false" errorStyle="stop" operator="between" showDropDown="false" showErrorMessage="false" showInputMessage="false" sqref="E7:E31" type="list">
      <formula1>"Mini-grid,Hybrid,Solar home systems,Productive use,Other"</formula1>
      <formula2>0</formula2>
    </dataValidation>
    <dataValidation allowBlank="false" error="Enter a whole number from 1 to 5." errorStyle="stop" operator="between" showDropDown="false" showErrorMessage="true" showInputMessage="false" sqref="F7:H31" type="whole">
      <formula1>1</formula1>
      <formula2>5</formula2>
    </dataValidation>
    <dataValidation allowBlank="false" error="Commissioning must be in fund years 1 to 7 so that RBF is paid within the fund life." errorStyle="stop" operator="between" showDropDown="false" showErrorMessage="true" showInputMessage="false" sqref="I7:I31" type="whole">
      <formula1>1</formula1>
      <formula2>7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AQ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6" min="3" style="0" width="11"/>
    <col collapsed="false" customWidth="true" hidden="false" outlineLevel="0" max="15" min="7" style="0" width="9"/>
    <col collapsed="false" customWidth="true" hidden="false" outlineLevel="0" max="16" min="16" style="0" width="24"/>
    <col collapsed="false" customWidth="true" hidden="false" outlineLevel="0" max="20" min="17" style="0" width="12"/>
    <col collapsed="false" customWidth="true" hidden="false" outlineLevel="0" max="21" min="21" style="0" width="10"/>
    <col collapsed="false" customWidth="true" hidden="false" outlineLevel="0" max="22" min="22" style="0" width="11"/>
    <col collapsed="false" customWidth="true" hidden="false" outlineLevel="0" max="24" min="23" style="0" width="10"/>
    <col collapsed="false" customWidth="true" hidden="false" outlineLevel="0" max="25" min="25" style="0" width="16"/>
    <col collapsed="false" customWidth="true" hidden="false" outlineLevel="0" max="34" min="26" style="0" width="10"/>
    <col collapsed="false" customWidth="true" hidden="true" outlineLevel="0" max="35" min="35" style="0" width="10"/>
    <col collapsed="false" customWidth="true" hidden="false" outlineLevel="0" max="36" min="36" style="0" width="8"/>
    <col collapsed="false" customWidth="true" hidden="false" outlineLevel="0" max="37" min="37" style="0" width="12"/>
    <col collapsed="false" customWidth="true" hidden="false" outlineLevel="0" max="38" min="38" style="0" width="10"/>
    <col collapsed="false" customWidth="true" hidden="false" outlineLevel="0" max="39" min="39" style="0" width="18"/>
    <col collapsed="false" customWidth="true" hidden="true" outlineLevel="0" max="40" min="40" style="0" width="10"/>
    <col collapsed="false" customWidth="true" hidden="true" outlineLevel="0" max="42" min="41" style="0" width="9"/>
    <col collapsed="false" customWidth="true" hidden="true" outlineLevel="0" max="43" min="43" style="0" width="10"/>
  </cols>
  <sheetData>
    <row r="1" customFormat="false" ht="19.7" hidden="false" customHeight="false" outlineLevel="0" collapsed="false">
      <c r="A1" s="6" t="s">
        <v>163</v>
      </c>
    </row>
    <row r="2" customFormat="false" ht="15" hidden="false" customHeight="false" outlineLevel="0" collapsed="false">
      <c r="A2" s="7" t="s">
        <v>164</v>
      </c>
    </row>
    <row r="5" customFormat="false" ht="15" hidden="false" customHeight="false" outlineLevel="0" collapsed="false">
      <c r="G5" s="8" t="s">
        <v>165</v>
      </c>
      <c r="H5" s="9"/>
      <c r="I5" s="9"/>
      <c r="J5" s="9"/>
      <c r="K5" s="9"/>
      <c r="L5" s="9"/>
      <c r="M5" s="9"/>
      <c r="N5" s="9"/>
      <c r="O5" s="9"/>
      <c r="P5" s="9"/>
    </row>
    <row r="6" customFormat="false" ht="66" hidden="false" customHeight="true" outlineLevel="0" collapsed="false">
      <c r="A6" s="19" t="s">
        <v>116</v>
      </c>
      <c r="B6" s="19" t="s">
        <v>117</v>
      </c>
      <c r="C6" s="19" t="s">
        <v>166</v>
      </c>
      <c r="D6" s="19" t="s">
        <v>167</v>
      </c>
      <c r="E6" s="19" t="s">
        <v>168</v>
      </c>
      <c r="F6" s="19" t="s">
        <v>169</v>
      </c>
      <c r="G6" s="19" t="s">
        <v>170</v>
      </c>
      <c r="H6" s="19" t="s">
        <v>171</v>
      </c>
      <c r="I6" s="19" t="s">
        <v>172</v>
      </c>
      <c r="J6" s="19" t="s">
        <v>173</v>
      </c>
      <c r="K6" s="19" t="s">
        <v>174</v>
      </c>
      <c r="L6" s="19" t="s">
        <v>175</v>
      </c>
      <c r="M6" s="19" t="s">
        <v>176</v>
      </c>
      <c r="N6" s="19" t="s">
        <v>177</v>
      </c>
      <c r="O6" s="19" t="s">
        <v>178</v>
      </c>
      <c r="P6" s="19" t="s">
        <v>179</v>
      </c>
      <c r="Q6" s="19" t="s">
        <v>180</v>
      </c>
      <c r="R6" s="19" t="s">
        <v>181</v>
      </c>
      <c r="S6" s="19" t="s">
        <v>182</v>
      </c>
      <c r="T6" s="19" t="s">
        <v>183</v>
      </c>
      <c r="U6" s="19" t="s">
        <v>184</v>
      </c>
      <c r="V6" s="19" t="s">
        <v>185</v>
      </c>
      <c r="W6" s="19" t="s">
        <v>186</v>
      </c>
      <c r="X6" s="19" t="s">
        <v>187</v>
      </c>
      <c r="Y6" s="19" t="s">
        <v>188</v>
      </c>
      <c r="Z6" s="19" t="s">
        <v>189</v>
      </c>
      <c r="AA6" s="19" t="s">
        <v>190</v>
      </c>
      <c r="AB6" s="19" t="s">
        <v>191</v>
      </c>
      <c r="AC6" s="19" t="s">
        <v>192</v>
      </c>
      <c r="AD6" s="19" t="s">
        <v>193</v>
      </c>
      <c r="AE6" s="19" t="s">
        <v>194</v>
      </c>
      <c r="AF6" s="19" t="s">
        <v>195</v>
      </c>
      <c r="AG6" s="19" t="s">
        <v>196</v>
      </c>
      <c r="AH6" s="19" t="s">
        <v>197</v>
      </c>
      <c r="AI6" s="19" t="s">
        <v>198</v>
      </c>
      <c r="AJ6" s="19" t="s">
        <v>199</v>
      </c>
      <c r="AK6" s="19" t="s">
        <v>200</v>
      </c>
      <c r="AL6" s="19" t="s">
        <v>201</v>
      </c>
      <c r="AM6" s="19" t="s">
        <v>202</v>
      </c>
      <c r="AN6" s="19" t="s">
        <v>203</v>
      </c>
      <c r="AO6" s="19" t="s">
        <v>204</v>
      </c>
      <c r="AP6" s="19" t="s">
        <v>205</v>
      </c>
      <c r="AQ6" s="19" t="s">
        <v>206</v>
      </c>
    </row>
    <row r="7" customFormat="false" ht="15" hidden="false" customHeight="false" outlineLevel="0" collapsed="false">
      <c r="A7" s="25" t="n">
        <f aca="false">1</f>
        <v>1</v>
      </c>
      <c r="B7" s="26" t="str">
        <f aca="false">IF(Pipeline!$B7&lt;&gt;"",Pipeline!$B7,"")</f>
        <v>Project A - Lake village cluster</v>
      </c>
      <c r="C7" s="27" t="n">
        <f aca="false">SUM(Pipeline!$J7:$M7)</f>
        <v>1080</v>
      </c>
      <c r="D7" s="28" t="n">
        <f aca="false">IFERROR(Pipeline!$N7/$C7,0)</f>
        <v>1203.7037037037</v>
      </c>
      <c r="E7" s="29" t="n">
        <f aca="false">IFERROR((Pipeline!$O7+Pipeline!$P7)/Pipeline!$N7,0)</f>
        <v>0.423076923076923</v>
      </c>
      <c r="F7" s="29" t="n">
        <f aca="false">IFERROR(Pipeline!$K7/$C7,0)</f>
        <v>0.0555555555555556</v>
      </c>
      <c r="G7" s="25" t="n">
        <f aca="false">IF(NOT(Pipeline!$B7&lt;&gt;""),0,IF(E_MinConn_On=1,IF($C7&gt;=E_MinConn,1,0),1))</f>
        <v>1</v>
      </c>
      <c r="H7" s="25" t="n">
        <f aca="false">IF(NOT(Pipeline!$B7&lt;&gt;""),0,IF(E_MaxCapexConn_On=1,IF($D7&lt;=E_MaxCapexConn,1,0),1))</f>
        <v>1</v>
      </c>
      <c r="I7" s="25" t="n">
        <f aca="false">IF(NOT(Pipeline!$B7&lt;&gt;""),0,IF(E_MinRE_On=1,IF(Pipeline!$S7&gt;=E_MinRE,1,0),1))</f>
        <v>1</v>
      </c>
      <c r="J7" s="25" t="n">
        <f aca="false">IF(NOT(Pipeline!$B7&lt;&gt;""),0,IF(E_MinPrivate_On=1,IF($E7&gt;=E_MinPrivate,1,0),1))</f>
        <v>1</v>
      </c>
      <c r="K7" s="25" t="n">
        <f aca="false">IF(NOT(Pipeline!$B7&lt;&gt;""),0,IF(E_MinReady_On=1,IF(Pipeline!$F7&gt;=E_MinReady,1,0),1))</f>
        <v>1</v>
      </c>
      <c r="L7" s="25" t="n">
        <f aca="false">IF(NOT(Pipeline!$B7&lt;&gt;""),0,IF(E_MaxTariff_On=1,IF(Pipeline!$R7&lt;=E_MaxTariff,1,0),1))</f>
        <v>1</v>
      </c>
      <c r="M7" s="25" t="n">
        <f aca="false">IF(NOT(Pipeline!$B7&lt;&gt;""),0,IF(E_MinPU_On=1,IF($F7&gt;=E_MinPU,1,0),1))</f>
        <v>1</v>
      </c>
      <c r="N7" s="25" t="n">
        <f aca="false">IF(NOT(Pipeline!$B7&lt;&gt;""),0,IF(E_Country_On=1,IF(IFERROR(INDEX('Fund Parameters'!$B$51:$B$58,MATCH(Pipeline!$C7,'Fund Parameters'!$A$51:$A$58,0))="Y",FALSE()),1,0),1))</f>
        <v>1</v>
      </c>
      <c r="O7" s="21" t="n">
        <f aca="false">IF(AND(Pipeline!$B7&lt;&gt;"",$G7*$H7*$I7*$J7*$K7*$L7*$M7*$N7=1),1,0)</f>
        <v>1</v>
      </c>
      <c r="P7" s="30" t="str">
        <f aca="false">IF(NOT(Pipeline!$B7&lt;&gt;""),"",IF($O7=1,"Eligible",IF($G7=0,"Too few connections",IF($H7=0,"CAPEX per connection too high",IF($I7=0,"Renewable share too low",IF($J7=0,"Private co-finance too low",IF($K7=0,"Not ready enough",IF($L7=0,"Tariff above cap",IF($M7=0,"Productive use too low",IF($N7=0,"Country not eligible",""))))))))))</f>
        <v>Eligible</v>
      </c>
      <c r="Q7" s="28" t="n">
        <f aca="false">Pipeline!$J7*RBF_HH+Pipeline!$K7*RBF_PU+Pipeline!$L7*RBF_COM+Pipeline!$M7*RBF_INST</f>
        <v>132500</v>
      </c>
      <c r="R7" s="28" t="n">
        <f aca="false">Pipeline!$N7*GrantPct</f>
        <v>325000</v>
      </c>
      <c r="S7" s="28" t="n">
        <f aca="false">MAX(0,MIN($Q7+$R7,MaxSupportPct*Pipeline!$N7-Pipeline!$Q7,MaxPerProject,MaxProjShare*Envelope))</f>
        <v>382500</v>
      </c>
      <c r="T7" s="28" t="n">
        <f aca="false">IF($O7=1,IF(Pipeline!$V7&gt;0,MIN(Pipeline!$V7,$S7),$S7),0)</f>
        <v>382500</v>
      </c>
      <c r="U7" s="29" t="n">
        <f aca="false">IFERROR($Q7/($Q7+$R7),1)</f>
        <v>0.289617486338798</v>
      </c>
      <c r="V7" s="28" t="n">
        <f aca="false">IFERROR($T7/$C7,0)</f>
        <v>354.166666666667</v>
      </c>
      <c r="W7" s="31" t="n">
        <f aca="false">IFERROR((Pipeline!$O7+Pipeline!$P7)/$T7,0)</f>
        <v>1.43790849673203</v>
      </c>
      <c r="X7" s="32" t="n">
        <f aca="false">IFERROR(Pipeline!$T7/$T7*1000,0)</f>
        <v>18.3006535947712</v>
      </c>
      <c r="Y7" s="30" t="str">
        <f aca="false">IF($O7=0,"",IF(NOT(ISNUMBER(Pipeline!$U7)),"No viability-gap data",IF(Pipeline!$U7&lt;=0,"No viability-gap data",IF($T7&lt;=Pipeline!$U7*(1+VGFTol),"Within viability gap","Above viability gap"))))</f>
        <v>Within viability gap</v>
      </c>
      <c r="Z7" s="33" t="n">
        <f aca="false">IF($O7=1,IFERROR($AN7/MAX($AN$7:$AN$31)*100,0),0)</f>
        <v>63.0105017502917</v>
      </c>
      <c r="AA7" s="33" t="n">
        <f aca="false">IF($O7=1,IFERROR($AO7/MAX($AO$7:$AO$31)*100,0),0)</f>
        <v>55</v>
      </c>
      <c r="AB7" s="33" t="n">
        <f aca="false">IF($O7=1,IFERROR($AP7/MAX($AP$7:$AP$31)*100,0),0)</f>
        <v>34.7619047619048</v>
      </c>
      <c r="AC7" s="33" t="n">
        <f aca="false">IF($O7=1,IFERROR($AQ7/MAX($AQ$7:$AQ$31)*100,0),0)</f>
        <v>58.3333333333333</v>
      </c>
      <c r="AD7" s="33" t="n">
        <f aca="false">IF($O7=1,Pipeline!$F7/5*100,0)</f>
        <v>80</v>
      </c>
      <c r="AE7" s="33" t="n">
        <f aca="false">IF($O7=1,Pipeline!$G7/5*100,0)</f>
        <v>80</v>
      </c>
      <c r="AF7" s="33" t="n">
        <f aca="false">IF($O7=1,(6-Pipeline!$H7)/5*100,0)</f>
        <v>80</v>
      </c>
      <c r="AG7" s="33" t="n">
        <f aca="false">IF($O7=1,IF($Y7="Within viability gap",100,IF($Y7="Above viability gap",0,50)),0)</f>
        <v>100</v>
      </c>
      <c r="AH7" s="34" t="n">
        <f aca="false">$Z7*W_Cost+$AA7*W_Lev+$AB7*W_PU+$AC7*W_CO2+$AD7*W_Ready+$AE7*W_Track+$AF7*W_Risk+$AG7*W_Add</f>
        <v>65.050244485192</v>
      </c>
      <c r="AI7" s="35" t="n">
        <f aca="false">IF($O7=1,$AH7+(26-$A7)/1000000,-1)</f>
        <v>65.050269485192</v>
      </c>
      <c r="AJ7" s="21" t="n">
        <f aca="false">IF($O7=1,COUNTIF($AI$7:$AI$31,"&gt;"&amp;$AI7)+1,"")</f>
        <v>5</v>
      </c>
      <c r="AK7" s="36" t="n">
        <f aca="false">SUMIF(Allocation!$B$7:$B$31,1,Allocation!$I$7:$I$31)</f>
        <v>382500</v>
      </c>
      <c r="AL7" s="29" t="n">
        <f aca="false">IFERROR($AK7/$T7,0)</f>
        <v>1</v>
      </c>
      <c r="AM7" s="30" t="str">
        <f aca="false">IF($O7=0,"",IF($AL7&gt;=0.999,"Funded",IF($AK7&gt;0,"Partially funded","Not funded")))</f>
        <v>Funded</v>
      </c>
      <c r="AN7" s="37" t="n">
        <f aca="false">IF(AND($O7=1,$V7&gt;0),1/$V7,0)</f>
        <v>0.00282352941176471</v>
      </c>
      <c r="AO7" s="38" t="n">
        <f aca="false">IF($O7=1,$W7,0)</f>
        <v>1.43790849673203</v>
      </c>
      <c r="AP7" s="39" t="n">
        <f aca="false">IF($O7=1,$F7,0)</f>
        <v>0.0555555555555556</v>
      </c>
      <c r="AQ7" s="37" t="n">
        <f aca="false">IF(AND($O7=1,$T7&gt;0),Pipeline!$T7/$T7,0)</f>
        <v>0.0183006535947712</v>
      </c>
    </row>
    <row r="8" customFormat="false" ht="15" hidden="false" customHeight="false" outlineLevel="0" collapsed="false">
      <c r="A8" s="25" t="n">
        <f aca="false">2</f>
        <v>2</v>
      </c>
      <c r="B8" s="26" t="str">
        <f aca="false">IF(Pipeline!$B8&lt;&gt;"",Pipeline!$B8,"")</f>
        <v>Project B - River towns</v>
      </c>
      <c r="C8" s="27" t="n">
        <f aca="false">SUM(Pipeline!$J8:$M8)</f>
        <v>696</v>
      </c>
      <c r="D8" s="28" t="n">
        <f aca="false">IFERROR(Pipeline!$N8/$C8,0)</f>
        <v>1364.94252873563</v>
      </c>
      <c r="E8" s="29" t="n">
        <f aca="false">IFERROR((Pipeline!$O8+Pipeline!$P8)/Pipeline!$N8,0)</f>
        <v>0.368421052631579</v>
      </c>
      <c r="F8" s="29" t="n">
        <f aca="false">IFERROR(Pipeline!$K8/$C8,0)</f>
        <v>0.0431034482758621</v>
      </c>
      <c r="G8" s="25" t="n">
        <f aca="false">IF(NOT(Pipeline!$B8&lt;&gt;""),0,IF(E_MinConn_On=1,IF($C8&gt;=E_MinConn,1,0),1))</f>
        <v>1</v>
      </c>
      <c r="H8" s="25" t="n">
        <f aca="false">IF(NOT(Pipeline!$B8&lt;&gt;""),0,IF(E_MaxCapexConn_On=1,IF($D8&lt;=E_MaxCapexConn,1,0),1))</f>
        <v>1</v>
      </c>
      <c r="I8" s="25" t="n">
        <f aca="false">IF(NOT(Pipeline!$B8&lt;&gt;""),0,IF(E_MinRE_On=1,IF(Pipeline!$S8&gt;=E_MinRE,1,0),1))</f>
        <v>1</v>
      </c>
      <c r="J8" s="25" t="n">
        <f aca="false">IF(NOT(Pipeline!$B8&lt;&gt;""),0,IF(E_MinPrivate_On=1,IF($E8&gt;=E_MinPrivate,1,0),1))</f>
        <v>1</v>
      </c>
      <c r="K8" s="25" t="n">
        <f aca="false">IF(NOT(Pipeline!$B8&lt;&gt;""),0,IF(E_MinReady_On=1,IF(Pipeline!$F8&gt;=E_MinReady,1,0),1))</f>
        <v>1</v>
      </c>
      <c r="L8" s="25" t="n">
        <f aca="false">IF(NOT(Pipeline!$B8&lt;&gt;""),0,IF(E_MaxTariff_On=1,IF(Pipeline!$R8&lt;=E_MaxTariff,1,0),1))</f>
        <v>1</v>
      </c>
      <c r="M8" s="25" t="n">
        <f aca="false">IF(NOT(Pipeline!$B8&lt;&gt;""),0,IF(E_MinPU_On=1,IF($F8&gt;=E_MinPU,1,0),1))</f>
        <v>1</v>
      </c>
      <c r="N8" s="25" t="n">
        <f aca="false">IF(NOT(Pipeline!$B8&lt;&gt;""),0,IF(E_Country_On=1,IF(IFERROR(INDEX('Fund Parameters'!$B$51:$B$58,MATCH(Pipeline!$C8,'Fund Parameters'!$A$51:$A$58,0))="Y",FALSE()),1,0),1))</f>
        <v>1</v>
      </c>
      <c r="O8" s="21" t="n">
        <f aca="false">IF(AND(Pipeline!$B8&lt;&gt;"",$G8*$H8*$I8*$J8*$K8*$L8*$M8*$N8=1),1,0)</f>
        <v>1</v>
      </c>
      <c r="P8" s="30" t="str">
        <f aca="false">IF(NOT(Pipeline!$B8&lt;&gt;""),"",IF($O8=1,"Eligible",IF($G8=0,"Too few connections",IF($H8=0,"CAPEX per connection too high",IF($I8=0,"Renewable share too low",IF($J8=0,"Private co-finance too low",IF($K8=0,"Not ready enough",IF($L8=0,"Tariff above cap",IF($M8=0,"Productive use too low",IF($N8=0,"Country not eligible",""))))))))))</f>
        <v>Eligible</v>
      </c>
      <c r="Q8" s="28" t="n">
        <f aca="false">Pipeline!$J8*RBF_HH+Pipeline!$K8*RBF_PU+Pipeline!$L8*RBF_COM+Pipeline!$M8*RBF_INST</f>
        <v>82500</v>
      </c>
      <c r="R8" s="28" t="n">
        <f aca="false">Pipeline!$N8*GrantPct</f>
        <v>237500</v>
      </c>
      <c r="S8" s="28" t="n">
        <f aca="false">MAX(0,MIN($Q8+$R8,MaxSupportPct*Pipeline!$N8-Pipeline!$Q8,MaxPerProject,MaxProjShare*Envelope))</f>
        <v>320000</v>
      </c>
      <c r="T8" s="28" t="n">
        <f aca="false">IF($O8=1,IF(Pipeline!$V8&gt;0,MIN(Pipeline!$V8,$S8),$S8),0)</f>
        <v>320000</v>
      </c>
      <c r="U8" s="29" t="n">
        <f aca="false">IFERROR($Q8/($Q8+$R8),1)</f>
        <v>0.2578125</v>
      </c>
      <c r="V8" s="28" t="n">
        <f aca="false">IFERROR($T8/$C8,0)</f>
        <v>459.770114942529</v>
      </c>
      <c r="W8" s="31" t="n">
        <f aca="false">IFERROR((Pipeline!$O8+Pipeline!$P8)/$T8,0)</f>
        <v>1.09375</v>
      </c>
      <c r="X8" s="32" t="n">
        <f aca="false">IFERROR(Pipeline!$T8/$T8*1000,0)</f>
        <v>14.0625</v>
      </c>
      <c r="Y8" s="30" t="str">
        <f aca="false">IF($O8=0,"",IF(NOT(ISNUMBER(Pipeline!$U8)),"No viability-gap data",IF(Pipeline!$U8&lt;=0,"No viability-gap data",IF($T8&lt;=Pipeline!$U8*(1+VGFTol),"Within viability gap","Above viability gap"))))</f>
        <v>Within viability gap</v>
      </c>
      <c r="Z8" s="33" t="n">
        <f aca="false">IF($O8=1,IFERROR($AN8/MAX($AN$7:$AN$31)*100,0),0)</f>
        <v>48.5377771295216</v>
      </c>
      <c r="AA8" s="33" t="n">
        <f aca="false">IF($O8=1,IFERROR($AO8/MAX($AO$7:$AO$31)*100,0),0)</f>
        <v>41.8359375</v>
      </c>
      <c r="AB8" s="33" t="n">
        <f aca="false">IF($O8=1,IFERROR($AP8/MAX($AP$7:$AP$31)*100,0),0)</f>
        <v>26.9704433497537</v>
      </c>
      <c r="AC8" s="33" t="n">
        <f aca="false">IF($O8=1,IFERROR($AQ8/MAX($AQ$7:$AQ$31)*100,0),0)</f>
        <v>44.82421875</v>
      </c>
      <c r="AD8" s="33" t="n">
        <f aca="false">IF($O8=1,Pipeline!$F8/5*100,0)</f>
        <v>60</v>
      </c>
      <c r="AE8" s="33" t="n">
        <f aca="false">IF($O8=1,Pipeline!$G8/5*100,0)</f>
        <v>60</v>
      </c>
      <c r="AF8" s="33" t="n">
        <f aca="false">IF($O8=1,(6-Pipeline!$H8)/5*100,0)</f>
        <v>60</v>
      </c>
      <c r="AG8" s="33" t="n">
        <f aca="false">IF($O8=1,IF($Y8="Within viability gap",100,IF($Y8="Above viability gap",0,50)),0)</f>
        <v>100</v>
      </c>
      <c r="AH8" s="34" t="n">
        <f aca="false">$Z8*W_Cost+$AA8*W_Lev+$AB8*W_PU+$AC8*W_CO2+$AD8*W_Ready+$AE8*W_Track+$AF8*W_Risk+$AG8*W_Add</f>
        <v>51.9378232848435</v>
      </c>
      <c r="AI8" s="35" t="n">
        <f aca="false">IF($O8=1,$AH8+(26-$A8)/1000000,-1)</f>
        <v>51.9378472848435</v>
      </c>
      <c r="AJ8" s="21" t="n">
        <f aca="false">IF($O8=1,COUNTIF($AI$7:$AI$31,"&gt;"&amp;$AI8)+1,"")</f>
        <v>8</v>
      </c>
      <c r="AK8" s="36" t="n">
        <f aca="false">SUMIF(Allocation!$B$7:$B$31,2,Allocation!$I$7:$I$31)</f>
        <v>127500</v>
      </c>
      <c r="AL8" s="29" t="n">
        <f aca="false">IFERROR($AK8/$T8,0)</f>
        <v>0.3984375</v>
      </c>
      <c r="AM8" s="30" t="str">
        <f aca="false">IF($O8=0,"",IF($AL8&gt;=0.999,"Funded",IF($AK8&gt;0,"Partially funded","Not funded")))</f>
        <v>Partially funded</v>
      </c>
      <c r="AN8" s="37" t="n">
        <f aca="false">IF(AND($O8=1,$V8&gt;0),1/$V8,0)</f>
        <v>0.002175</v>
      </c>
      <c r="AO8" s="38" t="n">
        <f aca="false">IF($O8=1,$W8,0)</f>
        <v>1.09375</v>
      </c>
      <c r="AP8" s="39" t="n">
        <f aca="false">IF($O8=1,$F8,0)</f>
        <v>0.0431034482758621</v>
      </c>
      <c r="AQ8" s="37" t="n">
        <f aca="false">IF(AND($O8=1,$T8&gt;0),Pipeline!$T8/$T8,0)</f>
        <v>0.0140625</v>
      </c>
    </row>
    <row r="9" customFormat="false" ht="15" hidden="false" customHeight="false" outlineLevel="0" collapsed="false">
      <c r="A9" s="25" t="n">
        <f aca="false">3</f>
        <v>3</v>
      </c>
      <c r="B9" s="26" t="str">
        <f aca="false">IF(Pipeline!$B9&lt;&gt;"",Pipeline!$B9,"")</f>
        <v>Project C - Northern corridor</v>
      </c>
      <c r="C9" s="27" t="n">
        <f aca="false">SUM(Pipeline!$J9:$M9)</f>
        <v>1714</v>
      </c>
      <c r="D9" s="28" t="n">
        <f aca="false">IFERROR(Pipeline!$N9/$C9,0)</f>
        <v>1166.86114352392</v>
      </c>
      <c r="E9" s="29" t="n">
        <f aca="false">IFERROR((Pipeline!$O9+Pipeline!$P9)/Pipeline!$N9,0)</f>
        <v>0.5</v>
      </c>
      <c r="F9" s="29" t="n">
        <f aca="false">IFERROR(Pipeline!$K9/$C9,0)</f>
        <v>0.0700116686114352</v>
      </c>
      <c r="G9" s="25" t="n">
        <f aca="false">IF(NOT(Pipeline!$B9&lt;&gt;""),0,IF(E_MinConn_On=1,IF($C9&gt;=E_MinConn,1,0),1))</f>
        <v>1</v>
      </c>
      <c r="H9" s="25" t="n">
        <f aca="false">IF(NOT(Pipeline!$B9&lt;&gt;""),0,IF(E_MaxCapexConn_On=1,IF($D9&lt;=E_MaxCapexConn,1,0),1))</f>
        <v>1</v>
      </c>
      <c r="I9" s="25" t="n">
        <f aca="false">IF(NOT(Pipeline!$B9&lt;&gt;""),0,IF(E_MinRE_On=1,IF(Pipeline!$S9&gt;=E_MinRE,1,0),1))</f>
        <v>1</v>
      </c>
      <c r="J9" s="25" t="n">
        <f aca="false">IF(NOT(Pipeline!$B9&lt;&gt;""),0,IF(E_MinPrivate_On=1,IF($E9&gt;=E_MinPrivate,1,0),1))</f>
        <v>1</v>
      </c>
      <c r="K9" s="25" t="n">
        <f aca="false">IF(NOT(Pipeline!$B9&lt;&gt;""),0,IF(E_MinReady_On=1,IF(Pipeline!$F9&gt;=E_MinReady,1,0),1))</f>
        <v>1</v>
      </c>
      <c r="L9" s="25" t="n">
        <f aca="false">IF(NOT(Pipeline!$B9&lt;&gt;""),0,IF(E_MaxTariff_On=1,IF(Pipeline!$R9&lt;=E_MaxTariff,1,0),1))</f>
        <v>1</v>
      </c>
      <c r="M9" s="25" t="n">
        <f aca="false">IF(NOT(Pipeline!$B9&lt;&gt;""),0,IF(E_MinPU_On=1,IF($F9&gt;=E_MinPU,1,0),1))</f>
        <v>1</v>
      </c>
      <c r="N9" s="25" t="n">
        <f aca="false">IF(NOT(Pipeline!$B9&lt;&gt;""),0,IF(E_Country_On=1,IF(IFERROR(INDEX('Fund Parameters'!$B$51:$B$58,MATCH(Pipeline!$C9,'Fund Parameters'!$A$51:$A$58,0))="Y",FALSE()),1,0),1))</f>
        <v>1</v>
      </c>
      <c r="O9" s="21" t="n">
        <f aca="false">IF(AND(Pipeline!$B9&lt;&gt;"",$G9*$H9*$I9*$J9*$K9*$L9*$M9*$N9=1),1,0)</f>
        <v>1</v>
      </c>
      <c r="P9" s="30" t="str">
        <f aca="false">IF(NOT(Pipeline!$B9&lt;&gt;""),"",IF($O9=1,"Eligible",IF($G9=0,"Too few connections",IF($H9=0,"CAPEX per connection too high",IF($I9=0,"Renewable share too low",IF($J9=0,"Private co-finance too low",IF($K9=0,"Not ready enough",IF($L9=0,"Tariff above cap",IF($M9=0,"Productive use too low",IF($N9=0,"Country not eligible",""))))))))))</f>
        <v>Eligible</v>
      </c>
      <c r="Q9" s="28" t="n">
        <f aca="false">Pipeline!$J9*RBF_HH+Pipeline!$K9*RBF_PU+Pipeline!$L9*RBF_COM+Pipeline!$M9*RBF_INST</f>
        <v>215500</v>
      </c>
      <c r="R9" s="28" t="n">
        <f aca="false">Pipeline!$N9*GrantPct</f>
        <v>500000</v>
      </c>
      <c r="S9" s="28" t="n">
        <f aca="false">MAX(0,MIN($Q9+$R9,MaxSupportPct*Pipeline!$N9-Pipeline!$Q9,MaxPerProject,MaxProjShare*Envelope))</f>
        <v>382500</v>
      </c>
      <c r="T9" s="28" t="n">
        <f aca="false">IF($O9=1,IF(Pipeline!$V9&gt;0,MIN(Pipeline!$V9,$S9),$S9),0)</f>
        <v>382500</v>
      </c>
      <c r="U9" s="29" t="n">
        <f aca="false">IFERROR($Q9/($Q9+$R9),1)</f>
        <v>0.301187980433263</v>
      </c>
      <c r="V9" s="28" t="n">
        <f aca="false">IFERROR($T9/$C9,0)</f>
        <v>223.16219369895</v>
      </c>
      <c r="W9" s="31" t="n">
        <f aca="false">IFERROR((Pipeline!$O9+Pipeline!$P9)/$T9,0)</f>
        <v>2.61437908496732</v>
      </c>
      <c r="X9" s="32" t="n">
        <f aca="false">IFERROR(Pipeline!$T9/$T9*1000,0)</f>
        <v>31.3725490196078</v>
      </c>
      <c r="Y9" s="30" t="str">
        <f aca="false">IF($O9=0,"",IF(NOT(ISNUMBER(Pipeline!$U9)),"No viability-gap data",IF(Pipeline!$U9&lt;=0,"No viability-gap data",IF($T9&lt;=Pipeline!$U9*(1+VGFTol),"Within viability gap","Above viability gap"))))</f>
        <v>Within viability gap</v>
      </c>
      <c r="Z9" s="33" t="n">
        <f aca="false">IF($O9=1,IFERROR($AN9/MAX($AN$7:$AN$31)*100,0),0)</f>
        <v>100</v>
      </c>
      <c r="AA9" s="33" t="n">
        <f aca="false">IF($O9=1,IFERROR($AO9/MAX($AO$7:$AO$31)*100,0),0)</f>
        <v>100</v>
      </c>
      <c r="AB9" s="33" t="n">
        <f aca="false">IF($O9=1,IFERROR($AP9/MAX($AP$7:$AP$31)*100,0),0)</f>
        <v>43.8073012168695</v>
      </c>
      <c r="AC9" s="33" t="n">
        <f aca="false">IF($O9=1,IFERROR($AQ9/MAX($AQ$7:$AQ$31)*100,0),0)</f>
        <v>100</v>
      </c>
      <c r="AD9" s="33" t="n">
        <f aca="false">IF($O9=1,Pipeline!$F9/5*100,0)</f>
        <v>100</v>
      </c>
      <c r="AE9" s="33" t="n">
        <f aca="false">IF($O9=1,Pipeline!$G9/5*100,0)</f>
        <v>100</v>
      </c>
      <c r="AF9" s="33" t="n">
        <f aca="false">IF($O9=1,(6-Pipeline!$H9)/5*100,0)</f>
        <v>100</v>
      </c>
      <c r="AG9" s="33" t="n">
        <f aca="false">IF($O9=1,IF($Y9="Within viability gap",100,IF($Y9="Above viability gap",0,50)),0)</f>
        <v>100</v>
      </c>
      <c r="AH9" s="34" t="n">
        <f aca="false">$Z9*W_Cost+$AA9*W_Lev+$AB9*W_PU+$AC9*W_CO2+$AD9*W_Ready+$AE9*W_Track+$AF9*W_Risk+$AG9*W_Add</f>
        <v>91.5710951825304</v>
      </c>
      <c r="AI9" s="35" t="n">
        <f aca="false">IF($O9=1,$AH9+(26-$A9)/1000000,-1)</f>
        <v>91.5711181825304</v>
      </c>
      <c r="AJ9" s="21" t="n">
        <f aca="false">IF($O9=1,COUNTIF($AI$7:$AI$31,"&gt;"&amp;$AI9)+1,"")</f>
        <v>1</v>
      </c>
      <c r="AK9" s="36" t="n">
        <f aca="false">SUMIF(Allocation!$B$7:$B$31,3,Allocation!$I$7:$I$31)</f>
        <v>382500</v>
      </c>
      <c r="AL9" s="29" t="n">
        <f aca="false">IFERROR($AK9/$T9,0)</f>
        <v>1</v>
      </c>
      <c r="AM9" s="30" t="str">
        <f aca="false">IF($O9=0,"",IF($AL9&gt;=0.999,"Funded",IF($AK9&gt;0,"Partially funded","Not funded")))</f>
        <v>Funded</v>
      </c>
      <c r="AN9" s="37" t="n">
        <f aca="false">IF(AND($O9=1,$V9&gt;0),1/$V9,0)</f>
        <v>0.00448104575163399</v>
      </c>
      <c r="AO9" s="38" t="n">
        <f aca="false">IF($O9=1,$W9,0)</f>
        <v>2.61437908496732</v>
      </c>
      <c r="AP9" s="39" t="n">
        <f aca="false">IF($O9=1,$F9,0)</f>
        <v>0.0700116686114352</v>
      </c>
      <c r="AQ9" s="37" t="n">
        <f aca="false">IF(AND($O9=1,$T9&gt;0),Pipeline!$T9/$T9,0)</f>
        <v>0.0313725490196078</v>
      </c>
    </row>
    <row r="10" customFormat="false" ht="15" hidden="false" customHeight="false" outlineLevel="0" collapsed="false">
      <c r="A10" s="25" t="n">
        <f aca="false">4</f>
        <v>4</v>
      </c>
      <c r="B10" s="26" t="str">
        <f aca="false">IF(Pipeline!$B10&lt;&gt;"",Pipeline!$B10,"")</f>
        <v>Project D - Island grids</v>
      </c>
      <c r="C10" s="27" t="n">
        <f aca="false">SUM(Pipeline!$J10:$M10)</f>
        <v>595</v>
      </c>
      <c r="D10" s="28" t="n">
        <f aca="false">IFERROR(Pipeline!$N10/$C10,0)</f>
        <v>1512.60504201681</v>
      </c>
      <c r="E10" s="29" t="n">
        <f aca="false">IFERROR((Pipeline!$O10+Pipeline!$P10)/Pipeline!$N10,0)</f>
        <v>0.277777777777778</v>
      </c>
      <c r="F10" s="29" t="n">
        <f aca="false">IFERROR(Pipeline!$K10/$C10,0)</f>
        <v>0.0672268907563025</v>
      </c>
      <c r="G10" s="25" t="n">
        <f aca="false">IF(NOT(Pipeline!$B10&lt;&gt;""),0,IF(E_MinConn_On=1,IF($C10&gt;=E_MinConn,1,0),1))</f>
        <v>1</v>
      </c>
      <c r="H10" s="25" t="n">
        <f aca="false">IF(NOT(Pipeline!$B10&lt;&gt;""),0,IF(E_MaxCapexConn_On=1,IF($D10&lt;=E_MaxCapexConn,1,0),1))</f>
        <v>1</v>
      </c>
      <c r="I10" s="25" t="n">
        <f aca="false">IF(NOT(Pipeline!$B10&lt;&gt;""),0,IF(E_MinRE_On=1,IF(Pipeline!$S10&gt;=E_MinRE,1,0),1))</f>
        <v>1</v>
      </c>
      <c r="J10" s="25" t="n">
        <f aca="false">IF(NOT(Pipeline!$B10&lt;&gt;""),0,IF(E_MinPrivate_On=1,IF($E10&gt;=E_MinPrivate,1,0),1))</f>
        <v>1</v>
      </c>
      <c r="K10" s="25" t="n">
        <f aca="false">IF(NOT(Pipeline!$B10&lt;&gt;""),0,IF(E_MinReady_On=1,IF(Pipeline!$F10&gt;=E_MinReady,1,0),1))</f>
        <v>0</v>
      </c>
      <c r="L10" s="25" t="n">
        <f aca="false">IF(NOT(Pipeline!$B10&lt;&gt;""),0,IF(E_MaxTariff_On=1,IF(Pipeline!$R10&lt;=E_MaxTariff,1,0),1))</f>
        <v>1</v>
      </c>
      <c r="M10" s="25" t="n">
        <f aca="false">IF(NOT(Pipeline!$B10&lt;&gt;""),0,IF(E_MinPU_On=1,IF($F10&gt;=E_MinPU,1,0),1))</f>
        <v>1</v>
      </c>
      <c r="N10" s="25" t="n">
        <f aca="false">IF(NOT(Pipeline!$B10&lt;&gt;""),0,IF(E_Country_On=1,IF(IFERROR(INDEX('Fund Parameters'!$B$51:$B$58,MATCH(Pipeline!$C10,'Fund Parameters'!$A$51:$A$58,0))="Y",FALSE()),1,0),1))</f>
        <v>1</v>
      </c>
      <c r="O10" s="21" t="n">
        <f aca="false">IF(AND(Pipeline!$B10&lt;&gt;"",$G10*$H10*$I10*$J10*$K10*$L10*$M10*$N10=1),1,0)</f>
        <v>0</v>
      </c>
      <c r="P10" s="30" t="str">
        <f aca="false">IF(NOT(Pipeline!$B10&lt;&gt;""),"",IF($O10=1,"Eligible",IF($G10=0,"Too few connections",IF($H10=0,"CAPEX per connection too high",IF($I10=0,"Renewable share too low",IF($J10=0,"Private co-finance too low",IF($K10=0,"Not ready enough",IF($L10=0,"Tariff above cap",IF($M10=0,"Productive use too low",IF($N10=0,"Country not eligible",""))))))))))</f>
        <v>Not ready enough</v>
      </c>
      <c r="Q10" s="28" t="n">
        <f aca="false">Pipeline!$J10*RBF_HH+Pipeline!$K10*RBF_PU+Pipeline!$L10*RBF_COM+Pipeline!$M10*RBF_INST</f>
        <v>73250</v>
      </c>
      <c r="R10" s="28" t="n">
        <f aca="false">Pipeline!$N10*GrantPct</f>
        <v>225000</v>
      </c>
      <c r="S10" s="28" t="n">
        <f aca="false">MAX(0,MIN($Q10+$R10,MaxSupportPct*Pipeline!$N10-Pipeline!$Q10,MaxPerProject,MaxProjShare*Envelope))</f>
        <v>298250</v>
      </c>
      <c r="T10" s="28" t="n">
        <f aca="false">IF($O10=1,IF(Pipeline!$V10&gt;0,MIN(Pipeline!$V10,$S10),$S10),0)</f>
        <v>0</v>
      </c>
      <c r="U10" s="29" t="n">
        <f aca="false">IFERROR($Q10/($Q10+$R10),1)</f>
        <v>0.245599329421626</v>
      </c>
      <c r="V10" s="28" t="n">
        <f aca="false">IFERROR($T10/$C10,0)</f>
        <v>0</v>
      </c>
      <c r="W10" s="31" t="n">
        <f aca="false">IFERROR((Pipeline!$O10+Pipeline!$P10)/$T10,0)</f>
        <v>0</v>
      </c>
      <c r="X10" s="32" t="n">
        <f aca="false">IFERROR(Pipeline!$T10/$T10*1000,0)</f>
        <v>0</v>
      </c>
      <c r="Y10" s="30" t="str">
        <f aca="false">IF($O10=0,"",IF(NOT(ISNUMBER(Pipeline!$U10)),"No viability-gap data",IF(Pipeline!$U10&lt;=0,"No viability-gap data",IF($T10&lt;=Pipeline!$U10*(1+VGFTol),"Within viability gap","Above viability gap"))))</f>
        <v/>
      </c>
      <c r="Z10" s="33" t="n">
        <f aca="false">IF($O10=1,IFERROR($AN10/MAX($AN$7:$AN$31)*100,0),0)</f>
        <v>0</v>
      </c>
      <c r="AA10" s="33" t="n">
        <f aca="false">IF($O10=1,IFERROR($AO10/MAX($AO$7:$AO$31)*100,0),0)</f>
        <v>0</v>
      </c>
      <c r="AB10" s="33" t="n">
        <f aca="false">IF($O10=1,IFERROR($AP10/MAX($AP$7:$AP$31)*100,0),0)</f>
        <v>0</v>
      </c>
      <c r="AC10" s="33" t="n">
        <f aca="false">IF($O10=1,IFERROR($AQ10/MAX($AQ$7:$AQ$31)*100,0),0)</f>
        <v>0</v>
      </c>
      <c r="AD10" s="33" t="n">
        <f aca="false">IF($O10=1,Pipeline!$F10/5*100,0)</f>
        <v>0</v>
      </c>
      <c r="AE10" s="33" t="n">
        <f aca="false">IF($O10=1,Pipeline!$G10/5*100,0)</f>
        <v>0</v>
      </c>
      <c r="AF10" s="33" t="n">
        <f aca="false">IF($O10=1,(6-Pipeline!$H10)/5*100,0)</f>
        <v>0</v>
      </c>
      <c r="AG10" s="33" t="n">
        <f aca="false">IF($O10=1,IF($Y10="Within viability gap",100,IF($Y10="Above viability gap",0,50)),0)</f>
        <v>0</v>
      </c>
      <c r="AH10" s="34" t="n">
        <f aca="false">$Z10*W_Cost+$AA10*W_Lev+$AB10*W_PU+$AC10*W_CO2+$AD10*W_Ready+$AE10*W_Track+$AF10*W_Risk+$AG10*W_Add</f>
        <v>0</v>
      </c>
      <c r="AI10" s="35" t="n">
        <f aca="false">IF($O10=1,$AH10+(26-$A10)/1000000,-1)</f>
        <v>-1</v>
      </c>
      <c r="AJ10" s="21" t="str">
        <f aca="false">IF($O10=1,COUNTIF($AI$7:$AI$31,"&gt;"&amp;$AI10)+1,"")</f>
        <v/>
      </c>
      <c r="AK10" s="36" t="n">
        <f aca="false">SUMIF(Allocation!$B$7:$B$31,4,Allocation!$I$7:$I$31)</f>
        <v>0</v>
      </c>
      <c r="AL10" s="29" t="n">
        <f aca="false">IFERROR($AK10/$T10,0)</f>
        <v>0</v>
      </c>
      <c r="AM10" s="30" t="str">
        <f aca="false">IF($O10=0,"",IF($AL10&gt;=0.999,"Funded",IF($AK10&gt;0,"Partially funded","Not funded")))</f>
        <v/>
      </c>
      <c r="AN10" s="37" t="n">
        <f aca="false">IF(AND($O10=1,$V10&gt;0),1/$V10,0)</f>
        <v>0</v>
      </c>
      <c r="AO10" s="38" t="n">
        <f aca="false">IF($O10=1,$W10,0)</f>
        <v>0</v>
      </c>
      <c r="AP10" s="39" t="n">
        <f aca="false">IF($O10=1,$F10,0)</f>
        <v>0</v>
      </c>
      <c r="AQ10" s="37" t="n">
        <f aca="false">IF(AND($O10=1,$T10&gt;0),Pipeline!$T10/$T10,0)</f>
        <v>0</v>
      </c>
    </row>
    <row r="11" customFormat="false" ht="15" hidden="false" customHeight="false" outlineLevel="0" collapsed="false">
      <c r="A11" s="25" t="n">
        <f aca="false">5</f>
        <v>5</v>
      </c>
      <c r="B11" s="26" t="str">
        <f aca="false">IF(Pipeline!$B11&lt;&gt;"",Pipeline!$B11,"")</f>
        <v>Project E - Highland villages</v>
      </c>
      <c r="C11" s="27" t="n">
        <f aca="false">SUM(Pipeline!$J11:$M11)</f>
        <v>828</v>
      </c>
      <c r="D11" s="28" t="n">
        <f aca="false">IFERROR(Pipeline!$N11/$C11,0)</f>
        <v>1268.11594202899</v>
      </c>
      <c r="E11" s="29" t="n">
        <f aca="false">IFERROR((Pipeline!$O11+Pipeline!$P11)/Pipeline!$N11,0)</f>
        <v>0.380952380952381</v>
      </c>
      <c r="F11" s="29" t="n">
        <f aca="false">IFERROR(Pipeline!$K11/$C11,0)</f>
        <v>0.0603864734299517</v>
      </c>
      <c r="G11" s="25" t="n">
        <f aca="false">IF(NOT(Pipeline!$B11&lt;&gt;""),0,IF(E_MinConn_On=1,IF($C11&gt;=E_MinConn,1,0),1))</f>
        <v>1</v>
      </c>
      <c r="H11" s="25" t="n">
        <f aca="false">IF(NOT(Pipeline!$B11&lt;&gt;""),0,IF(E_MaxCapexConn_On=1,IF($D11&lt;=E_MaxCapexConn,1,0),1))</f>
        <v>1</v>
      </c>
      <c r="I11" s="25" t="n">
        <f aca="false">IF(NOT(Pipeline!$B11&lt;&gt;""),0,IF(E_MinRE_On=1,IF(Pipeline!$S11&gt;=E_MinRE,1,0),1))</f>
        <v>1</v>
      </c>
      <c r="J11" s="25" t="n">
        <f aca="false">IF(NOT(Pipeline!$B11&lt;&gt;""),0,IF(E_MinPrivate_On=1,IF($E11&gt;=E_MinPrivate,1,0),1))</f>
        <v>1</v>
      </c>
      <c r="K11" s="25" t="n">
        <f aca="false">IF(NOT(Pipeline!$B11&lt;&gt;""),0,IF(E_MinReady_On=1,IF(Pipeline!$F11&gt;=E_MinReady,1,0),1))</f>
        <v>1</v>
      </c>
      <c r="L11" s="25" t="n">
        <f aca="false">IF(NOT(Pipeline!$B11&lt;&gt;""),0,IF(E_MaxTariff_On=1,IF(Pipeline!$R11&lt;=E_MaxTariff,1,0),1))</f>
        <v>1</v>
      </c>
      <c r="M11" s="25" t="n">
        <f aca="false">IF(NOT(Pipeline!$B11&lt;&gt;""),0,IF(E_MinPU_On=1,IF($F11&gt;=E_MinPU,1,0),1))</f>
        <v>1</v>
      </c>
      <c r="N11" s="25" t="n">
        <f aca="false">IF(NOT(Pipeline!$B11&lt;&gt;""),0,IF(E_Country_On=1,IF(IFERROR(INDEX('Fund Parameters'!$B$51:$B$58,MATCH(Pipeline!$C11,'Fund Parameters'!$A$51:$A$58,0))="Y",FALSE()),1,0),1))</f>
        <v>0</v>
      </c>
      <c r="O11" s="21" t="n">
        <f aca="false">IF(AND(Pipeline!$B11&lt;&gt;"",$G11*$H11*$I11*$J11*$K11*$L11*$M11*$N11=1),1,0)</f>
        <v>0</v>
      </c>
      <c r="P11" s="30" t="str">
        <f aca="false">IF(NOT(Pipeline!$B11&lt;&gt;""),"",IF($O11=1,"Eligible",IF($G11=0,"Too few connections",IF($H11=0,"CAPEX per connection too high",IF($I11=0,"Renewable share too low",IF($J11=0,"Private co-finance too low",IF($K11=0,"Not ready enough",IF($L11=0,"Tariff above cap",IF($M11=0,"Productive use too low",IF($N11=0,"Country not eligible",""))))))))))</f>
        <v>Country not eligible</v>
      </c>
      <c r="Q11" s="28" t="n">
        <f aca="false">Pipeline!$J11*RBF_HH+Pipeline!$K11*RBF_PU+Pipeline!$L11*RBF_COM+Pipeline!$M11*RBF_INST</f>
        <v>101000</v>
      </c>
      <c r="R11" s="28" t="n">
        <f aca="false">Pipeline!$N11*GrantPct</f>
        <v>262500</v>
      </c>
      <c r="S11" s="28" t="n">
        <f aca="false">MAX(0,MIN($Q11+$R11,MaxSupportPct*Pipeline!$N11-Pipeline!$Q11,MaxPerProject,MaxProjShare*Envelope))</f>
        <v>363500</v>
      </c>
      <c r="T11" s="28" t="n">
        <f aca="false">IF($O11=1,IF(Pipeline!$V11&gt;0,MIN(Pipeline!$V11,$S11),$S11),0)</f>
        <v>0</v>
      </c>
      <c r="U11" s="29" t="n">
        <f aca="false">IFERROR($Q11/($Q11+$R11),1)</f>
        <v>0.277854195323246</v>
      </c>
      <c r="V11" s="28" t="n">
        <f aca="false">IFERROR($T11/$C11,0)</f>
        <v>0</v>
      </c>
      <c r="W11" s="31" t="n">
        <f aca="false">IFERROR((Pipeline!$O11+Pipeline!$P11)/$T11,0)</f>
        <v>0</v>
      </c>
      <c r="X11" s="32" t="n">
        <f aca="false">IFERROR(Pipeline!$T11/$T11*1000,0)</f>
        <v>0</v>
      </c>
      <c r="Y11" s="30" t="str">
        <f aca="false">IF($O11=0,"",IF(NOT(ISNUMBER(Pipeline!$U11)),"No viability-gap data",IF(Pipeline!$U11&lt;=0,"No viability-gap data",IF($T11&lt;=Pipeline!$U11*(1+VGFTol),"Within viability gap","Above viability gap"))))</f>
        <v/>
      </c>
      <c r="Z11" s="33" t="n">
        <f aca="false">IF($O11=1,IFERROR($AN11/MAX($AN$7:$AN$31)*100,0),0)</f>
        <v>0</v>
      </c>
      <c r="AA11" s="33" t="n">
        <f aca="false">IF($O11=1,IFERROR($AO11/MAX($AO$7:$AO$31)*100,0),0)</f>
        <v>0</v>
      </c>
      <c r="AB11" s="33" t="n">
        <f aca="false">IF($O11=1,IFERROR($AP11/MAX($AP$7:$AP$31)*100,0),0)</f>
        <v>0</v>
      </c>
      <c r="AC11" s="33" t="n">
        <f aca="false">IF($O11=1,IFERROR($AQ11/MAX($AQ$7:$AQ$31)*100,0),0)</f>
        <v>0</v>
      </c>
      <c r="AD11" s="33" t="n">
        <f aca="false">IF($O11=1,Pipeline!$F11/5*100,0)</f>
        <v>0</v>
      </c>
      <c r="AE11" s="33" t="n">
        <f aca="false">IF($O11=1,Pipeline!$G11/5*100,0)</f>
        <v>0</v>
      </c>
      <c r="AF11" s="33" t="n">
        <f aca="false">IF($O11=1,(6-Pipeline!$H11)/5*100,0)</f>
        <v>0</v>
      </c>
      <c r="AG11" s="33" t="n">
        <f aca="false">IF($O11=1,IF($Y11="Within viability gap",100,IF($Y11="Above viability gap",0,50)),0)</f>
        <v>0</v>
      </c>
      <c r="AH11" s="34" t="n">
        <f aca="false">$Z11*W_Cost+$AA11*W_Lev+$AB11*W_PU+$AC11*W_CO2+$AD11*W_Ready+$AE11*W_Track+$AF11*W_Risk+$AG11*W_Add</f>
        <v>0</v>
      </c>
      <c r="AI11" s="35" t="n">
        <f aca="false">IF($O11=1,$AH11+(26-$A11)/1000000,-1)</f>
        <v>-1</v>
      </c>
      <c r="AJ11" s="21" t="str">
        <f aca="false">IF($O11=1,COUNTIF($AI$7:$AI$31,"&gt;"&amp;$AI11)+1,"")</f>
        <v/>
      </c>
      <c r="AK11" s="36" t="n">
        <f aca="false">SUMIF(Allocation!$B$7:$B$31,5,Allocation!$I$7:$I$31)</f>
        <v>0</v>
      </c>
      <c r="AL11" s="29" t="n">
        <f aca="false">IFERROR($AK11/$T11,0)</f>
        <v>0</v>
      </c>
      <c r="AM11" s="30" t="str">
        <f aca="false">IF($O11=0,"",IF($AL11&gt;=0.999,"Funded",IF($AK11&gt;0,"Partially funded","Not funded")))</f>
        <v/>
      </c>
      <c r="AN11" s="37" t="n">
        <f aca="false">IF(AND($O11=1,$V11&gt;0),1/$V11,0)</f>
        <v>0</v>
      </c>
      <c r="AO11" s="38" t="n">
        <f aca="false">IF($O11=1,$W11,0)</f>
        <v>0</v>
      </c>
      <c r="AP11" s="39" t="n">
        <f aca="false">IF($O11=1,$F11,0)</f>
        <v>0</v>
      </c>
      <c r="AQ11" s="37" t="n">
        <f aca="false">IF(AND($O11=1,$T11&gt;0),Pipeline!$T11/$T11,0)</f>
        <v>0</v>
      </c>
    </row>
    <row r="12" customFormat="false" ht="15" hidden="false" customHeight="false" outlineLevel="0" collapsed="false">
      <c r="A12" s="25" t="n">
        <f aca="false">6</f>
        <v>6</v>
      </c>
      <c r="B12" s="26" t="str">
        <f aca="false">IF(Pipeline!$B12&lt;&gt;"",Pipeline!$B12,"")</f>
        <v>Project F - Market towns</v>
      </c>
      <c r="C12" s="27" t="n">
        <f aca="false">SUM(Pipeline!$J12:$M12)</f>
        <v>988</v>
      </c>
      <c r="D12" s="28" t="n">
        <f aca="false">IFERROR(Pipeline!$N12/$C12,0)</f>
        <v>1113.36032388664</v>
      </c>
      <c r="E12" s="29" t="n">
        <f aca="false">IFERROR((Pipeline!$O12+Pipeline!$P12)/Pipeline!$N12,0)</f>
        <v>0.409090909090909</v>
      </c>
      <c r="F12" s="29" t="n">
        <f aca="false">IFERROR(Pipeline!$K12/$C12,0)</f>
        <v>0.0607287449392713</v>
      </c>
      <c r="G12" s="25" t="n">
        <f aca="false">IF(NOT(Pipeline!$B12&lt;&gt;""),0,IF(E_MinConn_On=1,IF($C12&gt;=E_MinConn,1,0),1))</f>
        <v>1</v>
      </c>
      <c r="H12" s="25" t="n">
        <f aca="false">IF(NOT(Pipeline!$B12&lt;&gt;""),0,IF(E_MaxCapexConn_On=1,IF($D12&lt;=E_MaxCapexConn,1,0),1))</f>
        <v>1</v>
      </c>
      <c r="I12" s="25" t="n">
        <f aca="false">IF(NOT(Pipeline!$B12&lt;&gt;""),0,IF(E_MinRE_On=1,IF(Pipeline!$S12&gt;=E_MinRE,1,0),1))</f>
        <v>0</v>
      </c>
      <c r="J12" s="25" t="n">
        <f aca="false">IF(NOT(Pipeline!$B12&lt;&gt;""),0,IF(E_MinPrivate_On=1,IF($E12&gt;=E_MinPrivate,1,0),1))</f>
        <v>1</v>
      </c>
      <c r="K12" s="25" t="n">
        <f aca="false">IF(NOT(Pipeline!$B12&lt;&gt;""),0,IF(E_MinReady_On=1,IF(Pipeline!$F12&gt;=E_MinReady,1,0),1))</f>
        <v>1</v>
      </c>
      <c r="L12" s="25" t="n">
        <f aca="false">IF(NOT(Pipeline!$B12&lt;&gt;""),0,IF(E_MaxTariff_On=1,IF(Pipeline!$R12&lt;=E_MaxTariff,1,0),1))</f>
        <v>1</v>
      </c>
      <c r="M12" s="25" t="n">
        <f aca="false">IF(NOT(Pipeline!$B12&lt;&gt;""),0,IF(E_MinPU_On=1,IF($F12&gt;=E_MinPU,1,0),1))</f>
        <v>1</v>
      </c>
      <c r="N12" s="25" t="n">
        <f aca="false">IF(NOT(Pipeline!$B12&lt;&gt;""),0,IF(E_Country_On=1,IF(IFERROR(INDEX('Fund Parameters'!$B$51:$B$58,MATCH(Pipeline!$C12,'Fund Parameters'!$A$51:$A$58,0))="Y",FALSE()),1,0),1))</f>
        <v>1</v>
      </c>
      <c r="O12" s="21" t="n">
        <f aca="false">IF(AND(Pipeline!$B12&lt;&gt;"",$G12*$H12*$I12*$J12*$K12*$L12*$M12*$N12=1),1,0)</f>
        <v>0</v>
      </c>
      <c r="P12" s="30" t="str">
        <f aca="false">IF(NOT(Pipeline!$B12&lt;&gt;""),"",IF($O12=1,"Eligible",IF($G12=0,"Too few connections",IF($H12=0,"CAPEX per connection too high",IF($I12=0,"Renewable share too low",IF($J12=0,"Private co-finance too low",IF($K12=0,"Not ready enough",IF($L12=0,"Tariff above cap",IF($M12=0,"Productive use too low",IF($N12=0,"Country not eligible",""))))))))))</f>
        <v>Renewable share too low</v>
      </c>
      <c r="Q12" s="28" t="n">
        <f aca="false">Pipeline!$J12*RBF_HH+Pipeline!$K12*RBF_PU+Pipeline!$L12*RBF_COM+Pipeline!$M12*RBF_INST</f>
        <v>124000</v>
      </c>
      <c r="R12" s="28" t="n">
        <f aca="false">Pipeline!$N12*GrantPct</f>
        <v>275000</v>
      </c>
      <c r="S12" s="28" t="n">
        <f aca="false">MAX(0,MIN($Q12+$R12,MaxSupportPct*Pipeline!$N12-Pipeline!$Q12,MaxPerProject,MaxProjShare*Envelope))</f>
        <v>382500</v>
      </c>
      <c r="T12" s="28" t="n">
        <f aca="false">IF($O12=1,IF(Pipeline!$V12&gt;0,MIN(Pipeline!$V12,$S12),$S12),0)</f>
        <v>0</v>
      </c>
      <c r="U12" s="29" t="n">
        <f aca="false">IFERROR($Q12/($Q12+$R12),1)</f>
        <v>0.31077694235589</v>
      </c>
      <c r="V12" s="28" t="n">
        <f aca="false">IFERROR($T12/$C12,0)</f>
        <v>0</v>
      </c>
      <c r="W12" s="31" t="n">
        <f aca="false">IFERROR((Pipeline!$O12+Pipeline!$P12)/$T12,0)</f>
        <v>0</v>
      </c>
      <c r="X12" s="32" t="n">
        <f aca="false">IFERROR(Pipeline!$T12/$T12*1000,0)</f>
        <v>0</v>
      </c>
      <c r="Y12" s="30" t="str">
        <f aca="false">IF($O12=0,"",IF(NOT(ISNUMBER(Pipeline!$U12)),"No viability-gap data",IF(Pipeline!$U12&lt;=0,"No viability-gap data",IF($T12&lt;=Pipeline!$U12*(1+VGFTol),"Within viability gap","Above viability gap"))))</f>
        <v/>
      </c>
      <c r="Z12" s="33" t="n">
        <f aca="false">IF($O12=1,IFERROR($AN12/MAX($AN$7:$AN$31)*100,0),0)</f>
        <v>0</v>
      </c>
      <c r="AA12" s="33" t="n">
        <f aca="false">IF($O12=1,IFERROR($AO12/MAX($AO$7:$AO$31)*100,0),0)</f>
        <v>0</v>
      </c>
      <c r="AB12" s="33" t="n">
        <f aca="false">IF($O12=1,IFERROR($AP12/MAX($AP$7:$AP$31)*100,0),0)</f>
        <v>0</v>
      </c>
      <c r="AC12" s="33" t="n">
        <f aca="false">IF($O12=1,IFERROR($AQ12/MAX($AQ$7:$AQ$31)*100,0),0)</f>
        <v>0</v>
      </c>
      <c r="AD12" s="33" t="n">
        <f aca="false">IF($O12=1,Pipeline!$F12/5*100,0)</f>
        <v>0</v>
      </c>
      <c r="AE12" s="33" t="n">
        <f aca="false">IF($O12=1,Pipeline!$G12/5*100,0)</f>
        <v>0</v>
      </c>
      <c r="AF12" s="33" t="n">
        <f aca="false">IF($O12=1,(6-Pipeline!$H12)/5*100,0)</f>
        <v>0</v>
      </c>
      <c r="AG12" s="33" t="n">
        <f aca="false">IF($O12=1,IF($Y12="Within viability gap",100,IF($Y12="Above viability gap",0,50)),0)</f>
        <v>0</v>
      </c>
      <c r="AH12" s="34" t="n">
        <f aca="false">$Z12*W_Cost+$AA12*W_Lev+$AB12*W_PU+$AC12*W_CO2+$AD12*W_Ready+$AE12*W_Track+$AF12*W_Risk+$AG12*W_Add</f>
        <v>0</v>
      </c>
      <c r="AI12" s="35" t="n">
        <f aca="false">IF($O12=1,$AH12+(26-$A12)/1000000,-1)</f>
        <v>-1</v>
      </c>
      <c r="AJ12" s="21" t="str">
        <f aca="false">IF($O12=1,COUNTIF($AI$7:$AI$31,"&gt;"&amp;$AI12)+1,"")</f>
        <v/>
      </c>
      <c r="AK12" s="36" t="n">
        <f aca="false">SUMIF(Allocation!$B$7:$B$31,6,Allocation!$I$7:$I$31)</f>
        <v>0</v>
      </c>
      <c r="AL12" s="29" t="n">
        <f aca="false">IFERROR($AK12/$T12,0)</f>
        <v>0</v>
      </c>
      <c r="AM12" s="30" t="str">
        <f aca="false">IF($O12=0,"",IF($AL12&gt;=0.999,"Funded",IF($AK12&gt;0,"Partially funded","Not funded")))</f>
        <v/>
      </c>
      <c r="AN12" s="37" t="n">
        <f aca="false">IF(AND($O12=1,$V12&gt;0),1/$V12,0)</f>
        <v>0</v>
      </c>
      <c r="AO12" s="38" t="n">
        <f aca="false">IF($O12=1,$W12,0)</f>
        <v>0</v>
      </c>
      <c r="AP12" s="39" t="n">
        <f aca="false">IF($O12=1,$F12,0)</f>
        <v>0</v>
      </c>
      <c r="AQ12" s="37" t="n">
        <f aca="false">IF(AND($O12=1,$T12&gt;0),Pipeline!$T12/$T12,0)</f>
        <v>0</v>
      </c>
    </row>
    <row r="13" customFormat="false" ht="15" hidden="false" customHeight="false" outlineLevel="0" collapsed="false">
      <c r="A13" s="25" t="n">
        <f aca="false">7</f>
        <v>7</v>
      </c>
      <c r="B13" s="26" t="str">
        <f aca="false">IF(Pipeline!$B13&lt;&gt;"",Pipeline!$B13,"")</f>
        <v>Project G - Remote valley</v>
      </c>
      <c r="C13" s="27" t="n">
        <f aca="false">SUM(Pipeline!$J13:$M13)</f>
        <v>354</v>
      </c>
      <c r="D13" s="28" t="n">
        <f aca="false">IFERROR(Pipeline!$N13/$C13,0)</f>
        <v>2542.37288135593</v>
      </c>
      <c r="E13" s="29" t="n">
        <f aca="false">IFERROR((Pipeline!$O13+Pipeline!$P13)/Pipeline!$N13,0)</f>
        <v>0.222222222222222</v>
      </c>
      <c r="F13" s="29" t="n">
        <f aca="false">IFERROR(Pipeline!$K13/$C13,0)</f>
        <v>0.0564971751412429</v>
      </c>
      <c r="G13" s="25" t="n">
        <f aca="false">IF(NOT(Pipeline!$B13&lt;&gt;""),0,IF(E_MinConn_On=1,IF($C13&gt;=E_MinConn,1,0),1))</f>
        <v>1</v>
      </c>
      <c r="H13" s="25" t="n">
        <f aca="false">IF(NOT(Pipeline!$B13&lt;&gt;""),0,IF(E_MaxCapexConn_On=1,IF($D13&lt;=E_MaxCapexConn,1,0),1))</f>
        <v>0</v>
      </c>
      <c r="I13" s="25" t="n">
        <f aca="false">IF(NOT(Pipeline!$B13&lt;&gt;""),0,IF(E_MinRE_On=1,IF(Pipeline!$S13&gt;=E_MinRE,1,0),1))</f>
        <v>1</v>
      </c>
      <c r="J13" s="25" t="n">
        <f aca="false">IF(NOT(Pipeline!$B13&lt;&gt;""),0,IF(E_MinPrivate_On=1,IF($E13&gt;=E_MinPrivate,1,0),1))</f>
        <v>1</v>
      </c>
      <c r="K13" s="25" t="n">
        <f aca="false">IF(NOT(Pipeline!$B13&lt;&gt;""),0,IF(E_MinReady_On=1,IF(Pipeline!$F13&gt;=E_MinReady,1,0),1))</f>
        <v>1</v>
      </c>
      <c r="L13" s="25" t="n">
        <f aca="false">IF(NOT(Pipeline!$B13&lt;&gt;""),0,IF(E_MaxTariff_On=1,IF(Pipeline!$R13&lt;=E_MaxTariff,1,0),1))</f>
        <v>1</v>
      </c>
      <c r="M13" s="25" t="n">
        <f aca="false">IF(NOT(Pipeline!$B13&lt;&gt;""),0,IF(E_MinPU_On=1,IF($F13&gt;=E_MinPU,1,0),1))</f>
        <v>1</v>
      </c>
      <c r="N13" s="25" t="n">
        <f aca="false">IF(NOT(Pipeline!$B13&lt;&gt;""),0,IF(E_Country_On=1,IF(IFERROR(INDEX('Fund Parameters'!$B$51:$B$58,MATCH(Pipeline!$C13,'Fund Parameters'!$A$51:$A$58,0))="Y",FALSE()),1,0),1))</f>
        <v>1</v>
      </c>
      <c r="O13" s="21" t="n">
        <f aca="false">IF(AND(Pipeline!$B13&lt;&gt;"",$G13*$H13*$I13*$J13*$K13*$L13*$M13*$N13=1),1,0)</f>
        <v>0</v>
      </c>
      <c r="P13" s="30" t="str">
        <f aca="false">IF(NOT(Pipeline!$B13&lt;&gt;""),"",IF($O13=1,"Eligible",IF($G13=0,"Too few connections",IF($H13=0,"CAPEX per connection too high",IF($I13=0,"Renewable share too low",IF($J13=0,"Private co-finance too low",IF($K13=0,"Not ready enough",IF($L13=0,"Tariff above cap",IF($M13=0,"Productive use too low",IF($N13=0,"Country not eligible",""))))))))))</f>
        <v>CAPEX per connection too high</v>
      </c>
      <c r="Q13" s="28" t="n">
        <f aca="false">Pipeline!$J13*RBF_HH+Pipeline!$K13*RBF_PU+Pipeline!$L13*RBF_COM+Pipeline!$M13*RBF_INST</f>
        <v>43000</v>
      </c>
      <c r="R13" s="28" t="n">
        <f aca="false">Pipeline!$N13*GrantPct</f>
        <v>225000</v>
      </c>
      <c r="S13" s="28" t="n">
        <f aca="false">MAX(0,MIN($Q13+$R13,MaxSupportPct*Pipeline!$N13-Pipeline!$Q13,MaxPerProject,MaxProjShare*Envelope))</f>
        <v>268000</v>
      </c>
      <c r="T13" s="28" t="n">
        <f aca="false">IF($O13=1,IF(Pipeline!$V13&gt;0,MIN(Pipeline!$V13,$S13),$S13),0)</f>
        <v>0</v>
      </c>
      <c r="U13" s="29" t="n">
        <f aca="false">IFERROR($Q13/($Q13+$R13),1)</f>
        <v>0.16044776119403</v>
      </c>
      <c r="V13" s="28" t="n">
        <f aca="false">IFERROR($T13/$C13,0)</f>
        <v>0</v>
      </c>
      <c r="W13" s="31" t="n">
        <f aca="false">IFERROR((Pipeline!$O13+Pipeline!$P13)/$T13,0)</f>
        <v>0</v>
      </c>
      <c r="X13" s="32" t="n">
        <f aca="false">IFERROR(Pipeline!$T13/$T13*1000,0)</f>
        <v>0</v>
      </c>
      <c r="Y13" s="30" t="str">
        <f aca="false">IF($O13=0,"",IF(NOT(ISNUMBER(Pipeline!$U13)),"No viability-gap data",IF(Pipeline!$U13&lt;=0,"No viability-gap data",IF($T13&lt;=Pipeline!$U13*(1+VGFTol),"Within viability gap","Above viability gap"))))</f>
        <v/>
      </c>
      <c r="Z13" s="33" t="n">
        <f aca="false">IF($O13=1,IFERROR($AN13/MAX($AN$7:$AN$31)*100,0),0)</f>
        <v>0</v>
      </c>
      <c r="AA13" s="33" t="n">
        <f aca="false">IF($O13=1,IFERROR($AO13/MAX($AO$7:$AO$31)*100,0),0)</f>
        <v>0</v>
      </c>
      <c r="AB13" s="33" t="n">
        <f aca="false">IF($O13=1,IFERROR($AP13/MAX($AP$7:$AP$31)*100,0),0)</f>
        <v>0</v>
      </c>
      <c r="AC13" s="33" t="n">
        <f aca="false">IF($O13=1,IFERROR($AQ13/MAX($AQ$7:$AQ$31)*100,0),0)</f>
        <v>0</v>
      </c>
      <c r="AD13" s="33" t="n">
        <f aca="false">IF($O13=1,Pipeline!$F13/5*100,0)</f>
        <v>0</v>
      </c>
      <c r="AE13" s="33" t="n">
        <f aca="false">IF($O13=1,Pipeline!$G13/5*100,0)</f>
        <v>0</v>
      </c>
      <c r="AF13" s="33" t="n">
        <f aca="false">IF($O13=1,(6-Pipeline!$H13)/5*100,0)</f>
        <v>0</v>
      </c>
      <c r="AG13" s="33" t="n">
        <f aca="false">IF($O13=1,IF($Y13="Within viability gap",100,IF($Y13="Above viability gap",0,50)),0)</f>
        <v>0</v>
      </c>
      <c r="AH13" s="34" t="n">
        <f aca="false">$Z13*W_Cost+$AA13*W_Lev+$AB13*W_PU+$AC13*W_CO2+$AD13*W_Ready+$AE13*W_Track+$AF13*W_Risk+$AG13*W_Add</f>
        <v>0</v>
      </c>
      <c r="AI13" s="35" t="n">
        <f aca="false">IF($O13=1,$AH13+(26-$A13)/1000000,-1)</f>
        <v>-1</v>
      </c>
      <c r="AJ13" s="21" t="str">
        <f aca="false">IF($O13=1,COUNTIF($AI$7:$AI$31,"&gt;"&amp;$AI13)+1,"")</f>
        <v/>
      </c>
      <c r="AK13" s="36" t="n">
        <f aca="false">SUMIF(Allocation!$B$7:$B$31,7,Allocation!$I$7:$I$31)</f>
        <v>0</v>
      </c>
      <c r="AL13" s="29" t="n">
        <f aca="false">IFERROR($AK13/$T13,0)</f>
        <v>0</v>
      </c>
      <c r="AM13" s="30" t="str">
        <f aca="false">IF($O13=0,"",IF($AL13&gt;=0.999,"Funded",IF($AK13&gt;0,"Partially funded","Not funded")))</f>
        <v/>
      </c>
      <c r="AN13" s="37" t="n">
        <f aca="false">IF(AND($O13=1,$V13&gt;0),1/$V13,0)</f>
        <v>0</v>
      </c>
      <c r="AO13" s="38" t="n">
        <f aca="false">IF($O13=1,$W13,0)</f>
        <v>0</v>
      </c>
      <c r="AP13" s="39" t="n">
        <f aca="false">IF($O13=1,$F13,0)</f>
        <v>0</v>
      </c>
      <c r="AQ13" s="37" t="n">
        <f aca="false">IF(AND($O13=1,$T13&gt;0),Pipeline!$T13/$T13,0)</f>
        <v>0</v>
      </c>
    </row>
    <row r="14" customFormat="false" ht="15" hidden="false" customHeight="false" outlineLevel="0" collapsed="false">
      <c r="A14" s="25" t="n">
        <f aca="false">8</f>
        <v>8</v>
      </c>
      <c r="B14" s="26" t="str">
        <f aca="false">IF(Pipeline!$B14&lt;&gt;"",Pipeline!$B14,"")</f>
        <v>Project H - Agro-processing hub</v>
      </c>
      <c r="C14" s="27" t="n">
        <f aca="false">SUM(Pipeline!$J14:$M14)</f>
        <v>876</v>
      </c>
      <c r="D14" s="28" t="n">
        <f aca="false">IFERROR(Pipeline!$N14/$C14,0)</f>
        <v>1369.86301369863</v>
      </c>
      <c r="E14" s="29" t="n">
        <f aca="false">IFERROR((Pipeline!$O14+Pipeline!$P14)/Pipeline!$N14,0)</f>
        <v>0.5</v>
      </c>
      <c r="F14" s="29" t="n">
        <f aca="false">IFERROR(Pipeline!$K14/$C14,0)</f>
        <v>0.159817351598174</v>
      </c>
      <c r="G14" s="25" t="n">
        <f aca="false">IF(NOT(Pipeline!$B14&lt;&gt;""),0,IF(E_MinConn_On=1,IF($C14&gt;=E_MinConn,1,0),1))</f>
        <v>1</v>
      </c>
      <c r="H14" s="25" t="n">
        <f aca="false">IF(NOT(Pipeline!$B14&lt;&gt;""),0,IF(E_MaxCapexConn_On=1,IF($D14&lt;=E_MaxCapexConn,1,0),1))</f>
        <v>1</v>
      </c>
      <c r="I14" s="25" t="n">
        <f aca="false">IF(NOT(Pipeline!$B14&lt;&gt;""),0,IF(E_MinRE_On=1,IF(Pipeline!$S14&gt;=E_MinRE,1,0),1))</f>
        <v>1</v>
      </c>
      <c r="J14" s="25" t="n">
        <f aca="false">IF(NOT(Pipeline!$B14&lt;&gt;""),0,IF(E_MinPrivate_On=1,IF($E14&gt;=E_MinPrivate,1,0),1))</f>
        <v>1</v>
      </c>
      <c r="K14" s="25" t="n">
        <f aca="false">IF(NOT(Pipeline!$B14&lt;&gt;""),0,IF(E_MinReady_On=1,IF(Pipeline!$F14&gt;=E_MinReady,1,0),1))</f>
        <v>1</v>
      </c>
      <c r="L14" s="25" t="n">
        <f aca="false">IF(NOT(Pipeline!$B14&lt;&gt;""),0,IF(E_MaxTariff_On=1,IF(Pipeline!$R14&lt;=E_MaxTariff,1,0),1))</f>
        <v>1</v>
      </c>
      <c r="M14" s="25" t="n">
        <f aca="false">IF(NOT(Pipeline!$B14&lt;&gt;""),0,IF(E_MinPU_On=1,IF($F14&gt;=E_MinPU,1,0),1))</f>
        <v>1</v>
      </c>
      <c r="N14" s="25" t="n">
        <f aca="false">IF(NOT(Pipeline!$B14&lt;&gt;""),0,IF(E_Country_On=1,IF(IFERROR(INDEX('Fund Parameters'!$B$51:$B$58,MATCH(Pipeline!$C14,'Fund Parameters'!$A$51:$A$58,0))="Y",FALSE()),1,0),1))</f>
        <v>1</v>
      </c>
      <c r="O14" s="21" t="n">
        <f aca="false">IF(AND(Pipeline!$B14&lt;&gt;"",$G14*$H14*$I14*$J14*$K14*$L14*$M14*$N14=1),1,0)</f>
        <v>1</v>
      </c>
      <c r="P14" s="30" t="str">
        <f aca="false">IF(NOT(Pipeline!$B14&lt;&gt;""),"",IF($O14=1,"Eligible",IF($G14=0,"Too few connections",IF($H14=0,"CAPEX per connection too high",IF($I14=0,"Renewable share too low",IF($J14=0,"Private co-finance too low",IF($K14=0,"Not ready enough",IF($L14=0,"Tariff above cap",IF($M14=0,"Productive use too low",IF($N14=0,"Country not eligible",""))))))))))</f>
        <v>Eligible</v>
      </c>
      <c r="Q14" s="28" t="n">
        <f aca="false">Pipeline!$J14*RBF_HH+Pipeline!$K14*RBF_PU+Pipeline!$L14*RBF_COM+Pipeline!$M14*RBF_INST</f>
        <v>124500</v>
      </c>
      <c r="R14" s="28" t="n">
        <f aca="false">Pipeline!$N14*GrantPct</f>
        <v>300000</v>
      </c>
      <c r="S14" s="28" t="n">
        <f aca="false">MAX(0,MIN($Q14+$R14,MaxSupportPct*Pipeline!$N14-Pipeline!$Q14,MaxPerProject,MaxProjShare*Envelope))</f>
        <v>382500</v>
      </c>
      <c r="T14" s="28" t="n">
        <f aca="false">IF($O14=1,IF(Pipeline!$V14&gt;0,MIN(Pipeline!$V14,$S14),$S14),0)</f>
        <v>382500</v>
      </c>
      <c r="U14" s="29" t="n">
        <f aca="false">IFERROR($Q14/($Q14+$R14),1)</f>
        <v>0.293286219081272</v>
      </c>
      <c r="V14" s="28" t="n">
        <f aca="false">IFERROR($T14/$C14,0)</f>
        <v>436.643835616438</v>
      </c>
      <c r="W14" s="31" t="n">
        <f aca="false">IFERROR((Pipeline!$O14+Pipeline!$P14)/$T14,0)</f>
        <v>1.56862745098039</v>
      </c>
      <c r="X14" s="32" t="n">
        <f aca="false">IFERROR(Pipeline!$T14/$T14*1000,0)</f>
        <v>16.9934640522876</v>
      </c>
      <c r="Y14" s="30" t="str">
        <f aca="false">IF($O14=0,"",IF(NOT(ISNUMBER(Pipeline!$U14)),"No viability-gap data",IF(Pipeline!$U14&lt;=0,"No viability-gap data",IF($T14&lt;=Pipeline!$U14*(1+VGFTol),"Within viability gap","Above viability gap"))))</f>
        <v>Within viability gap</v>
      </c>
      <c r="Z14" s="33" t="n">
        <f aca="false">IF($O14=1,IFERROR($AN14/MAX($AN$7:$AN$31)*100,0),0)</f>
        <v>51.1085180863477</v>
      </c>
      <c r="AA14" s="33" t="n">
        <f aca="false">IF($O14=1,IFERROR($AO14/MAX($AO$7:$AO$31)*100,0),0)</f>
        <v>60</v>
      </c>
      <c r="AB14" s="33" t="n">
        <f aca="false">IF($O14=1,IFERROR($AP14/MAX($AP$7:$AP$31)*100,0),0)</f>
        <v>100</v>
      </c>
      <c r="AC14" s="33" t="n">
        <f aca="false">IF($O14=1,IFERROR($AQ14/MAX($AQ$7:$AQ$31)*100,0),0)</f>
        <v>54.1666666666667</v>
      </c>
      <c r="AD14" s="33" t="n">
        <f aca="false">IF($O14=1,Pipeline!$F14/5*100,0)</f>
        <v>80</v>
      </c>
      <c r="AE14" s="33" t="n">
        <f aca="false">IF($O14=1,Pipeline!$G14/5*100,0)</f>
        <v>60</v>
      </c>
      <c r="AF14" s="33" t="n">
        <f aca="false">IF($O14=1,(6-Pipeline!$H14)/5*100,0)</f>
        <v>80</v>
      </c>
      <c r="AG14" s="33" t="n">
        <f aca="false">IF($O14=1,IF($Y14="Within viability gap",100,IF($Y14="Above viability gap",0,50)),0)</f>
        <v>100</v>
      </c>
      <c r="AH14" s="34" t="n">
        <f aca="false">$Z14*W_Cost+$AA14*W_Lev+$AB14*W_PU+$AC14*W_CO2+$AD14*W_Ready+$AE14*W_Track+$AF14*W_Risk+$AG14*W_Add</f>
        <v>70.1937961882536</v>
      </c>
      <c r="AI14" s="35" t="n">
        <f aca="false">IF($O14=1,$AH14+(26-$A14)/1000000,-1)</f>
        <v>70.1938141882536</v>
      </c>
      <c r="AJ14" s="21" t="n">
        <f aca="false">IF($O14=1,COUNTIF($AI$7:$AI$31,"&gt;"&amp;$AI14)+1,"")</f>
        <v>4</v>
      </c>
      <c r="AK14" s="36" t="n">
        <f aca="false">SUMIF(Allocation!$B$7:$B$31,8,Allocation!$I$7:$I$31)</f>
        <v>382500</v>
      </c>
      <c r="AL14" s="29" t="n">
        <f aca="false">IFERROR($AK14/$T14,0)</f>
        <v>1</v>
      </c>
      <c r="AM14" s="30" t="str">
        <f aca="false">IF($O14=0,"",IF($AL14&gt;=0.999,"Funded",IF($AK14&gt;0,"Partially funded","Not funded")))</f>
        <v>Funded</v>
      </c>
      <c r="AN14" s="37" t="n">
        <f aca="false">IF(AND($O14=1,$V14&gt;0),1/$V14,0)</f>
        <v>0.00229019607843137</v>
      </c>
      <c r="AO14" s="38" t="n">
        <f aca="false">IF($O14=1,$W14,0)</f>
        <v>1.56862745098039</v>
      </c>
      <c r="AP14" s="39" t="n">
        <f aca="false">IF($O14=1,$F14,0)</f>
        <v>0.159817351598174</v>
      </c>
      <c r="AQ14" s="37" t="n">
        <f aca="false">IF(AND($O14=1,$T14&gt;0),Pipeline!$T14/$T14,0)</f>
        <v>0.0169934640522876</v>
      </c>
    </row>
    <row r="15" customFormat="false" ht="15" hidden="false" customHeight="false" outlineLevel="0" collapsed="false">
      <c r="A15" s="25" t="n">
        <f aca="false">9</f>
        <v>9</v>
      </c>
      <c r="B15" s="26" t="str">
        <f aca="false">IF(Pipeline!$B15&lt;&gt;"",Pipeline!$B15,"")</f>
        <v>Project I - Fishing communities</v>
      </c>
      <c r="C15" s="27" t="n">
        <f aca="false">SUM(Pipeline!$J15:$M15)</f>
        <v>917</v>
      </c>
      <c r="D15" s="28" t="n">
        <f aca="false">IFERROR(Pipeline!$N15/$C15,0)</f>
        <v>1254.08942202835</v>
      </c>
      <c r="E15" s="29" t="n">
        <f aca="false">IFERROR((Pipeline!$O15+Pipeline!$P15)/Pipeline!$N15,0)</f>
        <v>0.304347826086957</v>
      </c>
      <c r="F15" s="29" t="n">
        <f aca="false">IFERROR(Pipeline!$K15/$C15,0)</f>
        <v>0.0763358778625954</v>
      </c>
      <c r="G15" s="25" t="n">
        <f aca="false">IF(NOT(Pipeline!$B15&lt;&gt;""),0,IF(E_MinConn_On=1,IF($C15&gt;=E_MinConn,1,0),1))</f>
        <v>1</v>
      </c>
      <c r="H15" s="25" t="n">
        <f aca="false">IF(NOT(Pipeline!$B15&lt;&gt;""),0,IF(E_MaxCapexConn_On=1,IF($D15&lt;=E_MaxCapexConn,1,0),1))</f>
        <v>1</v>
      </c>
      <c r="I15" s="25" t="n">
        <f aca="false">IF(NOT(Pipeline!$B15&lt;&gt;""),0,IF(E_MinRE_On=1,IF(Pipeline!$S15&gt;=E_MinRE,1,0),1))</f>
        <v>1</v>
      </c>
      <c r="J15" s="25" t="n">
        <f aca="false">IF(NOT(Pipeline!$B15&lt;&gt;""),0,IF(E_MinPrivate_On=1,IF($E15&gt;=E_MinPrivate,1,0),1))</f>
        <v>1</v>
      </c>
      <c r="K15" s="25" t="n">
        <f aca="false">IF(NOT(Pipeline!$B15&lt;&gt;""),0,IF(E_MinReady_On=1,IF(Pipeline!$F15&gt;=E_MinReady,1,0),1))</f>
        <v>1</v>
      </c>
      <c r="L15" s="25" t="n">
        <f aca="false">IF(NOT(Pipeline!$B15&lt;&gt;""),0,IF(E_MaxTariff_On=1,IF(Pipeline!$R15&lt;=E_MaxTariff,1,0),1))</f>
        <v>1</v>
      </c>
      <c r="M15" s="25" t="n">
        <f aca="false">IF(NOT(Pipeline!$B15&lt;&gt;""),0,IF(E_MinPU_On=1,IF($F15&gt;=E_MinPU,1,0),1))</f>
        <v>1</v>
      </c>
      <c r="N15" s="25" t="n">
        <f aca="false">IF(NOT(Pipeline!$B15&lt;&gt;""),0,IF(E_Country_On=1,IF(IFERROR(INDEX('Fund Parameters'!$B$51:$B$58,MATCH(Pipeline!$C15,'Fund Parameters'!$A$51:$A$58,0))="Y",FALSE()),1,0),1))</f>
        <v>1</v>
      </c>
      <c r="O15" s="21" t="n">
        <f aca="false">IF(AND(Pipeline!$B15&lt;&gt;"",$G15*$H15*$I15*$J15*$K15*$L15*$M15*$N15=1),1,0)</f>
        <v>1</v>
      </c>
      <c r="P15" s="30" t="str">
        <f aca="false">IF(NOT(Pipeline!$B15&lt;&gt;""),"",IF($O15=1,"Eligible",IF($G15=0,"Too few connections",IF($H15=0,"CAPEX per connection too high",IF($I15=0,"Renewable share too low",IF($J15=0,"Private co-finance too low",IF($K15=0,"Not ready enough",IF($L15=0,"Tariff above cap",IF($M15=0,"Productive use too low",IF($N15=0,"Country not eligible",""))))))))))</f>
        <v>Eligible</v>
      </c>
      <c r="Q15" s="28" t="n">
        <f aca="false">Pipeline!$J15*RBF_HH+Pipeline!$K15*RBF_PU+Pipeline!$L15*RBF_COM+Pipeline!$M15*RBF_INST</f>
        <v>115750</v>
      </c>
      <c r="R15" s="28" t="n">
        <f aca="false">Pipeline!$N15*GrantPct</f>
        <v>287500</v>
      </c>
      <c r="S15" s="28" t="n">
        <f aca="false">MAX(0,MIN($Q15+$R15,MaxSupportPct*Pipeline!$N15-Pipeline!$Q15,MaxPerProject,MaxProjShare*Envelope))</f>
        <v>382500</v>
      </c>
      <c r="T15" s="28" t="n">
        <f aca="false">IF($O15=1,IF(Pipeline!$V15&gt;0,MIN(Pipeline!$V15,$S15),$S15),0)</f>
        <v>382500</v>
      </c>
      <c r="U15" s="29" t="n">
        <f aca="false">IFERROR($Q15/($Q15+$R15),1)</f>
        <v>0.287042777433354</v>
      </c>
      <c r="V15" s="28" t="n">
        <f aca="false">IFERROR($T15/$C15,0)</f>
        <v>417.121046892039</v>
      </c>
      <c r="W15" s="31" t="n">
        <f aca="false">IFERROR((Pipeline!$O15+Pipeline!$P15)/$T15,0)</f>
        <v>0.915032679738562</v>
      </c>
      <c r="X15" s="32" t="n">
        <f aca="false">IFERROR(Pipeline!$T15/$T15*1000,0)</f>
        <v>13.0718954248366</v>
      </c>
      <c r="Y15" s="30" t="str">
        <f aca="false">IF($O15=0,"",IF(NOT(ISNUMBER(Pipeline!$U15)),"No viability-gap data",IF(Pipeline!$U15&lt;=0,"No viability-gap data",IF($T15&lt;=Pipeline!$U15*(1+VGFTol),"Within viability gap","Above viability gap"))))</f>
        <v>Within viability gap</v>
      </c>
      <c r="Z15" s="33" t="n">
        <f aca="false">IF($O15=1,IFERROR($AN15/MAX($AN$7:$AN$31)*100,0),0)</f>
        <v>53.5005834305718</v>
      </c>
      <c r="AA15" s="33" t="n">
        <f aca="false">IF($O15=1,IFERROR($AO15/MAX($AO$7:$AO$31)*100,0),0)</f>
        <v>35</v>
      </c>
      <c r="AB15" s="33" t="n">
        <f aca="false">IF($O15=1,IFERROR($AP15/MAX($AP$7:$AP$31)*100,0),0)</f>
        <v>47.7644492911669</v>
      </c>
      <c r="AC15" s="33" t="n">
        <f aca="false">IF($O15=1,IFERROR($AQ15/MAX($AQ$7:$AQ$31)*100,0),0)</f>
        <v>41.6666666666667</v>
      </c>
      <c r="AD15" s="33" t="n">
        <f aca="false">IF($O15=1,Pipeline!$F15/5*100,0)</f>
        <v>60</v>
      </c>
      <c r="AE15" s="33" t="n">
        <f aca="false">IF($O15=1,Pipeline!$G15/5*100,0)</f>
        <v>40</v>
      </c>
      <c r="AF15" s="33" t="n">
        <f aca="false">IF($O15=1,(6-Pipeline!$H15)/5*100,0)</f>
        <v>60</v>
      </c>
      <c r="AG15" s="33" t="n">
        <f aca="false">IF($O15=1,IF($Y15="Within viability gap",100,IF($Y15="Above viability gap",0,50)),0)</f>
        <v>100</v>
      </c>
      <c r="AH15" s="34" t="n">
        <f aca="false">$Z15*W_Cost+$AA15*W_Lev+$AB15*W_PU+$AC15*W_CO2+$AD15*W_Ready+$AE15*W_Track+$AF15*W_Risk+$AG15*W_Add</f>
        <v>52.9564799179846</v>
      </c>
      <c r="AI15" s="35" t="n">
        <f aca="false">IF($O15=1,$AH15+(26-$A15)/1000000,-1)</f>
        <v>52.9564969179846</v>
      </c>
      <c r="AJ15" s="21" t="n">
        <f aca="false">IF($O15=1,COUNTIF($AI$7:$AI$31,"&gt;"&amp;$AI15)+1,"")</f>
        <v>7</v>
      </c>
      <c r="AK15" s="36" t="n">
        <f aca="false">SUMIF(Allocation!$B$7:$B$31,9,Allocation!$I$7:$I$31)</f>
        <v>382500</v>
      </c>
      <c r="AL15" s="29" t="n">
        <f aca="false">IFERROR($AK15/$T15,0)</f>
        <v>1</v>
      </c>
      <c r="AM15" s="30" t="str">
        <f aca="false">IF($O15=0,"",IF($AL15&gt;=0.999,"Funded",IF($AK15&gt;0,"Partially funded","Not funded")))</f>
        <v>Funded</v>
      </c>
      <c r="AN15" s="37" t="n">
        <f aca="false">IF(AND($O15=1,$V15&gt;0),1/$V15,0)</f>
        <v>0.00239738562091503</v>
      </c>
      <c r="AO15" s="38" t="n">
        <f aca="false">IF($O15=1,$W15,0)</f>
        <v>0.915032679738562</v>
      </c>
      <c r="AP15" s="39" t="n">
        <f aca="false">IF($O15=1,$F15,0)</f>
        <v>0.0763358778625954</v>
      </c>
      <c r="AQ15" s="37" t="n">
        <f aca="false">IF(AND($O15=1,$T15&gt;0),Pipeline!$T15/$T15,0)</f>
        <v>0.0130718954248366</v>
      </c>
    </row>
    <row r="16" customFormat="false" ht="15" hidden="false" customHeight="false" outlineLevel="0" collapsed="false">
      <c r="A16" s="25" t="n">
        <f aca="false">10</f>
        <v>10</v>
      </c>
      <c r="B16" s="26" t="str">
        <f aca="false">IF(Pipeline!$B16&lt;&gt;"",Pipeline!$B16,"")</f>
        <v>Project J - Health and schools first</v>
      </c>
      <c r="C16" s="27" t="n">
        <f aca="false">SUM(Pipeline!$J16:$M16)</f>
        <v>650</v>
      </c>
      <c r="D16" s="28" t="n">
        <f aca="false">IFERROR(Pipeline!$N16/$C16,0)</f>
        <v>1384.61538461538</v>
      </c>
      <c r="E16" s="29" t="n">
        <f aca="false">IFERROR((Pipeline!$O16+Pipeline!$P16)/Pipeline!$N16,0)</f>
        <v>0.388888888888889</v>
      </c>
      <c r="F16" s="29" t="n">
        <f aca="false">IFERROR(Pipeline!$K16/$C16,0)</f>
        <v>0.0384615384615385</v>
      </c>
      <c r="G16" s="25" t="n">
        <f aca="false">IF(NOT(Pipeline!$B16&lt;&gt;""),0,IF(E_MinConn_On=1,IF($C16&gt;=E_MinConn,1,0),1))</f>
        <v>1</v>
      </c>
      <c r="H16" s="25" t="n">
        <f aca="false">IF(NOT(Pipeline!$B16&lt;&gt;""),0,IF(E_MaxCapexConn_On=1,IF($D16&lt;=E_MaxCapexConn,1,0),1))</f>
        <v>1</v>
      </c>
      <c r="I16" s="25" t="n">
        <f aca="false">IF(NOT(Pipeline!$B16&lt;&gt;""),0,IF(E_MinRE_On=1,IF(Pipeline!$S16&gt;=E_MinRE,1,0),1))</f>
        <v>1</v>
      </c>
      <c r="J16" s="25" t="n">
        <f aca="false">IF(NOT(Pipeline!$B16&lt;&gt;""),0,IF(E_MinPrivate_On=1,IF($E16&gt;=E_MinPrivate,1,0),1))</f>
        <v>1</v>
      </c>
      <c r="K16" s="25" t="n">
        <f aca="false">IF(NOT(Pipeline!$B16&lt;&gt;""),0,IF(E_MinReady_On=1,IF(Pipeline!$F16&gt;=E_MinReady,1,0),1))</f>
        <v>1</v>
      </c>
      <c r="L16" s="25" t="n">
        <f aca="false">IF(NOT(Pipeline!$B16&lt;&gt;""),0,IF(E_MaxTariff_On=1,IF(Pipeline!$R16&lt;=E_MaxTariff,1,0),1))</f>
        <v>1</v>
      </c>
      <c r="M16" s="25" t="n">
        <f aca="false">IF(NOT(Pipeline!$B16&lt;&gt;""),0,IF(E_MinPU_On=1,IF($F16&gt;=E_MinPU,1,0),1))</f>
        <v>0</v>
      </c>
      <c r="N16" s="25" t="n">
        <f aca="false">IF(NOT(Pipeline!$B16&lt;&gt;""),0,IF(E_Country_On=1,IF(IFERROR(INDEX('Fund Parameters'!$B$51:$B$58,MATCH(Pipeline!$C16,'Fund Parameters'!$A$51:$A$58,0))="Y",FALSE()),1,0),1))</f>
        <v>1</v>
      </c>
      <c r="O16" s="21" t="n">
        <f aca="false">IF(AND(Pipeline!$B16&lt;&gt;"",$G16*$H16*$I16*$J16*$K16*$L16*$M16*$N16=1),1,0)</f>
        <v>0</v>
      </c>
      <c r="P16" s="30" t="str">
        <f aca="false">IF(NOT(Pipeline!$B16&lt;&gt;""),"",IF($O16=1,"Eligible",IF($G16=0,"Too few connections",IF($H16=0,"CAPEX per connection too high",IF($I16=0,"Renewable share too low",IF($J16=0,"Private co-finance too low",IF($K16=0,"Not ready enough",IF($L16=0,"Tariff above cap",IF($M16=0,"Productive use too low",IF($N16=0,"Country not eligible",""))))))))))</f>
        <v>Productive use too low</v>
      </c>
      <c r="Q16" s="28" t="n">
        <f aca="false">Pipeline!$J16*RBF_HH+Pipeline!$K16*RBF_PU+Pipeline!$L16*RBF_COM+Pipeline!$M16*RBF_INST</f>
        <v>78750</v>
      </c>
      <c r="R16" s="28" t="n">
        <f aca="false">Pipeline!$N16*GrantPct</f>
        <v>225000</v>
      </c>
      <c r="S16" s="28" t="n">
        <f aca="false">MAX(0,MIN($Q16+$R16,MaxSupportPct*Pipeline!$N16-Pipeline!$Q16,MaxPerProject,MaxProjShare*Envelope))</f>
        <v>303750</v>
      </c>
      <c r="T16" s="28" t="n">
        <f aca="false">IF($O16=1,IF(Pipeline!$V16&gt;0,MIN(Pipeline!$V16,$S16),$S16),0)</f>
        <v>0</v>
      </c>
      <c r="U16" s="29" t="n">
        <f aca="false">IFERROR($Q16/($Q16+$R16),1)</f>
        <v>0.259259259259259</v>
      </c>
      <c r="V16" s="28" t="n">
        <f aca="false">IFERROR($T16/$C16,0)</f>
        <v>0</v>
      </c>
      <c r="W16" s="31" t="n">
        <f aca="false">IFERROR((Pipeline!$O16+Pipeline!$P16)/$T16,0)</f>
        <v>0</v>
      </c>
      <c r="X16" s="32" t="n">
        <f aca="false">IFERROR(Pipeline!$T16/$T16*1000,0)</f>
        <v>0</v>
      </c>
      <c r="Y16" s="30" t="str">
        <f aca="false">IF($O16=0,"",IF(NOT(ISNUMBER(Pipeline!$U16)),"No viability-gap data",IF(Pipeline!$U16&lt;=0,"No viability-gap data",IF($T16&lt;=Pipeline!$U16*(1+VGFTol),"Within viability gap","Above viability gap"))))</f>
        <v/>
      </c>
      <c r="Z16" s="33" t="n">
        <f aca="false">IF($O16=1,IFERROR($AN16/MAX($AN$7:$AN$31)*100,0),0)</f>
        <v>0</v>
      </c>
      <c r="AA16" s="33" t="n">
        <f aca="false">IF($O16=1,IFERROR($AO16/MAX($AO$7:$AO$31)*100,0),0)</f>
        <v>0</v>
      </c>
      <c r="AB16" s="33" t="n">
        <f aca="false">IF($O16=1,IFERROR($AP16/MAX($AP$7:$AP$31)*100,0),0)</f>
        <v>0</v>
      </c>
      <c r="AC16" s="33" t="n">
        <f aca="false">IF($O16=1,IFERROR($AQ16/MAX($AQ$7:$AQ$31)*100,0),0)</f>
        <v>0</v>
      </c>
      <c r="AD16" s="33" t="n">
        <f aca="false">IF($O16=1,Pipeline!$F16/5*100,0)</f>
        <v>0</v>
      </c>
      <c r="AE16" s="33" t="n">
        <f aca="false">IF($O16=1,Pipeline!$G16/5*100,0)</f>
        <v>0</v>
      </c>
      <c r="AF16" s="33" t="n">
        <f aca="false">IF($O16=1,(6-Pipeline!$H16)/5*100,0)</f>
        <v>0</v>
      </c>
      <c r="AG16" s="33" t="n">
        <f aca="false">IF($O16=1,IF($Y16="Within viability gap",100,IF($Y16="Above viability gap",0,50)),0)</f>
        <v>0</v>
      </c>
      <c r="AH16" s="34" t="n">
        <f aca="false">$Z16*W_Cost+$AA16*W_Lev+$AB16*W_PU+$AC16*W_CO2+$AD16*W_Ready+$AE16*W_Track+$AF16*W_Risk+$AG16*W_Add</f>
        <v>0</v>
      </c>
      <c r="AI16" s="35" t="n">
        <f aca="false">IF($O16=1,$AH16+(26-$A16)/1000000,-1)</f>
        <v>-1</v>
      </c>
      <c r="AJ16" s="21" t="str">
        <f aca="false">IF($O16=1,COUNTIF($AI$7:$AI$31,"&gt;"&amp;$AI16)+1,"")</f>
        <v/>
      </c>
      <c r="AK16" s="36" t="n">
        <f aca="false">SUMIF(Allocation!$B$7:$B$31,10,Allocation!$I$7:$I$31)</f>
        <v>0</v>
      </c>
      <c r="AL16" s="29" t="n">
        <f aca="false">IFERROR($AK16/$T16,0)</f>
        <v>0</v>
      </c>
      <c r="AM16" s="30" t="str">
        <f aca="false">IF($O16=0,"",IF($AL16&gt;=0.999,"Funded",IF($AK16&gt;0,"Partially funded","Not funded")))</f>
        <v/>
      </c>
      <c r="AN16" s="37" t="n">
        <f aca="false">IF(AND($O16=1,$V16&gt;0),1/$V16,0)</f>
        <v>0</v>
      </c>
      <c r="AO16" s="38" t="n">
        <f aca="false">IF($O16=1,$W16,0)</f>
        <v>0</v>
      </c>
      <c r="AP16" s="39" t="n">
        <f aca="false">IF($O16=1,$F16,0)</f>
        <v>0</v>
      </c>
      <c r="AQ16" s="37" t="n">
        <f aca="false">IF(AND($O16=1,$T16&gt;0),Pipeline!$T16/$T16,0)</f>
        <v>0</v>
      </c>
    </row>
    <row r="17" customFormat="false" ht="15" hidden="false" customHeight="false" outlineLevel="0" collapsed="false">
      <c r="A17" s="25" t="n">
        <f aca="false">11</f>
        <v>11</v>
      </c>
      <c r="B17" s="26" t="str">
        <f aca="false">IF(Pipeline!$B17&lt;&gt;"",Pipeline!$B17,"")</f>
        <v>Project K - Peri-urban extension</v>
      </c>
      <c r="C17" s="27" t="n">
        <f aca="false">SUM(Pipeline!$J17:$M17)</f>
        <v>1460</v>
      </c>
      <c r="D17" s="28" t="n">
        <f aca="false">IFERROR(Pipeline!$N17/$C17,0)</f>
        <v>1027.39726027397</v>
      </c>
      <c r="E17" s="29" t="n">
        <f aca="false">IFERROR((Pipeline!$O17+Pipeline!$P17)/Pipeline!$N17,0)</f>
        <v>0.533333333333333</v>
      </c>
      <c r="F17" s="29" t="n">
        <f aca="false">IFERROR(Pipeline!$K17/$C17,0)</f>
        <v>0.0616438356164384</v>
      </c>
      <c r="G17" s="25" t="n">
        <f aca="false">IF(NOT(Pipeline!$B17&lt;&gt;""),0,IF(E_MinConn_On=1,IF($C17&gt;=E_MinConn,1,0),1))</f>
        <v>1</v>
      </c>
      <c r="H17" s="25" t="n">
        <f aca="false">IF(NOT(Pipeline!$B17&lt;&gt;""),0,IF(E_MaxCapexConn_On=1,IF($D17&lt;=E_MaxCapexConn,1,0),1))</f>
        <v>1</v>
      </c>
      <c r="I17" s="25" t="n">
        <f aca="false">IF(NOT(Pipeline!$B17&lt;&gt;""),0,IF(E_MinRE_On=1,IF(Pipeline!$S17&gt;=E_MinRE,1,0),1))</f>
        <v>1</v>
      </c>
      <c r="J17" s="25" t="n">
        <f aca="false">IF(NOT(Pipeline!$B17&lt;&gt;""),0,IF(E_MinPrivate_On=1,IF($E17&gt;=E_MinPrivate,1,0),1))</f>
        <v>1</v>
      </c>
      <c r="K17" s="25" t="n">
        <f aca="false">IF(NOT(Pipeline!$B17&lt;&gt;""),0,IF(E_MinReady_On=1,IF(Pipeline!$F17&gt;=E_MinReady,1,0),1))</f>
        <v>1</v>
      </c>
      <c r="L17" s="25" t="n">
        <f aca="false">IF(NOT(Pipeline!$B17&lt;&gt;""),0,IF(E_MaxTariff_On=1,IF(Pipeline!$R17&lt;=E_MaxTariff,1,0),1))</f>
        <v>1</v>
      </c>
      <c r="M17" s="25" t="n">
        <f aca="false">IF(NOT(Pipeline!$B17&lt;&gt;""),0,IF(E_MinPU_On=1,IF($F17&gt;=E_MinPU,1,0),1))</f>
        <v>1</v>
      </c>
      <c r="N17" s="25" t="n">
        <f aca="false">IF(NOT(Pipeline!$B17&lt;&gt;""),0,IF(E_Country_On=1,IF(IFERROR(INDEX('Fund Parameters'!$B$51:$B$58,MATCH(Pipeline!$C17,'Fund Parameters'!$A$51:$A$58,0))="Y",FALSE()),1,0),1))</f>
        <v>1</v>
      </c>
      <c r="O17" s="21" t="n">
        <f aca="false">IF(AND(Pipeline!$B17&lt;&gt;"",$G17*$H17*$I17*$J17*$K17*$L17*$M17*$N17=1),1,0)</f>
        <v>1</v>
      </c>
      <c r="P17" s="30" t="str">
        <f aca="false">IF(NOT(Pipeline!$B17&lt;&gt;""),"",IF($O17=1,"Eligible",IF($G17=0,"Too few connections",IF($H17=0,"CAPEX per connection too high",IF($I17=0,"Renewable share too low",IF($J17=0,"Private co-finance too low",IF($K17=0,"Not ready enough",IF($L17=0,"Tariff above cap",IF($M17=0,"Productive use too low",IF($N17=0,"Country not eligible",""))))))))))</f>
        <v>Eligible</v>
      </c>
      <c r="Q17" s="28" t="n">
        <f aca="false">Pipeline!$J17*RBF_HH+Pipeline!$K17*RBF_PU+Pipeline!$L17*RBF_COM+Pipeline!$M17*RBF_INST</f>
        <v>181500</v>
      </c>
      <c r="R17" s="28" t="n">
        <f aca="false">Pipeline!$N17*GrantPct</f>
        <v>375000</v>
      </c>
      <c r="S17" s="28" t="n">
        <f aca="false">MAX(0,MIN($Q17+$R17,MaxSupportPct*Pipeline!$N17-Pipeline!$Q17,MaxPerProject,MaxProjShare*Envelope))</f>
        <v>382500</v>
      </c>
      <c r="T17" s="28" t="n">
        <f aca="false">IF($O17=1,IF(Pipeline!$V17&gt;0,MIN(Pipeline!$V17,$S17),$S17),0)</f>
        <v>382500</v>
      </c>
      <c r="U17" s="29" t="n">
        <f aca="false">IFERROR($Q17/($Q17+$R17),1)</f>
        <v>0.326145552560647</v>
      </c>
      <c r="V17" s="28" t="n">
        <f aca="false">IFERROR($T17/$C17,0)</f>
        <v>261.986301369863</v>
      </c>
      <c r="W17" s="31" t="n">
        <f aca="false">IFERROR((Pipeline!$O17+Pipeline!$P17)/$T17,0)</f>
        <v>2.09150326797386</v>
      </c>
      <c r="X17" s="32" t="n">
        <f aca="false">IFERROR(Pipeline!$T17/$T17*1000,0)</f>
        <v>20.9150326797386</v>
      </c>
      <c r="Y17" s="30" t="str">
        <f aca="false">IF($O17=0,"",IF(NOT(ISNUMBER(Pipeline!$U17)),"No viability-gap data",IF(Pipeline!$U17&lt;=0,"No viability-gap data",IF($T17&lt;=Pipeline!$U17*(1+VGFTol),"Within viability gap","Above viability gap"))))</f>
        <v>Within viability gap</v>
      </c>
      <c r="Z17" s="33" t="n">
        <f aca="false">IF($O17=1,IFERROR($AN17/MAX($AN$7:$AN$31)*100,0),0)</f>
        <v>85.1808634772462</v>
      </c>
      <c r="AA17" s="33" t="n">
        <f aca="false">IF($O17=1,IFERROR($AO17/MAX($AO$7:$AO$31)*100,0),0)</f>
        <v>80</v>
      </c>
      <c r="AB17" s="33" t="n">
        <f aca="false">IF($O17=1,IFERROR($AP17/MAX($AP$7:$AP$31)*100,0),0)</f>
        <v>38.5714285714286</v>
      </c>
      <c r="AC17" s="33" t="n">
        <f aca="false">IF($O17=1,IFERROR($AQ17/MAX($AQ$7:$AQ$31)*100,0),0)</f>
        <v>66.6666666666667</v>
      </c>
      <c r="AD17" s="33" t="n">
        <f aca="false">IF($O17=1,Pipeline!$F17/5*100,0)</f>
        <v>100</v>
      </c>
      <c r="AE17" s="33" t="n">
        <f aca="false">IF($O17=1,Pipeline!$G17/5*100,0)</f>
        <v>80</v>
      </c>
      <c r="AF17" s="33" t="n">
        <f aca="false">IF($O17=1,(6-Pipeline!$H17)/5*100,0)</f>
        <v>80</v>
      </c>
      <c r="AG17" s="33" t="n">
        <f aca="false">IF($O17=1,IF($Y17="Within viability gap",100,IF($Y17="Above viability gap",0,50)),0)</f>
        <v>100</v>
      </c>
      <c r="AH17" s="34" t="n">
        <f aca="false">$Z17*W_Cost+$AA17*W_Lev+$AB17*W_PU+$AC17*W_CO2+$AD17*W_Ready+$AE17*W_Track+$AF17*W_Risk+$AG17*W_Add</f>
        <v>77.7475968216925</v>
      </c>
      <c r="AI17" s="35" t="n">
        <f aca="false">IF($O17=1,$AH17+(26-$A17)/1000000,-1)</f>
        <v>77.7476118216925</v>
      </c>
      <c r="AJ17" s="21" t="n">
        <f aca="false">IF($O17=1,COUNTIF($AI$7:$AI$31,"&gt;"&amp;$AI17)+1,"")</f>
        <v>2</v>
      </c>
      <c r="AK17" s="36" t="n">
        <f aca="false">SUMIF(Allocation!$B$7:$B$31,11,Allocation!$I$7:$I$31)</f>
        <v>382500</v>
      </c>
      <c r="AL17" s="29" t="n">
        <f aca="false">IFERROR($AK17/$T17,0)</f>
        <v>1</v>
      </c>
      <c r="AM17" s="30" t="str">
        <f aca="false">IF($O17=0,"",IF($AL17&gt;=0.999,"Funded",IF($AK17&gt;0,"Partially funded","Not funded")))</f>
        <v>Funded</v>
      </c>
      <c r="AN17" s="37" t="n">
        <f aca="false">IF(AND($O17=1,$V17&gt;0),1/$V17,0)</f>
        <v>0.00381699346405229</v>
      </c>
      <c r="AO17" s="38" t="n">
        <f aca="false">IF($O17=1,$W17,0)</f>
        <v>2.09150326797386</v>
      </c>
      <c r="AP17" s="39" t="n">
        <f aca="false">IF($O17=1,$F17,0)</f>
        <v>0.0616438356164384</v>
      </c>
      <c r="AQ17" s="37" t="n">
        <f aca="false">IF(AND($O17=1,$T17&gt;0),Pipeline!$T17/$T17,0)</f>
        <v>0.0209150326797386</v>
      </c>
    </row>
    <row r="18" customFormat="false" ht="15" hidden="false" customHeight="false" outlineLevel="0" collapsed="false">
      <c r="A18" s="25" t="n">
        <f aca="false">12</f>
        <v>12</v>
      </c>
      <c r="B18" s="26" t="str">
        <f aca="false">IF(Pipeline!$B18&lt;&gt;"",Pipeline!$B18,"")</f>
        <v>Project L - Mining belt</v>
      </c>
      <c r="C18" s="27" t="n">
        <f aca="false">SUM(Pipeline!$J18:$M18)</f>
        <v>1298</v>
      </c>
      <c r="D18" s="28" t="n">
        <f aca="false">IFERROR(Pipeline!$N18/$C18,0)</f>
        <v>1309.70724191063</v>
      </c>
      <c r="E18" s="29" t="n">
        <f aca="false">IFERROR((Pipeline!$O18+Pipeline!$P18)/Pipeline!$N18,0)</f>
        <v>0.411764705882353</v>
      </c>
      <c r="F18" s="29" t="n">
        <f aca="false">IFERROR(Pipeline!$K18/$C18,0)</f>
        <v>0.115562403697997</v>
      </c>
      <c r="G18" s="25" t="n">
        <f aca="false">IF(NOT(Pipeline!$B18&lt;&gt;""),0,IF(E_MinConn_On=1,IF($C18&gt;=E_MinConn,1,0),1))</f>
        <v>1</v>
      </c>
      <c r="H18" s="25" t="n">
        <f aca="false">IF(NOT(Pipeline!$B18&lt;&gt;""),0,IF(E_MaxCapexConn_On=1,IF($D18&lt;=E_MaxCapexConn,1,0),1))</f>
        <v>1</v>
      </c>
      <c r="I18" s="25" t="n">
        <f aca="false">IF(NOT(Pipeline!$B18&lt;&gt;""),0,IF(E_MinRE_On=1,IF(Pipeline!$S18&gt;=E_MinRE,1,0),1))</f>
        <v>1</v>
      </c>
      <c r="J18" s="25" t="n">
        <f aca="false">IF(NOT(Pipeline!$B18&lt;&gt;""),0,IF(E_MinPrivate_On=1,IF($E18&gt;=E_MinPrivate,1,0),1))</f>
        <v>1</v>
      </c>
      <c r="K18" s="25" t="n">
        <f aca="false">IF(NOT(Pipeline!$B18&lt;&gt;""),0,IF(E_MinReady_On=1,IF(Pipeline!$F18&gt;=E_MinReady,1,0),1))</f>
        <v>1</v>
      </c>
      <c r="L18" s="25" t="n">
        <f aca="false">IF(NOT(Pipeline!$B18&lt;&gt;""),0,IF(E_MaxTariff_On=1,IF(Pipeline!$R18&lt;=E_MaxTariff,1,0),1))</f>
        <v>1</v>
      </c>
      <c r="M18" s="25" t="n">
        <f aca="false">IF(NOT(Pipeline!$B18&lt;&gt;""),0,IF(E_MinPU_On=1,IF($F18&gt;=E_MinPU,1,0),1))</f>
        <v>1</v>
      </c>
      <c r="N18" s="25" t="n">
        <f aca="false">IF(NOT(Pipeline!$B18&lt;&gt;""),0,IF(E_Country_On=1,IF(IFERROR(INDEX('Fund Parameters'!$B$51:$B$58,MATCH(Pipeline!$C18,'Fund Parameters'!$A$51:$A$58,0))="Y",FALSE()),1,0),1))</f>
        <v>1</v>
      </c>
      <c r="O18" s="21" t="n">
        <f aca="false">IF(AND(Pipeline!$B18&lt;&gt;"",$G18*$H18*$I18*$J18*$K18*$L18*$M18*$N18=1),1,0)</f>
        <v>1</v>
      </c>
      <c r="P18" s="30" t="str">
        <f aca="false">IF(NOT(Pipeline!$B18&lt;&gt;""),"",IF($O18=1,"Eligible",IF($G18=0,"Too few connections",IF($H18=0,"CAPEX per connection too high",IF($I18=0,"Renewable share too low",IF($J18=0,"Private co-finance too low",IF($K18=0,"Not ready enough",IF($L18=0,"Tariff above cap",IF($M18=0,"Productive use too low",IF($N18=0,"Country not eligible",""))))))))))</f>
        <v>Eligible</v>
      </c>
      <c r="Q18" s="28" t="n">
        <f aca="false">Pipeline!$J18*RBF_HH+Pipeline!$K18*RBF_PU+Pipeline!$L18*RBF_COM+Pipeline!$M18*RBF_INST</f>
        <v>175000</v>
      </c>
      <c r="R18" s="28" t="n">
        <f aca="false">Pipeline!$N18*GrantPct</f>
        <v>425000</v>
      </c>
      <c r="S18" s="28" t="n">
        <f aca="false">MAX(0,MIN($Q18+$R18,MaxSupportPct*Pipeline!$N18-Pipeline!$Q18,MaxPerProject,MaxProjShare*Envelope))</f>
        <v>382500</v>
      </c>
      <c r="T18" s="28" t="n">
        <f aca="false">IF($O18=1,IF(Pipeline!$V18&gt;0,MIN(Pipeline!$V18,$S18),$S18),0)</f>
        <v>382500</v>
      </c>
      <c r="U18" s="29" t="n">
        <f aca="false">IFERROR($Q18/($Q18+$R18),1)</f>
        <v>0.291666666666667</v>
      </c>
      <c r="V18" s="28" t="n">
        <f aca="false">IFERROR($T18/$C18,0)</f>
        <v>294.684129429892</v>
      </c>
      <c r="W18" s="31" t="n">
        <f aca="false">IFERROR((Pipeline!$O18+Pipeline!$P18)/$T18,0)</f>
        <v>1.83006535947712</v>
      </c>
      <c r="X18" s="32" t="n">
        <f aca="false">IFERROR(Pipeline!$T18/$T18*1000,0)</f>
        <v>19.6078431372549</v>
      </c>
      <c r="Y18" s="30" t="str">
        <f aca="false">IF($O18=0,"",IF(NOT(ISNUMBER(Pipeline!$U18)),"No viability-gap data",IF(Pipeline!$U18&lt;=0,"No viability-gap data",IF($T18&lt;=Pipeline!$U18*(1+VGFTol),"Within viability gap","Above viability gap"))))</f>
        <v>Within viability gap</v>
      </c>
      <c r="Z18" s="33" t="n">
        <f aca="false">IF($O18=1,IFERROR($AN18/MAX($AN$7:$AN$31)*100,0),0)</f>
        <v>75.7292882147025</v>
      </c>
      <c r="AA18" s="33" t="n">
        <f aca="false">IF($O18=1,IFERROR($AO18/MAX($AO$7:$AO$31)*100,0),0)</f>
        <v>70</v>
      </c>
      <c r="AB18" s="33" t="n">
        <f aca="false">IF($O18=1,IFERROR($AP18/MAX($AP$7:$AP$31)*100,0),0)</f>
        <v>72.3090468853181</v>
      </c>
      <c r="AC18" s="33" t="n">
        <f aca="false">IF($O18=1,IFERROR($AQ18/MAX($AQ$7:$AQ$31)*100,0),0)</f>
        <v>62.5</v>
      </c>
      <c r="AD18" s="33" t="n">
        <f aca="false">IF($O18=1,Pipeline!$F18/5*100,0)</f>
        <v>60</v>
      </c>
      <c r="AE18" s="33" t="n">
        <f aca="false">IF($O18=1,Pipeline!$G18/5*100,0)</f>
        <v>100</v>
      </c>
      <c r="AF18" s="33" t="n">
        <f aca="false">IF($O18=1,(6-Pipeline!$H18)/5*100,0)</f>
        <v>60</v>
      </c>
      <c r="AG18" s="33" t="n">
        <f aca="false">IF($O18=1,IF($Y18="Within viability gap",100,IF($Y18="Above viability gap",0,50)),0)</f>
        <v>100</v>
      </c>
      <c r="AH18" s="34" t="n">
        <f aca="false">$Z18*W_Cost+$AA18*W_Lev+$AB18*W_PU+$AC18*W_CO2+$AD18*W_Ready+$AE18*W_Track+$AF18*W_Risk+$AG18*W_Add</f>
        <v>75.5286790864733</v>
      </c>
      <c r="AI18" s="35" t="n">
        <f aca="false">IF($O18=1,$AH18+(26-$A18)/1000000,-1)</f>
        <v>75.5286930864733</v>
      </c>
      <c r="AJ18" s="21" t="n">
        <f aca="false">IF($O18=1,COUNTIF($AI$7:$AI$31,"&gt;"&amp;$AI18)+1,"")</f>
        <v>3</v>
      </c>
      <c r="AK18" s="36" t="n">
        <f aca="false">SUMIF(Allocation!$B$7:$B$31,12,Allocation!$I$7:$I$31)</f>
        <v>382500</v>
      </c>
      <c r="AL18" s="29" t="n">
        <f aca="false">IFERROR($AK18/$T18,0)</f>
        <v>1</v>
      </c>
      <c r="AM18" s="30" t="str">
        <f aca="false">IF($O18=0,"",IF($AL18&gt;=0.999,"Funded",IF($AK18&gt;0,"Partially funded","Not funded")))</f>
        <v>Funded</v>
      </c>
      <c r="AN18" s="37" t="n">
        <f aca="false">IF(AND($O18=1,$V18&gt;0),1/$V18,0)</f>
        <v>0.00339346405228758</v>
      </c>
      <c r="AO18" s="38" t="n">
        <f aca="false">IF($O18=1,$W18,0)</f>
        <v>1.83006535947712</v>
      </c>
      <c r="AP18" s="39" t="n">
        <f aca="false">IF($O18=1,$F18,0)</f>
        <v>0.115562403697997</v>
      </c>
      <c r="AQ18" s="37" t="n">
        <f aca="false">IF(AND($O18=1,$T18&gt;0),Pipeline!$T18/$T18,0)</f>
        <v>0.0196078431372549</v>
      </c>
    </row>
    <row r="19" customFormat="false" ht="15" hidden="false" customHeight="false" outlineLevel="0" collapsed="false">
      <c r="A19" s="25" t="n">
        <f aca="false">13</f>
        <v>13</v>
      </c>
      <c r="B19" s="26" t="str">
        <f aca="false">IF(Pipeline!$B19&lt;&gt;"",Pipeline!$B19,"")</f>
        <v>Project M - Small pilot</v>
      </c>
      <c r="C19" s="27" t="n">
        <f aca="false">SUM(Pipeline!$J19:$M19)</f>
        <v>182</v>
      </c>
      <c r="D19" s="28" t="n">
        <f aca="false">IFERROR(Pipeline!$N19/$C19,0)</f>
        <v>1648.35164835165</v>
      </c>
      <c r="E19" s="29" t="n">
        <f aca="false">IFERROR((Pipeline!$O19+Pipeline!$P19)/Pipeline!$N19,0)</f>
        <v>0.166666666666667</v>
      </c>
      <c r="F19" s="29" t="n">
        <f aca="false">IFERROR(Pipeline!$K19/$C19,0)</f>
        <v>0.0549450549450549</v>
      </c>
      <c r="G19" s="25" t="n">
        <f aca="false">IF(NOT(Pipeline!$B19&lt;&gt;""),0,IF(E_MinConn_On=1,IF($C19&gt;=E_MinConn,1,0),1))</f>
        <v>0</v>
      </c>
      <c r="H19" s="25" t="n">
        <f aca="false">IF(NOT(Pipeline!$B19&lt;&gt;""),0,IF(E_MaxCapexConn_On=1,IF($D19&lt;=E_MaxCapexConn,1,0),1))</f>
        <v>1</v>
      </c>
      <c r="I19" s="25" t="n">
        <f aca="false">IF(NOT(Pipeline!$B19&lt;&gt;""),0,IF(E_MinRE_On=1,IF(Pipeline!$S19&gt;=E_MinRE,1,0),1))</f>
        <v>1</v>
      </c>
      <c r="J19" s="25" t="n">
        <f aca="false">IF(NOT(Pipeline!$B19&lt;&gt;""),0,IF(E_MinPrivate_On=1,IF($E19&gt;=E_MinPrivate,1,0),1))</f>
        <v>0</v>
      </c>
      <c r="K19" s="25" t="n">
        <f aca="false">IF(NOT(Pipeline!$B19&lt;&gt;""),0,IF(E_MinReady_On=1,IF(Pipeline!$F19&gt;=E_MinReady,1,0),1))</f>
        <v>1</v>
      </c>
      <c r="L19" s="25" t="n">
        <f aca="false">IF(NOT(Pipeline!$B19&lt;&gt;""),0,IF(E_MaxTariff_On=1,IF(Pipeline!$R19&lt;=E_MaxTariff,1,0),1))</f>
        <v>1</v>
      </c>
      <c r="M19" s="25" t="n">
        <f aca="false">IF(NOT(Pipeline!$B19&lt;&gt;""),0,IF(E_MinPU_On=1,IF($F19&gt;=E_MinPU,1,0),1))</f>
        <v>1</v>
      </c>
      <c r="N19" s="25" t="n">
        <f aca="false">IF(NOT(Pipeline!$B19&lt;&gt;""),0,IF(E_Country_On=1,IF(IFERROR(INDEX('Fund Parameters'!$B$51:$B$58,MATCH(Pipeline!$C19,'Fund Parameters'!$A$51:$A$58,0))="Y",FALSE()),1,0),1))</f>
        <v>1</v>
      </c>
      <c r="O19" s="21" t="n">
        <f aca="false">IF(AND(Pipeline!$B19&lt;&gt;"",$G19*$H19*$I19*$J19*$K19*$L19*$M19*$N19=1),1,0)</f>
        <v>0</v>
      </c>
      <c r="P19" s="30" t="str">
        <f aca="false">IF(NOT(Pipeline!$B19&lt;&gt;""),"",IF($O19=1,"Eligible",IF($G19=0,"Too few connections",IF($H19=0,"CAPEX per connection too high",IF($I19=0,"Renewable share too low",IF($J19=0,"Private co-finance too low",IF($K19=0,"Not ready enough",IF($L19=0,"Tariff above cap",IF($M19=0,"Productive use too low",IF($N19=0,"Country not eligible",""))))))))))</f>
        <v>Too few connections</v>
      </c>
      <c r="Q19" s="28" t="n">
        <f aca="false">Pipeline!$J19*RBF_HH+Pipeline!$K19*RBF_PU+Pipeline!$L19*RBF_COM+Pipeline!$M19*RBF_INST</f>
        <v>22500</v>
      </c>
      <c r="R19" s="28" t="n">
        <f aca="false">Pipeline!$N19*GrantPct</f>
        <v>75000</v>
      </c>
      <c r="S19" s="28" t="n">
        <f aca="false">MAX(0,MIN($Q19+$R19,MaxSupportPct*Pipeline!$N19-Pipeline!$Q19,MaxPerProject,MaxProjShare*Envelope))</f>
        <v>97500</v>
      </c>
      <c r="T19" s="28" t="n">
        <f aca="false">IF($O19=1,IF(Pipeline!$V19&gt;0,MIN(Pipeline!$V19,$S19),$S19),0)</f>
        <v>0</v>
      </c>
      <c r="U19" s="29" t="n">
        <f aca="false">IFERROR($Q19/($Q19+$R19),1)</f>
        <v>0.230769230769231</v>
      </c>
      <c r="V19" s="28" t="n">
        <f aca="false">IFERROR($T19/$C19,0)</f>
        <v>0</v>
      </c>
      <c r="W19" s="31" t="n">
        <f aca="false">IFERROR((Pipeline!$O19+Pipeline!$P19)/$T19,0)</f>
        <v>0</v>
      </c>
      <c r="X19" s="32" t="n">
        <f aca="false">IFERROR(Pipeline!$T19/$T19*1000,0)</f>
        <v>0</v>
      </c>
      <c r="Y19" s="30" t="str">
        <f aca="false">IF($O19=0,"",IF(NOT(ISNUMBER(Pipeline!$U19)),"No viability-gap data",IF(Pipeline!$U19&lt;=0,"No viability-gap data",IF($T19&lt;=Pipeline!$U19*(1+VGFTol),"Within viability gap","Above viability gap"))))</f>
        <v/>
      </c>
      <c r="Z19" s="33" t="n">
        <f aca="false">IF($O19=1,IFERROR($AN19/MAX($AN$7:$AN$31)*100,0),0)</f>
        <v>0</v>
      </c>
      <c r="AA19" s="33" t="n">
        <f aca="false">IF($O19=1,IFERROR($AO19/MAX($AO$7:$AO$31)*100,0),0)</f>
        <v>0</v>
      </c>
      <c r="AB19" s="33" t="n">
        <f aca="false">IF($O19=1,IFERROR($AP19/MAX($AP$7:$AP$31)*100,0),0)</f>
        <v>0</v>
      </c>
      <c r="AC19" s="33" t="n">
        <f aca="false">IF($O19=1,IFERROR($AQ19/MAX($AQ$7:$AQ$31)*100,0),0)</f>
        <v>0</v>
      </c>
      <c r="AD19" s="33" t="n">
        <f aca="false">IF($O19=1,Pipeline!$F19/5*100,0)</f>
        <v>0</v>
      </c>
      <c r="AE19" s="33" t="n">
        <f aca="false">IF($O19=1,Pipeline!$G19/5*100,0)</f>
        <v>0</v>
      </c>
      <c r="AF19" s="33" t="n">
        <f aca="false">IF($O19=1,(6-Pipeline!$H19)/5*100,0)</f>
        <v>0</v>
      </c>
      <c r="AG19" s="33" t="n">
        <f aca="false">IF($O19=1,IF($Y19="Within viability gap",100,IF($Y19="Above viability gap",0,50)),0)</f>
        <v>0</v>
      </c>
      <c r="AH19" s="34" t="n">
        <f aca="false">$Z19*W_Cost+$AA19*W_Lev+$AB19*W_PU+$AC19*W_CO2+$AD19*W_Ready+$AE19*W_Track+$AF19*W_Risk+$AG19*W_Add</f>
        <v>0</v>
      </c>
      <c r="AI19" s="35" t="n">
        <f aca="false">IF($O19=1,$AH19+(26-$A19)/1000000,-1)</f>
        <v>-1</v>
      </c>
      <c r="AJ19" s="21" t="str">
        <f aca="false">IF($O19=1,COUNTIF($AI$7:$AI$31,"&gt;"&amp;$AI19)+1,"")</f>
        <v/>
      </c>
      <c r="AK19" s="36" t="n">
        <f aca="false">SUMIF(Allocation!$B$7:$B$31,13,Allocation!$I$7:$I$31)</f>
        <v>0</v>
      </c>
      <c r="AL19" s="29" t="n">
        <f aca="false">IFERROR($AK19/$T19,0)</f>
        <v>0</v>
      </c>
      <c r="AM19" s="30" t="str">
        <f aca="false">IF($O19=0,"",IF($AL19&gt;=0.999,"Funded",IF($AK19&gt;0,"Partially funded","Not funded")))</f>
        <v/>
      </c>
      <c r="AN19" s="37" t="n">
        <f aca="false">IF(AND($O19=1,$V19&gt;0),1/$V19,0)</f>
        <v>0</v>
      </c>
      <c r="AO19" s="38" t="n">
        <f aca="false">IF($O19=1,$W19,0)</f>
        <v>0</v>
      </c>
      <c r="AP19" s="39" t="n">
        <f aca="false">IF($O19=1,$F19,0)</f>
        <v>0</v>
      </c>
      <c r="AQ19" s="37" t="n">
        <f aca="false">IF(AND($O19=1,$T19&gt;0),Pipeline!$T19/$T19,0)</f>
        <v>0</v>
      </c>
    </row>
    <row r="20" customFormat="false" ht="15" hidden="false" customHeight="false" outlineLevel="0" collapsed="false">
      <c r="A20" s="25" t="n">
        <f aca="false">14</f>
        <v>14</v>
      </c>
      <c r="B20" s="26" t="str">
        <f aca="false">IF(Pipeline!$B20&lt;&gt;"",Pipeline!$B20,"")</f>
        <v>Project N - Lakeside expansion</v>
      </c>
      <c r="C20" s="27" t="n">
        <f aca="false">SUM(Pipeline!$J20:$M20)</f>
        <v>1014</v>
      </c>
      <c r="D20" s="28" t="n">
        <f aca="false">IFERROR(Pipeline!$N20/$C20,0)</f>
        <v>1232.741617357</v>
      </c>
      <c r="E20" s="29" t="n">
        <f aca="false">IFERROR((Pipeline!$O20+Pipeline!$P20)/Pipeline!$N20,0)</f>
        <v>0.44</v>
      </c>
      <c r="F20" s="29" t="n">
        <f aca="false">IFERROR(Pipeline!$K20/$C20,0)</f>
        <v>0.0542406311637081</v>
      </c>
      <c r="G20" s="25" t="n">
        <f aca="false">IF(NOT(Pipeline!$B20&lt;&gt;""),0,IF(E_MinConn_On=1,IF($C20&gt;=E_MinConn,1,0),1))</f>
        <v>1</v>
      </c>
      <c r="H20" s="25" t="n">
        <f aca="false">IF(NOT(Pipeline!$B20&lt;&gt;""),0,IF(E_MaxCapexConn_On=1,IF($D20&lt;=E_MaxCapexConn,1,0),1))</f>
        <v>1</v>
      </c>
      <c r="I20" s="25" t="n">
        <f aca="false">IF(NOT(Pipeline!$B20&lt;&gt;""),0,IF(E_MinRE_On=1,IF(Pipeline!$S20&gt;=E_MinRE,1,0),1))</f>
        <v>1</v>
      </c>
      <c r="J20" s="25" t="n">
        <f aca="false">IF(NOT(Pipeline!$B20&lt;&gt;""),0,IF(E_MinPrivate_On=1,IF($E20&gt;=E_MinPrivate,1,0),1))</f>
        <v>1</v>
      </c>
      <c r="K20" s="25" t="n">
        <f aca="false">IF(NOT(Pipeline!$B20&lt;&gt;""),0,IF(E_MinReady_On=1,IF(Pipeline!$F20&gt;=E_MinReady,1,0),1))</f>
        <v>1</v>
      </c>
      <c r="L20" s="25" t="n">
        <f aca="false">IF(NOT(Pipeline!$B20&lt;&gt;""),0,IF(E_MaxTariff_On=1,IF(Pipeline!$R20&lt;=E_MaxTariff,1,0),1))</f>
        <v>1</v>
      </c>
      <c r="M20" s="25" t="n">
        <f aca="false">IF(NOT(Pipeline!$B20&lt;&gt;""),0,IF(E_MinPU_On=1,IF($F20&gt;=E_MinPU,1,0),1))</f>
        <v>1</v>
      </c>
      <c r="N20" s="25" t="n">
        <f aca="false">IF(NOT(Pipeline!$B20&lt;&gt;""),0,IF(E_Country_On=1,IF(IFERROR(INDEX('Fund Parameters'!$B$51:$B$58,MATCH(Pipeline!$C20,'Fund Parameters'!$A$51:$A$58,0))="Y",FALSE()),1,0),1))</f>
        <v>1</v>
      </c>
      <c r="O20" s="21" t="n">
        <f aca="false">IF(AND(Pipeline!$B20&lt;&gt;"",$G20*$H20*$I20*$J20*$K20*$L20*$M20*$N20=1),1,0)</f>
        <v>1</v>
      </c>
      <c r="P20" s="30" t="str">
        <f aca="false">IF(NOT(Pipeline!$B20&lt;&gt;""),"",IF($O20=1,"Eligible",IF($G20=0,"Too few connections",IF($H20=0,"CAPEX per connection too high",IF($I20=0,"Renewable share too low",IF($J20=0,"Private co-finance too low",IF($K20=0,"Not ready enough",IF($L20=0,"Tariff above cap",IF($M20=0,"Productive use too low",IF($N20=0,"Country not eligible",""))))))))))</f>
        <v>Eligible</v>
      </c>
      <c r="Q20" s="28" t="n">
        <f aca="false">Pipeline!$J20*RBF_HH+Pipeline!$K20*RBF_PU+Pipeline!$L20*RBF_COM+Pipeline!$M20*RBF_INST</f>
        <v>123750</v>
      </c>
      <c r="R20" s="28" t="n">
        <f aca="false">Pipeline!$N20*GrantPct</f>
        <v>312500</v>
      </c>
      <c r="S20" s="28" t="n">
        <f aca="false">MAX(0,MIN($Q20+$R20,MaxSupportPct*Pipeline!$N20-Pipeline!$Q20,MaxPerProject,MaxProjShare*Envelope))</f>
        <v>382500</v>
      </c>
      <c r="T20" s="28" t="n">
        <f aca="false">IF($O20=1,IF(Pipeline!$V20&gt;0,MIN(Pipeline!$V20,$S20),$S20),0)</f>
        <v>382500</v>
      </c>
      <c r="U20" s="29" t="n">
        <f aca="false">IFERROR($Q20/($Q20+$R20),1)</f>
        <v>0.283667621776504</v>
      </c>
      <c r="V20" s="28" t="n">
        <f aca="false">IFERROR($T20/$C20,0)</f>
        <v>377.218934911243</v>
      </c>
      <c r="W20" s="31" t="n">
        <f aca="false">IFERROR((Pipeline!$O20+Pipeline!$P20)/$T20,0)</f>
        <v>1.43790849673203</v>
      </c>
      <c r="X20" s="32" t="n">
        <f aca="false">IFERROR(Pipeline!$T20/$T20*1000,0)</f>
        <v>17.7777777777778</v>
      </c>
      <c r="Y20" s="30" t="str">
        <f aca="false">IF($O20=0,"",IF(NOT(ISNUMBER(Pipeline!$U20)),"No viability-gap data",IF(Pipeline!$U20&lt;=0,"No viability-gap data",IF($T20&lt;=Pipeline!$U20*(1+VGFTol),"Within viability gap","Above viability gap"))))</f>
        <v>Within viability gap</v>
      </c>
      <c r="Z20" s="33" t="n">
        <f aca="false">IF($O20=1,IFERROR($AN20/MAX($AN$7:$AN$31)*100,0),0)</f>
        <v>59.1598599766628</v>
      </c>
      <c r="AA20" s="33" t="n">
        <f aca="false">IF($O20=1,IFERROR($AO20/MAX($AO$7:$AO$31)*100,0),0)</f>
        <v>55</v>
      </c>
      <c r="AB20" s="33" t="n">
        <f aca="false">IF($O20=1,IFERROR($AP20/MAX($AP$7:$AP$31)*100,0),0)</f>
        <v>33.9391377852916</v>
      </c>
      <c r="AC20" s="33" t="n">
        <f aca="false">IF($O20=1,IFERROR($AQ20/MAX($AQ$7:$AQ$31)*100,0),0)</f>
        <v>56.6666666666667</v>
      </c>
      <c r="AD20" s="33" t="n">
        <f aca="false">IF($O20=1,Pipeline!$F20/5*100,0)</f>
        <v>80</v>
      </c>
      <c r="AE20" s="33" t="n">
        <f aca="false">IF($O20=1,Pipeline!$G20/5*100,0)</f>
        <v>80</v>
      </c>
      <c r="AF20" s="33" t="n">
        <f aca="false">IF($O20=1,(6-Pipeline!$H20)/5*100,0)</f>
        <v>80</v>
      </c>
      <c r="AG20" s="33" t="n">
        <f aca="false">IF($O20=1,IF($Y20="Within viability gap",100,IF($Y20="Above viability gap",0,50)),0)</f>
        <v>100</v>
      </c>
      <c r="AH20" s="34" t="n">
        <f aca="false">$Z20*W_Cost+$AA20*W_Lev+$AB20*W_PU+$AC20*W_CO2+$AD20*W_Ready+$AE20*W_Track+$AF20*W_Risk+$AG20*W_Add</f>
        <v>63.7975023286261</v>
      </c>
      <c r="AI20" s="35" t="n">
        <f aca="false">IF($O20=1,$AH20+(26-$A20)/1000000,-1)</f>
        <v>63.7975143286261</v>
      </c>
      <c r="AJ20" s="21" t="n">
        <f aca="false">IF($O20=1,COUNTIF($AI$7:$AI$31,"&gt;"&amp;$AI20)+1,"")</f>
        <v>6</v>
      </c>
      <c r="AK20" s="36" t="n">
        <f aca="false">SUMIF(Allocation!$B$7:$B$31,14,Allocation!$I$7:$I$31)</f>
        <v>127500</v>
      </c>
      <c r="AL20" s="29" t="n">
        <f aca="false">IFERROR($AK20/$T20,0)</f>
        <v>0.333333333333333</v>
      </c>
      <c r="AM20" s="30" t="str">
        <f aca="false">IF($O20=0,"",IF($AL20&gt;=0.999,"Funded",IF($AK20&gt;0,"Partially funded","Not funded")))</f>
        <v>Partially funded</v>
      </c>
      <c r="AN20" s="37" t="n">
        <f aca="false">IF(AND($O20=1,$V20&gt;0),1/$V20,0)</f>
        <v>0.00265098039215686</v>
      </c>
      <c r="AO20" s="38" t="n">
        <f aca="false">IF($O20=1,$W20,0)</f>
        <v>1.43790849673203</v>
      </c>
      <c r="AP20" s="39" t="n">
        <f aca="false">IF($O20=1,$F20,0)</f>
        <v>0.0542406311637081</v>
      </c>
      <c r="AQ20" s="37" t="n">
        <f aca="false">IF(AND($O20=1,$T20&gt;0),Pipeline!$T20/$T20,0)</f>
        <v>0.0177777777777778</v>
      </c>
    </row>
    <row r="21" customFormat="false" ht="15" hidden="false" customHeight="false" outlineLevel="0" collapsed="false">
      <c r="A21" s="25" t="n">
        <f aca="false">15</f>
        <v>15</v>
      </c>
      <c r="B21" s="26" t="str">
        <f aca="false">IF(Pipeline!$B21&lt;&gt;"",Pipeline!$B21,"")</f>
        <v/>
      </c>
      <c r="C21" s="27" t="n">
        <f aca="false">SUM(Pipeline!$J21:$M21)</f>
        <v>0</v>
      </c>
      <c r="D21" s="28" t="n">
        <f aca="false">IFERROR(Pipeline!$N21/$C21,0)</f>
        <v>0</v>
      </c>
      <c r="E21" s="29" t="n">
        <f aca="false">IFERROR((Pipeline!$O21+Pipeline!$P21)/Pipeline!$N21,0)</f>
        <v>0</v>
      </c>
      <c r="F21" s="29" t="n">
        <f aca="false">IFERROR(Pipeline!$K21/$C21,0)</f>
        <v>0</v>
      </c>
      <c r="G21" s="25" t="n">
        <f aca="false">IF(NOT(Pipeline!$B21&lt;&gt;""),0,IF(E_MinConn_On=1,IF($C21&gt;=E_MinConn,1,0),1))</f>
        <v>0</v>
      </c>
      <c r="H21" s="25" t="n">
        <f aca="false">IF(NOT(Pipeline!$B21&lt;&gt;""),0,IF(E_MaxCapexConn_On=1,IF($D21&lt;=E_MaxCapexConn,1,0),1))</f>
        <v>0</v>
      </c>
      <c r="I21" s="25" t="n">
        <f aca="false">IF(NOT(Pipeline!$B21&lt;&gt;""),0,IF(E_MinRE_On=1,IF(Pipeline!$S21&gt;=E_MinRE,1,0),1))</f>
        <v>0</v>
      </c>
      <c r="J21" s="25" t="n">
        <f aca="false">IF(NOT(Pipeline!$B21&lt;&gt;""),0,IF(E_MinPrivate_On=1,IF($E21&gt;=E_MinPrivate,1,0),1))</f>
        <v>0</v>
      </c>
      <c r="K21" s="25" t="n">
        <f aca="false">IF(NOT(Pipeline!$B21&lt;&gt;""),0,IF(E_MinReady_On=1,IF(Pipeline!$F21&gt;=E_MinReady,1,0),1))</f>
        <v>0</v>
      </c>
      <c r="L21" s="25" t="n">
        <f aca="false">IF(NOT(Pipeline!$B21&lt;&gt;""),0,IF(E_MaxTariff_On=1,IF(Pipeline!$R21&lt;=E_MaxTariff,1,0),1))</f>
        <v>0</v>
      </c>
      <c r="M21" s="25" t="n">
        <f aca="false">IF(NOT(Pipeline!$B21&lt;&gt;""),0,IF(E_MinPU_On=1,IF($F21&gt;=E_MinPU,1,0),1))</f>
        <v>0</v>
      </c>
      <c r="N21" s="25" t="n">
        <f aca="false">IF(NOT(Pipeline!$B21&lt;&gt;""),0,IF(E_Country_On=1,IF(IFERROR(INDEX('Fund Parameters'!$B$51:$B$58,MATCH(Pipeline!$C21,'Fund Parameters'!$A$51:$A$58,0))="Y",FALSE()),1,0),1))</f>
        <v>0</v>
      </c>
      <c r="O21" s="21" t="n">
        <f aca="false">IF(AND(Pipeline!$B21&lt;&gt;"",$G21*$H21*$I21*$J21*$K21*$L21*$M21*$N21=1),1,0)</f>
        <v>0</v>
      </c>
      <c r="P21" s="30" t="str">
        <f aca="false">IF(NOT(Pipeline!$B21&lt;&gt;""),"",IF($O21=1,"Eligible",IF($G21=0,"Too few connections",IF($H21=0,"CAPEX per connection too high",IF($I21=0,"Renewable share too low",IF($J21=0,"Private co-finance too low",IF($K21=0,"Not ready enough",IF($L21=0,"Tariff above cap",IF($M21=0,"Productive use too low",IF($N21=0,"Country not eligible",""))))))))))</f>
        <v/>
      </c>
      <c r="Q21" s="28" t="n">
        <f aca="false">Pipeline!$J21*RBF_HH+Pipeline!$K21*RBF_PU+Pipeline!$L21*RBF_COM+Pipeline!$M21*RBF_INST</f>
        <v>0</v>
      </c>
      <c r="R21" s="28" t="n">
        <f aca="false">Pipeline!$N21*GrantPct</f>
        <v>0</v>
      </c>
      <c r="S21" s="28" t="n">
        <f aca="false">MAX(0,MIN($Q21+$R21,MaxSupportPct*Pipeline!$N21-Pipeline!$Q21,MaxPerProject,MaxProjShare*Envelope))</f>
        <v>0</v>
      </c>
      <c r="T21" s="28" t="n">
        <f aca="false">IF($O21=1,IF(Pipeline!$V21&gt;0,MIN(Pipeline!$V21,$S21),$S21),0)</f>
        <v>0</v>
      </c>
      <c r="U21" s="29" t="n">
        <f aca="false">IFERROR($Q21/($Q21+$R21),1)</f>
        <v>1</v>
      </c>
      <c r="V21" s="28" t="n">
        <f aca="false">IFERROR($T21/$C21,0)</f>
        <v>0</v>
      </c>
      <c r="W21" s="31" t="n">
        <f aca="false">IFERROR((Pipeline!$O21+Pipeline!$P21)/$T21,0)</f>
        <v>0</v>
      </c>
      <c r="X21" s="32" t="n">
        <f aca="false">IFERROR(Pipeline!$T21/$T21*1000,0)</f>
        <v>0</v>
      </c>
      <c r="Y21" s="30" t="str">
        <f aca="false">IF($O21=0,"",IF(NOT(ISNUMBER(Pipeline!$U21)),"No viability-gap data",IF(Pipeline!$U21&lt;=0,"No viability-gap data",IF($T21&lt;=Pipeline!$U21*(1+VGFTol),"Within viability gap","Above viability gap"))))</f>
        <v/>
      </c>
      <c r="Z21" s="33" t="n">
        <f aca="false">IF($O21=1,IFERROR($AN21/MAX($AN$7:$AN$31)*100,0),0)</f>
        <v>0</v>
      </c>
      <c r="AA21" s="33" t="n">
        <f aca="false">IF($O21=1,IFERROR($AO21/MAX($AO$7:$AO$31)*100,0),0)</f>
        <v>0</v>
      </c>
      <c r="AB21" s="33" t="n">
        <f aca="false">IF($O21=1,IFERROR($AP21/MAX($AP$7:$AP$31)*100,0),0)</f>
        <v>0</v>
      </c>
      <c r="AC21" s="33" t="n">
        <f aca="false">IF($O21=1,IFERROR($AQ21/MAX($AQ$7:$AQ$31)*100,0),0)</f>
        <v>0</v>
      </c>
      <c r="AD21" s="33" t="n">
        <f aca="false">IF($O21=1,Pipeline!$F21/5*100,0)</f>
        <v>0</v>
      </c>
      <c r="AE21" s="33" t="n">
        <f aca="false">IF($O21=1,Pipeline!$G21/5*100,0)</f>
        <v>0</v>
      </c>
      <c r="AF21" s="33" t="n">
        <f aca="false">IF($O21=1,(6-Pipeline!$H21)/5*100,0)</f>
        <v>0</v>
      </c>
      <c r="AG21" s="33" t="n">
        <f aca="false">IF($O21=1,IF($Y21="Within viability gap",100,IF($Y21="Above viability gap",0,50)),0)</f>
        <v>0</v>
      </c>
      <c r="AH21" s="34" t="n">
        <f aca="false">$Z21*W_Cost+$AA21*W_Lev+$AB21*W_PU+$AC21*W_CO2+$AD21*W_Ready+$AE21*W_Track+$AF21*W_Risk+$AG21*W_Add</f>
        <v>0</v>
      </c>
      <c r="AI21" s="35" t="n">
        <f aca="false">IF($O21=1,$AH21+(26-$A21)/1000000,-1)</f>
        <v>-1</v>
      </c>
      <c r="AJ21" s="21" t="str">
        <f aca="false">IF($O21=1,COUNTIF($AI$7:$AI$31,"&gt;"&amp;$AI21)+1,"")</f>
        <v/>
      </c>
      <c r="AK21" s="36" t="n">
        <f aca="false">SUMIF(Allocation!$B$7:$B$31,15,Allocation!$I$7:$I$31)</f>
        <v>0</v>
      </c>
      <c r="AL21" s="29" t="n">
        <f aca="false">IFERROR($AK21/$T21,0)</f>
        <v>0</v>
      </c>
      <c r="AM21" s="30" t="str">
        <f aca="false">IF($O21=0,"",IF($AL21&gt;=0.999,"Funded",IF($AK21&gt;0,"Partially funded","Not funded")))</f>
        <v/>
      </c>
      <c r="AN21" s="37" t="n">
        <f aca="false">IF(AND($O21=1,$V21&gt;0),1/$V21,0)</f>
        <v>0</v>
      </c>
      <c r="AO21" s="38" t="n">
        <f aca="false">IF($O21=1,$W21,0)</f>
        <v>0</v>
      </c>
      <c r="AP21" s="39" t="n">
        <f aca="false">IF($O21=1,$F21,0)</f>
        <v>0</v>
      </c>
      <c r="AQ21" s="37" t="n">
        <f aca="false">IF(AND($O21=1,$T21&gt;0),Pipeline!$T21/$T21,0)</f>
        <v>0</v>
      </c>
    </row>
    <row r="22" customFormat="false" ht="15" hidden="false" customHeight="false" outlineLevel="0" collapsed="false">
      <c r="A22" s="25" t="n">
        <f aca="false">16</f>
        <v>16</v>
      </c>
      <c r="B22" s="26" t="str">
        <f aca="false">IF(Pipeline!$B22&lt;&gt;"",Pipeline!$B22,"")</f>
        <v/>
      </c>
      <c r="C22" s="27" t="n">
        <f aca="false">SUM(Pipeline!$J22:$M22)</f>
        <v>0</v>
      </c>
      <c r="D22" s="28" t="n">
        <f aca="false">IFERROR(Pipeline!$N22/$C22,0)</f>
        <v>0</v>
      </c>
      <c r="E22" s="29" t="n">
        <f aca="false">IFERROR((Pipeline!$O22+Pipeline!$P22)/Pipeline!$N22,0)</f>
        <v>0</v>
      </c>
      <c r="F22" s="29" t="n">
        <f aca="false">IFERROR(Pipeline!$K22/$C22,0)</f>
        <v>0</v>
      </c>
      <c r="G22" s="25" t="n">
        <f aca="false">IF(NOT(Pipeline!$B22&lt;&gt;""),0,IF(E_MinConn_On=1,IF($C22&gt;=E_MinConn,1,0),1))</f>
        <v>0</v>
      </c>
      <c r="H22" s="25" t="n">
        <f aca="false">IF(NOT(Pipeline!$B22&lt;&gt;""),0,IF(E_MaxCapexConn_On=1,IF($D22&lt;=E_MaxCapexConn,1,0),1))</f>
        <v>0</v>
      </c>
      <c r="I22" s="25" t="n">
        <f aca="false">IF(NOT(Pipeline!$B22&lt;&gt;""),0,IF(E_MinRE_On=1,IF(Pipeline!$S22&gt;=E_MinRE,1,0),1))</f>
        <v>0</v>
      </c>
      <c r="J22" s="25" t="n">
        <f aca="false">IF(NOT(Pipeline!$B22&lt;&gt;""),0,IF(E_MinPrivate_On=1,IF($E22&gt;=E_MinPrivate,1,0),1))</f>
        <v>0</v>
      </c>
      <c r="K22" s="25" t="n">
        <f aca="false">IF(NOT(Pipeline!$B22&lt;&gt;""),0,IF(E_MinReady_On=1,IF(Pipeline!$F22&gt;=E_MinReady,1,0),1))</f>
        <v>0</v>
      </c>
      <c r="L22" s="25" t="n">
        <f aca="false">IF(NOT(Pipeline!$B22&lt;&gt;""),0,IF(E_MaxTariff_On=1,IF(Pipeline!$R22&lt;=E_MaxTariff,1,0),1))</f>
        <v>0</v>
      </c>
      <c r="M22" s="25" t="n">
        <f aca="false">IF(NOT(Pipeline!$B22&lt;&gt;""),0,IF(E_MinPU_On=1,IF($F22&gt;=E_MinPU,1,0),1))</f>
        <v>0</v>
      </c>
      <c r="N22" s="25" t="n">
        <f aca="false">IF(NOT(Pipeline!$B22&lt;&gt;""),0,IF(E_Country_On=1,IF(IFERROR(INDEX('Fund Parameters'!$B$51:$B$58,MATCH(Pipeline!$C22,'Fund Parameters'!$A$51:$A$58,0))="Y",FALSE()),1,0),1))</f>
        <v>0</v>
      </c>
      <c r="O22" s="21" t="n">
        <f aca="false">IF(AND(Pipeline!$B22&lt;&gt;"",$G22*$H22*$I22*$J22*$K22*$L22*$M22*$N22=1),1,0)</f>
        <v>0</v>
      </c>
      <c r="P22" s="30" t="str">
        <f aca="false">IF(NOT(Pipeline!$B22&lt;&gt;""),"",IF($O22=1,"Eligible",IF($G22=0,"Too few connections",IF($H22=0,"CAPEX per connection too high",IF($I22=0,"Renewable share too low",IF($J22=0,"Private co-finance too low",IF($K22=0,"Not ready enough",IF($L22=0,"Tariff above cap",IF($M22=0,"Productive use too low",IF($N22=0,"Country not eligible",""))))))))))</f>
        <v/>
      </c>
      <c r="Q22" s="28" t="n">
        <f aca="false">Pipeline!$J22*RBF_HH+Pipeline!$K22*RBF_PU+Pipeline!$L22*RBF_COM+Pipeline!$M22*RBF_INST</f>
        <v>0</v>
      </c>
      <c r="R22" s="28" t="n">
        <f aca="false">Pipeline!$N22*GrantPct</f>
        <v>0</v>
      </c>
      <c r="S22" s="28" t="n">
        <f aca="false">MAX(0,MIN($Q22+$R22,MaxSupportPct*Pipeline!$N22-Pipeline!$Q22,MaxPerProject,MaxProjShare*Envelope))</f>
        <v>0</v>
      </c>
      <c r="T22" s="28" t="n">
        <f aca="false">IF($O22=1,IF(Pipeline!$V22&gt;0,MIN(Pipeline!$V22,$S22),$S22),0)</f>
        <v>0</v>
      </c>
      <c r="U22" s="29" t="n">
        <f aca="false">IFERROR($Q22/($Q22+$R22),1)</f>
        <v>1</v>
      </c>
      <c r="V22" s="28" t="n">
        <f aca="false">IFERROR($T22/$C22,0)</f>
        <v>0</v>
      </c>
      <c r="W22" s="31" t="n">
        <f aca="false">IFERROR((Pipeline!$O22+Pipeline!$P22)/$T22,0)</f>
        <v>0</v>
      </c>
      <c r="X22" s="32" t="n">
        <f aca="false">IFERROR(Pipeline!$T22/$T22*1000,0)</f>
        <v>0</v>
      </c>
      <c r="Y22" s="30" t="str">
        <f aca="false">IF($O22=0,"",IF(NOT(ISNUMBER(Pipeline!$U22)),"No viability-gap data",IF(Pipeline!$U22&lt;=0,"No viability-gap data",IF($T22&lt;=Pipeline!$U22*(1+VGFTol),"Within viability gap","Above viability gap"))))</f>
        <v/>
      </c>
      <c r="Z22" s="33" t="n">
        <f aca="false">IF($O22=1,IFERROR($AN22/MAX($AN$7:$AN$31)*100,0),0)</f>
        <v>0</v>
      </c>
      <c r="AA22" s="33" t="n">
        <f aca="false">IF($O22=1,IFERROR($AO22/MAX($AO$7:$AO$31)*100,0),0)</f>
        <v>0</v>
      </c>
      <c r="AB22" s="33" t="n">
        <f aca="false">IF($O22=1,IFERROR($AP22/MAX($AP$7:$AP$31)*100,0),0)</f>
        <v>0</v>
      </c>
      <c r="AC22" s="33" t="n">
        <f aca="false">IF($O22=1,IFERROR($AQ22/MAX($AQ$7:$AQ$31)*100,0),0)</f>
        <v>0</v>
      </c>
      <c r="AD22" s="33" t="n">
        <f aca="false">IF($O22=1,Pipeline!$F22/5*100,0)</f>
        <v>0</v>
      </c>
      <c r="AE22" s="33" t="n">
        <f aca="false">IF($O22=1,Pipeline!$G22/5*100,0)</f>
        <v>0</v>
      </c>
      <c r="AF22" s="33" t="n">
        <f aca="false">IF($O22=1,(6-Pipeline!$H22)/5*100,0)</f>
        <v>0</v>
      </c>
      <c r="AG22" s="33" t="n">
        <f aca="false">IF($O22=1,IF($Y22="Within viability gap",100,IF($Y22="Above viability gap",0,50)),0)</f>
        <v>0</v>
      </c>
      <c r="AH22" s="34" t="n">
        <f aca="false">$Z22*W_Cost+$AA22*W_Lev+$AB22*W_PU+$AC22*W_CO2+$AD22*W_Ready+$AE22*W_Track+$AF22*W_Risk+$AG22*W_Add</f>
        <v>0</v>
      </c>
      <c r="AI22" s="35" t="n">
        <f aca="false">IF($O22=1,$AH22+(26-$A22)/1000000,-1)</f>
        <v>-1</v>
      </c>
      <c r="AJ22" s="21" t="str">
        <f aca="false">IF($O22=1,COUNTIF($AI$7:$AI$31,"&gt;"&amp;$AI22)+1,"")</f>
        <v/>
      </c>
      <c r="AK22" s="36" t="n">
        <f aca="false">SUMIF(Allocation!$B$7:$B$31,16,Allocation!$I$7:$I$31)</f>
        <v>0</v>
      </c>
      <c r="AL22" s="29" t="n">
        <f aca="false">IFERROR($AK22/$T22,0)</f>
        <v>0</v>
      </c>
      <c r="AM22" s="30" t="str">
        <f aca="false">IF($O22=0,"",IF($AL22&gt;=0.999,"Funded",IF($AK22&gt;0,"Partially funded","Not funded")))</f>
        <v/>
      </c>
      <c r="AN22" s="37" t="n">
        <f aca="false">IF(AND($O22=1,$V22&gt;0),1/$V22,0)</f>
        <v>0</v>
      </c>
      <c r="AO22" s="38" t="n">
        <f aca="false">IF($O22=1,$W22,0)</f>
        <v>0</v>
      </c>
      <c r="AP22" s="39" t="n">
        <f aca="false">IF($O22=1,$F22,0)</f>
        <v>0</v>
      </c>
      <c r="AQ22" s="37" t="n">
        <f aca="false">IF(AND($O22=1,$T22&gt;0),Pipeline!$T22/$T22,0)</f>
        <v>0</v>
      </c>
    </row>
    <row r="23" customFormat="false" ht="15" hidden="false" customHeight="false" outlineLevel="0" collapsed="false">
      <c r="A23" s="25" t="n">
        <f aca="false">17</f>
        <v>17</v>
      </c>
      <c r="B23" s="26" t="str">
        <f aca="false">IF(Pipeline!$B23&lt;&gt;"",Pipeline!$B23,"")</f>
        <v/>
      </c>
      <c r="C23" s="27" t="n">
        <f aca="false">SUM(Pipeline!$J23:$M23)</f>
        <v>0</v>
      </c>
      <c r="D23" s="28" t="n">
        <f aca="false">IFERROR(Pipeline!$N23/$C23,0)</f>
        <v>0</v>
      </c>
      <c r="E23" s="29" t="n">
        <f aca="false">IFERROR((Pipeline!$O23+Pipeline!$P23)/Pipeline!$N23,0)</f>
        <v>0</v>
      </c>
      <c r="F23" s="29" t="n">
        <f aca="false">IFERROR(Pipeline!$K23/$C23,0)</f>
        <v>0</v>
      </c>
      <c r="G23" s="25" t="n">
        <f aca="false">IF(NOT(Pipeline!$B23&lt;&gt;""),0,IF(E_MinConn_On=1,IF($C23&gt;=E_MinConn,1,0),1))</f>
        <v>0</v>
      </c>
      <c r="H23" s="25" t="n">
        <f aca="false">IF(NOT(Pipeline!$B23&lt;&gt;""),0,IF(E_MaxCapexConn_On=1,IF($D23&lt;=E_MaxCapexConn,1,0),1))</f>
        <v>0</v>
      </c>
      <c r="I23" s="25" t="n">
        <f aca="false">IF(NOT(Pipeline!$B23&lt;&gt;""),0,IF(E_MinRE_On=1,IF(Pipeline!$S23&gt;=E_MinRE,1,0),1))</f>
        <v>0</v>
      </c>
      <c r="J23" s="25" t="n">
        <f aca="false">IF(NOT(Pipeline!$B23&lt;&gt;""),0,IF(E_MinPrivate_On=1,IF($E23&gt;=E_MinPrivate,1,0),1))</f>
        <v>0</v>
      </c>
      <c r="K23" s="25" t="n">
        <f aca="false">IF(NOT(Pipeline!$B23&lt;&gt;""),0,IF(E_MinReady_On=1,IF(Pipeline!$F23&gt;=E_MinReady,1,0),1))</f>
        <v>0</v>
      </c>
      <c r="L23" s="25" t="n">
        <f aca="false">IF(NOT(Pipeline!$B23&lt;&gt;""),0,IF(E_MaxTariff_On=1,IF(Pipeline!$R23&lt;=E_MaxTariff,1,0),1))</f>
        <v>0</v>
      </c>
      <c r="M23" s="25" t="n">
        <f aca="false">IF(NOT(Pipeline!$B23&lt;&gt;""),0,IF(E_MinPU_On=1,IF($F23&gt;=E_MinPU,1,0),1))</f>
        <v>0</v>
      </c>
      <c r="N23" s="25" t="n">
        <f aca="false">IF(NOT(Pipeline!$B23&lt;&gt;""),0,IF(E_Country_On=1,IF(IFERROR(INDEX('Fund Parameters'!$B$51:$B$58,MATCH(Pipeline!$C23,'Fund Parameters'!$A$51:$A$58,0))="Y",FALSE()),1,0),1))</f>
        <v>0</v>
      </c>
      <c r="O23" s="21" t="n">
        <f aca="false">IF(AND(Pipeline!$B23&lt;&gt;"",$G23*$H23*$I23*$J23*$K23*$L23*$M23*$N23=1),1,0)</f>
        <v>0</v>
      </c>
      <c r="P23" s="30" t="str">
        <f aca="false">IF(NOT(Pipeline!$B23&lt;&gt;""),"",IF($O23=1,"Eligible",IF($G23=0,"Too few connections",IF($H23=0,"CAPEX per connection too high",IF($I23=0,"Renewable share too low",IF($J23=0,"Private co-finance too low",IF($K23=0,"Not ready enough",IF($L23=0,"Tariff above cap",IF($M23=0,"Productive use too low",IF($N23=0,"Country not eligible",""))))))))))</f>
        <v/>
      </c>
      <c r="Q23" s="28" t="n">
        <f aca="false">Pipeline!$J23*RBF_HH+Pipeline!$K23*RBF_PU+Pipeline!$L23*RBF_COM+Pipeline!$M23*RBF_INST</f>
        <v>0</v>
      </c>
      <c r="R23" s="28" t="n">
        <f aca="false">Pipeline!$N23*GrantPct</f>
        <v>0</v>
      </c>
      <c r="S23" s="28" t="n">
        <f aca="false">MAX(0,MIN($Q23+$R23,MaxSupportPct*Pipeline!$N23-Pipeline!$Q23,MaxPerProject,MaxProjShare*Envelope))</f>
        <v>0</v>
      </c>
      <c r="T23" s="28" t="n">
        <f aca="false">IF($O23=1,IF(Pipeline!$V23&gt;0,MIN(Pipeline!$V23,$S23),$S23),0)</f>
        <v>0</v>
      </c>
      <c r="U23" s="29" t="n">
        <f aca="false">IFERROR($Q23/($Q23+$R23),1)</f>
        <v>1</v>
      </c>
      <c r="V23" s="28" t="n">
        <f aca="false">IFERROR($T23/$C23,0)</f>
        <v>0</v>
      </c>
      <c r="W23" s="31" t="n">
        <f aca="false">IFERROR((Pipeline!$O23+Pipeline!$P23)/$T23,0)</f>
        <v>0</v>
      </c>
      <c r="X23" s="32" t="n">
        <f aca="false">IFERROR(Pipeline!$T23/$T23*1000,0)</f>
        <v>0</v>
      </c>
      <c r="Y23" s="30" t="str">
        <f aca="false">IF($O23=0,"",IF(NOT(ISNUMBER(Pipeline!$U23)),"No viability-gap data",IF(Pipeline!$U23&lt;=0,"No viability-gap data",IF($T23&lt;=Pipeline!$U23*(1+VGFTol),"Within viability gap","Above viability gap"))))</f>
        <v/>
      </c>
      <c r="Z23" s="33" t="n">
        <f aca="false">IF($O23=1,IFERROR($AN23/MAX($AN$7:$AN$31)*100,0),0)</f>
        <v>0</v>
      </c>
      <c r="AA23" s="33" t="n">
        <f aca="false">IF($O23=1,IFERROR($AO23/MAX($AO$7:$AO$31)*100,0),0)</f>
        <v>0</v>
      </c>
      <c r="AB23" s="33" t="n">
        <f aca="false">IF($O23=1,IFERROR($AP23/MAX($AP$7:$AP$31)*100,0),0)</f>
        <v>0</v>
      </c>
      <c r="AC23" s="33" t="n">
        <f aca="false">IF($O23=1,IFERROR($AQ23/MAX($AQ$7:$AQ$31)*100,0),0)</f>
        <v>0</v>
      </c>
      <c r="AD23" s="33" t="n">
        <f aca="false">IF($O23=1,Pipeline!$F23/5*100,0)</f>
        <v>0</v>
      </c>
      <c r="AE23" s="33" t="n">
        <f aca="false">IF($O23=1,Pipeline!$G23/5*100,0)</f>
        <v>0</v>
      </c>
      <c r="AF23" s="33" t="n">
        <f aca="false">IF($O23=1,(6-Pipeline!$H23)/5*100,0)</f>
        <v>0</v>
      </c>
      <c r="AG23" s="33" t="n">
        <f aca="false">IF($O23=1,IF($Y23="Within viability gap",100,IF($Y23="Above viability gap",0,50)),0)</f>
        <v>0</v>
      </c>
      <c r="AH23" s="34" t="n">
        <f aca="false">$Z23*W_Cost+$AA23*W_Lev+$AB23*W_PU+$AC23*W_CO2+$AD23*W_Ready+$AE23*W_Track+$AF23*W_Risk+$AG23*W_Add</f>
        <v>0</v>
      </c>
      <c r="AI23" s="35" t="n">
        <f aca="false">IF($O23=1,$AH23+(26-$A23)/1000000,-1)</f>
        <v>-1</v>
      </c>
      <c r="AJ23" s="21" t="str">
        <f aca="false">IF($O23=1,COUNTIF($AI$7:$AI$31,"&gt;"&amp;$AI23)+1,"")</f>
        <v/>
      </c>
      <c r="AK23" s="36" t="n">
        <f aca="false">SUMIF(Allocation!$B$7:$B$31,17,Allocation!$I$7:$I$31)</f>
        <v>0</v>
      </c>
      <c r="AL23" s="29" t="n">
        <f aca="false">IFERROR($AK23/$T23,0)</f>
        <v>0</v>
      </c>
      <c r="AM23" s="30" t="str">
        <f aca="false">IF($O23=0,"",IF($AL23&gt;=0.999,"Funded",IF($AK23&gt;0,"Partially funded","Not funded")))</f>
        <v/>
      </c>
      <c r="AN23" s="37" t="n">
        <f aca="false">IF(AND($O23=1,$V23&gt;0),1/$V23,0)</f>
        <v>0</v>
      </c>
      <c r="AO23" s="38" t="n">
        <f aca="false">IF($O23=1,$W23,0)</f>
        <v>0</v>
      </c>
      <c r="AP23" s="39" t="n">
        <f aca="false">IF($O23=1,$F23,0)</f>
        <v>0</v>
      </c>
      <c r="AQ23" s="37" t="n">
        <f aca="false">IF(AND($O23=1,$T23&gt;0),Pipeline!$T23/$T23,0)</f>
        <v>0</v>
      </c>
    </row>
    <row r="24" customFormat="false" ht="15" hidden="false" customHeight="false" outlineLevel="0" collapsed="false">
      <c r="A24" s="25" t="n">
        <f aca="false">18</f>
        <v>18</v>
      </c>
      <c r="B24" s="26" t="str">
        <f aca="false">IF(Pipeline!$B24&lt;&gt;"",Pipeline!$B24,"")</f>
        <v/>
      </c>
      <c r="C24" s="27" t="n">
        <f aca="false">SUM(Pipeline!$J24:$M24)</f>
        <v>0</v>
      </c>
      <c r="D24" s="28" t="n">
        <f aca="false">IFERROR(Pipeline!$N24/$C24,0)</f>
        <v>0</v>
      </c>
      <c r="E24" s="29" t="n">
        <f aca="false">IFERROR((Pipeline!$O24+Pipeline!$P24)/Pipeline!$N24,0)</f>
        <v>0</v>
      </c>
      <c r="F24" s="29" t="n">
        <f aca="false">IFERROR(Pipeline!$K24/$C24,0)</f>
        <v>0</v>
      </c>
      <c r="G24" s="25" t="n">
        <f aca="false">IF(NOT(Pipeline!$B24&lt;&gt;""),0,IF(E_MinConn_On=1,IF($C24&gt;=E_MinConn,1,0),1))</f>
        <v>0</v>
      </c>
      <c r="H24" s="25" t="n">
        <f aca="false">IF(NOT(Pipeline!$B24&lt;&gt;""),0,IF(E_MaxCapexConn_On=1,IF($D24&lt;=E_MaxCapexConn,1,0),1))</f>
        <v>0</v>
      </c>
      <c r="I24" s="25" t="n">
        <f aca="false">IF(NOT(Pipeline!$B24&lt;&gt;""),0,IF(E_MinRE_On=1,IF(Pipeline!$S24&gt;=E_MinRE,1,0),1))</f>
        <v>0</v>
      </c>
      <c r="J24" s="25" t="n">
        <f aca="false">IF(NOT(Pipeline!$B24&lt;&gt;""),0,IF(E_MinPrivate_On=1,IF($E24&gt;=E_MinPrivate,1,0),1))</f>
        <v>0</v>
      </c>
      <c r="K24" s="25" t="n">
        <f aca="false">IF(NOT(Pipeline!$B24&lt;&gt;""),0,IF(E_MinReady_On=1,IF(Pipeline!$F24&gt;=E_MinReady,1,0),1))</f>
        <v>0</v>
      </c>
      <c r="L24" s="25" t="n">
        <f aca="false">IF(NOT(Pipeline!$B24&lt;&gt;""),0,IF(E_MaxTariff_On=1,IF(Pipeline!$R24&lt;=E_MaxTariff,1,0),1))</f>
        <v>0</v>
      </c>
      <c r="M24" s="25" t="n">
        <f aca="false">IF(NOT(Pipeline!$B24&lt;&gt;""),0,IF(E_MinPU_On=1,IF($F24&gt;=E_MinPU,1,0),1))</f>
        <v>0</v>
      </c>
      <c r="N24" s="25" t="n">
        <f aca="false">IF(NOT(Pipeline!$B24&lt;&gt;""),0,IF(E_Country_On=1,IF(IFERROR(INDEX('Fund Parameters'!$B$51:$B$58,MATCH(Pipeline!$C24,'Fund Parameters'!$A$51:$A$58,0))="Y",FALSE()),1,0),1))</f>
        <v>0</v>
      </c>
      <c r="O24" s="21" t="n">
        <f aca="false">IF(AND(Pipeline!$B24&lt;&gt;"",$G24*$H24*$I24*$J24*$K24*$L24*$M24*$N24=1),1,0)</f>
        <v>0</v>
      </c>
      <c r="P24" s="30" t="str">
        <f aca="false">IF(NOT(Pipeline!$B24&lt;&gt;""),"",IF($O24=1,"Eligible",IF($G24=0,"Too few connections",IF($H24=0,"CAPEX per connection too high",IF($I24=0,"Renewable share too low",IF($J24=0,"Private co-finance too low",IF($K24=0,"Not ready enough",IF($L24=0,"Tariff above cap",IF($M24=0,"Productive use too low",IF($N24=0,"Country not eligible",""))))))))))</f>
        <v/>
      </c>
      <c r="Q24" s="28" t="n">
        <f aca="false">Pipeline!$J24*RBF_HH+Pipeline!$K24*RBF_PU+Pipeline!$L24*RBF_COM+Pipeline!$M24*RBF_INST</f>
        <v>0</v>
      </c>
      <c r="R24" s="28" t="n">
        <f aca="false">Pipeline!$N24*GrantPct</f>
        <v>0</v>
      </c>
      <c r="S24" s="28" t="n">
        <f aca="false">MAX(0,MIN($Q24+$R24,MaxSupportPct*Pipeline!$N24-Pipeline!$Q24,MaxPerProject,MaxProjShare*Envelope))</f>
        <v>0</v>
      </c>
      <c r="T24" s="28" t="n">
        <f aca="false">IF($O24=1,IF(Pipeline!$V24&gt;0,MIN(Pipeline!$V24,$S24),$S24),0)</f>
        <v>0</v>
      </c>
      <c r="U24" s="29" t="n">
        <f aca="false">IFERROR($Q24/($Q24+$R24),1)</f>
        <v>1</v>
      </c>
      <c r="V24" s="28" t="n">
        <f aca="false">IFERROR($T24/$C24,0)</f>
        <v>0</v>
      </c>
      <c r="W24" s="31" t="n">
        <f aca="false">IFERROR((Pipeline!$O24+Pipeline!$P24)/$T24,0)</f>
        <v>0</v>
      </c>
      <c r="X24" s="32" t="n">
        <f aca="false">IFERROR(Pipeline!$T24/$T24*1000,0)</f>
        <v>0</v>
      </c>
      <c r="Y24" s="30" t="str">
        <f aca="false">IF($O24=0,"",IF(NOT(ISNUMBER(Pipeline!$U24)),"No viability-gap data",IF(Pipeline!$U24&lt;=0,"No viability-gap data",IF($T24&lt;=Pipeline!$U24*(1+VGFTol),"Within viability gap","Above viability gap"))))</f>
        <v/>
      </c>
      <c r="Z24" s="33" t="n">
        <f aca="false">IF($O24=1,IFERROR($AN24/MAX($AN$7:$AN$31)*100,0),0)</f>
        <v>0</v>
      </c>
      <c r="AA24" s="33" t="n">
        <f aca="false">IF($O24=1,IFERROR($AO24/MAX($AO$7:$AO$31)*100,0),0)</f>
        <v>0</v>
      </c>
      <c r="AB24" s="33" t="n">
        <f aca="false">IF($O24=1,IFERROR($AP24/MAX($AP$7:$AP$31)*100,0),0)</f>
        <v>0</v>
      </c>
      <c r="AC24" s="33" t="n">
        <f aca="false">IF($O24=1,IFERROR($AQ24/MAX($AQ$7:$AQ$31)*100,0),0)</f>
        <v>0</v>
      </c>
      <c r="AD24" s="33" t="n">
        <f aca="false">IF($O24=1,Pipeline!$F24/5*100,0)</f>
        <v>0</v>
      </c>
      <c r="AE24" s="33" t="n">
        <f aca="false">IF($O24=1,Pipeline!$G24/5*100,0)</f>
        <v>0</v>
      </c>
      <c r="AF24" s="33" t="n">
        <f aca="false">IF($O24=1,(6-Pipeline!$H24)/5*100,0)</f>
        <v>0</v>
      </c>
      <c r="AG24" s="33" t="n">
        <f aca="false">IF($O24=1,IF($Y24="Within viability gap",100,IF($Y24="Above viability gap",0,50)),0)</f>
        <v>0</v>
      </c>
      <c r="AH24" s="34" t="n">
        <f aca="false">$Z24*W_Cost+$AA24*W_Lev+$AB24*W_PU+$AC24*W_CO2+$AD24*W_Ready+$AE24*W_Track+$AF24*W_Risk+$AG24*W_Add</f>
        <v>0</v>
      </c>
      <c r="AI24" s="35" t="n">
        <f aca="false">IF($O24=1,$AH24+(26-$A24)/1000000,-1)</f>
        <v>-1</v>
      </c>
      <c r="AJ24" s="21" t="str">
        <f aca="false">IF($O24=1,COUNTIF($AI$7:$AI$31,"&gt;"&amp;$AI24)+1,"")</f>
        <v/>
      </c>
      <c r="AK24" s="36" t="n">
        <f aca="false">SUMIF(Allocation!$B$7:$B$31,18,Allocation!$I$7:$I$31)</f>
        <v>0</v>
      </c>
      <c r="AL24" s="29" t="n">
        <f aca="false">IFERROR($AK24/$T24,0)</f>
        <v>0</v>
      </c>
      <c r="AM24" s="30" t="str">
        <f aca="false">IF($O24=0,"",IF($AL24&gt;=0.999,"Funded",IF($AK24&gt;0,"Partially funded","Not funded")))</f>
        <v/>
      </c>
      <c r="AN24" s="37" t="n">
        <f aca="false">IF(AND($O24=1,$V24&gt;0),1/$V24,0)</f>
        <v>0</v>
      </c>
      <c r="AO24" s="38" t="n">
        <f aca="false">IF($O24=1,$W24,0)</f>
        <v>0</v>
      </c>
      <c r="AP24" s="39" t="n">
        <f aca="false">IF($O24=1,$F24,0)</f>
        <v>0</v>
      </c>
      <c r="AQ24" s="37" t="n">
        <f aca="false">IF(AND($O24=1,$T24&gt;0),Pipeline!$T24/$T24,0)</f>
        <v>0</v>
      </c>
    </row>
    <row r="25" customFormat="false" ht="15" hidden="false" customHeight="false" outlineLevel="0" collapsed="false">
      <c r="A25" s="25" t="n">
        <f aca="false">19</f>
        <v>19</v>
      </c>
      <c r="B25" s="26" t="str">
        <f aca="false">IF(Pipeline!$B25&lt;&gt;"",Pipeline!$B25,"")</f>
        <v/>
      </c>
      <c r="C25" s="27" t="n">
        <f aca="false">SUM(Pipeline!$J25:$M25)</f>
        <v>0</v>
      </c>
      <c r="D25" s="28" t="n">
        <f aca="false">IFERROR(Pipeline!$N25/$C25,0)</f>
        <v>0</v>
      </c>
      <c r="E25" s="29" t="n">
        <f aca="false">IFERROR((Pipeline!$O25+Pipeline!$P25)/Pipeline!$N25,0)</f>
        <v>0</v>
      </c>
      <c r="F25" s="29" t="n">
        <f aca="false">IFERROR(Pipeline!$K25/$C25,0)</f>
        <v>0</v>
      </c>
      <c r="G25" s="25" t="n">
        <f aca="false">IF(NOT(Pipeline!$B25&lt;&gt;""),0,IF(E_MinConn_On=1,IF($C25&gt;=E_MinConn,1,0),1))</f>
        <v>0</v>
      </c>
      <c r="H25" s="25" t="n">
        <f aca="false">IF(NOT(Pipeline!$B25&lt;&gt;""),0,IF(E_MaxCapexConn_On=1,IF($D25&lt;=E_MaxCapexConn,1,0),1))</f>
        <v>0</v>
      </c>
      <c r="I25" s="25" t="n">
        <f aca="false">IF(NOT(Pipeline!$B25&lt;&gt;""),0,IF(E_MinRE_On=1,IF(Pipeline!$S25&gt;=E_MinRE,1,0),1))</f>
        <v>0</v>
      </c>
      <c r="J25" s="25" t="n">
        <f aca="false">IF(NOT(Pipeline!$B25&lt;&gt;""),0,IF(E_MinPrivate_On=1,IF($E25&gt;=E_MinPrivate,1,0),1))</f>
        <v>0</v>
      </c>
      <c r="K25" s="25" t="n">
        <f aca="false">IF(NOT(Pipeline!$B25&lt;&gt;""),0,IF(E_MinReady_On=1,IF(Pipeline!$F25&gt;=E_MinReady,1,0),1))</f>
        <v>0</v>
      </c>
      <c r="L25" s="25" t="n">
        <f aca="false">IF(NOT(Pipeline!$B25&lt;&gt;""),0,IF(E_MaxTariff_On=1,IF(Pipeline!$R25&lt;=E_MaxTariff,1,0),1))</f>
        <v>0</v>
      </c>
      <c r="M25" s="25" t="n">
        <f aca="false">IF(NOT(Pipeline!$B25&lt;&gt;""),0,IF(E_MinPU_On=1,IF($F25&gt;=E_MinPU,1,0),1))</f>
        <v>0</v>
      </c>
      <c r="N25" s="25" t="n">
        <f aca="false">IF(NOT(Pipeline!$B25&lt;&gt;""),0,IF(E_Country_On=1,IF(IFERROR(INDEX('Fund Parameters'!$B$51:$B$58,MATCH(Pipeline!$C25,'Fund Parameters'!$A$51:$A$58,0))="Y",FALSE()),1,0),1))</f>
        <v>0</v>
      </c>
      <c r="O25" s="21" t="n">
        <f aca="false">IF(AND(Pipeline!$B25&lt;&gt;"",$G25*$H25*$I25*$J25*$K25*$L25*$M25*$N25=1),1,0)</f>
        <v>0</v>
      </c>
      <c r="P25" s="30" t="str">
        <f aca="false">IF(NOT(Pipeline!$B25&lt;&gt;""),"",IF($O25=1,"Eligible",IF($G25=0,"Too few connections",IF($H25=0,"CAPEX per connection too high",IF($I25=0,"Renewable share too low",IF($J25=0,"Private co-finance too low",IF($K25=0,"Not ready enough",IF($L25=0,"Tariff above cap",IF($M25=0,"Productive use too low",IF($N25=0,"Country not eligible",""))))))))))</f>
        <v/>
      </c>
      <c r="Q25" s="28" t="n">
        <f aca="false">Pipeline!$J25*RBF_HH+Pipeline!$K25*RBF_PU+Pipeline!$L25*RBF_COM+Pipeline!$M25*RBF_INST</f>
        <v>0</v>
      </c>
      <c r="R25" s="28" t="n">
        <f aca="false">Pipeline!$N25*GrantPct</f>
        <v>0</v>
      </c>
      <c r="S25" s="28" t="n">
        <f aca="false">MAX(0,MIN($Q25+$R25,MaxSupportPct*Pipeline!$N25-Pipeline!$Q25,MaxPerProject,MaxProjShare*Envelope))</f>
        <v>0</v>
      </c>
      <c r="T25" s="28" t="n">
        <f aca="false">IF($O25=1,IF(Pipeline!$V25&gt;0,MIN(Pipeline!$V25,$S25),$S25),0)</f>
        <v>0</v>
      </c>
      <c r="U25" s="29" t="n">
        <f aca="false">IFERROR($Q25/($Q25+$R25),1)</f>
        <v>1</v>
      </c>
      <c r="V25" s="28" t="n">
        <f aca="false">IFERROR($T25/$C25,0)</f>
        <v>0</v>
      </c>
      <c r="W25" s="31" t="n">
        <f aca="false">IFERROR((Pipeline!$O25+Pipeline!$P25)/$T25,0)</f>
        <v>0</v>
      </c>
      <c r="X25" s="32" t="n">
        <f aca="false">IFERROR(Pipeline!$T25/$T25*1000,0)</f>
        <v>0</v>
      </c>
      <c r="Y25" s="30" t="str">
        <f aca="false">IF($O25=0,"",IF(NOT(ISNUMBER(Pipeline!$U25)),"No viability-gap data",IF(Pipeline!$U25&lt;=0,"No viability-gap data",IF($T25&lt;=Pipeline!$U25*(1+VGFTol),"Within viability gap","Above viability gap"))))</f>
        <v/>
      </c>
      <c r="Z25" s="33" t="n">
        <f aca="false">IF($O25=1,IFERROR($AN25/MAX($AN$7:$AN$31)*100,0),0)</f>
        <v>0</v>
      </c>
      <c r="AA25" s="33" t="n">
        <f aca="false">IF($O25=1,IFERROR($AO25/MAX($AO$7:$AO$31)*100,0),0)</f>
        <v>0</v>
      </c>
      <c r="AB25" s="33" t="n">
        <f aca="false">IF($O25=1,IFERROR($AP25/MAX($AP$7:$AP$31)*100,0),0)</f>
        <v>0</v>
      </c>
      <c r="AC25" s="33" t="n">
        <f aca="false">IF($O25=1,IFERROR($AQ25/MAX($AQ$7:$AQ$31)*100,0),0)</f>
        <v>0</v>
      </c>
      <c r="AD25" s="33" t="n">
        <f aca="false">IF($O25=1,Pipeline!$F25/5*100,0)</f>
        <v>0</v>
      </c>
      <c r="AE25" s="33" t="n">
        <f aca="false">IF($O25=1,Pipeline!$G25/5*100,0)</f>
        <v>0</v>
      </c>
      <c r="AF25" s="33" t="n">
        <f aca="false">IF($O25=1,(6-Pipeline!$H25)/5*100,0)</f>
        <v>0</v>
      </c>
      <c r="AG25" s="33" t="n">
        <f aca="false">IF($O25=1,IF($Y25="Within viability gap",100,IF($Y25="Above viability gap",0,50)),0)</f>
        <v>0</v>
      </c>
      <c r="AH25" s="34" t="n">
        <f aca="false">$Z25*W_Cost+$AA25*W_Lev+$AB25*W_PU+$AC25*W_CO2+$AD25*W_Ready+$AE25*W_Track+$AF25*W_Risk+$AG25*W_Add</f>
        <v>0</v>
      </c>
      <c r="AI25" s="35" t="n">
        <f aca="false">IF($O25=1,$AH25+(26-$A25)/1000000,-1)</f>
        <v>-1</v>
      </c>
      <c r="AJ25" s="21" t="str">
        <f aca="false">IF($O25=1,COUNTIF($AI$7:$AI$31,"&gt;"&amp;$AI25)+1,"")</f>
        <v/>
      </c>
      <c r="AK25" s="36" t="n">
        <f aca="false">SUMIF(Allocation!$B$7:$B$31,19,Allocation!$I$7:$I$31)</f>
        <v>0</v>
      </c>
      <c r="AL25" s="29" t="n">
        <f aca="false">IFERROR($AK25/$T25,0)</f>
        <v>0</v>
      </c>
      <c r="AM25" s="30" t="str">
        <f aca="false">IF($O25=0,"",IF($AL25&gt;=0.999,"Funded",IF($AK25&gt;0,"Partially funded","Not funded")))</f>
        <v/>
      </c>
      <c r="AN25" s="37" t="n">
        <f aca="false">IF(AND($O25=1,$V25&gt;0),1/$V25,0)</f>
        <v>0</v>
      </c>
      <c r="AO25" s="38" t="n">
        <f aca="false">IF($O25=1,$W25,0)</f>
        <v>0</v>
      </c>
      <c r="AP25" s="39" t="n">
        <f aca="false">IF($O25=1,$F25,0)</f>
        <v>0</v>
      </c>
      <c r="AQ25" s="37" t="n">
        <f aca="false">IF(AND($O25=1,$T25&gt;0),Pipeline!$T25/$T25,0)</f>
        <v>0</v>
      </c>
    </row>
    <row r="26" customFormat="false" ht="15" hidden="false" customHeight="false" outlineLevel="0" collapsed="false">
      <c r="A26" s="25" t="n">
        <f aca="false">20</f>
        <v>20</v>
      </c>
      <c r="B26" s="26" t="str">
        <f aca="false">IF(Pipeline!$B26&lt;&gt;"",Pipeline!$B26,"")</f>
        <v/>
      </c>
      <c r="C26" s="27" t="n">
        <f aca="false">SUM(Pipeline!$J26:$M26)</f>
        <v>0</v>
      </c>
      <c r="D26" s="28" t="n">
        <f aca="false">IFERROR(Pipeline!$N26/$C26,0)</f>
        <v>0</v>
      </c>
      <c r="E26" s="29" t="n">
        <f aca="false">IFERROR((Pipeline!$O26+Pipeline!$P26)/Pipeline!$N26,0)</f>
        <v>0</v>
      </c>
      <c r="F26" s="29" t="n">
        <f aca="false">IFERROR(Pipeline!$K26/$C26,0)</f>
        <v>0</v>
      </c>
      <c r="G26" s="25" t="n">
        <f aca="false">IF(NOT(Pipeline!$B26&lt;&gt;""),0,IF(E_MinConn_On=1,IF($C26&gt;=E_MinConn,1,0),1))</f>
        <v>0</v>
      </c>
      <c r="H26" s="25" t="n">
        <f aca="false">IF(NOT(Pipeline!$B26&lt;&gt;""),0,IF(E_MaxCapexConn_On=1,IF($D26&lt;=E_MaxCapexConn,1,0),1))</f>
        <v>0</v>
      </c>
      <c r="I26" s="25" t="n">
        <f aca="false">IF(NOT(Pipeline!$B26&lt;&gt;""),0,IF(E_MinRE_On=1,IF(Pipeline!$S26&gt;=E_MinRE,1,0),1))</f>
        <v>0</v>
      </c>
      <c r="J26" s="25" t="n">
        <f aca="false">IF(NOT(Pipeline!$B26&lt;&gt;""),0,IF(E_MinPrivate_On=1,IF($E26&gt;=E_MinPrivate,1,0),1))</f>
        <v>0</v>
      </c>
      <c r="K26" s="25" t="n">
        <f aca="false">IF(NOT(Pipeline!$B26&lt;&gt;""),0,IF(E_MinReady_On=1,IF(Pipeline!$F26&gt;=E_MinReady,1,0),1))</f>
        <v>0</v>
      </c>
      <c r="L26" s="25" t="n">
        <f aca="false">IF(NOT(Pipeline!$B26&lt;&gt;""),0,IF(E_MaxTariff_On=1,IF(Pipeline!$R26&lt;=E_MaxTariff,1,0),1))</f>
        <v>0</v>
      </c>
      <c r="M26" s="25" t="n">
        <f aca="false">IF(NOT(Pipeline!$B26&lt;&gt;""),0,IF(E_MinPU_On=1,IF($F26&gt;=E_MinPU,1,0),1))</f>
        <v>0</v>
      </c>
      <c r="N26" s="25" t="n">
        <f aca="false">IF(NOT(Pipeline!$B26&lt;&gt;""),0,IF(E_Country_On=1,IF(IFERROR(INDEX('Fund Parameters'!$B$51:$B$58,MATCH(Pipeline!$C26,'Fund Parameters'!$A$51:$A$58,0))="Y",FALSE()),1,0),1))</f>
        <v>0</v>
      </c>
      <c r="O26" s="21" t="n">
        <f aca="false">IF(AND(Pipeline!$B26&lt;&gt;"",$G26*$H26*$I26*$J26*$K26*$L26*$M26*$N26=1),1,0)</f>
        <v>0</v>
      </c>
      <c r="P26" s="30" t="str">
        <f aca="false">IF(NOT(Pipeline!$B26&lt;&gt;""),"",IF($O26=1,"Eligible",IF($G26=0,"Too few connections",IF($H26=0,"CAPEX per connection too high",IF($I26=0,"Renewable share too low",IF($J26=0,"Private co-finance too low",IF($K26=0,"Not ready enough",IF($L26=0,"Tariff above cap",IF($M26=0,"Productive use too low",IF($N26=0,"Country not eligible",""))))))))))</f>
        <v/>
      </c>
      <c r="Q26" s="28" t="n">
        <f aca="false">Pipeline!$J26*RBF_HH+Pipeline!$K26*RBF_PU+Pipeline!$L26*RBF_COM+Pipeline!$M26*RBF_INST</f>
        <v>0</v>
      </c>
      <c r="R26" s="28" t="n">
        <f aca="false">Pipeline!$N26*GrantPct</f>
        <v>0</v>
      </c>
      <c r="S26" s="28" t="n">
        <f aca="false">MAX(0,MIN($Q26+$R26,MaxSupportPct*Pipeline!$N26-Pipeline!$Q26,MaxPerProject,MaxProjShare*Envelope))</f>
        <v>0</v>
      </c>
      <c r="T26" s="28" t="n">
        <f aca="false">IF($O26=1,IF(Pipeline!$V26&gt;0,MIN(Pipeline!$V26,$S26),$S26),0)</f>
        <v>0</v>
      </c>
      <c r="U26" s="29" t="n">
        <f aca="false">IFERROR($Q26/($Q26+$R26),1)</f>
        <v>1</v>
      </c>
      <c r="V26" s="28" t="n">
        <f aca="false">IFERROR($T26/$C26,0)</f>
        <v>0</v>
      </c>
      <c r="W26" s="31" t="n">
        <f aca="false">IFERROR((Pipeline!$O26+Pipeline!$P26)/$T26,0)</f>
        <v>0</v>
      </c>
      <c r="X26" s="32" t="n">
        <f aca="false">IFERROR(Pipeline!$T26/$T26*1000,0)</f>
        <v>0</v>
      </c>
      <c r="Y26" s="30" t="str">
        <f aca="false">IF($O26=0,"",IF(NOT(ISNUMBER(Pipeline!$U26)),"No viability-gap data",IF(Pipeline!$U26&lt;=0,"No viability-gap data",IF($T26&lt;=Pipeline!$U26*(1+VGFTol),"Within viability gap","Above viability gap"))))</f>
        <v/>
      </c>
      <c r="Z26" s="33" t="n">
        <f aca="false">IF($O26=1,IFERROR($AN26/MAX($AN$7:$AN$31)*100,0),0)</f>
        <v>0</v>
      </c>
      <c r="AA26" s="33" t="n">
        <f aca="false">IF($O26=1,IFERROR($AO26/MAX($AO$7:$AO$31)*100,0),0)</f>
        <v>0</v>
      </c>
      <c r="AB26" s="33" t="n">
        <f aca="false">IF($O26=1,IFERROR($AP26/MAX($AP$7:$AP$31)*100,0),0)</f>
        <v>0</v>
      </c>
      <c r="AC26" s="33" t="n">
        <f aca="false">IF($O26=1,IFERROR($AQ26/MAX($AQ$7:$AQ$31)*100,0),0)</f>
        <v>0</v>
      </c>
      <c r="AD26" s="33" t="n">
        <f aca="false">IF($O26=1,Pipeline!$F26/5*100,0)</f>
        <v>0</v>
      </c>
      <c r="AE26" s="33" t="n">
        <f aca="false">IF($O26=1,Pipeline!$G26/5*100,0)</f>
        <v>0</v>
      </c>
      <c r="AF26" s="33" t="n">
        <f aca="false">IF($O26=1,(6-Pipeline!$H26)/5*100,0)</f>
        <v>0</v>
      </c>
      <c r="AG26" s="33" t="n">
        <f aca="false">IF($O26=1,IF($Y26="Within viability gap",100,IF($Y26="Above viability gap",0,50)),0)</f>
        <v>0</v>
      </c>
      <c r="AH26" s="34" t="n">
        <f aca="false">$Z26*W_Cost+$AA26*W_Lev+$AB26*W_PU+$AC26*W_CO2+$AD26*W_Ready+$AE26*W_Track+$AF26*W_Risk+$AG26*W_Add</f>
        <v>0</v>
      </c>
      <c r="AI26" s="35" t="n">
        <f aca="false">IF($O26=1,$AH26+(26-$A26)/1000000,-1)</f>
        <v>-1</v>
      </c>
      <c r="AJ26" s="21" t="str">
        <f aca="false">IF($O26=1,COUNTIF($AI$7:$AI$31,"&gt;"&amp;$AI26)+1,"")</f>
        <v/>
      </c>
      <c r="AK26" s="36" t="n">
        <f aca="false">SUMIF(Allocation!$B$7:$B$31,20,Allocation!$I$7:$I$31)</f>
        <v>0</v>
      </c>
      <c r="AL26" s="29" t="n">
        <f aca="false">IFERROR($AK26/$T26,0)</f>
        <v>0</v>
      </c>
      <c r="AM26" s="30" t="str">
        <f aca="false">IF($O26=0,"",IF($AL26&gt;=0.999,"Funded",IF($AK26&gt;0,"Partially funded","Not funded")))</f>
        <v/>
      </c>
      <c r="AN26" s="37" t="n">
        <f aca="false">IF(AND($O26=1,$V26&gt;0),1/$V26,0)</f>
        <v>0</v>
      </c>
      <c r="AO26" s="38" t="n">
        <f aca="false">IF($O26=1,$W26,0)</f>
        <v>0</v>
      </c>
      <c r="AP26" s="39" t="n">
        <f aca="false">IF($O26=1,$F26,0)</f>
        <v>0</v>
      </c>
      <c r="AQ26" s="37" t="n">
        <f aca="false">IF(AND($O26=1,$T26&gt;0),Pipeline!$T26/$T26,0)</f>
        <v>0</v>
      </c>
    </row>
    <row r="27" customFormat="false" ht="15" hidden="false" customHeight="false" outlineLevel="0" collapsed="false">
      <c r="A27" s="25" t="n">
        <f aca="false">21</f>
        <v>21</v>
      </c>
      <c r="B27" s="26" t="str">
        <f aca="false">IF(Pipeline!$B27&lt;&gt;"",Pipeline!$B27,"")</f>
        <v/>
      </c>
      <c r="C27" s="27" t="n">
        <f aca="false">SUM(Pipeline!$J27:$M27)</f>
        <v>0</v>
      </c>
      <c r="D27" s="28" t="n">
        <f aca="false">IFERROR(Pipeline!$N27/$C27,0)</f>
        <v>0</v>
      </c>
      <c r="E27" s="29" t="n">
        <f aca="false">IFERROR((Pipeline!$O27+Pipeline!$P27)/Pipeline!$N27,0)</f>
        <v>0</v>
      </c>
      <c r="F27" s="29" t="n">
        <f aca="false">IFERROR(Pipeline!$K27/$C27,0)</f>
        <v>0</v>
      </c>
      <c r="G27" s="25" t="n">
        <f aca="false">IF(NOT(Pipeline!$B27&lt;&gt;""),0,IF(E_MinConn_On=1,IF($C27&gt;=E_MinConn,1,0),1))</f>
        <v>0</v>
      </c>
      <c r="H27" s="25" t="n">
        <f aca="false">IF(NOT(Pipeline!$B27&lt;&gt;""),0,IF(E_MaxCapexConn_On=1,IF($D27&lt;=E_MaxCapexConn,1,0),1))</f>
        <v>0</v>
      </c>
      <c r="I27" s="25" t="n">
        <f aca="false">IF(NOT(Pipeline!$B27&lt;&gt;""),0,IF(E_MinRE_On=1,IF(Pipeline!$S27&gt;=E_MinRE,1,0),1))</f>
        <v>0</v>
      </c>
      <c r="J27" s="25" t="n">
        <f aca="false">IF(NOT(Pipeline!$B27&lt;&gt;""),0,IF(E_MinPrivate_On=1,IF($E27&gt;=E_MinPrivate,1,0),1))</f>
        <v>0</v>
      </c>
      <c r="K27" s="25" t="n">
        <f aca="false">IF(NOT(Pipeline!$B27&lt;&gt;""),0,IF(E_MinReady_On=1,IF(Pipeline!$F27&gt;=E_MinReady,1,0),1))</f>
        <v>0</v>
      </c>
      <c r="L27" s="25" t="n">
        <f aca="false">IF(NOT(Pipeline!$B27&lt;&gt;""),0,IF(E_MaxTariff_On=1,IF(Pipeline!$R27&lt;=E_MaxTariff,1,0),1))</f>
        <v>0</v>
      </c>
      <c r="M27" s="25" t="n">
        <f aca="false">IF(NOT(Pipeline!$B27&lt;&gt;""),0,IF(E_MinPU_On=1,IF($F27&gt;=E_MinPU,1,0),1))</f>
        <v>0</v>
      </c>
      <c r="N27" s="25" t="n">
        <f aca="false">IF(NOT(Pipeline!$B27&lt;&gt;""),0,IF(E_Country_On=1,IF(IFERROR(INDEX('Fund Parameters'!$B$51:$B$58,MATCH(Pipeline!$C27,'Fund Parameters'!$A$51:$A$58,0))="Y",FALSE()),1,0),1))</f>
        <v>0</v>
      </c>
      <c r="O27" s="21" t="n">
        <f aca="false">IF(AND(Pipeline!$B27&lt;&gt;"",$G27*$H27*$I27*$J27*$K27*$L27*$M27*$N27=1),1,0)</f>
        <v>0</v>
      </c>
      <c r="P27" s="30" t="str">
        <f aca="false">IF(NOT(Pipeline!$B27&lt;&gt;""),"",IF($O27=1,"Eligible",IF($G27=0,"Too few connections",IF($H27=0,"CAPEX per connection too high",IF($I27=0,"Renewable share too low",IF($J27=0,"Private co-finance too low",IF($K27=0,"Not ready enough",IF($L27=0,"Tariff above cap",IF($M27=0,"Productive use too low",IF($N27=0,"Country not eligible",""))))))))))</f>
        <v/>
      </c>
      <c r="Q27" s="28" t="n">
        <f aca="false">Pipeline!$J27*RBF_HH+Pipeline!$K27*RBF_PU+Pipeline!$L27*RBF_COM+Pipeline!$M27*RBF_INST</f>
        <v>0</v>
      </c>
      <c r="R27" s="28" t="n">
        <f aca="false">Pipeline!$N27*GrantPct</f>
        <v>0</v>
      </c>
      <c r="S27" s="28" t="n">
        <f aca="false">MAX(0,MIN($Q27+$R27,MaxSupportPct*Pipeline!$N27-Pipeline!$Q27,MaxPerProject,MaxProjShare*Envelope))</f>
        <v>0</v>
      </c>
      <c r="T27" s="28" t="n">
        <f aca="false">IF($O27=1,IF(Pipeline!$V27&gt;0,MIN(Pipeline!$V27,$S27),$S27),0)</f>
        <v>0</v>
      </c>
      <c r="U27" s="29" t="n">
        <f aca="false">IFERROR($Q27/($Q27+$R27),1)</f>
        <v>1</v>
      </c>
      <c r="V27" s="28" t="n">
        <f aca="false">IFERROR($T27/$C27,0)</f>
        <v>0</v>
      </c>
      <c r="W27" s="31" t="n">
        <f aca="false">IFERROR((Pipeline!$O27+Pipeline!$P27)/$T27,0)</f>
        <v>0</v>
      </c>
      <c r="X27" s="32" t="n">
        <f aca="false">IFERROR(Pipeline!$T27/$T27*1000,0)</f>
        <v>0</v>
      </c>
      <c r="Y27" s="30" t="str">
        <f aca="false">IF($O27=0,"",IF(NOT(ISNUMBER(Pipeline!$U27)),"No viability-gap data",IF(Pipeline!$U27&lt;=0,"No viability-gap data",IF($T27&lt;=Pipeline!$U27*(1+VGFTol),"Within viability gap","Above viability gap"))))</f>
        <v/>
      </c>
      <c r="Z27" s="33" t="n">
        <f aca="false">IF($O27=1,IFERROR($AN27/MAX($AN$7:$AN$31)*100,0),0)</f>
        <v>0</v>
      </c>
      <c r="AA27" s="33" t="n">
        <f aca="false">IF($O27=1,IFERROR($AO27/MAX($AO$7:$AO$31)*100,0),0)</f>
        <v>0</v>
      </c>
      <c r="AB27" s="33" t="n">
        <f aca="false">IF($O27=1,IFERROR($AP27/MAX($AP$7:$AP$31)*100,0),0)</f>
        <v>0</v>
      </c>
      <c r="AC27" s="33" t="n">
        <f aca="false">IF($O27=1,IFERROR($AQ27/MAX($AQ$7:$AQ$31)*100,0),0)</f>
        <v>0</v>
      </c>
      <c r="AD27" s="33" t="n">
        <f aca="false">IF($O27=1,Pipeline!$F27/5*100,0)</f>
        <v>0</v>
      </c>
      <c r="AE27" s="33" t="n">
        <f aca="false">IF($O27=1,Pipeline!$G27/5*100,0)</f>
        <v>0</v>
      </c>
      <c r="AF27" s="33" t="n">
        <f aca="false">IF($O27=1,(6-Pipeline!$H27)/5*100,0)</f>
        <v>0</v>
      </c>
      <c r="AG27" s="33" t="n">
        <f aca="false">IF($O27=1,IF($Y27="Within viability gap",100,IF($Y27="Above viability gap",0,50)),0)</f>
        <v>0</v>
      </c>
      <c r="AH27" s="34" t="n">
        <f aca="false">$Z27*W_Cost+$AA27*W_Lev+$AB27*W_PU+$AC27*W_CO2+$AD27*W_Ready+$AE27*W_Track+$AF27*W_Risk+$AG27*W_Add</f>
        <v>0</v>
      </c>
      <c r="AI27" s="35" t="n">
        <f aca="false">IF($O27=1,$AH27+(26-$A27)/1000000,-1)</f>
        <v>-1</v>
      </c>
      <c r="AJ27" s="21" t="str">
        <f aca="false">IF($O27=1,COUNTIF($AI$7:$AI$31,"&gt;"&amp;$AI27)+1,"")</f>
        <v/>
      </c>
      <c r="AK27" s="36" t="n">
        <f aca="false">SUMIF(Allocation!$B$7:$B$31,21,Allocation!$I$7:$I$31)</f>
        <v>0</v>
      </c>
      <c r="AL27" s="29" t="n">
        <f aca="false">IFERROR($AK27/$T27,0)</f>
        <v>0</v>
      </c>
      <c r="AM27" s="30" t="str">
        <f aca="false">IF($O27=0,"",IF($AL27&gt;=0.999,"Funded",IF($AK27&gt;0,"Partially funded","Not funded")))</f>
        <v/>
      </c>
      <c r="AN27" s="37" t="n">
        <f aca="false">IF(AND($O27=1,$V27&gt;0),1/$V27,0)</f>
        <v>0</v>
      </c>
      <c r="AO27" s="38" t="n">
        <f aca="false">IF($O27=1,$W27,0)</f>
        <v>0</v>
      </c>
      <c r="AP27" s="39" t="n">
        <f aca="false">IF($O27=1,$F27,0)</f>
        <v>0</v>
      </c>
      <c r="AQ27" s="37" t="n">
        <f aca="false">IF(AND($O27=1,$T27&gt;0),Pipeline!$T27/$T27,0)</f>
        <v>0</v>
      </c>
    </row>
    <row r="28" customFormat="false" ht="15" hidden="false" customHeight="false" outlineLevel="0" collapsed="false">
      <c r="A28" s="25" t="n">
        <f aca="false">22</f>
        <v>22</v>
      </c>
      <c r="B28" s="26" t="str">
        <f aca="false">IF(Pipeline!$B28&lt;&gt;"",Pipeline!$B28,"")</f>
        <v/>
      </c>
      <c r="C28" s="27" t="n">
        <f aca="false">SUM(Pipeline!$J28:$M28)</f>
        <v>0</v>
      </c>
      <c r="D28" s="28" t="n">
        <f aca="false">IFERROR(Pipeline!$N28/$C28,0)</f>
        <v>0</v>
      </c>
      <c r="E28" s="29" t="n">
        <f aca="false">IFERROR((Pipeline!$O28+Pipeline!$P28)/Pipeline!$N28,0)</f>
        <v>0</v>
      </c>
      <c r="F28" s="29" t="n">
        <f aca="false">IFERROR(Pipeline!$K28/$C28,0)</f>
        <v>0</v>
      </c>
      <c r="G28" s="25" t="n">
        <f aca="false">IF(NOT(Pipeline!$B28&lt;&gt;""),0,IF(E_MinConn_On=1,IF($C28&gt;=E_MinConn,1,0),1))</f>
        <v>0</v>
      </c>
      <c r="H28" s="25" t="n">
        <f aca="false">IF(NOT(Pipeline!$B28&lt;&gt;""),0,IF(E_MaxCapexConn_On=1,IF($D28&lt;=E_MaxCapexConn,1,0),1))</f>
        <v>0</v>
      </c>
      <c r="I28" s="25" t="n">
        <f aca="false">IF(NOT(Pipeline!$B28&lt;&gt;""),0,IF(E_MinRE_On=1,IF(Pipeline!$S28&gt;=E_MinRE,1,0),1))</f>
        <v>0</v>
      </c>
      <c r="J28" s="25" t="n">
        <f aca="false">IF(NOT(Pipeline!$B28&lt;&gt;""),0,IF(E_MinPrivate_On=1,IF($E28&gt;=E_MinPrivate,1,0),1))</f>
        <v>0</v>
      </c>
      <c r="K28" s="25" t="n">
        <f aca="false">IF(NOT(Pipeline!$B28&lt;&gt;""),0,IF(E_MinReady_On=1,IF(Pipeline!$F28&gt;=E_MinReady,1,0),1))</f>
        <v>0</v>
      </c>
      <c r="L28" s="25" t="n">
        <f aca="false">IF(NOT(Pipeline!$B28&lt;&gt;""),0,IF(E_MaxTariff_On=1,IF(Pipeline!$R28&lt;=E_MaxTariff,1,0),1))</f>
        <v>0</v>
      </c>
      <c r="M28" s="25" t="n">
        <f aca="false">IF(NOT(Pipeline!$B28&lt;&gt;""),0,IF(E_MinPU_On=1,IF($F28&gt;=E_MinPU,1,0),1))</f>
        <v>0</v>
      </c>
      <c r="N28" s="25" t="n">
        <f aca="false">IF(NOT(Pipeline!$B28&lt;&gt;""),0,IF(E_Country_On=1,IF(IFERROR(INDEX('Fund Parameters'!$B$51:$B$58,MATCH(Pipeline!$C28,'Fund Parameters'!$A$51:$A$58,0))="Y",FALSE()),1,0),1))</f>
        <v>0</v>
      </c>
      <c r="O28" s="21" t="n">
        <f aca="false">IF(AND(Pipeline!$B28&lt;&gt;"",$G28*$H28*$I28*$J28*$K28*$L28*$M28*$N28=1),1,0)</f>
        <v>0</v>
      </c>
      <c r="P28" s="30" t="str">
        <f aca="false">IF(NOT(Pipeline!$B28&lt;&gt;""),"",IF($O28=1,"Eligible",IF($G28=0,"Too few connections",IF($H28=0,"CAPEX per connection too high",IF($I28=0,"Renewable share too low",IF($J28=0,"Private co-finance too low",IF($K28=0,"Not ready enough",IF($L28=0,"Tariff above cap",IF($M28=0,"Productive use too low",IF($N28=0,"Country not eligible",""))))))))))</f>
        <v/>
      </c>
      <c r="Q28" s="28" t="n">
        <f aca="false">Pipeline!$J28*RBF_HH+Pipeline!$K28*RBF_PU+Pipeline!$L28*RBF_COM+Pipeline!$M28*RBF_INST</f>
        <v>0</v>
      </c>
      <c r="R28" s="28" t="n">
        <f aca="false">Pipeline!$N28*GrantPct</f>
        <v>0</v>
      </c>
      <c r="S28" s="28" t="n">
        <f aca="false">MAX(0,MIN($Q28+$R28,MaxSupportPct*Pipeline!$N28-Pipeline!$Q28,MaxPerProject,MaxProjShare*Envelope))</f>
        <v>0</v>
      </c>
      <c r="T28" s="28" t="n">
        <f aca="false">IF($O28=1,IF(Pipeline!$V28&gt;0,MIN(Pipeline!$V28,$S28),$S28),0)</f>
        <v>0</v>
      </c>
      <c r="U28" s="29" t="n">
        <f aca="false">IFERROR($Q28/($Q28+$R28),1)</f>
        <v>1</v>
      </c>
      <c r="V28" s="28" t="n">
        <f aca="false">IFERROR($T28/$C28,0)</f>
        <v>0</v>
      </c>
      <c r="W28" s="31" t="n">
        <f aca="false">IFERROR((Pipeline!$O28+Pipeline!$P28)/$T28,0)</f>
        <v>0</v>
      </c>
      <c r="X28" s="32" t="n">
        <f aca="false">IFERROR(Pipeline!$T28/$T28*1000,0)</f>
        <v>0</v>
      </c>
      <c r="Y28" s="30" t="str">
        <f aca="false">IF($O28=0,"",IF(NOT(ISNUMBER(Pipeline!$U28)),"No viability-gap data",IF(Pipeline!$U28&lt;=0,"No viability-gap data",IF($T28&lt;=Pipeline!$U28*(1+VGFTol),"Within viability gap","Above viability gap"))))</f>
        <v/>
      </c>
      <c r="Z28" s="33" t="n">
        <f aca="false">IF($O28=1,IFERROR($AN28/MAX($AN$7:$AN$31)*100,0),0)</f>
        <v>0</v>
      </c>
      <c r="AA28" s="33" t="n">
        <f aca="false">IF($O28=1,IFERROR($AO28/MAX($AO$7:$AO$31)*100,0),0)</f>
        <v>0</v>
      </c>
      <c r="AB28" s="33" t="n">
        <f aca="false">IF($O28=1,IFERROR($AP28/MAX($AP$7:$AP$31)*100,0),0)</f>
        <v>0</v>
      </c>
      <c r="AC28" s="33" t="n">
        <f aca="false">IF($O28=1,IFERROR($AQ28/MAX($AQ$7:$AQ$31)*100,0),0)</f>
        <v>0</v>
      </c>
      <c r="AD28" s="33" t="n">
        <f aca="false">IF($O28=1,Pipeline!$F28/5*100,0)</f>
        <v>0</v>
      </c>
      <c r="AE28" s="33" t="n">
        <f aca="false">IF($O28=1,Pipeline!$G28/5*100,0)</f>
        <v>0</v>
      </c>
      <c r="AF28" s="33" t="n">
        <f aca="false">IF($O28=1,(6-Pipeline!$H28)/5*100,0)</f>
        <v>0</v>
      </c>
      <c r="AG28" s="33" t="n">
        <f aca="false">IF($O28=1,IF($Y28="Within viability gap",100,IF($Y28="Above viability gap",0,50)),0)</f>
        <v>0</v>
      </c>
      <c r="AH28" s="34" t="n">
        <f aca="false">$Z28*W_Cost+$AA28*W_Lev+$AB28*W_PU+$AC28*W_CO2+$AD28*W_Ready+$AE28*W_Track+$AF28*W_Risk+$AG28*W_Add</f>
        <v>0</v>
      </c>
      <c r="AI28" s="35" t="n">
        <f aca="false">IF($O28=1,$AH28+(26-$A28)/1000000,-1)</f>
        <v>-1</v>
      </c>
      <c r="AJ28" s="21" t="str">
        <f aca="false">IF($O28=1,COUNTIF($AI$7:$AI$31,"&gt;"&amp;$AI28)+1,"")</f>
        <v/>
      </c>
      <c r="AK28" s="36" t="n">
        <f aca="false">SUMIF(Allocation!$B$7:$B$31,22,Allocation!$I$7:$I$31)</f>
        <v>0</v>
      </c>
      <c r="AL28" s="29" t="n">
        <f aca="false">IFERROR($AK28/$T28,0)</f>
        <v>0</v>
      </c>
      <c r="AM28" s="30" t="str">
        <f aca="false">IF($O28=0,"",IF($AL28&gt;=0.999,"Funded",IF($AK28&gt;0,"Partially funded","Not funded")))</f>
        <v/>
      </c>
      <c r="AN28" s="37" t="n">
        <f aca="false">IF(AND($O28=1,$V28&gt;0),1/$V28,0)</f>
        <v>0</v>
      </c>
      <c r="AO28" s="38" t="n">
        <f aca="false">IF($O28=1,$W28,0)</f>
        <v>0</v>
      </c>
      <c r="AP28" s="39" t="n">
        <f aca="false">IF($O28=1,$F28,0)</f>
        <v>0</v>
      </c>
      <c r="AQ28" s="37" t="n">
        <f aca="false">IF(AND($O28=1,$T28&gt;0),Pipeline!$T28/$T28,0)</f>
        <v>0</v>
      </c>
    </row>
    <row r="29" customFormat="false" ht="15" hidden="false" customHeight="false" outlineLevel="0" collapsed="false">
      <c r="A29" s="25" t="n">
        <f aca="false">23</f>
        <v>23</v>
      </c>
      <c r="B29" s="26" t="str">
        <f aca="false">IF(Pipeline!$B29&lt;&gt;"",Pipeline!$B29,"")</f>
        <v/>
      </c>
      <c r="C29" s="27" t="n">
        <f aca="false">SUM(Pipeline!$J29:$M29)</f>
        <v>0</v>
      </c>
      <c r="D29" s="28" t="n">
        <f aca="false">IFERROR(Pipeline!$N29/$C29,0)</f>
        <v>0</v>
      </c>
      <c r="E29" s="29" t="n">
        <f aca="false">IFERROR((Pipeline!$O29+Pipeline!$P29)/Pipeline!$N29,0)</f>
        <v>0</v>
      </c>
      <c r="F29" s="29" t="n">
        <f aca="false">IFERROR(Pipeline!$K29/$C29,0)</f>
        <v>0</v>
      </c>
      <c r="G29" s="25" t="n">
        <f aca="false">IF(NOT(Pipeline!$B29&lt;&gt;""),0,IF(E_MinConn_On=1,IF($C29&gt;=E_MinConn,1,0),1))</f>
        <v>0</v>
      </c>
      <c r="H29" s="25" t="n">
        <f aca="false">IF(NOT(Pipeline!$B29&lt;&gt;""),0,IF(E_MaxCapexConn_On=1,IF($D29&lt;=E_MaxCapexConn,1,0),1))</f>
        <v>0</v>
      </c>
      <c r="I29" s="25" t="n">
        <f aca="false">IF(NOT(Pipeline!$B29&lt;&gt;""),0,IF(E_MinRE_On=1,IF(Pipeline!$S29&gt;=E_MinRE,1,0),1))</f>
        <v>0</v>
      </c>
      <c r="J29" s="25" t="n">
        <f aca="false">IF(NOT(Pipeline!$B29&lt;&gt;""),0,IF(E_MinPrivate_On=1,IF($E29&gt;=E_MinPrivate,1,0),1))</f>
        <v>0</v>
      </c>
      <c r="K29" s="25" t="n">
        <f aca="false">IF(NOT(Pipeline!$B29&lt;&gt;""),0,IF(E_MinReady_On=1,IF(Pipeline!$F29&gt;=E_MinReady,1,0),1))</f>
        <v>0</v>
      </c>
      <c r="L29" s="25" t="n">
        <f aca="false">IF(NOT(Pipeline!$B29&lt;&gt;""),0,IF(E_MaxTariff_On=1,IF(Pipeline!$R29&lt;=E_MaxTariff,1,0),1))</f>
        <v>0</v>
      </c>
      <c r="M29" s="25" t="n">
        <f aca="false">IF(NOT(Pipeline!$B29&lt;&gt;""),0,IF(E_MinPU_On=1,IF($F29&gt;=E_MinPU,1,0),1))</f>
        <v>0</v>
      </c>
      <c r="N29" s="25" t="n">
        <f aca="false">IF(NOT(Pipeline!$B29&lt;&gt;""),0,IF(E_Country_On=1,IF(IFERROR(INDEX('Fund Parameters'!$B$51:$B$58,MATCH(Pipeline!$C29,'Fund Parameters'!$A$51:$A$58,0))="Y",FALSE()),1,0),1))</f>
        <v>0</v>
      </c>
      <c r="O29" s="21" t="n">
        <f aca="false">IF(AND(Pipeline!$B29&lt;&gt;"",$G29*$H29*$I29*$J29*$K29*$L29*$M29*$N29=1),1,0)</f>
        <v>0</v>
      </c>
      <c r="P29" s="30" t="str">
        <f aca="false">IF(NOT(Pipeline!$B29&lt;&gt;""),"",IF($O29=1,"Eligible",IF($G29=0,"Too few connections",IF($H29=0,"CAPEX per connection too high",IF($I29=0,"Renewable share too low",IF($J29=0,"Private co-finance too low",IF($K29=0,"Not ready enough",IF($L29=0,"Tariff above cap",IF($M29=0,"Productive use too low",IF($N29=0,"Country not eligible",""))))))))))</f>
        <v/>
      </c>
      <c r="Q29" s="28" t="n">
        <f aca="false">Pipeline!$J29*RBF_HH+Pipeline!$K29*RBF_PU+Pipeline!$L29*RBF_COM+Pipeline!$M29*RBF_INST</f>
        <v>0</v>
      </c>
      <c r="R29" s="28" t="n">
        <f aca="false">Pipeline!$N29*GrantPct</f>
        <v>0</v>
      </c>
      <c r="S29" s="28" t="n">
        <f aca="false">MAX(0,MIN($Q29+$R29,MaxSupportPct*Pipeline!$N29-Pipeline!$Q29,MaxPerProject,MaxProjShare*Envelope))</f>
        <v>0</v>
      </c>
      <c r="T29" s="28" t="n">
        <f aca="false">IF($O29=1,IF(Pipeline!$V29&gt;0,MIN(Pipeline!$V29,$S29),$S29),0)</f>
        <v>0</v>
      </c>
      <c r="U29" s="29" t="n">
        <f aca="false">IFERROR($Q29/($Q29+$R29),1)</f>
        <v>1</v>
      </c>
      <c r="V29" s="28" t="n">
        <f aca="false">IFERROR($T29/$C29,0)</f>
        <v>0</v>
      </c>
      <c r="W29" s="31" t="n">
        <f aca="false">IFERROR((Pipeline!$O29+Pipeline!$P29)/$T29,0)</f>
        <v>0</v>
      </c>
      <c r="X29" s="32" t="n">
        <f aca="false">IFERROR(Pipeline!$T29/$T29*1000,0)</f>
        <v>0</v>
      </c>
      <c r="Y29" s="30" t="str">
        <f aca="false">IF($O29=0,"",IF(NOT(ISNUMBER(Pipeline!$U29)),"No viability-gap data",IF(Pipeline!$U29&lt;=0,"No viability-gap data",IF($T29&lt;=Pipeline!$U29*(1+VGFTol),"Within viability gap","Above viability gap"))))</f>
        <v/>
      </c>
      <c r="Z29" s="33" t="n">
        <f aca="false">IF($O29=1,IFERROR($AN29/MAX($AN$7:$AN$31)*100,0),0)</f>
        <v>0</v>
      </c>
      <c r="AA29" s="33" t="n">
        <f aca="false">IF($O29=1,IFERROR($AO29/MAX($AO$7:$AO$31)*100,0),0)</f>
        <v>0</v>
      </c>
      <c r="AB29" s="33" t="n">
        <f aca="false">IF($O29=1,IFERROR($AP29/MAX($AP$7:$AP$31)*100,0),0)</f>
        <v>0</v>
      </c>
      <c r="AC29" s="33" t="n">
        <f aca="false">IF($O29=1,IFERROR($AQ29/MAX($AQ$7:$AQ$31)*100,0),0)</f>
        <v>0</v>
      </c>
      <c r="AD29" s="33" t="n">
        <f aca="false">IF($O29=1,Pipeline!$F29/5*100,0)</f>
        <v>0</v>
      </c>
      <c r="AE29" s="33" t="n">
        <f aca="false">IF($O29=1,Pipeline!$G29/5*100,0)</f>
        <v>0</v>
      </c>
      <c r="AF29" s="33" t="n">
        <f aca="false">IF($O29=1,(6-Pipeline!$H29)/5*100,0)</f>
        <v>0</v>
      </c>
      <c r="AG29" s="33" t="n">
        <f aca="false">IF($O29=1,IF($Y29="Within viability gap",100,IF($Y29="Above viability gap",0,50)),0)</f>
        <v>0</v>
      </c>
      <c r="AH29" s="34" t="n">
        <f aca="false">$Z29*W_Cost+$AA29*W_Lev+$AB29*W_PU+$AC29*W_CO2+$AD29*W_Ready+$AE29*W_Track+$AF29*W_Risk+$AG29*W_Add</f>
        <v>0</v>
      </c>
      <c r="AI29" s="35" t="n">
        <f aca="false">IF($O29=1,$AH29+(26-$A29)/1000000,-1)</f>
        <v>-1</v>
      </c>
      <c r="AJ29" s="21" t="str">
        <f aca="false">IF($O29=1,COUNTIF($AI$7:$AI$31,"&gt;"&amp;$AI29)+1,"")</f>
        <v/>
      </c>
      <c r="AK29" s="36" t="n">
        <f aca="false">SUMIF(Allocation!$B$7:$B$31,23,Allocation!$I$7:$I$31)</f>
        <v>0</v>
      </c>
      <c r="AL29" s="29" t="n">
        <f aca="false">IFERROR($AK29/$T29,0)</f>
        <v>0</v>
      </c>
      <c r="AM29" s="30" t="str">
        <f aca="false">IF($O29=0,"",IF($AL29&gt;=0.999,"Funded",IF($AK29&gt;0,"Partially funded","Not funded")))</f>
        <v/>
      </c>
      <c r="AN29" s="37" t="n">
        <f aca="false">IF(AND($O29=1,$V29&gt;0),1/$V29,0)</f>
        <v>0</v>
      </c>
      <c r="AO29" s="38" t="n">
        <f aca="false">IF($O29=1,$W29,0)</f>
        <v>0</v>
      </c>
      <c r="AP29" s="39" t="n">
        <f aca="false">IF($O29=1,$F29,0)</f>
        <v>0</v>
      </c>
      <c r="AQ29" s="37" t="n">
        <f aca="false">IF(AND($O29=1,$T29&gt;0),Pipeline!$T29/$T29,0)</f>
        <v>0</v>
      </c>
    </row>
    <row r="30" customFormat="false" ht="15" hidden="false" customHeight="false" outlineLevel="0" collapsed="false">
      <c r="A30" s="25" t="n">
        <f aca="false">24</f>
        <v>24</v>
      </c>
      <c r="B30" s="26" t="str">
        <f aca="false">IF(Pipeline!$B30&lt;&gt;"",Pipeline!$B30,"")</f>
        <v/>
      </c>
      <c r="C30" s="27" t="n">
        <f aca="false">SUM(Pipeline!$J30:$M30)</f>
        <v>0</v>
      </c>
      <c r="D30" s="28" t="n">
        <f aca="false">IFERROR(Pipeline!$N30/$C30,0)</f>
        <v>0</v>
      </c>
      <c r="E30" s="29" t="n">
        <f aca="false">IFERROR((Pipeline!$O30+Pipeline!$P30)/Pipeline!$N30,0)</f>
        <v>0</v>
      </c>
      <c r="F30" s="29" t="n">
        <f aca="false">IFERROR(Pipeline!$K30/$C30,0)</f>
        <v>0</v>
      </c>
      <c r="G30" s="25" t="n">
        <f aca="false">IF(NOT(Pipeline!$B30&lt;&gt;""),0,IF(E_MinConn_On=1,IF($C30&gt;=E_MinConn,1,0),1))</f>
        <v>0</v>
      </c>
      <c r="H30" s="25" t="n">
        <f aca="false">IF(NOT(Pipeline!$B30&lt;&gt;""),0,IF(E_MaxCapexConn_On=1,IF($D30&lt;=E_MaxCapexConn,1,0),1))</f>
        <v>0</v>
      </c>
      <c r="I30" s="25" t="n">
        <f aca="false">IF(NOT(Pipeline!$B30&lt;&gt;""),0,IF(E_MinRE_On=1,IF(Pipeline!$S30&gt;=E_MinRE,1,0),1))</f>
        <v>0</v>
      </c>
      <c r="J30" s="25" t="n">
        <f aca="false">IF(NOT(Pipeline!$B30&lt;&gt;""),0,IF(E_MinPrivate_On=1,IF($E30&gt;=E_MinPrivate,1,0),1))</f>
        <v>0</v>
      </c>
      <c r="K30" s="25" t="n">
        <f aca="false">IF(NOT(Pipeline!$B30&lt;&gt;""),0,IF(E_MinReady_On=1,IF(Pipeline!$F30&gt;=E_MinReady,1,0),1))</f>
        <v>0</v>
      </c>
      <c r="L30" s="25" t="n">
        <f aca="false">IF(NOT(Pipeline!$B30&lt;&gt;""),0,IF(E_MaxTariff_On=1,IF(Pipeline!$R30&lt;=E_MaxTariff,1,0),1))</f>
        <v>0</v>
      </c>
      <c r="M30" s="25" t="n">
        <f aca="false">IF(NOT(Pipeline!$B30&lt;&gt;""),0,IF(E_MinPU_On=1,IF($F30&gt;=E_MinPU,1,0),1))</f>
        <v>0</v>
      </c>
      <c r="N30" s="25" t="n">
        <f aca="false">IF(NOT(Pipeline!$B30&lt;&gt;""),0,IF(E_Country_On=1,IF(IFERROR(INDEX('Fund Parameters'!$B$51:$B$58,MATCH(Pipeline!$C30,'Fund Parameters'!$A$51:$A$58,0))="Y",FALSE()),1,0),1))</f>
        <v>0</v>
      </c>
      <c r="O30" s="21" t="n">
        <f aca="false">IF(AND(Pipeline!$B30&lt;&gt;"",$G30*$H30*$I30*$J30*$K30*$L30*$M30*$N30=1),1,0)</f>
        <v>0</v>
      </c>
      <c r="P30" s="30" t="str">
        <f aca="false">IF(NOT(Pipeline!$B30&lt;&gt;""),"",IF($O30=1,"Eligible",IF($G30=0,"Too few connections",IF($H30=0,"CAPEX per connection too high",IF($I30=0,"Renewable share too low",IF($J30=0,"Private co-finance too low",IF($K30=0,"Not ready enough",IF($L30=0,"Tariff above cap",IF($M30=0,"Productive use too low",IF($N30=0,"Country not eligible",""))))))))))</f>
        <v/>
      </c>
      <c r="Q30" s="28" t="n">
        <f aca="false">Pipeline!$J30*RBF_HH+Pipeline!$K30*RBF_PU+Pipeline!$L30*RBF_COM+Pipeline!$M30*RBF_INST</f>
        <v>0</v>
      </c>
      <c r="R30" s="28" t="n">
        <f aca="false">Pipeline!$N30*GrantPct</f>
        <v>0</v>
      </c>
      <c r="S30" s="28" t="n">
        <f aca="false">MAX(0,MIN($Q30+$R30,MaxSupportPct*Pipeline!$N30-Pipeline!$Q30,MaxPerProject,MaxProjShare*Envelope))</f>
        <v>0</v>
      </c>
      <c r="T30" s="28" t="n">
        <f aca="false">IF($O30=1,IF(Pipeline!$V30&gt;0,MIN(Pipeline!$V30,$S30),$S30),0)</f>
        <v>0</v>
      </c>
      <c r="U30" s="29" t="n">
        <f aca="false">IFERROR($Q30/($Q30+$R30),1)</f>
        <v>1</v>
      </c>
      <c r="V30" s="28" t="n">
        <f aca="false">IFERROR($T30/$C30,0)</f>
        <v>0</v>
      </c>
      <c r="W30" s="31" t="n">
        <f aca="false">IFERROR((Pipeline!$O30+Pipeline!$P30)/$T30,0)</f>
        <v>0</v>
      </c>
      <c r="X30" s="32" t="n">
        <f aca="false">IFERROR(Pipeline!$T30/$T30*1000,0)</f>
        <v>0</v>
      </c>
      <c r="Y30" s="30" t="str">
        <f aca="false">IF($O30=0,"",IF(NOT(ISNUMBER(Pipeline!$U30)),"No viability-gap data",IF(Pipeline!$U30&lt;=0,"No viability-gap data",IF($T30&lt;=Pipeline!$U30*(1+VGFTol),"Within viability gap","Above viability gap"))))</f>
        <v/>
      </c>
      <c r="Z30" s="33" t="n">
        <f aca="false">IF($O30=1,IFERROR($AN30/MAX($AN$7:$AN$31)*100,0),0)</f>
        <v>0</v>
      </c>
      <c r="AA30" s="33" t="n">
        <f aca="false">IF($O30=1,IFERROR($AO30/MAX($AO$7:$AO$31)*100,0),0)</f>
        <v>0</v>
      </c>
      <c r="AB30" s="33" t="n">
        <f aca="false">IF($O30=1,IFERROR($AP30/MAX($AP$7:$AP$31)*100,0),0)</f>
        <v>0</v>
      </c>
      <c r="AC30" s="33" t="n">
        <f aca="false">IF($O30=1,IFERROR($AQ30/MAX($AQ$7:$AQ$31)*100,0),0)</f>
        <v>0</v>
      </c>
      <c r="AD30" s="33" t="n">
        <f aca="false">IF($O30=1,Pipeline!$F30/5*100,0)</f>
        <v>0</v>
      </c>
      <c r="AE30" s="33" t="n">
        <f aca="false">IF($O30=1,Pipeline!$G30/5*100,0)</f>
        <v>0</v>
      </c>
      <c r="AF30" s="33" t="n">
        <f aca="false">IF($O30=1,(6-Pipeline!$H30)/5*100,0)</f>
        <v>0</v>
      </c>
      <c r="AG30" s="33" t="n">
        <f aca="false">IF($O30=1,IF($Y30="Within viability gap",100,IF($Y30="Above viability gap",0,50)),0)</f>
        <v>0</v>
      </c>
      <c r="AH30" s="34" t="n">
        <f aca="false">$Z30*W_Cost+$AA30*W_Lev+$AB30*W_PU+$AC30*W_CO2+$AD30*W_Ready+$AE30*W_Track+$AF30*W_Risk+$AG30*W_Add</f>
        <v>0</v>
      </c>
      <c r="AI30" s="35" t="n">
        <f aca="false">IF($O30=1,$AH30+(26-$A30)/1000000,-1)</f>
        <v>-1</v>
      </c>
      <c r="AJ30" s="21" t="str">
        <f aca="false">IF($O30=1,COUNTIF($AI$7:$AI$31,"&gt;"&amp;$AI30)+1,"")</f>
        <v/>
      </c>
      <c r="AK30" s="36" t="n">
        <f aca="false">SUMIF(Allocation!$B$7:$B$31,24,Allocation!$I$7:$I$31)</f>
        <v>0</v>
      </c>
      <c r="AL30" s="29" t="n">
        <f aca="false">IFERROR($AK30/$T30,0)</f>
        <v>0</v>
      </c>
      <c r="AM30" s="30" t="str">
        <f aca="false">IF($O30=0,"",IF($AL30&gt;=0.999,"Funded",IF($AK30&gt;0,"Partially funded","Not funded")))</f>
        <v/>
      </c>
      <c r="AN30" s="37" t="n">
        <f aca="false">IF(AND($O30=1,$V30&gt;0),1/$V30,0)</f>
        <v>0</v>
      </c>
      <c r="AO30" s="38" t="n">
        <f aca="false">IF($O30=1,$W30,0)</f>
        <v>0</v>
      </c>
      <c r="AP30" s="39" t="n">
        <f aca="false">IF($O30=1,$F30,0)</f>
        <v>0</v>
      </c>
      <c r="AQ30" s="37" t="n">
        <f aca="false">IF(AND($O30=1,$T30&gt;0),Pipeline!$T30/$T30,0)</f>
        <v>0</v>
      </c>
    </row>
    <row r="31" customFormat="false" ht="15" hidden="false" customHeight="false" outlineLevel="0" collapsed="false">
      <c r="A31" s="25" t="n">
        <f aca="false">25</f>
        <v>25</v>
      </c>
      <c r="B31" s="26" t="str">
        <f aca="false">IF(Pipeline!$B31&lt;&gt;"",Pipeline!$B31,"")</f>
        <v/>
      </c>
      <c r="C31" s="27" t="n">
        <f aca="false">SUM(Pipeline!$J31:$M31)</f>
        <v>0</v>
      </c>
      <c r="D31" s="28" t="n">
        <f aca="false">IFERROR(Pipeline!$N31/$C31,0)</f>
        <v>0</v>
      </c>
      <c r="E31" s="29" t="n">
        <f aca="false">IFERROR((Pipeline!$O31+Pipeline!$P31)/Pipeline!$N31,0)</f>
        <v>0</v>
      </c>
      <c r="F31" s="29" t="n">
        <f aca="false">IFERROR(Pipeline!$K31/$C31,0)</f>
        <v>0</v>
      </c>
      <c r="G31" s="25" t="n">
        <f aca="false">IF(NOT(Pipeline!$B31&lt;&gt;""),0,IF(E_MinConn_On=1,IF($C31&gt;=E_MinConn,1,0),1))</f>
        <v>0</v>
      </c>
      <c r="H31" s="25" t="n">
        <f aca="false">IF(NOT(Pipeline!$B31&lt;&gt;""),0,IF(E_MaxCapexConn_On=1,IF($D31&lt;=E_MaxCapexConn,1,0),1))</f>
        <v>0</v>
      </c>
      <c r="I31" s="25" t="n">
        <f aca="false">IF(NOT(Pipeline!$B31&lt;&gt;""),0,IF(E_MinRE_On=1,IF(Pipeline!$S31&gt;=E_MinRE,1,0),1))</f>
        <v>0</v>
      </c>
      <c r="J31" s="25" t="n">
        <f aca="false">IF(NOT(Pipeline!$B31&lt;&gt;""),0,IF(E_MinPrivate_On=1,IF($E31&gt;=E_MinPrivate,1,0),1))</f>
        <v>0</v>
      </c>
      <c r="K31" s="25" t="n">
        <f aca="false">IF(NOT(Pipeline!$B31&lt;&gt;""),0,IF(E_MinReady_On=1,IF(Pipeline!$F31&gt;=E_MinReady,1,0),1))</f>
        <v>0</v>
      </c>
      <c r="L31" s="25" t="n">
        <f aca="false">IF(NOT(Pipeline!$B31&lt;&gt;""),0,IF(E_MaxTariff_On=1,IF(Pipeline!$R31&lt;=E_MaxTariff,1,0),1))</f>
        <v>0</v>
      </c>
      <c r="M31" s="25" t="n">
        <f aca="false">IF(NOT(Pipeline!$B31&lt;&gt;""),0,IF(E_MinPU_On=1,IF($F31&gt;=E_MinPU,1,0),1))</f>
        <v>0</v>
      </c>
      <c r="N31" s="25" t="n">
        <f aca="false">IF(NOT(Pipeline!$B31&lt;&gt;""),0,IF(E_Country_On=1,IF(IFERROR(INDEX('Fund Parameters'!$B$51:$B$58,MATCH(Pipeline!$C31,'Fund Parameters'!$A$51:$A$58,0))="Y",FALSE()),1,0),1))</f>
        <v>0</v>
      </c>
      <c r="O31" s="21" t="n">
        <f aca="false">IF(AND(Pipeline!$B31&lt;&gt;"",$G31*$H31*$I31*$J31*$K31*$L31*$M31*$N31=1),1,0)</f>
        <v>0</v>
      </c>
      <c r="P31" s="30" t="str">
        <f aca="false">IF(NOT(Pipeline!$B31&lt;&gt;""),"",IF($O31=1,"Eligible",IF($G31=0,"Too few connections",IF($H31=0,"CAPEX per connection too high",IF($I31=0,"Renewable share too low",IF($J31=0,"Private co-finance too low",IF($K31=0,"Not ready enough",IF($L31=0,"Tariff above cap",IF($M31=0,"Productive use too low",IF($N31=0,"Country not eligible",""))))))))))</f>
        <v/>
      </c>
      <c r="Q31" s="28" t="n">
        <f aca="false">Pipeline!$J31*RBF_HH+Pipeline!$K31*RBF_PU+Pipeline!$L31*RBF_COM+Pipeline!$M31*RBF_INST</f>
        <v>0</v>
      </c>
      <c r="R31" s="28" t="n">
        <f aca="false">Pipeline!$N31*GrantPct</f>
        <v>0</v>
      </c>
      <c r="S31" s="28" t="n">
        <f aca="false">MAX(0,MIN($Q31+$R31,MaxSupportPct*Pipeline!$N31-Pipeline!$Q31,MaxPerProject,MaxProjShare*Envelope))</f>
        <v>0</v>
      </c>
      <c r="T31" s="28" t="n">
        <f aca="false">IF($O31=1,IF(Pipeline!$V31&gt;0,MIN(Pipeline!$V31,$S31),$S31),0)</f>
        <v>0</v>
      </c>
      <c r="U31" s="29" t="n">
        <f aca="false">IFERROR($Q31/($Q31+$R31),1)</f>
        <v>1</v>
      </c>
      <c r="V31" s="28" t="n">
        <f aca="false">IFERROR($T31/$C31,0)</f>
        <v>0</v>
      </c>
      <c r="W31" s="31" t="n">
        <f aca="false">IFERROR((Pipeline!$O31+Pipeline!$P31)/$T31,0)</f>
        <v>0</v>
      </c>
      <c r="X31" s="32" t="n">
        <f aca="false">IFERROR(Pipeline!$T31/$T31*1000,0)</f>
        <v>0</v>
      </c>
      <c r="Y31" s="30" t="str">
        <f aca="false">IF($O31=0,"",IF(NOT(ISNUMBER(Pipeline!$U31)),"No viability-gap data",IF(Pipeline!$U31&lt;=0,"No viability-gap data",IF($T31&lt;=Pipeline!$U31*(1+VGFTol),"Within viability gap","Above viability gap"))))</f>
        <v/>
      </c>
      <c r="Z31" s="33" t="n">
        <f aca="false">IF($O31=1,IFERROR($AN31/MAX($AN$7:$AN$31)*100,0),0)</f>
        <v>0</v>
      </c>
      <c r="AA31" s="33" t="n">
        <f aca="false">IF($O31=1,IFERROR($AO31/MAX($AO$7:$AO$31)*100,0),0)</f>
        <v>0</v>
      </c>
      <c r="AB31" s="33" t="n">
        <f aca="false">IF($O31=1,IFERROR($AP31/MAX($AP$7:$AP$31)*100,0),0)</f>
        <v>0</v>
      </c>
      <c r="AC31" s="33" t="n">
        <f aca="false">IF($O31=1,IFERROR($AQ31/MAX($AQ$7:$AQ$31)*100,0),0)</f>
        <v>0</v>
      </c>
      <c r="AD31" s="33" t="n">
        <f aca="false">IF($O31=1,Pipeline!$F31/5*100,0)</f>
        <v>0</v>
      </c>
      <c r="AE31" s="33" t="n">
        <f aca="false">IF($O31=1,Pipeline!$G31/5*100,0)</f>
        <v>0</v>
      </c>
      <c r="AF31" s="33" t="n">
        <f aca="false">IF($O31=1,(6-Pipeline!$H31)/5*100,0)</f>
        <v>0</v>
      </c>
      <c r="AG31" s="33" t="n">
        <f aca="false">IF($O31=1,IF($Y31="Within viability gap",100,IF($Y31="Above viability gap",0,50)),0)</f>
        <v>0</v>
      </c>
      <c r="AH31" s="34" t="n">
        <f aca="false">$Z31*W_Cost+$AA31*W_Lev+$AB31*W_PU+$AC31*W_CO2+$AD31*W_Ready+$AE31*W_Track+$AF31*W_Risk+$AG31*W_Add</f>
        <v>0</v>
      </c>
      <c r="AI31" s="35" t="n">
        <f aca="false">IF($O31=1,$AH31+(26-$A31)/1000000,-1)</f>
        <v>-1</v>
      </c>
      <c r="AJ31" s="21" t="str">
        <f aca="false">IF($O31=1,COUNTIF($AI$7:$AI$31,"&gt;"&amp;$AI31)+1,"")</f>
        <v/>
      </c>
      <c r="AK31" s="36" t="n">
        <f aca="false">SUMIF(Allocation!$B$7:$B$31,25,Allocation!$I$7:$I$31)</f>
        <v>0</v>
      </c>
      <c r="AL31" s="29" t="n">
        <f aca="false">IFERROR($AK31/$T31,0)</f>
        <v>0</v>
      </c>
      <c r="AM31" s="30" t="str">
        <f aca="false">IF($O31=0,"",IF($AL31&gt;=0.999,"Funded",IF($AK31&gt;0,"Partially funded","Not funded")))</f>
        <v/>
      </c>
      <c r="AN31" s="37" t="n">
        <f aca="false">IF(AND($O31=1,$V31&gt;0),1/$V31,0)</f>
        <v>0</v>
      </c>
      <c r="AO31" s="38" t="n">
        <f aca="false">IF($O31=1,$W31,0)</f>
        <v>0</v>
      </c>
      <c r="AP31" s="39" t="n">
        <f aca="false">IF($O31=1,$F31,0)</f>
        <v>0</v>
      </c>
      <c r="AQ31" s="37" t="n">
        <f aca="false">IF(AND($O31=1,$T31&gt;0),Pipeline!$T31/$T31,0)</f>
        <v>0</v>
      </c>
    </row>
  </sheetData>
  <conditionalFormatting sqref="G7:O31">
    <cfRule type="expression" priority="2" aboveAverage="0" equalAverage="0" bottom="0" percent="0" rank="0" text="" dxfId="0">
      <formula>AND(G7=0,$B7&lt;&gt;"")</formula>
    </cfRule>
  </conditionalFormatting>
  <conditionalFormatting sqref="O7:O31">
    <cfRule type="expression" priority="3" aboveAverage="0" equalAverage="0" bottom="0" percent="0" rank="0" text="" dxfId="1">
      <formula>O7=1</formula>
    </cfRule>
  </conditionalFormatting>
  <conditionalFormatting sqref="Y7:Y31">
    <cfRule type="expression" priority="4" aboveAverage="0" equalAverage="0" bottom="0" percent="0" rank="0" text="" dxfId="0">
      <formula>Y7="Above viability gap"</formula>
    </cfRule>
  </conditionalFormatting>
  <conditionalFormatting sqref="AM7:AM31">
    <cfRule type="expression" priority="5" aboveAverage="0" equalAverage="0" bottom="0" percent="0" rank="0" text="" dxfId="1">
      <formula>AM7="Funded"</formula>
    </cfRule>
    <cfRule type="expression" priority="6" aboveAverage="0" equalAverage="0" bottom="0" percent="0" rank="0" text="" dxfId="2">
      <formula>AM7="Partially funded"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F79"/>
    <pageSetUpPr fitToPage="true"/>
  </sheetPr>
  <dimension ref="A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9" min="6" style="0" width="14"/>
    <col collapsed="false" customWidth="true" hidden="false" outlineLevel="0" max="10" min="10" style="0" width="18"/>
    <col collapsed="false" customWidth="true" hidden="false" outlineLevel="0" max="11" min="11" style="0" width="24"/>
  </cols>
  <sheetData>
    <row r="1" customFormat="false" ht="19.7" hidden="false" customHeight="false" outlineLevel="0" collapsed="false">
      <c r="A1" s="6" t="s">
        <v>207</v>
      </c>
    </row>
    <row r="2" customFormat="false" ht="15" hidden="false" customHeight="false" outlineLevel="0" collapsed="false">
      <c r="A2" s="40" t="str">
        <f aca="false">"Envelope: "&amp;Currency&amp;" "&amp;FIXED(Envelope,0)&amp;"  |  Partial funding: "&amp;IF(AllowPartial=1,"allowed","not allowed")&amp;"  |  Max per country: "&amp;FIXED((MaxCountryShare)*100,0)&amp;"%"&amp;" of envelope"</f>
        <v>Envelope: USD 2,550,000  |  Partial funding: allowed  |  Max per country: 50% of envelope</v>
      </c>
    </row>
    <row r="3" customFormat="false" ht="15" hidden="false" customHeight="false" outlineLevel="0" collapsed="false">
      <c r="A3" s="7" t="s">
        <v>208</v>
      </c>
    </row>
    <row r="6" customFormat="false" ht="42" hidden="false" customHeight="true" outlineLevel="0" collapsed="false">
      <c r="A6" s="19" t="s">
        <v>209</v>
      </c>
      <c r="B6" s="19" t="s">
        <v>116</v>
      </c>
      <c r="C6" s="19" t="s">
        <v>117</v>
      </c>
      <c r="D6" s="19" t="s">
        <v>90</v>
      </c>
      <c r="E6" s="19" t="s">
        <v>210</v>
      </c>
      <c r="F6" s="19" t="s">
        <v>211</v>
      </c>
      <c r="G6" s="19" t="s">
        <v>212</v>
      </c>
      <c r="H6" s="19" t="s">
        <v>213</v>
      </c>
      <c r="I6" s="19" t="s">
        <v>214</v>
      </c>
      <c r="J6" s="19" t="s">
        <v>215</v>
      </c>
      <c r="K6" s="19" t="s">
        <v>216</v>
      </c>
    </row>
    <row r="7" customFormat="false" ht="15" hidden="false" customHeight="false" outlineLevel="0" collapsed="false">
      <c r="A7" s="25" t="n">
        <f aca="false">1</f>
        <v>1</v>
      </c>
      <c r="B7" s="25" t="n">
        <f aca="false">IFERROR(MATCH(1,'Eligibility &amp; Scoring'!$AJ$7:$AJ$31,0),"")</f>
        <v>3</v>
      </c>
      <c r="C7" s="26" t="str">
        <f aca="false">IF(B7="","",INDEX('Eligibility &amp; Scoring'!$B$7:$B$31,B7))</f>
        <v>Project C - Northern corridor</v>
      </c>
      <c r="D7" s="26" t="str">
        <f aca="false">IF(B7="","",INDEX(Pipeline!$C$7:$C$31,B7))</f>
        <v>Country B</v>
      </c>
      <c r="E7" s="41" t="n">
        <f aca="false">IF(B7="",0,INDEX('Eligibility &amp; Scoring'!$AH$7:$AH$31,B7))</f>
        <v>91.5710951825304</v>
      </c>
      <c r="F7" s="36" t="n">
        <f aca="false">IF(B7="",0,INDEX('Eligibility &amp; Scoring'!$T$7:$T$31,B7))</f>
        <v>382500</v>
      </c>
      <c r="G7" s="28" t="n">
        <f aca="false">IF(B7="","",Envelope)</f>
        <v>2550000</v>
      </c>
      <c r="H7" s="28" t="n">
        <f aca="false">IF(B7="","",MaxCountryShare*Envelope)</f>
        <v>1275000</v>
      </c>
      <c r="I7" s="16" t="n">
        <f aca="false">IF(B7="",0,IF(AllowPartial=1,MAX(0,MIN(F7,G7,H7)),IF(F7&lt;=MIN(G7,H7),F7,0)))</f>
        <v>382500</v>
      </c>
      <c r="J7" s="30" t="str">
        <f aca="false">IF(B7="","",IF(I7&gt;=F7-0.5,"Funded",IF(I7&gt;0,"Partially funded","Not funded")))</f>
        <v>Funded</v>
      </c>
      <c r="K7" s="30" t="str">
        <f aca="false">IF(OR(B7="",I7&gt;=F7-0.5),"",IF(H7&lt;G7,"Country limit","Envelope exhausted"))</f>
        <v/>
      </c>
    </row>
    <row r="8" customFormat="false" ht="15" hidden="false" customHeight="false" outlineLevel="0" collapsed="false">
      <c r="A8" s="25" t="n">
        <f aca="false">2</f>
        <v>2</v>
      </c>
      <c r="B8" s="25" t="n">
        <f aca="false">IFERROR(MATCH(2,'Eligibility &amp; Scoring'!$AJ$7:$AJ$31,0),"")</f>
        <v>11</v>
      </c>
      <c r="C8" s="26" t="str">
        <f aca="false">IF(B8="","",INDEX('Eligibility &amp; Scoring'!$B$7:$B$31,B8))</f>
        <v>Project K - Peri-urban extension</v>
      </c>
      <c r="D8" s="26" t="str">
        <f aca="false">IF(B8="","",INDEX(Pipeline!$C$7:$C$31,B8))</f>
        <v>Country B</v>
      </c>
      <c r="E8" s="41" t="n">
        <f aca="false">IF(B8="",0,INDEX('Eligibility &amp; Scoring'!$AH$7:$AH$31,B8))</f>
        <v>77.7475968216925</v>
      </c>
      <c r="F8" s="36" t="n">
        <f aca="false">IF(B8="",0,INDEX('Eligibility &amp; Scoring'!$T$7:$T$31,B8))</f>
        <v>382500</v>
      </c>
      <c r="G8" s="28" t="n">
        <f aca="false">IF(B8="","",Envelope-SUM($I$7:I7))</f>
        <v>2167500</v>
      </c>
      <c r="H8" s="28" t="n">
        <f aca="false">IF(B8="","",MaxCountryShare*Envelope-SUMIF($D$7:D7,D8,$I$7:I7))</f>
        <v>892500</v>
      </c>
      <c r="I8" s="16" t="n">
        <f aca="false">IF(B8="",0,IF(AllowPartial=1,MAX(0,MIN(F8,G8,H8)),IF(F8&lt;=MIN(G8,H8),F8,0)))</f>
        <v>382500</v>
      </c>
      <c r="J8" s="30" t="str">
        <f aca="false">IF(B8="","",IF(I8&gt;=F8-0.5,"Funded",IF(I8&gt;0,"Partially funded","Not funded")))</f>
        <v>Funded</v>
      </c>
      <c r="K8" s="30" t="str">
        <f aca="false">IF(OR(B8="",I8&gt;=F8-0.5),"",IF(H8&lt;G8,"Country limit","Envelope exhausted"))</f>
        <v/>
      </c>
    </row>
    <row r="9" customFormat="false" ht="15" hidden="false" customHeight="false" outlineLevel="0" collapsed="false">
      <c r="A9" s="25" t="n">
        <f aca="false">3</f>
        <v>3</v>
      </c>
      <c r="B9" s="25" t="n">
        <f aca="false">IFERROR(MATCH(3,'Eligibility &amp; Scoring'!$AJ$7:$AJ$31,0),"")</f>
        <v>12</v>
      </c>
      <c r="C9" s="26" t="str">
        <f aca="false">IF(B9="","",INDEX('Eligibility &amp; Scoring'!$B$7:$B$31,B9))</f>
        <v>Project L - Mining belt</v>
      </c>
      <c r="D9" s="26" t="str">
        <f aca="false">IF(B9="","",INDEX(Pipeline!$C$7:$C$31,B9))</f>
        <v>Country D</v>
      </c>
      <c r="E9" s="41" t="n">
        <f aca="false">IF(B9="",0,INDEX('Eligibility &amp; Scoring'!$AH$7:$AH$31,B9))</f>
        <v>75.5286790864733</v>
      </c>
      <c r="F9" s="36" t="n">
        <f aca="false">IF(B9="",0,INDEX('Eligibility &amp; Scoring'!$T$7:$T$31,B9))</f>
        <v>382500</v>
      </c>
      <c r="G9" s="28" t="n">
        <f aca="false">IF(B9="","",Envelope-SUM($I$7:I8))</f>
        <v>1785000</v>
      </c>
      <c r="H9" s="28" t="n">
        <f aca="false">IF(B9="","",MaxCountryShare*Envelope-SUMIF($D$7:D8,D9,$I$7:I8))</f>
        <v>1275000</v>
      </c>
      <c r="I9" s="16" t="n">
        <f aca="false">IF(B9="",0,IF(AllowPartial=1,MAX(0,MIN(F9,G9,H9)),IF(F9&lt;=MIN(G9,H9),F9,0)))</f>
        <v>382500</v>
      </c>
      <c r="J9" s="30" t="str">
        <f aca="false">IF(B9="","",IF(I9&gt;=F9-0.5,"Funded",IF(I9&gt;0,"Partially funded","Not funded")))</f>
        <v>Funded</v>
      </c>
      <c r="K9" s="30" t="str">
        <f aca="false">IF(OR(B9="",I9&gt;=F9-0.5),"",IF(H9&lt;G9,"Country limit","Envelope exhausted"))</f>
        <v/>
      </c>
    </row>
    <row r="10" customFormat="false" ht="15" hidden="false" customHeight="false" outlineLevel="0" collapsed="false">
      <c r="A10" s="25" t="n">
        <f aca="false">4</f>
        <v>4</v>
      </c>
      <c r="B10" s="25" t="n">
        <f aca="false">IFERROR(MATCH(4,'Eligibility &amp; Scoring'!$AJ$7:$AJ$31,0),"")</f>
        <v>8</v>
      </c>
      <c r="C10" s="26" t="str">
        <f aca="false">IF(B10="","",INDEX('Eligibility &amp; Scoring'!$B$7:$B$31,B10))</f>
        <v>Project H - Agro-processing hub</v>
      </c>
      <c r="D10" s="26" t="str">
        <f aca="false">IF(B10="","",INDEX(Pipeline!$C$7:$C$31,B10))</f>
        <v>Country B</v>
      </c>
      <c r="E10" s="41" t="n">
        <f aca="false">IF(B10="",0,INDEX('Eligibility &amp; Scoring'!$AH$7:$AH$31,B10))</f>
        <v>70.1937961882536</v>
      </c>
      <c r="F10" s="36" t="n">
        <f aca="false">IF(B10="",0,INDEX('Eligibility &amp; Scoring'!$T$7:$T$31,B10))</f>
        <v>382500</v>
      </c>
      <c r="G10" s="28" t="n">
        <f aca="false">IF(B10="","",Envelope-SUM($I$7:I9))</f>
        <v>1402500</v>
      </c>
      <c r="H10" s="28" t="n">
        <f aca="false">IF(B10="","",MaxCountryShare*Envelope-SUMIF($D$7:D9,D10,$I$7:I9))</f>
        <v>510000</v>
      </c>
      <c r="I10" s="16" t="n">
        <f aca="false">IF(B10="",0,IF(AllowPartial=1,MAX(0,MIN(F10,G10,H10)),IF(F10&lt;=MIN(G10,H10),F10,0)))</f>
        <v>382500</v>
      </c>
      <c r="J10" s="30" t="str">
        <f aca="false">IF(B10="","",IF(I10&gt;=F10-0.5,"Funded",IF(I10&gt;0,"Partially funded","Not funded")))</f>
        <v>Funded</v>
      </c>
      <c r="K10" s="30" t="str">
        <f aca="false">IF(OR(B10="",I10&gt;=F10-0.5),"",IF(H10&lt;G10,"Country limit","Envelope exhausted"))</f>
        <v/>
      </c>
    </row>
    <row r="11" customFormat="false" ht="15" hidden="false" customHeight="false" outlineLevel="0" collapsed="false">
      <c r="A11" s="25" t="n">
        <f aca="false">5</f>
        <v>5</v>
      </c>
      <c r="B11" s="25" t="n">
        <f aca="false">IFERROR(MATCH(5,'Eligibility &amp; Scoring'!$AJ$7:$AJ$31,0),"")</f>
        <v>1</v>
      </c>
      <c r="C11" s="26" t="str">
        <f aca="false">IF(B11="","",INDEX('Eligibility &amp; Scoring'!$B$7:$B$31,B11))</f>
        <v>Project A - Lake village cluster</v>
      </c>
      <c r="D11" s="26" t="str">
        <f aca="false">IF(B11="","",INDEX(Pipeline!$C$7:$C$31,B11))</f>
        <v>Country A</v>
      </c>
      <c r="E11" s="41" t="n">
        <f aca="false">IF(B11="",0,INDEX('Eligibility &amp; Scoring'!$AH$7:$AH$31,B11))</f>
        <v>65.050244485192</v>
      </c>
      <c r="F11" s="36" t="n">
        <f aca="false">IF(B11="",0,INDEX('Eligibility &amp; Scoring'!$T$7:$T$31,B11))</f>
        <v>382500</v>
      </c>
      <c r="G11" s="28" t="n">
        <f aca="false">IF(B11="","",Envelope-SUM($I$7:I10))</f>
        <v>1020000</v>
      </c>
      <c r="H11" s="28" t="n">
        <f aca="false">IF(B11="","",MaxCountryShare*Envelope-SUMIF($D$7:D10,D11,$I$7:I10))</f>
        <v>1275000</v>
      </c>
      <c r="I11" s="16" t="n">
        <f aca="false">IF(B11="",0,IF(AllowPartial=1,MAX(0,MIN(F11,G11,H11)),IF(F11&lt;=MIN(G11,H11),F11,0)))</f>
        <v>382500</v>
      </c>
      <c r="J11" s="30" t="str">
        <f aca="false">IF(B11="","",IF(I11&gt;=F11-0.5,"Funded",IF(I11&gt;0,"Partially funded","Not funded")))</f>
        <v>Funded</v>
      </c>
      <c r="K11" s="30" t="str">
        <f aca="false">IF(OR(B11="",I11&gt;=F11-0.5),"",IF(H11&lt;G11,"Country limit","Envelope exhausted"))</f>
        <v/>
      </c>
    </row>
    <row r="12" customFormat="false" ht="15" hidden="false" customHeight="false" outlineLevel="0" collapsed="false">
      <c r="A12" s="25" t="n">
        <f aca="false">6</f>
        <v>6</v>
      </c>
      <c r="B12" s="25" t="n">
        <f aca="false">IFERROR(MATCH(6,'Eligibility &amp; Scoring'!$AJ$7:$AJ$31,0),"")</f>
        <v>14</v>
      </c>
      <c r="C12" s="26" t="str">
        <f aca="false">IF(B12="","",INDEX('Eligibility &amp; Scoring'!$B$7:$B$31,B12))</f>
        <v>Project N - Lakeside expansion</v>
      </c>
      <c r="D12" s="26" t="str">
        <f aca="false">IF(B12="","",INDEX(Pipeline!$C$7:$C$31,B12))</f>
        <v>Country B</v>
      </c>
      <c r="E12" s="41" t="n">
        <f aca="false">IF(B12="",0,INDEX('Eligibility &amp; Scoring'!$AH$7:$AH$31,B12))</f>
        <v>63.7975023286261</v>
      </c>
      <c r="F12" s="36" t="n">
        <f aca="false">IF(B12="",0,INDEX('Eligibility &amp; Scoring'!$T$7:$T$31,B12))</f>
        <v>382500</v>
      </c>
      <c r="G12" s="28" t="n">
        <f aca="false">IF(B12="","",Envelope-SUM($I$7:I11))</f>
        <v>637500</v>
      </c>
      <c r="H12" s="28" t="n">
        <f aca="false">IF(B12="","",MaxCountryShare*Envelope-SUMIF($D$7:D11,D12,$I$7:I11))</f>
        <v>127500</v>
      </c>
      <c r="I12" s="16" t="n">
        <f aca="false">IF(B12="",0,IF(AllowPartial=1,MAX(0,MIN(F12,G12,H12)),IF(F12&lt;=MIN(G12,H12),F12,0)))</f>
        <v>127500</v>
      </c>
      <c r="J12" s="30" t="str">
        <f aca="false">IF(B12="","",IF(I12&gt;=F12-0.5,"Funded",IF(I12&gt;0,"Partially funded","Not funded")))</f>
        <v>Partially funded</v>
      </c>
      <c r="K12" s="30" t="str">
        <f aca="false">IF(OR(B12="",I12&gt;=F12-0.5),"",IF(H12&lt;G12,"Country limit","Envelope exhausted"))</f>
        <v>Country limit</v>
      </c>
    </row>
    <row r="13" customFormat="false" ht="15" hidden="false" customHeight="false" outlineLevel="0" collapsed="false">
      <c r="A13" s="25" t="n">
        <f aca="false">7</f>
        <v>7</v>
      </c>
      <c r="B13" s="25" t="n">
        <f aca="false">IFERROR(MATCH(7,'Eligibility &amp; Scoring'!$AJ$7:$AJ$31,0),"")</f>
        <v>9</v>
      </c>
      <c r="C13" s="26" t="str">
        <f aca="false">IF(B13="","",INDEX('Eligibility &amp; Scoring'!$B$7:$B$31,B13))</f>
        <v>Project I - Fishing communities</v>
      </c>
      <c r="D13" s="26" t="str">
        <f aca="false">IF(B13="","",INDEX(Pipeline!$C$7:$C$31,B13))</f>
        <v>Country D</v>
      </c>
      <c r="E13" s="41" t="n">
        <f aca="false">IF(B13="",0,INDEX('Eligibility &amp; Scoring'!$AH$7:$AH$31,B13))</f>
        <v>52.9564799179846</v>
      </c>
      <c r="F13" s="36" t="n">
        <f aca="false">IF(B13="",0,INDEX('Eligibility &amp; Scoring'!$T$7:$T$31,B13))</f>
        <v>382500</v>
      </c>
      <c r="G13" s="28" t="n">
        <f aca="false">IF(B13="","",Envelope-SUM($I$7:I12))</f>
        <v>510000</v>
      </c>
      <c r="H13" s="28" t="n">
        <f aca="false">IF(B13="","",MaxCountryShare*Envelope-SUMIF($D$7:D12,D13,$I$7:I12))</f>
        <v>892500</v>
      </c>
      <c r="I13" s="16" t="n">
        <f aca="false">IF(B13="",0,IF(AllowPartial=1,MAX(0,MIN(F13,G13,H13)),IF(F13&lt;=MIN(G13,H13),F13,0)))</f>
        <v>382500</v>
      </c>
      <c r="J13" s="30" t="str">
        <f aca="false">IF(B13="","",IF(I13&gt;=F13-0.5,"Funded",IF(I13&gt;0,"Partially funded","Not funded")))</f>
        <v>Funded</v>
      </c>
      <c r="K13" s="30" t="str">
        <f aca="false">IF(OR(B13="",I13&gt;=F13-0.5),"",IF(H13&lt;G13,"Country limit","Envelope exhausted"))</f>
        <v/>
      </c>
    </row>
    <row r="14" customFormat="false" ht="15" hidden="false" customHeight="false" outlineLevel="0" collapsed="false">
      <c r="A14" s="25" t="n">
        <f aca="false">8</f>
        <v>8</v>
      </c>
      <c r="B14" s="25" t="n">
        <f aca="false">IFERROR(MATCH(8,'Eligibility &amp; Scoring'!$AJ$7:$AJ$31,0),"")</f>
        <v>2</v>
      </c>
      <c r="C14" s="26" t="str">
        <f aca="false">IF(B14="","",INDEX('Eligibility &amp; Scoring'!$B$7:$B$31,B14))</f>
        <v>Project B - River towns</v>
      </c>
      <c r="D14" s="26" t="str">
        <f aca="false">IF(B14="","",INDEX(Pipeline!$C$7:$C$31,B14))</f>
        <v>Country A</v>
      </c>
      <c r="E14" s="41" t="n">
        <f aca="false">IF(B14="",0,INDEX('Eligibility &amp; Scoring'!$AH$7:$AH$31,B14))</f>
        <v>51.9378232848435</v>
      </c>
      <c r="F14" s="36" t="n">
        <f aca="false">IF(B14="",0,INDEX('Eligibility &amp; Scoring'!$T$7:$T$31,B14))</f>
        <v>320000</v>
      </c>
      <c r="G14" s="28" t="n">
        <f aca="false">IF(B14="","",Envelope-SUM($I$7:I13))</f>
        <v>127500</v>
      </c>
      <c r="H14" s="28" t="n">
        <f aca="false">IF(B14="","",MaxCountryShare*Envelope-SUMIF($D$7:D13,D14,$I$7:I13))</f>
        <v>892500</v>
      </c>
      <c r="I14" s="16" t="n">
        <f aca="false">IF(B14="",0,IF(AllowPartial=1,MAX(0,MIN(F14,G14,H14)),IF(F14&lt;=MIN(G14,H14),F14,0)))</f>
        <v>127500</v>
      </c>
      <c r="J14" s="30" t="str">
        <f aca="false">IF(B14="","",IF(I14&gt;=F14-0.5,"Funded",IF(I14&gt;0,"Partially funded","Not funded")))</f>
        <v>Partially funded</v>
      </c>
      <c r="K14" s="30" t="str">
        <f aca="false">IF(OR(B14="",I14&gt;=F14-0.5),"",IF(H14&lt;G14,"Country limit","Envelope exhausted"))</f>
        <v>Envelope exhausted</v>
      </c>
    </row>
    <row r="15" customFormat="false" ht="15" hidden="false" customHeight="false" outlineLevel="0" collapsed="false">
      <c r="A15" s="25" t="n">
        <f aca="false">9</f>
        <v>9</v>
      </c>
      <c r="B15" s="25" t="str">
        <f aca="false">IFERROR(MATCH(9,'Eligibility &amp; Scoring'!$AJ$7:$AJ$31,0),"")</f>
        <v/>
      </c>
      <c r="C15" s="26" t="str">
        <f aca="false">IF(B15="","",INDEX('Eligibility &amp; Scoring'!$B$7:$B$31,B15))</f>
        <v/>
      </c>
      <c r="D15" s="26" t="str">
        <f aca="false">IF(B15="","",INDEX(Pipeline!$C$7:$C$31,B15))</f>
        <v/>
      </c>
      <c r="E15" s="41" t="n">
        <f aca="false">IF(B15="",0,INDEX('Eligibility &amp; Scoring'!$AH$7:$AH$31,B15))</f>
        <v>0</v>
      </c>
      <c r="F15" s="36" t="n">
        <f aca="false">IF(B15="",0,INDEX('Eligibility &amp; Scoring'!$T$7:$T$31,B15))</f>
        <v>0</v>
      </c>
      <c r="G15" s="28" t="str">
        <f aca="false">IF(B15="","",Envelope-SUM($I$7:I14))</f>
        <v/>
      </c>
      <c r="H15" s="28" t="str">
        <f aca="false">IF(B15="","",MaxCountryShare*Envelope-SUMIF($D$7:D14,D15,$I$7:I14))</f>
        <v/>
      </c>
      <c r="I15" s="16" t="n">
        <f aca="false">IF(B15="",0,IF(AllowPartial=1,MAX(0,MIN(F15,G15,H15)),IF(F15&lt;=MIN(G15,H15),F15,0)))</f>
        <v>0</v>
      </c>
      <c r="J15" s="30" t="str">
        <f aca="false">IF(B15="","",IF(I15&gt;=F15-0.5,"Funded",IF(I15&gt;0,"Partially funded","Not funded")))</f>
        <v/>
      </c>
      <c r="K15" s="30" t="str">
        <f aca="false">IF(OR(B15="",I15&gt;=F15-0.5),"",IF(H15&lt;G15,"Country limit","Envelope exhausted"))</f>
        <v/>
      </c>
    </row>
    <row r="16" customFormat="false" ht="15" hidden="false" customHeight="false" outlineLevel="0" collapsed="false">
      <c r="A16" s="25" t="n">
        <f aca="false">10</f>
        <v>10</v>
      </c>
      <c r="B16" s="25" t="str">
        <f aca="false">IFERROR(MATCH(10,'Eligibility &amp; Scoring'!$AJ$7:$AJ$31,0),"")</f>
        <v/>
      </c>
      <c r="C16" s="26" t="str">
        <f aca="false">IF(B16="","",INDEX('Eligibility &amp; Scoring'!$B$7:$B$31,B16))</f>
        <v/>
      </c>
      <c r="D16" s="26" t="str">
        <f aca="false">IF(B16="","",INDEX(Pipeline!$C$7:$C$31,B16))</f>
        <v/>
      </c>
      <c r="E16" s="41" t="n">
        <f aca="false">IF(B16="",0,INDEX('Eligibility &amp; Scoring'!$AH$7:$AH$31,B16))</f>
        <v>0</v>
      </c>
      <c r="F16" s="36" t="n">
        <f aca="false">IF(B16="",0,INDEX('Eligibility &amp; Scoring'!$T$7:$T$31,B16))</f>
        <v>0</v>
      </c>
      <c r="G16" s="28" t="str">
        <f aca="false">IF(B16="","",Envelope-SUM($I$7:I15))</f>
        <v/>
      </c>
      <c r="H16" s="28" t="str">
        <f aca="false">IF(B16="","",MaxCountryShare*Envelope-SUMIF($D$7:D15,D16,$I$7:I15))</f>
        <v/>
      </c>
      <c r="I16" s="16" t="n">
        <f aca="false">IF(B16="",0,IF(AllowPartial=1,MAX(0,MIN(F16,G16,H16)),IF(F16&lt;=MIN(G16,H16),F16,0)))</f>
        <v>0</v>
      </c>
      <c r="J16" s="30" t="str">
        <f aca="false">IF(B16="","",IF(I16&gt;=F16-0.5,"Funded",IF(I16&gt;0,"Partially funded","Not funded")))</f>
        <v/>
      </c>
      <c r="K16" s="30" t="str">
        <f aca="false">IF(OR(B16="",I16&gt;=F16-0.5),"",IF(H16&lt;G16,"Country limit","Envelope exhausted"))</f>
        <v/>
      </c>
    </row>
    <row r="17" customFormat="false" ht="15" hidden="false" customHeight="false" outlineLevel="0" collapsed="false">
      <c r="A17" s="25" t="n">
        <f aca="false">11</f>
        <v>11</v>
      </c>
      <c r="B17" s="25" t="str">
        <f aca="false">IFERROR(MATCH(11,'Eligibility &amp; Scoring'!$AJ$7:$AJ$31,0),"")</f>
        <v/>
      </c>
      <c r="C17" s="26" t="str">
        <f aca="false">IF(B17="","",INDEX('Eligibility &amp; Scoring'!$B$7:$B$31,B17))</f>
        <v/>
      </c>
      <c r="D17" s="26" t="str">
        <f aca="false">IF(B17="","",INDEX(Pipeline!$C$7:$C$31,B17))</f>
        <v/>
      </c>
      <c r="E17" s="41" t="n">
        <f aca="false">IF(B17="",0,INDEX('Eligibility &amp; Scoring'!$AH$7:$AH$31,B17))</f>
        <v>0</v>
      </c>
      <c r="F17" s="36" t="n">
        <f aca="false">IF(B17="",0,INDEX('Eligibility &amp; Scoring'!$T$7:$T$31,B17))</f>
        <v>0</v>
      </c>
      <c r="G17" s="28" t="str">
        <f aca="false">IF(B17="","",Envelope-SUM($I$7:I16))</f>
        <v/>
      </c>
      <c r="H17" s="28" t="str">
        <f aca="false">IF(B17="","",MaxCountryShare*Envelope-SUMIF($D$7:D16,D17,$I$7:I16))</f>
        <v/>
      </c>
      <c r="I17" s="16" t="n">
        <f aca="false">IF(B17="",0,IF(AllowPartial=1,MAX(0,MIN(F17,G17,H17)),IF(F17&lt;=MIN(G17,H17),F17,0)))</f>
        <v>0</v>
      </c>
      <c r="J17" s="30" t="str">
        <f aca="false">IF(B17="","",IF(I17&gt;=F17-0.5,"Funded",IF(I17&gt;0,"Partially funded","Not funded")))</f>
        <v/>
      </c>
      <c r="K17" s="30" t="str">
        <f aca="false">IF(OR(B17="",I17&gt;=F17-0.5),"",IF(H17&lt;G17,"Country limit","Envelope exhausted"))</f>
        <v/>
      </c>
    </row>
    <row r="18" customFormat="false" ht="15" hidden="false" customHeight="false" outlineLevel="0" collapsed="false">
      <c r="A18" s="25" t="n">
        <f aca="false">12</f>
        <v>12</v>
      </c>
      <c r="B18" s="25" t="str">
        <f aca="false">IFERROR(MATCH(12,'Eligibility &amp; Scoring'!$AJ$7:$AJ$31,0),"")</f>
        <v/>
      </c>
      <c r="C18" s="26" t="str">
        <f aca="false">IF(B18="","",INDEX('Eligibility &amp; Scoring'!$B$7:$B$31,B18))</f>
        <v/>
      </c>
      <c r="D18" s="26" t="str">
        <f aca="false">IF(B18="","",INDEX(Pipeline!$C$7:$C$31,B18))</f>
        <v/>
      </c>
      <c r="E18" s="41" t="n">
        <f aca="false">IF(B18="",0,INDEX('Eligibility &amp; Scoring'!$AH$7:$AH$31,B18))</f>
        <v>0</v>
      </c>
      <c r="F18" s="36" t="n">
        <f aca="false">IF(B18="",0,INDEX('Eligibility &amp; Scoring'!$T$7:$T$31,B18))</f>
        <v>0</v>
      </c>
      <c r="G18" s="28" t="str">
        <f aca="false">IF(B18="","",Envelope-SUM($I$7:I17))</f>
        <v/>
      </c>
      <c r="H18" s="28" t="str">
        <f aca="false">IF(B18="","",MaxCountryShare*Envelope-SUMIF($D$7:D17,D18,$I$7:I17))</f>
        <v/>
      </c>
      <c r="I18" s="16" t="n">
        <f aca="false">IF(B18="",0,IF(AllowPartial=1,MAX(0,MIN(F18,G18,H18)),IF(F18&lt;=MIN(G18,H18),F18,0)))</f>
        <v>0</v>
      </c>
      <c r="J18" s="30" t="str">
        <f aca="false">IF(B18="","",IF(I18&gt;=F18-0.5,"Funded",IF(I18&gt;0,"Partially funded","Not funded")))</f>
        <v/>
      </c>
      <c r="K18" s="30" t="str">
        <f aca="false">IF(OR(B18="",I18&gt;=F18-0.5),"",IF(H18&lt;G18,"Country limit","Envelope exhausted"))</f>
        <v/>
      </c>
    </row>
    <row r="19" customFormat="false" ht="15" hidden="false" customHeight="false" outlineLevel="0" collapsed="false">
      <c r="A19" s="25" t="n">
        <f aca="false">13</f>
        <v>13</v>
      </c>
      <c r="B19" s="25" t="str">
        <f aca="false">IFERROR(MATCH(13,'Eligibility &amp; Scoring'!$AJ$7:$AJ$31,0),"")</f>
        <v/>
      </c>
      <c r="C19" s="26" t="str">
        <f aca="false">IF(B19="","",INDEX('Eligibility &amp; Scoring'!$B$7:$B$31,B19))</f>
        <v/>
      </c>
      <c r="D19" s="26" t="str">
        <f aca="false">IF(B19="","",INDEX(Pipeline!$C$7:$C$31,B19))</f>
        <v/>
      </c>
      <c r="E19" s="41" t="n">
        <f aca="false">IF(B19="",0,INDEX('Eligibility &amp; Scoring'!$AH$7:$AH$31,B19))</f>
        <v>0</v>
      </c>
      <c r="F19" s="36" t="n">
        <f aca="false">IF(B19="",0,INDEX('Eligibility &amp; Scoring'!$T$7:$T$31,B19))</f>
        <v>0</v>
      </c>
      <c r="G19" s="28" t="str">
        <f aca="false">IF(B19="","",Envelope-SUM($I$7:I18))</f>
        <v/>
      </c>
      <c r="H19" s="28" t="str">
        <f aca="false">IF(B19="","",MaxCountryShare*Envelope-SUMIF($D$7:D18,D19,$I$7:I18))</f>
        <v/>
      </c>
      <c r="I19" s="16" t="n">
        <f aca="false">IF(B19="",0,IF(AllowPartial=1,MAX(0,MIN(F19,G19,H19)),IF(F19&lt;=MIN(G19,H19),F19,0)))</f>
        <v>0</v>
      </c>
      <c r="J19" s="30" t="str">
        <f aca="false">IF(B19="","",IF(I19&gt;=F19-0.5,"Funded",IF(I19&gt;0,"Partially funded","Not funded")))</f>
        <v/>
      </c>
      <c r="K19" s="30" t="str">
        <f aca="false">IF(OR(B19="",I19&gt;=F19-0.5),"",IF(H19&lt;G19,"Country limit","Envelope exhausted"))</f>
        <v/>
      </c>
    </row>
    <row r="20" customFormat="false" ht="15" hidden="false" customHeight="false" outlineLevel="0" collapsed="false">
      <c r="A20" s="25" t="n">
        <f aca="false">14</f>
        <v>14</v>
      </c>
      <c r="B20" s="25" t="str">
        <f aca="false">IFERROR(MATCH(14,'Eligibility &amp; Scoring'!$AJ$7:$AJ$31,0),"")</f>
        <v/>
      </c>
      <c r="C20" s="26" t="str">
        <f aca="false">IF(B20="","",INDEX('Eligibility &amp; Scoring'!$B$7:$B$31,B20))</f>
        <v/>
      </c>
      <c r="D20" s="26" t="str">
        <f aca="false">IF(B20="","",INDEX(Pipeline!$C$7:$C$31,B20))</f>
        <v/>
      </c>
      <c r="E20" s="41" t="n">
        <f aca="false">IF(B20="",0,INDEX('Eligibility &amp; Scoring'!$AH$7:$AH$31,B20))</f>
        <v>0</v>
      </c>
      <c r="F20" s="36" t="n">
        <f aca="false">IF(B20="",0,INDEX('Eligibility &amp; Scoring'!$T$7:$T$31,B20))</f>
        <v>0</v>
      </c>
      <c r="G20" s="28" t="str">
        <f aca="false">IF(B20="","",Envelope-SUM($I$7:I19))</f>
        <v/>
      </c>
      <c r="H20" s="28" t="str">
        <f aca="false">IF(B20="","",MaxCountryShare*Envelope-SUMIF($D$7:D19,D20,$I$7:I19))</f>
        <v/>
      </c>
      <c r="I20" s="16" t="n">
        <f aca="false">IF(B20="",0,IF(AllowPartial=1,MAX(0,MIN(F20,G20,H20)),IF(F20&lt;=MIN(G20,H20),F20,0)))</f>
        <v>0</v>
      </c>
      <c r="J20" s="30" t="str">
        <f aca="false">IF(B20="","",IF(I20&gt;=F20-0.5,"Funded",IF(I20&gt;0,"Partially funded","Not funded")))</f>
        <v/>
      </c>
      <c r="K20" s="30" t="str">
        <f aca="false">IF(OR(B20="",I20&gt;=F20-0.5),"",IF(H20&lt;G20,"Country limit","Envelope exhausted"))</f>
        <v/>
      </c>
    </row>
    <row r="21" customFormat="false" ht="15" hidden="false" customHeight="false" outlineLevel="0" collapsed="false">
      <c r="A21" s="25" t="n">
        <f aca="false">15</f>
        <v>15</v>
      </c>
      <c r="B21" s="25" t="str">
        <f aca="false">IFERROR(MATCH(15,'Eligibility &amp; Scoring'!$AJ$7:$AJ$31,0),"")</f>
        <v/>
      </c>
      <c r="C21" s="26" t="str">
        <f aca="false">IF(B21="","",INDEX('Eligibility &amp; Scoring'!$B$7:$B$31,B21))</f>
        <v/>
      </c>
      <c r="D21" s="26" t="str">
        <f aca="false">IF(B21="","",INDEX(Pipeline!$C$7:$C$31,B21))</f>
        <v/>
      </c>
      <c r="E21" s="41" t="n">
        <f aca="false">IF(B21="",0,INDEX('Eligibility &amp; Scoring'!$AH$7:$AH$31,B21))</f>
        <v>0</v>
      </c>
      <c r="F21" s="36" t="n">
        <f aca="false">IF(B21="",0,INDEX('Eligibility &amp; Scoring'!$T$7:$T$31,B21))</f>
        <v>0</v>
      </c>
      <c r="G21" s="28" t="str">
        <f aca="false">IF(B21="","",Envelope-SUM($I$7:I20))</f>
        <v/>
      </c>
      <c r="H21" s="28" t="str">
        <f aca="false">IF(B21="","",MaxCountryShare*Envelope-SUMIF($D$7:D20,D21,$I$7:I20))</f>
        <v/>
      </c>
      <c r="I21" s="16" t="n">
        <f aca="false">IF(B21="",0,IF(AllowPartial=1,MAX(0,MIN(F21,G21,H21)),IF(F21&lt;=MIN(G21,H21),F21,0)))</f>
        <v>0</v>
      </c>
      <c r="J21" s="30" t="str">
        <f aca="false">IF(B21="","",IF(I21&gt;=F21-0.5,"Funded",IF(I21&gt;0,"Partially funded","Not funded")))</f>
        <v/>
      </c>
      <c r="K21" s="30" t="str">
        <f aca="false">IF(OR(B21="",I21&gt;=F21-0.5),"",IF(H21&lt;G21,"Country limit","Envelope exhausted"))</f>
        <v/>
      </c>
    </row>
    <row r="22" customFormat="false" ht="15" hidden="false" customHeight="false" outlineLevel="0" collapsed="false">
      <c r="A22" s="25" t="n">
        <f aca="false">16</f>
        <v>16</v>
      </c>
      <c r="B22" s="25" t="str">
        <f aca="false">IFERROR(MATCH(16,'Eligibility &amp; Scoring'!$AJ$7:$AJ$31,0),"")</f>
        <v/>
      </c>
      <c r="C22" s="26" t="str">
        <f aca="false">IF(B22="","",INDEX('Eligibility &amp; Scoring'!$B$7:$B$31,B22))</f>
        <v/>
      </c>
      <c r="D22" s="26" t="str">
        <f aca="false">IF(B22="","",INDEX(Pipeline!$C$7:$C$31,B22))</f>
        <v/>
      </c>
      <c r="E22" s="41" t="n">
        <f aca="false">IF(B22="",0,INDEX('Eligibility &amp; Scoring'!$AH$7:$AH$31,B22))</f>
        <v>0</v>
      </c>
      <c r="F22" s="36" t="n">
        <f aca="false">IF(B22="",0,INDEX('Eligibility &amp; Scoring'!$T$7:$T$31,B22))</f>
        <v>0</v>
      </c>
      <c r="G22" s="28" t="str">
        <f aca="false">IF(B22="","",Envelope-SUM($I$7:I21))</f>
        <v/>
      </c>
      <c r="H22" s="28" t="str">
        <f aca="false">IF(B22="","",MaxCountryShare*Envelope-SUMIF($D$7:D21,D22,$I$7:I21))</f>
        <v/>
      </c>
      <c r="I22" s="16" t="n">
        <f aca="false">IF(B22="",0,IF(AllowPartial=1,MAX(0,MIN(F22,G22,H22)),IF(F22&lt;=MIN(G22,H22),F22,0)))</f>
        <v>0</v>
      </c>
      <c r="J22" s="30" t="str">
        <f aca="false">IF(B22="","",IF(I22&gt;=F22-0.5,"Funded",IF(I22&gt;0,"Partially funded","Not funded")))</f>
        <v/>
      </c>
      <c r="K22" s="30" t="str">
        <f aca="false">IF(OR(B22="",I22&gt;=F22-0.5),"",IF(H22&lt;G22,"Country limit","Envelope exhausted"))</f>
        <v/>
      </c>
    </row>
    <row r="23" customFormat="false" ht="15" hidden="false" customHeight="false" outlineLevel="0" collapsed="false">
      <c r="A23" s="25" t="n">
        <f aca="false">17</f>
        <v>17</v>
      </c>
      <c r="B23" s="25" t="str">
        <f aca="false">IFERROR(MATCH(17,'Eligibility &amp; Scoring'!$AJ$7:$AJ$31,0),"")</f>
        <v/>
      </c>
      <c r="C23" s="26" t="str">
        <f aca="false">IF(B23="","",INDEX('Eligibility &amp; Scoring'!$B$7:$B$31,B23))</f>
        <v/>
      </c>
      <c r="D23" s="26" t="str">
        <f aca="false">IF(B23="","",INDEX(Pipeline!$C$7:$C$31,B23))</f>
        <v/>
      </c>
      <c r="E23" s="41" t="n">
        <f aca="false">IF(B23="",0,INDEX('Eligibility &amp; Scoring'!$AH$7:$AH$31,B23))</f>
        <v>0</v>
      </c>
      <c r="F23" s="36" t="n">
        <f aca="false">IF(B23="",0,INDEX('Eligibility &amp; Scoring'!$T$7:$T$31,B23))</f>
        <v>0</v>
      </c>
      <c r="G23" s="28" t="str">
        <f aca="false">IF(B23="","",Envelope-SUM($I$7:I22))</f>
        <v/>
      </c>
      <c r="H23" s="28" t="str">
        <f aca="false">IF(B23="","",MaxCountryShare*Envelope-SUMIF($D$7:D22,D23,$I$7:I22))</f>
        <v/>
      </c>
      <c r="I23" s="16" t="n">
        <f aca="false">IF(B23="",0,IF(AllowPartial=1,MAX(0,MIN(F23,G23,H23)),IF(F23&lt;=MIN(G23,H23),F23,0)))</f>
        <v>0</v>
      </c>
      <c r="J23" s="30" t="str">
        <f aca="false">IF(B23="","",IF(I23&gt;=F23-0.5,"Funded",IF(I23&gt;0,"Partially funded","Not funded")))</f>
        <v/>
      </c>
      <c r="K23" s="30" t="str">
        <f aca="false">IF(OR(B23="",I23&gt;=F23-0.5),"",IF(H23&lt;G23,"Country limit","Envelope exhausted"))</f>
        <v/>
      </c>
    </row>
    <row r="24" customFormat="false" ht="15" hidden="false" customHeight="false" outlineLevel="0" collapsed="false">
      <c r="A24" s="25" t="n">
        <f aca="false">18</f>
        <v>18</v>
      </c>
      <c r="B24" s="25" t="str">
        <f aca="false">IFERROR(MATCH(18,'Eligibility &amp; Scoring'!$AJ$7:$AJ$31,0),"")</f>
        <v/>
      </c>
      <c r="C24" s="26" t="str">
        <f aca="false">IF(B24="","",INDEX('Eligibility &amp; Scoring'!$B$7:$B$31,B24))</f>
        <v/>
      </c>
      <c r="D24" s="26" t="str">
        <f aca="false">IF(B24="","",INDEX(Pipeline!$C$7:$C$31,B24))</f>
        <v/>
      </c>
      <c r="E24" s="41" t="n">
        <f aca="false">IF(B24="",0,INDEX('Eligibility &amp; Scoring'!$AH$7:$AH$31,B24))</f>
        <v>0</v>
      </c>
      <c r="F24" s="36" t="n">
        <f aca="false">IF(B24="",0,INDEX('Eligibility &amp; Scoring'!$T$7:$T$31,B24))</f>
        <v>0</v>
      </c>
      <c r="G24" s="28" t="str">
        <f aca="false">IF(B24="","",Envelope-SUM($I$7:I23))</f>
        <v/>
      </c>
      <c r="H24" s="28" t="str">
        <f aca="false">IF(B24="","",MaxCountryShare*Envelope-SUMIF($D$7:D23,D24,$I$7:I23))</f>
        <v/>
      </c>
      <c r="I24" s="16" t="n">
        <f aca="false">IF(B24="",0,IF(AllowPartial=1,MAX(0,MIN(F24,G24,H24)),IF(F24&lt;=MIN(G24,H24),F24,0)))</f>
        <v>0</v>
      </c>
      <c r="J24" s="30" t="str">
        <f aca="false">IF(B24="","",IF(I24&gt;=F24-0.5,"Funded",IF(I24&gt;0,"Partially funded","Not funded")))</f>
        <v/>
      </c>
      <c r="K24" s="30" t="str">
        <f aca="false">IF(OR(B24="",I24&gt;=F24-0.5),"",IF(H24&lt;G24,"Country limit","Envelope exhausted"))</f>
        <v/>
      </c>
    </row>
    <row r="25" customFormat="false" ht="15" hidden="false" customHeight="false" outlineLevel="0" collapsed="false">
      <c r="A25" s="25" t="n">
        <f aca="false">19</f>
        <v>19</v>
      </c>
      <c r="B25" s="25" t="str">
        <f aca="false">IFERROR(MATCH(19,'Eligibility &amp; Scoring'!$AJ$7:$AJ$31,0),"")</f>
        <v/>
      </c>
      <c r="C25" s="26" t="str">
        <f aca="false">IF(B25="","",INDEX('Eligibility &amp; Scoring'!$B$7:$B$31,B25))</f>
        <v/>
      </c>
      <c r="D25" s="26" t="str">
        <f aca="false">IF(B25="","",INDEX(Pipeline!$C$7:$C$31,B25))</f>
        <v/>
      </c>
      <c r="E25" s="41" t="n">
        <f aca="false">IF(B25="",0,INDEX('Eligibility &amp; Scoring'!$AH$7:$AH$31,B25))</f>
        <v>0</v>
      </c>
      <c r="F25" s="36" t="n">
        <f aca="false">IF(B25="",0,INDEX('Eligibility &amp; Scoring'!$T$7:$T$31,B25))</f>
        <v>0</v>
      </c>
      <c r="G25" s="28" t="str">
        <f aca="false">IF(B25="","",Envelope-SUM($I$7:I24))</f>
        <v/>
      </c>
      <c r="H25" s="28" t="str">
        <f aca="false">IF(B25="","",MaxCountryShare*Envelope-SUMIF($D$7:D24,D25,$I$7:I24))</f>
        <v/>
      </c>
      <c r="I25" s="16" t="n">
        <f aca="false">IF(B25="",0,IF(AllowPartial=1,MAX(0,MIN(F25,G25,H25)),IF(F25&lt;=MIN(G25,H25),F25,0)))</f>
        <v>0</v>
      </c>
      <c r="J25" s="30" t="str">
        <f aca="false">IF(B25="","",IF(I25&gt;=F25-0.5,"Funded",IF(I25&gt;0,"Partially funded","Not funded")))</f>
        <v/>
      </c>
      <c r="K25" s="30" t="str">
        <f aca="false">IF(OR(B25="",I25&gt;=F25-0.5),"",IF(H25&lt;G25,"Country limit","Envelope exhausted"))</f>
        <v/>
      </c>
    </row>
    <row r="26" customFormat="false" ht="15" hidden="false" customHeight="false" outlineLevel="0" collapsed="false">
      <c r="A26" s="25" t="n">
        <f aca="false">20</f>
        <v>20</v>
      </c>
      <c r="B26" s="25" t="str">
        <f aca="false">IFERROR(MATCH(20,'Eligibility &amp; Scoring'!$AJ$7:$AJ$31,0),"")</f>
        <v/>
      </c>
      <c r="C26" s="26" t="str">
        <f aca="false">IF(B26="","",INDEX('Eligibility &amp; Scoring'!$B$7:$B$31,B26))</f>
        <v/>
      </c>
      <c r="D26" s="26" t="str">
        <f aca="false">IF(B26="","",INDEX(Pipeline!$C$7:$C$31,B26))</f>
        <v/>
      </c>
      <c r="E26" s="41" t="n">
        <f aca="false">IF(B26="",0,INDEX('Eligibility &amp; Scoring'!$AH$7:$AH$31,B26))</f>
        <v>0</v>
      </c>
      <c r="F26" s="36" t="n">
        <f aca="false">IF(B26="",0,INDEX('Eligibility &amp; Scoring'!$T$7:$T$31,B26))</f>
        <v>0</v>
      </c>
      <c r="G26" s="28" t="str">
        <f aca="false">IF(B26="","",Envelope-SUM($I$7:I25))</f>
        <v/>
      </c>
      <c r="H26" s="28" t="str">
        <f aca="false">IF(B26="","",MaxCountryShare*Envelope-SUMIF($D$7:D25,D26,$I$7:I25))</f>
        <v/>
      </c>
      <c r="I26" s="16" t="n">
        <f aca="false">IF(B26="",0,IF(AllowPartial=1,MAX(0,MIN(F26,G26,H26)),IF(F26&lt;=MIN(G26,H26),F26,0)))</f>
        <v>0</v>
      </c>
      <c r="J26" s="30" t="str">
        <f aca="false">IF(B26="","",IF(I26&gt;=F26-0.5,"Funded",IF(I26&gt;0,"Partially funded","Not funded")))</f>
        <v/>
      </c>
      <c r="K26" s="30" t="str">
        <f aca="false">IF(OR(B26="",I26&gt;=F26-0.5),"",IF(H26&lt;G26,"Country limit","Envelope exhausted"))</f>
        <v/>
      </c>
    </row>
    <row r="27" customFormat="false" ht="15" hidden="false" customHeight="false" outlineLevel="0" collapsed="false">
      <c r="A27" s="25" t="n">
        <f aca="false">21</f>
        <v>21</v>
      </c>
      <c r="B27" s="25" t="str">
        <f aca="false">IFERROR(MATCH(21,'Eligibility &amp; Scoring'!$AJ$7:$AJ$31,0),"")</f>
        <v/>
      </c>
      <c r="C27" s="26" t="str">
        <f aca="false">IF(B27="","",INDEX('Eligibility &amp; Scoring'!$B$7:$B$31,B27))</f>
        <v/>
      </c>
      <c r="D27" s="26" t="str">
        <f aca="false">IF(B27="","",INDEX(Pipeline!$C$7:$C$31,B27))</f>
        <v/>
      </c>
      <c r="E27" s="41" t="n">
        <f aca="false">IF(B27="",0,INDEX('Eligibility &amp; Scoring'!$AH$7:$AH$31,B27))</f>
        <v>0</v>
      </c>
      <c r="F27" s="36" t="n">
        <f aca="false">IF(B27="",0,INDEX('Eligibility &amp; Scoring'!$T$7:$T$31,B27))</f>
        <v>0</v>
      </c>
      <c r="G27" s="28" t="str">
        <f aca="false">IF(B27="","",Envelope-SUM($I$7:I26))</f>
        <v/>
      </c>
      <c r="H27" s="28" t="str">
        <f aca="false">IF(B27="","",MaxCountryShare*Envelope-SUMIF($D$7:D26,D27,$I$7:I26))</f>
        <v/>
      </c>
      <c r="I27" s="16" t="n">
        <f aca="false">IF(B27="",0,IF(AllowPartial=1,MAX(0,MIN(F27,G27,H27)),IF(F27&lt;=MIN(G27,H27),F27,0)))</f>
        <v>0</v>
      </c>
      <c r="J27" s="30" t="str">
        <f aca="false">IF(B27="","",IF(I27&gt;=F27-0.5,"Funded",IF(I27&gt;0,"Partially funded","Not funded")))</f>
        <v/>
      </c>
      <c r="K27" s="30" t="str">
        <f aca="false">IF(OR(B27="",I27&gt;=F27-0.5),"",IF(H27&lt;G27,"Country limit","Envelope exhausted"))</f>
        <v/>
      </c>
    </row>
    <row r="28" customFormat="false" ht="15" hidden="false" customHeight="false" outlineLevel="0" collapsed="false">
      <c r="A28" s="25" t="n">
        <f aca="false">22</f>
        <v>22</v>
      </c>
      <c r="B28" s="25" t="str">
        <f aca="false">IFERROR(MATCH(22,'Eligibility &amp; Scoring'!$AJ$7:$AJ$31,0),"")</f>
        <v/>
      </c>
      <c r="C28" s="26" t="str">
        <f aca="false">IF(B28="","",INDEX('Eligibility &amp; Scoring'!$B$7:$B$31,B28))</f>
        <v/>
      </c>
      <c r="D28" s="26" t="str">
        <f aca="false">IF(B28="","",INDEX(Pipeline!$C$7:$C$31,B28))</f>
        <v/>
      </c>
      <c r="E28" s="41" t="n">
        <f aca="false">IF(B28="",0,INDEX('Eligibility &amp; Scoring'!$AH$7:$AH$31,B28))</f>
        <v>0</v>
      </c>
      <c r="F28" s="36" t="n">
        <f aca="false">IF(B28="",0,INDEX('Eligibility &amp; Scoring'!$T$7:$T$31,B28))</f>
        <v>0</v>
      </c>
      <c r="G28" s="28" t="str">
        <f aca="false">IF(B28="","",Envelope-SUM($I$7:I27))</f>
        <v/>
      </c>
      <c r="H28" s="28" t="str">
        <f aca="false">IF(B28="","",MaxCountryShare*Envelope-SUMIF($D$7:D27,D28,$I$7:I27))</f>
        <v/>
      </c>
      <c r="I28" s="16" t="n">
        <f aca="false">IF(B28="",0,IF(AllowPartial=1,MAX(0,MIN(F28,G28,H28)),IF(F28&lt;=MIN(G28,H28),F28,0)))</f>
        <v>0</v>
      </c>
      <c r="J28" s="30" t="str">
        <f aca="false">IF(B28="","",IF(I28&gt;=F28-0.5,"Funded",IF(I28&gt;0,"Partially funded","Not funded")))</f>
        <v/>
      </c>
      <c r="K28" s="30" t="str">
        <f aca="false">IF(OR(B28="",I28&gt;=F28-0.5),"",IF(H28&lt;G28,"Country limit","Envelope exhausted"))</f>
        <v/>
      </c>
    </row>
    <row r="29" customFormat="false" ht="15" hidden="false" customHeight="false" outlineLevel="0" collapsed="false">
      <c r="A29" s="25" t="n">
        <f aca="false">23</f>
        <v>23</v>
      </c>
      <c r="B29" s="25" t="str">
        <f aca="false">IFERROR(MATCH(23,'Eligibility &amp; Scoring'!$AJ$7:$AJ$31,0),"")</f>
        <v/>
      </c>
      <c r="C29" s="26" t="str">
        <f aca="false">IF(B29="","",INDEX('Eligibility &amp; Scoring'!$B$7:$B$31,B29))</f>
        <v/>
      </c>
      <c r="D29" s="26" t="str">
        <f aca="false">IF(B29="","",INDEX(Pipeline!$C$7:$C$31,B29))</f>
        <v/>
      </c>
      <c r="E29" s="41" t="n">
        <f aca="false">IF(B29="",0,INDEX('Eligibility &amp; Scoring'!$AH$7:$AH$31,B29))</f>
        <v>0</v>
      </c>
      <c r="F29" s="36" t="n">
        <f aca="false">IF(B29="",0,INDEX('Eligibility &amp; Scoring'!$T$7:$T$31,B29))</f>
        <v>0</v>
      </c>
      <c r="G29" s="28" t="str">
        <f aca="false">IF(B29="","",Envelope-SUM($I$7:I28))</f>
        <v/>
      </c>
      <c r="H29" s="28" t="str">
        <f aca="false">IF(B29="","",MaxCountryShare*Envelope-SUMIF($D$7:D28,D29,$I$7:I28))</f>
        <v/>
      </c>
      <c r="I29" s="16" t="n">
        <f aca="false">IF(B29="",0,IF(AllowPartial=1,MAX(0,MIN(F29,G29,H29)),IF(F29&lt;=MIN(G29,H29),F29,0)))</f>
        <v>0</v>
      </c>
      <c r="J29" s="30" t="str">
        <f aca="false">IF(B29="","",IF(I29&gt;=F29-0.5,"Funded",IF(I29&gt;0,"Partially funded","Not funded")))</f>
        <v/>
      </c>
      <c r="K29" s="30" t="str">
        <f aca="false">IF(OR(B29="",I29&gt;=F29-0.5),"",IF(H29&lt;G29,"Country limit","Envelope exhausted"))</f>
        <v/>
      </c>
    </row>
    <row r="30" customFormat="false" ht="15" hidden="false" customHeight="false" outlineLevel="0" collapsed="false">
      <c r="A30" s="25" t="n">
        <f aca="false">24</f>
        <v>24</v>
      </c>
      <c r="B30" s="25" t="str">
        <f aca="false">IFERROR(MATCH(24,'Eligibility &amp; Scoring'!$AJ$7:$AJ$31,0),"")</f>
        <v/>
      </c>
      <c r="C30" s="26" t="str">
        <f aca="false">IF(B30="","",INDEX('Eligibility &amp; Scoring'!$B$7:$B$31,B30))</f>
        <v/>
      </c>
      <c r="D30" s="26" t="str">
        <f aca="false">IF(B30="","",INDEX(Pipeline!$C$7:$C$31,B30))</f>
        <v/>
      </c>
      <c r="E30" s="41" t="n">
        <f aca="false">IF(B30="",0,INDEX('Eligibility &amp; Scoring'!$AH$7:$AH$31,B30))</f>
        <v>0</v>
      </c>
      <c r="F30" s="36" t="n">
        <f aca="false">IF(B30="",0,INDEX('Eligibility &amp; Scoring'!$T$7:$T$31,B30))</f>
        <v>0</v>
      </c>
      <c r="G30" s="28" t="str">
        <f aca="false">IF(B30="","",Envelope-SUM($I$7:I29))</f>
        <v/>
      </c>
      <c r="H30" s="28" t="str">
        <f aca="false">IF(B30="","",MaxCountryShare*Envelope-SUMIF($D$7:D29,D30,$I$7:I29))</f>
        <v/>
      </c>
      <c r="I30" s="16" t="n">
        <f aca="false">IF(B30="",0,IF(AllowPartial=1,MAX(0,MIN(F30,G30,H30)),IF(F30&lt;=MIN(G30,H30),F30,0)))</f>
        <v>0</v>
      </c>
      <c r="J30" s="30" t="str">
        <f aca="false">IF(B30="","",IF(I30&gt;=F30-0.5,"Funded",IF(I30&gt;0,"Partially funded","Not funded")))</f>
        <v/>
      </c>
      <c r="K30" s="30" t="str">
        <f aca="false">IF(OR(B30="",I30&gt;=F30-0.5),"",IF(H30&lt;G30,"Country limit","Envelope exhausted"))</f>
        <v/>
      </c>
    </row>
    <row r="31" customFormat="false" ht="15" hidden="false" customHeight="false" outlineLevel="0" collapsed="false">
      <c r="A31" s="25" t="n">
        <f aca="false">25</f>
        <v>25</v>
      </c>
      <c r="B31" s="25" t="str">
        <f aca="false">IFERROR(MATCH(25,'Eligibility &amp; Scoring'!$AJ$7:$AJ$31,0),"")</f>
        <v/>
      </c>
      <c r="C31" s="26" t="str">
        <f aca="false">IF(B31="","",INDEX('Eligibility &amp; Scoring'!$B$7:$B$31,B31))</f>
        <v/>
      </c>
      <c r="D31" s="26" t="str">
        <f aca="false">IF(B31="","",INDEX(Pipeline!$C$7:$C$31,B31))</f>
        <v/>
      </c>
      <c r="E31" s="41" t="n">
        <f aca="false">IF(B31="",0,INDEX('Eligibility &amp; Scoring'!$AH$7:$AH$31,B31))</f>
        <v>0</v>
      </c>
      <c r="F31" s="36" t="n">
        <f aca="false">IF(B31="",0,INDEX('Eligibility &amp; Scoring'!$T$7:$T$31,B31))</f>
        <v>0</v>
      </c>
      <c r="G31" s="28" t="str">
        <f aca="false">IF(B31="","",Envelope-SUM($I$7:I30))</f>
        <v/>
      </c>
      <c r="H31" s="28" t="str">
        <f aca="false">IF(B31="","",MaxCountryShare*Envelope-SUMIF($D$7:D30,D31,$I$7:I30))</f>
        <v/>
      </c>
      <c r="I31" s="16" t="n">
        <f aca="false">IF(B31="",0,IF(AllowPartial=1,MAX(0,MIN(F31,G31,H31)),IF(F31&lt;=MIN(G31,H31),F31,0)))</f>
        <v>0</v>
      </c>
      <c r="J31" s="30" t="str">
        <f aca="false">IF(B31="","",IF(I31&gt;=F31-0.5,"Funded",IF(I31&gt;0,"Partially funded","Not funded")))</f>
        <v/>
      </c>
      <c r="K31" s="30" t="str">
        <f aca="false">IF(OR(B31="",I31&gt;=F31-0.5),"",IF(H31&lt;G31,"Country limit","Envelope exhausted"))</f>
        <v/>
      </c>
    </row>
    <row r="32" customFormat="false" ht="15" hidden="false" customHeight="false" outlineLevel="0" collapsed="false">
      <c r="C32" s="42" t="s">
        <v>217</v>
      </c>
      <c r="F32" s="43" t="n">
        <f aca="false">SUM(F7:F31)</f>
        <v>2997500</v>
      </c>
      <c r="I32" s="43" t="n">
        <f aca="false">SUM(I7:I31)</f>
        <v>2550000</v>
      </c>
    </row>
  </sheetData>
  <conditionalFormatting sqref="J7:J31">
    <cfRule type="expression" priority="2" aboveAverage="0" equalAverage="0" bottom="0" percent="0" rank="0" text="" dxfId="1">
      <formula>J7="Funded"</formula>
    </cfRule>
    <cfRule type="expression" priority="3" aboveAverage="0" equalAverage="0" bottom="0" percent="0" rank="0" text="" dxfId="2">
      <formula>J7="Partially funded"</formula>
    </cfRule>
    <cfRule type="expression" priority="4" aboveAverage="0" equalAverage="0" bottom="0" percent="0" rank="0" text="" dxfId="0">
      <formula>J7="Not funded"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Q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6" min="3" style="0" width="12"/>
    <col collapsed="false" customWidth="true" hidden="false" outlineLevel="0" max="17" min="7" style="0" width="11"/>
  </cols>
  <sheetData>
    <row r="1" customFormat="false" ht="19.7" hidden="false" customHeight="false" outlineLevel="0" collapsed="false">
      <c r="A1" s="6" t="s">
        <v>218</v>
      </c>
    </row>
    <row r="2" customFormat="false" ht="15" hidden="false" customHeight="false" outlineLevel="0" collapsed="false">
      <c r="A2" s="7" t="s">
        <v>219</v>
      </c>
    </row>
    <row r="4" customFormat="false" ht="15" hidden="false" customHeight="false" outlineLevel="0" collapsed="false">
      <c r="A4" s="8" t="s">
        <v>220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customFormat="false" ht="30" hidden="false" customHeight="true" outlineLevel="0" collapsed="false">
      <c r="A5" s="44" t="s">
        <v>116</v>
      </c>
      <c r="B5" s="44" t="s">
        <v>117</v>
      </c>
      <c r="C5" s="44" t="s">
        <v>221</v>
      </c>
      <c r="D5" s="44" t="s">
        <v>222</v>
      </c>
      <c r="E5" s="44" t="s">
        <v>223</v>
      </c>
      <c r="F5" s="44" t="s">
        <v>224</v>
      </c>
      <c r="G5" s="45" t="n">
        <f aca="false">FundStart-1+1</f>
        <v>2027</v>
      </c>
      <c r="H5" s="45" t="n">
        <f aca="false">FundStart-1+2</f>
        <v>2028</v>
      </c>
      <c r="I5" s="45" t="n">
        <f aca="false">FundStart-1+3</f>
        <v>2029</v>
      </c>
      <c r="J5" s="45" t="n">
        <f aca="false">FundStart-1+4</f>
        <v>2030</v>
      </c>
      <c r="K5" s="45" t="n">
        <f aca="false">FundStart-1+5</f>
        <v>2031</v>
      </c>
      <c r="L5" s="45" t="n">
        <f aca="false">FundStart-1+6</f>
        <v>2032</v>
      </c>
      <c r="M5" s="45" t="n">
        <f aca="false">FundStart-1+7</f>
        <v>2033</v>
      </c>
      <c r="N5" s="45" t="n">
        <f aca="false">FundStart-1+8</f>
        <v>2034</v>
      </c>
      <c r="O5" s="45" t="n">
        <f aca="false">FundStart-1+9</f>
        <v>2035</v>
      </c>
      <c r="P5" s="45" t="n">
        <f aca="false">FundStart-1+10</f>
        <v>2036</v>
      </c>
      <c r="Q5" s="44" t="s">
        <v>225</v>
      </c>
    </row>
    <row r="6" customFormat="false" ht="15" hidden="false" customHeight="false" outlineLevel="0" collapsed="false">
      <c r="A6" s="10" t="n">
        <v>1</v>
      </c>
      <c r="B6" s="46" t="str">
        <f aca="false">'Eligibility &amp; Scoring'!$B7</f>
        <v>Project A - Lake village cluster</v>
      </c>
      <c r="C6" s="28" t="n">
        <f aca="false">'Eligibility &amp; Scoring'!$AK7*'Eligibility &amp; Scoring'!$U7</f>
        <v>110778.68852459</v>
      </c>
      <c r="D6" s="28" t="n">
        <f aca="false">'Eligibility &amp; Scoring'!$AK7-C6</f>
        <v>271721.31147541</v>
      </c>
      <c r="E6" s="29" t="n">
        <f aca="false">IF(C6+D6=0,0,IFERROR(INDEX('Fund Parameters'!$B$74:$B$78,Pipeline!$H7),1))</f>
        <v>0.95</v>
      </c>
      <c r="F6" s="28" t="n">
        <f aca="false">C6*E6</f>
        <v>105239.754098361</v>
      </c>
      <c r="G6" s="47" t="n">
        <f aca="false">$C6*$E6*(TrancheA*IF(1-VerifLag=Pipeline!$I7,RampV1,IF(1-VerifLag=Pipeline!$I7+1,RampV2-RampV1,IF(1-VerifLag=Pipeline!$I7+2,1-RampV2,0)))+(1-TrancheA)*IF(1-VerifLag-1=Pipeline!$I7,RampV1,IF(1-VerifLag-1=Pipeline!$I7+1,RampV2-RampV1,IF(1-VerifLag-1=Pipeline!$I7+2,1-RampV2,0))))</f>
        <v>44200.6967213115</v>
      </c>
      <c r="H6" s="47" t="n">
        <f aca="false">$C6*$E6*(TrancheA*IF(2-VerifLag=Pipeline!$I7,RampV1,IF(2-VerifLag=Pipeline!$I7+1,RampV2-RampV1,IF(2-VerifLag=Pipeline!$I7+2,1-RampV2,0)))+(1-TrancheA)*IF(2-VerifLag-1=Pipeline!$I7,RampV1,IF(2-VerifLag-1=Pipeline!$I7+1,RampV2-RampV1,IF(2-VerifLag-1=Pipeline!$I7+2,1-RampV2,0))))</f>
        <v>41043.5040983607</v>
      </c>
      <c r="I6" s="47" t="n">
        <f aca="false">$C6*$E6*(TrancheA*IF(3-VerifLag=Pipeline!$I7,RampV1,IF(3-VerifLag=Pipeline!$I7+1,RampV2-RampV1,IF(3-VerifLag=Pipeline!$I7+2,1-RampV2,0)))+(1-TrancheA)*IF(3-VerifLag-1=Pipeline!$I7,RampV1,IF(3-VerifLag-1=Pipeline!$I7+1,RampV2-RampV1,IF(3-VerifLag-1=Pipeline!$I7+2,1-RampV2,0))))</f>
        <v>16838.3606557377</v>
      </c>
      <c r="J6" s="47" t="n">
        <f aca="false">$C6*$E6*(TrancheA*IF(4-VerifLag=Pipeline!$I7,RampV1,IF(4-VerifLag=Pipeline!$I7+1,RampV2-RampV1,IF(4-VerifLag=Pipeline!$I7+2,1-RampV2,0)))+(1-TrancheA)*IF(4-VerifLag-1=Pipeline!$I7,RampV1,IF(4-VerifLag-1=Pipeline!$I7+1,RampV2-RampV1,IF(4-VerifLag-1=Pipeline!$I7+2,1-RampV2,0))))</f>
        <v>3157.19262295082</v>
      </c>
      <c r="K6" s="47" t="n">
        <f aca="false">$C6*$E6*(TrancheA*IF(5-VerifLag=Pipeline!$I7,RampV1,IF(5-VerifLag=Pipeline!$I7+1,RampV2-RampV1,IF(5-VerifLag=Pipeline!$I7+2,1-RampV2,0)))+(1-TrancheA)*IF(5-VerifLag-1=Pipeline!$I7,RampV1,IF(5-VerifLag-1=Pipeline!$I7+1,RampV2-RampV1,IF(5-VerifLag-1=Pipeline!$I7+2,1-RampV2,0))))</f>
        <v>0</v>
      </c>
      <c r="L6" s="47" t="n">
        <f aca="false">$C6*$E6*(TrancheA*IF(6-VerifLag=Pipeline!$I7,RampV1,IF(6-VerifLag=Pipeline!$I7+1,RampV2-RampV1,IF(6-VerifLag=Pipeline!$I7+2,1-RampV2,0)))+(1-TrancheA)*IF(6-VerifLag-1=Pipeline!$I7,RampV1,IF(6-VerifLag-1=Pipeline!$I7+1,RampV2-RampV1,IF(6-VerifLag-1=Pipeline!$I7+2,1-RampV2,0))))</f>
        <v>0</v>
      </c>
      <c r="M6" s="47" t="n">
        <f aca="false">$C6*$E6*(TrancheA*IF(7-VerifLag=Pipeline!$I7,RampV1,IF(7-VerifLag=Pipeline!$I7+1,RampV2-RampV1,IF(7-VerifLag=Pipeline!$I7+2,1-RampV2,0)))+(1-TrancheA)*IF(7-VerifLag-1=Pipeline!$I7,RampV1,IF(7-VerifLag-1=Pipeline!$I7+1,RampV2-RampV1,IF(7-VerifLag-1=Pipeline!$I7+2,1-RampV2,0))))</f>
        <v>0</v>
      </c>
      <c r="N6" s="47" t="n">
        <f aca="false">$C6*$E6*(TrancheA*IF(8-VerifLag=Pipeline!$I7,RampV1,IF(8-VerifLag=Pipeline!$I7+1,RampV2-RampV1,IF(8-VerifLag=Pipeline!$I7+2,1-RampV2,0)))+(1-TrancheA)*IF(8-VerifLag-1=Pipeline!$I7,RampV1,IF(8-VerifLag-1=Pipeline!$I7+1,RampV2-RampV1,IF(8-VerifLag-1=Pipeline!$I7+2,1-RampV2,0))))</f>
        <v>0</v>
      </c>
      <c r="O6" s="47" t="n">
        <f aca="false">$C6*$E6*(TrancheA*IF(9-VerifLag=Pipeline!$I7,RampV1,IF(9-VerifLag=Pipeline!$I7+1,RampV2-RampV1,IF(9-VerifLag=Pipeline!$I7+2,1-RampV2,0)))+(1-TrancheA)*IF(9-VerifLag-1=Pipeline!$I7,RampV1,IF(9-VerifLag-1=Pipeline!$I7+1,RampV2-RampV1,IF(9-VerifLag-1=Pipeline!$I7+2,1-RampV2,0))))</f>
        <v>0</v>
      </c>
      <c r="P6" s="47" t="n">
        <f aca="false">$C6*$E6*(TrancheA*IF(10-VerifLag=Pipeline!$I7,RampV1,IF(10-VerifLag=Pipeline!$I7+1,RampV2-RampV1,IF(10-VerifLag=Pipeline!$I7+2,1-RampV2,0)))+(1-TrancheA)*IF(10-VerifLag-1=Pipeline!$I7,RampV1,IF(10-VerifLag-1=Pipeline!$I7+1,RampV2-RampV1,IF(10-VerifLag-1=Pipeline!$I7+2,1-RampV2,0))))</f>
        <v>0</v>
      </c>
      <c r="Q6" s="48" t="n">
        <f aca="false">SUM(G6:P6)</f>
        <v>105239.754098361</v>
      </c>
    </row>
    <row r="7" customFormat="false" ht="15" hidden="false" customHeight="false" outlineLevel="0" collapsed="false">
      <c r="A7" s="10" t="n">
        <v>2</v>
      </c>
      <c r="B7" s="46" t="str">
        <f aca="false">'Eligibility &amp; Scoring'!$B8</f>
        <v>Project B - River towns</v>
      </c>
      <c r="C7" s="28" t="n">
        <f aca="false">'Eligibility &amp; Scoring'!$AK8*'Eligibility &amp; Scoring'!$U8</f>
        <v>32871.09375</v>
      </c>
      <c r="D7" s="28" t="n">
        <f aca="false">'Eligibility &amp; Scoring'!$AK8-C7</f>
        <v>94628.90625</v>
      </c>
      <c r="E7" s="29" t="n">
        <f aca="false">IF(C7+D7=0,0,IFERROR(INDEX('Fund Parameters'!$B$74:$B$78,Pipeline!$H8),1))</f>
        <v>0.9</v>
      </c>
      <c r="F7" s="28" t="n">
        <f aca="false">C7*E7</f>
        <v>29583.984375</v>
      </c>
      <c r="G7" s="47" t="n">
        <f aca="false">$C7*$E7*(TrancheA*IF(1-VerifLag=Pipeline!$I8,RampV1,IF(1-VerifLag=Pipeline!$I8+1,RampV2-RampV1,IF(1-VerifLag=Pipeline!$I8+2,1-RampV2,0)))+(1-TrancheA)*IF(1-VerifLag-1=Pipeline!$I8,RampV1,IF(1-VerifLag-1=Pipeline!$I8+1,RampV2-RampV1,IF(1-VerifLag-1=Pipeline!$I8+2,1-RampV2,0))))</f>
        <v>0</v>
      </c>
      <c r="H7" s="47" t="n">
        <f aca="false">$C7*$E7*(TrancheA*IF(2-VerifLag=Pipeline!$I8,RampV1,IF(2-VerifLag=Pipeline!$I8+1,RampV2-RampV1,IF(2-VerifLag=Pipeline!$I8+2,1-RampV2,0)))+(1-TrancheA)*IF(2-VerifLag-1=Pipeline!$I8,RampV1,IF(2-VerifLag-1=Pipeline!$I8+1,RampV2-RampV1,IF(2-VerifLag-1=Pipeline!$I8+2,1-RampV2,0))))</f>
        <v>12425.2734375</v>
      </c>
      <c r="I7" s="47" t="n">
        <f aca="false">$C7*$E7*(TrancheA*IF(3-VerifLag=Pipeline!$I8,RampV1,IF(3-VerifLag=Pipeline!$I8+1,RampV2-RampV1,IF(3-VerifLag=Pipeline!$I8+2,1-RampV2,0)))+(1-TrancheA)*IF(3-VerifLag-1=Pipeline!$I8,RampV1,IF(3-VerifLag-1=Pipeline!$I8+1,RampV2-RampV1,IF(3-VerifLag-1=Pipeline!$I8+2,1-RampV2,0))))</f>
        <v>11537.75390625</v>
      </c>
      <c r="J7" s="47" t="n">
        <f aca="false">$C7*$E7*(TrancheA*IF(4-VerifLag=Pipeline!$I8,RampV1,IF(4-VerifLag=Pipeline!$I8+1,RampV2-RampV1,IF(4-VerifLag=Pipeline!$I8+2,1-RampV2,0)))+(1-TrancheA)*IF(4-VerifLag-1=Pipeline!$I8,RampV1,IF(4-VerifLag-1=Pipeline!$I8+1,RampV2-RampV1,IF(4-VerifLag-1=Pipeline!$I8+2,1-RampV2,0))))</f>
        <v>4733.4375</v>
      </c>
      <c r="K7" s="47" t="n">
        <f aca="false">$C7*$E7*(TrancheA*IF(5-VerifLag=Pipeline!$I8,RampV1,IF(5-VerifLag=Pipeline!$I8+1,RampV2-RampV1,IF(5-VerifLag=Pipeline!$I8+2,1-RampV2,0)))+(1-TrancheA)*IF(5-VerifLag-1=Pipeline!$I8,RampV1,IF(5-VerifLag-1=Pipeline!$I8+1,RampV2-RampV1,IF(5-VerifLag-1=Pipeline!$I8+2,1-RampV2,0))))</f>
        <v>887.51953125</v>
      </c>
      <c r="L7" s="47" t="n">
        <f aca="false">$C7*$E7*(TrancheA*IF(6-VerifLag=Pipeline!$I8,RampV1,IF(6-VerifLag=Pipeline!$I8+1,RampV2-RampV1,IF(6-VerifLag=Pipeline!$I8+2,1-RampV2,0)))+(1-TrancheA)*IF(6-VerifLag-1=Pipeline!$I8,RampV1,IF(6-VerifLag-1=Pipeline!$I8+1,RampV2-RampV1,IF(6-VerifLag-1=Pipeline!$I8+2,1-RampV2,0))))</f>
        <v>0</v>
      </c>
      <c r="M7" s="47" t="n">
        <f aca="false">$C7*$E7*(TrancheA*IF(7-VerifLag=Pipeline!$I8,RampV1,IF(7-VerifLag=Pipeline!$I8+1,RampV2-RampV1,IF(7-VerifLag=Pipeline!$I8+2,1-RampV2,0)))+(1-TrancheA)*IF(7-VerifLag-1=Pipeline!$I8,RampV1,IF(7-VerifLag-1=Pipeline!$I8+1,RampV2-RampV1,IF(7-VerifLag-1=Pipeline!$I8+2,1-RampV2,0))))</f>
        <v>0</v>
      </c>
      <c r="N7" s="47" t="n">
        <f aca="false">$C7*$E7*(TrancheA*IF(8-VerifLag=Pipeline!$I8,RampV1,IF(8-VerifLag=Pipeline!$I8+1,RampV2-RampV1,IF(8-VerifLag=Pipeline!$I8+2,1-RampV2,0)))+(1-TrancheA)*IF(8-VerifLag-1=Pipeline!$I8,RampV1,IF(8-VerifLag-1=Pipeline!$I8+1,RampV2-RampV1,IF(8-VerifLag-1=Pipeline!$I8+2,1-RampV2,0))))</f>
        <v>0</v>
      </c>
      <c r="O7" s="47" t="n">
        <f aca="false">$C7*$E7*(TrancheA*IF(9-VerifLag=Pipeline!$I8,RampV1,IF(9-VerifLag=Pipeline!$I8+1,RampV2-RampV1,IF(9-VerifLag=Pipeline!$I8+2,1-RampV2,0)))+(1-TrancheA)*IF(9-VerifLag-1=Pipeline!$I8,RampV1,IF(9-VerifLag-1=Pipeline!$I8+1,RampV2-RampV1,IF(9-VerifLag-1=Pipeline!$I8+2,1-RampV2,0))))</f>
        <v>0</v>
      </c>
      <c r="P7" s="47" t="n">
        <f aca="false">$C7*$E7*(TrancheA*IF(10-VerifLag=Pipeline!$I8,RampV1,IF(10-VerifLag=Pipeline!$I8+1,RampV2-RampV1,IF(10-VerifLag=Pipeline!$I8+2,1-RampV2,0)))+(1-TrancheA)*IF(10-VerifLag-1=Pipeline!$I8,RampV1,IF(10-VerifLag-1=Pipeline!$I8+1,RampV2-RampV1,IF(10-VerifLag-1=Pipeline!$I8+2,1-RampV2,0))))</f>
        <v>0</v>
      </c>
      <c r="Q7" s="48" t="n">
        <f aca="false">SUM(G7:P7)</f>
        <v>29583.984375</v>
      </c>
    </row>
    <row r="8" customFormat="false" ht="15" hidden="false" customHeight="false" outlineLevel="0" collapsed="false">
      <c r="A8" s="10" t="n">
        <v>3</v>
      </c>
      <c r="B8" s="46" t="str">
        <f aca="false">'Eligibility &amp; Scoring'!$B9</f>
        <v>Project C - Northern corridor</v>
      </c>
      <c r="C8" s="28" t="n">
        <f aca="false">'Eligibility &amp; Scoring'!$AK9*'Eligibility &amp; Scoring'!$U9</f>
        <v>115204.402515723</v>
      </c>
      <c r="D8" s="28" t="n">
        <f aca="false">'Eligibility &amp; Scoring'!$AK9-C8</f>
        <v>267295.597484277</v>
      </c>
      <c r="E8" s="29" t="n">
        <f aca="false">IF(C8+D8=0,0,IFERROR(INDEX('Fund Parameters'!$B$74:$B$78,Pipeline!$H9),1))</f>
        <v>1</v>
      </c>
      <c r="F8" s="28" t="n">
        <f aca="false">C8*E8</f>
        <v>115204.402515723</v>
      </c>
      <c r="G8" s="47" t="n">
        <f aca="false">$C8*$E8*(TrancheA*IF(1-VerifLag=Pipeline!$I9,RampV1,IF(1-VerifLag=Pipeline!$I9+1,RampV2-RampV1,IF(1-VerifLag=Pipeline!$I9+2,1-RampV2,0)))+(1-TrancheA)*IF(1-VerifLag-1=Pipeline!$I9,RampV1,IF(1-VerifLag-1=Pipeline!$I9+1,RampV2-RampV1,IF(1-VerifLag-1=Pipeline!$I9+2,1-RampV2,0))))</f>
        <v>48385.8490566038</v>
      </c>
      <c r="H8" s="47" t="n">
        <f aca="false">$C8*$E8*(TrancheA*IF(2-VerifLag=Pipeline!$I9,RampV1,IF(2-VerifLag=Pipeline!$I9+1,RampV2-RampV1,IF(2-VerifLag=Pipeline!$I9+2,1-RampV2,0)))+(1-TrancheA)*IF(2-VerifLag-1=Pipeline!$I9,RampV1,IF(2-VerifLag-1=Pipeline!$I9+1,RampV2-RampV1,IF(2-VerifLag-1=Pipeline!$I9+2,1-RampV2,0))))</f>
        <v>44929.7169811321</v>
      </c>
      <c r="I8" s="47" t="n">
        <f aca="false">$C8*$E8*(TrancheA*IF(3-VerifLag=Pipeline!$I9,RampV1,IF(3-VerifLag=Pipeline!$I9+1,RampV2-RampV1,IF(3-VerifLag=Pipeline!$I9+2,1-RampV2,0)))+(1-TrancheA)*IF(3-VerifLag-1=Pipeline!$I9,RampV1,IF(3-VerifLag-1=Pipeline!$I9+1,RampV2-RampV1,IF(3-VerifLag-1=Pipeline!$I9+2,1-RampV2,0))))</f>
        <v>18432.7044025157</v>
      </c>
      <c r="J8" s="47" t="n">
        <f aca="false">$C8*$E8*(TrancheA*IF(4-VerifLag=Pipeline!$I9,RampV1,IF(4-VerifLag=Pipeline!$I9+1,RampV2-RampV1,IF(4-VerifLag=Pipeline!$I9+2,1-RampV2,0)))+(1-TrancheA)*IF(4-VerifLag-1=Pipeline!$I9,RampV1,IF(4-VerifLag-1=Pipeline!$I9+1,RampV2-RampV1,IF(4-VerifLag-1=Pipeline!$I9+2,1-RampV2,0))))</f>
        <v>3456.1320754717</v>
      </c>
      <c r="K8" s="47" t="n">
        <f aca="false">$C8*$E8*(TrancheA*IF(5-VerifLag=Pipeline!$I9,RampV1,IF(5-VerifLag=Pipeline!$I9+1,RampV2-RampV1,IF(5-VerifLag=Pipeline!$I9+2,1-RampV2,0)))+(1-TrancheA)*IF(5-VerifLag-1=Pipeline!$I9,RampV1,IF(5-VerifLag-1=Pipeline!$I9+1,RampV2-RampV1,IF(5-VerifLag-1=Pipeline!$I9+2,1-RampV2,0))))</f>
        <v>0</v>
      </c>
      <c r="L8" s="47" t="n">
        <f aca="false">$C8*$E8*(TrancheA*IF(6-VerifLag=Pipeline!$I9,RampV1,IF(6-VerifLag=Pipeline!$I9+1,RampV2-RampV1,IF(6-VerifLag=Pipeline!$I9+2,1-RampV2,0)))+(1-TrancheA)*IF(6-VerifLag-1=Pipeline!$I9,RampV1,IF(6-VerifLag-1=Pipeline!$I9+1,RampV2-RampV1,IF(6-VerifLag-1=Pipeline!$I9+2,1-RampV2,0))))</f>
        <v>0</v>
      </c>
      <c r="M8" s="47" t="n">
        <f aca="false">$C8*$E8*(TrancheA*IF(7-VerifLag=Pipeline!$I9,RampV1,IF(7-VerifLag=Pipeline!$I9+1,RampV2-RampV1,IF(7-VerifLag=Pipeline!$I9+2,1-RampV2,0)))+(1-TrancheA)*IF(7-VerifLag-1=Pipeline!$I9,RampV1,IF(7-VerifLag-1=Pipeline!$I9+1,RampV2-RampV1,IF(7-VerifLag-1=Pipeline!$I9+2,1-RampV2,0))))</f>
        <v>0</v>
      </c>
      <c r="N8" s="47" t="n">
        <f aca="false">$C8*$E8*(TrancheA*IF(8-VerifLag=Pipeline!$I9,RampV1,IF(8-VerifLag=Pipeline!$I9+1,RampV2-RampV1,IF(8-VerifLag=Pipeline!$I9+2,1-RampV2,0)))+(1-TrancheA)*IF(8-VerifLag-1=Pipeline!$I9,RampV1,IF(8-VerifLag-1=Pipeline!$I9+1,RampV2-RampV1,IF(8-VerifLag-1=Pipeline!$I9+2,1-RampV2,0))))</f>
        <v>0</v>
      </c>
      <c r="O8" s="47" t="n">
        <f aca="false">$C8*$E8*(TrancheA*IF(9-VerifLag=Pipeline!$I9,RampV1,IF(9-VerifLag=Pipeline!$I9+1,RampV2-RampV1,IF(9-VerifLag=Pipeline!$I9+2,1-RampV2,0)))+(1-TrancheA)*IF(9-VerifLag-1=Pipeline!$I9,RampV1,IF(9-VerifLag-1=Pipeline!$I9+1,RampV2-RampV1,IF(9-VerifLag-1=Pipeline!$I9+2,1-RampV2,0))))</f>
        <v>0</v>
      </c>
      <c r="P8" s="47" t="n">
        <f aca="false">$C8*$E8*(TrancheA*IF(10-VerifLag=Pipeline!$I9,RampV1,IF(10-VerifLag=Pipeline!$I9+1,RampV2-RampV1,IF(10-VerifLag=Pipeline!$I9+2,1-RampV2,0)))+(1-TrancheA)*IF(10-VerifLag-1=Pipeline!$I9,RampV1,IF(10-VerifLag-1=Pipeline!$I9+1,RampV2-RampV1,IF(10-VerifLag-1=Pipeline!$I9+2,1-RampV2,0))))</f>
        <v>0</v>
      </c>
      <c r="Q8" s="48" t="n">
        <f aca="false">SUM(G8:P8)</f>
        <v>115204.402515723</v>
      </c>
    </row>
    <row r="9" customFormat="false" ht="15" hidden="false" customHeight="false" outlineLevel="0" collapsed="false">
      <c r="A9" s="10" t="n">
        <v>4</v>
      </c>
      <c r="B9" s="46" t="str">
        <f aca="false">'Eligibility &amp; Scoring'!$B10</f>
        <v>Project D - Island grids</v>
      </c>
      <c r="C9" s="28" t="n">
        <f aca="false">'Eligibility &amp; Scoring'!$AK10*'Eligibility &amp; Scoring'!$U10</f>
        <v>0</v>
      </c>
      <c r="D9" s="28" t="n">
        <f aca="false">'Eligibility &amp; Scoring'!$AK10-C9</f>
        <v>0</v>
      </c>
      <c r="E9" s="29" t="n">
        <f aca="false">IF(C9+D9=0,0,IFERROR(INDEX('Fund Parameters'!$B$74:$B$78,Pipeline!$H10),1))</f>
        <v>0</v>
      </c>
      <c r="F9" s="28" t="n">
        <f aca="false">C9*E9</f>
        <v>0</v>
      </c>
      <c r="G9" s="47" t="n">
        <f aca="false">$C9*$E9*(TrancheA*IF(1-VerifLag=Pipeline!$I10,RampV1,IF(1-VerifLag=Pipeline!$I10+1,RampV2-RampV1,IF(1-VerifLag=Pipeline!$I10+2,1-RampV2,0)))+(1-TrancheA)*IF(1-VerifLag-1=Pipeline!$I10,RampV1,IF(1-VerifLag-1=Pipeline!$I10+1,RampV2-RampV1,IF(1-VerifLag-1=Pipeline!$I10+2,1-RampV2,0))))</f>
        <v>0</v>
      </c>
      <c r="H9" s="47" t="n">
        <f aca="false">$C9*$E9*(TrancheA*IF(2-VerifLag=Pipeline!$I10,RampV1,IF(2-VerifLag=Pipeline!$I10+1,RampV2-RampV1,IF(2-VerifLag=Pipeline!$I10+2,1-RampV2,0)))+(1-TrancheA)*IF(2-VerifLag-1=Pipeline!$I10,RampV1,IF(2-VerifLag-1=Pipeline!$I10+1,RampV2-RampV1,IF(2-VerifLag-1=Pipeline!$I10+2,1-RampV2,0))))</f>
        <v>0</v>
      </c>
      <c r="I9" s="47" t="n">
        <f aca="false">$C9*$E9*(TrancheA*IF(3-VerifLag=Pipeline!$I10,RampV1,IF(3-VerifLag=Pipeline!$I10+1,RampV2-RampV1,IF(3-VerifLag=Pipeline!$I10+2,1-RampV2,0)))+(1-TrancheA)*IF(3-VerifLag-1=Pipeline!$I10,RampV1,IF(3-VerifLag-1=Pipeline!$I10+1,RampV2-RampV1,IF(3-VerifLag-1=Pipeline!$I10+2,1-RampV2,0))))</f>
        <v>0</v>
      </c>
      <c r="J9" s="47" t="n">
        <f aca="false">$C9*$E9*(TrancheA*IF(4-VerifLag=Pipeline!$I10,RampV1,IF(4-VerifLag=Pipeline!$I10+1,RampV2-RampV1,IF(4-VerifLag=Pipeline!$I10+2,1-RampV2,0)))+(1-TrancheA)*IF(4-VerifLag-1=Pipeline!$I10,RampV1,IF(4-VerifLag-1=Pipeline!$I10+1,RampV2-RampV1,IF(4-VerifLag-1=Pipeline!$I10+2,1-RampV2,0))))</f>
        <v>0</v>
      </c>
      <c r="K9" s="47" t="n">
        <f aca="false">$C9*$E9*(TrancheA*IF(5-VerifLag=Pipeline!$I10,RampV1,IF(5-VerifLag=Pipeline!$I10+1,RampV2-RampV1,IF(5-VerifLag=Pipeline!$I10+2,1-RampV2,0)))+(1-TrancheA)*IF(5-VerifLag-1=Pipeline!$I10,RampV1,IF(5-VerifLag-1=Pipeline!$I10+1,RampV2-RampV1,IF(5-VerifLag-1=Pipeline!$I10+2,1-RampV2,0))))</f>
        <v>0</v>
      </c>
      <c r="L9" s="47" t="n">
        <f aca="false">$C9*$E9*(TrancheA*IF(6-VerifLag=Pipeline!$I10,RampV1,IF(6-VerifLag=Pipeline!$I10+1,RampV2-RampV1,IF(6-VerifLag=Pipeline!$I10+2,1-RampV2,0)))+(1-TrancheA)*IF(6-VerifLag-1=Pipeline!$I10,RampV1,IF(6-VerifLag-1=Pipeline!$I10+1,RampV2-RampV1,IF(6-VerifLag-1=Pipeline!$I10+2,1-RampV2,0))))</f>
        <v>0</v>
      </c>
      <c r="M9" s="47" t="n">
        <f aca="false">$C9*$E9*(TrancheA*IF(7-VerifLag=Pipeline!$I10,RampV1,IF(7-VerifLag=Pipeline!$I10+1,RampV2-RampV1,IF(7-VerifLag=Pipeline!$I10+2,1-RampV2,0)))+(1-TrancheA)*IF(7-VerifLag-1=Pipeline!$I10,RampV1,IF(7-VerifLag-1=Pipeline!$I10+1,RampV2-RampV1,IF(7-VerifLag-1=Pipeline!$I10+2,1-RampV2,0))))</f>
        <v>0</v>
      </c>
      <c r="N9" s="47" t="n">
        <f aca="false">$C9*$E9*(TrancheA*IF(8-VerifLag=Pipeline!$I10,RampV1,IF(8-VerifLag=Pipeline!$I10+1,RampV2-RampV1,IF(8-VerifLag=Pipeline!$I10+2,1-RampV2,0)))+(1-TrancheA)*IF(8-VerifLag-1=Pipeline!$I10,RampV1,IF(8-VerifLag-1=Pipeline!$I10+1,RampV2-RampV1,IF(8-VerifLag-1=Pipeline!$I10+2,1-RampV2,0))))</f>
        <v>0</v>
      </c>
      <c r="O9" s="47" t="n">
        <f aca="false">$C9*$E9*(TrancheA*IF(9-VerifLag=Pipeline!$I10,RampV1,IF(9-VerifLag=Pipeline!$I10+1,RampV2-RampV1,IF(9-VerifLag=Pipeline!$I10+2,1-RampV2,0)))+(1-TrancheA)*IF(9-VerifLag-1=Pipeline!$I10,RampV1,IF(9-VerifLag-1=Pipeline!$I10+1,RampV2-RampV1,IF(9-VerifLag-1=Pipeline!$I10+2,1-RampV2,0))))</f>
        <v>0</v>
      </c>
      <c r="P9" s="47" t="n">
        <f aca="false">$C9*$E9*(TrancheA*IF(10-VerifLag=Pipeline!$I10,RampV1,IF(10-VerifLag=Pipeline!$I10+1,RampV2-RampV1,IF(10-VerifLag=Pipeline!$I10+2,1-RampV2,0)))+(1-TrancheA)*IF(10-VerifLag-1=Pipeline!$I10,RampV1,IF(10-VerifLag-1=Pipeline!$I10+1,RampV2-RampV1,IF(10-VerifLag-1=Pipeline!$I10+2,1-RampV2,0))))</f>
        <v>0</v>
      </c>
      <c r="Q9" s="48" t="n">
        <f aca="false">SUM(G9:P9)</f>
        <v>0</v>
      </c>
    </row>
    <row r="10" customFormat="false" ht="15" hidden="false" customHeight="false" outlineLevel="0" collapsed="false">
      <c r="A10" s="10" t="n">
        <v>5</v>
      </c>
      <c r="B10" s="46" t="str">
        <f aca="false">'Eligibility &amp; Scoring'!$B11</f>
        <v>Project E - Highland villages</v>
      </c>
      <c r="C10" s="28" t="n">
        <f aca="false">'Eligibility &amp; Scoring'!$AK11*'Eligibility &amp; Scoring'!$U11</f>
        <v>0</v>
      </c>
      <c r="D10" s="28" t="n">
        <f aca="false">'Eligibility &amp; Scoring'!$AK11-C10</f>
        <v>0</v>
      </c>
      <c r="E10" s="29" t="n">
        <f aca="false">IF(C10+D10=0,0,IFERROR(INDEX('Fund Parameters'!$B$74:$B$78,Pipeline!$H11),1))</f>
        <v>0</v>
      </c>
      <c r="F10" s="28" t="n">
        <f aca="false">C10*E10</f>
        <v>0</v>
      </c>
      <c r="G10" s="47" t="n">
        <f aca="false">$C10*$E10*(TrancheA*IF(1-VerifLag=Pipeline!$I11,RampV1,IF(1-VerifLag=Pipeline!$I11+1,RampV2-RampV1,IF(1-VerifLag=Pipeline!$I11+2,1-RampV2,0)))+(1-TrancheA)*IF(1-VerifLag-1=Pipeline!$I11,RampV1,IF(1-VerifLag-1=Pipeline!$I11+1,RampV2-RampV1,IF(1-VerifLag-1=Pipeline!$I11+2,1-RampV2,0))))</f>
        <v>0</v>
      </c>
      <c r="H10" s="47" t="n">
        <f aca="false">$C10*$E10*(TrancheA*IF(2-VerifLag=Pipeline!$I11,RampV1,IF(2-VerifLag=Pipeline!$I11+1,RampV2-RampV1,IF(2-VerifLag=Pipeline!$I11+2,1-RampV2,0)))+(1-TrancheA)*IF(2-VerifLag-1=Pipeline!$I11,RampV1,IF(2-VerifLag-1=Pipeline!$I11+1,RampV2-RampV1,IF(2-VerifLag-1=Pipeline!$I11+2,1-RampV2,0))))</f>
        <v>0</v>
      </c>
      <c r="I10" s="47" t="n">
        <f aca="false">$C10*$E10*(TrancheA*IF(3-VerifLag=Pipeline!$I11,RampV1,IF(3-VerifLag=Pipeline!$I11+1,RampV2-RampV1,IF(3-VerifLag=Pipeline!$I11+2,1-RampV2,0)))+(1-TrancheA)*IF(3-VerifLag-1=Pipeline!$I11,RampV1,IF(3-VerifLag-1=Pipeline!$I11+1,RampV2-RampV1,IF(3-VerifLag-1=Pipeline!$I11+2,1-RampV2,0))))</f>
        <v>0</v>
      </c>
      <c r="J10" s="47" t="n">
        <f aca="false">$C10*$E10*(TrancheA*IF(4-VerifLag=Pipeline!$I11,RampV1,IF(4-VerifLag=Pipeline!$I11+1,RampV2-RampV1,IF(4-VerifLag=Pipeline!$I11+2,1-RampV2,0)))+(1-TrancheA)*IF(4-VerifLag-1=Pipeline!$I11,RampV1,IF(4-VerifLag-1=Pipeline!$I11+1,RampV2-RampV1,IF(4-VerifLag-1=Pipeline!$I11+2,1-RampV2,0))))</f>
        <v>0</v>
      </c>
      <c r="K10" s="47" t="n">
        <f aca="false">$C10*$E10*(TrancheA*IF(5-VerifLag=Pipeline!$I11,RampV1,IF(5-VerifLag=Pipeline!$I11+1,RampV2-RampV1,IF(5-VerifLag=Pipeline!$I11+2,1-RampV2,0)))+(1-TrancheA)*IF(5-VerifLag-1=Pipeline!$I11,RampV1,IF(5-VerifLag-1=Pipeline!$I11+1,RampV2-RampV1,IF(5-VerifLag-1=Pipeline!$I11+2,1-RampV2,0))))</f>
        <v>0</v>
      </c>
      <c r="L10" s="47" t="n">
        <f aca="false">$C10*$E10*(TrancheA*IF(6-VerifLag=Pipeline!$I11,RampV1,IF(6-VerifLag=Pipeline!$I11+1,RampV2-RampV1,IF(6-VerifLag=Pipeline!$I11+2,1-RampV2,0)))+(1-TrancheA)*IF(6-VerifLag-1=Pipeline!$I11,RampV1,IF(6-VerifLag-1=Pipeline!$I11+1,RampV2-RampV1,IF(6-VerifLag-1=Pipeline!$I11+2,1-RampV2,0))))</f>
        <v>0</v>
      </c>
      <c r="M10" s="47" t="n">
        <f aca="false">$C10*$E10*(TrancheA*IF(7-VerifLag=Pipeline!$I11,RampV1,IF(7-VerifLag=Pipeline!$I11+1,RampV2-RampV1,IF(7-VerifLag=Pipeline!$I11+2,1-RampV2,0)))+(1-TrancheA)*IF(7-VerifLag-1=Pipeline!$I11,RampV1,IF(7-VerifLag-1=Pipeline!$I11+1,RampV2-RampV1,IF(7-VerifLag-1=Pipeline!$I11+2,1-RampV2,0))))</f>
        <v>0</v>
      </c>
      <c r="N10" s="47" t="n">
        <f aca="false">$C10*$E10*(TrancheA*IF(8-VerifLag=Pipeline!$I11,RampV1,IF(8-VerifLag=Pipeline!$I11+1,RampV2-RampV1,IF(8-VerifLag=Pipeline!$I11+2,1-RampV2,0)))+(1-TrancheA)*IF(8-VerifLag-1=Pipeline!$I11,RampV1,IF(8-VerifLag-1=Pipeline!$I11+1,RampV2-RampV1,IF(8-VerifLag-1=Pipeline!$I11+2,1-RampV2,0))))</f>
        <v>0</v>
      </c>
      <c r="O10" s="47" t="n">
        <f aca="false">$C10*$E10*(TrancheA*IF(9-VerifLag=Pipeline!$I11,RampV1,IF(9-VerifLag=Pipeline!$I11+1,RampV2-RampV1,IF(9-VerifLag=Pipeline!$I11+2,1-RampV2,0)))+(1-TrancheA)*IF(9-VerifLag-1=Pipeline!$I11,RampV1,IF(9-VerifLag-1=Pipeline!$I11+1,RampV2-RampV1,IF(9-VerifLag-1=Pipeline!$I11+2,1-RampV2,0))))</f>
        <v>0</v>
      </c>
      <c r="P10" s="47" t="n">
        <f aca="false">$C10*$E10*(TrancheA*IF(10-VerifLag=Pipeline!$I11,RampV1,IF(10-VerifLag=Pipeline!$I11+1,RampV2-RampV1,IF(10-VerifLag=Pipeline!$I11+2,1-RampV2,0)))+(1-TrancheA)*IF(10-VerifLag-1=Pipeline!$I11,RampV1,IF(10-VerifLag-1=Pipeline!$I11+1,RampV2-RampV1,IF(10-VerifLag-1=Pipeline!$I11+2,1-RampV2,0))))</f>
        <v>0</v>
      </c>
      <c r="Q10" s="48" t="n">
        <f aca="false">SUM(G10:P10)</f>
        <v>0</v>
      </c>
    </row>
    <row r="11" customFormat="false" ht="15" hidden="false" customHeight="false" outlineLevel="0" collapsed="false">
      <c r="A11" s="10" t="n">
        <v>6</v>
      </c>
      <c r="B11" s="46" t="str">
        <f aca="false">'Eligibility &amp; Scoring'!$B12</f>
        <v>Project F - Market towns</v>
      </c>
      <c r="C11" s="28" t="n">
        <f aca="false">'Eligibility &amp; Scoring'!$AK12*'Eligibility &amp; Scoring'!$U12</f>
        <v>0</v>
      </c>
      <c r="D11" s="28" t="n">
        <f aca="false">'Eligibility &amp; Scoring'!$AK12-C11</f>
        <v>0</v>
      </c>
      <c r="E11" s="29" t="n">
        <f aca="false">IF(C11+D11=0,0,IFERROR(INDEX('Fund Parameters'!$B$74:$B$78,Pipeline!$H12),1))</f>
        <v>0</v>
      </c>
      <c r="F11" s="28" t="n">
        <f aca="false">C11*E11</f>
        <v>0</v>
      </c>
      <c r="G11" s="47" t="n">
        <f aca="false">$C11*$E11*(TrancheA*IF(1-VerifLag=Pipeline!$I12,RampV1,IF(1-VerifLag=Pipeline!$I12+1,RampV2-RampV1,IF(1-VerifLag=Pipeline!$I12+2,1-RampV2,0)))+(1-TrancheA)*IF(1-VerifLag-1=Pipeline!$I12,RampV1,IF(1-VerifLag-1=Pipeline!$I12+1,RampV2-RampV1,IF(1-VerifLag-1=Pipeline!$I12+2,1-RampV2,0))))</f>
        <v>0</v>
      </c>
      <c r="H11" s="47" t="n">
        <f aca="false">$C11*$E11*(TrancheA*IF(2-VerifLag=Pipeline!$I12,RampV1,IF(2-VerifLag=Pipeline!$I12+1,RampV2-RampV1,IF(2-VerifLag=Pipeline!$I12+2,1-RampV2,0)))+(1-TrancheA)*IF(2-VerifLag-1=Pipeline!$I12,RampV1,IF(2-VerifLag-1=Pipeline!$I12+1,RampV2-RampV1,IF(2-VerifLag-1=Pipeline!$I12+2,1-RampV2,0))))</f>
        <v>0</v>
      </c>
      <c r="I11" s="47" t="n">
        <f aca="false">$C11*$E11*(TrancheA*IF(3-VerifLag=Pipeline!$I12,RampV1,IF(3-VerifLag=Pipeline!$I12+1,RampV2-RampV1,IF(3-VerifLag=Pipeline!$I12+2,1-RampV2,0)))+(1-TrancheA)*IF(3-VerifLag-1=Pipeline!$I12,RampV1,IF(3-VerifLag-1=Pipeline!$I12+1,RampV2-RampV1,IF(3-VerifLag-1=Pipeline!$I12+2,1-RampV2,0))))</f>
        <v>0</v>
      </c>
      <c r="J11" s="47" t="n">
        <f aca="false">$C11*$E11*(TrancheA*IF(4-VerifLag=Pipeline!$I12,RampV1,IF(4-VerifLag=Pipeline!$I12+1,RampV2-RampV1,IF(4-VerifLag=Pipeline!$I12+2,1-RampV2,0)))+(1-TrancheA)*IF(4-VerifLag-1=Pipeline!$I12,RampV1,IF(4-VerifLag-1=Pipeline!$I12+1,RampV2-RampV1,IF(4-VerifLag-1=Pipeline!$I12+2,1-RampV2,0))))</f>
        <v>0</v>
      </c>
      <c r="K11" s="47" t="n">
        <f aca="false">$C11*$E11*(TrancheA*IF(5-VerifLag=Pipeline!$I12,RampV1,IF(5-VerifLag=Pipeline!$I12+1,RampV2-RampV1,IF(5-VerifLag=Pipeline!$I12+2,1-RampV2,0)))+(1-TrancheA)*IF(5-VerifLag-1=Pipeline!$I12,RampV1,IF(5-VerifLag-1=Pipeline!$I12+1,RampV2-RampV1,IF(5-VerifLag-1=Pipeline!$I12+2,1-RampV2,0))))</f>
        <v>0</v>
      </c>
      <c r="L11" s="47" t="n">
        <f aca="false">$C11*$E11*(TrancheA*IF(6-VerifLag=Pipeline!$I12,RampV1,IF(6-VerifLag=Pipeline!$I12+1,RampV2-RampV1,IF(6-VerifLag=Pipeline!$I12+2,1-RampV2,0)))+(1-TrancheA)*IF(6-VerifLag-1=Pipeline!$I12,RampV1,IF(6-VerifLag-1=Pipeline!$I12+1,RampV2-RampV1,IF(6-VerifLag-1=Pipeline!$I12+2,1-RampV2,0))))</f>
        <v>0</v>
      </c>
      <c r="M11" s="47" t="n">
        <f aca="false">$C11*$E11*(TrancheA*IF(7-VerifLag=Pipeline!$I12,RampV1,IF(7-VerifLag=Pipeline!$I12+1,RampV2-RampV1,IF(7-VerifLag=Pipeline!$I12+2,1-RampV2,0)))+(1-TrancheA)*IF(7-VerifLag-1=Pipeline!$I12,RampV1,IF(7-VerifLag-1=Pipeline!$I12+1,RampV2-RampV1,IF(7-VerifLag-1=Pipeline!$I12+2,1-RampV2,0))))</f>
        <v>0</v>
      </c>
      <c r="N11" s="47" t="n">
        <f aca="false">$C11*$E11*(TrancheA*IF(8-VerifLag=Pipeline!$I12,RampV1,IF(8-VerifLag=Pipeline!$I12+1,RampV2-RampV1,IF(8-VerifLag=Pipeline!$I12+2,1-RampV2,0)))+(1-TrancheA)*IF(8-VerifLag-1=Pipeline!$I12,RampV1,IF(8-VerifLag-1=Pipeline!$I12+1,RampV2-RampV1,IF(8-VerifLag-1=Pipeline!$I12+2,1-RampV2,0))))</f>
        <v>0</v>
      </c>
      <c r="O11" s="47" t="n">
        <f aca="false">$C11*$E11*(TrancheA*IF(9-VerifLag=Pipeline!$I12,RampV1,IF(9-VerifLag=Pipeline!$I12+1,RampV2-RampV1,IF(9-VerifLag=Pipeline!$I12+2,1-RampV2,0)))+(1-TrancheA)*IF(9-VerifLag-1=Pipeline!$I12,RampV1,IF(9-VerifLag-1=Pipeline!$I12+1,RampV2-RampV1,IF(9-VerifLag-1=Pipeline!$I12+2,1-RampV2,0))))</f>
        <v>0</v>
      </c>
      <c r="P11" s="47" t="n">
        <f aca="false">$C11*$E11*(TrancheA*IF(10-VerifLag=Pipeline!$I12,RampV1,IF(10-VerifLag=Pipeline!$I12+1,RampV2-RampV1,IF(10-VerifLag=Pipeline!$I12+2,1-RampV2,0)))+(1-TrancheA)*IF(10-VerifLag-1=Pipeline!$I12,RampV1,IF(10-VerifLag-1=Pipeline!$I12+1,RampV2-RampV1,IF(10-VerifLag-1=Pipeline!$I12+2,1-RampV2,0))))</f>
        <v>0</v>
      </c>
      <c r="Q11" s="48" t="n">
        <f aca="false">SUM(G11:P11)</f>
        <v>0</v>
      </c>
    </row>
    <row r="12" customFormat="false" ht="15" hidden="false" customHeight="false" outlineLevel="0" collapsed="false">
      <c r="A12" s="10" t="n">
        <v>7</v>
      </c>
      <c r="B12" s="46" t="str">
        <f aca="false">'Eligibility &amp; Scoring'!$B13</f>
        <v>Project G - Remote valley</v>
      </c>
      <c r="C12" s="28" t="n">
        <f aca="false">'Eligibility &amp; Scoring'!$AK13*'Eligibility &amp; Scoring'!$U13</f>
        <v>0</v>
      </c>
      <c r="D12" s="28" t="n">
        <f aca="false">'Eligibility &amp; Scoring'!$AK13-C12</f>
        <v>0</v>
      </c>
      <c r="E12" s="29" t="n">
        <f aca="false">IF(C12+D12=0,0,IFERROR(INDEX('Fund Parameters'!$B$74:$B$78,Pipeline!$H13),1))</f>
        <v>0</v>
      </c>
      <c r="F12" s="28" t="n">
        <f aca="false">C12*E12</f>
        <v>0</v>
      </c>
      <c r="G12" s="47" t="n">
        <f aca="false">$C12*$E12*(TrancheA*IF(1-VerifLag=Pipeline!$I13,RampV1,IF(1-VerifLag=Pipeline!$I13+1,RampV2-RampV1,IF(1-VerifLag=Pipeline!$I13+2,1-RampV2,0)))+(1-TrancheA)*IF(1-VerifLag-1=Pipeline!$I13,RampV1,IF(1-VerifLag-1=Pipeline!$I13+1,RampV2-RampV1,IF(1-VerifLag-1=Pipeline!$I13+2,1-RampV2,0))))</f>
        <v>0</v>
      </c>
      <c r="H12" s="47" t="n">
        <f aca="false">$C12*$E12*(TrancheA*IF(2-VerifLag=Pipeline!$I13,RampV1,IF(2-VerifLag=Pipeline!$I13+1,RampV2-RampV1,IF(2-VerifLag=Pipeline!$I13+2,1-RampV2,0)))+(1-TrancheA)*IF(2-VerifLag-1=Pipeline!$I13,RampV1,IF(2-VerifLag-1=Pipeline!$I13+1,RampV2-RampV1,IF(2-VerifLag-1=Pipeline!$I13+2,1-RampV2,0))))</f>
        <v>0</v>
      </c>
      <c r="I12" s="47" t="n">
        <f aca="false">$C12*$E12*(TrancheA*IF(3-VerifLag=Pipeline!$I13,RampV1,IF(3-VerifLag=Pipeline!$I13+1,RampV2-RampV1,IF(3-VerifLag=Pipeline!$I13+2,1-RampV2,0)))+(1-TrancheA)*IF(3-VerifLag-1=Pipeline!$I13,RampV1,IF(3-VerifLag-1=Pipeline!$I13+1,RampV2-RampV1,IF(3-VerifLag-1=Pipeline!$I13+2,1-RampV2,0))))</f>
        <v>0</v>
      </c>
      <c r="J12" s="47" t="n">
        <f aca="false">$C12*$E12*(TrancheA*IF(4-VerifLag=Pipeline!$I13,RampV1,IF(4-VerifLag=Pipeline!$I13+1,RampV2-RampV1,IF(4-VerifLag=Pipeline!$I13+2,1-RampV2,0)))+(1-TrancheA)*IF(4-VerifLag-1=Pipeline!$I13,RampV1,IF(4-VerifLag-1=Pipeline!$I13+1,RampV2-RampV1,IF(4-VerifLag-1=Pipeline!$I13+2,1-RampV2,0))))</f>
        <v>0</v>
      </c>
      <c r="K12" s="47" t="n">
        <f aca="false">$C12*$E12*(TrancheA*IF(5-VerifLag=Pipeline!$I13,RampV1,IF(5-VerifLag=Pipeline!$I13+1,RampV2-RampV1,IF(5-VerifLag=Pipeline!$I13+2,1-RampV2,0)))+(1-TrancheA)*IF(5-VerifLag-1=Pipeline!$I13,RampV1,IF(5-VerifLag-1=Pipeline!$I13+1,RampV2-RampV1,IF(5-VerifLag-1=Pipeline!$I13+2,1-RampV2,0))))</f>
        <v>0</v>
      </c>
      <c r="L12" s="47" t="n">
        <f aca="false">$C12*$E12*(TrancheA*IF(6-VerifLag=Pipeline!$I13,RampV1,IF(6-VerifLag=Pipeline!$I13+1,RampV2-RampV1,IF(6-VerifLag=Pipeline!$I13+2,1-RampV2,0)))+(1-TrancheA)*IF(6-VerifLag-1=Pipeline!$I13,RampV1,IF(6-VerifLag-1=Pipeline!$I13+1,RampV2-RampV1,IF(6-VerifLag-1=Pipeline!$I13+2,1-RampV2,0))))</f>
        <v>0</v>
      </c>
      <c r="M12" s="47" t="n">
        <f aca="false">$C12*$E12*(TrancheA*IF(7-VerifLag=Pipeline!$I13,RampV1,IF(7-VerifLag=Pipeline!$I13+1,RampV2-RampV1,IF(7-VerifLag=Pipeline!$I13+2,1-RampV2,0)))+(1-TrancheA)*IF(7-VerifLag-1=Pipeline!$I13,RampV1,IF(7-VerifLag-1=Pipeline!$I13+1,RampV2-RampV1,IF(7-VerifLag-1=Pipeline!$I13+2,1-RampV2,0))))</f>
        <v>0</v>
      </c>
      <c r="N12" s="47" t="n">
        <f aca="false">$C12*$E12*(TrancheA*IF(8-VerifLag=Pipeline!$I13,RampV1,IF(8-VerifLag=Pipeline!$I13+1,RampV2-RampV1,IF(8-VerifLag=Pipeline!$I13+2,1-RampV2,0)))+(1-TrancheA)*IF(8-VerifLag-1=Pipeline!$I13,RampV1,IF(8-VerifLag-1=Pipeline!$I13+1,RampV2-RampV1,IF(8-VerifLag-1=Pipeline!$I13+2,1-RampV2,0))))</f>
        <v>0</v>
      </c>
      <c r="O12" s="47" t="n">
        <f aca="false">$C12*$E12*(TrancheA*IF(9-VerifLag=Pipeline!$I13,RampV1,IF(9-VerifLag=Pipeline!$I13+1,RampV2-RampV1,IF(9-VerifLag=Pipeline!$I13+2,1-RampV2,0)))+(1-TrancheA)*IF(9-VerifLag-1=Pipeline!$I13,RampV1,IF(9-VerifLag-1=Pipeline!$I13+1,RampV2-RampV1,IF(9-VerifLag-1=Pipeline!$I13+2,1-RampV2,0))))</f>
        <v>0</v>
      </c>
      <c r="P12" s="47" t="n">
        <f aca="false">$C12*$E12*(TrancheA*IF(10-VerifLag=Pipeline!$I13,RampV1,IF(10-VerifLag=Pipeline!$I13+1,RampV2-RampV1,IF(10-VerifLag=Pipeline!$I13+2,1-RampV2,0)))+(1-TrancheA)*IF(10-VerifLag-1=Pipeline!$I13,RampV1,IF(10-VerifLag-1=Pipeline!$I13+1,RampV2-RampV1,IF(10-VerifLag-1=Pipeline!$I13+2,1-RampV2,0))))</f>
        <v>0</v>
      </c>
      <c r="Q12" s="48" t="n">
        <f aca="false">SUM(G12:P12)</f>
        <v>0</v>
      </c>
    </row>
    <row r="13" customFormat="false" ht="15" hidden="false" customHeight="false" outlineLevel="0" collapsed="false">
      <c r="A13" s="10" t="n">
        <v>8</v>
      </c>
      <c r="B13" s="46" t="str">
        <f aca="false">'Eligibility &amp; Scoring'!$B14</f>
        <v>Project H - Agro-processing hub</v>
      </c>
      <c r="C13" s="28" t="n">
        <f aca="false">'Eligibility &amp; Scoring'!$AK14*'Eligibility &amp; Scoring'!$U14</f>
        <v>112181.978798587</v>
      </c>
      <c r="D13" s="28" t="n">
        <f aca="false">'Eligibility &amp; Scoring'!$AK14-C13</f>
        <v>270318.021201413</v>
      </c>
      <c r="E13" s="29" t="n">
        <f aca="false">IF(C13+D13=0,0,IFERROR(INDEX('Fund Parameters'!$B$74:$B$78,Pipeline!$H14),1))</f>
        <v>0.95</v>
      </c>
      <c r="F13" s="28" t="n">
        <f aca="false">C13*E13</f>
        <v>106572.879858657</v>
      </c>
      <c r="G13" s="47" t="n">
        <f aca="false">$C13*$E13*(TrancheA*IF(1-VerifLag=Pipeline!$I14,RampV1,IF(1-VerifLag=Pipeline!$I14+1,RampV2-RampV1,IF(1-VerifLag=Pipeline!$I14+2,1-RampV2,0)))+(1-TrancheA)*IF(1-VerifLag-1=Pipeline!$I14,RampV1,IF(1-VerifLag-1=Pipeline!$I14+1,RampV2-RampV1,IF(1-VerifLag-1=Pipeline!$I14+2,1-RampV2,0))))</f>
        <v>0</v>
      </c>
      <c r="H13" s="47" t="n">
        <f aca="false">$C13*$E13*(TrancheA*IF(2-VerifLag=Pipeline!$I14,RampV1,IF(2-VerifLag=Pipeline!$I14+1,RampV2-RampV1,IF(2-VerifLag=Pipeline!$I14+2,1-RampV2,0)))+(1-TrancheA)*IF(2-VerifLag-1=Pipeline!$I14,RampV1,IF(2-VerifLag-1=Pipeline!$I14+1,RampV2-RampV1,IF(2-VerifLag-1=Pipeline!$I14+2,1-RampV2,0))))</f>
        <v>44760.609540636</v>
      </c>
      <c r="I13" s="47" t="n">
        <f aca="false">$C13*$E13*(TrancheA*IF(3-VerifLag=Pipeline!$I14,RampV1,IF(3-VerifLag=Pipeline!$I14+1,RampV2-RampV1,IF(3-VerifLag=Pipeline!$I14+2,1-RampV2,0)))+(1-TrancheA)*IF(3-VerifLag-1=Pipeline!$I14,RampV1,IF(3-VerifLag-1=Pipeline!$I14+1,RampV2-RampV1,IF(3-VerifLag-1=Pipeline!$I14+2,1-RampV2,0))))</f>
        <v>41563.4231448763</v>
      </c>
      <c r="J13" s="47" t="n">
        <f aca="false">$C13*$E13*(TrancheA*IF(4-VerifLag=Pipeline!$I14,RampV1,IF(4-VerifLag=Pipeline!$I14+1,RampV2-RampV1,IF(4-VerifLag=Pipeline!$I14+2,1-RampV2,0)))+(1-TrancheA)*IF(4-VerifLag-1=Pipeline!$I14,RampV1,IF(4-VerifLag-1=Pipeline!$I14+1,RampV2-RampV1,IF(4-VerifLag-1=Pipeline!$I14+2,1-RampV2,0))))</f>
        <v>17051.6607773852</v>
      </c>
      <c r="K13" s="47" t="n">
        <f aca="false">$C13*$E13*(TrancheA*IF(5-VerifLag=Pipeline!$I14,RampV1,IF(5-VerifLag=Pipeline!$I14+1,RampV2-RampV1,IF(5-VerifLag=Pipeline!$I14+2,1-RampV2,0)))+(1-TrancheA)*IF(5-VerifLag-1=Pipeline!$I14,RampV1,IF(5-VerifLag-1=Pipeline!$I14+1,RampV2-RampV1,IF(5-VerifLag-1=Pipeline!$I14+2,1-RampV2,0))))</f>
        <v>3197.18639575972</v>
      </c>
      <c r="L13" s="47" t="n">
        <f aca="false">$C13*$E13*(TrancheA*IF(6-VerifLag=Pipeline!$I14,RampV1,IF(6-VerifLag=Pipeline!$I14+1,RampV2-RampV1,IF(6-VerifLag=Pipeline!$I14+2,1-RampV2,0)))+(1-TrancheA)*IF(6-VerifLag-1=Pipeline!$I14,RampV1,IF(6-VerifLag-1=Pipeline!$I14+1,RampV2-RampV1,IF(6-VerifLag-1=Pipeline!$I14+2,1-RampV2,0))))</f>
        <v>0</v>
      </c>
      <c r="M13" s="47" t="n">
        <f aca="false">$C13*$E13*(TrancheA*IF(7-VerifLag=Pipeline!$I14,RampV1,IF(7-VerifLag=Pipeline!$I14+1,RampV2-RampV1,IF(7-VerifLag=Pipeline!$I14+2,1-RampV2,0)))+(1-TrancheA)*IF(7-VerifLag-1=Pipeline!$I14,RampV1,IF(7-VerifLag-1=Pipeline!$I14+1,RampV2-RampV1,IF(7-VerifLag-1=Pipeline!$I14+2,1-RampV2,0))))</f>
        <v>0</v>
      </c>
      <c r="N13" s="47" t="n">
        <f aca="false">$C13*$E13*(TrancheA*IF(8-VerifLag=Pipeline!$I14,RampV1,IF(8-VerifLag=Pipeline!$I14+1,RampV2-RampV1,IF(8-VerifLag=Pipeline!$I14+2,1-RampV2,0)))+(1-TrancheA)*IF(8-VerifLag-1=Pipeline!$I14,RampV1,IF(8-VerifLag-1=Pipeline!$I14+1,RampV2-RampV1,IF(8-VerifLag-1=Pipeline!$I14+2,1-RampV2,0))))</f>
        <v>0</v>
      </c>
      <c r="O13" s="47" t="n">
        <f aca="false">$C13*$E13*(TrancheA*IF(9-VerifLag=Pipeline!$I14,RampV1,IF(9-VerifLag=Pipeline!$I14+1,RampV2-RampV1,IF(9-VerifLag=Pipeline!$I14+2,1-RampV2,0)))+(1-TrancheA)*IF(9-VerifLag-1=Pipeline!$I14,RampV1,IF(9-VerifLag-1=Pipeline!$I14+1,RampV2-RampV1,IF(9-VerifLag-1=Pipeline!$I14+2,1-RampV2,0))))</f>
        <v>0</v>
      </c>
      <c r="P13" s="47" t="n">
        <f aca="false">$C13*$E13*(TrancheA*IF(10-VerifLag=Pipeline!$I14,RampV1,IF(10-VerifLag=Pipeline!$I14+1,RampV2-RampV1,IF(10-VerifLag=Pipeline!$I14+2,1-RampV2,0)))+(1-TrancheA)*IF(10-VerifLag-1=Pipeline!$I14,RampV1,IF(10-VerifLag-1=Pipeline!$I14+1,RampV2-RampV1,IF(10-VerifLag-1=Pipeline!$I14+2,1-RampV2,0))))</f>
        <v>0</v>
      </c>
      <c r="Q13" s="48" t="n">
        <f aca="false">SUM(G13:P13)</f>
        <v>106572.879858657</v>
      </c>
    </row>
    <row r="14" customFormat="false" ht="15" hidden="false" customHeight="false" outlineLevel="0" collapsed="false">
      <c r="A14" s="10" t="n">
        <v>9</v>
      </c>
      <c r="B14" s="46" t="str">
        <f aca="false">'Eligibility &amp; Scoring'!$B15</f>
        <v>Project I - Fishing communities</v>
      </c>
      <c r="C14" s="28" t="n">
        <f aca="false">'Eligibility &amp; Scoring'!$AK15*'Eligibility &amp; Scoring'!$U15</f>
        <v>109793.862368258</v>
      </c>
      <c r="D14" s="28" t="n">
        <f aca="false">'Eligibility &amp; Scoring'!$AK15-C14</f>
        <v>272706.137631742</v>
      </c>
      <c r="E14" s="29" t="n">
        <f aca="false">IF(C14+D14=0,0,IFERROR(INDEX('Fund Parameters'!$B$74:$B$78,Pipeline!$H15),1))</f>
        <v>0.9</v>
      </c>
      <c r="F14" s="28" t="n">
        <f aca="false">C14*E14</f>
        <v>98814.4761314321</v>
      </c>
      <c r="G14" s="47" t="n">
        <f aca="false">$C14*$E14*(TrancheA*IF(1-VerifLag=Pipeline!$I15,RampV1,IF(1-VerifLag=Pipeline!$I15+1,RampV2-RampV1,IF(1-VerifLag=Pipeline!$I15+2,1-RampV2,0)))+(1-TrancheA)*IF(1-VerifLag-1=Pipeline!$I15,RampV1,IF(1-VerifLag-1=Pipeline!$I15+1,RampV2-RampV1,IF(1-VerifLag-1=Pipeline!$I15+2,1-RampV2,0))))</f>
        <v>0</v>
      </c>
      <c r="H14" s="47" t="n">
        <f aca="false">$C14*$E14*(TrancheA*IF(2-VerifLag=Pipeline!$I15,RampV1,IF(2-VerifLag=Pipeline!$I15+1,RampV2-RampV1,IF(2-VerifLag=Pipeline!$I15+2,1-RampV2,0)))+(1-TrancheA)*IF(2-VerifLag-1=Pipeline!$I15,RampV1,IF(2-VerifLag-1=Pipeline!$I15+1,RampV2-RampV1,IF(2-VerifLag-1=Pipeline!$I15+2,1-RampV2,0))))</f>
        <v>41502.0799752015</v>
      </c>
      <c r="I14" s="47" t="n">
        <f aca="false">$C14*$E14*(TrancheA*IF(3-VerifLag=Pipeline!$I15,RampV1,IF(3-VerifLag=Pipeline!$I15+1,RampV2-RampV1,IF(3-VerifLag=Pipeline!$I15+2,1-RampV2,0)))+(1-TrancheA)*IF(3-VerifLag-1=Pipeline!$I15,RampV1,IF(3-VerifLag-1=Pipeline!$I15+1,RampV2-RampV1,IF(3-VerifLag-1=Pipeline!$I15+2,1-RampV2,0))))</f>
        <v>38537.6456912585</v>
      </c>
      <c r="J14" s="47" t="n">
        <f aca="false">$C14*$E14*(TrancheA*IF(4-VerifLag=Pipeline!$I15,RampV1,IF(4-VerifLag=Pipeline!$I15+1,RampV2-RampV1,IF(4-VerifLag=Pipeline!$I15+2,1-RampV2,0)))+(1-TrancheA)*IF(4-VerifLag-1=Pipeline!$I15,RampV1,IF(4-VerifLag-1=Pipeline!$I15+1,RampV2-RampV1,IF(4-VerifLag-1=Pipeline!$I15+2,1-RampV2,0))))</f>
        <v>15810.3161810291</v>
      </c>
      <c r="K14" s="47" t="n">
        <f aca="false">$C14*$E14*(TrancheA*IF(5-VerifLag=Pipeline!$I15,RampV1,IF(5-VerifLag=Pipeline!$I15+1,RampV2-RampV1,IF(5-VerifLag=Pipeline!$I15+2,1-RampV2,0)))+(1-TrancheA)*IF(5-VerifLag-1=Pipeline!$I15,RampV1,IF(5-VerifLag-1=Pipeline!$I15+1,RampV2-RampV1,IF(5-VerifLag-1=Pipeline!$I15+2,1-RampV2,0))))</f>
        <v>2964.43428394296</v>
      </c>
      <c r="L14" s="47" t="n">
        <f aca="false">$C14*$E14*(TrancheA*IF(6-VerifLag=Pipeline!$I15,RampV1,IF(6-VerifLag=Pipeline!$I15+1,RampV2-RampV1,IF(6-VerifLag=Pipeline!$I15+2,1-RampV2,0)))+(1-TrancheA)*IF(6-VerifLag-1=Pipeline!$I15,RampV1,IF(6-VerifLag-1=Pipeline!$I15+1,RampV2-RampV1,IF(6-VerifLag-1=Pipeline!$I15+2,1-RampV2,0))))</f>
        <v>0</v>
      </c>
      <c r="M14" s="47" t="n">
        <f aca="false">$C14*$E14*(TrancheA*IF(7-VerifLag=Pipeline!$I15,RampV1,IF(7-VerifLag=Pipeline!$I15+1,RampV2-RampV1,IF(7-VerifLag=Pipeline!$I15+2,1-RampV2,0)))+(1-TrancheA)*IF(7-VerifLag-1=Pipeline!$I15,RampV1,IF(7-VerifLag-1=Pipeline!$I15+1,RampV2-RampV1,IF(7-VerifLag-1=Pipeline!$I15+2,1-RampV2,0))))</f>
        <v>0</v>
      </c>
      <c r="N14" s="47" t="n">
        <f aca="false">$C14*$E14*(TrancheA*IF(8-VerifLag=Pipeline!$I15,RampV1,IF(8-VerifLag=Pipeline!$I15+1,RampV2-RampV1,IF(8-VerifLag=Pipeline!$I15+2,1-RampV2,0)))+(1-TrancheA)*IF(8-VerifLag-1=Pipeline!$I15,RampV1,IF(8-VerifLag-1=Pipeline!$I15+1,RampV2-RampV1,IF(8-VerifLag-1=Pipeline!$I15+2,1-RampV2,0))))</f>
        <v>0</v>
      </c>
      <c r="O14" s="47" t="n">
        <f aca="false">$C14*$E14*(TrancheA*IF(9-VerifLag=Pipeline!$I15,RampV1,IF(9-VerifLag=Pipeline!$I15+1,RampV2-RampV1,IF(9-VerifLag=Pipeline!$I15+2,1-RampV2,0)))+(1-TrancheA)*IF(9-VerifLag-1=Pipeline!$I15,RampV1,IF(9-VerifLag-1=Pipeline!$I15+1,RampV2-RampV1,IF(9-VerifLag-1=Pipeline!$I15+2,1-RampV2,0))))</f>
        <v>0</v>
      </c>
      <c r="P14" s="47" t="n">
        <f aca="false">$C14*$E14*(TrancheA*IF(10-VerifLag=Pipeline!$I15,RampV1,IF(10-VerifLag=Pipeline!$I15+1,RampV2-RampV1,IF(10-VerifLag=Pipeline!$I15+2,1-RampV2,0)))+(1-TrancheA)*IF(10-VerifLag-1=Pipeline!$I15,RampV1,IF(10-VerifLag-1=Pipeline!$I15+1,RampV2-RampV1,IF(10-VerifLag-1=Pipeline!$I15+2,1-RampV2,0))))</f>
        <v>0</v>
      </c>
      <c r="Q14" s="48" t="n">
        <f aca="false">SUM(G14:P14)</f>
        <v>98814.4761314321</v>
      </c>
    </row>
    <row r="15" customFormat="false" ht="15" hidden="false" customHeight="false" outlineLevel="0" collapsed="false">
      <c r="A15" s="10" t="n">
        <v>10</v>
      </c>
      <c r="B15" s="46" t="str">
        <f aca="false">'Eligibility &amp; Scoring'!$B16</f>
        <v>Project J - Health and schools first</v>
      </c>
      <c r="C15" s="28" t="n">
        <f aca="false">'Eligibility &amp; Scoring'!$AK16*'Eligibility &amp; Scoring'!$U16</f>
        <v>0</v>
      </c>
      <c r="D15" s="28" t="n">
        <f aca="false">'Eligibility &amp; Scoring'!$AK16-C15</f>
        <v>0</v>
      </c>
      <c r="E15" s="29" t="n">
        <f aca="false">IF(C15+D15=0,0,IFERROR(INDEX('Fund Parameters'!$B$74:$B$78,Pipeline!$H16),1))</f>
        <v>0</v>
      </c>
      <c r="F15" s="28" t="n">
        <f aca="false">C15*E15</f>
        <v>0</v>
      </c>
      <c r="G15" s="47" t="n">
        <f aca="false">$C15*$E15*(TrancheA*IF(1-VerifLag=Pipeline!$I16,RampV1,IF(1-VerifLag=Pipeline!$I16+1,RampV2-RampV1,IF(1-VerifLag=Pipeline!$I16+2,1-RampV2,0)))+(1-TrancheA)*IF(1-VerifLag-1=Pipeline!$I16,RampV1,IF(1-VerifLag-1=Pipeline!$I16+1,RampV2-RampV1,IF(1-VerifLag-1=Pipeline!$I16+2,1-RampV2,0))))</f>
        <v>0</v>
      </c>
      <c r="H15" s="47" t="n">
        <f aca="false">$C15*$E15*(TrancheA*IF(2-VerifLag=Pipeline!$I16,RampV1,IF(2-VerifLag=Pipeline!$I16+1,RampV2-RampV1,IF(2-VerifLag=Pipeline!$I16+2,1-RampV2,0)))+(1-TrancheA)*IF(2-VerifLag-1=Pipeline!$I16,RampV1,IF(2-VerifLag-1=Pipeline!$I16+1,RampV2-RampV1,IF(2-VerifLag-1=Pipeline!$I16+2,1-RampV2,0))))</f>
        <v>0</v>
      </c>
      <c r="I15" s="47" t="n">
        <f aca="false">$C15*$E15*(TrancheA*IF(3-VerifLag=Pipeline!$I16,RampV1,IF(3-VerifLag=Pipeline!$I16+1,RampV2-RampV1,IF(3-VerifLag=Pipeline!$I16+2,1-RampV2,0)))+(1-TrancheA)*IF(3-VerifLag-1=Pipeline!$I16,RampV1,IF(3-VerifLag-1=Pipeline!$I16+1,RampV2-RampV1,IF(3-VerifLag-1=Pipeline!$I16+2,1-RampV2,0))))</f>
        <v>0</v>
      </c>
      <c r="J15" s="47" t="n">
        <f aca="false">$C15*$E15*(TrancheA*IF(4-VerifLag=Pipeline!$I16,RampV1,IF(4-VerifLag=Pipeline!$I16+1,RampV2-RampV1,IF(4-VerifLag=Pipeline!$I16+2,1-RampV2,0)))+(1-TrancheA)*IF(4-VerifLag-1=Pipeline!$I16,RampV1,IF(4-VerifLag-1=Pipeline!$I16+1,RampV2-RampV1,IF(4-VerifLag-1=Pipeline!$I16+2,1-RampV2,0))))</f>
        <v>0</v>
      </c>
      <c r="K15" s="47" t="n">
        <f aca="false">$C15*$E15*(TrancheA*IF(5-VerifLag=Pipeline!$I16,RampV1,IF(5-VerifLag=Pipeline!$I16+1,RampV2-RampV1,IF(5-VerifLag=Pipeline!$I16+2,1-RampV2,0)))+(1-TrancheA)*IF(5-VerifLag-1=Pipeline!$I16,RampV1,IF(5-VerifLag-1=Pipeline!$I16+1,RampV2-RampV1,IF(5-VerifLag-1=Pipeline!$I16+2,1-RampV2,0))))</f>
        <v>0</v>
      </c>
      <c r="L15" s="47" t="n">
        <f aca="false">$C15*$E15*(TrancheA*IF(6-VerifLag=Pipeline!$I16,RampV1,IF(6-VerifLag=Pipeline!$I16+1,RampV2-RampV1,IF(6-VerifLag=Pipeline!$I16+2,1-RampV2,0)))+(1-TrancheA)*IF(6-VerifLag-1=Pipeline!$I16,RampV1,IF(6-VerifLag-1=Pipeline!$I16+1,RampV2-RampV1,IF(6-VerifLag-1=Pipeline!$I16+2,1-RampV2,0))))</f>
        <v>0</v>
      </c>
      <c r="M15" s="47" t="n">
        <f aca="false">$C15*$E15*(TrancheA*IF(7-VerifLag=Pipeline!$I16,RampV1,IF(7-VerifLag=Pipeline!$I16+1,RampV2-RampV1,IF(7-VerifLag=Pipeline!$I16+2,1-RampV2,0)))+(1-TrancheA)*IF(7-VerifLag-1=Pipeline!$I16,RampV1,IF(7-VerifLag-1=Pipeline!$I16+1,RampV2-RampV1,IF(7-VerifLag-1=Pipeline!$I16+2,1-RampV2,0))))</f>
        <v>0</v>
      </c>
      <c r="N15" s="47" t="n">
        <f aca="false">$C15*$E15*(TrancheA*IF(8-VerifLag=Pipeline!$I16,RampV1,IF(8-VerifLag=Pipeline!$I16+1,RampV2-RampV1,IF(8-VerifLag=Pipeline!$I16+2,1-RampV2,0)))+(1-TrancheA)*IF(8-VerifLag-1=Pipeline!$I16,RampV1,IF(8-VerifLag-1=Pipeline!$I16+1,RampV2-RampV1,IF(8-VerifLag-1=Pipeline!$I16+2,1-RampV2,0))))</f>
        <v>0</v>
      </c>
      <c r="O15" s="47" t="n">
        <f aca="false">$C15*$E15*(TrancheA*IF(9-VerifLag=Pipeline!$I16,RampV1,IF(9-VerifLag=Pipeline!$I16+1,RampV2-RampV1,IF(9-VerifLag=Pipeline!$I16+2,1-RampV2,0)))+(1-TrancheA)*IF(9-VerifLag-1=Pipeline!$I16,RampV1,IF(9-VerifLag-1=Pipeline!$I16+1,RampV2-RampV1,IF(9-VerifLag-1=Pipeline!$I16+2,1-RampV2,0))))</f>
        <v>0</v>
      </c>
      <c r="P15" s="47" t="n">
        <f aca="false">$C15*$E15*(TrancheA*IF(10-VerifLag=Pipeline!$I16,RampV1,IF(10-VerifLag=Pipeline!$I16+1,RampV2-RampV1,IF(10-VerifLag=Pipeline!$I16+2,1-RampV2,0)))+(1-TrancheA)*IF(10-VerifLag-1=Pipeline!$I16,RampV1,IF(10-VerifLag-1=Pipeline!$I16+1,RampV2-RampV1,IF(10-VerifLag-1=Pipeline!$I16+2,1-RampV2,0))))</f>
        <v>0</v>
      </c>
      <c r="Q15" s="48" t="n">
        <f aca="false">SUM(G15:P15)</f>
        <v>0</v>
      </c>
    </row>
    <row r="16" customFormat="false" ht="15" hidden="false" customHeight="false" outlineLevel="0" collapsed="false">
      <c r="A16" s="10" t="n">
        <v>11</v>
      </c>
      <c r="B16" s="46" t="str">
        <f aca="false">'Eligibility &amp; Scoring'!$B17</f>
        <v>Project K - Peri-urban extension</v>
      </c>
      <c r="C16" s="28" t="n">
        <f aca="false">'Eligibility &amp; Scoring'!$AK17*'Eligibility &amp; Scoring'!$U17</f>
        <v>124750.673854447</v>
      </c>
      <c r="D16" s="28" t="n">
        <f aca="false">'Eligibility &amp; Scoring'!$AK17-C16</f>
        <v>257749.326145553</v>
      </c>
      <c r="E16" s="29" t="n">
        <f aca="false">IF(C16+D16=0,0,IFERROR(INDEX('Fund Parameters'!$B$74:$B$78,Pipeline!$H17),1))</f>
        <v>0.95</v>
      </c>
      <c r="F16" s="28" t="n">
        <f aca="false">C16*E16</f>
        <v>118513.140161725</v>
      </c>
      <c r="G16" s="47" t="n">
        <f aca="false">$C16*$E16*(TrancheA*IF(1-VerifLag=Pipeline!$I17,RampV1,IF(1-VerifLag=Pipeline!$I17+1,RampV2-RampV1,IF(1-VerifLag=Pipeline!$I17+2,1-RampV2,0)))+(1-TrancheA)*IF(1-VerifLag-1=Pipeline!$I17,RampV1,IF(1-VerifLag-1=Pipeline!$I17+1,RampV2-RampV1,IF(1-VerifLag-1=Pipeline!$I17+2,1-RampV2,0))))</f>
        <v>49775.5188679245</v>
      </c>
      <c r="H16" s="47" t="n">
        <f aca="false">$C16*$E16*(TrancheA*IF(2-VerifLag=Pipeline!$I17,RampV1,IF(2-VerifLag=Pipeline!$I17+1,RampV2-RampV1,IF(2-VerifLag=Pipeline!$I17+2,1-RampV2,0)))+(1-TrancheA)*IF(2-VerifLag-1=Pipeline!$I17,RampV1,IF(2-VerifLag-1=Pipeline!$I17+1,RampV2-RampV1,IF(2-VerifLag-1=Pipeline!$I17+2,1-RampV2,0))))</f>
        <v>46220.1246630728</v>
      </c>
      <c r="I16" s="47" t="n">
        <f aca="false">$C16*$E16*(TrancheA*IF(3-VerifLag=Pipeline!$I17,RampV1,IF(3-VerifLag=Pipeline!$I17+1,RampV2-RampV1,IF(3-VerifLag=Pipeline!$I17+2,1-RampV2,0)))+(1-TrancheA)*IF(3-VerifLag-1=Pipeline!$I17,RampV1,IF(3-VerifLag-1=Pipeline!$I17+1,RampV2-RampV1,IF(3-VerifLag-1=Pipeline!$I17+2,1-RampV2,0))))</f>
        <v>18962.102425876</v>
      </c>
      <c r="J16" s="47" t="n">
        <f aca="false">$C16*$E16*(TrancheA*IF(4-VerifLag=Pipeline!$I17,RampV1,IF(4-VerifLag=Pipeline!$I17+1,RampV2-RampV1,IF(4-VerifLag=Pipeline!$I17+2,1-RampV2,0)))+(1-TrancheA)*IF(4-VerifLag-1=Pipeline!$I17,RampV1,IF(4-VerifLag-1=Pipeline!$I17+1,RampV2-RampV1,IF(4-VerifLag-1=Pipeline!$I17+2,1-RampV2,0))))</f>
        <v>3555.39420485175</v>
      </c>
      <c r="K16" s="47" t="n">
        <f aca="false">$C16*$E16*(TrancheA*IF(5-VerifLag=Pipeline!$I17,RampV1,IF(5-VerifLag=Pipeline!$I17+1,RampV2-RampV1,IF(5-VerifLag=Pipeline!$I17+2,1-RampV2,0)))+(1-TrancheA)*IF(5-VerifLag-1=Pipeline!$I17,RampV1,IF(5-VerifLag-1=Pipeline!$I17+1,RampV2-RampV1,IF(5-VerifLag-1=Pipeline!$I17+2,1-RampV2,0))))</f>
        <v>0</v>
      </c>
      <c r="L16" s="47" t="n">
        <f aca="false">$C16*$E16*(TrancheA*IF(6-VerifLag=Pipeline!$I17,RampV1,IF(6-VerifLag=Pipeline!$I17+1,RampV2-RampV1,IF(6-VerifLag=Pipeline!$I17+2,1-RampV2,0)))+(1-TrancheA)*IF(6-VerifLag-1=Pipeline!$I17,RampV1,IF(6-VerifLag-1=Pipeline!$I17+1,RampV2-RampV1,IF(6-VerifLag-1=Pipeline!$I17+2,1-RampV2,0))))</f>
        <v>0</v>
      </c>
      <c r="M16" s="47" t="n">
        <f aca="false">$C16*$E16*(TrancheA*IF(7-VerifLag=Pipeline!$I17,RampV1,IF(7-VerifLag=Pipeline!$I17+1,RampV2-RampV1,IF(7-VerifLag=Pipeline!$I17+2,1-RampV2,0)))+(1-TrancheA)*IF(7-VerifLag-1=Pipeline!$I17,RampV1,IF(7-VerifLag-1=Pipeline!$I17+1,RampV2-RampV1,IF(7-VerifLag-1=Pipeline!$I17+2,1-RampV2,0))))</f>
        <v>0</v>
      </c>
      <c r="N16" s="47" t="n">
        <f aca="false">$C16*$E16*(TrancheA*IF(8-VerifLag=Pipeline!$I17,RampV1,IF(8-VerifLag=Pipeline!$I17+1,RampV2-RampV1,IF(8-VerifLag=Pipeline!$I17+2,1-RampV2,0)))+(1-TrancheA)*IF(8-VerifLag-1=Pipeline!$I17,RampV1,IF(8-VerifLag-1=Pipeline!$I17+1,RampV2-RampV1,IF(8-VerifLag-1=Pipeline!$I17+2,1-RampV2,0))))</f>
        <v>0</v>
      </c>
      <c r="O16" s="47" t="n">
        <f aca="false">$C16*$E16*(TrancheA*IF(9-VerifLag=Pipeline!$I17,RampV1,IF(9-VerifLag=Pipeline!$I17+1,RampV2-RampV1,IF(9-VerifLag=Pipeline!$I17+2,1-RampV2,0)))+(1-TrancheA)*IF(9-VerifLag-1=Pipeline!$I17,RampV1,IF(9-VerifLag-1=Pipeline!$I17+1,RampV2-RampV1,IF(9-VerifLag-1=Pipeline!$I17+2,1-RampV2,0))))</f>
        <v>0</v>
      </c>
      <c r="P16" s="47" t="n">
        <f aca="false">$C16*$E16*(TrancheA*IF(10-VerifLag=Pipeline!$I17,RampV1,IF(10-VerifLag=Pipeline!$I17+1,RampV2-RampV1,IF(10-VerifLag=Pipeline!$I17+2,1-RampV2,0)))+(1-TrancheA)*IF(10-VerifLag-1=Pipeline!$I17,RampV1,IF(10-VerifLag-1=Pipeline!$I17+1,RampV2-RampV1,IF(10-VerifLag-1=Pipeline!$I17+2,1-RampV2,0))))</f>
        <v>0</v>
      </c>
      <c r="Q16" s="48" t="n">
        <f aca="false">SUM(G16:P16)</f>
        <v>118513.140161725</v>
      </c>
    </row>
    <row r="17" customFormat="false" ht="15" hidden="false" customHeight="false" outlineLevel="0" collapsed="false">
      <c r="A17" s="10" t="n">
        <v>12</v>
      </c>
      <c r="B17" s="46" t="str">
        <f aca="false">'Eligibility &amp; Scoring'!$B18</f>
        <v>Project L - Mining belt</v>
      </c>
      <c r="C17" s="28" t="n">
        <f aca="false">'Eligibility &amp; Scoring'!$AK18*'Eligibility &amp; Scoring'!$U18</f>
        <v>111562.5</v>
      </c>
      <c r="D17" s="28" t="n">
        <f aca="false">'Eligibility &amp; Scoring'!$AK18-C17</f>
        <v>270937.5</v>
      </c>
      <c r="E17" s="29" t="n">
        <f aca="false">IF(C17+D17=0,0,IFERROR(INDEX('Fund Parameters'!$B$74:$B$78,Pipeline!$H18),1))</f>
        <v>0.9</v>
      </c>
      <c r="F17" s="28" t="n">
        <f aca="false">C17*E17</f>
        <v>100406.25</v>
      </c>
      <c r="G17" s="47" t="n">
        <f aca="false">$C17*$E17*(TrancheA*IF(1-VerifLag=Pipeline!$I18,RampV1,IF(1-VerifLag=Pipeline!$I18+1,RampV2-RampV1,IF(1-VerifLag=Pipeline!$I18+2,1-RampV2,0)))+(1-TrancheA)*IF(1-VerifLag-1=Pipeline!$I18,RampV1,IF(1-VerifLag-1=Pipeline!$I18+1,RampV2-RampV1,IF(1-VerifLag-1=Pipeline!$I18+2,1-RampV2,0))))</f>
        <v>0</v>
      </c>
      <c r="H17" s="47" t="n">
        <f aca="false">$C17*$E17*(TrancheA*IF(2-VerifLag=Pipeline!$I18,RampV1,IF(2-VerifLag=Pipeline!$I18+1,RampV2-RampV1,IF(2-VerifLag=Pipeline!$I18+2,1-RampV2,0)))+(1-TrancheA)*IF(2-VerifLag-1=Pipeline!$I18,RampV1,IF(2-VerifLag-1=Pipeline!$I18+1,RampV2-RampV1,IF(2-VerifLag-1=Pipeline!$I18+2,1-RampV2,0))))</f>
        <v>42170.625</v>
      </c>
      <c r="I17" s="47" t="n">
        <f aca="false">$C17*$E17*(TrancheA*IF(3-VerifLag=Pipeline!$I18,RampV1,IF(3-VerifLag=Pipeline!$I18+1,RampV2-RampV1,IF(3-VerifLag=Pipeline!$I18+2,1-RampV2,0)))+(1-TrancheA)*IF(3-VerifLag-1=Pipeline!$I18,RampV1,IF(3-VerifLag-1=Pipeline!$I18+1,RampV2-RampV1,IF(3-VerifLag-1=Pipeline!$I18+2,1-RampV2,0))))</f>
        <v>39158.4375</v>
      </c>
      <c r="J17" s="47" t="n">
        <f aca="false">$C17*$E17*(TrancheA*IF(4-VerifLag=Pipeline!$I18,RampV1,IF(4-VerifLag=Pipeline!$I18+1,RampV2-RampV1,IF(4-VerifLag=Pipeline!$I18+2,1-RampV2,0)))+(1-TrancheA)*IF(4-VerifLag-1=Pipeline!$I18,RampV1,IF(4-VerifLag-1=Pipeline!$I18+1,RampV2-RampV1,IF(4-VerifLag-1=Pipeline!$I18+2,1-RampV2,0))))</f>
        <v>16065</v>
      </c>
      <c r="K17" s="47" t="n">
        <f aca="false">$C17*$E17*(TrancheA*IF(5-VerifLag=Pipeline!$I18,RampV1,IF(5-VerifLag=Pipeline!$I18+1,RampV2-RampV1,IF(5-VerifLag=Pipeline!$I18+2,1-RampV2,0)))+(1-TrancheA)*IF(5-VerifLag-1=Pipeline!$I18,RampV1,IF(5-VerifLag-1=Pipeline!$I18+1,RampV2-RampV1,IF(5-VerifLag-1=Pipeline!$I18+2,1-RampV2,0))))</f>
        <v>3012.1875</v>
      </c>
      <c r="L17" s="47" t="n">
        <f aca="false">$C17*$E17*(TrancheA*IF(6-VerifLag=Pipeline!$I18,RampV1,IF(6-VerifLag=Pipeline!$I18+1,RampV2-RampV1,IF(6-VerifLag=Pipeline!$I18+2,1-RampV2,0)))+(1-TrancheA)*IF(6-VerifLag-1=Pipeline!$I18,RampV1,IF(6-VerifLag-1=Pipeline!$I18+1,RampV2-RampV1,IF(6-VerifLag-1=Pipeline!$I18+2,1-RampV2,0))))</f>
        <v>0</v>
      </c>
      <c r="M17" s="47" t="n">
        <f aca="false">$C17*$E17*(TrancheA*IF(7-VerifLag=Pipeline!$I18,RampV1,IF(7-VerifLag=Pipeline!$I18+1,RampV2-RampV1,IF(7-VerifLag=Pipeline!$I18+2,1-RampV2,0)))+(1-TrancheA)*IF(7-VerifLag-1=Pipeline!$I18,RampV1,IF(7-VerifLag-1=Pipeline!$I18+1,RampV2-RampV1,IF(7-VerifLag-1=Pipeline!$I18+2,1-RampV2,0))))</f>
        <v>0</v>
      </c>
      <c r="N17" s="47" t="n">
        <f aca="false">$C17*$E17*(TrancheA*IF(8-VerifLag=Pipeline!$I18,RampV1,IF(8-VerifLag=Pipeline!$I18+1,RampV2-RampV1,IF(8-VerifLag=Pipeline!$I18+2,1-RampV2,0)))+(1-TrancheA)*IF(8-VerifLag-1=Pipeline!$I18,RampV1,IF(8-VerifLag-1=Pipeline!$I18+1,RampV2-RampV1,IF(8-VerifLag-1=Pipeline!$I18+2,1-RampV2,0))))</f>
        <v>0</v>
      </c>
      <c r="O17" s="47" t="n">
        <f aca="false">$C17*$E17*(TrancheA*IF(9-VerifLag=Pipeline!$I18,RampV1,IF(9-VerifLag=Pipeline!$I18+1,RampV2-RampV1,IF(9-VerifLag=Pipeline!$I18+2,1-RampV2,0)))+(1-TrancheA)*IF(9-VerifLag-1=Pipeline!$I18,RampV1,IF(9-VerifLag-1=Pipeline!$I18+1,RampV2-RampV1,IF(9-VerifLag-1=Pipeline!$I18+2,1-RampV2,0))))</f>
        <v>0</v>
      </c>
      <c r="P17" s="47" t="n">
        <f aca="false">$C17*$E17*(TrancheA*IF(10-VerifLag=Pipeline!$I18,RampV1,IF(10-VerifLag=Pipeline!$I18+1,RampV2-RampV1,IF(10-VerifLag=Pipeline!$I18+2,1-RampV2,0)))+(1-TrancheA)*IF(10-VerifLag-1=Pipeline!$I18,RampV1,IF(10-VerifLag-1=Pipeline!$I18+1,RampV2-RampV1,IF(10-VerifLag-1=Pipeline!$I18+2,1-RampV2,0))))</f>
        <v>0</v>
      </c>
      <c r="Q17" s="48" t="n">
        <f aca="false">SUM(G17:P17)</f>
        <v>100406.25</v>
      </c>
    </row>
    <row r="18" customFormat="false" ht="15" hidden="false" customHeight="false" outlineLevel="0" collapsed="false">
      <c r="A18" s="10" t="n">
        <v>13</v>
      </c>
      <c r="B18" s="46" t="str">
        <f aca="false">'Eligibility &amp; Scoring'!$B19</f>
        <v>Project M - Small pilot</v>
      </c>
      <c r="C18" s="28" t="n">
        <f aca="false">'Eligibility &amp; Scoring'!$AK19*'Eligibility &amp; Scoring'!$U19</f>
        <v>0</v>
      </c>
      <c r="D18" s="28" t="n">
        <f aca="false">'Eligibility &amp; Scoring'!$AK19-C18</f>
        <v>0</v>
      </c>
      <c r="E18" s="29" t="n">
        <f aca="false">IF(C18+D18=0,0,IFERROR(INDEX('Fund Parameters'!$B$74:$B$78,Pipeline!$H19),1))</f>
        <v>0</v>
      </c>
      <c r="F18" s="28" t="n">
        <f aca="false">C18*E18</f>
        <v>0</v>
      </c>
      <c r="G18" s="47" t="n">
        <f aca="false">$C18*$E18*(TrancheA*IF(1-VerifLag=Pipeline!$I19,RampV1,IF(1-VerifLag=Pipeline!$I19+1,RampV2-RampV1,IF(1-VerifLag=Pipeline!$I19+2,1-RampV2,0)))+(1-TrancheA)*IF(1-VerifLag-1=Pipeline!$I19,RampV1,IF(1-VerifLag-1=Pipeline!$I19+1,RampV2-RampV1,IF(1-VerifLag-1=Pipeline!$I19+2,1-RampV2,0))))</f>
        <v>0</v>
      </c>
      <c r="H18" s="47" t="n">
        <f aca="false">$C18*$E18*(TrancheA*IF(2-VerifLag=Pipeline!$I19,RampV1,IF(2-VerifLag=Pipeline!$I19+1,RampV2-RampV1,IF(2-VerifLag=Pipeline!$I19+2,1-RampV2,0)))+(1-TrancheA)*IF(2-VerifLag-1=Pipeline!$I19,RampV1,IF(2-VerifLag-1=Pipeline!$I19+1,RampV2-RampV1,IF(2-VerifLag-1=Pipeline!$I19+2,1-RampV2,0))))</f>
        <v>0</v>
      </c>
      <c r="I18" s="47" t="n">
        <f aca="false">$C18*$E18*(TrancheA*IF(3-VerifLag=Pipeline!$I19,RampV1,IF(3-VerifLag=Pipeline!$I19+1,RampV2-RampV1,IF(3-VerifLag=Pipeline!$I19+2,1-RampV2,0)))+(1-TrancheA)*IF(3-VerifLag-1=Pipeline!$I19,RampV1,IF(3-VerifLag-1=Pipeline!$I19+1,RampV2-RampV1,IF(3-VerifLag-1=Pipeline!$I19+2,1-RampV2,0))))</f>
        <v>0</v>
      </c>
      <c r="J18" s="47" t="n">
        <f aca="false">$C18*$E18*(TrancheA*IF(4-VerifLag=Pipeline!$I19,RampV1,IF(4-VerifLag=Pipeline!$I19+1,RampV2-RampV1,IF(4-VerifLag=Pipeline!$I19+2,1-RampV2,0)))+(1-TrancheA)*IF(4-VerifLag-1=Pipeline!$I19,RampV1,IF(4-VerifLag-1=Pipeline!$I19+1,RampV2-RampV1,IF(4-VerifLag-1=Pipeline!$I19+2,1-RampV2,0))))</f>
        <v>0</v>
      </c>
      <c r="K18" s="47" t="n">
        <f aca="false">$C18*$E18*(TrancheA*IF(5-VerifLag=Pipeline!$I19,RampV1,IF(5-VerifLag=Pipeline!$I19+1,RampV2-RampV1,IF(5-VerifLag=Pipeline!$I19+2,1-RampV2,0)))+(1-TrancheA)*IF(5-VerifLag-1=Pipeline!$I19,RampV1,IF(5-VerifLag-1=Pipeline!$I19+1,RampV2-RampV1,IF(5-VerifLag-1=Pipeline!$I19+2,1-RampV2,0))))</f>
        <v>0</v>
      </c>
      <c r="L18" s="47" t="n">
        <f aca="false">$C18*$E18*(TrancheA*IF(6-VerifLag=Pipeline!$I19,RampV1,IF(6-VerifLag=Pipeline!$I19+1,RampV2-RampV1,IF(6-VerifLag=Pipeline!$I19+2,1-RampV2,0)))+(1-TrancheA)*IF(6-VerifLag-1=Pipeline!$I19,RampV1,IF(6-VerifLag-1=Pipeline!$I19+1,RampV2-RampV1,IF(6-VerifLag-1=Pipeline!$I19+2,1-RampV2,0))))</f>
        <v>0</v>
      </c>
      <c r="M18" s="47" t="n">
        <f aca="false">$C18*$E18*(TrancheA*IF(7-VerifLag=Pipeline!$I19,RampV1,IF(7-VerifLag=Pipeline!$I19+1,RampV2-RampV1,IF(7-VerifLag=Pipeline!$I19+2,1-RampV2,0)))+(1-TrancheA)*IF(7-VerifLag-1=Pipeline!$I19,RampV1,IF(7-VerifLag-1=Pipeline!$I19+1,RampV2-RampV1,IF(7-VerifLag-1=Pipeline!$I19+2,1-RampV2,0))))</f>
        <v>0</v>
      </c>
      <c r="N18" s="47" t="n">
        <f aca="false">$C18*$E18*(TrancheA*IF(8-VerifLag=Pipeline!$I19,RampV1,IF(8-VerifLag=Pipeline!$I19+1,RampV2-RampV1,IF(8-VerifLag=Pipeline!$I19+2,1-RampV2,0)))+(1-TrancheA)*IF(8-VerifLag-1=Pipeline!$I19,RampV1,IF(8-VerifLag-1=Pipeline!$I19+1,RampV2-RampV1,IF(8-VerifLag-1=Pipeline!$I19+2,1-RampV2,0))))</f>
        <v>0</v>
      </c>
      <c r="O18" s="47" t="n">
        <f aca="false">$C18*$E18*(TrancheA*IF(9-VerifLag=Pipeline!$I19,RampV1,IF(9-VerifLag=Pipeline!$I19+1,RampV2-RampV1,IF(9-VerifLag=Pipeline!$I19+2,1-RampV2,0)))+(1-TrancheA)*IF(9-VerifLag-1=Pipeline!$I19,RampV1,IF(9-VerifLag-1=Pipeline!$I19+1,RampV2-RampV1,IF(9-VerifLag-1=Pipeline!$I19+2,1-RampV2,0))))</f>
        <v>0</v>
      </c>
      <c r="P18" s="47" t="n">
        <f aca="false">$C18*$E18*(TrancheA*IF(10-VerifLag=Pipeline!$I19,RampV1,IF(10-VerifLag=Pipeline!$I19+1,RampV2-RampV1,IF(10-VerifLag=Pipeline!$I19+2,1-RampV2,0)))+(1-TrancheA)*IF(10-VerifLag-1=Pipeline!$I19,RampV1,IF(10-VerifLag-1=Pipeline!$I19+1,RampV2-RampV1,IF(10-VerifLag-1=Pipeline!$I19+2,1-RampV2,0))))</f>
        <v>0</v>
      </c>
      <c r="Q18" s="48" t="n">
        <f aca="false">SUM(G18:P18)</f>
        <v>0</v>
      </c>
    </row>
    <row r="19" customFormat="false" ht="15" hidden="false" customHeight="false" outlineLevel="0" collapsed="false">
      <c r="A19" s="10" t="n">
        <v>14</v>
      </c>
      <c r="B19" s="46" t="str">
        <f aca="false">'Eligibility &amp; Scoring'!$B20</f>
        <v>Project N - Lakeside expansion</v>
      </c>
      <c r="C19" s="28" t="n">
        <f aca="false">'Eligibility &amp; Scoring'!$AK20*'Eligibility &amp; Scoring'!$U20</f>
        <v>36167.6217765043</v>
      </c>
      <c r="D19" s="28" t="n">
        <f aca="false">'Eligibility &amp; Scoring'!$AK20-C19</f>
        <v>91332.3782234957</v>
      </c>
      <c r="E19" s="29" t="n">
        <f aca="false">IF(C19+D19=0,0,IFERROR(INDEX('Fund Parameters'!$B$74:$B$78,Pipeline!$H20),1))</f>
        <v>0.95</v>
      </c>
      <c r="F19" s="28" t="n">
        <f aca="false">C19*E19</f>
        <v>34359.2406876791</v>
      </c>
      <c r="G19" s="47" t="n">
        <f aca="false">$C19*$E19*(TrancheA*IF(1-VerifLag=Pipeline!$I20,RampV1,IF(1-VerifLag=Pipeline!$I20+1,RampV2-RampV1,IF(1-VerifLag=Pipeline!$I20+2,1-RampV2,0)))+(1-TrancheA)*IF(1-VerifLag-1=Pipeline!$I20,RampV1,IF(1-VerifLag-1=Pipeline!$I20+1,RampV2-RampV1,IF(1-VerifLag-1=Pipeline!$I20+2,1-RampV2,0))))</f>
        <v>0</v>
      </c>
      <c r="H19" s="47" t="n">
        <f aca="false">$C19*$E19*(TrancheA*IF(2-VerifLag=Pipeline!$I20,RampV1,IF(2-VerifLag=Pipeline!$I20+1,RampV2-RampV1,IF(2-VerifLag=Pipeline!$I20+2,1-RampV2,0)))+(1-TrancheA)*IF(2-VerifLag-1=Pipeline!$I20,RampV1,IF(2-VerifLag-1=Pipeline!$I20+1,RampV2-RampV1,IF(2-VerifLag-1=Pipeline!$I20+2,1-RampV2,0))))</f>
        <v>14430.8810888252</v>
      </c>
      <c r="I19" s="47" t="n">
        <f aca="false">$C19*$E19*(TrancheA*IF(3-VerifLag=Pipeline!$I20,RampV1,IF(3-VerifLag=Pipeline!$I20+1,RampV2-RampV1,IF(3-VerifLag=Pipeline!$I20+2,1-RampV2,0)))+(1-TrancheA)*IF(3-VerifLag-1=Pipeline!$I20,RampV1,IF(3-VerifLag-1=Pipeline!$I20+1,RampV2-RampV1,IF(3-VerifLag-1=Pipeline!$I20+2,1-RampV2,0))))</f>
        <v>13400.1038681948</v>
      </c>
      <c r="J19" s="47" t="n">
        <f aca="false">$C19*$E19*(TrancheA*IF(4-VerifLag=Pipeline!$I20,RampV1,IF(4-VerifLag=Pipeline!$I20+1,RampV2-RampV1,IF(4-VerifLag=Pipeline!$I20+2,1-RampV2,0)))+(1-TrancheA)*IF(4-VerifLag-1=Pipeline!$I20,RampV1,IF(4-VerifLag-1=Pipeline!$I20+1,RampV2-RampV1,IF(4-VerifLag-1=Pipeline!$I20+2,1-RampV2,0))))</f>
        <v>5497.47851002865</v>
      </c>
      <c r="K19" s="47" t="n">
        <f aca="false">$C19*$E19*(TrancheA*IF(5-VerifLag=Pipeline!$I20,RampV1,IF(5-VerifLag=Pipeline!$I20+1,RampV2-RampV1,IF(5-VerifLag=Pipeline!$I20+2,1-RampV2,0)))+(1-TrancheA)*IF(5-VerifLag-1=Pipeline!$I20,RampV1,IF(5-VerifLag-1=Pipeline!$I20+1,RampV2-RampV1,IF(5-VerifLag-1=Pipeline!$I20+2,1-RampV2,0))))</f>
        <v>1030.77722063037</v>
      </c>
      <c r="L19" s="47" t="n">
        <f aca="false">$C19*$E19*(TrancheA*IF(6-VerifLag=Pipeline!$I20,RampV1,IF(6-VerifLag=Pipeline!$I20+1,RampV2-RampV1,IF(6-VerifLag=Pipeline!$I20+2,1-RampV2,0)))+(1-TrancheA)*IF(6-VerifLag-1=Pipeline!$I20,RampV1,IF(6-VerifLag-1=Pipeline!$I20+1,RampV2-RampV1,IF(6-VerifLag-1=Pipeline!$I20+2,1-RampV2,0))))</f>
        <v>0</v>
      </c>
      <c r="M19" s="47" t="n">
        <f aca="false">$C19*$E19*(TrancheA*IF(7-VerifLag=Pipeline!$I20,RampV1,IF(7-VerifLag=Pipeline!$I20+1,RampV2-RampV1,IF(7-VerifLag=Pipeline!$I20+2,1-RampV2,0)))+(1-TrancheA)*IF(7-VerifLag-1=Pipeline!$I20,RampV1,IF(7-VerifLag-1=Pipeline!$I20+1,RampV2-RampV1,IF(7-VerifLag-1=Pipeline!$I20+2,1-RampV2,0))))</f>
        <v>0</v>
      </c>
      <c r="N19" s="47" t="n">
        <f aca="false">$C19*$E19*(TrancheA*IF(8-VerifLag=Pipeline!$I20,RampV1,IF(8-VerifLag=Pipeline!$I20+1,RampV2-RampV1,IF(8-VerifLag=Pipeline!$I20+2,1-RampV2,0)))+(1-TrancheA)*IF(8-VerifLag-1=Pipeline!$I20,RampV1,IF(8-VerifLag-1=Pipeline!$I20+1,RampV2-RampV1,IF(8-VerifLag-1=Pipeline!$I20+2,1-RampV2,0))))</f>
        <v>0</v>
      </c>
      <c r="O19" s="47" t="n">
        <f aca="false">$C19*$E19*(TrancheA*IF(9-VerifLag=Pipeline!$I20,RampV1,IF(9-VerifLag=Pipeline!$I20+1,RampV2-RampV1,IF(9-VerifLag=Pipeline!$I20+2,1-RampV2,0)))+(1-TrancheA)*IF(9-VerifLag-1=Pipeline!$I20,RampV1,IF(9-VerifLag-1=Pipeline!$I20+1,RampV2-RampV1,IF(9-VerifLag-1=Pipeline!$I20+2,1-RampV2,0))))</f>
        <v>0</v>
      </c>
      <c r="P19" s="47" t="n">
        <f aca="false">$C19*$E19*(TrancheA*IF(10-VerifLag=Pipeline!$I20,RampV1,IF(10-VerifLag=Pipeline!$I20+1,RampV2-RampV1,IF(10-VerifLag=Pipeline!$I20+2,1-RampV2,0)))+(1-TrancheA)*IF(10-VerifLag-1=Pipeline!$I20,RampV1,IF(10-VerifLag-1=Pipeline!$I20+1,RampV2-RampV1,IF(10-VerifLag-1=Pipeline!$I20+2,1-RampV2,0))))</f>
        <v>0</v>
      </c>
      <c r="Q19" s="48" t="n">
        <f aca="false">SUM(G19:P19)</f>
        <v>34359.2406876791</v>
      </c>
    </row>
    <row r="20" customFormat="false" ht="15" hidden="false" customHeight="false" outlineLevel="0" collapsed="false">
      <c r="A20" s="10" t="n">
        <v>15</v>
      </c>
      <c r="B20" s="46" t="str">
        <f aca="false">'Eligibility &amp; Scoring'!$B21</f>
        <v/>
      </c>
      <c r="C20" s="28" t="n">
        <f aca="false">'Eligibility &amp; Scoring'!$AK21*'Eligibility &amp; Scoring'!$U21</f>
        <v>0</v>
      </c>
      <c r="D20" s="28" t="n">
        <f aca="false">'Eligibility &amp; Scoring'!$AK21-C20</f>
        <v>0</v>
      </c>
      <c r="E20" s="29" t="n">
        <f aca="false">IF(C20+D20=0,0,IFERROR(INDEX('Fund Parameters'!$B$74:$B$78,Pipeline!$H21),1))</f>
        <v>0</v>
      </c>
      <c r="F20" s="28" t="n">
        <f aca="false">C20*E20</f>
        <v>0</v>
      </c>
      <c r="G20" s="47" t="n">
        <f aca="false">$C20*$E20*(TrancheA*IF(1-VerifLag=Pipeline!$I21,RampV1,IF(1-VerifLag=Pipeline!$I21+1,RampV2-RampV1,IF(1-VerifLag=Pipeline!$I21+2,1-RampV2,0)))+(1-TrancheA)*IF(1-VerifLag-1=Pipeline!$I21,RampV1,IF(1-VerifLag-1=Pipeline!$I21+1,RampV2-RampV1,IF(1-VerifLag-1=Pipeline!$I21+2,1-RampV2,0))))</f>
        <v>0</v>
      </c>
      <c r="H20" s="47" t="n">
        <f aca="false">$C20*$E20*(TrancheA*IF(2-VerifLag=Pipeline!$I21,RampV1,IF(2-VerifLag=Pipeline!$I21+1,RampV2-RampV1,IF(2-VerifLag=Pipeline!$I21+2,1-RampV2,0)))+(1-TrancheA)*IF(2-VerifLag-1=Pipeline!$I21,RampV1,IF(2-VerifLag-1=Pipeline!$I21+1,RampV2-RampV1,IF(2-VerifLag-1=Pipeline!$I21+2,1-RampV2,0))))</f>
        <v>0</v>
      </c>
      <c r="I20" s="47" t="n">
        <f aca="false">$C20*$E20*(TrancheA*IF(3-VerifLag=Pipeline!$I21,RampV1,IF(3-VerifLag=Pipeline!$I21+1,RampV2-RampV1,IF(3-VerifLag=Pipeline!$I21+2,1-RampV2,0)))+(1-TrancheA)*IF(3-VerifLag-1=Pipeline!$I21,RampV1,IF(3-VerifLag-1=Pipeline!$I21+1,RampV2-RampV1,IF(3-VerifLag-1=Pipeline!$I21+2,1-RampV2,0))))</f>
        <v>0</v>
      </c>
      <c r="J20" s="47" t="n">
        <f aca="false">$C20*$E20*(TrancheA*IF(4-VerifLag=Pipeline!$I21,RampV1,IF(4-VerifLag=Pipeline!$I21+1,RampV2-RampV1,IF(4-VerifLag=Pipeline!$I21+2,1-RampV2,0)))+(1-TrancheA)*IF(4-VerifLag-1=Pipeline!$I21,RampV1,IF(4-VerifLag-1=Pipeline!$I21+1,RampV2-RampV1,IF(4-VerifLag-1=Pipeline!$I21+2,1-RampV2,0))))</f>
        <v>0</v>
      </c>
      <c r="K20" s="47" t="n">
        <f aca="false">$C20*$E20*(TrancheA*IF(5-VerifLag=Pipeline!$I21,RampV1,IF(5-VerifLag=Pipeline!$I21+1,RampV2-RampV1,IF(5-VerifLag=Pipeline!$I21+2,1-RampV2,0)))+(1-TrancheA)*IF(5-VerifLag-1=Pipeline!$I21,RampV1,IF(5-VerifLag-1=Pipeline!$I21+1,RampV2-RampV1,IF(5-VerifLag-1=Pipeline!$I21+2,1-RampV2,0))))</f>
        <v>0</v>
      </c>
      <c r="L20" s="47" t="n">
        <f aca="false">$C20*$E20*(TrancheA*IF(6-VerifLag=Pipeline!$I21,RampV1,IF(6-VerifLag=Pipeline!$I21+1,RampV2-RampV1,IF(6-VerifLag=Pipeline!$I21+2,1-RampV2,0)))+(1-TrancheA)*IF(6-VerifLag-1=Pipeline!$I21,RampV1,IF(6-VerifLag-1=Pipeline!$I21+1,RampV2-RampV1,IF(6-VerifLag-1=Pipeline!$I21+2,1-RampV2,0))))</f>
        <v>0</v>
      </c>
      <c r="M20" s="47" t="n">
        <f aca="false">$C20*$E20*(TrancheA*IF(7-VerifLag=Pipeline!$I21,RampV1,IF(7-VerifLag=Pipeline!$I21+1,RampV2-RampV1,IF(7-VerifLag=Pipeline!$I21+2,1-RampV2,0)))+(1-TrancheA)*IF(7-VerifLag-1=Pipeline!$I21,RampV1,IF(7-VerifLag-1=Pipeline!$I21+1,RampV2-RampV1,IF(7-VerifLag-1=Pipeline!$I21+2,1-RampV2,0))))</f>
        <v>0</v>
      </c>
      <c r="N20" s="47" t="n">
        <f aca="false">$C20*$E20*(TrancheA*IF(8-VerifLag=Pipeline!$I21,RampV1,IF(8-VerifLag=Pipeline!$I21+1,RampV2-RampV1,IF(8-VerifLag=Pipeline!$I21+2,1-RampV2,0)))+(1-TrancheA)*IF(8-VerifLag-1=Pipeline!$I21,RampV1,IF(8-VerifLag-1=Pipeline!$I21+1,RampV2-RampV1,IF(8-VerifLag-1=Pipeline!$I21+2,1-RampV2,0))))</f>
        <v>0</v>
      </c>
      <c r="O20" s="47" t="n">
        <f aca="false">$C20*$E20*(TrancheA*IF(9-VerifLag=Pipeline!$I21,RampV1,IF(9-VerifLag=Pipeline!$I21+1,RampV2-RampV1,IF(9-VerifLag=Pipeline!$I21+2,1-RampV2,0)))+(1-TrancheA)*IF(9-VerifLag-1=Pipeline!$I21,RampV1,IF(9-VerifLag-1=Pipeline!$I21+1,RampV2-RampV1,IF(9-VerifLag-1=Pipeline!$I21+2,1-RampV2,0))))</f>
        <v>0</v>
      </c>
      <c r="P20" s="47" t="n">
        <f aca="false">$C20*$E20*(TrancheA*IF(10-VerifLag=Pipeline!$I21,RampV1,IF(10-VerifLag=Pipeline!$I21+1,RampV2-RampV1,IF(10-VerifLag=Pipeline!$I21+2,1-RampV2,0)))+(1-TrancheA)*IF(10-VerifLag-1=Pipeline!$I21,RampV1,IF(10-VerifLag-1=Pipeline!$I21+1,RampV2-RampV1,IF(10-VerifLag-1=Pipeline!$I21+2,1-RampV2,0))))</f>
        <v>0</v>
      </c>
      <c r="Q20" s="48" t="n">
        <f aca="false">SUM(G20:P20)</f>
        <v>0</v>
      </c>
    </row>
    <row r="21" customFormat="false" ht="15" hidden="false" customHeight="false" outlineLevel="0" collapsed="false">
      <c r="A21" s="10" t="n">
        <v>16</v>
      </c>
      <c r="B21" s="46" t="str">
        <f aca="false">'Eligibility &amp; Scoring'!$B22</f>
        <v/>
      </c>
      <c r="C21" s="28" t="n">
        <f aca="false">'Eligibility &amp; Scoring'!$AK22*'Eligibility &amp; Scoring'!$U22</f>
        <v>0</v>
      </c>
      <c r="D21" s="28" t="n">
        <f aca="false">'Eligibility &amp; Scoring'!$AK22-C21</f>
        <v>0</v>
      </c>
      <c r="E21" s="29" t="n">
        <f aca="false">IF(C21+D21=0,0,IFERROR(INDEX('Fund Parameters'!$B$74:$B$78,Pipeline!$H22),1))</f>
        <v>0</v>
      </c>
      <c r="F21" s="28" t="n">
        <f aca="false">C21*E21</f>
        <v>0</v>
      </c>
      <c r="G21" s="47" t="n">
        <f aca="false">$C21*$E21*(TrancheA*IF(1-VerifLag=Pipeline!$I22,RampV1,IF(1-VerifLag=Pipeline!$I22+1,RampV2-RampV1,IF(1-VerifLag=Pipeline!$I22+2,1-RampV2,0)))+(1-TrancheA)*IF(1-VerifLag-1=Pipeline!$I22,RampV1,IF(1-VerifLag-1=Pipeline!$I22+1,RampV2-RampV1,IF(1-VerifLag-1=Pipeline!$I22+2,1-RampV2,0))))</f>
        <v>0</v>
      </c>
      <c r="H21" s="47" t="n">
        <f aca="false">$C21*$E21*(TrancheA*IF(2-VerifLag=Pipeline!$I22,RampV1,IF(2-VerifLag=Pipeline!$I22+1,RampV2-RampV1,IF(2-VerifLag=Pipeline!$I22+2,1-RampV2,0)))+(1-TrancheA)*IF(2-VerifLag-1=Pipeline!$I22,RampV1,IF(2-VerifLag-1=Pipeline!$I22+1,RampV2-RampV1,IF(2-VerifLag-1=Pipeline!$I22+2,1-RampV2,0))))</f>
        <v>0</v>
      </c>
      <c r="I21" s="47" t="n">
        <f aca="false">$C21*$E21*(TrancheA*IF(3-VerifLag=Pipeline!$I22,RampV1,IF(3-VerifLag=Pipeline!$I22+1,RampV2-RampV1,IF(3-VerifLag=Pipeline!$I22+2,1-RampV2,0)))+(1-TrancheA)*IF(3-VerifLag-1=Pipeline!$I22,RampV1,IF(3-VerifLag-1=Pipeline!$I22+1,RampV2-RampV1,IF(3-VerifLag-1=Pipeline!$I22+2,1-RampV2,0))))</f>
        <v>0</v>
      </c>
      <c r="J21" s="47" t="n">
        <f aca="false">$C21*$E21*(TrancheA*IF(4-VerifLag=Pipeline!$I22,RampV1,IF(4-VerifLag=Pipeline!$I22+1,RampV2-RampV1,IF(4-VerifLag=Pipeline!$I22+2,1-RampV2,0)))+(1-TrancheA)*IF(4-VerifLag-1=Pipeline!$I22,RampV1,IF(4-VerifLag-1=Pipeline!$I22+1,RampV2-RampV1,IF(4-VerifLag-1=Pipeline!$I22+2,1-RampV2,0))))</f>
        <v>0</v>
      </c>
      <c r="K21" s="47" t="n">
        <f aca="false">$C21*$E21*(TrancheA*IF(5-VerifLag=Pipeline!$I22,RampV1,IF(5-VerifLag=Pipeline!$I22+1,RampV2-RampV1,IF(5-VerifLag=Pipeline!$I22+2,1-RampV2,0)))+(1-TrancheA)*IF(5-VerifLag-1=Pipeline!$I22,RampV1,IF(5-VerifLag-1=Pipeline!$I22+1,RampV2-RampV1,IF(5-VerifLag-1=Pipeline!$I22+2,1-RampV2,0))))</f>
        <v>0</v>
      </c>
      <c r="L21" s="47" t="n">
        <f aca="false">$C21*$E21*(TrancheA*IF(6-VerifLag=Pipeline!$I22,RampV1,IF(6-VerifLag=Pipeline!$I22+1,RampV2-RampV1,IF(6-VerifLag=Pipeline!$I22+2,1-RampV2,0)))+(1-TrancheA)*IF(6-VerifLag-1=Pipeline!$I22,RampV1,IF(6-VerifLag-1=Pipeline!$I22+1,RampV2-RampV1,IF(6-VerifLag-1=Pipeline!$I22+2,1-RampV2,0))))</f>
        <v>0</v>
      </c>
      <c r="M21" s="47" t="n">
        <f aca="false">$C21*$E21*(TrancheA*IF(7-VerifLag=Pipeline!$I22,RampV1,IF(7-VerifLag=Pipeline!$I22+1,RampV2-RampV1,IF(7-VerifLag=Pipeline!$I22+2,1-RampV2,0)))+(1-TrancheA)*IF(7-VerifLag-1=Pipeline!$I22,RampV1,IF(7-VerifLag-1=Pipeline!$I22+1,RampV2-RampV1,IF(7-VerifLag-1=Pipeline!$I22+2,1-RampV2,0))))</f>
        <v>0</v>
      </c>
      <c r="N21" s="47" t="n">
        <f aca="false">$C21*$E21*(TrancheA*IF(8-VerifLag=Pipeline!$I22,RampV1,IF(8-VerifLag=Pipeline!$I22+1,RampV2-RampV1,IF(8-VerifLag=Pipeline!$I22+2,1-RampV2,0)))+(1-TrancheA)*IF(8-VerifLag-1=Pipeline!$I22,RampV1,IF(8-VerifLag-1=Pipeline!$I22+1,RampV2-RampV1,IF(8-VerifLag-1=Pipeline!$I22+2,1-RampV2,0))))</f>
        <v>0</v>
      </c>
      <c r="O21" s="47" t="n">
        <f aca="false">$C21*$E21*(TrancheA*IF(9-VerifLag=Pipeline!$I22,RampV1,IF(9-VerifLag=Pipeline!$I22+1,RampV2-RampV1,IF(9-VerifLag=Pipeline!$I22+2,1-RampV2,0)))+(1-TrancheA)*IF(9-VerifLag-1=Pipeline!$I22,RampV1,IF(9-VerifLag-1=Pipeline!$I22+1,RampV2-RampV1,IF(9-VerifLag-1=Pipeline!$I22+2,1-RampV2,0))))</f>
        <v>0</v>
      </c>
      <c r="P21" s="47" t="n">
        <f aca="false">$C21*$E21*(TrancheA*IF(10-VerifLag=Pipeline!$I22,RampV1,IF(10-VerifLag=Pipeline!$I22+1,RampV2-RampV1,IF(10-VerifLag=Pipeline!$I22+2,1-RampV2,0)))+(1-TrancheA)*IF(10-VerifLag-1=Pipeline!$I22,RampV1,IF(10-VerifLag-1=Pipeline!$I22+1,RampV2-RampV1,IF(10-VerifLag-1=Pipeline!$I22+2,1-RampV2,0))))</f>
        <v>0</v>
      </c>
      <c r="Q21" s="48" t="n">
        <f aca="false">SUM(G21:P21)</f>
        <v>0</v>
      </c>
    </row>
    <row r="22" customFormat="false" ht="15" hidden="false" customHeight="false" outlineLevel="0" collapsed="false">
      <c r="A22" s="10" t="n">
        <v>17</v>
      </c>
      <c r="B22" s="46" t="str">
        <f aca="false">'Eligibility &amp; Scoring'!$B23</f>
        <v/>
      </c>
      <c r="C22" s="28" t="n">
        <f aca="false">'Eligibility &amp; Scoring'!$AK23*'Eligibility &amp; Scoring'!$U23</f>
        <v>0</v>
      </c>
      <c r="D22" s="28" t="n">
        <f aca="false">'Eligibility &amp; Scoring'!$AK23-C22</f>
        <v>0</v>
      </c>
      <c r="E22" s="29" t="n">
        <f aca="false">IF(C22+D22=0,0,IFERROR(INDEX('Fund Parameters'!$B$74:$B$78,Pipeline!$H23),1))</f>
        <v>0</v>
      </c>
      <c r="F22" s="28" t="n">
        <f aca="false">C22*E22</f>
        <v>0</v>
      </c>
      <c r="G22" s="47" t="n">
        <f aca="false">$C22*$E22*(TrancheA*IF(1-VerifLag=Pipeline!$I23,RampV1,IF(1-VerifLag=Pipeline!$I23+1,RampV2-RampV1,IF(1-VerifLag=Pipeline!$I23+2,1-RampV2,0)))+(1-TrancheA)*IF(1-VerifLag-1=Pipeline!$I23,RampV1,IF(1-VerifLag-1=Pipeline!$I23+1,RampV2-RampV1,IF(1-VerifLag-1=Pipeline!$I23+2,1-RampV2,0))))</f>
        <v>0</v>
      </c>
      <c r="H22" s="47" t="n">
        <f aca="false">$C22*$E22*(TrancheA*IF(2-VerifLag=Pipeline!$I23,RampV1,IF(2-VerifLag=Pipeline!$I23+1,RampV2-RampV1,IF(2-VerifLag=Pipeline!$I23+2,1-RampV2,0)))+(1-TrancheA)*IF(2-VerifLag-1=Pipeline!$I23,RampV1,IF(2-VerifLag-1=Pipeline!$I23+1,RampV2-RampV1,IF(2-VerifLag-1=Pipeline!$I23+2,1-RampV2,0))))</f>
        <v>0</v>
      </c>
      <c r="I22" s="47" t="n">
        <f aca="false">$C22*$E22*(TrancheA*IF(3-VerifLag=Pipeline!$I23,RampV1,IF(3-VerifLag=Pipeline!$I23+1,RampV2-RampV1,IF(3-VerifLag=Pipeline!$I23+2,1-RampV2,0)))+(1-TrancheA)*IF(3-VerifLag-1=Pipeline!$I23,RampV1,IF(3-VerifLag-1=Pipeline!$I23+1,RampV2-RampV1,IF(3-VerifLag-1=Pipeline!$I23+2,1-RampV2,0))))</f>
        <v>0</v>
      </c>
      <c r="J22" s="47" t="n">
        <f aca="false">$C22*$E22*(TrancheA*IF(4-VerifLag=Pipeline!$I23,RampV1,IF(4-VerifLag=Pipeline!$I23+1,RampV2-RampV1,IF(4-VerifLag=Pipeline!$I23+2,1-RampV2,0)))+(1-TrancheA)*IF(4-VerifLag-1=Pipeline!$I23,RampV1,IF(4-VerifLag-1=Pipeline!$I23+1,RampV2-RampV1,IF(4-VerifLag-1=Pipeline!$I23+2,1-RampV2,0))))</f>
        <v>0</v>
      </c>
      <c r="K22" s="47" t="n">
        <f aca="false">$C22*$E22*(TrancheA*IF(5-VerifLag=Pipeline!$I23,RampV1,IF(5-VerifLag=Pipeline!$I23+1,RampV2-RampV1,IF(5-VerifLag=Pipeline!$I23+2,1-RampV2,0)))+(1-TrancheA)*IF(5-VerifLag-1=Pipeline!$I23,RampV1,IF(5-VerifLag-1=Pipeline!$I23+1,RampV2-RampV1,IF(5-VerifLag-1=Pipeline!$I23+2,1-RampV2,0))))</f>
        <v>0</v>
      </c>
      <c r="L22" s="47" t="n">
        <f aca="false">$C22*$E22*(TrancheA*IF(6-VerifLag=Pipeline!$I23,RampV1,IF(6-VerifLag=Pipeline!$I23+1,RampV2-RampV1,IF(6-VerifLag=Pipeline!$I23+2,1-RampV2,0)))+(1-TrancheA)*IF(6-VerifLag-1=Pipeline!$I23,RampV1,IF(6-VerifLag-1=Pipeline!$I23+1,RampV2-RampV1,IF(6-VerifLag-1=Pipeline!$I23+2,1-RampV2,0))))</f>
        <v>0</v>
      </c>
      <c r="M22" s="47" t="n">
        <f aca="false">$C22*$E22*(TrancheA*IF(7-VerifLag=Pipeline!$I23,RampV1,IF(7-VerifLag=Pipeline!$I23+1,RampV2-RampV1,IF(7-VerifLag=Pipeline!$I23+2,1-RampV2,0)))+(1-TrancheA)*IF(7-VerifLag-1=Pipeline!$I23,RampV1,IF(7-VerifLag-1=Pipeline!$I23+1,RampV2-RampV1,IF(7-VerifLag-1=Pipeline!$I23+2,1-RampV2,0))))</f>
        <v>0</v>
      </c>
      <c r="N22" s="47" t="n">
        <f aca="false">$C22*$E22*(TrancheA*IF(8-VerifLag=Pipeline!$I23,RampV1,IF(8-VerifLag=Pipeline!$I23+1,RampV2-RampV1,IF(8-VerifLag=Pipeline!$I23+2,1-RampV2,0)))+(1-TrancheA)*IF(8-VerifLag-1=Pipeline!$I23,RampV1,IF(8-VerifLag-1=Pipeline!$I23+1,RampV2-RampV1,IF(8-VerifLag-1=Pipeline!$I23+2,1-RampV2,0))))</f>
        <v>0</v>
      </c>
      <c r="O22" s="47" t="n">
        <f aca="false">$C22*$E22*(TrancheA*IF(9-VerifLag=Pipeline!$I23,RampV1,IF(9-VerifLag=Pipeline!$I23+1,RampV2-RampV1,IF(9-VerifLag=Pipeline!$I23+2,1-RampV2,0)))+(1-TrancheA)*IF(9-VerifLag-1=Pipeline!$I23,RampV1,IF(9-VerifLag-1=Pipeline!$I23+1,RampV2-RampV1,IF(9-VerifLag-1=Pipeline!$I23+2,1-RampV2,0))))</f>
        <v>0</v>
      </c>
      <c r="P22" s="47" t="n">
        <f aca="false">$C22*$E22*(TrancheA*IF(10-VerifLag=Pipeline!$I23,RampV1,IF(10-VerifLag=Pipeline!$I23+1,RampV2-RampV1,IF(10-VerifLag=Pipeline!$I23+2,1-RampV2,0)))+(1-TrancheA)*IF(10-VerifLag-1=Pipeline!$I23,RampV1,IF(10-VerifLag-1=Pipeline!$I23+1,RampV2-RampV1,IF(10-VerifLag-1=Pipeline!$I23+2,1-RampV2,0))))</f>
        <v>0</v>
      </c>
      <c r="Q22" s="48" t="n">
        <f aca="false">SUM(G22:P22)</f>
        <v>0</v>
      </c>
    </row>
    <row r="23" customFormat="false" ht="15" hidden="false" customHeight="false" outlineLevel="0" collapsed="false">
      <c r="A23" s="10" t="n">
        <v>18</v>
      </c>
      <c r="B23" s="46" t="str">
        <f aca="false">'Eligibility &amp; Scoring'!$B24</f>
        <v/>
      </c>
      <c r="C23" s="28" t="n">
        <f aca="false">'Eligibility &amp; Scoring'!$AK24*'Eligibility &amp; Scoring'!$U24</f>
        <v>0</v>
      </c>
      <c r="D23" s="28" t="n">
        <f aca="false">'Eligibility &amp; Scoring'!$AK24-C23</f>
        <v>0</v>
      </c>
      <c r="E23" s="29" t="n">
        <f aca="false">IF(C23+D23=0,0,IFERROR(INDEX('Fund Parameters'!$B$74:$B$78,Pipeline!$H24),1))</f>
        <v>0</v>
      </c>
      <c r="F23" s="28" t="n">
        <f aca="false">C23*E23</f>
        <v>0</v>
      </c>
      <c r="G23" s="47" t="n">
        <f aca="false">$C23*$E23*(TrancheA*IF(1-VerifLag=Pipeline!$I24,RampV1,IF(1-VerifLag=Pipeline!$I24+1,RampV2-RampV1,IF(1-VerifLag=Pipeline!$I24+2,1-RampV2,0)))+(1-TrancheA)*IF(1-VerifLag-1=Pipeline!$I24,RampV1,IF(1-VerifLag-1=Pipeline!$I24+1,RampV2-RampV1,IF(1-VerifLag-1=Pipeline!$I24+2,1-RampV2,0))))</f>
        <v>0</v>
      </c>
      <c r="H23" s="47" t="n">
        <f aca="false">$C23*$E23*(TrancheA*IF(2-VerifLag=Pipeline!$I24,RampV1,IF(2-VerifLag=Pipeline!$I24+1,RampV2-RampV1,IF(2-VerifLag=Pipeline!$I24+2,1-RampV2,0)))+(1-TrancheA)*IF(2-VerifLag-1=Pipeline!$I24,RampV1,IF(2-VerifLag-1=Pipeline!$I24+1,RampV2-RampV1,IF(2-VerifLag-1=Pipeline!$I24+2,1-RampV2,0))))</f>
        <v>0</v>
      </c>
      <c r="I23" s="47" t="n">
        <f aca="false">$C23*$E23*(TrancheA*IF(3-VerifLag=Pipeline!$I24,RampV1,IF(3-VerifLag=Pipeline!$I24+1,RampV2-RampV1,IF(3-VerifLag=Pipeline!$I24+2,1-RampV2,0)))+(1-TrancheA)*IF(3-VerifLag-1=Pipeline!$I24,RampV1,IF(3-VerifLag-1=Pipeline!$I24+1,RampV2-RampV1,IF(3-VerifLag-1=Pipeline!$I24+2,1-RampV2,0))))</f>
        <v>0</v>
      </c>
      <c r="J23" s="47" t="n">
        <f aca="false">$C23*$E23*(TrancheA*IF(4-VerifLag=Pipeline!$I24,RampV1,IF(4-VerifLag=Pipeline!$I24+1,RampV2-RampV1,IF(4-VerifLag=Pipeline!$I24+2,1-RampV2,0)))+(1-TrancheA)*IF(4-VerifLag-1=Pipeline!$I24,RampV1,IF(4-VerifLag-1=Pipeline!$I24+1,RampV2-RampV1,IF(4-VerifLag-1=Pipeline!$I24+2,1-RampV2,0))))</f>
        <v>0</v>
      </c>
      <c r="K23" s="47" t="n">
        <f aca="false">$C23*$E23*(TrancheA*IF(5-VerifLag=Pipeline!$I24,RampV1,IF(5-VerifLag=Pipeline!$I24+1,RampV2-RampV1,IF(5-VerifLag=Pipeline!$I24+2,1-RampV2,0)))+(1-TrancheA)*IF(5-VerifLag-1=Pipeline!$I24,RampV1,IF(5-VerifLag-1=Pipeline!$I24+1,RampV2-RampV1,IF(5-VerifLag-1=Pipeline!$I24+2,1-RampV2,0))))</f>
        <v>0</v>
      </c>
      <c r="L23" s="47" t="n">
        <f aca="false">$C23*$E23*(TrancheA*IF(6-VerifLag=Pipeline!$I24,RampV1,IF(6-VerifLag=Pipeline!$I24+1,RampV2-RampV1,IF(6-VerifLag=Pipeline!$I24+2,1-RampV2,0)))+(1-TrancheA)*IF(6-VerifLag-1=Pipeline!$I24,RampV1,IF(6-VerifLag-1=Pipeline!$I24+1,RampV2-RampV1,IF(6-VerifLag-1=Pipeline!$I24+2,1-RampV2,0))))</f>
        <v>0</v>
      </c>
      <c r="M23" s="47" t="n">
        <f aca="false">$C23*$E23*(TrancheA*IF(7-VerifLag=Pipeline!$I24,RampV1,IF(7-VerifLag=Pipeline!$I24+1,RampV2-RampV1,IF(7-VerifLag=Pipeline!$I24+2,1-RampV2,0)))+(1-TrancheA)*IF(7-VerifLag-1=Pipeline!$I24,RampV1,IF(7-VerifLag-1=Pipeline!$I24+1,RampV2-RampV1,IF(7-VerifLag-1=Pipeline!$I24+2,1-RampV2,0))))</f>
        <v>0</v>
      </c>
      <c r="N23" s="47" t="n">
        <f aca="false">$C23*$E23*(TrancheA*IF(8-VerifLag=Pipeline!$I24,RampV1,IF(8-VerifLag=Pipeline!$I24+1,RampV2-RampV1,IF(8-VerifLag=Pipeline!$I24+2,1-RampV2,0)))+(1-TrancheA)*IF(8-VerifLag-1=Pipeline!$I24,RampV1,IF(8-VerifLag-1=Pipeline!$I24+1,RampV2-RampV1,IF(8-VerifLag-1=Pipeline!$I24+2,1-RampV2,0))))</f>
        <v>0</v>
      </c>
      <c r="O23" s="47" t="n">
        <f aca="false">$C23*$E23*(TrancheA*IF(9-VerifLag=Pipeline!$I24,RampV1,IF(9-VerifLag=Pipeline!$I24+1,RampV2-RampV1,IF(9-VerifLag=Pipeline!$I24+2,1-RampV2,0)))+(1-TrancheA)*IF(9-VerifLag-1=Pipeline!$I24,RampV1,IF(9-VerifLag-1=Pipeline!$I24+1,RampV2-RampV1,IF(9-VerifLag-1=Pipeline!$I24+2,1-RampV2,0))))</f>
        <v>0</v>
      </c>
      <c r="P23" s="47" t="n">
        <f aca="false">$C23*$E23*(TrancheA*IF(10-VerifLag=Pipeline!$I24,RampV1,IF(10-VerifLag=Pipeline!$I24+1,RampV2-RampV1,IF(10-VerifLag=Pipeline!$I24+2,1-RampV2,0)))+(1-TrancheA)*IF(10-VerifLag-1=Pipeline!$I24,RampV1,IF(10-VerifLag-1=Pipeline!$I24+1,RampV2-RampV1,IF(10-VerifLag-1=Pipeline!$I24+2,1-RampV2,0))))</f>
        <v>0</v>
      </c>
      <c r="Q23" s="48" t="n">
        <f aca="false">SUM(G23:P23)</f>
        <v>0</v>
      </c>
    </row>
    <row r="24" customFormat="false" ht="15" hidden="false" customHeight="false" outlineLevel="0" collapsed="false">
      <c r="A24" s="10" t="n">
        <v>19</v>
      </c>
      <c r="B24" s="46" t="str">
        <f aca="false">'Eligibility &amp; Scoring'!$B25</f>
        <v/>
      </c>
      <c r="C24" s="28" t="n">
        <f aca="false">'Eligibility &amp; Scoring'!$AK25*'Eligibility &amp; Scoring'!$U25</f>
        <v>0</v>
      </c>
      <c r="D24" s="28" t="n">
        <f aca="false">'Eligibility &amp; Scoring'!$AK25-C24</f>
        <v>0</v>
      </c>
      <c r="E24" s="29" t="n">
        <f aca="false">IF(C24+D24=0,0,IFERROR(INDEX('Fund Parameters'!$B$74:$B$78,Pipeline!$H25),1))</f>
        <v>0</v>
      </c>
      <c r="F24" s="28" t="n">
        <f aca="false">C24*E24</f>
        <v>0</v>
      </c>
      <c r="G24" s="47" t="n">
        <f aca="false">$C24*$E24*(TrancheA*IF(1-VerifLag=Pipeline!$I25,RampV1,IF(1-VerifLag=Pipeline!$I25+1,RampV2-RampV1,IF(1-VerifLag=Pipeline!$I25+2,1-RampV2,0)))+(1-TrancheA)*IF(1-VerifLag-1=Pipeline!$I25,RampV1,IF(1-VerifLag-1=Pipeline!$I25+1,RampV2-RampV1,IF(1-VerifLag-1=Pipeline!$I25+2,1-RampV2,0))))</f>
        <v>0</v>
      </c>
      <c r="H24" s="47" t="n">
        <f aca="false">$C24*$E24*(TrancheA*IF(2-VerifLag=Pipeline!$I25,RampV1,IF(2-VerifLag=Pipeline!$I25+1,RampV2-RampV1,IF(2-VerifLag=Pipeline!$I25+2,1-RampV2,0)))+(1-TrancheA)*IF(2-VerifLag-1=Pipeline!$I25,RampV1,IF(2-VerifLag-1=Pipeline!$I25+1,RampV2-RampV1,IF(2-VerifLag-1=Pipeline!$I25+2,1-RampV2,0))))</f>
        <v>0</v>
      </c>
      <c r="I24" s="47" t="n">
        <f aca="false">$C24*$E24*(TrancheA*IF(3-VerifLag=Pipeline!$I25,RampV1,IF(3-VerifLag=Pipeline!$I25+1,RampV2-RampV1,IF(3-VerifLag=Pipeline!$I25+2,1-RampV2,0)))+(1-TrancheA)*IF(3-VerifLag-1=Pipeline!$I25,RampV1,IF(3-VerifLag-1=Pipeline!$I25+1,RampV2-RampV1,IF(3-VerifLag-1=Pipeline!$I25+2,1-RampV2,0))))</f>
        <v>0</v>
      </c>
      <c r="J24" s="47" t="n">
        <f aca="false">$C24*$E24*(TrancheA*IF(4-VerifLag=Pipeline!$I25,RampV1,IF(4-VerifLag=Pipeline!$I25+1,RampV2-RampV1,IF(4-VerifLag=Pipeline!$I25+2,1-RampV2,0)))+(1-TrancheA)*IF(4-VerifLag-1=Pipeline!$I25,RampV1,IF(4-VerifLag-1=Pipeline!$I25+1,RampV2-RampV1,IF(4-VerifLag-1=Pipeline!$I25+2,1-RampV2,0))))</f>
        <v>0</v>
      </c>
      <c r="K24" s="47" t="n">
        <f aca="false">$C24*$E24*(TrancheA*IF(5-VerifLag=Pipeline!$I25,RampV1,IF(5-VerifLag=Pipeline!$I25+1,RampV2-RampV1,IF(5-VerifLag=Pipeline!$I25+2,1-RampV2,0)))+(1-TrancheA)*IF(5-VerifLag-1=Pipeline!$I25,RampV1,IF(5-VerifLag-1=Pipeline!$I25+1,RampV2-RampV1,IF(5-VerifLag-1=Pipeline!$I25+2,1-RampV2,0))))</f>
        <v>0</v>
      </c>
      <c r="L24" s="47" t="n">
        <f aca="false">$C24*$E24*(TrancheA*IF(6-VerifLag=Pipeline!$I25,RampV1,IF(6-VerifLag=Pipeline!$I25+1,RampV2-RampV1,IF(6-VerifLag=Pipeline!$I25+2,1-RampV2,0)))+(1-TrancheA)*IF(6-VerifLag-1=Pipeline!$I25,RampV1,IF(6-VerifLag-1=Pipeline!$I25+1,RampV2-RampV1,IF(6-VerifLag-1=Pipeline!$I25+2,1-RampV2,0))))</f>
        <v>0</v>
      </c>
      <c r="M24" s="47" t="n">
        <f aca="false">$C24*$E24*(TrancheA*IF(7-VerifLag=Pipeline!$I25,RampV1,IF(7-VerifLag=Pipeline!$I25+1,RampV2-RampV1,IF(7-VerifLag=Pipeline!$I25+2,1-RampV2,0)))+(1-TrancheA)*IF(7-VerifLag-1=Pipeline!$I25,RampV1,IF(7-VerifLag-1=Pipeline!$I25+1,RampV2-RampV1,IF(7-VerifLag-1=Pipeline!$I25+2,1-RampV2,0))))</f>
        <v>0</v>
      </c>
      <c r="N24" s="47" t="n">
        <f aca="false">$C24*$E24*(TrancheA*IF(8-VerifLag=Pipeline!$I25,RampV1,IF(8-VerifLag=Pipeline!$I25+1,RampV2-RampV1,IF(8-VerifLag=Pipeline!$I25+2,1-RampV2,0)))+(1-TrancheA)*IF(8-VerifLag-1=Pipeline!$I25,RampV1,IF(8-VerifLag-1=Pipeline!$I25+1,RampV2-RampV1,IF(8-VerifLag-1=Pipeline!$I25+2,1-RampV2,0))))</f>
        <v>0</v>
      </c>
      <c r="O24" s="47" t="n">
        <f aca="false">$C24*$E24*(TrancheA*IF(9-VerifLag=Pipeline!$I25,RampV1,IF(9-VerifLag=Pipeline!$I25+1,RampV2-RampV1,IF(9-VerifLag=Pipeline!$I25+2,1-RampV2,0)))+(1-TrancheA)*IF(9-VerifLag-1=Pipeline!$I25,RampV1,IF(9-VerifLag-1=Pipeline!$I25+1,RampV2-RampV1,IF(9-VerifLag-1=Pipeline!$I25+2,1-RampV2,0))))</f>
        <v>0</v>
      </c>
      <c r="P24" s="47" t="n">
        <f aca="false">$C24*$E24*(TrancheA*IF(10-VerifLag=Pipeline!$I25,RampV1,IF(10-VerifLag=Pipeline!$I25+1,RampV2-RampV1,IF(10-VerifLag=Pipeline!$I25+2,1-RampV2,0)))+(1-TrancheA)*IF(10-VerifLag-1=Pipeline!$I25,RampV1,IF(10-VerifLag-1=Pipeline!$I25+1,RampV2-RampV1,IF(10-VerifLag-1=Pipeline!$I25+2,1-RampV2,0))))</f>
        <v>0</v>
      </c>
      <c r="Q24" s="48" t="n">
        <f aca="false">SUM(G24:P24)</f>
        <v>0</v>
      </c>
    </row>
    <row r="25" customFormat="false" ht="15" hidden="false" customHeight="false" outlineLevel="0" collapsed="false">
      <c r="A25" s="10" t="n">
        <v>20</v>
      </c>
      <c r="B25" s="46" t="str">
        <f aca="false">'Eligibility &amp; Scoring'!$B26</f>
        <v/>
      </c>
      <c r="C25" s="28" t="n">
        <f aca="false">'Eligibility &amp; Scoring'!$AK26*'Eligibility &amp; Scoring'!$U26</f>
        <v>0</v>
      </c>
      <c r="D25" s="28" t="n">
        <f aca="false">'Eligibility &amp; Scoring'!$AK26-C25</f>
        <v>0</v>
      </c>
      <c r="E25" s="29" t="n">
        <f aca="false">IF(C25+D25=0,0,IFERROR(INDEX('Fund Parameters'!$B$74:$B$78,Pipeline!$H26),1))</f>
        <v>0</v>
      </c>
      <c r="F25" s="28" t="n">
        <f aca="false">C25*E25</f>
        <v>0</v>
      </c>
      <c r="G25" s="47" t="n">
        <f aca="false">$C25*$E25*(TrancheA*IF(1-VerifLag=Pipeline!$I26,RampV1,IF(1-VerifLag=Pipeline!$I26+1,RampV2-RampV1,IF(1-VerifLag=Pipeline!$I26+2,1-RampV2,0)))+(1-TrancheA)*IF(1-VerifLag-1=Pipeline!$I26,RampV1,IF(1-VerifLag-1=Pipeline!$I26+1,RampV2-RampV1,IF(1-VerifLag-1=Pipeline!$I26+2,1-RampV2,0))))</f>
        <v>0</v>
      </c>
      <c r="H25" s="47" t="n">
        <f aca="false">$C25*$E25*(TrancheA*IF(2-VerifLag=Pipeline!$I26,RampV1,IF(2-VerifLag=Pipeline!$I26+1,RampV2-RampV1,IF(2-VerifLag=Pipeline!$I26+2,1-RampV2,0)))+(1-TrancheA)*IF(2-VerifLag-1=Pipeline!$I26,RampV1,IF(2-VerifLag-1=Pipeline!$I26+1,RampV2-RampV1,IF(2-VerifLag-1=Pipeline!$I26+2,1-RampV2,0))))</f>
        <v>0</v>
      </c>
      <c r="I25" s="47" t="n">
        <f aca="false">$C25*$E25*(TrancheA*IF(3-VerifLag=Pipeline!$I26,RampV1,IF(3-VerifLag=Pipeline!$I26+1,RampV2-RampV1,IF(3-VerifLag=Pipeline!$I26+2,1-RampV2,0)))+(1-TrancheA)*IF(3-VerifLag-1=Pipeline!$I26,RampV1,IF(3-VerifLag-1=Pipeline!$I26+1,RampV2-RampV1,IF(3-VerifLag-1=Pipeline!$I26+2,1-RampV2,0))))</f>
        <v>0</v>
      </c>
      <c r="J25" s="47" t="n">
        <f aca="false">$C25*$E25*(TrancheA*IF(4-VerifLag=Pipeline!$I26,RampV1,IF(4-VerifLag=Pipeline!$I26+1,RampV2-RampV1,IF(4-VerifLag=Pipeline!$I26+2,1-RampV2,0)))+(1-TrancheA)*IF(4-VerifLag-1=Pipeline!$I26,RampV1,IF(4-VerifLag-1=Pipeline!$I26+1,RampV2-RampV1,IF(4-VerifLag-1=Pipeline!$I26+2,1-RampV2,0))))</f>
        <v>0</v>
      </c>
      <c r="K25" s="47" t="n">
        <f aca="false">$C25*$E25*(TrancheA*IF(5-VerifLag=Pipeline!$I26,RampV1,IF(5-VerifLag=Pipeline!$I26+1,RampV2-RampV1,IF(5-VerifLag=Pipeline!$I26+2,1-RampV2,0)))+(1-TrancheA)*IF(5-VerifLag-1=Pipeline!$I26,RampV1,IF(5-VerifLag-1=Pipeline!$I26+1,RampV2-RampV1,IF(5-VerifLag-1=Pipeline!$I26+2,1-RampV2,0))))</f>
        <v>0</v>
      </c>
      <c r="L25" s="47" t="n">
        <f aca="false">$C25*$E25*(TrancheA*IF(6-VerifLag=Pipeline!$I26,RampV1,IF(6-VerifLag=Pipeline!$I26+1,RampV2-RampV1,IF(6-VerifLag=Pipeline!$I26+2,1-RampV2,0)))+(1-TrancheA)*IF(6-VerifLag-1=Pipeline!$I26,RampV1,IF(6-VerifLag-1=Pipeline!$I26+1,RampV2-RampV1,IF(6-VerifLag-1=Pipeline!$I26+2,1-RampV2,0))))</f>
        <v>0</v>
      </c>
      <c r="M25" s="47" t="n">
        <f aca="false">$C25*$E25*(TrancheA*IF(7-VerifLag=Pipeline!$I26,RampV1,IF(7-VerifLag=Pipeline!$I26+1,RampV2-RampV1,IF(7-VerifLag=Pipeline!$I26+2,1-RampV2,0)))+(1-TrancheA)*IF(7-VerifLag-1=Pipeline!$I26,RampV1,IF(7-VerifLag-1=Pipeline!$I26+1,RampV2-RampV1,IF(7-VerifLag-1=Pipeline!$I26+2,1-RampV2,0))))</f>
        <v>0</v>
      </c>
      <c r="N25" s="47" t="n">
        <f aca="false">$C25*$E25*(TrancheA*IF(8-VerifLag=Pipeline!$I26,RampV1,IF(8-VerifLag=Pipeline!$I26+1,RampV2-RampV1,IF(8-VerifLag=Pipeline!$I26+2,1-RampV2,0)))+(1-TrancheA)*IF(8-VerifLag-1=Pipeline!$I26,RampV1,IF(8-VerifLag-1=Pipeline!$I26+1,RampV2-RampV1,IF(8-VerifLag-1=Pipeline!$I26+2,1-RampV2,0))))</f>
        <v>0</v>
      </c>
      <c r="O25" s="47" t="n">
        <f aca="false">$C25*$E25*(TrancheA*IF(9-VerifLag=Pipeline!$I26,RampV1,IF(9-VerifLag=Pipeline!$I26+1,RampV2-RampV1,IF(9-VerifLag=Pipeline!$I26+2,1-RampV2,0)))+(1-TrancheA)*IF(9-VerifLag-1=Pipeline!$I26,RampV1,IF(9-VerifLag-1=Pipeline!$I26+1,RampV2-RampV1,IF(9-VerifLag-1=Pipeline!$I26+2,1-RampV2,0))))</f>
        <v>0</v>
      </c>
      <c r="P25" s="47" t="n">
        <f aca="false">$C25*$E25*(TrancheA*IF(10-VerifLag=Pipeline!$I26,RampV1,IF(10-VerifLag=Pipeline!$I26+1,RampV2-RampV1,IF(10-VerifLag=Pipeline!$I26+2,1-RampV2,0)))+(1-TrancheA)*IF(10-VerifLag-1=Pipeline!$I26,RampV1,IF(10-VerifLag-1=Pipeline!$I26+1,RampV2-RampV1,IF(10-VerifLag-1=Pipeline!$I26+2,1-RampV2,0))))</f>
        <v>0</v>
      </c>
      <c r="Q25" s="48" t="n">
        <f aca="false">SUM(G25:P25)</f>
        <v>0</v>
      </c>
    </row>
    <row r="26" customFormat="false" ht="15" hidden="false" customHeight="false" outlineLevel="0" collapsed="false">
      <c r="A26" s="10" t="n">
        <v>21</v>
      </c>
      <c r="B26" s="46" t="str">
        <f aca="false">'Eligibility &amp; Scoring'!$B27</f>
        <v/>
      </c>
      <c r="C26" s="28" t="n">
        <f aca="false">'Eligibility &amp; Scoring'!$AK27*'Eligibility &amp; Scoring'!$U27</f>
        <v>0</v>
      </c>
      <c r="D26" s="28" t="n">
        <f aca="false">'Eligibility &amp; Scoring'!$AK27-C26</f>
        <v>0</v>
      </c>
      <c r="E26" s="29" t="n">
        <f aca="false">IF(C26+D26=0,0,IFERROR(INDEX('Fund Parameters'!$B$74:$B$78,Pipeline!$H27),1))</f>
        <v>0</v>
      </c>
      <c r="F26" s="28" t="n">
        <f aca="false">C26*E26</f>
        <v>0</v>
      </c>
      <c r="G26" s="47" t="n">
        <f aca="false">$C26*$E26*(TrancheA*IF(1-VerifLag=Pipeline!$I27,RampV1,IF(1-VerifLag=Pipeline!$I27+1,RampV2-RampV1,IF(1-VerifLag=Pipeline!$I27+2,1-RampV2,0)))+(1-TrancheA)*IF(1-VerifLag-1=Pipeline!$I27,RampV1,IF(1-VerifLag-1=Pipeline!$I27+1,RampV2-RampV1,IF(1-VerifLag-1=Pipeline!$I27+2,1-RampV2,0))))</f>
        <v>0</v>
      </c>
      <c r="H26" s="47" t="n">
        <f aca="false">$C26*$E26*(TrancheA*IF(2-VerifLag=Pipeline!$I27,RampV1,IF(2-VerifLag=Pipeline!$I27+1,RampV2-RampV1,IF(2-VerifLag=Pipeline!$I27+2,1-RampV2,0)))+(1-TrancheA)*IF(2-VerifLag-1=Pipeline!$I27,RampV1,IF(2-VerifLag-1=Pipeline!$I27+1,RampV2-RampV1,IF(2-VerifLag-1=Pipeline!$I27+2,1-RampV2,0))))</f>
        <v>0</v>
      </c>
      <c r="I26" s="47" t="n">
        <f aca="false">$C26*$E26*(TrancheA*IF(3-VerifLag=Pipeline!$I27,RampV1,IF(3-VerifLag=Pipeline!$I27+1,RampV2-RampV1,IF(3-VerifLag=Pipeline!$I27+2,1-RampV2,0)))+(1-TrancheA)*IF(3-VerifLag-1=Pipeline!$I27,RampV1,IF(3-VerifLag-1=Pipeline!$I27+1,RampV2-RampV1,IF(3-VerifLag-1=Pipeline!$I27+2,1-RampV2,0))))</f>
        <v>0</v>
      </c>
      <c r="J26" s="47" t="n">
        <f aca="false">$C26*$E26*(TrancheA*IF(4-VerifLag=Pipeline!$I27,RampV1,IF(4-VerifLag=Pipeline!$I27+1,RampV2-RampV1,IF(4-VerifLag=Pipeline!$I27+2,1-RampV2,0)))+(1-TrancheA)*IF(4-VerifLag-1=Pipeline!$I27,RampV1,IF(4-VerifLag-1=Pipeline!$I27+1,RampV2-RampV1,IF(4-VerifLag-1=Pipeline!$I27+2,1-RampV2,0))))</f>
        <v>0</v>
      </c>
      <c r="K26" s="47" t="n">
        <f aca="false">$C26*$E26*(TrancheA*IF(5-VerifLag=Pipeline!$I27,RampV1,IF(5-VerifLag=Pipeline!$I27+1,RampV2-RampV1,IF(5-VerifLag=Pipeline!$I27+2,1-RampV2,0)))+(1-TrancheA)*IF(5-VerifLag-1=Pipeline!$I27,RampV1,IF(5-VerifLag-1=Pipeline!$I27+1,RampV2-RampV1,IF(5-VerifLag-1=Pipeline!$I27+2,1-RampV2,0))))</f>
        <v>0</v>
      </c>
      <c r="L26" s="47" t="n">
        <f aca="false">$C26*$E26*(TrancheA*IF(6-VerifLag=Pipeline!$I27,RampV1,IF(6-VerifLag=Pipeline!$I27+1,RampV2-RampV1,IF(6-VerifLag=Pipeline!$I27+2,1-RampV2,0)))+(1-TrancheA)*IF(6-VerifLag-1=Pipeline!$I27,RampV1,IF(6-VerifLag-1=Pipeline!$I27+1,RampV2-RampV1,IF(6-VerifLag-1=Pipeline!$I27+2,1-RampV2,0))))</f>
        <v>0</v>
      </c>
      <c r="M26" s="47" t="n">
        <f aca="false">$C26*$E26*(TrancheA*IF(7-VerifLag=Pipeline!$I27,RampV1,IF(7-VerifLag=Pipeline!$I27+1,RampV2-RampV1,IF(7-VerifLag=Pipeline!$I27+2,1-RampV2,0)))+(1-TrancheA)*IF(7-VerifLag-1=Pipeline!$I27,RampV1,IF(7-VerifLag-1=Pipeline!$I27+1,RampV2-RampV1,IF(7-VerifLag-1=Pipeline!$I27+2,1-RampV2,0))))</f>
        <v>0</v>
      </c>
      <c r="N26" s="47" t="n">
        <f aca="false">$C26*$E26*(TrancheA*IF(8-VerifLag=Pipeline!$I27,RampV1,IF(8-VerifLag=Pipeline!$I27+1,RampV2-RampV1,IF(8-VerifLag=Pipeline!$I27+2,1-RampV2,0)))+(1-TrancheA)*IF(8-VerifLag-1=Pipeline!$I27,RampV1,IF(8-VerifLag-1=Pipeline!$I27+1,RampV2-RampV1,IF(8-VerifLag-1=Pipeline!$I27+2,1-RampV2,0))))</f>
        <v>0</v>
      </c>
      <c r="O26" s="47" t="n">
        <f aca="false">$C26*$E26*(TrancheA*IF(9-VerifLag=Pipeline!$I27,RampV1,IF(9-VerifLag=Pipeline!$I27+1,RampV2-RampV1,IF(9-VerifLag=Pipeline!$I27+2,1-RampV2,0)))+(1-TrancheA)*IF(9-VerifLag-1=Pipeline!$I27,RampV1,IF(9-VerifLag-1=Pipeline!$I27+1,RampV2-RampV1,IF(9-VerifLag-1=Pipeline!$I27+2,1-RampV2,0))))</f>
        <v>0</v>
      </c>
      <c r="P26" s="47" t="n">
        <f aca="false">$C26*$E26*(TrancheA*IF(10-VerifLag=Pipeline!$I27,RampV1,IF(10-VerifLag=Pipeline!$I27+1,RampV2-RampV1,IF(10-VerifLag=Pipeline!$I27+2,1-RampV2,0)))+(1-TrancheA)*IF(10-VerifLag-1=Pipeline!$I27,RampV1,IF(10-VerifLag-1=Pipeline!$I27+1,RampV2-RampV1,IF(10-VerifLag-1=Pipeline!$I27+2,1-RampV2,0))))</f>
        <v>0</v>
      </c>
      <c r="Q26" s="48" t="n">
        <f aca="false">SUM(G26:P26)</f>
        <v>0</v>
      </c>
    </row>
    <row r="27" customFormat="false" ht="15" hidden="false" customHeight="false" outlineLevel="0" collapsed="false">
      <c r="A27" s="10" t="n">
        <v>22</v>
      </c>
      <c r="B27" s="46" t="str">
        <f aca="false">'Eligibility &amp; Scoring'!$B28</f>
        <v/>
      </c>
      <c r="C27" s="28" t="n">
        <f aca="false">'Eligibility &amp; Scoring'!$AK28*'Eligibility &amp; Scoring'!$U28</f>
        <v>0</v>
      </c>
      <c r="D27" s="28" t="n">
        <f aca="false">'Eligibility &amp; Scoring'!$AK28-C27</f>
        <v>0</v>
      </c>
      <c r="E27" s="29" t="n">
        <f aca="false">IF(C27+D27=0,0,IFERROR(INDEX('Fund Parameters'!$B$74:$B$78,Pipeline!$H28),1))</f>
        <v>0</v>
      </c>
      <c r="F27" s="28" t="n">
        <f aca="false">C27*E27</f>
        <v>0</v>
      </c>
      <c r="G27" s="47" t="n">
        <f aca="false">$C27*$E27*(TrancheA*IF(1-VerifLag=Pipeline!$I28,RampV1,IF(1-VerifLag=Pipeline!$I28+1,RampV2-RampV1,IF(1-VerifLag=Pipeline!$I28+2,1-RampV2,0)))+(1-TrancheA)*IF(1-VerifLag-1=Pipeline!$I28,RampV1,IF(1-VerifLag-1=Pipeline!$I28+1,RampV2-RampV1,IF(1-VerifLag-1=Pipeline!$I28+2,1-RampV2,0))))</f>
        <v>0</v>
      </c>
      <c r="H27" s="47" t="n">
        <f aca="false">$C27*$E27*(TrancheA*IF(2-VerifLag=Pipeline!$I28,RampV1,IF(2-VerifLag=Pipeline!$I28+1,RampV2-RampV1,IF(2-VerifLag=Pipeline!$I28+2,1-RampV2,0)))+(1-TrancheA)*IF(2-VerifLag-1=Pipeline!$I28,RampV1,IF(2-VerifLag-1=Pipeline!$I28+1,RampV2-RampV1,IF(2-VerifLag-1=Pipeline!$I28+2,1-RampV2,0))))</f>
        <v>0</v>
      </c>
      <c r="I27" s="47" t="n">
        <f aca="false">$C27*$E27*(TrancheA*IF(3-VerifLag=Pipeline!$I28,RampV1,IF(3-VerifLag=Pipeline!$I28+1,RampV2-RampV1,IF(3-VerifLag=Pipeline!$I28+2,1-RampV2,0)))+(1-TrancheA)*IF(3-VerifLag-1=Pipeline!$I28,RampV1,IF(3-VerifLag-1=Pipeline!$I28+1,RampV2-RampV1,IF(3-VerifLag-1=Pipeline!$I28+2,1-RampV2,0))))</f>
        <v>0</v>
      </c>
      <c r="J27" s="47" t="n">
        <f aca="false">$C27*$E27*(TrancheA*IF(4-VerifLag=Pipeline!$I28,RampV1,IF(4-VerifLag=Pipeline!$I28+1,RampV2-RampV1,IF(4-VerifLag=Pipeline!$I28+2,1-RampV2,0)))+(1-TrancheA)*IF(4-VerifLag-1=Pipeline!$I28,RampV1,IF(4-VerifLag-1=Pipeline!$I28+1,RampV2-RampV1,IF(4-VerifLag-1=Pipeline!$I28+2,1-RampV2,0))))</f>
        <v>0</v>
      </c>
      <c r="K27" s="47" t="n">
        <f aca="false">$C27*$E27*(TrancheA*IF(5-VerifLag=Pipeline!$I28,RampV1,IF(5-VerifLag=Pipeline!$I28+1,RampV2-RampV1,IF(5-VerifLag=Pipeline!$I28+2,1-RampV2,0)))+(1-TrancheA)*IF(5-VerifLag-1=Pipeline!$I28,RampV1,IF(5-VerifLag-1=Pipeline!$I28+1,RampV2-RampV1,IF(5-VerifLag-1=Pipeline!$I28+2,1-RampV2,0))))</f>
        <v>0</v>
      </c>
      <c r="L27" s="47" t="n">
        <f aca="false">$C27*$E27*(TrancheA*IF(6-VerifLag=Pipeline!$I28,RampV1,IF(6-VerifLag=Pipeline!$I28+1,RampV2-RampV1,IF(6-VerifLag=Pipeline!$I28+2,1-RampV2,0)))+(1-TrancheA)*IF(6-VerifLag-1=Pipeline!$I28,RampV1,IF(6-VerifLag-1=Pipeline!$I28+1,RampV2-RampV1,IF(6-VerifLag-1=Pipeline!$I28+2,1-RampV2,0))))</f>
        <v>0</v>
      </c>
      <c r="M27" s="47" t="n">
        <f aca="false">$C27*$E27*(TrancheA*IF(7-VerifLag=Pipeline!$I28,RampV1,IF(7-VerifLag=Pipeline!$I28+1,RampV2-RampV1,IF(7-VerifLag=Pipeline!$I28+2,1-RampV2,0)))+(1-TrancheA)*IF(7-VerifLag-1=Pipeline!$I28,RampV1,IF(7-VerifLag-1=Pipeline!$I28+1,RampV2-RampV1,IF(7-VerifLag-1=Pipeline!$I28+2,1-RampV2,0))))</f>
        <v>0</v>
      </c>
      <c r="N27" s="47" t="n">
        <f aca="false">$C27*$E27*(TrancheA*IF(8-VerifLag=Pipeline!$I28,RampV1,IF(8-VerifLag=Pipeline!$I28+1,RampV2-RampV1,IF(8-VerifLag=Pipeline!$I28+2,1-RampV2,0)))+(1-TrancheA)*IF(8-VerifLag-1=Pipeline!$I28,RampV1,IF(8-VerifLag-1=Pipeline!$I28+1,RampV2-RampV1,IF(8-VerifLag-1=Pipeline!$I28+2,1-RampV2,0))))</f>
        <v>0</v>
      </c>
      <c r="O27" s="47" t="n">
        <f aca="false">$C27*$E27*(TrancheA*IF(9-VerifLag=Pipeline!$I28,RampV1,IF(9-VerifLag=Pipeline!$I28+1,RampV2-RampV1,IF(9-VerifLag=Pipeline!$I28+2,1-RampV2,0)))+(1-TrancheA)*IF(9-VerifLag-1=Pipeline!$I28,RampV1,IF(9-VerifLag-1=Pipeline!$I28+1,RampV2-RampV1,IF(9-VerifLag-1=Pipeline!$I28+2,1-RampV2,0))))</f>
        <v>0</v>
      </c>
      <c r="P27" s="47" t="n">
        <f aca="false">$C27*$E27*(TrancheA*IF(10-VerifLag=Pipeline!$I28,RampV1,IF(10-VerifLag=Pipeline!$I28+1,RampV2-RampV1,IF(10-VerifLag=Pipeline!$I28+2,1-RampV2,0)))+(1-TrancheA)*IF(10-VerifLag-1=Pipeline!$I28,RampV1,IF(10-VerifLag-1=Pipeline!$I28+1,RampV2-RampV1,IF(10-VerifLag-1=Pipeline!$I28+2,1-RampV2,0))))</f>
        <v>0</v>
      </c>
      <c r="Q27" s="48" t="n">
        <f aca="false">SUM(G27:P27)</f>
        <v>0</v>
      </c>
    </row>
    <row r="28" customFormat="false" ht="15" hidden="false" customHeight="false" outlineLevel="0" collapsed="false">
      <c r="A28" s="10" t="n">
        <v>23</v>
      </c>
      <c r="B28" s="46" t="str">
        <f aca="false">'Eligibility &amp; Scoring'!$B29</f>
        <v/>
      </c>
      <c r="C28" s="28" t="n">
        <f aca="false">'Eligibility &amp; Scoring'!$AK29*'Eligibility &amp; Scoring'!$U29</f>
        <v>0</v>
      </c>
      <c r="D28" s="28" t="n">
        <f aca="false">'Eligibility &amp; Scoring'!$AK29-C28</f>
        <v>0</v>
      </c>
      <c r="E28" s="29" t="n">
        <f aca="false">IF(C28+D28=0,0,IFERROR(INDEX('Fund Parameters'!$B$74:$B$78,Pipeline!$H29),1))</f>
        <v>0</v>
      </c>
      <c r="F28" s="28" t="n">
        <f aca="false">C28*E28</f>
        <v>0</v>
      </c>
      <c r="G28" s="47" t="n">
        <f aca="false">$C28*$E28*(TrancheA*IF(1-VerifLag=Pipeline!$I29,RampV1,IF(1-VerifLag=Pipeline!$I29+1,RampV2-RampV1,IF(1-VerifLag=Pipeline!$I29+2,1-RampV2,0)))+(1-TrancheA)*IF(1-VerifLag-1=Pipeline!$I29,RampV1,IF(1-VerifLag-1=Pipeline!$I29+1,RampV2-RampV1,IF(1-VerifLag-1=Pipeline!$I29+2,1-RampV2,0))))</f>
        <v>0</v>
      </c>
      <c r="H28" s="47" t="n">
        <f aca="false">$C28*$E28*(TrancheA*IF(2-VerifLag=Pipeline!$I29,RampV1,IF(2-VerifLag=Pipeline!$I29+1,RampV2-RampV1,IF(2-VerifLag=Pipeline!$I29+2,1-RampV2,0)))+(1-TrancheA)*IF(2-VerifLag-1=Pipeline!$I29,RampV1,IF(2-VerifLag-1=Pipeline!$I29+1,RampV2-RampV1,IF(2-VerifLag-1=Pipeline!$I29+2,1-RampV2,0))))</f>
        <v>0</v>
      </c>
      <c r="I28" s="47" t="n">
        <f aca="false">$C28*$E28*(TrancheA*IF(3-VerifLag=Pipeline!$I29,RampV1,IF(3-VerifLag=Pipeline!$I29+1,RampV2-RampV1,IF(3-VerifLag=Pipeline!$I29+2,1-RampV2,0)))+(1-TrancheA)*IF(3-VerifLag-1=Pipeline!$I29,RampV1,IF(3-VerifLag-1=Pipeline!$I29+1,RampV2-RampV1,IF(3-VerifLag-1=Pipeline!$I29+2,1-RampV2,0))))</f>
        <v>0</v>
      </c>
      <c r="J28" s="47" t="n">
        <f aca="false">$C28*$E28*(TrancheA*IF(4-VerifLag=Pipeline!$I29,RampV1,IF(4-VerifLag=Pipeline!$I29+1,RampV2-RampV1,IF(4-VerifLag=Pipeline!$I29+2,1-RampV2,0)))+(1-TrancheA)*IF(4-VerifLag-1=Pipeline!$I29,RampV1,IF(4-VerifLag-1=Pipeline!$I29+1,RampV2-RampV1,IF(4-VerifLag-1=Pipeline!$I29+2,1-RampV2,0))))</f>
        <v>0</v>
      </c>
      <c r="K28" s="47" t="n">
        <f aca="false">$C28*$E28*(TrancheA*IF(5-VerifLag=Pipeline!$I29,RampV1,IF(5-VerifLag=Pipeline!$I29+1,RampV2-RampV1,IF(5-VerifLag=Pipeline!$I29+2,1-RampV2,0)))+(1-TrancheA)*IF(5-VerifLag-1=Pipeline!$I29,RampV1,IF(5-VerifLag-1=Pipeline!$I29+1,RampV2-RampV1,IF(5-VerifLag-1=Pipeline!$I29+2,1-RampV2,0))))</f>
        <v>0</v>
      </c>
      <c r="L28" s="47" t="n">
        <f aca="false">$C28*$E28*(TrancheA*IF(6-VerifLag=Pipeline!$I29,RampV1,IF(6-VerifLag=Pipeline!$I29+1,RampV2-RampV1,IF(6-VerifLag=Pipeline!$I29+2,1-RampV2,0)))+(1-TrancheA)*IF(6-VerifLag-1=Pipeline!$I29,RampV1,IF(6-VerifLag-1=Pipeline!$I29+1,RampV2-RampV1,IF(6-VerifLag-1=Pipeline!$I29+2,1-RampV2,0))))</f>
        <v>0</v>
      </c>
      <c r="M28" s="47" t="n">
        <f aca="false">$C28*$E28*(TrancheA*IF(7-VerifLag=Pipeline!$I29,RampV1,IF(7-VerifLag=Pipeline!$I29+1,RampV2-RampV1,IF(7-VerifLag=Pipeline!$I29+2,1-RampV2,0)))+(1-TrancheA)*IF(7-VerifLag-1=Pipeline!$I29,RampV1,IF(7-VerifLag-1=Pipeline!$I29+1,RampV2-RampV1,IF(7-VerifLag-1=Pipeline!$I29+2,1-RampV2,0))))</f>
        <v>0</v>
      </c>
      <c r="N28" s="47" t="n">
        <f aca="false">$C28*$E28*(TrancheA*IF(8-VerifLag=Pipeline!$I29,RampV1,IF(8-VerifLag=Pipeline!$I29+1,RampV2-RampV1,IF(8-VerifLag=Pipeline!$I29+2,1-RampV2,0)))+(1-TrancheA)*IF(8-VerifLag-1=Pipeline!$I29,RampV1,IF(8-VerifLag-1=Pipeline!$I29+1,RampV2-RampV1,IF(8-VerifLag-1=Pipeline!$I29+2,1-RampV2,0))))</f>
        <v>0</v>
      </c>
      <c r="O28" s="47" t="n">
        <f aca="false">$C28*$E28*(TrancheA*IF(9-VerifLag=Pipeline!$I29,RampV1,IF(9-VerifLag=Pipeline!$I29+1,RampV2-RampV1,IF(9-VerifLag=Pipeline!$I29+2,1-RampV2,0)))+(1-TrancheA)*IF(9-VerifLag-1=Pipeline!$I29,RampV1,IF(9-VerifLag-1=Pipeline!$I29+1,RampV2-RampV1,IF(9-VerifLag-1=Pipeline!$I29+2,1-RampV2,0))))</f>
        <v>0</v>
      </c>
      <c r="P28" s="47" t="n">
        <f aca="false">$C28*$E28*(TrancheA*IF(10-VerifLag=Pipeline!$I29,RampV1,IF(10-VerifLag=Pipeline!$I29+1,RampV2-RampV1,IF(10-VerifLag=Pipeline!$I29+2,1-RampV2,0)))+(1-TrancheA)*IF(10-VerifLag-1=Pipeline!$I29,RampV1,IF(10-VerifLag-1=Pipeline!$I29+1,RampV2-RampV1,IF(10-VerifLag-1=Pipeline!$I29+2,1-RampV2,0))))</f>
        <v>0</v>
      </c>
      <c r="Q28" s="48" t="n">
        <f aca="false">SUM(G28:P28)</f>
        <v>0</v>
      </c>
    </row>
    <row r="29" customFormat="false" ht="15" hidden="false" customHeight="false" outlineLevel="0" collapsed="false">
      <c r="A29" s="10" t="n">
        <v>24</v>
      </c>
      <c r="B29" s="46" t="str">
        <f aca="false">'Eligibility &amp; Scoring'!$B30</f>
        <v/>
      </c>
      <c r="C29" s="28" t="n">
        <f aca="false">'Eligibility &amp; Scoring'!$AK30*'Eligibility &amp; Scoring'!$U30</f>
        <v>0</v>
      </c>
      <c r="D29" s="28" t="n">
        <f aca="false">'Eligibility &amp; Scoring'!$AK30-C29</f>
        <v>0</v>
      </c>
      <c r="E29" s="29" t="n">
        <f aca="false">IF(C29+D29=0,0,IFERROR(INDEX('Fund Parameters'!$B$74:$B$78,Pipeline!$H30),1))</f>
        <v>0</v>
      </c>
      <c r="F29" s="28" t="n">
        <f aca="false">C29*E29</f>
        <v>0</v>
      </c>
      <c r="G29" s="47" t="n">
        <f aca="false">$C29*$E29*(TrancheA*IF(1-VerifLag=Pipeline!$I30,RampV1,IF(1-VerifLag=Pipeline!$I30+1,RampV2-RampV1,IF(1-VerifLag=Pipeline!$I30+2,1-RampV2,0)))+(1-TrancheA)*IF(1-VerifLag-1=Pipeline!$I30,RampV1,IF(1-VerifLag-1=Pipeline!$I30+1,RampV2-RampV1,IF(1-VerifLag-1=Pipeline!$I30+2,1-RampV2,0))))</f>
        <v>0</v>
      </c>
      <c r="H29" s="47" t="n">
        <f aca="false">$C29*$E29*(TrancheA*IF(2-VerifLag=Pipeline!$I30,RampV1,IF(2-VerifLag=Pipeline!$I30+1,RampV2-RampV1,IF(2-VerifLag=Pipeline!$I30+2,1-RampV2,0)))+(1-TrancheA)*IF(2-VerifLag-1=Pipeline!$I30,RampV1,IF(2-VerifLag-1=Pipeline!$I30+1,RampV2-RampV1,IF(2-VerifLag-1=Pipeline!$I30+2,1-RampV2,0))))</f>
        <v>0</v>
      </c>
      <c r="I29" s="47" t="n">
        <f aca="false">$C29*$E29*(TrancheA*IF(3-VerifLag=Pipeline!$I30,RampV1,IF(3-VerifLag=Pipeline!$I30+1,RampV2-RampV1,IF(3-VerifLag=Pipeline!$I30+2,1-RampV2,0)))+(1-TrancheA)*IF(3-VerifLag-1=Pipeline!$I30,RampV1,IF(3-VerifLag-1=Pipeline!$I30+1,RampV2-RampV1,IF(3-VerifLag-1=Pipeline!$I30+2,1-RampV2,0))))</f>
        <v>0</v>
      </c>
      <c r="J29" s="47" t="n">
        <f aca="false">$C29*$E29*(TrancheA*IF(4-VerifLag=Pipeline!$I30,RampV1,IF(4-VerifLag=Pipeline!$I30+1,RampV2-RampV1,IF(4-VerifLag=Pipeline!$I30+2,1-RampV2,0)))+(1-TrancheA)*IF(4-VerifLag-1=Pipeline!$I30,RampV1,IF(4-VerifLag-1=Pipeline!$I30+1,RampV2-RampV1,IF(4-VerifLag-1=Pipeline!$I30+2,1-RampV2,0))))</f>
        <v>0</v>
      </c>
      <c r="K29" s="47" t="n">
        <f aca="false">$C29*$E29*(TrancheA*IF(5-VerifLag=Pipeline!$I30,RampV1,IF(5-VerifLag=Pipeline!$I30+1,RampV2-RampV1,IF(5-VerifLag=Pipeline!$I30+2,1-RampV2,0)))+(1-TrancheA)*IF(5-VerifLag-1=Pipeline!$I30,RampV1,IF(5-VerifLag-1=Pipeline!$I30+1,RampV2-RampV1,IF(5-VerifLag-1=Pipeline!$I30+2,1-RampV2,0))))</f>
        <v>0</v>
      </c>
      <c r="L29" s="47" t="n">
        <f aca="false">$C29*$E29*(TrancheA*IF(6-VerifLag=Pipeline!$I30,RampV1,IF(6-VerifLag=Pipeline!$I30+1,RampV2-RampV1,IF(6-VerifLag=Pipeline!$I30+2,1-RampV2,0)))+(1-TrancheA)*IF(6-VerifLag-1=Pipeline!$I30,RampV1,IF(6-VerifLag-1=Pipeline!$I30+1,RampV2-RampV1,IF(6-VerifLag-1=Pipeline!$I30+2,1-RampV2,0))))</f>
        <v>0</v>
      </c>
      <c r="M29" s="47" t="n">
        <f aca="false">$C29*$E29*(TrancheA*IF(7-VerifLag=Pipeline!$I30,RampV1,IF(7-VerifLag=Pipeline!$I30+1,RampV2-RampV1,IF(7-VerifLag=Pipeline!$I30+2,1-RampV2,0)))+(1-TrancheA)*IF(7-VerifLag-1=Pipeline!$I30,RampV1,IF(7-VerifLag-1=Pipeline!$I30+1,RampV2-RampV1,IF(7-VerifLag-1=Pipeline!$I30+2,1-RampV2,0))))</f>
        <v>0</v>
      </c>
      <c r="N29" s="47" t="n">
        <f aca="false">$C29*$E29*(TrancheA*IF(8-VerifLag=Pipeline!$I30,RampV1,IF(8-VerifLag=Pipeline!$I30+1,RampV2-RampV1,IF(8-VerifLag=Pipeline!$I30+2,1-RampV2,0)))+(1-TrancheA)*IF(8-VerifLag-1=Pipeline!$I30,RampV1,IF(8-VerifLag-1=Pipeline!$I30+1,RampV2-RampV1,IF(8-VerifLag-1=Pipeline!$I30+2,1-RampV2,0))))</f>
        <v>0</v>
      </c>
      <c r="O29" s="47" t="n">
        <f aca="false">$C29*$E29*(TrancheA*IF(9-VerifLag=Pipeline!$I30,RampV1,IF(9-VerifLag=Pipeline!$I30+1,RampV2-RampV1,IF(9-VerifLag=Pipeline!$I30+2,1-RampV2,0)))+(1-TrancheA)*IF(9-VerifLag-1=Pipeline!$I30,RampV1,IF(9-VerifLag-1=Pipeline!$I30+1,RampV2-RampV1,IF(9-VerifLag-1=Pipeline!$I30+2,1-RampV2,0))))</f>
        <v>0</v>
      </c>
      <c r="P29" s="47" t="n">
        <f aca="false">$C29*$E29*(TrancheA*IF(10-VerifLag=Pipeline!$I30,RampV1,IF(10-VerifLag=Pipeline!$I30+1,RampV2-RampV1,IF(10-VerifLag=Pipeline!$I30+2,1-RampV2,0)))+(1-TrancheA)*IF(10-VerifLag-1=Pipeline!$I30,RampV1,IF(10-VerifLag-1=Pipeline!$I30+1,RampV2-RampV1,IF(10-VerifLag-1=Pipeline!$I30+2,1-RampV2,0))))</f>
        <v>0</v>
      </c>
      <c r="Q29" s="48" t="n">
        <f aca="false">SUM(G29:P29)</f>
        <v>0</v>
      </c>
    </row>
    <row r="30" customFormat="false" ht="15" hidden="false" customHeight="false" outlineLevel="0" collapsed="false">
      <c r="A30" s="10" t="n">
        <v>25</v>
      </c>
      <c r="B30" s="46" t="str">
        <f aca="false">'Eligibility &amp; Scoring'!$B31</f>
        <v/>
      </c>
      <c r="C30" s="28" t="n">
        <f aca="false">'Eligibility &amp; Scoring'!$AK31*'Eligibility &amp; Scoring'!$U31</f>
        <v>0</v>
      </c>
      <c r="D30" s="28" t="n">
        <f aca="false">'Eligibility &amp; Scoring'!$AK31-C30</f>
        <v>0</v>
      </c>
      <c r="E30" s="29" t="n">
        <f aca="false">IF(C30+D30=0,0,IFERROR(INDEX('Fund Parameters'!$B$74:$B$78,Pipeline!$H31),1))</f>
        <v>0</v>
      </c>
      <c r="F30" s="28" t="n">
        <f aca="false">C30*E30</f>
        <v>0</v>
      </c>
      <c r="G30" s="47" t="n">
        <f aca="false">$C30*$E30*(TrancheA*IF(1-VerifLag=Pipeline!$I31,RampV1,IF(1-VerifLag=Pipeline!$I31+1,RampV2-RampV1,IF(1-VerifLag=Pipeline!$I31+2,1-RampV2,0)))+(1-TrancheA)*IF(1-VerifLag-1=Pipeline!$I31,RampV1,IF(1-VerifLag-1=Pipeline!$I31+1,RampV2-RampV1,IF(1-VerifLag-1=Pipeline!$I31+2,1-RampV2,0))))</f>
        <v>0</v>
      </c>
      <c r="H30" s="47" t="n">
        <f aca="false">$C30*$E30*(TrancheA*IF(2-VerifLag=Pipeline!$I31,RampV1,IF(2-VerifLag=Pipeline!$I31+1,RampV2-RampV1,IF(2-VerifLag=Pipeline!$I31+2,1-RampV2,0)))+(1-TrancheA)*IF(2-VerifLag-1=Pipeline!$I31,RampV1,IF(2-VerifLag-1=Pipeline!$I31+1,RampV2-RampV1,IF(2-VerifLag-1=Pipeline!$I31+2,1-RampV2,0))))</f>
        <v>0</v>
      </c>
      <c r="I30" s="47" t="n">
        <f aca="false">$C30*$E30*(TrancheA*IF(3-VerifLag=Pipeline!$I31,RampV1,IF(3-VerifLag=Pipeline!$I31+1,RampV2-RampV1,IF(3-VerifLag=Pipeline!$I31+2,1-RampV2,0)))+(1-TrancheA)*IF(3-VerifLag-1=Pipeline!$I31,RampV1,IF(3-VerifLag-1=Pipeline!$I31+1,RampV2-RampV1,IF(3-VerifLag-1=Pipeline!$I31+2,1-RampV2,0))))</f>
        <v>0</v>
      </c>
      <c r="J30" s="47" t="n">
        <f aca="false">$C30*$E30*(TrancheA*IF(4-VerifLag=Pipeline!$I31,RampV1,IF(4-VerifLag=Pipeline!$I31+1,RampV2-RampV1,IF(4-VerifLag=Pipeline!$I31+2,1-RampV2,0)))+(1-TrancheA)*IF(4-VerifLag-1=Pipeline!$I31,RampV1,IF(4-VerifLag-1=Pipeline!$I31+1,RampV2-RampV1,IF(4-VerifLag-1=Pipeline!$I31+2,1-RampV2,0))))</f>
        <v>0</v>
      </c>
      <c r="K30" s="47" t="n">
        <f aca="false">$C30*$E30*(TrancheA*IF(5-VerifLag=Pipeline!$I31,RampV1,IF(5-VerifLag=Pipeline!$I31+1,RampV2-RampV1,IF(5-VerifLag=Pipeline!$I31+2,1-RampV2,0)))+(1-TrancheA)*IF(5-VerifLag-1=Pipeline!$I31,RampV1,IF(5-VerifLag-1=Pipeline!$I31+1,RampV2-RampV1,IF(5-VerifLag-1=Pipeline!$I31+2,1-RampV2,0))))</f>
        <v>0</v>
      </c>
      <c r="L30" s="47" t="n">
        <f aca="false">$C30*$E30*(TrancheA*IF(6-VerifLag=Pipeline!$I31,RampV1,IF(6-VerifLag=Pipeline!$I31+1,RampV2-RampV1,IF(6-VerifLag=Pipeline!$I31+2,1-RampV2,0)))+(1-TrancheA)*IF(6-VerifLag-1=Pipeline!$I31,RampV1,IF(6-VerifLag-1=Pipeline!$I31+1,RampV2-RampV1,IF(6-VerifLag-1=Pipeline!$I31+2,1-RampV2,0))))</f>
        <v>0</v>
      </c>
      <c r="M30" s="47" t="n">
        <f aca="false">$C30*$E30*(TrancheA*IF(7-VerifLag=Pipeline!$I31,RampV1,IF(7-VerifLag=Pipeline!$I31+1,RampV2-RampV1,IF(7-VerifLag=Pipeline!$I31+2,1-RampV2,0)))+(1-TrancheA)*IF(7-VerifLag-1=Pipeline!$I31,RampV1,IF(7-VerifLag-1=Pipeline!$I31+1,RampV2-RampV1,IF(7-VerifLag-1=Pipeline!$I31+2,1-RampV2,0))))</f>
        <v>0</v>
      </c>
      <c r="N30" s="47" t="n">
        <f aca="false">$C30*$E30*(TrancheA*IF(8-VerifLag=Pipeline!$I31,RampV1,IF(8-VerifLag=Pipeline!$I31+1,RampV2-RampV1,IF(8-VerifLag=Pipeline!$I31+2,1-RampV2,0)))+(1-TrancheA)*IF(8-VerifLag-1=Pipeline!$I31,RampV1,IF(8-VerifLag-1=Pipeline!$I31+1,RampV2-RampV1,IF(8-VerifLag-1=Pipeline!$I31+2,1-RampV2,0))))</f>
        <v>0</v>
      </c>
      <c r="O30" s="47" t="n">
        <f aca="false">$C30*$E30*(TrancheA*IF(9-VerifLag=Pipeline!$I31,RampV1,IF(9-VerifLag=Pipeline!$I31+1,RampV2-RampV1,IF(9-VerifLag=Pipeline!$I31+2,1-RampV2,0)))+(1-TrancheA)*IF(9-VerifLag-1=Pipeline!$I31,RampV1,IF(9-VerifLag-1=Pipeline!$I31+1,RampV2-RampV1,IF(9-VerifLag-1=Pipeline!$I31+2,1-RampV2,0))))</f>
        <v>0</v>
      </c>
      <c r="P30" s="47" t="n">
        <f aca="false">$C30*$E30*(TrancheA*IF(10-VerifLag=Pipeline!$I31,RampV1,IF(10-VerifLag=Pipeline!$I31+1,RampV2-RampV1,IF(10-VerifLag=Pipeline!$I31+2,1-RampV2,0)))+(1-TrancheA)*IF(10-VerifLag-1=Pipeline!$I31,RampV1,IF(10-VerifLag-1=Pipeline!$I31+1,RampV2-RampV1,IF(10-VerifLag-1=Pipeline!$I31+2,1-RampV2,0))))</f>
        <v>0</v>
      </c>
      <c r="Q30" s="48" t="n">
        <f aca="false">SUM(G30:P30)</f>
        <v>0</v>
      </c>
    </row>
    <row r="31" customFormat="false" ht="15" hidden="false" customHeight="false" outlineLevel="0" collapsed="false">
      <c r="B31" s="15" t="s">
        <v>217</v>
      </c>
      <c r="C31" s="43" t="n">
        <f aca="false">SUM(C6:C30)</f>
        <v>753310.82158811</v>
      </c>
      <c r="D31" s="43" t="n">
        <f aca="false">SUM(D6:D30)</f>
        <v>1796689.17841189</v>
      </c>
      <c r="F31" s="43" t="n">
        <f aca="false">SUM(F6:F30)</f>
        <v>708694.127828577</v>
      </c>
      <c r="G31" s="43" t="n">
        <f aca="false">SUM(G6:G30)</f>
        <v>142362.06464584</v>
      </c>
      <c r="H31" s="43" t="n">
        <f aca="false">SUM(H6:H30)</f>
        <v>287482.814784728</v>
      </c>
      <c r="I31" s="43" t="n">
        <f aca="false">SUM(I6:I30)</f>
        <v>198430.531594709</v>
      </c>
      <c r="J31" s="43" t="n">
        <f aca="false">SUM(J6:J30)</f>
        <v>69326.6118717172</v>
      </c>
      <c r="K31" s="43" t="n">
        <f aca="false">SUM(K6:K30)</f>
        <v>11092.1049315831</v>
      </c>
      <c r="L31" s="43" t="n">
        <f aca="false">SUM(L6:L30)</f>
        <v>0</v>
      </c>
      <c r="M31" s="43" t="n">
        <f aca="false">SUM(M6:M30)</f>
        <v>0</v>
      </c>
      <c r="N31" s="43" t="n">
        <f aca="false">SUM(N6:N30)</f>
        <v>0</v>
      </c>
      <c r="O31" s="43" t="n">
        <f aca="false">SUM(O6:O30)</f>
        <v>0</v>
      </c>
      <c r="P31" s="43" t="n">
        <f aca="false">SUM(P6:P30)</f>
        <v>0</v>
      </c>
      <c r="Q31" s="43" t="n">
        <f aca="false">SUM(Q6:Q30)</f>
        <v>708694.127828577</v>
      </c>
    </row>
    <row r="33" customFormat="false" ht="15" hidden="false" customHeight="false" outlineLevel="0" collapsed="false">
      <c r="A33" s="8" t="s">
        <v>226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customFormat="false" ht="30" hidden="false" customHeight="true" outlineLevel="0" collapsed="false">
      <c r="A34" s="44" t="s">
        <v>116</v>
      </c>
      <c r="B34" s="44" t="s">
        <v>117</v>
      </c>
      <c r="C34" s="44" t="s">
        <v>221</v>
      </c>
      <c r="D34" s="44" t="s">
        <v>222</v>
      </c>
      <c r="E34" s="44" t="s">
        <v>223</v>
      </c>
      <c r="F34" s="44" t="s">
        <v>224</v>
      </c>
      <c r="G34" s="45" t="n">
        <f aca="false">FundStart-1+1</f>
        <v>2027</v>
      </c>
      <c r="H34" s="45" t="n">
        <f aca="false">FundStart-1+2</f>
        <v>2028</v>
      </c>
      <c r="I34" s="45" t="n">
        <f aca="false">FundStart-1+3</f>
        <v>2029</v>
      </c>
      <c r="J34" s="45" t="n">
        <f aca="false">FundStart-1+4</f>
        <v>2030</v>
      </c>
      <c r="K34" s="45" t="n">
        <f aca="false">FundStart-1+5</f>
        <v>2031</v>
      </c>
      <c r="L34" s="45" t="n">
        <f aca="false">FundStart-1+6</f>
        <v>2032</v>
      </c>
      <c r="M34" s="45" t="n">
        <f aca="false">FundStart-1+7</f>
        <v>2033</v>
      </c>
      <c r="N34" s="45" t="n">
        <f aca="false">FundStart-1+8</f>
        <v>2034</v>
      </c>
      <c r="O34" s="45" t="n">
        <f aca="false">FundStart-1+9</f>
        <v>2035</v>
      </c>
      <c r="P34" s="45" t="n">
        <f aca="false">FundStart-1+10</f>
        <v>2036</v>
      </c>
      <c r="Q34" s="44" t="s">
        <v>225</v>
      </c>
    </row>
    <row r="35" customFormat="false" ht="15" hidden="false" customHeight="false" outlineLevel="0" collapsed="false">
      <c r="A35" s="10" t="n">
        <v>1</v>
      </c>
      <c r="B35" s="46" t="str">
        <f aca="false">'Eligibility &amp; Scoring'!$B7</f>
        <v>Project A - Lake village cluster</v>
      </c>
      <c r="C35" s="28" t="n">
        <f aca="false">'Eligibility &amp; Scoring'!$AK7*'Eligibility &amp; Scoring'!$U7</f>
        <v>110778.68852459</v>
      </c>
      <c r="D35" s="28" t="n">
        <f aca="false">'Eligibility &amp; Scoring'!$AK7-C35</f>
        <v>271721.31147541</v>
      </c>
      <c r="E35" s="29" t="n">
        <f aca="false">IF(C35+D35=0,0,IFERROR(INDEX('Fund Parameters'!$B$74:$B$78,Pipeline!$H7),1))</f>
        <v>0.95</v>
      </c>
      <c r="F35" s="28" t="n">
        <f aca="false">D35</f>
        <v>271721.31147541</v>
      </c>
      <c r="G35" s="47" t="n">
        <f aca="false">IF(1=Pipeline!$I7,$D35,0)</f>
        <v>271721.31147541</v>
      </c>
      <c r="H35" s="47" t="n">
        <f aca="false">IF(2=Pipeline!$I7,$D35,0)</f>
        <v>0</v>
      </c>
      <c r="I35" s="47" t="n">
        <f aca="false">IF(3=Pipeline!$I7,$D35,0)</f>
        <v>0</v>
      </c>
      <c r="J35" s="47" t="n">
        <f aca="false">IF(4=Pipeline!$I7,$D35,0)</f>
        <v>0</v>
      </c>
      <c r="K35" s="47" t="n">
        <f aca="false">IF(5=Pipeline!$I7,$D35,0)</f>
        <v>0</v>
      </c>
      <c r="L35" s="47" t="n">
        <f aca="false">IF(6=Pipeline!$I7,$D35,0)</f>
        <v>0</v>
      </c>
      <c r="M35" s="47" t="n">
        <f aca="false">IF(7=Pipeline!$I7,$D35,0)</f>
        <v>0</v>
      </c>
      <c r="N35" s="47" t="n">
        <f aca="false">IF(8=Pipeline!$I7,$D35,0)</f>
        <v>0</v>
      </c>
      <c r="O35" s="47" t="n">
        <f aca="false">IF(9=Pipeline!$I7,$D35,0)</f>
        <v>0</v>
      </c>
      <c r="P35" s="47" t="n">
        <f aca="false">IF(10=Pipeline!$I7,$D35,0)</f>
        <v>0</v>
      </c>
      <c r="Q35" s="48" t="n">
        <f aca="false">SUM(G35:P35)</f>
        <v>271721.31147541</v>
      </c>
    </row>
    <row r="36" customFormat="false" ht="15" hidden="false" customHeight="false" outlineLevel="0" collapsed="false">
      <c r="A36" s="10" t="n">
        <v>2</v>
      </c>
      <c r="B36" s="46" t="str">
        <f aca="false">'Eligibility &amp; Scoring'!$B8</f>
        <v>Project B - River towns</v>
      </c>
      <c r="C36" s="28" t="n">
        <f aca="false">'Eligibility &amp; Scoring'!$AK8*'Eligibility &amp; Scoring'!$U8</f>
        <v>32871.09375</v>
      </c>
      <c r="D36" s="28" t="n">
        <f aca="false">'Eligibility &amp; Scoring'!$AK8-C36</f>
        <v>94628.90625</v>
      </c>
      <c r="E36" s="29" t="n">
        <f aca="false">IF(C36+D36=0,0,IFERROR(INDEX('Fund Parameters'!$B$74:$B$78,Pipeline!$H8),1))</f>
        <v>0.9</v>
      </c>
      <c r="F36" s="28" t="n">
        <f aca="false">D36</f>
        <v>94628.90625</v>
      </c>
      <c r="G36" s="47" t="n">
        <f aca="false">IF(1=Pipeline!$I8,$D36,0)</f>
        <v>0</v>
      </c>
      <c r="H36" s="47" t="n">
        <f aca="false">IF(2=Pipeline!$I8,$D36,0)</f>
        <v>94628.90625</v>
      </c>
      <c r="I36" s="47" t="n">
        <f aca="false">IF(3=Pipeline!$I8,$D36,0)</f>
        <v>0</v>
      </c>
      <c r="J36" s="47" t="n">
        <f aca="false">IF(4=Pipeline!$I8,$D36,0)</f>
        <v>0</v>
      </c>
      <c r="K36" s="47" t="n">
        <f aca="false">IF(5=Pipeline!$I8,$D36,0)</f>
        <v>0</v>
      </c>
      <c r="L36" s="47" t="n">
        <f aca="false">IF(6=Pipeline!$I8,$D36,0)</f>
        <v>0</v>
      </c>
      <c r="M36" s="47" t="n">
        <f aca="false">IF(7=Pipeline!$I8,$D36,0)</f>
        <v>0</v>
      </c>
      <c r="N36" s="47" t="n">
        <f aca="false">IF(8=Pipeline!$I8,$D36,0)</f>
        <v>0</v>
      </c>
      <c r="O36" s="47" t="n">
        <f aca="false">IF(9=Pipeline!$I8,$D36,0)</f>
        <v>0</v>
      </c>
      <c r="P36" s="47" t="n">
        <f aca="false">IF(10=Pipeline!$I8,$D36,0)</f>
        <v>0</v>
      </c>
      <c r="Q36" s="48" t="n">
        <f aca="false">SUM(G36:P36)</f>
        <v>94628.90625</v>
      </c>
    </row>
    <row r="37" customFormat="false" ht="15" hidden="false" customHeight="false" outlineLevel="0" collapsed="false">
      <c r="A37" s="10" t="n">
        <v>3</v>
      </c>
      <c r="B37" s="46" t="str">
        <f aca="false">'Eligibility &amp; Scoring'!$B9</f>
        <v>Project C - Northern corridor</v>
      </c>
      <c r="C37" s="28" t="n">
        <f aca="false">'Eligibility &amp; Scoring'!$AK9*'Eligibility &amp; Scoring'!$U9</f>
        <v>115204.402515723</v>
      </c>
      <c r="D37" s="28" t="n">
        <f aca="false">'Eligibility &amp; Scoring'!$AK9-C37</f>
        <v>267295.597484277</v>
      </c>
      <c r="E37" s="29" t="n">
        <f aca="false">IF(C37+D37=0,0,IFERROR(INDEX('Fund Parameters'!$B$74:$B$78,Pipeline!$H9),1))</f>
        <v>1</v>
      </c>
      <c r="F37" s="28" t="n">
        <f aca="false">D37</f>
        <v>267295.597484277</v>
      </c>
      <c r="G37" s="47" t="n">
        <f aca="false">IF(1=Pipeline!$I9,$D37,0)</f>
        <v>267295.597484277</v>
      </c>
      <c r="H37" s="47" t="n">
        <f aca="false">IF(2=Pipeline!$I9,$D37,0)</f>
        <v>0</v>
      </c>
      <c r="I37" s="47" t="n">
        <f aca="false">IF(3=Pipeline!$I9,$D37,0)</f>
        <v>0</v>
      </c>
      <c r="J37" s="47" t="n">
        <f aca="false">IF(4=Pipeline!$I9,$D37,0)</f>
        <v>0</v>
      </c>
      <c r="K37" s="47" t="n">
        <f aca="false">IF(5=Pipeline!$I9,$D37,0)</f>
        <v>0</v>
      </c>
      <c r="L37" s="47" t="n">
        <f aca="false">IF(6=Pipeline!$I9,$D37,0)</f>
        <v>0</v>
      </c>
      <c r="M37" s="47" t="n">
        <f aca="false">IF(7=Pipeline!$I9,$D37,0)</f>
        <v>0</v>
      </c>
      <c r="N37" s="47" t="n">
        <f aca="false">IF(8=Pipeline!$I9,$D37,0)</f>
        <v>0</v>
      </c>
      <c r="O37" s="47" t="n">
        <f aca="false">IF(9=Pipeline!$I9,$D37,0)</f>
        <v>0</v>
      </c>
      <c r="P37" s="47" t="n">
        <f aca="false">IF(10=Pipeline!$I9,$D37,0)</f>
        <v>0</v>
      </c>
      <c r="Q37" s="48" t="n">
        <f aca="false">SUM(G37:P37)</f>
        <v>267295.597484277</v>
      </c>
    </row>
    <row r="38" customFormat="false" ht="15" hidden="false" customHeight="false" outlineLevel="0" collapsed="false">
      <c r="A38" s="10" t="n">
        <v>4</v>
      </c>
      <c r="B38" s="46" t="str">
        <f aca="false">'Eligibility &amp; Scoring'!$B10</f>
        <v>Project D - Island grids</v>
      </c>
      <c r="C38" s="28" t="n">
        <f aca="false">'Eligibility &amp; Scoring'!$AK10*'Eligibility &amp; Scoring'!$U10</f>
        <v>0</v>
      </c>
      <c r="D38" s="28" t="n">
        <f aca="false">'Eligibility &amp; Scoring'!$AK10-C38</f>
        <v>0</v>
      </c>
      <c r="E38" s="29" t="n">
        <f aca="false">IF(C38+D38=0,0,IFERROR(INDEX('Fund Parameters'!$B$74:$B$78,Pipeline!$H10),1))</f>
        <v>0</v>
      </c>
      <c r="F38" s="28" t="n">
        <f aca="false">D38</f>
        <v>0</v>
      </c>
      <c r="G38" s="47" t="n">
        <f aca="false">IF(1=Pipeline!$I10,$D38,0)</f>
        <v>0</v>
      </c>
      <c r="H38" s="47" t="n">
        <f aca="false">IF(2=Pipeline!$I10,$D38,0)</f>
        <v>0</v>
      </c>
      <c r="I38" s="47" t="n">
        <f aca="false">IF(3=Pipeline!$I10,$D38,0)</f>
        <v>0</v>
      </c>
      <c r="J38" s="47" t="n">
        <f aca="false">IF(4=Pipeline!$I10,$D38,0)</f>
        <v>0</v>
      </c>
      <c r="K38" s="47" t="n">
        <f aca="false">IF(5=Pipeline!$I10,$D38,0)</f>
        <v>0</v>
      </c>
      <c r="L38" s="47" t="n">
        <f aca="false">IF(6=Pipeline!$I10,$D38,0)</f>
        <v>0</v>
      </c>
      <c r="M38" s="47" t="n">
        <f aca="false">IF(7=Pipeline!$I10,$D38,0)</f>
        <v>0</v>
      </c>
      <c r="N38" s="47" t="n">
        <f aca="false">IF(8=Pipeline!$I10,$D38,0)</f>
        <v>0</v>
      </c>
      <c r="O38" s="47" t="n">
        <f aca="false">IF(9=Pipeline!$I10,$D38,0)</f>
        <v>0</v>
      </c>
      <c r="P38" s="47" t="n">
        <f aca="false">IF(10=Pipeline!$I10,$D38,0)</f>
        <v>0</v>
      </c>
      <c r="Q38" s="48" t="n">
        <f aca="false">SUM(G38:P38)</f>
        <v>0</v>
      </c>
    </row>
    <row r="39" customFormat="false" ht="15" hidden="false" customHeight="false" outlineLevel="0" collapsed="false">
      <c r="A39" s="10" t="n">
        <v>5</v>
      </c>
      <c r="B39" s="46" t="str">
        <f aca="false">'Eligibility &amp; Scoring'!$B11</f>
        <v>Project E - Highland villages</v>
      </c>
      <c r="C39" s="28" t="n">
        <f aca="false">'Eligibility &amp; Scoring'!$AK11*'Eligibility &amp; Scoring'!$U11</f>
        <v>0</v>
      </c>
      <c r="D39" s="28" t="n">
        <f aca="false">'Eligibility &amp; Scoring'!$AK11-C39</f>
        <v>0</v>
      </c>
      <c r="E39" s="29" t="n">
        <f aca="false">IF(C39+D39=0,0,IFERROR(INDEX('Fund Parameters'!$B$74:$B$78,Pipeline!$H11),1))</f>
        <v>0</v>
      </c>
      <c r="F39" s="28" t="n">
        <f aca="false">D39</f>
        <v>0</v>
      </c>
      <c r="G39" s="47" t="n">
        <f aca="false">IF(1=Pipeline!$I11,$D39,0)</f>
        <v>0</v>
      </c>
      <c r="H39" s="47" t="n">
        <f aca="false">IF(2=Pipeline!$I11,$D39,0)</f>
        <v>0</v>
      </c>
      <c r="I39" s="47" t="n">
        <f aca="false">IF(3=Pipeline!$I11,$D39,0)</f>
        <v>0</v>
      </c>
      <c r="J39" s="47" t="n">
        <f aca="false">IF(4=Pipeline!$I11,$D39,0)</f>
        <v>0</v>
      </c>
      <c r="K39" s="47" t="n">
        <f aca="false">IF(5=Pipeline!$I11,$D39,0)</f>
        <v>0</v>
      </c>
      <c r="L39" s="47" t="n">
        <f aca="false">IF(6=Pipeline!$I11,$D39,0)</f>
        <v>0</v>
      </c>
      <c r="M39" s="47" t="n">
        <f aca="false">IF(7=Pipeline!$I11,$D39,0)</f>
        <v>0</v>
      </c>
      <c r="N39" s="47" t="n">
        <f aca="false">IF(8=Pipeline!$I11,$D39,0)</f>
        <v>0</v>
      </c>
      <c r="O39" s="47" t="n">
        <f aca="false">IF(9=Pipeline!$I11,$D39,0)</f>
        <v>0</v>
      </c>
      <c r="P39" s="47" t="n">
        <f aca="false">IF(10=Pipeline!$I11,$D39,0)</f>
        <v>0</v>
      </c>
      <c r="Q39" s="48" t="n">
        <f aca="false">SUM(G39:P39)</f>
        <v>0</v>
      </c>
    </row>
    <row r="40" customFormat="false" ht="15" hidden="false" customHeight="false" outlineLevel="0" collapsed="false">
      <c r="A40" s="10" t="n">
        <v>6</v>
      </c>
      <c r="B40" s="46" t="str">
        <f aca="false">'Eligibility &amp; Scoring'!$B12</f>
        <v>Project F - Market towns</v>
      </c>
      <c r="C40" s="28" t="n">
        <f aca="false">'Eligibility &amp; Scoring'!$AK12*'Eligibility &amp; Scoring'!$U12</f>
        <v>0</v>
      </c>
      <c r="D40" s="28" t="n">
        <f aca="false">'Eligibility &amp; Scoring'!$AK12-C40</f>
        <v>0</v>
      </c>
      <c r="E40" s="29" t="n">
        <f aca="false">IF(C40+D40=0,0,IFERROR(INDEX('Fund Parameters'!$B$74:$B$78,Pipeline!$H12),1))</f>
        <v>0</v>
      </c>
      <c r="F40" s="28" t="n">
        <f aca="false">D40</f>
        <v>0</v>
      </c>
      <c r="G40" s="47" t="n">
        <f aca="false">IF(1=Pipeline!$I12,$D40,0)</f>
        <v>0</v>
      </c>
      <c r="H40" s="47" t="n">
        <f aca="false">IF(2=Pipeline!$I12,$D40,0)</f>
        <v>0</v>
      </c>
      <c r="I40" s="47" t="n">
        <f aca="false">IF(3=Pipeline!$I12,$D40,0)</f>
        <v>0</v>
      </c>
      <c r="J40" s="47" t="n">
        <f aca="false">IF(4=Pipeline!$I12,$D40,0)</f>
        <v>0</v>
      </c>
      <c r="K40" s="47" t="n">
        <f aca="false">IF(5=Pipeline!$I12,$D40,0)</f>
        <v>0</v>
      </c>
      <c r="L40" s="47" t="n">
        <f aca="false">IF(6=Pipeline!$I12,$D40,0)</f>
        <v>0</v>
      </c>
      <c r="M40" s="47" t="n">
        <f aca="false">IF(7=Pipeline!$I12,$D40,0)</f>
        <v>0</v>
      </c>
      <c r="N40" s="47" t="n">
        <f aca="false">IF(8=Pipeline!$I12,$D40,0)</f>
        <v>0</v>
      </c>
      <c r="O40" s="47" t="n">
        <f aca="false">IF(9=Pipeline!$I12,$D40,0)</f>
        <v>0</v>
      </c>
      <c r="P40" s="47" t="n">
        <f aca="false">IF(10=Pipeline!$I12,$D40,0)</f>
        <v>0</v>
      </c>
      <c r="Q40" s="48" t="n">
        <f aca="false">SUM(G40:P40)</f>
        <v>0</v>
      </c>
    </row>
    <row r="41" customFormat="false" ht="15" hidden="false" customHeight="false" outlineLevel="0" collapsed="false">
      <c r="A41" s="10" t="n">
        <v>7</v>
      </c>
      <c r="B41" s="46" t="str">
        <f aca="false">'Eligibility &amp; Scoring'!$B13</f>
        <v>Project G - Remote valley</v>
      </c>
      <c r="C41" s="28" t="n">
        <f aca="false">'Eligibility &amp; Scoring'!$AK13*'Eligibility &amp; Scoring'!$U13</f>
        <v>0</v>
      </c>
      <c r="D41" s="28" t="n">
        <f aca="false">'Eligibility &amp; Scoring'!$AK13-C41</f>
        <v>0</v>
      </c>
      <c r="E41" s="29" t="n">
        <f aca="false">IF(C41+D41=0,0,IFERROR(INDEX('Fund Parameters'!$B$74:$B$78,Pipeline!$H13),1))</f>
        <v>0</v>
      </c>
      <c r="F41" s="28" t="n">
        <f aca="false">D41</f>
        <v>0</v>
      </c>
      <c r="G41" s="47" t="n">
        <f aca="false">IF(1=Pipeline!$I13,$D41,0)</f>
        <v>0</v>
      </c>
      <c r="H41" s="47" t="n">
        <f aca="false">IF(2=Pipeline!$I13,$D41,0)</f>
        <v>0</v>
      </c>
      <c r="I41" s="47" t="n">
        <f aca="false">IF(3=Pipeline!$I13,$D41,0)</f>
        <v>0</v>
      </c>
      <c r="J41" s="47" t="n">
        <f aca="false">IF(4=Pipeline!$I13,$D41,0)</f>
        <v>0</v>
      </c>
      <c r="K41" s="47" t="n">
        <f aca="false">IF(5=Pipeline!$I13,$D41,0)</f>
        <v>0</v>
      </c>
      <c r="L41" s="47" t="n">
        <f aca="false">IF(6=Pipeline!$I13,$D41,0)</f>
        <v>0</v>
      </c>
      <c r="M41" s="47" t="n">
        <f aca="false">IF(7=Pipeline!$I13,$D41,0)</f>
        <v>0</v>
      </c>
      <c r="N41" s="47" t="n">
        <f aca="false">IF(8=Pipeline!$I13,$D41,0)</f>
        <v>0</v>
      </c>
      <c r="O41" s="47" t="n">
        <f aca="false">IF(9=Pipeline!$I13,$D41,0)</f>
        <v>0</v>
      </c>
      <c r="P41" s="47" t="n">
        <f aca="false">IF(10=Pipeline!$I13,$D41,0)</f>
        <v>0</v>
      </c>
      <c r="Q41" s="48" t="n">
        <f aca="false">SUM(G41:P41)</f>
        <v>0</v>
      </c>
    </row>
    <row r="42" customFormat="false" ht="15" hidden="false" customHeight="false" outlineLevel="0" collapsed="false">
      <c r="A42" s="10" t="n">
        <v>8</v>
      </c>
      <c r="B42" s="46" t="str">
        <f aca="false">'Eligibility &amp; Scoring'!$B14</f>
        <v>Project H - Agro-processing hub</v>
      </c>
      <c r="C42" s="28" t="n">
        <f aca="false">'Eligibility &amp; Scoring'!$AK14*'Eligibility &amp; Scoring'!$U14</f>
        <v>112181.978798587</v>
      </c>
      <c r="D42" s="28" t="n">
        <f aca="false">'Eligibility &amp; Scoring'!$AK14-C42</f>
        <v>270318.021201413</v>
      </c>
      <c r="E42" s="29" t="n">
        <f aca="false">IF(C42+D42=0,0,IFERROR(INDEX('Fund Parameters'!$B$74:$B$78,Pipeline!$H14),1))</f>
        <v>0.95</v>
      </c>
      <c r="F42" s="28" t="n">
        <f aca="false">D42</f>
        <v>270318.021201413</v>
      </c>
      <c r="G42" s="47" t="n">
        <f aca="false">IF(1=Pipeline!$I14,$D42,0)</f>
        <v>0</v>
      </c>
      <c r="H42" s="47" t="n">
        <f aca="false">IF(2=Pipeline!$I14,$D42,0)</f>
        <v>270318.021201413</v>
      </c>
      <c r="I42" s="47" t="n">
        <f aca="false">IF(3=Pipeline!$I14,$D42,0)</f>
        <v>0</v>
      </c>
      <c r="J42" s="47" t="n">
        <f aca="false">IF(4=Pipeline!$I14,$D42,0)</f>
        <v>0</v>
      </c>
      <c r="K42" s="47" t="n">
        <f aca="false">IF(5=Pipeline!$I14,$D42,0)</f>
        <v>0</v>
      </c>
      <c r="L42" s="47" t="n">
        <f aca="false">IF(6=Pipeline!$I14,$D42,0)</f>
        <v>0</v>
      </c>
      <c r="M42" s="47" t="n">
        <f aca="false">IF(7=Pipeline!$I14,$D42,0)</f>
        <v>0</v>
      </c>
      <c r="N42" s="47" t="n">
        <f aca="false">IF(8=Pipeline!$I14,$D42,0)</f>
        <v>0</v>
      </c>
      <c r="O42" s="47" t="n">
        <f aca="false">IF(9=Pipeline!$I14,$D42,0)</f>
        <v>0</v>
      </c>
      <c r="P42" s="47" t="n">
        <f aca="false">IF(10=Pipeline!$I14,$D42,0)</f>
        <v>0</v>
      </c>
      <c r="Q42" s="48" t="n">
        <f aca="false">SUM(G42:P42)</f>
        <v>270318.021201413</v>
      </c>
    </row>
    <row r="43" customFormat="false" ht="15" hidden="false" customHeight="false" outlineLevel="0" collapsed="false">
      <c r="A43" s="10" t="n">
        <v>9</v>
      </c>
      <c r="B43" s="46" t="str">
        <f aca="false">'Eligibility &amp; Scoring'!$B15</f>
        <v>Project I - Fishing communities</v>
      </c>
      <c r="C43" s="28" t="n">
        <f aca="false">'Eligibility &amp; Scoring'!$AK15*'Eligibility &amp; Scoring'!$U15</f>
        <v>109793.862368258</v>
      </c>
      <c r="D43" s="28" t="n">
        <f aca="false">'Eligibility &amp; Scoring'!$AK15-C43</f>
        <v>272706.137631742</v>
      </c>
      <c r="E43" s="29" t="n">
        <f aca="false">IF(C43+D43=0,0,IFERROR(INDEX('Fund Parameters'!$B$74:$B$78,Pipeline!$H15),1))</f>
        <v>0.9</v>
      </c>
      <c r="F43" s="28" t="n">
        <f aca="false">D43</f>
        <v>272706.137631742</v>
      </c>
      <c r="G43" s="47" t="n">
        <f aca="false">IF(1=Pipeline!$I15,$D43,0)</f>
        <v>0</v>
      </c>
      <c r="H43" s="47" t="n">
        <f aca="false">IF(2=Pipeline!$I15,$D43,0)</f>
        <v>272706.137631742</v>
      </c>
      <c r="I43" s="47" t="n">
        <f aca="false">IF(3=Pipeline!$I15,$D43,0)</f>
        <v>0</v>
      </c>
      <c r="J43" s="47" t="n">
        <f aca="false">IF(4=Pipeline!$I15,$D43,0)</f>
        <v>0</v>
      </c>
      <c r="K43" s="47" t="n">
        <f aca="false">IF(5=Pipeline!$I15,$D43,0)</f>
        <v>0</v>
      </c>
      <c r="L43" s="47" t="n">
        <f aca="false">IF(6=Pipeline!$I15,$D43,0)</f>
        <v>0</v>
      </c>
      <c r="M43" s="47" t="n">
        <f aca="false">IF(7=Pipeline!$I15,$D43,0)</f>
        <v>0</v>
      </c>
      <c r="N43" s="47" t="n">
        <f aca="false">IF(8=Pipeline!$I15,$D43,0)</f>
        <v>0</v>
      </c>
      <c r="O43" s="47" t="n">
        <f aca="false">IF(9=Pipeline!$I15,$D43,0)</f>
        <v>0</v>
      </c>
      <c r="P43" s="47" t="n">
        <f aca="false">IF(10=Pipeline!$I15,$D43,0)</f>
        <v>0</v>
      </c>
      <c r="Q43" s="48" t="n">
        <f aca="false">SUM(G43:P43)</f>
        <v>272706.137631742</v>
      </c>
    </row>
    <row r="44" customFormat="false" ht="15" hidden="false" customHeight="false" outlineLevel="0" collapsed="false">
      <c r="A44" s="10" t="n">
        <v>10</v>
      </c>
      <c r="B44" s="46" t="str">
        <f aca="false">'Eligibility &amp; Scoring'!$B16</f>
        <v>Project J - Health and schools first</v>
      </c>
      <c r="C44" s="28" t="n">
        <f aca="false">'Eligibility &amp; Scoring'!$AK16*'Eligibility &amp; Scoring'!$U16</f>
        <v>0</v>
      </c>
      <c r="D44" s="28" t="n">
        <f aca="false">'Eligibility &amp; Scoring'!$AK16-C44</f>
        <v>0</v>
      </c>
      <c r="E44" s="29" t="n">
        <f aca="false">IF(C44+D44=0,0,IFERROR(INDEX('Fund Parameters'!$B$74:$B$78,Pipeline!$H16),1))</f>
        <v>0</v>
      </c>
      <c r="F44" s="28" t="n">
        <f aca="false">D44</f>
        <v>0</v>
      </c>
      <c r="G44" s="47" t="n">
        <f aca="false">IF(1=Pipeline!$I16,$D44,0)</f>
        <v>0</v>
      </c>
      <c r="H44" s="47" t="n">
        <f aca="false">IF(2=Pipeline!$I16,$D44,0)</f>
        <v>0</v>
      </c>
      <c r="I44" s="47" t="n">
        <f aca="false">IF(3=Pipeline!$I16,$D44,0)</f>
        <v>0</v>
      </c>
      <c r="J44" s="47" t="n">
        <f aca="false">IF(4=Pipeline!$I16,$D44,0)</f>
        <v>0</v>
      </c>
      <c r="K44" s="47" t="n">
        <f aca="false">IF(5=Pipeline!$I16,$D44,0)</f>
        <v>0</v>
      </c>
      <c r="L44" s="47" t="n">
        <f aca="false">IF(6=Pipeline!$I16,$D44,0)</f>
        <v>0</v>
      </c>
      <c r="M44" s="47" t="n">
        <f aca="false">IF(7=Pipeline!$I16,$D44,0)</f>
        <v>0</v>
      </c>
      <c r="N44" s="47" t="n">
        <f aca="false">IF(8=Pipeline!$I16,$D44,0)</f>
        <v>0</v>
      </c>
      <c r="O44" s="47" t="n">
        <f aca="false">IF(9=Pipeline!$I16,$D44,0)</f>
        <v>0</v>
      </c>
      <c r="P44" s="47" t="n">
        <f aca="false">IF(10=Pipeline!$I16,$D44,0)</f>
        <v>0</v>
      </c>
      <c r="Q44" s="48" t="n">
        <f aca="false">SUM(G44:P44)</f>
        <v>0</v>
      </c>
    </row>
    <row r="45" customFormat="false" ht="15" hidden="false" customHeight="false" outlineLevel="0" collapsed="false">
      <c r="A45" s="10" t="n">
        <v>11</v>
      </c>
      <c r="B45" s="46" t="str">
        <f aca="false">'Eligibility &amp; Scoring'!$B17</f>
        <v>Project K - Peri-urban extension</v>
      </c>
      <c r="C45" s="28" t="n">
        <f aca="false">'Eligibility &amp; Scoring'!$AK17*'Eligibility &amp; Scoring'!$U17</f>
        <v>124750.673854447</v>
      </c>
      <c r="D45" s="28" t="n">
        <f aca="false">'Eligibility &amp; Scoring'!$AK17-C45</f>
        <v>257749.326145553</v>
      </c>
      <c r="E45" s="29" t="n">
        <f aca="false">IF(C45+D45=0,0,IFERROR(INDEX('Fund Parameters'!$B$74:$B$78,Pipeline!$H17),1))</f>
        <v>0.95</v>
      </c>
      <c r="F45" s="28" t="n">
        <f aca="false">D45</f>
        <v>257749.326145553</v>
      </c>
      <c r="G45" s="47" t="n">
        <f aca="false">IF(1=Pipeline!$I17,$D45,0)</f>
        <v>257749.326145553</v>
      </c>
      <c r="H45" s="47" t="n">
        <f aca="false">IF(2=Pipeline!$I17,$D45,0)</f>
        <v>0</v>
      </c>
      <c r="I45" s="47" t="n">
        <f aca="false">IF(3=Pipeline!$I17,$D45,0)</f>
        <v>0</v>
      </c>
      <c r="J45" s="47" t="n">
        <f aca="false">IF(4=Pipeline!$I17,$D45,0)</f>
        <v>0</v>
      </c>
      <c r="K45" s="47" t="n">
        <f aca="false">IF(5=Pipeline!$I17,$D45,0)</f>
        <v>0</v>
      </c>
      <c r="L45" s="47" t="n">
        <f aca="false">IF(6=Pipeline!$I17,$D45,0)</f>
        <v>0</v>
      </c>
      <c r="M45" s="47" t="n">
        <f aca="false">IF(7=Pipeline!$I17,$D45,0)</f>
        <v>0</v>
      </c>
      <c r="N45" s="47" t="n">
        <f aca="false">IF(8=Pipeline!$I17,$D45,0)</f>
        <v>0</v>
      </c>
      <c r="O45" s="47" t="n">
        <f aca="false">IF(9=Pipeline!$I17,$D45,0)</f>
        <v>0</v>
      </c>
      <c r="P45" s="47" t="n">
        <f aca="false">IF(10=Pipeline!$I17,$D45,0)</f>
        <v>0</v>
      </c>
      <c r="Q45" s="48" t="n">
        <f aca="false">SUM(G45:P45)</f>
        <v>257749.326145553</v>
      </c>
    </row>
    <row r="46" customFormat="false" ht="15" hidden="false" customHeight="false" outlineLevel="0" collapsed="false">
      <c r="A46" s="10" t="n">
        <v>12</v>
      </c>
      <c r="B46" s="46" t="str">
        <f aca="false">'Eligibility &amp; Scoring'!$B18</f>
        <v>Project L - Mining belt</v>
      </c>
      <c r="C46" s="28" t="n">
        <f aca="false">'Eligibility &amp; Scoring'!$AK18*'Eligibility &amp; Scoring'!$U18</f>
        <v>111562.5</v>
      </c>
      <c r="D46" s="28" t="n">
        <f aca="false">'Eligibility &amp; Scoring'!$AK18-C46</f>
        <v>270937.5</v>
      </c>
      <c r="E46" s="29" t="n">
        <f aca="false">IF(C46+D46=0,0,IFERROR(INDEX('Fund Parameters'!$B$74:$B$78,Pipeline!$H18),1))</f>
        <v>0.9</v>
      </c>
      <c r="F46" s="28" t="n">
        <f aca="false">D46</f>
        <v>270937.5</v>
      </c>
      <c r="G46" s="47" t="n">
        <f aca="false">IF(1=Pipeline!$I18,$D46,0)</f>
        <v>0</v>
      </c>
      <c r="H46" s="47" t="n">
        <f aca="false">IF(2=Pipeline!$I18,$D46,0)</f>
        <v>270937.5</v>
      </c>
      <c r="I46" s="47" t="n">
        <f aca="false">IF(3=Pipeline!$I18,$D46,0)</f>
        <v>0</v>
      </c>
      <c r="J46" s="47" t="n">
        <f aca="false">IF(4=Pipeline!$I18,$D46,0)</f>
        <v>0</v>
      </c>
      <c r="K46" s="47" t="n">
        <f aca="false">IF(5=Pipeline!$I18,$D46,0)</f>
        <v>0</v>
      </c>
      <c r="L46" s="47" t="n">
        <f aca="false">IF(6=Pipeline!$I18,$D46,0)</f>
        <v>0</v>
      </c>
      <c r="M46" s="47" t="n">
        <f aca="false">IF(7=Pipeline!$I18,$D46,0)</f>
        <v>0</v>
      </c>
      <c r="N46" s="47" t="n">
        <f aca="false">IF(8=Pipeline!$I18,$D46,0)</f>
        <v>0</v>
      </c>
      <c r="O46" s="47" t="n">
        <f aca="false">IF(9=Pipeline!$I18,$D46,0)</f>
        <v>0</v>
      </c>
      <c r="P46" s="47" t="n">
        <f aca="false">IF(10=Pipeline!$I18,$D46,0)</f>
        <v>0</v>
      </c>
      <c r="Q46" s="48" t="n">
        <f aca="false">SUM(G46:P46)</f>
        <v>270937.5</v>
      </c>
    </row>
    <row r="47" customFormat="false" ht="15" hidden="false" customHeight="false" outlineLevel="0" collapsed="false">
      <c r="A47" s="10" t="n">
        <v>13</v>
      </c>
      <c r="B47" s="46" t="str">
        <f aca="false">'Eligibility &amp; Scoring'!$B19</f>
        <v>Project M - Small pilot</v>
      </c>
      <c r="C47" s="28" t="n">
        <f aca="false">'Eligibility &amp; Scoring'!$AK19*'Eligibility &amp; Scoring'!$U19</f>
        <v>0</v>
      </c>
      <c r="D47" s="28" t="n">
        <f aca="false">'Eligibility &amp; Scoring'!$AK19-C47</f>
        <v>0</v>
      </c>
      <c r="E47" s="29" t="n">
        <f aca="false">IF(C47+D47=0,0,IFERROR(INDEX('Fund Parameters'!$B$74:$B$78,Pipeline!$H19),1))</f>
        <v>0</v>
      </c>
      <c r="F47" s="28" t="n">
        <f aca="false">D47</f>
        <v>0</v>
      </c>
      <c r="G47" s="47" t="n">
        <f aca="false">IF(1=Pipeline!$I19,$D47,0)</f>
        <v>0</v>
      </c>
      <c r="H47" s="47" t="n">
        <f aca="false">IF(2=Pipeline!$I19,$D47,0)</f>
        <v>0</v>
      </c>
      <c r="I47" s="47" t="n">
        <f aca="false">IF(3=Pipeline!$I19,$D47,0)</f>
        <v>0</v>
      </c>
      <c r="J47" s="47" t="n">
        <f aca="false">IF(4=Pipeline!$I19,$D47,0)</f>
        <v>0</v>
      </c>
      <c r="K47" s="47" t="n">
        <f aca="false">IF(5=Pipeline!$I19,$D47,0)</f>
        <v>0</v>
      </c>
      <c r="L47" s="47" t="n">
        <f aca="false">IF(6=Pipeline!$I19,$D47,0)</f>
        <v>0</v>
      </c>
      <c r="M47" s="47" t="n">
        <f aca="false">IF(7=Pipeline!$I19,$D47,0)</f>
        <v>0</v>
      </c>
      <c r="N47" s="47" t="n">
        <f aca="false">IF(8=Pipeline!$I19,$D47,0)</f>
        <v>0</v>
      </c>
      <c r="O47" s="47" t="n">
        <f aca="false">IF(9=Pipeline!$I19,$D47,0)</f>
        <v>0</v>
      </c>
      <c r="P47" s="47" t="n">
        <f aca="false">IF(10=Pipeline!$I19,$D47,0)</f>
        <v>0</v>
      </c>
      <c r="Q47" s="48" t="n">
        <f aca="false">SUM(G47:P47)</f>
        <v>0</v>
      </c>
    </row>
    <row r="48" customFormat="false" ht="15" hidden="false" customHeight="false" outlineLevel="0" collapsed="false">
      <c r="A48" s="10" t="n">
        <v>14</v>
      </c>
      <c r="B48" s="46" t="str">
        <f aca="false">'Eligibility &amp; Scoring'!$B20</f>
        <v>Project N - Lakeside expansion</v>
      </c>
      <c r="C48" s="28" t="n">
        <f aca="false">'Eligibility &amp; Scoring'!$AK20*'Eligibility &amp; Scoring'!$U20</f>
        <v>36167.6217765043</v>
      </c>
      <c r="D48" s="28" t="n">
        <f aca="false">'Eligibility &amp; Scoring'!$AK20-C48</f>
        <v>91332.3782234957</v>
      </c>
      <c r="E48" s="29" t="n">
        <f aca="false">IF(C48+D48=0,0,IFERROR(INDEX('Fund Parameters'!$B$74:$B$78,Pipeline!$H20),1))</f>
        <v>0.95</v>
      </c>
      <c r="F48" s="28" t="n">
        <f aca="false">D48</f>
        <v>91332.3782234957</v>
      </c>
      <c r="G48" s="47" t="n">
        <f aca="false">IF(1=Pipeline!$I20,$D48,0)</f>
        <v>0</v>
      </c>
      <c r="H48" s="47" t="n">
        <f aca="false">IF(2=Pipeline!$I20,$D48,0)</f>
        <v>91332.3782234957</v>
      </c>
      <c r="I48" s="47" t="n">
        <f aca="false">IF(3=Pipeline!$I20,$D48,0)</f>
        <v>0</v>
      </c>
      <c r="J48" s="47" t="n">
        <f aca="false">IF(4=Pipeline!$I20,$D48,0)</f>
        <v>0</v>
      </c>
      <c r="K48" s="47" t="n">
        <f aca="false">IF(5=Pipeline!$I20,$D48,0)</f>
        <v>0</v>
      </c>
      <c r="L48" s="47" t="n">
        <f aca="false">IF(6=Pipeline!$I20,$D48,0)</f>
        <v>0</v>
      </c>
      <c r="M48" s="47" t="n">
        <f aca="false">IF(7=Pipeline!$I20,$D48,0)</f>
        <v>0</v>
      </c>
      <c r="N48" s="47" t="n">
        <f aca="false">IF(8=Pipeline!$I20,$D48,0)</f>
        <v>0</v>
      </c>
      <c r="O48" s="47" t="n">
        <f aca="false">IF(9=Pipeline!$I20,$D48,0)</f>
        <v>0</v>
      </c>
      <c r="P48" s="47" t="n">
        <f aca="false">IF(10=Pipeline!$I20,$D48,0)</f>
        <v>0</v>
      </c>
      <c r="Q48" s="48" t="n">
        <f aca="false">SUM(G48:P48)</f>
        <v>91332.3782234957</v>
      </c>
    </row>
    <row r="49" customFormat="false" ht="15" hidden="false" customHeight="false" outlineLevel="0" collapsed="false">
      <c r="A49" s="10" t="n">
        <v>15</v>
      </c>
      <c r="B49" s="46" t="str">
        <f aca="false">'Eligibility &amp; Scoring'!$B21</f>
        <v/>
      </c>
      <c r="C49" s="28" t="n">
        <f aca="false">'Eligibility &amp; Scoring'!$AK21*'Eligibility &amp; Scoring'!$U21</f>
        <v>0</v>
      </c>
      <c r="D49" s="28" t="n">
        <f aca="false">'Eligibility &amp; Scoring'!$AK21-C49</f>
        <v>0</v>
      </c>
      <c r="E49" s="29" t="n">
        <f aca="false">IF(C49+D49=0,0,IFERROR(INDEX('Fund Parameters'!$B$74:$B$78,Pipeline!$H21),1))</f>
        <v>0</v>
      </c>
      <c r="F49" s="28" t="n">
        <f aca="false">D49</f>
        <v>0</v>
      </c>
      <c r="G49" s="47" t="n">
        <f aca="false">IF(1=Pipeline!$I21,$D49,0)</f>
        <v>0</v>
      </c>
      <c r="H49" s="47" t="n">
        <f aca="false">IF(2=Pipeline!$I21,$D49,0)</f>
        <v>0</v>
      </c>
      <c r="I49" s="47" t="n">
        <f aca="false">IF(3=Pipeline!$I21,$D49,0)</f>
        <v>0</v>
      </c>
      <c r="J49" s="47" t="n">
        <f aca="false">IF(4=Pipeline!$I21,$D49,0)</f>
        <v>0</v>
      </c>
      <c r="K49" s="47" t="n">
        <f aca="false">IF(5=Pipeline!$I21,$D49,0)</f>
        <v>0</v>
      </c>
      <c r="L49" s="47" t="n">
        <f aca="false">IF(6=Pipeline!$I21,$D49,0)</f>
        <v>0</v>
      </c>
      <c r="M49" s="47" t="n">
        <f aca="false">IF(7=Pipeline!$I21,$D49,0)</f>
        <v>0</v>
      </c>
      <c r="N49" s="47" t="n">
        <f aca="false">IF(8=Pipeline!$I21,$D49,0)</f>
        <v>0</v>
      </c>
      <c r="O49" s="47" t="n">
        <f aca="false">IF(9=Pipeline!$I21,$D49,0)</f>
        <v>0</v>
      </c>
      <c r="P49" s="47" t="n">
        <f aca="false">IF(10=Pipeline!$I21,$D49,0)</f>
        <v>0</v>
      </c>
      <c r="Q49" s="48" t="n">
        <f aca="false">SUM(G49:P49)</f>
        <v>0</v>
      </c>
    </row>
    <row r="50" customFormat="false" ht="15" hidden="false" customHeight="false" outlineLevel="0" collapsed="false">
      <c r="A50" s="10" t="n">
        <v>16</v>
      </c>
      <c r="B50" s="46" t="str">
        <f aca="false">'Eligibility &amp; Scoring'!$B22</f>
        <v/>
      </c>
      <c r="C50" s="28" t="n">
        <f aca="false">'Eligibility &amp; Scoring'!$AK22*'Eligibility &amp; Scoring'!$U22</f>
        <v>0</v>
      </c>
      <c r="D50" s="28" t="n">
        <f aca="false">'Eligibility &amp; Scoring'!$AK22-C50</f>
        <v>0</v>
      </c>
      <c r="E50" s="29" t="n">
        <f aca="false">IF(C50+D50=0,0,IFERROR(INDEX('Fund Parameters'!$B$74:$B$78,Pipeline!$H22),1))</f>
        <v>0</v>
      </c>
      <c r="F50" s="28" t="n">
        <f aca="false">D50</f>
        <v>0</v>
      </c>
      <c r="G50" s="47" t="n">
        <f aca="false">IF(1=Pipeline!$I22,$D50,0)</f>
        <v>0</v>
      </c>
      <c r="H50" s="47" t="n">
        <f aca="false">IF(2=Pipeline!$I22,$D50,0)</f>
        <v>0</v>
      </c>
      <c r="I50" s="47" t="n">
        <f aca="false">IF(3=Pipeline!$I22,$D50,0)</f>
        <v>0</v>
      </c>
      <c r="J50" s="47" t="n">
        <f aca="false">IF(4=Pipeline!$I22,$D50,0)</f>
        <v>0</v>
      </c>
      <c r="K50" s="47" t="n">
        <f aca="false">IF(5=Pipeline!$I22,$D50,0)</f>
        <v>0</v>
      </c>
      <c r="L50" s="47" t="n">
        <f aca="false">IF(6=Pipeline!$I22,$D50,0)</f>
        <v>0</v>
      </c>
      <c r="M50" s="47" t="n">
        <f aca="false">IF(7=Pipeline!$I22,$D50,0)</f>
        <v>0</v>
      </c>
      <c r="N50" s="47" t="n">
        <f aca="false">IF(8=Pipeline!$I22,$D50,0)</f>
        <v>0</v>
      </c>
      <c r="O50" s="47" t="n">
        <f aca="false">IF(9=Pipeline!$I22,$D50,0)</f>
        <v>0</v>
      </c>
      <c r="P50" s="47" t="n">
        <f aca="false">IF(10=Pipeline!$I22,$D50,0)</f>
        <v>0</v>
      </c>
      <c r="Q50" s="48" t="n">
        <f aca="false">SUM(G50:P50)</f>
        <v>0</v>
      </c>
    </row>
    <row r="51" customFormat="false" ht="15" hidden="false" customHeight="false" outlineLevel="0" collapsed="false">
      <c r="A51" s="10" t="n">
        <v>17</v>
      </c>
      <c r="B51" s="46" t="str">
        <f aca="false">'Eligibility &amp; Scoring'!$B23</f>
        <v/>
      </c>
      <c r="C51" s="28" t="n">
        <f aca="false">'Eligibility &amp; Scoring'!$AK23*'Eligibility &amp; Scoring'!$U23</f>
        <v>0</v>
      </c>
      <c r="D51" s="28" t="n">
        <f aca="false">'Eligibility &amp; Scoring'!$AK23-C51</f>
        <v>0</v>
      </c>
      <c r="E51" s="29" t="n">
        <f aca="false">IF(C51+D51=0,0,IFERROR(INDEX('Fund Parameters'!$B$74:$B$78,Pipeline!$H23),1))</f>
        <v>0</v>
      </c>
      <c r="F51" s="28" t="n">
        <f aca="false">D51</f>
        <v>0</v>
      </c>
      <c r="G51" s="47" t="n">
        <f aca="false">IF(1=Pipeline!$I23,$D51,0)</f>
        <v>0</v>
      </c>
      <c r="H51" s="47" t="n">
        <f aca="false">IF(2=Pipeline!$I23,$D51,0)</f>
        <v>0</v>
      </c>
      <c r="I51" s="47" t="n">
        <f aca="false">IF(3=Pipeline!$I23,$D51,0)</f>
        <v>0</v>
      </c>
      <c r="J51" s="47" t="n">
        <f aca="false">IF(4=Pipeline!$I23,$D51,0)</f>
        <v>0</v>
      </c>
      <c r="K51" s="47" t="n">
        <f aca="false">IF(5=Pipeline!$I23,$D51,0)</f>
        <v>0</v>
      </c>
      <c r="L51" s="47" t="n">
        <f aca="false">IF(6=Pipeline!$I23,$D51,0)</f>
        <v>0</v>
      </c>
      <c r="M51" s="47" t="n">
        <f aca="false">IF(7=Pipeline!$I23,$D51,0)</f>
        <v>0</v>
      </c>
      <c r="N51" s="47" t="n">
        <f aca="false">IF(8=Pipeline!$I23,$D51,0)</f>
        <v>0</v>
      </c>
      <c r="O51" s="47" t="n">
        <f aca="false">IF(9=Pipeline!$I23,$D51,0)</f>
        <v>0</v>
      </c>
      <c r="P51" s="47" t="n">
        <f aca="false">IF(10=Pipeline!$I23,$D51,0)</f>
        <v>0</v>
      </c>
      <c r="Q51" s="48" t="n">
        <f aca="false">SUM(G51:P51)</f>
        <v>0</v>
      </c>
    </row>
    <row r="52" customFormat="false" ht="15" hidden="false" customHeight="false" outlineLevel="0" collapsed="false">
      <c r="A52" s="10" t="n">
        <v>18</v>
      </c>
      <c r="B52" s="46" t="str">
        <f aca="false">'Eligibility &amp; Scoring'!$B24</f>
        <v/>
      </c>
      <c r="C52" s="28" t="n">
        <f aca="false">'Eligibility &amp; Scoring'!$AK24*'Eligibility &amp; Scoring'!$U24</f>
        <v>0</v>
      </c>
      <c r="D52" s="28" t="n">
        <f aca="false">'Eligibility &amp; Scoring'!$AK24-C52</f>
        <v>0</v>
      </c>
      <c r="E52" s="29" t="n">
        <f aca="false">IF(C52+D52=0,0,IFERROR(INDEX('Fund Parameters'!$B$74:$B$78,Pipeline!$H24),1))</f>
        <v>0</v>
      </c>
      <c r="F52" s="28" t="n">
        <f aca="false">D52</f>
        <v>0</v>
      </c>
      <c r="G52" s="47" t="n">
        <f aca="false">IF(1=Pipeline!$I24,$D52,0)</f>
        <v>0</v>
      </c>
      <c r="H52" s="47" t="n">
        <f aca="false">IF(2=Pipeline!$I24,$D52,0)</f>
        <v>0</v>
      </c>
      <c r="I52" s="47" t="n">
        <f aca="false">IF(3=Pipeline!$I24,$D52,0)</f>
        <v>0</v>
      </c>
      <c r="J52" s="47" t="n">
        <f aca="false">IF(4=Pipeline!$I24,$D52,0)</f>
        <v>0</v>
      </c>
      <c r="K52" s="47" t="n">
        <f aca="false">IF(5=Pipeline!$I24,$D52,0)</f>
        <v>0</v>
      </c>
      <c r="L52" s="47" t="n">
        <f aca="false">IF(6=Pipeline!$I24,$D52,0)</f>
        <v>0</v>
      </c>
      <c r="M52" s="47" t="n">
        <f aca="false">IF(7=Pipeline!$I24,$D52,0)</f>
        <v>0</v>
      </c>
      <c r="N52" s="47" t="n">
        <f aca="false">IF(8=Pipeline!$I24,$D52,0)</f>
        <v>0</v>
      </c>
      <c r="O52" s="47" t="n">
        <f aca="false">IF(9=Pipeline!$I24,$D52,0)</f>
        <v>0</v>
      </c>
      <c r="P52" s="47" t="n">
        <f aca="false">IF(10=Pipeline!$I24,$D52,0)</f>
        <v>0</v>
      </c>
      <c r="Q52" s="48" t="n">
        <f aca="false">SUM(G52:P52)</f>
        <v>0</v>
      </c>
    </row>
    <row r="53" customFormat="false" ht="15" hidden="false" customHeight="false" outlineLevel="0" collapsed="false">
      <c r="A53" s="10" t="n">
        <v>19</v>
      </c>
      <c r="B53" s="46" t="str">
        <f aca="false">'Eligibility &amp; Scoring'!$B25</f>
        <v/>
      </c>
      <c r="C53" s="28" t="n">
        <f aca="false">'Eligibility &amp; Scoring'!$AK25*'Eligibility &amp; Scoring'!$U25</f>
        <v>0</v>
      </c>
      <c r="D53" s="28" t="n">
        <f aca="false">'Eligibility &amp; Scoring'!$AK25-C53</f>
        <v>0</v>
      </c>
      <c r="E53" s="29" t="n">
        <f aca="false">IF(C53+D53=0,0,IFERROR(INDEX('Fund Parameters'!$B$74:$B$78,Pipeline!$H25),1))</f>
        <v>0</v>
      </c>
      <c r="F53" s="28" t="n">
        <f aca="false">D53</f>
        <v>0</v>
      </c>
      <c r="G53" s="47" t="n">
        <f aca="false">IF(1=Pipeline!$I25,$D53,0)</f>
        <v>0</v>
      </c>
      <c r="H53" s="47" t="n">
        <f aca="false">IF(2=Pipeline!$I25,$D53,0)</f>
        <v>0</v>
      </c>
      <c r="I53" s="47" t="n">
        <f aca="false">IF(3=Pipeline!$I25,$D53,0)</f>
        <v>0</v>
      </c>
      <c r="J53" s="47" t="n">
        <f aca="false">IF(4=Pipeline!$I25,$D53,0)</f>
        <v>0</v>
      </c>
      <c r="K53" s="47" t="n">
        <f aca="false">IF(5=Pipeline!$I25,$D53,0)</f>
        <v>0</v>
      </c>
      <c r="L53" s="47" t="n">
        <f aca="false">IF(6=Pipeline!$I25,$D53,0)</f>
        <v>0</v>
      </c>
      <c r="M53" s="47" t="n">
        <f aca="false">IF(7=Pipeline!$I25,$D53,0)</f>
        <v>0</v>
      </c>
      <c r="N53" s="47" t="n">
        <f aca="false">IF(8=Pipeline!$I25,$D53,0)</f>
        <v>0</v>
      </c>
      <c r="O53" s="47" t="n">
        <f aca="false">IF(9=Pipeline!$I25,$D53,0)</f>
        <v>0</v>
      </c>
      <c r="P53" s="47" t="n">
        <f aca="false">IF(10=Pipeline!$I25,$D53,0)</f>
        <v>0</v>
      </c>
      <c r="Q53" s="48" t="n">
        <f aca="false">SUM(G53:P53)</f>
        <v>0</v>
      </c>
    </row>
    <row r="54" customFormat="false" ht="15" hidden="false" customHeight="false" outlineLevel="0" collapsed="false">
      <c r="A54" s="10" t="n">
        <v>20</v>
      </c>
      <c r="B54" s="46" t="str">
        <f aca="false">'Eligibility &amp; Scoring'!$B26</f>
        <v/>
      </c>
      <c r="C54" s="28" t="n">
        <f aca="false">'Eligibility &amp; Scoring'!$AK26*'Eligibility &amp; Scoring'!$U26</f>
        <v>0</v>
      </c>
      <c r="D54" s="28" t="n">
        <f aca="false">'Eligibility &amp; Scoring'!$AK26-C54</f>
        <v>0</v>
      </c>
      <c r="E54" s="29" t="n">
        <f aca="false">IF(C54+D54=0,0,IFERROR(INDEX('Fund Parameters'!$B$74:$B$78,Pipeline!$H26),1))</f>
        <v>0</v>
      </c>
      <c r="F54" s="28" t="n">
        <f aca="false">D54</f>
        <v>0</v>
      </c>
      <c r="G54" s="47" t="n">
        <f aca="false">IF(1=Pipeline!$I26,$D54,0)</f>
        <v>0</v>
      </c>
      <c r="H54" s="47" t="n">
        <f aca="false">IF(2=Pipeline!$I26,$D54,0)</f>
        <v>0</v>
      </c>
      <c r="I54" s="47" t="n">
        <f aca="false">IF(3=Pipeline!$I26,$D54,0)</f>
        <v>0</v>
      </c>
      <c r="J54" s="47" t="n">
        <f aca="false">IF(4=Pipeline!$I26,$D54,0)</f>
        <v>0</v>
      </c>
      <c r="K54" s="47" t="n">
        <f aca="false">IF(5=Pipeline!$I26,$D54,0)</f>
        <v>0</v>
      </c>
      <c r="L54" s="47" t="n">
        <f aca="false">IF(6=Pipeline!$I26,$D54,0)</f>
        <v>0</v>
      </c>
      <c r="M54" s="47" t="n">
        <f aca="false">IF(7=Pipeline!$I26,$D54,0)</f>
        <v>0</v>
      </c>
      <c r="N54" s="47" t="n">
        <f aca="false">IF(8=Pipeline!$I26,$D54,0)</f>
        <v>0</v>
      </c>
      <c r="O54" s="47" t="n">
        <f aca="false">IF(9=Pipeline!$I26,$D54,0)</f>
        <v>0</v>
      </c>
      <c r="P54" s="47" t="n">
        <f aca="false">IF(10=Pipeline!$I26,$D54,0)</f>
        <v>0</v>
      </c>
      <c r="Q54" s="48" t="n">
        <f aca="false">SUM(G54:P54)</f>
        <v>0</v>
      </c>
    </row>
    <row r="55" customFormat="false" ht="15" hidden="false" customHeight="false" outlineLevel="0" collapsed="false">
      <c r="A55" s="10" t="n">
        <v>21</v>
      </c>
      <c r="B55" s="46" t="str">
        <f aca="false">'Eligibility &amp; Scoring'!$B27</f>
        <v/>
      </c>
      <c r="C55" s="28" t="n">
        <f aca="false">'Eligibility &amp; Scoring'!$AK27*'Eligibility &amp; Scoring'!$U27</f>
        <v>0</v>
      </c>
      <c r="D55" s="28" t="n">
        <f aca="false">'Eligibility &amp; Scoring'!$AK27-C55</f>
        <v>0</v>
      </c>
      <c r="E55" s="29" t="n">
        <f aca="false">IF(C55+D55=0,0,IFERROR(INDEX('Fund Parameters'!$B$74:$B$78,Pipeline!$H27),1))</f>
        <v>0</v>
      </c>
      <c r="F55" s="28" t="n">
        <f aca="false">D55</f>
        <v>0</v>
      </c>
      <c r="G55" s="47" t="n">
        <f aca="false">IF(1=Pipeline!$I27,$D55,0)</f>
        <v>0</v>
      </c>
      <c r="H55" s="47" t="n">
        <f aca="false">IF(2=Pipeline!$I27,$D55,0)</f>
        <v>0</v>
      </c>
      <c r="I55" s="47" t="n">
        <f aca="false">IF(3=Pipeline!$I27,$D55,0)</f>
        <v>0</v>
      </c>
      <c r="J55" s="47" t="n">
        <f aca="false">IF(4=Pipeline!$I27,$D55,0)</f>
        <v>0</v>
      </c>
      <c r="K55" s="47" t="n">
        <f aca="false">IF(5=Pipeline!$I27,$D55,0)</f>
        <v>0</v>
      </c>
      <c r="L55" s="47" t="n">
        <f aca="false">IF(6=Pipeline!$I27,$D55,0)</f>
        <v>0</v>
      </c>
      <c r="M55" s="47" t="n">
        <f aca="false">IF(7=Pipeline!$I27,$D55,0)</f>
        <v>0</v>
      </c>
      <c r="N55" s="47" t="n">
        <f aca="false">IF(8=Pipeline!$I27,$D55,0)</f>
        <v>0</v>
      </c>
      <c r="O55" s="47" t="n">
        <f aca="false">IF(9=Pipeline!$I27,$D55,0)</f>
        <v>0</v>
      </c>
      <c r="P55" s="47" t="n">
        <f aca="false">IF(10=Pipeline!$I27,$D55,0)</f>
        <v>0</v>
      </c>
      <c r="Q55" s="48" t="n">
        <f aca="false">SUM(G55:P55)</f>
        <v>0</v>
      </c>
    </row>
    <row r="56" customFormat="false" ht="15" hidden="false" customHeight="false" outlineLevel="0" collapsed="false">
      <c r="A56" s="10" t="n">
        <v>22</v>
      </c>
      <c r="B56" s="46" t="str">
        <f aca="false">'Eligibility &amp; Scoring'!$B28</f>
        <v/>
      </c>
      <c r="C56" s="28" t="n">
        <f aca="false">'Eligibility &amp; Scoring'!$AK28*'Eligibility &amp; Scoring'!$U28</f>
        <v>0</v>
      </c>
      <c r="D56" s="28" t="n">
        <f aca="false">'Eligibility &amp; Scoring'!$AK28-C56</f>
        <v>0</v>
      </c>
      <c r="E56" s="29" t="n">
        <f aca="false">IF(C56+D56=0,0,IFERROR(INDEX('Fund Parameters'!$B$74:$B$78,Pipeline!$H28),1))</f>
        <v>0</v>
      </c>
      <c r="F56" s="28" t="n">
        <f aca="false">D56</f>
        <v>0</v>
      </c>
      <c r="G56" s="47" t="n">
        <f aca="false">IF(1=Pipeline!$I28,$D56,0)</f>
        <v>0</v>
      </c>
      <c r="H56" s="47" t="n">
        <f aca="false">IF(2=Pipeline!$I28,$D56,0)</f>
        <v>0</v>
      </c>
      <c r="I56" s="47" t="n">
        <f aca="false">IF(3=Pipeline!$I28,$D56,0)</f>
        <v>0</v>
      </c>
      <c r="J56" s="47" t="n">
        <f aca="false">IF(4=Pipeline!$I28,$D56,0)</f>
        <v>0</v>
      </c>
      <c r="K56" s="47" t="n">
        <f aca="false">IF(5=Pipeline!$I28,$D56,0)</f>
        <v>0</v>
      </c>
      <c r="L56" s="47" t="n">
        <f aca="false">IF(6=Pipeline!$I28,$D56,0)</f>
        <v>0</v>
      </c>
      <c r="M56" s="47" t="n">
        <f aca="false">IF(7=Pipeline!$I28,$D56,0)</f>
        <v>0</v>
      </c>
      <c r="N56" s="47" t="n">
        <f aca="false">IF(8=Pipeline!$I28,$D56,0)</f>
        <v>0</v>
      </c>
      <c r="O56" s="47" t="n">
        <f aca="false">IF(9=Pipeline!$I28,$D56,0)</f>
        <v>0</v>
      </c>
      <c r="P56" s="47" t="n">
        <f aca="false">IF(10=Pipeline!$I28,$D56,0)</f>
        <v>0</v>
      </c>
      <c r="Q56" s="48" t="n">
        <f aca="false">SUM(G56:P56)</f>
        <v>0</v>
      </c>
    </row>
    <row r="57" customFormat="false" ht="15" hidden="false" customHeight="false" outlineLevel="0" collapsed="false">
      <c r="A57" s="10" t="n">
        <v>23</v>
      </c>
      <c r="B57" s="46" t="str">
        <f aca="false">'Eligibility &amp; Scoring'!$B29</f>
        <v/>
      </c>
      <c r="C57" s="28" t="n">
        <f aca="false">'Eligibility &amp; Scoring'!$AK29*'Eligibility &amp; Scoring'!$U29</f>
        <v>0</v>
      </c>
      <c r="D57" s="28" t="n">
        <f aca="false">'Eligibility &amp; Scoring'!$AK29-C57</f>
        <v>0</v>
      </c>
      <c r="E57" s="29" t="n">
        <f aca="false">IF(C57+D57=0,0,IFERROR(INDEX('Fund Parameters'!$B$74:$B$78,Pipeline!$H29),1))</f>
        <v>0</v>
      </c>
      <c r="F57" s="28" t="n">
        <f aca="false">D57</f>
        <v>0</v>
      </c>
      <c r="G57" s="47" t="n">
        <f aca="false">IF(1=Pipeline!$I29,$D57,0)</f>
        <v>0</v>
      </c>
      <c r="H57" s="47" t="n">
        <f aca="false">IF(2=Pipeline!$I29,$D57,0)</f>
        <v>0</v>
      </c>
      <c r="I57" s="47" t="n">
        <f aca="false">IF(3=Pipeline!$I29,$D57,0)</f>
        <v>0</v>
      </c>
      <c r="J57" s="47" t="n">
        <f aca="false">IF(4=Pipeline!$I29,$D57,0)</f>
        <v>0</v>
      </c>
      <c r="K57" s="47" t="n">
        <f aca="false">IF(5=Pipeline!$I29,$D57,0)</f>
        <v>0</v>
      </c>
      <c r="L57" s="47" t="n">
        <f aca="false">IF(6=Pipeline!$I29,$D57,0)</f>
        <v>0</v>
      </c>
      <c r="M57" s="47" t="n">
        <f aca="false">IF(7=Pipeline!$I29,$D57,0)</f>
        <v>0</v>
      </c>
      <c r="N57" s="47" t="n">
        <f aca="false">IF(8=Pipeline!$I29,$D57,0)</f>
        <v>0</v>
      </c>
      <c r="O57" s="47" t="n">
        <f aca="false">IF(9=Pipeline!$I29,$D57,0)</f>
        <v>0</v>
      </c>
      <c r="P57" s="47" t="n">
        <f aca="false">IF(10=Pipeline!$I29,$D57,0)</f>
        <v>0</v>
      </c>
      <c r="Q57" s="48" t="n">
        <f aca="false">SUM(G57:P57)</f>
        <v>0</v>
      </c>
    </row>
    <row r="58" customFormat="false" ht="15" hidden="false" customHeight="false" outlineLevel="0" collapsed="false">
      <c r="A58" s="10" t="n">
        <v>24</v>
      </c>
      <c r="B58" s="46" t="str">
        <f aca="false">'Eligibility &amp; Scoring'!$B30</f>
        <v/>
      </c>
      <c r="C58" s="28" t="n">
        <f aca="false">'Eligibility &amp; Scoring'!$AK30*'Eligibility &amp; Scoring'!$U30</f>
        <v>0</v>
      </c>
      <c r="D58" s="28" t="n">
        <f aca="false">'Eligibility &amp; Scoring'!$AK30-C58</f>
        <v>0</v>
      </c>
      <c r="E58" s="29" t="n">
        <f aca="false">IF(C58+D58=0,0,IFERROR(INDEX('Fund Parameters'!$B$74:$B$78,Pipeline!$H30),1))</f>
        <v>0</v>
      </c>
      <c r="F58" s="28" t="n">
        <f aca="false">D58</f>
        <v>0</v>
      </c>
      <c r="G58" s="47" t="n">
        <f aca="false">IF(1=Pipeline!$I30,$D58,0)</f>
        <v>0</v>
      </c>
      <c r="H58" s="47" t="n">
        <f aca="false">IF(2=Pipeline!$I30,$D58,0)</f>
        <v>0</v>
      </c>
      <c r="I58" s="47" t="n">
        <f aca="false">IF(3=Pipeline!$I30,$D58,0)</f>
        <v>0</v>
      </c>
      <c r="J58" s="47" t="n">
        <f aca="false">IF(4=Pipeline!$I30,$D58,0)</f>
        <v>0</v>
      </c>
      <c r="K58" s="47" t="n">
        <f aca="false">IF(5=Pipeline!$I30,$D58,0)</f>
        <v>0</v>
      </c>
      <c r="L58" s="47" t="n">
        <f aca="false">IF(6=Pipeline!$I30,$D58,0)</f>
        <v>0</v>
      </c>
      <c r="M58" s="47" t="n">
        <f aca="false">IF(7=Pipeline!$I30,$D58,0)</f>
        <v>0</v>
      </c>
      <c r="N58" s="47" t="n">
        <f aca="false">IF(8=Pipeline!$I30,$D58,0)</f>
        <v>0</v>
      </c>
      <c r="O58" s="47" t="n">
        <f aca="false">IF(9=Pipeline!$I30,$D58,0)</f>
        <v>0</v>
      </c>
      <c r="P58" s="47" t="n">
        <f aca="false">IF(10=Pipeline!$I30,$D58,0)</f>
        <v>0</v>
      </c>
      <c r="Q58" s="48" t="n">
        <f aca="false">SUM(G58:P58)</f>
        <v>0</v>
      </c>
    </row>
    <row r="59" customFormat="false" ht="15" hidden="false" customHeight="false" outlineLevel="0" collapsed="false">
      <c r="A59" s="10" t="n">
        <v>25</v>
      </c>
      <c r="B59" s="46" t="str">
        <f aca="false">'Eligibility &amp; Scoring'!$B31</f>
        <v/>
      </c>
      <c r="C59" s="28" t="n">
        <f aca="false">'Eligibility &amp; Scoring'!$AK31*'Eligibility &amp; Scoring'!$U31</f>
        <v>0</v>
      </c>
      <c r="D59" s="28" t="n">
        <f aca="false">'Eligibility &amp; Scoring'!$AK31-C59</f>
        <v>0</v>
      </c>
      <c r="E59" s="29" t="n">
        <f aca="false">IF(C59+D59=0,0,IFERROR(INDEX('Fund Parameters'!$B$74:$B$78,Pipeline!$H31),1))</f>
        <v>0</v>
      </c>
      <c r="F59" s="28" t="n">
        <f aca="false">D59</f>
        <v>0</v>
      </c>
      <c r="G59" s="47" t="n">
        <f aca="false">IF(1=Pipeline!$I31,$D59,0)</f>
        <v>0</v>
      </c>
      <c r="H59" s="47" t="n">
        <f aca="false">IF(2=Pipeline!$I31,$D59,0)</f>
        <v>0</v>
      </c>
      <c r="I59" s="47" t="n">
        <f aca="false">IF(3=Pipeline!$I31,$D59,0)</f>
        <v>0</v>
      </c>
      <c r="J59" s="47" t="n">
        <f aca="false">IF(4=Pipeline!$I31,$D59,0)</f>
        <v>0</v>
      </c>
      <c r="K59" s="47" t="n">
        <f aca="false">IF(5=Pipeline!$I31,$D59,0)</f>
        <v>0</v>
      </c>
      <c r="L59" s="47" t="n">
        <f aca="false">IF(6=Pipeline!$I31,$D59,0)</f>
        <v>0</v>
      </c>
      <c r="M59" s="47" t="n">
        <f aca="false">IF(7=Pipeline!$I31,$D59,0)</f>
        <v>0</v>
      </c>
      <c r="N59" s="47" t="n">
        <f aca="false">IF(8=Pipeline!$I31,$D59,0)</f>
        <v>0</v>
      </c>
      <c r="O59" s="47" t="n">
        <f aca="false">IF(9=Pipeline!$I31,$D59,0)</f>
        <v>0</v>
      </c>
      <c r="P59" s="47" t="n">
        <f aca="false">IF(10=Pipeline!$I31,$D59,0)</f>
        <v>0</v>
      </c>
      <c r="Q59" s="48" t="n">
        <f aca="false">SUM(G59:P59)</f>
        <v>0</v>
      </c>
    </row>
    <row r="60" customFormat="false" ht="15" hidden="false" customHeight="false" outlineLevel="0" collapsed="false">
      <c r="B60" s="15" t="s">
        <v>217</v>
      </c>
      <c r="C60" s="43" t="n">
        <f aca="false">SUM(C35:C59)</f>
        <v>753310.82158811</v>
      </c>
      <c r="D60" s="43" t="n">
        <f aca="false">SUM(D35:D59)</f>
        <v>1796689.17841189</v>
      </c>
      <c r="F60" s="43" t="n">
        <f aca="false">SUM(F35:F59)</f>
        <v>1796689.17841189</v>
      </c>
      <c r="G60" s="43" t="n">
        <f aca="false">SUM(G35:G59)</f>
        <v>796766.235105239</v>
      </c>
      <c r="H60" s="43" t="n">
        <f aca="false">SUM(H35:H59)</f>
        <v>999922.943306651</v>
      </c>
      <c r="I60" s="43" t="n">
        <f aca="false">SUM(I35:I59)</f>
        <v>0</v>
      </c>
      <c r="J60" s="43" t="n">
        <f aca="false">SUM(J35:J59)</f>
        <v>0</v>
      </c>
      <c r="K60" s="43" t="n">
        <f aca="false">SUM(K35:K59)</f>
        <v>0</v>
      </c>
      <c r="L60" s="43" t="n">
        <f aca="false">SUM(L35:L59)</f>
        <v>0</v>
      </c>
      <c r="M60" s="43" t="n">
        <f aca="false">SUM(M35:M59)</f>
        <v>0</v>
      </c>
      <c r="N60" s="43" t="n">
        <f aca="false">SUM(N35:N59)</f>
        <v>0</v>
      </c>
      <c r="O60" s="43" t="n">
        <f aca="false">SUM(O35:O59)</f>
        <v>0</v>
      </c>
      <c r="P60" s="43" t="n">
        <f aca="false">SUM(P35:P59)</f>
        <v>0</v>
      </c>
      <c r="Q60" s="43" t="n">
        <f aca="false">SUM(Q35:Q59)</f>
        <v>1796689.17841189</v>
      </c>
    </row>
    <row r="62" customFormat="false" ht="15" hidden="false" customHeight="false" outlineLevel="0" collapsed="false">
      <c r="A62" s="8" t="s">
        <v>227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customFormat="false" ht="30" hidden="false" customHeight="true" outlineLevel="0" collapsed="false">
      <c r="A63" s="44" t="s">
        <v>116</v>
      </c>
      <c r="B63" s="44" t="s">
        <v>117</v>
      </c>
      <c r="C63" s="44" t="s">
        <v>221</v>
      </c>
      <c r="D63" s="44" t="s">
        <v>222</v>
      </c>
      <c r="E63" s="44" t="s">
        <v>223</v>
      </c>
      <c r="F63" s="44" t="s">
        <v>224</v>
      </c>
      <c r="G63" s="45" t="n">
        <f aca="false">FundStart-1+1</f>
        <v>2027</v>
      </c>
      <c r="H63" s="45" t="n">
        <f aca="false">FundStart-1+2</f>
        <v>2028</v>
      </c>
      <c r="I63" s="45" t="n">
        <f aca="false">FundStart-1+3</f>
        <v>2029</v>
      </c>
      <c r="J63" s="45" t="n">
        <f aca="false">FundStart-1+4</f>
        <v>2030</v>
      </c>
      <c r="K63" s="45" t="n">
        <f aca="false">FundStart-1+5</f>
        <v>2031</v>
      </c>
      <c r="L63" s="45" t="n">
        <f aca="false">FundStart-1+6</f>
        <v>2032</v>
      </c>
      <c r="M63" s="45" t="n">
        <f aca="false">FundStart-1+7</f>
        <v>2033</v>
      </c>
      <c r="N63" s="45" t="n">
        <f aca="false">FundStart-1+8</f>
        <v>2034</v>
      </c>
      <c r="O63" s="45" t="n">
        <f aca="false">FundStart-1+9</f>
        <v>2035</v>
      </c>
      <c r="P63" s="45" t="n">
        <f aca="false">FundStart-1+10</f>
        <v>2036</v>
      </c>
      <c r="Q63" s="44" t="s">
        <v>225</v>
      </c>
    </row>
    <row r="64" customFormat="false" ht="15" hidden="false" customHeight="false" outlineLevel="0" collapsed="false">
      <c r="A64" s="10" t="n">
        <v>1</v>
      </c>
      <c r="B64" s="46" t="str">
        <f aca="false">'Eligibility &amp; Scoring'!$B7</f>
        <v>Project A - Lake village cluster</v>
      </c>
      <c r="C64" s="28" t="n">
        <f aca="false">'Eligibility &amp; Scoring'!$AK7*'Eligibility &amp; Scoring'!$U7</f>
        <v>110778.68852459</v>
      </c>
      <c r="D64" s="28" t="n">
        <f aca="false">'Eligibility &amp; Scoring'!$AK7-C64</f>
        <v>271721.31147541</v>
      </c>
      <c r="E64" s="29" t="n">
        <f aca="false">IF(C64+D64=0,0,IFERROR(INDEX('Fund Parameters'!$B$74:$B$78,Pipeline!$H7),1))</f>
        <v>0.95</v>
      </c>
      <c r="F64" s="28" t="n">
        <f aca="false">C64*E64+D64</f>
        <v>376961.065573771</v>
      </c>
      <c r="G64" s="47" t="n">
        <f aca="false">G6+G35</f>
        <v>315922.008196721</v>
      </c>
      <c r="H64" s="47" t="n">
        <f aca="false">H6+H35</f>
        <v>41043.5040983607</v>
      </c>
      <c r="I64" s="47" t="n">
        <f aca="false">I6+I35</f>
        <v>16838.3606557377</v>
      </c>
      <c r="J64" s="47" t="n">
        <f aca="false">J6+J35</f>
        <v>3157.19262295082</v>
      </c>
      <c r="K64" s="47" t="n">
        <f aca="false">K6+K35</f>
        <v>0</v>
      </c>
      <c r="L64" s="47" t="n">
        <f aca="false">L6+L35</f>
        <v>0</v>
      </c>
      <c r="M64" s="47" t="n">
        <f aca="false">M6+M35</f>
        <v>0</v>
      </c>
      <c r="N64" s="47" t="n">
        <f aca="false">N6+N35</f>
        <v>0</v>
      </c>
      <c r="O64" s="47" t="n">
        <f aca="false">O6+O35</f>
        <v>0</v>
      </c>
      <c r="P64" s="47" t="n">
        <f aca="false">P6+P35</f>
        <v>0</v>
      </c>
      <c r="Q64" s="48" t="n">
        <f aca="false">SUM(G64:P64)</f>
        <v>376961.065573771</v>
      </c>
    </row>
    <row r="65" customFormat="false" ht="15" hidden="false" customHeight="false" outlineLevel="0" collapsed="false">
      <c r="A65" s="10" t="n">
        <v>2</v>
      </c>
      <c r="B65" s="46" t="str">
        <f aca="false">'Eligibility &amp; Scoring'!$B8</f>
        <v>Project B - River towns</v>
      </c>
      <c r="C65" s="28" t="n">
        <f aca="false">'Eligibility &amp; Scoring'!$AK8*'Eligibility &amp; Scoring'!$U8</f>
        <v>32871.09375</v>
      </c>
      <c r="D65" s="28" t="n">
        <f aca="false">'Eligibility &amp; Scoring'!$AK8-C65</f>
        <v>94628.90625</v>
      </c>
      <c r="E65" s="29" t="n">
        <f aca="false">IF(C65+D65=0,0,IFERROR(INDEX('Fund Parameters'!$B$74:$B$78,Pipeline!$H8),1))</f>
        <v>0.9</v>
      </c>
      <c r="F65" s="28" t="n">
        <f aca="false">C65*E65+D65</f>
        <v>124212.890625</v>
      </c>
      <c r="G65" s="47" t="n">
        <f aca="false">G7+G36</f>
        <v>0</v>
      </c>
      <c r="H65" s="47" t="n">
        <f aca="false">H7+H36</f>
        <v>107054.1796875</v>
      </c>
      <c r="I65" s="47" t="n">
        <f aca="false">I7+I36</f>
        <v>11537.75390625</v>
      </c>
      <c r="J65" s="47" t="n">
        <f aca="false">J7+J36</f>
        <v>4733.4375</v>
      </c>
      <c r="K65" s="47" t="n">
        <f aca="false">K7+K36</f>
        <v>887.51953125</v>
      </c>
      <c r="L65" s="47" t="n">
        <f aca="false">L7+L36</f>
        <v>0</v>
      </c>
      <c r="M65" s="47" t="n">
        <f aca="false">M7+M36</f>
        <v>0</v>
      </c>
      <c r="N65" s="47" t="n">
        <f aca="false">N7+N36</f>
        <v>0</v>
      </c>
      <c r="O65" s="47" t="n">
        <f aca="false">O7+O36</f>
        <v>0</v>
      </c>
      <c r="P65" s="47" t="n">
        <f aca="false">P7+P36</f>
        <v>0</v>
      </c>
      <c r="Q65" s="48" t="n">
        <f aca="false">SUM(G65:P65)</f>
        <v>124212.890625</v>
      </c>
    </row>
    <row r="66" customFormat="false" ht="15" hidden="false" customHeight="false" outlineLevel="0" collapsed="false">
      <c r="A66" s="10" t="n">
        <v>3</v>
      </c>
      <c r="B66" s="46" t="str">
        <f aca="false">'Eligibility &amp; Scoring'!$B9</f>
        <v>Project C - Northern corridor</v>
      </c>
      <c r="C66" s="28" t="n">
        <f aca="false">'Eligibility &amp; Scoring'!$AK9*'Eligibility &amp; Scoring'!$U9</f>
        <v>115204.402515723</v>
      </c>
      <c r="D66" s="28" t="n">
        <f aca="false">'Eligibility &amp; Scoring'!$AK9-C66</f>
        <v>267295.597484277</v>
      </c>
      <c r="E66" s="29" t="n">
        <f aca="false">IF(C66+D66=0,0,IFERROR(INDEX('Fund Parameters'!$B$74:$B$78,Pipeline!$H9),1))</f>
        <v>1</v>
      </c>
      <c r="F66" s="28" t="n">
        <f aca="false">C66*E66+D66</f>
        <v>382500</v>
      </c>
      <c r="G66" s="47" t="n">
        <f aca="false">G8+G37</f>
        <v>315681.446540881</v>
      </c>
      <c r="H66" s="47" t="n">
        <f aca="false">H8+H37</f>
        <v>44929.7169811321</v>
      </c>
      <c r="I66" s="47" t="n">
        <f aca="false">I8+I37</f>
        <v>18432.7044025157</v>
      </c>
      <c r="J66" s="47" t="n">
        <f aca="false">J8+J37</f>
        <v>3456.1320754717</v>
      </c>
      <c r="K66" s="47" t="n">
        <f aca="false">K8+K37</f>
        <v>0</v>
      </c>
      <c r="L66" s="47" t="n">
        <f aca="false">L8+L37</f>
        <v>0</v>
      </c>
      <c r="M66" s="47" t="n">
        <f aca="false">M8+M37</f>
        <v>0</v>
      </c>
      <c r="N66" s="47" t="n">
        <f aca="false">N8+N37</f>
        <v>0</v>
      </c>
      <c r="O66" s="47" t="n">
        <f aca="false">O8+O37</f>
        <v>0</v>
      </c>
      <c r="P66" s="47" t="n">
        <f aca="false">P8+P37</f>
        <v>0</v>
      </c>
      <c r="Q66" s="48" t="n">
        <f aca="false">SUM(G66:P66)</f>
        <v>382500</v>
      </c>
    </row>
    <row r="67" customFormat="false" ht="15" hidden="false" customHeight="false" outlineLevel="0" collapsed="false">
      <c r="A67" s="10" t="n">
        <v>4</v>
      </c>
      <c r="B67" s="46" t="str">
        <f aca="false">'Eligibility &amp; Scoring'!$B10</f>
        <v>Project D - Island grids</v>
      </c>
      <c r="C67" s="28" t="n">
        <f aca="false">'Eligibility &amp; Scoring'!$AK10*'Eligibility &amp; Scoring'!$U10</f>
        <v>0</v>
      </c>
      <c r="D67" s="28" t="n">
        <f aca="false">'Eligibility &amp; Scoring'!$AK10-C67</f>
        <v>0</v>
      </c>
      <c r="E67" s="29" t="n">
        <f aca="false">IF(C67+D67=0,0,IFERROR(INDEX('Fund Parameters'!$B$74:$B$78,Pipeline!$H10),1))</f>
        <v>0</v>
      </c>
      <c r="F67" s="28" t="n">
        <f aca="false">C67*E67+D67</f>
        <v>0</v>
      </c>
      <c r="G67" s="47" t="n">
        <f aca="false">G9+G38</f>
        <v>0</v>
      </c>
      <c r="H67" s="47" t="n">
        <f aca="false">H9+H38</f>
        <v>0</v>
      </c>
      <c r="I67" s="47" t="n">
        <f aca="false">I9+I38</f>
        <v>0</v>
      </c>
      <c r="J67" s="47" t="n">
        <f aca="false">J9+J38</f>
        <v>0</v>
      </c>
      <c r="K67" s="47" t="n">
        <f aca="false">K9+K38</f>
        <v>0</v>
      </c>
      <c r="L67" s="47" t="n">
        <f aca="false">L9+L38</f>
        <v>0</v>
      </c>
      <c r="M67" s="47" t="n">
        <f aca="false">M9+M38</f>
        <v>0</v>
      </c>
      <c r="N67" s="47" t="n">
        <f aca="false">N9+N38</f>
        <v>0</v>
      </c>
      <c r="O67" s="47" t="n">
        <f aca="false">O9+O38</f>
        <v>0</v>
      </c>
      <c r="P67" s="47" t="n">
        <f aca="false">P9+P38</f>
        <v>0</v>
      </c>
      <c r="Q67" s="48" t="n">
        <f aca="false">SUM(G67:P67)</f>
        <v>0</v>
      </c>
    </row>
    <row r="68" customFormat="false" ht="15" hidden="false" customHeight="false" outlineLevel="0" collapsed="false">
      <c r="A68" s="10" t="n">
        <v>5</v>
      </c>
      <c r="B68" s="46" t="str">
        <f aca="false">'Eligibility &amp; Scoring'!$B11</f>
        <v>Project E - Highland villages</v>
      </c>
      <c r="C68" s="28" t="n">
        <f aca="false">'Eligibility &amp; Scoring'!$AK11*'Eligibility &amp; Scoring'!$U11</f>
        <v>0</v>
      </c>
      <c r="D68" s="28" t="n">
        <f aca="false">'Eligibility &amp; Scoring'!$AK11-C68</f>
        <v>0</v>
      </c>
      <c r="E68" s="29" t="n">
        <f aca="false">IF(C68+D68=0,0,IFERROR(INDEX('Fund Parameters'!$B$74:$B$78,Pipeline!$H11),1))</f>
        <v>0</v>
      </c>
      <c r="F68" s="28" t="n">
        <f aca="false">C68*E68+D68</f>
        <v>0</v>
      </c>
      <c r="G68" s="47" t="n">
        <f aca="false">G10+G39</f>
        <v>0</v>
      </c>
      <c r="H68" s="47" t="n">
        <f aca="false">H10+H39</f>
        <v>0</v>
      </c>
      <c r="I68" s="47" t="n">
        <f aca="false">I10+I39</f>
        <v>0</v>
      </c>
      <c r="J68" s="47" t="n">
        <f aca="false">J10+J39</f>
        <v>0</v>
      </c>
      <c r="K68" s="47" t="n">
        <f aca="false">K10+K39</f>
        <v>0</v>
      </c>
      <c r="L68" s="47" t="n">
        <f aca="false">L10+L39</f>
        <v>0</v>
      </c>
      <c r="M68" s="47" t="n">
        <f aca="false">M10+M39</f>
        <v>0</v>
      </c>
      <c r="N68" s="47" t="n">
        <f aca="false">N10+N39</f>
        <v>0</v>
      </c>
      <c r="O68" s="47" t="n">
        <f aca="false">O10+O39</f>
        <v>0</v>
      </c>
      <c r="P68" s="47" t="n">
        <f aca="false">P10+P39</f>
        <v>0</v>
      </c>
      <c r="Q68" s="48" t="n">
        <f aca="false">SUM(G68:P68)</f>
        <v>0</v>
      </c>
    </row>
    <row r="69" customFormat="false" ht="15" hidden="false" customHeight="false" outlineLevel="0" collapsed="false">
      <c r="A69" s="10" t="n">
        <v>6</v>
      </c>
      <c r="B69" s="46" t="str">
        <f aca="false">'Eligibility &amp; Scoring'!$B12</f>
        <v>Project F - Market towns</v>
      </c>
      <c r="C69" s="28" t="n">
        <f aca="false">'Eligibility &amp; Scoring'!$AK12*'Eligibility &amp; Scoring'!$U12</f>
        <v>0</v>
      </c>
      <c r="D69" s="28" t="n">
        <f aca="false">'Eligibility &amp; Scoring'!$AK12-C69</f>
        <v>0</v>
      </c>
      <c r="E69" s="29" t="n">
        <f aca="false">IF(C69+D69=0,0,IFERROR(INDEX('Fund Parameters'!$B$74:$B$78,Pipeline!$H12),1))</f>
        <v>0</v>
      </c>
      <c r="F69" s="28" t="n">
        <f aca="false">C69*E69+D69</f>
        <v>0</v>
      </c>
      <c r="G69" s="47" t="n">
        <f aca="false">G11+G40</f>
        <v>0</v>
      </c>
      <c r="H69" s="47" t="n">
        <f aca="false">H11+H40</f>
        <v>0</v>
      </c>
      <c r="I69" s="47" t="n">
        <f aca="false">I11+I40</f>
        <v>0</v>
      </c>
      <c r="J69" s="47" t="n">
        <f aca="false">J11+J40</f>
        <v>0</v>
      </c>
      <c r="K69" s="47" t="n">
        <f aca="false">K11+K40</f>
        <v>0</v>
      </c>
      <c r="L69" s="47" t="n">
        <f aca="false">L11+L40</f>
        <v>0</v>
      </c>
      <c r="M69" s="47" t="n">
        <f aca="false">M11+M40</f>
        <v>0</v>
      </c>
      <c r="N69" s="47" t="n">
        <f aca="false">N11+N40</f>
        <v>0</v>
      </c>
      <c r="O69" s="47" t="n">
        <f aca="false">O11+O40</f>
        <v>0</v>
      </c>
      <c r="P69" s="47" t="n">
        <f aca="false">P11+P40</f>
        <v>0</v>
      </c>
      <c r="Q69" s="48" t="n">
        <f aca="false">SUM(G69:P69)</f>
        <v>0</v>
      </c>
    </row>
    <row r="70" customFormat="false" ht="15" hidden="false" customHeight="false" outlineLevel="0" collapsed="false">
      <c r="A70" s="10" t="n">
        <v>7</v>
      </c>
      <c r="B70" s="46" t="str">
        <f aca="false">'Eligibility &amp; Scoring'!$B13</f>
        <v>Project G - Remote valley</v>
      </c>
      <c r="C70" s="28" t="n">
        <f aca="false">'Eligibility &amp; Scoring'!$AK13*'Eligibility &amp; Scoring'!$U13</f>
        <v>0</v>
      </c>
      <c r="D70" s="28" t="n">
        <f aca="false">'Eligibility &amp; Scoring'!$AK13-C70</f>
        <v>0</v>
      </c>
      <c r="E70" s="29" t="n">
        <f aca="false">IF(C70+D70=0,0,IFERROR(INDEX('Fund Parameters'!$B$74:$B$78,Pipeline!$H13),1))</f>
        <v>0</v>
      </c>
      <c r="F70" s="28" t="n">
        <f aca="false">C70*E70+D70</f>
        <v>0</v>
      </c>
      <c r="G70" s="47" t="n">
        <f aca="false">G12+G41</f>
        <v>0</v>
      </c>
      <c r="H70" s="47" t="n">
        <f aca="false">H12+H41</f>
        <v>0</v>
      </c>
      <c r="I70" s="47" t="n">
        <f aca="false">I12+I41</f>
        <v>0</v>
      </c>
      <c r="J70" s="47" t="n">
        <f aca="false">J12+J41</f>
        <v>0</v>
      </c>
      <c r="K70" s="47" t="n">
        <f aca="false">K12+K41</f>
        <v>0</v>
      </c>
      <c r="L70" s="47" t="n">
        <f aca="false">L12+L41</f>
        <v>0</v>
      </c>
      <c r="M70" s="47" t="n">
        <f aca="false">M12+M41</f>
        <v>0</v>
      </c>
      <c r="N70" s="47" t="n">
        <f aca="false">N12+N41</f>
        <v>0</v>
      </c>
      <c r="O70" s="47" t="n">
        <f aca="false">O12+O41</f>
        <v>0</v>
      </c>
      <c r="P70" s="47" t="n">
        <f aca="false">P12+P41</f>
        <v>0</v>
      </c>
      <c r="Q70" s="48" t="n">
        <f aca="false">SUM(G70:P70)</f>
        <v>0</v>
      </c>
    </row>
    <row r="71" customFormat="false" ht="15" hidden="false" customHeight="false" outlineLevel="0" collapsed="false">
      <c r="A71" s="10" t="n">
        <v>8</v>
      </c>
      <c r="B71" s="46" t="str">
        <f aca="false">'Eligibility &amp; Scoring'!$B14</f>
        <v>Project H - Agro-processing hub</v>
      </c>
      <c r="C71" s="28" t="n">
        <f aca="false">'Eligibility &amp; Scoring'!$AK14*'Eligibility &amp; Scoring'!$U14</f>
        <v>112181.978798587</v>
      </c>
      <c r="D71" s="28" t="n">
        <f aca="false">'Eligibility &amp; Scoring'!$AK14-C71</f>
        <v>270318.021201413</v>
      </c>
      <c r="E71" s="29" t="n">
        <f aca="false">IF(C71+D71=0,0,IFERROR(INDEX('Fund Parameters'!$B$74:$B$78,Pipeline!$H14),1))</f>
        <v>0.95</v>
      </c>
      <c r="F71" s="28" t="n">
        <f aca="false">C71*E71+D71</f>
        <v>376890.901060071</v>
      </c>
      <c r="G71" s="47" t="n">
        <f aca="false">G13+G42</f>
        <v>0</v>
      </c>
      <c r="H71" s="47" t="n">
        <f aca="false">H13+H42</f>
        <v>315078.630742049</v>
      </c>
      <c r="I71" s="47" t="n">
        <f aca="false">I13+I42</f>
        <v>41563.4231448763</v>
      </c>
      <c r="J71" s="47" t="n">
        <f aca="false">J13+J42</f>
        <v>17051.6607773852</v>
      </c>
      <c r="K71" s="47" t="n">
        <f aca="false">K13+K42</f>
        <v>3197.18639575972</v>
      </c>
      <c r="L71" s="47" t="n">
        <f aca="false">L13+L42</f>
        <v>0</v>
      </c>
      <c r="M71" s="47" t="n">
        <f aca="false">M13+M42</f>
        <v>0</v>
      </c>
      <c r="N71" s="47" t="n">
        <f aca="false">N13+N42</f>
        <v>0</v>
      </c>
      <c r="O71" s="47" t="n">
        <f aca="false">O13+O42</f>
        <v>0</v>
      </c>
      <c r="P71" s="47" t="n">
        <f aca="false">P13+P42</f>
        <v>0</v>
      </c>
      <c r="Q71" s="48" t="n">
        <f aca="false">SUM(G71:P71)</f>
        <v>376890.901060071</v>
      </c>
    </row>
    <row r="72" customFormat="false" ht="15" hidden="false" customHeight="false" outlineLevel="0" collapsed="false">
      <c r="A72" s="10" t="n">
        <v>9</v>
      </c>
      <c r="B72" s="46" t="str">
        <f aca="false">'Eligibility &amp; Scoring'!$B15</f>
        <v>Project I - Fishing communities</v>
      </c>
      <c r="C72" s="28" t="n">
        <f aca="false">'Eligibility &amp; Scoring'!$AK15*'Eligibility &amp; Scoring'!$U15</f>
        <v>109793.862368258</v>
      </c>
      <c r="D72" s="28" t="n">
        <f aca="false">'Eligibility &amp; Scoring'!$AK15-C72</f>
        <v>272706.137631742</v>
      </c>
      <c r="E72" s="29" t="n">
        <f aca="false">IF(C72+D72=0,0,IFERROR(INDEX('Fund Parameters'!$B$74:$B$78,Pipeline!$H15),1))</f>
        <v>0.9</v>
      </c>
      <c r="F72" s="28" t="n">
        <f aca="false">C72*E72+D72</f>
        <v>371520.613763174</v>
      </c>
      <c r="G72" s="47" t="n">
        <f aca="false">G14+G43</f>
        <v>0</v>
      </c>
      <c r="H72" s="47" t="n">
        <f aca="false">H14+H43</f>
        <v>314208.217606944</v>
      </c>
      <c r="I72" s="47" t="n">
        <f aca="false">I14+I43</f>
        <v>38537.6456912585</v>
      </c>
      <c r="J72" s="47" t="n">
        <f aca="false">J14+J43</f>
        <v>15810.3161810291</v>
      </c>
      <c r="K72" s="47" t="n">
        <f aca="false">K14+K43</f>
        <v>2964.43428394296</v>
      </c>
      <c r="L72" s="47" t="n">
        <f aca="false">L14+L43</f>
        <v>0</v>
      </c>
      <c r="M72" s="47" t="n">
        <f aca="false">M14+M43</f>
        <v>0</v>
      </c>
      <c r="N72" s="47" t="n">
        <f aca="false">N14+N43</f>
        <v>0</v>
      </c>
      <c r="O72" s="47" t="n">
        <f aca="false">O14+O43</f>
        <v>0</v>
      </c>
      <c r="P72" s="47" t="n">
        <f aca="false">P14+P43</f>
        <v>0</v>
      </c>
      <c r="Q72" s="48" t="n">
        <f aca="false">SUM(G72:P72)</f>
        <v>371520.613763174</v>
      </c>
    </row>
    <row r="73" customFormat="false" ht="15" hidden="false" customHeight="false" outlineLevel="0" collapsed="false">
      <c r="A73" s="10" t="n">
        <v>10</v>
      </c>
      <c r="B73" s="46" t="str">
        <f aca="false">'Eligibility &amp; Scoring'!$B16</f>
        <v>Project J - Health and schools first</v>
      </c>
      <c r="C73" s="28" t="n">
        <f aca="false">'Eligibility &amp; Scoring'!$AK16*'Eligibility &amp; Scoring'!$U16</f>
        <v>0</v>
      </c>
      <c r="D73" s="28" t="n">
        <f aca="false">'Eligibility &amp; Scoring'!$AK16-C73</f>
        <v>0</v>
      </c>
      <c r="E73" s="29" t="n">
        <f aca="false">IF(C73+D73=0,0,IFERROR(INDEX('Fund Parameters'!$B$74:$B$78,Pipeline!$H16),1))</f>
        <v>0</v>
      </c>
      <c r="F73" s="28" t="n">
        <f aca="false">C73*E73+D73</f>
        <v>0</v>
      </c>
      <c r="G73" s="47" t="n">
        <f aca="false">G15+G44</f>
        <v>0</v>
      </c>
      <c r="H73" s="47" t="n">
        <f aca="false">H15+H44</f>
        <v>0</v>
      </c>
      <c r="I73" s="47" t="n">
        <f aca="false">I15+I44</f>
        <v>0</v>
      </c>
      <c r="J73" s="47" t="n">
        <f aca="false">J15+J44</f>
        <v>0</v>
      </c>
      <c r="K73" s="47" t="n">
        <f aca="false">K15+K44</f>
        <v>0</v>
      </c>
      <c r="L73" s="47" t="n">
        <f aca="false">L15+L44</f>
        <v>0</v>
      </c>
      <c r="M73" s="47" t="n">
        <f aca="false">M15+M44</f>
        <v>0</v>
      </c>
      <c r="N73" s="47" t="n">
        <f aca="false">N15+N44</f>
        <v>0</v>
      </c>
      <c r="O73" s="47" t="n">
        <f aca="false">O15+O44</f>
        <v>0</v>
      </c>
      <c r="P73" s="47" t="n">
        <f aca="false">P15+P44</f>
        <v>0</v>
      </c>
      <c r="Q73" s="48" t="n">
        <f aca="false">SUM(G73:P73)</f>
        <v>0</v>
      </c>
    </row>
    <row r="74" customFormat="false" ht="15" hidden="false" customHeight="false" outlineLevel="0" collapsed="false">
      <c r="A74" s="10" t="n">
        <v>11</v>
      </c>
      <c r="B74" s="46" t="str">
        <f aca="false">'Eligibility &amp; Scoring'!$B17</f>
        <v>Project K - Peri-urban extension</v>
      </c>
      <c r="C74" s="28" t="n">
        <f aca="false">'Eligibility &amp; Scoring'!$AK17*'Eligibility &amp; Scoring'!$U17</f>
        <v>124750.673854447</v>
      </c>
      <c r="D74" s="28" t="n">
        <f aca="false">'Eligibility &amp; Scoring'!$AK17-C74</f>
        <v>257749.326145553</v>
      </c>
      <c r="E74" s="29" t="n">
        <f aca="false">IF(C74+D74=0,0,IFERROR(INDEX('Fund Parameters'!$B$74:$B$78,Pipeline!$H17),1))</f>
        <v>0.95</v>
      </c>
      <c r="F74" s="28" t="n">
        <f aca="false">C74*E74+D74</f>
        <v>376262.466307278</v>
      </c>
      <c r="G74" s="47" t="n">
        <f aca="false">G16+G45</f>
        <v>307524.845013477</v>
      </c>
      <c r="H74" s="47" t="n">
        <f aca="false">H16+H45</f>
        <v>46220.1246630728</v>
      </c>
      <c r="I74" s="47" t="n">
        <f aca="false">I16+I45</f>
        <v>18962.102425876</v>
      </c>
      <c r="J74" s="47" t="n">
        <f aca="false">J16+J45</f>
        <v>3555.39420485175</v>
      </c>
      <c r="K74" s="47" t="n">
        <f aca="false">K16+K45</f>
        <v>0</v>
      </c>
      <c r="L74" s="47" t="n">
        <f aca="false">L16+L45</f>
        <v>0</v>
      </c>
      <c r="M74" s="47" t="n">
        <f aca="false">M16+M45</f>
        <v>0</v>
      </c>
      <c r="N74" s="47" t="n">
        <f aca="false">N16+N45</f>
        <v>0</v>
      </c>
      <c r="O74" s="47" t="n">
        <f aca="false">O16+O45</f>
        <v>0</v>
      </c>
      <c r="P74" s="47" t="n">
        <f aca="false">P16+P45</f>
        <v>0</v>
      </c>
      <c r="Q74" s="48" t="n">
        <f aca="false">SUM(G74:P74)</f>
        <v>376262.466307278</v>
      </c>
    </row>
    <row r="75" customFormat="false" ht="15" hidden="false" customHeight="false" outlineLevel="0" collapsed="false">
      <c r="A75" s="10" t="n">
        <v>12</v>
      </c>
      <c r="B75" s="46" t="str">
        <f aca="false">'Eligibility &amp; Scoring'!$B18</f>
        <v>Project L - Mining belt</v>
      </c>
      <c r="C75" s="28" t="n">
        <f aca="false">'Eligibility &amp; Scoring'!$AK18*'Eligibility &amp; Scoring'!$U18</f>
        <v>111562.5</v>
      </c>
      <c r="D75" s="28" t="n">
        <f aca="false">'Eligibility &amp; Scoring'!$AK18-C75</f>
        <v>270937.5</v>
      </c>
      <c r="E75" s="29" t="n">
        <f aca="false">IF(C75+D75=0,0,IFERROR(INDEX('Fund Parameters'!$B$74:$B$78,Pipeline!$H18),1))</f>
        <v>0.9</v>
      </c>
      <c r="F75" s="28" t="n">
        <f aca="false">C75*E75+D75</f>
        <v>371343.75</v>
      </c>
      <c r="G75" s="47" t="n">
        <f aca="false">G17+G46</f>
        <v>0</v>
      </c>
      <c r="H75" s="47" t="n">
        <f aca="false">H17+H46</f>
        <v>313108.125</v>
      </c>
      <c r="I75" s="47" t="n">
        <f aca="false">I17+I46</f>
        <v>39158.4375</v>
      </c>
      <c r="J75" s="47" t="n">
        <f aca="false">J17+J46</f>
        <v>16065</v>
      </c>
      <c r="K75" s="47" t="n">
        <f aca="false">K17+K46</f>
        <v>3012.1875</v>
      </c>
      <c r="L75" s="47" t="n">
        <f aca="false">L17+L46</f>
        <v>0</v>
      </c>
      <c r="M75" s="47" t="n">
        <f aca="false">M17+M46</f>
        <v>0</v>
      </c>
      <c r="N75" s="47" t="n">
        <f aca="false">N17+N46</f>
        <v>0</v>
      </c>
      <c r="O75" s="47" t="n">
        <f aca="false">O17+O46</f>
        <v>0</v>
      </c>
      <c r="P75" s="47" t="n">
        <f aca="false">P17+P46</f>
        <v>0</v>
      </c>
      <c r="Q75" s="48" t="n">
        <f aca="false">SUM(G75:P75)</f>
        <v>371343.75</v>
      </c>
    </row>
    <row r="76" customFormat="false" ht="15" hidden="false" customHeight="false" outlineLevel="0" collapsed="false">
      <c r="A76" s="10" t="n">
        <v>13</v>
      </c>
      <c r="B76" s="46" t="str">
        <f aca="false">'Eligibility &amp; Scoring'!$B19</f>
        <v>Project M - Small pilot</v>
      </c>
      <c r="C76" s="28" t="n">
        <f aca="false">'Eligibility &amp; Scoring'!$AK19*'Eligibility &amp; Scoring'!$U19</f>
        <v>0</v>
      </c>
      <c r="D76" s="28" t="n">
        <f aca="false">'Eligibility &amp; Scoring'!$AK19-C76</f>
        <v>0</v>
      </c>
      <c r="E76" s="29" t="n">
        <f aca="false">IF(C76+D76=0,0,IFERROR(INDEX('Fund Parameters'!$B$74:$B$78,Pipeline!$H19),1))</f>
        <v>0</v>
      </c>
      <c r="F76" s="28" t="n">
        <f aca="false">C76*E76+D76</f>
        <v>0</v>
      </c>
      <c r="G76" s="47" t="n">
        <f aca="false">G18+G47</f>
        <v>0</v>
      </c>
      <c r="H76" s="47" t="n">
        <f aca="false">H18+H47</f>
        <v>0</v>
      </c>
      <c r="I76" s="47" t="n">
        <f aca="false">I18+I47</f>
        <v>0</v>
      </c>
      <c r="J76" s="47" t="n">
        <f aca="false">J18+J47</f>
        <v>0</v>
      </c>
      <c r="K76" s="47" t="n">
        <f aca="false">K18+K47</f>
        <v>0</v>
      </c>
      <c r="L76" s="47" t="n">
        <f aca="false">L18+L47</f>
        <v>0</v>
      </c>
      <c r="M76" s="47" t="n">
        <f aca="false">M18+M47</f>
        <v>0</v>
      </c>
      <c r="N76" s="47" t="n">
        <f aca="false">N18+N47</f>
        <v>0</v>
      </c>
      <c r="O76" s="47" t="n">
        <f aca="false">O18+O47</f>
        <v>0</v>
      </c>
      <c r="P76" s="47" t="n">
        <f aca="false">P18+P47</f>
        <v>0</v>
      </c>
      <c r="Q76" s="48" t="n">
        <f aca="false">SUM(G76:P76)</f>
        <v>0</v>
      </c>
    </row>
    <row r="77" customFormat="false" ht="15" hidden="false" customHeight="false" outlineLevel="0" collapsed="false">
      <c r="A77" s="10" t="n">
        <v>14</v>
      </c>
      <c r="B77" s="46" t="str">
        <f aca="false">'Eligibility &amp; Scoring'!$B20</f>
        <v>Project N - Lakeside expansion</v>
      </c>
      <c r="C77" s="28" t="n">
        <f aca="false">'Eligibility &amp; Scoring'!$AK20*'Eligibility &amp; Scoring'!$U20</f>
        <v>36167.6217765043</v>
      </c>
      <c r="D77" s="28" t="n">
        <f aca="false">'Eligibility &amp; Scoring'!$AK20-C77</f>
        <v>91332.3782234957</v>
      </c>
      <c r="E77" s="29" t="n">
        <f aca="false">IF(C77+D77=0,0,IFERROR(INDEX('Fund Parameters'!$B$74:$B$78,Pipeline!$H20),1))</f>
        <v>0.95</v>
      </c>
      <c r="F77" s="28" t="n">
        <f aca="false">C77*E77+D77</f>
        <v>125691.618911175</v>
      </c>
      <c r="G77" s="47" t="n">
        <f aca="false">G19+G48</f>
        <v>0</v>
      </c>
      <c r="H77" s="47" t="n">
        <f aca="false">H19+H48</f>
        <v>105763.259312321</v>
      </c>
      <c r="I77" s="47" t="n">
        <f aca="false">I19+I48</f>
        <v>13400.1038681948</v>
      </c>
      <c r="J77" s="47" t="n">
        <f aca="false">J19+J48</f>
        <v>5497.47851002865</v>
      </c>
      <c r="K77" s="47" t="n">
        <f aca="false">K19+K48</f>
        <v>1030.77722063037</v>
      </c>
      <c r="L77" s="47" t="n">
        <f aca="false">L19+L48</f>
        <v>0</v>
      </c>
      <c r="M77" s="47" t="n">
        <f aca="false">M19+M48</f>
        <v>0</v>
      </c>
      <c r="N77" s="47" t="n">
        <f aca="false">N19+N48</f>
        <v>0</v>
      </c>
      <c r="O77" s="47" t="n">
        <f aca="false">O19+O48</f>
        <v>0</v>
      </c>
      <c r="P77" s="47" t="n">
        <f aca="false">P19+P48</f>
        <v>0</v>
      </c>
      <c r="Q77" s="48" t="n">
        <f aca="false">SUM(G77:P77)</f>
        <v>125691.618911175</v>
      </c>
    </row>
    <row r="78" customFormat="false" ht="15" hidden="false" customHeight="false" outlineLevel="0" collapsed="false">
      <c r="A78" s="10" t="n">
        <v>15</v>
      </c>
      <c r="B78" s="46" t="str">
        <f aca="false">'Eligibility &amp; Scoring'!$B21</f>
        <v/>
      </c>
      <c r="C78" s="28" t="n">
        <f aca="false">'Eligibility &amp; Scoring'!$AK21*'Eligibility &amp; Scoring'!$U21</f>
        <v>0</v>
      </c>
      <c r="D78" s="28" t="n">
        <f aca="false">'Eligibility &amp; Scoring'!$AK21-C78</f>
        <v>0</v>
      </c>
      <c r="E78" s="29" t="n">
        <f aca="false">IF(C78+D78=0,0,IFERROR(INDEX('Fund Parameters'!$B$74:$B$78,Pipeline!$H21),1))</f>
        <v>0</v>
      </c>
      <c r="F78" s="28" t="n">
        <f aca="false">C78*E78+D78</f>
        <v>0</v>
      </c>
      <c r="G78" s="47" t="n">
        <f aca="false">G20+G49</f>
        <v>0</v>
      </c>
      <c r="H78" s="47" t="n">
        <f aca="false">H20+H49</f>
        <v>0</v>
      </c>
      <c r="I78" s="47" t="n">
        <f aca="false">I20+I49</f>
        <v>0</v>
      </c>
      <c r="J78" s="47" t="n">
        <f aca="false">J20+J49</f>
        <v>0</v>
      </c>
      <c r="K78" s="47" t="n">
        <f aca="false">K20+K49</f>
        <v>0</v>
      </c>
      <c r="L78" s="47" t="n">
        <f aca="false">L20+L49</f>
        <v>0</v>
      </c>
      <c r="M78" s="47" t="n">
        <f aca="false">M20+M49</f>
        <v>0</v>
      </c>
      <c r="N78" s="47" t="n">
        <f aca="false">N20+N49</f>
        <v>0</v>
      </c>
      <c r="O78" s="47" t="n">
        <f aca="false">O20+O49</f>
        <v>0</v>
      </c>
      <c r="P78" s="47" t="n">
        <f aca="false">P20+P49</f>
        <v>0</v>
      </c>
      <c r="Q78" s="48" t="n">
        <f aca="false">SUM(G78:P78)</f>
        <v>0</v>
      </c>
    </row>
    <row r="79" customFormat="false" ht="15" hidden="false" customHeight="false" outlineLevel="0" collapsed="false">
      <c r="A79" s="10" t="n">
        <v>16</v>
      </c>
      <c r="B79" s="46" t="str">
        <f aca="false">'Eligibility &amp; Scoring'!$B22</f>
        <v/>
      </c>
      <c r="C79" s="28" t="n">
        <f aca="false">'Eligibility &amp; Scoring'!$AK22*'Eligibility &amp; Scoring'!$U22</f>
        <v>0</v>
      </c>
      <c r="D79" s="28" t="n">
        <f aca="false">'Eligibility &amp; Scoring'!$AK22-C79</f>
        <v>0</v>
      </c>
      <c r="E79" s="29" t="n">
        <f aca="false">IF(C79+D79=0,0,IFERROR(INDEX('Fund Parameters'!$B$74:$B$78,Pipeline!$H22),1))</f>
        <v>0</v>
      </c>
      <c r="F79" s="28" t="n">
        <f aca="false">C79*E79+D79</f>
        <v>0</v>
      </c>
      <c r="G79" s="47" t="n">
        <f aca="false">G21+G50</f>
        <v>0</v>
      </c>
      <c r="H79" s="47" t="n">
        <f aca="false">H21+H50</f>
        <v>0</v>
      </c>
      <c r="I79" s="47" t="n">
        <f aca="false">I21+I50</f>
        <v>0</v>
      </c>
      <c r="J79" s="47" t="n">
        <f aca="false">J21+J50</f>
        <v>0</v>
      </c>
      <c r="K79" s="47" t="n">
        <f aca="false">K21+K50</f>
        <v>0</v>
      </c>
      <c r="L79" s="47" t="n">
        <f aca="false">L21+L50</f>
        <v>0</v>
      </c>
      <c r="M79" s="47" t="n">
        <f aca="false">M21+M50</f>
        <v>0</v>
      </c>
      <c r="N79" s="47" t="n">
        <f aca="false">N21+N50</f>
        <v>0</v>
      </c>
      <c r="O79" s="47" t="n">
        <f aca="false">O21+O50</f>
        <v>0</v>
      </c>
      <c r="P79" s="47" t="n">
        <f aca="false">P21+P50</f>
        <v>0</v>
      </c>
      <c r="Q79" s="48" t="n">
        <f aca="false">SUM(G79:P79)</f>
        <v>0</v>
      </c>
    </row>
    <row r="80" customFormat="false" ht="15" hidden="false" customHeight="false" outlineLevel="0" collapsed="false">
      <c r="A80" s="10" t="n">
        <v>17</v>
      </c>
      <c r="B80" s="46" t="str">
        <f aca="false">'Eligibility &amp; Scoring'!$B23</f>
        <v/>
      </c>
      <c r="C80" s="28" t="n">
        <f aca="false">'Eligibility &amp; Scoring'!$AK23*'Eligibility &amp; Scoring'!$U23</f>
        <v>0</v>
      </c>
      <c r="D80" s="28" t="n">
        <f aca="false">'Eligibility &amp; Scoring'!$AK23-C80</f>
        <v>0</v>
      </c>
      <c r="E80" s="29" t="n">
        <f aca="false">IF(C80+D80=0,0,IFERROR(INDEX('Fund Parameters'!$B$74:$B$78,Pipeline!$H23),1))</f>
        <v>0</v>
      </c>
      <c r="F80" s="28" t="n">
        <f aca="false">C80*E80+D80</f>
        <v>0</v>
      </c>
      <c r="G80" s="47" t="n">
        <f aca="false">G22+G51</f>
        <v>0</v>
      </c>
      <c r="H80" s="47" t="n">
        <f aca="false">H22+H51</f>
        <v>0</v>
      </c>
      <c r="I80" s="47" t="n">
        <f aca="false">I22+I51</f>
        <v>0</v>
      </c>
      <c r="J80" s="47" t="n">
        <f aca="false">J22+J51</f>
        <v>0</v>
      </c>
      <c r="K80" s="47" t="n">
        <f aca="false">K22+K51</f>
        <v>0</v>
      </c>
      <c r="L80" s="47" t="n">
        <f aca="false">L22+L51</f>
        <v>0</v>
      </c>
      <c r="M80" s="47" t="n">
        <f aca="false">M22+M51</f>
        <v>0</v>
      </c>
      <c r="N80" s="47" t="n">
        <f aca="false">N22+N51</f>
        <v>0</v>
      </c>
      <c r="O80" s="47" t="n">
        <f aca="false">O22+O51</f>
        <v>0</v>
      </c>
      <c r="P80" s="47" t="n">
        <f aca="false">P22+P51</f>
        <v>0</v>
      </c>
      <c r="Q80" s="48" t="n">
        <f aca="false">SUM(G80:P80)</f>
        <v>0</v>
      </c>
    </row>
    <row r="81" customFormat="false" ht="15" hidden="false" customHeight="false" outlineLevel="0" collapsed="false">
      <c r="A81" s="10" t="n">
        <v>18</v>
      </c>
      <c r="B81" s="46" t="str">
        <f aca="false">'Eligibility &amp; Scoring'!$B24</f>
        <v/>
      </c>
      <c r="C81" s="28" t="n">
        <f aca="false">'Eligibility &amp; Scoring'!$AK24*'Eligibility &amp; Scoring'!$U24</f>
        <v>0</v>
      </c>
      <c r="D81" s="28" t="n">
        <f aca="false">'Eligibility &amp; Scoring'!$AK24-C81</f>
        <v>0</v>
      </c>
      <c r="E81" s="29" t="n">
        <f aca="false">IF(C81+D81=0,0,IFERROR(INDEX('Fund Parameters'!$B$74:$B$78,Pipeline!$H24),1))</f>
        <v>0</v>
      </c>
      <c r="F81" s="28" t="n">
        <f aca="false">C81*E81+D81</f>
        <v>0</v>
      </c>
      <c r="G81" s="47" t="n">
        <f aca="false">G23+G52</f>
        <v>0</v>
      </c>
      <c r="H81" s="47" t="n">
        <f aca="false">H23+H52</f>
        <v>0</v>
      </c>
      <c r="I81" s="47" t="n">
        <f aca="false">I23+I52</f>
        <v>0</v>
      </c>
      <c r="J81" s="47" t="n">
        <f aca="false">J23+J52</f>
        <v>0</v>
      </c>
      <c r="K81" s="47" t="n">
        <f aca="false">K23+K52</f>
        <v>0</v>
      </c>
      <c r="L81" s="47" t="n">
        <f aca="false">L23+L52</f>
        <v>0</v>
      </c>
      <c r="M81" s="47" t="n">
        <f aca="false">M23+M52</f>
        <v>0</v>
      </c>
      <c r="N81" s="47" t="n">
        <f aca="false">N23+N52</f>
        <v>0</v>
      </c>
      <c r="O81" s="47" t="n">
        <f aca="false">O23+O52</f>
        <v>0</v>
      </c>
      <c r="P81" s="47" t="n">
        <f aca="false">P23+P52</f>
        <v>0</v>
      </c>
      <c r="Q81" s="48" t="n">
        <f aca="false">SUM(G81:P81)</f>
        <v>0</v>
      </c>
    </row>
    <row r="82" customFormat="false" ht="15" hidden="false" customHeight="false" outlineLevel="0" collapsed="false">
      <c r="A82" s="10" t="n">
        <v>19</v>
      </c>
      <c r="B82" s="46" t="str">
        <f aca="false">'Eligibility &amp; Scoring'!$B25</f>
        <v/>
      </c>
      <c r="C82" s="28" t="n">
        <f aca="false">'Eligibility &amp; Scoring'!$AK25*'Eligibility &amp; Scoring'!$U25</f>
        <v>0</v>
      </c>
      <c r="D82" s="28" t="n">
        <f aca="false">'Eligibility &amp; Scoring'!$AK25-C82</f>
        <v>0</v>
      </c>
      <c r="E82" s="29" t="n">
        <f aca="false">IF(C82+D82=0,0,IFERROR(INDEX('Fund Parameters'!$B$74:$B$78,Pipeline!$H25),1))</f>
        <v>0</v>
      </c>
      <c r="F82" s="28" t="n">
        <f aca="false">C82*E82+D82</f>
        <v>0</v>
      </c>
      <c r="G82" s="47" t="n">
        <f aca="false">G24+G53</f>
        <v>0</v>
      </c>
      <c r="H82" s="47" t="n">
        <f aca="false">H24+H53</f>
        <v>0</v>
      </c>
      <c r="I82" s="47" t="n">
        <f aca="false">I24+I53</f>
        <v>0</v>
      </c>
      <c r="J82" s="47" t="n">
        <f aca="false">J24+J53</f>
        <v>0</v>
      </c>
      <c r="K82" s="47" t="n">
        <f aca="false">K24+K53</f>
        <v>0</v>
      </c>
      <c r="L82" s="47" t="n">
        <f aca="false">L24+L53</f>
        <v>0</v>
      </c>
      <c r="M82" s="47" t="n">
        <f aca="false">M24+M53</f>
        <v>0</v>
      </c>
      <c r="N82" s="47" t="n">
        <f aca="false">N24+N53</f>
        <v>0</v>
      </c>
      <c r="O82" s="47" t="n">
        <f aca="false">O24+O53</f>
        <v>0</v>
      </c>
      <c r="P82" s="47" t="n">
        <f aca="false">P24+P53</f>
        <v>0</v>
      </c>
      <c r="Q82" s="48" t="n">
        <f aca="false">SUM(G82:P82)</f>
        <v>0</v>
      </c>
    </row>
    <row r="83" customFormat="false" ht="15" hidden="false" customHeight="false" outlineLevel="0" collapsed="false">
      <c r="A83" s="10" t="n">
        <v>20</v>
      </c>
      <c r="B83" s="46" t="str">
        <f aca="false">'Eligibility &amp; Scoring'!$B26</f>
        <v/>
      </c>
      <c r="C83" s="28" t="n">
        <f aca="false">'Eligibility &amp; Scoring'!$AK26*'Eligibility &amp; Scoring'!$U26</f>
        <v>0</v>
      </c>
      <c r="D83" s="28" t="n">
        <f aca="false">'Eligibility &amp; Scoring'!$AK26-C83</f>
        <v>0</v>
      </c>
      <c r="E83" s="29" t="n">
        <f aca="false">IF(C83+D83=0,0,IFERROR(INDEX('Fund Parameters'!$B$74:$B$78,Pipeline!$H26),1))</f>
        <v>0</v>
      </c>
      <c r="F83" s="28" t="n">
        <f aca="false">C83*E83+D83</f>
        <v>0</v>
      </c>
      <c r="G83" s="47" t="n">
        <f aca="false">G25+G54</f>
        <v>0</v>
      </c>
      <c r="H83" s="47" t="n">
        <f aca="false">H25+H54</f>
        <v>0</v>
      </c>
      <c r="I83" s="47" t="n">
        <f aca="false">I25+I54</f>
        <v>0</v>
      </c>
      <c r="J83" s="47" t="n">
        <f aca="false">J25+J54</f>
        <v>0</v>
      </c>
      <c r="K83" s="47" t="n">
        <f aca="false">K25+K54</f>
        <v>0</v>
      </c>
      <c r="L83" s="47" t="n">
        <f aca="false">L25+L54</f>
        <v>0</v>
      </c>
      <c r="M83" s="47" t="n">
        <f aca="false">M25+M54</f>
        <v>0</v>
      </c>
      <c r="N83" s="47" t="n">
        <f aca="false">N25+N54</f>
        <v>0</v>
      </c>
      <c r="O83" s="47" t="n">
        <f aca="false">O25+O54</f>
        <v>0</v>
      </c>
      <c r="P83" s="47" t="n">
        <f aca="false">P25+P54</f>
        <v>0</v>
      </c>
      <c r="Q83" s="48" t="n">
        <f aca="false">SUM(G83:P83)</f>
        <v>0</v>
      </c>
    </row>
    <row r="84" customFormat="false" ht="15" hidden="false" customHeight="false" outlineLevel="0" collapsed="false">
      <c r="A84" s="10" t="n">
        <v>21</v>
      </c>
      <c r="B84" s="46" t="str">
        <f aca="false">'Eligibility &amp; Scoring'!$B27</f>
        <v/>
      </c>
      <c r="C84" s="28" t="n">
        <f aca="false">'Eligibility &amp; Scoring'!$AK27*'Eligibility &amp; Scoring'!$U27</f>
        <v>0</v>
      </c>
      <c r="D84" s="28" t="n">
        <f aca="false">'Eligibility &amp; Scoring'!$AK27-C84</f>
        <v>0</v>
      </c>
      <c r="E84" s="29" t="n">
        <f aca="false">IF(C84+D84=0,0,IFERROR(INDEX('Fund Parameters'!$B$74:$B$78,Pipeline!$H27),1))</f>
        <v>0</v>
      </c>
      <c r="F84" s="28" t="n">
        <f aca="false">C84*E84+D84</f>
        <v>0</v>
      </c>
      <c r="G84" s="47" t="n">
        <f aca="false">G26+G55</f>
        <v>0</v>
      </c>
      <c r="H84" s="47" t="n">
        <f aca="false">H26+H55</f>
        <v>0</v>
      </c>
      <c r="I84" s="47" t="n">
        <f aca="false">I26+I55</f>
        <v>0</v>
      </c>
      <c r="J84" s="47" t="n">
        <f aca="false">J26+J55</f>
        <v>0</v>
      </c>
      <c r="K84" s="47" t="n">
        <f aca="false">K26+K55</f>
        <v>0</v>
      </c>
      <c r="L84" s="47" t="n">
        <f aca="false">L26+L55</f>
        <v>0</v>
      </c>
      <c r="M84" s="47" t="n">
        <f aca="false">M26+M55</f>
        <v>0</v>
      </c>
      <c r="N84" s="47" t="n">
        <f aca="false">N26+N55</f>
        <v>0</v>
      </c>
      <c r="O84" s="47" t="n">
        <f aca="false">O26+O55</f>
        <v>0</v>
      </c>
      <c r="P84" s="47" t="n">
        <f aca="false">P26+P55</f>
        <v>0</v>
      </c>
      <c r="Q84" s="48" t="n">
        <f aca="false">SUM(G84:P84)</f>
        <v>0</v>
      </c>
    </row>
    <row r="85" customFormat="false" ht="15" hidden="false" customHeight="false" outlineLevel="0" collapsed="false">
      <c r="A85" s="10" t="n">
        <v>22</v>
      </c>
      <c r="B85" s="46" t="str">
        <f aca="false">'Eligibility &amp; Scoring'!$B28</f>
        <v/>
      </c>
      <c r="C85" s="28" t="n">
        <f aca="false">'Eligibility &amp; Scoring'!$AK28*'Eligibility &amp; Scoring'!$U28</f>
        <v>0</v>
      </c>
      <c r="D85" s="28" t="n">
        <f aca="false">'Eligibility &amp; Scoring'!$AK28-C85</f>
        <v>0</v>
      </c>
      <c r="E85" s="29" t="n">
        <f aca="false">IF(C85+D85=0,0,IFERROR(INDEX('Fund Parameters'!$B$74:$B$78,Pipeline!$H28),1))</f>
        <v>0</v>
      </c>
      <c r="F85" s="28" t="n">
        <f aca="false">C85*E85+D85</f>
        <v>0</v>
      </c>
      <c r="G85" s="47" t="n">
        <f aca="false">G27+G56</f>
        <v>0</v>
      </c>
      <c r="H85" s="47" t="n">
        <f aca="false">H27+H56</f>
        <v>0</v>
      </c>
      <c r="I85" s="47" t="n">
        <f aca="false">I27+I56</f>
        <v>0</v>
      </c>
      <c r="J85" s="47" t="n">
        <f aca="false">J27+J56</f>
        <v>0</v>
      </c>
      <c r="K85" s="47" t="n">
        <f aca="false">K27+K56</f>
        <v>0</v>
      </c>
      <c r="L85" s="47" t="n">
        <f aca="false">L27+L56</f>
        <v>0</v>
      </c>
      <c r="M85" s="47" t="n">
        <f aca="false">M27+M56</f>
        <v>0</v>
      </c>
      <c r="N85" s="47" t="n">
        <f aca="false">N27+N56</f>
        <v>0</v>
      </c>
      <c r="O85" s="47" t="n">
        <f aca="false">O27+O56</f>
        <v>0</v>
      </c>
      <c r="P85" s="47" t="n">
        <f aca="false">P27+P56</f>
        <v>0</v>
      </c>
      <c r="Q85" s="48" t="n">
        <f aca="false">SUM(G85:P85)</f>
        <v>0</v>
      </c>
    </row>
    <row r="86" customFormat="false" ht="15" hidden="false" customHeight="false" outlineLevel="0" collapsed="false">
      <c r="A86" s="10" t="n">
        <v>23</v>
      </c>
      <c r="B86" s="46" t="str">
        <f aca="false">'Eligibility &amp; Scoring'!$B29</f>
        <v/>
      </c>
      <c r="C86" s="28" t="n">
        <f aca="false">'Eligibility &amp; Scoring'!$AK29*'Eligibility &amp; Scoring'!$U29</f>
        <v>0</v>
      </c>
      <c r="D86" s="28" t="n">
        <f aca="false">'Eligibility &amp; Scoring'!$AK29-C86</f>
        <v>0</v>
      </c>
      <c r="E86" s="29" t="n">
        <f aca="false">IF(C86+D86=0,0,IFERROR(INDEX('Fund Parameters'!$B$74:$B$78,Pipeline!$H29),1))</f>
        <v>0</v>
      </c>
      <c r="F86" s="28" t="n">
        <f aca="false">C86*E86+D86</f>
        <v>0</v>
      </c>
      <c r="G86" s="47" t="n">
        <f aca="false">G28+G57</f>
        <v>0</v>
      </c>
      <c r="H86" s="47" t="n">
        <f aca="false">H28+H57</f>
        <v>0</v>
      </c>
      <c r="I86" s="47" t="n">
        <f aca="false">I28+I57</f>
        <v>0</v>
      </c>
      <c r="J86" s="47" t="n">
        <f aca="false">J28+J57</f>
        <v>0</v>
      </c>
      <c r="K86" s="47" t="n">
        <f aca="false">K28+K57</f>
        <v>0</v>
      </c>
      <c r="L86" s="47" t="n">
        <f aca="false">L28+L57</f>
        <v>0</v>
      </c>
      <c r="M86" s="47" t="n">
        <f aca="false">M28+M57</f>
        <v>0</v>
      </c>
      <c r="N86" s="47" t="n">
        <f aca="false">N28+N57</f>
        <v>0</v>
      </c>
      <c r="O86" s="47" t="n">
        <f aca="false">O28+O57</f>
        <v>0</v>
      </c>
      <c r="P86" s="47" t="n">
        <f aca="false">P28+P57</f>
        <v>0</v>
      </c>
      <c r="Q86" s="48" t="n">
        <f aca="false">SUM(G86:P86)</f>
        <v>0</v>
      </c>
    </row>
    <row r="87" customFormat="false" ht="15" hidden="false" customHeight="false" outlineLevel="0" collapsed="false">
      <c r="A87" s="10" t="n">
        <v>24</v>
      </c>
      <c r="B87" s="46" t="str">
        <f aca="false">'Eligibility &amp; Scoring'!$B30</f>
        <v/>
      </c>
      <c r="C87" s="28" t="n">
        <f aca="false">'Eligibility &amp; Scoring'!$AK30*'Eligibility &amp; Scoring'!$U30</f>
        <v>0</v>
      </c>
      <c r="D87" s="28" t="n">
        <f aca="false">'Eligibility &amp; Scoring'!$AK30-C87</f>
        <v>0</v>
      </c>
      <c r="E87" s="29" t="n">
        <f aca="false">IF(C87+D87=0,0,IFERROR(INDEX('Fund Parameters'!$B$74:$B$78,Pipeline!$H30),1))</f>
        <v>0</v>
      </c>
      <c r="F87" s="28" t="n">
        <f aca="false">C87*E87+D87</f>
        <v>0</v>
      </c>
      <c r="G87" s="47" t="n">
        <f aca="false">G29+G58</f>
        <v>0</v>
      </c>
      <c r="H87" s="47" t="n">
        <f aca="false">H29+H58</f>
        <v>0</v>
      </c>
      <c r="I87" s="47" t="n">
        <f aca="false">I29+I58</f>
        <v>0</v>
      </c>
      <c r="J87" s="47" t="n">
        <f aca="false">J29+J58</f>
        <v>0</v>
      </c>
      <c r="K87" s="47" t="n">
        <f aca="false">K29+K58</f>
        <v>0</v>
      </c>
      <c r="L87" s="47" t="n">
        <f aca="false">L29+L58</f>
        <v>0</v>
      </c>
      <c r="M87" s="47" t="n">
        <f aca="false">M29+M58</f>
        <v>0</v>
      </c>
      <c r="N87" s="47" t="n">
        <f aca="false">N29+N58</f>
        <v>0</v>
      </c>
      <c r="O87" s="47" t="n">
        <f aca="false">O29+O58</f>
        <v>0</v>
      </c>
      <c r="P87" s="47" t="n">
        <f aca="false">P29+P58</f>
        <v>0</v>
      </c>
      <c r="Q87" s="48" t="n">
        <f aca="false">SUM(G87:P87)</f>
        <v>0</v>
      </c>
    </row>
    <row r="88" customFormat="false" ht="15" hidden="false" customHeight="false" outlineLevel="0" collapsed="false">
      <c r="A88" s="10" t="n">
        <v>25</v>
      </c>
      <c r="B88" s="46" t="str">
        <f aca="false">'Eligibility &amp; Scoring'!$B31</f>
        <v/>
      </c>
      <c r="C88" s="28" t="n">
        <f aca="false">'Eligibility &amp; Scoring'!$AK31*'Eligibility &amp; Scoring'!$U31</f>
        <v>0</v>
      </c>
      <c r="D88" s="28" t="n">
        <f aca="false">'Eligibility &amp; Scoring'!$AK31-C88</f>
        <v>0</v>
      </c>
      <c r="E88" s="29" t="n">
        <f aca="false">IF(C88+D88=0,0,IFERROR(INDEX('Fund Parameters'!$B$74:$B$78,Pipeline!$H31),1))</f>
        <v>0</v>
      </c>
      <c r="F88" s="28" t="n">
        <f aca="false">C88*E88+D88</f>
        <v>0</v>
      </c>
      <c r="G88" s="47" t="n">
        <f aca="false">G30+G59</f>
        <v>0</v>
      </c>
      <c r="H88" s="47" t="n">
        <f aca="false">H30+H59</f>
        <v>0</v>
      </c>
      <c r="I88" s="47" t="n">
        <f aca="false">I30+I59</f>
        <v>0</v>
      </c>
      <c r="J88" s="47" t="n">
        <f aca="false">J30+J59</f>
        <v>0</v>
      </c>
      <c r="K88" s="47" t="n">
        <f aca="false">K30+K59</f>
        <v>0</v>
      </c>
      <c r="L88" s="47" t="n">
        <f aca="false">L30+L59</f>
        <v>0</v>
      </c>
      <c r="M88" s="47" t="n">
        <f aca="false">M30+M59</f>
        <v>0</v>
      </c>
      <c r="N88" s="47" t="n">
        <f aca="false">N30+N59</f>
        <v>0</v>
      </c>
      <c r="O88" s="47" t="n">
        <f aca="false">O30+O59</f>
        <v>0</v>
      </c>
      <c r="P88" s="47" t="n">
        <f aca="false">P30+P59</f>
        <v>0</v>
      </c>
      <c r="Q88" s="48" t="n">
        <f aca="false">SUM(G88:P88)</f>
        <v>0</v>
      </c>
    </row>
    <row r="89" customFormat="false" ht="15" hidden="false" customHeight="false" outlineLevel="0" collapsed="false">
      <c r="B89" s="15" t="s">
        <v>217</v>
      </c>
      <c r="C89" s="43" t="n">
        <f aca="false">SUM(C64:C88)</f>
        <v>753310.82158811</v>
      </c>
      <c r="D89" s="43" t="n">
        <f aca="false">SUM(D64:D88)</f>
        <v>1796689.17841189</v>
      </c>
      <c r="F89" s="43" t="n">
        <f aca="false">SUM(F64:F88)</f>
        <v>2505383.30624047</v>
      </c>
      <c r="G89" s="43" t="n">
        <f aca="false">SUM(G64:G88)</f>
        <v>939128.299751079</v>
      </c>
      <c r="H89" s="43" t="n">
        <f aca="false">SUM(H64:H88)</f>
        <v>1287405.75809138</v>
      </c>
      <c r="I89" s="43" t="n">
        <f aca="false">SUM(I64:I88)</f>
        <v>198430.531594709</v>
      </c>
      <c r="J89" s="43" t="n">
        <f aca="false">SUM(J64:J88)</f>
        <v>69326.6118717172</v>
      </c>
      <c r="K89" s="43" t="n">
        <f aca="false">SUM(K64:K88)</f>
        <v>11092.1049315831</v>
      </c>
      <c r="L89" s="43" t="n">
        <f aca="false">SUM(L64:L88)</f>
        <v>0</v>
      </c>
      <c r="M89" s="43" t="n">
        <f aca="false">SUM(M64:M88)</f>
        <v>0</v>
      </c>
      <c r="N89" s="43" t="n">
        <f aca="false">SUM(N64:N88)</f>
        <v>0</v>
      </c>
      <c r="O89" s="43" t="n">
        <f aca="false">SUM(O64:O88)</f>
        <v>0</v>
      </c>
      <c r="P89" s="43" t="n">
        <f aca="false">SUM(P64:P88)</f>
        <v>0</v>
      </c>
      <c r="Q89" s="43" t="n">
        <f aca="false">SUM(Q64:Q88)</f>
        <v>2505383.30624047</v>
      </c>
    </row>
    <row r="92" customFormat="false" ht="15" hidden="false" customHeight="false" outlineLevel="0" collapsed="false">
      <c r="A92" s="8" t="s">
        <v>228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customFormat="false" ht="15" hidden="false" customHeight="false" outlineLevel="0" collapsed="false">
      <c r="B93" s="10" t="s">
        <v>229</v>
      </c>
      <c r="G93" s="47" t="n">
        <f aca="false">G89</f>
        <v>939128.299751079</v>
      </c>
      <c r="H93" s="47" t="n">
        <f aca="false">H89</f>
        <v>1287405.75809138</v>
      </c>
      <c r="I93" s="47" t="n">
        <f aca="false">I89</f>
        <v>198430.531594709</v>
      </c>
      <c r="J93" s="47" t="n">
        <f aca="false">J89</f>
        <v>69326.6118717172</v>
      </c>
      <c r="K93" s="47" t="n">
        <f aca="false">K89</f>
        <v>11092.1049315831</v>
      </c>
      <c r="L93" s="47" t="n">
        <f aca="false">L89</f>
        <v>0</v>
      </c>
      <c r="M93" s="47" t="n">
        <f aca="false">M89</f>
        <v>0</v>
      </c>
      <c r="N93" s="47" t="n">
        <f aca="false">N89</f>
        <v>0</v>
      </c>
      <c r="O93" s="47" t="n">
        <f aca="false">O89</f>
        <v>0</v>
      </c>
      <c r="P93" s="47" t="n">
        <f aca="false">P89</f>
        <v>0</v>
      </c>
    </row>
    <row r="94" customFormat="false" ht="15" hidden="false" customHeight="false" outlineLevel="0" collapsed="false">
      <c r="B94" s="10" t="s">
        <v>230</v>
      </c>
      <c r="G94" s="47" t="n">
        <f aca="false">G93</f>
        <v>939128.299751079</v>
      </c>
      <c r="H94" s="47" t="n">
        <f aca="false">G94+H93</f>
        <v>2226534.05784246</v>
      </c>
      <c r="I94" s="47" t="n">
        <f aca="false">H94+I93</f>
        <v>2424964.58943717</v>
      </c>
      <c r="J94" s="47" t="n">
        <f aca="false">I94+J93</f>
        <v>2494291.20130888</v>
      </c>
      <c r="K94" s="47" t="n">
        <f aca="false">J94+K93</f>
        <v>2505383.30624047</v>
      </c>
      <c r="L94" s="47" t="n">
        <f aca="false">K94+L93</f>
        <v>2505383.30624047</v>
      </c>
      <c r="M94" s="47" t="n">
        <f aca="false">L94+M93</f>
        <v>2505383.30624047</v>
      </c>
      <c r="N94" s="47" t="n">
        <f aca="false">M94+N93</f>
        <v>2505383.30624047</v>
      </c>
      <c r="O94" s="47" t="n">
        <f aca="false">N94+O93</f>
        <v>2505383.30624047</v>
      </c>
      <c r="P94" s="47" t="n">
        <f aca="false">O94+P93</f>
        <v>2505383.30624047</v>
      </c>
    </row>
    <row r="95" customFormat="false" ht="15" hidden="false" customHeight="false" outlineLevel="0" collapsed="false">
      <c r="B95" s="15" t="s">
        <v>231</v>
      </c>
      <c r="G95" s="48" t="n">
        <f aca="false">Available-G94</f>
        <v>1610871.70024892</v>
      </c>
      <c r="H95" s="48" t="n">
        <f aca="false">Available-H94</f>
        <v>323465.942157541</v>
      </c>
      <c r="I95" s="48" t="n">
        <f aca="false">Available-I94</f>
        <v>125035.410562832</v>
      </c>
      <c r="J95" s="48" t="n">
        <f aca="false">Available-J94</f>
        <v>55708.7986911153</v>
      </c>
      <c r="K95" s="48" t="n">
        <f aca="false">Available-K94</f>
        <v>44616.6937595322</v>
      </c>
      <c r="L95" s="48" t="n">
        <f aca="false">Available-L94</f>
        <v>44616.6937595322</v>
      </c>
      <c r="M95" s="48" t="n">
        <f aca="false">Available-M94</f>
        <v>44616.6937595322</v>
      </c>
      <c r="N95" s="48" t="n">
        <f aca="false">Available-N94</f>
        <v>44616.6937595322</v>
      </c>
      <c r="O95" s="48" t="n">
        <f aca="false">Available-O94</f>
        <v>44616.6937595322</v>
      </c>
      <c r="P95" s="48" t="n">
        <f aca="false">Available-P94</f>
        <v>44616.6937595322</v>
      </c>
    </row>
    <row r="96" customFormat="false" ht="15" hidden="false" customHeight="false" outlineLevel="0" collapsed="false">
      <c r="B96" s="10" t="s">
        <v>232</v>
      </c>
      <c r="G96" s="47" t="n">
        <f aca="false">TotalAllocated-G94</f>
        <v>1610871.70024892</v>
      </c>
      <c r="H96" s="47" t="n">
        <f aca="false">TotalAllocated-H94</f>
        <v>323465.942157541</v>
      </c>
      <c r="I96" s="47" t="n">
        <f aca="false">TotalAllocated-I94</f>
        <v>125035.410562832</v>
      </c>
      <c r="J96" s="47" t="n">
        <f aca="false">TotalAllocated-J94</f>
        <v>55708.7986911153</v>
      </c>
      <c r="K96" s="47" t="n">
        <f aca="false">TotalAllocated-K94</f>
        <v>44616.6937595322</v>
      </c>
      <c r="L96" s="47" t="n">
        <f aca="false">TotalAllocated-L94</f>
        <v>44616.6937595322</v>
      </c>
      <c r="M96" s="47" t="n">
        <f aca="false">TotalAllocated-M94</f>
        <v>44616.6937595322</v>
      </c>
      <c r="N96" s="47" t="n">
        <f aca="false">TotalAllocated-N94</f>
        <v>44616.6937595322</v>
      </c>
      <c r="O96" s="47" t="n">
        <f aca="false">TotalAllocated-O94</f>
        <v>44616.6937595322</v>
      </c>
      <c r="P96" s="47" t="n">
        <f aca="false">TotalAllocated-P94</f>
        <v>44616.6937595322</v>
      </c>
    </row>
    <row r="97" customFormat="false" ht="15" hidden="false" customHeight="false" outlineLevel="0" collapsed="false">
      <c r="B97" s="10" t="s">
        <v>233</v>
      </c>
      <c r="C97" s="48" t="n">
        <f aca="false">SUM(C6:C30)-Q31</f>
        <v>44616.6937595323</v>
      </c>
    </row>
    <row r="98" customFormat="false" ht="15" hidden="false" customHeight="false" outlineLevel="0" collapsed="false">
      <c r="B98" s="10" t="s">
        <v>234</v>
      </c>
      <c r="C98" s="48" t="n">
        <f aca="false">MIN(G95:P95)</f>
        <v>44616.6937595322</v>
      </c>
    </row>
  </sheetData>
  <conditionalFormatting sqref="G95:P95">
    <cfRule type="expression" priority="2" aboveAverage="0" equalAverage="0" bottom="0" percent="0" rank="0" text="" dxfId="0">
      <formula>G95&lt;0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6"/>
    <col collapsed="false" customWidth="true" hidden="false" outlineLevel="0" max="12" min="10" style="0" width="14"/>
  </cols>
  <sheetData>
    <row r="1" customFormat="false" ht="19.7" hidden="false" customHeight="false" outlineLevel="0" collapsed="false">
      <c r="A1" s="6" t="s">
        <v>235</v>
      </c>
    </row>
    <row r="2" customFormat="false" ht="15" hidden="false" customHeight="false" outlineLevel="0" collapsed="false">
      <c r="A2" s="7" t="s">
        <v>236</v>
      </c>
    </row>
    <row r="4" customFormat="false" ht="15" hidden="false" customHeight="false" outlineLevel="0" collapsed="false">
      <c r="A4" s="15" t="s">
        <v>237</v>
      </c>
      <c r="D4" s="12" t="n">
        <v>3</v>
      </c>
      <c r="E4" s="7" t="str">
        <f aca="false">"= calendar year "&amp;(FundStart-1+RepYear)</f>
        <v>= calendar year 2029</v>
      </c>
    </row>
    <row r="6" customFormat="false" ht="55.5" hidden="false" customHeight="true" outlineLevel="0" collapsed="false">
      <c r="A6" s="19" t="s">
        <v>116</v>
      </c>
      <c r="B6" s="19" t="s">
        <v>117</v>
      </c>
      <c r="C6" s="19" t="s">
        <v>238</v>
      </c>
      <c r="D6" s="19" t="s">
        <v>221</v>
      </c>
      <c r="E6" s="19" t="s">
        <v>239</v>
      </c>
      <c r="F6" s="19" t="s">
        <v>240</v>
      </c>
      <c r="G6" s="19" t="s">
        <v>241</v>
      </c>
      <c r="H6" s="19" t="s">
        <v>215</v>
      </c>
      <c r="I6" s="19" t="s">
        <v>242</v>
      </c>
      <c r="J6" s="19" t="s">
        <v>243</v>
      </c>
      <c r="K6" s="19" t="s">
        <v>244</v>
      </c>
    </row>
    <row r="7" customFormat="false" ht="15" hidden="false" customHeight="false" outlineLevel="0" collapsed="false">
      <c r="A7" s="25" t="n">
        <v>1</v>
      </c>
      <c r="B7" s="26" t="str">
        <f aca="false">'Eligibility &amp; Scoring'!$B7</f>
        <v>Project A - Lake village cluster</v>
      </c>
      <c r="C7" s="49" t="n">
        <f aca="false">'Eligibility &amp; Scoring'!$C7</f>
        <v>1080</v>
      </c>
      <c r="D7" s="36" t="n">
        <f aca="false">Disbursements!$C$6</f>
        <v>110778.68852459</v>
      </c>
      <c r="E7" s="22" t="n">
        <v>1048</v>
      </c>
      <c r="F7" s="29" t="n">
        <f aca="false">IFERROR(MIN(1,E7/C7),0)</f>
        <v>0.97037037037037</v>
      </c>
      <c r="G7" s="29" t="n">
        <f aca="false">IF(D7=0,0,IF(RepYear&lt;Pipeline!$I7,0,IF(RepYear=Pipeline!$I7,RampV1,IF(RepYear=Pipeline!$I7+1,RampV2,1))))</f>
        <v>1</v>
      </c>
      <c r="H7" s="50" t="str">
        <f aca="false">IF(B7="","",IF(D7=0,"Not funded",IF(G7=0,"Not started",IF(F7&gt;=0.9*G7,"On track",IF(F7&gt;=0.6*G7,"Behind","Off track")))))</f>
        <v>On track</v>
      </c>
      <c r="I7" s="28" t="n">
        <f aca="false">IFERROR(MIN(D7,E7/C7*D7),0)</f>
        <v>107496.35701275</v>
      </c>
      <c r="J7" s="13"/>
      <c r="K7" s="28" t="n">
        <f aca="false">MAX(0,I7*TrancheA-J7)</f>
        <v>75247.4499089253</v>
      </c>
    </row>
    <row r="8" customFormat="false" ht="15" hidden="false" customHeight="false" outlineLevel="0" collapsed="false">
      <c r="A8" s="25" t="n">
        <v>2</v>
      </c>
      <c r="B8" s="26" t="str">
        <f aca="false">'Eligibility &amp; Scoring'!$B8</f>
        <v>Project B - River towns</v>
      </c>
      <c r="C8" s="49" t="n">
        <f aca="false">'Eligibility &amp; Scoring'!$C8</f>
        <v>696</v>
      </c>
      <c r="D8" s="36" t="n">
        <f aca="false">Disbursements!$C$7</f>
        <v>32871.09375</v>
      </c>
      <c r="E8" s="22" t="n">
        <v>487</v>
      </c>
      <c r="F8" s="29" t="n">
        <f aca="false">IFERROR(MIN(1,E8/C8),0)</f>
        <v>0.699712643678161</v>
      </c>
      <c r="G8" s="29" t="n">
        <f aca="false">IF(D8=0,0,IF(RepYear&lt;Pipeline!$I8,0,IF(RepYear=Pipeline!$I8,RampV1,IF(RepYear=Pipeline!$I8+1,RampV2,1))))</f>
        <v>0.9</v>
      </c>
      <c r="H8" s="50" t="str">
        <f aca="false">IF(B8="","",IF(D8=0,"Not funded",IF(G8=0,"Not started",IF(F8&gt;=0.9*G8,"On track",IF(F8&gt;=0.6*G8,"Behind","Off track")))))</f>
        <v>Behind</v>
      </c>
      <c r="I8" s="28" t="n">
        <f aca="false">IFERROR(MIN(D8,E8/C8*D8),0)</f>
        <v>23000.3199084052</v>
      </c>
      <c r="J8" s="13"/>
      <c r="K8" s="28" t="n">
        <f aca="false">MAX(0,I8*TrancheA-J8)</f>
        <v>16100.2239358836</v>
      </c>
    </row>
    <row r="9" customFormat="false" ht="15" hidden="false" customHeight="false" outlineLevel="0" collapsed="false">
      <c r="A9" s="25" t="n">
        <v>3</v>
      </c>
      <c r="B9" s="26" t="str">
        <f aca="false">'Eligibility &amp; Scoring'!$B9</f>
        <v>Project C - Northern corridor</v>
      </c>
      <c r="C9" s="49" t="n">
        <f aca="false">'Eligibility &amp; Scoring'!$C9</f>
        <v>1714</v>
      </c>
      <c r="D9" s="36" t="n">
        <f aca="false">Disbursements!$C$8</f>
        <v>115204.402515723</v>
      </c>
      <c r="E9" s="22" t="n">
        <v>1371</v>
      </c>
      <c r="F9" s="29" t="n">
        <f aca="false">IFERROR(MIN(1,E9/C9),0)</f>
        <v>0.799883313885648</v>
      </c>
      <c r="G9" s="29" t="n">
        <f aca="false">IF(D9=0,0,IF(RepYear&lt;Pipeline!$I9,0,IF(RepYear=Pipeline!$I9,RampV1,IF(RepYear=Pipeline!$I9+1,RampV2,1))))</f>
        <v>1</v>
      </c>
      <c r="H9" s="50" t="str">
        <f aca="false">IF(B9="","",IF(D9=0,"Not funded",IF(G9=0,"Not started",IF(F9&gt;=0.9*G9,"On track",IF(F9&gt;=0.6*G9,"Behind","Off track")))))</f>
        <v>Behind</v>
      </c>
      <c r="I9" s="28" t="n">
        <f aca="false">IFERROR(MIN(D9,E9/C9*D9),0)</f>
        <v>92150.0792584928</v>
      </c>
      <c r="J9" s="13"/>
      <c r="K9" s="28" t="n">
        <f aca="false">MAX(0,I9*TrancheA-J9)</f>
        <v>64505.0554809449</v>
      </c>
    </row>
    <row r="10" customFormat="false" ht="15" hidden="false" customHeight="false" outlineLevel="0" collapsed="false">
      <c r="A10" s="25" t="n">
        <v>4</v>
      </c>
      <c r="B10" s="26" t="str">
        <f aca="false">'Eligibility &amp; Scoring'!$B10</f>
        <v>Project D - Island grids</v>
      </c>
      <c r="C10" s="49" t="n">
        <f aca="false">'Eligibility &amp; Scoring'!$C10</f>
        <v>595</v>
      </c>
      <c r="D10" s="36" t="n">
        <f aca="false">Disbursements!$C$9</f>
        <v>0</v>
      </c>
      <c r="E10" s="22" t="n">
        <v>0</v>
      </c>
      <c r="F10" s="29" t="n">
        <f aca="false">IFERROR(MIN(1,E10/C10),0)</f>
        <v>0</v>
      </c>
      <c r="G10" s="29" t="n">
        <f aca="false">IF(D10=0,0,IF(RepYear&lt;Pipeline!$I10,0,IF(RepYear=Pipeline!$I10,RampV1,IF(RepYear=Pipeline!$I10+1,RampV2,1))))</f>
        <v>0</v>
      </c>
      <c r="H10" s="50" t="str">
        <f aca="false">IF(B10="","",IF(D10=0,"Not funded",IF(G10=0,"Not started",IF(F10&gt;=0.9*G10,"On track",IF(F10&gt;=0.6*G10,"Behind","Off track")))))</f>
        <v>Not funded</v>
      </c>
      <c r="I10" s="28" t="n">
        <f aca="false">IFERROR(MIN(D10,E10/C10*D10),0)</f>
        <v>0</v>
      </c>
      <c r="J10" s="13"/>
      <c r="K10" s="28" t="n">
        <f aca="false">MAX(0,I10*TrancheA-J10)</f>
        <v>0</v>
      </c>
    </row>
    <row r="11" customFormat="false" ht="15" hidden="false" customHeight="false" outlineLevel="0" collapsed="false">
      <c r="A11" s="25" t="n">
        <v>5</v>
      </c>
      <c r="B11" s="26" t="str">
        <f aca="false">'Eligibility &amp; Scoring'!$B11</f>
        <v>Project E - Highland villages</v>
      </c>
      <c r="C11" s="49" t="n">
        <f aca="false">'Eligibility &amp; Scoring'!$C11</f>
        <v>828</v>
      </c>
      <c r="D11" s="36" t="n">
        <f aca="false">Disbursements!$C$10</f>
        <v>0</v>
      </c>
      <c r="E11" s="22" t="n">
        <v>0</v>
      </c>
      <c r="F11" s="29" t="n">
        <f aca="false">IFERROR(MIN(1,E11/C11),0)</f>
        <v>0</v>
      </c>
      <c r="G11" s="29" t="n">
        <f aca="false">IF(D11=0,0,IF(RepYear&lt;Pipeline!$I11,0,IF(RepYear=Pipeline!$I11,RampV1,IF(RepYear=Pipeline!$I11+1,RampV2,1))))</f>
        <v>0</v>
      </c>
      <c r="H11" s="50" t="str">
        <f aca="false">IF(B11="","",IF(D11=0,"Not funded",IF(G11=0,"Not started",IF(F11&gt;=0.9*G11,"On track",IF(F11&gt;=0.6*G11,"Behind","Off track")))))</f>
        <v>Not funded</v>
      </c>
      <c r="I11" s="28" t="n">
        <f aca="false">IFERROR(MIN(D11,E11/C11*D11),0)</f>
        <v>0</v>
      </c>
      <c r="J11" s="13"/>
      <c r="K11" s="28" t="n">
        <f aca="false">MAX(0,I11*TrancheA-J11)</f>
        <v>0</v>
      </c>
    </row>
    <row r="12" customFormat="false" ht="15" hidden="false" customHeight="false" outlineLevel="0" collapsed="false">
      <c r="A12" s="25" t="n">
        <v>6</v>
      </c>
      <c r="B12" s="26" t="str">
        <f aca="false">'Eligibility &amp; Scoring'!$B12</f>
        <v>Project F - Market towns</v>
      </c>
      <c r="C12" s="49" t="n">
        <f aca="false">'Eligibility &amp; Scoring'!$C12</f>
        <v>988</v>
      </c>
      <c r="D12" s="36" t="n">
        <f aca="false">Disbursements!$C$11</f>
        <v>0</v>
      </c>
      <c r="E12" s="22" t="n">
        <v>0</v>
      </c>
      <c r="F12" s="29" t="n">
        <f aca="false">IFERROR(MIN(1,E12/C12),0)</f>
        <v>0</v>
      </c>
      <c r="G12" s="29" t="n">
        <f aca="false">IF(D12=0,0,IF(RepYear&lt;Pipeline!$I12,0,IF(RepYear=Pipeline!$I12,RampV1,IF(RepYear=Pipeline!$I12+1,RampV2,1))))</f>
        <v>0</v>
      </c>
      <c r="H12" s="50" t="str">
        <f aca="false">IF(B12="","",IF(D12=0,"Not funded",IF(G12=0,"Not started",IF(F12&gt;=0.9*G12,"On track",IF(F12&gt;=0.6*G12,"Behind","Off track")))))</f>
        <v>Not funded</v>
      </c>
      <c r="I12" s="28" t="n">
        <f aca="false">IFERROR(MIN(D12,E12/C12*D12),0)</f>
        <v>0</v>
      </c>
      <c r="J12" s="13"/>
      <c r="K12" s="28" t="n">
        <f aca="false">MAX(0,I12*TrancheA-J12)</f>
        <v>0</v>
      </c>
    </row>
    <row r="13" customFormat="false" ht="15" hidden="false" customHeight="false" outlineLevel="0" collapsed="false">
      <c r="A13" s="25" t="n">
        <v>7</v>
      </c>
      <c r="B13" s="26" t="str">
        <f aca="false">'Eligibility &amp; Scoring'!$B13</f>
        <v>Project G - Remote valley</v>
      </c>
      <c r="C13" s="49" t="n">
        <f aca="false">'Eligibility &amp; Scoring'!$C13</f>
        <v>354</v>
      </c>
      <c r="D13" s="36" t="n">
        <f aca="false">Disbursements!$C$12</f>
        <v>0</v>
      </c>
      <c r="E13" s="22" t="n">
        <v>0</v>
      </c>
      <c r="F13" s="29" t="n">
        <f aca="false">IFERROR(MIN(1,E13/C13),0)</f>
        <v>0</v>
      </c>
      <c r="G13" s="29" t="n">
        <f aca="false">IF(D13=0,0,IF(RepYear&lt;Pipeline!$I13,0,IF(RepYear=Pipeline!$I13,RampV1,IF(RepYear=Pipeline!$I13+1,RampV2,1))))</f>
        <v>0</v>
      </c>
      <c r="H13" s="50" t="str">
        <f aca="false">IF(B13="","",IF(D13=0,"Not funded",IF(G13=0,"Not started",IF(F13&gt;=0.9*G13,"On track",IF(F13&gt;=0.6*G13,"Behind","Off track")))))</f>
        <v>Not funded</v>
      </c>
      <c r="I13" s="28" t="n">
        <f aca="false">IFERROR(MIN(D13,E13/C13*D13),0)</f>
        <v>0</v>
      </c>
      <c r="J13" s="13"/>
      <c r="K13" s="28" t="n">
        <f aca="false">MAX(0,I13*TrancheA-J13)</f>
        <v>0</v>
      </c>
    </row>
    <row r="14" customFormat="false" ht="15" hidden="false" customHeight="false" outlineLevel="0" collapsed="false">
      <c r="A14" s="25" t="n">
        <v>8</v>
      </c>
      <c r="B14" s="26" t="str">
        <f aca="false">'Eligibility &amp; Scoring'!$B14</f>
        <v>Project H - Agro-processing hub</v>
      </c>
      <c r="C14" s="49" t="n">
        <f aca="false">'Eligibility &amp; Scoring'!$C14</f>
        <v>876</v>
      </c>
      <c r="D14" s="36" t="n">
        <f aca="false">Disbursements!$C$13</f>
        <v>112181.978798587</v>
      </c>
      <c r="E14" s="22" t="n">
        <v>745</v>
      </c>
      <c r="F14" s="29" t="n">
        <f aca="false">IFERROR(MIN(1,E14/C14),0)</f>
        <v>0.850456621004566</v>
      </c>
      <c r="G14" s="29" t="n">
        <f aca="false">IF(D14=0,0,IF(RepYear&lt;Pipeline!$I14,0,IF(RepYear=Pipeline!$I14,RampV1,IF(RepYear=Pipeline!$I14+1,RampV2,1))))</f>
        <v>0.9</v>
      </c>
      <c r="H14" s="50" t="str">
        <f aca="false">IF(B14="","",IF(D14=0,"Not funded",IF(G14=0,"Not started",IF(F14&gt;=0.9*G14,"On track",IF(F14&gt;=0.6*G14,"Behind","Off track")))))</f>
        <v>On track</v>
      </c>
      <c r="I14" s="28" t="n">
        <f aca="false">IFERROR(MIN(D14,E14/C14*D14),0)</f>
        <v>95405.9066266518</v>
      </c>
      <c r="J14" s="13"/>
      <c r="K14" s="28" t="n">
        <f aca="false">MAX(0,I14*TrancheA-J14)</f>
        <v>66784.1346386563</v>
      </c>
    </row>
    <row r="15" customFormat="false" ht="15" hidden="false" customHeight="false" outlineLevel="0" collapsed="false">
      <c r="A15" s="25" t="n">
        <v>9</v>
      </c>
      <c r="B15" s="26" t="str">
        <f aca="false">'Eligibility &amp; Scoring'!$B15</f>
        <v>Project I - Fishing communities</v>
      </c>
      <c r="C15" s="49" t="n">
        <f aca="false">'Eligibility &amp; Scoring'!$C15</f>
        <v>917</v>
      </c>
      <c r="D15" s="36" t="n">
        <f aca="false">Disbursements!$C$14</f>
        <v>109793.862368258</v>
      </c>
      <c r="E15" s="22" t="n">
        <v>367</v>
      </c>
      <c r="F15" s="29" t="n">
        <f aca="false">IFERROR(MIN(1,E15/C15),0)</f>
        <v>0.400218102508179</v>
      </c>
      <c r="G15" s="29" t="n">
        <f aca="false">IF(D15=0,0,IF(RepYear&lt;Pipeline!$I15,0,IF(RepYear=Pipeline!$I15,RampV1,IF(RepYear=Pipeline!$I15+1,RampV2,1))))</f>
        <v>0.9</v>
      </c>
      <c r="H15" s="50" t="str">
        <f aca="false">IF(B15="","",IF(D15=0,"Not funded",IF(G15=0,"Not started",IF(F15&gt;=0.9*G15,"On track",IF(F15&gt;=0.6*G15,"Behind","Off track")))))</f>
        <v>Off track</v>
      </c>
      <c r="I15" s="28" t="n">
        <f aca="false">IFERROR(MIN(D15,E15/C15*D15),0)</f>
        <v>43941.4912640683</v>
      </c>
      <c r="J15" s="13"/>
      <c r="K15" s="28" t="n">
        <f aca="false">MAX(0,I15*TrancheA-J15)</f>
        <v>30759.0438848478</v>
      </c>
    </row>
    <row r="16" customFormat="false" ht="15" hidden="false" customHeight="false" outlineLevel="0" collapsed="false">
      <c r="A16" s="25" t="n">
        <v>10</v>
      </c>
      <c r="B16" s="26" t="str">
        <f aca="false">'Eligibility &amp; Scoring'!$B16</f>
        <v>Project J - Health and schools first</v>
      </c>
      <c r="C16" s="49" t="n">
        <f aca="false">'Eligibility &amp; Scoring'!$C16</f>
        <v>650</v>
      </c>
      <c r="D16" s="36" t="n">
        <f aca="false">Disbursements!$C$15</f>
        <v>0</v>
      </c>
      <c r="E16" s="22" t="n">
        <v>0</v>
      </c>
      <c r="F16" s="29" t="n">
        <f aca="false">IFERROR(MIN(1,E16/C16),0)</f>
        <v>0</v>
      </c>
      <c r="G16" s="29" t="n">
        <f aca="false">IF(D16=0,0,IF(RepYear&lt;Pipeline!$I16,0,IF(RepYear=Pipeline!$I16,RampV1,IF(RepYear=Pipeline!$I16+1,RampV2,1))))</f>
        <v>0</v>
      </c>
      <c r="H16" s="50" t="str">
        <f aca="false">IF(B16="","",IF(D16=0,"Not funded",IF(G16=0,"Not started",IF(F16&gt;=0.9*G16,"On track",IF(F16&gt;=0.6*G16,"Behind","Off track")))))</f>
        <v>Not funded</v>
      </c>
      <c r="I16" s="28" t="n">
        <f aca="false">IFERROR(MIN(D16,E16/C16*D16),0)</f>
        <v>0</v>
      </c>
      <c r="J16" s="13"/>
      <c r="K16" s="28" t="n">
        <f aca="false">MAX(0,I16*TrancheA-J16)</f>
        <v>0</v>
      </c>
    </row>
    <row r="17" customFormat="false" ht="15" hidden="false" customHeight="false" outlineLevel="0" collapsed="false">
      <c r="A17" s="25" t="n">
        <v>11</v>
      </c>
      <c r="B17" s="26" t="str">
        <f aca="false">'Eligibility &amp; Scoring'!$B17</f>
        <v>Project K - Peri-urban extension</v>
      </c>
      <c r="C17" s="49" t="n">
        <f aca="false">'Eligibility &amp; Scoring'!$C17</f>
        <v>1460</v>
      </c>
      <c r="D17" s="36" t="n">
        <f aca="false">Disbursements!$C$16</f>
        <v>124750.673854447</v>
      </c>
      <c r="E17" s="22" t="n">
        <v>1460</v>
      </c>
      <c r="F17" s="29" t="n">
        <f aca="false">IFERROR(MIN(1,E17/C17),0)</f>
        <v>1</v>
      </c>
      <c r="G17" s="29" t="n">
        <f aca="false">IF(D17=0,0,IF(RepYear&lt;Pipeline!$I17,0,IF(RepYear=Pipeline!$I17,RampV1,IF(RepYear=Pipeline!$I17+1,RampV2,1))))</f>
        <v>1</v>
      </c>
      <c r="H17" s="50" t="str">
        <f aca="false">IF(B17="","",IF(D17=0,"Not funded",IF(G17=0,"Not started",IF(F17&gt;=0.9*G17,"On track",IF(F17&gt;=0.6*G17,"Behind","Off track")))))</f>
        <v>On track</v>
      </c>
      <c r="I17" s="28" t="n">
        <f aca="false">IFERROR(MIN(D17,E17/C17*D17),0)</f>
        <v>124750.673854447</v>
      </c>
      <c r="J17" s="13"/>
      <c r="K17" s="28" t="n">
        <f aca="false">MAX(0,I17*TrancheA-J17)</f>
        <v>87325.4716981132</v>
      </c>
    </row>
    <row r="18" customFormat="false" ht="15" hidden="false" customHeight="false" outlineLevel="0" collapsed="false">
      <c r="A18" s="25" t="n">
        <v>12</v>
      </c>
      <c r="B18" s="26" t="str">
        <f aca="false">'Eligibility &amp; Scoring'!$B18</f>
        <v>Project L - Mining belt</v>
      </c>
      <c r="C18" s="49" t="n">
        <f aca="false">'Eligibility &amp; Scoring'!$C18</f>
        <v>1298</v>
      </c>
      <c r="D18" s="36" t="n">
        <f aca="false">Disbursements!$C$17</f>
        <v>111562.5</v>
      </c>
      <c r="E18" s="22" t="n">
        <v>974</v>
      </c>
      <c r="F18" s="29" t="n">
        <f aca="false">IFERROR(MIN(1,E18/C18),0)</f>
        <v>0.750385208012327</v>
      </c>
      <c r="G18" s="29" t="n">
        <f aca="false">IF(D18=0,0,IF(RepYear&lt;Pipeline!$I18,0,IF(RepYear=Pipeline!$I18,RampV1,IF(RepYear=Pipeline!$I18+1,RampV2,1))))</f>
        <v>0.9</v>
      </c>
      <c r="H18" s="50" t="str">
        <f aca="false">IF(B18="","",IF(D18=0,"Not funded",IF(G18=0,"Not started",IF(F18&gt;=0.9*G18,"On track",IF(F18&gt;=0.6*G18,"Behind","Off track")))))</f>
        <v>Behind</v>
      </c>
      <c r="I18" s="28" t="n">
        <f aca="false">IFERROR(MIN(D18,E18/C18*D18),0)</f>
        <v>83714.8497688752</v>
      </c>
      <c r="J18" s="13"/>
      <c r="K18" s="28" t="n">
        <f aca="false">MAX(0,I18*TrancheA-J18)</f>
        <v>58600.3948382126</v>
      </c>
    </row>
    <row r="19" customFormat="false" ht="15" hidden="false" customHeight="false" outlineLevel="0" collapsed="false">
      <c r="A19" s="25" t="n">
        <v>13</v>
      </c>
      <c r="B19" s="26" t="str">
        <f aca="false">'Eligibility &amp; Scoring'!$B19</f>
        <v>Project M - Small pilot</v>
      </c>
      <c r="C19" s="49" t="n">
        <f aca="false">'Eligibility &amp; Scoring'!$C19</f>
        <v>182</v>
      </c>
      <c r="D19" s="36" t="n">
        <f aca="false">Disbursements!$C$18</f>
        <v>0</v>
      </c>
      <c r="E19" s="22" t="n">
        <v>0</v>
      </c>
      <c r="F19" s="29" t="n">
        <f aca="false">IFERROR(MIN(1,E19/C19),0)</f>
        <v>0</v>
      </c>
      <c r="G19" s="29" t="n">
        <f aca="false">IF(D19=0,0,IF(RepYear&lt;Pipeline!$I19,0,IF(RepYear=Pipeline!$I19,RampV1,IF(RepYear=Pipeline!$I19+1,RampV2,1))))</f>
        <v>0</v>
      </c>
      <c r="H19" s="50" t="str">
        <f aca="false">IF(B19="","",IF(D19=0,"Not funded",IF(G19=0,"Not started",IF(F19&gt;=0.9*G19,"On track",IF(F19&gt;=0.6*G19,"Behind","Off track")))))</f>
        <v>Not funded</v>
      </c>
      <c r="I19" s="28" t="n">
        <f aca="false">IFERROR(MIN(D19,E19/C19*D19),0)</f>
        <v>0</v>
      </c>
      <c r="J19" s="13"/>
      <c r="K19" s="28" t="n">
        <f aca="false">MAX(0,I19*TrancheA-J19)</f>
        <v>0</v>
      </c>
    </row>
    <row r="20" customFormat="false" ht="15" hidden="false" customHeight="false" outlineLevel="0" collapsed="false">
      <c r="A20" s="25" t="n">
        <v>14</v>
      </c>
      <c r="B20" s="26" t="str">
        <f aca="false">'Eligibility &amp; Scoring'!$B20</f>
        <v>Project N - Lakeside expansion</v>
      </c>
      <c r="C20" s="49" t="n">
        <f aca="false">'Eligibility &amp; Scoring'!$C20</f>
        <v>1014</v>
      </c>
      <c r="D20" s="36" t="n">
        <f aca="false">Disbursements!$C$19</f>
        <v>36167.6217765043</v>
      </c>
      <c r="E20" s="22" t="n">
        <v>892</v>
      </c>
      <c r="F20" s="29" t="n">
        <f aca="false">IFERROR(MIN(1,E20/C20),0)</f>
        <v>0.879684418145957</v>
      </c>
      <c r="G20" s="29" t="n">
        <f aca="false">IF(D20=0,0,IF(RepYear&lt;Pipeline!$I20,0,IF(RepYear=Pipeline!$I20,RampV1,IF(RepYear=Pipeline!$I20+1,RampV2,1))))</f>
        <v>0.9</v>
      </c>
      <c r="H20" s="50" t="str">
        <f aca="false">IF(B20="","",IF(D20=0,"Not funded",IF(G20=0,"Not started",IF(F20&gt;=0.9*G20,"On track",IF(F20&gt;=0.6*G20,"Behind","Off track")))))</f>
        <v>On track</v>
      </c>
      <c r="I20" s="28" t="n">
        <f aca="false">IFERROR(MIN(D20,E20/C20*D20),0)</f>
        <v>31816.0933181872</v>
      </c>
      <c r="J20" s="13"/>
      <c r="K20" s="28" t="n">
        <f aca="false">MAX(0,I20*TrancheA-J20)</f>
        <v>22271.265322731</v>
      </c>
    </row>
    <row r="21" customFormat="false" ht="15" hidden="false" customHeight="false" outlineLevel="0" collapsed="false">
      <c r="A21" s="25" t="n">
        <v>15</v>
      </c>
      <c r="B21" s="26" t="str">
        <f aca="false">'Eligibility &amp; Scoring'!$B21</f>
        <v/>
      </c>
      <c r="C21" s="49" t="n">
        <f aca="false">'Eligibility &amp; Scoring'!$C21</f>
        <v>0</v>
      </c>
      <c r="D21" s="36" t="n">
        <f aca="false">Disbursements!$C$20</f>
        <v>0</v>
      </c>
      <c r="E21" s="22"/>
      <c r="F21" s="29" t="n">
        <f aca="false">IFERROR(MIN(1,E21/C21),0)</f>
        <v>0</v>
      </c>
      <c r="G21" s="29" t="n">
        <f aca="false">IF(D21=0,0,IF(RepYear&lt;Pipeline!$I21,0,IF(RepYear=Pipeline!$I21,RampV1,IF(RepYear=Pipeline!$I21+1,RampV2,1))))</f>
        <v>0</v>
      </c>
      <c r="H21" s="50" t="str">
        <f aca="false">IF(B21="","",IF(D21=0,"Not funded",IF(G21=0,"Not started",IF(F21&gt;=0.9*G21,"On track",IF(F21&gt;=0.6*G21,"Behind","Off track")))))</f>
        <v/>
      </c>
      <c r="I21" s="28" t="n">
        <f aca="false">IFERROR(MIN(D21,E21/C21*D21),0)</f>
        <v>0</v>
      </c>
      <c r="J21" s="13"/>
      <c r="K21" s="28" t="n">
        <f aca="false">MAX(0,I21*TrancheA-J21)</f>
        <v>0</v>
      </c>
    </row>
    <row r="22" customFormat="false" ht="15" hidden="false" customHeight="false" outlineLevel="0" collapsed="false">
      <c r="A22" s="25" t="n">
        <v>16</v>
      </c>
      <c r="B22" s="26" t="str">
        <f aca="false">'Eligibility &amp; Scoring'!$B22</f>
        <v/>
      </c>
      <c r="C22" s="49" t="n">
        <f aca="false">'Eligibility &amp; Scoring'!$C22</f>
        <v>0</v>
      </c>
      <c r="D22" s="36" t="n">
        <f aca="false">Disbursements!$C$21</f>
        <v>0</v>
      </c>
      <c r="E22" s="22"/>
      <c r="F22" s="29" t="n">
        <f aca="false">IFERROR(MIN(1,E22/C22),0)</f>
        <v>0</v>
      </c>
      <c r="G22" s="29" t="n">
        <f aca="false">IF(D22=0,0,IF(RepYear&lt;Pipeline!$I22,0,IF(RepYear=Pipeline!$I22,RampV1,IF(RepYear=Pipeline!$I22+1,RampV2,1))))</f>
        <v>0</v>
      </c>
      <c r="H22" s="50" t="str">
        <f aca="false">IF(B22="","",IF(D22=0,"Not funded",IF(G22=0,"Not started",IF(F22&gt;=0.9*G22,"On track",IF(F22&gt;=0.6*G22,"Behind","Off track")))))</f>
        <v/>
      </c>
      <c r="I22" s="28" t="n">
        <f aca="false">IFERROR(MIN(D22,E22/C22*D22),0)</f>
        <v>0</v>
      </c>
      <c r="J22" s="13"/>
      <c r="K22" s="28" t="n">
        <f aca="false">MAX(0,I22*TrancheA-J22)</f>
        <v>0</v>
      </c>
    </row>
    <row r="23" customFormat="false" ht="15" hidden="false" customHeight="false" outlineLevel="0" collapsed="false">
      <c r="A23" s="25" t="n">
        <v>17</v>
      </c>
      <c r="B23" s="26" t="str">
        <f aca="false">'Eligibility &amp; Scoring'!$B23</f>
        <v/>
      </c>
      <c r="C23" s="49" t="n">
        <f aca="false">'Eligibility &amp; Scoring'!$C23</f>
        <v>0</v>
      </c>
      <c r="D23" s="36" t="n">
        <f aca="false">Disbursements!$C$22</f>
        <v>0</v>
      </c>
      <c r="E23" s="22"/>
      <c r="F23" s="29" t="n">
        <f aca="false">IFERROR(MIN(1,E23/C23),0)</f>
        <v>0</v>
      </c>
      <c r="G23" s="29" t="n">
        <f aca="false">IF(D23=0,0,IF(RepYear&lt;Pipeline!$I23,0,IF(RepYear=Pipeline!$I23,RampV1,IF(RepYear=Pipeline!$I23+1,RampV2,1))))</f>
        <v>0</v>
      </c>
      <c r="H23" s="50" t="str">
        <f aca="false">IF(B23="","",IF(D23=0,"Not funded",IF(G23=0,"Not started",IF(F23&gt;=0.9*G23,"On track",IF(F23&gt;=0.6*G23,"Behind","Off track")))))</f>
        <v/>
      </c>
      <c r="I23" s="28" t="n">
        <f aca="false">IFERROR(MIN(D23,E23/C23*D23),0)</f>
        <v>0</v>
      </c>
      <c r="J23" s="13"/>
      <c r="K23" s="28" t="n">
        <f aca="false">MAX(0,I23*TrancheA-J23)</f>
        <v>0</v>
      </c>
    </row>
    <row r="24" customFormat="false" ht="15" hidden="false" customHeight="false" outlineLevel="0" collapsed="false">
      <c r="A24" s="25" t="n">
        <v>18</v>
      </c>
      <c r="B24" s="26" t="str">
        <f aca="false">'Eligibility &amp; Scoring'!$B24</f>
        <v/>
      </c>
      <c r="C24" s="49" t="n">
        <f aca="false">'Eligibility &amp; Scoring'!$C24</f>
        <v>0</v>
      </c>
      <c r="D24" s="36" t="n">
        <f aca="false">Disbursements!$C$23</f>
        <v>0</v>
      </c>
      <c r="E24" s="22"/>
      <c r="F24" s="29" t="n">
        <f aca="false">IFERROR(MIN(1,E24/C24),0)</f>
        <v>0</v>
      </c>
      <c r="G24" s="29" t="n">
        <f aca="false">IF(D24=0,0,IF(RepYear&lt;Pipeline!$I24,0,IF(RepYear=Pipeline!$I24,RampV1,IF(RepYear=Pipeline!$I24+1,RampV2,1))))</f>
        <v>0</v>
      </c>
      <c r="H24" s="50" t="str">
        <f aca="false">IF(B24="","",IF(D24=0,"Not funded",IF(G24=0,"Not started",IF(F24&gt;=0.9*G24,"On track",IF(F24&gt;=0.6*G24,"Behind","Off track")))))</f>
        <v/>
      </c>
      <c r="I24" s="28" t="n">
        <f aca="false">IFERROR(MIN(D24,E24/C24*D24),0)</f>
        <v>0</v>
      </c>
      <c r="J24" s="13"/>
      <c r="K24" s="28" t="n">
        <f aca="false">MAX(0,I24*TrancheA-J24)</f>
        <v>0</v>
      </c>
    </row>
    <row r="25" customFormat="false" ht="15" hidden="false" customHeight="false" outlineLevel="0" collapsed="false">
      <c r="A25" s="25" t="n">
        <v>19</v>
      </c>
      <c r="B25" s="26" t="str">
        <f aca="false">'Eligibility &amp; Scoring'!$B25</f>
        <v/>
      </c>
      <c r="C25" s="49" t="n">
        <f aca="false">'Eligibility &amp; Scoring'!$C25</f>
        <v>0</v>
      </c>
      <c r="D25" s="36" t="n">
        <f aca="false">Disbursements!$C$24</f>
        <v>0</v>
      </c>
      <c r="E25" s="22"/>
      <c r="F25" s="29" t="n">
        <f aca="false">IFERROR(MIN(1,E25/C25),0)</f>
        <v>0</v>
      </c>
      <c r="G25" s="29" t="n">
        <f aca="false">IF(D25=0,0,IF(RepYear&lt;Pipeline!$I25,0,IF(RepYear=Pipeline!$I25,RampV1,IF(RepYear=Pipeline!$I25+1,RampV2,1))))</f>
        <v>0</v>
      </c>
      <c r="H25" s="50" t="str">
        <f aca="false">IF(B25="","",IF(D25=0,"Not funded",IF(G25=0,"Not started",IF(F25&gt;=0.9*G25,"On track",IF(F25&gt;=0.6*G25,"Behind","Off track")))))</f>
        <v/>
      </c>
      <c r="I25" s="28" t="n">
        <f aca="false">IFERROR(MIN(D25,E25/C25*D25),0)</f>
        <v>0</v>
      </c>
      <c r="J25" s="13"/>
      <c r="K25" s="28" t="n">
        <f aca="false">MAX(0,I25*TrancheA-J25)</f>
        <v>0</v>
      </c>
    </row>
    <row r="26" customFormat="false" ht="15" hidden="false" customHeight="false" outlineLevel="0" collapsed="false">
      <c r="A26" s="25" t="n">
        <v>20</v>
      </c>
      <c r="B26" s="26" t="str">
        <f aca="false">'Eligibility &amp; Scoring'!$B26</f>
        <v/>
      </c>
      <c r="C26" s="49" t="n">
        <f aca="false">'Eligibility &amp; Scoring'!$C26</f>
        <v>0</v>
      </c>
      <c r="D26" s="36" t="n">
        <f aca="false">Disbursements!$C$25</f>
        <v>0</v>
      </c>
      <c r="E26" s="22"/>
      <c r="F26" s="29" t="n">
        <f aca="false">IFERROR(MIN(1,E26/C26),0)</f>
        <v>0</v>
      </c>
      <c r="G26" s="29" t="n">
        <f aca="false">IF(D26=0,0,IF(RepYear&lt;Pipeline!$I26,0,IF(RepYear=Pipeline!$I26,RampV1,IF(RepYear=Pipeline!$I26+1,RampV2,1))))</f>
        <v>0</v>
      </c>
      <c r="H26" s="50" t="str">
        <f aca="false">IF(B26="","",IF(D26=0,"Not funded",IF(G26=0,"Not started",IF(F26&gt;=0.9*G26,"On track",IF(F26&gt;=0.6*G26,"Behind","Off track")))))</f>
        <v/>
      </c>
      <c r="I26" s="28" t="n">
        <f aca="false">IFERROR(MIN(D26,E26/C26*D26),0)</f>
        <v>0</v>
      </c>
      <c r="J26" s="13"/>
      <c r="K26" s="28" t="n">
        <f aca="false">MAX(0,I26*TrancheA-J26)</f>
        <v>0</v>
      </c>
    </row>
    <row r="27" customFormat="false" ht="15" hidden="false" customHeight="false" outlineLevel="0" collapsed="false">
      <c r="A27" s="25" t="n">
        <v>21</v>
      </c>
      <c r="B27" s="26" t="str">
        <f aca="false">'Eligibility &amp; Scoring'!$B27</f>
        <v/>
      </c>
      <c r="C27" s="49" t="n">
        <f aca="false">'Eligibility &amp; Scoring'!$C27</f>
        <v>0</v>
      </c>
      <c r="D27" s="36" t="n">
        <f aca="false">Disbursements!$C$26</f>
        <v>0</v>
      </c>
      <c r="E27" s="22"/>
      <c r="F27" s="29" t="n">
        <f aca="false">IFERROR(MIN(1,E27/C27),0)</f>
        <v>0</v>
      </c>
      <c r="G27" s="29" t="n">
        <f aca="false">IF(D27=0,0,IF(RepYear&lt;Pipeline!$I27,0,IF(RepYear=Pipeline!$I27,RampV1,IF(RepYear=Pipeline!$I27+1,RampV2,1))))</f>
        <v>0</v>
      </c>
      <c r="H27" s="50" t="str">
        <f aca="false">IF(B27="","",IF(D27=0,"Not funded",IF(G27=0,"Not started",IF(F27&gt;=0.9*G27,"On track",IF(F27&gt;=0.6*G27,"Behind","Off track")))))</f>
        <v/>
      </c>
      <c r="I27" s="28" t="n">
        <f aca="false">IFERROR(MIN(D27,E27/C27*D27),0)</f>
        <v>0</v>
      </c>
      <c r="J27" s="13"/>
      <c r="K27" s="28" t="n">
        <f aca="false">MAX(0,I27*TrancheA-J27)</f>
        <v>0</v>
      </c>
    </row>
    <row r="28" customFormat="false" ht="15" hidden="false" customHeight="false" outlineLevel="0" collapsed="false">
      <c r="A28" s="25" t="n">
        <v>22</v>
      </c>
      <c r="B28" s="26" t="str">
        <f aca="false">'Eligibility &amp; Scoring'!$B28</f>
        <v/>
      </c>
      <c r="C28" s="49" t="n">
        <f aca="false">'Eligibility &amp; Scoring'!$C28</f>
        <v>0</v>
      </c>
      <c r="D28" s="36" t="n">
        <f aca="false">Disbursements!$C$27</f>
        <v>0</v>
      </c>
      <c r="E28" s="22"/>
      <c r="F28" s="29" t="n">
        <f aca="false">IFERROR(MIN(1,E28/C28),0)</f>
        <v>0</v>
      </c>
      <c r="G28" s="29" t="n">
        <f aca="false">IF(D28=0,0,IF(RepYear&lt;Pipeline!$I28,0,IF(RepYear=Pipeline!$I28,RampV1,IF(RepYear=Pipeline!$I28+1,RampV2,1))))</f>
        <v>0</v>
      </c>
      <c r="H28" s="50" t="str">
        <f aca="false">IF(B28="","",IF(D28=0,"Not funded",IF(G28=0,"Not started",IF(F28&gt;=0.9*G28,"On track",IF(F28&gt;=0.6*G28,"Behind","Off track")))))</f>
        <v/>
      </c>
      <c r="I28" s="28" t="n">
        <f aca="false">IFERROR(MIN(D28,E28/C28*D28),0)</f>
        <v>0</v>
      </c>
      <c r="J28" s="13"/>
      <c r="K28" s="28" t="n">
        <f aca="false">MAX(0,I28*TrancheA-J28)</f>
        <v>0</v>
      </c>
    </row>
    <row r="29" customFormat="false" ht="15" hidden="false" customHeight="false" outlineLevel="0" collapsed="false">
      <c r="A29" s="25" t="n">
        <v>23</v>
      </c>
      <c r="B29" s="26" t="str">
        <f aca="false">'Eligibility &amp; Scoring'!$B29</f>
        <v/>
      </c>
      <c r="C29" s="49" t="n">
        <f aca="false">'Eligibility &amp; Scoring'!$C29</f>
        <v>0</v>
      </c>
      <c r="D29" s="36" t="n">
        <f aca="false">Disbursements!$C$28</f>
        <v>0</v>
      </c>
      <c r="E29" s="22"/>
      <c r="F29" s="29" t="n">
        <f aca="false">IFERROR(MIN(1,E29/C29),0)</f>
        <v>0</v>
      </c>
      <c r="G29" s="29" t="n">
        <f aca="false">IF(D29=0,0,IF(RepYear&lt;Pipeline!$I29,0,IF(RepYear=Pipeline!$I29,RampV1,IF(RepYear=Pipeline!$I29+1,RampV2,1))))</f>
        <v>0</v>
      </c>
      <c r="H29" s="50" t="str">
        <f aca="false">IF(B29="","",IF(D29=0,"Not funded",IF(G29=0,"Not started",IF(F29&gt;=0.9*G29,"On track",IF(F29&gt;=0.6*G29,"Behind","Off track")))))</f>
        <v/>
      </c>
      <c r="I29" s="28" t="n">
        <f aca="false">IFERROR(MIN(D29,E29/C29*D29),0)</f>
        <v>0</v>
      </c>
      <c r="J29" s="13"/>
      <c r="K29" s="28" t="n">
        <f aca="false">MAX(0,I29*TrancheA-J29)</f>
        <v>0</v>
      </c>
    </row>
    <row r="30" customFormat="false" ht="15" hidden="false" customHeight="false" outlineLevel="0" collapsed="false">
      <c r="A30" s="25" t="n">
        <v>24</v>
      </c>
      <c r="B30" s="26" t="str">
        <f aca="false">'Eligibility &amp; Scoring'!$B30</f>
        <v/>
      </c>
      <c r="C30" s="49" t="n">
        <f aca="false">'Eligibility &amp; Scoring'!$C30</f>
        <v>0</v>
      </c>
      <c r="D30" s="36" t="n">
        <f aca="false">Disbursements!$C$29</f>
        <v>0</v>
      </c>
      <c r="E30" s="22"/>
      <c r="F30" s="29" t="n">
        <f aca="false">IFERROR(MIN(1,E30/C30),0)</f>
        <v>0</v>
      </c>
      <c r="G30" s="29" t="n">
        <f aca="false">IF(D30=0,0,IF(RepYear&lt;Pipeline!$I30,0,IF(RepYear=Pipeline!$I30,RampV1,IF(RepYear=Pipeline!$I30+1,RampV2,1))))</f>
        <v>0</v>
      </c>
      <c r="H30" s="50" t="str">
        <f aca="false">IF(B30="","",IF(D30=0,"Not funded",IF(G30=0,"Not started",IF(F30&gt;=0.9*G30,"On track",IF(F30&gt;=0.6*G30,"Behind","Off track")))))</f>
        <v/>
      </c>
      <c r="I30" s="28" t="n">
        <f aca="false">IFERROR(MIN(D30,E30/C30*D30),0)</f>
        <v>0</v>
      </c>
      <c r="J30" s="13"/>
      <c r="K30" s="28" t="n">
        <f aca="false">MAX(0,I30*TrancheA-J30)</f>
        <v>0</v>
      </c>
    </row>
    <row r="31" customFormat="false" ht="15" hidden="false" customHeight="false" outlineLevel="0" collapsed="false">
      <c r="A31" s="25" t="n">
        <v>25</v>
      </c>
      <c r="B31" s="26" t="str">
        <f aca="false">'Eligibility &amp; Scoring'!$B31</f>
        <v/>
      </c>
      <c r="C31" s="49" t="n">
        <f aca="false">'Eligibility &amp; Scoring'!$C31</f>
        <v>0</v>
      </c>
      <c r="D31" s="36" t="n">
        <f aca="false">Disbursements!$C$30</f>
        <v>0</v>
      </c>
      <c r="E31" s="22"/>
      <c r="F31" s="29" t="n">
        <f aca="false">IFERROR(MIN(1,E31/C31),0)</f>
        <v>0</v>
      </c>
      <c r="G31" s="29" t="n">
        <f aca="false">IF(D31=0,0,IF(RepYear&lt;Pipeline!$I31,0,IF(RepYear=Pipeline!$I31,RampV1,IF(RepYear=Pipeline!$I31+1,RampV2,1))))</f>
        <v>0</v>
      </c>
      <c r="H31" s="50" t="str">
        <f aca="false">IF(B31="","",IF(D31=0,"Not funded",IF(G31=0,"Not started",IF(F31&gt;=0.9*G31,"On track",IF(F31&gt;=0.6*G31,"Behind","Off track")))))</f>
        <v/>
      </c>
      <c r="I31" s="28" t="n">
        <f aca="false">IFERROR(MIN(D31,E31/C31*D31),0)</f>
        <v>0</v>
      </c>
      <c r="J31" s="13"/>
      <c r="K31" s="28" t="n">
        <f aca="false">MAX(0,I31*TrancheA-J31)</f>
        <v>0</v>
      </c>
    </row>
    <row r="32" customFormat="false" ht="15" hidden="false" customHeight="false" outlineLevel="0" collapsed="false">
      <c r="B32" s="15" t="s">
        <v>217</v>
      </c>
      <c r="C32" s="51" t="n">
        <f aca="false">SUM(C7:C31)</f>
        <v>12652</v>
      </c>
      <c r="D32" s="43" t="n">
        <f aca="false">SUM(D7:D31)</f>
        <v>753310.82158811</v>
      </c>
      <c r="E32" s="51" t="n">
        <f aca="false">SUM(E7:E31)</f>
        <v>7344</v>
      </c>
      <c r="I32" s="43" t="n">
        <f aca="false">SUM(I7:I31)</f>
        <v>602275.771011878</v>
      </c>
      <c r="J32" s="43" t="n">
        <f aca="false">SUM(J7:J31)</f>
        <v>0</v>
      </c>
      <c r="K32" s="43" t="n">
        <f aca="false">SUM(K7:K31)</f>
        <v>421593.039708315</v>
      </c>
    </row>
    <row r="34" customFormat="false" ht="15" hidden="false" customHeight="false" outlineLevel="0" collapsed="false">
      <c r="B34" s="7" t="s">
        <v>245</v>
      </c>
    </row>
  </sheetData>
  <conditionalFormatting sqref="H7:H31">
    <cfRule type="expression" priority="2" aboveAverage="0" equalAverage="0" bottom="0" percent="0" rank="0" text="" dxfId="1">
      <formula>H7="On track"</formula>
    </cfRule>
    <cfRule type="expression" priority="3" aboveAverage="0" equalAverage="0" bottom="0" percent="0" rank="0" text="" dxfId="2">
      <formula>H7="Behind"</formula>
    </cfRule>
    <cfRule type="expression" priority="4" aboveAverage="0" equalAverage="0" bottom="0" percent="0" rank="0" text="" dxfId="0">
      <formula>H7="Off track"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F79"/>
    <pageSetUpPr fitToPage="true"/>
  </sheetPr>
  <dimension ref="B1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2"/>
    <col collapsed="false" customWidth="true" hidden="false" outlineLevel="0" max="5" min="5" style="0" width="46"/>
    <col collapsed="false" customWidth="true" hidden="false" outlineLevel="0" max="6" min="6" style="0" width="17"/>
    <col collapsed="false" customWidth="true" hidden="false" outlineLevel="0" max="7" min="7" style="0" width="2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4" min="10" style="0" width="12"/>
  </cols>
  <sheetData>
    <row r="1" customFormat="false" ht="19.7" hidden="false" customHeight="false" outlineLevel="0" collapsed="false">
      <c r="B1" s="6" t="str">
        <f aca="false">"PORTFOLIO DASHBOARD - "&amp;FundName</f>
        <v>PORTFOLIO DASHBOARD - Example Energy Access Fund</v>
      </c>
    </row>
    <row r="2" customFormat="false" ht="15" hidden="false" customHeight="false" outlineLevel="0" collapsed="false">
      <c r="B2" s="40" t="str">
        <f aca="false">FundManager&amp;"  |  profile: "&amp;ProfileName&amp;"  |  fund size "&amp;Currency&amp;" "&amp;FIXED(FundSize,0)&amp;"  |  "&amp;TEXT(FundStart,"0")&amp;"-"&amp;TEXT(FundStart+9,"0")</f>
        <v>Example Fund Manager  |  profile: Capex grant + RBF  |  fund size USD 3,000,000  |  2027-2036</v>
      </c>
    </row>
    <row r="3" customFormat="false" ht="15" hidden="false" customHeight="false" outlineLevel="0" collapsed="false">
      <c r="E3" s="40" t="str">
        <f aca="false">"Model checks: "&amp;ChecksOverall</f>
        <v>Model checks: ALL OK</v>
      </c>
    </row>
    <row r="5" customFormat="false" ht="15" hidden="false" customHeight="false" outlineLevel="0" collapsed="false">
      <c r="B5" s="8" t="s">
        <v>246</v>
      </c>
      <c r="C5" s="9"/>
      <c r="E5" s="8" t="s">
        <v>247</v>
      </c>
      <c r="F5" s="9"/>
      <c r="H5" s="8" t="s">
        <v>248</v>
      </c>
      <c r="I5" s="9"/>
      <c r="J5" s="9"/>
    </row>
    <row r="6" customFormat="false" ht="15" hidden="false" customHeight="false" outlineLevel="0" collapsed="false">
      <c r="B6" s="52" t="s">
        <v>249</v>
      </c>
      <c r="C6" s="53" t="n">
        <f aca="false">FundSize</f>
        <v>3000000</v>
      </c>
      <c r="E6" s="52" t="s">
        <v>250</v>
      </c>
      <c r="F6" s="54" t="n">
        <f aca="false">COUNTIF(Pipeline!$B$7:$B$31,"?*")</f>
        <v>14</v>
      </c>
      <c r="H6" s="55" t="s">
        <v>90</v>
      </c>
      <c r="I6" s="55" t="s">
        <v>200</v>
      </c>
      <c r="J6" s="55" t="s">
        <v>251</v>
      </c>
    </row>
    <row r="7" customFormat="false" ht="15" hidden="false" customHeight="false" outlineLevel="0" collapsed="false">
      <c r="B7" s="52" t="s">
        <v>252</v>
      </c>
      <c r="C7" s="53" t="n">
        <f aca="false">Available</f>
        <v>2550000</v>
      </c>
      <c r="E7" s="52" t="s">
        <v>253</v>
      </c>
      <c r="F7" s="54" t="n">
        <f aca="false">SUM('Eligibility &amp; Scoring'!$O$7:$O$31)</f>
        <v>8</v>
      </c>
      <c r="H7" s="46" t="str">
        <f aca="false">IF('Fund Parameters'!$A$51="","",'Fund Parameters'!$A$51)</f>
        <v>Country A</v>
      </c>
      <c r="I7" s="56" t="n">
        <f aca="false">IF(H7="",0,SUMIF(Pipeline!$C$7:$C$31,H7,'Eligibility &amp; Scoring'!$AK$7:$AK$31))</f>
        <v>510000</v>
      </c>
      <c r="J7" s="57" t="n">
        <f aca="false">IFERROR(I7/Envelope,0)</f>
        <v>0.2</v>
      </c>
    </row>
    <row r="8" customFormat="false" ht="15" hidden="false" customHeight="false" outlineLevel="0" collapsed="false">
      <c r="B8" s="52" t="s">
        <v>254</v>
      </c>
      <c r="C8" s="53" t="n">
        <f aca="false">Envelope</f>
        <v>2550000</v>
      </c>
      <c r="E8" s="52" t="s">
        <v>255</v>
      </c>
      <c r="F8" s="54" t="n">
        <f aca="false">COUNTIF(Allocation!$I$7:$I$31,"&gt;0")</f>
        <v>8</v>
      </c>
      <c r="H8" s="46" t="str">
        <f aca="false">IF('Fund Parameters'!$A$52="","",'Fund Parameters'!$A$52)</f>
        <v>Country B</v>
      </c>
      <c r="I8" s="56" t="n">
        <f aca="false">IF(H8="",0,SUMIF(Pipeline!$C$7:$C$31,H8,'Eligibility &amp; Scoring'!$AK$7:$AK$31))</f>
        <v>1275000</v>
      </c>
      <c r="J8" s="57" t="n">
        <f aca="false">IFERROR(I8/Envelope,0)</f>
        <v>0.5</v>
      </c>
    </row>
    <row r="9" customFormat="false" ht="15" hidden="false" customHeight="false" outlineLevel="0" collapsed="false">
      <c r="B9" s="52" t="s">
        <v>256</v>
      </c>
      <c r="C9" s="53" t="n">
        <f aca="false">TotalRequested</f>
        <v>2997500</v>
      </c>
      <c r="E9" s="52" t="s">
        <v>257</v>
      </c>
      <c r="F9" s="54" t="n">
        <f aca="false">COUNTIF('Eligibility &amp; Scoring'!$AM$7:$AM$31,"Funded")</f>
        <v>6</v>
      </c>
      <c r="H9" s="46" t="str">
        <f aca="false">IF('Fund Parameters'!$A$53="","",'Fund Parameters'!$A$53)</f>
        <v>Country C</v>
      </c>
      <c r="I9" s="56" t="n">
        <f aca="false">IF(H9="",0,SUMIF(Pipeline!$C$7:$C$31,H9,'Eligibility &amp; Scoring'!$AK$7:$AK$31))</f>
        <v>0</v>
      </c>
      <c r="J9" s="57" t="n">
        <f aca="false">IFERROR(I9/Envelope,0)</f>
        <v>0</v>
      </c>
    </row>
    <row r="10" customFormat="false" ht="15" hidden="false" customHeight="false" outlineLevel="0" collapsed="false">
      <c r="B10" s="52" t="s">
        <v>258</v>
      </c>
      <c r="C10" s="58" t="n">
        <f aca="false">IFERROR(TotalRequested/Envelope,0)</f>
        <v>1.17549019607843</v>
      </c>
      <c r="E10" s="52" t="s">
        <v>259</v>
      </c>
      <c r="F10" s="54" t="n">
        <f aca="false">NEligible-NFunded</f>
        <v>0</v>
      </c>
      <c r="H10" s="46" t="str">
        <f aca="false">IF('Fund Parameters'!$A$54="","",'Fund Parameters'!$A$54)</f>
        <v>Country D</v>
      </c>
      <c r="I10" s="56" t="n">
        <f aca="false">IF(H10="",0,SUMIF(Pipeline!$C$7:$C$31,H10,'Eligibility &amp; Scoring'!$AK$7:$AK$31))</f>
        <v>765000</v>
      </c>
      <c r="J10" s="57" t="n">
        <f aca="false">IFERROR(I10/Envelope,0)</f>
        <v>0.3</v>
      </c>
    </row>
    <row r="11" customFormat="false" ht="15" hidden="false" customHeight="false" outlineLevel="0" collapsed="false">
      <c r="B11" s="52" t="s">
        <v>200</v>
      </c>
      <c r="C11" s="53" t="n">
        <f aca="false">TotalAllocated</f>
        <v>2550000</v>
      </c>
      <c r="E11" s="52" t="s">
        <v>260</v>
      </c>
      <c r="F11" s="54" t="n">
        <f aca="false">SUMPRODUCT(('Eligibility &amp; Scoring'!$Y$7:$Y$31="Above viability gap")*('Eligibility &amp; Scoring'!$AK$7:$AK$31&gt;0))</f>
        <v>0</v>
      </c>
      <c r="H11" s="46" t="str">
        <f aca="false">IF('Fund Parameters'!$A$55="","",'Fund Parameters'!$A$55)</f>
        <v/>
      </c>
      <c r="I11" s="56" t="n">
        <f aca="false">IF(H11="",0,SUMIF(Pipeline!$C$7:$C$31,H11,'Eligibility &amp; Scoring'!$AK$7:$AK$31))</f>
        <v>0</v>
      </c>
      <c r="J11" s="57" t="n">
        <f aca="false">IFERROR(I11/Envelope,0)</f>
        <v>0</v>
      </c>
    </row>
    <row r="12" customFormat="false" ht="15" hidden="false" customHeight="false" outlineLevel="0" collapsed="false">
      <c r="B12" s="52" t="s">
        <v>261</v>
      </c>
      <c r="C12" s="53" t="n">
        <f aca="false">Disbursements!$C$31</f>
        <v>753310.82158811</v>
      </c>
      <c r="E12" s="52" t="s">
        <v>262</v>
      </c>
      <c r="F12" s="59" t="n">
        <f aca="false">IFERROR(SUMPRODUCT('Eligibility &amp; Scoring'!$AH$7:$AH$31,'Eligibility &amp; Scoring'!$AK$7:$AK$31)/TotalAllocated,0)</f>
        <v>70.7439500329924</v>
      </c>
      <c r="H12" s="46" t="str">
        <f aca="false">IF('Fund Parameters'!$A$56="","",'Fund Parameters'!$A$56)</f>
        <v/>
      </c>
      <c r="I12" s="56" t="n">
        <f aca="false">IF(H12="",0,SUMIF(Pipeline!$C$7:$C$31,H12,'Eligibility &amp; Scoring'!$AK$7:$AK$31))</f>
        <v>0</v>
      </c>
      <c r="J12" s="57" t="n">
        <f aca="false">IFERROR(I12/Envelope,0)</f>
        <v>0</v>
      </c>
    </row>
    <row r="13" customFormat="false" ht="15" hidden="false" customHeight="false" outlineLevel="0" collapsed="false">
      <c r="B13" s="52" t="s">
        <v>263</v>
      </c>
      <c r="C13" s="53" t="n">
        <f aca="false">Disbursements!$D$31</f>
        <v>1796689.17841189</v>
      </c>
      <c r="H13" s="46" t="str">
        <f aca="false">IF('Fund Parameters'!$A$57="","",'Fund Parameters'!$A$57)</f>
        <v/>
      </c>
      <c r="I13" s="56" t="n">
        <f aca="false">IF(H13="",0,SUMIF(Pipeline!$C$7:$C$31,H13,'Eligibility &amp; Scoring'!$AK$7:$AK$31))</f>
        <v>0</v>
      </c>
      <c r="J13" s="57" t="n">
        <f aca="false">IFERROR(I13/Envelope,0)</f>
        <v>0</v>
      </c>
    </row>
    <row r="14" customFormat="false" ht="15" hidden="false" customHeight="false" outlineLevel="0" collapsed="false">
      <c r="B14" s="52" t="s">
        <v>264</v>
      </c>
      <c r="C14" s="60" t="n">
        <f aca="false">IFERROR(TotalAllocated/Envelope,0)</f>
        <v>1</v>
      </c>
      <c r="H14" s="46" t="str">
        <f aca="false">IF('Fund Parameters'!$A$58="","",'Fund Parameters'!$A$58)</f>
        <v/>
      </c>
      <c r="I14" s="56" t="n">
        <f aca="false">IF(H14="",0,SUMIF(Pipeline!$C$7:$C$31,H14,'Eligibility &amp; Scoring'!$AK$7:$AK$31))</f>
        <v>0</v>
      </c>
      <c r="J14" s="57" t="n">
        <f aca="false">IFERROR(I14/Envelope,0)</f>
        <v>0</v>
      </c>
    </row>
    <row r="15" customFormat="false" ht="15" hidden="false" customHeight="false" outlineLevel="0" collapsed="false">
      <c r="B15" s="52" t="s">
        <v>265</v>
      </c>
      <c r="C15" s="53" t="n">
        <f aca="false">TotalExpectedDisb</f>
        <v>2505383.30624047</v>
      </c>
      <c r="H15" s="61" t="s">
        <v>266</v>
      </c>
      <c r="I15" s="56" t="n">
        <f aca="false">TotalAllocated-SUM(I7:I14)</f>
        <v>0</v>
      </c>
      <c r="J15" s="57" t="n">
        <f aca="false">IFERROR(I15/Envelope,0)</f>
        <v>0</v>
      </c>
    </row>
    <row r="16" customFormat="false" ht="15" hidden="false" customHeight="false" outlineLevel="0" collapsed="false">
      <c r="B16" s="52" t="s">
        <v>233</v>
      </c>
      <c r="C16" s="53" t="n">
        <f aca="false">ExpectedDecommit</f>
        <v>44616.6937595323</v>
      </c>
      <c r="H16" s="61" t="s">
        <v>267</v>
      </c>
      <c r="I16" s="48" t="n">
        <f aca="false">MAX(I7:I15)</f>
        <v>1275000</v>
      </c>
    </row>
    <row r="17" customFormat="false" ht="15" hidden="false" customHeight="false" outlineLevel="0" collapsed="false">
      <c r="B17" s="52" t="s">
        <v>268</v>
      </c>
      <c r="C17" s="53" t="n">
        <f aca="false">MinCashBalance</f>
        <v>44616.6937595322</v>
      </c>
    </row>
    <row r="18" customFormat="false" ht="15" hidden="false" customHeight="false" outlineLevel="0" collapsed="false">
      <c r="B18" s="52" t="s">
        <v>269</v>
      </c>
      <c r="C18" s="58" t="n">
        <f aca="false">IFERROR(TotalAllocated/TotalExpectedDisb,0)</f>
        <v>1.01780833042529</v>
      </c>
      <c r="H18" s="40" t="s">
        <v>270</v>
      </c>
    </row>
    <row r="19" customFormat="false" ht="15" hidden="false" customHeight="false" outlineLevel="0" collapsed="false">
      <c r="H19" s="40" t="s">
        <v>271</v>
      </c>
      <c r="I19" s="40" t="s">
        <v>272</v>
      </c>
      <c r="J19" s="40" t="s">
        <v>273</v>
      </c>
      <c r="K19" s="40" t="s">
        <v>274</v>
      </c>
    </row>
    <row r="20" customFormat="false" ht="15" hidden="false" customHeight="false" outlineLevel="0" collapsed="false">
      <c r="B20" s="8" t="s">
        <v>275</v>
      </c>
      <c r="C20" s="9"/>
      <c r="E20" s="8" t="s">
        <v>276</v>
      </c>
      <c r="F20" s="9"/>
      <c r="H20" s="46" t="n">
        <f aca="false">FundStart-1+1</f>
        <v>2027</v>
      </c>
      <c r="I20" s="62" t="n">
        <f aca="false">Disbursements!$G$31</f>
        <v>142362.06464584</v>
      </c>
      <c r="J20" s="62" t="n">
        <f aca="false">Disbursements!$G$60</f>
        <v>796766.235105239</v>
      </c>
      <c r="K20" s="62" t="n">
        <f aca="false">Disbursements!$G$94</f>
        <v>939128.299751079</v>
      </c>
    </row>
    <row r="21" customFormat="false" ht="15" hidden="false" customHeight="false" outlineLevel="0" collapsed="false">
      <c r="B21" s="52" t="s">
        <v>277</v>
      </c>
      <c r="C21" s="63" t="n">
        <f aca="false">SUMPRODUCT('Eligibility &amp; Scoring'!$C$7:$C$31,'Eligibility &amp; Scoring'!$AL$7:$AL$31)</f>
        <v>7960.3125</v>
      </c>
      <c r="E21" s="52" t="s">
        <v>278</v>
      </c>
      <c r="F21" s="53" t="n">
        <f aca="false">SUMPRODUCT(Pipeline!$N$7:$N$31,'Eligibility &amp; Scoring'!$AL$7:$AL$31)</f>
        <v>9645182.29166667</v>
      </c>
      <c r="H21" s="46" t="n">
        <f aca="false">FundStart-1+2</f>
        <v>2028</v>
      </c>
      <c r="I21" s="62" t="n">
        <f aca="false">Disbursements!$H$31</f>
        <v>287482.814784728</v>
      </c>
      <c r="J21" s="62" t="n">
        <f aca="false">Disbursements!$H$60</f>
        <v>999922.943306651</v>
      </c>
      <c r="K21" s="62" t="n">
        <f aca="false">Disbursements!$H$94</f>
        <v>2226534.05784246</v>
      </c>
    </row>
    <row r="22" customFormat="false" ht="15" hidden="false" customHeight="false" outlineLevel="0" collapsed="false">
      <c r="B22" s="52" t="s">
        <v>279</v>
      </c>
      <c r="C22" s="63" t="n">
        <f aca="false">SUMPRODUCT(Pipeline!$J$7:$J$31,'Eligibility &amp; Scoring'!$AL$7:$AL$31)</f>
        <v>6422.39583333333</v>
      </c>
      <c r="E22" s="52" t="s">
        <v>280</v>
      </c>
      <c r="F22" s="53" t="n">
        <f aca="false">SUMPRODUCT(Pipeline!$O$7:$O$31,'Eligibility &amp; Scoring'!$AL$7:$AL$31)+SUMPRODUCT(Pipeline!$P$7:$P$31,'Eligibility &amp; Scoring'!$AL$7:$AL$31)</f>
        <v>4322786.45833333</v>
      </c>
      <c r="H22" s="46" t="n">
        <f aca="false">FundStart-1+3</f>
        <v>2029</v>
      </c>
      <c r="I22" s="62" t="n">
        <f aca="false">Disbursements!$I$31</f>
        <v>198430.531594709</v>
      </c>
      <c r="J22" s="62" t="n">
        <f aca="false">Disbursements!$I$60</f>
        <v>0</v>
      </c>
      <c r="K22" s="62" t="n">
        <f aca="false">Disbursements!$I$94</f>
        <v>2424964.58943717</v>
      </c>
    </row>
    <row r="23" customFormat="false" ht="15" hidden="false" customHeight="false" outlineLevel="0" collapsed="false">
      <c r="B23" s="52" t="s">
        <v>281</v>
      </c>
      <c r="C23" s="63" t="n">
        <f aca="false">SUMPRODUCT(Pipeline!$K$7:$K$31,'Eligibility &amp; Scoring'!$AL$7:$AL$31)</f>
        <v>660.286458333333</v>
      </c>
      <c r="E23" s="52" t="s">
        <v>282</v>
      </c>
      <c r="F23" s="58" t="n">
        <f aca="false">IFERROR(PrivateMobilised/TotalAllocated,0)</f>
        <v>1.69521037581699</v>
      </c>
      <c r="H23" s="46" t="n">
        <f aca="false">FundStart-1+4</f>
        <v>2030</v>
      </c>
      <c r="I23" s="62" t="n">
        <f aca="false">Disbursements!$J$31</f>
        <v>69326.6118717172</v>
      </c>
      <c r="J23" s="62" t="n">
        <f aca="false">Disbursements!$J$60</f>
        <v>0</v>
      </c>
      <c r="K23" s="62" t="n">
        <f aca="false">Disbursements!$J$94</f>
        <v>2494291.20130888</v>
      </c>
    </row>
    <row r="24" customFormat="false" ht="15" hidden="false" customHeight="false" outlineLevel="0" collapsed="false">
      <c r="B24" s="52" t="s">
        <v>283</v>
      </c>
      <c r="C24" s="63" t="n">
        <f aca="false">SUMPRODUCT(Pipeline!$L$7:$L$31,'Eligibility &amp; Scoring'!$AL$7:$AL$31)+SUMPRODUCT(Pipeline!$M$7:$M$31,'Eligibility &amp; Scoring'!$AL$7:$AL$31)</f>
        <v>877.630208333333</v>
      </c>
      <c r="E24" s="52" t="s">
        <v>284</v>
      </c>
      <c r="F24" s="58" t="n">
        <f aca="false">IFERROR(InvestMobilised/TotalAllocated,0)</f>
        <v>3.78242442810458</v>
      </c>
      <c r="H24" s="46" t="n">
        <f aca="false">FundStart-1+5</f>
        <v>2031</v>
      </c>
      <c r="I24" s="62" t="n">
        <f aca="false">Disbursements!$K$31</f>
        <v>11092.1049315831</v>
      </c>
      <c r="J24" s="62" t="n">
        <f aca="false">Disbursements!$K$60</f>
        <v>0</v>
      </c>
      <c r="K24" s="62" t="n">
        <f aca="false">Disbursements!$K$94</f>
        <v>2505383.30624047</v>
      </c>
    </row>
    <row r="25" customFormat="false" ht="15" hidden="false" customHeight="false" outlineLevel="0" collapsed="false">
      <c r="B25" s="52" t="s">
        <v>285</v>
      </c>
      <c r="C25" s="63" t="n">
        <f aca="false">HHFunded*HHSize</f>
        <v>32111.9791666667</v>
      </c>
      <c r="E25" s="52" t="s">
        <v>286</v>
      </c>
      <c r="F25" s="53" t="n">
        <f aca="false">IFERROR(TotalAllocated/ConnFunded,0)</f>
        <v>320.339182663997</v>
      </c>
      <c r="H25" s="46" t="n">
        <f aca="false">FundStart-1+6</f>
        <v>2032</v>
      </c>
      <c r="I25" s="62" t="n">
        <f aca="false">Disbursements!$L$31</f>
        <v>0</v>
      </c>
      <c r="J25" s="62" t="n">
        <f aca="false">Disbursements!$L$60</f>
        <v>0</v>
      </c>
      <c r="K25" s="62" t="n">
        <f aca="false">Disbursements!$L$94</f>
        <v>2505383.30624047</v>
      </c>
    </row>
    <row r="26" customFormat="false" ht="15" hidden="false" customHeight="false" outlineLevel="0" collapsed="false">
      <c r="B26" s="52" t="s">
        <v>134</v>
      </c>
      <c r="C26" s="63" t="n">
        <f aca="false">SUMPRODUCT(Pipeline!$T$7:$T$31,'Eligibility &amp; Scoring'!$AL$7:$AL$31)</f>
        <v>50059.6354166667</v>
      </c>
      <c r="E26" s="52" t="s">
        <v>287</v>
      </c>
      <c r="F26" s="53" t="n">
        <f aca="false">IFERROR(TotalAllocated/PeopleFunded,0)</f>
        <v>79.4096180358446</v>
      </c>
      <c r="H26" s="46" t="n">
        <f aca="false">FundStart-1+7</f>
        <v>2033</v>
      </c>
      <c r="I26" s="62" t="n">
        <f aca="false">Disbursements!$M$31</f>
        <v>0</v>
      </c>
      <c r="J26" s="62" t="n">
        <f aca="false">Disbursements!$M$60</f>
        <v>0</v>
      </c>
      <c r="K26" s="62" t="n">
        <f aca="false">Disbursements!$M$94</f>
        <v>2505383.30624047</v>
      </c>
    </row>
    <row r="27" customFormat="false" ht="15" hidden="false" customHeight="false" outlineLevel="0" collapsed="false">
      <c r="B27" s="52" t="s">
        <v>288</v>
      </c>
      <c r="C27" s="63" t="n">
        <f aca="false">MRV_Verified</f>
        <v>7344</v>
      </c>
      <c r="E27" s="52" t="s">
        <v>289</v>
      </c>
      <c r="F27" s="53" t="n">
        <f aca="false">IFERROR(TotalAllocated/CO2Funded,0)</f>
        <v>50.9392443387834</v>
      </c>
      <c r="H27" s="46" t="n">
        <f aca="false">FundStart-1+8</f>
        <v>2034</v>
      </c>
      <c r="I27" s="62" t="n">
        <f aca="false">Disbursements!$N$31</f>
        <v>0</v>
      </c>
      <c r="J27" s="62" t="n">
        <f aca="false">Disbursements!$N$60</f>
        <v>0</v>
      </c>
      <c r="K27" s="62" t="n">
        <f aca="false">Disbursements!$N$94</f>
        <v>2505383.30624047</v>
      </c>
    </row>
    <row r="28" customFormat="false" ht="15" hidden="false" customHeight="false" outlineLevel="0" collapsed="false">
      <c r="H28" s="46" t="n">
        <f aca="false">FundStart-1+9</f>
        <v>2035</v>
      </c>
      <c r="I28" s="62" t="n">
        <f aca="false">Disbursements!$O$31</f>
        <v>0</v>
      </c>
      <c r="J28" s="62" t="n">
        <f aca="false">Disbursements!$O$60</f>
        <v>0</v>
      </c>
      <c r="K28" s="62" t="n">
        <f aca="false">Disbursements!$O$94</f>
        <v>2505383.30624047</v>
      </c>
    </row>
    <row r="29" customFormat="false" ht="15" hidden="false" customHeight="false" outlineLevel="0" collapsed="false">
      <c r="B29" s="8" t="s">
        <v>290</v>
      </c>
      <c r="C29" s="9"/>
      <c r="H29" s="46" t="n">
        <f aca="false">FundStart-1+10</f>
        <v>2036</v>
      </c>
      <c r="I29" s="62" t="n">
        <f aca="false">Disbursements!$P$31</f>
        <v>0</v>
      </c>
      <c r="J29" s="62" t="n">
        <f aca="false">Disbursements!$P$60</f>
        <v>0</v>
      </c>
      <c r="K29" s="62" t="n">
        <f aca="false">Disbursements!$P$94</f>
        <v>2505383.30624047</v>
      </c>
    </row>
    <row r="30" customFormat="false" ht="15" hidden="false" customHeight="false" outlineLevel="0" collapsed="false">
      <c r="B30" s="52" t="s">
        <v>291</v>
      </c>
      <c r="C30" s="64" t="n">
        <f aca="false">IFERROR(SUMPRODUCT(Pipeline!$H$7:$H$31,'Eligibility &amp; Scoring'!$AK$7:$AK$31)/TotalAllocated,0)</f>
        <v>2.2</v>
      </c>
    </row>
    <row r="31" customFormat="false" ht="15" hidden="false" customHeight="false" outlineLevel="0" collapsed="false">
      <c r="B31" s="52" t="s">
        <v>292</v>
      </c>
      <c r="C31" s="60" t="n">
        <f aca="false">IFERROR((TotalExpectedDisb-AllocGrant)/AllocRBF,0)</f>
        <v>0.940772530433755</v>
      </c>
    </row>
    <row r="32" customFormat="false" ht="15" hidden="false" customHeight="false" outlineLevel="0" collapsed="false">
      <c r="B32" s="52" t="s">
        <v>293</v>
      </c>
      <c r="C32" s="60" t="n">
        <f aca="false">IFERROR(MAX(Allocation!$I$7:$I$31)/TotalAllocated,0)</f>
        <v>0.15</v>
      </c>
    </row>
    <row r="33" customFormat="false" ht="15" hidden="false" customHeight="false" outlineLevel="0" collapsed="false">
      <c r="B33" s="52" t="s">
        <v>294</v>
      </c>
      <c r="C33" s="60" t="n">
        <f aca="false">IFERROR((LARGE(Allocation!$I$7:$I$31,1)+LARGE(Allocation!$I$7:$I$31,2)+LARGE(Allocation!$I$7:$I$31,3))/TotalAllocated,0)</f>
        <v>0.45</v>
      </c>
    </row>
    <row r="34" customFormat="false" ht="15" hidden="false" customHeight="false" outlineLevel="0" collapsed="false">
      <c r="B34" s="52" t="s">
        <v>295</v>
      </c>
      <c r="C34" s="60" t="n">
        <f aca="false">IFERROR(MaxCountryAlloc/Envelope,0)</f>
        <v>0.5</v>
      </c>
    </row>
    <row r="36" customFormat="false" ht="15" hidden="false" customHeight="false" outlineLevel="0" collapsed="false">
      <c r="B36" s="8" t="s">
        <v>296</v>
      </c>
      <c r="C36" s="9"/>
    </row>
    <row r="37" customFormat="false" ht="15" hidden="false" customHeight="false" outlineLevel="0" collapsed="false">
      <c r="B37" s="52" t="s">
        <v>297</v>
      </c>
      <c r="C37" s="65" t="str">
        <f aca="false">IF(EnvelopeUsed&gt;=0.9,"YES","NO - pipeline too thin")</f>
        <v>YES</v>
      </c>
    </row>
    <row r="38" customFormat="false" ht="15" hidden="false" customHeight="false" outlineLevel="0" collapsed="false">
      <c r="B38" s="52" t="s">
        <v>298</v>
      </c>
      <c r="C38" s="65" t="str">
        <f aca="false">IF(MinCashBalance&gt;=0,"YES","NO - reduce over-commitment")</f>
        <v>YES</v>
      </c>
    </row>
    <row r="39" customFormat="false" ht="15" hidden="false" customHeight="false" outlineLevel="0" collapsed="false">
      <c r="B39" s="52" t="s">
        <v>299</v>
      </c>
      <c r="C39" s="65" t="str">
        <f aca="false">IF(TopCountryShare&lt;=MaxCountryShare+0.0001,"YES","NO - rebalance")</f>
        <v>YES</v>
      </c>
    </row>
    <row r="40" customFormat="false" ht="15" hidden="false" customHeight="false" outlineLevel="0" collapsed="false">
      <c r="B40" s="52" t="s">
        <v>300</v>
      </c>
      <c r="C40" s="65" t="str">
        <f aca="false">IF(NAboveVGF=0,"YES","NO - review additionality")</f>
        <v>YES</v>
      </c>
    </row>
  </sheetData>
  <conditionalFormatting sqref="C37:C40">
    <cfRule type="expression" priority="2" aboveAverage="0" equalAverage="0" bottom="0" percent="0" rank="0" text="" dxfId="3">
      <formula>LEFT(C37,LEN("YES"))="YES"</formula>
    </cfRule>
    <cfRule type="expression" priority="3" aboveAverage="0" equalAverage="0" bottom="0" percent="0" rank="0" text="" dxfId="4">
      <formula>LEFT(C37,LEN("NO - "))="NO - 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12"/>
  </cols>
  <sheetData>
    <row r="1" customFormat="false" ht="19.7" hidden="false" customHeight="false" outlineLevel="0" collapsed="false">
      <c r="A1" s="6" t="s">
        <v>301</v>
      </c>
    </row>
    <row r="3" customFormat="false" ht="15" hidden="false" customHeight="false" outlineLevel="0" collapsed="false">
      <c r="A3" s="66" t="s">
        <v>302</v>
      </c>
      <c r="B3" s="65" t="str">
        <f aca="false">IF(ABS(W_Total-1)&lt;0.0001,"OK","CHECK")</f>
        <v>OK</v>
      </c>
    </row>
    <row r="4" customFormat="false" ht="15" hidden="false" customHeight="false" outlineLevel="0" collapsed="false">
      <c r="A4" s="66" t="s">
        <v>303</v>
      </c>
      <c r="B4" s="65" t="str">
        <f aca="false">IF(TotalAllocated&lt;=Envelope+0.5,"OK","CHECK")</f>
        <v>OK</v>
      </c>
    </row>
    <row r="5" customFormat="false" ht="15" hidden="false" customHeight="false" outlineLevel="0" collapsed="false">
      <c r="A5" s="66" t="s">
        <v>304</v>
      </c>
      <c r="B5" s="65" t="str">
        <f aca="false">IF(SUMPRODUCT(('Eligibility &amp; Scoring'!$AK$7:$AK$31&gt;'Eligibility &amp; Scoring'!$T$7:$T$31+0.5)*1)=0,"OK","CHECK")</f>
        <v>OK</v>
      </c>
    </row>
    <row r="6" customFormat="false" ht="15" hidden="false" customHeight="false" outlineLevel="0" collapsed="false">
      <c r="A6" s="66" t="s">
        <v>305</v>
      </c>
      <c r="B6" s="65" t="str">
        <f aca="false">IF(SUMPRODUCT(('Eligibility &amp; Scoring'!$O$7:$O$31=0)*('Eligibility &amp; Scoring'!$AK$7:$AK$31&gt;0))=0,"OK","CHECK")</f>
        <v>OK</v>
      </c>
    </row>
    <row r="7" customFormat="false" ht="15" hidden="false" customHeight="false" outlineLevel="0" collapsed="false">
      <c r="A7" s="66" t="s">
        <v>306</v>
      </c>
      <c r="B7" s="65" t="str">
        <f aca="false">IF(SUMPRODUCT(('Eligibility &amp; Scoring'!$O$7:$O$31=1)*1)=COUNT(Allocation!$B$7:$B$31),"OK","CHECK")</f>
        <v>OK</v>
      </c>
    </row>
    <row r="8" customFormat="false" ht="15" hidden="false" customHeight="false" outlineLevel="0" collapsed="false">
      <c r="A8" s="66" t="s">
        <v>307</v>
      </c>
      <c r="B8" s="65" t="str">
        <f aca="false">IF(ABS(SUM('Portfolio Dashboard'!$I$7:$I$14)+UnlistedAlloc-TotalAllocated)&lt;1,"OK","CHECK")</f>
        <v>OK</v>
      </c>
    </row>
    <row r="9" customFormat="false" ht="15" hidden="false" customHeight="false" outlineLevel="0" collapsed="false">
      <c r="A9" s="66" t="s">
        <v>308</v>
      </c>
      <c r="B9" s="65" t="str">
        <f aca="false">IF(MaxCountryAlloc&lt;=MaxCountryShare*Envelope+0.5,"OK","CHECK")</f>
        <v>OK</v>
      </c>
    </row>
    <row r="10" customFormat="false" ht="15" hidden="false" customHeight="false" outlineLevel="0" collapsed="false">
      <c r="A10" s="66" t="s">
        <v>309</v>
      </c>
      <c r="B10" s="65" t="str">
        <f aca="false">IF(ABS(TotalExpectedDisb-SUM(Disbursements!$F$64:$F$88))&lt;1,"OK","CHECK")</f>
        <v>OK</v>
      </c>
    </row>
    <row r="11" customFormat="false" ht="15" hidden="false" customHeight="false" outlineLevel="0" collapsed="false">
      <c r="A11" s="66" t="s">
        <v>310</v>
      </c>
      <c r="B11" s="65" t="str">
        <f aca="false">IF(TotalExpectedDisb&lt;=TotalAllocated+0.5,"OK","CHECK")</f>
        <v>OK</v>
      </c>
    </row>
    <row r="12" customFormat="false" ht="15" hidden="false" customHeight="false" outlineLevel="0" collapsed="false">
      <c r="A12" s="66" t="s">
        <v>311</v>
      </c>
      <c r="B12" s="65" t="str">
        <f aca="false">IF(AND(RampV1&gt;=0,RampV1&lt;=RampV2,RampV2&lt;=1),"OK","CHECK")</f>
        <v>OK</v>
      </c>
    </row>
    <row r="13" customFormat="false" ht="15" hidden="false" customHeight="false" outlineLevel="0" collapsed="false">
      <c r="A13" s="66" t="s">
        <v>312</v>
      </c>
      <c r="B13" s="65" t="str">
        <f aca="false">IF(MgmtPct+TAPct&lt;1,"OK","CHECK")</f>
        <v>OK</v>
      </c>
    </row>
    <row r="14" customFormat="false" ht="15" hidden="false" customHeight="false" outlineLevel="0" collapsed="false">
      <c r="A14" s="66" t="s">
        <v>313</v>
      </c>
      <c r="B14" s="65" t="str">
        <f aca="false">IF(NApplied&gt;0,"OK","CHECK")</f>
        <v>OK</v>
      </c>
    </row>
    <row r="16" customFormat="false" ht="15" hidden="false" customHeight="false" outlineLevel="0" collapsed="false">
      <c r="A16" s="15" t="s">
        <v>314</v>
      </c>
      <c r="B16" s="15" t="str">
        <f aca="false">IF(COUNTIF(B3:B14,"OK")=12,"ALL OK","REVIEW")</f>
        <v>ALL OK</v>
      </c>
    </row>
  </sheetData>
  <conditionalFormatting sqref="B3:B16">
    <cfRule type="expression" priority="2" aboveAverage="0" equalAverage="0" bottom="0" percent="0" rank="0" text="" dxfId="1">
      <formula>OR(B3="OK",B3="ALL OK")</formula>
    </cfRule>
    <cfRule type="expression" priority="3" aboveAverage="0" equalAverage="0" bottom="0" percent="0" rank="0" text="" dxfId="0">
      <formula>OR(B3="CHECK",B3="REVIEW")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2026-10-01T21:57:57Z</dcterms:created>
  <dc:creator>openpyxl</dc:creator>
  <dc:description/>
  <dc:language>en-US</dc:language>
  <cp:lastModifiedBy/>
  <dcterms:modified xsi:type="dcterms:W3CDTF">2026-10-01T21:58:01Z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