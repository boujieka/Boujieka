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ncer ici" sheetId="1" state="visible" r:id="rId3"/>
    <sheet name="Hypothèses" sheetId="2" state="visible" r:id="rId4"/>
    <sheet name="Courbe de charge" sheetId="3" state="visible" r:id="rId5"/>
    <sheet name="Usages productifs" sheetId="4" state="visible" r:id="rId6"/>
    <sheet name="Tableau de bord" sheetId="5" state="visible" r:id="rId7"/>
    <sheet name="Déficit de financement &amp; RBF" sheetId="6" state="visible" r:id="rId8"/>
    <sheet name="Sensibilité" sheetId="7" state="visible" r:id="rId9"/>
    <sheet name="Impact &amp; MRV" sheetId="8" state="visible" r:id="rId10"/>
    <sheet name="Demande de financement" sheetId="9" state="visible" r:id="rId11"/>
    <sheet name="Flux de trésorerie" sheetId="10" state="visible" r:id="rId12"/>
    <sheet name="Contrôles" sheetId="11" state="visible" r:id="rId13"/>
    <sheet name="S_Tariff_Lo" sheetId="12" state="hidden" r:id="rId14"/>
    <sheet name="S_Tariff_Hi" sheetId="13" state="hidden" r:id="rId15"/>
    <sheet name="S_Demand_Lo" sheetId="14" state="hidden" r:id="rId16"/>
    <sheet name="S_Demand_Hi" sheetId="15" state="hidden" r:id="rId17"/>
    <sheet name="S_Capex_Lo" sheetId="16" state="hidden" r:id="rId18"/>
    <sheet name="S_Capex_Hi" sheetId="17" state="hidden" r:id="rId19"/>
    <sheet name="S_Opex_Lo" sheetId="18" state="hidden" r:id="rId20"/>
    <sheet name="S_Opex_Hi" sheetId="19" state="hidden" r:id="rId21"/>
    <sheet name="S_Coll_Lo" sheetId="20" state="hidden" r:id="rId22"/>
    <sheet name="S_Coll_Hi" sheetId="21" state="hidden" r:id="rId23"/>
    <sheet name="S_Fuel_Lo" sheetId="22" state="hidden" r:id="rId24"/>
    <sheet name="S_Fuel_Hi" sheetId="23" state="hidden" r:id="rId25"/>
    <sheet name="S_Rate_Lo" sheetId="24" state="hidden" r:id="rId26"/>
    <sheet name="S_Rate_Hi" sheetId="25" state="hidden" r:id="rId27"/>
  </sheets>
  <definedNames>
    <definedName function="false" hidden="false" name="AffordThreshold" vbProcedure="false">Hypothèses!$C$44</definedName>
    <definedName function="false" hidden="false" name="AvgRBFperConn" vbProcedure="false">Hypothèses!$F$40</definedName>
    <definedName function="false" hidden="false" name="AvgTariff" vbProcedure="false">'Tableau de bord'!$C$14</definedName>
    <definedName function="false" hidden="false" name="AvgTariffInput" vbProcedure="false">Hypothèses!$D$40</definedName>
    <definedName function="false" hidden="false" name="BaselineShare" vbProcedure="false">Hypothèses!$C$114</definedName>
    <definedName function="false" hidden="false" name="BattLife" vbProcedure="false">Hypothèses!$C$81</definedName>
    <definedName function="false" hidden="false" name="BESS_kWh" vbProcedure="false">Hypothèses!$D$67</definedName>
    <definedName function="false" hidden="false" name="BreakEvenTariff" vbProcedure="false">Sensibilité!$D$37</definedName>
    <definedName function="false" hidden="false" name="CapexPerConn" vbProcedure="false">'Tableau de bord'!$C$7</definedName>
    <definedName function="false" hidden="false" name="ChecksOverall" vbProcedure="false">Contrôles!$B$20</definedName>
    <definedName function="false" hidden="false" name="CO2perL" vbProcedure="false">Hypothèses!$C$113</definedName>
    <definedName function="false" hidden="false" name="CO2Total" vbProcedure="false">'Impact &amp; MRV'!$B$37</definedName>
    <definedName function="false" hidden="false" name="Collection" vbProcedure="false">Hypothèses!$C$49</definedName>
    <definedName function="false" hidden="false" name="ConAmt" vbProcedure="false">'Tableau de bord'!$F$9</definedName>
    <definedName function="false" hidden="false" name="ConGrace" vbProcedure="false">Hypothèses!$C$107</definedName>
    <definedName function="false" hidden="false" name="ConPct" vbProcedure="false">Hypothèses!$C$104</definedName>
    <definedName function="false" hidden="false" name="ConRate" vbProcedure="false">Hypothèses!$C$105</definedName>
    <definedName function="false" hidden="false" name="ConTenor" vbProcedure="false">Hypothèses!$C$106</definedName>
    <definedName function="false" hidden="false" name="CostEsc" vbProcedure="false">Hypothèses!$C$16</definedName>
    <definedName function="false" hidden="false" name="Currency" vbProcedure="false">Hypothèses!$C$9</definedName>
    <definedName function="false" hidden="false" name="C_BattRepl" vbProcedure="false">Hypothèses!$C$82</definedName>
    <definedName function="false" hidden="false" name="C_BESS" vbProcedure="false">Hypothèses!$C$73</definedName>
    <definedName function="false" hidden="false" name="C_BOS" vbProcedure="false">Hypothèses!$C$77</definedName>
    <definedName function="false" hidden="false" name="C_ContPct" vbProcedure="false">Hypothèses!$C$80</definedName>
    <definedName function="false" hidden="false" name="C_DevPct" vbProcedure="false">Hypothèses!$C$79</definedName>
    <definedName function="false" hidden="false" name="C_Diesel" vbProcedure="false">Hypothèses!$C$74</definedName>
    <definedName function="false" hidden="false" name="C_Meter" vbProcedure="false">Hypothèses!$C$76</definedName>
    <definedName function="false" hidden="false" name="C_Network" vbProcedure="false">Hypothèses!$C$75</definedName>
    <definedName function="false" hidden="false" name="C_PUEquip" vbProcedure="false">Hypothèses!$C$78</definedName>
    <definedName function="false" hidden="false" name="C_PV" vbProcedure="false">Hypothèses!$C$72</definedName>
    <definedName function="false" hidden="false" name="DebtCap" vbProcedure="false">'Déficit de financement &amp; RBF'!$C$23</definedName>
    <definedName function="false" hidden="false" name="Degradation" vbProcedure="false">Hypothèses!$C$53</definedName>
    <definedName function="false" hidden="false" name="DemandGrowth" vbProcedure="false">Hypothèses!$C$48</definedName>
    <definedName function="false" hidden="false" name="DepYears" vbProcedure="false">Hypothèses!$C$18</definedName>
    <definedName function="false" hidden="false" name="DesignEnergy" vbProcedure="false">Hypothèses!$B$64</definedName>
    <definedName function="false" hidden="false" name="DesignGen" vbProcedure="false">Hypothèses!$B$65</definedName>
    <definedName function="false" hidden="false" name="DieselEff" vbProcedure="false">Hypothèses!$C$58</definedName>
    <definedName function="false" hidden="false" name="Diesel_kW" vbProcedure="false">Hypothèses!$D$68</definedName>
    <definedName function="false" hidden="false" name="DoD" vbProcedure="false">Hypothèses!$C$57</definedName>
    <definedName function="false" hidden="false" name="DSCR_Min" vbProcedure="false">'Tableau de bord'!$F$11</definedName>
    <definedName function="false" hidden="false" name="DSRAPct" vbProcedure="false">Hypothèses!$C$108</definedName>
    <definedName function="false" hidden="false" name="EqNPV" vbProcedure="false">'Tableau de bord'!$F$14</definedName>
    <definedName function="false" hidden="false" name="EquityTotal" vbProcedure="false">'Tableau de bord'!$F$10</definedName>
    <definedName function="false" hidden="false" name="FuelPrice" vbProcedure="false">Hypothèses!$C$59</definedName>
    <definedName function="false" hidden="false" name="Grant" vbProcedure="false">Hypothèses!$C$98</definedName>
    <definedName function="false" hidden="false" name="GrantNeeded" vbProcedure="false">'Déficit de financement &amp; RBF'!$C$11</definedName>
    <definedName function="false" hidden="false" name="GrantPerConn" vbProcedure="false">'Impact &amp; MRV'!$B$33</definedName>
    <definedName function="false" hidden="false" name="HardCapexBase" vbProcedure="false">Hypothèses!$C$85</definedName>
    <definedName function="false" hidden="false" name="HHSize" vbProcedure="false">Hypothèses!$C$111</definedName>
    <definedName function="false" hidden="false" name="Hurdle" vbProcedure="false">Hypothèses!$C$12</definedName>
    <definedName function="false" hidden="false" name="IRR_Eq" vbProcedure="false">'Tableau de bord'!$F$13</definedName>
    <definedName function="false" hidden="false" name="IRR_Post" vbProcedure="false">'Tableau de bord'!$C$9</definedName>
    <definedName function="false" hidden="false" name="IRR_Pre" vbProcedure="false">'Tableau de bord'!$C$8</definedName>
    <definedName function="false" hidden="false" name="Jobs" vbProcedure="false">'Impact &amp; MRV'!$B$38</definedName>
    <definedName function="false" hidden="false" name="JobsPerPU" vbProcedure="false">Hypothèses!$C$112</definedName>
    <definedName function="false" hidden="false" name="LCOE" vbProcedure="false">'Tableau de bord'!$C$12</definedName>
    <definedName function="false" hidden="false" name="LevCapex" vbProcedure="false">Hypothèses!$B$26</definedName>
    <definedName function="false" hidden="false" name="LevColl" vbProcedure="false">Hypothèses!$B$28</definedName>
    <definedName function="false" hidden="false" name="LevDemand" vbProcedure="false">Hypothèses!$B$25</definedName>
    <definedName function="false" hidden="false" name="LevFuel" vbProcedure="false">Hypothèses!$B$29</definedName>
    <definedName function="false" hidden="false" name="LevOpex" vbProcedure="false">Hypothèses!$B$27</definedName>
    <definedName function="false" hidden="false" name="LevRev" vbProcedure="false">'Tableau de bord'!$C$13</definedName>
    <definedName function="false" hidden="false" name="LevTariff" vbProcedure="false">Hypothèses!$B$24</definedName>
    <definedName function="false" hidden="false" name="Life" vbProcedure="false">Hypothèses!$C$11</definedName>
    <definedName function="false" hidden="false" name="Losses" vbProcedure="false">Hypothèses!$C$54</definedName>
    <definedName function="false" hidden="false" name="LP_Check" vbProcedure="false">'Courbe de charge'!$D$36</definedName>
    <definedName function="false" hidden="false" name="LP_SumCheck" vbProcedure="false">'Courbe de charge'!$G$32</definedName>
    <definedName function="false" hidden="false" name="MinDSCR" vbProcedure="false">Hypothèses!$C$14</definedName>
    <definedName function="false" hidden="false" name="NightShare" vbProcedure="false">'Courbe de charge'!$D$34</definedName>
    <definedName function="false" hidden="false" name="NightShareUsed" vbProcedure="false">Hypothèses!$C$60</definedName>
    <definedName function="false" hidden="false" name="NPV_Post" vbProcedure="false">'Tableau de bord'!$C$11</definedName>
    <definedName function="false" hidden="false" name="NPV_Pre" vbProcedure="false">'Tableau de bord'!$C$10</definedName>
    <definedName function="false" hidden="false" name="O_CustPct" vbProcedure="false">Hypothèses!$C$94</definedName>
    <definedName function="false" hidden="false" name="O_DieselOM" vbProcedure="false">Hypothèses!$C$93</definedName>
    <definedName function="false" hidden="false" name="O_Fees" vbProcedure="false">Hypothèses!$C$92</definedName>
    <definedName function="false" hidden="false" name="O_FixedPct" vbProcedure="false">Hypothèses!$C$89</definedName>
    <definedName function="false" hidden="false" name="O_InsPct" vbProcedure="false">Hypothèses!$C$91</definedName>
    <definedName function="false" hidden="false" name="O_MRV" vbProcedure="false">Hypothèses!$C$95</definedName>
    <definedName function="false" hidden="false" name="O_Staff" vbProcedure="false">Hypothèses!$C$90</definedName>
    <definedName function="false" hidden="false" name="PeakRatio" vbProcedure="false">'Courbe de charge'!$D$35</definedName>
    <definedName function="false" hidden="false" name="PeakRatioUsed" vbProcedure="false">Hypothèses!$C$61</definedName>
    <definedName function="false" hidden="false" name="People" vbProcedure="false">'Impact &amp; MRV'!$B$36</definedName>
    <definedName function="false" hidden="false" name="PlannedSubsidyPV" vbProcedure="false">'Déficit de financement &amp; RBF'!$C$7</definedName>
    <definedName function="false" hidden="false" name="PrivateCap" vbProcedure="false">'Impact &amp; MRV'!$B$30</definedName>
    <definedName function="false" hidden="false" name="ProjectName" vbProcedure="false">Hypothèses!$C$6</definedName>
    <definedName function="false" hidden="false" name="PublicGrant" vbProcedure="false">'Impact &amp; MRV'!$B$29</definedName>
    <definedName function="false" hidden="false" name="PUE_kWhPerUser" vbProcedure="false">'Usages productifs'!$G$16</definedName>
    <definedName function="false" hidden="false" name="PUE_Total" vbProcedure="false">'Usages productifs'!$G$14</definedName>
    <definedName function="false" hidden="false" name="PVOversize" vbProcedure="false">Hypothèses!$C$56</definedName>
    <definedName function="false" hidden="false" name="PV_kWp" vbProcedure="false">Hypothèses!$D$66</definedName>
    <definedName function="false" hidden="false" name="Ramp1" vbProcedure="false">Hypothèses!$C$45</definedName>
    <definedName function="false" hidden="false" name="Ramp2" vbProcedure="false">Hypothèses!$C$46</definedName>
    <definedName function="false" hidden="false" name="Ramp3" vbProcedure="false">Hypothèses!$C$47</definedName>
    <definedName function="false" hidden="false" name="RBFLag" vbProcedure="false">Hypothèses!$C$99</definedName>
    <definedName function="false" hidden="false" name="RBFNeededEq" vbProcedure="false">'Déficit de financement &amp; RBF'!$C$17</definedName>
    <definedName function="false" hidden="false" name="RBFNeededProj" vbProcedure="false">'Déficit de financement &amp; RBF'!$C$16</definedName>
    <definedName function="false" hidden="false" name="RBFTotal" vbProcedure="false">'Tableau de bord'!$F$7</definedName>
    <definedName function="false" hidden="false" name="RemainingGap" vbProcedure="false">'Déficit de financement &amp; RBF'!$C$8</definedName>
    <definedName function="false" hidden="false" name="ScenarioName" vbProcedure="false">Hypothèses!$C$21</definedName>
    <definedName function="false" hidden="false" name="Seg1_Afford" vbProcedure="false">Hypothèses!$K$35</definedName>
    <definedName function="false" hidden="false" name="Seg1_Bill" vbProcedure="false">Hypothèses!$I$35</definedName>
    <definedName function="false" hidden="false" name="Seg1_BillPct" vbProcedure="false">Hypothèses!$J$35</definedName>
    <definedName function="false" hidden="false" name="Seg1_Fee" vbProcedure="false">Hypothèses!$E$35</definedName>
    <definedName function="false" hidden="false" name="Seg1_Income" vbProcedure="false">Hypothèses!$G$35</definedName>
    <definedName function="false" hidden="false" name="Seg1_kWh" vbProcedure="false">Hypothèses!$H$35</definedName>
    <definedName function="false" hidden="false" name="Seg1_N" vbProcedure="false">Hypothèses!$B$35</definedName>
    <definedName function="false" hidden="false" name="Seg1_Name" vbProcedure="false">Hypothèses!$A$35</definedName>
    <definedName function="false" hidden="false" name="Seg1_RBF" vbProcedure="false">Hypothèses!$F$35</definedName>
    <definedName function="false" hidden="false" name="Seg1_Tariff" vbProcedure="false">Hypothèses!$D$35</definedName>
    <definedName function="false" hidden="false" name="Seg2_Afford" vbProcedure="false">Hypothèses!$K$36</definedName>
    <definedName function="false" hidden="false" name="Seg2_Bill" vbProcedure="false">Hypothèses!$I$36</definedName>
    <definedName function="false" hidden="false" name="Seg2_BillPct" vbProcedure="false">Hypothèses!$J$36</definedName>
    <definedName function="false" hidden="false" name="Seg2_Fee" vbProcedure="false">Hypothèses!$E$36</definedName>
    <definedName function="false" hidden="false" name="Seg2_Income" vbProcedure="false">Hypothèses!$G$36</definedName>
    <definedName function="false" hidden="false" name="Seg2_kWh" vbProcedure="false">Hypothèses!$H$36</definedName>
    <definedName function="false" hidden="false" name="Seg2_N" vbProcedure="false">Hypothèses!$B$36</definedName>
    <definedName function="false" hidden="false" name="Seg2_Name" vbProcedure="false">Hypothèses!$A$36</definedName>
    <definedName function="false" hidden="false" name="Seg2_RBF" vbProcedure="false">Hypothèses!$F$36</definedName>
    <definedName function="false" hidden="false" name="Seg2_Tariff" vbProcedure="false">Hypothèses!$D$36</definedName>
    <definedName function="false" hidden="false" name="Seg3_Afford" vbProcedure="false">Hypothèses!$K$37</definedName>
    <definedName function="false" hidden="false" name="Seg3_Bill" vbProcedure="false">Hypothèses!$I$37</definedName>
    <definedName function="false" hidden="false" name="Seg3_BillPct" vbProcedure="false">Hypothèses!$J$37</definedName>
    <definedName function="false" hidden="false" name="Seg3_Fee" vbProcedure="false">Hypothèses!$E$37</definedName>
    <definedName function="false" hidden="false" name="Seg3_Income" vbProcedure="false">Hypothèses!$G$37</definedName>
    <definedName function="false" hidden="false" name="Seg3_kWh" vbProcedure="false">Hypothèses!$H$37</definedName>
    <definedName function="false" hidden="false" name="Seg3_N" vbProcedure="false">Hypothèses!$B$37</definedName>
    <definedName function="false" hidden="false" name="Seg3_Name" vbProcedure="false">Hypothèses!$A$37</definedName>
    <definedName function="false" hidden="false" name="Seg3_RBF" vbProcedure="false">Hypothèses!$F$37</definedName>
    <definedName function="false" hidden="false" name="Seg3_Tariff" vbProcedure="false">Hypothèses!$D$37</definedName>
    <definedName function="false" hidden="false" name="Seg4_Afford" vbProcedure="false">Hypothèses!$K$38</definedName>
    <definedName function="false" hidden="false" name="Seg4_Bill" vbProcedure="false">Hypothèses!$I$38</definedName>
    <definedName function="false" hidden="false" name="Seg4_BillPct" vbProcedure="false">Hypothèses!$J$38</definedName>
    <definedName function="false" hidden="false" name="Seg4_Fee" vbProcedure="false">Hypothèses!$E$38</definedName>
    <definedName function="false" hidden="false" name="Seg4_Income" vbProcedure="false">Hypothèses!$G$38</definedName>
    <definedName function="false" hidden="false" name="Seg4_kWh" vbProcedure="false">Hypothèses!$H$38</definedName>
    <definedName function="false" hidden="false" name="Seg4_N" vbProcedure="false">Hypothèses!$B$38</definedName>
    <definedName function="false" hidden="false" name="Seg4_Name" vbProcedure="false">Hypothèses!$A$38</definedName>
    <definedName function="false" hidden="false" name="Seg4_RBF" vbProcedure="false">Hypothèses!$F$38</definedName>
    <definedName function="false" hidden="false" name="Seg4_Tariff" vbProcedure="false">Hypothèses!$D$38</definedName>
    <definedName function="false" hidden="false" name="Seg5_Afford" vbProcedure="false">Hypothèses!$K$39</definedName>
    <definedName function="false" hidden="false" name="Seg5_Bill" vbProcedure="false">Hypothèses!$I$39</definedName>
    <definedName function="false" hidden="false" name="Seg5_BillPct" vbProcedure="false">Hypothèses!$J$39</definedName>
    <definedName function="false" hidden="false" name="Seg5_Fee" vbProcedure="false">Hypothèses!$E$39</definedName>
    <definedName function="false" hidden="false" name="Seg5_Income" vbProcedure="false">Hypothèses!$G$39</definedName>
    <definedName function="false" hidden="false" name="Seg5_kWh" vbProcedure="false">Hypothèses!$H$39</definedName>
    <definedName function="false" hidden="false" name="Seg5_N" vbProcedure="false">Hypothèses!$B$39</definedName>
    <definedName function="false" hidden="false" name="Seg5_Name" vbProcedure="false">Hypothèses!$A$39</definedName>
    <definedName function="false" hidden="false" name="Seg5_RBF" vbProcedure="false">Hypothèses!$F$39</definedName>
    <definedName function="false" hidden="false" name="Seg5_Tariff" vbProcedure="false">Hypothèses!$D$39</definedName>
    <definedName function="false" hidden="false" name="SenAmt" vbProcedure="false">'Tableau de bord'!$F$8</definedName>
    <definedName function="false" hidden="false" name="SenGrace" vbProcedure="false">Hypothèses!$C$103</definedName>
    <definedName function="false" hidden="false" name="SenPct" vbProcedure="false">Hypothèses!$C$100</definedName>
    <definedName function="false" hidden="false" name="SenRate" vbProcedure="false">Hypothèses!$C$101</definedName>
    <definedName function="false" hidden="false" name="SensDelta" vbProcedure="false">Hypothèses!$C$31</definedName>
    <definedName function="false" hidden="false" name="SenTenor" vbProcedure="false">Hypothèses!$C$102</definedName>
    <definedName function="false" hidden="false" name="Site" vbProcedure="false">Hypothèses!$C$7</definedName>
    <definedName function="false" hidden="false" name="SolarFraction" vbProcedure="false">Hypothèses!$C$55</definedName>
    <definedName function="false" hidden="false" name="SourcesTotal" vbProcedure="false">'Demande de financement'!$F$33</definedName>
    <definedName function="false" hidden="false" name="SpecYield" vbProcedure="false">Hypothèses!$C$52</definedName>
    <definedName function="false" hidden="false" name="Sponsor" vbProcedure="false">Hypothèses!$C$8</definedName>
    <definedName function="false" hidden="false" name="StartYear" vbProcedure="false">Hypothèses!$C$10</definedName>
    <definedName function="false" hidden="false" name="Sunrise" vbProcedure="false">'Courbe de charge'!$D$4</definedName>
    <definedName function="false" hidden="false" name="Sunset" vbProcedure="false">'Courbe de charge'!$D$5</definedName>
    <definedName function="false" hidden="false" name="TargetEqIRR" vbProcedure="false">Hypothèses!$C$13</definedName>
    <definedName function="false" hidden="false" name="TariffEsc" vbProcedure="false">Hypothèses!$C$15</definedName>
    <definedName function="false" hidden="false" name="TaxRate" vbProcedure="false">Hypothèses!$C$17</definedName>
    <definedName function="false" hidden="false" name="TotalCapex" vbProcedure="false">'Tableau de bord'!$C$6</definedName>
    <definedName function="false" hidden="false" name="TotalCapexBase" vbProcedure="false">Hypothèses!$C$86</definedName>
    <definedName function="false" hidden="false" name="TotalCustomers" vbProcedure="false">Hypothèses!$B$40</definedName>
    <definedName function="false" hidden="false" name="UseMRA" vbProcedure="false">Hypothèses!$C$83</definedName>
    <definedName function="false" hidden="false" name="UsePUE" vbProcedure="false">Hypothèses!$C$43</definedName>
    <definedName function="false" hidden="false" name="UsesTotal" vbProcedure="false">'Demande de financement'!$C$33</definedName>
    <definedName function="false" hidden="false" name="VGF" vbProcedure="false">'Tableau de bord'!$F$16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<sst xmlns="http://schemas.openxmlformats.org/spreadsheetml/2006/main" count="2226" uniqueCount="495">
  <si>
    <t xml:space="preserve">Modèle financier de projet d'accès à l'énergie - Édition Développeur</t>
  </si>
  <si>
    <t xml:space="preserve">De la demande communautaire à une demande de financement bancable  |  Mini-réseaux solaire PV + batterie + diesel  |  modèle annuel sur 20 ans</t>
  </si>
  <si>
    <t xml:space="preserve">LA QUESTION À LAQUELLE RÉPOND CE MODÈLE</t>
  </si>
  <si>
    <t xml:space="preserve">Ce projet d'accès à l'énergie peut-il devenir bancable, et quelle combinaison de subvention, RBF, dette concessionnelle, dette senior et fonds propres lui faut-il ?</t>
  </si>
  <si>
    <t xml:space="preserve">DÉMARCHE</t>
  </si>
  <si>
    <t xml:space="preserve">1. Hypothèses       - projet, scénarios, segments de clientèle (tarif, RBF, revenu), technique, CAPEX, OPEX, financement, impact.</t>
  </si>
  <si>
    <t xml:space="preserve">2. Courbe de charge - profil horaire par segment. Détermine la part d'énergie nocturne (taille de la batterie) et le ratio de pointe (taille du groupe).</t>
  </si>
  <si>
    <t xml:space="preserve">3. Usages productifs - inventaire des équipements (moulins, soudure, chambres froides, pompes...). Peut déterminer la consommation des usagers productifs.</t>
  </si>
  <si>
    <t xml:space="preserve">4. Tableau de bord  - indicateurs clés, verdict de bancabilité, capacité de paiement par segment, graphiques.</t>
  </si>
  <si>
    <t xml:space="preserve">5. Déficit de financement &amp; RBF - déficit de viabilité, subvention nécessaire, RBF par raccordement nécessaire pour le taux minimal du projet et la cible des fonds propres, capacité d'endettement.</t>
  </si>
  <si>
    <t xml:space="preserve">6. Sensibilité      - tornado dynamique : tarif, demande, CAPEX, OPEX, recouvrement, prix du diesel, taux d'intérêt.</t>
  </si>
  <si>
    <t xml:space="preserve">7. Impact &amp; MRV     - raccordements, personnes, usagers productifs, énergie, CO2, décaissements RBF, ratios coût-efficacité.</t>
  </si>
  <si>
    <t xml:space="preserve">8. Demande de financement - résumé du projet rédigé automatiquement, emplois-ressources, indicateurs clés. À copier dans votre note conceptuelle.</t>
  </si>
  <si>
    <t xml:space="preserve">9. Flux de trésorerie / Contrôles - le moteur de calcul et les contrôles d'intégrité (tous doivent afficher OK).</t>
  </si>
  <si>
    <t xml:space="preserve">LÉGENDE DES COULEURS</t>
  </si>
  <si>
    <t xml:space="preserve">Texte bleu sur jaune = hypothèse   |   Noir = formule (ne pas écraser)   |   Vert = lien depuis un autre onglet</t>
  </si>
  <si>
    <t xml:space="preserve">MÉTHODE ET SIMPLIFICATIONS</t>
  </si>
  <si>
    <t xml:space="preserve">- Pas de temps annuel. Construction en année 0, exploitation années 1 à 20. Pas de dispatch horaire : la production solaire livrée est plafonnée par la fraction solaire cible.</t>
  </si>
  <si>
    <t xml:space="preserve">- Le dimensionnement utilise les hypothèses de base. Les leviers de scénario et de sensibilité modélisent le risque de réalisation sur le système construit (la conception ne change pas).</t>
  </si>
  <si>
    <t xml:space="preserve">- Les capacités PV et batterie sont fixes après l'année 0. Si la demande continue de croître, le diesel couvre la différence et le coût du carburant augmente.</t>
  </si>
  <si>
    <t xml:space="preserve">- Impôt : taux unique avec report illimité des pertes. Les subventions et le RBF sont traités comme non imposables. Vérifiez le régime fiscal local.</t>
  </si>
  <si>
    <t xml:space="preserve">- Dette : tranches senior et concessionnelle, chacune remboursée par annuités après un différé (intérêts seuls). DSRA financé par les fonds propres. Pas de frais, pas de profil sculpté.</t>
  </si>
  <si>
    <t xml:space="preserve">- Le RBF est versé par nouveau raccordement vérifié, par segment, avec un délai de vérification optionnel. Le RBF ne finance pas la construction : il faut le préfinancer.</t>
  </si>
  <si>
    <t xml:space="preserve">- Les besoins en RBF et en subvention sont résolus analytiquement (les flux sont linéaires en RBF) : aucune « Valeur cible » n'est nécessaire.</t>
  </si>
  <si>
    <t xml:space="preserve">- Les remplacements de batteries créent des années de flux négatifs : le TRI peut être trompeur. Utilisez la VAN et les indicateurs de déficit comme outils de décision principaux.</t>
  </si>
  <si>
    <t xml:space="preserve">- Les valeurs pré-remplies sont PUREMENT ILLUSTRATIVES et ne sont pas des références de marché. Remplacez-les par vos données de projet, devis et règles de programme.</t>
  </si>
  <si>
    <t xml:space="preserve">AVERTISSEMENT &amp; LICENCE</t>
  </si>
  <si>
    <t xml:space="preserve">Outil de présélection et de préfaisabilité à visée pédagogique et de planification. Ne constitue pas un conseil en investissement, juridique, fiscal ou d'ingénierie.</t>
  </si>
  <si>
    <t xml:space="preserve">Réalisez une due diligence technique et financière indépendante avant toute décision d'investissement. Licence : un utilisateur / une organisation. Revente interdite.</t>
  </si>
  <si>
    <t xml:space="preserve">HYPOTHÈSES</t>
  </si>
  <si>
    <t xml:space="preserve">Ne modifiez que les cellules jaunes. Les valeurs d'exemple sont illustratives et ne sont pas des références.</t>
  </si>
  <si>
    <t xml:space="preserve">1. PROJET</t>
  </si>
  <si>
    <t xml:space="preserve">Nom du projet</t>
  </si>
  <si>
    <t xml:space="preserve">Mini-réseau villageois (exemple)</t>
  </si>
  <si>
    <t xml:space="preserve">Pays / site</t>
  </si>
  <si>
    <t xml:space="preserve">Site exemple</t>
  </si>
  <si>
    <t xml:space="preserve">Développeur / promoteur</t>
  </si>
  <si>
    <t xml:space="preserve">Énergie Exemple SARL</t>
  </si>
  <si>
    <t xml:space="preserve">Libellé de la devise</t>
  </si>
  <si>
    <t xml:space="preserve">USD</t>
  </si>
  <si>
    <t xml:space="preserve">Libellé uniquement. Saisissez tous les montants dans cette devise.</t>
  </si>
  <si>
    <t xml:space="preserve">Première année d'exploitation</t>
  </si>
  <si>
    <t xml:space="preserve">année</t>
  </si>
  <si>
    <t xml:space="preserve">Durée de vie du projet</t>
  </si>
  <si>
    <t xml:space="preserve">ans</t>
  </si>
  <si>
    <t xml:space="preserve">De 1 à 20.</t>
  </si>
  <si>
    <t xml:space="preserve">Taux de rendement minimal du projet (taux d'actualisation)</t>
  </si>
  <si>
    <t xml:space="preserve">Utilisé pour la VAN, le LCOE, le déficit de viabilité et le calibrage du RBF.</t>
  </si>
  <si>
    <t xml:space="preserve">TRI cible des fonds propres</t>
  </si>
  <si>
    <t xml:space="preserve">DSCR minimum exigé par les prêteurs</t>
  </si>
  <si>
    <t xml:space="preserve">Indexation du tarif</t>
  </si>
  <si>
    <t xml:space="preserve">par an</t>
  </si>
  <si>
    <t xml:space="preserve">Indexation des coûts (OPEX, carburant, remplacements)</t>
  </si>
  <si>
    <t xml:space="preserve">Taux d'impôt sur les sociétés</t>
  </si>
  <si>
    <t xml:space="preserve">Durée d'amortissement fiscal</t>
  </si>
  <si>
    <t xml:space="preserve">Linéaire sur le CAPEX total.</t>
  </si>
  <si>
    <t xml:space="preserve">2. SCÉNARIOS (multiplicateurs appliqués aux hypothèses ci-dessous ; 1,00 = tel que saisi)</t>
  </si>
  <si>
    <t xml:space="preserve">Scénario actif</t>
  </si>
  <si>
    <t xml:space="preserve">Base</t>
  </si>
  <si>
    <t xml:space="preserve">Choisir dans la liste déroulante.</t>
  </si>
  <si>
    <t xml:space="preserve">Levier</t>
  </si>
  <si>
    <t xml:space="preserve">Actif</t>
  </si>
  <si>
    <t xml:space="preserve">Prudent</t>
  </si>
  <si>
    <t xml:space="preserve">Optimiste</t>
  </si>
  <si>
    <t xml:space="preserve">Personnalisé</t>
  </si>
  <si>
    <t xml:space="preserve">Tarif</t>
  </si>
  <si>
    <t xml:space="preserve">Demande (consommation par client)</t>
  </si>
  <si>
    <t xml:space="preserve">CAPEX</t>
  </si>
  <si>
    <t xml:space="preserve">OPEX</t>
  </si>
  <si>
    <t xml:space="preserve">Taux de recouvrement</t>
  </si>
  <si>
    <t xml:space="preserve">Prix du diesel</t>
  </si>
  <si>
    <t xml:space="preserve">Le levier de recouvrement multiplie le taux de recouvrement (plafonné à 100 %). Les valeurs des scénarios sont illustratives.</t>
  </si>
  <si>
    <t xml:space="preserve">Amplitude de sensibilité (+/- appliqué à chaque variable)</t>
  </si>
  <si>
    <t xml:space="preserve">Utilisé par le tornado de l'onglet « Sensibilité ».</t>
  </si>
  <si>
    <t xml:space="preserve">3. SEGMENTS DE CLIENTÈLE, TARIFS, RBF ET CAPACITÉ DE PAIEMENT</t>
  </si>
  <si>
    <t xml:space="preserve">Segment</t>
  </si>
  <si>
    <t xml:space="preserve">Clients</t>
  </si>
  <si>
    <t xml:space="preserve">kWh/mois (saisi)</t>
  </si>
  <si>
    <t xml:space="preserve">Tarif par kWh</t>
  </si>
  <si>
    <t xml:space="preserve">Frais de raccordement</t>
  </si>
  <si>
    <t xml:space="preserve">RBF par nouveau raccordement</t>
  </si>
  <si>
    <t xml:space="preserve">Revenu ou chiffre d'affaires mensuel</t>
  </si>
  <si>
    <t xml:space="preserve">kWh/mois (utilisé)</t>
  </si>
  <si>
    <t xml:space="preserve">Facture mensuelle (an 1)</t>
  </si>
  <si>
    <t xml:space="preserve">Facture en % du revenu</t>
  </si>
  <si>
    <t xml:space="preserve">Abordable ?</t>
  </si>
  <si>
    <t xml:space="preserve">Ménages</t>
  </si>
  <si>
    <t xml:space="preserve">Usagers productifs (moulins, soudure, chambres froides)</t>
  </si>
  <si>
    <t xml:space="preserve">Commerces (boutiques, bars, kiosques)</t>
  </si>
  <si>
    <t xml:space="preserve">Institutions (centre de santé, école, eau)</t>
  </si>
  <si>
    <t xml:space="preserve">Autre / personnalisé</t>
  </si>
  <si>
    <t xml:space="preserve">Total / moyenne pondérée</t>
  </si>
  <si>
    <t xml:space="preserve">Revenu mensuel : revenu du ménage, ou chiffre d'affaires pour les usagers productifs/commerciaux. Laisser 0 pour les institutions.</t>
  </si>
  <si>
    <t xml:space="preserve">Utiliser l'onglet « Usages productifs » pour les kWh des usagers productifs ? (1 = oui)</t>
  </si>
  <si>
    <t xml:space="preserve">1 = les kWh/mois des usagers productifs proviennent de l'inventaire des équipements.</t>
  </si>
  <si>
    <t xml:space="preserve">Seuil de capacité de paiement (facture max en % du revenu)</t>
  </si>
  <si>
    <t xml:space="preserve">À fixer selon la définition de votre programme. Valeur d'exemple uniquement.</t>
  </si>
  <si>
    <t xml:space="preserve">Montée en charge des raccordements - année 1 (% des clients raccordés)</t>
  </si>
  <si>
    <t xml:space="preserve">Montée en charge des raccordements - année 2</t>
  </si>
  <si>
    <t xml:space="preserve">Montée en charge des raccordements - année 3 et suivantes</t>
  </si>
  <si>
    <t xml:space="preserve">Croissance annuelle de la consommation par client</t>
  </si>
  <si>
    <t xml:space="preserve">Taux de recouvrement (part des factures payées)</t>
  </si>
  <si>
    <t xml:space="preserve">4. CONCEPTION TECHNIQUE &amp; DIMENSIONNEMENT AUTOMATIQUE</t>
  </si>
  <si>
    <t xml:space="preserve">Productible spécifique PV</t>
  </si>
  <si>
    <t xml:space="preserve">kWh/kWc/an</t>
  </si>
  <si>
    <t xml:space="preserve">Utilisez PVGIS ou votre étude de conception pour le site.</t>
  </si>
  <si>
    <t xml:space="preserve">Dégradation PV</t>
  </si>
  <si>
    <t xml:space="preserve">Pertes de distribution et de conversion</t>
  </si>
  <si>
    <t xml:space="preserve">Fraction solaire cible (part max de la production issue du PV)</t>
  </si>
  <si>
    <t xml:space="preserve">Plafond lié au stockage. Le diesel fournit le reste.</t>
  </si>
  <si>
    <t xml:space="preserve">Facteur de surdimensionnement PV</t>
  </si>
  <si>
    <t xml:space="preserve">Profondeur de décharge utile de la batterie</t>
  </si>
  <si>
    <t xml:space="preserve">Rendement du groupe diesel</t>
  </si>
  <si>
    <t xml:space="preserve">kWh/litre</t>
  </si>
  <si>
    <t xml:space="preserve">Prix du diesel, année 1</t>
  </si>
  <si>
    <t xml:space="preserve">par litre</t>
  </si>
  <si>
    <t xml:space="preserve">Part nocturne de l'énergie journalière (courbe de charge)</t>
  </si>
  <si>
    <t xml:space="preserve">Ratio pointe / moyenne (courbe de charge)</t>
  </si>
  <si>
    <t xml:space="preserve">Composant</t>
  </si>
  <si>
    <t xml:space="preserve">Auto-dimensionné</t>
  </si>
  <si>
    <t xml:space="preserve">Forçage</t>
  </si>
  <si>
    <t xml:space="preserve">Retenu</t>
  </si>
  <si>
    <t xml:space="preserve">Unité</t>
  </si>
  <si>
    <t xml:space="preserve">Énergie vendue de conception (année 3, raccordement complet, hypothèses de base)</t>
  </si>
  <si>
    <t xml:space="preserve">kWh/an</t>
  </si>
  <si>
    <t xml:space="preserve">Production de conception (pertes incluses)</t>
  </si>
  <si>
    <t xml:space="preserve">Champ PV</t>
  </si>
  <si>
    <t xml:space="preserve">kWc</t>
  </si>
  <si>
    <t xml:space="preserve">Stockage batterie (nominal)</t>
  </si>
  <si>
    <t xml:space="preserve">kWh</t>
  </si>
  <si>
    <t xml:space="preserve">Groupe diesel (couvre la pointe)</t>
  </si>
  <si>
    <t xml:space="preserve">kW</t>
  </si>
  <si>
    <t xml:space="preserve">Laissez Forçage vide pour utiliser l'auto-dimensionnement. C'est une règle empirique de présélection, pas une conception d'ingénierie.</t>
  </si>
  <si>
    <t xml:space="preserve">5. CAPEX (année 0)</t>
  </si>
  <si>
    <t xml:space="preserve">Modules PV, structures et onduleurs</t>
  </si>
  <si>
    <t xml:space="preserve">par kWc</t>
  </si>
  <si>
    <t xml:space="preserve">Système de stockage par batterie</t>
  </si>
  <si>
    <t xml:space="preserve">par kWh</t>
  </si>
  <si>
    <t xml:space="preserve">Groupe diesel</t>
  </si>
  <si>
    <t xml:space="preserve">par kW</t>
  </si>
  <si>
    <t xml:space="preserve">Réseau de distribution</t>
  </si>
  <si>
    <t xml:space="preserve">par raccordement</t>
  </si>
  <si>
    <t xml:space="preserve">Compteurs intelligents et branchements</t>
  </si>
  <si>
    <t xml:space="preserve">Local technique, BOS, génie civil (forfait)</t>
  </si>
  <si>
    <t xml:space="preserve">Équipements d'usage productif financés par le projet</t>
  </si>
  <si>
    <t xml:space="preserve">Optionnel : équipements achetés par le développeur et loués ou vendus aux usagers.</t>
  </si>
  <si>
    <t xml:space="preserve">Coûts de développement (études, permis, communauté)</t>
  </si>
  <si>
    <t xml:space="preserve">du CAPEX direct</t>
  </si>
  <si>
    <t xml:space="preserve">Imprévus</t>
  </si>
  <si>
    <t xml:space="preserve">Durée de vie des batteries</t>
  </si>
  <si>
    <t xml:space="preserve">Coût de remplacement des batteries (valeur année 0)</t>
  </si>
  <si>
    <t xml:space="preserve">Financer les remplacements via une réserve de maintenance ? (1 = oui)</t>
  </si>
  <si>
    <t xml:space="preserve">1 = les dotations à la réserve lissent les remplacements dans le CFADS (pratique des prêteurs).</t>
  </si>
  <si>
    <t xml:space="preserve">CAPEX direct (base, avant levier de scénario)</t>
  </si>
  <si>
    <t xml:space="preserve">CAPEX total (base, avant levier de scénario)</t>
  </si>
  <si>
    <t xml:space="preserve">6. OPEX (valeurs année 1, indexées)</t>
  </si>
  <si>
    <t xml:space="preserve">Exploitation et maintenance fixes</t>
  </si>
  <si>
    <t xml:space="preserve">du CAPEX direct / an</t>
  </si>
  <si>
    <t xml:space="preserve">Personnel local et opérateur</t>
  </si>
  <si>
    <t xml:space="preserve">Assurance</t>
  </si>
  <si>
    <t xml:space="preserve">du CAPEX total / an</t>
  </si>
  <si>
    <t xml:space="preserve">Licences, foncier, redevances réglementaires</t>
  </si>
  <si>
    <t xml:space="preserve">Maintenance du groupe diesel</t>
  </si>
  <si>
    <t xml:space="preserve">par kWh diesel</t>
  </si>
  <si>
    <t xml:space="preserve">Gestion clientèle et frais de mobile money</t>
  </si>
  <si>
    <t xml:space="preserve">du chiffre d'affaires</t>
  </si>
  <si>
    <t xml:space="preserve">Coûts MRV et reporting (conformité au programme)</t>
  </si>
  <si>
    <t xml:space="preserve">Vérification, plateforme de données, audits.</t>
  </si>
  <si>
    <t xml:space="preserve">7. STRUCTURE DE FINANCEMENT</t>
  </si>
  <si>
    <t xml:space="preserve">Subvention d'investissement initiale</t>
  </si>
  <si>
    <t xml:space="preserve">Subvention d'investissement reçue en année 0.</t>
  </si>
  <si>
    <t xml:space="preserve">Délai de vérification du RBF</t>
  </si>
  <si>
    <t xml:space="preserve">0 = payé l'année du raccordement, 1 = l'année suivante. Les montants RBF par segment sont en section 3.</t>
  </si>
  <si>
    <t xml:space="preserve">Dette senior - part du CAPEX net de subvention</t>
  </si>
  <si>
    <t xml:space="preserve">Dette senior - taux d'intérêt</t>
  </si>
  <si>
    <t xml:space="preserve">Dette senior - durée (différé inclus)</t>
  </si>
  <si>
    <t xml:space="preserve">Dette senior - différé (intérêts seuls)</t>
  </si>
  <si>
    <t xml:space="preserve">Dette concessionnelle - part du CAPEX net de subvention</t>
  </si>
  <si>
    <t xml:space="preserve">Par exemple un prêt d'IFD ou de fonds climat.</t>
  </si>
  <si>
    <t xml:space="preserve">Dette concessionnelle - taux d'intérêt</t>
  </si>
  <si>
    <t xml:space="preserve">Dette concessionnelle - durée (différé inclus)</t>
  </si>
  <si>
    <t xml:space="preserve">Dette concessionnelle - différé</t>
  </si>
  <si>
    <t xml:space="preserve">Cible du DSRA (part du service de la dette de l'année suivante)</t>
  </si>
  <si>
    <t xml:space="preserve">0,5 = 6 mois. Financé par les fonds propres, libéré au remboursement de la dette.</t>
  </si>
  <si>
    <t xml:space="preserve">8. IMPACT &amp; MRV</t>
  </si>
  <si>
    <t xml:space="preserve">Taille moyenne des ménages</t>
  </si>
  <si>
    <t xml:space="preserve">personnes</t>
  </si>
  <si>
    <t xml:space="preserve">Emplois soutenus par usager productif raccordé</t>
  </si>
  <si>
    <t xml:space="preserve">emplois</t>
  </si>
  <si>
    <t xml:space="preserve">Utilisez vos propres données d'enquête. Valeur d'exemple uniquement.</t>
  </si>
  <si>
    <t xml:space="preserve">Facteur d'émission CO2 du diesel</t>
  </si>
  <si>
    <t xml:space="preserve">kgCO2/litre</t>
  </si>
  <si>
    <t xml:space="preserve">Facteur de combustion. À vérifier selon la norme de votre bailleur.</t>
  </si>
  <si>
    <t xml:space="preserve">Référence : part de l'énergie qui proviendrait sinon du diesel/kérosène</t>
  </si>
  <si>
    <t xml:space="preserve">1 = le scénario contrefactuel est une alimentation entièrement au diesel.</t>
  </si>
  <si>
    <t xml:space="preserve">COURBE DE CHARGE (part de l'énergie journalière de chaque segment, par heure)</t>
  </si>
  <si>
    <t xml:space="preserve">Chaque colonne de segment doit totaliser 100 %. Les profils sont illustratifs ; remplacez-les par des données mesurées ou d'enquête si vous en disposez.</t>
  </si>
  <si>
    <t xml:space="preserve">Heure du lever du soleil (début PV)</t>
  </si>
  <si>
    <t xml:space="preserve">Heure du coucher du soleil (fin PV)</t>
  </si>
  <si>
    <t xml:space="preserve">Heure</t>
  </si>
  <si>
    <t xml:space="preserve">Seg. 1</t>
  </si>
  <si>
    <t xml:space="preserve">Seg. 2</t>
  </si>
  <si>
    <t xml:space="preserve">Seg. 3</t>
  </si>
  <si>
    <t xml:space="preserve">Seg. 4</t>
  </si>
  <si>
    <t xml:space="preserve">Seg. 5</t>
  </si>
  <si>
    <t xml:space="preserve">Pondéré (total)</t>
  </si>
  <si>
    <t xml:space="preserve">Heure de nuit ?</t>
  </si>
  <si>
    <t xml:space="preserve">Total</t>
  </si>
  <si>
    <t xml:space="preserve">Part nocturne de l'énergie journalière</t>
  </si>
  <si>
    <t xml:space="preserve">Ratio pointe / moyenne (part de l'heure de pointe x 24)</t>
  </si>
  <si>
    <t xml:space="preserve">Contrôle des totaux par segment</t>
  </si>
  <si>
    <t xml:space="preserve">USAGES PRODUCTIFS DE L'ÉNERGIE (inventaire des équipements)</t>
  </si>
  <si>
    <t xml:space="preserve">Inventaire des équipements productifs attendus dans la communauté. Valeurs illustratives ; utilisez votre enquête de demande.</t>
  </si>
  <si>
    <t xml:space="preserve">Équipement / activité</t>
  </si>
  <si>
    <t xml:space="preserve">Unités</t>
  </si>
  <si>
    <t xml:space="preserve">Puissance (kW)</t>
  </si>
  <si>
    <t xml:space="preserve">Heures / jour</t>
  </si>
  <si>
    <t xml:space="preserve">Jours / mois</t>
  </si>
  <si>
    <t xml:space="preserve">Facteur de charge</t>
  </si>
  <si>
    <t xml:space="preserve">kWh / mois</t>
  </si>
  <si>
    <t xml:space="preserve">Moulin à grains / décortiqueuse</t>
  </si>
  <si>
    <t xml:space="preserve">Atelier de soudure</t>
  </si>
  <si>
    <t xml:space="preserve">Chambre froide / réfrigération commerciale</t>
  </si>
  <si>
    <t xml:space="preserve">Pompe d'irrigation</t>
  </si>
  <si>
    <t xml:space="preserve">Couture (machines à coudre électriques)</t>
  </si>
  <si>
    <t xml:space="preserve">Salon de coiffure / barbier</t>
  </si>
  <si>
    <t xml:space="preserve">Outils de menuiserie</t>
  </si>
  <si>
    <t xml:space="preserve">Demande productive totale</t>
  </si>
  <si>
    <t xml:space="preserve">Usagers productifs (Hypothèses, segment 2)</t>
  </si>
  <si>
    <t xml:space="preserve">kWh / mois par usager productif</t>
  </si>
  <si>
    <t xml:space="preserve">Part de la demande totale issue des usages productifs (année 3)</t>
  </si>
  <si>
    <t xml:space="preserve">Pourquoi c'est important : la charge productive diurne utilise directement le solaire, améliore le facteur de charge et réduit le LCOE. Les bailleurs en font souvent un indicateur d'impact.</t>
  </si>
  <si>
    <t xml:space="preserve">Données des graphiques (liées au flux de trésorerie)</t>
  </si>
  <si>
    <t xml:space="preserve">ÉCONOMIE DU PROJET</t>
  </si>
  <si>
    <t xml:space="preserve">FINANCEMENT &amp; BANCABILITÉ</t>
  </si>
  <si>
    <t xml:space="preserve">Année</t>
  </si>
  <si>
    <t xml:space="preserve">Recettes</t>
  </si>
  <si>
    <t xml:space="preserve">CFADS</t>
  </si>
  <si>
    <t xml:space="preserve">Service de la dette</t>
  </si>
  <si>
    <t xml:space="preserve">kWh solaire</t>
  </si>
  <si>
    <t xml:space="preserve">kWh diesel</t>
  </si>
  <si>
    <t xml:space="preserve">CAPEX total</t>
  </si>
  <si>
    <t xml:space="preserve">Subvention initiale</t>
  </si>
  <si>
    <t xml:space="preserve">CAPEX par raccordement</t>
  </si>
  <si>
    <t xml:space="preserve">RBF reçu (nominal, durée de vie)</t>
  </si>
  <si>
    <t xml:space="preserve">TRI du projet - avant subventions</t>
  </si>
  <si>
    <t xml:space="preserve">Dette senior</t>
  </si>
  <si>
    <t xml:space="preserve">TRI du projet - après subventions</t>
  </si>
  <si>
    <t xml:space="preserve">Dette concessionnelle</t>
  </si>
  <si>
    <t xml:space="preserve">VAN du projet au taux minimal - avant subventions</t>
  </si>
  <si>
    <t xml:space="preserve">Fonds propres (construction + DSRA initial)</t>
  </si>
  <si>
    <t xml:space="preserve">VAN du projet au taux minimal - après subventions</t>
  </si>
  <si>
    <t xml:space="preserve">DSCR minimum</t>
  </si>
  <si>
    <t xml:space="preserve">LCOE (par kWh vendu)</t>
  </si>
  <si>
    <t xml:space="preserve">DSCR moyen</t>
  </si>
  <si>
    <t xml:space="preserve">Recette encaissée actualisée par kWh</t>
  </si>
  <si>
    <t xml:space="preserve">TRI des fonds propres</t>
  </si>
  <si>
    <t xml:space="preserve">Tarif moyen facturé, année 1</t>
  </si>
  <si>
    <t xml:space="preserve">VAN des fonds propres au TRI cible</t>
  </si>
  <si>
    <t xml:space="preserve">Marge d'EBE année 1</t>
  </si>
  <si>
    <t xml:space="preserve">Délai de récupération des fonds propres (ans)</t>
  </si>
  <si>
    <t xml:space="preserve">Fraction solaire moyenne (durée de vie)</t>
  </si>
  <si>
    <t xml:space="preserve">Déficit de viabilité (VA, avant subventions)</t>
  </si>
  <si>
    <t xml:space="preserve">VERDICT DE BANCABILITÉ</t>
  </si>
  <si>
    <t xml:space="preserve">CAPACITÉ DE PAIEMENT PAR SEGMENT (année 1)</t>
  </si>
  <si>
    <t xml:space="preserve">Viable commercialement sans subvention ?</t>
  </si>
  <si>
    <t xml:space="preserve">Segment  -&gt;  facture en % du revenu</t>
  </si>
  <si>
    <t xml:space="preserve">Projet viable au taux minimal après subventions prévues ?</t>
  </si>
  <si>
    <t xml:space="preserve">Covenant de dette respecté (DSCR min &gt;= exigé) ?</t>
  </si>
  <si>
    <t xml:space="preserve">TRI des fonds propres conforme à la cible ?</t>
  </si>
  <si>
    <t xml:space="preserve">Le tarif encaissé couvre-t-il le LCOE ?</t>
  </si>
  <si>
    <t xml:space="preserve">Factures des ménages abordables ?</t>
  </si>
  <si>
    <t xml:space="preserve">Le test du TRI des fonds propres utilise la VAN des fonds propres au taux cible (robuste quand les flux changent de signe).</t>
  </si>
  <si>
    <t xml:space="preserve">Ressources (construction)</t>
  </si>
  <si>
    <t xml:space="preserve">Subvention</t>
  </si>
  <si>
    <t xml:space="preserve">Fonds propres</t>
  </si>
  <si>
    <t xml:space="preserve">DÉFICIT DE FINANCEMENT &amp; CALIBRAGE DU RBF</t>
  </si>
  <si>
    <t xml:space="preserve">Solutions analytiques : les flux du projet et des fonds propres sont linéaires en RBF, ces résultats sont donc exacts. Aucune « Valeur cible » n'est nécessaire.</t>
  </si>
  <si>
    <t xml:space="preserve">1. QUELLE EST L'AMPLEUR DU DÉFICIT ?</t>
  </si>
  <si>
    <t xml:space="preserve">Déficit de viabilité : subvention en VA nécessaire pour VAN projet = 0 au taux minimal</t>
  </si>
  <si>
    <t xml:space="preserve">Subvention en valeur actuelle nécessaire sans grant ni RBF.</t>
  </si>
  <si>
    <t xml:space="preserve">Déficit de viabilité par raccordement</t>
  </si>
  <si>
    <t xml:space="preserve">Subventions prévues, VA au taux minimal (grant + RBF)</t>
  </si>
  <si>
    <t xml:space="preserve">Déficit restant au niveau du projet</t>
  </si>
  <si>
    <t xml:space="preserve">0 signifie que les subventions prévues comblent le déficit au taux minimal.</t>
  </si>
  <si>
    <t xml:space="preserve">2. QUELLE SUBVENTION FAUT-IL ? (compte tenu du RBF prévu)</t>
  </si>
  <si>
    <t xml:space="preserve">Subvention initiale nécessaire pour VAN projet = 0</t>
  </si>
  <si>
    <t xml:space="preserve">À comparer avec la subvention saisie dans Hypothèses.</t>
  </si>
  <si>
    <t xml:space="preserve">Subvention prévue (Hypothèses)</t>
  </si>
  <si>
    <t xml:space="preserve">Excédent (+) / insuffisance (-) de subvention</t>
  </si>
  <si>
    <t xml:space="preserve">3. QUEL RBF FAUT-IL ? (compte tenu de la subvention prévue)</t>
  </si>
  <si>
    <t xml:space="preserve">RBF uniforme par raccordement pour VAN projet = 0 au taux minimal</t>
  </si>
  <si>
    <t xml:space="preserve">Même montant pour tous les segments, versé avec le délai de vérification.</t>
  </si>
  <si>
    <t xml:space="preserve">RBF uniforme par raccordement pour TRI fonds propres = cible</t>
  </si>
  <si>
    <t xml:space="preserve">Point de vue du développeur : RBF nécessaire pour que les fonds propres atteignent leur rendement cible avec la dette actuelle.</t>
  </si>
  <si>
    <t xml:space="preserve">RBF prévu par raccordement (moyenne pondérée par client)</t>
  </si>
  <si>
    <t xml:space="preserve">Facteur multiplicatif du RBF prévu pour atteindre la cible des fonds propres</t>
  </si>
  <si>
    <t xml:space="preserve">Multipliez le RBF de chaque segment dans Hypothèses par ce facteur.</t>
  </si>
  <si>
    <t xml:space="preserve">Budget RBF total au niveau de la cible des fonds propres (nominal)</t>
  </si>
  <si>
    <t xml:space="preserve">Utile pour l'enveloppe budgétaire d'un programme.</t>
  </si>
  <si>
    <t xml:space="preserve">4. QUELLE DETTE LE PROJET PEUT-IL SUPPORTER ?</t>
  </si>
  <si>
    <t xml:space="preserve">Dette senior maximale au DSCR minimum (annuités, année contraignante)</t>
  </si>
  <si>
    <t xml:space="preserve">Plus grand prêt senior dont l'annuité maintient le DSCR &gt;= minimum chaque année, compte tenu du CFADS actuel et du service de la dette concessionnelle.</t>
  </si>
  <si>
    <t xml:space="preserve">Dette senior prévue</t>
  </si>
  <si>
    <t xml:space="preserve">Marge (+) / excès (-)</t>
  </si>
  <si>
    <t xml:space="preserve">Négatif : réduire la dette senior, allonger la durée ou le différé, ou ajouter du RBF/grant.</t>
  </si>
  <si>
    <t xml:space="preserve">Année contraignante (DSCR le plus bas)</t>
  </si>
  <si>
    <t xml:space="preserve">Cause fréquente : le RBF s'arrête alors que les remboursements des deux tranches se chevauchent.</t>
  </si>
  <si>
    <t xml:space="preserve">5. CALENDRIER DU RBF (besoin de préfinancement)</t>
  </si>
  <si>
    <t xml:space="preserve">RBF reçu les années 1 à 3 (nominal)</t>
  </si>
  <si>
    <t xml:space="preserve">Le RBF arrive après vérification des raccordements. Le CAPEX est dépensé en année 0 : ce montant doit être préfinancé.</t>
  </si>
  <si>
    <t xml:space="preserve">RBF en part du CAPEX total</t>
  </si>
  <si>
    <t xml:space="preserve">ANALYSE DE SENSIBILITÉ (dynamique)</t>
  </si>
  <si>
    <t xml:space="preserve">Variable</t>
  </si>
  <si>
    <t xml:space="preserve">VAN après subv. (bas)</t>
  </si>
  <si>
    <t xml:space="preserve">VAN après subv. (haut)</t>
  </si>
  <si>
    <t xml:space="preserve">Amplitude</t>
  </si>
  <si>
    <t xml:space="preserve">Déficit de viabilité (bas)</t>
  </si>
  <si>
    <t xml:space="preserve">Déficit de viabilité (haut)</t>
  </si>
  <si>
    <t xml:space="preserve">DSCR min (bas)</t>
  </si>
  <si>
    <t xml:space="preserve">DSCR min (haut)</t>
  </si>
  <si>
    <t xml:space="preserve">TRI fonds propres (bas)</t>
  </si>
  <si>
    <t xml:space="preserve">TRI fonds propres (haut)</t>
  </si>
  <si>
    <t xml:space="preserve">TORNADO (ordre du graphique)</t>
  </si>
  <si>
    <t xml:space="preserve">Cas de base</t>
  </si>
  <si>
    <t xml:space="preserve">Bas vs base</t>
  </si>
  <si>
    <t xml:space="preserve">Haut vs base</t>
  </si>
  <si>
    <t xml:space="preserve">Demande</t>
  </si>
  <si>
    <t xml:space="preserve">Taux d'intérêt</t>
  </si>
  <si>
    <t xml:space="preserve">Bas = variable x (1 - amplitude) ; Haut = variable x (1 + amplitude). Le taux de recouvrement est plafonné à 100 %. Les taux d'intérêt ne modifient pas la VAN du projet (hors dette) ; voir DSCR et TRI des fonds propres.</t>
  </si>
  <si>
    <t xml:space="preserve">INDICATEURS DE POINT MORT (approximatifs, interpolation linéaire)</t>
  </si>
  <si>
    <t xml:space="preserve">Multiplicateur de tarif pour VAN avant subventions = 0</t>
  </si>
  <si>
    <t xml:space="preserve">Tarif moyen d'équilibre implicite (sans subvention), année 1</t>
  </si>
  <si>
    <t xml:space="preserve">Approximation : l'impôt et la répartition solaire/diesel rendent la VAN légèrement non linéaire en tarif. Confirmez en saisissant le tarif dans Hypothèses.</t>
  </si>
  <si>
    <t xml:space="preserve">INDICATEURS D'IMPACT &amp; MRV</t>
  </si>
  <si>
    <t xml:space="preserve">Indicateurs annuels pour la vérification des résultats et le reporting d'impact. Adaptez les définitions au cadre MRV de votre programme.</t>
  </si>
  <si>
    <t xml:space="preserve">Total / fin</t>
  </si>
  <si>
    <t xml:space="preserve">ACCÈS</t>
  </si>
  <si>
    <t xml:space="preserve">Clients raccordés (fin d'année)</t>
  </si>
  <si>
    <t xml:space="preserve">Personnes ayant accès à l'électricité (ménages x taille du ménage)</t>
  </si>
  <si>
    <t xml:space="preserve">Usagers productifs raccordés</t>
  </si>
  <si>
    <t xml:space="preserve">Emplois soutenus (usagers productifs x emplois par usager)</t>
  </si>
  <si>
    <t xml:space="preserve">Institutions publiques raccordées</t>
  </si>
  <si>
    <t xml:space="preserve">ÉNERGIE &amp; CLIMAT</t>
  </si>
  <si>
    <t xml:space="preserve">Énergie livrée (MWh)</t>
  </si>
  <si>
    <t xml:space="preserve">Énergie livrée aux usagers productifs (MWh)</t>
  </si>
  <si>
    <t xml:space="preserve">Production renouvelable livrée (MWh)</t>
  </si>
  <si>
    <t xml:space="preserve">Part renouvelable de la production</t>
  </si>
  <si>
    <t xml:space="preserve">CO2 évité vs référence diesel (tCO2)</t>
  </si>
  <si>
    <t xml:space="preserve">FINANCEMENT BASÉ SUR LES RÉSULTATS</t>
  </si>
  <si>
    <t xml:space="preserve">RBF acquis (vérifié)</t>
  </si>
  <si>
    <t xml:space="preserve">RBF décaissé (après délai)</t>
  </si>
  <si>
    <t xml:space="preserve">COÛT-EFFICACITÉ (durée de vie du projet)</t>
  </si>
  <si>
    <t xml:space="preserve">Financement public non remboursable (grant + RBF, nominal)</t>
  </si>
  <si>
    <t xml:space="preserve">Capitaux privés mobilisés (dette senior + fonds propres yc DSRA)</t>
  </si>
  <si>
    <t xml:space="preserve">Effet de levier : capitaux privés par unité de subvention publique</t>
  </si>
  <si>
    <t xml:space="preserve">Subvention publique par raccordement</t>
  </si>
  <si>
    <t xml:space="preserve">Subvention publique par personne desservie</t>
  </si>
  <si>
    <t xml:space="preserve">Subvention publique par tCO2 évitée</t>
  </si>
  <si>
    <t xml:space="preserve">Personnes desservies (pic)</t>
  </si>
  <si>
    <t xml:space="preserve">CO2 évité sur la durée de vie (tCO2)</t>
  </si>
  <si>
    <t xml:space="preserve">Emplois soutenus (pic)</t>
  </si>
  <si>
    <t xml:space="preserve">Généré automatiquement par le modèle. Copiez les paragraphes dans votre note conceptuelle et adaptez la rédaction. Vérifiez chaque chiffre avant soumission.</t>
  </si>
  <si>
    <t xml:space="preserve">RÉSUMÉ DU PROJET</t>
  </si>
  <si>
    <t xml:space="preserve">SOLUTION TECHNIQUE</t>
  </si>
  <si>
    <t xml:space="preserve">INVESTISSEMENT ET DÉFICIT DE FINANCEMENT</t>
  </si>
  <si>
    <t xml:space="preserve">DEMANDE DE FINANCEMENT</t>
  </si>
  <si>
    <t xml:space="preserve">BANCABILITÉ</t>
  </si>
  <si>
    <t xml:space="preserve">IMPACT</t>
  </si>
  <si>
    <t xml:space="preserve">EMPLOIS</t>
  </si>
  <si>
    <t xml:space="preserve">RESSOURCES</t>
  </si>
  <si>
    <t xml:space="preserve">Solaire PV</t>
  </si>
  <si>
    <t xml:space="preserve">Stockage par batterie</t>
  </si>
  <si>
    <t xml:space="preserve">Réseau de distribution et compteurs</t>
  </si>
  <si>
    <t xml:space="preserve">Fonds propres du promoteur (yc DSRA)</t>
  </si>
  <si>
    <t xml:space="preserve">Local technique, BOS, génie civil</t>
  </si>
  <si>
    <t xml:space="preserve">Équipements d'usage productif</t>
  </si>
  <si>
    <t xml:space="preserve">Coûts de développement</t>
  </si>
  <si>
    <t xml:space="preserve">Dotation initiale du DSRA</t>
  </si>
  <si>
    <t xml:space="preserve">TOTAL EMPLOIS</t>
  </si>
  <si>
    <t xml:space="preserve">TOTAL RESSOURCES</t>
  </si>
  <si>
    <t xml:space="preserve">INDICATEURS CLÉS</t>
  </si>
  <si>
    <t xml:space="preserve">TRI du projet avant / après subventions</t>
  </si>
  <si>
    <t xml:space="preserve">LCOE (par kWh)</t>
  </si>
  <si>
    <t xml:space="preserve">Déficit de viabilité (VA)</t>
  </si>
  <si>
    <t xml:space="preserve">RBF uniforme nécessaire pour la cible des fonds propres (par raccordement)</t>
  </si>
  <si>
    <t xml:space="preserve">MOTEUR DE FLUX DE TRÉSORERIE (annuel, nominal)</t>
  </si>
  <si>
    <t xml:space="preserve">Toutes les cellules sont des formules. Colonne B = total, ou VAN au taux minimal lorsque la ligne est marquée [B = VAN].</t>
  </si>
  <si>
    <t xml:space="preserve">LEVIERS DU CAS (par rapport au scénario actif)</t>
  </si>
  <si>
    <t xml:space="preserve">Recouvrement</t>
  </si>
  <si>
    <t xml:space="preserve">SYNTHÈSE DU CAS</t>
  </si>
  <si>
    <t xml:space="preserve">CAPEX total (cas)</t>
  </si>
  <si>
    <t xml:space="preserve">CAPEX direct (cas)</t>
  </si>
  <si>
    <t xml:space="preserve">Fonds propres à la construction</t>
  </si>
  <si>
    <t xml:space="preserve">Dotation initiale du DSRA (fonds propres)</t>
  </si>
  <si>
    <t xml:space="preserve">VAN du projet avant subventions</t>
  </si>
  <si>
    <t xml:space="preserve">VAN du projet après subventions</t>
  </si>
  <si>
    <t xml:space="preserve">TRI du projet avant subventions</t>
  </si>
  <si>
    <t xml:space="preserve">TRI du projet après subventions</t>
  </si>
  <si>
    <t xml:space="preserve">LCOE</t>
  </si>
  <si>
    <t xml:space="preserve">VA des raccordements vérifiés (taux minimal)</t>
  </si>
  <si>
    <t xml:space="preserve">VA du RBF reçu (taux minimal)</t>
  </si>
  <si>
    <t xml:space="preserve">VA des raccordements vérifiés (taux fonds propres)</t>
  </si>
  <si>
    <t xml:space="preserve">VA du RBF reçu (taux fonds propres)</t>
  </si>
  <si>
    <t xml:space="preserve">Dette senior max au DSCR minimum (annuités)</t>
  </si>
  <si>
    <t xml:space="preserve">Année du projet</t>
  </si>
  <si>
    <t xml:space="preserve">Total / VAN</t>
  </si>
  <si>
    <t xml:space="preserve">Année civile</t>
  </si>
  <si>
    <t xml:space="preserve">Indicateur d'exploitation</t>
  </si>
  <si>
    <t xml:space="preserve">Montée en charge des raccordements</t>
  </si>
  <si>
    <t xml:space="preserve">Indice tarifaire</t>
  </si>
  <si>
    <t xml:space="preserve">Indice des coûts</t>
  </si>
  <si>
    <t xml:space="preserve">Indice de consommation (croissance x leviers)</t>
  </si>
  <si>
    <t xml:space="preserve">DEMANDE &amp; RACCORDEMENTS</t>
  </si>
  <si>
    <t xml:space="preserve">Total des raccordements</t>
  </si>
  <si>
    <t xml:space="preserve">Total des nouveaux raccordements (vérifiés)</t>
  </si>
  <si>
    <t xml:space="preserve">Énergie totale vendue (kWh)</t>
  </si>
  <si>
    <t xml:space="preserve">MIX DE PRODUCTION</t>
  </si>
  <si>
    <t xml:space="preserve">Production brute nécessaire (kWh)</t>
  </si>
  <si>
    <t xml:space="preserve">Énergie PV disponible (kWh)</t>
  </si>
  <si>
    <t xml:space="preserve">Énergie solaire livrée (kWh)</t>
  </si>
  <si>
    <t xml:space="preserve">Énergie diesel livrée (kWh)</t>
  </si>
  <si>
    <t xml:space="preserve">Fraction solaire effective</t>
  </si>
  <si>
    <t xml:space="preserve">Diesel consommé (litres)</t>
  </si>
  <si>
    <t xml:space="preserve">RECETTES</t>
  </si>
  <si>
    <t xml:space="preserve">Total des recettes d'énergie facturées</t>
  </si>
  <si>
    <t xml:space="preserve">Recettes d'énergie encaissées</t>
  </si>
  <si>
    <t xml:space="preserve">TOTAL DES RECETTES D'EXPLOITATION</t>
  </si>
  <si>
    <t xml:space="preserve">COÛTS D'EXPLOITATION</t>
  </si>
  <si>
    <t xml:space="preserve">Personnel et opérateur</t>
  </si>
  <si>
    <t xml:space="preserve">Licences et redevances</t>
  </si>
  <si>
    <t xml:space="preserve">MRV et reporting</t>
  </si>
  <si>
    <t xml:space="preserve">Gestion clientèle</t>
  </si>
  <si>
    <t xml:space="preserve">Maintenance diesel</t>
  </si>
  <si>
    <t xml:space="preserve">Carburant diesel</t>
  </si>
  <si>
    <t xml:space="preserve">TOTAL OPEX</t>
  </si>
  <si>
    <t xml:space="preserve">EBE</t>
  </si>
  <si>
    <t xml:space="preserve">Marge d'EBE</t>
  </si>
  <si>
    <t xml:space="preserve">CAPEX, REMPLACEMENTS &amp; SUBVENTIONS</t>
  </si>
  <si>
    <t xml:space="preserve">CAPEX initial  [B = VAN]</t>
  </si>
  <si>
    <t xml:space="preserve">Remplacement des batteries  [B = VAN]</t>
  </si>
  <si>
    <t xml:space="preserve">Dotation à la réserve de maintenance</t>
  </si>
  <si>
    <t xml:space="preserve">Coût de remplacement imputé au CFADS</t>
  </si>
  <si>
    <t xml:space="preserve">RBF acquis (nouveaux raccordements x RBF par segment)</t>
  </si>
  <si>
    <t xml:space="preserve">RBF reçu (après délai de vérification)</t>
  </si>
  <si>
    <t xml:space="preserve">Raccordements vérifiés payés (après délai)</t>
  </si>
  <si>
    <t xml:space="preserve">DETTE SENIOR</t>
  </si>
  <si>
    <t xml:space="preserve">Solde d'ouverture</t>
  </si>
  <si>
    <t xml:space="preserve">Tirage</t>
  </si>
  <si>
    <t xml:space="preserve">Intérêts</t>
  </si>
  <si>
    <t xml:space="preserve">Principal</t>
  </si>
  <si>
    <t xml:space="preserve">Solde de clôture</t>
  </si>
  <si>
    <t xml:space="preserve">DETTE CONCESSIONNELLE</t>
  </si>
  <si>
    <t xml:space="preserve">SERVICE TOTAL DE LA DETTE</t>
  </si>
  <si>
    <t xml:space="preserve">Service de la dette senior par unité de dette senior</t>
  </si>
  <si>
    <t xml:space="preserve">Dette senior max permise par le CFADS de l'année au DSCR minimum</t>
  </si>
  <si>
    <t xml:space="preserve">Solde cible du DSRA</t>
  </si>
  <si>
    <t xml:space="preserve">Dotation (+) / libération (-) du DSRA</t>
  </si>
  <si>
    <t xml:space="preserve">IMPÔT (report des pertes)</t>
  </si>
  <si>
    <t xml:space="preserve">Amortissement fiscal</t>
  </si>
  <si>
    <t xml:space="preserve">Résultat imposable avant pertes - hors dette (TRI projet)</t>
  </si>
  <si>
    <t xml:space="preserve">  Pertes fiscales reportées (début)</t>
  </si>
  <si>
    <t xml:space="preserve">  Pertes imputées</t>
  </si>
  <si>
    <t xml:space="preserve">  Pertes fiscales reportables (fin)</t>
  </si>
  <si>
    <t xml:space="preserve">Impôt payé - hors dette (TRI projet)</t>
  </si>
  <si>
    <t xml:space="preserve">Résultat imposable avant pertes - avec dette (après intérêts)</t>
  </si>
  <si>
    <t xml:space="preserve">Impôt payé - avec dette (après intérêts)</t>
  </si>
  <si>
    <t xml:space="preserve">FLUX DE TRÉSORERIE</t>
  </si>
  <si>
    <t xml:space="preserve">Flux du projet AVANT subventions  [B = VAN]</t>
  </si>
  <si>
    <t xml:space="preserve">Flux du projet APRÈS subventions  [B = VAN]</t>
  </si>
  <si>
    <t xml:space="preserve">DSCR</t>
  </si>
  <si>
    <t xml:space="preserve">Flux des fonds propres  [B = VAN]</t>
  </si>
  <si>
    <t xml:space="preserve">Flux cumulé des fonds propres</t>
  </si>
  <si>
    <t xml:space="preserve">ÉLÉMENTS DES INDICATEURS ACTUALISÉS (au taux minimal)</t>
  </si>
  <si>
    <t xml:space="preserve">Coût sur le cycle de vie (CAPEX + OPEX hors coûts liés aux recettes + remplacements)  [B = VAN]</t>
  </si>
  <si>
    <t xml:space="preserve">Énergie vendue (kWh)  [B = VAN]</t>
  </si>
  <si>
    <t xml:space="preserve">Recettes d'énergie encaissées  [B = VAN]</t>
  </si>
  <si>
    <t xml:space="preserve">CONTRÔLES D'INTÉGRITÉ</t>
  </si>
  <si>
    <t xml:space="preserve">Ressources = emplois à la construction</t>
  </si>
  <si>
    <t xml:space="preserve">Part senior + concessionnelle &lt;= 100 %</t>
  </si>
  <si>
    <t xml:space="preserve">Dette senior remboursée à l'échéance</t>
  </si>
  <si>
    <t xml:space="preserve">Dette concessionnelle remboursée à l'échéance</t>
  </si>
  <si>
    <t xml:space="preserve">Durées des prêts dans la durée de vie</t>
  </si>
  <si>
    <t xml:space="preserve">Différés plus courts que les durées</t>
  </si>
  <si>
    <t xml:space="preserve">Durée de vie dans l'horizon modélisé</t>
  </si>
  <si>
    <t xml:space="preserve">Courbe de charge : chaque segment totalise 100 %</t>
  </si>
  <si>
    <t xml:space="preserve">Bilan énergétique : solaire + diesel = production</t>
  </si>
  <si>
    <t xml:space="preserve">Dotations à la réserve = remplacements (si utilisée)</t>
  </si>
  <si>
    <t xml:space="preserve">DSRA entièrement libéré à la fin</t>
  </si>
  <si>
    <t xml:space="preserve">Identité des subventions : VAN après = VAN avant + grant + VA(RBF)</t>
  </si>
  <si>
    <t xml:space="preserve">Le calibrage du RBF reproduit la cible des fonds propres (contrôle d'identité)</t>
  </si>
  <si>
    <t xml:space="preserve">Pertes fiscales jamais négatives</t>
  </si>
  <si>
    <t xml:space="preserve">Au moins un client</t>
  </si>
  <si>
    <t xml:space="preserve">Les moteurs de sensibilité reproduisent la base (ligne de base = Flux de trésorerie)</t>
  </si>
  <si>
    <t xml:space="preserve">GLOBAL</t>
  </si>
</sst>
</file>

<file path=xl/styles.xml><?xml version="1.0" encoding="utf-8"?>
<styleSheet xmlns="http://schemas.openxmlformats.org/spreadsheetml/2006/main">
  <numFmts count="15">
    <numFmt numFmtId="164" formatCode="General"/>
    <numFmt numFmtId="165" formatCode="@"/>
    <numFmt numFmtId="166" formatCode="0"/>
    <numFmt numFmtId="167" formatCode="0.0%;\(0.0%\);\-"/>
    <numFmt numFmtId="168" formatCode="0.00\x;\(0.00&quot;x)&quot;;\-"/>
    <numFmt numFmtId="169" formatCode="#,##0;\(#,##0\);\-"/>
    <numFmt numFmtId="170" formatCode="#,##0.0;\(#,##0.0\);\-"/>
    <numFmt numFmtId="171" formatCode="#,##0.000;\(#,##0.000\);\-"/>
    <numFmt numFmtId="172" formatCode="#,##0.00;\(#,##0.00\);\-"/>
    <numFmt numFmtId="173" formatCode="0.00"/>
    <numFmt numFmtId="174" formatCode="00&quot;:00&quot;"/>
    <numFmt numFmtId="175" formatCode="0%"/>
    <numFmt numFmtId="176" formatCode="#,##0"/>
    <numFmt numFmtId="177" formatCode="0.000"/>
    <numFmt numFmtId="178" formatCode="0.0000"/>
  </numFmts>
  <fonts count="15">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color rgb="FF1F3A5F"/>
      <name val="Arial"/>
      <family val="0"/>
      <charset val="1"/>
    </font>
    <font>
      <sz val="10"/>
      <name val="Arial"/>
      <family val="0"/>
      <charset val="1"/>
    </font>
    <font>
      <i val="true"/>
      <sz val="9"/>
      <color rgb="FF666666"/>
      <name val="Arial"/>
      <family val="0"/>
      <charset val="1"/>
    </font>
    <font>
      <b val="true"/>
      <sz val="11"/>
      <color rgb="FFFFFFFF"/>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A5F"/>
        <bgColor rgb="FF333333"/>
      </patternFill>
    </fill>
    <fill>
      <patternFill patternType="solid">
        <fgColor rgb="FFFFF2CC"/>
        <bgColor rgb="FFEEF3F8"/>
      </patternFill>
    </fill>
    <fill>
      <patternFill patternType="solid">
        <fgColor rgb="FFEEF3F8"/>
        <bgColor rgb="FFE2F0EE"/>
      </patternFill>
    </fill>
    <fill>
      <patternFill patternType="solid">
        <fgColor rgb="FFE2F0EE"/>
        <bgColor rgb="FFEEF3F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9" fontId="10" fillId="0" borderId="2" xfId="0" applyFont="true" applyBorder="true" applyAlignment="false" applyProtection="false">
      <alignment horizontal="general" vertical="bottom" textRotation="0" wrapText="false" indent="0" shrinkToFit="false"/>
      <protection locked="true" hidden="false"/>
    </xf>
    <xf numFmtId="171" fontId="10" fillId="0" borderId="2" xfId="0" applyFont="true" applyBorder="true" applyAlignment="false" applyProtection="false">
      <alignment horizontal="general" vertical="bottom" textRotation="0" wrapText="false" indent="0" shrinkToFit="false"/>
      <protection locked="true" hidden="false"/>
    </xf>
    <xf numFmtId="170" fontId="10" fillId="0" borderId="2"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3" fontId="9"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true" applyProtection="false">
      <alignment horizontal="center" vertical="bottom" textRotation="0" wrapText="tru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true" applyProtection="false">
      <alignment horizontal="right"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right" vertical="bottom" textRotation="0" wrapText="false" indent="0" shrinkToFit="false"/>
      <protection locked="true" hidden="false"/>
    </xf>
    <xf numFmtId="168" fontId="10" fillId="5" borderId="1" xfId="0" applyFont="true" applyBorder="true" applyAlignment="true" applyProtection="false">
      <alignment horizontal="right" vertical="bottom" textRotation="0" wrapText="false" indent="0" shrinkToFit="false"/>
      <protection locked="true" hidden="false"/>
    </xf>
    <xf numFmtId="171" fontId="10" fillId="5" borderId="1" xfId="0" applyFont="true" applyBorder="true" applyAlignment="true" applyProtection="false">
      <alignment horizontal="right" vertical="bottom" textRotation="0" wrapText="false" indent="0" shrinkToFit="false"/>
      <protection locked="true" hidden="false"/>
    </xf>
    <xf numFmtId="166" fontId="10" fillId="5"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8" fontId="10"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8" fontId="10" fillId="5" borderId="0" xfId="0" applyFont="true" applyBorder="false" applyAlignment="false" applyProtection="false">
      <alignment horizontal="general" vertical="bottom" textRotation="0" wrapText="false" indent="0" shrinkToFit="false"/>
      <protection locked="true" hidden="false"/>
    </xf>
    <xf numFmtId="171" fontId="10" fillId="5"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8" fontId="10" fillId="0" borderId="1" xfId="0" applyFont="true" applyBorder="true" applyAlignment="true" applyProtection="false">
      <alignment horizontal="right" vertical="bottom" textRotation="0" wrapText="false" indent="0" shrinkToFit="false"/>
      <protection locked="true" hidden="false"/>
    </xf>
    <xf numFmtId="171" fontId="10" fillId="0" borderId="1" xfId="0" applyFont="true" applyBorder="true" applyAlignment="true" applyProtection="false">
      <alignment horizontal="right" vertical="bottom" textRotation="0" wrapText="false" indent="0" shrinkToFit="false"/>
      <protection locked="true" hidden="false"/>
    </xf>
    <xf numFmtId="169" fontId="10" fillId="0" borderId="1" xfId="0" applyFont="true" applyBorder="true" applyAlignment="true" applyProtection="false">
      <alignment horizontal="right"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155724"/>
      </font>
      <fill>
        <patternFill>
          <bgColor rgb="FFD4EDDA"/>
        </patternFill>
      </fill>
    </dxf>
    <dxf>
      <font>
        <name val="Arial"/>
        <charset val="1"/>
        <family val="0"/>
        <b val="1"/>
        <color rgb="FF721C24"/>
      </font>
      <fill>
        <patternFill>
          <bgColor rgb="FFF8D7DA"/>
        </patternFill>
      </fill>
    </dxf>
    <dxf>
      <fill>
        <patternFill>
          <bgColor rgb="FFF8D7DA"/>
        </patternFill>
      </fill>
    </dxf>
    <dxf>
      <fill>
        <patternFill>
          <bgColor rgb="FFD4EDDA"/>
        </patternFill>
      </fill>
    </dxf>
    <dxf>
      <font>
        <name val="Arial"/>
        <charset val="1"/>
        <family val="0"/>
        <b val="1"/>
        <color rgb="FFC00000"/>
      </font>
      <fill>
        <patternFill>
          <bgColor rgb="FFF8D7DA"/>
        </patternFill>
      </fill>
    </dxf>
    <dxf>
      <font>
        <name val="Arial"/>
        <charset val="1"/>
        <family val="0"/>
        <color rgb="FFC00000"/>
      </font>
    </dxf>
  </dxfs>
  <colors>
    <indexedColors>
      <rgbColor rgb="FF000000"/>
      <rgbColor rgb="FFFFFFFF"/>
      <rgbColor rgb="FFC00000"/>
      <rgbColor rgb="FF00FF00"/>
      <rgbColor rgb="FF0000FF"/>
      <rgbColor rgb="FFFFFF00"/>
      <rgbColor rgb="FFFF00FF"/>
      <rgbColor rgb="FF00FFFF"/>
      <rgbColor rgb="FF721C24"/>
      <rgbColor rgb="FF008000"/>
      <rgbColor rgb="FF000080"/>
      <rgbColor rgb="FF666666"/>
      <rgbColor rgb="FF800080"/>
      <rgbColor rgb="FF1B7F79"/>
      <rgbColor rgb="FFBFBFBF"/>
      <rgbColor rgb="FF7F7F7F"/>
      <rgbColor rgb="FF9999FF"/>
      <rgbColor rgb="FFC0504D"/>
      <rgbColor rgb="FFFFF2CC"/>
      <rgbColor rgb="FFE2F0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3F8"/>
      <rgbColor rgb="FFD4EDDA"/>
      <rgbColor rgb="FFFFFF99"/>
      <rgbColor rgb="FF99CCFF"/>
      <rgbColor rgb="FFFF99CC"/>
      <rgbColor rgb="FFCC99FF"/>
      <rgbColor rgb="FFF8D7DA"/>
      <rgbColor rgb="FF4A7EBB"/>
      <rgbColor rgb="FF33CCCC"/>
      <rgbColor rgb="FF9BBB59"/>
      <rgbColor rgb="FFFFC000"/>
      <rgbColor rgb="FFFF9900"/>
      <rgbColor rgb="FFFF6600"/>
      <rgbColor rgb="FF7D5FA0"/>
      <rgbColor rgb="FF878787"/>
      <rgbColor rgb="FF1F3A5F"/>
      <rgbColor rgb="FF4F81BD"/>
      <rgbColor rgb="FF155724"/>
      <rgbColor rgb="FF333300"/>
      <rgbColor rgb="FF993300"/>
      <rgbColor rgb="FF8064A2"/>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Profil de charge journalier pondéré</a:t>
            </a:r>
          </a:p>
        </c:rich>
      </c:tx>
      <c:overlay val="0"/>
      <c:spPr>
        <a:noFill/>
        <a:ln w="0">
          <a:noFill/>
        </a:ln>
      </c:spPr>
    </c:title>
    <c:autoTitleDeleted val="0"/>
    <c:plotArea>
      <c:lineChart>
        <c:grouping val="standard"/>
        <c:varyColors val="0"/>
        <c:ser>
          <c:idx val="0"/>
          <c:order val="0"/>
          <c:tx>
            <c:strRef>
              <c:f>'Courbe de charge'!G7</c:f>
              <c:strCache>
                <c:ptCount val="1"/>
                <c:pt idx="0">
                  <c:v>Pondéré (total)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'Courbe de charge'!$A$8:$A$31</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'Courbe de charge'!$G$8:$G$31</c:f>
              <c:numCache>
                <c:formatCode>0.0%;\(0.0%\);\-</c:formatCode>
                <c:ptCount val="24"/>
                <c:pt idx="0">
                  <c:v>0.00968892411106443</c:v>
                </c:pt>
                <c:pt idx="1">
                  <c:v>0.00968892411106443</c:v>
                </c:pt>
                <c:pt idx="2">
                  <c:v>0.00968892411106443</c:v>
                </c:pt>
                <c:pt idx="3">
                  <c:v>0.00968892411106443</c:v>
                </c:pt>
                <c:pt idx="4">
                  <c:v>0.00968892411106443</c:v>
                </c:pt>
                <c:pt idx="5">
                  <c:v>0.0158075108712851</c:v>
                </c:pt>
                <c:pt idx="6">
                  <c:v>0.0337356425379608</c:v>
                </c:pt>
                <c:pt idx="7">
                  <c:v>0.0502045820352355</c:v>
                </c:pt>
                <c:pt idx="8">
                  <c:v>0.0606631254739989</c:v>
                </c:pt>
                <c:pt idx="9">
                  <c:v>0.0606558661290587</c:v>
                </c:pt>
                <c:pt idx="10">
                  <c:v>0.0606558661290587</c:v>
                </c:pt>
                <c:pt idx="11">
                  <c:v>0.0566938105968431</c:v>
                </c:pt>
                <c:pt idx="12">
                  <c:v>0.0507156524680682</c:v>
                </c:pt>
                <c:pt idx="13">
                  <c:v>0.0537047315324556</c:v>
                </c:pt>
                <c:pt idx="14">
                  <c:v>0.0566938105968431</c:v>
                </c:pt>
                <c:pt idx="15">
                  <c:v>0.0527533235850961</c:v>
                </c:pt>
                <c:pt idx="16">
                  <c:v>0.0455752620293429</c:v>
                </c:pt>
                <c:pt idx="17">
                  <c:v>0.0465608944735134</c:v>
                </c:pt>
                <c:pt idx="18">
                  <c:v>0.0684516447422264</c:v>
                </c:pt>
                <c:pt idx="19">
                  <c:v>0.0747607029643007</c:v>
                </c:pt>
                <c:pt idx="20">
                  <c:v>0.0675074961398072</c:v>
                </c:pt>
                <c:pt idx="21">
                  <c:v>0.0487853116253185</c:v>
                </c:pt>
                <c:pt idx="22">
                  <c:v>0.0315406163213863</c:v>
                </c:pt>
                <c:pt idx="23">
                  <c:v>0.0160895291928787</c:v>
                </c:pt>
              </c:numCache>
            </c:numRef>
          </c:val>
          <c:smooth val="1"/>
        </c:ser>
        <c:hiLowLines>
          <c:spPr>
            <a:ln w="0">
              <a:noFill/>
            </a:ln>
          </c:spPr>
        </c:hiLowLines>
        <c:marker val="0"/>
        <c:axId val="92399408"/>
        <c:axId val="36620876"/>
      </c:lineChart>
      <c:catAx>
        <c:axId val="92399408"/>
        <c:scaling>
          <c:orientation val="minMax"/>
        </c:scaling>
        <c:delete val="0"/>
        <c:axPos val="b"/>
        <c:numFmt formatCode="00&quot;:00&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620876"/>
        <c:crosses val="autoZero"/>
        <c:auto val="1"/>
        <c:lblAlgn val="ctr"/>
        <c:lblOffset val="100"/>
        <c:noMultiLvlLbl val="0"/>
      </c:catAx>
      <c:valAx>
        <c:axId val="366208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Part de l'énergie journalière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3994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Recettes, OPEX, CFADS, service de la dette</a:t>
            </a:r>
          </a:p>
        </c:rich>
      </c:tx>
      <c:overlay val="0"/>
      <c:spPr>
        <a:noFill/>
        <a:ln w="0">
          <a:noFill/>
        </a:ln>
      </c:spPr>
    </c:title>
    <c:autoTitleDeleted val="0"/>
    <c:plotArea>
      <c:barChart>
        <c:barDir val="col"/>
        <c:grouping val="clustered"/>
        <c:varyColors val="0"/>
        <c:ser>
          <c:idx val="0"/>
          <c:order val="0"/>
          <c:tx>
            <c:strRef>
              <c:f>'Tableau de bord'!I5</c:f>
              <c:strCache>
                <c:ptCount val="1"/>
                <c:pt idx="0">
                  <c:v>Recettes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bord'!$I$6:$I$25</c:f>
              <c:numCache>
                <c:formatCode>#,##0;\(#,##0\);\-</c:formatCode>
                <c:ptCount val="20"/>
                <c:pt idx="0">
                  <c:v>80517.387264</c:v>
                </c:pt>
                <c:pt idx="1">
                  <c:v>113517.638710202</c:v>
                </c:pt>
                <c:pt idx="2">
                  <c:v>139820.029891356</c:v>
                </c:pt>
                <c:pt idx="3">
                  <c:v>146505.01721174</c:v>
                </c:pt>
                <c:pt idx="4">
                  <c:v>155427.172759935</c:v>
                </c:pt>
                <c:pt idx="5">
                  <c:v>164892.687581015</c:v>
                </c:pt>
                <c:pt idx="6">
                  <c:v>174934.652254699</c:v>
                </c:pt>
                <c:pt idx="7">
                  <c:v>185588.17257701</c:v>
                </c:pt>
                <c:pt idx="8">
                  <c:v>196890.49228695</c:v>
                </c:pt>
                <c:pt idx="9">
                  <c:v>208881.123267225</c:v>
                </c:pt>
                <c:pt idx="10">
                  <c:v>221601.983674199</c:v>
                </c:pt>
                <c:pt idx="11">
                  <c:v>235097.544479958</c:v>
                </c:pt>
                <c:pt idx="12">
                  <c:v>249414.984938787</c:v>
                </c:pt>
                <c:pt idx="13">
                  <c:v>264604.357521559</c:v>
                </c:pt>
                <c:pt idx="14">
                  <c:v>280718.762894623</c:v>
                </c:pt>
                <c:pt idx="15">
                  <c:v>297814.535554905</c:v>
                </c:pt>
                <c:pt idx="16">
                  <c:v>315951.440770199</c:v>
                </c:pt>
                <c:pt idx="17">
                  <c:v>335192.883513104</c:v>
                </c:pt>
                <c:pt idx="18">
                  <c:v>355606.130119052</c:v>
                </c:pt>
                <c:pt idx="19">
                  <c:v>377262.543443302</c:v>
                </c:pt>
              </c:numCache>
            </c:numRef>
          </c:val>
        </c:ser>
        <c:ser>
          <c:idx val="1"/>
          <c:order val="1"/>
          <c:tx>
            <c:strRef>
              <c:f>'Tableau de bord'!J5</c:f>
              <c:strCache>
                <c:ptCount val="1"/>
                <c:pt idx="0">
                  <c:v>OPEX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bord'!$J$6:$J$25</c:f>
              <c:numCache>
                <c:formatCode>#,##0;\(#,##0\);\-</c:formatCode>
                <c:ptCount val="20"/>
                <c:pt idx="0">
                  <c:v>68563.0673321452</c:v>
                </c:pt>
                <c:pt idx="1">
                  <c:v>76416.8660124017</c:v>
                </c:pt>
                <c:pt idx="2">
                  <c:v>82778.3949290086</c:v>
                </c:pt>
                <c:pt idx="3">
                  <c:v>85934.4730371791</c:v>
                </c:pt>
                <c:pt idx="4">
                  <c:v>89282.751140097</c:v>
                </c:pt>
                <c:pt idx="5">
                  <c:v>92778.3854403312</c:v>
                </c:pt>
                <c:pt idx="6">
                  <c:v>98306.79998774</c:v>
                </c:pt>
                <c:pt idx="7">
                  <c:v>110120.287479688</c:v>
                </c:pt>
                <c:pt idx="8">
                  <c:v>122787.398794247</c:v>
                </c:pt>
                <c:pt idx="9">
                  <c:v>136363.135795926</c:v>
                </c:pt>
                <c:pt idx="10">
                  <c:v>150905.915366902</c:v>
                </c:pt>
                <c:pt idx="11">
                  <c:v>166477.77872046</c:v>
                </c:pt>
                <c:pt idx="12">
                  <c:v>183144.613486293</c:v>
                </c:pt>
                <c:pt idx="13">
                  <c:v>200976.389345829</c:v>
                </c:pt>
                <c:pt idx="14">
                  <c:v>220047.408043141</c:v>
                </c:pt>
                <c:pt idx="15">
                  <c:v>240436.568647269</c:v>
                </c:pt>
                <c:pt idx="16">
                  <c:v>262227.648995122</c:v>
                </c:pt>
                <c:pt idx="17">
                  <c:v>285509.604300713</c:v>
                </c:pt>
                <c:pt idx="18">
                  <c:v>310376.883976528</c:v>
                </c:pt>
                <c:pt idx="19">
                  <c:v>336929.767776484</c:v>
                </c:pt>
              </c:numCache>
            </c:numRef>
          </c:val>
        </c:ser>
        <c:ser>
          <c:idx val="2"/>
          <c:order val="2"/>
          <c:tx>
            <c:strRef>
              <c:f>'Tableau de bord'!K5</c:f>
              <c:strCache>
                <c:ptCount val="1"/>
                <c:pt idx="0">
                  <c:v>CFADS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bord'!$K$6:$K$25</c:f>
              <c:numCache>
                <c:formatCode>#,##0;\(#,##0\);\-</c:formatCode>
                <c:ptCount val="20"/>
                <c:pt idx="0">
                  <c:v>142416.390218767</c:v>
                </c:pt>
                <c:pt idx="1">
                  <c:v>79362.8429847122</c:v>
                </c:pt>
                <c:pt idx="2">
                  <c:v>74103.7052492601</c:v>
                </c:pt>
                <c:pt idx="3">
                  <c:v>39832.6144614731</c:v>
                </c:pt>
                <c:pt idx="4">
                  <c:v>45406.4919067503</c:v>
                </c:pt>
                <c:pt idx="5">
                  <c:v>51376.372427596</c:v>
                </c:pt>
                <c:pt idx="6">
                  <c:v>55889.9225538711</c:v>
                </c:pt>
                <c:pt idx="7">
                  <c:v>54729.9553842345</c:v>
                </c:pt>
                <c:pt idx="8">
                  <c:v>47832.9045822438</c:v>
                </c:pt>
                <c:pt idx="9">
                  <c:v>46247.7985608407</c:v>
                </c:pt>
                <c:pt idx="10">
                  <c:v>44425.8793968388</c:v>
                </c:pt>
                <c:pt idx="11">
                  <c:v>42349.5768490392</c:v>
                </c:pt>
                <c:pt idx="12">
                  <c:v>40000.1825420355</c:v>
                </c:pt>
                <c:pt idx="13">
                  <c:v>37357.7792652716</c:v>
                </c:pt>
                <c:pt idx="14">
                  <c:v>34401.1659410226</c:v>
                </c:pt>
                <c:pt idx="15">
                  <c:v>31107.7779971769</c:v>
                </c:pt>
                <c:pt idx="16">
                  <c:v>53723.7917750767</c:v>
                </c:pt>
                <c:pt idx="17">
                  <c:v>49683.2792123905</c:v>
                </c:pt>
                <c:pt idx="18">
                  <c:v>45229.2461425245</c:v>
                </c:pt>
                <c:pt idx="19">
                  <c:v>40332.7756668184</c:v>
                </c:pt>
              </c:numCache>
            </c:numRef>
          </c:val>
        </c:ser>
        <c:gapWidth val="150"/>
        <c:overlap val="0"/>
        <c:axId val="79780698"/>
        <c:axId val="42992587"/>
      </c:barChart>
      <c:lineChart>
        <c:grouping val="standard"/>
        <c:varyColors val="0"/>
        <c:ser>
          <c:idx val="3"/>
          <c:order val="3"/>
          <c:tx>
            <c:strRef>
              <c:f>'Tableau de bord'!L5</c:f>
              <c:strCache>
                <c:ptCount val="1"/>
                <c:pt idx="0">
                  <c:v>Service de la dette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bord'!$L$6:$L$25</c:f>
              <c:numCache>
                <c:formatCode>#,##0;\(#,##0\);\-</c:formatCode>
                <c:ptCount val="20"/>
                <c:pt idx="0">
                  <c:v>14378.2666339355</c:v>
                </c:pt>
                <c:pt idx="1">
                  <c:v>14378.2666339355</c:v>
                </c:pt>
                <c:pt idx="2">
                  <c:v>24049.7543280371</c:v>
                </c:pt>
                <c:pt idx="3">
                  <c:v>24049.7543280371</c:v>
                </c:pt>
                <c:pt idx="4">
                  <c:v>24049.7543280371</c:v>
                </c:pt>
                <c:pt idx="5">
                  <c:v>33697.6272709776</c:v>
                </c:pt>
                <c:pt idx="6">
                  <c:v>33697.6272709776</c:v>
                </c:pt>
                <c:pt idx="7">
                  <c:v>33697.6272709776</c:v>
                </c:pt>
                <c:pt idx="8">
                  <c:v>33697.6272709776</c:v>
                </c:pt>
                <c:pt idx="9">
                  <c:v>33697.6272709776</c:v>
                </c:pt>
                <c:pt idx="10">
                  <c:v>12965.9344738486</c:v>
                </c:pt>
                <c:pt idx="11">
                  <c:v>12965.9344738486</c:v>
                </c:pt>
                <c:pt idx="12">
                  <c:v>12965.9344738486</c:v>
                </c:pt>
                <c:pt idx="13">
                  <c:v>12965.9344738486</c:v>
                </c:pt>
                <c:pt idx="14">
                  <c:v>12965.9344738486</c:v>
                </c:pt>
                <c:pt idx="15">
                  <c:v>0</c:v>
                </c:pt>
                <c:pt idx="16">
                  <c:v>0</c:v>
                </c:pt>
                <c:pt idx="17">
                  <c:v>0</c:v>
                </c:pt>
                <c:pt idx="18">
                  <c:v>0</c:v>
                </c:pt>
                <c:pt idx="19">
                  <c:v>0</c:v>
                </c:pt>
              </c:numCache>
            </c:numRef>
          </c:val>
          <c:smooth val="1"/>
        </c:ser>
        <c:hiLowLines>
          <c:spPr>
            <a:ln w="0">
              <a:noFill/>
            </a:ln>
          </c:spPr>
        </c:hiLowLines>
        <c:marker val="0"/>
        <c:axId val="79780698"/>
        <c:axId val="42992587"/>
      </c:lineChart>
      <c:catAx>
        <c:axId val="79780698"/>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92587"/>
        <c:crosses val="autoZero"/>
        <c:auto val="1"/>
        <c:lblAlgn val="ctr"/>
        <c:lblOffset val="100"/>
        <c:noMultiLvlLbl val="0"/>
      </c:catAx>
      <c:valAx>
        <c:axId val="4299258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8069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Ressources</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'Tableau de bord'!$H$28:$H$31</c:f>
              <c:strCache>
                <c:ptCount val="4"/>
                <c:pt idx="0">
                  <c:v>Subvention</c:v>
                </c:pt>
                <c:pt idx="1">
                  <c:v>Dette senior</c:v>
                </c:pt>
                <c:pt idx="2">
                  <c:v>Dette concessionnelle</c:v>
                </c:pt>
                <c:pt idx="3">
                  <c:v>Fonds propres</c:v>
                </c:pt>
              </c:strCache>
            </c:strRef>
          </c:cat>
          <c:val>
            <c:numRef>
              <c:f>'Tableau de bord'!$I$28:$I$31</c:f>
              <c:numCache>
                <c:formatCode>#,##0;\(#,##0\);\-</c:formatCode>
                <c:ptCount val="4"/>
                <c:pt idx="0">
                  <c:v>600000</c:v>
                </c:pt>
                <c:pt idx="1">
                  <c:v>110602.051030273</c:v>
                </c:pt>
                <c:pt idx="2">
                  <c:v>110602.051030273</c:v>
                </c:pt>
                <c:pt idx="3">
                  <c:v>331806.153090819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Mix de production (kWh)</a:t>
            </a:r>
          </a:p>
        </c:rich>
      </c:tx>
      <c:overlay val="0"/>
      <c:spPr>
        <a:noFill/>
        <a:ln w="0">
          <a:noFill/>
        </a:ln>
      </c:spPr>
    </c:title>
    <c:autoTitleDeleted val="0"/>
    <c:plotArea>
      <c:barChart>
        <c:barDir val="col"/>
        <c:grouping val="stacked"/>
        <c:varyColors val="0"/>
        <c:ser>
          <c:idx val="0"/>
          <c:order val="0"/>
          <c:tx>
            <c:strRef>
              <c:f>'Tableau de bord'!M5</c:f>
              <c:strCache>
                <c:ptCount val="1"/>
                <c:pt idx="0">
                  <c:v>kWh solaire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bord'!$M$6:$M$25</c:f>
              <c:numCache>
                <c:formatCode>#,##0;\(#,##0\);\-</c:formatCode>
                <c:ptCount val="20"/>
                <c:pt idx="0">
                  <c:v>215938.341818182</c:v>
                </c:pt>
                <c:pt idx="1">
                  <c:v>315090.030436364</c:v>
                </c:pt>
                <c:pt idx="2">
                  <c:v>381814.978058182</c:v>
                </c:pt>
                <c:pt idx="3">
                  <c:v>393269.427399927</c:v>
                </c:pt>
                <c:pt idx="4">
                  <c:v>405067.510221925</c:v>
                </c:pt>
                <c:pt idx="5">
                  <c:v>417219.535528583</c:v>
                </c:pt>
                <c:pt idx="6">
                  <c:v>426078.172123344</c:v>
                </c:pt>
                <c:pt idx="7">
                  <c:v>423947.781262727</c:v>
                </c:pt>
                <c:pt idx="8">
                  <c:v>421828.042356414</c:v>
                </c:pt>
                <c:pt idx="9">
                  <c:v>419718.902144632</c:v>
                </c:pt>
                <c:pt idx="10">
                  <c:v>417620.307633909</c:v>
                </c:pt>
                <c:pt idx="11">
                  <c:v>415532.206095739</c:v>
                </c:pt>
                <c:pt idx="12">
                  <c:v>413454.54506526</c:v>
                </c:pt>
                <c:pt idx="13">
                  <c:v>411387.272339934</c:v>
                </c:pt>
                <c:pt idx="14">
                  <c:v>409330.335978234</c:v>
                </c:pt>
                <c:pt idx="15">
                  <c:v>407283.684298343</c:v>
                </c:pt>
                <c:pt idx="16">
                  <c:v>405247.265876851</c:v>
                </c:pt>
                <c:pt idx="17">
                  <c:v>403221.029547467</c:v>
                </c:pt>
                <c:pt idx="18">
                  <c:v>401204.92439973</c:v>
                </c:pt>
                <c:pt idx="19">
                  <c:v>399198.899777731</c:v>
                </c:pt>
              </c:numCache>
            </c:numRef>
          </c:val>
        </c:ser>
        <c:ser>
          <c:idx val="1"/>
          <c:order val="1"/>
          <c:tx>
            <c:strRef>
              <c:f>'Tableau de bord'!N5</c:f>
              <c:strCache>
                <c:ptCount val="1"/>
                <c:pt idx="0">
                  <c:v>kWh diesel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bord'!$N$6:$N$25</c:f>
              <c:numCache>
                <c:formatCode>#,##0;\(#,##0\);\-</c:formatCode>
                <c:ptCount val="20"/>
                <c:pt idx="0">
                  <c:v>23993.1490909091</c:v>
                </c:pt>
                <c:pt idx="1">
                  <c:v>35010.0033818182</c:v>
                </c:pt>
                <c:pt idx="2">
                  <c:v>42423.8864509091</c:v>
                </c:pt>
                <c:pt idx="3">
                  <c:v>43696.6030444364</c:v>
                </c:pt>
                <c:pt idx="4">
                  <c:v>45007.5011357695</c:v>
                </c:pt>
                <c:pt idx="5">
                  <c:v>46357.7261698425</c:v>
                </c:pt>
                <c:pt idx="6">
                  <c:v>51406.407426034</c:v>
                </c:pt>
                <c:pt idx="7">
                  <c:v>67861.3356731321</c:v>
                </c:pt>
                <c:pt idx="8">
                  <c:v>84735.3480875215</c:v>
                </c:pt>
                <c:pt idx="9">
                  <c:v>102041.390012622</c:v>
                </c:pt>
                <c:pt idx="10">
                  <c:v>119792.793288062</c:v>
                </c:pt>
                <c:pt idx="11">
                  <c:v>138003.287853891</c:v>
                </c:pt>
                <c:pt idx="12">
                  <c:v>156687.013702859</c:v>
                </c:pt>
                <c:pt idx="13">
                  <c:v>175858.533191229</c:v>
                </c:pt>
                <c:pt idx="14">
                  <c:v>195532.843718863</c:v>
                </c:pt>
                <c:pt idx="15">
                  <c:v>215725.390789667</c:v>
                </c:pt>
                <c:pt idx="16">
                  <c:v>236452.0814638</c:v>
                </c:pt>
                <c:pt idx="17">
                  <c:v>257729.298213403</c:v>
                </c:pt>
                <c:pt idx="18">
                  <c:v>279573.913193967</c:v>
                </c:pt>
                <c:pt idx="19">
                  <c:v>302003.302943776</c:v>
                </c:pt>
              </c:numCache>
            </c:numRef>
          </c:val>
        </c:ser>
        <c:gapWidth val="150"/>
        <c:overlap val="100"/>
        <c:axId val="3541778"/>
        <c:axId val="36095119"/>
      </c:barChart>
      <c:catAx>
        <c:axId val="3541778"/>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095119"/>
        <c:crosses val="autoZero"/>
        <c:auto val="1"/>
        <c:lblAlgn val="ctr"/>
        <c:lblOffset val="100"/>
        <c:noMultiLvlLbl val="0"/>
      </c:catAx>
      <c:valAx>
        <c:axId val="3609511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417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Variation de la VAN du projet après subventions vs base</a:t>
            </a:r>
          </a:p>
        </c:rich>
      </c:tx>
      <c:overlay val="0"/>
      <c:spPr>
        <a:noFill/>
        <a:ln w="0">
          <a:noFill/>
        </a:ln>
      </c:spPr>
    </c:title>
    <c:autoTitleDeleted val="0"/>
    <c:plotArea>
      <c:barChart>
        <c:barDir val="bar"/>
        <c:grouping val="clustered"/>
        <c:varyColors val="0"/>
        <c:ser>
          <c:idx val="0"/>
          <c:order val="0"/>
          <c:tx>
            <c:strRef>
              <c:f>Sensibilité!N5</c:f>
              <c:strCache>
                <c:ptCount val="1"/>
                <c:pt idx="0">
                  <c:v>Bas vs base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Sensibilité!$M$6:$M$12</c:f>
              <c:strCache>
                <c:ptCount val="7"/>
                <c:pt idx="0">
                  <c:v>Taux d'intérêt</c:v>
                </c:pt>
                <c:pt idx="1">
                  <c:v>Demande</c:v>
                </c:pt>
                <c:pt idx="2">
                  <c:v>Prix du diesel</c:v>
                </c:pt>
                <c:pt idx="3">
                  <c:v>OPEX</c:v>
                </c:pt>
                <c:pt idx="4">
                  <c:v>Taux de recouvrement</c:v>
                </c:pt>
                <c:pt idx="5">
                  <c:v>Tarif</c:v>
                </c:pt>
                <c:pt idx="6">
                  <c:v>CAPEX</c:v>
                </c:pt>
              </c:strCache>
            </c:strRef>
          </c:cat>
          <c:val>
            <c:numRef>
              <c:f>Sensibilité!$N$6:$N$12</c:f>
              <c:numCache>
                <c:formatCode>#,##0;\(#,##0\);\-</c:formatCode>
                <c:ptCount val="7"/>
                <c:pt idx="0">
                  <c:v>0</c:v>
                </c:pt>
                <c:pt idx="1">
                  <c:v>-77421.0668622736</c:v>
                </c:pt>
                <c:pt idx="2">
                  <c:v>70183.2629192727</c:v>
                </c:pt>
                <c:pt idx="3">
                  <c:v>107948.982039653</c:v>
                </c:pt>
                <c:pt idx="4">
                  <c:v>-300805.11303236</c:v>
                </c:pt>
                <c:pt idx="5">
                  <c:v>-300805.11303236</c:v>
                </c:pt>
                <c:pt idx="6">
                  <c:v>295671.396963941</c:v>
                </c:pt>
              </c:numCache>
            </c:numRef>
          </c:val>
        </c:ser>
        <c:ser>
          <c:idx val="1"/>
          <c:order val="1"/>
          <c:tx>
            <c:strRef>
              <c:f>Sensibilité!O5</c:f>
              <c:strCache>
                <c:ptCount val="1"/>
                <c:pt idx="0">
                  <c:v>Haut vs base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Sensibilité!$M$6:$M$12</c:f>
              <c:strCache>
                <c:ptCount val="7"/>
                <c:pt idx="0">
                  <c:v>Taux d'intérêt</c:v>
                </c:pt>
                <c:pt idx="1">
                  <c:v>Demande</c:v>
                </c:pt>
                <c:pt idx="2">
                  <c:v>Prix du diesel</c:v>
                </c:pt>
                <c:pt idx="3">
                  <c:v>OPEX</c:v>
                </c:pt>
                <c:pt idx="4">
                  <c:v>Taux de recouvrement</c:v>
                </c:pt>
                <c:pt idx="5">
                  <c:v>Tarif</c:v>
                </c:pt>
                <c:pt idx="6">
                  <c:v>CAPEX</c:v>
                </c:pt>
              </c:strCache>
            </c:strRef>
          </c:cat>
          <c:val>
            <c:numRef>
              <c:f>Sensibilité!$O$6:$O$12</c:f>
              <c:numCache>
                <c:formatCode>#,##0;\(#,##0\);\-</c:formatCode>
                <c:ptCount val="7"/>
                <c:pt idx="0">
                  <c:v>0</c:v>
                </c:pt>
                <c:pt idx="1">
                  <c:v>-51862.0817130334</c:v>
                </c:pt>
                <c:pt idx="2">
                  <c:v>-82945.8497494204</c:v>
                </c:pt>
                <c:pt idx="3">
                  <c:v>-121988.483686691</c:v>
                </c:pt>
                <c:pt idx="4">
                  <c:v>113394.671422839</c:v>
                </c:pt>
                <c:pt idx="5">
                  <c:v>247870.883455748</c:v>
                </c:pt>
                <c:pt idx="6">
                  <c:v>-318668.84783711</c:v>
                </c:pt>
              </c:numCache>
            </c:numRef>
          </c:val>
        </c:ser>
        <c:gapWidth val="150"/>
        <c:overlap val="100"/>
        <c:axId val="18871762"/>
        <c:axId val="81866944"/>
      </c:barChart>
      <c:catAx>
        <c:axId val="1887176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1866944"/>
        <c:crosses val="autoZero"/>
        <c:auto val="1"/>
        <c:lblAlgn val="ctr"/>
        <c:lblOffset val="100"/>
        <c:noMultiLvlLbl val="0"/>
      </c:catAx>
      <c:valAx>
        <c:axId val="8186694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717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5</xdr:row>
      <xdr:rowOff>444960</xdr:rowOff>
    </xdr:from>
    <xdr:to>
      <xdr:col>16</xdr:col>
      <xdr:colOff>447840</xdr:colOff>
      <xdr:row>20</xdr:row>
      <xdr:rowOff>153000</xdr:rowOff>
    </xdr:to>
    <xdr:graphicFrame>
      <xdr:nvGraphicFramePr>
        <xdr:cNvPr id="0" name="Chart 1"/>
        <xdr:cNvGraphicFramePr/>
      </xdr:nvGraphicFramePr>
      <xdr:xfrm>
        <a:off x="11557080" y="14572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131040</xdr:rowOff>
    </xdr:from>
    <xdr:to>
      <xdr:col>2</xdr:col>
      <xdr:colOff>405720</xdr:colOff>
      <xdr:row>41</xdr:row>
      <xdr:rowOff>153000</xdr:rowOff>
    </xdr:to>
    <xdr:graphicFrame>
      <xdr:nvGraphicFramePr>
        <xdr:cNvPr id="1" name="Chart 1"/>
        <xdr:cNvGraphicFramePr/>
      </xdr:nvGraphicFramePr>
      <xdr:xfrm>
        <a:off x="177840" y="5143680"/>
        <a:ext cx="41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26</xdr:row>
      <xdr:rowOff>131040</xdr:rowOff>
    </xdr:from>
    <xdr:to>
      <xdr:col>5</xdr:col>
      <xdr:colOff>225720</xdr:colOff>
      <xdr:row>41</xdr:row>
      <xdr:rowOff>153000</xdr:rowOff>
    </xdr:to>
    <xdr:graphicFrame>
      <xdr:nvGraphicFramePr>
        <xdr:cNvPr id="2" name="Chart 2"/>
        <xdr:cNvGraphicFramePr/>
      </xdr:nvGraphicFramePr>
      <xdr:xfrm>
        <a:off x="6578640" y="5143680"/>
        <a:ext cx="39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43</xdr:row>
      <xdr:rowOff>130680</xdr:rowOff>
    </xdr:from>
    <xdr:to>
      <xdr:col>2</xdr:col>
      <xdr:colOff>405720</xdr:colOff>
      <xdr:row>58</xdr:row>
      <xdr:rowOff>153000</xdr:rowOff>
    </xdr:to>
    <xdr:graphicFrame>
      <xdr:nvGraphicFramePr>
        <xdr:cNvPr id="3" name="Chart 3"/>
        <xdr:cNvGraphicFramePr/>
      </xdr:nvGraphicFramePr>
      <xdr:xfrm>
        <a:off x="177840" y="8381880"/>
        <a:ext cx="41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131040</xdr:rowOff>
    </xdr:from>
    <xdr:to>
      <xdr:col>6</xdr:col>
      <xdr:colOff>265320</xdr:colOff>
      <xdr:row>31</xdr:row>
      <xdr:rowOff>132120</xdr:rowOff>
    </xdr:to>
    <xdr:graphicFrame>
      <xdr:nvGraphicFramePr>
        <xdr:cNvPr id="4" name="Chart 1"/>
        <xdr:cNvGraphicFramePr/>
      </xdr:nvGraphicFramePr>
      <xdr:xfrm>
        <a:off x="177840" y="30481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2: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2" t="s">
        <v>2</v>
      </c>
    </row>
    <row r="6" customFormat="false" ht="15" hidden="false" customHeight="false" outlineLevel="0" collapsed="false">
      <c r="B6" s="4" t="s">
        <v>3</v>
      </c>
    </row>
    <row r="7" customFormat="false" ht="15" hidden="false" customHeight="false" outlineLevel="0" collapsed="false">
      <c r="B7" s="3"/>
    </row>
    <row r="8" customFormat="false" ht="15" hidden="false" customHeight="false" outlineLevel="0" collapsed="false">
      <c r="B8" s="2" t="s">
        <v>4</v>
      </c>
    </row>
    <row r="9" customFormat="false" ht="15" hidden="false" customHeight="false" outlineLevel="0" collapsed="false">
      <c r="B9" s="4" t="s">
        <v>5</v>
      </c>
    </row>
    <row r="10" customFormat="false" ht="15" hidden="false" customHeight="false" outlineLevel="0" collapsed="false">
      <c r="B10" s="4" t="s">
        <v>6</v>
      </c>
    </row>
    <row r="11" customFormat="false" ht="15" hidden="false" customHeight="false" outlineLevel="0" collapsed="false">
      <c r="B11" s="4" t="s">
        <v>7</v>
      </c>
    </row>
    <row r="12" customFormat="false" ht="15" hidden="false" customHeight="false" outlineLevel="0" collapsed="false">
      <c r="B12" s="4" t="s">
        <v>8</v>
      </c>
    </row>
    <row r="13" customFormat="false" ht="23.8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7" customFormat="false" ht="15" hidden="false" customHeight="false" outlineLevel="0" collapsed="false">
      <c r="B17" s="4" t="s">
        <v>13</v>
      </c>
    </row>
    <row r="18" customFormat="false" ht="15" hidden="false" customHeight="false" outlineLevel="0" collapsed="false">
      <c r="B18" s="3"/>
    </row>
    <row r="19" customFormat="false" ht="15" hidden="false" customHeight="false" outlineLevel="0" collapsed="false">
      <c r="B19" s="2" t="s">
        <v>14</v>
      </c>
    </row>
    <row r="20" customFormat="false" ht="15" hidden="false" customHeight="false" outlineLevel="0" collapsed="false">
      <c r="B20" s="4" t="s">
        <v>15</v>
      </c>
    </row>
    <row r="21" customFormat="false" ht="15" hidden="false" customHeight="false" outlineLevel="0" collapsed="false">
      <c r="B21" s="3"/>
    </row>
    <row r="22" customFormat="false" ht="15" hidden="false" customHeight="false" outlineLevel="0" collapsed="false">
      <c r="B22" s="2" t="s">
        <v>16</v>
      </c>
    </row>
    <row r="23" customFormat="false" ht="15" hidden="false" customHeight="false" outlineLevel="0" collapsed="false">
      <c r="B23" s="4" t="s">
        <v>17</v>
      </c>
    </row>
    <row r="24" customFormat="false" ht="15" hidden="false" customHeight="false" outlineLevel="0" collapsed="false">
      <c r="B24" s="4" t="s">
        <v>18</v>
      </c>
    </row>
    <row r="25" customFormat="false" ht="15" hidden="false" customHeight="false" outlineLevel="0" collapsed="false">
      <c r="B25" s="4" t="s">
        <v>19</v>
      </c>
    </row>
    <row r="26" customFormat="false" ht="15" hidden="false" customHeight="false" outlineLevel="0" collapsed="false">
      <c r="B26" s="4" t="s">
        <v>20</v>
      </c>
    </row>
    <row r="27" customFormat="false" ht="15" hidden="false" customHeight="false" outlineLevel="0" collapsed="false">
      <c r="B27" s="4" t="s">
        <v>21</v>
      </c>
    </row>
    <row r="28" customFormat="false" ht="15" hidden="false" customHeight="false" outlineLevel="0" collapsed="false">
      <c r="B28" s="4" t="s">
        <v>22</v>
      </c>
    </row>
    <row r="29" customFormat="false" ht="15" hidden="false" customHeight="false" outlineLevel="0" collapsed="false">
      <c r="B29" s="4" t="s">
        <v>23</v>
      </c>
    </row>
    <row r="30" customFormat="false" ht="15" hidden="false" customHeight="false" outlineLevel="0" collapsed="false">
      <c r="B30" s="4" t="s">
        <v>24</v>
      </c>
    </row>
    <row r="31" customFormat="false" ht="15" hidden="false" customHeight="false" outlineLevel="0" collapsed="false">
      <c r="B31" s="4" t="s">
        <v>25</v>
      </c>
    </row>
    <row r="32" customFormat="false" ht="15" hidden="false" customHeight="false" outlineLevel="0" collapsed="false">
      <c r="B32" s="3"/>
    </row>
    <row r="33" customFormat="false" ht="15" hidden="false" customHeight="false" outlineLevel="0" collapsed="false">
      <c r="B33" s="2" t="s">
        <v>26</v>
      </c>
    </row>
    <row r="34" customFormat="false" ht="15" hidden="false" customHeight="false" outlineLevel="0" collapsed="false">
      <c r="B34" s="5" t="s">
        <v>27</v>
      </c>
    </row>
    <row r="35" customFormat="false" ht="15" hidden="false" customHeight="false" outlineLevel="0" collapsed="false">
      <c r="B35" s="5" t="s">
        <v>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K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1" min="2" style="0" width="13"/>
  </cols>
  <sheetData>
    <row r="1" customFormat="false" ht="19.7" hidden="false" customHeight="false" outlineLevel="0" collapsed="false">
      <c r="A1" s="6" t="s">
        <v>29</v>
      </c>
    </row>
    <row r="2" customFormat="false" ht="15" hidden="false" customHeight="false" outlineLevel="0" collapsed="false">
      <c r="A2" s="7" t="s">
        <v>30</v>
      </c>
    </row>
    <row r="5" customFormat="false" ht="15" hidden="false" customHeight="false" outlineLevel="0" collapsed="false">
      <c r="A5" s="8" t="s">
        <v>31</v>
      </c>
      <c r="B5" s="9"/>
      <c r="C5" s="9"/>
      <c r="D5" s="9"/>
      <c r="E5" s="9"/>
      <c r="F5" s="9"/>
      <c r="G5" s="9"/>
      <c r="H5" s="9"/>
      <c r="I5" s="9"/>
      <c r="J5" s="9"/>
      <c r="K5" s="9"/>
    </row>
    <row r="6" customFormat="false" ht="15" hidden="false" customHeight="false" outlineLevel="0" collapsed="false">
      <c r="A6" s="10" t="s">
        <v>32</v>
      </c>
      <c r="C6" s="11" t="s">
        <v>33</v>
      </c>
    </row>
    <row r="7" customFormat="false" ht="15" hidden="false" customHeight="false" outlineLevel="0" collapsed="false">
      <c r="A7" s="10" t="s">
        <v>34</v>
      </c>
      <c r="C7" s="11" t="s">
        <v>35</v>
      </c>
    </row>
    <row r="8" customFormat="false" ht="15" hidden="false" customHeight="false" outlineLevel="0" collapsed="false">
      <c r="A8" s="10" t="s">
        <v>36</v>
      </c>
      <c r="C8" s="11" t="s">
        <v>37</v>
      </c>
    </row>
    <row r="9" customFormat="false" ht="15" hidden="false" customHeight="false" outlineLevel="0" collapsed="false">
      <c r="A9" s="10" t="s">
        <v>38</v>
      </c>
      <c r="C9" s="11" t="s">
        <v>39</v>
      </c>
      <c r="F9" s="7" t="s">
        <v>40</v>
      </c>
    </row>
    <row r="10" customFormat="false" ht="15" hidden="false" customHeight="false" outlineLevel="0" collapsed="false">
      <c r="A10" s="10" t="s">
        <v>41</v>
      </c>
      <c r="C10" s="12" t="n">
        <v>2027</v>
      </c>
      <c r="D10" s="7" t="s">
        <v>42</v>
      </c>
    </row>
    <row r="11" customFormat="false" ht="15" hidden="false" customHeight="false" outlineLevel="0" collapsed="false">
      <c r="A11" s="10" t="s">
        <v>43</v>
      </c>
      <c r="C11" s="12" t="n">
        <v>20</v>
      </c>
      <c r="D11" s="7" t="s">
        <v>44</v>
      </c>
      <c r="F11" s="7" t="s">
        <v>45</v>
      </c>
    </row>
    <row r="12" customFormat="false" ht="15" hidden="false" customHeight="false" outlineLevel="0" collapsed="false">
      <c r="A12" s="10" t="s">
        <v>46</v>
      </c>
      <c r="C12" s="13" t="n">
        <v>0.1</v>
      </c>
      <c r="F12" s="7" t="s">
        <v>47</v>
      </c>
    </row>
    <row r="13" customFormat="false" ht="15" hidden="false" customHeight="false" outlineLevel="0" collapsed="false">
      <c r="A13" s="10" t="s">
        <v>48</v>
      </c>
      <c r="C13" s="13" t="n">
        <v>0.15</v>
      </c>
    </row>
    <row r="14" customFormat="false" ht="15" hidden="false" customHeight="false" outlineLevel="0" collapsed="false">
      <c r="A14" s="10" t="s">
        <v>49</v>
      </c>
      <c r="C14" s="14" t="n">
        <v>1.3</v>
      </c>
    </row>
    <row r="15" customFormat="false" ht="15" hidden="false" customHeight="false" outlineLevel="0" collapsed="false">
      <c r="A15" s="10" t="s">
        <v>50</v>
      </c>
      <c r="C15" s="13" t="n">
        <v>0.03</v>
      </c>
      <c r="D15" s="7" t="s">
        <v>51</v>
      </c>
    </row>
    <row r="16" customFormat="false" ht="15" hidden="false" customHeight="false" outlineLevel="0" collapsed="false">
      <c r="A16" s="10" t="s">
        <v>52</v>
      </c>
      <c r="C16" s="13" t="n">
        <v>0.03</v>
      </c>
      <c r="D16" s="7" t="s">
        <v>51</v>
      </c>
    </row>
    <row r="17" customFormat="false" ht="15" hidden="false" customHeight="false" outlineLevel="0" collapsed="false">
      <c r="A17" s="10" t="s">
        <v>53</v>
      </c>
      <c r="C17" s="13" t="n">
        <v>0.25</v>
      </c>
    </row>
    <row r="18" customFormat="false" ht="15" hidden="false" customHeight="false" outlineLevel="0" collapsed="false">
      <c r="A18" s="10" t="s">
        <v>54</v>
      </c>
      <c r="C18" s="12" t="n">
        <v>15</v>
      </c>
      <c r="D18" s="7" t="s">
        <v>44</v>
      </c>
      <c r="F18" s="7" t="s">
        <v>55</v>
      </c>
    </row>
    <row r="20" customFormat="false" ht="15" hidden="false" customHeight="false" outlineLevel="0" collapsed="false">
      <c r="A20" s="8" t="s">
        <v>56</v>
      </c>
      <c r="B20" s="9"/>
      <c r="C20" s="9"/>
      <c r="D20" s="9"/>
      <c r="E20" s="9"/>
      <c r="F20" s="9"/>
      <c r="G20" s="9"/>
      <c r="H20" s="9"/>
      <c r="I20" s="9"/>
      <c r="J20" s="9"/>
      <c r="K20" s="9"/>
    </row>
    <row r="21" customFormat="false" ht="15" hidden="false" customHeight="false" outlineLevel="0" collapsed="false">
      <c r="A21" s="15" t="s">
        <v>57</v>
      </c>
      <c r="C21" s="11" t="s">
        <v>58</v>
      </c>
      <c r="F21" s="7" t="s">
        <v>59</v>
      </c>
    </row>
    <row r="23" customFormat="false" ht="27.75" hidden="false" customHeight="true" outlineLevel="0" collapsed="false">
      <c r="A23" s="16" t="s">
        <v>60</v>
      </c>
      <c r="B23" s="16" t="s">
        <v>61</v>
      </c>
      <c r="C23" s="16" t="s">
        <v>58</v>
      </c>
      <c r="D23" s="16" t="s">
        <v>62</v>
      </c>
      <c r="E23" s="16" t="s">
        <v>63</v>
      </c>
      <c r="F23" s="16" t="s">
        <v>64</v>
      </c>
    </row>
    <row r="24" customFormat="false" ht="15" hidden="false" customHeight="false" outlineLevel="0" collapsed="false">
      <c r="A24" s="10" t="s">
        <v>65</v>
      </c>
      <c r="B24" s="17" t="n">
        <f aca="false">INDEX(C24:F24,1,MATCH(ScenarioName,$C$23:$F$23,0))</f>
        <v>1</v>
      </c>
      <c r="C24" s="14" t="n">
        <v>1</v>
      </c>
      <c r="D24" s="14" t="n">
        <v>1</v>
      </c>
      <c r="E24" s="14" t="n">
        <v>1</v>
      </c>
      <c r="F24" s="14" t="n">
        <v>1</v>
      </c>
    </row>
    <row r="25" customFormat="false" ht="15" hidden="false" customHeight="false" outlineLevel="0" collapsed="false">
      <c r="A25" s="10" t="s">
        <v>66</v>
      </c>
      <c r="B25" s="17" t="n">
        <f aca="false">INDEX(C25:F25,1,MATCH(ScenarioName,$C$23:$F$23,0))</f>
        <v>1</v>
      </c>
      <c r="C25" s="14" t="n">
        <v>1</v>
      </c>
      <c r="D25" s="14" t="n">
        <v>0.85</v>
      </c>
      <c r="E25" s="14" t="n">
        <v>1.1</v>
      </c>
      <c r="F25" s="14" t="n">
        <v>1</v>
      </c>
    </row>
    <row r="26" customFormat="false" ht="15" hidden="false" customHeight="false" outlineLevel="0" collapsed="false">
      <c r="A26" s="10" t="s">
        <v>67</v>
      </c>
      <c r="B26" s="17" t="n">
        <f aca="false">INDEX(C26:F26,1,MATCH(ScenarioName,$C$23:$F$23,0))</f>
        <v>1</v>
      </c>
      <c r="C26" s="14" t="n">
        <v>1</v>
      </c>
      <c r="D26" s="14" t="n">
        <v>1.15</v>
      </c>
      <c r="E26" s="14" t="n">
        <v>0.95</v>
      </c>
      <c r="F26" s="14" t="n">
        <v>1</v>
      </c>
    </row>
    <row r="27" customFormat="false" ht="15" hidden="false" customHeight="false" outlineLevel="0" collapsed="false">
      <c r="A27" s="10" t="s">
        <v>68</v>
      </c>
      <c r="B27" s="17" t="n">
        <f aca="false">INDEX(C27:F27,1,MATCH(ScenarioName,$C$23:$F$23,0))</f>
        <v>1</v>
      </c>
      <c r="C27" s="14" t="n">
        <v>1</v>
      </c>
      <c r="D27" s="14" t="n">
        <v>1.1</v>
      </c>
      <c r="E27" s="14" t="n">
        <v>0.95</v>
      </c>
      <c r="F27" s="14" t="n">
        <v>1</v>
      </c>
    </row>
    <row r="28" customFormat="false" ht="15" hidden="false" customHeight="false" outlineLevel="0" collapsed="false">
      <c r="A28" s="10" t="s">
        <v>69</v>
      </c>
      <c r="B28" s="17" t="n">
        <f aca="false">INDEX(C28:F28,1,MATCH(ScenarioName,$C$23:$F$23,0))</f>
        <v>1</v>
      </c>
      <c r="C28" s="14" t="n">
        <v>1</v>
      </c>
      <c r="D28" s="14" t="n">
        <v>0.95</v>
      </c>
      <c r="E28" s="14" t="n">
        <v>1.03</v>
      </c>
      <c r="F28" s="14" t="n">
        <v>1</v>
      </c>
    </row>
    <row r="29" customFormat="false" ht="15" hidden="false" customHeight="false" outlineLevel="0" collapsed="false">
      <c r="A29" s="10" t="s">
        <v>70</v>
      </c>
      <c r="B29" s="17" t="n">
        <f aca="false">INDEX(C29:F29,1,MATCH(ScenarioName,$C$23:$F$23,0))</f>
        <v>1</v>
      </c>
      <c r="C29" s="14" t="n">
        <v>1</v>
      </c>
      <c r="D29" s="14" t="n">
        <v>1.25</v>
      </c>
      <c r="E29" s="14" t="n">
        <v>0.9</v>
      </c>
      <c r="F29" s="14" t="n">
        <v>1</v>
      </c>
    </row>
    <row r="30" customFormat="false" ht="15" hidden="false" customHeight="false" outlineLevel="0" collapsed="false">
      <c r="A30" s="7" t="s">
        <v>71</v>
      </c>
    </row>
    <row r="31" customFormat="false" ht="15" hidden="false" customHeight="false" outlineLevel="0" collapsed="false">
      <c r="A31" s="10" t="s">
        <v>72</v>
      </c>
      <c r="C31" s="13" t="n">
        <v>0.2</v>
      </c>
      <c r="F31" s="7" t="s">
        <v>73</v>
      </c>
    </row>
    <row r="33" customFormat="false" ht="15" hidden="false" customHeight="false" outlineLevel="0" collapsed="false">
      <c r="A33" s="8" t="s">
        <v>74</v>
      </c>
      <c r="B33" s="9"/>
      <c r="C33" s="9"/>
      <c r="D33" s="9"/>
      <c r="E33" s="9"/>
      <c r="F33" s="9"/>
      <c r="G33" s="9"/>
      <c r="H33" s="9"/>
      <c r="I33" s="9"/>
      <c r="J33" s="9"/>
      <c r="K33" s="9"/>
    </row>
    <row r="34" customFormat="false" ht="27.75" hidden="false" customHeight="true" outlineLevel="0" collapsed="false">
      <c r="A34" s="16" t="s">
        <v>75</v>
      </c>
      <c r="B34" s="16" t="s">
        <v>76</v>
      </c>
      <c r="C34" s="16" t="s">
        <v>77</v>
      </c>
      <c r="D34" s="16" t="s">
        <v>78</v>
      </c>
      <c r="E34" s="16" t="s">
        <v>79</v>
      </c>
      <c r="F34" s="16" t="s">
        <v>80</v>
      </c>
      <c r="G34" s="16" t="s">
        <v>81</v>
      </c>
      <c r="H34" s="16" t="s">
        <v>82</v>
      </c>
      <c r="I34" s="16" t="s">
        <v>83</v>
      </c>
      <c r="J34" s="16" t="s">
        <v>84</v>
      </c>
      <c r="K34" s="16" t="s">
        <v>85</v>
      </c>
    </row>
    <row r="35" customFormat="false" ht="15" hidden="false" customHeight="false" outlineLevel="0" collapsed="false">
      <c r="A35" s="18" t="s">
        <v>86</v>
      </c>
      <c r="B35" s="19" t="n">
        <v>800</v>
      </c>
      <c r="C35" s="20" t="n">
        <v>15</v>
      </c>
      <c r="D35" s="21" t="n">
        <v>0.4</v>
      </c>
      <c r="E35" s="19" t="n">
        <v>10</v>
      </c>
      <c r="F35" s="19" t="n">
        <v>250</v>
      </c>
      <c r="G35" s="19" t="n">
        <v>120</v>
      </c>
      <c r="H35" s="22" t="n">
        <f aca="false">C35</f>
        <v>15</v>
      </c>
      <c r="I35" s="23" t="n">
        <f aca="false">H35*D35*LevTariff</f>
        <v>6</v>
      </c>
      <c r="J35" s="24" t="n">
        <f aca="false">IF(G35&gt;0,I35/G35,"")</f>
        <v>0.05</v>
      </c>
      <c r="K35" s="25" t="str">
        <f aca="false">IF(B35=0,"",IF(G35&lt;=0,"n.d.",IF(J35&lt;=AffordThreshold,"OUI","NON")))</f>
        <v>OUI</v>
      </c>
    </row>
    <row r="36" customFormat="false" ht="15" hidden="false" customHeight="false" outlineLevel="0" collapsed="false">
      <c r="A36" s="18" t="s">
        <v>87</v>
      </c>
      <c r="B36" s="19" t="n">
        <v>60</v>
      </c>
      <c r="C36" s="20" t="n">
        <v>250</v>
      </c>
      <c r="D36" s="21" t="n">
        <v>0.35</v>
      </c>
      <c r="E36" s="19" t="n">
        <v>25</v>
      </c>
      <c r="F36" s="19" t="n">
        <v>400</v>
      </c>
      <c r="G36" s="19" t="n">
        <v>1500</v>
      </c>
      <c r="H36" s="22" t="n">
        <f aca="false">IF(AND(UsePUE=1,2=2),PUE_kWhPerUser,C36)</f>
        <v>155.416</v>
      </c>
      <c r="I36" s="23" t="n">
        <f aca="false">H36*D36*LevTariff</f>
        <v>54.3956</v>
      </c>
      <c r="J36" s="24" t="n">
        <f aca="false">IF(G36&gt;0,I36/G36,"")</f>
        <v>0.0362637333333333</v>
      </c>
      <c r="K36" s="25" t="str">
        <f aca="false">IF(B36=0,"",IF(G36&lt;=0,"n.d.",IF(J36&lt;=AffordThreshold,"OUI","NON")))</f>
        <v>OUI</v>
      </c>
    </row>
    <row r="37" customFormat="false" ht="15" hidden="false" customHeight="false" outlineLevel="0" collapsed="false">
      <c r="A37" s="18" t="s">
        <v>88</v>
      </c>
      <c r="B37" s="19" t="n">
        <v>100</v>
      </c>
      <c r="C37" s="20" t="n">
        <v>50</v>
      </c>
      <c r="D37" s="21" t="n">
        <v>0.4</v>
      </c>
      <c r="E37" s="19" t="n">
        <v>15</v>
      </c>
      <c r="F37" s="19" t="n">
        <v>250</v>
      </c>
      <c r="G37" s="19" t="n">
        <v>400</v>
      </c>
      <c r="H37" s="22" t="n">
        <f aca="false">C37</f>
        <v>50</v>
      </c>
      <c r="I37" s="23" t="n">
        <f aca="false">H37*D37*LevTariff</f>
        <v>20</v>
      </c>
      <c r="J37" s="24" t="n">
        <f aca="false">IF(G37&gt;0,I37/G37,"")</f>
        <v>0.05</v>
      </c>
      <c r="K37" s="25" t="str">
        <f aca="false">IF(B37=0,"",IF(G37&lt;=0,"n.d.",IF(J37&lt;=AffordThreshold,"OUI","NON")))</f>
        <v>OUI</v>
      </c>
    </row>
    <row r="38" customFormat="false" ht="15" hidden="false" customHeight="false" outlineLevel="0" collapsed="false">
      <c r="A38" s="18" t="s">
        <v>89</v>
      </c>
      <c r="B38" s="19" t="n">
        <v>10</v>
      </c>
      <c r="C38" s="20" t="n">
        <v>300</v>
      </c>
      <c r="D38" s="21" t="n">
        <v>0.35</v>
      </c>
      <c r="E38" s="19" t="n">
        <v>50</v>
      </c>
      <c r="F38" s="19" t="n">
        <v>300</v>
      </c>
      <c r="G38" s="19" t="n">
        <v>0</v>
      </c>
      <c r="H38" s="22" t="n">
        <f aca="false">C38</f>
        <v>300</v>
      </c>
      <c r="I38" s="23" t="n">
        <f aca="false">H38*D38*LevTariff</f>
        <v>105</v>
      </c>
      <c r="J38" s="24" t="str">
        <f aca="false">IF(G38&gt;0,I38/G38,"")</f>
        <v/>
      </c>
      <c r="K38" s="25" t="str">
        <f aca="false">IF(B38=0,"",IF(G38&lt;=0,"n.d.",IF(J38&lt;=AffordThreshold,"OUI","NON")))</f>
        <v>n.d.</v>
      </c>
    </row>
    <row r="39" customFormat="false" ht="15" hidden="false" customHeight="false" outlineLevel="0" collapsed="false">
      <c r="A39" s="18" t="s">
        <v>90</v>
      </c>
      <c r="B39" s="19" t="n">
        <v>0</v>
      </c>
      <c r="C39" s="20" t="n">
        <v>0</v>
      </c>
      <c r="D39" s="21" t="n">
        <v>0</v>
      </c>
      <c r="E39" s="19" t="n">
        <v>0</v>
      </c>
      <c r="F39" s="19" t="n">
        <v>0</v>
      </c>
      <c r="G39" s="19" t="n">
        <v>0</v>
      </c>
      <c r="H39" s="22" t="n">
        <f aca="false">C39</f>
        <v>0</v>
      </c>
      <c r="I39" s="23" t="n">
        <f aca="false">H39*D39*LevTariff</f>
        <v>0</v>
      </c>
      <c r="J39" s="24" t="str">
        <f aca="false">IF(G39&gt;0,I39/G39,"")</f>
        <v/>
      </c>
      <c r="K39" s="25" t="str">
        <f aca="false">IF(B39=0,"",IF(G39&lt;=0,"n.d.",IF(J39&lt;=AffordThreshold,"OUI","NON")))</f>
        <v/>
      </c>
    </row>
    <row r="40" customFormat="false" ht="15" hidden="false" customHeight="false" outlineLevel="0" collapsed="false">
      <c r="A40" s="26" t="s">
        <v>91</v>
      </c>
      <c r="B40" s="27" t="n">
        <f aca="false">SUM(B35:B39)</f>
        <v>970</v>
      </c>
      <c r="C40" s="26"/>
      <c r="D40" s="28" t="n">
        <f aca="false">IFERROR(SUMPRODUCT(B35:B39,H35:H39,D35:D39)/SUMPRODUCT(B35:B39,H35:H39),0)</f>
        <v>0.378985546783355</v>
      </c>
      <c r="E40" s="26"/>
      <c r="F40" s="27" t="n">
        <f aca="false">IFERROR(SUMPRODUCT(B35:B39,F35:F39)/B40,0)</f>
        <v>259.79381443299</v>
      </c>
      <c r="G40" s="26"/>
      <c r="H40" s="29" t="n">
        <f aca="false">IFERROR(SUMPRODUCT(B35:B39,H35:H39)/B40,0)</f>
        <v>30.2319175257732</v>
      </c>
      <c r="I40" s="26"/>
      <c r="J40" s="26"/>
      <c r="K40" s="26"/>
    </row>
    <row r="41" customFormat="false" ht="15" hidden="false" customHeight="false" outlineLevel="0" collapsed="false">
      <c r="A41" s="7" t="s">
        <v>92</v>
      </c>
    </row>
    <row r="43" customFormat="false" ht="15" hidden="false" customHeight="false" outlineLevel="0" collapsed="false">
      <c r="A43" s="10" t="s">
        <v>93</v>
      </c>
      <c r="C43" s="12" t="n">
        <v>1</v>
      </c>
      <c r="F43" s="7" t="s">
        <v>94</v>
      </c>
    </row>
    <row r="44" customFormat="false" ht="15" hidden="false" customHeight="false" outlineLevel="0" collapsed="false">
      <c r="A44" s="10" t="s">
        <v>95</v>
      </c>
      <c r="C44" s="13" t="n">
        <v>0.05</v>
      </c>
      <c r="F44" s="7" t="s">
        <v>96</v>
      </c>
    </row>
    <row r="45" customFormat="false" ht="15" hidden="false" customHeight="false" outlineLevel="0" collapsed="false">
      <c r="A45" s="10" t="s">
        <v>97</v>
      </c>
      <c r="C45" s="13" t="n">
        <v>0.6</v>
      </c>
    </row>
    <row r="46" customFormat="false" ht="15" hidden="false" customHeight="false" outlineLevel="0" collapsed="false">
      <c r="A46" s="10" t="s">
        <v>98</v>
      </c>
      <c r="C46" s="13" t="n">
        <v>0.85</v>
      </c>
    </row>
    <row r="47" customFormat="false" ht="15" hidden="false" customHeight="false" outlineLevel="0" collapsed="false">
      <c r="A47" s="10" t="s">
        <v>99</v>
      </c>
      <c r="C47" s="13" t="n">
        <v>1</v>
      </c>
    </row>
    <row r="48" customFormat="false" ht="15" hidden="false" customHeight="false" outlineLevel="0" collapsed="false">
      <c r="A48" s="10" t="s">
        <v>100</v>
      </c>
      <c r="C48" s="13" t="n">
        <v>0.03</v>
      </c>
      <c r="D48" s="7" t="s">
        <v>51</v>
      </c>
    </row>
    <row r="49" customFormat="false" ht="15" hidden="false" customHeight="false" outlineLevel="0" collapsed="false">
      <c r="A49" s="10" t="s">
        <v>101</v>
      </c>
      <c r="C49" s="13" t="n">
        <v>0.92</v>
      </c>
    </row>
    <row r="51" customFormat="false" ht="15" hidden="false" customHeight="false" outlineLevel="0" collapsed="false">
      <c r="A51" s="8" t="s">
        <v>102</v>
      </c>
      <c r="B51" s="9"/>
      <c r="C51" s="9"/>
      <c r="D51" s="9"/>
      <c r="E51" s="9"/>
      <c r="F51" s="9"/>
      <c r="G51" s="9"/>
      <c r="H51" s="9"/>
      <c r="I51" s="9"/>
      <c r="J51" s="9"/>
      <c r="K51" s="9"/>
    </row>
    <row r="52" customFormat="false" ht="15" hidden="false" customHeight="false" outlineLevel="0" collapsed="false">
      <c r="A52" s="10" t="s">
        <v>103</v>
      </c>
      <c r="C52" s="19" t="n">
        <v>1500</v>
      </c>
      <c r="D52" s="7" t="s">
        <v>104</v>
      </c>
      <c r="F52" s="7" t="s">
        <v>105</v>
      </c>
    </row>
    <row r="53" customFormat="false" ht="15" hidden="false" customHeight="false" outlineLevel="0" collapsed="false">
      <c r="A53" s="10" t="s">
        <v>106</v>
      </c>
      <c r="C53" s="13" t="n">
        <v>0.005</v>
      </c>
      <c r="D53" s="7" t="s">
        <v>51</v>
      </c>
    </row>
    <row r="54" customFormat="false" ht="15" hidden="false" customHeight="false" outlineLevel="0" collapsed="false">
      <c r="A54" s="10" t="s">
        <v>107</v>
      </c>
      <c r="C54" s="13" t="n">
        <v>0.12</v>
      </c>
    </row>
    <row r="55" customFormat="false" ht="15" hidden="false" customHeight="false" outlineLevel="0" collapsed="false">
      <c r="A55" s="10" t="s">
        <v>108</v>
      </c>
      <c r="C55" s="13" t="n">
        <v>0.9</v>
      </c>
      <c r="F55" s="7" t="s">
        <v>109</v>
      </c>
    </row>
    <row r="56" customFormat="false" ht="15" hidden="false" customHeight="false" outlineLevel="0" collapsed="false">
      <c r="A56" s="10" t="s">
        <v>110</v>
      </c>
      <c r="C56" s="14" t="n">
        <v>1.15</v>
      </c>
    </row>
    <row r="57" customFormat="false" ht="15" hidden="false" customHeight="false" outlineLevel="0" collapsed="false">
      <c r="A57" s="10" t="s">
        <v>111</v>
      </c>
      <c r="C57" s="13" t="n">
        <v>0.8</v>
      </c>
    </row>
    <row r="58" customFormat="false" ht="15" hidden="false" customHeight="false" outlineLevel="0" collapsed="false">
      <c r="A58" s="10" t="s">
        <v>112</v>
      </c>
      <c r="C58" s="20" t="n">
        <v>3</v>
      </c>
      <c r="D58" s="7" t="s">
        <v>113</v>
      </c>
    </row>
    <row r="59" customFormat="false" ht="15" hidden="false" customHeight="false" outlineLevel="0" collapsed="false">
      <c r="A59" s="10" t="s">
        <v>114</v>
      </c>
      <c r="C59" s="30" t="n">
        <v>1.2</v>
      </c>
      <c r="D59" s="7" t="s">
        <v>115</v>
      </c>
    </row>
    <row r="60" customFormat="false" ht="15" hidden="false" customHeight="false" outlineLevel="0" collapsed="false">
      <c r="A60" s="10" t="s">
        <v>116</v>
      </c>
      <c r="C60" s="31" t="n">
        <f aca="false">NightShare</f>
        <v>0.371387432412525</v>
      </c>
    </row>
    <row r="61" customFormat="false" ht="15" hidden="false" customHeight="false" outlineLevel="0" collapsed="false">
      <c r="A61" s="10" t="s">
        <v>117</v>
      </c>
      <c r="C61" s="32" t="n">
        <f aca="false">PeakRatio</f>
        <v>1.79425687114322</v>
      </c>
    </row>
    <row r="63" customFormat="false" ht="27.75" hidden="false" customHeight="true" outlineLevel="0" collapsed="false">
      <c r="A63" s="16" t="s">
        <v>118</v>
      </c>
      <c r="B63" s="16" t="s">
        <v>119</v>
      </c>
      <c r="C63" s="16" t="s">
        <v>120</v>
      </c>
      <c r="D63" s="16" t="s">
        <v>121</v>
      </c>
      <c r="E63" s="16" t="s">
        <v>122</v>
      </c>
    </row>
    <row r="64" customFormat="false" ht="15" hidden="false" customHeight="false" outlineLevel="0" collapsed="false">
      <c r="A64" s="10" t="s">
        <v>123</v>
      </c>
      <c r="B64" s="33" t="n">
        <f aca="false">(Seg1_N*Seg1_kWh+Seg2_N*Seg2_kWh+Seg3_N*Seg3_kWh+Seg4_N*Seg4_kWh+Seg5_N*Seg5_kWh)*12*Ramp3*(1+DemandGrowth)^2</f>
        <v>373330.200768</v>
      </c>
      <c r="E64" s="7" t="s">
        <v>124</v>
      </c>
    </row>
    <row r="65" customFormat="false" ht="15" hidden="false" customHeight="false" outlineLevel="0" collapsed="false">
      <c r="A65" s="10" t="s">
        <v>125</v>
      </c>
      <c r="B65" s="33" t="n">
        <f aca="false">DesignEnergy/(1-Losses)</f>
        <v>424238.864509091</v>
      </c>
      <c r="E65" s="7" t="s">
        <v>124</v>
      </c>
    </row>
    <row r="66" customFormat="false" ht="15" hidden="false" customHeight="false" outlineLevel="0" collapsed="false">
      <c r="A66" s="10" t="s">
        <v>126</v>
      </c>
      <c r="B66" s="34" t="n">
        <f aca="false">DesignGen*SolarFraction/SpecYield*PVOversize</f>
        <v>292.724816511273</v>
      </c>
      <c r="C66" s="20"/>
      <c r="D66" s="22" t="n">
        <f aca="false">IF(ISNUMBER(C66),C66,B66)</f>
        <v>292.724816511273</v>
      </c>
      <c r="E66" s="7" t="s">
        <v>127</v>
      </c>
    </row>
    <row r="67" customFormat="false" ht="15" hidden="false" customHeight="false" outlineLevel="0" collapsed="false">
      <c r="A67" s="10" t="s">
        <v>128</v>
      </c>
      <c r="B67" s="34" t="n">
        <f aca="false">DesignGen/365*NightShareUsed/DoD</f>
        <v>539.578707601494</v>
      </c>
      <c r="C67" s="20"/>
      <c r="D67" s="22" t="n">
        <f aca="false">IF(ISNUMBER(C67),C67,B67)</f>
        <v>539.578707601494</v>
      </c>
      <c r="E67" s="7" t="s">
        <v>129</v>
      </c>
    </row>
    <row r="68" customFormat="false" ht="15" hidden="false" customHeight="false" outlineLevel="0" collapsed="false">
      <c r="A68" s="10" t="s">
        <v>130</v>
      </c>
      <c r="B68" s="34" t="n">
        <f aca="false">DesignGen/8760*PeakRatioUsed</f>
        <v>86.8942348917161</v>
      </c>
      <c r="C68" s="20"/>
      <c r="D68" s="22" t="n">
        <f aca="false">IF(ISNUMBER(C68),C68,B68)</f>
        <v>86.8942348917161</v>
      </c>
      <c r="E68" s="7" t="s">
        <v>131</v>
      </c>
    </row>
    <row r="69" customFormat="false" ht="15" hidden="false" customHeight="false" outlineLevel="0" collapsed="false">
      <c r="A69" s="7" t="s">
        <v>132</v>
      </c>
    </row>
    <row r="71" customFormat="false" ht="15" hidden="false" customHeight="false" outlineLevel="0" collapsed="false">
      <c r="A71" s="8" t="s">
        <v>133</v>
      </c>
      <c r="B71" s="9"/>
      <c r="C71" s="9"/>
      <c r="D71" s="9"/>
      <c r="E71" s="9"/>
      <c r="F71" s="9"/>
      <c r="G71" s="9"/>
      <c r="H71" s="9"/>
      <c r="I71" s="9"/>
      <c r="J71" s="9"/>
      <c r="K71" s="9"/>
    </row>
    <row r="72" customFormat="false" ht="15" hidden="false" customHeight="false" outlineLevel="0" collapsed="false">
      <c r="A72" s="10" t="s">
        <v>134</v>
      </c>
      <c r="C72" s="19" t="n">
        <v>700</v>
      </c>
      <c r="D72" s="7" t="s">
        <v>135</v>
      </c>
    </row>
    <row r="73" customFormat="false" ht="15" hidden="false" customHeight="false" outlineLevel="0" collapsed="false">
      <c r="A73" s="10" t="s">
        <v>136</v>
      </c>
      <c r="C73" s="19" t="n">
        <v>350</v>
      </c>
      <c r="D73" s="7" t="s">
        <v>137</v>
      </c>
    </row>
    <row r="74" customFormat="false" ht="15" hidden="false" customHeight="false" outlineLevel="0" collapsed="false">
      <c r="A74" s="10" t="s">
        <v>138</v>
      </c>
      <c r="C74" s="19" t="n">
        <v>400</v>
      </c>
      <c r="D74" s="7" t="s">
        <v>139</v>
      </c>
    </row>
    <row r="75" customFormat="false" ht="15" hidden="false" customHeight="false" outlineLevel="0" collapsed="false">
      <c r="A75" s="10" t="s">
        <v>140</v>
      </c>
      <c r="C75" s="19" t="n">
        <v>450</v>
      </c>
      <c r="D75" s="7" t="s">
        <v>141</v>
      </c>
    </row>
    <row r="76" customFormat="false" ht="15" hidden="false" customHeight="false" outlineLevel="0" collapsed="false">
      <c r="A76" s="10" t="s">
        <v>142</v>
      </c>
      <c r="C76" s="19" t="n">
        <v>80</v>
      </c>
      <c r="D76" s="7" t="s">
        <v>141</v>
      </c>
    </row>
    <row r="77" customFormat="false" ht="15" hidden="false" customHeight="false" outlineLevel="0" collapsed="false">
      <c r="A77" s="10" t="s">
        <v>143</v>
      </c>
      <c r="C77" s="19" t="n">
        <v>60000</v>
      </c>
    </row>
    <row r="78" customFormat="false" ht="15" hidden="false" customHeight="false" outlineLevel="0" collapsed="false">
      <c r="A78" s="10" t="s">
        <v>144</v>
      </c>
      <c r="C78" s="19" t="n">
        <v>0</v>
      </c>
      <c r="F78" s="7" t="s">
        <v>145</v>
      </c>
    </row>
    <row r="79" customFormat="false" ht="15" hidden="false" customHeight="false" outlineLevel="0" collapsed="false">
      <c r="A79" s="10" t="s">
        <v>146</v>
      </c>
      <c r="C79" s="13" t="n">
        <v>0.08</v>
      </c>
      <c r="D79" s="7" t="s">
        <v>147</v>
      </c>
    </row>
    <row r="80" customFormat="false" ht="15" hidden="false" customHeight="false" outlineLevel="0" collapsed="false">
      <c r="A80" s="10" t="s">
        <v>148</v>
      </c>
      <c r="C80" s="13" t="n">
        <v>0.07</v>
      </c>
      <c r="D80" s="7" t="s">
        <v>147</v>
      </c>
    </row>
    <row r="81" customFormat="false" ht="15" hidden="false" customHeight="false" outlineLevel="0" collapsed="false">
      <c r="A81" s="10" t="s">
        <v>149</v>
      </c>
      <c r="C81" s="12" t="n">
        <v>8</v>
      </c>
      <c r="D81" s="7" t="s">
        <v>44</v>
      </c>
    </row>
    <row r="82" customFormat="false" ht="15" hidden="false" customHeight="false" outlineLevel="0" collapsed="false">
      <c r="A82" s="10" t="s">
        <v>150</v>
      </c>
      <c r="C82" s="19" t="n">
        <v>250</v>
      </c>
      <c r="D82" s="7" t="s">
        <v>137</v>
      </c>
    </row>
    <row r="83" customFormat="false" ht="15" hidden="false" customHeight="false" outlineLevel="0" collapsed="false">
      <c r="A83" s="10" t="s">
        <v>151</v>
      </c>
      <c r="C83" s="12" t="n">
        <v>1</v>
      </c>
      <c r="F83" s="7" t="s">
        <v>152</v>
      </c>
    </row>
    <row r="85" customFormat="false" ht="15" hidden="false" customHeight="false" outlineLevel="0" collapsed="false">
      <c r="A85" s="10" t="s">
        <v>153</v>
      </c>
      <c r="C85" s="35" t="n">
        <f aca="false">PV_kWp*C_PV+BESS_kWh*C_BESS+Diesel_kW*C_Diesel+TotalCustomers*(C_Network+C_Meter)+C_BOS+C_PUEquip</f>
        <v>1002617.6131751</v>
      </c>
    </row>
    <row r="86" customFormat="false" ht="15" hidden="false" customHeight="false" outlineLevel="0" collapsed="false">
      <c r="A86" s="15" t="s">
        <v>154</v>
      </c>
      <c r="C86" s="36" t="n">
        <f aca="false">HardCapexBase*(1+C_DevPct+C_ContPct)</f>
        <v>1153010.25515137</v>
      </c>
    </row>
    <row r="88" customFormat="false" ht="15" hidden="false" customHeight="false" outlineLevel="0" collapsed="false">
      <c r="A88" s="8" t="s">
        <v>155</v>
      </c>
      <c r="B88" s="9"/>
      <c r="C88" s="9"/>
      <c r="D88" s="9"/>
      <c r="E88" s="9"/>
      <c r="F88" s="9"/>
      <c r="G88" s="9"/>
      <c r="H88" s="9"/>
      <c r="I88" s="9"/>
      <c r="J88" s="9"/>
      <c r="K88" s="9"/>
    </row>
    <row r="89" customFormat="false" ht="15" hidden="false" customHeight="false" outlineLevel="0" collapsed="false">
      <c r="A89" s="10" t="s">
        <v>156</v>
      </c>
      <c r="C89" s="13" t="n">
        <v>0.025</v>
      </c>
      <c r="D89" s="7" t="s">
        <v>157</v>
      </c>
    </row>
    <row r="90" customFormat="false" ht="15" hidden="false" customHeight="false" outlineLevel="0" collapsed="false">
      <c r="A90" s="10" t="s">
        <v>158</v>
      </c>
      <c r="C90" s="19" t="n">
        <v>18000</v>
      </c>
      <c r="D90" s="7" t="s">
        <v>51</v>
      </c>
    </row>
    <row r="91" customFormat="false" ht="15" hidden="false" customHeight="false" outlineLevel="0" collapsed="false">
      <c r="A91" s="10" t="s">
        <v>159</v>
      </c>
      <c r="C91" s="13" t="n">
        <v>0.005</v>
      </c>
      <c r="D91" s="7" t="s">
        <v>160</v>
      </c>
    </row>
    <row r="92" customFormat="false" ht="15" hidden="false" customHeight="false" outlineLevel="0" collapsed="false">
      <c r="A92" s="10" t="s">
        <v>161</v>
      </c>
      <c r="C92" s="19" t="n">
        <v>3000</v>
      </c>
      <c r="D92" s="7" t="s">
        <v>51</v>
      </c>
    </row>
    <row r="93" customFormat="false" ht="15" hidden="false" customHeight="false" outlineLevel="0" collapsed="false">
      <c r="A93" s="10" t="s">
        <v>162</v>
      </c>
      <c r="C93" s="21" t="n">
        <v>0.03</v>
      </c>
      <c r="D93" s="7" t="s">
        <v>163</v>
      </c>
    </row>
    <row r="94" customFormat="false" ht="15" hidden="false" customHeight="false" outlineLevel="0" collapsed="false">
      <c r="A94" s="10" t="s">
        <v>164</v>
      </c>
      <c r="C94" s="13" t="n">
        <v>0.03</v>
      </c>
      <c r="D94" s="7" t="s">
        <v>165</v>
      </c>
    </row>
    <row r="95" customFormat="false" ht="15" hidden="false" customHeight="false" outlineLevel="0" collapsed="false">
      <c r="A95" s="10" t="s">
        <v>166</v>
      </c>
      <c r="C95" s="19" t="n">
        <v>4000</v>
      </c>
      <c r="D95" s="7" t="s">
        <v>51</v>
      </c>
      <c r="F95" s="7" t="s">
        <v>167</v>
      </c>
    </row>
    <row r="97" customFormat="false" ht="15" hidden="false" customHeight="false" outlineLevel="0" collapsed="false">
      <c r="A97" s="8" t="s">
        <v>168</v>
      </c>
      <c r="B97" s="9"/>
      <c r="C97" s="9"/>
      <c r="D97" s="9"/>
      <c r="E97" s="9"/>
      <c r="F97" s="9"/>
      <c r="G97" s="9"/>
      <c r="H97" s="9"/>
      <c r="I97" s="9"/>
      <c r="J97" s="9"/>
      <c r="K97" s="9"/>
    </row>
    <row r="98" customFormat="false" ht="15" hidden="false" customHeight="false" outlineLevel="0" collapsed="false">
      <c r="A98" s="10" t="s">
        <v>169</v>
      </c>
      <c r="C98" s="19" t="n">
        <v>600000</v>
      </c>
      <c r="F98" s="7" t="s">
        <v>170</v>
      </c>
    </row>
    <row r="99" customFormat="false" ht="15" hidden="false" customHeight="false" outlineLevel="0" collapsed="false">
      <c r="A99" s="10" t="s">
        <v>171</v>
      </c>
      <c r="C99" s="12" t="n">
        <v>0</v>
      </c>
      <c r="D99" s="7" t="s">
        <v>44</v>
      </c>
      <c r="F99" s="7" t="s">
        <v>172</v>
      </c>
    </row>
    <row r="100" customFormat="false" ht="15" hidden="false" customHeight="false" outlineLevel="0" collapsed="false">
      <c r="A100" s="10" t="s">
        <v>173</v>
      </c>
      <c r="C100" s="13" t="n">
        <v>0.2</v>
      </c>
    </row>
    <row r="101" customFormat="false" ht="15" hidden="false" customHeight="false" outlineLevel="0" collapsed="false">
      <c r="A101" s="10" t="s">
        <v>174</v>
      </c>
      <c r="C101" s="13" t="n">
        <v>0.1</v>
      </c>
    </row>
    <row r="102" customFormat="false" ht="15" hidden="false" customHeight="false" outlineLevel="0" collapsed="false">
      <c r="A102" s="10" t="s">
        <v>175</v>
      </c>
      <c r="C102" s="12" t="n">
        <v>10</v>
      </c>
      <c r="D102" s="7" t="s">
        <v>44</v>
      </c>
    </row>
    <row r="103" customFormat="false" ht="15" hidden="false" customHeight="false" outlineLevel="0" collapsed="false">
      <c r="A103" s="10" t="s">
        <v>176</v>
      </c>
      <c r="C103" s="12" t="n">
        <v>2</v>
      </c>
      <c r="D103" s="7" t="s">
        <v>44</v>
      </c>
    </row>
    <row r="104" customFormat="false" ht="15" hidden="false" customHeight="false" outlineLevel="0" collapsed="false">
      <c r="A104" s="10" t="s">
        <v>177</v>
      </c>
      <c r="C104" s="13" t="n">
        <v>0.2</v>
      </c>
      <c r="F104" s="7" t="s">
        <v>178</v>
      </c>
    </row>
    <row r="105" customFormat="false" ht="15" hidden="false" customHeight="false" outlineLevel="0" collapsed="false">
      <c r="A105" s="10" t="s">
        <v>179</v>
      </c>
      <c r="C105" s="13" t="n">
        <v>0.03</v>
      </c>
    </row>
    <row r="106" customFormat="false" ht="15" hidden="false" customHeight="false" outlineLevel="0" collapsed="false">
      <c r="A106" s="10" t="s">
        <v>180</v>
      </c>
      <c r="C106" s="12" t="n">
        <v>15</v>
      </c>
      <c r="D106" s="7" t="s">
        <v>44</v>
      </c>
    </row>
    <row r="107" customFormat="false" ht="15" hidden="false" customHeight="false" outlineLevel="0" collapsed="false">
      <c r="A107" s="10" t="s">
        <v>181</v>
      </c>
      <c r="C107" s="12" t="n">
        <v>5</v>
      </c>
      <c r="D107" s="7" t="s">
        <v>44</v>
      </c>
    </row>
    <row r="108" customFormat="false" ht="15" hidden="false" customHeight="false" outlineLevel="0" collapsed="false">
      <c r="A108" s="10" t="s">
        <v>182</v>
      </c>
      <c r="C108" s="13" t="n">
        <v>0.5</v>
      </c>
      <c r="F108" s="7" t="s">
        <v>183</v>
      </c>
    </row>
    <row r="110" customFormat="false" ht="15" hidden="false" customHeight="false" outlineLevel="0" collapsed="false">
      <c r="A110" s="8" t="s">
        <v>184</v>
      </c>
      <c r="B110" s="9"/>
      <c r="C110" s="9"/>
      <c r="D110" s="9"/>
      <c r="E110" s="9"/>
      <c r="F110" s="9"/>
      <c r="G110" s="9"/>
      <c r="H110" s="9"/>
      <c r="I110" s="9"/>
      <c r="J110" s="9"/>
      <c r="K110" s="9"/>
    </row>
    <row r="111" customFormat="false" ht="15" hidden="false" customHeight="false" outlineLevel="0" collapsed="false">
      <c r="A111" s="10" t="s">
        <v>185</v>
      </c>
      <c r="C111" s="20" t="n">
        <v>5</v>
      </c>
      <c r="D111" s="7" t="s">
        <v>186</v>
      </c>
    </row>
    <row r="112" customFormat="false" ht="15" hidden="false" customHeight="false" outlineLevel="0" collapsed="false">
      <c r="A112" s="10" t="s">
        <v>187</v>
      </c>
      <c r="C112" s="20" t="n">
        <v>1.5</v>
      </c>
      <c r="D112" s="7" t="s">
        <v>188</v>
      </c>
      <c r="F112" s="7" t="s">
        <v>189</v>
      </c>
    </row>
    <row r="113" customFormat="false" ht="15" hidden="false" customHeight="false" outlineLevel="0" collapsed="false">
      <c r="A113" s="10" t="s">
        <v>190</v>
      </c>
      <c r="C113" s="37" t="n">
        <v>2.68</v>
      </c>
      <c r="D113" s="7" t="s">
        <v>191</v>
      </c>
      <c r="F113" s="7" t="s">
        <v>192</v>
      </c>
    </row>
    <row r="114" customFormat="false" ht="15" hidden="false" customHeight="false" outlineLevel="0" collapsed="false">
      <c r="A114" s="10" t="s">
        <v>193</v>
      </c>
      <c r="C114" s="13" t="n">
        <v>1</v>
      </c>
      <c r="F114" s="7" t="s">
        <v>194</v>
      </c>
    </row>
  </sheetData>
  <dataValidations count="4">
    <dataValidation allowBlank="false" errorStyle="stop" operator="between" showDropDown="false" showErrorMessage="false" showInputMessage="false" sqref="C21" type="list">
      <formula1>"Base,Prudent,Optimiste,Personnalisé"</formula1>
      <formula2>0</formula2>
    </dataValidation>
    <dataValidation allowBlank="false" error="Saisissez une valeur entre 0 % et 100 %." errorStyle="stop" operator="between" showDropDown="false" showErrorMessage="true" showInputMessage="false" sqref="C17 C44:C47 C49 C54:C55 C57 C100 C104 C114" type="decimal">
      <formula1>0</formula1>
      <formula2>1</formula2>
    </dataValidation>
    <dataValidation allowBlank="false" error="La durée de vie doit être comprise entre 1 et 20 ans." errorStyle="stop" operator="between" showDropDown="false" showErrorMessage="true" showInputMessage="false" sqref="C11" type="whole">
      <formula1>1</formula1>
      <formula2>20</formula2>
    </dataValidation>
    <dataValidation allowBlank="false" errorStyle="stop" operator="between" showDropDown="false" showErrorMessage="false" showInputMessage="false" sqref="C43 C83"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9" min="2" style="0" width="15"/>
  </cols>
  <sheetData>
    <row r="1" customFormat="false" ht="19.7" hidden="false" customHeight="false" outlineLevel="0" collapsed="false">
      <c r="A1" s="6" t="s">
        <v>195</v>
      </c>
    </row>
    <row r="2" customFormat="false" ht="15" hidden="false" customHeight="false" outlineLevel="0" collapsed="false">
      <c r="A2" s="7" t="s">
        <v>196</v>
      </c>
    </row>
    <row r="4" customFormat="false" ht="15" hidden="false" customHeight="false" outlineLevel="0" collapsed="false">
      <c r="A4" s="10" t="s">
        <v>197</v>
      </c>
      <c r="D4" s="12" t="n">
        <v>6</v>
      </c>
    </row>
    <row r="5" customFormat="false" ht="15" hidden="false" customHeight="false" outlineLevel="0" collapsed="false">
      <c r="A5" s="10" t="s">
        <v>198</v>
      </c>
      <c r="D5" s="12" t="n">
        <v>18</v>
      </c>
    </row>
    <row r="6" customFormat="false" ht="39.75" hidden="false" customHeight="true" outlineLevel="0" collapsed="false">
      <c r="B6" s="38" t="str">
        <f aca="false">Seg1_Name</f>
        <v>Ménages</v>
      </c>
      <c r="C6" s="38" t="str">
        <f aca="false">Seg2_Name</f>
        <v>Usagers productifs (moulins, soudure, chambres froides)</v>
      </c>
      <c r="D6" s="38" t="str">
        <f aca="false">Seg3_Name</f>
        <v>Commerces (boutiques, bars, kiosques)</v>
      </c>
      <c r="E6" s="38" t="str">
        <f aca="false">Seg4_Name</f>
        <v>Institutions (centre de santé, école, eau)</v>
      </c>
      <c r="F6" s="38" t="str">
        <f aca="false">Seg5_Name</f>
        <v>Autre / personnalisé</v>
      </c>
    </row>
    <row r="7" customFormat="false" ht="15" hidden="false" customHeight="false" outlineLevel="0" collapsed="false">
      <c r="A7" s="39" t="s">
        <v>199</v>
      </c>
      <c r="B7" s="39" t="s">
        <v>200</v>
      </c>
      <c r="C7" s="39" t="s">
        <v>201</v>
      </c>
      <c r="D7" s="39" t="s">
        <v>202</v>
      </c>
      <c r="E7" s="39" t="s">
        <v>203</v>
      </c>
      <c r="F7" s="39" t="s">
        <v>204</v>
      </c>
      <c r="G7" s="39" t="s">
        <v>205</v>
      </c>
      <c r="H7" s="39" t="s">
        <v>206</v>
      </c>
    </row>
    <row r="8" customFormat="false" ht="15" hidden="false" customHeight="false" outlineLevel="0" collapsed="false">
      <c r="A8" s="40" t="n">
        <v>0</v>
      </c>
      <c r="B8" s="13" t="n">
        <v>0.0114</v>
      </c>
      <c r="C8" s="13" t="n">
        <v>0.0047</v>
      </c>
      <c r="D8" s="13" t="n">
        <v>0.0096</v>
      </c>
      <c r="E8" s="13" t="n">
        <v>0.0185</v>
      </c>
      <c r="F8" s="13" t="n">
        <v>0.0417</v>
      </c>
      <c r="G8" s="41" t="n">
        <f aca="false">IFERROR((B8*Seg1_N*Seg1_kWh+C8*Seg2_N*Seg2_kWh+D8*Seg3_N*Seg3_kWh+E8*Seg4_N*Seg4_kWh+F8*Seg5_N*Seg5_kWh)/(Seg1_N*Seg1_kWh+Seg2_N*Seg2_kWh+Seg3_N*Seg3_kWh+Seg4_N*Seg4_kWh+Seg5_N*Seg5_kWh),0)</f>
        <v>0.00968892411106443</v>
      </c>
      <c r="H8" s="42" t="n">
        <f aca="false">IF(OR(A8&lt;Sunrise,A8&gt;=Sunset),1,0)</f>
        <v>1</v>
      </c>
    </row>
    <row r="9" customFormat="false" ht="15" hidden="false" customHeight="false" outlineLevel="0" collapsed="false">
      <c r="A9" s="40" t="n">
        <v>1</v>
      </c>
      <c r="B9" s="13" t="n">
        <v>0.0114</v>
      </c>
      <c r="C9" s="13" t="n">
        <v>0.0047</v>
      </c>
      <c r="D9" s="13" t="n">
        <v>0.0096</v>
      </c>
      <c r="E9" s="13" t="n">
        <v>0.0185</v>
      </c>
      <c r="F9" s="13" t="n">
        <v>0.0417</v>
      </c>
      <c r="G9" s="41" t="n">
        <f aca="false">IFERROR((B9*Seg1_N*Seg1_kWh+C9*Seg2_N*Seg2_kWh+D9*Seg3_N*Seg3_kWh+E9*Seg4_N*Seg4_kWh+F9*Seg5_N*Seg5_kWh)/(Seg1_N*Seg1_kWh+Seg2_N*Seg2_kWh+Seg3_N*Seg3_kWh+Seg4_N*Seg4_kWh+Seg5_N*Seg5_kWh),0)</f>
        <v>0.00968892411106443</v>
      </c>
      <c r="H9" s="42" t="n">
        <f aca="false">IF(OR(A9&lt;Sunrise,A9&gt;=Sunset),1,0)</f>
        <v>1</v>
      </c>
    </row>
    <row r="10" customFormat="false" ht="15" hidden="false" customHeight="false" outlineLevel="0" collapsed="false">
      <c r="A10" s="40" t="n">
        <v>2</v>
      </c>
      <c r="B10" s="13" t="n">
        <v>0.0114</v>
      </c>
      <c r="C10" s="13" t="n">
        <v>0.0047</v>
      </c>
      <c r="D10" s="13" t="n">
        <v>0.0096</v>
      </c>
      <c r="E10" s="13" t="n">
        <v>0.0185</v>
      </c>
      <c r="F10" s="13" t="n">
        <v>0.0417</v>
      </c>
      <c r="G10" s="41" t="n">
        <f aca="false">IFERROR((B10*Seg1_N*Seg1_kWh+C10*Seg2_N*Seg2_kWh+D10*Seg3_N*Seg3_kWh+E10*Seg4_N*Seg4_kWh+F10*Seg5_N*Seg5_kWh)/(Seg1_N*Seg1_kWh+Seg2_N*Seg2_kWh+Seg3_N*Seg3_kWh+Seg4_N*Seg4_kWh+Seg5_N*Seg5_kWh),0)</f>
        <v>0.00968892411106443</v>
      </c>
      <c r="H10" s="42" t="n">
        <f aca="false">IF(OR(A10&lt;Sunrise,A10&gt;=Sunset),1,0)</f>
        <v>1</v>
      </c>
    </row>
    <row r="11" customFormat="false" ht="15" hidden="false" customHeight="false" outlineLevel="0" collapsed="false">
      <c r="A11" s="40" t="n">
        <v>3</v>
      </c>
      <c r="B11" s="13" t="n">
        <v>0.0114</v>
      </c>
      <c r="C11" s="13" t="n">
        <v>0.0047</v>
      </c>
      <c r="D11" s="13" t="n">
        <v>0.0096</v>
      </c>
      <c r="E11" s="13" t="n">
        <v>0.0185</v>
      </c>
      <c r="F11" s="13" t="n">
        <v>0.0417</v>
      </c>
      <c r="G11" s="41" t="n">
        <f aca="false">IFERROR((B11*Seg1_N*Seg1_kWh+C11*Seg2_N*Seg2_kWh+D11*Seg3_N*Seg3_kWh+E11*Seg4_N*Seg4_kWh+F11*Seg5_N*Seg5_kWh)/(Seg1_N*Seg1_kWh+Seg2_N*Seg2_kWh+Seg3_N*Seg3_kWh+Seg4_N*Seg4_kWh+Seg5_N*Seg5_kWh),0)</f>
        <v>0.00968892411106443</v>
      </c>
      <c r="H11" s="42" t="n">
        <f aca="false">IF(OR(A11&lt;Sunrise,A11&gt;=Sunset),1,0)</f>
        <v>1</v>
      </c>
    </row>
    <row r="12" customFormat="false" ht="15" hidden="false" customHeight="false" outlineLevel="0" collapsed="false">
      <c r="A12" s="40" t="n">
        <v>4</v>
      </c>
      <c r="B12" s="13" t="n">
        <v>0.0114</v>
      </c>
      <c r="C12" s="13" t="n">
        <v>0.0047</v>
      </c>
      <c r="D12" s="13" t="n">
        <v>0.0096</v>
      </c>
      <c r="E12" s="13" t="n">
        <v>0.0185</v>
      </c>
      <c r="F12" s="13" t="n">
        <v>0.0417</v>
      </c>
      <c r="G12" s="41" t="n">
        <f aca="false">IFERROR((B12*Seg1_N*Seg1_kWh+C12*Seg2_N*Seg2_kWh+D12*Seg3_N*Seg3_kWh+E12*Seg4_N*Seg4_kWh+F12*Seg5_N*Seg5_kWh)/(Seg1_N*Seg1_kWh+Seg2_N*Seg2_kWh+Seg3_N*Seg3_kWh+Seg4_N*Seg4_kWh+Seg5_N*Seg5_kWh),0)</f>
        <v>0.00968892411106443</v>
      </c>
      <c r="H12" s="42" t="n">
        <f aca="false">IF(OR(A12&lt;Sunrise,A12&gt;=Sunset),1,0)</f>
        <v>1</v>
      </c>
    </row>
    <row r="13" customFormat="false" ht="15" hidden="false" customHeight="false" outlineLevel="0" collapsed="false">
      <c r="A13" s="40" t="n">
        <v>5</v>
      </c>
      <c r="B13" s="13" t="n">
        <v>0.0227</v>
      </c>
      <c r="C13" s="13" t="n">
        <v>0.0094</v>
      </c>
      <c r="D13" s="13" t="n">
        <v>0.0096</v>
      </c>
      <c r="E13" s="13" t="n">
        <v>0.0185</v>
      </c>
      <c r="F13" s="13" t="n">
        <v>0.0417</v>
      </c>
      <c r="G13" s="41" t="n">
        <f aca="false">IFERROR((B13*Seg1_N*Seg1_kWh+C13*Seg2_N*Seg2_kWh+D13*Seg3_N*Seg3_kWh+E13*Seg4_N*Seg4_kWh+F13*Seg5_N*Seg5_kWh)/(Seg1_N*Seg1_kWh+Seg2_N*Seg2_kWh+Seg3_N*Seg3_kWh+Seg4_N*Seg4_kWh+Seg5_N*Seg5_kWh),0)</f>
        <v>0.0158075108712851</v>
      </c>
      <c r="H13" s="42" t="n">
        <f aca="false">IF(OR(A13&lt;Sunrise,A13&gt;=Sunset),1,0)</f>
        <v>1</v>
      </c>
    </row>
    <row r="14" customFormat="false" ht="15" hidden="false" customHeight="false" outlineLevel="0" collapsed="false">
      <c r="A14" s="40" t="n">
        <v>6</v>
      </c>
      <c r="B14" s="13" t="n">
        <v>0.0455</v>
      </c>
      <c r="C14" s="13" t="n">
        <v>0.0283</v>
      </c>
      <c r="D14" s="13" t="n">
        <v>0.0192</v>
      </c>
      <c r="E14" s="13" t="n">
        <v>0.0278</v>
      </c>
      <c r="F14" s="13" t="n">
        <v>0.0417</v>
      </c>
      <c r="G14" s="41" t="n">
        <f aca="false">IFERROR((B14*Seg1_N*Seg1_kWh+C14*Seg2_N*Seg2_kWh+D14*Seg3_N*Seg3_kWh+E14*Seg4_N*Seg4_kWh+F14*Seg5_N*Seg5_kWh)/(Seg1_N*Seg1_kWh+Seg2_N*Seg2_kWh+Seg3_N*Seg3_kWh+Seg4_N*Seg4_kWh+Seg5_N*Seg5_kWh),0)</f>
        <v>0.0337356425379608</v>
      </c>
      <c r="H14" s="42" t="n">
        <f aca="false">IF(OR(A14&lt;Sunrise,A14&gt;=Sunset),1,0)</f>
        <v>0</v>
      </c>
    </row>
    <row r="15" customFormat="false" ht="15" hidden="false" customHeight="false" outlineLevel="0" collapsed="false">
      <c r="A15" s="40" t="n">
        <v>7</v>
      </c>
      <c r="B15" s="13" t="n">
        <v>0.0455</v>
      </c>
      <c r="C15" s="13" t="n">
        <v>0.066</v>
      </c>
      <c r="D15" s="13" t="n">
        <v>0.0288</v>
      </c>
      <c r="E15" s="13" t="n">
        <v>0.0556</v>
      </c>
      <c r="F15" s="13" t="n">
        <v>0.0417</v>
      </c>
      <c r="G15" s="41" t="n">
        <f aca="false">IFERROR((B15*Seg1_N*Seg1_kWh+C15*Seg2_N*Seg2_kWh+D15*Seg3_N*Seg3_kWh+E15*Seg4_N*Seg4_kWh+F15*Seg5_N*Seg5_kWh)/(Seg1_N*Seg1_kWh+Seg2_N*Seg2_kWh+Seg3_N*Seg3_kWh+Seg4_N*Seg4_kWh+Seg5_N*Seg5_kWh),0)</f>
        <v>0.0502045820352355</v>
      </c>
      <c r="H15" s="42" t="n">
        <f aca="false">IF(OR(A15&lt;Sunrise,A15&gt;=Sunset),1,0)</f>
        <v>0</v>
      </c>
    </row>
    <row r="16" customFormat="false" ht="15" hidden="false" customHeight="false" outlineLevel="0" collapsed="false">
      <c r="A16" s="40" t="n">
        <v>8</v>
      </c>
      <c r="B16" s="13" t="n">
        <v>0.0341</v>
      </c>
      <c r="C16" s="13" t="n">
        <v>0.0943</v>
      </c>
      <c r="D16" s="13" t="n">
        <v>0.0481</v>
      </c>
      <c r="E16" s="13" t="n">
        <v>0.0833</v>
      </c>
      <c r="F16" s="13" t="n">
        <v>0.0417</v>
      </c>
      <c r="G16" s="41" t="n">
        <f aca="false">IFERROR((B16*Seg1_N*Seg1_kWh+C16*Seg2_N*Seg2_kWh+D16*Seg3_N*Seg3_kWh+E16*Seg4_N*Seg4_kWh+F16*Seg5_N*Seg5_kWh)/(Seg1_N*Seg1_kWh+Seg2_N*Seg2_kWh+Seg3_N*Seg3_kWh+Seg4_N*Seg4_kWh+Seg5_N*Seg5_kWh),0)</f>
        <v>0.0606631254739989</v>
      </c>
      <c r="H16" s="42" t="n">
        <f aca="false">IF(OR(A16&lt;Sunrise,A16&gt;=Sunset),1,0)</f>
        <v>0</v>
      </c>
    </row>
    <row r="17" customFormat="false" ht="15" hidden="false" customHeight="false" outlineLevel="0" collapsed="false">
      <c r="A17" s="40" t="n">
        <v>9</v>
      </c>
      <c r="B17" s="13" t="n">
        <v>0.0227</v>
      </c>
      <c r="C17" s="13" t="n">
        <v>0.1038</v>
      </c>
      <c r="D17" s="13" t="n">
        <v>0.0577</v>
      </c>
      <c r="E17" s="13" t="n">
        <v>0.0833</v>
      </c>
      <c r="F17" s="13" t="n">
        <v>0.0417</v>
      </c>
      <c r="G17" s="41" t="n">
        <f aca="false">IFERROR((B17*Seg1_N*Seg1_kWh+C17*Seg2_N*Seg2_kWh+D17*Seg3_N*Seg3_kWh+E17*Seg4_N*Seg4_kWh+F17*Seg5_N*Seg5_kWh)/(Seg1_N*Seg1_kWh+Seg2_N*Seg2_kWh+Seg3_N*Seg3_kWh+Seg4_N*Seg4_kWh+Seg5_N*Seg5_kWh),0)</f>
        <v>0.0606558661290587</v>
      </c>
      <c r="H17" s="42" t="n">
        <f aca="false">IF(OR(A17&lt;Sunrise,A17&gt;=Sunset),1,0)</f>
        <v>0</v>
      </c>
    </row>
    <row r="18" customFormat="false" ht="15" hidden="false" customHeight="false" outlineLevel="0" collapsed="false">
      <c r="A18" s="40" t="n">
        <v>10</v>
      </c>
      <c r="B18" s="13" t="n">
        <v>0.0227</v>
      </c>
      <c r="C18" s="13" t="n">
        <v>0.1038</v>
      </c>
      <c r="D18" s="13" t="n">
        <v>0.0577</v>
      </c>
      <c r="E18" s="13" t="n">
        <v>0.0833</v>
      </c>
      <c r="F18" s="13" t="n">
        <v>0.0417</v>
      </c>
      <c r="G18" s="41" t="n">
        <f aca="false">IFERROR((B18*Seg1_N*Seg1_kWh+C18*Seg2_N*Seg2_kWh+D18*Seg3_N*Seg3_kWh+E18*Seg4_N*Seg4_kWh+F18*Seg5_N*Seg5_kWh)/(Seg1_N*Seg1_kWh+Seg2_N*Seg2_kWh+Seg3_N*Seg3_kWh+Seg4_N*Seg4_kWh+Seg5_N*Seg5_kWh),0)</f>
        <v>0.0606558661290587</v>
      </c>
      <c r="H18" s="42" t="n">
        <f aca="false">IF(OR(A18&lt;Sunrise,A18&gt;=Sunset),1,0)</f>
        <v>0</v>
      </c>
    </row>
    <row r="19" customFormat="false" ht="15" hidden="false" customHeight="false" outlineLevel="0" collapsed="false">
      <c r="A19" s="40" t="n">
        <v>11</v>
      </c>
      <c r="B19" s="13" t="n">
        <v>0.0227</v>
      </c>
      <c r="C19" s="13" t="n">
        <v>0.0943</v>
      </c>
      <c r="D19" s="13" t="n">
        <v>0.0577</v>
      </c>
      <c r="E19" s="13" t="n">
        <v>0.0741</v>
      </c>
      <c r="F19" s="13" t="n">
        <v>0.0417</v>
      </c>
      <c r="G19" s="41" t="n">
        <f aca="false">IFERROR((B19*Seg1_N*Seg1_kWh+C19*Seg2_N*Seg2_kWh+D19*Seg3_N*Seg3_kWh+E19*Seg4_N*Seg4_kWh+F19*Seg5_N*Seg5_kWh)/(Seg1_N*Seg1_kWh+Seg2_N*Seg2_kWh+Seg3_N*Seg3_kWh+Seg4_N*Seg4_kWh+Seg5_N*Seg5_kWh),0)</f>
        <v>0.0566938105968431</v>
      </c>
      <c r="H19" s="42" t="n">
        <f aca="false">IF(OR(A19&lt;Sunrise,A19&gt;=Sunset),1,0)</f>
        <v>0</v>
      </c>
    </row>
    <row r="20" customFormat="false" ht="15" hidden="false" customHeight="false" outlineLevel="0" collapsed="false">
      <c r="A20" s="40" t="n">
        <v>12</v>
      </c>
      <c r="B20" s="13" t="n">
        <v>0.0227</v>
      </c>
      <c r="C20" s="13" t="n">
        <v>0.0755</v>
      </c>
      <c r="D20" s="13" t="n">
        <v>0.0577</v>
      </c>
      <c r="E20" s="13" t="n">
        <v>0.0741</v>
      </c>
      <c r="F20" s="13" t="n">
        <v>0.0417</v>
      </c>
      <c r="G20" s="41" t="n">
        <f aca="false">IFERROR((B20*Seg1_N*Seg1_kWh+C20*Seg2_N*Seg2_kWh+D20*Seg3_N*Seg3_kWh+E20*Seg4_N*Seg4_kWh+F20*Seg5_N*Seg5_kWh)/(Seg1_N*Seg1_kWh+Seg2_N*Seg2_kWh+Seg3_N*Seg3_kWh+Seg4_N*Seg4_kWh+Seg5_N*Seg5_kWh),0)</f>
        <v>0.0507156524680682</v>
      </c>
      <c r="H20" s="42" t="n">
        <f aca="false">IF(OR(A20&lt;Sunrise,A20&gt;=Sunset),1,0)</f>
        <v>0</v>
      </c>
    </row>
    <row r="21" customFormat="false" ht="15" hidden="false" customHeight="false" outlineLevel="0" collapsed="false">
      <c r="A21" s="40" t="n">
        <v>13</v>
      </c>
      <c r="B21" s="13" t="n">
        <v>0.0227</v>
      </c>
      <c r="C21" s="13" t="n">
        <v>0.0849</v>
      </c>
      <c r="D21" s="13" t="n">
        <v>0.0577</v>
      </c>
      <c r="E21" s="13" t="n">
        <v>0.0741</v>
      </c>
      <c r="F21" s="13" t="n">
        <v>0.0417</v>
      </c>
      <c r="G21" s="41" t="n">
        <f aca="false">IFERROR((B21*Seg1_N*Seg1_kWh+C21*Seg2_N*Seg2_kWh+D21*Seg3_N*Seg3_kWh+E21*Seg4_N*Seg4_kWh+F21*Seg5_N*Seg5_kWh)/(Seg1_N*Seg1_kWh+Seg2_N*Seg2_kWh+Seg3_N*Seg3_kWh+Seg4_N*Seg4_kWh+Seg5_N*Seg5_kWh),0)</f>
        <v>0.0537047315324556</v>
      </c>
      <c r="H21" s="42" t="n">
        <f aca="false">IF(OR(A21&lt;Sunrise,A21&gt;=Sunset),1,0)</f>
        <v>0</v>
      </c>
    </row>
    <row r="22" customFormat="false" ht="15" hidden="false" customHeight="false" outlineLevel="0" collapsed="false">
      <c r="A22" s="40" t="n">
        <v>14</v>
      </c>
      <c r="B22" s="13" t="n">
        <v>0.0227</v>
      </c>
      <c r="C22" s="13" t="n">
        <v>0.0943</v>
      </c>
      <c r="D22" s="13" t="n">
        <v>0.0577</v>
      </c>
      <c r="E22" s="13" t="n">
        <v>0.0741</v>
      </c>
      <c r="F22" s="13" t="n">
        <v>0.0417</v>
      </c>
      <c r="G22" s="41" t="n">
        <f aca="false">IFERROR((B22*Seg1_N*Seg1_kWh+C22*Seg2_N*Seg2_kWh+D22*Seg3_N*Seg3_kWh+E22*Seg4_N*Seg4_kWh+F22*Seg5_N*Seg5_kWh)/(Seg1_N*Seg1_kWh+Seg2_N*Seg2_kWh+Seg3_N*Seg3_kWh+Seg4_N*Seg4_kWh+Seg5_N*Seg5_kWh),0)</f>
        <v>0.0566938105968431</v>
      </c>
      <c r="H22" s="42" t="n">
        <f aca="false">IF(OR(A22&lt;Sunrise,A22&gt;=Sunset),1,0)</f>
        <v>0</v>
      </c>
    </row>
    <row r="23" customFormat="false" ht="15" hidden="false" customHeight="false" outlineLevel="0" collapsed="false">
      <c r="A23" s="40" t="n">
        <v>15</v>
      </c>
      <c r="B23" s="13" t="n">
        <v>0.0227</v>
      </c>
      <c r="C23" s="13" t="n">
        <v>0.0849</v>
      </c>
      <c r="D23" s="13" t="n">
        <v>0.0577</v>
      </c>
      <c r="E23" s="13" t="n">
        <v>0.0648</v>
      </c>
      <c r="F23" s="13" t="n">
        <v>0.0417</v>
      </c>
      <c r="G23" s="41" t="n">
        <f aca="false">IFERROR((B23*Seg1_N*Seg1_kWh+C23*Seg2_N*Seg2_kWh+D23*Seg3_N*Seg3_kWh+E23*Seg4_N*Seg4_kWh+F23*Seg5_N*Seg5_kWh)/(Seg1_N*Seg1_kWh+Seg2_N*Seg2_kWh+Seg3_N*Seg3_kWh+Seg4_N*Seg4_kWh+Seg5_N*Seg5_kWh),0)</f>
        <v>0.0527533235850961</v>
      </c>
      <c r="H23" s="42" t="n">
        <f aca="false">IF(OR(A23&lt;Sunrise,A23&gt;=Sunset),1,0)</f>
        <v>0</v>
      </c>
    </row>
    <row r="24" customFormat="false" ht="15" hidden="false" customHeight="false" outlineLevel="0" collapsed="false">
      <c r="A24" s="40" t="n">
        <v>16</v>
      </c>
      <c r="B24" s="13" t="n">
        <v>0.0341</v>
      </c>
      <c r="C24" s="13" t="n">
        <v>0.0566</v>
      </c>
      <c r="D24" s="13" t="n">
        <v>0.0577</v>
      </c>
      <c r="E24" s="13" t="n">
        <v>0.037</v>
      </c>
      <c r="F24" s="13" t="n">
        <v>0.0417</v>
      </c>
      <c r="G24" s="41" t="n">
        <f aca="false">IFERROR((B24*Seg1_N*Seg1_kWh+C24*Seg2_N*Seg2_kWh+D24*Seg3_N*Seg3_kWh+E24*Seg4_N*Seg4_kWh+F24*Seg5_N*Seg5_kWh)/(Seg1_N*Seg1_kWh+Seg2_N*Seg2_kWh+Seg3_N*Seg3_kWh+Seg4_N*Seg4_kWh+Seg5_N*Seg5_kWh),0)</f>
        <v>0.0455752620293429</v>
      </c>
      <c r="H24" s="42" t="n">
        <f aca="false">IF(OR(A24&lt;Sunrise,A24&gt;=Sunset),1,0)</f>
        <v>0</v>
      </c>
    </row>
    <row r="25" customFormat="false" ht="15" hidden="false" customHeight="false" outlineLevel="0" collapsed="false">
      <c r="A25" s="40" t="n">
        <v>17</v>
      </c>
      <c r="B25" s="13" t="n">
        <v>0.0568</v>
      </c>
      <c r="C25" s="13" t="n">
        <v>0.0283</v>
      </c>
      <c r="D25" s="13" t="n">
        <v>0.0673</v>
      </c>
      <c r="E25" s="13" t="n">
        <v>0.0278</v>
      </c>
      <c r="F25" s="13" t="n">
        <v>0.0417</v>
      </c>
      <c r="G25" s="41" t="n">
        <f aca="false">IFERROR((B25*Seg1_N*Seg1_kWh+C25*Seg2_N*Seg2_kWh+D25*Seg3_N*Seg3_kWh+E25*Seg4_N*Seg4_kWh+F25*Seg5_N*Seg5_kWh)/(Seg1_N*Seg1_kWh+Seg2_N*Seg2_kWh+Seg3_N*Seg3_kWh+Seg4_N*Seg4_kWh+Seg5_N*Seg5_kWh),0)</f>
        <v>0.0465608944735134</v>
      </c>
      <c r="H25" s="42" t="n">
        <f aca="false">IF(OR(A25&lt;Sunrise,A25&gt;=Sunset),1,0)</f>
        <v>0</v>
      </c>
    </row>
    <row r="26" customFormat="false" ht="15" hidden="false" customHeight="false" outlineLevel="0" collapsed="false">
      <c r="A26" s="40" t="n">
        <v>18</v>
      </c>
      <c r="B26" s="13" t="n">
        <v>0.1136</v>
      </c>
      <c r="C26" s="13" t="n">
        <v>0.0189</v>
      </c>
      <c r="D26" s="13" t="n">
        <v>0.0769</v>
      </c>
      <c r="E26" s="13" t="n">
        <v>0.0278</v>
      </c>
      <c r="F26" s="13" t="n">
        <v>0.0417</v>
      </c>
      <c r="G26" s="41" t="n">
        <f aca="false">IFERROR((B26*Seg1_N*Seg1_kWh+C26*Seg2_N*Seg2_kWh+D26*Seg3_N*Seg3_kWh+E26*Seg4_N*Seg4_kWh+F26*Seg5_N*Seg5_kWh)/(Seg1_N*Seg1_kWh+Seg2_N*Seg2_kWh+Seg3_N*Seg3_kWh+Seg4_N*Seg4_kWh+Seg5_N*Seg5_kWh),0)</f>
        <v>0.0684516447422264</v>
      </c>
      <c r="H26" s="42" t="n">
        <f aca="false">IF(OR(A26&lt;Sunrise,A26&gt;=Sunset),1,0)</f>
        <v>1</v>
      </c>
    </row>
    <row r="27" customFormat="false" ht="15" hidden="false" customHeight="false" outlineLevel="0" collapsed="false">
      <c r="A27" s="40" t="n">
        <v>19</v>
      </c>
      <c r="B27" s="13" t="n">
        <v>0.1364</v>
      </c>
      <c r="C27" s="13" t="n">
        <v>0.0094</v>
      </c>
      <c r="D27" s="13" t="n">
        <v>0.0769</v>
      </c>
      <c r="E27" s="13" t="n">
        <v>0.0278</v>
      </c>
      <c r="F27" s="13" t="n">
        <v>0.0417</v>
      </c>
      <c r="G27" s="41" t="n">
        <f aca="false">IFERROR((B27*Seg1_N*Seg1_kWh+C27*Seg2_N*Seg2_kWh+D27*Seg3_N*Seg3_kWh+E27*Seg4_N*Seg4_kWh+F27*Seg5_N*Seg5_kWh)/(Seg1_N*Seg1_kWh+Seg2_N*Seg2_kWh+Seg3_N*Seg3_kWh+Seg4_N*Seg4_kWh+Seg5_N*Seg5_kWh),0)</f>
        <v>0.0747607029643007</v>
      </c>
      <c r="H27" s="42" t="n">
        <f aca="false">IF(OR(A27&lt;Sunrise,A27&gt;=Sunset),1,0)</f>
        <v>1</v>
      </c>
    </row>
    <row r="28" customFormat="false" ht="15" hidden="false" customHeight="false" outlineLevel="0" collapsed="false">
      <c r="A28" s="40" t="n">
        <v>20</v>
      </c>
      <c r="B28" s="13" t="n">
        <v>0.125</v>
      </c>
      <c r="C28" s="13" t="n">
        <v>0.0094</v>
      </c>
      <c r="D28" s="13" t="n">
        <v>0.0673</v>
      </c>
      <c r="E28" s="13" t="n">
        <v>0.0185</v>
      </c>
      <c r="F28" s="13" t="n">
        <v>0.0417</v>
      </c>
      <c r="G28" s="41" t="n">
        <f aca="false">IFERROR((B28*Seg1_N*Seg1_kWh+C28*Seg2_N*Seg2_kWh+D28*Seg3_N*Seg3_kWh+E28*Seg4_N*Seg4_kWh+F28*Seg5_N*Seg5_kWh)/(Seg1_N*Seg1_kWh+Seg2_N*Seg2_kWh+Seg3_N*Seg3_kWh+Seg4_N*Seg4_kWh+Seg5_N*Seg5_kWh),0)</f>
        <v>0.0675074961398072</v>
      </c>
      <c r="H28" s="42" t="n">
        <f aca="false">IF(OR(A28&lt;Sunrise,A28&gt;=Sunset),1,0)</f>
        <v>1</v>
      </c>
    </row>
    <row r="29" customFormat="false" ht="15" hidden="false" customHeight="false" outlineLevel="0" collapsed="false">
      <c r="A29" s="40" t="n">
        <v>21</v>
      </c>
      <c r="B29" s="13" t="n">
        <v>0.0909</v>
      </c>
      <c r="C29" s="13" t="n">
        <v>0.0047</v>
      </c>
      <c r="D29" s="13" t="n">
        <v>0.0481</v>
      </c>
      <c r="E29" s="13" t="n">
        <v>0.0185</v>
      </c>
      <c r="F29" s="13" t="n">
        <v>0.0417</v>
      </c>
      <c r="G29" s="41" t="n">
        <f aca="false">IFERROR((B29*Seg1_N*Seg1_kWh+C29*Seg2_N*Seg2_kWh+D29*Seg3_N*Seg3_kWh+E29*Seg4_N*Seg4_kWh+F29*Seg5_N*Seg5_kWh)/(Seg1_N*Seg1_kWh+Seg2_N*Seg2_kWh+Seg3_N*Seg3_kWh+Seg4_N*Seg4_kWh+Seg5_N*Seg5_kWh),0)</f>
        <v>0.0487853116253185</v>
      </c>
      <c r="H29" s="42" t="n">
        <f aca="false">IF(OR(A29&lt;Sunrise,A29&gt;=Sunset),1,0)</f>
        <v>1</v>
      </c>
    </row>
    <row r="30" customFormat="false" ht="15" hidden="false" customHeight="false" outlineLevel="0" collapsed="false">
      <c r="A30" s="40" t="n">
        <v>22</v>
      </c>
      <c r="B30" s="13" t="n">
        <v>0.0568</v>
      </c>
      <c r="C30" s="13" t="n">
        <v>0.0047</v>
      </c>
      <c r="D30" s="13" t="n">
        <v>0.0288</v>
      </c>
      <c r="E30" s="13" t="n">
        <v>0.0185</v>
      </c>
      <c r="F30" s="13" t="n">
        <v>0.0417</v>
      </c>
      <c r="G30" s="41" t="n">
        <f aca="false">IFERROR((B30*Seg1_N*Seg1_kWh+C30*Seg2_N*Seg2_kWh+D30*Seg3_N*Seg3_kWh+E30*Seg4_N*Seg4_kWh+F30*Seg5_N*Seg5_kWh)/(Seg1_N*Seg1_kWh+Seg2_N*Seg2_kWh+Seg3_N*Seg3_kWh+Seg4_N*Seg4_kWh+Seg5_N*Seg5_kWh),0)</f>
        <v>0.0315406163213863</v>
      </c>
      <c r="H30" s="42" t="n">
        <f aca="false">IF(OR(A30&lt;Sunrise,A30&gt;=Sunset),1,0)</f>
        <v>1</v>
      </c>
    </row>
    <row r="31" customFormat="false" ht="15" hidden="false" customHeight="false" outlineLevel="0" collapsed="false">
      <c r="A31" s="40" t="n">
        <v>23</v>
      </c>
      <c r="B31" s="13" t="n">
        <v>0.0227</v>
      </c>
      <c r="C31" s="13" t="n">
        <v>0.005</v>
      </c>
      <c r="D31" s="13" t="n">
        <v>0.0194</v>
      </c>
      <c r="E31" s="13" t="n">
        <v>0.0186</v>
      </c>
      <c r="F31" s="13" t="n">
        <v>0.0409</v>
      </c>
      <c r="G31" s="41" t="n">
        <f aca="false">IFERROR((B31*Seg1_N*Seg1_kWh+C31*Seg2_N*Seg2_kWh+D31*Seg3_N*Seg3_kWh+E31*Seg4_N*Seg4_kWh+F31*Seg5_N*Seg5_kWh)/(Seg1_N*Seg1_kWh+Seg2_N*Seg2_kWh+Seg3_N*Seg3_kWh+Seg4_N*Seg4_kWh+Seg5_N*Seg5_kWh),0)</f>
        <v>0.0160895291928787</v>
      </c>
      <c r="H31" s="42" t="n">
        <f aca="false">IF(OR(A31&lt;Sunrise,A31&gt;=Sunset),1,0)</f>
        <v>1</v>
      </c>
    </row>
    <row r="32" customFormat="false" ht="15" hidden="false" customHeight="false" outlineLevel="0" collapsed="false">
      <c r="A32" s="15" t="s">
        <v>207</v>
      </c>
      <c r="B32" s="41" t="n">
        <f aca="false">SUM(B8:B31)</f>
        <v>1</v>
      </c>
      <c r="C32" s="41" t="n">
        <f aca="false">SUM(C8:C31)</f>
        <v>1</v>
      </c>
      <c r="D32" s="41" t="n">
        <f aca="false">SUM(D8:D31)</f>
        <v>1</v>
      </c>
      <c r="E32" s="41" t="n">
        <f aca="false">SUM(E8:E31)</f>
        <v>1</v>
      </c>
      <c r="F32" s="41" t="n">
        <f aca="false">SUM(F8:F31)</f>
        <v>1</v>
      </c>
      <c r="G32" s="41" t="n">
        <f aca="false">SUM(G8:G31)</f>
        <v>1</v>
      </c>
    </row>
    <row r="34" customFormat="false" ht="15" hidden="false" customHeight="false" outlineLevel="0" collapsed="false">
      <c r="A34" s="15" t="s">
        <v>208</v>
      </c>
      <c r="D34" s="41" t="n">
        <f aca="false">SUMPRODUCT(G8:G31,H8:H31)</f>
        <v>0.371387432412525</v>
      </c>
    </row>
    <row r="35" customFormat="false" ht="15" hidden="false" customHeight="false" outlineLevel="0" collapsed="false">
      <c r="A35" s="15" t="s">
        <v>209</v>
      </c>
      <c r="D35" s="17" t="n">
        <f aca="false">MAX(G8:G31)*24</f>
        <v>1.79425687114322</v>
      </c>
    </row>
    <row r="36" customFormat="false" ht="15" hidden="false" customHeight="false" outlineLevel="0" collapsed="false">
      <c r="A36" s="15" t="s">
        <v>210</v>
      </c>
      <c r="D36" s="43" t="str">
        <f aca="false">IF(SUMPRODUCT(ABS(B32:F32-1)*(B32:F32&gt;0))&lt;0.001,"OK","À VÉRIFIER")</f>
        <v>OK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5" min="2" style="0" width="12"/>
    <col collapsed="false" customWidth="true" hidden="false" outlineLevel="0" max="6" min="6" style="0" width="14"/>
    <col collapsed="false" customWidth="true" hidden="false" outlineLevel="0" max="7" min="7" style="0" width="16"/>
  </cols>
  <sheetData>
    <row r="1" customFormat="false" ht="19.7" hidden="false" customHeight="false" outlineLevel="0" collapsed="false">
      <c r="A1" s="6" t="s">
        <v>211</v>
      </c>
    </row>
    <row r="2" customFormat="false" ht="15" hidden="false" customHeight="false" outlineLevel="0" collapsed="false">
      <c r="A2" s="7" t="s">
        <v>212</v>
      </c>
    </row>
    <row r="4" customFormat="false" ht="15" hidden="false" customHeight="false" outlineLevel="0" collapsed="false">
      <c r="A4" s="39" t="s">
        <v>213</v>
      </c>
      <c r="B4" s="39" t="s">
        <v>214</v>
      </c>
      <c r="C4" s="39" t="s">
        <v>215</v>
      </c>
      <c r="D4" s="39" t="s">
        <v>216</v>
      </c>
      <c r="E4" s="39" t="s">
        <v>217</v>
      </c>
      <c r="F4" s="39" t="s">
        <v>218</v>
      </c>
      <c r="G4" s="39" t="s">
        <v>219</v>
      </c>
    </row>
    <row r="5" customFormat="false" ht="15" hidden="false" customHeight="false" outlineLevel="0" collapsed="false">
      <c r="A5" s="18" t="s">
        <v>220</v>
      </c>
      <c r="B5" s="19" t="n">
        <v>8</v>
      </c>
      <c r="C5" s="20" t="n">
        <v>7.5</v>
      </c>
      <c r="D5" s="20" t="n">
        <v>4</v>
      </c>
      <c r="E5" s="19" t="n">
        <v>26</v>
      </c>
      <c r="F5" s="13" t="n">
        <v>0.7</v>
      </c>
      <c r="G5" s="36" t="n">
        <f aca="false">B5*C5*D5*E5*F5</f>
        <v>4368</v>
      </c>
    </row>
    <row r="6" customFormat="false" ht="15" hidden="false" customHeight="false" outlineLevel="0" collapsed="false">
      <c r="A6" s="18" t="s">
        <v>221</v>
      </c>
      <c r="B6" s="19" t="n">
        <v>4</v>
      </c>
      <c r="C6" s="20" t="n">
        <v>5</v>
      </c>
      <c r="D6" s="20" t="n">
        <v>3</v>
      </c>
      <c r="E6" s="19" t="n">
        <v>22</v>
      </c>
      <c r="F6" s="13" t="n">
        <v>0.5</v>
      </c>
      <c r="G6" s="36" t="n">
        <f aca="false">B6*C6*D6*E6*F6</f>
        <v>660</v>
      </c>
    </row>
    <row r="7" customFormat="false" ht="15" hidden="false" customHeight="false" outlineLevel="0" collapsed="false">
      <c r="A7" s="18" t="s">
        <v>222</v>
      </c>
      <c r="B7" s="19" t="n">
        <v>6</v>
      </c>
      <c r="C7" s="20" t="n">
        <v>1.5</v>
      </c>
      <c r="D7" s="20" t="n">
        <v>24</v>
      </c>
      <c r="E7" s="19" t="n">
        <v>30</v>
      </c>
      <c r="F7" s="13" t="n">
        <v>0.35</v>
      </c>
      <c r="G7" s="36" t="n">
        <f aca="false">B7*C7*D7*E7*F7</f>
        <v>2268</v>
      </c>
    </row>
    <row r="8" customFormat="false" ht="15" hidden="false" customHeight="false" outlineLevel="0" collapsed="false">
      <c r="A8" s="18" t="s">
        <v>223</v>
      </c>
      <c r="B8" s="19" t="n">
        <v>10</v>
      </c>
      <c r="C8" s="20" t="n">
        <v>1.1</v>
      </c>
      <c r="D8" s="20" t="n">
        <v>5</v>
      </c>
      <c r="E8" s="19" t="n">
        <v>20</v>
      </c>
      <c r="F8" s="13" t="n">
        <v>0.8</v>
      </c>
      <c r="G8" s="36" t="n">
        <f aca="false">B8*C8*D8*E8*F8</f>
        <v>880</v>
      </c>
    </row>
    <row r="9" customFormat="false" ht="15" hidden="false" customHeight="false" outlineLevel="0" collapsed="false">
      <c r="A9" s="18" t="s">
        <v>224</v>
      </c>
      <c r="B9" s="19" t="n">
        <v>12</v>
      </c>
      <c r="C9" s="20" t="n">
        <v>0.3</v>
      </c>
      <c r="D9" s="20" t="n">
        <v>6</v>
      </c>
      <c r="E9" s="19" t="n">
        <v>26</v>
      </c>
      <c r="F9" s="13" t="n">
        <v>0.6</v>
      </c>
      <c r="G9" s="36" t="n">
        <f aca="false">B9*C9*D9*E9*F9</f>
        <v>336.96</v>
      </c>
    </row>
    <row r="10" customFormat="false" ht="15" hidden="false" customHeight="false" outlineLevel="0" collapsed="false">
      <c r="A10" s="18" t="s">
        <v>225</v>
      </c>
      <c r="B10" s="19" t="n">
        <v>10</v>
      </c>
      <c r="C10" s="20" t="n">
        <v>1</v>
      </c>
      <c r="D10" s="20" t="n">
        <v>4</v>
      </c>
      <c r="E10" s="19" t="n">
        <v>26</v>
      </c>
      <c r="F10" s="13" t="n">
        <v>0.4</v>
      </c>
      <c r="G10" s="36" t="n">
        <f aca="false">B10*C10*D10*E10*F10</f>
        <v>416</v>
      </c>
    </row>
    <row r="11" customFormat="false" ht="15" hidden="false" customHeight="false" outlineLevel="0" collapsed="false">
      <c r="A11" s="18" t="s">
        <v>226</v>
      </c>
      <c r="B11" s="19" t="n">
        <v>3</v>
      </c>
      <c r="C11" s="20" t="n">
        <v>3</v>
      </c>
      <c r="D11" s="20" t="n">
        <v>4</v>
      </c>
      <c r="E11" s="19" t="n">
        <v>22</v>
      </c>
      <c r="F11" s="13" t="n">
        <v>0.5</v>
      </c>
      <c r="G11" s="36" t="n">
        <f aca="false">B11*C11*D11*E11*F11</f>
        <v>396</v>
      </c>
    </row>
    <row r="12" customFormat="false" ht="15" hidden="false" customHeight="false" outlineLevel="0" collapsed="false">
      <c r="A12" s="18"/>
      <c r="B12" s="19" t="n">
        <v>0</v>
      </c>
      <c r="C12" s="20" t="n">
        <v>0</v>
      </c>
      <c r="D12" s="20" t="n">
        <v>0</v>
      </c>
      <c r="E12" s="19" t="n">
        <v>0</v>
      </c>
      <c r="F12" s="13" t="n">
        <v>0</v>
      </c>
      <c r="G12" s="36" t="n">
        <f aca="false">B12*C12*D12*E12*F12</f>
        <v>0</v>
      </c>
    </row>
    <row r="13" customFormat="false" ht="15" hidden="false" customHeight="false" outlineLevel="0" collapsed="false">
      <c r="A13" s="18"/>
      <c r="B13" s="19" t="n">
        <v>0</v>
      </c>
      <c r="C13" s="20" t="n">
        <v>0</v>
      </c>
      <c r="D13" s="20" t="n">
        <v>0</v>
      </c>
      <c r="E13" s="19" t="n">
        <v>0</v>
      </c>
      <c r="F13" s="13" t="n">
        <v>0</v>
      </c>
      <c r="G13" s="36" t="n">
        <f aca="false">B13*C13*D13*E13*F13</f>
        <v>0</v>
      </c>
    </row>
    <row r="14" customFormat="false" ht="15" hidden="false" customHeight="false" outlineLevel="0" collapsed="false">
      <c r="A14" s="15" t="s">
        <v>227</v>
      </c>
      <c r="G14" s="36" t="n">
        <f aca="false">SUM(G5:G13)</f>
        <v>9324.96</v>
      </c>
    </row>
    <row r="15" customFormat="false" ht="15" hidden="false" customHeight="false" outlineLevel="0" collapsed="false">
      <c r="A15" s="10" t="s">
        <v>228</v>
      </c>
      <c r="G15" s="44" t="n">
        <f aca="false">Seg2_N</f>
        <v>60</v>
      </c>
    </row>
    <row r="16" customFormat="false" ht="15" hidden="false" customHeight="false" outlineLevel="0" collapsed="false">
      <c r="A16" s="15" t="s">
        <v>229</v>
      </c>
      <c r="G16" s="22" t="n">
        <f aca="false">IFERROR(PUE_Total/Seg2_N,0)</f>
        <v>155.416</v>
      </c>
    </row>
    <row r="17" customFormat="false" ht="15" hidden="false" customHeight="false" outlineLevel="0" collapsed="false">
      <c r="A17" s="10" t="s">
        <v>230</v>
      </c>
      <c r="G17" s="24" t="n">
        <f aca="false">IFERROR(Seg2_N*Seg2_kWh*12*Ramp3*(1+DemandGrowth)^2/DesignEnergy,0)</f>
        <v>0.317987134509305</v>
      </c>
    </row>
    <row r="19" customFormat="false" ht="15" hidden="false" customHeight="false" outlineLevel="0" collapsed="false">
      <c r="A19" s="7" t="s">
        <v>231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3" min="3" style="0" width="28"/>
    <col collapsed="false" customWidth="true" hidden="false" outlineLevel="0" max="4" min="4" style="0" width="2"/>
    <col collapsed="false" customWidth="true" hidden="false" outlineLevel="0" max="5" min="5" style="0" width="42"/>
    <col collapsed="false" customWidth="true" hidden="false" outlineLevel="0" max="6" min="6" style="0" width="16"/>
    <col collapsed="false" customWidth="true" hidden="false" outlineLevel="0" max="7" min="7" style="0" width="2"/>
    <col collapsed="false" customWidth="true" hidden="false" outlineLevel="0" max="14" min="8" style="0" width="12"/>
  </cols>
  <sheetData>
    <row r="1" customFormat="false" ht="19.7" hidden="false" customHeight="false" outlineLevel="0" collapsed="false">
      <c r="B1" s="6" t="str">
        <f aca="false">"TABLEAU DE BORD - "&amp;ProjectName</f>
        <v>TABLEAU DE BORD - Mini-réseau villageois (exemple)</v>
      </c>
    </row>
    <row r="2" customFormat="false" ht="15" hidden="false" customHeight="false" outlineLevel="0" collapsed="false">
      <c r="B2" s="45" t="str">
        <f aca="false">Site&amp;"  |  "&amp;FIXED(TotalCustomers,0)&amp;" clients  |  "&amp;FIXED(PV_kWp,0)&amp;" kWc PV / "&amp;FIXED(BESS_kWh,0)&amp;" kWh batterie / "&amp;FIXED(Diesel_kW,0)&amp;" kW diesel  |  scénario : "&amp;ScenarioName&amp;"  |  "&amp;Currency</f>
        <v>Site exemple  |  970 clients  |  293 kWc PV / 540 kWh batterie / 87 kW diesel  |  scénario : Base  |  USD</v>
      </c>
    </row>
    <row r="3" customFormat="false" ht="15" hidden="false" customHeight="false" outlineLevel="0" collapsed="false">
      <c r="E3" s="45" t="str">
        <f aca="false">"Contrôles du modèle : "&amp;ChecksOverall</f>
        <v>Contrôles du modèle : TOUT OK</v>
      </c>
    </row>
    <row r="4" customFormat="false" ht="15" hidden="false" customHeight="false" outlineLevel="0" collapsed="false">
      <c r="H4" s="7" t="s">
        <v>232</v>
      </c>
    </row>
    <row r="5" customFormat="false" ht="15" hidden="false" customHeight="false" outlineLevel="0" collapsed="false">
      <c r="B5" s="8" t="s">
        <v>233</v>
      </c>
      <c r="C5" s="9"/>
      <c r="E5" s="8" t="s">
        <v>234</v>
      </c>
      <c r="F5" s="9"/>
      <c r="H5" s="45" t="s">
        <v>235</v>
      </c>
      <c r="I5" s="45" t="s">
        <v>236</v>
      </c>
      <c r="J5" s="45" t="s">
        <v>68</v>
      </c>
      <c r="K5" s="45" t="s">
        <v>237</v>
      </c>
      <c r="L5" s="45" t="s">
        <v>238</v>
      </c>
      <c r="M5" s="45" t="s">
        <v>239</v>
      </c>
      <c r="N5" s="45" t="s">
        <v>240</v>
      </c>
    </row>
    <row r="6" customFormat="false" ht="15" hidden="false" customHeight="false" outlineLevel="0" collapsed="false">
      <c r="B6" s="46" t="s">
        <v>241</v>
      </c>
      <c r="C6" s="47" t="n">
        <f aca="false">'Flux de trésorerie'!$B$14</f>
        <v>1153010.25515137</v>
      </c>
      <c r="E6" s="46" t="s">
        <v>242</v>
      </c>
      <c r="F6" s="47" t="n">
        <f aca="false">Grant</f>
        <v>600000</v>
      </c>
      <c r="H6" s="48" t="n">
        <f aca="false">'Flux de trésorerie'!D40</f>
        <v>2027</v>
      </c>
      <c r="I6" s="49" t="n">
        <f aca="false">'Flux de trésorerie'!D85</f>
        <v>80517.387264</v>
      </c>
      <c r="J6" s="49" t="n">
        <f aca="false">'Flux de trésorerie'!D96</f>
        <v>68563.0673321452</v>
      </c>
      <c r="K6" s="49" t="n">
        <f aca="false">'Flux de trésorerie'!D147</f>
        <v>142416.390218767</v>
      </c>
      <c r="L6" s="49" t="n">
        <f aca="false">'Flux de trésorerie'!D125</f>
        <v>14378.2666339355</v>
      </c>
      <c r="M6" s="49" t="n">
        <f aca="false">'Flux de trésorerie'!D71</f>
        <v>215938.341818182</v>
      </c>
      <c r="N6" s="49" t="n">
        <f aca="false">'Flux de trésorerie'!D72</f>
        <v>23993.1490909091</v>
      </c>
    </row>
    <row r="7" customFormat="false" ht="15" hidden="false" customHeight="false" outlineLevel="0" collapsed="false">
      <c r="B7" s="46" t="s">
        <v>243</v>
      </c>
      <c r="C7" s="47" t="n">
        <f aca="false">IFERROR(TotalCapex/TotalCustomers,0)</f>
        <v>1188.67036613543</v>
      </c>
      <c r="E7" s="46" t="s">
        <v>244</v>
      </c>
      <c r="F7" s="47" t="n">
        <f aca="false">'Flux de trésorerie'!$B$108</f>
        <v>252000</v>
      </c>
      <c r="H7" s="48" t="n">
        <f aca="false">'Flux de trésorerie'!E40</f>
        <v>2028</v>
      </c>
      <c r="I7" s="49" t="n">
        <f aca="false">'Flux de trésorerie'!E85</f>
        <v>113517.638710202</v>
      </c>
      <c r="J7" s="49" t="n">
        <f aca="false">'Flux de trésorerie'!E96</f>
        <v>76416.8660124017</v>
      </c>
      <c r="K7" s="49" t="n">
        <f aca="false">'Flux de trésorerie'!E147</f>
        <v>79362.8429847122</v>
      </c>
      <c r="L7" s="49" t="n">
        <f aca="false">'Flux de trésorerie'!E125</f>
        <v>14378.2666339355</v>
      </c>
      <c r="M7" s="49" t="n">
        <f aca="false">'Flux de trésorerie'!E71</f>
        <v>315090.030436364</v>
      </c>
      <c r="N7" s="49" t="n">
        <f aca="false">'Flux de trésorerie'!E72</f>
        <v>35010.0033818182</v>
      </c>
    </row>
    <row r="8" customFormat="false" ht="15" hidden="false" customHeight="false" outlineLevel="0" collapsed="false">
      <c r="B8" s="46" t="s">
        <v>245</v>
      </c>
      <c r="C8" s="50" t="n">
        <f aca="false">'Flux de trésorerie'!$B$22</f>
        <v>-0.035930891794335</v>
      </c>
      <c r="E8" s="46" t="s">
        <v>246</v>
      </c>
      <c r="F8" s="47" t="n">
        <f aca="false">'Flux de trésorerie'!$B$16</f>
        <v>110602.051030273</v>
      </c>
      <c r="H8" s="48" t="n">
        <f aca="false">'Flux de trésorerie'!F40</f>
        <v>2029</v>
      </c>
      <c r="I8" s="49" t="n">
        <f aca="false">'Flux de trésorerie'!F85</f>
        <v>139820.029891356</v>
      </c>
      <c r="J8" s="49" t="n">
        <f aca="false">'Flux de trésorerie'!F96</f>
        <v>82778.3949290086</v>
      </c>
      <c r="K8" s="49" t="n">
        <f aca="false">'Flux de trésorerie'!F147</f>
        <v>74103.7052492601</v>
      </c>
      <c r="L8" s="49" t="n">
        <f aca="false">'Flux de trésorerie'!F125</f>
        <v>24049.7543280371</v>
      </c>
      <c r="M8" s="49" t="n">
        <f aca="false">'Flux de trésorerie'!F71</f>
        <v>381814.978058182</v>
      </c>
      <c r="N8" s="49" t="n">
        <f aca="false">'Flux de trésorerie'!F72</f>
        <v>42423.8864509091</v>
      </c>
    </row>
    <row r="9" customFormat="false" ht="15" hidden="false" customHeight="false" outlineLevel="0" collapsed="false">
      <c r="B9" s="46" t="s">
        <v>247</v>
      </c>
      <c r="C9" s="50" t="n">
        <f aca="false">'Flux de trésorerie'!$B$23</f>
        <v>0.109727758924095</v>
      </c>
      <c r="E9" s="46" t="s">
        <v>248</v>
      </c>
      <c r="F9" s="47" t="n">
        <f aca="false">'Flux de trésorerie'!$B$17</f>
        <v>110602.051030273</v>
      </c>
      <c r="H9" s="48" t="n">
        <f aca="false">'Flux de trésorerie'!G40</f>
        <v>2030</v>
      </c>
      <c r="I9" s="49" t="n">
        <f aca="false">'Flux de trésorerie'!G85</f>
        <v>146505.01721174</v>
      </c>
      <c r="J9" s="49" t="n">
        <f aca="false">'Flux de trésorerie'!G96</f>
        <v>85934.4730371791</v>
      </c>
      <c r="K9" s="49" t="n">
        <f aca="false">'Flux de trésorerie'!G147</f>
        <v>39832.6144614731</v>
      </c>
      <c r="L9" s="49" t="n">
        <f aca="false">'Flux de trésorerie'!G125</f>
        <v>24049.7543280371</v>
      </c>
      <c r="M9" s="49" t="n">
        <f aca="false">'Flux de trésorerie'!G71</f>
        <v>393269.427399927</v>
      </c>
      <c r="N9" s="49" t="n">
        <f aca="false">'Flux de trésorerie'!G72</f>
        <v>43696.6030444364</v>
      </c>
    </row>
    <row r="10" customFormat="false" ht="15" hidden="false" customHeight="false" outlineLevel="0" collapsed="false">
      <c r="B10" s="46" t="s">
        <v>249</v>
      </c>
      <c r="C10" s="47" t="n">
        <f aca="false">'Flux de trésorerie'!$B$20</f>
        <v>-793132.367693456</v>
      </c>
      <c r="E10" s="46" t="s">
        <v>250</v>
      </c>
      <c r="F10" s="47" t="n">
        <f aca="false">'Flux de trésorerie'!$B$18+'Flux de trésorerie'!$B$19</f>
        <v>338995.286407787</v>
      </c>
      <c r="H10" s="48" t="n">
        <f aca="false">'Flux de trésorerie'!H40</f>
        <v>2031</v>
      </c>
      <c r="I10" s="49" t="n">
        <f aca="false">'Flux de trésorerie'!H85</f>
        <v>155427.172759935</v>
      </c>
      <c r="J10" s="49" t="n">
        <f aca="false">'Flux de trésorerie'!H96</f>
        <v>89282.751140097</v>
      </c>
      <c r="K10" s="49" t="n">
        <f aca="false">'Flux de trésorerie'!H147</f>
        <v>45406.4919067503</v>
      </c>
      <c r="L10" s="49" t="n">
        <f aca="false">'Flux de trésorerie'!H125</f>
        <v>24049.7543280371</v>
      </c>
      <c r="M10" s="49" t="n">
        <f aca="false">'Flux de trésorerie'!H71</f>
        <v>405067.510221925</v>
      </c>
      <c r="N10" s="49" t="n">
        <f aca="false">'Flux de trésorerie'!H72</f>
        <v>45007.5011357695</v>
      </c>
    </row>
    <row r="11" customFormat="false" ht="15" hidden="false" customHeight="false" outlineLevel="0" collapsed="false">
      <c r="B11" s="46" t="s">
        <v>251</v>
      </c>
      <c r="C11" s="47" t="n">
        <f aca="false">'Flux de trésorerie'!$B$21</f>
        <v>24787.9929376486</v>
      </c>
      <c r="E11" s="46" t="s">
        <v>252</v>
      </c>
      <c r="F11" s="51" t="n">
        <f aca="false">'Flux de trésorerie'!$B$27</f>
        <v>1.37243486578273</v>
      </c>
      <c r="H11" s="48" t="n">
        <f aca="false">'Flux de trésorerie'!I40</f>
        <v>2032</v>
      </c>
      <c r="I11" s="49" t="n">
        <f aca="false">'Flux de trésorerie'!I85</f>
        <v>164892.687581015</v>
      </c>
      <c r="J11" s="49" t="n">
        <f aca="false">'Flux de trésorerie'!I96</f>
        <v>92778.3854403312</v>
      </c>
      <c r="K11" s="49" t="n">
        <f aca="false">'Flux de trésorerie'!I147</f>
        <v>51376.372427596</v>
      </c>
      <c r="L11" s="49" t="n">
        <f aca="false">'Flux de trésorerie'!I125</f>
        <v>33697.6272709776</v>
      </c>
      <c r="M11" s="49" t="n">
        <f aca="false">'Flux de trésorerie'!I71</f>
        <v>417219.535528583</v>
      </c>
      <c r="N11" s="49" t="n">
        <f aca="false">'Flux de trésorerie'!I72</f>
        <v>46357.7261698425</v>
      </c>
    </row>
    <row r="12" customFormat="false" ht="15" hidden="false" customHeight="false" outlineLevel="0" collapsed="false">
      <c r="B12" s="46" t="s">
        <v>253</v>
      </c>
      <c r="C12" s="52" t="n">
        <f aca="false">'Flux de trésorerie'!$B$29</f>
        <v>0.659357531986456</v>
      </c>
      <c r="E12" s="46" t="s">
        <v>254</v>
      </c>
      <c r="F12" s="51" t="n">
        <f aca="false">'Flux de trésorerie'!$B$28</f>
        <v>2.9974291063687</v>
      </c>
      <c r="H12" s="48" t="n">
        <f aca="false">'Flux de trésorerie'!J40</f>
        <v>2033</v>
      </c>
      <c r="I12" s="49" t="n">
        <f aca="false">'Flux de trésorerie'!J85</f>
        <v>174934.652254699</v>
      </c>
      <c r="J12" s="49" t="n">
        <f aca="false">'Flux de trésorerie'!J96</f>
        <v>98306.79998774</v>
      </c>
      <c r="K12" s="49" t="n">
        <f aca="false">'Flux de trésorerie'!J147</f>
        <v>55889.9225538711</v>
      </c>
      <c r="L12" s="49" t="n">
        <f aca="false">'Flux de trésorerie'!J125</f>
        <v>33697.6272709776</v>
      </c>
      <c r="M12" s="49" t="n">
        <f aca="false">'Flux de trésorerie'!J71</f>
        <v>426078.172123344</v>
      </c>
      <c r="N12" s="49" t="n">
        <f aca="false">'Flux de trésorerie'!J72</f>
        <v>51406.407426034</v>
      </c>
    </row>
    <row r="13" customFormat="false" ht="15" hidden="false" customHeight="false" outlineLevel="0" collapsed="false">
      <c r="B13" s="46" t="s">
        <v>255</v>
      </c>
      <c r="C13" s="52" t="n">
        <f aca="false">'Flux de trésorerie'!$B$30</f>
        <v>0.44389628412399</v>
      </c>
      <c r="E13" s="46" t="s">
        <v>256</v>
      </c>
      <c r="F13" s="50" t="n">
        <f aca="false">'Flux de trésorerie'!$B$25</f>
        <v>0.107280413208177</v>
      </c>
      <c r="H13" s="48" t="n">
        <f aca="false">'Flux de trésorerie'!K40</f>
        <v>2034</v>
      </c>
      <c r="I13" s="49" t="n">
        <f aca="false">'Flux de trésorerie'!K85</f>
        <v>185588.17257701</v>
      </c>
      <c r="J13" s="49" t="n">
        <f aca="false">'Flux de trésorerie'!K96</f>
        <v>110120.287479688</v>
      </c>
      <c r="K13" s="49" t="n">
        <f aca="false">'Flux de trésorerie'!K147</f>
        <v>54729.9553842345</v>
      </c>
      <c r="L13" s="49" t="n">
        <f aca="false">'Flux de trésorerie'!K125</f>
        <v>33697.6272709776</v>
      </c>
      <c r="M13" s="49" t="n">
        <f aca="false">'Flux de trésorerie'!K71</f>
        <v>423947.781262727</v>
      </c>
      <c r="N13" s="49" t="n">
        <f aca="false">'Flux de trésorerie'!K72</f>
        <v>67861.3356731321</v>
      </c>
    </row>
    <row r="14" customFormat="false" ht="15" hidden="false" customHeight="false" outlineLevel="0" collapsed="false">
      <c r="B14" s="46" t="s">
        <v>257</v>
      </c>
      <c r="C14" s="52" t="n">
        <f aca="false">IFERROR('Flux de trésorerie'!D82/'Flux de trésorerie'!D66,0)</f>
        <v>0.378985546783355</v>
      </c>
      <c r="E14" s="46" t="s">
        <v>258</v>
      </c>
      <c r="F14" s="47" t="n">
        <f aca="false">'Flux de trésorerie'!$B$26</f>
        <v>-57977.7739595486</v>
      </c>
      <c r="H14" s="48" t="n">
        <f aca="false">'Flux de trésorerie'!L40</f>
        <v>2035</v>
      </c>
      <c r="I14" s="49" t="n">
        <f aca="false">'Flux de trésorerie'!L85</f>
        <v>196890.49228695</v>
      </c>
      <c r="J14" s="49" t="n">
        <f aca="false">'Flux de trésorerie'!L96</f>
        <v>122787.398794247</v>
      </c>
      <c r="K14" s="49" t="n">
        <f aca="false">'Flux de trésorerie'!L147</f>
        <v>47832.9045822438</v>
      </c>
      <c r="L14" s="49" t="n">
        <f aca="false">'Flux de trésorerie'!L125</f>
        <v>33697.6272709776</v>
      </c>
      <c r="M14" s="49" t="n">
        <f aca="false">'Flux de trésorerie'!L71</f>
        <v>421828.042356414</v>
      </c>
      <c r="N14" s="49" t="n">
        <f aca="false">'Flux de trésorerie'!L72</f>
        <v>84735.3480875215</v>
      </c>
    </row>
    <row r="15" customFormat="false" ht="15" hidden="false" customHeight="false" outlineLevel="0" collapsed="false">
      <c r="B15" s="46" t="s">
        <v>259</v>
      </c>
      <c r="C15" s="50" t="n">
        <f aca="false">'Flux de trésorerie'!D99</f>
        <v>0.148468800815146</v>
      </c>
      <c r="E15" s="46" t="s">
        <v>260</v>
      </c>
      <c r="F15" s="53" t="n">
        <f aca="false">'Flux de trésorerie'!$B$36</f>
        <v>9</v>
      </c>
      <c r="H15" s="48" t="n">
        <f aca="false">'Flux de trésorerie'!M40</f>
        <v>2036</v>
      </c>
      <c r="I15" s="49" t="n">
        <f aca="false">'Flux de trésorerie'!M85</f>
        <v>208881.123267225</v>
      </c>
      <c r="J15" s="49" t="n">
        <f aca="false">'Flux de trésorerie'!M96</f>
        <v>136363.135795926</v>
      </c>
      <c r="K15" s="49" t="n">
        <f aca="false">'Flux de trésorerie'!M147</f>
        <v>46247.7985608407</v>
      </c>
      <c r="L15" s="49" t="n">
        <f aca="false">'Flux de trésorerie'!M125</f>
        <v>33697.6272709776</v>
      </c>
      <c r="M15" s="49" t="n">
        <f aca="false">'Flux de trésorerie'!M71</f>
        <v>419718.902144632</v>
      </c>
      <c r="N15" s="49" t="n">
        <f aca="false">'Flux de trésorerie'!M72</f>
        <v>102041.390012622</v>
      </c>
    </row>
    <row r="16" customFormat="false" ht="15" hidden="false" customHeight="false" outlineLevel="0" collapsed="false">
      <c r="B16" s="46" t="s">
        <v>261</v>
      </c>
      <c r="C16" s="50" t="n">
        <f aca="false">IFERROR('Flux de trésorerie'!$B$71/'Flux de trésorerie'!$B$69,0)</f>
        <v>0.751040015457561</v>
      </c>
      <c r="E16" s="46" t="s">
        <v>262</v>
      </c>
      <c r="F16" s="47" t="n">
        <f aca="false">'Flux de trésorerie'!$B$24</f>
        <v>793132.367693456</v>
      </c>
      <c r="H16" s="48" t="n">
        <f aca="false">'Flux de trésorerie'!N40</f>
        <v>2037</v>
      </c>
      <c r="I16" s="49" t="n">
        <f aca="false">'Flux de trésorerie'!N85</f>
        <v>221601.983674199</v>
      </c>
      <c r="J16" s="49" t="n">
        <f aca="false">'Flux de trésorerie'!N96</f>
        <v>150905.915366902</v>
      </c>
      <c r="K16" s="49" t="n">
        <f aca="false">'Flux de trésorerie'!N147</f>
        <v>44425.8793968388</v>
      </c>
      <c r="L16" s="49" t="n">
        <f aca="false">'Flux de trésorerie'!N125</f>
        <v>12965.9344738486</v>
      </c>
      <c r="M16" s="49" t="n">
        <f aca="false">'Flux de trésorerie'!N71</f>
        <v>417620.307633909</v>
      </c>
      <c r="N16" s="49" t="n">
        <f aca="false">'Flux de trésorerie'!N72</f>
        <v>119792.793288062</v>
      </c>
    </row>
    <row r="17" customFormat="false" ht="15" hidden="false" customHeight="false" outlineLevel="0" collapsed="false">
      <c r="H17" s="48" t="n">
        <f aca="false">'Flux de trésorerie'!O40</f>
        <v>2038</v>
      </c>
      <c r="I17" s="49" t="n">
        <f aca="false">'Flux de trésorerie'!O85</f>
        <v>235097.544479958</v>
      </c>
      <c r="J17" s="49" t="n">
        <f aca="false">'Flux de trésorerie'!O96</f>
        <v>166477.77872046</v>
      </c>
      <c r="K17" s="49" t="n">
        <f aca="false">'Flux de trésorerie'!O147</f>
        <v>42349.5768490392</v>
      </c>
      <c r="L17" s="49" t="n">
        <f aca="false">'Flux de trésorerie'!O125</f>
        <v>12965.9344738486</v>
      </c>
      <c r="M17" s="49" t="n">
        <f aca="false">'Flux de trésorerie'!O71</f>
        <v>415532.206095739</v>
      </c>
      <c r="N17" s="49" t="n">
        <f aca="false">'Flux de trésorerie'!O72</f>
        <v>138003.287853891</v>
      </c>
    </row>
    <row r="18" customFormat="false" ht="15" hidden="false" customHeight="false" outlineLevel="0" collapsed="false">
      <c r="B18" s="8" t="s">
        <v>263</v>
      </c>
      <c r="C18" s="9"/>
      <c r="D18" s="9"/>
      <c r="E18" s="8" t="s">
        <v>264</v>
      </c>
      <c r="F18" s="9"/>
      <c r="H18" s="48" t="n">
        <f aca="false">'Flux de trésorerie'!P40</f>
        <v>2039</v>
      </c>
      <c r="I18" s="49" t="n">
        <f aca="false">'Flux de trésorerie'!P85</f>
        <v>249414.984938787</v>
      </c>
      <c r="J18" s="49" t="n">
        <f aca="false">'Flux de trésorerie'!P96</f>
        <v>183144.613486293</v>
      </c>
      <c r="K18" s="49" t="n">
        <f aca="false">'Flux de trésorerie'!P147</f>
        <v>40000.1825420355</v>
      </c>
      <c r="L18" s="49" t="n">
        <f aca="false">'Flux de trésorerie'!P125</f>
        <v>12965.9344738486</v>
      </c>
      <c r="M18" s="49" t="n">
        <f aca="false">'Flux de trésorerie'!P71</f>
        <v>413454.54506526</v>
      </c>
      <c r="N18" s="49" t="n">
        <f aca="false">'Flux de trésorerie'!P72</f>
        <v>156687.013702859</v>
      </c>
    </row>
    <row r="19" customFormat="false" ht="15" hidden="false" customHeight="false" outlineLevel="0" collapsed="false">
      <c r="B19" s="46" t="s">
        <v>265</v>
      </c>
      <c r="C19" s="54" t="str">
        <f aca="false">IF(NPV_Pre&gt;=0,"OUI","NON - subvention nécessaire")</f>
        <v>NON - subvention nécessaire</v>
      </c>
      <c r="E19" s="45" t="s">
        <v>266</v>
      </c>
      <c r="H19" s="48" t="n">
        <f aca="false">'Flux de trésorerie'!Q40</f>
        <v>2040</v>
      </c>
      <c r="I19" s="49" t="n">
        <f aca="false">'Flux de trésorerie'!Q85</f>
        <v>264604.357521559</v>
      </c>
      <c r="J19" s="49" t="n">
        <f aca="false">'Flux de trésorerie'!Q96</f>
        <v>200976.389345829</v>
      </c>
      <c r="K19" s="49" t="n">
        <f aca="false">'Flux de trésorerie'!Q147</f>
        <v>37357.7792652716</v>
      </c>
      <c r="L19" s="49" t="n">
        <f aca="false">'Flux de trésorerie'!Q125</f>
        <v>12965.9344738486</v>
      </c>
      <c r="M19" s="49" t="n">
        <f aca="false">'Flux de trésorerie'!Q71</f>
        <v>411387.272339934</v>
      </c>
      <c r="N19" s="49" t="n">
        <f aca="false">'Flux de trésorerie'!Q72</f>
        <v>175858.533191229</v>
      </c>
    </row>
    <row r="20" customFormat="false" ht="15" hidden="false" customHeight="false" outlineLevel="0" collapsed="false">
      <c r="B20" s="46" t="s">
        <v>267</v>
      </c>
      <c r="C20" s="54" t="str">
        <f aca="false">IF(NPV_Post&gt;=0,"OUI","NON - déficit restant")</f>
        <v>OUI</v>
      </c>
      <c r="E20" s="55" t="str">
        <f aca="false">Seg1_Name&amp;"  ("&amp;FIXED(Seg1_Bill,2)&amp;"/mois)"</f>
        <v>Ménages  (6.00/mois)</v>
      </c>
      <c r="F20" s="56" t="n">
        <f aca="false">IF(ISNUMBER(Seg1_BillPct),Seg1_BillPct,"n.d.")</f>
        <v>0.05</v>
      </c>
      <c r="H20" s="48" t="n">
        <f aca="false">'Flux de trésorerie'!R40</f>
        <v>2041</v>
      </c>
      <c r="I20" s="49" t="n">
        <f aca="false">'Flux de trésorerie'!R85</f>
        <v>280718.762894623</v>
      </c>
      <c r="J20" s="49" t="n">
        <f aca="false">'Flux de trésorerie'!R96</f>
        <v>220047.408043141</v>
      </c>
      <c r="K20" s="49" t="n">
        <f aca="false">'Flux de trésorerie'!R147</f>
        <v>34401.1659410226</v>
      </c>
      <c r="L20" s="49" t="n">
        <f aca="false">'Flux de trésorerie'!R125</f>
        <v>12965.9344738486</v>
      </c>
      <c r="M20" s="49" t="n">
        <f aca="false">'Flux de trésorerie'!R71</f>
        <v>409330.335978234</v>
      </c>
      <c r="N20" s="49" t="n">
        <f aca="false">'Flux de trésorerie'!R72</f>
        <v>195532.843718863</v>
      </c>
    </row>
    <row r="21" customFormat="false" ht="15" hidden="false" customHeight="false" outlineLevel="0" collapsed="false">
      <c r="B21" s="46" t="s">
        <v>268</v>
      </c>
      <c r="C21" s="54" t="str">
        <f aca="false">IF(SenAmt+ConAmt=0,"Pas de dette",IF(DSCR_Min&gt;=MinDSCR,"OUI","NON - redimensionner la dette"))</f>
        <v>OUI</v>
      </c>
      <c r="E21" s="55" t="str">
        <f aca="false">Seg2_Name&amp;"  ("&amp;FIXED(Seg2_Bill,2)&amp;"/mois)"</f>
        <v>Usagers productifs (moulins, soudure, chambres froides)  (54.40/mois)</v>
      </c>
      <c r="F21" s="56" t="n">
        <f aca="false">IF(ISNUMBER(Seg2_BillPct),Seg2_BillPct,"n.d.")</f>
        <v>0.0362637333333333</v>
      </c>
      <c r="H21" s="48" t="n">
        <f aca="false">'Flux de trésorerie'!S40</f>
        <v>2042</v>
      </c>
      <c r="I21" s="49" t="n">
        <f aca="false">'Flux de trésorerie'!S85</f>
        <v>297814.535554905</v>
      </c>
      <c r="J21" s="49" t="n">
        <f aca="false">'Flux de trésorerie'!S96</f>
        <v>240436.568647269</v>
      </c>
      <c r="K21" s="49" t="n">
        <f aca="false">'Flux de trésorerie'!S147</f>
        <v>31107.7779971769</v>
      </c>
      <c r="L21" s="49" t="n">
        <f aca="false">'Flux de trésorerie'!S125</f>
        <v>0</v>
      </c>
      <c r="M21" s="49" t="n">
        <f aca="false">'Flux de trésorerie'!S71</f>
        <v>407283.684298343</v>
      </c>
      <c r="N21" s="49" t="n">
        <f aca="false">'Flux de trésorerie'!S72</f>
        <v>215725.390789667</v>
      </c>
    </row>
    <row r="22" customFormat="false" ht="15" hidden="false" customHeight="false" outlineLevel="0" collapsed="false">
      <c r="B22" s="46" t="s">
        <v>269</v>
      </c>
      <c r="C22" s="54" t="str">
        <f aca="false">IF(EqNPV&gt;=0,"OUI","NON - voir RBF nécessaire")</f>
        <v>NON - voir RBF nécessaire</v>
      </c>
      <c r="E22" s="55" t="str">
        <f aca="false">Seg3_Name&amp;"  ("&amp;FIXED(Seg3_Bill,2)&amp;"/mois)"</f>
        <v>Commerces (boutiques, bars, kiosques)  (20.00/mois)</v>
      </c>
      <c r="F22" s="56" t="n">
        <f aca="false">IF(ISNUMBER(Seg3_BillPct),Seg3_BillPct,"n.d.")</f>
        <v>0.05</v>
      </c>
      <c r="H22" s="48" t="n">
        <f aca="false">'Flux de trésorerie'!T40</f>
        <v>2043</v>
      </c>
      <c r="I22" s="49" t="n">
        <f aca="false">'Flux de trésorerie'!T85</f>
        <v>315951.440770199</v>
      </c>
      <c r="J22" s="49" t="n">
        <f aca="false">'Flux de trésorerie'!T96</f>
        <v>262227.648995122</v>
      </c>
      <c r="K22" s="49" t="n">
        <f aca="false">'Flux de trésorerie'!T147</f>
        <v>53723.7917750767</v>
      </c>
      <c r="L22" s="49" t="n">
        <f aca="false">'Flux de trésorerie'!T125</f>
        <v>0</v>
      </c>
      <c r="M22" s="49" t="n">
        <f aca="false">'Flux de trésorerie'!T71</f>
        <v>405247.265876851</v>
      </c>
      <c r="N22" s="49" t="n">
        <f aca="false">'Flux de trésorerie'!T72</f>
        <v>236452.0814638</v>
      </c>
    </row>
    <row r="23" customFormat="false" ht="15" hidden="false" customHeight="false" outlineLevel="0" collapsed="false">
      <c r="B23" s="46" t="s">
        <v>270</v>
      </c>
      <c r="C23" s="54" t="str">
        <f aca="false">IF(LevRev&gt;=LCOE,"OUI","NON - tarif inférieur au coût")</f>
        <v>NON - tarif inférieur au coût</v>
      </c>
      <c r="E23" s="55" t="str">
        <f aca="false">Seg4_Name&amp;"  ("&amp;FIXED(Seg4_Bill,2)&amp;"/mois)"</f>
        <v>Institutions (centre de santé, école, eau)  (105.00/mois)</v>
      </c>
      <c r="F23" s="56" t="str">
        <f aca="false">IF(ISNUMBER(Seg4_BillPct),Seg4_BillPct,"n.d.")</f>
        <v>n.d.</v>
      </c>
      <c r="H23" s="48" t="n">
        <f aca="false">'Flux de trésorerie'!U40</f>
        <v>2044</v>
      </c>
      <c r="I23" s="49" t="n">
        <f aca="false">'Flux de trésorerie'!U85</f>
        <v>335192.883513104</v>
      </c>
      <c r="J23" s="49" t="n">
        <f aca="false">'Flux de trésorerie'!U96</f>
        <v>285509.604300713</v>
      </c>
      <c r="K23" s="49" t="n">
        <f aca="false">'Flux de trésorerie'!U147</f>
        <v>49683.2792123905</v>
      </c>
      <c r="L23" s="49" t="n">
        <f aca="false">'Flux de trésorerie'!U125</f>
        <v>0</v>
      </c>
      <c r="M23" s="49" t="n">
        <f aca="false">'Flux de trésorerie'!U71</f>
        <v>403221.029547467</v>
      </c>
      <c r="N23" s="49" t="n">
        <f aca="false">'Flux de trésorerie'!U72</f>
        <v>257729.298213403</v>
      </c>
    </row>
    <row r="24" customFormat="false" ht="15" hidden="false" customHeight="false" outlineLevel="0" collapsed="false">
      <c r="B24" s="46" t="s">
        <v>271</v>
      </c>
      <c r="C24" s="54" t="str">
        <f aca="false">IF(Seg1_N=0,"n.d.",IF(Seg1_Afford="OUI","OUI","NON - au-dessus du seuil"))</f>
        <v>OUI</v>
      </c>
      <c r="E24" s="55" t="str">
        <f aca="false">Seg5_Name&amp;"  ("&amp;FIXED(Seg5_Bill,2)&amp;"/mois)"</f>
        <v>Autre / personnalisé  (0.00/mois)</v>
      </c>
      <c r="F24" s="56" t="str">
        <f aca="false">IF(ISNUMBER(Seg5_BillPct),Seg5_BillPct,"n.d.")</f>
        <v>n.d.</v>
      </c>
      <c r="H24" s="48" t="n">
        <f aca="false">'Flux de trésorerie'!V40</f>
        <v>2045</v>
      </c>
      <c r="I24" s="49" t="n">
        <f aca="false">'Flux de trésorerie'!V85</f>
        <v>355606.130119052</v>
      </c>
      <c r="J24" s="49" t="n">
        <f aca="false">'Flux de trésorerie'!V96</f>
        <v>310376.883976528</v>
      </c>
      <c r="K24" s="49" t="n">
        <f aca="false">'Flux de trésorerie'!V147</f>
        <v>45229.2461425245</v>
      </c>
      <c r="L24" s="49" t="n">
        <f aca="false">'Flux de trésorerie'!V125</f>
        <v>0</v>
      </c>
      <c r="M24" s="49" t="n">
        <f aca="false">'Flux de trésorerie'!V71</f>
        <v>401204.92439973</v>
      </c>
      <c r="N24" s="49" t="n">
        <f aca="false">'Flux de trésorerie'!V72</f>
        <v>279573.913193967</v>
      </c>
    </row>
    <row r="25" customFormat="false" ht="15" hidden="false" customHeight="false" outlineLevel="0" collapsed="false">
      <c r="B25" s="7" t="s">
        <v>272</v>
      </c>
      <c r="E25" s="7" t="str">
        <f aca="false">"Seuil : "&amp;FIXED((AffordThreshold)*100,1)&amp;"%"&amp;" du revenu mensuel"</f>
        <v>Seuil : 5.0% du revenu mensuel</v>
      </c>
      <c r="H25" s="48" t="n">
        <f aca="false">'Flux de trésorerie'!W40</f>
        <v>2046</v>
      </c>
      <c r="I25" s="49" t="n">
        <f aca="false">'Flux de trésorerie'!W85</f>
        <v>377262.543443302</v>
      </c>
      <c r="J25" s="49" t="n">
        <f aca="false">'Flux de trésorerie'!W96</f>
        <v>336929.767776484</v>
      </c>
      <c r="K25" s="49" t="n">
        <f aca="false">'Flux de trésorerie'!W147</f>
        <v>40332.7756668184</v>
      </c>
      <c r="L25" s="49" t="n">
        <f aca="false">'Flux de trésorerie'!W125</f>
        <v>0</v>
      </c>
      <c r="M25" s="49" t="n">
        <f aca="false">'Flux de trésorerie'!W71</f>
        <v>399198.899777731</v>
      </c>
      <c r="N25" s="49" t="n">
        <f aca="false">'Flux de trésorerie'!W72</f>
        <v>302003.302943776</v>
      </c>
    </row>
    <row r="27" customFormat="false" ht="15" hidden="false" customHeight="false" outlineLevel="0" collapsed="false">
      <c r="H27" s="45" t="s">
        <v>273</v>
      </c>
    </row>
    <row r="28" customFormat="false" ht="15" hidden="false" customHeight="false" outlineLevel="0" collapsed="false">
      <c r="H28" s="10" t="s">
        <v>274</v>
      </c>
      <c r="I28" s="49" t="n">
        <f aca="false">MIN(Grant,TotalCapex)</f>
        <v>600000</v>
      </c>
    </row>
    <row r="29" customFormat="false" ht="15" hidden="false" customHeight="false" outlineLevel="0" collapsed="false">
      <c r="H29" s="10" t="s">
        <v>246</v>
      </c>
      <c r="I29" s="49" t="n">
        <f aca="false">SenAmt</f>
        <v>110602.051030273</v>
      </c>
    </row>
    <row r="30" customFormat="false" ht="15" hidden="false" customHeight="false" outlineLevel="0" collapsed="false">
      <c r="H30" s="10" t="s">
        <v>248</v>
      </c>
      <c r="I30" s="49" t="n">
        <f aca="false">ConAmt</f>
        <v>110602.051030273</v>
      </c>
    </row>
    <row r="31" customFormat="false" ht="15" hidden="false" customHeight="false" outlineLevel="0" collapsed="false">
      <c r="H31" s="10" t="s">
        <v>275</v>
      </c>
      <c r="I31" s="49" t="n">
        <f aca="false">'Flux de trésorerie'!$B$18</f>
        <v>331806.153090819</v>
      </c>
    </row>
  </sheetData>
  <conditionalFormatting sqref="C19:C24">
    <cfRule type="expression" priority="2" aboveAverage="0" equalAverage="0" bottom="0" percent="0" rank="0" text="" dxfId="0">
      <formula>LEFT(C19,LEN("OUI"))="OUI"</formula>
    </cfRule>
    <cfRule type="expression" priority="3" aboveAverage="0" equalAverage="0" bottom="0" percent="0" rank="0" text="" dxfId="1">
      <formula>OR(LEFT(C19,LEN("NON - "))="NON - ",C19="NON")</formula>
    </cfRule>
  </conditionalFormatting>
  <conditionalFormatting sqref="F20:F24">
    <cfRule type="expression" priority="4" aboveAverage="0" equalAverage="0" bottom="0" percent="0" rank="0" text="" dxfId="2">
      <formula>AND(ISNUMBER(F20),F20&gt;AffordThreshold)</formula>
    </cfRule>
    <cfRule type="expression" priority="5" aboveAverage="0" equalAverage="0" bottom="0" percent="0" rank="0" text="" dxfId="3">
      <formula>AND(ISNUMBER(F20),F20&lt;=AffordThreshold)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8"/>
    <col collapsed="false" customWidth="true" hidden="false" outlineLevel="0" max="4" min="4" style="0" width="2"/>
    <col collapsed="false" customWidth="true" hidden="false" outlineLevel="0" max="5" min="5" style="0" width="70"/>
  </cols>
  <sheetData>
    <row r="1" customFormat="false" ht="19.7" hidden="false" customHeight="false" outlineLevel="0" collapsed="false">
      <c r="B1" s="6" t="s">
        <v>276</v>
      </c>
    </row>
    <row r="2" customFormat="false" ht="15" hidden="false" customHeight="false" outlineLevel="0" collapsed="false">
      <c r="B2" s="7" t="s">
        <v>277</v>
      </c>
    </row>
    <row r="4" customFormat="false" ht="15" hidden="false" customHeight="false" outlineLevel="0" collapsed="false">
      <c r="B4" s="8" t="s">
        <v>278</v>
      </c>
      <c r="C4" s="9"/>
    </row>
    <row r="5" customFormat="false" ht="15" hidden="false" customHeight="false" outlineLevel="0" collapsed="false">
      <c r="B5" s="46" t="s">
        <v>279</v>
      </c>
      <c r="C5" s="57" t="n">
        <f aca="false">VGF</f>
        <v>793132.367693456</v>
      </c>
      <c r="E5" s="7" t="s">
        <v>280</v>
      </c>
    </row>
    <row r="6" customFormat="false" ht="15" hidden="false" customHeight="false" outlineLevel="0" collapsed="false">
      <c r="B6" s="46" t="s">
        <v>281</v>
      </c>
      <c r="C6" s="57" t="n">
        <f aca="false">IFERROR(VGF/TotalCustomers,0)</f>
        <v>817.662234735522</v>
      </c>
    </row>
    <row r="7" customFormat="false" ht="15" hidden="false" customHeight="false" outlineLevel="0" collapsed="false">
      <c r="B7" s="46" t="s">
        <v>282</v>
      </c>
      <c r="C7" s="57" t="n">
        <f aca="false">Grant+'Flux de trésorerie'!$B$32</f>
        <v>817920.360631104</v>
      </c>
    </row>
    <row r="8" customFormat="false" ht="15" hidden="false" customHeight="false" outlineLevel="0" collapsed="false">
      <c r="B8" s="46" t="s">
        <v>283</v>
      </c>
      <c r="C8" s="57" t="n">
        <f aca="false">MAX(0,VGF-PlannedSubsidyPV)</f>
        <v>0</v>
      </c>
      <c r="E8" s="7" t="s">
        <v>284</v>
      </c>
    </row>
    <row r="10" customFormat="false" ht="15" hidden="false" customHeight="false" outlineLevel="0" collapsed="false">
      <c r="B10" s="8" t="s">
        <v>285</v>
      </c>
      <c r="C10" s="9"/>
    </row>
    <row r="11" customFormat="false" ht="15" hidden="false" customHeight="false" outlineLevel="0" collapsed="false">
      <c r="B11" s="46" t="s">
        <v>286</v>
      </c>
      <c r="C11" s="57" t="n">
        <f aca="false">MAX(0,VGF-'Flux de trésorerie'!$B$32)</f>
        <v>575212.007062352</v>
      </c>
      <c r="E11" s="7" t="s">
        <v>287</v>
      </c>
    </row>
    <row r="12" customFormat="false" ht="15" hidden="false" customHeight="false" outlineLevel="0" collapsed="false">
      <c r="B12" s="46" t="s">
        <v>288</v>
      </c>
      <c r="C12" s="57" t="n">
        <f aca="false">Grant</f>
        <v>600000</v>
      </c>
    </row>
    <row r="13" customFormat="false" ht="15" hidden="false" customHeight="false" outlineLevel="0" collapsed="false">
      <c r="B13" s="46" t="s">
        <v>289</v>
      </c>
      <c r="C13" s="57" t="n">
        <f aca="false">Grant-GrantNeeded</f>
        <v>24787.9929376484</v>
      </c>
    </row>
    <row r="15" customFormat="false" ht="15" hidden="false" customHeight="false" outlineLevel="0" collapsed="false">
      <c r="B15" s="8" t="s">
        <v>290</v>
      </c>
      <c r="C15" s="9"/>
    </row>
    <row r="16" customFormat="false" ht="15" hidden="false" customHeight="false" outlineLevel="0" collapsed="false">
      <c r="B16" s="46" t="s">
        <v>291</v>
      </c>
      <c r="C16" s="57" t="n">
        <f aca="false">IFERROR(MAX(0,(VGF-Grant)/'Flux de trésorerie'!$B$31),0)</f>
        <v>230.24280222486</v>
      </c>
      <c r="E16" s="7" t="s">
        <v>292</v>
      </c>
    </row>
    <row r="17" customFormat="false" ht="15" hidden="false" customHeight="false" outlineLevel="0" collapsed="false">
      <c r="B17" s="46" t="s">
        <v>293</v>
      </c>
      <c r="C17" s="57" t="n">
        <f aca="false">IFERROR(MAX(0,-(EqNPV-'Flux de trésorerie'!$B$34)/'Flux de trésorerie'!$B$33),0)</f>
        <v>333.639524458975</v>
      </c>
      <c r="E17" s="7" t="s">
        <v>294</v>
      </c>
    </row>
    <row r="18" customFormat="false" ht="15" hidden="false" customHeight="false" outlineLevel="0" collapsed="false">
      <c r="B18" s="46" t="s">
        <v>295</v>
      </c>
      <c r="C18" s="57" t="n">
        <f aca="false">AvgRBFperConn</f>
        <v>259.79381443299</v>
      </c>
    </row>
    <row r="19" customFormat="false" ht="15" hidden="false" customHeight="false" outlineLevel="0" collapsed="false">
      <c r="B19" s="46" t="s">
        <v>296</v>
      </c>
      <c r="C19" s="58" t="n">
        <f aca="false">IFERROR(MAX(0,-(EqNPV-'Flux de trésorerie'!$B$34)/'Flux de trésorerie'!$B$34),"n.d.")</f>
        <v>1.28424737589367</v>
      </c>
      <c r="E19" s="7" t="s">
        <v>297</v>
      </c>
    </row>
    <row r="20" customFormat="false" ht="15" hidden="false" customHeight="false" outlineLevel="0" collapsed="false">
      <c r="B20" s="46" t="s">
        <v>298</v>
      </c>
      <c r="C20" s="57" t="n">
        <f aca="false">RBFNeededEq*'Flux de trésorerie'!$B$109</f>
        <v>323630.338725206</v>
      </c>
      <c r="E20" s="7" t="s">
        <v>299</v>
      </c>
    </row>
    <row r="22" customFormat="false" ht="15" hidden="false" customHeight="false" outlineLevel="0" collapsed="false">
      <c r="B22" s="8" t="s">
        <v>300</v>
      </c>
      <c r="C22" s="9"/>
    </row>
    <row r="23" customFormat="false" ht="15" hidden="false" customHeight="false" outlineLevel="0" collapsed="false">
      <c r="B23" s="46" t="s">
        <v>301</v>
      </c>
      <c r="C23" s="57" t="n">
        <f aca="false">'Flux de trésorerie'!$B$35</f>
        <v>120618.921216371</v>
      </c>
      <c r="E23" s="7" t="s">
        <v>302</v>
      </c>
    </row>
    <row r="24" customFormat="false" ht="15" hidden="false" customHeight="false" outlineLevel="0" collapsed="false">
      <c r="B24" s="46" t="s">
        <v>303</v>
      </c>
      <c r="C24" s="57" t="n">
        <f aca="false">SenAmt</f>
        <v>110602.051030273</v>
      </c>
    </row>
    <row r="25" customFormat="false" ht="15" hidden="false" customHeight="false" outlineLevel="0" collapsed="false">
      <c r="B25" s="46" t="s">
        <v>304</v>
      </c>
      <c r="C25" s="57" t="n">
        <f aca="false">DebtCap-SenAmt</f>
        <v>10016.8701860979</v>
      </c>
      <c r="E25" s="7" t="s">
        <v>305</v>
      </c>
    </row>
    <row r="26" customFormat="false" ht="15" hidden="false" customHeight="false" outlineLevel="0" collapsed="false">
      <c r="B26" s="46" t="s">
        <v>306</v>
      </c>
      <c r="C26" s="59" t="n">
        <f aca="false">IF(ISNUMBER(DSCR_Min),INDEX('Flux de trésorerie'!$D$40:$W$40,1,MATCH(DSCR_Min,'Flux de trésorerie'!$D$148:$W$148,0)),"n.d.")</f>
        <v>2036</v>
      </c>
      <c r="E26" s="7" t="s">
        <v>307</v>
      </c>
    </row>
    <row r="28" customFormat="false" ht="15" hidden="false" customHeight="false" outlineLevel="0" collapsed="false">
      <c r="B28" s="8" t="s">
        <v>308</v>
      </c>
      <c r="C28" s="9"/>
    </row>
    <row r="29" customFormat="false" ht="15" hidden="false" customHeight="false" outlineLevel="0" collapsed="false">
      <c r="B29" s="46" t="s">
        <v>309</v>
      </c>
      <c r="C29" s="57" t="n">
        <f aca="false">SUM('Flux de trésorerie'!D108:F108)</f>
        <v>252000</v>
      </c>
      <c r="E29" s="7" t="s">
        <v>310</v>
      </c>
    </row>
    <row r="30" customFormat="false" ht="15" hidden="false" customHeight="false" outlineLevel="0" collapsed="false">
      <c r="B30" s="46" t="s">
        <v>311</v>
      </c>
      <c r="C30" s="60" t="n">
        <f aca="false">IFERROR('Flux de trésorerie'!$B$108/TotalCapex,0)</f>
        <v>0.218558333609026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14"/>
    <col collapsed="false" customWidth="true" hidden="false" outlineLevel="0" max="11" min="8" style="0" width="13"/>
    <col collapsed="false" customWidth="true" hidden="false" outlineLevel="0" max="12" min="12" style="0" width="3"/>
    <col collapsed="false" customWidth="true" hidden="false" outlineLevel="0" max="13" min="13" style="0" width="22"/>
    <col collapsed="false" customWidth="true" hidden="false" outlineLevel="0" max="15" min="14" style="0" width="14"/>
  </cols>
  <sheetData>
    <row r="1" customFormat="false" ht="19.7" hidden="false" customHeight="false" outlineLevel="0" collapsed="false">
      <c r="B1" s="6" t="s">
        <v>312</v>
      </c>
    </row>
    <row r="2" customFormat="false" ht="15" hidden="false" customHeight="false" outlineLevel="0" collapsed="false">
      <c r="B2" s="7" t="str">
        <f aca="false">"Chaque variable varie de -/+ "&amp;FIXED((SensDelta)*100,0)&amp;"%"&amp;" autour du scénario actif ("&amp;ScenarioName&amp;"), une à la fois. Calcul par des copies masquées du moteur de flux."</f>
        <v>Chaque variable varie de -/+ 20% autour du scénario actif (Base), une à la fois. Calcul par des copies masquées du moteur de flux.</v>
      </c>
    </row>
    <row r="4" customFormat="false" ht="30" hidden="false" customHeight="true" outlineLevel="0" collapsed="false">
      <c r="B4" s="39" t="s">
        <v>313</v>
      </c>
      <c r="C4" s="39" t="s">
        <v>314</v>
      </c>
      <c r="D4" s="39" t="s">
        <v>315</v>
      </c>
      <c r="E4" s="39" t="s">
        <v>316</v>
      </c>
      <c r="F4" s="39" t="s">
        <v>317</v>
      </c>
      <c r="G4" s="39" t="s">
        <v>318</v>
      </c>
      <c r="H4" s="39" t="s">
        <v>319</v>
      </c>
      <c r="I4" s="39" t="s">
        <v>320</v>
      </c>
      <c r="J4" s="39" t="s">
        <v>321</v>
      </c>
      <c r="K4" s="39" t="s">
        <v>322</v>
      </c>
      <c r="M4" s="8" t="s">
        <v>323</v>
      </c>
      <c r="N4" s="9"/>
      <c r="O4" s="9"/>
    </row>
    <row r="5" customFormat="false" ht="15" hidden="false" customHeight="false" outlineLevel="0" collapsed="false">
      <c r="B5" s="15" t="s">
        <v>324</v>
      </c>
      <c r="C5" s="61" t="n">
        <f aca="false">NPV_Post</f>
        <v>24787.9929376486</v>
      </c>
      <c r="D5" s="61" t="n">
        <f aca="false">NPV_Post</f>
        <v>24787.9929376486</v>
      </c>
      <c r="F5" s="61" t="n">
        <f aca="false">VGF</f>
        <v>793132.367693456</v>
      </c>
      <c r="G5" s="61" t="n">
        <f aca="false">VGF</f>
        <v>793132.367693456</v>
      </c>
      <c r="H5" s="62" t="n">
        <f aca="false">DSCR_Min</f>
        <v>1.37243486578273</v>
      </c>
      <c r="I5" s="62" t="n">
        <f aca="false">DSCR_Min</f>
        <v>1.37243486578273</v>
      </c>
      <c r="J5" s="63" t="n">
        <f aca="false">IRR_Eq</f>
        <v>0.107280413208177</v>
      </c>
      <c r="K5" s="63" t="n">
        <f aca="false">IRR_Eq</f>
        <v>0.107280413208177</v>
      </c>
      <c r="M5" s="64" t="s">
        <v>313</v>
      </c>
      <c r="N5" s="64" t="s">
        <v>325</v>
      </c>
      <c r="O5" s="64" t="s">
        <v>326</v>
      </c>
    </row>
    <row r="6" customFormat="false" ht="15" hidden="false" customHeight="false" outlineLevel="0" collapsed="false">
      <c r="B6" s="10" t="s">
        <v>65</v>
      </c>
      <c r="C6" s="44" t="n">
        <f aca="false">S_Tariff_Lo!$B$21</f>
        <v>-276017.120094711</v>
      </c>
      <c r="D6" s="44" t="n">
        <f aca="false">S_Tariff_Hi!$B$21</f>
        <v>272658.876393396</v>
      </c>
      <c r="E6" s="35" t="n">
        <f aca="false">ABS(D6-C6)+ROW()/1000000</f>
        <v>548675.996494107</v>
      </c>
      <c r="F6" s="44" t="n">
        <f aca="false">S_Tariff_Lo!$B$24</f>
        <v>1093937.48072582</v>
      </c>
      <c r="G6" s="44" t="n">
        <f aca="false">S_Tariff_Hi!$B$24</f>
        <v>545261.484237708</v>
      </c>
      <c r="H6" s="32" t="n">
        <f aca="false">S_Tariff_Lo!$B$27</f>
        <v>-1.54699795074472</v>
      </c>
      <c r="I6" s="32" t="n">
        <f aca="false">S_Tariff_Hi!$B$27</f>
        <v>2.35863506240333</v>
      </c>
      <c r="J6" s="31" t="str">
        <f aca="false">S_Tariff_Lo!$B$25</f>
        <v>n.d.</v>
      </c>
      <c r="K6" s="31" t="n">
        <f aca="false">S_Tariff_Hi!$B$25</f>
        <v>0.225626990738931</v>
      </c>
      <c r="M6" s="0" t="str">
        <f aca="false">INDEX($B$6:$B$12,MATCH(LARGE($E$6:$E$12,7),$E$6:$E$12,0))</f>
        <v>Taux d'intérêt</v>
      </c>
      <c r="N6" s="33" t="n">
        <f aca="false">INDEX($C$6:$C$12,MATCH(LARGE($E$6:$E$12,7),$E$6:$E$12,0))-NPV_Post</f>
        <v>0</v>
      </c>
      <c r="O6" s="33" t="n">
        <f aca="false">INDEX($D$6:$D$12,MATCH(LARGE($E$6:$E$12,7),$E$6:$E$12,0))-NPV_Post</f>
        <v>0</v>
      </c>
    </row>
    <row r="7" customFormat="false" ht="15" hidden="false" customHeight="false" outlineLevel="0" collapsed="false">
      <c r="B7" s="10" t="s">
        <v>327</v>
      </c>
      <c r="C7" s="44" t="n">
        <f aca="false">S_Demand_Lo!$B$21</f>
        <v>-52633.073924625</v>
      </c>
      <c r="D7" s="44" t="n">
        <f aca="false">S_Demand_Hi!$B$21</f>
        <v>-27074.0887753848</v>
      </c>
      <c r="E7" s="35" t="n">
        <f aca="false">ABS(D7-C7)+ROW()/1000000</f>
        <v>25558.9851562402</v>
      </c>
      <c r="F7" s="44" t="n">
        <f aca="false">S_Demand_Lo!$B$24</f>
        <v>870553.434555729</v>
      </c>
      <c r="G7" s="44" t="n">
        <f aca="false">S_Demand_Hi!$B$24</f>
        <v>844994.449406489</v>
      </c>
      <c r="H7" s="32" t="n">
        <f aca="false">S_Demand_Lo!$B$27</f>
        <v>0.645204449694965</v>
      </c>
      <c r="I7" s="32" t="n">
        <f aca="false">S_Demand_Hi!$B$27</f>
        <v>0.785007863146973</v>
      </c>
      <c r="J7" s="31" t="n">
        <f aca="false">S_Demand_Lo!$B$25</f>
        <v>0.0737429427789</v>
      </c>
      <c r="K7" s="31" t="n">
        <f aca="false">S_Demand_Hi!$B$25</f>
        <v>0.0612632567618323</v>
      </c>
      <c r="M7" s="0" t="str">
        <f aca="false">INDEX($B$6:$B$12,MATCH(LARGE($E$6:$E$12,6),$E$6:$E$12,0))</f>
        <v>Demande</v>
      </c>
      <c r="N7" s="33" t="n">
        <f aca="false">INDEX($C$6:$C$12,MATCH(LARGE($E$6:$E$12,6),$E$6:$E$12,0))-NPV_Post</f>
        <v>-77421.0668622736</v>
      </c>
      <c r="O7" s="33" t="n">
        <f aca="false">INDEX($D$6:$D$12,MATCH(LARGE($E$6:$E$12,6),$E$6:$E$12,0))-NPV_Post</f>
        <v>-51862.0817130334</v>
      </c>
    </row>
    <row r="8" customFormat="false" ht="15" hidden="false" customHeight="false" outlineLevel="0" collapsed="false">
      <c r="B8" s="10" t="s">
        <v>67</v>
      </c>
      <c r="C8" s="44" t="n">
        <f aca="false">S_Capex_Lo!$B$21</f>
        <v>320459.38990159</v>
      </c>
      <c r="D8" s="44" t="n">
        <f aca="false">S_Capex_Hi!$B$21</f>
        <v>-293880.854899461</v>
      </c>
      <c r="E8" s="35" t="n">
        <f aca="false">ABS(D8-C8)+ROW()/1000000</f>
        <v>614340.244809051</v>
      </c>
      <c r="F8" s="44" t="n">
        <f aca="false">S_Capex_Lo!$B$24</f>
        <v>497460.970729515</v>
      </c>
      <c r="G8" s="44" t="n">
        <f aca="false">S_Capex_Hi!$B$24</f>
        <v>1111801.21553057</v>
      </c>
      <c r="H8" s="32" t="n">
        <f aca="false">S_Capex_Lo!$B$27</f>
        <v>3.03102204332978</v>
      </c>
      <c r="I8" s="32" t="n">
        <f aca="false">S_Capex_Hi!$B$27</f>
        <v>0.690028388660276</v>
      </c>
      <c r="J8" s="31" t="n">
        <f aca="false">S_Capex_Lo!$B$25</f>
        <v>0.426040122441522</v>
      </c>
      <c r="K8" s="31" t="n">
        <f aca="false">S_Capex_Hi!$B$25</f>
        <v>-0.0278395496392942</v>
      </c>
      <c r="M8" s="0" t="str">
        <f aca="false">INDEX($B$6:$B$12,MATCH(LARGE($E$6:$E$12,5),$E$6:$E$12,0))</f>
        <v>Prix du diesel</v>
      </c>
      <c r="N8" s="33" t="n">
        <f aca="false">INDEX($C$6:$C$12,MATCH(LARGE($E$6:$E$12,5),$E$6:$E$12,0))-NPV_Post</f>
        <v>70183.2629192727</v>
      </c>
      <c r="O8" s="33" t="n">
        <f aca="false">INDEX($D$6:$D$12,MATCH(LARGE($E$6:$E$12,5),$E$6:$E$12,0))-NPV_Post</f>
        <v>-82945.8497494204</v>
      </c>
    </row>
    <row r="9" customFormat="false" ht="15" hidden="false" customHeight="false" outlineLevel="0" collapsed="false">
      <c r="B9" s="10" t="s">
        <v>68</v>
      </c>
      <c r="C9" s="44" t="n">
        <f aca="false">S_Opex_Lo!$B$21</f>
        <v>132736.974977302</v>
      </c>
      <c r="D9" s="44" t="n">
        <f aca="false">S_Opex_Hi!$B$21</f>
        <v>-97200.490749042</v>
      </c>
      <c r="E9" s="35" t="n">
        <f aca="false">ABS(D9-C9)+ROW()/1000000</f>
        <v>229937.465735344</v>
      </c>
      <c r="F9" s="44" t="n">
        <f aca="false">S_Opex_Lo!$B$24</f>
        <v>685183.385653803</v>
      </c>
      <c r="G9" s="44" t="n">
        <f aca="false">S_Opex_Hi!$B$24</f>
        <v>915120.851380147</v>
      </c>
      <c r="H9" s="32" t="n">
        <f aca="false">S_Opex_Lo!$B$27</f>
        <v>1.82849281756877</v>
      </c>
      <c r="I9" s="32" t="n">
        <f aca="false">S_Opex_Hi!$B$27</f>
        <v>0.916376913996695</v>
      </c>
      <c r="J9" s="31" t="n">
        <f aca="false">S_Opex_Lo!$B$25</f>
        <v>0.166671362612233</v>
      </c>
      <c r="K9" s="31" t="n">
        <f aca="false">S_Opex_Hi!$B$25</f>
        <v>0.0238309390609284</v>
      </c>
      <c r="M9" s="0" t="str">
        <f aca="false">INDEX($B$6:$B$12,MATCH(LARGE($E$6:$E$12,4),$E$6:$E$12,0))</f>
        <v>OPEX</v>
      </c>
      <c r="N9" s="33" t="n">
        <f aca="false">INDEX($C$6:$C$12,MATCH(LARGE($E$6:$E$12,4),$E$6:$E$12,0))-NPV_Post</f>
        <v>107948.982039653</v>
      </c>
      <c r="O9" s="33" t="n">
        <f aca="false">INDEX($D$6:$D$12,MATCH(LARGE($E$6:$E$12,4),$E$6:$E$12,0))-NPV_Post</f>
        <v>-121988.483686691</v>
      </c>
    </row>
    <row r="10" customFormat="false" ht="15" hidden="false" customHeight="false" outlineLevel="0" collapsed="false">
      <c r="B10" s="10" t="s">
        <v>69</v>
      </c>
      <c r="C10" s="44" t="n">
        <f aca="false">S_Coll_Lo!$B$21</f>
        <v>-276017.120094711</v>
      </c>
      <c r="D10" s="44" t="n">
        <f aca="false">S_Coll_Hi!$B$21</f>
        <v>138182.664360487</v>
      </c>
      <c r="E10" s="35" t="n">
        <f aca="false">ABS(D10-C10)+ROW()/1000000</f>
        <v>414199.784465198</v>
      </c>
      <c r="F10" s="44" t="n">
        <f aca="false">S_Coll_Lo!$B$24</f>
        <v>1093937.48072582</v>
      </c>
      <c r="G10" s="44" t="n">
        <f aca="false">S_Coll_Hi!$B$24</f>
        <v>679737.696270617</v>
      </c>
      <c r="H10" s="32" t="n">
        <f aca="false">S_Coll_Lo!$B$27</f>
        <v>-1.54699795074472</v>
      </c>
      <c r="I10" s="32" t="n">
        <f aca="false">S_Coll_Hi!$B$27</f>
        <v>1.89528083699942</v>
      </c>
      <c r="J10" s="31" t="str">
        <f aca="false">S_Coll_Lo!$B$25</f>
        <v>n.d.</v>
      </c>
      <c r="K10" s="31" t="n">
        <f aca="false">S_Coll_Hi!$B$25</f>
        <v>0.166294943926734</v>
      </c>
      <c r="M10" s="0" t="str">
        <f aca="false">INDEX($B$6:$B$12,MATCH(LARGE($E$6:$E$12,3),$E$6:$E$12,0))</f>
        <v>Taux de recouvrement</v>
      </c>
      <c r="N10" s="33" t="n">
        <f aca="false">INDEX($C$6:$C$12,MATCH(LARGE($E$6:$E$12,3),$E$6:$E$12,0))-NPV_Post</f>
        <v>-300805.11303236</v>
      </c>
      <c r="O10" s="33" t="n">
        <f aca="false">INDEX($D$6:$D$12,MATCH(LARGE($E$6:$E$12,3),$E$6:$E$12,0))-NPV_Post</f>
        <v>113394.671422839</v>
      </c>
    </row>
    <row r="11" customFormat="false" ht="15" hidden="false" customHeight="false" outlineLevel="0" collapsed="false">
      <c r="B11" s="10" t="s">
        <v>70</v>
      </c>
      <c r="C11" s="44" t="n">
        <f aca="false">S_Fuel_Lo!$B$21</f>
        <v>94971.2558569212</v>
      </c>
      <c r="D11" s="44" t="n">
        <f aca="false">S_Fuel_Hi!$B$21</f>
        <v>-58157.8568117719</v>
      </c>
      <c r="E11" s="35" t="n">
        <f aca="false">ABS(D11-C11)+ROW()/1000000</f>
        <v>153129.112679693</v>
      </c>
      <c r="F11" s="44" t="n">
        <f aca="false">S_Fuel_Lo!$B$24</f>
        <v>722949.104774183</v>
      </c>
      <c r="G11" s="44" t="n">
        <f aca="false">S_Fuel_Hi!$B$24</f>
        <v>876078.217442876</v>
      </c>
      <c r="H11" s="32" t="n">
        <f aca="false">S_Fuel_Lo!$B$27</f>
        <v>1.6522135753731</v>
      </c>
      <c r="I11" s="32" t="n">
        <f aca="false">S_Fuel_Hi!$B$27</f>
        <v>0.828346644834332</v>
      </c>
      <c r="J11" s="31" t="n">
        <f aca="false">S_Fuel_Lo!$B$25</f>
        <v>0.142019849301188</v>
      </c>
      <c r="K11" s="31" t="n">
        <f aca="false">S_Fuel_Hi!$B$25</f>
        <v>0.0391565795768965</v>
      </c>
      <c r="M11" s="0" t="str">
        <f aca="false">INDEX($B$6:$B$12,MATCH(LARGE($E$6:$E$12,2),$E$6:$E$12,0))</f>
        <v>Tarif</v>
      </c>
      <c r="N11" s="33" t="n">
        <f aca="false">INDEX($C$6:$C$12,MATCH(LARGE($E$6:$E$12,2),$E$6:$E$12,0))-NPV_Post</f>
        <v>-300805.11303236</v>
      </c>
      <c r="O11" s="33" t="n">
        <f aca="false">INDEX($D$6:$D$12,MATCH(LARGE($E$6:$E$12,2),$E$6:$E$12,0))-NPV_Post</f>
        <v>247870.883455748</v>
      </c>
    </row>
    <row r="12" customFormat="false" ht="15" hidden="false" customHeight="false" outlineLevel="0" collapsed="false">
      <c r="B12" s="10" t="s">
        <v>328</v>
      </c>
      <c r="C12" s="44" t="n">
        <f aca="false">S_Rate_Lo!$B$21</f>
        <v>24787.9929376486</v>
      </c>
      <c r="D12" s="44" t="n">
        <f aca="false">S_Rate_Hi!$B$21</f>
        <v>24787.9929376486</v>
      </c>
      <c r="E12" s="35" t="n">
        <f aca="false">ABS(D12-C12)+ROW()/1000000</f>
        <v>1.2E-005</v>
      </c>
      <c r="F12" s="44" t="n">
        <f aca="false">S_Rate_Lo!$B$24</f>
        <v>793132.367693456</v>
      </c>
      <c r="G12" s="44" t="n">
        <f aca="false">S_Rate_Hi!$B$24</f>
        <v>793132.367693456</v>
      </c>
      <c r="H12" s="32" t="n">
        <f aca="false">S_Rate_Lo!$B$27</f>
        <v>1.45349091202494</v>
      </c>
      <c r="I12" s="32" t="n">
        <f aca="false">S_Rate_Hi!$B$27</f>
        <v>1.29798103139178</v>
      </c>
      <c r="J12" s="31" t="n">
        <f aca="false">S_Rate_Lo!$B$25</f>
        <v>0.116142222729026</v>
      </c>
      <c r="K12" s="31" t="n">
        <f aca="false">S_Rate_Hi!$B$25</f>
        <v>0.098579856411693</v>
      </c>
      <c r="M12" s="0" t="str">
        <f aca="false">INDEX($B$6:$B$12,MATCH(LARGE($E$6:$E$12,1),$E$6:$E$12,0))</f>
        <v>CAPEX</v>
      </c>
      <c r="N12" s="33" t="n">
        <f aca="false">INDEX($C$6:$C$12,MATCH(LARGE($E$6:$E$12,1),$E$6:$E$12,0))-NPV_Post</f>
        <v>295671.396963941</v>
      </c>
      <c r="O12" s="33" t="n">
        <f aca="false">INDEX($D$6:$D$12,MATCH(LARGE($E$6:$E$12,1),$E$6:$E$12,0))-NPV_Post</f>
        <v>-318668.84783711</v>
      </c>
    </row>
    <row r="13" customFormat="false" ht="15" hidden="false" customHeight="false" outlineLevel="0" collapsed="false">
      <c r="B13" s="7" t="s">
        <v>329</v>
      </c>
    </row>
    <row r="35" customFormat="false" ht="15" hidden="false" customHeight="false" outlineLevel="0" collapsed="false">
      <c r="B35" s="8" t="s">
        <v>330</v>
      </c>
      <c r="C35" s="9"/>
      <c r="D35" s="9"/>
    </row>
    <row r="36" customFormat="false" ht="15" hidden="false" customHeight="false" outlineLevel="0" collapsed="false">
      <c r="B36" s="10" t="s">
        <v>331</v>
      </c>
      <c r="D36" s="65" t="n">
        <f aca="false">IFERROR(1+(0-NPV_Pre)/((S_Tariff_Hi!$B$20-S_Tariff_Lo!$B$20)/(2*SensDelta)),"n.d.")</f>
        <v>1.57821546615491</v>
      </c>
    </row>
    <row r="37" customFormat="false" ht="15" hidden="false" customHeight="false" outlineLevel="0" collapsed="false">
      <c r="B37" s="10" t="s">
        <v>332</v>
      </c>
      <c r="D37" s="66" t="n">
        <f aca="false">IFERROR(D36*AvgTariff,"n.d.")</f>
        <v>0.598120851382667</v>
      </c>
    </row>
    <row r="38" customFormat="false" ht="15" hidden="false" customHeight="false" outlineLevel="0" collapsed="false">
      <c r="B38" s="7" t="s">
        <v>333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A1:W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4" style="0" width="11"/>
  </cols>
  <sheetData>
    <row r="1" customFormat="false" ht="19.7" hidden="false" customHeight="false" outlineLevel="0" collapsed="false">
      <c r="A1" s="6" t="s">
        <v>334</v>
      </c>
    </row>
    <row r="2" customFormat="false" ht="15" hidden="false" customHeight="false" outlineLevel="0" collapsed="false">
      <c r="A2" s="7" t="s">
        <v>335</v>
      </c>
    </row>
    <row r="4" customFormat="false" ht="15" hidden="false" customHeight="false" outlineLevel="0" collapsed="false">
      <c r="A4" s="15" t="s">
        <v>235</v>
      </c>
      <c r="B4" s="67" t="s">
        <v>336</v>
      </c>
      <c r="D4" s="68" t="n">
        <f aca="false">'Flux de trésorerie'!D40</f>
        <v>2027</v>
      </c>
      <c r="E4" s="68" t="n">
        <f aca="false">'Flux de trésorerie'!E40</f>
        <v>2028</v>
      </c>
      <c r="F4" s="68" t="n">
        <f aca="false">'Flux de trésorerie'!F40</f>
        <v>2029</v>
      </c>
      <c r="G4" s="68" t="n">
        <f aca="false">'Flux de trésorerie'!G40</f>
        <v>2030</v>
      </c>
      <c r="H4" s="68" t="n">
        <f aca="false">'Flux de trésorerie'!H40</f>
        <v>2031</v>
      </c>
      <c r="I4" s="68" t="n">
        <f aca="false">'Flux de trésorerie'!I40</f>
        <v>2032</v>
      </c>
      <c r="J4" s="68" t="n">
        <f aca="false">'Flux de trésorerie'!J40</f>
        <v>2033</v>
      </c>
      <c r="K4" s="68" t="n">
        <f aca="false">'Flux de trésorerie'!K40</f>
        <v>2034</v>
      </c>
      <c r="L4" s="68" t="n">
        <f aca="false">'Flux de trésorerie'!L40</f>
        <v>2035</v>
      </c>
      <c r="M4" s="68" t="n">
        <f aca="false">'Flux de trésorerie'!M40</f>
        <v>2036</v>
      </c>
      <c r="N4" s="68" t="n">
        <f aca="false">'Flux de trésorerie'!N40</f>
        <v>2037</v>
      </c>
      <c r="O4" s="68" t="n">
        <f aca="false">'Flux de trésorerie'!O40</f>
        <v>2038</v>
      </c>
      <c r="P4" s="68" t="n">
        <f aca="false">'Flux de trésorerie'!P40</f>
        <v>2039</v>
      </c>
      <c r="Q4" s="68" t="n">
        <f aca="false">'Flux de trésorerie'!Q40</f>
        <v>2040</v>
      </c>
      <c r="R4" s="68" t="n">
        <f aca="false">'Flux de trésorerie'!R40</f>
        <v>2041</v>
      </c>
      <c r="S4" s="68" t="n">
        <f aca="false">'Flux de trésorerie'!S40</f>
        <v>2042</v>
      </c>
      <c r="T4" s="68" t="n">
        <f aca="false">'Flux de trésorerie'!T40</f>
        <v>2043</v>
      </c>
      <c r="U4" s="68" t="n">
        <f aca="false">'Flux de trésorerie'!U40</f>
        <v>2044</v>
      </c>
      <c r="V4" s="68" t="n">
        <f aca="false">'Flux de trésorerie'!V40</f>
        <v>2045</v>
      </c>
      <c r="W4" s="68" t="n">
        <f aca="false">'Flux de trésorerie'!W40</f>
        <v>2046</v>
      </c>
    </row>
    <row r="5" customFormat="false" ht="15" hidden="false" customHeight="false" outlineLevel="0" collapsed="false">
      <c r="A5" s="8" t="s">
        <v>337</v>
      </c>
      <c r="B5" s="9"/>
      <c r="C5" s="9"/>
      <c r="D5" s="9"/>
      <c r="E5" s="9"/>
      <c r="F5" s="9"/>
      <c r="G5" s="9"/>
      <c r="H5" s="9"/>
      <c r="I5" s="9"/>
      <c r="J5" s="9"/>
      <c r="K5" s="9"/>
      <c r="L5" s="9"/>
      <c r="M5" s="9"/>
      <c r="N5" s="9"/>
      <c r="O5" s="9"/>
      <c r="P5" s="9"/>
      <c r="Q5" s="9"/>
      <c r="R5" s="9"/>
      <c r="S5" s="9"/>
      <c r="T5" s="9"/>
      <c r="U5" s="9"/>
      <c r="V5" s="9"/>
      <c r="W5" s="9"/>
    </row>
    <row r="6" customFormat="false" ht="15" hidden="false" customHeight="false" outlineLevel="0" collapsed="false">
      <c r="A6" s="10" t="str">
        <f aca="false">"Nouveaux raccordements vérifiés - "&amp;Seg1_Name</f>
        <v>Nouveaux raccordements vérifiés - Ménages</v>
      </c>
      <c r="B6" s="61" t="n">
        <f aca="false">SUM(D6:W6)</f>
        <v>800</v>
      </c>
      <c r="D6" s="49" t="n">
        <f aca="false">'Flux de trésorerie'!D54</f>
        <v>480</v>
      </c>
      <c r="E6" s="49" t="n">
        <f aca="false">'Flux de trésorerie'!E54</f>
        <v>200</v>
      </c>
      <c r="F6" s="49" t="n">
        <f aca="false">'Flux de trésorerie'!F54</f>
        <v>120</v>
      </c>
      <c r="G6" s="49" t="n">
        <f aca="false">'Flux de trésorerie'!G54</f>
        <v>0</v>
      </c>
      <c r="H6" s="49" t="n">
        <f aca="false">'Flux de trésorerie'!H54</f>
        <v>0</v>
      </c>
      <c r="I6" s="49" t="n">
        <f aca="false">'Flux de trésorerie'!I54</f>
        <v>0</v>
      </c>
      <c r="J6" s="49" t="n">
        <f aca="false">'Flux de trésorerie'!J54</f>
        <v>0</v>
      </c>
      <c r="K6" s="49" t="n">
        <f aca="false">'Flux de trésorerie'!K54</f>
        <v>0</v>
      </c>
      <c r="L6" s="49" t="n">
        <f aca="false">'Flux de trésorerie'!L54</f>
        <v>0</v>
      </c>
      <c r="M6" s="49" t="n">
        <f aca="false">'Flux de trésorerie'!M54</f>
        <v>0</v>
      </c>
      <c r="N6" s="49" t="n">
        <f aca="false">'Flux de trésorerie'!N54</f>
        <v>0</v>
      </c>
      <c r="O6" s="49" t="n">
        <f aca="false">'Flux de trésorerie'!O54</f>
        <v>0</v>
      </c>
      <c r="P6" s="49" t="n">
        <f aca="false">'Flux de trésorerie'!P54</f>
        <v>0</v>
      </c>
      <c r="Q6" s="49" t="n">
        <f aca="false">'Flux de trésorerie'!Q54</f>
        <v>0</v>
      </c>
      <c r="R6" s="49" t="n">
        <f aca="false">'Flux de trésorerie'!R54</f>
        <v>0</v>
      </c>
      <c r="S6" s="49" t="n">
        <f aca="false">'Flux de trésorerie'!S54</f>
        <v>0</v>
      </c>
      <c r="T6" s="49" t="n">
        <f aca="false">'Flux de trésorerie'!T54</f>
        <v>0</v>
      </c>
      <c r="U6" s="49" t="n">
        <f aca="false">'Flux de trésorerie'!U54</f>
        <v>0</v>
      </c>
      <c r="V6" s="49" t="n">
        <f aca="false">'Flux de trésorerie'!V54</f>
        <v>0</v>
      </c>
      <c r="W6" s="49" t="n">
        <f aca="false">'Flux de trésorerie'!W54</f>
        <v>0</v>
      </c>
    </row>
    <row r="7" customFormat="false" ht="15" hidden="false" customHeight="false" outlineLevel="0" collapsed="false">
      <c r="A7" s="10" t="str">
        <f aca="false">"Nouveaux raccordements vérifiés - "&amp;Seg2_Name</f>
        <v>Nouveaux raccordements vérifiés - Usagers productifs (moulins, soudure, chambres froides)</v>
      </c>
      <c r="B7" s="61" t="n">
        <f aca="false">SUM(D7:W7)</f>
        <v>60</v>
      </c>
      <c r="D7" s="49" t="n">
        <f aca="false">'Flux de trésorerie'!D55</f>
        <v>36</v>
      </c>
      <c r="E7" s="49" t="n">
        <f aca="false">'Flux de trésorerie'!E55</f>
        <v>15</v>
      </c>
      <c r="F7" s="49" t="n">
        <f aca="false">'Flux de trésorerie'!F55</f>
        <v>9</v>
      </c>
      <c r="G7" s="49" t="n">
        <f aca="false">'Flux de trésorerie'!G55</f>
        <v>0</v>
      </c>
      <c r="H7" s="49" t="n">
        <f aca="false">'Flux de trésorerie'!H55</f>
        <v>0</v>
      </c>
      <c r="I7" s="49" t="n">
        <f aca="false">'Flux de trésorerie'!I55</f>
        <v>0</v>
      </c>
      <c r="J7" s="49" t="n">
        <f aca="false">'Flux de trésorerie'!J55</f>
        <v>0</v>
      </c>
      <c r="K7" s="49" t="n">
        <f aca="false">'Flux de trésorerie'!K55</f>
        <v>0</v>
      </c>
      <c r="L7" s="49" t="n">
        <f aca="false">'Flux de trésorerie'!L55</f>
        <v>0</v>
      </c>
      <c r="M7" s="49" t="n">
        <f aca="false">'Flux de trésorerie'!M55</f>
        <v>0</v>
      </c>
      <c r="N7" s="49" t="n">
        <f aca="false">'Flux de trésorerie'!N55</f>
        <v>0</v>
      </c>
      <c r="O7" s="49" t="n">
        <f aca="false">'Flux de trésorerie'!O55</f>
        <v>0</v>
      </c>
      <c r="P7" s="49" t="n">
        <f aca="false">'Flux de trésorerie'!P55</f>
        <v>0</v>
      </c>
      <c r="Q7" s="49" t="n">
        <f aca="false">'Flux de trésorerie'!Q55</f>
        <v>0</v>
      </c>
      <c r="R7" s="49" t="n">
        <f aca="false">'Flux de trésorerie'!R55</f>
        <v>0</v>
      </c>
      <c r="S7" s="49" t="n">
        <f aca="false">'Flux de trésorerie'!S55</f>
        <v>0</v>
      </c>
      <c r="T7" s="49" t="n">
        <f aca="false">'Flux de trésorerie'!T55</f>
        <v>0</v>
      </c>
      <c r="U7" s="49" t="n">
        <f aca="false">'Flux de trésorerie'!U55</f>
        <v>0</v>
      </c>
      <c r="V7" s="49" t="n">
        <f aca="false">'Flux de trésorerie'!V55</f>
        <v>0</v>
      </c>
      <c r="W7" s="49" t="n">
        <f aca="false">'Flux de trésorerie'!W55</f>
        <v>0</v>
      </c>
    </row>
    <row r="8" customFormat="false" ht="15" hidden="false" customHeight="false" outlineLevel="0" collapsed="false">
      <c r="A8" s="10" t="str">
        <f aca="false">"Nouveaux raccordements vérifiés - "&amp;Seg3_Name</f>
        <v>Nouveaux raccordements vérifiés - Commerces (boutiques, bars, kiosques)</v>
      </c>
      <c r="B8" s="61" t="n">
        <f aca="false">SUM(D8:W8)</f>
        <v>100</v>
      </c>
      <c r="D8" s="49" t="n">
        <f aca="false">'Flux de trésorerie'!D56</f>
        <v>60</v>
      </c>
      <c r="E8" s="49" t="n">
        <f aca="false">'Flux de trésorerie'!E56</f>
        <v>25</v>
      </c>
      <c r="F8" s="49" t="n">
        <f aca="false">'Flux de trésorerie'!F56</f>
        <v>15</v>
      </c>
      <c r="G8" s="49" t="n">
        <f aca="false">'Flux de trésorerie'!G56</f>
        <v>0</v>
      </c>
      <c r="H8" s="49" t="n">
        <f aca="false">'Flux de trésorerie'!H56</f>
        <v>0</v>
      </c>
      <c r="I8" s="49" t="n">
        <f aca="false">'Flux de trésorerie'!I56</f>
        <v>0</v>
      </c>
      <c r="J8" s="49" t="n">
        <f aca="false">'Flux de trésorerie'!J56</f>
        <v>0</v>
      </c>
      <c r="K8" s="49" t="n">
        <f aca="false">'Flux de trésorerie'!K56</f>
        <v>0</v>
      </c>
      <c r="L8" s="49" t="n">
        <f aca="false">'Flux de trésorerie'!L56</f>
        <v>0</v>
      </c>
      <c r="M8" s="49" t="n">
        <f aca="false">'Flux de trésorerie'!M56</f>
        <v>0</v>
      </c>
      <c r="N8" s="49" t="n">
        <f aca="false">'Flux de trésorerie'!N56</f>
        <v>0</v>
      </c>
      <c r="O8" s="49" t="n">
        <f aca="false">'Flux de trésorerie'!O56</f>
        <v>0</v>
      </c>
      <c r="P8" s="49" t="n">
        <f aca="false">'Flux de trésorerie'!P56</f>
        <v>0</v>
      </c>
      <c r="Q8" s="49" t="n">
        <f aca="false">'Flux de trésorerie'!Q56</f>
        <v>0</v>
      </c>
      <c r="R8" s="49" t="n">
        <f aca="false">'Flux de trésorerie'!R56</f>
        <v>0</v>
      </c>
      <c r="S8" s="49" t="n">
        <f aca="false">'Flux de trésorerie'!S56</f>
        <v>0</v>
      </c>
      <c r="T8" s="49" t="n">
        <f aca="false">'Flux de trésorerie'!T56</f>
        <v>0</v>
      </c>
      <c r="U8" s="49" t="n">
        <f aca="false">'Flux de trésorerie'!U56</f>
        <v>0</v>
      </c>
      <c r="V8" s="49" t="n">
        <f aca="false">'Flux de trésorerie'!V56</f>
        <v>0</v>
      </c>
      <c r="W8" s="49" t="n">
        <f aca="false">'Flux de trésorerie'!W56</f>
        <v>0</v>
      </c>
    </row>
    <row r="9" customFormat="false" ht="15" hidden="false" customHeight="false" outlineLevel="0" collapsed="false">
      <c r="A9" s="10" t="str">
        <f aca="false">"Nouveaux raccordements vérifiés - "&amp;Seg4_Name</f>
        <v>Nouveaux raccordements vérifiés - Institutions (centre de santé, école, eau)</v>
      </c>
      <c r="B9" s="61" t="n">
        <f aca="false">SUM(D9:W9)</f>
        <v>10</v>
      </c>
      <c r="D9" s="49" t="n">
        <f aca="false">'Flux de trésorerie'!D57</f>
        <v>6</v>
      </c>
      <c r="E9" s="49" t="n">
        <f aca="false">'Flux de trésorerie'!E57</f>
        <v>2.5</v>
      </c>
      <c r="F9" s="49" t="n">
        <f aca="false">'Flux de trésorerie'!F57</f>
        <v>1.5</v>
      </c>
      <c r="G9" s="49" t="n">
        <f aca="false">'Flux de trésorerie'!G57</f>
        <v>0</v>
      </c>
      <c r="H9" s="49" t="n">
        <f aca="false">'Flux de trésorerie'!H57</f>
        <v>0</v>
      </c>
      <c r="I9" s="49" t="n">
        <f aca="false">'Flux de trésorerie'!I57</f>
        <v>0</v>
      </c>
      <c r="J9" s="49" t="n">
        <f aca="false">'Flux de trésorerie'!J57</f>
        <v>0</v>
      </c>
      <c r="K9" s="49" t="n">
        <f aca="false">'Flux de trésorerie'!K57</f>
        <v>0</v>
      </c>
      <c r="L9" s="49" t="n">
        <f aca="false">'Flux de trésorerie'!L57</f>
        <v>0</v>
      </c>
      <c r="M9" s="49" t="n">
        <f aca="false">'Flux de trésorerie'!M57</f>
        <v>0</v>
      </c>
      <c r="N9" s="49" t="n">
        <f aca="false">'Flux de trésorerie'!N57</f>
        <v>0</v>
      </c>
      <c r="O9" s="49" t="n">
        <f aca="false">'Flux de trésorerie'!O57</f>
        <v>0</v>
      </c>
      <c r="P9" s="49" t="n">
        <f aca="false">'Flux de trésorerie'!P57</f>
        <v>0</v>
      </c>
      <c r="Q9" s="49" t="n">
        <f aca="false">'Flux de trésorerie'!Q57</f>
        <v>0</v>
      </c>
      <c r="R9" s="49" t="n">
        <f aca="false">'Flux de trésorerie'!R57</f>
        <v>0</v>
      </c>
      <c r="S9" s="49" t="n">
        <f aca="false">'Flux de trésorerie'!S57</f>
        <v>0</v>
      </c>
      <c r="T9" s="49" t="n">
        <f aca="false">'Flux de trésorerie'!T57</f>
        <v>0</v>
      </c>
      <c r="U9" s="49" t="n">
        <f aca="false">'Flux de trésorerie'!U57</f>
        <v>0</v>
      </c>
      <c r="V9" s="49" t="n">
        <f aca="false">'Flux de trésorerie'!V57</f>
        <v>0</v>
      </c>
      <c r="W9" s="49" t="n">
        <f aca="false">'Flux de trésorerie'!W57</f>
        <v>0</v>
      </c>
    </row>
    <row r="10" customFormat="false" ht="15" hidden="false" customHeight="false" outlineLevel="0" collapsed="false">
      <c r="A10" s="10" t="str">
        <f aca="false">"Nouveaux raccordements vérifiés - "&amp;Seg5_Name</f>
        <v>Nouveaux raccordements vérifiés - Autre / personnalisé</v>
      </c>
      <c r="B10" s="61" t="n">
        <f aca="false">SUM(D10:W10)</f>
        <v>0</v>
      </c>
      <c r="D10" s="49" t="n">
        <f aca="false">'Flux de trésorerie'!D58</f>
        <v>0</v>
      </c>
      <c r="E10" s="49" t="n">
        <f aca="false">'Flux de trésorerie'!E58</f>
        <v>0</v>
      </c>
      <c r="F10" s="49" t="n">
        <f aca="false">'Flux de trésorerie'!F58</f>
        <v>0</v>
      </c>
      <c r="G10" s="49" t="n">
        <f aca="false">'Flux de trésorerie'!G58</f>
        <v>0</v>
      </c>
      <c r="H10" s="49" t="n">
        <f aca="false">'Flux de trésorerie'!H58</f>
        <v>0</v>
      </c>
      <c r="I10" s="49" t="n">
        <f aca="false">'Flux de trésorerie'!I58</f>
        <v>0</v>
      </c>
      <c r="J10" s="49" t="n">
        <f aca="false">'Flux de trésorerie'!J58</f>
        <v>0</v>
      </c>
      <c r="K10" s="49" t="n">
        <f aca="false">'Flux de trésorerie'!K58</f>
        <v>0</v>
      </c>
      <c r="L10" s="49" t="n">
        <f aca="false">'Flux de trésorerie'!L58</f>
        <v>0</v>
      </c>
      <c r="M10" s="49" t="n">
        <f aca="false">'Flux de trésorerie'!M58</f>
        <v>0</v>
      </c>
      <c r="N10" s="49" t="n">
        <f aca="false">'Flux de trésorerie'!N58</f>
        <v>0</v>
      </c>
      <c r="O10" s="49" t="n">
        <f aca="false">'Flux de trésorerie'!O58</f>
        <v>0</v>
      </c>
      <c r="P10" s="49" t="n">
        <f aca="false">'Flux de trésorerie'!P58</f>
        <v>0</v>
      </c>
      <c r="Q10" s="49" t="n">
        <f aca="false">'Flux de trésorerie'!Q58</f>
        <v>0</v>
      </c>
      <c r="R10" s="49" t="n">
        <f aca="false">'Flux de trésorerie'!R58</f>
        <v>0</v>
      </c>
      <c r="S10" s="49" t="n">
        <f aca="false">'Flux de trésorerie'!S58</f>
        <v>0</v>
      </c>
      <c r="T10" s="49" t="n">
        <f aca="false">'Flux de trésorerie'!T58</f>
        <v>0</v>
      </c>
      <c r="U10" s="49" t="n">
        <f aca="false">'Flux de trésorerie'!U58</f>
        <v>0</v>
      </c>
      <c r="V10" s="49" t="n">
        <f aca="false">'Flux de trésorerie'!V58</f>
        <v>0</v>
      </c>
      <c r="W10" s="49" t="n">
        <f aca="false">'Flux de trésorerie'!W58</f>
        <v>0</v>
      </c>
    </row>
    <row r="11" customFormat="false" ht="15" hidden="false" customHeight="false" outlineLevel="0" collapsed="false">
      <c r="A11" s="10" t="s">
        <v>338</v>
      </c>
      <c r="B11" s="61" t="n">
        <f aca="false">MAX(D11:W11)</f>
        <v>970</v>
      </c>
      <c r="D11" s="49" t="n">
        <f aca="false">'Flux de trésorerie'!D53</f>
        <v>582</v>
      </c>
      <c r="E11" s="49" t="n">
        <f aca="false">'Flux de trésorerie'!E53</f>
        <v>824.5</v>
      </c>
      <c r="F11" s="49" t="n">
        <f aca="false">'Flux de trésorerie'!F53</f>
        <v>970</v>
      </c>
      <c r="G11" s="49" t="n">
        <f aca="false">'Flux de trésorerie'!G53</f>
        <v>970</v>
      </c>
      <c r="H11" s="49" t="n">
        <f aca="false">'Flux de trésorerie'!H53</f>
        <v>970</v>
      </c>
      <c r="I11" s="49" t="n">
        <f aca="false">'Flux de trésorerie'!I53</f>
        <v>970</v>
      </c>
      <c r="J11" s="49" t="n">
        <f aca="false">'Flux de trésorerie'!J53</f>
        <v>970</v>
      </c>
      <c r="K11" s="49" t="n">
        <f aca="false">'Flux de trésorerie'!K53</f>
        <v>970</v>
      </c>
      <c r="L11" s="49" t="n">
        <f aca="false">'Flux de trésorerie'!L53</f>
        <v>970</v>
      </c>
      <c r="M11" s="49" t="n">
        <f aca="false">'Flux de trésorerie'!M53</f>
        <v>970</v>
      </c>
      <c r="N11" s="49" t="n">
        <f aca="false">'Flux de trésorerie'!N53</f>
        <v>970</v>
      </c>
      <c r="O11" s="49" t="n">
        <f aca="false">'Flux de trésorerie'!O53</f>
        <v>970</v>
      </c>
      <c r="P11" s="49" t="n">
        <f aca="false">'Flux de trésorerie'!P53</f>
        <v>970</v>
      </c>
      <c r="Q11" s="49" t="n">
        <f aca="false">'Flux de trésorerie'!Q53</f>
        <v>970</v>
      </c>
      <c r="R11" s="49" t="n">
        <f aca="false">'Flux de trésorerie'!R53</f>
        <v>970</v>
      </c>
      <c r="S11" s="49" t="n">
        <f aca="false">'Flux de trésorerie'!S53</f>
        <v>970</v>
      </c>
      <c r="T11" s="49" t="n">
        <f aca="false">'Flux de trésorerie'!T53</f>
        <v>970</v>
      </c>
      <c r="U11" s="49" t="n">
        <f aca="false">'Flux de trésorerie'!U53</f>
        <v>970</v>
      </c>
      <c r="V11" s="49" t="n">
        <f aca="false">'Flux de trésorerie'!V53</f>
        <v>970</v>
      </c>
      <c r="W11" s="49" t="n">
        <f aca="false">'Flux de trésorerie'!W53</f>
        <v>970</v>
      </c>
    </row>
    <row r="12" customFormat="false" ht="15" hidden="false" customHeight="false" outlineLevel="0" collapsed="false">
      <c r="A12" s="10" t="s">
        <v>339</v>
      </c>
      <c r="B12" s="61" t="n">
        <f aca="false">MAX(D12:W12)</f>
        <v>4000</v>
      </c>
      <c r="D12" s="49" t="n">
        <f aca="false">'Flux de trésorerie'!D48*HHSize</f>
        <v>2400</v>
      </c>
      <c r="E12" s="49" t="n">
        <f aca="false">'Flux de trésorerie'!E48*HHSize</f>
        <v>3400</v>
      </c>
      <c r="F12" s="49" t="n">
        <f aca="false">'Flux de trésorerie'!F48*HHSize</f>
        <v>4000</v>
      </c>
      <c r="G12" s="49" t="n">
        <f aca="false">'Flux de trésorerie'!G48*HHSize</f>
        <v>4000</v>
      </c>
      <c r="H12" s="49" t="n">
        <f aca="false">'Flux de trésorerie'!H48*HHSize</f>
        <v>4000</v>
      </c>
      <c r="I12" s="49" t="n">
        <f aca="false">'Flux de trésorerie'!I48*HHSize</f>
        <v>4000</v>
      </c>
      <c r="J12" s="49" t="n">
        <f aca="false">'Flux de trésorerie'!J48*HHSize</f>
        <v>4000</v>
      </c>
      <c r="K12" s="49" t="n">
        <f aca="false">'Flux de trésorerie'!K48*HHSize</f>
        <v>4000</v>
      </c>
      <c r="L12" s="49" t="n">
        <f aca="false">'Flux de trésorerie'!L48*HHSize</f>
        <v>4000</v>
      </c>
      <c r="M12" s="49" t="n">
        <f aca="false">'Flux de trésorerie'!M48*HHSize</f>
        <v>4000</v>
      </c>
      <c r="N12" s="49" t="n">
        <f aca="false">'Flux de trésorerie'!N48*HHSize</f>
        <v>4000</v>
      </c>
      <c r="O12" s="49" t="n">
        <f aca="false">'Flux de trésorerie'!O48*HHSize</f>
        <v>4000</v>
      </c>
      <c r="P12" s="49" t="n">
        <f aca="false">'Flux de trésorerie'!P48*HHSize</f>
        <v>4000</v>
      </c>
      <c r="Q12" s="49" t="n">
        <f aca="false">'Flux de trésorerie'!Q48*HHSize</f>
        <v>4000</v>
      </c>
      <c r="R12" s="49" t="n">
        <f aca="false">'Flux de trésorerie'!R48*HHSize</f>
        <v>4000</v>
      </c>
      <c r="S12" s="49" t="n">
        <f aca="false">'Flux de trésorerie'!S48*HHSize</f>
        <v>4000</v>
      </c>
      <c r="T12" s="49" t="n">
        <f aca="false">'Flux de trésorerie'!T48*HHSize</f>
        <v>4000</v>
      </c>
      <c r="U12" s="49" t="n">
        <f aca="false">'Flux de trésorerie'!U48*HHSize</f>
        <v>4000</v>
      </c>
      <c r="V12" s="49" t="n">
        <f aca="false">'Flux de trésorerie'!V48*HHSize</f>
        <v>4000</v>
      </c>
      <c r="W12" s="49" t="n">
        <f aca="false">'Flux de trésorerie'!W48*HHSize</f>
        <v>4000</v>
      </c>
    </row>
    <row r="13" customFormat="false" ht="15" hidden="false" customHeight="false" outlineLevel="0" collapsed="false">
      <c r="A13" s="10" t="s">
        <v>340</v>
      </c>
      <c r="B13" s="61" t="n">
        <f aca="false">MAX(D13:W13)</f>
        <v>60</v>
      </c>
      <c r="D13" s="49" t="n">
        <f aca="false">'Flux de trésorerie'!D49</f>
        <v>36</v>
      </c>
      <c r="E13" s="49" t="n">
        <f aca="false">'Flux de trésorerie'!E49</f>
        <v>51</v>
      </c>
      <c r="F13" s="49" t="n">
        <f aca="false">'Flux de trésorerie'!F49</f>
        <v>60</v>
      </c>
      <c r="G13" s="49" t="n">
        <f aca="false">'Flux de trésorerie'!G49</f>
        <v>60</v>
      </c>
      <c r="H13" s="49" t="n">
        <f aca="false">'Flux de trésorerie'!H49</f>
        <v>60</v>
      </c>
      <c r="I13" s="49" t="n">
        <f aca="false">'Flux de trésorerie'!I49</f>
        <v>60</v>
      </c>
      <c r="J13" s="49" t="n">
        <f aca="false">'Flux de trésorerie'!J49</f>
        <v>60</v>
      </c>
      <c r="K13" s="49" t="n">
        <f aca="false">'Flux de trésorerie'!K49</f>
        <v>60</v>
      </c>
      <c r="L13" s="49" t="n">
        <f aca="false">'Flux de trésorerie'!L49</f>
        <v>60</v>
      </c>
      <c r="M13" s="49" t="n">
        <f aca="false">'Flux de trésorerie'!M49</f>
        <v>60</v>
      </c>
      <c r="N13" s="49" t="n">
        <f aca="false">'Flux de trésorerie'!N49</f>
        <v>60</v>
      </c>
      <c r="O13" s="49" t="n">
        <f aca="false">'Flux de trésorerie'!O49</f>
        <v>60</v>
      </c>
      <c r="P13" s="49" t="n">
        <f aca="false">'Flux de trésorerie'!P49</f>
        <v>60</v>
      </c>
      <c r="Q13" s="49" t="n">
        <f aca="false">'Flux de trésorerie'!Q49</f>
        <v>60</v>
      </c>
      <c r="R13" s="49" t="n">
        <f aca="false">'Flux de trésorerie'!R49</f>
        <v>60</v>
      </c>
      <c r="S13" s="49" t="n">
        <f aca="false">'Flux de trésorerie'!S49</f>
        <v>60</v>
      </c>
      <c r="T13" s="49" t="n">
        <f aca="false">'Flux de trésorerie'!T49</f>
        <v>60</v>
      </c>
      <c r="U13" s="49" t="n">
        <f aca="false">'Flux de trésorerie'!U49</f>
        <v>60</v>
      </c>
      <c r="V13" s="49" t="n">
        <f aca="false">'Flux de trésorerie'!V49</f>
        <v>60</v>
      </c>
      <c r="W13" s="49" t="n">
        <f aca="false">'Flux de trésorerie'!W49</f>
        <v>60</v>
      </c>
    </row>
    <row r="14" customFormat="false" ht="15" hidden="false" customHeight="false" outlineLevel="0" collapsed="false">
      <c r="A14" s="10" t="s">
        <v>341</v>
      </c>
      <c r="B14" s="61" t="n">
        <f aca="false">MAX(D14:W14)</f>
        <v>90</v>
      </c>
      <c r="D14" s="49" t="n">
        <f aca="false">'Flux de trésorerie'!D49*JobsPerPU</f>
        <v>54</v>
      </c>
      <c r="E14" s="49" t="n">
        <f aca="false">'Flux de trésorerie'!E49*JobsPerPU</f>
        <v>76.5</v>
      </c>
      <c r="F14" s="49" t="n">
        <f aca="false">'Flux de trésorerie'!F49*JobsPerPU</f>
        <v>90</v>
      </c>
      <c r="G14" s="49" t="n">
        <f aca="false">'Flux de trésorerie'!G49*JobsPerPU</f>
        <v>90</v>
      </c>
      <c r="H14" s="49" t="n">
        <f aca="false">'Flux de trésorerie'!H49*JobsPerPU</f>
        <v>90</v>
      </c>
      <c r="I14" s="49" t="n">
        <f aca="false">'Flux de trésorerie'!I49*JobsPerPU</f>
        <v>90</v>
      </c>
      <c r="J14" s="49" t="n">
        <f aca="false">'Flux de trésorerie'!J49*JobsPerPU</f>
        <v>90</v>
      </c>
      <c r="K14" s="49" t="n">
        <f aca="false">'Flux de trésorerie'!K49*JobsPerPU</f>
        <v>90</v>
      </c>
      <c r="L14" s="49" t="n">
        <f aca="false">'Flux de trésorerie'!L49*JobsPerPU</f>
        <v>90</v>
      </c>
      <c r="M14" s="49" t="n">
        <f aca="false">'Flux de trésorerie'!M49*JobsPerPU</f>
        <v>90</v>
      </c>
      <c r="N14" s="49" t="n">
        <f aca="false">'Flux de trésorerie'!N49*JobsPerPU</f>
        <v>90</v>
      </c>
      <c r="O14" s="49" t="n">
        <f aca="false">'Flux de trésorerie'!O49*JobsPerPU</f>
        <v>90</v>
      </c>
      <c r="P14" s="49" t="n">
        <f aca="false">'Flux de trésorerie'!P49*JobsPerPU</f>
        <v>90</v>
      </c>
      <c r="Q14" s="49" t="n">
        <f aca="false">'Flux de trésorerie'!Q49*JobsPerPU</f>
        <v>90</v>
      </c>
      <c r="R14" s="49" t="n">
        <f aca="false">'Flux de trésorerie'!R49*JobsPerPU</f>
        <v>90</v>
      </c>
      <c r="S14" s="49" t="n">
        <f aca="false">'Flux de trésorerie'!S49*JobsPerPU</f>
        <v>90</v>
      </c>
      <c r="T14" s="49" t="n">
        <f aca="false">'Flux de trésorerie'!T49*JobsPerPU</f>
        <v>90</v>
      </c>
      <c r="U14" s="49" t="n">
        <f aca="false">'Flux de trésorerie'!U49*JobsPerPU</f>
        <v>90</v>
      </c>
      <c r="V14" s="49" t="n">
        <f aca="false">'Flux de trésorerie'!V49*JobsPerPU</f>
        <v>90</v>
      </c>
      <c r="W14" s="49" t="n">
        <f aca="false">'Flux de trésorerie'!W49*JobsPerPU</f>
        <v>90</v>
      </c>
    </row>
    <row r="15" customFormat="false" ht="15" hidden="false" customHeight="false" outlineLevel="0" collapsed="false">
      <c r="A15" s="10" t="s">
        <v>342</v>
      </c>
      <c r="B15" s="61" t="n">
        <f aca="false">MAX(D15:W15)</f>
        <v>10</v>
      </c>
      <c r="D15" s="49" t="n">
        <f aca="false">'Flux de trésorerie'!D51</f>
        <v>6</v>
      </c>
      <c r="E15" s="49" t="n">
        <f aca="false">'Flux de trésorerie'!E51</f>
        <v>8.5</v>
      </c>
      <c r="F15" s="49" t="n">
        <f aca="false">'Flux de trésorerie'!F51</f>
        <v>10</v>
      </c>
      <c r="G15" s="49" t="n">
        <f aca="false">'Flux de trésorerie'!G51</f>
        <v>10</v>
      </c>
      <c r="H15" s="49" t="n">
        <f aca="false">'Flux de trésorerie'!H51</f>
        <v>10</v>
      </c>
      <c r="I15" s="49" t="n">
        <f aca="false">'Flux de trésorerie'!I51</f>
        <v>10</v>
      </c>
      <c r="J15" s="49" t="n">
        <f aca="false">'Flux de trésorerie'!J51</f>
        <v>10</v>
      </c>
      <c r="K15" s="49" t="n">
        <f aca="false">'Flux de trésorerie'!K51</f>
        <v>10</v>
      </c>
      <c r="L15" s="49" t="n">
        <f aca="false">'Flux de trésorerie'!L51</f>
        <v>10</v>
      </c>
      <c r="M15" s="49" t="n">
        <f aca="false">'Flux de trésorerie'!M51</f>
        <v>10</v>
      </c>
      <c r="N15" s="49" t="n">
        <f aca="false">'Flux de trésorerie'!N51</f>
        <v>10</v>
      </c>
      <c r="O15" s="49" t="n">
        <f aca="false">'Flux de trésorerie'!O51</f>
        <v>10</v>
      </c>
      <c r="P15" s="49" t="n">
        <f aca="false">'Flux de trésorerie'!P51</f>
        <v>10</v>
      </c>
      <c r="Q15" s="49" t="n">
        <f aca="false">'Flux de trésorerie'!Q51</f>
        <v>10</v>
      </c>
      <c r="R15" s="49" t="n">
        <f aca="false">'Flux de trésorerie'!R51</f>
        <v>10</v>
      </c>
      <c r="S15" s="49" t="n">
        <f aca="false">'Flux de trésorerie'!S51</f>
        <v>10</v>
      </c>
      <c r="T15" s="49" t="n">
        <f aca="false">'Flux de trésorerie'!T51</f>
        <v>10</v>
      </c>
      <c r="U15" s="49" t="n">
        <f aca="false">'Flux de trésorerie'!U51</f>
        <v>10</v>
      </c>
      <c r="V15" s="49" t="n">
        <f aca="false">'Flux de trésorerie'!V51</f>
        <v>10</v>
      </c>
      <c r="W15" s="49" t="n">
        <f aca="false">'Flux de trésorerie'!W51</f>
        <v>10</v>
      </c>
    </row>
    <row r="17" customFormat="false" ht="15" hidden="false" customHeight="false" outlineLevel="0" collapsed="false">
      <c r="A17" s="8" t="s">
        <v>343</v>
      </c>
      <c r="B17" s="9"/>
      <c r="C17" s="9"/>
      <c r="D17" s="9"/>
      <c r="E17" s="9"/>
      <c r="F17" s="9"/>
      <c r="G17" s="9"/>
      <c r="H17" s="9"/>
      <c r="I17" s="9"/>
      <c r="J17" s="9"/>
      <c r="K17" s="9"/>
      <c r="L17" s="9"/>
      <c r="M17" s="9"/>
      <c r="N17" s="9"/>
      <c r="O17" s="9"/>
      <c r="P17" s="9"/>
      <c r="Q17" s="9"/>
      <c r="R17" s="9"/>
      <c r="S17" s="9"/>
      <c r="T17" s="9"/>
      <c r="U17" s="9"/>
      <c r="V17" s="9"/>
      <c r="W17" s="9"/>
    </row>
    <row r="18" customFormat="false" ht="15" hidden="false" customHeight="false" outlineLevel="0" collapsed="false">
      <c r="A18" s="10" t="s">
        <v>344</v>
      </c>
      <c r="B18" s="69" t="n">
        <f aca="false">SUM(D18:W18)</f>
        <v>9260.54360105247</v>
      </c>
      <c r="D18" s="70" t="n">
        <f aca="false">'Flux de trésorerie'!D66/1000</f>
        <v>211.139712</v>
      </c>
      <c r="E18" s="70" t="n">
        <f aca="false">'Flux de trésorerie'!E66/1000</f>
        <v>308.08802976</v>
      </c>
      <c r="F18" s="70" t="n">
        <f aca="false">'Flux de trésorerie'!F66/1000</f>
        <v>373.330200768</v>
      </c>
      <c r="G18" s="70" t="n">
        <f aca="false">'Flux de trésorerie'!G66/1000</f>
        <v>384.53010679104</v>
      </c>
      <c r="H18" s="70" t="n">
        <f aca="false">'Flux de trésorerie'!H66/1000</f>
        <v>396.066009994771</v>
      </c>
      <c r="I18" s="70" t="n">
        <f aca="false">'Flux de trésorerie'!I66/1000</f>
        <v>407.947990294614</v>
      </c>
      <c r="J18" s="70" t="n">
        <f aca="false">'Flux de trésorerie'!J66/1000</f>
        <v>420.186430003453</v>
      </c>
      <c r="K18" s="70" t="n">
        <f aca="false">'Flux de trésorerie'!K66/1000</f>
        <v>432.792022903556</v>
      </c>
      <c r="L18" s="70" t="n">
        <f aca="false">'Flux de trésorerie'!L66/1000</f>
        <v>445.775783590663</v>
      </c>
      <c r="M18" s="70" t="n">
        <f aca="false">'Flux de trésorerie'!M66/1000</f>
        <v>459.149057098383</v>
      </c>
      <c r="N18" s="70" t="n">
        <f aca="false">'Flux de trésorerie'!N66/1000</f>
        <v>472.923528811335</v>
      </c>
      <c r="O18" s="70" t="n">
        <f aca="false">'Flux de trésorerie'!O66/1000</f>
        <v>487.111234675675</v>
      </c>
      <c r="P18" s="70" t="n">
        <f aca="false">'Flux de trésorerie'!P66/1000</f>
        <v>501.724571715945</v>
      </c>
      <c r="Q18" s="70" t="n">
        <f aca="false">'Flux de trésorerie'!Q66/1000</f>
        <v>516.776308867423</v>
      </c>
      <c r="R18" s="70" t="n">
        <f aca="false">'Flux de trésorerie'!R66/1000</f>
        <v>532.279598133446</v>
      </c>
      <c r="S18" s="70" t="n">
        <f aca="false">'Flux de trésorerie'!S66/1000</f>
        <v>548.247986077449</v>
      </c>
      <c r="T18" s="70" t="n">
        <f aca="false">'Flux de trésorerie'!T66/1000</f>
        <v>564.695425659773</v>
      </c>
      <c r="U18" s="70" t="n">
        <f aca="false">'Flux de trésorerie'!U66/1000</f>
        <v>581.636288429566</v>
      </c>
      <c r="V18" s="70" t="n">
        <f aca="false">'Flux de trésorerie'!V66/1000</f>
        <v>599.085377082453</v>
      </c>
      <c r="W18" s="70" t="n">
        <f aca="false">'Flux de trésorerie'!W66/1000</f>
        <v>617.057938394927</v>
      </c>
    </row>
    <row r="19" customFormat="false" ht="15" hidden="false" customHeight="false" outlineLevel="0" collapsed="false">
      <c r="A19" s="10" t="s">
        <v>345</v>
      </c>
      <c r="B19" s="69" t="n">
        <f aca="false">SUM(D19:W19)</f>
        <v>2944.73372369716</v>
      </c>
      <c r="D19" s="70" t="n">
        <f aca="false">'Flux de trésorerie'!D62/1000</f>
        <v>67.139712</v>
      </c>
      <c r="E19" s="70" t="n">
        <f aca="false">'Flux de trésorerie'!E62/1000</f>
        <v>97.96802976</v>
      </c>
      <c r="F19" s="70" t="n">
        <f aca="false">'Flux de trésorerie'!F62/1000</f>
        <v>118.714200768</v>
      </c>
      <c r="G19" s="70" t="n">
        <f aca="false">'Flux de trésorerie'!G62/1000</f>
        <v>122.27562679104</v>
      </c>
      <c r="H19" s="70" t="n">
        <f aca="false">'Flux de trésorerie'!H62/1000</f>
        <v>125.943895594771</v>
      </c>
      <c r="I19" s="70" t="n">
        <f aca="false">'Flux de trésorerie'!I62/1000</f>
        <v>129.722212462614</v>
      </c>
      <c r="J19" s="70" t="n">
        <f aca="false">'Flux de trésorerie'!J62/1000</f>
        <v>133.613878836493</v>
      </c>
      <c r="K19" s="70" t="n">
        <f aca="false">'Flux de trésorerie'!K62/1000</f>
        <v>137.622295201588</v>
      </c>
      <c r="L19" s="70" t="n">
        <f aca="false">'Flux de trésorerie'!L62/1000</f>
        <v>141.750964057635</v>
      </c>
      <c r="M19" s="70" t="n">
        <f aca="false">'Flux de trésorerie'!M62/1000</f>
        <v>146.003492979364</v>
      </c>
      <c r="N19" s="70" t="n">
        <f aca="false">'Flux de trésorerie'!N62/1000</f>
        <v>150.383597768745</v>
      </c>
      <c r="O19" s="70" t="n">
        <f aca="false">'Flux de trésorerie'!O62/1000</f>
        <v>154.895105701808</v>
      </c>
      <c r="P19" s="70" t="n">
        <f aca="false">'Flux de trésorerie'!P62/1000</f>
        <v>159.541958872862</v>
      </c>
      <c r="Q19" s="70" t="n">
        <f aca="false">'Flux de trésorerie'!Q62/1000</f>
        <v>164.328217639048</v>
      </c>
      <c r="R19" s="70" t="n">
        <f aca="false">'Flux de trésorerie'!R62/1000</f>
        <v>169.258064168219</v>
      </c>
      <c r="S19" s="70" t="n">
        <f aca="false">'Flux de trésorerie'!S62/1000</f>
        <v>174.335806093266</v>
      </c>
      <c r="T19" s="70" t="n">
        <f aca="false">'Flux de trésorerie'!T62/1000</f>
        <v>179.565880276064</v>
      </c>
      <c r="U19" s="70" t="n">
        <f aca="false">'Flux de trésorerie'!U62/1000</f>
        <v>184.952856684346</v>
      </c>
      <c r="V19" s="70" t="n">
        <f aca="false">'Flux de trésorerie'!V62/1000</f>
        <v>190.501442384876</v>
      </c>
      <c r="W19" s="70" t="n">
        <f aca="false">'Flux de trésorerie'!W62/1000</f>
        <v>196.216485656422</v>
      </c>
    </row>
    <row r="20" customFormat="false" ht="15" hidden="false" customHeight="false" outlineLevel="0" collapsed="false">
      <c r="A20" s="10" t="s">
        <v>346</v>
      </c>
      <c r="B20" s="69" t="n">
        <f aca="false">SUM(D20:W20)</f>
        <v>7903.45319236348</v>
      </c>
      <c r="D20" s="70" t="n">
        <f aca="false">'Flux de trésorerie'!D71/1000</f>
        <v>215.938341818182</v>
      </c>
      <c r="E20" s="70" t="n">
        <f aca="false">'Flux de trésorerie'!E71/1000</f>
        <v>315.090030436364</v>
      </c>
      <c r="F20" s="70" t="n">
        <f aca="false">'Flux de trésorerie'!F71/1000</f>
        <v>381.814978058182</v>
      </c>
      <c r="G20" s="70" t="n">
        <f aca="false">'Flux de trésorerie'!G71/1000</f>
        <v>393.269427399927</v>
      </c>
      <c r="H20" s="70" t="n">
        <f aca="false">'Flux de trésorerie'!H71/1000</f>
        <v>405.067510221925</v>
      </c>
      <c r="I20" s="70" t="n">
        <f aca="false">'Flux de trésorerie'!I71/1000</f>
        <v>417.219535528583</v>
      </c>
      <c r="J20" s="70" t="n">
        <f aca="false">'Flux de trésorerie'!J71/1000</f>
        <v>426.078172123344</v>
      </c>
      <c r="K20" s="70" t="n">
        <f aca="false">'Flux de trésorerie'!K71/1000</f>
        <v>423.947781262727</v>
      </c>
      <c r="L20" s="70" t="n">
        <f aca="false">'Flux de trésorerie'!L71/1000</f>
        <v>421.828042356414</v>
      </c>
      <c r="M20" s="70" t="n">
        <f aca="false">'Flux de trésorerie'!M71/1000</f>
        <v>419.718902144632</v>
      </c>
      <c r="N20" s="70" t="n">
        <f aca="false">'Flux de trésorerie'!N71/1000</f>
        <v>417.620307633909</v>
      </c>
      <c r="O20" s="70" t="n">
        <f aca="false">'Flux de trésorerie'!O71/1000</f>
        <v>415.532206095739</v>
      </c>
      <c r="P20" s="70" t="n">
        <f aca="false">'Flux de trésorerie'!P71/1000</f>
        <v>413.45454506526</v>
      </c>
      <c r="Q20" s="70" t="n">
        <f aca="false">'Flux de trésorerie'!Q71/1000</f>
        <v>411.387272339934</v>
      </c>
      <c r="R20" s="70" t="n">
        <f aca="false">'Flux de trésorerie'!R71/1000</f>
        <v>409.330335978234</v>
      </c>
      <c r="S20" s="70" t="n">
        <f aca="false">'Flux de trésorerie'!S71/1000</f>
        <v>407.283684298343</v>
      </c>
      <c r="T20" s="70" t="n">
        <f aca="false">'Flux de trésorerie'!T71/1000</f>
        <v>405.247265876851</v>
      </c>
      <c r="U20" s="70" t="n">
        <f aca="false">'Flux de trésorerie'!U71/1000</f>
        <v>403.221029547467</v>
      </c>
      <c r="V20" s="70" t="n">
        <f aca="false">'Flux de trésorerie'!V71/1000</f>
        <v>401.20492439973</v>
      </c>
      <c r="W20" s="70" t="n">
        <f aca="false">'Flux de trésorerie'!W71/1000</f>
        <v>399.198899777731</v>
      </c>
    </row>
    <row r="21" customFormat="false" ht="15" hidden="false" customHeight="false" outlineLevel="0" collapsed="false">
      <c r="A21" s="10" t="s">
        <v>347</v>
      </c>
      <c r="B21" s="63"/>
      <c r="D21" s="71" t="n">
        <f aca="false">'Flux de trésorerie'!D73</f>
        <v>0.9</v>
      </c>
      <c r="E21" s="71" t="n">
        <f aca="false">'Flux de trésorerie'!E73</f>
        <v>0.9</v>
      </c>
      <c r="F21" s="71" t="n">
        <f aca="false">'Flux de trésorerie'!F73</f>
        <v>0.9</v>
      </c>
      <c r="G21" s="71" t="n">
        <f aca="false">'Flux de trésorerie'!G73</f>
        <v>0.9</v>
      </c>
      <c r="H21" s="71" t="n">
        <f aca="false">'Flux de trésorerie'!H73</f>
        <v>0.9</v>
      </c>
      <c r="I21" s="71" t="n">
        <f aca="false">'Flux de trésorerie'!I73</f>
        <v>0.9</v>
      </c>
      <c r="J21" s="71" t="n">
        <f aca="false">'Flux de trésorerie'!J73</f>
        <v>0.892339125434065</v>
      </c>
      <c r="K21" s="71" t="n">
        <f aca="false">'Flux de trésorerie'!K73</f>
        <v>0.862016922142616</v>
      </c>
      <c r="L21" s="71" t="n">
        <f aca="false">'Flux de trésorerie'!L73</f>
        <v>0.83272508498243</v>
      </c>
      <c r="M21" s="71" t="n">
        <f aca="false">'Flux de trésorerie'!M73</f>
        <v>0.804428601512153</v>
      </c>
      <c r="N21" s="71" t="n">
        <f aca="false">'Flux de trésorerie'!N73</f>
        <v>0.777093649033585</v>
      </c>
      <c r="O21" s="71" t="n">
        <f aca="false">'Flux de trésorerie'!O73</f>
        <v>0.750687554163511</v>
      </c>
      <c r="P21" s="71" t="n">
        <f aca="false">'Flux de trésorerie'!P73</f>
        <v>0.725178753779314</v>
      </c>
      <c r="Q21" s="71" t="n">
        <f aca="false">'Flux de trésorerie'!Q73</f>
        <v>0.700536757291668</v>
      </c>
      <c r="R21" s="71" t="n">
        <f aca="false">'Flux de trésorerie'!R73</f>
        <v>0.676732110199232</v>
      </c>
      <c r="S21" s="71" t="n">
        <f aca="false">'Flux de trésorerie'!S73</f>
        <v>0.653736358881783</v>
      </c>
      <c r="T21" s="71" t="n">
        <f aca="false">'Flux de trésorerie'!T73</f>
        <v>0.631522016589683</v>
      </c>
      <c r="U21" s="71" t="n">
        <f aca="false">'Flux de trésorerie'!U73</f>
        <v>0.610062530589063</v>
      </c>
      <c r="V21" s="71" t="n">
        <f aca="false">'Flux de trésorerie'!V73</f>
        <v>0.589332250423415</v>
      </c>
      <c r="W21" s="71" t="n">
        <f aca="false">'Flux de trésorerie'!W73</f>
        <v>0.569306397253687</v>
      </c>
    </row>
    <row r="22" customFormat="false" ht="15" hidden="false" customHeight="false" outlineLevel="0" collapsed="false">
      <c r="A22" s="10" t="s">
        <v>348</v>
      </c>
      <c r="B22" s="69" t="n">
        <f aca="false">SUM(D22:W22)</f>
        <v>7060.41818517804</v>
      </c>
      <c r="D22" s="70" t="n">
        <f aca="false">'Flux de trésorerie'!D71/DieselEff*CO2perL/1000*BaselineShare</f>
        <v>192.904918690909</v>
      </c>
      <c r="E22" s="70" t="n">
        <f aca="false">'Flux de trésorerie'!E71/DieselEff*CO2perL/1000*BaselineShare</f>
        <v>281.480427189818</v>
      </c>
      <c r="F22" s="70" t="n">
        <f aca="false">'Flux de trésorerie'!F71/DieselEff*CO2perL/1000*BaselineShare</f>
        <v>341.088047065309</v>
      </c>
      <c r="G22" s="70" t="n">
        <f aca="false">'Flux de trésorerie'!G71/DieselEff*CO2perL/1000*BaselineShare</f>
        <v>351.320688477268</v>
      </c>
      <c r="H22" s="70" t="n">
        <f aca="false">'Flux de trésorerie'!H71/DieselEff*CO2perL/1000*BaselineShare</f>
        <v>361.860309131586</v>
      </c>
      <c r="I22" s="70" t="n">
        <f aca="false">'Flux de trésorerie'!I71/DieselEff*CO2perL/1000*BaselineShare</f>
        <v>372.716118405534</v>
      </c>
      <c r="J22" s="70" t="n">
        <f aca="false">'Flux de trésorerie'!J71/DieselEff*CO2perL/1000*BaselineShare</f>
        <v>380.629833763521</v>
      </c>
      <c r="K22" s="70" t="n">
        <f aca="false">'Flux de trésorerie'!K71/DieselEff*CO2perL/1000*BaselineShare</f>
        <v>378.726684594703</v>
      </c>
      <c r="L22" s="70" t="n">
        <f aca="false">'Flux de trésorerie'!L71/DieselEff*CO2perL/1000*BaselineShare</f>
        <v>376.83305117173</v>
      </c>
      <c r="M22" s="70" t="n">
        <f aca="false">'Flux de trésorerie'!M71/DieselEff*CO2perL/1000*BaselineShare</f>
        <v>374.948885915871</v>
      </c>
      <c r="N22" s="70" t="n">
        <f aca="false">'Flux de trésorerie'!N71/DieselEff*CO2perL/1000*BaselineShare</f>
        <v>373.074141486292</v>
      </c>
      <c r="O22" s="70" t="n">
        <f aca="false">'Flux de trésorerie'!O71/DieselEff*CO2perL/1000*BaselineShare</f>
        <v>371.20877077886</v>
      </c>
      <c r="P22" s="70" t="n">
        <f aca="false">'Flux de trésorerie'!P71/DieselEff*CO2perL/1000*BaselineShare</f>
        <v>369.352726924966</v>
      </c>
      <c r="Q22" s="70" t="n">
        <f aca="false">'Flux de trésorerie'!Q71/DieselEff*CO2perL/1000*BaselineShare</f>
        <v>367.505963290341</v>
      </c>
      <c r="R22" s="70" t="n">
        <f aca="false">'Flux de trésorerie'!R71/DieselEff*CO2perL/1000*BaselineShare</f>
        <v>365.668433473889</v>
      </c>
      <c r="S22" s="70" t="n">
        <f aca="false">'Flux de trésorerie'!S71/DieselEff*CO2perL/1000*BaselineShare</f>
        <v>363.84009130652</v>
      </c>
      <c r="T22" s="70" t="n">
        <f aca="false">'Flux de trésorerie'!T71/DieselEff*CO2perL/1000*BaselineShare</f>
        <v>362.020890849987</v>
      </c>
      <c r="U22" s="70" t="n">
        <f aca="false">'Flux de trésorerie'!U71/DieselEff*CO2perL/1000*BaselineShare</f>
        <v>360.210786395737</v>
      </c>
      <c r="V22" s="70" t="n">
        <f aca="false">'Flux de trésorerie'!V71/DieselEff*CO2perL/1000*BaselineShare</f>
        <v>358.409732463759</v>
      </c>
      <c r="W22" s="70" t="n">
        <f aca="false">'Flux de trésorerie'!W71/DieselEff*CO2perL/1000*BaselineShare</f>
        <v>356.61768380144</v>
      </c>
    </row>
    <row r="24" customFormat="false" ht="15" hidden="false" customHeight="false" outlineLevel="0" collapsed="false">
      <c r="A24" s="8" t="s">
        <v>349</v>
      </c>
      <c r="B24" s="9"/>
      <c r="C24" s="9"/>
      <c r="D24" s="9"/>
      <c r="E24" s="9"/>
      <c r="F24" s="9"/>
      <c r="G24" s="9"/>
      <c r="H24" s="9"/>
      <c r="I24" s="9"/>
      <c r="J24" s="9"/>
      <c r="K24" s="9"/>
      <c r="L24" s="9"/>
      <c r="M24" s="9"/>
      <c r="N24" s="9"/>
      <c r="O24" s="9"/>
      <c r="P24" s="9"/>
      <c r="Q24" s="9"/>
      <c r="R24" s="9"/>
      <c r="S24" s="9"/>
      <c r="T24" s="9"/>
      <c r="U24" s="9"/>
      <c r="V24" s="9"/>
      <c r="W24" s="9"/>
    </row>
    <row r="25" customFormat="false" ht="15" hidden="false" customHeight="false" outlineLevel="0" collapsed="false">
      <c r="A25" s="10" t="s">
        <v>350</v>
      </c>
      <c r="B25" s="61" t="n">
        <f aca="false">SUM(D25:W25)</f>
        <v>252000</v>
      </c>
      <c r="D25" s="49" t="n">
        <f aca="false">'Flux de trésorerie'!D107</f>
        <v>151200</v>
      </c>
      <c r="E25" s="49" t="n">
        <f aca="false">'Flux de trésorerie'!E107</f>
        <v>63000</v>
      </c>
      <c r="F25" s="49" t="n">
        <f aca="false">'Flux de trésorerie'!F107</f>
        <v>37800</v>
      </c>
      <c r="G25" s="49" t="n">
        <f aca="false">'Flux de trésorerie'!G107</f>
        <v>0</v>
      </c>
      <c r="H25" s="49" t="n">
        <f aca="false">'Flux de trésorerie'!H107</f>
        <v>0</v>
      </c>
      <c r="I25" s="49" t="n">
        <f aca="false">'Flux de trésorerie'!I107</f>
        <v>0</v>
      </c>
      <c r="J25" s="49" t="n">
        <f aca="false">'Flux de trésorerie'!J107</f>
        <v>0</v>
      </c>
      <c r="K25" s="49" t="n">
        <f aca="false">'Flux de trésorerie'!K107</f>
        <v>0</v>
      </c>
      <c r="L25" s="49" t="n">
        <f aca="false">'Flux de trésorerie'!L107</f>
        <v>0</v>
      </c>
      <c r="M25" s="49" t="n">
        <f aca="false">'Flux de trésorerie'!M107</f>
        <v>0</v>
      </c>
      <c r="N25" s="49" t="n">
        <f aca="false">'Flux de trésorerie'!N107</f>
        <v>0</v>
      </c>
      <c r="O25" s="49" t="n">
        <f aca="false">'Flux de trésorerie'!O107</f>
        <v>0</v>
      </c>
      <c r="P25" s="49" t="n">
        <f aca="false">'Flux de trésorerie'!P107</f>
        <v>0</v>
      </c>
      <c r="Q25" s="49" t="n">
        <f aca="false">'Flux de trésorerie'!Q107</f>
        <v>0</v>
      </c>
      <c r="R25" s="49" t="n">
        <f aca="false">'Flux de trésorerie'!R107</f>
        <v>0</v>
      </c>
      <c r="S25" s="49" t="n">
        <f aca="false">'Flux de trésorerie'!S107</f>
        <v>0</v>
      </c>
      <c r="T25" s="49" t="n">
        <f aca="false">'Flux de trésorerie'!T107</f>
        <v>0</v>
      </c>
      <c r="U25" s="49" t="n">
        <f aca="false">'Flux de trésorerie'!U107</f>
        <v>0</v>
      </c>
      <c r="V25" s="49" t="n">
        <f aca="false">'Flux de trésorerie'!V107</f>
        <v>0</v>
      </c>
      <c r="W25" s="49" t="n">
        <f aca="false">'Flux de trésorerie'!W107</f>
        <v>0</v>
      </c>
    </row>
    <row r="26" customFormat="false" ht="15" hidden="false" customHeight="false" outlineLevel="0" collapsed="false">
      <c r="A26" s="10" t="s">
        <v>351</v>
      </c>
      <c r="B26" s="61" t="n">
        <f aca="false">SUM(D26:W26)</f>
        <v>252000</v>
      </c>
      <c r="D26" s="49" t="n">
        <f aca="false">'Flux de trésorerie'!D108</f>
        <v>151200</v>
      </c>
      <c r="E26" s="49" t="n">
        <f aca="false">'Flux de trésorerie'!E108</f>
        <v>63000</v>
      </c>
      <c r="F26" s="49" t="n">
        <f aca="false">'Flux de trésorerie'!F108</f>
        <v>37800</v>
      </c>
      <c r="G26" s="49" t="n">
        <f aca="false">'Flux de trésorerie'!G108</f>
        <v>0</v>
      </c>
      <c r="H26" s="49" t="n">
        <f aca="false">'Flux de trésorerie'!H108</f>
        <v>0</v>
      </c>
      <c r="I26" s="49" t="n">
        <f aca="false">'Flux de trésorerie'!I108</f>
        <v>0</v>
      </c>
      <c r="J26" s="49" t="n">
        <f aca="false">'Flux de trésorerie'!J108</f>
        <v>0</v>
      </c>
      <c r="K26" s="49" t="n">
        <f aca="false">'Flux de trésorerie'!K108</f>
        <v>0</v>
      </c>
      <c r="L26" s="49" t="n">
        <f aca="false">'Flux de trésorerie'!L108</f>
        <v>0</v>
      </c>
      <c r="M26" s="49" t="n">
        <f aca="false">'Flux de trésorerie'!M108</f>
        <v>0</v>
      </c>
      <c r="N26" s="49" t="n">
        <f aca="false">'Flux de trésorerie'!N108</f>
        <v>0</v>
      </c>
      <c r="O26" s="49" t="n">
        <f aca="false">'Flux de trésorerie'!O108</f>
        <v>0</v>
      </c>
      <c r="P26" s="49" t="n">
        <f aca="false">'Flux de trésorerie'!P108</f>
        <v>0</v>
      </c>
      <c r="Q26" s="49" t="n">
        <f aca="false">'Flux de trésorerie'!Q108</f>
        <v>0</v>
      </c>
      <c r="R26" s="49" t="n">
        <f aca="false">'Flux de trésorerie'!R108</f>
        <v>0</v>
      </c>
      <c r="S26" s="49" t="n">
        <f aca="false">'Flux de trésorerie'!S108</f>
        <v>0</v>
      </c>
      <c r="T26" s="49" t="n">
        <f aca="false">'Flux de trésorerie'!T108</f>
        <v>0</v>
      </c>
      <c r="U26" s="49" t="n">
        <f aca="false">'Flux de trésorerie'!U108</f>
        <v>0</v>
      </c>
      <c r="V26" s="49" t="n">
        <f aca="false">'Flux de trésorerie'!V108</f>
        <v>0</v>
      </c>
      <c r="W26" s="49" t="n">
        <f aca="false">'Flux de trésorerie'!W108</f>
        <v>0</v>
      </c>
    </row>
    <row r="28" customFormat="false" ht="15" hidden="false" customHeight="false" outlineLevel="0" collapsed="false">
      <c r="A28" s="8" t="s">
        <v>352</v>
      </c>
      <c r="B28" s="9"/>
    </row>
    <row r="29" customFormat="false" ht="15" hidden="false" customHeight="false" outlineLevel="0" collapsed="false">
      <c r="A29" s="46" t="s">
        <v>353</v>
      </c>
      <c r="B29" s="57" t="n">
        <f aca="false">Grant+'Flux de trésorerie'!$B$108</f>
        <v>852000</v>
      </c>
    </row>
    <row r="30" customFormat="false" ht="15" hidden="false" customHeight="false" outlineLevel="0" collapsed="false">
      <c r="A30" s="46" t="s">
        <v>354</v>
      </c>
      <c r="B30" s="57" t="n">
        <f aca="false">SenAmt+'Flux de trésorerie'!$B$18+'Flux de trésorerie'!$B$19</f>
        <v>449597.33743806</v>
      </c>
    </row>
    <row r="31" customFormat="false" ht="15" hidden="false" customHeight="false" outlineLevel="0" collapsed="false">
      <c r="A31" s="46" t="s">
        <v>248</v>
      </c>
      <c r="B31" s="57" t="n">
        <f aca="false">ConAmt</f>
        <v>110602.051030273</v>
      </c>
    </row>
    <row r="32" customFormat="false" ht="15" hidden="false" customHeight="false" outlineLevel="0" collapsed="false">
      <c r="A32" s="46" t="s">
        <v>355</v>
      </c>
      <c r="B32" s="58" t="n">
        <f aca="false">IFERROR(PrivateCap/PublicGrant,0)</f>
        <v>0.527696405443733</v>
      </c>
    </row>
    <row r="33" customFormat="false" ht="15" hidden="false" customHeight="false" outlineLevel="0" collapsed="false">
      <c r="A33" s="46" t="s">
        <v>356</v>
      </c>
      <c r="B33" s="57" t="n">
        <f aca="false">IFERROR(PublicGrant/TotalCustomers,0)</f>
        <v>878.350515463918</v>
      </c>
    </row>
    <row r="34" customFormat="false" ht="15" hidden="false" customHeight="false" outlineLevel="0" collapsed="false">
      <c r="A34" s="46" t="s">
        <v>357</v>
      </c>
      <c r="B34" s="57" t="n">
        <f aca="false">IFERROR(PublicGrant/$B$12,0)</f>
        <v>213</v>
      </c>
    </row>
    <row r="35" customFormat="false" ht="15" hidden="false" customHeight="false" outlineLevel="0" collapsed="false">
      <c r="A35" s="46" t="s">
        <v>358</v>
      </c>
      <c r="B35" s="57" t="n">
        <f aca="false">IFERROR(PublicGrant/$B$22,0)</f>
        <v>120.672738873826</v>
      </c>
    </row>
    <row r="36" customFormat="false" ht="15" hidden="false" customHeight="false" outlineLevel="0" collapsed="false">
      <c r="A36" s="46" t="s">
        <v>359</v>
      </c>
      <c r="B36" s="57" t="n">
        <f aca="false">$B$12</f>
        <v>4000</v>
      </c>
    </row>
    <row r="37" customFormat="false" ht="15" hidden="false" customHeight="false" outlineLevel="0" collapsed="false">
      <c r="A37" s="46" t="s">
        <v>360</v>
      </c>
      <c r="B37" s="57" t="n">
        <f aca="false">$B$22</f>
        <v>7060.41818517804</v>
      </c>
    </row>
    <row r="38" customFormat="false" ht="15" hidden="false" customHeight="false" outlineLevel="0" collapsed="false">
      <c r="A38" s="46" t="s">
        <v>361</v>
      </c>
      <c r="B38" s="57" t="n">
        <f aca="false">$B$14</f>
        <v>90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18"/>
    <col collapsed="false" customWidth="true" hidden="false" outlineLevel="0" max="4" min="4" style="0" width="12"/>
    <col collapsed="false" customWidth="true" hidden="false" outlineLevel="0" max="5" min="5" style="0" width="50"/>
    <col collapsed="false" customWidth="true" hidden="false" outlineLevel="0" max="6" min="6" style="0" width="18"/>
  </cols>
  <sheetData>
    <row r="1" customFormat="false" ht="19.7" hidden="false" customHeight="false" outlineLevel="0" collapsed="false">
      <c r="B1" s="6" t="str">
        <f aca="false">"DEMANDE DE FINANCEMENT - "&amp;ProjectName</f>
        <v>DEMANDE DE FINANCEMENT - Mini-réseau villageois (exemple)</v>
      </c>
    </row>
    <row r="2" customFormat="false" ht="15" hidden="false" customHeight="false" outlineLevel="0" collapsed="false">
      <c r="B2" s="7" t="s">
        <v>362</v>
      </c>
    </row>
    <row r="4" customFormat="false" ht="15" hidden="false" customHeight="false" outlineLevel="0" collapsed="false">
      <c r="B4" s="45" t="s">
        <v>363</v>
      </c>
    </row>
    <row r="5" customFormat="false" ht="43.5" hidden="false" customHeight="true" outlineLevel="0" collapsed="false">
      <c r="B5" s="72" t="str">
        <f aca="false">Sponsor&amp;" construira et exploitera un mini-réseau solaire PV-batterie-diesel à "&amp;Site&amp;", raccordant "&amp;FIXED(TotalCustomers,0)&amp;" clients ("&amp;FIXED(Seg1_N,0)&amp;" ménages, "&amp;FIXED(Seg2_N,0)&amp;" usagers productifs, "&amp;FIXED(Seg3_N,0)&amp;" commerces et "&amp;FIXED(Seg4_N,0)&amp;" institutions publiques) et donnant accès à l'électricité à environ "&amp;FIXED(People,0)&amp;" personnes."</f>
        <v>Énergie Exemple SARL construira et exploitera un mini-réseau solaire PV-batterie-diesel à Site exemple, raccordant 970 clients (800 ménages, 60 usagers productifs, 100 commerces et 10 institutions publiques) et donnant accès à l'électricité à environ 4,000 personnes.</v>
      </c>
      <c r="C5" s="72"/>
      <c r="D5" s="72"/>
      <c r="E5" s="72"/>
      <c r="F5" s="72"/>
    </row>
    <row r="7" customFormat="false" ht="15" hidden="false" customHeight="false" outlineLevel="0" collapsed="false">
      <c r="B7" s="45" t="s">
        <v>364</v>
      </c>
    </row>
    <row r="8" customFormat="false" ht="43.5" hidden="false" customHeight="true" outlineLevel="0" collapsed="false">
      <c r="B8" s="72" t="str">
        <f aca="false">"Le système associe "&amp;FIXED(PV_kWp,0)&amp;" kWc de solaire PV, "&amp;FIXED(BESS_kWh,0)&amp;" kWh de stockage par batterie et un groupe de secours de "&amp;FIXED(Diesel_kW,0)&amp;" kW. Il fournit "&amp;FIXED(SUM('Flux de trésorerie'!$D$66:$W$66)/1000,0)&amp;" MWh sur sa durée de vie, avec une part renouvelable moyenne de "&amp;FIXED(('Flux de trésorerie'!$B$71/'Flux de trésorerie'!$B$69)*100,0)&amp;"%"&amp;"."</f>
        <v>Le système associe 293 kWc de solaire PV, 540 kWh de stockage par batterie et un groupe de secours de 87 kW. Il fournit 9,261 MWh sur sa durée de vie, avec une part renouvelable moyenne de 75%.</v>
      </c>
      <c r="C8" s="72"/>
      <c r="D8" s="72"/>
      <c r="E8" s="72"/>
      <c r="F8" s="72"/>
    </row>
    <row r="10" customFormat="false" ht="15" hidden="false" customHeight="false" outlineLevel="0" collapsed="false">
      <c r="B10" s="45" t="s">
        <v>365</v>
      </c>
    </row>
    <row r="11" customFormat="false" ht="43.5" hidden="false" customHeight="true" outlineLevel="0" collapsed="false">
      <c r="B11" s="72" t="str">
        <f aca="false">"L'investissement total s'élève à "&amp;Currency&amp;" "&amp;FIXED(TotalCapex,0)&amp;" ("&amp;Currency&amp;" "&amp;FIXED(CapexPerConn,0)&amp;" par raccordement). Avec les seules recettes tarifaires, la VAN du projet à "&amp;FIXED((Hurdle)*100,0)&amp;"%"&amp;" est de "&amp;Currency&amp;" "&amp;FIXED(NPV_Pre,0)&amp;", soit un déficit de viabilité de "&amp;Currency&amp;" "&amp;FIXED(VGF,0)&amp;" en valeur actuelle ("&amp;Currency&amp;" "&amp;FIXED(VGF/TotalCustomers,0)&amp;" par raccordement). Le coût actualisé de l'électricité (LCOE) est de "&amp;Currency&amp;" "&amp;FIXED(LCOE,2)&amp;"/kWh, pour un tarif moyen de "&amp;Currency&amp;" "&amp;FIXED(AvgTariff,2)&amp;"/kWh."</f>
        <v>L'investissement total s'élève à USD 1,153,010 (USD 1,189 par raccordement). Avec les seules recettes tarifaires, la VAN du projet à 10% est de USD -793,132, soit un déficit de viabilité de USD 793,132 en valeur actuelle (USD 818 par raccordement). Le coût actualisé de l'électricité (LCOE) est de USD 0.66/kWh, pour un tarif moyen de USD 0.38/kWh.</v>
      </c>
      <c r="C11" s="72"/>
      <c r="D11" s="72"/>
      <c r="E11" s="72"/>
      <c r="F11" s="72"/>
    </row>
    <row r="13" customFormat="false" ht="15" hidden="false" customHeight="false" outlineLevel="0" collapsed="false">
      <c r="B13" s="45" t="s">
        <v>366</v>
      </c>
    </row>
    <row r="14" customFormat="false" ht="43.5" hidden="false" customHeight="true" outlineLevel="0" collapsed="false">
      <c r="B14" s="72" t="str">
        <f aca="false">"Nous sollicitons une subvention d'investissement de "&amp;Currency&amp;" "&amp;FIXED(Grant,0)&amp;" et un financement basé sur les résultats (RBF) de "&amp;Currency&amp;" "&amp;FIXED(AvgRBFperConn,0)&amp;" en moyenne par raccordement vérifié ("&amp;Currency&amp;" "&amp;FIXED(RBFTotal,0)&amp;" au total), ainsi que "&amp;Currency&amp;" "&amp;FIXED(ConAmt,0)&amp;" de dette concessionnelle. Ces financements mobilisent "&amp;Currency&amp;" "&amp;FIXED(SenAmt,0)&amp;" de dette senior et "&amp;Currency&amp;" "&amp;FIXED(EquityTotal,0)&amp;" de fonds propres du promoteur."</f>
        <v>Nous sollicitons une subvention d'investissement de USD 600,000 et un financement basé sur les résultats (RBF) de USD 260 en moyenne par raccordement vérifié (USD 252,000 au total), ainsi que USD 110,602 de dette concessionnelle. Ces financements mobilisent USD 110,602 de dette senior et USD 338,995 de fonds propres du promoteur.</v>
      </c>
      <c r="C14" s="72"/>
      <c r="D14" s="72"/>
      <c r="E14" s="72"/>
      <c r="F14" s="72"/>
    </row>
    <row r="16" customFormat="false" ht="15" hidden="false" customHeight="false" outlineLevel="0" collapsed="false">
      <c r="B16" s="45" t="s">
        <v>367</v>
      </c>
    </row>
    <row r="17" customFormat="false" ht="43.5" hidden="false" customHeight="true" outlineLevel="0" collapsed="false">
      <c r="B17" s="72" t="str">
        <f aca="false">"Avec cette structure, la VAN du projet après subventions est de "&amp;Currency&amp;" "&amp;FIXED(NPV_Post,0)&amp;", le DSCR minimum est de "&amp;IF(ISNUMBER(DSCR_Min),FIXED(DSCR_Min,2)&amp;"x","n.d.")&amp;" (exigence des prêteurs : "&amp;FIXED(MinDSCR,2)&amp;"x) et le TRI des fonds propres est de "&amp;IF(ISNUMBER(IRR_Eq),FIXED((IRR_Eq)*100,1)&amp;"%","n.d.")&amp;" (cible : "&amp;FIXED((TargetEqIRR)*100,0)&amp;"%"&amp;")."</f>
        <v>Avec cette structure, la VAN du projet après subventions est de USD 24,788, le DSCR minimum est de 1.37x (exigence des prêteurs : 1.30x) et le TRI des fonds propres est de 10.7% (cible : 15%).</v>
      </c>
      <c r="C17" s="72"/>
      <c r="D17" s="72"/>
      <c r="E17" s="72"/>
      <c r="F17" s="72"/>
    </row>
    <row r="19" customFormat="false" ht="15" hidden="false" customHeight="false" outlineLevel="0" collapsed="false">
      <c r="B19" s="45" t="s">
        <v>368</v>
      </c>
    </row>
    <row r="20" customFormat="false" ht="43.5" hidden="false" customHeight="true" outlineLevel="0" collapsed="false">
      <c r="B20" s="72" t="str">
        <f aca="false">"Sur sa durée de vie, le projet évite environ "&amp;FIXED(CO2Total,0)&amp;" tCO2 par rapport à une alimentation au diesel et soutient environ "&amp;FIXED(Jobs,0)&amp;" emplois dans des activités productives. Les subventions publiques représentent "&amp;Currency&amp;" "&amp;FIXED(GrantPerConn,0)&amp;" par raccordement."</f>
        <v>Sur sa durée de vie, le projet évite environ 7,060 tCO2 par rapport à une alimentation au diesel et soutient environ 90 emplois dans des activités productives. Les subventions publiques représentent USD 878 par raccordement.</v>
      </c>
      <c r="C20" s="72"/>
      <c r="D20" s="72"/>
      <c r="E20" s="72"/>
      <c r="F20" s="72"/>
    </row>
    <row r="23" customFormat="false" ht="15" hidden="false" customHeight="false" outlineLevel="0" collapsed="false">
      <c r="B23" s="8" t="s">
        <v>369</v>
      </c>
      <c r="C23" s="9"/>
      <c r="E23" s="8" t="s">
        <v>370</v>
      </c>
      <c r="F23" s="9"/>
    </row>
    <row r="24" customFormat="false" ht="15" hidden="false" customHeight="false" outlineLevel="0" collapsed="false">
      <c r="B24" s="46" t="s">
        <v>371</v>
      </c>
      <c r="C24" s="35" t="n">
        <f aca="false">PV_kWp*C_PV*LevCapex</f>
        <v>204907.371557891</v>
      </c>
      <c r="E24" s="46" t="s">
        <v>242</v>
      </c>
      <c r="F24" s="35" t="n">
        <f aca="false">MIN(Grant,TotalCapex)</f>
        <v>600000</v>
      </c>
    </row>
    <row r="25" customFormat="false" ht="15" hidden="false" customHeight="false" outlineLevel="0" collapsed="false">
      <c r="B25" s="46" t="s">
        <v>372</v>
      </c>
      <c r="C25" s="35" t="n">
        <f aca="false">BESS_kWh*C_BESS*LevCapex</f>
        <v>188852.547660523</v>
      </c>
      <c r="E25" s="46" t="s">
        <v>246</v>
      </c>
      <c r="F25" s="35" t="n">
        <f aca="false">SenAmt</f>
        <v>110602.051030273</v>
      </c>
    </row>
    <row r="26" customFormat="false" ht="15" hidden="false" customHeight="false" outlineLevel="0" collapsed="false">
      <c r="B26" s="46" t="s">
        <v>138</v>
      </c>
      <c r="C26" s="35" t="n">
        <f aca="false">Diesel_kW*C_Diesel*LevCapex</f>
        <v>34757.6939566864</v>
      </c>
      <c r="E26" s="46" t="s">
        <v>248</v>
      </c>
      <c r="F26" s="35" t="n">
        <f aca="false">ConAmt</f>
        <v>110602.051030273</v>
      </c>
    </row>
    <row r="27" customFormat="false" ht="15" hidden="false" customHeight="false" outlineLevel="0" collapsed="false">
      <c r="B27" s="46" t="s">
        <v>373</v>
      </c>
      <c r="C27" s="35" t="n">
        <f aca="false">TotalCustomers*(C_Network+C_Meter)*LevCapex</f>
        <v>514100</v>
      </c>
      <c r="E27" s="46" t="s">
        <v>374</v>
      </c>
      <c r="F27" s="35" t="n">
        <f aca="false">'Flux de trésorerie'!$B$18+'Flux de trésorerie'!$B$19</f>
        <v>338995.286407787</v>
      </c>
    </row>
    <row r="28" customFormat="false" ht="15" hidden="false" customHeight="false" outlineLevel="0" collapsed="false">
      <c r="B28" s="46" t="s">
        <v>375</v>
      </c>
      <c r="C28" s="35" t="n">
        <f aca="false">C_BOS*LevCapex</f>
        <v>60000</v>
      </c>
    </row>
    <row r="29" customFormat="false" ht="15" hidden="false" customHeight="false" outlineLevel="0" collapsed="false">
      <c r="B29" s="46" t="s">
        <v>376</v>
      </c>
      <c r="C29" s="35" t="n">
        <f aca="false">C_PUEquip*LevCapex</f>
        <v>0</v>
      </c>
      <c r="E29" s="7" t="str">
        <f aca="false">"Plus un RBF de "&amp;Currency&amp;" "&amp;FIXED(RBFTotal,0)&amp;" reçu après vérification (préfinancement nécessaire)."</f>
        <v>Plus un RBF de USD 252,000 reçu après vérification (préfinancement nécessaire).</v>
      </c>
    </row>
    <row r="30" customFormat="false" ht="15" hidden="false" customHeight="false" outlineLevel="0" collapsed="false">
      <c r="B30" s="46" t="s">
        <v>377</v>
      </c>
      <c r="C30" s="35" t="n">
        <f aca="false">HardCapexBase*C_DevPct*LevCapex</f>
        <v>80209.409054008</v>
      </c>
    </row>
    <row r="31" customFormat="false" ht="15" hidden="false" customHeight="false" outlineLevel="0" collapsed="false">
      <c r="B31" s="46" t="s">
        <v>148</v>
      </c>
      <c r="C31" s="35" t="n">
        <f aca="false">HardCapexBase*C_ContPct*LevCapex</f>
        <v>70183.232922257</v>
      </c>
    </row>
    <row r="32" customFormat="false" ht="15" hidden="false" customHeight="false" outlineLevel="0" collapsed="false">
      <c r="B32" s="46" t="s">
        <v>378</v>
      </c>
      <c r="C32" s="35" t="n">
        <f aca="false">'Flux de trésorerie'!$B$19</f>
        <v>7189.13331696775</v>
      </c>
    </row>
    <row r="33" customFormat="false" ht="15" hidden="false" customHeight="false" outlineLevel="0" collapsed="false">
      <c r="B33" s="26" t="s">
        <v>379</v>
      </c>
      <c r="C33" s="27" t="n">
        <f aca="false">SUM(C24:C32)</f>
        <v>1160199.38846833</v>
      </c>
      <c r="E33" s="26" t="s">
        <v>380</v>
      </c>
      <c r="F33" s="27" t="n">
        <f aca="false">SUM(F24:F27)</f>
        <v>1160199.38846833</v>
      </c>
    </row>
    <row r="35" customFormat="false" ht="15" hidden="false" customHeight="false" outlineLevel="0" collapsed="false">
      <c r="B35" s="8" t="s">
        <v>381</v>
      </c>
      <c r="C35" s="9"/>
    </row>
    <row r="36" customFormat="false" ht="15" hidden="false" customHeight="false" outlineLevel="0" collapsed="false">
      <c r="B36" s="46" t="s">
        <v>382</v>
      </c>
      <c r="C36" s="73" t="str">
        <f aca="false">IF(ISNUMBER(IRR_Pre),FIXED((IRR_Pre)*100,1)&amp;"%","n.d.")&amp;"  /  "&amp;IF(ISNUMBER(IRR_Post),FIXED((IRR_Post)*100,1)&amp;"%","n.d.")</f>
        <v>-3.6%  /  11.0%</v>
      </c>
    </row>
    <row r="37" customFormat="false" ht="15" hidden="false" customHeight="false" outlineLevel="0" collapsed="false">
      <c r="B37" s="46" t="s">
        <v>256</v>
      </c>
      <c r="C37" s="56" t="n">
        <f aca="false">IRR_Eq</f>
        <v>0.107280413208177</v>
      </c>
    </row>
    <row r="38" customFormat="false" ht="15" hidden="false" customHeight="false" outlineLevel="0" collapsed="false">
      <c r="B38" s="46" t="s">
        <v>252</v>
      </c>
      <c r="C38" s="74" t="n">
        <f aca="false">DSCR_Min</f>
        <v>1.37243486578273</v>
      </c>
    </row>
    <row r="39" customFormat="false" ht="15" hidden="false" customHeight="false" outlineLevel="0" collapsed="false">
      <c r="B39" s="46" t="s">
        <v>383</v>
      </c>
      <c r="C39" s="75" t="n">
        <f aca="false">LCOE</f>
        <v>0.659357531986456</v>
      </c>
    </row>
    <row r="40" customFormat="false" ht="15" hidden="false" customHeight="false" outlineLevel="0" collapsed="false">
      <c r="B40" s="46" t="s">
        <v>384</v>
      </c>
      <c r="C40" s="76" t="n">
        <f aca="false">VGF</f>
        <v>793132.367693456</v>
      </c>
    </row>
    <row r="41" customFormat="false" ht="15" hidden="false" customHeight="false" outlineLevel="0" collapsed="false">
      <c r="B41" s="46" t="s">
        <v>385</v>
      </c>
      <c r="C41" s="76" t="n">
        <f aca="false">RBFNeededEq</f>
        <v>333.639524458975</v>
      </c>
    </row>
    <row r="42" customFormat="false" ht="15" hidden="false" customHeight="false" outlineLevel="0" collapsed="false">
      <c r="B42" s="46" t="s">
        <v>355</v>
      </c>
      <c r="C42" s="74" t="n">
        <f aca="false">IFERROR(PrivateCap/PublicGrant,0)</f>
        <v>0.527696405443733</v>
      </c>
    </row>
  </sheetData>
  <mergeCells count="6">
    <mergeCell ref="B5:F5"/>
    <mergeCell ref="B8:F8"/>
    <mergeCell ref="B11:F11"/>
    <mergeCell ref="B14:F14"/>
    <mergeCell ref="B17:F17"/>
    <mergeCell ref="B20:F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MAX(0,'Flux de trésorerie'!$B$14-Grant)*SenPct</f>
        <v>110602.051030273</v>
      </c>
    </row>
    <row r="17" customFormat="false" ht="15" hidden="false" customHeight="false" outlineLevel="0" collapsed="false">
      <c r="A17" s="10" t="s">
        <v>248</v>
      </c>
      <c r="B17" s="61" t="n">
        <f aca="false">MAX(0,'Flux de trésorerie'!$B$14-Grant)*ConPct</f>
        <v>110602.051030273</v>
      </c>
    </row>
    <row r="18" customFormat="false" ht="15" hidden="false" customHeight="false" outlineLevel="0" collapsed="false">
      <c r="A18" s="10" t="s">
        <v>393</v>
      </c>
      <c r="B18" s="61" t="n">
        <f aca="false">MAX(0,'Flux de trésorerie'!$B$14-Grant-'Flux de trésorerie'!$B$16-'Flux de trésorerie'!$B$17)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-793132.367693456</v>
      </c>
    </row>
    <row r="21" customFormat="false" ht="15" hidden="false" customHeight="false" outlineLevel="0" collapsed="false">
      <c r="A21" s="10" t="s">
        <v>396</v>
      </c>
      <c r="B21" s="61" t="n">
        <f aca="false">$B$146</f>
        <v>24787.9929376486</v>
      </c>
    </row>
    <row r="22" customFormat="false" ht="15" hidden="false" customHeight="false" outlineLevel="0" collapsed="false">
      <c r="A22" s="10" t="s">
        <v>397</v>
      </c>
      <c r="B22" s="63" t="n">
        <f aca="false">IFERROR(IRR($C$145:$W$145),"n.d.")</f>
        <v>-0.035930891794335</v>
      </c>
    </row>
    <row r="23" customFormat="false" ht="15" hidden="false" customHeight="false" outlineLevel="0" collapsed="false">
      <c r="A23" s="10" t="s">
        <v>398</v>
      </c>
      <c r="B23" s="63" t="n">
        <f aca="false">IFERROR(IRR($C$146:$W$146),"n.d.")</f>
        <v>0.109727758924095</v>
      </c>
    </row>
    <row r="24" customFormat="false" ht="15" hidden="false" customHeight="false" outlineLevel="0" collapsed="false">
      <c r="A24" s="10" t="s">
        <v>384</v>
      </c>
      <c r="B24" s="61" t="n">
        <f aca="false">MAX(0,-$B$145)</f>
        <v>793132.367693456</v>
      </c>
    </row>
    <row r="25" customFormat="false" ht="15" hidden="false" customHeight="false" outlineLevel="0" collapsed="false">
      <c r="A25" s="10" t="s">
        <v>256</v>
      </c>
      <c r="B25" s="63" t="n">
        <f aca="false">IFERROR(IRR($C$149:$W$149),"n.d.")</f>
        <v>0.107280413208177</v>
      </c>
    </row>
    <row r="26" customFormat="false" ht="15" hidden="false" customHeight="false" outlineLevel="0" collapsed="false">
      <c r="A26" s="10" t="s">
        <v>258</v>
      </c>
      <c r="B26" s="61" t="n">
        <f aca="false">C149+NPV(TargetEqIRR,D149:W149)</f>
        <v>-57977.7739595486</v>
      </c>
    </row>
    <row r="27" customFormat="false" ht="15" hidden="false" customHeight="false" outlineLevel="0" collapsed="false">
      <c r="A27" s="10" t="s">
        <v>252</v>
      </c>
      <c r="B27" s="62" t="n">
        <f aca="false">IF(('Flux de trésorerie'!$B$16+'Flux de trésorerie'!$B$17)&gt;0,MIN($D$148:$W$148),"pas de dette")</f>
        <v>1.37243486578273</v>
      </c>
    </row>
    <row r="28" customFormat="false" ht="15" hidden="false" customHeight="false" outlineLevel="0" collapsed="false">
      <c r="A28" s="10" t="s">
        <v>254</v>
      </c>
      <c r="B28" s="62" t="n">
        <f aca="false">IF(('Flux de trésorerie'!$B$16+'Flux de trésorerie'!$B$17)&gt;0,AVERAGE($D$148:$W$148),"pas de dette")</f>
        <v>2.9974291063687</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120618.921216371</v>
      </c>
    </row>
    <row r="36" customFormat="false" ht="15" hidden="false" customHeight="false" outlineLevel="0" collapsed="false">
      <c r="A36" s="10" t="s">
        <v>260</v>
      </c>
      <c r="B36" s="78" t="n">
        <f aca="false">IFERROR(MATCH(TRUE(),INDEX($C$150:$W$150&gt;=0,0),0)-1,"&gt; durée de vie")</f>
        <v>9</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'Flux de trésorerie'!$B$15*O_FixedPct*D44*LevOpex*$B$8*D41</f>
        <v>25065.4403293775</v>
      </c>
      <c r="E88" s="83" t="n">
        <f aca="false">'Flux de trésorerie'!$B$15*O_FixedPct*E44*LevOpex*$B$8*E41</f>
        <v>25817.4035392588</v>
      </c>
      <c r="F88" s="83" t="n">
        <f aca="false">'Flux de trésorerie'!$B$15*O_FixedPct*F44*LevOpex*$B$8*F41</f>
        <v>26591.9256454366</v>
      </c>
      <c r="G88" s="83" t="n">
        <f aca="false">'Flux de trésorerie'!$B$15*O_FixedPct*G44*LevOpex*$B$8*G41</f>
        <v>27389.6834147997</v>
      </c>
      <c r="H88" s="83" t="n">
        <f aca="false">'Flux de trésorerie'!$B$15*O_FixedPct*H44*LevOpex*$B$8*H41</f>
        <v>28211.3739172437</v>
      </c>
      <c r="I88" s="83" t="n">
        <f aca="false">'Flux de trésorerie'!$B$15*O_FixedPct*I44*LevOpex*$B$8*I41</f>
        <v>29057.715134761</v>
      </c>
      <c r="J88" s="83" t="n">
        <f aca="false">'Flux de trésorerie'!$B$15*O_FixedPct*J44*LevOpex*$B$8*J41</f>
        <v>29929.4465888038</v>
      </c>
      <c r="K88" s="83" t="n">
        <f aca="false">'Flux de trésorerie'!$B$15*O_FixedPct*K44*LevOpex*$B$8*K41</f>
        <v>30827.329986468</v>
      </c>
      <c r="L88" s="83" t="n">
        <f aca="false">'Flux de trésorerie'!$B$15*O_FixedPct*L44*LevOpex*$B$8*L41</f>
        <v>31752.149886062</v>
      </c>
      <c r="M88" s="83" t="n">
        <f aca="false">'Flux de trésorerie'!$B$15*O_FixedPct*M44*LevOpex*$B$8*M41</f>
        <v>32704.7143826439</v>
      </c>
      <c r="N88" s="83" t="n">
        <f aca="false">'Flux de trésorerie'!$B$15*O_FixedPct*N44*LevOpex*$B$8*N41</f>
        <v>33685.8558141232</v>
      </c>
      <c r="O88" s="83" t="n">
        <f aca="false">'Flux de trésorerie'!$B$15*O_FixedPct*O44*LevOpex*$B$8*O41</f>
        <v>34696.4314885469</v>
      </c>
      <c r="P88" s="83" t="n">
        <f aca="false">'Flux de trésorerie'!$B$15*O_FixedPct*P44*LevOpex*$B$8*P41</f>
        <v>35737.3244332033</v>
      </c>
      <c r="Q88" s="83" t="n">
        <f aca="false">'Flux de trésorerie'!$B$15*O_FixedPct*Q44*LevOpex*$B$8*Q41</f>
        <v>36809.4441661994</v>
      </c>
      <c r="R88" s="83" t="n">
        <f aca="false">'Flux de trésorerie'!$B$15*O_FixedPct*R44*LevOpex*$B$8*R41</f>
        <v>37913.7274911854</v>
      </c>
      <c r="S88" s="83" t="n">
        <f aca="false">'Flux de trésorerie'!$B$15*O_FixedPct*S44*LevOpex*$B$8*S41</f>
        <v>39051.1393159209</v>
      </c>
      <c r="T88" s="83" t="n">
        <f aca="false">'Flux de trésorerie'!$B$15*O_FixedPct*T44*LevOpex*$B$8*T41</f>
        <v>40222.6734953985</v>
      </c>
      <c r="U88" s="83" t="n">
        <f aca="false">'Flux de trésorerie'!$B$15*O_FixedPct*U44*LevOpex*$B$8*U41</f>
        <v>41429.3537002605</v>
      </c>
      <c r="V88" s="83" t="n">
        <f aca="false">'Flux de trésorerie'!$B$15*O_FixedPct*V44*LevOpex*$B$8*V41</f>
        <v>42672.2343112683</v>
      </c>
      <c r="W88" s="83" t="n">
        <f aca="false">'Flux de trésorerie'!$B$15*O_FixedPct*W44*LevOpex*$B$8*W41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'Flux de trésorerie'!$B$14*O_InsPct*D44*LevOpex*$B$8*D41</f>
        <v>5765.05127575683</v>
      </c>
      <c r="E90" s="83" t="n">
        <f aca="false">'Flux de trésorerie'!$B$14*O_InsPct*E44*LevOpex*$B$8*E41</f>
        <v>5938.00281402953</v>
      </c>
      <c r="F90" s="83" t="n">
        <f aca="false">'Flux de trésorerie'!$B$14*O_InsPct*F44*LevOpex*$B$8*F41</f>
        <v>6116.14289845042</v>
      </c>
      <c r="G90" s="83" t="n">
        <f aca="false">'Flux de trésorerie'!$B$14*O_InsPct*G44*LevOpex*$B$8*G41</f>
        <v>6299.62718540393</v>
      </c>
      <c r="H90" s="83" t="n">
        <f aca="false">'Flux de trésorerie'!$B$14*O_InsPct*H44*LevOpex*$B$8*H41</f>
        <v>6488.61600096605</v>
      </c>
      <c r="I90" s="83" t="n">
        <f aca="false">'Flux de trésorerie'!$B$14*O_InsPct*I44*LevOpex*$B$8*I41</f>
        <v>6683.27448099503</v>
      </c>
      <c r="J90" s="83" t="n">
        <f aca="false">'Flux de trésorerie'!$B$14*O_InsPct*J44*LevOpex*$B$8*J41</f>
        <v>6883.77271542488</v>
      </c>
      <c r="K90" s="83" t="n">
        <f aca="false">'Flux de trésorerie'!$B$14*O_InsPct*K44*LevOpex*$B$8*K41</f>
        <v>7090.28589688763</v>
      </c>
      <c r="L90" s="83" t="n">
        <f aca="false">'Flux de trésorerie'!$B$14*O_InsPct*L44*LevOpex*$B$8*L41</f>
        <v>7302.99447379426</v>
      </c>
      <c r="M90" s="83" t="n">
        <f aca="false">'Flux de trésorerie'!$B$14*O_InsPct*M44*LevOpex*$B$8*M41</f>
        <v>7522.08430800809</v>
      </c>
      <c r="N90" s="83" t="n">
        <f aca="false">'Flux de trésorerie'!$B$14*O_InsPct*N44*LevOpex*$B$8*N41</f>
        <v>7747.74683724833</v>
      </c>
      <c r="O90" s="83" t="n">
        <f aca="false">'Flux de trésorerie'!$B$14*O_InsPct*O44*LevOpex*$B$8*O41</f>
        <v>7980.17924236578</v>
      </c>
      <c r="P90" s="83" t="n">
        <f aca="false">'Flux de trésorerie'!$B$14*O_InsPct*P44*LevOpex*$B$8*P41</f>
        <v>8219.58461963675</v>
      </c>
      <c r="Q90" s="83" t="n">
        <f aca="false">'Flux de trésorerie'!$B$14*O_InsPct*Q44*LevOpex*$B$8*Q41</f>
        <v>8466.17215822586</v>
      </c>
      <c r="R90" s="83" t="n">
        <f aca="false">'Flux de trésorerie'!$B$14*O_InsPct*R44*LevOpex*$B$8*R41</f>
        <v>8720.15732297263</v>
      </c>
      <c r="S90" s="83" t="n">
        <f aca="false">'Flux de trésorerie'!$B$14*O_InsPct*S44*LevOpex*$B$8*S41</f>
        <v>8981.76204266181</v>
      </c>
      <c r="T90" s="83" t="n">
        <f aca="false">'Flux de trésorerie'!$B$14*O_InsPct*T44*LevOpex*$B$8*T41</f>
        <v>9251.21490394167</v>
      </c>
      <c r="U90" s="83" t="n">
        <f aca="false">'Flux de trésorerie'!$B$14*O_InsPct*U44*LevOpex*$B$8*U41</f>
        <v>9528.75135105992</v>
      </c>
      <c r="V90" s="83" t="n">
        <f aca="false">'Flux de trésorerie'!$B$14*O_InsPct*V44*LevOpex*$B$8*V41</f>
        <v>9814.61389159171</v>
      </c>
      <c r="W90" s="83" t="n">
        <f aca="false">'Flux de trésorerie'!$B$14*O_InsPct*W44*LevOpex*$B$8*W41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3320364.13860751</v>
      </c>
      <c r="C96" s="27" t="n">
        <f aca="false">C88+C89+C90+C91+C92+C93+C94+C95</f>
        <v>0</v>
      </c>
      <c r="D96" s="27" t="n">
        <f aca="false">D88+D89+D90+D91+D92+D93+D94+D95</f>
        <v>68563.0673321452</v>
      </c>
      <c r="E96" s="27" t="n">
        <f aca="false">E88+E89+E90+E91+E92+E93+E94+E95</f>
        <v>76416.8660124017</v>
      </c>
      <c r="F96" s="27" t="n">
        <f aca="false">F88+F89+F90+F91+F92+F93+F94+F95</f>
        <v>82778.3949290086</v>
      </c>
      <c r="G96" s="27" t="n">
        <f aca="false">G88+G89+G90+G91+G92+G93+G94+G95</f>
        <v>85934.4730371791</v>
      </c>
      <c r="H96" s="27" t="n">
        <f aca="false">H88+H89+H90+H91+H92+H93+H94+H95</f>
        <v>89282.751140097</v>
      </c>
      <c r="I96" s="27" t="n">
        <f aca="false">I88+I89+I90+I91+I92+I93+I94+I95</f>
        <v>92778.3854403312</v>
      </c>
      <c r="J96" s="27" t="n">
        <f aca="false">J88+J89+J90+J91+J92+J93+J94+J95</f>
        <v>98306.79998774</v>
      </c>
      <c r="K96" s="27" t="n">
        <f aca="false">K88+K89+K90+K91+K92+K93+K94+K95</f>
        <v>110120.287479688</v>
      </c>
      <c r="L96" s="27" t="n">
        <f aca="false">L88+L89+L90+L91+L92+L93+L94+L95</f>
        <v>122787.398794247</v>
      </c>
      <c r="M96" s="27" t="n">
        <f aca="false">M88+M89+M90+M91+M92+M93+M94+M95</f>
        <v>136363.135795926</v>
      </c>
      <c r="N96" s="27" t="n">
        <f aca="false">N88+N89+N90+N91+N92+N93+N94+N95</f>
        <v>150905.915366902</v>
      </c>
      <c r="O96" s="27" t="n">
        <f aca="false">O88+O89+O90+O91+O92+O93+O94+O95</f>
        <v>166477.77872046</v>
      </c>
      <c r="P96" s="27" t="n">
        <f aca="false">P88+P89+P90+P91+P92+P93+P94+P95</f>
        <v>183144.613486293</v>
      </c>
      <c r="Q96" s="27" t="n">
        <f aca="false">Q88+Q89+Q90+Q91+Q92+Q93+Q94+Q95</f>
        <v>200976.389345829</v>
      </c>
      <c r="R96" s="27" t="n">
        <f aca="false">R88+R89+R90+R91+R92+R93+R94+R95</f>
        <v>220047.408043141</v>
      </c>
      <c r="S96" s="27" t="n">
        <f aca="false">S88+S89+S90+S91+S92+S93+S94+S95</f>
        <v>240436.568647269</v>
      </c>
      <c r="T96" s="27" t="n">
        <f aca="false">T88+T89+T90+T91+T92+T93+T94+T95</f>
        <v>262227.648995122</v>
      </c>
      <c r="U96" s="27" t="n">
        <f aca="false">U88+U89+U90+U91+U92+U93+U94+U95</f>
        <v>285509.604300713</v>
      </c>
      <c r="V96" s="27" t="n">
        <f aca="false">V88+V89+V90+V91+V92+V93+V94+V95</f>
        <v>310376.883976528</v>
      </c>
      <c r="W96" s="27" t="n">
        <f aca="false">W88+W89+W90+W91+W92+W93+W94+W95</f>
        <v>336929.767776484</v>
      </c>
    </row>
    <row r="98" customFormat="false" ht="15" hidden="false" customHeight="false" outlineLevel="0" collapsed="false">
      <c r="A98" s="15" t="s">
        <v>436</v>
      </c>
      <c r="B98" s="61" t="n">
        <f aca="false">SUM(C98:W98)</f>
        <v>1179875.40210632</v>
      </c>
      <c r="C98" s="27" t="n">
        <f aca="false">C85-C96</f>
        <v>0</v>
      </c>
      <c r="D98" s="27" t="n">
        <f aca="false">D85-D96</f>
        <v>11954.3199318548</v>
      </c>
      <c r="E98" s="27" t="n">
        <f aca="false">E85-E96</f>
        <v>37100.7726977999</v>
      </c>
      <c r="F98" s="27" t="n">
        <f aca="false">F85-F96</f>
        <v>57041.6349623478</v>
      </c>
      <c r="G98" s="27" t="n">
        <f aca="false">G85-G96</f>
        <v>60570.5441745608</v>
      </c>
      <c r="H98" s="27" t="n">
        <f aca="false">H85-H96</f>
        <v>66144.4216198379</v>
      </c>
      <c r="I98" s="27" t="n">
        <f aca="false">I85-I96</f>
        <v>72114.3021406837</v>
      </c>
      <c r="J98" s="27" t="n">
        <f aca="false">J85-J96</f>
        <v>76627.8522669588</v>
      </c>
      <c r="K98" s="27" t="n">
        <f aca="false">K85-K96</f>
        <v>75467.8850973222</v>
      </c>
      <c r="L98" s="27" t="n">
        <f aca="false">L85-L96</f>
        <v>74103.0934927026</v>
      </c>
      <c r="M98" s="27" t="n">
        <f aca="false">M85-M96</f>
        <v>72517.9874712994</v>
      </c>
      <c r="N98" s="27" t="n">
        <f aca="false">N85-N96</f>
        <v>70696.0683072976</v>
      </c>
      <c r="O98" s="27" t="n">
        <f aca="false">O85-O96</f>
        <v>68619.765759498</v>
      </c>
      <c r="P98" s="27" t="n">
        <f aca="false">P85-P96</f>
        <v>66270.3714524942</v>
      </c>
      <c r="Q98" s="27" t="n">
        <f aca="false">Q85-Q96</f>
        <v>63627.9681757304</v>
      </c>
      <c r="R98" s="27" t="n">
        <f aca="false">R85-R96</f>
        <v>60671.3548514813</v>
      </c>
      <c r="S98" s="27" t="n">
        <f aca="false">S85-S96</f>
        <v>57377.9669076356</v>
      </c>
      <c r="T98" s="27" t="n">
        <f aca="false">T85-T96</f>
        <v>53723.7917750767</v>
      </c>
      <c r="U98" s="27" t="n">
        <f aca="false">U85-U96</f>
        <v>49683.2792123905</v>
      </c>
      <c r="V98" s="27" t="n">
        <f aca="false">V85-V96</f>
        <v>45229.2461425245</v>
      </c>
      <c r="W98" s="27" t="n">
        <f aca="false">W85-W96</f>
        <v>40332.7756668184</v>
      </c>
    </row>
    <row r="99" customFormat="false" ht="15" hidden="false" customHeight="false" outlineLevel="0" collapsed="false">
      <c r="A99" s="10" t="s">
        <v>437</v>
      </c>
      <c r="C99" s="81" t="n">
        <v>0</v>
      </c>
      <c r="D99" s="81" t="n">
        <f aca="false">IFERROR(D98/D85,0)</f>
        <v>0.148468800815146</v>
      </c>
      <c r="E99" s="81" t="n">
        <f aca="false">IFERROR(E98/E85,0)</f>
        <v>0.32682826316106</v>
      </c>
      <c r="F99" s="81" t="n">
        <f aca="false">IFERROR(F98/F85,0)</f>
        <v>0.407964688654913</v>
      </c>
      <c r="G99" s="81" t="n">
        <f aca="false">IFERROR(G98/G85,0)</f>
        <v>0.413436654439075</v>
      </c>
      <c r="H99" s="81" t="n">
        <f aca="false">IFERROR(H98/H85,0)</f>
        <v>0.425565365729204</v>
      </c>
      <c r="I99" s="81" t="n">
        <f aca="false">IFERROR(I98/I85,0)</f>
        <v>0.437340813583699</v>
      </c>
      <c r="J99" s="81" t="n">
        <f aca="false">IFERROR(J98/J85,0)</f>
        <v>0.438037011417219</v>
      </c>
      <c r="K99" s="81" t="n">
        <f aca="false">IFERROR(K98/K85,0)</f>
        <v>0.4066416736013</v>
      </c>
      <c r="L99" s="81" t="n">
        <f aca="false">IFERROR(L98/L85,0)</f>
        <v>0.376367048667358</v>
      </c>
      <c r="M99" s="81" t="n">
        <f aca="false">IFERROR(M98/M85,0)</f>
        <v>0.347173484788886</v>
      </c>
      <c r="N99" s="81" t="n">
        <f aca="false">IFERROR(N98/N85,0)</f>
        <v>0.319022723240761</v>
      </c>
      <c r="O99" s="81" t="n">
        <f aca="false">IFERROR(O98/O85,0)</f>
        <v>0.29187784972951</v>
      </c>
      <c r="P99" s="81" t="n">
        <f aca="false">IFERROR(P98/P85,0)</f>
        <v>0.265703247416183</v>
      </c>
      <c r="Q99" s="81" t="n">
        <f aca="false">IFERROR(Q98/Q85,0)</f>
        <v>0.240464551573177</v>
      </c>
      <c r="R99" s="81" t="n">
        <f aca="false">IFERROR(R98/R85,0)</f>
        <v>0.216128605818402</v>
      </c>
      <c r="S99" s="81" t="n">
        <f aca="false">IFERROR(S98/S85,0)</f>
        <v>0.192663419872122</v>
      </c>
      <c r="T99" s="81" t="n">
        <f aca="false">IFERROR(T98/T85,0)</f>
        <v>0.170038128783694</v>
      </c>
      <c r="U99" s="81" t="n">
        <f aca="false">IFERROR(U98/U85,0)</f>
        <v>0.148222953577259</v>
      </c>
      <c r="V99" s="81" t="n">
        <f aca="false">IFERROR(V98/V85,0)</f>
        <v>0.127189163267187</v>
      </c>
      <c r="W99" s="81" t="n">
        <f aca="false">IFERROR(W98/W85,0)</f>
        <v>0.106909038195783</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'Flux de trésorerie'!$B$14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'Flux de trésorerie'!$B$16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IF(AND(D39&gt;SenGrace,D39&lt;=SenTenor),PMT(SenRate*$B$11,SenTenor-SenGrace,-'Flux de trésorerie'!$B$16)-D114,0)</f>
        <v>0</v>
      </c>
      <c r="E115" s="83" t="n">
        <f aca="false">IF(AND(E39&gt;SenGrace,E39&lt;=SenTenor),PMT(SenRate*$B$11,SenTenor-SenGrace,-'Flux de trésorerie'!$B$16)-E114,0)</f>
        <v>0</v>
      </c>
      <c r="F115" s="83" t="n">
        <f aca="false">IF(AND(F39&gt;SenGrace,F39&lt;=SenTenor),PMT(SenRate*$B$11,SenTenor-SenGrace,-'Flux de trésorerie'!$B$16)-F114,0)</f>
        <v>9671.48769410162</v>
      </c>
      <c r="G115" s="83" t="n">
        <f aca="false">IF(AND(G39&gt;SenGrace,G39&lt;=SenTenor),PMT(SenRate*$B$11,SenTenor-SenGrace,-'Flux de trésorerie'!$B$16)-G114,0)</f>
        <v>10638.6364635118</v>
      </c>
      <c r="H115" s="83" t="n">
        <f aca="false">IF(AND(H39&gt;SenGrace,H39&lt;=SenTenor),PMT(SenRate*$B$11,SenTenor-SenGrace,-'Flux de trésorerie'!$B$16)-H114,0)</f>
        <v>11702.500109863</v>
      </c>
      <c r="I115" s="83" t="n">
        <f aca="false">IF(AND(I39&gt;SenGrace,I39&lt;=SenTenor),PMT(SenRate*$B$11,SenTenor-SenGrace,-'Flux de trésorerie'!$B$16)-I114,0)</f>
        <v>12872.7501208493</v>
      </c>
      <c r="J115" s="83" t="n">
        <f aca="false">IF(AND(J39&gt;SenGrace,J39&lt;=SenTenor),PMT(SenRate*$B$11,SenTenor-SenGrace,-'Flux de trésorerie'!$B$16)-J114,0)</f>
        <v>14160.0251329342</v>
      </c>
      <c r="K115" s="83" t="n">
        <f aca="false">IF(AND(K39&gt;SenGrace,K39&lt;=SenTenor),PMT(SenRate*$B$11,SenTenor-SenGrace,-'Flux de trésorerie'!$B$16)-K114,0)</f>
        <v>15576.0276462276</v>
      </c>
      <c r="L115" s="83" t="n">
        <f aca="false">IF(AND(L39&gt;SenGrace,L39&lt;=SenTenor),PMT(SenRate*$B$11,SenTenor-SenGrace,-'Flux de trésorerie'!$B$16)-L114,0)</f>
        <v>17133.6304108504</v>
      </c>
      <c r="M115" s="83" t="n">
        <f aca="false">IF(AND(M39&gt;SenGrace,M39&lt;=SenTenor),PMT(SenRate*$B$11,SenTenor-SenGrace,-'Flux de trésorerie'!$B$16)-M114,0)</f>
        <v>18846.9934519354</v>
      </c>
      <c r="N115" s="83" t="n">
        <f aca="false">IF(AND(N39&gt;SenGrace,N39&lt;=SenTenor),PMT(SenRate*$B$11,SenTenor-SenGrace,-'Flux de trésorerie'!$B$16)-N114,0)</f>
        <v>0</v>
      </c>
      <c r="O115" s="83" t="n">
        <f aca="false">IF(AND(O39&gt;SenGrace,O39&lt;=SenTenor),PMT(SenRate*$B$11,SenTenor-SenGrace,-'Flux de trésorerie'!$B$16)-O114,0)</f>
        <v>0</v>
      </c>
      <c r="P115" s="83" t="n">
        <f aca="false">IF(AND(P39&gt;SenGrace,P39&lt;=SenTenor),PMT(SenRate*$B$11,SenTenor-SenGrace,-'Flux de trésorerie'!$B$16)-P114,0)</f>
        <v>0</v>
      </c>
      <c r="Q115" s="83" t="n">
        <f aca="false">IF(AND(Q39&gt;SenGrace,Q39&lt;=SenTenor),PMT(SenRate*$B$11,SenTenor-SenGrace,-'Flux de trésorerie'!$B$16)-Q114,0)</f>
        <v>0</v>
      </c>
      <c r="R115" s="83" t="n">
        <f aca="false">IF(AND(R39&gt;SenGrace,R39&lt;=SenTenor),PMT(SenRate*$B$11,SenTenor-SenGrace,-'Flux de trésorerie'!$B$16)-R114,0)</f>
        <v>0</v>
      </c>
      <c r="S115" s="83" t="n">
        <f aca="false">IF(AND(S39&gt;SenGrace,S39&lt;=SenTenor),PMT(SenRate*$B$11,SenTenor-SenGrace,-'Flux de trésorerie'!$B$16)-S114,0)</f>
        <v>0</v>
      </c>
      <c r="T115" s="83" t="n">
        <f aca="false">IF(AND(T39&gt;SenGrace,T39&lt;=SenTenor),PMT(SenRate*$B$11,SenTenor-SenGrace,-'Flux de trésorerie'!$B$16)-T114,0)</f>
        <v>0</v>
      </c>
      <c r="U115" s="83" t="n">
        <f aca="false">IF(AND(U39&gt;SenGrace,U39&lt;=SenTenor),PMT(SenRate*$B$11,SenTenor-SenGrace,-'Flux de trésorerie'!$B$16)-U114,0)</f>
        <v>0</v>
      </c>
      <c r="V115" s="83" t="n">
        <f aca="false">IF(AND(V39&gt;SenGrace,V39&lt;=SenTenor),PMT(SenRate*$B$11,SenTenor-SenGrace,-'Flux de trésorerie'!$B$16)-V114,0)</f>
        <v>0</v>
      </c>
      <c r="W115" s="83" t="n">
        <f aca="false">IF(AND(W39&gt;SenGrace,W39&lt;=SenTenor),PMT(SenRate*$B$11,SenTenor-SenGrace,-'Flux de trésorerie'!$B$16)-W114,0)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'Flux de trésorerie'!$B$17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IF(AND(D39&gt;ConGrace,D39&lt;=ConTenor),PMT(ConRate*$B$11,ConTenor-ConGrace,-'Flux de trésorerie'!$B$17)-D121,0)</f>
        <v>0</v>
      </c>
      <c r="E122" s="83" t="n">
        <f aca="false">IF(AND(E39&gt;ConGrace,E39&lt;=ConTenor),PMT(ConRate*$B$11,ConTenor-ConGrace,-'Flux de trésorerie'!$B$17)-E121,0)</f>
        <v>0</v>
      </c>
      <c r="F122" s="83" t="n">
        <f aca="false">IF(AND(F39&gt;ConGrace,F39&lt;=ConTenor),PMT(ConRate*$B$11,ConTenor-ConGrace,-'Flux de trésorerie'!$B$17)-F121,0)</f>
        <v>0</v>
      </c>
      <c r="G122" s="83" t="n">
        <f aca="false">IF(AND(G39&gt;ConGrace,G39&lt;=ConTenor),PMT(ConRate*$B$11,ConTenor-ConGrace,-'Flux de trésorerie'!$B$17)-G121,0)</f>
        <v>0</v>
      </c>
      <c r="H122" s="83" t="n">
        <f aca="false">IF(AND(H39&gt;ConGrace,H39&lt;=ConTenor),PMT(ConRate*$B$11,ConTenor-ConGrace,-'Flux de trésorerie'!$B$17)-H121,0)</f>
        <v>0</v>
      </c>
      <c r="I122" s="83" t="n">
        <f aca="false">IF(AND(I39&gt;ConGrace,I39&lt;=ConTenor),PMT(ConRate*$B$11,ConTenor-ConGrace,-'Flux de trésorerie'!$B$17)-I121,0)</f>
        <v>9647.87294294044</v>
      </c>
      <c r="J122" s="83" t="n">
        <f aca="false">IF(AND(J39&gt;ConGrace,J39&lt;=ConTenor),PMT(ConRate*$B$11,ConTenor-ConGrace,-'Flux de trésorerie'!$B$17)-J121,0)</f>
        <v>9937.30913122865</v>
      </c>
      <c r="K122" s="83" t="n">
        <f aca="false">IF(AND(K39&gt;ConGrace,K39&lt;=ConTenor),PMT(ConRate*$B$11,ConTenor-ConGrace,-'Flux de trésorerie'!$B$17)-K121,0)</f>
        <v>10235.4284051655</v>
      </c>
      <c r="L122" s="83" t="n">
        <f aca="false">IF(AND(L39&gt;ConGrace,L39&lt;=ConTenor),PMT(ConRate*$B$11,ConTenor-ConGrace,-'Flux de trésorerie'!$B$17)-L121,0)</f>
        <v>10542.4912573205</v>
      </c>
      <c r="M122" s="83" t="n">
        <f aca="false">IF(AND(M39&gt;ConGrace,M39&lt;=ConTenor),PMT(ConRate*$B$11,ConTenor-ConGrace,-'Flux de trésorerie'!$B$17)-M121,0)</f>
        <v>10858.7659950401</v>
      </c>
      <c r="N122" s="83" t="n">
        <f aca="false">IF(AND(N39&gt;ConGrace,N39&lt;=ConTenor),PMT(ConRate*$B$11,ConTenor-ConGrace,-'Flux de trésorerie'!$B$17)-N121,0)</f>
        <v>11184.5289748913</v>
      </c>
      <c r="O122" s="83" t="n">
        <f aca="false">IF(AND(O39&gt;ConGrace,O39&lt;=ConTenor),PMT(ConRate*$B$11,ConTenor-ConGrace,-'Flux de trésorerie'!$B$17)-O121,0)</f>
        <v>11520.064844138</v>
      </c>
      <c r="P122" s="83" t="n">
        <f aca="false">IF(AND(P39&gt;ConGrace,P39&lt;=ConTenor),PMT(ConRate*$B$11,ConTenor-ConGrace,-'Flux de trésorerie'!$B$17)-P121,0)</f>
        <v>11865.6667894622</v>
      </c>
      <c r="Q122" s="83" t="n">
        <f aca="false">IF(AND(Q39&gt;ConGrace,Q39&lt;=ConTenor),PMT(ConRate*$B$11,ConTenor-ConGrace,-'Flux de trésorerie'!$B$17)-Q121,0)</f>
        <v>12221.636793146</v>
      </c>
      <c r="R122" s="83" t="n">
        <f aca="false">IF(AND(R39&gt;ConGrace,R39&lt;=ConTenor),PMT(ConRate*$B$11,ConTenor-ConGrace,-'Flux de trésorerie'!$B$17)-R121,0)</f>
        <v>12588.2858969404</v>
      </c>
      <c r="S122" s="83" t="n">
        <f aca="false">IF(AND(S39&gt;ConGrace,S39&lt;=ConTenor),PMT(ConRate*$B$11,ConTenor-ConGrace,-'Flux de trésorerie'!$B$17)-S121,0)</f>
        <v>0</v>
      </c>
      <c r="T122" s="83" t="n">
        <f aca="false">IF(AND(T39&gt;ConGrace,T39&lt;=ConTenor),PMT(ConRate*$B$11,ConTenor-ConGrace,-'Flux de trésorerie'!$B$17)-T121,0)</f>
        <v>0</v>
      </c>
      <c r="U122" s="83" t="n">
        <f aca="false">IF(AND(U39&gt;ConGrace,U39&lt;=ConTenor),PMT(ConRate*$B$11,ConTenor-ConGrace,-'Flux de trésorerie'!$B$17)-U121,0)</f>
        <v>0</v>
      </c>
      <c r="V122" s="83" t="n">
        <f aca="false">IF(AND(V39&gt;ConGrace,V39&lt;=ConTenor),PMT(ConRate*$B$11,ConTenor-ConGrace,-'Flux de trésorerie'!$B$17)-V121,0)</f>
        <v>0</v>
      </c>
      <c r="W122" s="83" t="n">
        <f aca="false">IF(AND(W39&gt;ConGrace,W39&lt;=ConTenor),PMT(ConRate*$B$11,ConTenor-ConGrace,-'Flux de trésorerie'!$B$17)-W121,0)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1062330.07868143</v>
      </c>
      <c r="E127" s="83" t="n">
        <f aca="false">IF(E126&gt;0,(E147/MinDSCR-E121-E122)/E126,1000000000000)</f>
        <v>577302.792265627</v>
      </c>
      <c r="F127" s="83" t="n">
        <f aca="false">IF(F126&gt;0,(F147/MinDSCR-F121-F122)/F126,1000000000000)</f>
        <v>286404.385455532</v>
      </c>
      <c r="G127" s="83" t="n">
        <f aca="false">IF(G126&gt;0,(G147/MinDSCR-G121-G122)/G126,1000000000000)</f>
        <v>145763.046936712</v>
      </c>
      <c r="H127" s="83" t="n">
        <f aca="false">IF(H126&gt;0,(H147/MinDSCR-H121-H122)/H126,1000000000000)</f>
        <v>168637.066018795</v>
      </c>
      <c r="I127" s="83" t="n">
        <f aca="false">IF(I126&gt;0,(I147/MinDSCR-I121-I122)/I126,1000000000000)</f>
        <v>141665.508200704</v>
      </c>
      <c r="J127" s="83" t="n">
        <f aca="false">IF(J126&gt;0,(J147/MinDSCR-J121-J122)/J126,1000000000000)</f>
        <v>160188.167288559</v>
      </c>
      <c r="K127" s="83" t="n">
        <f aca="false">IF(K126&gt;0,(K147/MinDSCR-K121-K122)/K126,1000000000000)</f>
        <v>155427.906333173</v>
      </c>
      <c r="L127" s="83" t="n">
        <f aca="false">IF(L126&gt;0,(L147/MinDSCR-L121-L122)/L126,1000000000000)</f>
        <v>127123.862477938</v>
      </c>
      <c r="M127" s="83" t="n">
        <f aca="false">IF(M126&gt;0,(M147/MinDSCR-M121-M122)/M126,1000000000000)</f>
        <v>120618.921216371</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IF(D39&lt;=MIN(DepYears,Life),'Flux de trésorerie'!$B$14/DepYears,0)</f>
        <v>76867.3503434244</v>
      </c>
      <c r="E132" s="83" t="n">
        <f aca="false">IF(E39&lt;=MIN(DepYears,Life),'Flux de trésorerie'!$B$14/DepYears,0)</f>
        <v>76867.3503434244</v>
      </c>
      <c r="F132" s="83" t="n">
        <f aca="false">IF(F39&lt;=MIN(DepYears,Life),'Flux de trésorerie'!$B$14/DepYears,0)</f>
        <v>76867.3503434244</v>
      </c>
      <c r="G132" s="83" t="n">
        <f aca="false">IF(G39&lt;=MIN(DepYears,Life),'Flux de trésorerie'!$B$14/DepYears,0)</f>
        <v>76867.3503434244</v>
      </c>
      <c r="H132" s="83" t="n">
        <f aca="false">IF(H39&lt;=MIN(DepYears,Life),'Flux de trésorerie'!$B$14/DepYears,0)</f>
        <v>76867.3503434244</v>
      </c>
      <c r="I132" s="83" t="n">
        <f aca="false">IF(I39&lt;=MIN(DepYears,Life),'Flux de trésorerie'!$B$14/DepYears,0)</f>
        <v>76867.3503434244</v>
      </c>
      <c r="J132" s="83" t="n">
        <f aca="false">IF(J39&lt;=MIN(DepYears,Life),'Flux de trésorerie'!$B$14/DepYears,0)</f>
        <v>76867.3503434244</v>
      </c>
      <c r="K132" s="83" t="n">
        <f aca="false">IF(K39&lt;=MIN(DepYears,Life),'Flux de trésorerie'!$B$14/DepYears,0)</f>
        <v>76867.3503434244</v>
      </c>
      <c r="L132" s="83" t="n">
        <f aca="false">IF(L39&lt;=MIN(DepYears,Life),'Flux de trésorerie'!$B$14/DepYears,0)</f>
        <v>76867.3503434244</v>
      </c>
      <c r="M132" s="83" t="n">
        <f aca="false">IF(M39&lt;=MIN(DepYears,Life),'Flux de trésorerie'!$B$14/DepYears,0)</f>
        <v>76867.3503434244</v>
      </c>
      <c r="N132" s="83" t="n">
        <f aca="false">IF(N39&lt;=MIN(DepYears,Life),'Flux de trésorerie'!$B$14/DepYears,0)</f>
        <v>76867.3503434244</v>
      </c>
      <c r="O132" s="83" t="n">
        <f aca="false">IF(O39&lt;=MIN(DepYears,Life),'Flux de trésorerie'!$B$14/DepYears,0)</f>
        <v>76867.3503434244</v>
      </c>
      <c r="P132" s="83" t="n">
        <f aca="false">IF(P39&lt;=MIN(DepYears,Life),'Flux de trésorerie'!$B$14/DepYears,0)</f>
        <v>76867.3503434244</v>
      </c>
      <c r="Q132" s="83" t="n">
        <f aca="false">IF(Q39&lt;=MIN(DepYears,Life),'Flux de trésorerie'!$B$14/DepYears,0)</f>
        <v>76867.3503434244</v>
      </c>
      <c r="R132" s="83" t="n">
        <f aca="false">IF(R39&lt;=MIN(DepYears,Life),'Flux de trésorerie'!$B$14/DepYears,0)</f>
        <v>76867.3503434244</v>
      </c>
      <c r="S132" s="83" t="n">
        <f aca="false">IF(S39&lt;=MIN(DepYears,Life),'Flux de trésorerie'!$B$14/DepYears,0)</f>
        <v>0</v>
      </c>
      <c r="T132" s="83" t="n">
        <f aca="false">IF(T39&lt;=MIN(DepYears,Life),'Flux de trésorerie'!$B$14/DepYears,0)</f>
        <v>0</v>
      </c>
      <c r="U132" s="83" t="n">
        <f aca="false">IF(U39&lt;=MIN(DepYears,Life),'Flux de trésorerie'!$B$14/DepYears,0)</f>
        <v>0</v>
      </c>
      <c r="V132" s="83" t="n">
        <f aca="false">IF(V39&lt;=MIN(DepYears,Life),'Flux de trésorerie'!$B$14/DepYears,0)</f>
        <v>0</v>
      </c>
      <c r="W132" s="83" t="n">
        <f aca="false">IF(W39&lt;=MIN(DepYears,Life),'Flux de trésorerie'!$B$14/DepYears,0)</f>
        <v>0</v>
      </c>
    </row>
    <row r="133" customFormat="false" ht="15" hidden="false" customHeight="false" outlineLevel="0" collapsed="false">
      <c r="A133" s="10" t="s">
        <v>460</v>
      </c>
      <c r="B133" s="61" t="n">
        <f aca="false">SUM(C133:W133)</f>
        <v>26865.1469549494</v>
      </c>
      <c r="C133" s="83" t="n">
        <v>0</v>
      </c>
      <c r="D133" s="83" t="n">
        <f aca="false">D98-D132</f>
        <v>-64913.0304115696</v>
      </c>
      <c r="E133" s="83" t="n">
        <f aca="false">E98-E132</f>
        <v>-39766.5776456245</v>
      </c>
      <c r="F133" s="83" t="n">
        <f aca="false">F98-F132</f>
        <v>-19825.7153810766</v>
      </c>
      <c r="G133" s="83" t="n">
        <f aca="false">G98-G132</f>
        <v>-16296.8061688636</v>
      </c>
      <c r="H133" s="83" t="n">
        <f aca="false">H98-H132</f>
        <v>-10722.9287235864</v>
      </c>
      <c r="I133" s="83" t="n">
        <f aca="false">I98-I132</f>
        <v>-4753.04820274065</v>
      </c>
      <c r="J133" s="83" t="n">
        <f aca="false">J98-J132</f>
        <v>-239.498076465607</v>
      </c>
      <c r="K133" s="83" t="n">
        <f aca="false">K98-K132</f>
        <v>-1399.46524610216</v>
      </c>
      <c r="L133" s="83" t="n">
        <f aca="false">L98-L132</f>
        <v>-2764.25685072178</v>
      </c>
      <c r="M133" s="83" t="n">
        <f aca="false">M98-M132</f>
        <v>-4349.36287212497</v>
      </c>
      <c r="N133" s="83" t="n">
        <f aca="false">N98-N132</f>
        <v>-6171.2820361268</v>
      </c>
      <c r="O133" s="83" t="n">
        <f aca="false">O98-O132</f>
        <v>-8247.58458392639</v>
      </c>
      <c r="P133" s="83" t="n">
        <f aca="false">P98-P132</f>
        <v>-10596.9788909301</v>
      </c>
      <c r="Q133" s="83" t="n">
        <f aca="false">Q98-Q132</f>
        <v>-13239.382167694</v>
      </c>
      <c r="R133" s="83" t="n">
        <f aca="false">R98-R132</f>
        <v>-16195.9954919431</v>
      </c>
      <c r="S133" s="83" t="n">
        <f aca="false">S98-S132</f>
        <v>57377.9669076356</v>
      </c>
      <c r="T133" s="83" t="n">
        <f aca="false">T98-T132</f>
        <v>53723.7917750767</v>
      </c>
      <c r="U133" s="83" t="n">
        <f aca="false">U98-U132</f>
        <v>49683.2792123905</v>
      </c>
      <c r="V133" s="83" t="n">
        <f aca="false">V98-V132</f>
        <v>45229.2461425245</v>
      </c>
      <c r="W133" s="83" t="n">
        <f aca="false">W98-W132</f>
        <v>40332.7756668184</v>
      </c>
    </row>
    <row r="134" customFormat="false" ht="15" hidden="false" customHeight="false" outlineLevel="0" collapsed="false">
      <c r="A134" s="10" t="s">
        <v>461</v>
      </c>
      <c r="C134" s="83" t="n">
        <v>0</v>
      </c>
      <c r="D134" s="83" t="n">
        <f aca="false">0</f>
        <v>0</v>
      </c>
      <c r="E134" s="83" t="n">
        <f aca="false">D136</f>
        <v>64913.0304115696</v>
      </c>
      <c r="F134" s="83" t="n">
        <f aca="false">E136</f>
        <v>104679.608057194</v>
      </c>
      <c r="G134" s="83" t="n">
        <f aca="false">F136</f>
        <v>124505.323438271</v>
      </c>
      <c r="H134" s="83" t="n">
        <f aca="false">G136</f>
        <v>140802.129607134</v>
      </c>
      <c r="I134" s="83" t="n">
        <f aca="false">H136</f>
        <v>151525.058330721</v>
      </c>
      <c r="J134" s="83" t="n">
        <f aca="false">I136</f>
        <v>156278.106533461</v>
      </c>
      <c r="K134" s="83" t="n">
        <f aca="false">J136</f>
        <v>156517.604609927</v>
      </c>
      <c r="L134" s="83" t="n">
        <f aca="false">K136</f>
        <v>157917.069856029</v>
      </c>
      <c r="M134" s="83" t="n">
        <f aca="false">L136</f>
        <v>160681.326706751</v>
      </c>
      <c r="N134" s="83" t="n">
        <f aca="false">M136</f>
        <v>165030.689578876</v>
      </c>
      <c r="O134" s="83" t="n">
        <f aca="false">N136</f>
        <v>171201.971615003</v>
      </c>
      <c r="P134" s="83" t="n">
        <f aca="false">O136</f>
        <v>179449.556198929</v>
      </c>
      <c r="Q134" s="83" t="n">
        <f aca="false">P136</f>
        <v>190046.535089859</v>
      </c>
      <c r="R134" s="83" t="n">
        <f aca="false">Q136</f>
        <v>203285.917257553</v>
      </c>
      <c r="S134" s="83" t="n">
        <f aca="false">R136</f>
        <v>219481.912749496</v>
      </c>
      <c r="T134" s="83" t="n">
        <f aca="false">S136</f>
        <v>162103.945841861</v>
      </c>
      <c r="U134" s="83" t="n">
        <f aca="false">T136</f>
        <v>108380.154066784</v>
      </c>
      <c r="V134" s="83" t="n">
        <f aca="false">U136</f>
        <v>58696.8748543935</v>
      </c>
      <c r="W134" s="83" t="n">
        <f aca="false">V136</f>
        <v>13467.628711869</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57377.9669076356</v>
      </c>
      <c r="T135" s="83" t="n">
        <f aca="false">MIN(T134,MAX(T133,0))</f>
        <v>53723.7917750767</v>
      </c>
      <c r="U135" s="83" t="n">
        <f aca="false">MIN(U134,MAX(U133,0))</f>
        <v>49683.2792123905</v>
      </c>
      <c r="V135" s="83" t="n">
        <f aca="false">MIN(V134,MAX(V133,0))</f>
        <v>45229.2461425245</v>
      </c>
      <c r="W135" s="83" t="n">
        <f aca="false">MIN(W134,MAX(W133,0))</f>
        <v>13467.628711869</v>
      </c>
    </row>
    <row r="136" customFormat="false" ht="15" hidden="false" customHeight="false" outlineLevel="0" collapsed="false">
      <c r="A136" s="10" t="s">
        <v>463</v>
      </c>
      <c r="C136" s="83" t="n">
        <v>0</v>
      </c>
      <c r="D136" s="83" t="n">
        <f aca="false">D134-D135+MAX(-D133,0)</f>
        <v>64913.0304115696</v>
      </c>
      <c r="E136" s="83" t="n">
        <f aca="false">E134-E135+MAX(-E133,0)</f>
        <v>104679.608057194</v>
      </c>
      <c r="F136" s="83" t="n">
        <f aca="false">F134-F135+MAX(-F133,0)</f>
        <v>124505.323438271</v>
      </c>
      <c r="G136" s="83" t="n">
        <f aca="false">G134-G135+MAX(-G133,0)</f>
        <v>140802.129607134</v>
      </c>
      <c r="H136" s="83" t="n">
        <f aca="false">H134-H135+MAX(-H133,0)</f>
        <v>151525.058330721</v>
      </c>
      <c r="I136" s="83" t="n">
        <f aca="false">I134-I135+MAX(-I133,0)</f>
        <v>156278.106533461</v>
      </c>
      <c r="J136" s="83" t="n">
        <f aca="false">J134-J135+MAX(-J133,0)</f>
        <v>156517.604609927</v>
      </c>
      <c r="K136" s="83" t="n">
        <f aca="false">K134-K135+MAX(-K133,0)</f>
        <v>157917.069856029</v>
      </c>
      <c r="L136" s="83" t="n">
        <f aca="false">L134-L135+MAX(-L133,0)</f>
        <v>160681.326706751</v>
      </c>
      <c r="M136" s="83" t="n">
        <f aca="false">M134-M135+MAX(-M133,0)</f>
        <v>165030.689578876</v>
      </c>
      <c r="N136" s="83" t="n">
        <f aca="false">N134-N135+MAX(-N133,0)</f>
        <v>171201.971615003</v>
      </c>
      <c r="O136" s="83" t="n">
        <f aca="false">O134-O135+MAX(-O133,0)</f>
        <v>179449.556198929</v>
      </c>
      <c r="P136" s="83" t="n">
        <f aca="false">P134-P135+MAX(-P133,0)</f>
        <v>190046.535089859</v>
      </c>
      <c r="Q136" s="83" t="n">
        <f aca="false">Q134-Q135+MAX(-Q133,0)</f>
        <v>203285.917257553</v>
      </c>
      <c r="R136" s="83" t="n">
        <f aca="false">R134-R135+MAX(-R133,0)</f>
        <v>219481.912749496</v>
      </c>
      <c r="S136" s="83" t="n">
        <f aca="false">S134-S135+MAX(-S133,0)</f>
        <v>162103.945841861</v>
      </c>
      <c r="T136" s="83" t="n">
        <f aca="false">T134-T135+MAX(-T133,0)</f>
        <v>108380.154066784</v>
      </c>
      <c r="U136" s="83" t="n">
        <f aca="false">U134-U135+MAX(-U133,0)</f>
        <v>58696.8748543935</v>
      </c>
      <c r="V136" s="83" t="n">
        <f aca="false">V134-V135+MAX(-V133,0)</f>
        <v>13467.628711869</v>
      </c>
      <c r="W136" s="83" t="n">
        <f aca="false">W134-W135+MAX(-W133,0)</f>
        <v>0</v>
      </c>
    </row>
    <row r="137" customFormat="false" ht="15" hidden="false" customHeight="false" outlineLevel="0" collapsed="false">
      <c r="A137" s="10" t="s">
        <v>464</v>
      </c>
      <c r="B137" s="61" t="n">
        <f aca="false">SUM(C137:W137)</f>
        <v>6716.28673873734</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6716.28673873734</v>
      </c>
    </row>
    <row r="138" customFormat="false" ht="15" hidden="false" customHeight="false" outlineLevel="0" collapsed="false">
      <c r="A138" s="10" t="s">
        <v>465</v>
      </c>
      <c r="B138" s="61" t="n">
        <f aca="false">SUM(C138:W138)</f>
        <v>-86154.3559606176</v>
      </c>
      <c r="C138" s="83" t="n">
        <v>0</v>
      </c>
      <c r="D138" s="83" t="n">
        <f aca="false">D98-D132-D114-D121</f>
        <v>-79291.2970455051</v>
      </c>
      <c r="E138" s="83" t="n">
        <f aca="false">E98-E132-E114-E121</f>
        <v>-54144.84427956</v>
      </c>
      <c r="F138" s="83" t="n">
        <f aca="false">F98-F132-F114-F121</f>
        <v>-34203.9820150121</v>
      </c>
      <c r="G138" s="83" t="n">
        <f aca="false">G98-G132-G114-G121</f>
        <v>-29707.9240333889</v>
      </c>
      <c r="H138" s="83" t="n">
        <f aca="false">H98-H132-H114-H121</f>
        <v>-23070.1829417606</v>
      </c>
      <c r="I138" s="83" t="n">
        <f aca="false">I98-I132-I114-I121</f>
        <v>-15930.0524099285</v>
      </c>
      <c r="J138" s="83" t="n">
        <f aca="false">J98-J132-J114-J121</f>
        <v>-9839.79108328034</v>
      </c>
      <c r="K138" s="83" t="n">
        <f aca="false">K98-K132-K114-K121</f>
        <v>-9285.63646568661</v>
      </c>
      <c r="L138" s="83" t="n">
        <f aca="false">L98-L132-L114-L121</f>
        <v>-8785.76245352851</v>
      </c>
      <c r="M138" s="83" t="n">
        <f aca="false">M98-M132-M114-M121</f>
        <v>-8341.23069612705</v>
      </c>
      <c r="N138" s="83" t="n">
        <f aca="false">N98-N132-N114-N121</f>
        <v>-7952.68753508413</v>
      </c>
      <c r="O138" s="83" t="n">
        <f aca="false">O98-O132-O114-O121</f>
        <v>-9693.45421363699</v>
      </c>
      <c r="P138" s="83" t="n">
        <f aca="false">P98-P132-P114-P121</f>
        <v>-11697.2465753166</v>
      </c>
      <c r="Q138" s="83" t="n">
        <f aca="false">Q98-Q132-Q114-Q121</f>
        <v>-13983.6798483966</v>
      </c>
      <c r="R138" s="83" t="n">
        <f aca="false">R98-R132-R114-R121</f>
        <v>-16573.6440688513</v>
      </c>
      <c r="S138" s="83" t="n">
        <f aca="false">S98-S132-S114-S121</f>
        <v>57377.9669076356</v>
      </c>
      <c r="T138" s="83" t="n">
        <f aca="false">T98-T132-T114-T121</f>
        <v>53723.7917750767</v>
      </c>
      <c r="U138" s="83" t="n">
        <f aca="false">U98-U132-U114-U121</f>
        <v>49683.2792123905</v>
      </c>
      <c r="V138" s="83" t="n">
        <f aca="false">V98-V132-V114-V121</f>
        <v>45229.2461425245</v>
      </c>
      <c r="W138" s="83" t="n">
        <f aca="false">W98-W132-W114-W121</f>
        <v>40332.7756668184</v>
      </c>
    </row>
    <row r="139" customFormat="false" ht="15" hidden="false" customHeight="false" outlineLevel="0" collapsed="false">
      <c r="A139" s="10" t="s">
        <v>461</v>
      </c>
      <c r="C139" s="83" t="n">
        <v>0</v>
      </c>
      <c r="D139" s="83" t="n">
        <f aca="false">0</f>
        <v>0</v>
      </c>
      <c r="E139" s="83" t="n">
        <f aca="false">D141</f>
        <v>79291.2970455051</v>
      </c>
      <c r="F139" s="83" t="n">
        <f aca="false">E141</f>
        <v>133436.141325065</v>
      </c>
      <c r="G139" s="83" t="n">
        <f aca="false">F141</f>
        <v>167640.123340077</v>
      </c>
      <c r="H139" s="83" t="n">
        <f aca="false">G141</f>
        <v>197348.047373466</v>
      </c>
      <c r="I139" s="83" t="n">
        <f aca="false">H141</f>
        <v>220418.230315227</v>
      </c>
      <c r="J139" s="83" t="n">
        <f aca="false">I141</f>
        <v>236348.282725155</v>
      </c>
      <c r="K139" s="83" t="n">
        <f aca="false">J141</f>
        <v>246188.073808435</v>
      </c>
      <c r="L139" s="83" t="n">
        <f aca="false">K141</f>
        <v>255473.710274122</v>
      </c>
      <c r="M139" s="83" t="n">
        <f aca="false">L141</f>
        <v>264259.472727651</v>
      </c>
      <c r="N139" s="83" t="n">
        <f aca="false">M141</f>
        <v>272600.703423778</v>
      </c>
      <c r="O139" s="83" t="n">
        <f aca="false">N141</f>
        <v>280553.390958862</v>
      </c>
      <c r="P139" s="83" t="n">
        <f aca="false">O141</f>
        <v>290246.845172499</v>
      </c>
      <c r="Q139" s="83" t="n">
        <f aca="false">P141</f>
        <v>301944.091747815</v>
      </c>
      <c r="R139" s="83" t="n">
        <f aca="false">Q141</f>
        <v>315927.771596212</v>
      </c>
      <c r="S139" s="83" t="n">
        <f aca="false">R141</f>
        <v>332501.415665063</v>
      </c>
      <c r="T139" s="83" t="n">
        <f aca="false">S141</f>
        <v>275123.448757428</v>
      </c>
      <c r="U139" s="83" t="n">
        <f aca="false">T141</f>
        <v>221399.656982351</v>
      </c>
      <c r="V139" s="83" t="n">
        <f aca="false">U141</f>
        <v>171716.377769961</v>
      </c>
      <c r="W139" s="83" t="n">
        <f aca="false">V141</f>
        <v>126487.131627436</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57377.9669076356</v>
      </c>
      <c r="T140" s="83" t="n">
        <f aca="false">MIN(T139,MAX(T138,0))</f>
        <v>53723.7917750767</v>
      </c>
      <c r="U140" s="83" t="n">
        <f aca="false">MIN(U139,MAX(U138,0))</f>
        <v>49683.2792123905</v>
      </c>
      <c r="V140" s="83" t="n">
        <f aca="false">MIN(V139,MAX(V138,0))</f>
        <v>45229.2461425245</v>
      </c>
      <c r="W140" s="83" t="n">
        <f aca="false">MIN(W139,MAX(W138,0))</f>
        <v>40332.7756668184</v>
      </c>
    </row>
    <row r="141" customFormat="false" ht="15" hidden="false" customHeight="false" outlineLevel="0" collapsed="false">
      <c r="A141" s="10" t="s">
        <v>463</v>
      </c>
      <c r="C141" s="83" t="n">
        <v>0</v>
      </c>
      <c r="D141" s="83" t="n">
        <f aca="false">D139-D140+MAX(-D138,0)</f>
        <v>79291.2970455051</v>
      </c>
      <c r="E141" s="83" t="n">
        <f aca="false">E139-E140+MAX(-E138,0)</f>
        <v>133436.141325065</v>
      </c>
      <c r="F141" s="83" t="n">
        <f aca="false">F139-F140+MAX(-F138,0)</f>
        <v>167640.123340077</v>
      </c>
      <c r="G141" s="83" t="n">
        <f aca="false">G139-G140+MAX(-G138,0)</f>
        <v>197348.047373466</v>
      </c>
      <c r="H141" s="83" t="n">
        <f aca="false">H139-H140+MAX(-H138,0)</f>
        <v>220418.230315227</v>
      </c>
      <c r="I141" s="83" t="n">
        <f aca="false">I139-I140+MAX(-I138,0)</f>
        <v>236348.282725155</v>
      </c>
      <c r="J141" s="83" t="n">
        <f aca="false">J139-J140+MAX(-J138,0)</f>
        <v>246188.073808435</v>
      </c>
      <c r="K141" s="83" t="n">
        <f aca="false">K139-K140+MAX(-K138,0)</f>
        <v>255473.710274122</v>
      </c>
      <c r="L141" s="83" t="n">
        <f aca="false">L139-L140+MAX(-L138,0)</f>
        <v>264259.472727651</v>
      </c>
      <c r="M141" s="83" t="n">
        <f aca="false">M139-M140+MAX(-M138,0)</f>
        <v>272600.703423778</v>
      </c>
      <c r="N141" s="83" t="n">
        <f aca="false">N139-N140+MAX(-N138,0)</f>
        <v>280553.390958862</v>
      </c>
      <c r="O141" s="83" t="n">
        <f aca="false">O139-O140+MAX(-O138,0)</f>
        <v>290246.845172499</v>
      </c>
      <c r="P141" s="83" t="n">
        <f aca="false">P139-P140+MAX(-P138,0)</f>
        <v>301944.091747815</v>
      </c>
      <c r="Q141" s="83" t="n">
        <f aca="false">Q139-Q140+MAX(-Q138,0)</f>
        <v>315927.771596212</v>
      </c>
      <c r="R141" s="83" t="n">
        <f aca="false">R139-R140+MAX(-R138,0)</f>
        <v>332501.415665063</v>
      </c>
      <c r="S141" s="83" t="n">
        <f aca="false">S139-S140+MAX(-S138,0)</f>
        <v>275123.448757428</v>
      </c>
      <c r="T141" s="83" t="n">
        <f aca="false">T139-T140+MAX(-T138,0)</f>
        <v>221399.656982351</v>
      </c>
      <c r="U141" s="83" t="n">
        <f aca="false">U139-U140+MAX(-U138,0)</f>
        <v>171716.377769961</v>
      </c>
      <c r="V141" s="83" t="n">
        <f aca="false">V139-V140+MAX(-V138,0)</f>
        <v>126487.131627436</v>
      </c>
      <c r="W141" s="83" t="n">
        <f aca="false">W139-W140+MAX(-W138,0)</f>
        <v>86154.3559606177</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-793132.367693456</v>
      </c>
      <c r="C145" s="27" t="n">
        <f aca="false">-C102+C98-C103-C137</f>
        <v>-1153010.25515137</v>
      </c>
      <c r="D145" s="27" t="n">
        <f aca="false">-D102+D98-D103-D137</f>
        <v>11954.3199318548</v>
      </c>
      <c r="E145" s="27" t="n">
        <f aca="false">-E102+E98-E103-E137</f>
        <v>37100.7726977999</v>
      </c>
      <c r="F145" s="27" t="n">
        <f aca="false">-F102+F98-F103-F137</f>
        <v>57041.6349623478</v>
      </c>
      <c r="G145" s="27" t="n">
        <f aca="false">-G102+G98-G103-G137</f>
        <v>60570.5441745608</v>
      </c>
      <c r="H145" s="27" t="n">
        <f aca="false">-H102+H98-H103-H137</f>
        <v>66144.4216198379</v>
      </c>
      <c r="I145" s="27" t="n">
        <f aca="false">-I102+I98-I103-I137</f>
        <v>72114.3021406837</v>
      </c>
      <c r="J145" s="27" t="n">
        <f aca="false">-J102+J98-J103-J137</f>
        <v>76627.8522669588</v>
      </c>
      <c r="K145" s="27" t="n">
        <f aca="false">-K102+K98-K103-K137</f>
        <v>-90435.5526073792</v>
      </c>
      <c r="L145" s="27" t="n">
        <f aca="false">-L102+L98-L103-L137</f>
        <v>74103.0934927026</v>
      </c>
      <c r="M145" s="27" t="n">
        <f aca="false">-M102+M98-M103-M137</f>
        <v>72517.9874712994</v>
      </c>
      <c r="N145" s="27" t="n">
        <f aca="false">-N102+N98-N103-N137</f>
        <v>70696.0683072976</v>
      </c>
      <c r="O145" s="27" t="n">
        <f aca="false">-O102+O98-O103-O137</f>
        <v>68619.765759498</v>
      </c>
      <c r="P145" s="27" t="n">
        <f aca="false">-P102+P98-P103-P137</f>
        <v>66270.3714524942</v>
      </c>
      <c r="Q145" s="27" t="n">
        <f aca="false">-Q102+Q98-Q103-Q137</f>
        <v>63627.9681757304</v>
      </c>
      <c r="R145" s="27" t="n">
        <f aca="false">-R102+R98-R103-R137</f>
        <v>60671.3548514813</v>
      </c>
      <c r="S145" s="27" t="n">
        <f aca="false">-S102+S98-S103-S137</f>
        <v>-152783.544376034</v>
      </c>
      <c r="T145" s="27" t="n">
        <f aca="false">-T102+T98-T103-T137</f>
        <v>53723.7917750767</v>
      </c>
      <c r="U145" s="27" t="n">
        <f aca="false">-U102+U98-U103-U137</f>
        <v>49683.2792123905</v>
      </c>
      <c r="V145" s="27" t="n">
        <f aca="false">-V102+V98-V103-V137</f>
        <v>45229.2461425245</v>
      </c>
      <c r="W145" s="27" t="n">
        <f aca="false">-W102+W98-W103-W137</f>
        <v>33616.488928081</v>
      </c>
    </row>
    <row r="146" customFormat="false" ht="15" hidden="false" customHeight="false" outlineLevel="0" collapsed="false">
      <c r="A146" s="15" t="s">
        <v>469</v>
      </c>
      <c r="B146" s="61" t="n">
        <f aca="false">C146+NPV(Hurdle,D146:W146)</f>
        <v>24787.9929376486</v>
      </c>
      <c r="C146" s="27" t="n">
        <f aca="false">C145+C106+C108</f>
        <v>-553010.255151365</v>
      </c>
      <c r="D146" s="27" t="n">
        <f aca="false">D145+D106+D108</f>
        <v>163154.319931855</v>
      </c>
      <c r="E146" s="27" t="n">
        <f aca="false">E145+E106+E108</f>
        <v>100100.7726978</v>
      </c>
      <c r="F146" s="27" t="n">
        <f aca="false">F145+F106+F108</f>
        <v>94841.6349623478</v>
      </c>
      <c r="G146" s="27" t="n">
        <f aca="false">G145+G106+G108</f>
        <v>60570.5441745608</v>
      </c>
      <c r="H146" s="27" t="n">
        <f aca="false">H145+H106+H108</f>
        <v>66144.4216198379</v>
      </c>
      <c r="I146" s="27" t="n">
        <f aca="false">I145+I106+I108</f>
        <v>72114.3021406837</v>
      </c>
      <c r="J146" s="27" t="n">
        <f aca="false">J145+J106+J108</f>
        <v>76627.8522669588</v>
      </c>
      <c r="K146" s="27" t="n">
        <f aca="false">K145+K106+K108</f>
        <v>-90435.5526073792</v>
      </c>
      <c r="L146" s="27" t="n">
        <f aca="false">L145+L106+L108</f>
        <v>74103.0934927026</v>
      </c>
      <c r="M146" s="27" t="n">
        <f aca="false">M145+M106+M108</f>
        <v>72517.9874712994</v>
      </c>
      <c r="N146" s="27" t="n">
        <f aca="false">N145+N106+N108</f>
        <v>70696.0683072976</v>
      </c>
      <c r="O146" s="27" t="n">
        <f aca="false">O145+O106+O108</f>
        <v>68619.765759498</v>
      </c>
      <c r="P146" s="27" t="n">
        <f aca="false">P145+P106+P108</f>
        <v>66270.3714524942</v>
      </c>
      <c r="Q146" s="27" t="n">
        <f aca="false">Q145+Q106+Q108</f>
        <v>63627.9681757304</v>
      </c>
      <c r="R146" s="27" t="n">
        <f aca="false">R145+R106+R108</f>
        <v>60671.3548514813</v>
      </c>
      <c r="S146" s="27" t="n">
        <f aca="false">S145+S106+S108</f>
        <v>-152783.544376034</v>
      </c>
      <c r="T146" s="27" t="n">
        <f aca="false">T145+T106+T108</f>
        <v>53723.7917750767</v>
      </c>
      <c r="U146" s="27" t="n">
        <f aca="false">U145+U106+U108</f>
        <v>49683.2792123905</v>
      </c>
      <c r="V146" s="27" t="n">
        <f aca="false">V145+V106+V108</f>
        <v>45229.2461425245</v>
      </c>
      <c r="W146" s="27" t="n">
        <f aca="false">W145+W106+W108</f>
        <v>33616.488928081</v>
      </c>
    </row>
    <row r="147" customFormat="false" ht="15" hidden="false" customHeight="false" outlineLevel="0" collapsed="false">
      <c r="A147" s="10" t="s">
        <v>237</v>
      </c>
      <c r="B147" s="61" t="n">
        <f aca="false">SUM(C147:W147)</f>
        <v>1055810.45311794</v>
      </c>
      <c r="C147" s="83" t="n">
        <v>0</v>
      </c>
      <c r="D147" s="83" t="n">
        <f aca="false">D98-D105-D142+D108</f>
        <v>142416.390218767</v>
      </c>
      <c r="E147" s="83" t="n">
        <f aca="false">E98-E105-E142+E108</f>
        <v>79362.8429847122</v>
      </c>
      <c r="F147" s="83" t="n">
        <f aca="false">F98-F105-F142+F108</f>
        <v>74103.7052492601</v>
      </c>
      <c r="G147" s="83" t="n">
        <f aca="false">G98-G105-G142+G108</f>
        <v>39832.6144614731</v>
      </c>
      <c r="H147" s="83" t="n">
        <f aca="false">H98-H105-H142+H108</f>
        <v>45406.4919067503</v>
      </c>
      <c r="I147" s="83" t="n">
        <f aca="false">I98-I105-I142+I108</f>
        <v>51376.372427596</v>
      </c>
      <c r="J147" s="83" t="n">
        <f aca="false">J98-J105-J142+J108</f>
        <v>55889.9225538711</v>
      </c>
      <c r="K147" s="83" t="n">
        <f aca="false">K98-K105-K142+K108</f>
        <v>54729.9553842345</v>
      </c>
      <c r="L147" s="83" t="n">
        <f aca="false">L98-L105-L142+L108</f>
        <v>47832.9045822438</v>
      </c>
      <c r="M147" s="83" t="n">
        <f aca="false">M98-M105-M142+M108</f>
        <v>46247.7985608407</v>
      </c>
      <c r="N147" s="83" t="n">
        <f aca="false">N98-N105-N142+N108</f>
        <v>44425.8793968388</v>
      </c>
      <c r="O147" s="83" t="n">
        <f aca="false">O98-O105-O142+O108</f>
        <v>42349.5768490392</v>
      </c>
      <c r="P147" s="83" t="n">
        <f aca="false">P98-P105-P142+P108</f>
        <v>40000.1825420355</v>
      </c>
      <c r="Q147" s="83" t="n">
        <f aca="false">Q98-Q105-Q142+Q108</f>
        <v>37357.7792652716</v>
      </c>
      <c r="R147" s="83" t="n">
        <f aca="false">R98-R105-R142+R108</f>
        <v>34401.1659410226</v>
      </c>
      <c r="S147" s="83" t="n">
        <f aca="false">S98-S105-S142+S108</f>
        <v>31107.7779971769</v>
      </c>
      <c r="T147" s="83" t="n">
        <f aca="false">T98-T105-T142+T108</f>
        <v>53723.7917750767</v>
      </c>
      <c r="U147" s="83" t="n">
        <f aca="false">U98-U105-U142+U108</f>
        <v>49683.2792123905</v>
      </c>
      <c r="V147" s="83" t="n">
        <f aca="false">V98-V105-V142+V108</f>
        <v>45229.2461425245</v>
      </c>
      <c r="W147" s="83" t="n">
        <f aca="false">W98-W105-W142+W108</f>
        <v>40332.7756668184</v>
      </c>
    </row>
    <row r="148" customFormat="false" ht="15" hidden="false" customHeight="false" outlineLevel="0" collapsed="false">
      <c r="A148" s="10" t="s">
        <v>470</v>
      </c>
      <c r="C148" s="86" t="n">
        <v>0</v>
      </c>
      <c r="D148" s="86" t="n">
        <f aca="false">IF(D125&gt;0,D147/D125,"")</f>
        <v>9.90497629823033</v>
      </c>
      <c r="E148" s="86" t="n">
        <f aca="false">IF(E125&gt;0,E147/E125,"")</f>
        <v>5.51963911960017</v>
      </c>
      <c r="F148" s="86" t="n">
        <f aca="false">IF(F125&gt;0,F147/F125,"")</f>
        <v>3.08126662079331</v>
      </c>
      <c r="G148" s="86" t="n">
        <f aca="false">IF(G125&gt;0,G147/G125,"")</f>
        <v>1.65625868431581</v>
      </c>
      <c r="H148" s="86" t="n">
        <f aca="false">IF(H125&gt;0,H147/H125,"")</f>
        <v>1.88802310773776</v>
      </c>
      <c r="I148" s="86" t="n">
        <f aca="false">IF(I125&gt;0,I147/I125,"")</f>
        <v>1.52462878215299</v>
      </c>
      <c r="J148" s="86" t="n">
        <f aca="false">IF(J125&gt;0,J147/J125,"")</f>
        <v>1.65857145087503</v>
      </c>
      <c r="K148" s="86" t="n">
        <f aca="false">IF(K125&gt;0,K147/K125,"")</f>
        <v>1.62414863646413</v>
      </c>
      <c r="L148" s="86" t="n">
        <f aca="false">IF(L125&gt;0,L147/L125,"")</f>
        <v>1.41947396466814</v>
      </c>
      <c r="M148" s="86" t="n">
        <f aca="false">IF(M125&gt;0,M147/M125,"")</f>
        <v>1.37243486578273</v>
      </c>
      <c r="N148" s="86" t="n">
        <f aca="false">IF(N125&gt;0,N147/N125,"")</f>
        <v>3.4263538417877</v>
      </c>
      <c r="O148" s="86" t="n">
        <f aca="false">IF(O125&gt;0,O147/O125,"")</f>
        <v>3.26621863888448</v>
      </c>
      <c r="P148" s="86" t="n">
        <f aca="false">IF(P125&gt;0,P147/P125,"")</f>
        <v>3.08502118553144</v>
      </c>
      <c r="Q148" s="86" t="n">
        <f aca="false">IF(Q125&gt;0,Q147/Q125,"")</f>
        <v>2.88122536332569</v>
      </c>
      <c r="R148" s="86" t="n">
        <f aca="false">IF(R125&gt;0,R147/R125,"")</f>
        <v>2.65319603538081</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12825.3669843793</v>
      </c>
      <c r="C149" s="27" t="n">
        <f aca="false">-'Flux de trésorerie'!$B$18-C129</f>
        <v>-338995.286407787</v>
      </c>
      <c r="D149" s="27" t="n">
        <f aca="false">D147-D125-D129</f>
        <v>128038.123584832</v>
      </c>
      <c r="E149" s="27" t="n">
        <f aca="false">E147-E125-E129</f>
        <v>60148.8325037259</v>
      </c>
      <c r="F149" s="27" t="n">
        <f aca="false">F147-F125-F129</f>
        <v>50053.950921223</v>
      </c>
      <c r="G149" s="27" t="n">
        <f aca="false">G147-G125-G129</f>
        <v>15782.860133436</v>
      </c>
      <c r="H149" s="27" t="n">
        <f aca="false">H147-H125-H129</f>
        <v>16532.8011072429</v>
      </c>
      <c r="I149" s="27" t="n">
        <f aca="false">I147-I125-I129</f>
        <v>17678.7451566185</v>
      </c>
      <c r="J149" s="27" t="n">
        <f aca="false">J147-J125-J129</f>
        <v>22192.2952828935</v>
      </c>
      <c r="K149" s="27" t="n">
        <f aca="false">K147-K125-K129</f>
        <v>21032.328113257</v>
      </c>
      <c r="L149" s="27" t="n">
        <f aca="false">L147-L125-L129</f>
        <v>14135.2773112663</v>
      </c>
      <c r="M149" s="27" t="n">
        <f aca="false">M147-M125-M129</f>
        <v>22916.0176884276</v>
      </c>
      <c r="N149" s="27" t="n">
        <f aca="false">N147-N125-N129</f>
        <v>31459.9449229902</v>
      </c>
      <c r="O149" s="27" t="n">
        <f aca="false">O147-O125-O129</f>
        <v>29383.6423751906</v>
      </c>
      <c r="P149" s="27" t="n">
        <f aca="false">P147-P125-P129</f>
        <v>27034.2480681869</v>
      </c>
      <c r="Q149" s="27" t="n">
        <f aca="false">Q147-Q125-Q129</f>
        <v>24391.844791423</v>
      </c>
      <c r="R149" s="27" t="n">
        <f aca="false">R147-R125-R129</f>
        <v>27918.1987040983</v>
      </c>
      <c r="S149" s="27" t="n">
        <f aca="false">S147-S125-S129</f>
        <v>31107.7779971769</v>
      </c>
      <c r="T149" s="27" t="n">
        <f aca="false">T147-T125-T129</f>
        <v>53723.7917750767</v>
      </c>
      <c r="U149" s="27" t="n">
        <f aca="false">U147-U125-U129</f>
        <v>49683.2792123905</v>
      </c>
      <c r="V149" s="27" t="n">
        <f aca="false">V147-V125-V129</f>
        <v>45229.2461425245</v>
      </c>
      <c r="W149" s="27" t="n">
        <f aca="false">W147-W125-W129</f>
        <v>40332.7756668184</v>
      </c>
    </row>
    <row r="150" customFormat="false" ht="15" hidden="false" customHeight="false" outlineLevel="0" collapsed="false">
      <c r="A150" s="10" t="s">
        <v>472</v>
      </c>
      <c r="C150" s="83" t="n">
        <f aca="false">C149</f>
        <v>-338995.286407787</v>
      </c>
      <c r="D150" s="83" t="n">
        <f aca="false">C150+D149</f>
        <v>-210957.162822955</v>
      </c>
      <c r="E150" s="83" t="n">
        <f aca="false">D150+E149</f>
        <v>-150808.33031923</v>
      </c>
      <c r="F150" s="83" t="n">
        <f aca="false">E150+F149</f>
        <v>-100754.379398007</v>
      </c>
      <c r="G150" s="83" t="n">
        <f aca="false">F150+G149</f>
        <v>-84971.5192645705</v>
      </c>
      <c r="H150" s="83" t="n">
        <f aca="false">G150+H149</f>
        <v>-68438.7181573276</v>
      </c>
      <c r="I150" s="83" t="n">
        <f aca="false">H150+I149</f>
        <v>-50759.9730007091</v>
      </c>
      <c r="J150" s="83" t="n">
        <f aca="false">I150+J149</f>
        <v>-28567.6777178156</v>
      </c>
      <c r="K150" s="83" t="n">
        <f aca="false">J150+K149</f>
        <v>-7535.34960455861</v>
      </c>
      <c r="L150" s="83" t="n">
        <f aca="false">K150+L149</f>
        <v>6599.92770670768</v>
      </c>
      <c r="M150" s="83" t="n">
        <f aca="false">L150+M149</f>
        <v>29515.9453951352</v>
      </c>
      <c r="N150" s="83" t="n">
        <f aca="false">M150+N149</f>
        <v>60975.8903181254</v>
      </c>
      <c r="O150" s="83" t="n">
        <f aca="false">N150+O149</f>
        <v>90359.532693316</v>
      </c>
      <c r="P150" s="83" t="n">
        <f aca="false">O150+P149</f>
        <v>117393.780761503</v>
      </c>
      <c r="Q150" s="83" t="n">
        <f aca="false">P150+Q149</f>
        <v>141785.625552926</v>
      </c>
      <c r="R150" s="83" t="n">
        <f aca="false">Q150+R149</f>
        <v>169703.824257024</v>
      </c>
      <c r="S150" s="83" t="n">
        <f aca="false">R150+S149</f>
        <v>200811.602254201</v>
      </c>
      <c r="T150" s="83" t="n">
        <f aca="false">S150+T149</f>
        <v>254535.394029278</v>
      </c>
      <c r="U150" s="83" t="n">
        <f aca="false">T150+U149</f>
        <v>304218.673241668</v>
      </c>
      <c r="V150" s="83" t="n">
        <f aca="false">U150+V149</f>
        <v>349447.919384193</v>
      </c>
      <c r="W150" s="83" t="n">
        <f aca="false">V150+W149</f>
        <v>389780.695051011</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0"/>
    <col collapsed="false" customWidth="true" hidden="false" outlineLevel="0" max="2" min="2" style="0" width="12"/>
  </cols>
  <sheetData>
    <row r="1" customFormat="false" ht="19.7" hidden="false" customHeight="false" outlineLevel="0" collapsed="false">
      <c r="A1" s="6" t="s">
        <v>477</v>
      </c>
    </row>
    <row r="3" customFormat="false" ht="15" hidden="false" customHeight="false" outlineLevel="0" collapsed="false">
      <c r="A3" s="87" t="s">
        <v>478</v>
      </c>
      <c r="B3" s="54" t="str">
        <f aca="false">IF(ABS(SourcesTotal-UsesTotal)&lt;1,"OK","À VÉRIFIER")</f>
        <v>OK</v>
      </c>
    </row>
    <row r="4" customFormat="false" ht="15" hidden="false" customHeight="false" outlineLevel="0" collapsed="false">
      <c r="A4" s="87" t="s">
        <v>479</v>
      </c>
      <c r="B4" s="54" t="str">
        <f aca="false">IF(SenPct+ConPct&lt;=1,"OK","À VÉRIFIER")</f>
        <v>OK</v>
      </c>
    </row>
    <row r="5" customFormat="false" ht="15" hidden="false" customHeight="false" outlineLevel="0" collapsed="false">
      <c r="A5" s="87" t="s">
        <v>480</v>
      </c>
      <c r="B5" s="54" t="str">
        <f aca="false">IF(ABS(INDEX('Flux de trésorerie'!$C$116:$W$116,1,MIN(SenTenor,20)+1))&lt;1,"OK","À VÉRIFIER")</f>
        <v>OK</v>
      </c>
    </row>
    <row r="6" customFormat="false" ht="15" hidden="false" customHeight="false" outlineLevel="0" collapsed="false">
      <c r="A6" s="87" t="s">
        <v>481</v>
      </c>
      <c r="B6" s="54" t="str">
        <f aca="false">IF(ABS(INDEX('Flux de trésorerie'!$C$123:$W$123,1,MIN(ConTenor,20)+1))&lt;1,"OK","À VÉRIFIER")</f>
        <v>OK</v>
      </c>
    </row>
    <row r="7" customFormat="false" ht="15" hidden="false" customHeight="false" outlineLevel="0" collapsed="false">
      <c r="A7" s="87" t="s">
        <v>482</v>
      </c>
      <c r="B7" s="54" t="str">
        <f aca="false">IF(AND(SenTenor&lt;=Life,ConTenor&lt;=Life),"OK","À VÉRIFIER")</f>
        <v>OK</v>
      </c>
    </row>
    <row r="8" customFormat="false" ht="15" hidden="false" customHeight="false" outlineLevel="0" collapsed="false">
      <c r="A8" s="87" t="s">
        <v>483</v>
      </c>
      <c r="B8" s="54" t="str">
        <f aca="false">IF(AND(SenGrace&lt;SenTenor,ConGrace&lt;ConTenor),"OK","À VÉRIFIER")</f>
        <v>OK</v>
      </c>
    </row>
    <row r="9" customFormat="false" ht="15" hidden="false" customHeight="false" outlineLevel="0" collapsed="false">
      <c r="A9" s="87" t="s">
        <v>484</v>
      </c>
      <c r="B9" s="54" t="str">
        <f aca="false">IF(AND(Life&gt;=1,Life&lt;=20),"OK","À VÉRIFIER")</f>
        <v>OK</v>
      </c>
    </row>
    <row r="10" customFormat="false" ht="15" hidden="false" customHeight="false" outlineLevel="0" collapsed="false">
      <c r="A10" s="87" t="s">
        <v>485</v>
      </c>
      <c r="B10" s="54" t="str">
        <f aca="false">IF(LP_Check="OK","OK","À VÉRIFIER")</f>
        <v>OK</v>
      </c>
    </row>
    <row r="11" customFormat="false" ht="15" hidden="false" customHeight="false" outlineLevel="0" collapsed="false">
      <c r="A11" s="87" t="s">
        <v>486</v>
      </c>
      <c r="B11" s="54" t="str">
        <f aca="false">IF(ABS('Flux de trésorerie'!$B$71+'Flux de trésorerie'!$B$72-'Flux de trésorerie'!$B$69)&lt;1,"OK","À VÉRIFIER")</f>
        <v>OK</v>
      </c>
    </row>
    <row r="12" customFormat="false" ht="15" hidden="false" customHeight="false" outlineLevel="0" collapsed="false">
      <c r="A12" s="87" t="s">
        <v>487</v>
      </c>
      <c r="B12" s="54" t="str">
        <f aca="false">IF(OR(UseMRA=0,ABS('Flux de trésorerie'!$B$104-SUM('Flux de trésorerie'!$C$103:$W$103))&lt;1),"OK","À VÉRIFIER")</f>
        <v>OK</v>
      </c>
    </row>
    <row r="13" customFormat="false" ht="15" hidden="false" customHeight="false" outlineLevel="0" collapsed="false">
      <c r="A13" s="87" t="s">
        <v>488</v>
      </c>
      <c r="B13" s="54" t="str">
        <f aca="false">IF(ABS('Flux de trésorerie'!$B$129)&lt;1,"OK","À VÉRIFIER")</f>
        <v>OK</v>
      </c>
    </row>
    <row r="14" customFormat="false" ht="15" hidden="false" customHeight="false" outlineLevel="0" collapsed="false">
      <c r="A14" s="87" t="s">
        <v>489</v>
      </c>
      <c r="B14" s="54" t="str">
        <f aca="false">IF(ABS(NPV_Post-NPV_Pre-Grant-'Flux de trésorerie'!$B$32)&lt;1,"OK","À VÉRIFIER")</f>
        <v>OK</v>
      </c>
    </row>
    <row r="15" customFormat="false" ht="15" hidden="false" customHeight="false" outlineLevel="0" collapsed="false">
      <c r="A15" s="87" t="s">
        <v>490</v>
      </c>
      <c r="B15" s="54" t="str">
        <f aca="false">IF(OR(RBFNeededEq=0,ABS(EqNPV-'Flux de trésorerie'!$B$34+RBFNeededEq*'Flux de trésorerie'!$B$33)&lt;1),"OK","À VÉRIFIER")</f>
        <v>OK</v>
      </c>
    </row>
    <row r="16" customFormat="false" ht="15" hidden="false" customHeight="false" outlineLevel="0" collapsed="false">
      <c r="A16" s="87" t="s">
        <v>491</v>
      </c>
      <c r="B16" s="54" t="str">
        <f aca="false">IF(MIN('Flux de trésorerie'!$C$136:$W$136)&gt;=-0.01,"OK","À VÉRIFIER")</f>
        <v>OK</v>
      </c>
    </row>
    <row r="17" customFormat="false" ht="15" hidden="false" customHeight="false" outlineLevel="0" collapsed="false">
      <c r="A17" s="87" t="s">
        <v>492</v>
      </c>
      <c r="B17" s="54" t="str">
        <f aca="false">IF(TotalCustomers&gt;0,"OK","À VÉRIFIER")</f>
        <v>OK</v>
      </c>
    </row>
    <row r="18" customFormat="false" ht="15" hidden="false" customHeight="false" outlineLevel="0" collapsed="false">
      <c r="A18" s="87" t="s">
        <v>493</v>
      </c>
      <c r="B18" s="54" t="str">
        <f aca="false">IF(ABS('Flux de trésorerie'!$B$21-NPV_Post)&lt;1,"OK","À VÉRIFIER")</f>
        <v>OK</v>
      </c>
    </row>
    <row r="20" customFormat="false" ht="15" hidden="false" customHeight="false" outlineLevel="0" collapsed="false">
      <c r="A20" s="15" t="s">
        <v>494</v>
      </c>
      <c r="B20" s="15" t="str">
        <f aca="false">IF(COUNTIF(B3:B18,"OK")=16,"TOUT OK","À REVOIR")</f>
        <v>TOUT OK</v>
      </c>
    </row>
  </sheetData>
  <conditionalFormatting sqref="B3:B20">
    <cfRule type="expression" priority="2" aboveAverage="0" equalAverage="0" bottom="0" percent="0" rank="0" text="" dxfId="3">
      <formula>OR(B3="OK",B3="TOUT OK")</formula>
    </cfRule>
    <cfRule type="expression" priority="3" aboveAverage="0" equalAverage="0" bottom="0" percent="0" rank="0" text="" dxfId="2">
      <formula>OR(B3="À VÉRIFIER",B3="À REVOIR")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f aca="false">1-SensDelta</f>
        <v>0.8</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MAX(0,S_Tariff_Lo!$B$14-Grant)*SenPct</f>
        <v>110602.051030273</v>
      </c>
    </row>
    <row r="17" customFormat="false" ht="15" hidden="false" customHeight="false" outlineLevel="0" collapsed="false">
      <c r="A17" s="10" t="s">
        <v>248</v>
      </c>
      <c r="B17" s="61" t="n">
        <f aca="false">MAX(0,S_Tariff_Lo!$B$14-Grant)*ConPct</f>
        <v>110602.051030273</v>
      </c>
    </row>
    <row r="18" customFormat="false" ht="15" hidden="false" customHeight="false" outlineLevel="0" collapsed="false">
      <c r="A18" s="10" t="s">
        <v>393</v>
      </c>
      <c r="B18" s="61" t="n">
        <f aca="false">MAX(0,S_Tariff_Lo!$B$14-Grant-S_Tariff_Lo!$B$16-S_Tariff_Lo!$B$17)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-1093937.48072582</v>
      </c>
    </row>
    <row r="21" customFormat="false" ht="15" hidden="false" customHeight="false" outlineLevel="0" collapsed="false">
      <c r="A21" s="10" t="s">
        <v>396</v>
      </c>
      <c r="B21" s="61" t="n">
        <f aca="false">$B$146</f>
        <v>-276017.120094711</v>
      </c>
    </row>
    <row r="22" customFormat="false" ht="15" hidden="false" customHeight="false" outlineLevel="0" collapsed="false">
      <c r="A22" s="10" t="s">
        <v>397</v>
      </c>
      <c r="B22" s="63" t="str">
        <f aca="false">IFERROR(IRR($C$145:$W$145),"n.d.")</f>
        <v>n.d.</v>
      </c>
    </row>
    <row r="23" customFormat="false" ht="15" hidden="false" customHeight="false" outlineLevel="0" collapsed="false">
      <c r="A23" s="10" t="s">
        <v>398</v>
      </c>
      <c r="B23" s="63" t="str">
        <f aca="false">IFERROR(IRR($C$146:$W$146),"n.d.")</f>
        <v>n.d.</v>
      </c>
    </row>
    <row r="24" customFormat="false" ht="15" hidden="false" customHeight="false" outlineLevel="0" collapsed="false">
      <c r="A24" s="10" t="s">
        <v>384</v>
      </c>
      <c r="B24" s="61" t="n">
        <f aca="false">MAX(0,-$B$145)</f>
        <v>1093937.48072582</v>
      </c>
    </row>
    <row r="25" customFormat="false" ht="15" hidden="false" customHeight="false" outlineLevel="0" collapsed="false">
      <c r="A25" s="10" t="s">
        <v>256</v>
      </c>
      <c r="B25" s="63" t="str">
        <f aca="false">IFERROR(IRR($C$149:$W$149),"n.d.")</f>
        <v>n.d.</v>
      </c>
    </row>
    <row r="26" customFormat="false" ht="15" hidden="false" customHeight="false" outlineLevel="0" collapsed="false">
      <c r="A26" s="10" t="s">
        <v>258</v>
      </c>
      <c r="B26" s="61" t="n">
        <f aca="false">C149+NPV(TargetEqIRR,D149:W149)</f>
        <v>-260737.269079221</v>
      </c>
    </row>
    <row r="27" customFormat="false" ht="15" hidden="false" customHeight="false" outlineLevel="0" collapsed="false">
      <c r="A27" s="10" t="s">
        <v>252</v>
      </c>
      <c r="B27" s="62" t="n">
        <f aca="false">IF((S_Tariff_Lo!$B$16+S_Tariff_Lo!$B$17)&gt;0,MIN($D$148:$W$148),"pas de dette")</f>
        <v>-1.54699795074472</v>
      </c>
    </row>
    <row r="28" customFormat="false" ht="15" hidden="false" customHeight="false" outlineLevel="0" collapsed="false">
      <c r="A28" s="10" t="s">
        <v>254</v>
      </c>
      <c r="B28" s="62" t="n">
        <f aca="false">IF((S_Tariff_Lo!$B$16+S_Tariff_Lo!$B$17)&gt;0,AVERAGE($D$148:$W$148),"pas de dette")</f>
        <v>0.989365182201392</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0.355117027299192</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0</v>
      </c>
    </row>
    <row r="36" customFormat="false" ht="15" hidden="false" customHeight="false" outlineLevel="0" collapsed="false">
      <c r="A36" s="10" t="s">
        <v>260</v>
      </c>
      <c r="B36" s="78" t="str">
        <f aca="false">IFERROR(MATCH(TRUE(),INDEX($C$150:$W$150&gt;=0,0),0)-1,"&gt; durée de vie")</f>
        <v>&gt; durée de vie</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1685806.51166827</v>
      </c>
      <c r="C77" s="83" t="n">
        <v>0</v>
      </c>
      <c r="D77" s="83" t="n">
        <f aca="false">D61*Seg1_Tariff*LevTariff*$B$5*D43</f>
        <v>27648</v>
      </c>
      <c r="E77" s="83" t="n">
        <f aca="false">E61*Seg1_Tariff*LevTariff*$B$5*E43</f>
        <v>41553.3312</v>
      </c>
      <c r="F77" s="83" t="n">
        <f aca="false">F61*Seg1_Tariff*LevTariff*$B$5*F43</f>
        <v>51863.4459648</v>
      </c>
      <c r="G77" s="83" t="n">
        <f aca="false">G61*Seg1_Tariff*LevTariff*$B$5*G43</f>
        <v>55021.9298240563</v>
      </c>
      <c r="H77" s="83" t="n">
        <f aca="false">H61*Seg1_Tariff*LevTariff*$B$5*H43</f>
        <v>58372.7653503414</v>
      </c>
      <c r="I77" s="83" t="n">
        <f aca="false">I61*Seg1_Tariff*LevTariff*$B$5*I43</f>
        <v>61927.6667601772</v>
      </c>
      <c r="J77" s="83" t="n">
        <f aca="false">J61*Seg1_Tariff*LevTariff*$B$5*J43</f>
        <v>65699.0616658719</v>
      </c>
      <c r="K77" s="83" t="n">
        <f aca="false">K61*Seg1_Tariff*LevTariff*$B$5*K43</f>
        <v>69700.1345213236</v>
      </c>
      <c r="L77" s="83" t="n">
        <f aca="false">L61*Seg1_Tariff*LevTariff*$B$5*L43</f>
        <v>73944.8727136722</v>
      </c>
      <c r="M77" s="83" t="n">
        <f aca="false">M61*Seg1_Tariff*LevTariff*$B$5*M43</f>
        <v>78448.1154619348</v>
      </c>
      <c r="N77" s="83" t="n">
        <f aca="false">N61*Seg1_Tariff*LevTariff*$B$5*N43</f>
        <v>83225.6056935666</v>
      </c>
      <c r="O77" s="83" t="n">
        <f aca="false">O61*Seg1_Tariff*LevTariff*$B$5*O43</f>
        <v>88294.0450803049</v>
      </c>
      <c r="P77" s="83" t="n">
        <f aca="false">P61*Seg1_Tariff*LevTariff*$B$5*P43</f>
        <v>93671.1524256954</v>
      </c>
      <c r="Q77" s="83" t="n">
        <f aca="false">Q61*Seg1_Tariff*LevTariff*$B$5*Q43</f>
        <v>99375.7256084203</v>
      </c>
      <c r="R77" s="83" t="n">
        <f aca="false">R61*Seg1_Tariff*LevTariff*$B$5*R43</f>
        <v>105427.707297973</v>
      </c>
      <c r="S77" s="83" t="n">
        <f aca="false">S61*Seg1_Tariff*LevTariff*$B$5*S43</f>
        <v>111848.25467242</v>
      </c>
      <c r="T77" s="83" t="n">
        <f aca="false">T61*Seg1_Tariff*LevTariff*$B$5*T43</f>
        <v>118659.81338197</v>
      </c>
      <c r="U77" s="83" t="n">
        <f aca="false">U61*Seg1_Tariff*LevTariff*$B$5*U43</f>
        <v>125886.196016932</v>
      </c>
      <c r="V77" s="83" t="n">
        <f aca="false">V61*Seg1_Tariff*LevTariff*$B$5*V43</f>
        <v>133552.665354363</v>
      </c>
      <c r="W77" s="83" t="n">
        <f aca="false">W61*Seg1_Tariff*LevTariff*$B$5*W43</f>
        <v>141686.022674444</v>
      </c>
    </row>
    <row r="78" customFormat="false" ht="15" hidden="false" customHeight="false" outlineLevel="0" collapsed="false">
      <c r="A78" s="10" t="str">
        <f aca="false">"Recettes facturées - "&amp;Seg2_Name</f>
        <v>Recettes facturées - Usagers productifs (moulins, soudure, chambres froides)</v>
      </c>
      <c r="B78" s="61" t="n">
        <f aca="false">SUM(C78:W78)</f>
        <v>1146255.70857628</v>
      </c>
      <c r="C78" s="83" t="n">
        <v>0</v>
      </c>
      <c r="D78" s="83" t="n">
        <f aca="false">D62*Seg2_Tariff*LevTariff*$B$5*D43</f>
        <v>18799.11936</v>
      </c>
      <c r="E78" s="83" t="n">
        <f aca="false">E62*Seg2_Tariff*LevTariff*$B$5*E43</f>
        <v>28253.979782784</v>
      </c>
      <c r="F78" s="83" t="n">
        <f aca="false">F62*Seg2_Tariff*LevTariff*$B$5*F43</f>
        <v>35264.2907665359</v>
      </c>
      <c r="G78" s="83" t="n">
        <f aca="false">G62*Seg2_Tariff*LevTariff*$B$5*G43</f>
        <v>37411.886074218</v>
      </c>
      <c r="H78" s="83" t="n">
        <f aca="false">H62*Seg2_Tariff*LevTariff*$B$5*H43</f>
        <v>39690.2699361379</v>
      </c>
      <c r="I78" s="83" t="n">
        <f aca="false">I62*Seg2_Tariff*LevTariff*$B$5*I43</f>
        <v>42107.4073752486</v>
      </c>
      <c r="J78" s="83" t="n">
        <f aca="false">J62*Seg2_Tariff*LevTariff*$B$5*J43</f>
        <v>44671.7484844013</v>
      </c>
      <c r="K78" s="83" t="n">
        <f aca="false">K62*Seg2_Tariff*LevTariff*$B$5*K43</f>
        <v>47392.2579671013</v>
      </c>
      <c r="L78" s="83" t="n">
        <f aca="false">L62*Seg2_Tariff*LevTariff*$B$5*L43</f>
        <v>50278.4464772978</v>
      </c>
      <c r="M78" s="83" t="n">
        <f aca="false">M62*Seg2_Tariff*LevTariff*$B$5*M43</f>
        <v>53340.4038677653</v>
      </c>
      <c r="N78" s="83" t="n">
        <f aca="false">N62*Seg2_Tariff*LevTariff*$B$5*N43</f>
        <v>56588.8344633122</v>
      </c>
      <c r="O78" s="83" t="n">
        <f aca="false">O62*Seg2_Tariff*LevTariff*$B$5*O43</f>
        <v>60035.0944821279</v>
      </c>
      <c r="P78" s="83" t="n">
        <f aca="false">P62*Seg2_Tariff*LevTariff*$B$5*P43</f>
        <v>63691.2317360895</v>
      </c>
      <c r="Q78" s="83" t="n">
        <f aca="false">Q62*Seg2_Tariff*LevTariff*$B$5*Q43</f>
        <v>67570.0277488173</v>
      </c>
      <c r="R78" s="83" t="n">
        <f aca="false">R62*Seg2_Tariff*LevTariff*$B$5*R43</f>
        <v>71685.0424387203</v>
      </c>
      <c r="S78" s="83" t="n">
        <f aca="false">S62*Seg2_Tariff*LevTariff*$B$5*S43</f>
        <v>76050.6615232384</v>
      </c>
      <c r="T78" s="83" t="n">
        <f aca="false">T62*Seg2_Tariff*LevTariff*$B$5*T43</f>
        <v>80682.1468100036</v>
      </c>
      <c r="U78" s="83" t="n">
        <f aca="false">U62*Seg2_Tariff*LevTariff*$B$5*U43</f>
        <v>85595.6895507328</v>
      </c>
      <c r="V78" s="83" t="n">
        <f aca="false">V62*Seg2_Tariff*LevTariff*$B$5*V43</f>
        <v>90808.4670443725</v>
      </c>
      <c r="W78" s="83" t="n">
        <f aca="false">W62*Seg2_Tariff*LevTariff*$B$5*W43</f>
        <v>96338.7026873747</v>
      </c>
    </row>
    <row r="79" customFormat="false" ht="15" hidden="false" customHeight="false" outlineLevel="0" collapsed="false">
      <c r="A79" s="10" t="str">
        <f aca="false">"Recettes facturées - "&amp;Seg3_Name</f>
        <v>Recettes facturées - Commerces (boutiques, bars, kiosques)</v>
      </c>
      <c r="B79" s="61" t="n">
        <f aca="false">SUM(C79:W79)</f>
        <v>702419.379861778</v>
      </c>
      <c r="C79" s="83" t="n">
        <v>0</v>
      </c>
      <c r="D79" s="83" t="n">
        <f aca="false">D63*Seg3_Tariff*LevTariff*$B$5*D43</f>
        <v>11520</v>
      </c>
      <c r="E79" s="83" t="n">
        <f aca="false">E63*Seg3_Tariff*LevTariff*$B$5*E43</f>
        <v>17313.888</v>
      </c>
      <c r="F79" s="83" t="n">
        <f aca="false">F63*Seg3_Tariff*LevTariff*$B$5*F43</f>
        <v>21609.769152</v>
      </c>
      <c r="G79" s="83" t="n">
        <f aca="false">G63*Seg3_Tariff*LevTariff*$B$5*G43</f>
        <v>22925.8040933568</v>
      </c>
      <c r="H79" s="83" t="n">
        <f aca="false">H63*Seg3_Tariff*LevTariff*$B$5*H43</f>
        <v>24321.9855626422</v>
      </c>
      <c r="I79" s="83" t="n">
        <f aca="false">I63*Seg3_Tariff*LevTariff*$B$5*I43</f>
        <v>25803.1944834071</v>
      </c>
      <c r="J79" s="83" t="n">
        <f aca="false">J63*Seg3_Tariff*LevTariff*$B$5*J43</f>
        <v>27374.6090274466</v>
      </c>
      <c r="K79" s="83" t="n">
        <f aca="false">K63*Seg3_Tariff*LevTariff*$B$5*K43</f>
        <v>29041.7227172182</v>
      </c>
      <c r="L79" s="83" t="n">
        <f aca="false">L63*Seg3_Tariff*LevTariff*$B$5*L43</f>
        <v>30810.3636306967</v>
      </c>
      <c r="M79" s="83" t="n">
        <f aca="false">M63*Seg3_Tariff*LevTariff*$B$5*M43</f>
        <v>32686.7147758062</v>
      </c>
      <c r="N79" s="83" t="n">
        <f aca="false">N63*Seg3_Tariff*LevTariff*$B$5*N43</f>
        <v>34677.3357056528</v>
      </c>
      <c r="O79" s="83" t="n">
        <f aca="false">O63*Seg3_Tariff*LevTariff*$B$5*O43</f>
        <v>36789.185450127</v>
      </c>
      <c r="P79" s="83" t="n">
        <f aca="false">P63*Seg3_Tariff*LevTariff*$B$5*P43</f>
        <v>39029.6468440398</v>
      </c>
      <c r="Q79" s="83" t="n">
        <f aca="false">Q63*Seg3_Tariff*LevTariff*$B$5*Q43</f>
        <v>41406.5523368418</v>
      </c>
      <c r="R79" s="83" t="n">
        <f aca="false">R63*Seg3_Tariff*LevTariff*$B$5*R43</f>
        <v>43928.2113741555</v>
      </c>
      <c r="S79" s="83" t="n">
        <f aca="false">S63*Seg3_Tariff*LevTariff*$B$5*S43</f>
        <v>46603.4394468415</v>
      </c>
      <c r="T79" s="83" t="n">
        <f aca="false">T63*Seg3_Tariff*LevTariff*$B$5*T43</f>
        <v>49441.5889091542</v>
      </c>
      <c r="U79" s="83" t="n">
        <f aca="false">U63*Seg3_Tariff*LevTariff*$B$5*U43</f>
        <v>52452.5816737217</v>
      </c>
      <c r="V79" s="83" t="n">
        <f aca="false">V63*Seg3_Tariff*LevTariff*$B$5*V43</f>
        <v>55646.9438976513</v>
      </c>
      <c r="W79" s="83" t="n">
        <f aca="false">W63*Seg3_Tariff*LevTariff*$B$5*W43</f>
        <v>59035.8427810183</v>
      </c>
    </row>
    <row r="80" customFormat="false" ht="15" hidden="false" customHeight="false" outlineLevel="0" collapsed="false">
      <c r="A80" s="10" t="str">
        <f aca="false">"Recettes facturées - "&amp;Seg4_Name</f>
        <v>Recettes facturées - Institutions (centre de santé, école, eau)</v>
      </c>
      <c r="B80" s="61" t="n">
        <f aca="false">SUM(C80:W80)</f>
        <v>368770.174427433</v>
      </c>
      <c r="C80" s="83" t="n">
        <v>0</v>
      </c>
      <c r="D80" s="83" t="n">
        <f aca="false">D64*Seg4_Tariff*LevTariff*$B$5*D43</f>
        <v>6048</v>
      </c>
      <c r="E80" s="83" t="n">
        <f aca="false">E64*Seg4_Tariff*LevTariff*$B$5*E43</f>
        <v>9089.7912</v>
      </c>
      <c r="F80" s="83" t="n">
        <f aca="false">F64*Seg4_Tariff*LevTariff*$B$5*F43</f>
        <v>11345.1288048</v>
      </c>
      <c r="G80" s="83" t="n">
        <f aca="false">G64*Seg4_Tariff*LevTariff*$B$5*G43</f>
        <v>12036.0471490123</v>
      </c>
      <c r="H80" s="83" t="n">
        <f aca="false">H64*Seg4_Tariff*LevTariff*$B$5*H43</f>
        <v>12769.0424203872</v>
      </c>
      <c r="I80" s="83" t="n">
        <f aca="false">I64*Seg4_Tariff*LevTariff*$B$5*I43</f>
        <v>13546.6771037888</v>
      </c>
      <c r="J80" s="83" t="n">
        <f aca="false">J64*Seg4_Tariff*LevTariff*$B$5*J43</f>
        <v>14371.6697394095</v>
      </c>
      <c r="K80" s="83" t="n">
        <f aca="false">K64*Seg4_Tariff*LevTariff*$B$5*K43</f>
        <v>15246.9044265395</v>
      </c>
      <c r="L80" s="83" t="n">
        <f aca="false">L64*Seg4_Tariff*LevTariff*$B$5*L43</f>
        <v>16175.4409061158</v>
      </c>
      <c r="M80" s="83" t="n">
        <f aca="false">M64*Seg4_Tariff*LevTariff*$B$5*M43</f>
        <v>17160.5252572982</v>
      </c>
      <c r="N80" s="83" t="n">
        <f aca="false">N64*Seg4_Tariff*LevTariff*$B$5*N43</f>
        <v>18205.6012454677</v>
      </c>
      <c r="O80" s="83" t="n">
        <f aca="false">O64*Seg4_Tariff*LevTariff*$B$5*O43</f>
        <v>19314.3223613167</v>
      </c>
      <c r="P80" s="83" t="n">
        <f aca="false">P64*Seg4_Tariff*LevTariff*$B$5*P43</f>
        <v>20490.5645931209</v>
      </c>
      <c r="Q80" s="83" t="n">
        <f aca="false">Q64*Seg4_Tariff*LevTariff*$B$5*Q43</f>
        <v>21738.4399768419</v>
      </c>
      <c r="R80" s="83" t="n">
        <f aca="false">R64*Seg4_Tariff*LevTariff*$B$5*R43</f>
        <v>23062.3109714316</v>
      </c>
      <c r="S80" s="83" t="n">
        <f aca="false">S64*Seg4_Tariff*LevTariff*$B$5*S43</f>
        <v>24466.8057095918</v>
      </c>
      <c r="T80" s="83" t="n">
        <f aca="false">T64*Seg4_Tariff*LevTariff*$B$5*T43</f>
        <v>25956.8341773059</v>
      </c>
      <c r="U80" s="83" t="n">
        <f aca="false">U64*Seg4_Tariff*LevTariff*$B$5*U43</f>
        <v>27537.6053787039</v>
      </c>
      <c r="V80" s="83" t="n">
        <f aca="false">V64*Seg4_Tariff*LevTariff*$B$5*V43</f>
        <v>29214.6455462669</v>
      </c>
      <c r="W80" s="83" t="n">
        <f aca="false">W64*Seg4_Tariff*LevTariff*$B$5*W43</f>
        <v>30993.8174600346</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3903251.77453376</v>
      </c>
      <c r="C82" s="27" t="n">
        <f aca="false">C77+C78+C79+C80+C81</f>
        <v>0</v>
      </c>
      <c r="D82" s="27" t="n">
        <f aca="false">D77+D78+D79+D80+D81</f>
        <v>64015.11936</v>
      </c>
      <c r="E82" s="27" t="n">
        <f aca="false">E77+E78+E79+E80+E81</f>
        <v>96210.990182784</v>
      </c>
      <c r="F82" s="27" t="n">
        <f aca="false">F77+F78+F79+F80+F81</f>
        <v>120082.634688136</v>
      </c>
      <c r="G82" s="27" t="n">
        <f aca="false">G77+G78+G79+G80+G81</f>
        <v>127395.667140643</v>
      </c>
      <c r="H82" s="27" t="n">
        <f aca="false">H77+H78+H79+H80+H81</f>
        <v>135154.063269509</v>
      </c>
      <c r="I82" s="27" t="n">
        <f aca="false">I77+I78+I79+I80+I81</f>
        <v>143384.945722622</v>
      </c>
      <c r="J82" s="27" t="n">
        <f aca="false">J77+J78+J79+J80+J81</f>
        <v>152117.088917129</v>
      </c>
      <c r="K82" s="27" t="n">
        <f aca="false">K77+K78+K79+K80+K81</f>
        <v>161381.019632183</v>
      </c>
      <c r="L82" s="27" t="n">
        <f aca="false">L77+L78+L79+L80+L81</f>
        <v>171209.123727782</v>
      </c>
      <c r="M82" s="27" t="n">
        <f aca="false">M77+M78+M79+M80+M81</f>
        <v>181635.759362804</v>
      </c>
      <c r="N82" s="27" t="n">
        <f aca="false">N77+N78+N79+N80+N81</f>
        <v>192697.377107999</v>
      </c>
      <c r="O82" s="27" t="n">
        <f aca="false">O77+O78+O79+O80+O81</f>
        <v>204432.647373876</v>
      </c>
      <c r="P82" s="27" t="n">
        <f aca="false">P77+P78+P79+P80+P81</f>
        <v>216882.595598946</v>
      </c>
      <c r="Q82" s="27" t="n">
        <f aca="false">Q77+Q78+Q79+Q80+Q81</f>
        <v>230090.745670921</v>
      </c>
      <c r="R82" s="27" t="n">
        <f aca="false">R77+R78+R79+R80+R81</f>
        <v>244103.27208228</v>
      </c>
      <c r="S82" s="27" t="n">
        <f aca="false">S77+S78+S79+S80+S81</f>
        <v>258969.161352091</v>
      </c>
      <c r="T82" s="27" t="n">
        <f aca="false">T77+T78+T79+T80+T81</f>
        <v>274740.383278434</v>
      </c>
      <c r="U82" s="27" t="n">
        <f aca="false">U77+U78+U79+U80+U81</f>
        <v>291472.07262009</v>
      </c>
      <c r="V82" s="27" t="n">
        <f aca="false">V77+V78+V79+V80+V81</f>
        <v>309222.721842654</v>
      </c>
      <c r="W82" s="27" t="n">
        <f aca="false">W77+W78+W79+W80+W81</f>
        <v>328054.385602872</v>
      </c>
    </row>
    <row r="83" customFormat="false" ht="15" hidden="false" customHeight="false" outlineLevel="0" collapsed="false">
      <c r="A83" s="10" t="s">
        <v>426</v>
      </c>
      <c r="B83" s="61" t="n">
        <f aca="false">SUM(C83:W83)</f>
        <v>3590991.63257106</v>
      </c>
      <c r="C83" s="83" t="n">
        <v>0</v>
      </c>
      <c r="D83" s="83" t="n">
        <f aca="false">D82*MIN(1,Collection*LevColl*$B$9)</f>
        <v>58893.9098112</v>
      </c>
      <c r="E83" s="83" t="n">
        <f aca="false">E82*MIN(1,Collection*LevColl*$B$9)</f>
        <v>88514.1109681613</v>
      </c>
      <c r="F83" s="83" t="n">
        <f aca="false">F82*MIN(1,Collection*LevColl*$B$9)</f>
        <v>110476.023913085</v>
      </c>
      <c r="G83" s="83" t="n">
        <f aca="false">G82*MIN(1,Collection*LevColl*$B$9)</f>
        <v>117204.013769392</v>
      </c>
      <c r="H83" s="83" t="n">
        <f aca="false">H82*MIN(1,Collection*LevColl*$B$9)</f>
        <v>124341.738207948</v>
      </c>
      <c r="I83" s="83" t="n">
        <f aca="false">I82*MIN(1,Collection*LevColl*$B$9)</f>
        <v>131914.150064812</v>
      </c>
      <c r="J83" s="83" t="n">
        <f aca="false">J82*MIN(1,Collection*LevColl*$B$9)</f>
        <v>139947.721803759</v>
      </c>
      <c r="K83" s="83" t="n">
        <f aca="false">K82*MIN(1,Collection*LevColl*$B$9)</f>
        <v>148470.538061608</v>
      </c>
      <c r="L83" s="83" t="n">
        <f aca="false">L82*MIN(1,Collection*LevColl*$B$9)</f>
        <v>157512.39382956</v>
      </c>
      <c r="M83" s="83" t="n">
        <f aca="false">M82*MIN(1,Collection*LevColl*$B$9)</f>
        <v>167104.89861378</v>
      </c>
      <c r="N83" s="83" t="n">
        <f aca="false">N82*MIN(1,Collection*LevColl*$B$9)</f>
        <v>177281.586939359</v>
      </c>
      <c r="O83" s="83" t="n">
        <f aca="false">O82*MIN(1,Collection*LevColl*$B$9)</f>
        <v>188078.035583966</v>
      </c>
      <c r="P83" s="83" t="n">
        <f aca="false">P82*MIN(1,Collection*LevColl*$B$9)</f>
        <v>199531.98795103</v>
      </c>
      <c r="Q83" s="83" t="n">
        <f aca="false">Q82*MIN(1,Collection*LevColl*$B$9)</f>
        <v>211683.486017248</v>
      </c>
      <c r="R83" s="83" t="n">
        <f aca="false">R82*MIN(1,Collection*LevColl*$B$9)</f>
        <v>224575.010315698</v>
      </c>
      <c r="S83" s="83" t="n">
        <f aca="false">S82*MIN(1,Collection*LevColl*$B$9)</f>
        <v>238251.628443924</v>
      </c>
      <c r="T83" s="83" t="n">
        <f aca="false">T82*MIN(1,Collection*LevColl*$B$9)</f>
        <v>252761.152616159</v>
      </c>
      <c r="U83" s="83" t="n">
        <f aca="false">U82*MIN(1,Collection*LevColl*$B$9)</f>
        <v>268154.306810483</v>
      </c>
      <c r="V83" s="83" t="n">
        <f aca="false">V82*MIN(1,Collection*LevColl*$B$9)</f>
        <v>284484.904095242</v>
      </c>
      <c r="W83" s="83" t="n">
        <f aca="false">W82*MIN(1,Collection*LevColl*$B$9)</f>
        <v>301810.034754642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3602491.63257106</v>
      </c>
      <c r="C85" s="27" t="n">
        <f aca="false">C83+C84</f>
        <v>0</v>
      </c>
      <c r="D85" s="27" t="n">
        <f aca="false">D83+D84</f>
        <v>65793.9098112</v>
      </c>
      <c r="E85" s="27" t="n">
        <f aca="false">E83+E84</f>
        <v>91389.1109681613</v>
      </c>
      <c r="F85" s="27" t="n">
        <f aca="false">F83+F84</f>
        <v>112201.023913085</v>
      </c>
      <c r="G85" s="27" t="n">
        <f aca="false">G83+G84</f>
        <v>117204.013769392</v>
      </c>
      <c r="H85" s="27" t="n">
        <f aca="false">H83+H84</f>
        <v>124341.738207948</v>
      </c>
      <c r="I85" s="27" t="n">
        <f aca="false">I83+I84</f>
        <v>131914.150064812</v>
      </c>
      <c r="J85" s="27" t="n">
        <f aca="false">J83+J84</f>
        <v>139947.721803759</v>
      </c>
      <c r="K85" s="27" t="n">
        <f aca="false">K83+K84</f>
        <v>148470.538061608</v>
      </c>
      <c r="L85" s="27" t="n">
        <f aca="false">L83+L84</f>
        <v>157512.39382956</v>
      </c>
      <c r="M85" s="27" t="n">
        <f aca="false">M83+M84</f>
        <v>167104.89861378</v>
      </c>
      <c r="N85" s="27" t="n">
        <f aca="false">N83+N84</f>
        <v>177281.586939359</v>
      </c>
      <c r="O85" s="27" t="n">
        <f aca="false">O83+O84</f>
        <v>188078.035583966</v>
      </c>
      <c r="P85" s="27" t="n">
        <f aca="false">P83+P84</f>
        <v>199531.98795103</v>
      </c>
      <c r="Q85" s="27" t="n">
        <f aca="false">Q83+Q84</f>
        <v>211683.486017248</v>
      </c>
      <c r="R85" s="27" t="n">
        <f aca="false">R83+R84</f>
        <v>224575.010315698</v>
      </c>
      <c r="S85" s="27" t="n">
        <f aca="false">S83+S84</f>
        <v>238251.628443924</v>
      </c>
      <c r="T85" s="27" t="n">
        <f aca="false">T83+T84</f>
        <v>252761.152616159</v>
      </c>
      <c r="U85" s="27" t="n">
        <f aca="false">U83+U84</f>
        <v>268154.306810483</v>
      </c>
      <c r="V85" s="27" t="n">
        <f aca="false">V83+V84</f>
        <v>284484.904095242</v>
      </c>
      <c r="W85" s="27" t="n">
        <f aca="false">W83+W84</f>
        <v>301810.034754642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S_Tariff_Lo!$B$15*O_FixedPct*D44*LevOpex*$B$8*D41</f>
        <v>25065.4403293775</v>
      </c>
      <c r="E88" s="83" t="n">
        <f aca="false">S_Tariff_Lo!$B$15*O_FixedPct*E44*LevOpex*$B$8*E41</f>
        <v>25817.4035392588</v>
      </c>
      <c r="F88" s="83" t="n">
        <f aca="false">S_Tariff_Lo!$B$15*O_FixedPct*F44*LevOpex*$B$8*F41</f>
        <v>26591.9256454366</v>
      </c>
      <c r="G88" s="83" t="n">
        <f aca="false">S_Tariff_Lo!$B$15*O_FixedPct*G44*LevOpex*$B$8*G41</f>
        <v>27389.6834147997</v>
      </c>
      <c r="H88" s="83" t="n">
        <f aca="false">S_Tariff_Lo!$B$15*O_FixedPct*H44*LevOpex*$B$8*H41</f>
        <v>28211.3739172437</v>
      </c>
      <c r="I88" s="83" t="n">
        <f aca="false">S_Tariff_Lo!$B$15*O_FixedPct*I44*LevOpex*$B$8*I41</f>
        <v>29057.715134761</v>
      </c>
      <c r="J88" s="83" t="n">
        <f aca="false">S_Tariff_Lo!$B$15*O_FixedPct*J44*LevOpex*$B$8*J41</f>
        <v>29929.4465888038</v>
      </c>
      <c r="K88" s="83" t="n">
        <f aca="false">S_Tariff_Lo!$B$15*O_FixedPct*K44*LevOpex*$B$8*K41</f>
        <v>30827.329986468</v>
      </c>
      <c r="L88" s="83" t="n">
        <f aca="false">S_Tariff_Lo!$B$15*O_FixedPct*L44*LevOpex*$B$8*L41</f>
        <v>31752.149886062</v>
      </c>
      <c r="M88" s="83" t="n">
        <f aca="false">S_Tariff_Lo!$B$15*O_FixedPct*M44*LevOpex*$B$8*M41</f>
        <v>32704.7143826439</v>
      </c>
      <c r="N88" s="83" t="n">
        <f aca="false">S_Tariff_Lo!$B$15*O_FixedPct*N44*LevOpex*$B$8*N41</f>
        <v>33685.8558141232</v>
      </c>
      <c r="O88" s="83" t="n">
        <f aca="false">S_Tariff_Lo!$B$15*O_FixedPct*O44*LevOpex*$B$8*O41</f>
        <v>34696.4314885469</v>
      </c>
      <c r="P88" s="83" t="n">
        <f aca="false">S_Tariff_Lo!$B$15*O_FixedPct*P44*LevOpex*$B$8*P41</f>
        <v>35737.3244332033</v>
      </c>
      <c r="Q88" s="83" t="n">
        <f aca="false">S_Tariff_Lo!$B$15*O_FixedPct*Q44*LevOpex*$B$8*Q41</f>
        <v>36809.4441661994</v>
      </c>
      <c r="R88" s="83" t="n">
        <f aca="false">S_Tariff_Lo!$B$15*O_FixedPct*R44*LevOpex*$B$8*R41</f>
        <v>37913.7274911854</v>
      </c>
      <c r="S88" s="83" t="n">
        <f aca="false">S_Tariff_Lo!$B$15*O_FixedPct*S44*LevOpex*$B$8*S41</f>
        <v>39051.1393159209</v>
      </c>
      <c r="T88" s="83" t="n">
        <f aca="false">S_Tariff_Lo!$B$15*O_FixedPct*T44*LevOpex*$B$8*T41</f>
        <v>40222.6734953985</v>
      </c>
      <c r="U88" s="83" t="n">
        <f aca="false">S_Tariff_Lo!$B$15*O_FixedPct*U44*LevOpex*$B$8*U41</f>
        <v>41429.3537002605</v>
      </c>
      <c r="V88" s="83" t="n">
        <f aca="false">S_Tariff_Lo!$B$15*O_FixedPct*V44*LevOpex*$B$8*V41</f>
        <v>42672.2343112683</v>
      </c>
      <c r="W88" s="83" t="n">
        <f aca="false">S_Tariff_Lo!$B$15*O_FixedPct*W44*LevOpex*$B$8*W41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S_Tariff_Lo!$B$14*O_InsPct*D44*LevOpex*$B$8*D41</f>
        <v>5765.05127575683</v>
      </c>
      <c r="E90" s="83" t="n">
        <f aca="false">S_Tariff_Lo!$B$14*O_InsPct*E44*LevOpex*$B$8*E41</f>
        <v>5938.00281402953</v>
      </c>
      <c r="F90" s="83" t="n">
        <f aca="false">S_Tariff_Lo!$B$14*O_InsPct*F44*LevOpex*$B$8*F41</f>
        <v>6116.14289845042</v>
      </c>
      <c r="G90" s="83" t="n">
        <f aca="false">S_Tariff_Lo!$B$14*O_InsPct*G44*LevOpex*$B$8*G41</f>
        <v>6299.62718540393</v>
      </c>
      <c r="H90" s="83" t="n">
        <f aca="false">S_Tariff_Lo!$B$14*O_InsPct*H44*LevOpex*$B$8*H41</f>
        <v>6488.61600096605</v>
      </c>
      <c r="I90" s="83" t="n">
        <f aca="false">S_Tariff_Lo!$B$14*O_InsPct*I44*LevOpex*$B$8*I41</f>
        <v>6683.27448099503</v>
      </c>
      <c r="J90" s="83" t="n">
        <f aca="false">S_Tariff_Lo!$B$14*O_InsPct*J44*LevOpex*$B$8*J41</f>
        <v>6883.77271542488</v>
      </c>
      <c r="K90" s="83" t="n">
        <f aca="false">S_Tariff_Lo!$B$14*O_InsPct*K44*LevOpex*$B$8*K41</f>
        <v>7090.28589688763</v>
      </c>
      <c r="L90" s="83" t="n">
        <f aca="false">S_Tariff_Lo!$B$14*O_InsPct*L44*LevOpex*$B$8*L41</f>
        <v>7302.99447379426</v>
      </c>
      <c r="M90" s="83" t="n">
        <f aca="false">S_Tariff_Lo!$B$14*O_InsPct*M44*LevOpex*$B$8*M41</f>
        <v>7522.08430800809</v>
      </c>
      <c r="N90" s="83" t="n">
        <f aca="false">S_Tariff_Lo!$B$14*O_InsPct*N44*LevOpex*$B$8*N41</f>
        <v>7747.74683724833</v>
      </c>
      <c r="O90" s="83" t="n">
        <f aca="false">S_Tariff_Lo!$B$14*O_InsPct*O44*LevOpex*$B$8*O41</f>
        <v>7980.17924236578</v>
      </c>
      <c r="P90" s="83" t="n">
        <f aca="false">S_Tariff_Lo!$B$14*O_InsPct*P44*LevOpex*$B$8*P41</f>
        <v>8219.58461963675</v>
      </c>
      <c r="Q90" s="83" t="n">
        <f aca="false">S_Tariff_Lo!$B$14*O_InsPct*Q44*LevOpex*$B$8*Q41</f>
        <v>8466.17215822586</v>
      </c>
      <c r="R90" s="83" t="n">
        <f aca="false">S_Tariff_Lo!$B$14*O_InsPct*R44*LevOpex*$B$8*R41</f>
        <v>8720.15732297263</v>
      </c>
      <c r="S90" s="83" t="n">
        <f aca="false">S_Tariff_Lo!$B$14*O_InsPct*S44*LevOpex*$B$8*S41</f>
        <v>8981.76204266181</v>
      </c>
      <c r="T90" s="83" t="n">
        <f aca="false">S_Tariff_Lo!$B$14*O_InsPct*T44*LevOpex*$B$8*T41</f>
        <v>9251.21490394167</v>
      </c>
      <c r="U90" s="83" t="n">
        <f aca="false">S_Tariff_Lo!$B$14*O_InsPct*U44*LevOpex*$B$8*U41</f>
        <v>9528.75135105992</v>
      </c>
      <c r="V90" s="83" t="n">
        <f aca="false">S_Tariff_Lo!$B$14*O_InsPct*V44*LevOpex*$B$8*V41</f>
        <v>9814.61389159171</v>
      </c>
      <c r="W90" s="83" t="n">
        <f aca="false">S_Tariff_Lo!$B$14*O_InsPct*W44*LevOpex*$B$8*W41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108074.748977132</v>
      </c>
      <c r="C93" s="83" t="n">
        <v>0</v>
      </c>
      <c r="D93" s="83" t="n">
        <f aca="false">D85*O_CustPct</f>
        <v>1973.817294336</v>
      </c>
      <c r="E93" s="83" t="n">
        <f aca="false">E85*O_CustPct</f>
        <v>2741.67332904484</v>
      </c>
      <c r="F93" s="83" t="n">
        <f aca="false">F85*O_CustPct</f>
        <v>3366.03071739255</v>
      </c>
      <c r="G93" s="83" t="n">
        <f aca="false">G85*O_CustPct</f>
        <v>3516.12041308176</v>
      </c>
      <c r="H93" s="83" t="n">
        <f aca="false">H85*O_CustPct</f>
        <v>3730.25214623844</v>
      </c>
      <c r="I93" s="83" t="n">
        <f aca="false">I85*O_CustPct</f>
        <v>3957.42450194436</v>
      </c>
      <c r="J93" s="83" t="n">
        <f aca="false">J85*O_CustPct</f>
        <v>4198.43165411277</v>
      </c>
      <c r="K93" s="83" t="n">
        <f aca="false">K85*O_CustPct</f>
        <v>4454.11614184824</v>
      </c>
      <c r="L93" s="83" t="n">
        <f aca="false">L85*O_CustPct</f>
        <v>4725.3718148868</v>
      </c>
      <c r="M93" s="83" t="n">
        <f aca="false">M85*O_CustPct</f>
        <v>5013.1469584134</v>
      </c>
      <c r="N93" s="83" t="n">
        <f aca="false">N85*O_CustPct</f>
        <v>5318.44760818078</v>
      </c>
      <c r="O93" s="83" t="n">
        <f aca="false">O85*O_CustPct</f>
        <v>5642.34106751899</v>
      </c>
      <c r="P93" s="83" t="n">
        <f aca="false">P85*O_CustPct</f>
        <v>5985.9596385309</v>
      </c>
      <c r="Q93" s="83" t="n">
        <f aca="false">Q85*O_CustPct</f>
        <v>6350.50458051743</v>
      </c>
      <c r="R93" s="83" t="n">
        <f aca="false">R85*O_CustPct</f>
        <v>6737.25030947094</v>
      </c>
      <c r="S93" s="83" t="n">
        <f aca="false">S85*O_CustPct</f>
        <v>7147.54885331772</v>
      </c>
      <c r="T93" s="83" t="n">
        <f aca="false">T85*O_CustPct</f>
        <v>7582.83457848477</v>
      </c>
      <c r="U93" s="83" t="n">
        <f aca="false">U85*O_CustPct</f>
        <v>8044.62920431449</v>
      </c>
      <c r="V93" s="83" t="n">
        <f aca="false">V85*O_CustPct</f>
        <v>8534.54712285725</v>
      </c>
      <c r="W93" s="83" t="n">
        <f aca="false">W85*O_CustPct</f>
        <v>9054.30104263925</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3293431.70136322</v>
      </c>
      <c r="C96" s="27" t="n">
        <f aca="false">C88+C89+C90+C91+C92+C93+C94+C95</f>
        <v>0</v>
      </c>
      <c r="D96" s="27" t="n">
        <f aca="false">D88+D89+D90+D91+D92+D93+D94+D95</f>
        <v>68121.3630085612</v>
      </c>
      <c r="E96" s="27" t="n">
        <f aca="false">E88+E89+E90+E91+E92+E93+E94+E95</f>
        <v>75753.0101801405</v>
      </c>
      <c r="F96" s="27" t="n">
        <f aca="false">F88+F89+F90+F91+F92+F93+F94+F95</f>
        <v>81949.8247496604</v>
      </c>
      <c r="G96" s="27" t="n">
        <f aca="false">G88+G89+G90+G91+G92+G93+G94+G95</f>
        <v>85055.4429339086</v>
      </c>
      <c r="H96" s="27" t="n">
        <f aca="false">H88+H89+H90+H91+H92+H93+H94+H95</f>
        <v>88350.1881035374</v>
      </c>
      <c r="I96" s="27" t="n">
        <f aca="false">I88+I89+I90+I91+I92+I93+I94+I95</f>
        <v>91789.0293148452</v>
      </c>
      <c r="J96" s="27" t="n">
        <f aca="false">J88+J89+J90+J91+J92+J93+J94+J95</f>
        <v>97257.1920742119</v>
      </c>
      <c r="K96" s="27" t="n">
        <f aca="false">K88+K89+K90+K91+K92+K93+K94+K95</f>
        <v>109006.758444226</v>
      </c>
      <c r="L96" s="27" t="n">
        <f aca="false">L88+L89+L90+L91+L92+L93+L94+L95</f>
        <v>121606.055840526</v>
      </c>
      <c r="M96" s="27" t="n">
        <f aca="false">M88+M89+M90+M91+M92+M93+M94+M95</f>
        <v>135109.849056322</v>
      </c>
      <c r="N96" s="27" t="n">
        <f aca="false">N88+N89+N90+N91+N92+N93+N94+N95</f>
        <v>149576.303464856</v>
      </c>
      <c r="O96" s="27" t="n">
        <f aca="false">O88+O89+O90+O91+O92+O93+O94+O95</f>
        <v>165067.19345358</v>
      </c>
      <c r="P96" s="27" t="n">
        <f aca="false">P88+P89+P90+P91+P92+P93+P94+P95</f>
        <v>181648.12357666</v>
      </c>
      <c r="Q96" s="27" t="n">
        <f aca="false">Q88+Q89+Q90+Q91+Q92+Q93+Q94+Q95</f>
        <v>199388.7632007</v>
      </c>
      <c r="R96" s="27" t="n">
        <f aca="false">R88+R89+R90+R91+R92+R93+R94+R95</f>
        <v>218363.095465773</v>
      </c>
      <c r="S96" s="27" t="n">
        <f aca="false">S88+S89+S90+S91+S92+S93+S94+S95</f>
        <v>238649.68143394</v>
      </c>
      <c r="T96" s="27" t="n">
        <f aca="false">T88+T89+T90+T91+T92+T93+T94+T95</f>
        <v>260331.940350501</v>
      </c>
      <c r="U96" s="27" t="n">
        <f aca="false">U88+U89+U90+U91+U92+U93+U94+U95</f>
        <v>283498.446999635</v>
      </c>
      <c r="V96" s="27" t="n">
        <f aca="false">V88+V89+V90+V91+V92+V93+V94+V95</f>
        <v>308243.247195813</v>
      </c>
      <c r="W96" s="27" t="n">
        <f aca="false">W88+W89+W90+W91+W92+W93+W94+W95</f>
        <v>334666.192515824</v>
      </c>
    </row>
    <row r="98" customFormat="false" ht="15" hidden="false" customHeight="false" outlineLevel="0" collapsed="false">
      <c r="A98" s="15" t="s">
        <v>436</v>
      </c>
      <c r="B98" s="61" t="n">
        <f aca="false">SUM(C98:W98)</f>
        <v>309059.931207834</v>
      </c>
      <c r="C98" s="27" t="n">
        <f aca="false">C85-C96</f>
        <v>0</v>
      </c>
      <c r="D98" s="27" t="n">
        <f aca="false">D85-D96</f>
        <v>-2327.45319736125</v>
      </c>
      <c r="E98" s="27" t="n">
        <f aca="false">E85-E96</f>
        <v>15636.1007880208</v>
      </c>
      <c r="F98" s="27" t="n">
        <f aca="false">F85-F96</f>
        <v>30251.1991634246</v>
      </c>
      <c r="G98" s="27" t="n">
        <f aca="false">G85-G96</f>
        <v>32148.5708354833</v>
      </c>
      <c r="H98" s="27" t="n">
        <f aca="false">H85-H96</f>
        <v>35991.5501044106</v>
      </c>
      <c r="I98" s="27" t="n">
        <f aca="false">I85-I96</f>
        <v>40125.1207499668</v>
      </c>
      <c r="J98" s="27" t="n">
        <f aca="false">J85-J96</f>
        <v>42690.5297295472</v>
      </c>
      <c r="K98" s="27" t="n">
        <f aca="false">K85-K96</f>
        <v>39463.7796173823</v>
      </c>
      <c r="L98" s="27" t="n">
        <f aca="false">L85-L96</f>
        <v>35906.3379890343</v>
      </c>
      <c r="M98" s="27" t="n">
        <f aca="false">M85-M96</f>
        <v>31995.0495574577</v>
      </c>
      <c r="N98" s="27" t="n">
        <f aca="false">N85-N96</f>
        <v>27705.2834745029</v>
      </c>
      <c r="O98" s="27" t="n">
        <f aca="false">O85-O96</f>
        <v>23010.8421303862</v>
      </c>
      <c r="P98" s="27" t="n">
        <f aca="false">P85-P96</f>
        <v>17883.8643743695</v>
      </c>
      <c r="Q98" s="27" t="n">
        <f aca="false">Q85-Q96</f>
        <v>12294.7228165479</v>
      </c>
      <c r="R98" s="27" t="n">
        <f aca="false">R85-R96</f>
        <v>6211.91484992454</v>
      </c>
      <c r="S98" s="27" t="n">
        <f aca="false">S85-S96</f>
        <v>-398.052990015945</v>
      </c>
      <c r="T98" s="27" t="n">
        <f aca="false">T85-T96</f>
        <v>-7570.7877343419</v>
      </c>
      <c r="U98" s="27" t="n">
        <f aca="false">U85-U96</f>
        <v>-15344.1401891517</v>
      </c>
      <c r="V98" s="27" t="n">
        <f aca="false">V85-V96</f>
        <v>-23758.3431005717</v>
      </c>
      <c r="W98" s="27" t="n">
        <f aca="false">W85-W96</f>
        <v>-32856.1577611823</v>
      </c>
    </row>
    <row r="99" customFormat="false" ht="15" hidden="false" customHeight="false" outlineLevel="0" collapsed="false">
      <c r="A99" s="10" t="s">
        <v>437</v>
      </c>
      <c r="C99" s="81" t="n">
        <v>0</v>
      </c>
      <c r="D99" s="81" t="n">
        <f aca="false">IFERROR(D98/D85,0)</f>
        <v>-0.035374903300929</v>
      </c>
      <c r="E99" s="81" t="n">
        <f aca="false">IFERROR(E98/E85,0)</f>
        <v>0.171093696200505</v>
      </c>
      <c r="F99" s="81" t="n">
        <f aca="false">IFERROR(F98/F85,0)</f>
        <v>0.269616070410002</v>
      </c>
      <c r="G99" s="81" t="n">
        <f aca="false">IFERROR(G98/G85,0)</f>
        <v>0.274295818048844</v>
      </c>
      <c r="H99" s="81" t="n">
        <f aca="false">IFERROR(H98/H85,0)</f>
        <v>0.289456707161505</v>
      </c>
      <c r="I99" s="81" t="n">
        <f aca="false">IFERROR(I98/I85,0)</f>
        <v>0.304176016979623</v>
      </c>
      <c r="J99" s="81" t="n">
        <f aca="false">IFERROR(J98/J85,0)</f>
        <v>0.305046264271524</v>
      </c>
      <c r="K99" s="81" t="n">
        <f aca="false">IFERROR(K98/K85,0)</f>
        <v>0.265802092001625</v>
      </c>
      <c r="L99" s="81" t="n">
        <f aca="false">IFERROR(L98/L85,0)</f>
        <v>0.227958810834198</v>
      </c>
      <c r="M99" s="81" t="n">
        <f aca="false">IFERROR(M98/M85,0)</f>
        <v>0.191466855986107</v>
      </c>
      <c r="N99" s="81" t="n">
        <f aca="false">IFERROR(N98/N85,0)</f>
        <v>0.156278404050951</v>
      </c>
      <c r="O99" s="81" t="n">
        <f aca="false">IFERROR(O98/O85,0)</f>
        <v>0.122347312161888</v>
      </c>
      <c r="P99" s="81" t="n">
        <f aca="false">IFERROR(P98/P85,0)</f>
        <v>0.0896290592702293</v>
      </c>
      <c r="Q99" s="81" t="n">
        <f aca="false">IFERROR(Q98/Q85,0)</f>
        <v>0.0580806894664716</v>
      </c>
      <c r="R99" s="81" t="n">
        <f aca="false">IFERROR(R98/R85,0)</f>
        <v>0.0276607572730024</v>
      </c>
      <c r="S99" s="81" t="n">
        <f aca="false">IFERROR(S98/S85,0)</f>
        <v>-0.00167072515984768</v>
      </c>
      <c r="T99" s="81" t="n">
        <f aca="false">IFERROR(T98/T85,0)</f>
        <v>-0.0299523390203827</v>
      </c>
      <c r="U99" s="81" t="n">
        <f aca="false">IFERROR(U98/U85,0)</f>
        <v>-0.0572213080284259</v>
      </c>
      <c r="V99" s="81" t="n">
        <f aca="false">IFERROR(V98/V85,0)</f>
        <v>-0.083513545916017</v>
      </c>
      <c r="W99" s="81" t="n">
        <f aca="false">IFERROR(W98/W85,0)</f>
        <v>-0.108863702255271</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S_Tariff_Lo!$B$14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S_Tariff_Lo!$B$16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IF(AND(D39&gt;SenGrace,D39&lt;=SenTenor),PMT(SenRate*$B$11,SenTenor-SenGrace,-S_Tariff_Lo!$B$16)-D114,0)</f>
        <v>0</v>
      </c>
      <c r="E115" s="83" t="n">
        <f aca="false">IF(AND(E39&gt;SenGrace,E39&lt;=SenTenor),PMT(SenRate*$B$11,SenTenor-SenGrace,-S_Tariff_Lo!$B$16)-E114,0)</f>
        <v>0</v>
      </c>
      <c r="F115" s="83" t="n">
        <f aca="false">IF(AND(F39&gt;SenGrace,F39&lt;=SenTenor),PMT(SenRate*$B$11,SenTenor-SenGrace,-S_Tariff_Lo!$B$16)-F114,0)</f>
        <v>9671.48769410162</v>
      </c>
      <c r="G115" s="83" t="n">
        <f aca="false">IF(AND(G39&gt;SenGrace,G39&lt;=SenTenor),PMT(SenRate*$B$11,SenTenor-SenGrace,-S_Tariff_Lo!$B$16)-G114,0)</f>
        <v>10638.6364635118</v>
      </c>
      <c r="H115" s="83" t="n">
        <f aca="false">IF(AND(H39&gt;SenGrace,H39&lt;=SenTenor),PMT(SenRate*$B$11,SenTenor-SenGrace,-S_Tariff_Lo!$B$16)-H114,0)</f>
        <v>11702.500109863</v>
      </c>
      <c r="I115" s="83" t="n">
        <f aca="false">IF(AND(I39&gt;SenGrace,I39&lt;=SenTenor),PMT(SenRate*$B$11,SenTenor-SenGrace,-S_Tariff_Lo!$B$16)-I114,0)</f>
        <v>12872.7501208493</v>
      </c>
      <c r="J115" s="83" t="n">
        <f aca="false">IF(AND(J39&gt;SenGrace,J39&lt;=SenTenor),PMT(SenRate*$B$11,SenTenor-SenGrace,-S_Tariff_Lo!$B$16)-J114,0)</f>
        <v>14160.0251329342</v>
      </c>
      <c r="K115" s="83" t="n">
        <f aca="false">IF(AND(K39&gt;SenGrace,K39&lt;=SenTenor),PMT(SenRate*$B$11,SenTenor-SenGrace,-S_Tariff_Lo!$B$16)-K114,0)</f>
        <v>15576.0276462276</v>
      </c>
      <c r="L115" s="83" t="n">
        <f aca="false">IF(AND(L39&gt;SenGrace,L39&lt;=SenTenor),PMT(SenRate*$B$11,SenTenor-SenGrace,-S_Tariff_Lo!$B$16)-L114,0)</f>
        <v>17133.6304108504</v>
      </c>
      <c r="M115" s="83" t="n">
        <f aca="false">IF(AND(M39&gt;SenGrace,M39&lt;=SenTenor),PMT(SenRate*$B$11,SenTenor-SenGrace,-S_Tariff_Lo!$B$16)-M114,0)</f>
        <v>18846.9934519354</v>
      </c>
      <c r="N115" s="83" t="n">
        <f aca="false">IF(AND(N39&gt;SenGrace,N39&lt;=SenTenor),PMT(SenRate*$B$11,SenTenor-SenGrace,-S_Tariff_Lo!$B$16)-N114,0)</f>
        <v>0</v>
      </c>
      <c r="O115" s="83" t="n">
        <f aca="false">IF(AND(O39&gt;SenGrace,O39&lt;=SenTenor),PMT(SenRate*$B$11,SenTenor-SenGrace,-S_Tariff_Lo!$B$16)-O114,0)</f>
        <v>0</v>
      </c>
      <c r="P115" s="83" t="n">
        <f aca="false">IF(AND(P39&gt;SenGrace,P39&lt;=SenTenor),PMT(SenRate*$B$11,SenTenor-SenGrace,-S_Tariff_Lo!$B$16)-P114,0)</f>
        <v>0</v>
      </c>
      <c r="Q115" s="83" t="n">
        <f aca="false">IF(AND(Q39&gt;SenGrace,Q39&lt;=SenTenor),PMT(SenRate*$B$11,SenTenor-SenGrace,-S_Tariff_Lo!$B$16)-Q114,0)</f>
        <v>0</v>
      </c>
      <c r="R115" s="83" t="n">
        <f aca="false">IF(AND(R39&gt;SenGrace,R39&lt;=SenTenor),PMT(SenRate*$B$11,SenTenor-SenGrace,-S_Tariff_Lo!$B$16)-R114,0)</f>
        <v>0</v>
      </c>
      <c r="S115" s="83" t="n">
        <f aca="false">IF(AND(S39&gt;SenGrace,S39&lt;=SenTenor),PMT(SenRate*$B$11,SenTenor-SenGrace,-S_Tariff_Lo!$B$16)-S114,0)</f>
        <v>0</v>
      </c>
      <c r="T115" s="83" t="n">
        <f aca="false">IF(AND(T39&gt;SenGrace,T39&lt;=SenTenor),PMT(SenRate*$B$11,SenTenor-SenGrace,-S_Tariff_Lo!$B$16)-T114,0)</f>
        <v>0</v>
      </c>
      <c r="U115" s="83" t="n">
        <f aca="false">IF(AND(U39&gt;SenGrace,U39&lt;=SenTenor),PMT(SenRate*$B$11,SenTenor-SenGrace,-S_Tariff_Lo!$B$16)-U114,0)</f>
        <v>0</v>
      </c>
      <c r="V115" s="83" t="n">
        <f aca="false">IF(AND(V39&gt;SenGrace,V39&lt;=SenTenor),PMT(SenRate*$B$11,SenTenor-SenGrace,-S_Tariff_Lo!$B$16)-V114,0)</f>
        <v>0</v>
      </c>
      <c r="W115" s="83" t="n">
        <f aca="false">IF(AND(W39&gt;SenGrace,W39&lt;=SenTenor),PMT(SenRate*$B$11,SenTenor-SenGrace,-S_Tariff_Lo!$B$16)-W114,0)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S_Tariff_Lo!$B$17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IF(AND(D39&gt;ConGrace,D39&lt;=ConTenor),PMT(ConRate*$B$11,ConTenor-ConGrace,-S_Tariff_Lo!$B$17)-D121,0)</f>
        <v>0</v>
      </c>
      <c r="E122" s="83" t="n">
        <f aca="false">IF(AND(E39&gt;ConGrace,E39&lt;=ConTenor),PMT(ConRate*$B$11,ConTenor-ConGrace,-S_Tariff_Lo!$B$17)-E121,0)</f>
        <v>0</v>
      </c>
      <c r="F122" s="83" t="n">
        <f aca="false">IF(AND(F39&gt;ConGrace,F39&lt;=ConTenor),PMT(ConRate*$B$11,ConTenor-ConGrace,-S_Tariff_Lo!$B$17)-F121,0)</f>
        <v>0</v>
      </c>
      <c r="G122" s="83" t="n">
        <f aca="false">IF(AND(G39&gt;ConGrace,G39&lt;=ConTenor),PMT(ConRate*$B$11,ConTenor-ConGrace,-S_Tariff_Lo!$B$17)-G121,0)</f>
        <v>0</v>
      </c>
      <c r="H122" s="83" t="n">
        <f aca="false">IF(AND(H39&gt;ConGrace,H39&lt;=ConTenor),PMT(ConRate*$B$11,ConTenor-ConGrace,-S_Tariff_Lo!$B$17)-H121,0)</f>
        <v>0</v>
      </c>
      <c r="I122" s="83" t="n">
        <f aca="false">IF(AND(I39&gt;ConGrace,I39&lt;=ConTenor),PMT(ConRate*$B$11,ConTenor-ConGrace,-S_Tariff_Lo!$B$17)-I121,0)</f>
        <v>9647.87294294044</v>
      </c>
      <c r="J122" s="83" t="n">
        <f aca="false">IF(AND(J39&gt;ConGrace,J39&lt;=ConTenor),PMT(ConRate*$B$11,ConTenor-ConGrace,-S_Tariff_Lo!$B$17)-J121,0)</f>
        <v>9937.30913122865</v>
      </c>
      <c r="K122" s="83" t="n">
        <f aca="false">IF(AND(K39&gt;ConGrace,K39&lt;=ConTenor),PMT(ConRate*$B$11,ConTenor-ConGrace,-S_Tariff_Lo!$B$17)-K121,0)</f>
        <v>10235.4284051655</v>
      </c>
      <c r="L122" s="83" t="n">
        <f aca="false">IF(AND(L39&gt;ConGrace,L39&lt;=ConTenor),PMT(ConRate*$B$11,ConTenor-ConGrace,-S_Tariff_Lo!$B$17)-L121,0)</f>
        <v>10542.4912573205</v>
      </c>
      <c r="M122" s="83" t="n">
        <f aca="false">IF(AND(M39&gt;ConGrace,M39&lt;=ConTenor),PMT(ConRate*$B$11,ConTenor-ConGrace,-S_Tariff_Lo!$B$17)-M121,0)</f>
        <v>10858.7659950401</v>
      </c>
      <c r="N122" s="83" t="n">
        <f aca="false">IF(AND(N39&gt;ConGrace,N39&lt;=ConTenor),PMT(ConRate*$B$11,ConTenor-ConGrace,-S_Tariff_Lo!$B$17)-N121,0)</f>
        <v>11184.5289748913</v>
      </c>
      <c r="O122" s="83" t="n">
        <f aca="false">IF(AND(O39&gt;ConGrace,O39&lt;=ConTenor),PMT(ConRate*$B$11,ConTenor-ConGrace,-S_Tariff_Lo!$B$17)-O121,0)</f>
        <v>11520.064844138</v>
      </c>
      <c r="P122" s="83" t="n">
        <f aca="false">IF(AND(P39&gt;ConGrace,P39&lt;=ConTenor),PMT(ConRate*$B$11,ConTenor-ConGrace,-S_Tariff_Lo!$B$17)-P121,0)</f>
        <v>11865.6667894622</v>
      </c>
      <c r="Q122" s="83" t="n">
        <f aca="false">IF(AND(Q39&gt;ConGrace,Q39&lt;=ConTenor),PMT(ConRate*$B$11,ConTenor-ConGrace,-S_Tariff_Lo!$B$17)-Q121,0)</f>
        <v>12221.636793146</v>
      </c>
      <c r="R122" s="83" t="n">
        <f aca="false">IF(AND(R39&gt;ConGrace,R39&lt;=ConTenor),PMT(ConRate*$B$11,ConTenor-ConGrace,-S_Tariff_Lo!$B$17)-R121,0)</f>
        <v>12588.2858969404</v>
      </c>
      <c r="S122" s="83" t="n">
        <f aca="false">IF(AND(S39&gt;ConGrace,S39&lt;=ConTenor),PMT(ConRate*$B$11,ConTenor-ConGrace,-S_Tariff_Lo!$B$17)-S121,0)</f>
        <v>0</v>
      </c>
      <c r="T122" s="83" t="n">
        <f aca="false">IF(AND(T39&gt;ConGrace,T39&lt;=ConTenor),PMT(ConRate*$B$11,ConTenor-ConGrace,-S_Tariff_Lo!$B$17)-T121,0)</f>
        <v>0</v>
      </c>
      <c r="U122" s="83" t="n">
        <f aca="false">IF(AND(U39&gt;ConGrace,U39&lt;=ConTenor),PMT(ConRate*$B$11,ConTenor-ConGrace,-S_Tariff_Lo!$B$17)-U121,0)</f>
        <v>0</v>
      </c>
      <c r="V122" s="83" t="n">
        <f aca="false">IF(AND(V39&gt;ConGrace,V39&lt;=ConTenor),PMT(ConRate*$B$11,ConTenor-ConGrace,-S_Tariff_Lo!$B$17)-V121,0)</f>
        <v>0</v>
      </c>
      <c r="W122" s="83" t="n">
        <f aca="false">IF(AND(W39&gt;ConGrace,W39&lt;=ConTenor),PMT(ConRate*$B$11,ConTenor-ConGrace,-S_Tariff_Lo!$B$17)-W121,0)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952470.285379773</v>
      </c>
      <c r="E127" s="83" t="n">
        <f aca="false">IF(E126&gt;0,(E147/MinDSCR-E121-E122)/E126,1000000000000)</f>
        <v>412189.931421173</v>
      </c>
      <c r="F127" s="83" t="n">
        <f aca="false">IF(F126&gt;0,(F147/MinDSCR-F121-F122)/F126,1000000000000)</f>
        <v>176462.079457913</v>
      </c>
      <c r="G127" s="83" t="n">
        <f aca="false">IF(G126&gt;0,(G147/MinDSCR-G121-G122)/G126,1000000000000)</f>
        <v>29125.2545038387</v>
      </c>
      <c r="H127" s="83" t="n">
        <f aca="false">IF(H126&gt;0,(H147/MinDSCR-H121-H122)/H126,1000000000000)</f>
        <v>44896.0320267593</v>
      </c>
      <c r="I127" s="83" t="n">
        <f aca="false">IF(I126&gt;0,(I147/MinDSCR-I121-I122)/I126,1000000000000)</f>
        <v>10388.6452385527</v>
      </c>
      <c r="J127" s="83" t="n">
        <f aca="false">IF(J126&gt;0,(J147/MinDSCR-J121-J122)/J126,1000000000000)</f>
        <v>20916.5433720129</v>
      </c>
      <c r="K127" s="83" t="n">
        <f aca="false">IF(K126&gt;0,(K147/MinDSCR-K121-K122)/K126,1000000000000)</f>
        <v>7674.64052010977</v>
      </c>
      <c r="L127" s="83" t="n">
        <f aca="false">IF(L126&gt;0,(L147/MinDSCR-L121-L122)/L126,1000000000000)</f>
        <v>-29627.5772231411</v>
      </c>
      <c r="M127" s="83" t="n">
        <f aca="false">IF(M126&gt;0,(M147/MinDSCR-M121-M122)/M126,1000000000000)</f>
        <v>-45678.6811625038</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IF(D39&lt;=MIN(DepYears,Life),S_Tariff_Lo!$B$14/DepYears,0)</f>
        <v>76867.3503434244</v>
      </c>
      <c r="E132" s="83" t="n">
        <f aca="false">IF(E39&lt;=MIN(DepYears,Life),S_Tariff_Lo!$B$14/DepYears,0)</f>
        <v>76867.3503434244</v>
      </c>
      <c r="F132" s="83" t="n">
        <f aca="false">IF(F39&lt;=MIN(DepYears,Life),S_Tariff_Lo!$B$14/DepYears,0)</f>
        <v>76867.3503434244</v>
      </c>
      <c r="G132" s="83" t="n">
        <f aca="false">IF(G39&lt;=MIN(DepYears,Life),S_Tariff_Lo!$B$14/DepYears,0)</f>
        <v>76867.3503434244</v>
      </c>
      <c r="H132" s="83" t="n">
        <f aca="false">IF(H39&lt;=MIN(DepYears,Life),S_Tariff_Lo!$B$14/DepYears,0)</f>
        <v>76867.3503434244</v>
      </c>
      <c r="I132" s="83" t="n">
        <f aca="false">IF(I39&lt;=MIN(DepYears,Life),S_Tariff_Lo!$B$14/DepYears,0)</f>
        <v>76867.3503434244</v>
      </c>
      <c r="J132" s="83" t="n">
        <f aca="false">IF(J39&lt;=MIN(DepYears,Life),S_Tariff_Lo!$B$14/DepYears,0)</f>
        <v>76867.3503434244</v>
      </c>
      <c r="K132" s="83" t="n">
        <f aca="false">IF(K39&lt;=MIN(DepYears,Life),S_Tariff_Lo!$B$14/DepYears,0)</f>
        <v>76867.3503434244</v>
      </c>
      <c r="L132" s="83" t="n">
        <f aca="false">IF(L39&lt;=MIN(DepYears,Life),S_Tariff_Lo!$B$14/DepYears,0)</f>
        <v>76867.3503434244</v>
      </c>
      <c r="M132" s="83" t="n">
        <f aca="false">IF(M39&lt;=MIN(DepYears,Life),S_Tariff_Lo!$B$14/DepYears,0)</f>
        <v>76867.3503434244</v>
      </c>
      <c r="N132" s="83" t="n">
        <f aca="false">IF(N39&lt;=MIN(DepYears,Life),S_Tariff_Lo!$B$14/DepYears,0)</f>
        <v>76867.3503434244</v>
      </c>
      <c r="O132" s="83" t="n">
        <f aca="false">IF(O39&lt;=MIN(DepYears,Life),S_Tariff_Lo!$B$14/DepYears,0)</f>
        <v>76867.3503434244</v>
      </c>
      <c r="P132" s="83" t="n">
        <f aca="false">IF(P39&lt;=MIN(DepYears,Life),S_Tariff_Lo!$B$14/DepYears,0)</f>
        <v>76867.3503434244</v>
      </c>
      <c r="Q132" s="83" t="n">
        <f aca="false">IF(Q39&lt;=MIN(DepYears,Life),S_Tariff_Lo!$B$14/DepYears,0)</f>
        <v>76867.3503434244</v>
      </c>
      <c r="R132" s="83" t="n">
        <f aca="false">IF(R39&lt;=MIN(DepYears,Life),S_Tariff_Lo!$B$14/DepYears,0)</f>
        <v>76867.3503434244</v>
      </c>
      <c r="S132" s="83" t="n">
        <f aca="false">IF(S39&lt;=MIN(DepYears,Life),S_Tariff_Lo!$B$14/DepYears,0)</f>
        <v>0</v>
      </c>
      <c r="T132" s="83" t="n">
        <f aca="false">IF(T39&lt;=MIN(DepYears,Life),S_Tariff_Lo!$B$14/DepYears,0)</f>
        <v>0</v>
      </c>
      <c r="U132" s="83" t="n">
        <f aca="false">IF(U39&lt;=MIN(DepYears,Life),S_Tariff_Lo!$B$14/DepYears,0)</f>
        <v>0</v>
      </c>
      <c r="V132" s="83" t="n">
        <f aca="false">IF(V39&lt;=MIN(DepYears,Life),S_Tariff_Lo!$B$14/DepYears,0)</f>
        <v>0</v>
      </c>
      <c r="W132" s="83" t="n">
        <f aca="false">IF(W39&lt;=MIN(DepYears,Life),S_Tariff_Lo!$B$14/DepYears,0)</f>
        <v>0</v>
      </c>
    </row>
    <row r="133" customFormat="false" ht="15" hidden="false" customHeight="false" outlineLevel="0" collapsed="false">
      <c r="A133" s="10" t="s">
        <v>460</v>
      </c>
      <c r="B133" s="61" t="n">
        <f aca="false">SUM(C133:W133)</f>
        <v>-843950.323943532</v>
      </c>
      <c r="C133" s="83" t="n">
        <v>0</v>
      </c>
      <c r="D133" s="83" t="n">
        <f aca="false">D98-D132</f>
        <v>-79194.8035407856</v>
      </c>
      <c r="E133" s="83" t="n">
        <f aca="false">E98-E132</f>
        <v>-61231.2495554036</v>
      </c>
      <c r="F133" s="83" t="n">
        <f aca="false">F98-F132</f>
        <v>-46616.1511799997</v>
      </c>
      <c r="G133" s="83" t="n">
        <f aca="false">G98-G132</f>
        <v>-44718.779507941</v>
      </c>
      <c r="H133" s="83" t="n">
        <f aca="false">H98-H132</f>
        <v>-40875.8002390138</v>
      </c>
      <c r="I133" s="83" t="n">
        <f aca="false">I98-I132</f>
        <v>-36742.2295934576</v>
      </c>
      <c r="J133" s="83" t="n">
        <f aca="false">J98-J132</f>
        <v>-34176.8206138772</v>
      </c>
      <c r="K133" s="83" t="n">
        <f aca="false">K98-K132</f>
        <v>-37403.5707260421</v>
      </c>
      <c r="L133" s="83" t="n">
        <f aca="false">L98-L132</f>
        <v>-40961.0123543901</v>
      </c>
      <c r="M133" s="83" t="n">
        <f aca="false">M98-M132</f>
        <v>-44872.3007859667</v>
      </c>
      <c r="N133" s="83" t="n">
        <f aca="false">N98-N132</f>
        <v>-49162.0668689214</v>
      </c>
      <c r="O133" s="83" t="n">
        <f aca="false">O98-O132</f>
        <v>-53856.5082130382</v>
      </c>
      <c r="P133" s="83" t="n">
        <f aca="false">P98-P132</f>
        <v>-58983.4859690548</v>
      </c>
      <c r="Q133" s="83" t="n">
        <f aca="false">Q98-Q132</f>
        <v>-64572.6275268764</v>
      </c>
      <c r="R133" s="83" t="n">
        <f aca="false">R98-R132</f>
        <v>-70655.4354934998</v>
      </c>
      <c r="S133" s="83" t="n">
        <f aca="false">S98-S132</f>
        <v>-398.052990015945</v>
      </c>
      <c r="T133" s="83" t="n">
        <f aca="false">T98-T132</f>
        <v>-7570.7877343419</v>
      </c>
      <c r="U133" s="83" t="n">
        <f aca="false">U98-U132</f>
        <v>-15344.1401891517</v>
      </c>
      <c r="V133" s="83" t="n">
        <f aca="false">V98-V132</f>
        <v>-23758.3431005717</v>
      </c>
      <c r="W133" s="83" t="n">
        <f aca="false">W98-W132</f>
        <v>-32856.1577611823</v>
      </c>
    </row>
    <row r="134" customFormat="false" ht="15" hidden="false" customHeight="false" outlineLevel="0" collapsed="false">
      <c r="A134" s="10" t="s">
        <v>461</v>
      </c>
      <c r="C134" s="83" t="n">
        <v>0</v>
      </c>
      <c r="D134" s="83" t="n">
        <f aca="false">0</f>
        <v>0</v>
      </c>
      <c r="E134" s="83" t="n">
        <f aca="false">D136</f>
        <v>79194.8035407856</v>
      </c>
      <c r="F134" s="83" t="n">
        <f aca="false">E136</f>
        <v>140426.053096189</v>
      </c>
      <c r="G134" s="83" t="n">
        <f aca="false">F136</f>
        <v>187042.204276189</v>
      </c>
      <c r="H134" s="83" t="n">
        <f aca="false">G136</f>
        <v>231760.98378413</v>
      </c>
      <c r="I134" s="83" t="n">
        <f aca="false">H136</f>
        <v>272636.784023144</v>
      </c>
      <c r="J134" s="83" t="n">
        <f aca="false">I136</f>
        <v>309379.013616601</v>
      </c>
      <c r="K134" s="83" t="n">
        <f aca="false">J136</f>
        <v>343555.834230478</v>
      </c>
      <c r="L134" s="83" t="n">
        <f aca="false">K136</f>
        <v>380959.404956521</v>
      </c>
      <c r="M134" s="83" t="n">
        <f aca="false">L136</f>
        <v>421920.417310911</v>
      </c>
      <c r="N134" s="83" t="n">
        <f aca="false">M136</f>
        <v>466792.718096877</v>
      </c>
      <c r="O134" s="83" t="n">
        <f aca="false">N136</f>
        <v>515954.784965799</v>
      </c>
      <c r="P134" s="83" t="n">
        <f aca="false">O136</f>
        <v>569811.293178837</v>
      </c>
      <c r="Q134" s="83" t="n">
        <f aca="false">P136</f>
        <v>628794.779147892</v>
      </c>
      <c r="R134" s="83" t="n">
        <f aca="false">Q136</f>
        <v>693367.406674768</v>
      </c>
      <c r="S134" s="83" t="n">
        <f aca="false">R136</f>
        <v>764022.842168268</v>
      </c>
      <c r="T134" s="83" t="n">
        <f aca="false">S136</f>
        <v>764420.895158284</v>
      </c>
      <c r="U134" s="83" t="n">
        <f aca="false">T136</f>
        <v>771991.682892626</v>
      </c>
      <c r="V134" s="83" t="n">
        <f aca="false">U136</f>
        <v>787335.823081778</v>
      </c>
      <c r="W134" s="83" t="n">
        <f aca="false">V136</f>
        <v>811094.166182349</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0</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79194.8035407856</v>
      </c>
      <c r="E136" s="83" t="n">
        <f aca="false">E134-E135+MAX(-E133,0)</f>
        <v>140426.053096189</v>
      </c>
      <c r="F136" s="83" t="n">
        <f aca="false">F134-F135+MAX(-F133,0)</f>
        <v>187042.204276189</v>
      </c>
      <c r="G136" s="83" t="n">
        <f aca="false">G134-G135+MAX(-G133,0)</f>
        <v>231760.98378413</v>
      </c>
      <c r="H136" s="83" t="n">
        <f aca="false">H134-H135+MAX(-H133,0)</f>
        <v>272636.784023144</v>
      </c>
      <c r="I136" s="83" t="n">
        <f aca="false">I134-I135+MAX(-I133,0)</f>
        <v>309379.013616601</v>
      </c>
      <c r="J136" s="83" t="n">
        <f aca="false">J134-J135+MAX(-J133,0)</f>
        <v>343555.834230478</v>
      </c>
      <c r="K136" s="83" t="n">
        <f aca="false">K134-K135+MAX(-K133,0)</f>
        <v>380959.404956521</v>
      </c>
      <c r="L136" s="83" t="n">
        <f aca="false">L134-L135+MAX(-L133,0)</f>
        <v>421920.417310911</v>
      </c>
      <c r="M136" s="83" t="n">
        <f aca="false">M134-M135+MAX(-M133,0)</f>
        <v>466792.718096877</v>
      </c>
      <c r="N136" s="83" t="n">
        <f aca="false">N134-N135+MAX(-N133,0)</f>
        <v>515954.784965799</v>
      </c>
      <c r="O136" s="83" t="n">
        <f aca="false">O134-O135+MAX(-O133,0)</f>
        <v>569811.293178837</v>
      </c>
      <c r="P136" s="83" t="n">
        <f aca="false">P134-P135+MAX(-P133,0)</f>
        <v>628794.779147892</v>
      </c>
      <c r="Q136" s="83" t="n">
        <f aca="false">Q134-Q135+MAX(-Q133,0)</f>
        <v>693367.406674768</v>
      </c>
      <c r="R136" s="83" t="n">
        <f aca="false">R134-R135+MAX(-R133,0)</f>
        <v>764022.842168268</v>
      </c>
      <c r="S136" s="83" t="n">
        <f aca="false">S134-S135+MAX(-S133,0)</f>
        <v>764420.895158284</v>
      </c>
      <c r="T136" s="83" t="n">
        <f aca="false">T134-T135+MAX(-T133,0)</f>
        <v>771991.682892626</v>
      </c>
      <c r="U136" s="83" t="n">
        <f aca="false">U134-U135+MAX(-U133,0)</f>
        <v>787335.823081778</v>
      </c>
      <c r="V136" s="83" t="n">
        <f aca="false">V134-V135+MAX(-V133,0)</f>
        <v>811094.166182349</v>
      </c>
      <c r="W136" s="83" t="n">
        <f aca="false">W134-W135+MAX(-W133,0)</f>
        <v>843950.323943532</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-956969.826859099</v>
      </c>
      <c r="C138" s="83" t="n">
        <v>0</v>
      </c>
      <c r="D138" s="83" t="n">
        <f aca="false">D98-D132-D114-D121</f>
        <v>-93573.0701747211</v>
      </c>
      <c r="E138" s="83" t="n">
        <f aca="false">E98-E132-E114-E121</f>
        <v>-75609.5161893391</v>
      </c>
      <c r="F138" s="83" t="n">
        <f aca="false">F98-F132-F114-F121</f>
        <v>-60994.4178139352</v>
      </c>
      <c r="G138" s="83" t="n">
        <f aca="false">G98-G132-G114-G121</f>
        <v>-58129.8973724664</v>
      </c>
      <c r="H138" s="83" t="n">
        <f aca="false">H98-H132-H114-H121</f>
        <v>-53223.054457188</v>
      </c>
      <c r="I138" s="83" t="n">
        <f aca="false">I98-I132-I114-I121</f>
        <v>-47919.2338006454</v>
      </c>
      <c r="J138" s="83" t="n">
        <f aca="false">J98-J132-J114-J121</f>
        <v>-43777.1136206919</v>
      </c>
      <c r="K138" s="83" t="n">
        <f aca="false">K98-K132-K114-K121</f>
        <v>-45289.7419456265</v>
      </c>
      <c r="L138" s="83" t="n">
        <f aca="false">L98-L132-L114-L121</f>
        <v>-46982.5179571968</v>
      </c>
      <c r="M138" s="83" t="n">
        <f aca="false">M98-M132-M114-M121</f>
        <v>-48864.1686099687</v>
      </c>
      <c r="N138" s="83" t="n">
        <f aca="false">N98-N132-N114-N121</f>
        <v>-50943.4723678788</v>
      </c>
      <c r="O138" s="83" t="n">
        <f aca="false">O98-O132-O114-O121</f>
        <v>-55302.3778427488</v>
      </c>
      <c r="P138" s="83" t="n">
        <f aca="false">P98-P132-P114-P121</f>
        <v>-60083.7536534413</v>
      </c>
      <c r="Q138" s="83" t="n">
        <f aca="false">Q98-Q132-Q114-Q121</f>
        <v>-65316.925207579</v>
      </c>
      <c r="R138" s="83" t="n">
        <f aca="false">R98-R132-R114-R121</f>
        <v>-71033.084070408</v>
      </c>
      <c r="S138" s="83" t="n">
        <f aca="false">S98-S132-S114-S121</f>
        <v>-398.052990015945</v>
      </c>
      <c r="T138" s="83" t="n">
        <f aca="false">T98-T132-T114-T121</f>
        <v>-7570.7877343419</v>
      </c>
      <c r="U138" s="83" t="n">
        <f aca="false">U98-U132-U114-U121</f>
        <v>-15344.1401891517</v>
      </c>
      <c r="V138" s="83" t="n">
        <f aca="false">V98-V132-V114-V121</f>
        <v>-23758.3431005717</v>
      </c>
      <c r="W138" s="83" t="n">
        <f aca="false">W98-W132-W114-W121</f>
        <v>-32856.1577611823</v>
      </c>
    </row>
    <row r="139" customFormat="false" ht="15" hidden="false" customHeight="false" outlineLevel="0" collapsed="false">
      <c r="A139" s="10" t="s">
        <v>461</v>
      </c>
      <c r="C139" s="83" t="n">
        <v>0</v>
      </c>
      <c r="D139" s="83" t="n">
        <f aca="false">0</f>
        <v>0</v>
      </c>
      <c r="E139" s="83" t="n">
        <f aca="false">D141</f>
        <v>93573.0701747211</v>
      </c>
      <c r="F139" s="83" t="n">
        <f aca="false">E141</f>
        <v>169182.58636406</v>
      </c>
      <c r="G139" s="83" t="n">
        <f aca="false">F141</f>
        <v>230177.004177995</v>
      </c>
      <c r="H139" s="83" t="n">
        <f aca="false">G141</f>
        <v>288306.901550462</v>
      </c>
      <c r="I139" s="83" t="n">
        <f aca="false">H141</f>
        <v>341529.95600765</v>
      </c>
      <c r="J139" s="83" t="n">
        <f aca="false">I141</f>
        <v>389449.189808295</v>
      </c>
      <c r="K139" s="83" t="n">
        <f aca="false">J141</f>
        <v>433226.303428987</v>
      </c>
      <c r="L139" s="83" t="n">
        <f aca="false">K141</f>
        <v>478516.045374614</v>
      </c>
      <c r="M139" s="83" t="n">
        <f aca="false">L141</f>
        <v>525498.56333181</v>
      </c>
      <c r="N139" s="83" t="n">
        <f aca="false">M141</f>
        <v>574362.731941779</v>
      </c>
      <c r="O139" s="83" t="n">
        <f aca="false">N141</f>
        <v>625306.204309658</v>
      </c>
      <c r="P139" s="83" t="n">
        <f aca="false">O141</f>
        <v>680608.582152407</v>
      </c>
      <c r="Q139" s="83" t="n">
        <f aca="false">P141</f>
        <v>740692.335805848</v>
      </c>
      <c r="R139" s="83" t="n">
        <f aca="false">Q141</f>
        <v>806009.261013427</v>
      </c>
      <c r="S139" s="83" t="n">
        <f aca="false">R141</f>
        <v>877042.345083835</v>
      </c>
      <c r="T139" s="83" t="n">
        <f aca="false">S141</f>
        <v>877440.398073851</v>
      </c>
      <c r="U139" s="83" t="n">
        <f aca="false">T141</f>
        <v>885011.185808193</v>
      </c>
      <c r="V139" s="83" t="n">
        <f aca="false">U141</f>
        <v>900355.325997345</v>
      </c>
      <c r="W139" s="83" t="n">
        <f aca="false">V141</f>
        <v>924113.669097916</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0</v>
      </c>
      <c r="T140" s="83" t="n">
        <f aca="false">MIN(T139,MAX(T138,0))</f>
        <v>0</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93573.0701747211</v>
      </c>
      <c r="E141" s="83" t="n">
        <f aca="false">E139-E140+MAX(-E138,0)</f>
        <v>169182.58636406</v>
      </c>
      <c r="F141" s="83" t="n">
        <f aca="false">F139-F140+MAX(-F138,0)</f>
        <v>230177.004177995</v>
      </c>
      <c r="G141" s="83" t="n">
        <f aca="false">G139-G140+MAX(-G138,0)</f>
        <v>288306.901550462</v>
      </c>
      <c r="H141" s="83" t="n">
        <f aca="false">H139-H140+MAX(-H138,0)</f>
        <v>341529.95600765</v>
      </c>
      <c r="I141" s="83" t="n">
        <f aca="false">I139-I140+MAX(-I138,0)</f>
        <v>389449.189808295</v>
      </c>
      <c r="J141" s="83" t="n">
        <f aca="false">J139-J140+MAX(-J138,0)</f>
        <v>433226.303428987</v>
      </c>
      <c r="K141" s="83" t="n">
        <f aca="false">K139-K140+MAX(-K138,0)</f>
        <v>478516.045374614</v>
      </c>
      <c r="L141" s="83" t="n">
        <f aca="false">L139-L140+MAX(-L138,0)</f>
        <v>525498.56333181</v>
      </c>
      <c r="M141" s="83" t="n">
        <f aca="false">M139-M140+MAX(-M138,0)</f>
        <v>574362.731941779</v>
      </c>
      <c r="N141" s="83" t="n">
        <f aca="false">N139-N140+MAX(-N138,0)</f>
        <v>625306.204309658</v>
      </c>
      <c r="O141" s="83" t="n">
        <f aca="false">O139-O140+MAX(-O138,0)</f>
        <v>680608.582152407</v>
      </c>
      <c r="P141" s="83" t="n">
        <f aca="false">P139-P140+MAX(-P138,0)</f>
        <v>740692.335805848</v>
      </c>
      <c r="Q141" s="83" t="n">
        <f aca="false">Q139-Q140+MAX(-Q138,0)</f>
        <v>806009.261013427</v>
      </c>
      <c r="R141" s="83" t="n">
        <f aca="false">R139-R140+MAX(-R138,0)</f>
        <v>877042.345083835</v>
      </c>
      <c r="S141" s="83" t="n">
        <f aca="false">S139-S140+MAX(-S138,0)</f>
        <v>877440.398073851</v>
      </c>
      <c r="T141" s="83" t="n">
        <f aca="false">T139-T140+MAX(-T138,0)</f>
        <v>885011.185808193</v>
      </c>
      <c r="U141" s="83" t="n">
        <f aca="false">U139-U140+MAX(-U138,0)</f>
        <v>900355.325997345</v>
      </c>
      <c r="V141" s="83" t="n">
        <f aca="false">V139-V140+MAX(-V138,0)</f>
        <v>924113.669097916</v>
      </c>
      <c r="W141" s="83" t="n">
        <f aca="false">W139-W140+MAX(-W138,0)</f>
        <v>956969.826859099</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-1093937.48072582</v>
      </c>
      <c r="C145" s="27" t="n">
        <f aca="false">-C102+C98-C103-C137</f>
        <v>-1153010.25515137</v>
      </c>
      <c r="D145" s="27" t="n">
        <f aca="false">-D102+D98-D103-D137</f>
        <v>-2327.45319736125</v>
      </c>
      <c r="E145" s="27" t="n">
        <f aca="false">-E102+E98-E103-E137</f>
        <v>15636.1007880208</v>
      </c>
      <c r="F145" s="27" t="n">
        <f aca="false">-F102+F98-F103-F137</f>
        <v>30251.1991634246</v>
      </c>
      <c r="G145" s="27" t="n">
        <f aca="false">-G102+G98-G103-G137</f>
        <v>32148.5708354833</v>
      </c>
      <c r="H145" s="27" t="n">
        <f aca="false">-H102+H98-H103-H137</f>
        <v>35991.5501044106</v>
      </c>
      <c r="I145" s="27" t="n">
        <f aca="false">-I102+I98-I103-I137</f>
        <v>40125.1207499668</v>
      </c>
      <c r="J145" s="27" t="n">
        <f aca="false">-J102+J98-J103-J137</f>
        <v>42690.5297295472</v>
      </c>
      <c r="K145" s="27" t="n">
        <f aca="false">-K102+K98-K103-K137</f>
        <v>-126439.658087319</v>
      </c>
      <c r="L145" s="27" t="n">
        <f aca="false">-L102+L98-L103-L137</f>
        <v>35906.3379890343</v>
      </c>
      <c r="M145" s="27" t="n">
        <f aca="false">-M102+M98-M103-M137</f>
        <v>31995.0495574577</v>
      </c>
      <c r="N145" s="27" t="n">
        <f aca="false">-N102+N98-N103-N137</f>
        <v>27705.2834745029</v>
      </c>
      <c r="O145" s="27" t="n">
        <f aca="false">-O102+O98-O103-O137</f>
        <v>23010.8421303862</v>
      </c>
      <c r="P145" s="27" t="n">
        <f aca="false">-P102+P98-P103-P137</f>
        <v>17883.8643743695</v>
      </c>
      <c r="Q145" s="27" t="n">
        <f aca="false">-Q102+Q98-Q103-Q137</f>
        <v>12294.7228165479</v>
      </c>
      <c r="R145" s="27" t="n">
        <f aca="false">-R102+R98-R103-R137</f>
        <v>6211.91484992454</v>
      </c>
      <c r="S145" s="27" t="n">
        <f aca="false">-S102+S98-S103-S137</f>
        <v>-210559.564273686</v>
      </c>
      <c r="T145" s="27" t="n">
        <f aca="false">-T102+T98-T103-T137</f>
        <v>-7570.7877343419</v>
      </c>
      <c r="U145" s="27" t="n">
        <f aca="false">-U102+U98-U103-U137</f>
        <v>-15344.1401891517</v>
      </c>
      <c r="V145" s="27" t="n">
        <f aca="false">-V102+V98-V103-V137</f>
        <v>-23758.3431005717</v>
      </c>
      <c r="W145" s="27" t="n">
        <f aca="false">-W102+W98-W103-W137</f>
        <v>-32856.1577611823</v>
      </c>
    </row>
    <row r="146" customFormat="false" ht="15" hidden="false" customHeight="false" outlineLevel="0" collapsed="false">
      <c r="A146" s="15" t="s">
        <v>469</v>
      </c>
      <c r="B146" s="61" t="n">
        <f aca="false">C146+NPV(Hurdle,D146:W146)</f>
        <v>-276017.120094711</v>
      </c>
      <c r="C146" s="27" t="n">
        <f aca="false">C145+C106+C108</f>
        <v>-553010.255151365</v>
      </c>
      <c r="D146" s="27" t="n">
        <f aca="false">D145+D106+D108</f>
        <v>148872.546802639</v>
      </c>
      <c r="E146" s="27" t="n">
        <f aca="false">E145+E106+E108</f>
        <v>78636.1007880208</v>
      </c>
      <c r="F146" s="27" t="n">
        <f aca="false">F145+F106+F108</f>
        <v>68051.1991634246</v>
      </c>
      <c r="G146" s="27" t="n">
        <f aca="false">G145+G106+G108</f>
        <v>32148.5708354833</v>
      </c>
      <c r="H146" s="27" t="n">
        <f aca="false">H145+H106+H108</f>
        <v>35991.5501044106</v>
      </c>
      <c r="I146" s="27" t="n">
        <f aca="false">I145+I106+I108</f>
        <v>40125.1207499668</v>
      </c>
      <c r="J146" s="27" t="n">
        <f aca="false">J145+J106+J108</f>
        <v>42690.5297295472</v>
      </c>
      <c r="K146" s="27" t="n">
        <f aca="false">K145+K106+K108</f>
        <v>-126439.658087319</v>
      </c>
      <c r="L146" s="27" t="n">
        <f aca="false">L145+L106+L108</f>
        <v>35906.3379890343</v>
      </c>
      <c r="M146" s="27" t="n">
        <f aca="false">M145+M106+M108</f>
        <v>31995.0495574577</v>
      </c>
      <c r="N146" s="27" t="n">
        <f aca="false">N145+N106+N108</f>
        <v>27705.2834745029</v>
      </c>
      <c r="O146" s="27" t="n">
        <f aca="false">O145+O106+O108</f>
        <v>23010.8421303862</v>
      </c>
      <c r="P146" s="27" t="n">
        <f aca="false">P145+P106+P108</f>
        <v>17883.8643743695</v>
      </c>
      <c r="Q146" s="27" t="n">
        <f aca="false">Q145+Q106+Q108</f>
        <v>12294.7228165479</v>
      </c>
      <c r="R146" s="27" t="n">
        <f aca="false">R145+R106+R108</f>
        <v>6211.91484992454</v>
      </c>
      <c r="S146" s="27" t="n">
        <f aca="false">S145+S106+S108</f>
        <v>-210559.564273686</v>
      </c>
      <c r="T146" s="27" t="n">
        <f aca="false">T145+T106+T108</f>
        <v>-7570.7877343419</v>
      </c>
      <c r="U146" s="27" t="n">
        <f aca="false">U145+U106+U108</f>
        <v>-15344.1401891517</v>
      </c>
      <c r="V146" s="27" t="n">
        <f aca="false">V145+V106+V108</f>
        <v>-23758.3431005717</v>
      </c>
      <c r="W146" s="27" t="n">
        <f aca="false">W145+W106+W108</f>
        <v>-32856.1577611823</v>
      </c>
    </row>
    <row r="147" customFormat="false" ht="15" hidden="false" customHeight="false" outlineLevel="0" collapsed="false">
      <c r="A147" s="10" t="s">
        <v>237</v>
      </c>
      <c r="B147" s="61" t="n">
        <f aca="false">SUM(C147:W147)</f>
        <v>184994.982219463</v>
      </c>
      <c r="C147" s="83" t="n">
        <v>0</v>
      </c>
      <c r="D147" s="83" t="n">
        <f aca="false">D98-D105-D142+D108</f>
        <v>128134.617089551</v>
      </c>
      <c r="E147" s="83" t="n">
        <f aca="false">E98-E105-E142+E108</f>
        <v>57898.1710749331</v>
      </c>
      <c r="F147" s="83" t="n">
        <f aca="false">F98-F105-F142+F108</f>
        <v>47313.269450337</v>
      </c>
      <c r="G147" s="83" t="n">
        <f aca="false">G98-G105-G142+G108</f>
        <v>11410.6411223956</v>
      </c>
      <c r="H147" s="83" t="n">
        <f aca="false">H98-H105-H142+H108</f>
        <v>15253.6203913229</v>
      </c>
      <c r="I147" s="83" t="n">
        <f aca="false">I98-I105-I142+I108</f>
        <v>19387.1910368791</v>
      </c>
      <c r="J147" s="83" t="n">
        <f aca="false">J98-J105-J142+J108</f>
        <v>21952.6000164595</v>
      </c>
      <c r="K147" s="83" t="n">
        <f aca="false">K98-K105-K142+K108</f>
        <v>18725.8499042946</v>
      </c>
      <c r="L147" s="83" t="n">
        <f aca="false">L98-L105-L142+L108</f>
        <v>9636.14907857554</v>
      </c>
      <c r="M147" s="83" t="n">
        <f aca="false">M98-M105-M142+M108</f>
        <v>5724.86064699897</v>
      </c>
      <c r="N147" s="83" t="n">
        <f aca="false">N98-N105-N142+N108</f>
        <v>1435.0945640442</v>
      </c>
      <c r="O147" s="83" t="n">
        <f aca="false">O98-O105-O142+O108</f>
        <v>-3259.34678007259</v>
      </c>
      <c r="P147" s="83" t="n">
        <f aca="false">P98-P105-P142+P108</f>
        <v>-8386.32453608921</v>
      </c>
      <c r="Q147" s="83" t="n">
        <f aca="false">Q98-Q105-Q142+Q108</f>
        <v>-13975.4660939108</v>
      </c>
      <c r="R147" s="83" t="n">
        <f aca="false">R98-R105-R142+R108</f>
        <v>-20058.2740605342</v>
      </c>
      <c r="S147" s="83" t="n">
        <f aca="false">S98-S105-S142+S108</f>
        <v>-26668.2419004747</v>
      </c>
      <c r="T147" s="83" t="n">
        <f aca="false">T98-T105-T142+T108</f>
        <v>-7570.7877343419</v>
      </c>
      <c r="U147" s="83" t="n">
        <f aca="false">U98-U105-U142+U108</f>
        <v>-15344.1401891517</v>
      </c>
      <c r="V147" s="83" t="n">
        <f aca="false">V98-V105-V142+V108</f>
        <v>-23758.3431005717</v>
      </c>
      <c r="W147" s="83" t="n">
        <f aca="false">W98-W105-W142+W108</f>
        <v>-32856.1577611823</v>
      </c>
    </row>
    <row r="148" customFormat="false" ht="15" hidden="false" customHeight="false" outlineLevel="0" collapsed="false">
      <c r="A148" s="10" t="s">
        <v>470</v>
      </c>
      <c r="C148" s="86" t="n">
        <v>0</v>
      </c>
      <c r="D148" s="86" t="n">
        <f aca="false">IF(D125&gt;0,D147/D125,"")</f>
        <v>8.9116873648127</v>
      </c>
      <c r="E148" s="86" t="n">
        <f aca="false">IF(E125&gt;0,E147/E125,"")</f>
        <v>4.02678379452793</v>
      </c>
      <c r="F148" s="86" t="n">
        <f aca="false">IF(F125&gt;0,F147/F125,"")</f>
        <v>1.96730780718119</v>
      </c>
      <c r="G148" s="86" t="n">
        <f aca="false">IF(G125&gt;0,G147/G125,"")</f>
        <v>0.474459778954713</v>
      </c>
      <c r="H148" s="86" t="n">
        <f aca="false">IF(H125&gt;0,H147/H125,"")</f>
        <v>0.634252649040172</v>
      </c>
      <c r="I148" s="86" t="n">
        <f aca="false">IF(I125&gt;0,I147/I125,"")</f>
        <v>0.575328075207733</v>
      </c>
      <c r="J148" s="86" t="n">
        <f aca="false">IF(J125&gt;0,J147/J125,"")</f>
        <v>0.651458330876799</v>
      </c>
      <c r="K148" s="86" t="n">
        <f aca="false">IF(K125&gt;0,K147/K125,"")</f>
        <v>0.555702327458006</v>
      </c>
      <c r="L148" s="86" t="n">
        <f aca="false">IF(L125&gt;0,L147/L125,"")</f>
        <v>0.28595927544355</v>
      </c>
      <c r="M148" s="86" t="n">
        <f aca="false">IF(M125&gt;0,M147/M125,"")</f>
        <v>0.169889131984363</v>
      </c>
      <c r="N148" s="86" t="n">
        <f aca="false">IF(N125&gt;0,N147/N125,"")</f>
        <v>0.110681923230345</v>
      </c>
      <c r="O148" s="86" t="n">
        <f aca="false">IF(O125&gt;0,O147/O125,"")</f>
        <v>-0.251377699513017</v>
      </c>
      <c r="P148" s="86" t="n">
        <f aca="false">IF(P125&gt;0,P147/P125,"")</f>
        <v>-0.646796769874461</v>
      </c>
      <c r="Q148" s="86" t="n">
        <f aca="false">IF(Q125&gt;0,Q147/Q125,"")</f>
        <v>-1.07786030556443</v>
      </c>
      <c r="R148" s="86" t="n">
        <f aca="false">IF(R125&gt;0,R147/R125,"")</f>
        <v>-1.54699795074472</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-288978.079275677</v>
      </c>
      <c r="C149" s="27" t="n">
        <f aca="false">-S_Tariff_Lo!$B$18-C129</f>
        <v>-338995.286407787</v>
      </c>
      <c r="D149" s="27" t="n">
        <f aca="false">D147-D125-D129</f>
        <v>113756.350455616</v>
      </c>
      <c r="E149" s="27" t="n">
        <f aca="false">E147-E125-E129</f>
        <v>38684.1605939468</v>
      </c>
      <c r="F149" s="27" t="n">
        <f aca="false">F147-F125-F129</f>
        <v>23263.5151222998</v>
      </c>
      <c r="G149" s="27" t="n">
        <f aca="false">G147-G125-G129</f>
        <v>-12639.1132056415</v>
      </c>
      <c r="H149" s="27" t="n">
        <f aca="false">H147-H125-H129</f>
        <v>-13620.0704081845</v>
      </c>
      <c r="I149" s="27" t="n">
        <f aca="false">I147-I125-I129</f>
        <v>-14310.4362340984</v>
      </c>
      <c r="J149" s="27" t="n">
        <f aca="false">J147-J125-J129</f>
        <v>-11745.027254518</v>
      </c>
      <c r="K149" s="27" t="n">
        <f aca="false">K147-K125-K129</f>
        <v>-14971.777366683</v>
      </c>
      <c r="L149" s="27" t="n">
        <f aca="false">L147-L125-L129</f>
        <v>-24061.478192402</v>
      </c>
      <c r="M149" s="27" t="n">
        <f aca="false">M147-M125-M129</f>
        <v>-17606.9202254141</v>
      </c>
      <c r="N149" s="27" t="n">
        <f aca="false">N147-N125-N129</f>
        <v>-11530.8399098044</v>
      </c>
      <c r="O149" s="27" t="n">
        <f aca="false">O147-O125-O129</f>
        <v>-16225.2812539212</v>
      </c>
      <c r="P149" s="27" t="n">
        <f aca="false">P147-P125-P129</f>
        <v>-21352.2590099378</v>
      </c>
      <c r="Q149" s="27" t="n">
        <f aca="false">Q147-Q125-Q129</f>
        <v>-26941.4005677594</v>
      </c>
      <c r="R149" s="27" t="n">
        <f aca="false">R147-R125-R129</f>
        <v>-26541.2412974585</v>
      </c>
      <c r="S149" s="27" t="n">
        <f aca="false">S147-S125-S129</f>
        <v>-26668.2419004747</v>
      </c>
      <c r="T149" s="27" t="n">
        <f aca="false">T147-T125-T129</f>
        <v>-7570.7877343419</v>
      </c>
      <c r="U149" s="27" t="n">
        <f aca="false">U147-U125-U129</f>
        <v>-15344.1401891517</v>
      </c>
      <c r="V149" s="27" t="n">
        <f aca="false">V147-V125-V129</f>
        <v>-23758.3431005717</v>
      </c>
      <c r="W149" s="27" t="n">
        <f aca="false">W147-W125-W129</f>
        <v>-32856.1577611823</v>
      </c>
    </row>
    <row r="150" customFormat="false" ht="15" hidden="false" customHeight="false" outlineLevel="0" collapsed="false">
      <c r="A150" s="10" t="s">
        <v>472</v>
      </c>
      <c r="C150" s="83" t="n">
        <f aca="false">C149</f>
        <v>-338995.286407787</v>
      </c>
      <c r="D150" s="83" t="n">
        <f aca="false">C150+D149</f>
        <v>-225238.935952171</v>
      </c>
      <c r="E150" s="83" t="n">
        <f aca="false">D150+E149</f>
        <v>-186554.775358225</v>
      </c>
      <c r="F150" s="83" t="n">
        <f aca="false">E150+F149</f>
        <v>-163291.260235925</v>
      </c>
      <c r="G150" s="83" t="n">
        <f aca="false">F150+G149</f>
        <v>-175930.373441566</v>
      </c>
      <c r="H150" s="83" t="n">
        <f aca="false">G150+H149</f>
        <v>-189550.443849751</v>
      </c>
      <c r="I150" s="83" t="n">
        <f aca="false">H150+I149</f>
        <v>-203860.880083849</v>
      </c>
      <c r="J150" s="83" t="n">
        <f aca="false">I150+J149</f>
        <v>-215605.907338367</v>
      </c>
      <c r="K150" s="83" t="n">
        <f aca="false">J150+K149</f>
        <v>-230577.68470505</v>
      </c>
      <c r="L150" s="83" t="n">
        <f aca="false">K150+L149</f>
        <v>-254639.162897452</v>
      </c>
      <c r="M150" s="83" t="n">
        <f aca="false">L150+M149</f>
        <v>-272246.083122866</v>
      </c>
      <c r="N150" s="83" t="n">
        <f aca="false">M150+N149</f>
        <v>-283776.923032671</v>
      </c>
      <c r="O150" s="83" t="n">
        <f aca="false">N150+O149</f>
        <v>-300002.204286592</v>
      </c>
      <c r="P150" s="83" t="n">
        <f aca="false">O150+P149</f>
        <v>-321354.46329653</v>
      </c>
      <c r="Q150" s="83" t="n">
        <f aca="false">P150+Q149</f>
        <v>-348295.863864289</v>
      </c>
      <c r="R150" s="83" t="n">
        <f aca="false">Q150+R149</f>
        <v>-374837.105161748</v>
      </c>
      <c r="S150" s="83" t="n">
        <f aca="false">R150+S149</f>
        <v>-401505.347062222</v>
      </c>
      <c r="T150" s="83" t="n">
        <f aca="false">S150+T149</f>
        <v>-409076.134796564</v>
      </c>
      <c r="U150" s="83" t="n">
        <f aca="false">T150+U149</f>
        <v>-424420.274985716</v>
      </c>
      <c r="V150" s="83" t="n">
        <f aca="false">U150+V149</f>
        <v>-448178.618086288</v>
      </c>
      <c r="W150" s="83" t="n">
        <f aca="false">V150+W149</f>
        <v>-481034.77584747</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1244550.2938559</v>
      </c>
      <c r="C155" s="83" t="n">
        <f aca="false">C83</f>
        <v>0</v>
      </c>
      <c r="D155" s="83" t="n">
        <f aca="false">D83</f>
        <v>58893.9098112</v>
      </c>
      <c r="E155" s="83" t="n">
        <f aca="false">E83</f>
        <v>88514.1109681613</v>
      </c>
      <c r="F155" s="83" t="n">
        <f aca="false">F83</f>
        <v>110476.023913085</v>
      </c>
      <c r="G155" s="83" t="n">
        <f aca="false">G83</f>
        <v>117204.013769392</v>
      </c>
      <c r="H155" s="83" t="n">
        <f aca="false">H83</f>
        <v>124341.738207948</v>
      </c>
      <c r="I155" s="83" t="n">
        <f aca="false">I83</f>
        <v>131914.150064812</v>
      </c>
      <c r="J155" s="83" t="n">
        <f aca="false">J83</f>
        <v>139947.721803759</v>
      </c>
      <c r="K155" s="83" t="n">
        <f aca="false">K83</f>
        <v>148470.538061608</v>
      </c>
      <c r="L155" s="83" t="n">
        <f aca="false">L83</f>
        <v>157512.39382956</v>
      </c>
      <c r="M155" s="83" t="n">
        <f aca="false">M83</f>
        <v>167104.89861378</v>
      </c>
      <c r="N155" s="83" t="n">
        <f aca="false">N83</f>
        <v>177281.586939359</v>
      </c>
      <c r="O155" s="83" t="n">
        <f aca="false">O83</f>
        <v>188078.035583966</v>
      </c>
      <c r="P155" s="83" t="n">
        <f aca="false">P83</f>
        <v>199531.98795103</v>
      </c>
      <c r="Q155" s="83" t="n">
        <f aca="false">Q83</f>
        <v>211683.486017248</v>
      </c>
      <c r="R155" s="83" t="n">
        <f aca="false">R83</f>
        <v>224575.010315698</v>
      </c>
      <c r="S155" s="83" t="n">
        <f aca="false">S83</f>
        <v>238251.628443924</v>
      </c>
      <c r="T155" s="83" t="n">
        <f aca="false">T83</f>
        <v>252761.152616159</v>
      </c>
      <c r="U155" s="83" t="n">
        <f aca="false">U83</f>
        <v>268154.306810483</v>
      </c>
      <c r="V155" s="83" t="n">
        <f aca="false">V83</f>
        <v>284484.904095242</v>
      </c>
      <c r="W155" s="83"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f aca="false">1+SensDelta</f>
        <v>1.2</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MAX(0,S_Tariff_Hi!$B$14-Grant)*SenPct</f>
        <v>110602.051030273</v>
      </c>
    </row>
    <row r="17" customFormat="false" ht="15" hidden="false" customHeight="false" outlineLevel="0" collapsed="false">
      <c r="A17" s="10" t="s">
        <v>248</v>
      </c>
      <c r="B17" s="61" t="n">
        <f aca="false">MAX(0,S_Tariff_Hi!$B$14-Grant)*ConPct</f>
        <v>110602.051030273</v>
      </c>
    </row>
    <row r="18" customFormat="false" ht="15" hidden="false" customHeight="false" outlineLevel="0" collapsed="false">
      <c r="A18" s="10" t="s">
        <v>393</v>
      </c>
      <c r="B18" s="61" t="n">
        <f aca="false">MAX(0,S_Tariff_Hi!$B$14-Grant-S_Tariff_Hi!$B$16-S_Tariff_Hi!$B$17)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-545261.484237708</v>
      </c>
    </row>
    <row r="21" customFormat="false" ht="15" hidden="false" customHeight="false" outlineLevel="0" collapsed="false">
      <c r="A21" s="10" t="s">
        <v>396</v>
      </c>
      <c r="B21" s="61" t="n">
        <f aca="false">$B$146</f>
        <v>272658.876393396</v>
      </c>
    </row>
    <row r="22" customFormat="false" ht="15" hidden="false" customHeight="false" outlineLevel="0" collapsed="false">
      <c r="A22" s="10" t="s">
        <v>397</v>
      </c>
      <c r="B22" s="63" t="n">
        <f aca="false">IFERROR(IRR($C$145:$W$145),"n.d.")</f>
        <v>0.022804988946675</v>
      </c>
    </row>
    <row r="23" customFormat="false" ht="15" hidden="false" customHeight="false" outlineLevel="0" collapsed="false">
      <c r="A23" s="10" t="s">
        <v>398</v>
      </c>
      <c r="B23" s="63" t="n">
        <f aca="false">IFERROR(IRR($C$146:$W$146),"n.d.")</f>
        <v>0.186597064563484</v>
      </c>
    </row>
    <row r="24" customFormat="false" ht="15" hidden="false" customHeight="false" outlineLevel="0" collapsed="false">
      <c r="A24" s="10" t="s">
        <v>384</v>
      </c>
      <c r="B24" s="61" t="n">
        <f aca="false">MAX(0,-$B$145)</f>
        <v>545261.484237708</v>
      </c>
    </row>
    <row r="25" customFormat="false" ht="15" hidden="false" customHeight="false" outlineLevel="0" collapsed="false">
      <c r="A25" s="10" t="s">
        <v>256</v>
      </c>
      <c r="B25" s="63" t="n">
        <f aca="false">IFERROR(IRR($C$149:$W$149),"n.d.")</f>
        <v>0.225626990738931</v>
      </c>
    </row>
    <row r="26" customFormat="false" ht="15" hidden="false" customHeight="false" outlineLevel="0" collapsed="false">
      <c r="A26" s="10" t="s">
        <v>258</v>
      </c>
      <c r="B26" s="61" t="n">
        <f aca="false">C149+NPV(TargetEqIRR,D149:W149)</f>
        <v>123638.012711025</v>
      </c>
    </row>
    <row r="27" customFormat="false" ht="15" hidden="false" customHeight="false" outlineLevel="0" collapsed="false">
      <c r="A27" s="10" t="s">
        <v>252</v>
      </c>
      <c r="B27" s="62" t="n">
        <f aca="false">IF((S_Tariff_Hi!$B$16+S_Tariff_Hi!$B$17)&gt;0,MIN($D$148:$W$148),"pas de dette")</f>
        <v>2.35863506240333</v>
      </c>
    </row>
    <row r="28" customFormat="false" ht="15" hidden="false" customHeight="false" outlineLevel="0" collapsed="false">
      <c r="A28" s="10" t="s">
        <v>254</v>
      </c>
      <c r="B28" s="62" t="n">
        <f aca="false">IF((S_Tariff_Hi!$B$16+S_Tariff_Hi!$B$17)&gt;0,AVERAGE($D$148:$W$148),"pas de dette")</f>
        <v>4.75599478150764</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0.532675540948788</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256998.539516259</v>
      </c>
    </row>
    <row r="36" customFormat="false" ht="15" hidden="false" customHeight="false" outlineLevel="0" collapsed="false">
      <c r="A36" s="10" t="s">
        <v>260</v>
      </c>
      <c r="B36" s="78" t="n">
        <f aca="false">IFERROR(MATCH(TRUE(),INDEX($C$150:$W$150&gt;=0,0),0)-1,"&gt; durée de vie")</f>
        <v>4</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2528709.7675024</v>
      </c>
      <c r="C77" s="83" t="n">
        <v>0</v>
      </c>
      <c r="D77" s="83" t="n">
        <f aca="false">D61*Seg1_Tariff*LevTariff*$B$5*D43</f>
        <v>41472</v>
      </c>
      <c r="E77" s="83" t="n">
        <f aca="false">E61*Seg1_Tariff*LevTariff*$B$5*E43</f>
        <v>62329.9968</v>
      </c>
      <c r="F77" s="83" t="n">
        <f aca="false">F61*Seg1_Tariff*LevTariff*$B$5*F43</f>
        <v>77795.1689472</v>
      </c>
      <c r="G77" s="83" t="n">
        <f aca="false">G61*Seg1_Tariff*LevTariff*$B$5*G43</f>
        <v>82532.8947360845</v>
      </c>
      <c r="H77" s="83" t="n">
        <f aca="false">H61*Seg1_Tariff*LevTariff*$B$5*H43</f>
        <v>87559.1480255121</v>
      </c>
      <c r="I77" s="83" t="n">
        <f aca="false">I61*Seg1_Tariff*LevTariff*$B$5*I43</f>
        <v>92891.5001402657</v>
      </c>
      <c r="J77" s="83" t="n">
        <f aca="false">J61*Seg1_Tariff*LevTariff*$B$5*J43</f>
        <v>98548.5924988079</v>
      </c>
      <c r="K77" s="83" t="n">
        <f aca="false">K61*Seg1_Tariff*LevTariff*$B$5*K43</f>
        <v>104550.201781985</v>
      </c>
      <c r="L77" s="83" t="n">
        <f aca="false">L61*Seg1_Tariff*LevTariff*$B$5*L43</f>
        <v>110917.309070508</v>
      </c>
      <c r="M77" s="83" t="n">
        <f aca="false">M61*Seg1_Tariff*LevTariff*$B$5*M43</f>
        <v>117672.173192902</v>
      </c>
      <c r="N77" s="83" t="n">
        <f aca="false">N61*Seg1_Tariff*LevTariff*$B$5*N43</f>
        <v>124838.40854035</v>
      </c>
      <c r="O77" s="83" t="n">
        <f aca="false">O61*Seg1_Tariff*LevTariff*$B$5*O43</f>
        <v>132441.067620457</v>
      </c>
      <c r="P77" s="83" t="n">
        <f aca="false">P61*Seg1_Tariff*LevTariff*$B$5*P43</f>
        <v>140506.728638543</v>
      </c>
      <c r="Q77" s="83" t="n">
        <f aca="false">Q61*Seg1_Tariff*LevTariff*$B$5*Q43</f>
        <v>149063.58841263</v>
      </c>
      <c r="R77" s="83" t="n">
        <f aca="false">R61*Seg1_Tariff*LevTariff*$B$5*R43</f>
        <v>158141.56094696</v>
      </c>
      <c r="S77" s="83" t="n">
        <f aca="false">S61*Seg1_Tariff*LevTariff*$B$5*S43</f>
        <v>167772.382008629</v>
      </c>
      <c r="T77" s="83" t="n">
        <f aca="false">T61*Seg1_Tariff*LevTariff*$B$5*T43</f>
        <v>177989.720072955</v>
      </c>
      <c r="U77" s="83" t="n">
        <f aca="false">U61*Seg1_Tariff*LevTariff*$B$5*U43</f>
        <v>188829.294025398</v>
      </c>
      <c r="V77" s="83" t="n">
        <f aca="false">V61*Seg1_Tariff*LevTariff*$B$5*V43</f>
        <v>200328.998031545</v>
      </c>
      <c r="W77" s="83" t="n">
        <f aca="false">W61*Seg1_Tariff*LevTariff*$B$5*W43</f>
        <v>212529.034011666</v>
      </c>
    </row>
    <row r="78" customFormat="false" ht="15" hidden="false" customHeight="false" outlineLevel="0" collapsed="false">
      <c r="A78" s="10" t="str">
        <f aca="false">"Recettes facturées - "&amp;Seg2_Name</f>
        <v>Recettes facturées - Usagers productifs (moulins, soudure, chambres froides)</v>
      </c>
      <c r="B78" s="61" t="n">
        <f aca="false">SUM(C78:W78)</f>
        <v>1719383.56286442</v>
      </c>
      <c r="C78" s="83" t="n">
        <v>0</v>
      </c>
      <c r="D78" s="83" t="n">
        <f aca="false">D62*Seg2_Tariff*LevTariff*$B$5*D43</f>
        <v>28198.67904</v>
      </c>
      <c r="E78" s="83" t="n">
        <f aca="false">E62*Seg2_Tariff*LevTariff*$B$5*E43</f>
        <v>42380.969674176</v>
      </c>
      <c r="F78" s="83" t="n">
        <f aca="false">F62*Seg2_Tariff*LevTariff*$B$5*F43</f>
        <v>52896.4361498039</v>
      </c>
      <c r="G78" s="83" t="n">
        <f aca="false">G62*Seg2_Tariff*LevTariff*$B$5*G43</f>
        <v>56117.8291113269</v>
      </c>
      <c r="H78" s="83" t="n">
        <f aca="false">H62*Seg2_Tariff*LevTariff*$B$5*H43</f>
        <v>59535.4049042068</v>
      </c>
      <c r="I78" s="83" t="n">
        <f aca="false">I62*Seg2_Tariff*LevTariff*$B$5*I43</f>
        <v>63161.111062873</v>
      </c>
      <c r="J78" s="83" t="n">
        <f aca="false">J62*Seg2_Tariff*LevTariff*$B$5*J43</f>
        <v>67007.6227266019</v>
      </c>
      <c r="K78" s="83" t="n">
        <f aca="false">K62*Seg2_Tariff*LevTariff*$B$5*K43</f>
        <v>71088.386950652</v>
      </c>
      <c r="L78" s="83" t="n">
        <f aca="false">L62*Seg2_Tariff*LevTariff*$B$5*L43</f>
        <v>75417.6697159467</v>
      </c>
      <c r="M78" s="83" t="n">
        <f aca="false">M62*Seg2_Tariff*LevTariff*$B$5*M43</f>
        <v>80010.6058016479</v>
      </c>
      <c r="N78" s="83" t="n">
        <f aca="false">N62*Seg2_Tariff*LevTariff*$B$5*N43</f>
        <v>84883.2516949682</v>
      </c>
      <c r="O78" s="83" t="n">
        <f aca="false">O62*Seg2_Tariff*LevTariff*$B$5*O43</f>
        <v>90052.6417231918</v>
      </c>
      <c r="P78" s="83" t="n">
        <f aca="false">P62*Seg2_Tariff*LevTariff*$B$5*P43</f>
        <v>95536.8476041342</v>
      </c>
      <c r="Q78" s="83" t="n">
        <f aca="false">Q62*Seg2_Tariff*LevTariff*$B$5*Q43</f>
        <v>101355.041623226</v>
      </c>
      <c r="R78" s="83" t="n">
        <f aca="false">R62*Seg2_Tariff*LevTariff*$B$5*R43</f>
        <v>107527.56365808</v>
      </c>
      <c r="S78" s="83" t="n">
        <f aca="false">S62*Seg2_Tariff*LevTariff*$B$5*S43</f>
        <v>114075.992284858</v>
      </c>
      <c r="T78" s="83" t="n">
        <f aca="false">T62*Seg2_Tariff*LevTariff*$B$5*T43</f>
        <v>121023.220215005</v>
      </c>
      <c r="U78" s="83" t="n">
        <f aca="false">U62*Seg2_Tariff*LevTariff*$B$5*U43</f>
        <v>128393.534326099</v>
      </c>
      <c r="V78" s="83" t="n">
        <f aca="false">V62*Seg2_Tariff*LevTariff*$B$5*V43</f>
        <v>136212.700566559</v>
      </c>
      <c r="W78" s="83" t="n">
        <f aca="false">W62*Seg2_Tariff*LevTariff*$B$5*W43</f>
        <v>144508.054031062</v>
      </c>
    </row>
    <row r="79" customFormat="false" ht="15" hidden="false" customHeight="false" outlineLevel="0" collapsed="false">
      <c r="A79" s="10" t="str">
        <f aca="false">"Recettes facturées - "&amp;Seg3_Name</f>
        <v>Recettes facturées - Commerces (boutiques, bars, kiosques)</v>
      </c>
      <c r="B79" s="61" t="n">
        <f aca="false">SUM(C79:W79)</f>
        <v>1053629.06979267</v>
      </c>
      <c r="C79" s="83" t="n">
        <v>0</v>
      </c>
      <c r="D79" s="83" t="n">
        <f aca="false">D63*Seg3_Tariff*LevTariff*$B$5*D43</f>
        <v>17280</v>
      </c>
      <c r="E79" s="83" t="n">
        <f aca="false">E63*Seg3_Tariff*LevTariff*$B$5*E43</f>
        <v>25970.832</v>
      </c>
      <c r="F79" s="83" t="n">
        <f aca="false">F63*Seg3_Tariff*LevTariff*$B$5*F43</f>
        <v>32414.653728</v>
      </c>
      <c r="G79" s="83" t="n">
        <f aca="false">G63*Seg3_Tariff*LevTariff*$B$5*G43</f>
        <v>34388.7061400352</v>
      </c>
      <c r="H79" s="83" t="n">
        <f aca="false">H63*Seg3_Tariff*LevTariff*$B$5*H43</f>
        <v>36482.9783439634</v>
      </c>
      <c r="I79" s="83" t="n">
        <f aca="false">I63*Seg3_Tariff*LevTariff*$B$5*I43</f>
        <v>38704.7917251107</v>
      </c>
      <c r="J79" s="83" t="n">
        <f aca="false">J63*Seg3_Tariff*LevTariff*$B$5*J43</f>
        <v>41061.91354117</v>
      </c>
      <c r="K79" s="83" t="n">
        <f aca="false">K63*Seg3_Tariff*LevTariff*$B$5*K43</f>
        <v>43562.5840758272</v>
      </c>
      <c r="L79" s="83" t="n">
        <f aca="false">L63*Seg3_Tariff*LevTariff*$B$5*L43</f>
        <v>46215.5454460451</v>
      </c>
      <c r="M79" s="83" t="n">
        <f aca="false">M63*Seg3_Tariff*LevTariff*$B$5*M43</f>
        <v>49030.0721637093</v>
      </c>
      <c r="N79" s="83" t="n">
        <f aca="false">N63*Seg3_Tariff*LevTariff*$B$5*N43</f>
        <v>52016.0035584791</v>
      </c>
      <c r="O79" s="83" t="n">
        <f aca="false">O63*Seg3_Tariff*LevTariff*$B$5*O43</f>
        <v>55183.7781751905</v>
      </c>
      <c r="P79" s="83" t="n">
        <f aca="false">P63*Seg3_Tariff*LevTariff*$B$5*P43</f>
        <v>58544.4702660596</v>
      </c>
      <c r="Q79" s="83" t="n">
        <f aca="false">Q63*Seg3_Tariff*LevTariff*$B$5*Q43</f>
        <v>62109.8285052627</v>
      </c>
      <c r="R79" s="83" t="n">
        <f aca="false">R63*Seg3_Tariff*LevTariff*$B$5*R43</f>
        <v>65892.3170612332</v>
      </c>
      <c r="S79" s="83" t="n">
        <f aca="false">S63*Seg3_Tariff*LevTariff*$B$5*S43</f>
        <v>69905.1591702623</v>
      </c>
      <c r="T79" s="83" t="n">
        <f aca="false">T63*Seg3_Tariff*LevTariff*$B$5*T43</f>
        <v>74162.3833637313</v>
      </c>
      <c r="U79" s="83" t="n">
        <f aca="false">U63*Seg3_Tariff*LevTariff*$B$5*U43</f>
        <v>78678.8725105825</v>
      </c>
      <c r="V79" s="83" t="n">
        <f aca="false">V63*Seg3_Tariff*LevTariff*$B$5*V43</f>
        <v>83470.415846477</v>
      </c>
      <c r="W79" s="83" t="n">
        <f aca="false">W63*Seg3_Tariff*LevTariff*$B$5*W43</f>
        <v>88553.7641715274</v>
      </c>
    </row>
    <row r="80" customFormat="false" ht="15" hidden="false" customHeight="false" outlineLevel="0" collapsed="false">
      <c r="A80" s="10" t="str">
        <f aca="false">"Recettes facturées - "&amp;Seg4_Name</f>
        <v>Recettes facturées - Institutions (centre de santé, école, eau)</v>
      </c>
      <c r="B80" s="61" t="n">
        <f aca="false">SUM(C80:W80)</f>
        <v>553155.26164115</v>
      </c>
      <c r="C80" s="83" t="n">
        <v>0</v>
      </c>
      <c r="D80" s="83" t="n">
        <f aca="false">D64*Seg4_Tariff*LevTariff*$B$5*D43</f>
        <v>9072</v>
      </c>
      <c r="E80" s="83" t="n">
        <f aca="false">E64*Seg4_Tariff*LevTariff*$B$5*E43</f>
        <v>13634.6868</v>
      </c>
      <c r="F80" s="83" t="n">
        <f aca="false">F64*Seg4_Tariff*LevTariff*$B$5*F43</f>
        <v>17017.6932072</v>
      </c>
      <c r="G80" s="83" t="n">
        <f aca="false">G64*Seg4_Tariff*LevTariff*$B$5*G43</f>
        <v>18054.0707235185</v>
      </c>
      <c r="H80" s="83" t="n">
        <f aca="false">H64*Seg4_Tariff*LevTariff*$B$5*H43</f>
        <v>19153.5636305808</v>
      </c>
      <c r="I80" s="83" t="n">
        <f aca="false">I64*Seg4_Tariff*LevTariff*$B$5*I43</f>
        <v>20320.0156556831</v>
      </c>
      <c r="J80" s="83" t="n">
        <f aca="false">J64*Seg4_Tariff*LevTariff*$B$5*J43</f>
        <v>21557.5046091142</v>
      </c>
      <c r="K80" s="83" t="n">
        <f aca="false">K64*Seg4_Tariff*LevTariff*$B$5*K43</f>
        <v>22870.3566398093</v>
      </c>
      <c r="L80" s="83" t="n">
        <f aca="false">L64*Seg4_Tariff*LevTariff*$B$5*L43</f>
        <v>24263.1613591737</v>
      </c>
      <c r="M80" s="83" t="n">
        <f aca="false">M64*Seg4_Tariff*LevTariff*$B$5*M43</f>
        <v>25740.7878859474</v>
      </c>
      <c r="N80" s="83" t="n">
        <f aca="false">N64*Seg4_Tariff*LevTariff*$B$5*N43</f>
        <v>27308.4018682016</v>
      </c>
      <c r="O80" s="83" t="n">
        <f aca="false">O64*Seg4_Tariff*LevTariff*$B$5*O43</f>
        <v>28971.483541975</v>
      </c>
      <c r="P80" s="83" t="n">
        <f aca="false">P64*Seg4_Tariff*LevTariff*$B$5*P43</f>
        <v>30735.8468896813</v>
      </c>
      <c r="Q80" s="83" t="n">
        <f aca="false">Q64*Seg4_Tariff*LevTariff*$B$5*Q43</f>
        <v>32607.6599652629</v>
      </c>
      <c r="R80" s="83" t="n">
        <f aca="false">R64*Seg4_Tariff*LevTariff*$B$5*R43</f>
        <v>34593.4664571474</v>
      </c>
      <c r="S80" s="83" t="n">
        <f aca="false">S64*Seg4_Tariff*LevTariff*$B$5*S43</f>
        <v>36700.2085643877</v>
      </c>
      <c r="T80" s="83" t="n">
        <f aca="false">T64*Seg4_Tariff*LevTariff*$B$5*T43</f>
        <v>38935.2512659589</v>
      </c>
      <c r="U80" s="83" t="n">
        <f aca="false">U64*Seg4_Tariff*LevTariff*$B$5*U43</f>
        <v>41306.4080680558</v>
      </c>
      <c r="V80" s="83" t="n">
        <f aca="false">V64*Seg4_Tariff*LevTariff*$B$5*V43</f>
        <v>43821.9683194004</v>
      </c>
      <c r="W80" s="83" t="n">
        <f aca="false">W64*Seg4_Tariff*LevTariff*$B$5*W43</f>
        <v>46490.7261900519</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5854877.66180063</v>
      </c>
      <c r="C82" s="27" t="n">
        <f aca="false">C77+C78+C79+C80+C81</f>
        <v>0</v>
      </c>
      <c r="D82" s="27" t="n">
        <f aca="false">D77+D78+D79+D80+D81</f>
        <v>96022.67904</v>
      </c>
      <c r="E82" s="27" t="n">
        <f aca="false">E77+E78+E79+E80+E81</f>
        <v>144316.485274176</v>
      </c>
      <c r="F82" s="27" t="n">
        <f aca="false">F77+F78+F79+F80+F81</f>
        <v>180123.952032204</v>
      </c>
      <c r="G82" s="27" t="n">
        <f aca="false">G77+G78+G79+G80+G81</f>
        <v>191093.500710965</v>
      </c>
      <c r="H82" s="27" t="n">
        <f aca="false">H77+H78+H79+H80+H81</f>
        <v>202731.094904263</v>
      </c>
      <c r="I82" s="27" t="n">
        <f aca="false">I77+I78+I79+I80+I81</f>
        <v>215077.418583933</v>
      </c>
      <c r="J82" s="27" t="n">
        <f aca="false">J77+J78+J79+J80+J81</f>
        <v>228175.633375694</v>
      </c>
      <c r="K82" s="27" t="n">
        <f aca="false">K77+K78+K79+K80+K81</f>
        <v>242071.529448274</v>
      </c>
      <c r="L82" s="27" t="n">
        <f aca="false">L77+L78+L79+L80+L81</f>
        <v>256813.685591674</v>
      </c>
      <c r="M82" s="27" t="n">
        <f aca="false">M77+M78+M79+M80+M81</f>
        <v>272453.639044207</v>
      </c>
      <c r="N82" s="27" t="n">
        <f aca="false">N77+N78+N79+N80+N81</f>
        <v>289046.065661999</v>
      </c>
      <c r="O82" s="27" t="n">
        <f aca="false">O77+O78+O79+O80+O81</f>
        <v>306648.971060815</v>
      </c>
      <c r="P82" s="27" t="n">
        <f aca="false">P77+P78+P79+P80+P81</f>
        <v>325323.893398418</v>
      </c>
      <c r="Q82" s="27" t="n">
        <f aca="false">Q77+Q78+Q79+Q80+Q81</f>
        <v>345136.118506382</v>
      </c>
      <c r="R82" s="27" t="n">
        <f aca="false">R77+R78+R79+R80+R81</f>
        <v>366154.908123421</v>
      </c>
      <c r="S82" s="27" t="n">
        <f aca="false">S77+S78+S79+S80+S81</f>
        <v>388453.742028137</v>
      </c>
      <c r="T82" s="27" t="n">
        <f aca="false">T77+T78+T79+T80+T81</f>
        <v>412110.574917651</v>
      </c>
      <c r="U82" s="27" t="n">
        <f aca="false">U77+U78+U79+U80+U81</f>
        <v>437208.108930135</v>
      </c>
      <c r="V82" s="27" t="n">
        <f aca="false">V77+V78+V79+V80+V81</f>
        <v>463834.082763981</v>
      </c>
      <c r="W82" s="27" t="n">
        <f aca="false">W77+W78+W79+W80+W81</f>
        <v>492081.578404307</v>
      </c>
    </row>
    <row r="83" customFormat="false" ht="15" hidden="false" customHeight="false" outlineLevel="0" collapsed="false">
      <c r="A83" s="10" t="s">
        <v>426</v>
      </c>
      <c r="B83" s="61" t="n">
        <f aca="false">SUM(C83:W83)</f>
        <v>5386487.44885658</v>
      </c>
      <c r="C83" s="83" t="n">
        <v>0</v>
      </c>
      <c r="D83" s="83" t="n">
        <f aca="false">D82*MIN(1,Collection*LevColl*$B$9)</f>
        <v>88340.8647168</v>
      </c>
      <c r="E83" s="83" t="n">
        <f aca="false">E82*MIN(1,Collection*LevColl*$B$9)</f>
        <v>132771.166452242</v>
      </c>
      <c r="F83" s="83" t="n">
        <f aca="false">F82*MIN(1,Collection*LevColl*$B$9)</f>
        <v>165714.035869628</v>
      </c>
      <c r="G83" s="83" t="n">
        <f aca="false">G82*MIN(1,Collection*LevColl*$B$9)</f>
        <v>175806.020654088</v>
      </c>
      <c r="H83" s="83" t="n">
        <f aca="false">H82*MIN(1,Collection*LevColl*$B$9)</f>
        <v>186512.607311922</v>
      </c>
      <c r="I83" s="83" t="n">
        <f aca="false">I82*MIN(1,Collection*LevColl*$B$9)</f>
        <v>197871.225097218</v>
      </c>
      <c r="J83" s="83" t="n">
        <f aca="false">J82*MIN(1,Collection*LevColl*$B$9)</f>
        <v>209921.582705639</v>
      </c>
      <c r="K83" s="83" t="n">
        <f aca="false">K82*MIN(1,Collection*LevColl*$B$9)</f>
        <v>222705.807092412</v>
      </c>
      <c r="L83" s="83" t="n">
        <f aca="false">L82*MIN(1,Collection*LevColl*$B$9)</f>
        <v>236268.59074434</v>
      </c>
      <c r="M83" s="83" t="n">
        <f aca="false">M82*MIN(1,Collection*LevColl*$B$9)</f>
        <v>250657.34792067</v>
      </c>
      <c r="N83" s="83" t="n">
        <f aca="false">N82*MIN(1,Collection*LevColl*$B$9)</f>
        <v>265922.380409039</v>
      </c>
      <c r="O83" s="83" t="n">
        <f aca="false">O82*MIN(1,Collection*LevColl*$B$9)</f>
        <v>282117.053375949</v>
      </c>
      <c r="P83" s="83" t="n">
        <f aca="false">P82*MIN(1,Collection*LevColl*$B$9)</f>
        <v>299297.981926545</v>
      </c>
      <c r="Q83" s="83" t="n">
        <f aca="false">Q82*MIN(1,Collection*LevColl*$B$9)</f>
        <v>317525.229025871</v>
      </c>
      <c r="R83" s="83" t="n">
        <f aca="false">R82*MIN(1,Collection*LevColl*$B$9)</f>
        <v>336862.515473547</v>
      </c>
      <c r="S83" s="83" t="n">
        <f aca="false">S82*MIN(1,Collection*LevColl*$B$9)</f>
        <v>357377.442665886</v>
      </c>
      <c r="T83" s="83" t="n">
        <f aca="false">T82*MIN(1,Collection*LevColl*$B$9)</f>
        <v>379141.728924239</v>
      </c>
      <c r="U83" s="83" t="n">
        <f aca="false">U82*MIN(1,Collection*LevColl*$B$9)</f>
        <v>402231.460215725</v>
      </c>
      <c r="V83" s="83" t="n">
        <f aca="false">V82*MIN(1,Collection*LevColl*$B$9)</f>
        <v>426727.356142862</v>
      </c>
      <c r="W83" s="83" t="n">
        <f aca="false">W82*MIN(1,Collection*LevColl*$B$9)</f>
        <v>452715.052131963</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5397987.44885658</v>
      </c>
      <c r="C85" s="27" t="n">
        <f aca="false">C83+C84</f>
        <v>0</v>
      </c>
      <c r="D85" s="27" t="n">
        <f aca="false">D83+D84</f>
        <v>95240.8647168</v>
      </c>
      <c r="E85" s="27" t="n">
        <f aca="false">E83+E84</f>
        <v>135646.166452242</v>
      </c>
      <c r="F85" s="27" t="n">
        <f aca="false">F83+F84</f>
        <v>167439.035869628</v>
      </c>
      <c r="G85" s="27" t="n">
        <f aca="false">G83+G84</f>
        <v>175806.020654088</v>
      </c>
      <c r="H85" s="27" t="n">
        <f aca="false">H83+H84</f>
        <v>186512.607311922</v>
      </c>
      <c r="I85" s="27" t="n">
        <f aca="false">I83+I84</f>
        <v>197871.225097218</v>
      </c>
      <c r="J85" s="27" t="n">
        <f aca="false">J83+J84</f>
        <v>209921.582705639</v>
      </c>
      <c r="K85" s="27" t="n">
        <f aca="false">K83+K84</f>
        <v>222705.807092412</v>
      </c>
      <c r="L85" s="27" t="n">
        <f aca="false">L83+L84</f>
        <v>236268.59074434</v>
      </c>
      <c r="M85" s="27" t="n">
        <f aca="false">M83+M84</f>
        <v>250657.34792067</v>
      </c>
      <c r="N85" s="27" t="n">
        <f aca="false">N83+N84</f>
        <v>265922.380409039</v>
      </c>
      <c r="O85" s="27" t="n">
        <f aca="false">O83+O84</f>
        <v>282117.053375949</v>
      </c>
      <c r="P85" s="27" t="n">
        <f aca="false">P83+P84</f>
        <v>299297.981926545</v>
      </c>
      <c r="Q85" s="27" t="n">
        <f aca="false">Q83+Q84</f>
        <v>317525.229025871</v>
      </c>
      <c r="R85" s="27" t="n">
        <f aca="false">R83+R84</f>
        <v>336862.515473547</v>
      </c>
      <c r="S85" s="27" t="n">
        <f aca="false">S83+S84</f>
        <v>357377.442665886</v>
      </c>
      <c r="T85" s="27" t="n">
        <f aca="false">T83+T84</f>
        <v>379141.728924239</v>
      </c>
      <c r="U85" s="27" t="n">
        <f aca="false">U83+U84</f>
        <v>402231.460215725</v>
      </c>
      <c r="V85" s="27" t="n">
        <f aca="false">V83+V84</f>
        <v>426727.356142862</v>
      </c>
      <c r="W85" s="27" t="n">
        <f aca="false">W83+W84</f>
        <v>452715.052131963</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S_Tariff_Hi!$B$15*O_FixedPct*D44*LevOpex*$B$8*D41</f>
        <v>25065.4403293775</v>
      </c>
      <c r="E88" s="83" t="n">
        <f aca="false">S_Tariff_Hi!$B$15*O_FixedPct*E44*LevOpex*$B$8*E41</f>
        <v>25817.4035392588</v>
      </c>
      <c r="F88" s="83" t="n">
        <f aca="false">S_Tariff_Hi!$B$15*O_FixedPct*F44*LevOpex*$B$8*F41</f>
        <v>26591.9256454366</v>
      </c>
      <c r="G88" s="83" t="n">
        <f aca="false">S_Tariff_Hi!$B$15*O_FixedPct*G44*LevOpex*$B$8*G41</f>
        <v>27389.6834147997</v>
      </c>
      <c r="H88" s="83" t="n">
        <f aca="false">S_Tariff_Hi!$B$15*O_FixedPct*H44*LevOpex*$B$8*H41</f>
        <v>28211.3739172437</v>
      </c>
      <c r="I88" s="83" t="n">
        <f aca="false">S_Tariff_Hi!$B$15*O_FixedPct*I44*LevOpex*$B$8*I41</f>
        <v>29057.715134761</v>
      </c>
      <c r="J88" s="83" t="n">
        <f aca="false">S_Tariff_Hi!$B$15*O_FixedPct*J44*LevOpex*$B$8*J41</f>
        <v>29929.4465888038</v>
      </c>
      <c r="K88" s="83" t="n">
        <f aca="false">S_Tariff_Hi!$B$15*O_FixedPct*K44*LevOpex*$B$8*K41</f>
        <v>30827.329986468</v>
      </c>
      <c r="L88" s="83" t="n">
        <f aca="false">S_Tariff_Hi!$B$15*O_FixedPct*L44*LevOpex*$B$8*L41</f>
        <v>31752.149886062</v>
      </c>
      <c r="M88" s="83" t="n">
        <f aca="false">S_Tariff_Hi!$B$15*O_FixedPct*M44*LevOpex*$B$8*M41</f>
        <v>32704.7143826439</v>
      </c>
      <c r="N88" s="83" t="n">
        <f aca="false">S_Tariff_Hi!$B$15*O_FixedPct*N44*LevOpex*$B$8*N41</f>
        <v>33685.8558141232</v>
      </c>
      <c r="O88" s="83" t="n">
        <f aca="false">S_Tariff_Hi!$B$15*O_FixedPct*O44*LevOpex*$B$8*O41</f>
        <v>34696.4314885469</v>
      </c>
      <c r="P88" s="83" t="n">
        <f aca="false">S_Tariff_Hi!$B$15*O_FixedPct*P44*LevOpex*$B$8*P41</f>
        <v>35737.3244332033</v>
      </c>
      <c r="Q88" s="83" t="n">
        <f aca="false">S_Tariff_Hi!$B$15*O_FixedPct*Q44*LevOpex*$B$8*Q41</f>
        <v>36809.4441661994</v>
      </c>
      <c r="R88" s="83" t="n">
        <f aca="false">S_Tariff_Hi!$B$15*O_FixedPct*R44*LevOpex*$B$8*R41</f>
        <v>37913.7274911854</v>
      </c>
      <c r="S88" s="83" t="n">
        <f aca="false">S_Tariff_Hi!$B$15*O_FixedPct*S44*LevOpex*$B$8*S41</f>
        <v>39051.1393159209</v>
      </c>
      <c r="T88" s="83" t="n">
        <f aca="false">S_Tariff_Hi!$B$15*O_FixedPct*T44*LevOpex*$B$8*T41</f>
        <v>40222.6734953985</v>
      </c>
      <c r="U88" s="83" t="n">
        <f aca="false">S_Tariff_Hi!$B$15*O_FixedPct*U44*LevOpex*$B$8*U41</f>
        <v>41429.3537002605</v>
      </c>
      <c r="V88" s="83" t="n">
        <f aca="false">S_Tariff_Hi!$B$15*O_FixedPct*V44*LevOpex*$B$8*V41</f>
        <v>42672.2343112683</v>
      </c>
      <c r="W88" s="83" t="n">
        <f aca="false">S_Tariff_Hi!$B$15*O_FixedPct*W44*LevOpex*$B$8*W41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S_Tariff_Hi!$B$14*O_InsPct*D44*LevOpex*$B$8*D41</f>
        <v>5765.05127575683</v>
      </c>
      <c r="E90" s="83" t="n">
        <f aca="false">S_Tariff_Hi!$B$14*O_InsPct*E44*LevOpex*$B$8*E41</f>
        <v>5938.00281402953</v>
      </c>
      <c r="F90" s="83" t="n">
        <f aca="false">S_Tariff_Hi!$B$14*O_InsPct*F44*LevOpex*$B$8*F41</f>
        <v>6116.14289845042</v>
      </c>
      <c r="G90" s="83" t="n">
        <f aca="false">S_Tariff_Hi!$B$14*O_InsPct*G44*LevOpex*$B$8*G41</f>
        <v>6299.62718540393</v>
      </c>
      <c r="H90" s="83" t="n">
        <f aca="false">S_Tariff_Hi!$B$14*O_InsPct*H44*LevOpex*$B$8*H41</f>
        <v>6488.61600096605</v>
      </c>
      <c r="I90" s="83" t="n">
        <f aca="false">S_Tariff_Hi!$B$14*O_InsPct*I44*LevOpex*$B$8*I41</f>
        <v>6683.27448099503</v>
      </c>
      <c r="J90" s="83" t="n">
        <f aca="false">S_Tariff_Hi!$B$14*O_InsPct*J44*LevOpex*$B$8*J41</f>
        <v>6883.77271542488</v>
      </c>
      <c r="K90" s="83" t="n">
        <f aca="false">S_Tariff_Hi!$B$14*O_InsPct*K44*LevOpex*$B$8*K41</f>
        <v>7090.28589688763</v>
      </c>
      <c r="L90" s="83" t="n">
        <f aca="false">S_Tariff_Hi!$B$14*O_InsPct*L44*LevOpex*$B$8*L41</f>
        <v>7302.99447379426</v>
      </c>
      <c r="M90" s="83" t="n">
        <f aca="false">S_Tariff_Hi!$B$14*O_InsPct*M44*LevOpex*$B$8*M41</f>
        <v>7522.08430800809</v>
      </c>
      <c r="N90" s="83" t="n">
        <f aca="false">S_Tariff_Hi!$B$14*O_InsPct*N44*LevOpex*$B$8*N41</f>
        <v>7747.74683724833</v>
      </c>
      <c r="O90" s="83" t="n">
        <f aca="false">S_Tariff_Hi!$B$14*O_InsPct*O44*LevOpex*$B$8*O41</f>
        <v>7980.17924236578</v>
      </c>
      <c r="P90" s="83" t="n">
        <f aca="false">S_Tariff_Hi!$B$14*O_InsPct*P44*LevOpex*$B$8*P41</f>
        <v>8219.58461963675</v>
      </c>
      <c r="Q90" s="83" t="n">
        <f aca="false">S_Tariff_Hi!$B$14*O_InsPct*Q44*LevOpex*$B$8*Q41</f>
        <v>8466.17215822586</v>
      </c>
      <c r="R90" s="83" t="n">
        <f aca="false">S_Tariff_Hi!$B$14*O_InsPct*R44*LevOpex*$B$8*R41</f>
        <v>8720.15732297263</v>
      </c>
      <c r="S90" s="83" t="n">
        <f aca="false">S_Tariff_Hi!$B$14*O_InsPct*S44*LevOpex*$B$8*S41</f>
        <v>8981.76204266181</v>
      </c>
      <c r="T90" s="83" t="n">
        <f aca="false">S_Tariff_Hi!$B$14*O_InsPct*T44*LevOpex*$B$8*T41</f>
        <v>9251.21490394167</v>
      </c>
      <c r="U90" s="83" t="n">
        <f aca="false">S_Tariff_Hi!$B$14*O_InsPct*U44*LevOpex*$B$8*U41</f>
        <v>9528.75135105992</v>
      </c>
      <c r="V90" s="83" t="n">
        <f aca="false">S_Tariff_Hi!$B$14*O_InsPct*V44*LevOpex*$B$8*V41</f>
        <v>9814.61389159171</v>
      </c>
      <c r="W90" s="83" t="n">
        <f aca="false">S_Tariff_Hi!$B$14*O_InsPct*W44*LevOpex*$B$8*W41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161939.623465697</v>
      </c>
      <c r="C93" s="83" t="n">
        <v>0</v>
      </c>
      <c r="D93" s="83" t="n">
        <f aca="false">D85*O_CustPct</f>
        <v>2857.225941504</v>
      </c>
      <c r="E93" s="83" t="n">
        <f aca="false">E85*O_CustPct</f>
        <v>4069.38499356726</v>
      </c>
      <c r="F93" s="83" t="n">
        <f aca="false">F85*O_CustPct</f>
        <v>5023.17107608883</v>
      </c>
      <c r="G93" s="83" t="n">
        <f aca="false">G85*O_CustPct</f>
        <v>5274.18061962264</v>
      </c>
      <c r="H93" s="83" t="n">
        <f aca="false">H85*O_CustPct</f>
        <v>5595.37821935766</v>
      </c>
      <c r="I93" s="83" t="n">
        <f aca="false">I85*O_CustPct</f>
        <v>5936.13675291654</v>
      </c>
      <c r="J93" s="83" t="n">
        <f aca="false">J85*O_CustPct</f>
        <v>6297.64748116916</v>
      </c>
      <c r="K93" s="83" t="n">
        <f aca="false">K85*O_CustPct</f>
        <v>6681.17421277236</v>
      </c>
      <c r="L93" s="83" t="n">
        <f aca="false">L85*O_CustPct</f>
        <v>7088.0577223302</v>
      </c>
      <c r="M93" s="83" t="n">
        <f aca="false">M85*O_CustPct</f>
        <v>7519.7204376201</v>
      </c>
      <c r="N93" s="83" t="n">
        <f aca="false">N85*O_CustPct</f>
        <v>7977.67141227117</v>
      </c>
      <c r="O93" s="83" t="n">
        <f aca="false">O85*O_CustPct</f>
        <v>8463.51160127848</v>
      </c>
      <c r="P93" s="83" t="n">
        <f aca="false">P85*O_CustPct</f>
        <v>8978.93945779634</v>
      </c>
      <c r="Q93" s="83" t="n">
        <f aca="false">Q85*O_CustPct</f>
        <v>9525.75687077614</v>
      </c>
      <c r="R93" s="83" t="n">
        <f aca="false">R85*O_CustPct</f>
        <v>10105.8754642064</v>
      </c>
      <c r="S93" s="83" t="n">
        <f aca="false">S85*O_CustPct</f>
        <v>10721.3232799766</v>
      </c>
      <c r="T93" s="83" t="n">
        <f aca="false">T85*O_CustPct</f>
        <v>11374.2518677272</v>
      </c>
      <c r="U93" s="83" t="n">
        <f aca="false">U85*O_CustPct</f>
        <v>12066.9438064717</v>
      </c>
      <c r="V93" s="83" t="n">
        <f aca="false">V85*O_CustPct</f>
        <v>12801.8206842859</v>
      </c>
      <c r="W93" s="83" t="n">
        <f aca="false">W85*O_CustPct</f>
        <v>13581.4515639589</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3347296.57585179</v>
      </c>
      <c r="C96" s="27" t="n">
        <f aca="false">C88+C89+C90+C91+C92+C93+C94+C95</f>
        <v>0</v>
      </c>
      <c r="D96" s="27" t="n">
        <f aca="false">D88+D89+D90+D91+D92+D93+D94+D95</f>
        <v>69004.7716557292</v>
      </c>
      <c r="E96" s="27" t="n">
        <f aca="false">E88+E89+E90+E91+E92+E93+E94+E95</f>
        <v>77080.7218446629</v>
      </c>
      <c r="F96" s="27" t="n">
        <f aca="false">F88+F89+F90+F91+F92+F93+F94+F95</f>
        <v>83606.9651083567</v>
      </c>
      <c r="G96" s="27" t="n">
        <f aca="false">G88+G89+G90+G91+G92+G93+G94+G95</f>
        <v>86813.5031404495</v>
      </c>
      <c r="H96" s="27" t="n">
        <f aca="false">H88+H89+H90+H91+H92+H93+H94+H95</f>
        <v>90215.3141766566</v>
      </c>
      <c r="I96" s="27" t="n">
        <f aca="false">I88+I89+I90+I91+I92+I93+I94+I95</f>
        <v>93767.7415658173</v>
      </c>
      <c r="J96" s="27" t="n">
        <f aca="false">J88+J89+J90+J91+J92+J93+J94+J95</f>
        <v>99356.4079012682</v>
      </c>
      <c r="K96" s="27" t="n">
        <f aca="false">K88+K89+K90+K91+K92+K93+K94+K95</f>
        <v>111233.81651515</v>
      </c>
      <c r="L96" s="27" t="n">
        <f aca="false">L88+L89+L90+L91+L92+L93+L94+L95</f>
        <v>123968.741747969</v>
      </c>
      <c r="M96" s="27" t="n">
        <f aca="false">M88+M89+M90+M91+M92+M93+M94+M95</f>
        <v>137616.422535529</v>
      </c>
      <c r="N96" s="27" t="n">
        <f aca="false">N88+N89+N90+N91+N92+N93+N94+N95</f>
        <v>152235.527268947</v>
      </c>
      <c r="O96" s="27" t="n">
        <f aca="false">O88+O89+O90+O91+O92+O93+O94+O95</f>
        <v>167888.36398734</v>
      </c>
      <c r="P96" s="27" t="n">
        <f aca="false">P88+P89+P90+P91+P92+P93+P94+P95</f>
        <v>184641.103395926</v>
      </c>
      <c r="Q96" s="27" t="n">
        <f aca="false">Q88+Q89+Q90+Q91+Q92+Q93+Q94+Q95</f>
        <v>202564.015490958</v>
      </c>
      <c r="R96" s="27" t="n">
        <f aca="false">R88+R89+R90+R91+R92+R93+R94+R95</f>
        <v>221731.720620509</v>
      </c>
      <c r="S96" s="27" t="n">
        <f aca="false">S88+S89+S90+S91+S92+S93+S94+S95</f>
        <v>242223.455860599</v>
      </c>
      <c r="T96" s="27" t="n">
        <f aca="false">T88+T89+T90+T91+T92+T93+T94+T95</f>
        <v>264123.357639743</v>
      </c>
      <c r="U96" s="27" t="n">
        <f aca="false">U88+U89+U90+U91+U92+U93+U94+U95</f>
        <v>287520.761601792</v>
      </c>
      <c r="V96" s="27" t="n">
        <f aca="false">V88+V89+V90+V91+V92+V93+V94+V95</f>
        <v>312510.520757242</v>
      </c>
      <c r="W96" s="27" t="n">
        <f aca="false">W88+W89+W90+W91+W92+W93+W94+W95</f>
        <v>339193.343037144</v>
      </c>
    </row>
    <row r="98" customFormat="false" ht="15" hidden="false" customHeight="false" outlineLevel="0" collapsed="false">
      <c r="A98" s="15" t="s">
        <v>436</v>
      </c>
      <c r="B98" s="61" t="n">
        <f aca="false">SUM(C98:W98)</f>
        <v>2050690.8730048</v>
      </c>
      <c r="C98" s="27" t="n">
        <f aca="false">C85-C96</f>
        <v>0</v>
      </c>
      <c r="D98" s="27" t="n">
        <f aca="false">D85-D96</f>
        <v>26236.0930610708</v>
      </c>
      <c r="E98" s="27" t="n">
        <f aca="false">E85-E96</f>
        <v>58565.444607579</v>
      </c>
      <c r="F98" s="27" t="n">
        <f aca="false">F85-F96</f>
        <v>83832.0707612709</v>
      </c>
      <c r="G98" s="27" t="n">
        <f aca="false">G85-G96</f>
        <v>88992.5175136384</v>
      </c>
      <c r="H98" s="27" t="n">
        <f aca="false">H85-H96</f>
        <v>96297.2931352653</v>
      </c>
      <c r="I98" s="27" t="n">
        <f aca="false">I85-I96</f>
        <v>104103.483531401</v>
      </c>
      <c r="J98" s="27" t="n">
        <f aca="false">J85-J96</f>
        <v>110565.17480437</v>
      </c>
      <c r="K98" s="27" t="n">
        <f aca="false">K85-K96</f>
        <v>111471.990577262</v>
      </c>
      <c r="L98" s="27" t="n">
        <f aca="false">L85-L96</f>
        <v>112299.848996371</v>
      </c>
      <c r="M98" s="27" t="n">
        <f aca="false">M85-M96</f>
        <v>113040.925385141</v>
      </c>
      <c r="N98" s="27" t="n">
        <f aca="false">N85-N96</f>
        <v>113686.853140092</v>
      </c>
      <c r="O98" s="27" t="n">
        <f aca="false">O85-O96</f>
        <v>114228.68938861</v>
      </c>
      <c r="P98" s="27" t="n">
        <f aca="false">P85-P96</f>
        <v>114656.878530619</v>
      </c>
      <c r="Q98" s="27" t="n">
        <f aca="false">Q85-Q96</f>
        <v>114961.213534913</v>
      </c>
      <c r="R98" s="27" t="n">
        <f aca="false">R85-R96</f>
        <v>115130.794853038</v>
      </c>
      <c r="S98" s="27" t="n">
        <f aca="false">S85-S96</f>
        <v>115153.986805287</v>
      </c>
      <c r="T98" s="27" t="n">
        <f aca="false">T85-T96</f>
        <v>115018.371284495</v>
      </c>
      <c r="U98" s="27" t="n">
        <f aca="false">U85-U96</f>
        <v>114710.698613933</v>
      </c>
      <c r="V98" s="27" t="n">
        <f aca="false">V85-V96</f>
        <v>114216.83538562</v>
      </c>
      <c r="W98" s="27" t="n">
        <f aca="false">W85-W96</f>
        <v>113521.709094819</v>
      </c>
    </row>
    <row r="99" customFormat="false" ht="15" hidden="false" customHeight="false" outlineLevel="0" collapsed="false">
      <c r="A99" s="10" t="s">
        <v>437</v>
      </c>
      <c r="C99" s="81" t="n">
        <v>0</v>
      </c>
      <c r="D99" s="81" t="n">
        <f aca="false">IFERROR(D98/D85,0)</f>
        <v>0.275470966575998</v>
      </c>
      <c r="E99" s="81" t="n">
        <f aca="false">IFERROR(E98/E85,0)</f>
        <v>0.431751564672479</v>
      </c>
      <c r="F99" s="81" t="n">
        <f aca="false">IFERROR(F98/F85,0)</f>
        <v>0.500672201830789</v>
      </c>
      <c r="G99" s="81" t="n">
        <f aca="false">IFERROR(G98/G85,0)</f>
        <v>0.506197212032562</v>
      </c>
      <c r="H99" s="81" t="n">
        <f aca="false">IFERROR(H98/H85,0)</f>
        <v>0.516304471441004</v>
      </c>
      <c r="I99" s="81" t="n">
        <f aca="false">IFERROR(I98/I85,0)</f>
        <v>0.526117344653082</v>
      </c>
      <c r="J99" s="81" t="n">
        <f aca="false">IFERROR(J98/J85,0)</f>
        <v>0.526697509514349</v>
      </c>
      <c r="K99" s="81" t="n">
        <f aca="false">IFERROR(K98/K85,0)</f>
        <v>0.500534728001083</v>
      </c>
      <c r="L99" s="81" t="n">
        <f aca="false">IFERROR(L98/L85,0)</f>
        <v>0.475305873889465</v>
      </c>
      <c r="M99" s="81" t="n">
        <f aca="false">IFERROR(M98/M85,0)</f>
        <v>0.450977903990738</v>
      </c>
      <c r="N99" s="81" t="n">
        <f aca="false">IFERROR(N98/N85,0)</f>
        <v>0.427518936033967</v>
      </c>
      <c r="O99" s="81" t="n">
        <f aca="false">IFERROR(O98/O85,0)</f>
        <v>0.404898208107925</v>
      </c>
      <c r="P99" s="81" t="n">
        <f aca="false">IFERROR(P98/P85,0)</f>
        <v>0.383086039513486</v>
      </c>
      <c r="Q99" s="81" t="n">
        <f aca="false">IFERROR(Q98/Q85,0)</f>
        <v>0.362053792977648</v>
      </c>
      <c r="R99" s="81" t="n">
        <f aca="false">IFERROR(R98/R85,0)</f>
        <v>0.341773838182002</v>
      </c>
      <c r="S99" s="81" t="n">
        <f aca="false">IFERROR(S98/S85,0)</f>
        <v>0.322219516560102</v>
      </c>
      <c r="T99" s="81" t="n">
        <f aca="false">IFERROR(T98/T85,0)</f>
        <v>0.303365107319745</v>
      </c>
      <c r="U99" s="81" t="n">
        <f aca="false">IFERROR(U98/U85,0)</f>
        <v>0.285185794647716</v>
      </c>
      <c r="V99" s="81" t="n">
        <f aca="false">IFERROR(V98/V85,0)</f>
        <v>0.267657636055988</v>
      </c>
      <c r="W99" s="81" t="n">
        <f aca="false">IFERROR(W98/W85,0)</f>
        <v>0.250757531829819</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S_Tariff_Hi!$B$14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S_Tariff_Hi!$B$16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IF(AND(D39&gt;SenGrace,D39&lt;=SenTenor),PMT(SenRate*$B$11,SenTenor-SenGrace,-S_Tariff_Hi!$B$16)-D114,0)</f>
        <v>0</v>
      </c>
      <c r="E115" s="83" t="n">
        <f aca="false">IF(AND(E39&gt;SenGrace,E39&lt;=SenTenor),PMT(SenRate*$B$11,SenTenor-SenGrace,-S_Tariff_Hi!$B$16)-E114,0)</f>
        <v>0</v>
      </c>
      <c r="F115" s="83" t="n">
        <f aca="false">IF(AND(F39&gt;SenGrace,F39&lt;=SenTenor),PMT(SenRate*$B$11,SenTenor-SenGrace,-S_Tariff_Hi!$B$16)-F114,0)</f>
        <v>9671.48769410162</v>
      </c>
      <c r="G115" s="83" t="n">
        <f aca="false">IF(AND(G39&gt;SenGrace,G39&lt;=SenTenor),PMT(SenRate*$B$11,SenTenor-SenGrace,-S_Tariff_Hi!$B$16)-G114,0)</f>
        <v>10638.6364635118</v>
      </c>
      <c r="H115" s="83" t="n">
        <f aca="false">IF(AND(H39&gt;SenGrace,H39&lt;=SenTenor),PMT(SenRate*$B$11,SenTenor-SenGrace,-S_Tariff_Hi!$B$16)-H114,0)</f>
        <v>11702.500109863</v>
      </c>
      <c r="I115" s="83" t="n">
        <f aca="false">IF(AND(I39&gt;SenGrace,I39&lt;=SenTenor),PMT(SenRate*$B$11,SenTenor-SenGrace,-S_Tariff_Hi!$B$16)-I114,0)</f>
        <v>12872.7501208493</v>
      </c>
      <c r="J115" s="83" t="n">
        <f aca="false">IF(AND(J39&gt;SenGrace,J39&lt;=SenTenor),PMT(SenRate*$B$11,SenTenor-SenGrace,-S_Tariff_Hi!$B$16)-J114,0)</f>
        <v>14160.0251329342</v>
      </c>
      <c r="K115" s="83" t="n">
        <f aca="false">IF(AND(K39&gt;SenGrace,K39&lt;=SenTenor),PMT(SenRate*$B$11,SenTenor-SenGrace,-S_Tariff_Hi!$B$16)-K114,0)</f>
        <v>15576.0276462276</v>
      </c>
      <c r="L115" s="83" t="n">
        <f aca="false">IF(AND(L39&gt;SenGrace,L39&lt;=SenTenor),PMT(SenRate*$B$11,SenTenor-SenGrace,-S_Tariff_Hi!$B$16)-L114,0)</f>
        <v>17133.6304108504</v>
      </c>
      <c r="M115" s="83" t="n">
        <f aca="false">IF(AND(M39&gt;SenGrace,M39&lt;=SenTenor),PMT(SenRate*$B$11,SenTenor-SenGrace,-S_Tariff_Hi!$B$16)-M114,0)</f>
        <v>18846.9934519354</v>
      </c>
      <c r="N115" s="83" t="n">
        <f aca="false">IF(AND(N39&gt;SenGrace,N39&lt;=SenTenor),PMT(SenRate*$B$11,SenTenor-SenGrace,-S_Tariff_Hi!$B$16)-N114,0)</f>
        <v>0</v>
      </c>
      <c r="O115" s="83" t="n">
        <f aca="false">IF(AND(O39&gt;SenGrace,O39&lt;=SenTenor),PMT(SenRate*$B$11,SenTenor-SenGrace,-S_Tariff_Hi!$B$16)-O114,0)</f>
        <v>0</v>
      </c>
      <c r="P115" s="83" t="n">
        <f aca="false">IF(AND(P39&gt;SenGrace,P39&lt;=SenTenor),PMT(SenRate*$B$11,SenTenor-SenGrace,-S_Tariff_Hi!$B$16)-P114,0)</f>
        <v>0</v>
      </c>
      <c r="Q115" s="83" t="n">
        <f aca="false">IF(AND(Q39&gt;SenGrace,Q39&lt;=SenTenor),PMT(SenRate*$B$11,SenTenor-SenGrace,-S_Tariff_Hi!$B$16)-Q114,0)</f>
        <v>0</v>
      </c>
      <c r="R115" s="83" t="n">
        <f aca="false">IF(AND(R39&gt;SenGrace,R39&lt;=SenTenor),PMT(SenRate*$B$11,SenTenor-SenGrace,-S_Tariff_Hi!$B$16)-R114,0)</f>
        <v>0</v>
      </c>
      <c r="S115" s="83" t="n">
        <f aca="false">IF(AND(S39&gt;SenGrace,S39&lt;=SenTenor),PMT(SenRate*$B$11,SenTenor-SenGrace,-S_Tariff_Hi!$B$16)-S114,0)</f>
        <v>0</v>
      </c>
      <c r="T115" s="83" t="n">
        <f aca="false">IF(AND(T39&gt;SenGrace,T39&lt;=SenTenor),PMT(SenRate*$B$11,SenTenor-SenGrace,-S_Tariff_Hi!$B$16)-T114,0)</f>
        <v>0</v>
      </c>
      <c r="U115" s="83" t="n">
        <f aca="false">IF(AND(U39&gt;SenGrace,U39&lt;=SenTenor),PMT(SenRate*$B$11,SenTenor-SenGrace,-S_Tariff_Hi!$B$16)-U114,0)</f>
        <v>0</v>
      </c>
      <c r="V115" s="83" t="n">
        <f aca="false">IF(AND(V39&gt;SenGrace,V39&lt;=SenTenor),PMT(SenRate*$B$11,SenTenor-SenGrace,-S_Tariff_Hi!$B$16)-V114,0)</f>
        <v>0</v>
      </c>
      <c r="W115" s="83" t="n">
        <f aca="false">IF(AND(W39&gt;SenGrace,W39&lt;=SenTenor),PMT(SenRate*$B$11,SenTenor-SenGrace,-S_Tariff_Hi!$B$16)-W114,0)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S_Tariff_Hi!$B$17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IF(AND(D39&gt;ConGrace,D39&lt;=ConTenor),PMT(ConRate*$B$11,ConTenor-ConGrace,-S_Tariff_Hi!$B$17)-D121,0)</f>
        <v>0</v>
      </c>
      <c r="E122" s="83" t="n">
        <f aca="false">IF(AND(E39&gt;ConGrace,E39&lt;=ConTenor),PMT(ConRate*$B$11,ConTenor-ConGrace,-S_Tariff_Hi!$B$17)-E121,0)</f>
        <v>0</v>
      </c>
      <c r="F122" s="83" t="n">
        <f aca="false">IF(AND(F39&gt;ConGrace,F39&lt;=ConTenor),PMT(ConRate*$B$11,ConTenor-ConGrace,-S_Tariff_Hi!$B$17)-F121,0)</f>
        <v>0</v>
      </c>
      <c r="G122" s="83" t="n">
        <f aca="false">IF(AND(G39&gt;ConGrace,G39&lt;=ConTenor),PMT(ConRate*$B$11,ConTenor-ConGrace,-S_Tariff_Hi!$B$17)-G121,0)</f>
        <v>0</v>
      </c>
      <c r="H122" s="83" t="n">
        <f aca="false">IF(AND(H39&gt;ConGrace,H39&lt;=ConTenor),PMT(ConRate*$B$11,ConTenor-ConGrace,-S_Tariff_Hi!$B$17)-H121,0)</f>
        <v>0</v>
      </c>
      <c r="I122" s="83" t="n">
        <f aca="false">IF(AND(I39&gt;ConGrace,I39&lt;=ConTenor),PMT(ConRate*$B$11,ConTenor-ConGrace,-S_Tariff_Hi!$B$17)-I121,0)</f>
        <v>9647.87294294044</v>
      </c>
      <c r="J122" s="83" t="n">
        <f aca="false">IF(AND(J39&gt;ConGrace,J39&lt;=ConTenor),PMT(ConRate*$B$11,ConTenor-ConGrace,-S_Tariff_Hi!$B$17)-J121,0)</f>
        <v>9937.30913122865</v>
      </c>
      <c r="K122" s="83" t="n">
        <f aca="false">IF(AND(K39&gt;ConGrace,K39&lt;=ConTenor),PMT(ConRate*$B$11,ConTenor-ConGrace,-S_Tariff_Hi!$B$17)-K121,0)</f>
        <v>10235.4284051655</v>
      </c>
      <c r="L122" s="83" t="n">
        <f aca="false">IF(AND(L39&gt;ConGrace,L39&lt;=ConTenor),PMT(ConRate*$B$11,ConTenor-ConGrace,-S_Tariff_Hi!$B$17)-L121,0)</f>
        <v>10542.4912573205</v>
      </c>
      <c r="M122" s="83" t="n">
        <f aca="false">IF(AND(M39&gt;ConGrace,M39&lt;=ConTenor),PMT(ConRate*$B$11,ConTenor-ConGrace,-S_Tariff_Hi!$B$17)-M121,0)</f>
        <v>10858.7659950401</v>
      </c>
      <c r="N122" s="83" t="n">
        <f aca="false">IF(AND(N39&gt;ConGrace,N39&lt;=ConTenor),PMT(ConRate*$B$11,ConTenor-ConGrace,-S_Tariff_Hi!$B$17)-N121,0)</f>
        <v>11184.5289748913</v>
      </c>
      <c r="O122" s="83" t="n">
        <f aca="false">IF(AND(O39&gt;ConGrace,O39&lt;=ConTenor),PMT(ConRate*$B$11,ConTenor-ConGrace,-S_Tariff_Hi!$B$17)-O121,0)</f>
        <v>11520.064844138</v>
      </c>
      <c r="P122" s="83" t="n">
        <f aca="false">IF(AND(P39&gt;ConGrace,P39&lt;=ConTenor),PMT(ConRate*$B$11,ConTenor-ConGrace,-S_Tariff_Hi!$B$17)-P121,0)</f>
        <v>11865.6667894622</v>
      </c>
      <c r="Q122" s="83" t="n">
        <f aca="false">IF(AND(Q39&gt;ConGrace,Q39&lt;=ConTenor),PMT(ConRate*$B$11,ConTenor-ConGrace,-S_Tariff_Hi!$B$17)-Q121,0)</f>
        <v>12221.636793146</v>
      </c>
      <c r="R122" s="83" t="n">
        <f aca="false">IF(AND(R39&gt;ConGrace,R39&lt;=ConTenor),PMT(ConRate*$B$11,ConTenor-ConGrace,-S_Tariff_Hi!$B$17)-R121,0)</f>
        <v>12588.2858969404</v>
      </c>
      <c r="S122" s="83" t="n">
        <f aca="false">IF(AND(S39&gt;ConGrace,S39&lt;=ConTenor),PMT(ConRate*$B$11,ConTenor-ConGrace,-S_Tariff_Hi!$B$17)-S121,0)</f>
        <v>0</v>
      </c>
      <c r="T122" s="83" t="n">
        <f aca="false">IF(AND(T39&gt;ConGrace,T39&lt;=ConTenor),PMT(ConRate*$B$11,ConTenor-ConGrace,-S_Tariff_Hi!$B$17)-T121,0)</f>
        <v>0</v>
      </c>
      <c r="U122" s="83" t="n">
        <f aca="false">IF(AND(U39&gt;ConGrace,U39&lt;=ConTenor),PMT(ConRate*$B$11,ConTenor-ConGrace,-S_Tariff_Hi!$B$17)-U121,0)</f>
        <v>0</v>
      </c>
      <c r="V122" s="83" t="n">
        <f aca="false">IF(AND(V39&gt;ConGrace,V39&lt;=ConTenor),PMT(ConRate*$B$11,ConTenor-ConGrace,-S_Tariff_Hi!$B$17)-V121,0)</f>
        <v>0</v>
      </c>
      <c r="W122" s="83" t="n">
        <f aca="false">IF(AND(W39&gt;ConGrace,W39&lt;=ConTenor),PMT(ConRate*$B$11,ConTenor-ConGrace,-S_Tariff_Hi!$B$17)-W121,0)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1172189.8719831</v>
      </c>
      <c r="E127" s="83" t="n">
        <f aca="false">IF(E126&gt;0,(E147/MinDSCR-E121-E122)/E126,1000000000000)</f>
        <v>742415.653110082</v>
      </c>
      <c r="F127" s="83" t="n">
        <f aca="false">IF(F126&gt;0,(F147/MinDSCR-F121-F122)/F126,1000000000000)</f>
        <v>396346.69145315</v>
      </c>
      <c r="G127" s="83" t="n">
        <f aca="false">IF(G126&gt;0,(G147/MinDSCR-G121-G122)/G126,1000000000000)</f>
        <v>262400.839369586</v>
      </c>
      <c r="H127" s="83" t="n">
        <f aca="false">IF(H126&gt;0,(H147/MinDSCR-H121-H122)/H126,1000000000000)</f>
        <v>292378.100010831</v>
      </c>
      <c r="I127" s="83" t="n">
        <f aca="false">IF(I126&gt;0,(I147/MinDSCR-I121-I122)/I126,1000000000000)</f>
        <v>272942.371162854</v>
      </c>
      <c r="J127" s="83" t="n">
        <f aca="false">IF(J126&gt;0,(J147/MinDSCR-J121-J122)/J126,1000000000000)</f>
        <v>299459.791205104</v>
      </c>
      <c r="K127" s="83" t="n">
        <f aca="false">IF(K126&gt;0,(K147/MinDSCR-K121-K122)/K126,1000000000000)</f>
        <v>303181.172146237</v>
      </c>
      <c r="L127" s="83" t="n">
        <f aca="false">IF(L126&gt;0,(L147/MinDSCR-L121-L122)/L126,1000000000000)</f>
        <v>283875.302179017</v>
      </c>
      <c r="M127" s="83" t="n">
        <f aca="false">IF(M126&gt;0,(M147/MinDSCR-M121-M122)/M126,1000000000000)</f>
        <v>256998.539516259</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IF(D39&lt;=MIN(DepYears,Life),S_Tariff_Hi!$B$14/DepYears,0)</f>
        <v>76867.3503434244</v>
      </c>
      <c r="E132" s="83" t="n">
        <f aca="false">IF(E39&lt;=MIN(DepYears,Life),S_Tariff_Hi!$B$14/DepYears,0)</f>
        <v>76867.3503434244</v>
      </c>
      <c r="F132" s="83" t="n">
        <f aca="false">IF(F39&lt;=MIN(DepYears,Life),S_Tariff_Hi!$B$14/DepYears,0)</f>
        <v>76867.3503434244</v>
      </c>
      <c r="G132" s="83" t="n">
        <f aca="false">IF(G39&lt;=MIN(DepYears,Life),S_Tariff_Hi!$B$14/DepYears,0)</f>
        <v>76867.3503434244</v>
      </c>
      <c r="H132" s="83" t="n">
        <f aca="false">IF(H39&lt;=MIN(DepYears,Life),S_Tariff_Hi!$B$14/DepYears,0)</f>
        <v>76867.3503434244</v>
      </c>
      <c r="I132" s="83" t="n">
        <f aca="false">IF(I39&lt;=MIN(DepYears,Life),S_Tariff_Hi!$B$14/DepYears,0)</f>
        <v>76867.3503434244</v>
      </c>
      <c r="J132" s="83" t="n">
        <f aca="false">IF(J39&lt;=MIN(DepYears,Life),S_Tariff_Hi!$B$14/DepYears,0)</f>
        <v>76867.3503434244</v>
      </c>
      <c r="K132" s="83" t="n">
        <f aca="false">IF(K39&lt;=MIN(DepYears,Life),S_Tariff_Hi!$B$14/DepYears,0)</f>
        <v>76867.3503434244</v>
      </c>
      <c r="L132" s="83" t="n">
        <f aca="false">IF(L39&lt;=MIN(DepYears,Life),S_Tariff_Hi!$B$14/DepYears,0)</f>
        <v>76867.3503434244</v>
      </c>
      <c r="M132" s="83" t="n">
        <f aca="false">IF(M39&lt;=MIN(DepYears,Life),S_Tariff_Hi!$B$14/DepYears,0)</f>
        <v>76867.3503434244</v>
      </c>
      <c r="N132" s="83" t="n">
        <f aca="false">IF(N39&lt;=MIN(DepYears,Life),S_Tariff_Hi!$B$14/DepYears,0)</f>
        <v>76867.3503434244</v>
      </c>
      <c r="O132" s="83" t="n">
        <f aca="false">IF(O39&lt;=MIN(DepYears,Life),S_Tariff_Hi!$B$14/DepYears,0)</f>
        <v>76867.3503434244</v>
      </c>
      <c r="P132" s="83" t="n">
        <f aca="false">IF(P39&lt;=MIN(DepYears,Life),S_Tariff_Hi!$B$14/DepYears,0)</f>
        <v>76867.3503434244</v>
      </c>
      <c r="Q132" s="83" t="n">
        <f aca="false">IF(Q39&lt;=MIN(DepYears,Life),S_Tariff_Hi!$B$14/DepYears,0)</f>
        <v>76867.3503434244</v>
      </c>
      <c r="R132" s="83" t="n">
        <f aca="false">IF(R39&lt;=MIN(DepYears,Life),S_Tariff_Hi!$B$14/DepYears,0)</f>
        <v>76867.3503434244</v>
      </c>
      <c r="S132" s="83" t="n">
        <f aca="false">IF(S39&lt;=MIN(DepYears,Life),S_Tariff_Hi!$B$14/DepYears,0)</f>
        <v>0</v>
      </c>
      <c r="T132" s="83" t="n">
        <f aca="false">IF(T39&lt;=MIN(DepYears,Life),S_Tariff_Hi!$B$14/DepYears,0)</f>
        <v>0</v>
      </c>
      <c r="U132" s="83" t="n">
        <f aca="false">IF(U39&lt;=MIN(DepYears,Life),S_Tariff_Hi!$B$14/DepYears,0)</f>
        <v>0</v>
      </c>
      <c r="V132" s="83" t="n">
        <f aca="false">IF(V39&lt;=MIN(DepYears,Life),S_Tariff_Hi!$B$14/DepYears,0)</f>
        <v>0</v>
      </c>
      <c r="W132" s="83" t="n">
        <f aca="false">IF(W39&lt;=MIN(DepYears,Life),S_Tariff_Hi!$B$14/DepYears,0)</f>
        <v>0</v>
      </c>
    </row>
    <row r="133" customFormat="false" ht="15" hidden="false" customHeight="false" outlineLevel="0" collapsed="false">
      <c r="A133" s="10" t="s">
        <v>460</v>
      </c>
      <c r="B133" s="61" t="n">
        <f aca="false">SUM(C133:W133)</f>
        <v>897680.61785343</v>
      </c>
      <c r="C133" s="83" t="n">
        <v>0</v>
      </c>
      <c r="D133" s="83" t="n">
        <f aca="false">D98-D132</f>
        <v>-50631.2572823536</v>
      </c>
      <c r="E133" s="83" t="n">
        <f aca="false">E98-E132</f>
        <v>-18301.9057358454</v>
      </c>
      <c r="F133" s="83" t="n">
        <f aca="false">F98-F132</f>
        <v>6964.72041784652</v>
      </c>
      <c r="G133" s="83" t="n">
        <f aca="false">G98-G132</f>
        <v>12125.167170214</v>
      </c>
      <c r="H133" s="83" t="n">
        <f aca="false">H98-H132</f>
        <v>19429.9427918409</v>
      </c>
      <c r="I133" s="83" t="n">
        <f aca="false">I98-I132</f>
        <v>27236.1331879762</v>
      </c>
      <c r="J133" s="83" t="n">
        <f aca="false">J98-J132</f>
        <v>33697.8244609459</v>
      </c>
      <c r="K133" s="83" t="n">
        <f aca="false">K98-K132</f>
        <v>34604.6402338378</v>
      </c>
      <c r="L133" s="83" t="n">
        <f aca="false">L98-L132</f>
        <v>35432.4986529465</v>
      </c>
      <c r="M133" s="83" t="n">
        <f aca="false">M98-M132</f>
        <v>36173.5750417166</v>
      </c>
      <c r="N133" s="83" t="n">
        <f aca="false">N98-N132</f>
        <v>36819.5027966679</v>
      </c>
      <c r="O133" s="83" t="n">
        <f aca="false">O98-O132</f>
        <v>37361.3390451854</v>
      </c>
      <c r="P133" s="83" t="n">
        <f aca="false">P98-P132</f>
        <v>37789.5281871946</v>
      </c>
      <c r="Q133" s="83" t="n">
        <f aca="false">Q98-Q132</f>
        <v>38093.8631914887</v>
      </c>
      <c r="R133" s="83" t="n">
        <f aca="false">R98-R132</f>
        <v>38263.4445096137</v>
      </c>
      <c r="S133" s="83" t="n">
        <f aca="false">S98-S132</f>
        <v>115153.986805287</v>
      </c>
      <c r="T133" s="83" t="n">
        <f aca="false">T98-T132</f>
        <v>115018.371284495</v>
      </c>
      <c r="U133" s="83" t="n">
        <f aca="false">U98-U132</f>
        <v>114710.698613933</v>
      </c>
      <c r="V133" s="83" t="n">
        <f aca="false">V98-V132</f>
        <v>114216.83538562</v>
      </c>
      <c r="W133" s="83" t="n">
        <f aca="false">W98-W132</f>
        <v>113521.709094819</v>
      </c>
    </row>
    <row r="134" customFormat="false" ht="15" hidden="false" customHeight="false" outlineLevel="0" collapsed="false">
      <c r="A134" s="10" t="s">
        <v>461</v>
      </c>
      <c r="C134" s="83" t="n">
        <v>0</v>
      </c>
      <c r="D134" s="83" t="n">
        <f aca="false">0</f>
        <v>0</v>
      </c>
      <c r="E134" s="83" t="n">
        <f aca="false">D136</f>
        <v>50631.2572823536</v>
      </c>
      <c r="F134" s="83" t="n">
        <f aca="false">E136</f>
        <v>68933.163018199</v>
      </c>
      <c r="G134" s="83" t="n">
        <f aca="false">F136</f>
        <v>61968.4426003524</v>
      </c>
      <c r="H134" s="83" t="n">
        <f aca="false">G136</f>
        <v>49843.2754301384</v>
      </c>
      <c r="I134" s="83" t="n">
        <f aca="false">H136</f>
        <v>30413.3326382975</v>
      </c>
      <c r="J134" s="83" t="n">
        <f aca="false">I136</f>
        <v>3177.19945032125</v>
      </c>
      <c r="K134" s="83" t="n">
        <f aca="false">J136</f>
        <v>0</v>
      </c>
      <c r="L134" s="83" t="n">
        <f aca="false">K136</f>
        <v>0</v>
      </c>
      <c r="M134" s="83" t="n">
        <f aca="false">L136</f>
        <v>0</v>
      </c>
      <c r="N134" s="83" t="n">
        <f aca="false">M136</f>
        <v>0</v>
      </c>
      <c r="O134" s="83" t="n">
        <f aca="false">N136</f>
        <v>0</v>
      </c>
      <c r="P134" s="83" t="n">
        <f aca="false">O136</f>
        <v>0</v>
      </c>
      <c r="Q134" s="83" t="n">
        <f aca="false">P136</f>
        <v>0</v>
      </c>
      <c r="R134" s="83" t="n">
        <f aca="false">Q136</f>
        <v>0</v>
      </c>
      <c r="S134" s="83" t="n">
        <f aca="false">R136</f>
        <v>0</v>
      </c>
      <c r="T134" s="83" t="n">
        <f aca="false">S136</f>
        <v>0</v>
      </c>
      <c r="U134" s="83" t="n">
        <f aca="false">T136</f>
        <v>0</v>
      </c>
      <c r="V134" s="83" t="n">
        <f aca="false">U136</f>
        <v>0</v>
      </c>
      <c r="W134" s="83" t="n">
        <f aca="false">V136</f>
        <v>0</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6964.72041784652</v>
      </c>
      <c r="G135" s="83" t="n">
        <f aca="false">MIN(G134,MAX(G133,0))</f>
        <v>12125.167170214</v>
      </c>
      <c r="H135" s="83" t="n">
        <f aca="false">MIN(H134,MAX(H133,0))</f>
        <v>19429.9427918409</v>
      </c>
      <c r="I135" s="83" t="n">
        <f aca="false">MIN(I134,MAX(I133,0))</f>
        <v>27236.1331879762</v>
      </c>
      <c r="J135" s="83" t="n">
        <f aca="false">MIN(J134,MAX(J133,0))</f>
        <v>3177.19945032125</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0</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50631.2572823536</v>
      </c>
      <c r="E136" s="83" t="n">
        <f aca="false">E134-E135+MAX(-E133,0)</f>
        <v>68933.163018199</v>
      </c>
      <c r="F136" s="83" t="n">
        <f aca="false">F134-F135+MAX(-F133,0)</f>
        <v>61968.4426003524</v>
      </c>
      <c r="G136" s="83" t="n">
        <f aca="false">G134-G135+MAX(-G133,0)</f>
        <v>49843.2754301384</v>
      </c>
      <c r="H136" s="83" t="n">
        <f aca="false">H134-H135+MAX(-H133,0)</f>
        <v>30413.3326382975</v>
      </c>
      <c r="I136" s="83" t="n">
        <f aca="false">I134-I135+MAX(-I133,0)</f>
        <v>3177.19945032125</v>
      </c>
      <c r="J136" s="83" t="n">
        <f aca="false">J134-J135+MAX(-J133,0)</f>
        <v>0</v>
      </c>
      <c r="K136" s="83" t="n">
        <f aca="false">K134-K135+MAX(-K133,0)</f>
        <v>0</v>
      </c>
      <c r="L136" s="83" t="n">
        <f aca="false">L134-L135+MAX(-L133,0)</f>
        <v>0</v>
      </c>
      <c r="M136" s="83" t="n">
        <f aca="false">M134-M135+MAX(-M133,0)</f>
        <v>0</v>
      </c>
      <c r="N136" s="83" t="n">
        <f aca="false">N134-N135+MAX(-N133,0)</f>
        <v>0</v>
      </c>
      <c r="O136" s="83" t="n">
        <f aca="false">O134-O135+MAX(-O133,0)</f>
        <v>0</v>
      </c>
      <c r="P136" s="83" t="n">
        <f aca="false">P134-P135+MAX(-P133,0)</f>
        <v>0</v>
      </c>
      <c r="Q136" s="83" t="n">
        <f aca="false">Q134-Q135+MAX(-Q133,0)</f>
        <v>0</v>
      </c>
      <c r="R136" s="83" t="n">
        <f aca="false">R134-R135+MAX(-R133,0)</f>
        <v>0</v>
      </c>
      <c r="S136" s="83" t="n">
        <f aca="false">S134-S135+MAX(-S133,0)</f>
        <v>0</v>
      </c>
      <c r="T136" s="83" t="n">
        <f aca="false">T134-T135+MAX(-T133,0)</f>
        <v>0</v>
      </c>
      <c r="U136" s="83" t="n">
        <f aca="false">U134-U135+MAX(-U133,0)</f>
        <v>0</v>
      </c>
      <c r="V136" s="83" t="n">
        <f aca="false">V134-V135+MAX(-V133,0)</f>
        <v>0</v>
      </c>
      <c r="W136" s="83" t="n">
        <f aca="false">W134-W135+MAX(-W133,0)</f>
        <v>0</v>
      </c>
    </row>
    <row r="137" customFormat="false" ht="15" hidden="false" customHeight="false" outlineLevel="0" collapsed="false">
      <c r="A137" s="10" t="s">
        <v>464</v>
      </c>
      <c r="B137" s="61" t="n">
        <f aca="false">SUM(C137:W137)</f>
        <v>224420.154463358</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7630.15625265617</v>
      </c>
      <c r="K137" s="83" t="n">
        <f aca="false">(MAX(K133,0)-K135)*TaxRate</f>
        <v>8651.16005845945</v>
      </c>
      <c r="L137" s="83" t="n">
        <f aca="false">(MAX(L133,0)-L135)*TaxRate</f>
        <v>8858.12466323662</v>
      </c>
      <c r="M137" s="83" t="n">
        <f aca="false">(MAX(M133,0)-M135)*TaxRate</f>
        <v>9043.39376042916</v>
      </c>
      <c r="N137" s="83" t="n">
        <f aca="false">(MAX(N133,0)-N135)*TaxRate</f>
        <v>9204.87569916697</v>
      </c>
      <c r="O137" s="83" t="n">
        <f aca="false">(MAX(O133,0)-O135)*TaxRate</f>
        <v>9340.33476129636</v>
      </c>
      <c r="P137" s="83" t="n">
        <f aca="false">(MAX(P133,0)-P135)*TaxRate</f>
        <v>9447.38204679864</v>
      </c>
      <c r="Q137" s="83" t="n">
        <f aca="false">(MAX(Q133,0)-Q135)*TaxRate</f>
        <v>9523.46579787217</v>
      </c>
      <c r="R137" s="83" t="n">
        <f aca="false">(MAX(R133,0)-R135)*TaxRate</f>
        <v>9565.86112740343</v>
      </c>
      <c r="S137" s="83" t="n">
        <f aca="false">(MAX(S133,0)-S135)*TaxRate</f>
        <v>28788.4967013218</v>
      </c>
      <c r="T137" s="83" t="n">
        <f aca="false">(MAX(T133,0)-T135)*TaxRate</f>
        <v>28754.5928211238</v>
      </c>
      <c r="U137" s="83" t="n">
        <f aca="false">(MAX(U133,0)-U135)*TaxRate</f>
        <v>28677.6746534832</v>
      </c>
      <c r="V137" s="83" t="n">
        <f aca="false">(MAX(V133,0)-V135)*TaxRate</f>
        <v>28554.2088464051</v>
      </c>
      <c r="W137" s="83" t="n">
        <f aca="false">(MAX(W133,0)-W135)*TaxRate</f>
        <v>28380.4272737047</v>
      </c>
    </row>
    <row r="138" customFormat="false" ht="15" hidden="false" customHeight="false" outlineLevel="0" collapsed="false">
      <c r="A138" s="10" t="s">
        <v>465</v>
      </c>
      <c r="B138" s="61" t="n">
        <f aca="false">SUM(C138:W138)</f>
        <v>784661.114937863</v>
      </c>
      <c r="C138" s="83" t="n">
        <v>0</v>
      </c>
      <c r="D138" s="83" t="n">
        <f aca="false">D98-D132-D114-D121</f>
        <v>-65009.5239162891</v>
      </c>
      <c r="E138" s="83" t="n">
        <f aca="false">E98-E132-E114-E121</f>
        <v>-32680.1723697809</v>
      </c>
      <c r="F138" s="83" t="n">
        <f aca="false">F98-F132-F114-F121</f>
        <v>-7413.54621608898</v>
      </c>
      <c r="G138" s="83" t="n">
        <f aca="false">G98-G132-G114-G121</f>
        <v>-1285.95069431131</v>
      </c>
      <c r="H138" s="83" t="n">
        <f aca="false">H98-H132-H114-H121</f>
        <v>7082.68857366677</v>
      </c>
      <c r="I138" s="83" t="n">
        <f aca="false">I98-I132-I114-I121</f>
        <v>16059.1289807884</v>
      </c>
      <c r="J138" s="83" t="n">
        <f aca="false">J98-J132-J114-J121</f>
        <v>24097.5314541312</v>
      </c>
      <c r="K138" s="83" t="n">
        <f aca="false">K98-K132-K114-K121</f>
        <v>26718.4690142533</v>
      </c>
      <c r="L138" s="83" t="n">
        <f aca="false">L98-L132-L114-L121</f>
        <v>29410.9930501398</v>
      </c>
      <c r="M138" s="83" t="n">
        <f aca="false">M98-M132-M114-M121</f>
        <v>32181.7072177146</v>
      </c>
      <c r="N138" s="83" t="n">
        <f aca="false">N98-N132-N114-N121</f>
        <v>35038.0972977105</v>
      </c>
      <c r="O138" s="83" t="n">
        <f aca="false">O98-O132-O114-O121</f>
        <v>35915.4694154748</v>
      </c>
      <c r="P138" s="83" t="n">
        <f aca="false">P98-P132-P114-P121</f>
        <v>36689.2605028081</v>
      </c>
      <c r="Q138" s="83" t="n">
        <f aca="false">Q98-Q132-Q114-Q121</f>
        <v>37349.5655107861</v>
      </c>
      <c r="R138" s="83" t="n">
        <f aca="false">R98-R132-R114-R121</f>
        <v>37885.7959327055</v>
      </c>
      <c r="S138" s="83" t="n">
        <f aca="false">S98-S132-S114-S121</f>
        <v>115153.986805287</v>
      </c>
      <c r="T138" s="83" t="n">
        <f aca="false">T98-T132-T114-T121</f>
        <v>115018.371284495</v>
      </c>
      <c r="U138" s="83" t="n">
        <f aca="false">U98-U132-U114-U121</f>
        <v>114710.698613933</v>
      </c>
      <c r="V138" s="83" t="n">
        <f aca="false">V98-V132-V114-V121</f>
        <v>114216.83538562</v>
      </c>
      <c r="W138" s="83" t="n">
        <f aca="false">W98-W132-W114-W121</f>
        <v>113521.709094819</v>
      </c>
    </row>
    <row r="139" customFormat="false" ht="15" hidden="false" customHeight="false" outlineLevel="0" collapsed="false">
      <c r="A139" s="10" t="s">
        <v>461</v>
      </c>
      <c r="C139" s="83" t="n">
        <v>0</v>
      </c>
      <c r="D139" s="83" t="n">
        <f aca="false">0</f>
        <v>0</v>
      </c>
      <c r="E139" s="83" t="n">
        <f aca="false">D141</f>
        <v>65009.5239162891</v>
      </c>
      <c r="F139" s="83" t="n">
        <f aca="false">E141</f>
        <v>97689.69628607</v>
      </c>
      <c r="G139" s="83" t="n">
        <f aca="false">F141</f>
        <v>105103.242502159</v>
      </c>
      <c r="H139" s="83" t="n">
        <f aca="false">G141</f>
        <v>106389.19319647</v>
      </c>
      <c r="I139" s="83" t="n">
        <f aca="false">H141</f>
        <v>99306.5046228035</v>
      </c>
      <c r="J139" s="83" t="n">
        <f aca="false">I141</f>
        <v>83247.3756420151</v>
      </c>
      <c r="K139" s="83" t="n">
        <f aca="false">J141</f>
        <v>59149.8441878839</v>
      </c>
      <c r="L139" s="83" t="n">
        <f aca="false">K141</f>
        <v>32431.3751736306</v>
      </c>
      <c r="M139" s="83" t="n">
        <f aca="false">L141</f>
        <v>3020.3821234908</v>
      </c>
      <c r="N139" s="83" t="n">
        <f aca="false">M141</f>
        <v>0</v>
      </c>
      <c r="O139" s="83" t="n">
        <f aca="false">N141</f>
        <v>0</v>
      </c>
      <c r="P139" s="83" t="n">
        <f aca="false">O141</f>
        <v>0</v>
      </c>
      <c r="Q139" s="83" t="n">
        <f aca="false">P141</f>
        <v>0</v>
      </c>
      <c r="R139" s="83" t="n">
        <f aca="false">Q141</f>
        <v>0</v>
      </c>
      <c r="S139" s="83" t="n">
        <f aca="false">R141</f>
        <v>0</v>
      </c>
      <c r="T139" s="83" t="n">
        <f aca="false">S141</f>
        <v>0</v>
      </c>
      <c r="U139" s="83" t="n">
        <f aca="false">T141</f>
        <v>0</v>
      </c>
      <c r="V139" s="83" t="n">
        <f aca="false">U141</f>
        <v>0</v>
      </c>
      <c r="W139" s="83" t="n">
        <f aca="false">V141</f>
        <v>0</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7082.68857366677</v>
      </c>
      <c r="I140" s="83" t="n">
        <f aca="false">MIN(I139,MAX(I138,0))</f>
        <v>16059.1289807884</v>
      </c>
      <c r="J140" s="83" t="n">
        <f aca="false">MIN(J139,MAX(J138,0))</f>
        <v>24097.5314541312</v>
      </c>
      <c r="K140" s="83" t="n">
        <f aca="false">MIN(K139,MAX(K138,0))</f>
        <v>26718.4690142533</v>
      </c>
      <c r="L140" s="83" t="n">
        <f aca="false">MIN(L139,MAX(L138,0))</f>
        <v>29410.9930501398</v>
      </c>
      <c r="M140" s="83" t="n">
        <f aca="false">MIN(M139,MAX(M138,0))</f>
        <v>3020.3821234908</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0</v>
      </c>
      <c r="T140" s="83" t="n">
        <f aca="false">MIN(T139,MAX(T138,0))</f>
        <v>0</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65009.5239162891</v>
      </c>
      <c r="E141" s="83" t="n">
        <f aca="false">E139-E140+MAX(-E138,0)</f>
        <v>97689.69628607</v>
      </c>
      <c r="F141" s="83" t="n">
        <f aca="false">F139-F140+MAX(-F138,0)</f>
        <v>105103.242502159</v>
      </c>
      <c r="G141" s="83" t="n">
        <f aca="false">G139-G140+MAX(-G138,0)</f>
        <v>106389.19319647</v>
      </c>
      <c r="H141" s="83" t="n">
        <f aca="false">H139-H140+MAX(-H138,0)</f>
        <v>99306.5046228035</v>
      </c>
      <c r="I141" s="83" t="n">
        <f aca="false">I139-I140+MAX(-I138,0)</f>
        <v>83247.3756420151</v>
      </c>
      <c r="J141" s="83" t="n">
        <f aca="false">J139-J140+MAX(-J138,0)</f>
        <v>59149.8441878839</v>
      </c>
      <c r="K141" s="83" t="n">
        <f aca="false">K139-K140+MAX(-K138,0)</f>
        <v>32431.3751736306</v>
      </c>
      <c r="L141" s="83" t="n">
        <f aca="false">L139-L140+MAX(-L138,0)</f>
        <v>3020.3821234908</v>
      </c>
      <c r="M141" s="83" t="n">
        <f aca="false">M139-M140+MAX(-M138,0)</f>
        <v>0</v>
      </c>
      <c r="N141" s="83" t="n">
        <f aca="false">N139-N140+MAX(-N138,0)</f>
        <v>0</v>
      </c>
      <c r="O141" s="83" t="n">
        <f aca="false">O139-O140+MAX(-O138,0)</f>
        <v>0</v>
      </c>
      <c r="P141" s="83" t="n">
        <f aca="false">P139-P140+MAX(-P138,0)</f>
        <v>0</v>
      </c>
      <c r="Q141" s="83" t="n">
        <f aca="false">Q139-Q140+MAX(-Q138,0)</f>
        <v>0</v>
      </c>
      <c r="R141" s="83" t="n">
        <f aca="false">R139-R140+MAX(-R138,0)</f>
        <v>0</v>
      </c>
      <c r="S141" s="83" t="n">
        <f aca="false">S139-S140+MAX(-S138,0)</f>
        <v>0</v>
      </c>
      <c r="T141" s="83" t="n">
        <f aca="false">T139-T140+MAX(-T138,0)</f>
        <v>0</v>
      </c>
      <c r="U141" s="83" t="n">
        <f aca="false">U139-U140+MAX(-U138,0)</f>
        <v>0</v>
      </c>
      <c r="V141" s="83" t="n">
        <f aca="false">V139-V140+MAX(-V138,0)</f>
        <v>0</v>
      </c>
      <c r="W141" s="83" t="n">
        <f aca="false">W139-W140+MAX(-W138,0)</f>
        <v>0</v>
      </c>
    </row>
    <row r="142" customFormat="false" ht="15" hidden="false" customHeight="false" outlineLevel="0" collapsed="false">
      <c r="A142" s="10" t="s">
        <v>466</v>
      </c>
      <c r="B142" s="61" t="n">
        <f aca="false">SUM(C142:W142)</f>
        <v>196165.278734466</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7290.33127355594</v>
      </c>
      <c r="N142" s="83" t="n">
        <f aca="false">(MAX(N138,0)-N140)*TaxRate</f>
        <v>8759.52432442763</v>
      </c>
      <c r="O142" s="83" t="n">
        <f aca="false">(MAX(O138,0)-O140)*TaxRate</f>
        <v>8978.86735386871</v>
      </c>
      <c r="P142" s="83" t="n">
        <f aca="false">(MAX(P138,0)-P140)*TaxRate</f>
        <v>9172.31512570203</v>
      </c>
      <c r="Q142" s="83" t="n">
        <f aca="false">(MAX(Q138,0)-Q140)*TaxRate</f>
        <v>9337.39137769652</v>
      </c>
      <c r="R142" s="83" t="n">
        <f aca="false">(MAX(R138,0)-R140)*TaxRate</f>
        <v>9471.44898317638</v>
      </c>
      <c r="S142" s="83" t="n">
        <f aca="false">(MAX(S138,0)-S140)*TaxRate</f>
        <v>28788.4967013218</v>
      </c>
      <c r="T142" s="83" t="n">
        <f aca="false">(MAX(T138,0)-T140)*TaxRate</f>
        <v>28754.5928211238</v>
      </c>
      <c r="U142" s="83" t="n">
        <f aca="false">(MAX(U138,0)-U140)*TaxRate</f>
        <v>28677.6746534832</v>
      </c>
      <c r="V142" s="83" t="n">
        <f aca="false">(MAX(V138,0)-V140)*TaxRate</f>
        <v>28554.2088464051</v>
      </c>
      <c r="W142" s="83" t="n">
        <f aca="false">(MAX(W138,0)-W140)*TaxRate</f>
        <v>28380.4272737047</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-545261.484237708</v>
      </c>
      <c r="C145" s="27" t="n">
        <f aca="false">-C102+C98-C103-C137</f>
        <v>-1153010.25515137</v>
      </c>
      <c r="D145" s="27" t="n">
        <f aca="false">-D102+D98-D103-D137</f>
        <v>26236.0930610708</v>
      </c>
      <c r="E145" s="27" t="n">
        <f aca="false">-E102+E98-E103-E137</f>
        <v>58565.444607579</v>
      </c>
      <c r="F145" s="27" t="n">
        <f aca="false">-F102+F98-F103-F137</f>
        <v>83832.0707612709</v>
      </c>
      <c r="G145" s="27" t="n">
        <f aca="false">-G102+G98-G103-G137</f>
        <v>88992.5175136384</v>
      </c>
      <c r="H145" s="27" t="n">
        <f aca="false">-H102+H98-H103-H137</f>
        <v>96297.2931352653</v>
      </c>
      <c r="I145" s="27" t="n">
        <f aca="false">-I102+I98-I103-I137</f>
        <v>104103.483531401</v>
      </c>
      <c r="J145" s="27" t="n">
        <f aca="false">-J102+J98-J103-J137</f>
        <v>102935.018551714</v>
      </c>
      <c r="K145" s="27" t="n">
        <f aca="false">-K102+K98-K103-K137</f>
        <v>-63082.6071858987</v>
      </c>
      <c r="L145" s="27" t="n">
        <f aca="false">-L102+L98-L103-L137</f>
        <v>103441.724333134</v>
      </c>
      <c r="M145" s="27" t="n">
        <f aca="false">-M102+M98-M103-M137</f>
        <v>103997.531624712</v>
      </c>
      <c r="N145" s="27" t="n">
        <f aca="false">-N102+N98-N103-N137</f>
        <v>104481.977440925</v>
      </c>
      <c r="O145" s="27" t="n">
        <f aca="false">-O102+O98-O103-O137</f>
        <v>104888.354627313</v>
      </c>
      <c r="P145" s="27" t="n">
        <f aca="false">-P102+P98-P103-P137</f>
        <v>105209.49648382</v>
      </c>
      <c r="Q145" s="27" t="n">
        <f aca="false">-Q102+Q98-Q103-Q137</f>
        <v>105437.747737041</v>
      </c>
      <c r="R145" s="27" t="n">
        <f aca="false">-R102+R98-R103-R137</f>
        <v>105564.933725635</v>
      </c>
      <c r="S145" s="27" t="n">
        <f aca="false">-S102+S98-S103-S137</f>
        <v>-123796.021179705</v>
      </c>
      <c r="T145" s="27" t="n">
        <f aca="false">-T102+T98-T103-T137</f>
        <v>86263.7784633714</v>
      </c>
      <c r="U145" s="27" t="n">
        <f aca="false">-U102+U98-U103-U137</f>
        <v>86033.0239604495</v>
      </c>
      <c r="V145" s="27" t="n">
        <f aca="false">-V102+V98-V103-V137</f>
        <v>85662.6265392153</v>
      </c>
      <c r="W145" s="27" t="n">
        <f aca="false">-W102+W98-W103-W137</f>
        <v>85141.2818211141</v>
      </c>
    </row>
    <row r="146" customFormat="false" ht="15" hidden="false" customHeight="false" outlineLevel="0" collapsed="false">
      <c r="A146" s="15" t="s">
        <v>469</v>
      </c>
      <c r="B146" s="61" t="n">
        <f aca="false">C146+NPV(Hurdle,D146:W146)</f>
        <v>272658.876393396</v>
      </c>
      <c r="C146" s="27" t="n">
        <f aca="false">C145+C106+C108</f>
        <v>-553010.255151365</v>
      </c>
      <c r="D146" s="27" t="n">
        <f aca="false">D145+D106+D108</f>
        <v>177436.093061071</v>
      </c>
      <c r="E146" s="27" t="n">
        <f aca="false">E145+E106+E108</f>
        <v>121565.444607579</v>
      </c>
      <c r="F146" s="27" t="n">
        <f aca="false">F145+F106+F108</f>
        <v>121632.070761271</v>
      </c>
      <c r="G146" s="27" t="n">
        <f aca="false">G145+G106+G108</f>
        <v>88992.5175136384</v>
      </c>
      <c r="H146" s="27" t="n">
        <f aca="false">H145+H106+H108</f>
        <v>96297.2931352653</v>
      </c>
      <c r="I146" s="27" t="n">
        <f aca="false">I145+I106+I108</f>
        <v>104103.483531401</v>
      </c>
      <c r="J146" s="27" t="n">
        <f aca="false">J145+J106+J108</f>
        <v>102935.018551714</v>
      </c>
      <c r="K146" s="27" t="n">
        <f aca="false">K145+K106+K108</f>
        <v>-63082.6071858987</v>
      </c>
      <c r="L146" s="27" t="n">
        <f aca="false">L145+L106+L108</f>
        <v>103441.724333134</v>
      </c>
      <c r="M146" s="27" t="n">
        <f aca="false">M145+M106+M108</f>
        <v>103997.531624712</v>
      </c>
      <c r="N146" s="27" t="n">
        <f aca="false">N145+N106+N108</f>
        <v>104481.977440925</v>
      </c>
      <c r="O146" s="27" t="n">
        <f aca="false">O145+O106+O108</f>
        <v>104888.354627313</v>
      </c>
      <c r="P146" s="27" t="n">
        <f aca="false">P145+P106+P108</f>
        <v>105209.49648382</v>
      </c>
      <c r="Q146" s="27" t="n">
        <f aca="false">Q145+Q106+Q108</f>
        <v>105437.747737041</v>
      </c>
      <c r="R146" s="27" t="n">
        <f aca="false">R145+R106+R108</f>
        <v>105564.933725635</v>
      </c>
      <c r="S146" s="27" t="n">
        <f aca="false">S145+S106+S108</f>
        <v>-123796.021179705</v>
      </c>
      <c r="T146" s="27" t="n">
        <f aca="false">T145+T106+T108</f>
        <v>86263.7784633714</v>
      </c>
      <c r="U146" s="27" t="n">
        <f aca="false">U145+U106+U108</f>
        <v>86033.0239604495</v>
      </c>
      <c r="V146" s="27" t="n">
        <f aca="false">V145+V106+V108</f>
        <v>85662.6265392153</v>
      </c>
      <c r="W146" s="27" t="n">
        <f aca="false">W145+W106+W108</f>
        <v>85141.2818211141</v>
      </c>
    </row>
    <row r="147" customFormat="false" ht="15" hidden="false" customHeight="false" outlineLevel="0" collapsed="false">
      <c r="A147" s="10" t="s">
        <v>237</v>
      </c>
      <c r="B147" s="61" t="n">
        <f aca="false">SUM(C147:W147)</f>
        <v>1730460.64528196</v>
      </c>
      <c r="C147" s="83" t="n">
        <v>0</v>
      </c>
      <c r="D147" s="83" t="n">
        <f aca="false">D98-D105-D142+D108</f>
        <v>156698.163347983</v>
      </c>
      <c r="E147" s="83" t="n">
        <f aca="false">E98-E105-E142+E108</f>
        <v>100827.514894491</v>
      </c>
      <c r="F147" s="83" t="n">
        <f aca="false">F98-F105-F142+F108</f>
        <v>100894.141048183</v>
      </c>
      <c r="G147" s="83" t="n">
        <f aca="false">G98-G105-G142+G108</f>
        <v>68254.5878005507</v>
      </c>
      <c r="H147" s="83" t="n">
        <f aca="false">H98-H105-H142+H108</f>
        <v>75559.3634221776</v>
      </c>
      <c r="I147" s="83" t="n">
        <f aca="false">I98-I105-I142+I108</f>
        <v>83365.5538183129</v>
      </c>
      <c r="J147" s="83" t="n">
        <f aca="false">J98-J105-J142+J108</f>
        <v>89827.2450912826</v>
      </c>
      <c r="K147" s="83" t="n">
        <f aca="false">K98-K105-K142+K108</f>
        <v>90734.0608641745</v>
      </c>
      <c r="L147" s="83" t="n">
        <f aca="false">L98-L105-L142+L108</f>
        <v>86029.6600859121</v>
      </c>
      <c r="M147" s="83" t="n">
        <f aca="false">M98-M105-M142+M108</f>
        <v>79480.4052011263</v>
      </c>
      <c r="N147" s="83" t="n">
        <f aca="false">N98-N105-N142+N108</f>
        <v>78657.1399052059</v>
      </c>
      <c r="O147" s="83" t="n">
        <f aca="false">O98-O105-O142+O108</f>
        <v>78979.6331242824</v>
      </c>
      <c r="P147" s="83" t="n">
        <f aca="false">P98-P105-P142+P108</f>
        <v>79214.3744944582</v>
      </c>
      <c r="Q147" s="83" t="n">
        <f aca="false">Q98-Q105-Q142+Q108</f>
        <v>79353.6332467578</v>
      </c>
      <c r="R147" s="83" t="n">
        <f aca="false">R98-R105-R142+R108</f>
        <v>79389.156959403</v>
      </c>
      <c r="S147" s="83" t="n">
        <f aca="false">S98-S105-S142+S108</f>
        <v>60095.3011935066</v>
      </c>
      <c r="T147" s="83" t="n">
        <f aca="false">T98-T105-T142+T108</f>
        <v>86263.7784633714</v>
      </c>
      <c r="U147" s="83" t="n">
        <f aca="false">U98-U105-U142+U108</f>
        <v>86033.0239604495</v>
      </c>
      <c r="V147" s="83" t="n">
        <f aca="false">V98-V105-V142+V108</f>
        <v>85662.6265392153</v>
      </c>
      <c r="W147" s="83" t="n">
        <f aca="false">W98-W105-W142+W108</f>
        <v>85141.2818211141</v>
      </c>
    </row>
    <row r="148" customFormat="false" ht="15" hidden="false" customHeight="false" outlineLevel="0" collapsed="false">
      <c r="A148" s="10" t="s">
        <v>470</v>
      </c>
      <c r="C148" s="86" t="n">
        <v>0</v>
      </c>
      <c r="D148" s="86" t="n">
        <f aca="false">IF(D125&gt;0,D147/D125,"")</f>
        <v>10.898265231648</v>
      </c>
      <c r="E148" s="86" t="n">
        <f aca="false">IF(E125&gt;0,E147/E125,"")</f>
        <v>7.01249444467241</v>
      </c>
      <c r="F148" s="86" t="n">
        <f aca="false">IF(F125&gt;0,F147/F125,"")</f>
        <v>4.19522543440542</v>
      </c>
      <c r="G148" s="86" t="n">
        <f aca="false">IF(G125&gt;0,G147/G125,"")</f>
        <v>2.8380575896769</v>
      </c>
      <c r="H148" s="86" t="n">
        <f aca="false">IF(H125&gt;0,H147/H125,"")</f>
        <v>3.14179356643535</v>
      </c>
      <c r="I148" s="86" t="n">
        <f aca="false">IF(I125&gt;0,I147/I125,"")</f>
        <v>2.47392948909826</v>
      </c>
      <c r="J148" s="86" t="n">
        <f aca="false">IF(J125&gt;0,J147/J125,"")</f>
        <v>2.66568457087325</v>
      </c>
      <c r="K148" s="86" t="n">
        <f aca="false">IF(K125&gt;0,K147/K125,"")</f>
        <v>2.69259494547025</v>
      </c>
      <c r="L148" s="86" t="n">
        <f aca="false">IF(L125&gt;0,L147/L125,"")</f>
        <v>2.55298865389274</v>
      </c>
      <c r="M148" s="86" t="n">
        <f aca="false">IF(M125&gt;0,M147/M125,"")</f>
        <v>2.35863506240333</v>
      </c>
      <c r="N148" s="86" t="n">
        <f aca="false">IF(N125&gt;0,N147/N125,"")</f>
        <v>6.06644589048724</v>
      </c>
      <c r="O148" s="86" t="n">
        <f aca="false">IF(O125&gt;0,O147/O125,"")</f>
        <v>6.09131823730705</v>
      </c>
      <c r="P148" s="86" t="n">
        <f aca="false">IF(P125&gt;0,P147/P125,"")</f>
        <v>6.10942270718921</v>
      </c>
      <c r="Q148" s="86" t="n">
        <f aca="false">IF(Q125&gt;0,Q147/Q125,"")</f>
        <v>6.12016306320292</v>
      </c>
      <c r="R148" s="86" t="n">
        <f aca="false">IF(R125&gt;0,R147/R125,"")</f>
        <v>6.12290283585231</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272504.360313999</v>
      </c>
      <c r="C149" s="27" t="n">
        <f aca="false">-S_Tariff_Hi!$B$18-C129</f>
        <v>-338995.286407787</v>
      </c>
      <c r="D149" s="27" t="n">
        <f aca="false">D147-D125-D129</f>
        <v>142319.896714048</v>
      </c>
      <c r="E149" s="27" t="n">
        <f aca="false">E147-E125-E129</f>
        <v>81613.504413505</v>
      </c>
      <c r="F149" s="27" t="n">
        <f aca="false">F147-F125-F129</f>
        <v>76844.3867201461</v>
      </c>
      <c r="G149" s="27" t="n">
        <f aca="false">G147-G125-G129</f>
        <v>44204.8334725136</v>
      </c>
      <c r="H149" s="27" t="n">
        <f aca="false">H147-H125-H129</f>
        <v>46685.6726226703</v>
      </c>
      <c r="I149" s="27" t="n">
        <f aca="false">I147-I125-I129</f>
        <v>49667.9265473354</v>
      </c>
      <c r="J149" s="27" t="n">
        <f aca="false">J147-J125-J129</f>
        <v>56129.6178203051</v>
      </c>
      <c r="K149" s="27" t="n">
        <f aca="false">K147-K125-K129</f>
        <v>57036.4335931969</v>
      </c>
      <c r="L149" s="27" t="n">
        <f aca="false">L147-L125-L129</f>
        <v>52332.0328149346</v>
      </c>
      <c r="M149" s="27" t="n">
        <f aca="false">M147-M125-M129</f>
        <v>56148.6243287132</v>
      </c>
      <c r="N149" s="27" t="n">
        <f aca="false">N147-N125-N129</f>
        <v>65691.2054313572</v>
      </c>
      <c r="O149" s="27" t="n">
        <f aca="false">O147-O125-O129</f>
        <v>66013.6986504337</v>
      </c>
      <c r="P149" s="27" t="n">
        <f aca="false">P147-P125-P129</f>
        <v>66248.4400206096</v>
      </c>
      <c r="Q149" s="27" t="n">
        <f aca="false">Q147-Q125-Q129</f>
        <v>66387.6987729092</v>
      </c>
      <c r="R149" s="27" t="n">
        <f aca="false">R147-R125-R129</f>
        <v>72906.1897224787</v>
      </c>
      <c r="S149" s="27" t="n">
        <f aca="false">S147-S125-S129</f>
        <v>60095.3011935066</v>
      </c>
      <c r="T149" s="27" t="n">
        <f aca="false">T147-T125-T129</f>
        <v>86263.7784633714</v>
      </c>
      <c r="U149" s="27" t="n">
        <f aca="false">U147-U125-U129</f>
        <v>86033.0239604495</v>
      </c>
      <c r="V149" s="27" t="n">
        <f aca="false">V147-V125-V129</f>
        <v>85662.6265392153</v>
      </c>
      <c r="W149" s="27" t="n">
        <f aca="false">W147-W125-W129</f>
        <v>85141.2818211141</v>
      </c>
    </row>
    <row r="150" customFormat="false" ht="15" hidden="false" customHeight="false" outlineLevel="0" collapsed="false">
      <c r="A150" s="10" t="s">
        <v>472</v>
      </c>
      <c r="C150" s="83" t="n">
        <f aca="false">C149</f>
        <v>-338995.286407787</v>
      </c>
      <c r="D150" s="83" t="n">
        <f aca="false">C150+D149</f>
        <v>-196675.389693739</v>
      </c>
      <c r="E150" s="83" t="n">
        <f aca="false">D150+E149</f>
        <v>-115061.885280234</v>
      </c>
      <c r="F150" s="83" t="n">
        <f aca="false">E150+F149</f>
        <v>-38217.4985600883</v>
      </c>
      <c r="G150" s="83" t="n">
        <f aca="false">F150+G149</f>
        <v>5987.33491242527</v>
      </c>
      <c r="H150" s="83" t="n">
        <f aca="false">G150+H149</f>
        <v>52673.0075350956</v>
      </c>
      <c r="I150" s="83" t="n">
        <f aca="false">H150+I149</f>
        <v>102340.934082431</v>
      </c>
      <c r="J150" s="83" t="n">
        <f aca="false">I150+J149</f>
        <v>158470.551902736</v>
      </c>
      <c r="K150" s="83" t="n">
        <f aca="false">J150+K149</f>
        <v>215506.985495933</v>
      </c>
      <c r="L150" s="83" t="n">
        <f aca="false">K150+L149</f>
        <v>267839.018310867</v>
      </c>
      <c r="M150" s="83" t="n">
        <f aca="false">L150+M149</f>
        <v>323987.642639581</v>
      </c>
      <c r="N150" s="83" t="n">
        <f aca="false">M150+N149</f>
        <v>389678.848070938</v>
      </c>
      <c r="O150" s="83" t="n">
        <f aca="false">N150+O149</f>
        <v>455692.546721372</v>
      </c>
      <c r="P150" s="83" t="n">
        <f aca="false">O150+P149</f>
        <v>521940.986741981</v>
      </c>
      <c r="Q150" s="83" t="n">
        <f aca="false">P150+Q149</f>
        <v>588328.68551489</v>
      </c>
      <c r="R150" s="83" t="n">
        <f aca="false">Q150+R149</f>
        <v>661234.875237369</v>
      </c>
      <c r="S150" s="83" t="n">
        <f aca="false">R150+S149</f>
        <v>721330.176430876</v>
      </c>
      <c r="T150" s="83" t="n">
        <f aca="false">S150+T149</f>
        <v>807593.954894247</v>
      </c>
      <c r="U150" s="83" t="n">
        <f aca="false">T150+U149</f>
        <v>893626.978854697</v>
      </c>
      <c r="V150" s="83" t="n">
        <f aca="false">U150+V149</f>
        <v>979289.605393912</v>
      </c>
      <c r="W150" s="83" t="n">
        <f aca="false">V150+W149</f>
        <v>1064430.88721503</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1866825.44078385</v>
      </c>
      <c r="C155" s="83" t="n">
        <f aca="false">C83</f>
        <v>0</v>
      </c>
      <c r="D155" s="83" t="n">
        <f aca="false">D83</f>
        <v>88340.8647168</v>
      </c>
      <c r="E155" s="83" t="n">
        <f aca="false">E83</f>
        <v>132771.166452242</v>
      </c>
      <c r="F155" s="83" t="n">
        <f aca="false">F83</f>
        <v>165714.035869628</v>
      </c>
      <c r="G155" s="83" t="n">
        <f aca="false">G83</f>
        <v>175806.020654088</v>
      </c>
      <c r="H155" s="83" t="n">
        <f aca="false">H83</f>
        <v>186512.607311922</v>
      </c>
      <c r="I155" s="83" t="n">
        <f aca="false">I83</f>
        <v>197871.225097218</v>
      </c>
      <c r="J155" s="83" t="n">
        <f aca="false">J83</f>
        <v>209921.582705639</v>
      </c>
      <c r="K155" s="83" t="n">
        <f aca="false">K83</f>
        <v>222705.807092412</v>
      </c>
      <c r="L155" s="83" t="n">
        <f aca="false">L83</f>
        <v>236268.59074434</v>
      </c>
      <c r="M155" s="83" t="n">
        <f aca="false">M83</f>
        <v>250657.34792067</v>
      </c>
      <c r="N155" s="83" t="n">
        <f aca="false">N83</f>
        <v>265922.380409039</v>
      </c>
      <c r="O155" s="83" t="n">
        <f aca="false">O83</f>
        <v>282117.053375949</v>
      </c>
      <c r="P155" s="83" t="n">
        <f aca="false">P83</f>
        <v>299297.981926545</v>
      </c>
      <c r="Q155" s="83" t="n">
        <f aca="false">Q83</f>
        <v>317525.229025871</v>
      </c>
      <c r="R155" s="83" t="n">
        <f aca="false">R83</f>
        <v>336862.515473547</v>
      </c>
      <c r="S155" s="83" t="n">
        <f aca="false">S83</f>
        <v>357377.442665886</v>
      </c>
      <c r="T155" s="83" t="n">
        <f aca="false">T83</f>
        <v>379141.728924239</v>
      </c>
      <c r="U155" s="83" t="n">
        <f aca="false">U83</f>
        <v>402231.460215725</v>
      </c>
      <c r="V155" s="83" t="n">
        <f aca="false">V83</f>
        <v>426727.356142862</v>
      </c>
      <c r="W155" s="83" t="n">
        <f aca="false">W83</f>
        <v>452715.052131963</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f aca="false">1-SensDelta</f>
        <v>0.8</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MAX(0,S_Demand_Lo!$B$14-Grant)*SenPct</f>
        <v>110602.051030273</v>
      </c>
    </row>
    <row r="17" customFormat="false" ht="15" hidden="false" customHeight="false" outlineLevel="0" collapsed="false">
      <c r="A17" s="10" t="s">
        <v>248</v>
      </c>
      <c r="B17" s="61" t="n">
        <f aca="false">MAX(0,S_Demand_Lo!$B$14-Grant)*ConPct</f>
        <v>110602.051030273</v>
      </c>
    </row>
    <row r="18" customFormat="false" ht="15" hidden="false" customHeight="false" outlineLevel="0" collapsed="false">
      <c r="A18" s="10" t="s">
        <v>393</v>
      </c>
      <c r="B18" s="61" t="n">
        <f aca="false">MAX(0,S_Demand_Lo!$B$14-Grant-S_Demand_Lo!$B$16-S_Demand_Lo!$B$17)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-870553.434555729</v>
      </c>
    </row>
    <row r="21" customFormat="false" ht="15" hidden="false" customHeight="false" outlineLevel="0" collapsed="false">
      <c r="A21" s="10" t="s">
        <v>396</v>
      </c>
      <c r="B21" s="61" t="n">
        <f aca="false">$B$146</f>
        <v>-52633.073924625</v>
      </c>
    </row>
    <row r="22" customFormat="false" ht="15" hidden="false" customHeight="false" outlineLevel="0" collapsed="false">
      <c r="A22" s="10" t="s">
        <v>397</v>
      </c>
      <c r="B22" s="63" t="n">
        <f aca="false">IFERROR(IRR($C$145:$W$145),"n.d.")</f>
        <v>-0.0267062542692177</v>
      </c>
    </row>
    <row r="23" customFormat="false" ht="15" hidden="false" customHeight="false" outlineLevel="0" collapsed="false">
      <c r="A23" s="10" t="s">
        <v>398</v>
      </c>
      <c r="B23" s="63" t="n">
        <f aca="false">IFERROR(IRR($C$146:$W$146),"n.d.")</f>
        <v>0.0829986304868067</v>
      </c>
    </row>
    <row r="24" customFormat="false" ht="15" hidden="false" customHeight="false" outlineLevel="0" collapsed="false">
      <c r="A24" s="10" t="s">
        <v>384</v>
      </c>
      <c r="B24" s="61" t="n">
        <f aca="false">MAX(0,-$B$145)</f>
        <v>870553.434555729</v>
      </c>
    </row>
    <row r="25" customFormat="false" ht="15" hidden="false" customHeight="false" outlineLevel="0" collapsed="false">
      <c r="A25" s="10" t="s">
        <v>256</v>
      </c>
      <c r="B25" s="63" t="n">
        <f aca="false">IFERROR(IRR($C$149:$W$149),"n.d.")</f>
        <v>0.0737429427789</v>
      </c>
    </row>
    <row r="26" customFormat="false" ht="15" hidden="false" customHeight="false" outlineLevel="0" collapsed="false">
      <c r="A26" s="10" t="s">
        <v>258</v>
      </c>
      <c r="B26" s="61" t="n">
        <f aca="false">C149+NPV(TargetEqIRR,D149:W149)</f>
        <v>-135462.657263129</v>
      </c>
    </row>
    <row r="27" customFormat="false" ht="15" hidden="false" customHeight="false" outlineLevel="0" collapsed="false">
      <c r="A27" s="10" t="s">
        <v>252</v>
      </c>
      <c r="B27" s="62" t="n">
        <f aca="false">IF((S_Demand_Lo!$B$16+S_Demand_Lo!$B$17)&gt;0,MIN($D$148:$W$148),"pas de dette")</f>
        <v>0.645204449694965</v>
      </c>
    </row>
    <row r="28" customFormat="false" ht="15" hidden="false" customHeight="false" outlineLevel="0" collapsed="false">
      <c r="A28" s="10" t="s">
        <v>254</v>
      </c>
      <c r="B28" s="62" t="n">
        <f aca="false">IF((S_Demand_Lo!$B$16+S_Demand_Lo!$B$17)&gt;0,AVERAGE($D$148:$W$148),"pas de dette")</f>
        <v>2.86552257636691</v>
      </c>
    </row>
    <row r="29" customFormat="false" ht="15" hidden="false" customHeight="false" outlineLevel="0" collapsed="false">
      <c r="A29" s="10" t="s">
        <v>399</v>
      </c>
      <c r="B29" s="77" t="n">
        <f aca="false">IFERROR($B$153/$B$154,0)</f>
        <v>0.743853346011223</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29355.3447680609</v>
      </c>
    </row>
    <row r="36" customFormat="false" ht="15" hidden="false" customHeight="false" outlineLevel="0" collapsed="false">
      <c r="A36" s="10" t="s">
        <v>260</v>
      </c>
      <c r="B36" s="78" t="n">
        <f aca="false">IFERROR(MATCH(TRUE(),INDEX($C$150:$W$150&gt;=0,0),0)-1,"&gt; durée de vie")</f>
        <v>15</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0.8</v>
      </c>
      <c r="E45" s="82" t="n">
        <f aca="false">(1+DemandGrowth)^(E39-1)*LevDemand*$B$6</f>
        <v>0.824</v>
      </c>
      <c r="F45" s="82" t="n">
        <f aca="false">(1+DemandGrowth)^(F39-1)*LevDemand*$B$6</f>
        <v>0.84872</v>
      </c>
      <c r="G45" s="82" t="n">
        <f aca="false">(1+DemandGrowth)^(G39-1)*LevDemand*$B$6</f>
        <v>0.8741816</v>
      </c>
      <c r="H45" s="82" t="n">
        <f aca="false">(1+DemandGrowth)^(H39-1)*LevDemand*$B$6</f>
        <v>0.900407048</v>
      </c>
      <c r="I45" s="82" t="n">
        <f aca="false">(1+DemandGrowth)^(I39-1)*LevDemand*$B$6</f>
        <v>0.92741925944</v>
      </c>
      <c r="J45" s="82" t="n">
        <f aca="false">(1+DemandGrowth)^(J39-1)*LevDemand*$B$6</f>
        <v>0.9552418372232</v>
      </c>
      <c r="K45" s="82" t="n">
        <f aca="false">(1+DemandGrowth)^(K39-1)*LevDemand*$B$6</f>
        <v>0.983899092339896</v>
      </c>
      <c r="L45" s="82" t="n">
        <f aca="false">(1+DemandGrowth)^(L39-1)*LevDemand*$B$6</f>
        <v>1.01341606511009</v>
      </c>
      <c r="M45" s="82" t="n">
        <f aca="false">(1+DemandGrowth)^(M39-1)*LevDemand*$B$6</f>
        <v>1.0438185470634</v>
      </c>
      <c r="N45" s="82" t="n">
        <f aca="false">(1+DemandGrowth)^(N39-1)*LevDemand*$B$6</f>
        <v>1.0751331034753</v>
      </c>
      <c r="O45" s="82" t="n">
        <f aca="false">(1+DemandGrowth)^(O39-1)*LevDemand*$B$6</f>
        <v>1.10738709657956</v>
      </c>
      <c r="P45" s="82" t="n">
        <f aca="false">(1+DemandGrowth)^(P39-1)*LevDemand*$B$6</f>
        <v>1.14060870947694</v>
      </c>
      <c r="Q45" s="82" t="n">
        <f aca="false">(1+DemandGrowth)^(Q39-1)*LevDemand*$B$6</f>
        <v>1.17482697076125</v>
      </c>
      <c r="R45" s="82" t="n">
        <f aca="false">(1+DemandGrowth)^(R39-1)*LevDemand*$B$6</f>
        <v>1.21007177988409</v>
      </c>
      <c r="S45" s="82" t="n">
        <f aca="false">(1+DemandGrowth)^(S39-1)*LevDemand*$B$6</f>
        <v>1.24637393328061</v>
      </c>
      <c r="T45" s="82" t="n">
        <f aca="false">(1+DemandGrowth)^(T39-1)*LevDemand*$B$6</f>
        <v>1.28376515127903</v>
      </c>
      <c r="U45" s="82" t="n">
        <f aca="false">(1+DemandGrowth)^(U39-1)*LevDemand*$B$6</f>
        <v>1.3222781058174</v>
      </c>
      <c r="V45" s="82" t="n">
        <f aca="false">(1+DemandGrowth)^(V39-1)*LevDemand*$B$6</f>
        <v>1.36194644899192</v>
      </c>
      <c r="W45" s="82" t="n">
        <f aca="false">(1+DemandGrowth)^(W39-1)*LevDemand*$B$6</f>
        <v>1.40280484246168</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3031588.74113055</v>
      </c>
      <c r="C61" s="83" t="n">
        <v>0</v>
      </c>
      <c r="D61" s="83" t="n">
        <f aca="false">D48*Seg1_kWh*12*D45</f>
        <v>69120</v>
      </c>
      <c r="E61" s="83" t="n">
        <f aca="false">E48*Seg1_kWh*12*E45</f>
        <v>100857.6</v>
      </c>
      <c r="F61" s="83" t="n">
        <f aca="false">F48*Seg1_kWh*12*F45</f>
        <v>122215.68</v>
      </c>
      <c r="G61" s="83" t="n">
        <f aca="false">G48*Seg1_kWh*12*G45</f>
        <v>125882.1504</v>
      </c>
      <c r="H61" s="83" t="n">
        <f aca="false">H48*Seg1_kWh*12*H45</f>
        <v>129658.614912</v>
      </c>
      <c r="I61" s="83" t="n">
        <f aca="false">I48*Seg1_kWh*12*I45</f>
        <v>133548.37335936</v>
      </c>
      <c r="J61" s="83" t="n">
        <f aca="false">J48*Seg1_kWh*12*J45</f>
        <v>137554.824560141</v>
      </c>
      <c r="K61" s="83" t="n">
        <f aca="false">K48*Seg1_kWh*12*K45</f>
        <v>141681.469296945</v>
      </c>
      <c r="L61" s="83" t="n">
        <f aca="false">L48*Seg1_kWh*12*L45</f>
        <v>145931.913375853</v>
      </c>
      <c r="M61" s="83" t="n">
        <f aca="false">M48*Seg1_kWh*12*M45</f>
        <v>150309.870777129</v>
      </c>
      <c r="N61" s="83" t="n">
        <f aca="false">N48*Seg1_kWh*12*N45</f>
        <v>154819.166900443</v>
      </c>
      <c r="O61" s="83" t="n">
        <f aca="false">O48*Seg1_kWh*12*O45</f>
        <v>159463.741907456</v>
      </c>
      <c r="P61" s="83" t="n">
        <f aca="false">P48*Seg1_kWh*12*P45</f>
        <v>164247.65416468</v>
      </c>
      <c r="Q61" s="83" t="n">
        <f aca="false">Q48*Seg1_kWh*12*Q45</f>
        <v>169175.08378962</v>
      </c>
      <c r="R61" s="83" t="n">
        <f aca="false">R48*Seg1_kWh*12*R45</f>
        <v>174250.336303309</v>
      </c>
      <c r="S61" s="83" t="n">
        <f aca="false">S48*Seg1_kWh*12*S45</f>
        <v>179477.846392408</v>
      </c>
      <c r="T61" s="83" t="n">
        <f aca="false">T48*Seg1_kWh*12*T45</f>
        <v>184862.18178418</v>
      </c>
      <c r="U61" s="83" t="n">
        <f aca="false">U48*Seg1_kWh*12*U45</f>
        <v>190408.047237706</v>
      </c>
      <c r="V61" s="83" t="n">
        <f aca="false">V48*Seg1_kWh*12*V45</f>
        <v>196120.288654837</v>
      </c>
      <c r="W61" s="83" t="n">
        <f aca="false">W48*Seg1_kWh*12*W45</f>
        <v>202003.897314482</v>
      </c>
    </row>
    <row r="62" customFormat="false" ht="15" hidden="false" customHeight="false" outlineLevel="0" collapsed="false">
      <c r="A62" s="10" t="str">
        <f aca="false">"Énergie vendue (kWh) - "&amp;Seg2_Name</f>
        <v>Énergie vendue (kWh) - Usagers productifs (moulins, soudure, chambres froides)</v>
      </c>
      <c r="B62" s="61" t="n">
        <f aca="false">SUM(C62:W62)</f>
        <v>2355786.97895773</v>
      </c>
      <c r="C62" s="83" t="n">
        <v>0</v>
      </c>
      <c r="D62" s="83" t="n">
        <f aca="false">D49*Seg2_kWh*12*D45</f>
        <v>53711.7696</v>
      </c>
      <c r="E62" s="83" t="n">
        <f aca="false">E49*Seg2_kWh*12*E45</f>
        <v>78374.423808</v>
      </c>
      <c r="F62" s="83" t="n">
        <f aca="false">F49*Seg2_kWh*12*F45</f>
        <v>94971.3606144</v>
      </c>
      <c r="G62" s="83" t="n">
        <f aca="false">G49*Seg2_kWh*12*G45</f>
        <v>97820.501432832</v>
      </c>
      <c r="H62" s="83" t="n">
        <f aca="false">H49*Seg2_kWh*12*H45</f>
        <v>100755.116475817</v>
      </c>
      <c r="I62" s="83" t="n">
        <f aca="false">I49*Seg2_kWh*12*I45</f>
        <v>103777.769970091</v>
      </c>
      <c r="J62" s="83" t="n">
        <f aca="false">J49*Seg2_kWh*12*J45</f>
        <v>106891.103069194</v>
      </c>
      <c r="K62" s="83" t="n">
        <f aca="false">K49*Seg2_kWh*12*K45</f>
        <v>110097.83616127</v>
      </c>
      <c r="L62" s="83" t="n">
        <f aca="false">L49*Seg2_kWh*12*L45</f>
        <v>113400.771246108</v>
      </c>
      <c r="M62" s="83" t="n">
        <f aca="false">M49*Seg2_kWh*12*M45</f>
        <v>116802.794383491</v>
      </c>
      <c r="N62" s="83" t="n">
        <f aca="false">N49*Seg2_kWh*12*N45</f>
        <v>120306.878214996</v>
      </c>
      <c r="O62" s="83" t="n">
        <f aca="false">O49*Seg2_kWh*12*O45</f>
        <v>123916.084561446</v>
      </c>
      <c r="P62" s="83" t="n">
        <f aca="false">P49*Seg2_kWh*12*P45</f>
        <v>127633.567098289</v>
      </c>
      <c r="Q62" s="83" t="n">
        <f aca="false">Q49*Seg2_kWh*12*Q45</f>
        <v>131462.574111238</v>
      </c>
      <c r="R62" s="83" t="n">
        <f aca="false">R49*Seg2_kWh*12*R45</f>
        <v>135406.451334575</v>
      </c>
      <c r="S62" s="83" t="n">
        <f aca="false">S49*Seg2_kWh*12*S45</f>
        <v>139468.644874613</v>
      </c>
      <c r="T62" s="83" t="n">
        <f aca="false">T49*Seg2_kWh*12*T45</f>
        <v>143652.704220851</v>
      </c>
      <c r="U62" s="83" t="n">
        <f aca="false">U49*Seg2_kWh*12*U45</f>
        <v>147962.285347476</v>
      </c>
      <c r="V62" s="83" t="n">
        <f aca="false">V49*Seg2_kWh*12*V45</f>
        <v>152401.153907901</v>
      </c>
      <c r="W62" s="83" t="n">
        <f aca="false">W49*Seg2_kWh*12*W45</f>
        <v>156973.188525138</v>
      </c>
    </row>
    <row r="63" customFormat="false" ht="15" hidden="false" customHeight="false" outlineLevel="0" collapsed="false">
      <c r="A63" s="10" t="str">
        <f aca="false">"Énergie vendue (kWh) - "&amp;Seg3_Name</f>
        <v>Énergie vendue (kWh) - Commerces (boutiques, bars, kiosques)</v>
      </c>
      <c r="B63" s="61" t="n">
        <f aca="false">SUM(C63:W63)</f>
        <v>1263161.97547106</v>
      </c>
      <c r="C63" s="83" t="n">
        <v>0</v>
      </c>
      <c r="D63" s="83" t="n">
        <f aca="false">D50*Seg3_kWh*12*D45</f>
        <v>28800</v>
      </c>
      <c r="E63" s="83" t="n">
        <f aca="false">E50*Seg3_kWh*12*E45</f>
        <v>42024</v>
      </c>
      <c r="F63" s="83" t="n">
        <f aca="false">F50*Seg3_kWh*12*F45</f>
        <v>50923.2</v>
      </c>
      <c r="G63" s="83" t="n">
        <f aca="false">G50*Seg3_kWh*12*G45</f>
        <v>52450.896</v>
      </c>
      <c r="H63" s="83" t="n">
        <f aca="false">H50*Seg3_kWh*12*H45</f>
        <v>54024.42288</v>
      </c>
      <c r="I63" s="83" t="n">
        <f aca="false">I50*Seg3_kWh*12*I45</f>
        <v>55645.1555664</v>
      </c>
      <c r="J63" s="83" t="n">
        <f aca="false">J50*Seg3_kWh*12*J45</f>
        <v>57314.510233392</v>
      </c>
      <c r="K63" s="83" t="n">
        <f aca="false">K50*Seg3_kWh*12*K45</f>
        <v>59033.9455403938</v>
      </c>
      <c r="L63" s="83" t="n">
        <f aca="false">L50*Seg3_kWh*12*L45</f>
        <v>60804.9639066056</v>
      </c>
      <c r="M63" s="83" t="n">
        <f aca="false">M50*Seg3_kWh*12*M45</f>
        <v>62629.1128238038</v>
      </c>
      <c r="N63" s="83" t="n">
        <f aca="false">N50*Seg3_kWh*12*N45</f>
        <v>64507.9862085179</v>
      </c>
      <c r="O63" s="83" t="n">
        <f aca="false">O50*Seg3_kWh*12*O45</f>
        <v>66443.2257947734</v>
      </c>
      <c r="P63" s="83" t="n">
        <f aca="false">P50*Seg3_kWh*12*P45</f>
        <v>68436.5225686166</v>
      </c>
      <c r="Q63" s="83" t="n">
        <f aca="false">Q50*Seg3_kWh*12*Q45</f>
        <v>70489.6182456751</v>
      </c>
      <c r="R63" s="83" t="n">
        <f aca="false">R50*Seg3_kWh*12*R45</f>
        <v>72604.3067930454</v>
      </c>
      <c r="S63" s="83" t="n">
        <f aca="false">S50*Seg3_kWh*12*S45</f>
        <v>74782.4359968367</v>
      </c>
      <c r="T63" s="83" t="n">
        <f aca="false">T50*Seg3_kWh*12*T45</f>
        <v>77025.9090767418</v>
      </c>
      <c r="U63" s="83" t="n">
        <f aca="false">U50*Seg3_kWh*12*U45</f>
        <v>79336.6863490441</v>
      </c>
      <c r="V63" s="83" t="n">
        <f aca="false">V50*Seg3_kWh*12*V45</f>
        <v>81716.7869395154</v>
      </c>
      <c r="W63" s="83" t="n">
        <f aca="false">W50*Seg3_kWh*12*W45</f>
        <v>84168.2905477009</v>
      </c>
    </row>
    <row r="64" customFormat="false" ht="15" hidden="false" customHeight="false" outlineLevel="0" collapsed="false">
      <c r="A64" s="10" t="str">
        <f aca="false">"Énergie vendue (kWh) - "&amp;Seg4_Name</f>
        <v>Énergie vendue (kWh) - Institutions (centre de santé, école, eau)</v>
      </c>
      <c r="B64" s="61" t="n">
        <f aca="false">SUM(C64:W64)</f>
        <v>757897.185282638</v>
      </c>
      <c r="C64" s="83" t="n">
        <v>0</v>
      </c>
      <c r="D64" s="83" t="n">
        <f aca="false">D51*Seg4_kWh*12*D45</f>
        <v>17280</v>
      </c>
      <c r="E64" s="83" t="n">
        <f aca="false">E51*Seg4_kWh*12*E45</f>
        <v>25214.4</v>
      </c>
      <c r="F64" s="83" t="n">
        <f aca="false">F51*Seg4_kWh*12*F45</f>
        <v>30553.92</v>
      </c>
      <c r="G64" s="83" t="n">
        <f aca="false">G51*Seg4_kWh*12*G45</f>
        <v>31470.5376</v>
      </c>
      <c r="H64" s="83" t="n">
        <f aca="false">H51*Seg4_kWh*12*H45</f>
        <v>32414.653728</v>
      </c>
      <c r="I64" s="83" t="n">
        <f aca="false">I51*Seg4_kWh*12*I45</f>
        <v>33387.09333984</v>
      </c>
      <c r="J64" s="83" t="n">
        <f aca="false">J51*Seg4_kWh*12*J45</f>
        <v>34388.7061400352</v>
      </c>
      <c r="K64" s="83" t="n">
        <f aca="false">K51*Seg4_kWh*12*K45</f>
        <v>35420.3673242363</v>
      </c>
      <c r="L64" s="83" t="n">
        <f aca="false">L51*Seg4_kWh*12*L45</f>
        <v>36482.9783439634</v>
      </c>
      <c r="M64" s="83" t="n">
        <f aca="false">M51*Seg4_kWh*12*M45</f>
        <v>37577.4676942823</v>
      </c>
      <c r="N64" s="83" t="n">
        <f aca="false">N51*Seg4_kWh*12*N45</f>
        <v>38704.7917251107</v>
      </c>
      <c r="O64" s="83" t="n">
        <f aca="false">O51*Seg4_kWh*12*O45</f>
        <v>39865.935476864</v>
      </c>
      <c r="P64" s="83" t="n">
        <f aca="false">P51*Seg4_kWh*12*P45</f>
        <v>41061.91354117</v>
      </c>
      <c r="Q64" s="83" t="n">
        <f aca="false">Q51*Seg4_kWh*12*Q45</f>
        <v>42293.7709474051</v>
      </c>
      <c r="R64" s="83" t="n">
        <f aca="false">R51*Seg4_kWh*12*R45</f>
        <v>43562.5840758272</v>
      </c>
      <c r="S64" s="83" t="n">
        <f aca="false">S51*Seg4_kWh*12*S45</f>
        <v>44869.461598102</v>
      </c>
      <c r="T64" s="83" t="n">
        <f aca="false">T51*Seg4_kWh*12*T45</f>
        <v>46215.5454460451</v>
      </c>
      <c r="U64" s="83" t="n">
        <f aca="false">U51*Seg4_kWh*12*U45</f>
        <v>47602.0118094265</v>
      </c>
      <c r="V64" s="83" t="n">
        <f aca="false">V51*Seg4_kWh*12*V45</f>
        <v>49030.0721637093</v>
      </c>
      <c r="W64" s="83" t="n">
        <f aca="false">W51*Seg4_kWh*12*W45</f>
        <v>50500.9743286205</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7408434.88084198</v>
      </c>
      <c r="C66" s="27" t="n">
        <f aca="false">C61+C62+C63+C64+C65</f>
        <v>0</v>
      </c>
      <c r="D66" s="27" t="n">
        <f aca="false">D61+D62+D63+D64+D65</f>
        <v>168911.7696</v>
      </c>
      <c r="E66" s="27" t="n">
        <f aca="false">E61+E62+E63+E64+E65</f>
        <v>246470.423808</v>
      </c>
      <c r="F66" s="27" t="n">
        <f aca="false">F61+F62+F63+F64+F65</f>
        <v>298664.1606144</v>
      </c>
      <c r="G66" s="27" t="n">
        <f aca="false">G61+G62+G63+G64+G65</f>
        <v>307624.085432832</v>
      </c>
      <c r="H66" s="27" t="n">
        <f aca="false">H61+H62+H63+H64+H65</f>
        <v>316852.807995817</v>
      </c>
      <c r="I66" s="27" t="n">
        <f aca="false">I61+I62+I63+I64+I65</f>
        <v>326358.392235692</v>
      </c>
      <c r="J66" s="27" t="n">
        <f aca="false">J61+J62+J63+J64+J65</f>
        <v>336149.144002762</v>
      </c>
      <c r="K66" s="27" t="n">
        <f aca="false">K61+K62+K63+K64+K65</f>
        <v>346233.618322845</v>
      </c>
      <c r="L66" s="27" t="n">
        <f aca="false">L61+L62+L63+L64+L65</f>
        <v>356620.626872531</v>
      </c>
      <c r="M66" s="27" t="n">
        <f aca="false">M61+M62+M63+M64+M65</f>
        <v>367319.245678707</v>
      </c>
      <c r="N66" s="27" t="n">
        <f aca="false">N61+N62+N63+N64+N65</f>
        <v>378338.823049068</v>
      </c>
      <c r="O66" s="27" t="n">
        <f aca="false">O61+O62+O63+O64+O65</f>
        <v>389688.98774054</v>
      </c>
      <c r="P66" s="27" t="n">
        <f aca="false">P61+P62+P63+P64+P65</f>
        <v>401379.657372756</v>
      </c>
      <c r="Q66" s="27" t="n">
        <f aca="false">Q61+Q62+Q63+Q64+Q65</f>
        <v>413421.047093939</v>
      </c>
      <c r="R66" s="27" t="n">
        <f aca="false">R61+R62+R63+R64+R65</f>
        <v>425823.678506757</v>
      </c>
      <c r="S66" s="27" t="n">
        <f aca="false">S61+S62+S63+S64+S65</f>
        <v>438598.388861959</v>
      </c>
      <c r="T66" s="27" t="n">
        <f aca="false">T61+T62+T63+T64+T65</f>
        <v>451756.340527818</v>
      </c>
      <c r="U66" s="27" t="n">
        <f aca="false">U61+U62+U63+U64+U65</f>
        <v>465309.030743653</v>
      </c>
      <c r="V66" s="27" t="n">
        <f aca="false">V61+V62+V63+V64+V65</f>
        <v>479268.301665962</v>
      </c>
      <c r="W66" s="27" t="n">
        <f aca="false">W61+W62+W63+W64+W65</f>
        <v>493646.350715941</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8418676.00095679</v>
      </c>
      <c r="C69" s="83" t="n">
        <v>0</v>
      </c>
      <c r="D69" s="83" t="n">
        <f aca="false">D66/(1-Losses)</f>
        <v>191945.192727273</v>
      </c>
      <c r="E69" s="83" t="n">
        <f aca="false">E66/(1-Losses)</f>
        <v>280080.027054545</v>
      </c>
      <c r="F69" s="83" t="n">
        <f aca="false">F66/(1-Losses)</f>
        <v>339391.091607273</v>
      </c>
      <c r="G69" s="83" t="n">
        <f aca="false">G66/(1-Losses)</f>
        <v>349572.824355491</v>
      </c>
      <c r="H69" s="83" t="n">
        <f aca="false">H66/(1-Losses)</f>
        <v>360060.009086156</v>
      </c>
      <c r="I69" s="83" t="n">
        <f aca="false">I66/(1-Losses)</f>
        <v>370861.80935874</v>
      </c>
      <c r="J69" s="83" t="n">
        <f aca="false">J66/(1-Losses)</f>
        <v>381987.663639503</v>
      </c>
      <c r="K69" s="83" t="n">
        <f aca="false">K66/(1-Losses)</f>
        <v>393447.293548688</v>
      </c>
      <c r="L69" s="83" t="n">
        <f aca="false">L66/(1-Losses)</f>
        <v>405250.712355148</v>
      </c>
      <c r="M69" s="83" t="n">
        <f aca="false">M66/(1-Losses)</f>
        <v>417408.233725803</v>
      </c>
      <c r="N69" s="83" t="n">
        <f aca="false">N66/(1-Losses)</f>
        <v>429930.480737577</v>
      </c>
      <c r="O69" s="83" t="n">
        <f aca="false">O66/(1-Losses)</f>
        <v>442828.395159704</v>
      </c>
      <c r="P69" s="83" t="n">
        <f aca="false">P66/(1-Losses)</f>
        <v>456113.247014495</v>
      </c>
      <c r="Q69" s="83" t="n">
        <f aca="false">Q66/(1-Losses)</f>
        <v>469796.64442493</v>
      </c>
      <c r="R69" s="83" t="n">
        <f aca="false">R66/(1-Losses)</f>
        <v>483890.543757678</v>
      </c>
      <c r="S69" s="83" t="n">
        <f aca="false">S66/(1-Losses)</f>
        <v>498407.260070408</v>
      </c>
      <c r="T69" s="83" t="n">
        <f aca="false">T66/(1-Losses)</f>
        <v>513359.477872521</v>
      </c>
      <c r="U69" s="83" t="n">
        <f aca="false">U66/(1-Losses)</f>
        <v>528760.262208697</v>
      </c>
      <c r="V69" s="83" t="n">
        <f aca="false">V66/(1-Losses)</f>
        <v>544623.070074957</v>
      </c>
      <c r="W69" s="83" t="n">
        <f aca="false">W66/(1-Losses)</f>
        <v>560961.762177206</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7173862.69455165</v>
      </c>
      <c r="C71" s="83" t="n">
        <v>0</v>
      </c>
      <c r="D71" s="83" t="n">
        <f aca="false">MIN(D70,D69*SolarFraction)</f>
        <v>172750.673454545</v>
      </c>
      <c r="E71" s="83" t="n">
        <f aca="false">MIN(E70,E69*SolarFraction)</f>
        <v>252072.024349091</v>
      </c>
      <c r="F71" s="83" t="n">
        <f aca="false">MIN(F70,F69*SolarFraction)</f>
        <v>305451.982446546</v>
      </c>
      <c r="G71" s="83" t="n">
        <f aca="false">MIN(G70,G69*SolarFraction)</f>
        <v>314615.541919942</v>
      </c>
      <c r="H71" s="83" t="n">
        <f aca="false">MIN(H70,H69*SolarFraction)</f>
        <v>324054.00817754</v>
      </c>
      <c r="I71" s="83" t="n">
        <f aca="false">MIN(I70,I69*SolarFraction)</f>
        <v>333775.628422866</v>
      </c>
      <c r="J71" s="83" t="n">
        <f aca="false">MIN(J70,J69*SolarFraction)</f>
        <v>343788.897275552</v>
      </c>
      <c r="K71" s="83" t="n">
        <f aca="false">MIN(K70,K69*SolarFraction)</f>
        <v>354102.564193819</v>
      </c>
      <c r="L71" s="83" t="n">
        <f aca="false">MIN(L70,L69*SolarFraction)</f>
        <v>364725.641119633</v>
      </c>
      <c r="M71" s="83" t="n">
        <f aca="false">MIN(M70,M69*SolarFraction)</f>
        <v>375667.410353223</v>
      </c>
      <c r="N71" s="83" t="n">
        <f aca="false">MIN(N70,N69*SolarFraction)</f>
        <v>386937.432663819</v>
      </c>
      <c r="O71" s="83" t="n">
        <f aca="false">MIN(O70,O69*SolarFraction)</f>
        <v>398545.555643734</v>
      </c>
      <c r="P71" s="83" t="n">
        <f aca="false">MIN(P70,P69*SolarFraction)</f>
        <v>410501.922313046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1244813.30640515</v>
      </c>
      <c r="C72" s="83" t="n">
        <v>0</v>
      </c>
      <c r="D72" s="83" t="n">
        <f aca="false">D69-D71</f>
        <v>19194.5192727273</v>
      </c>
      <c r="E72" s="83" t="n">
        <f aca="false">E69-E71</f>
        <v>28008.0027054545</v>
      </c>
      <c r="F72" s="83" t="n">
        <f aca="false">F69-F71</f>
        <v>33939.1091607272</v>
      </c>
      <c r="G72" s="83" t="n">
        <f aca="false">G69-G71</f>
        <v>34957.2824355491</v>
      </c>
      <c r="H72" s="83" t="n">
        <f aca="false">H69-H71</f>
        <v>36006.0009086155</v>
      </c>
      <c r="I72" s="83" t="n">
        <f aca="false">I69-I71</f>
        <v>37086.1809358741</v>
      </c>
      <c r="J72" s="83" t="n">
        <f aca="false">J69-J71</f>
        <v>38198.7663639503</v>
      </c>
      <c r="K72" s="83" t="n">
        <f aca="false">K69-K71</f>
        <v>39344.7293548688</v>
      </c>
      <c r="L72" s="83" t="n">
        <f aca="false">L69-L71</f>
        <v>40525.0712355148</v>
      </c>
      <c r="M72" s="83" t="n">
        <f aca="false">M69-M71</f>
        <v>41740.8233725803</v>
      </c>
      <c r="N72" s="83" t="n">
        <f aca="false">N69-N71</f>
        <v>42993.0480737577</v>
      </c>
      <c r="O72" s="83" t="n">
        <f aca="false">O69-O71</f>
        <v>44282.8395159704</v>
      </c>
      <c r="P72" s="83" t="n">
        <f aca="false">P69-P71</f>
        <v>45611.3247014495</v>
      </c>
      <c r="Q72" s="83" t="n">
        <f aca="false">Q69-Q71</f>
        <v>58409.3720849962</v>
      </c>
      <c r="R72" s="83" t="n">
        <f aca="false">R69-R71</f>
        <v>74560.2077794437</v>
      </c>
      <c r="S72" s="83" t="n">
        <f aca="false">S69-S71</f>
        <v>91123.5757720652</v>
      </c>
      <c r="T72" s="83" t="n">
        <f aca="false">T69-T71</f>
        <v>108112.211995669</v>
      </c>
      <c r="U72" s="83" t="n">
        <f aca="false">U69-U71</f>
        <v>125539.232661229</v>
      </c>
      <c r="V72" s="83" t="n">
        <f aca="false">V69-V71</f>
        <v>143418.145675227</v>
      </c>
      <c r="W72" s="83" t="n">
        <f aca="false">W69-W71</f>
        <v>161762.862399475</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0.9</v>
      </c>
      <c r="K73" s="81" t="n">
        <f aca="false">IFERROR(K71/K69,0)</f>
        <v>0.9</v>
      </c>
      <c r="L73" s="81" t="n">
        <f aca="false">IFERROR(L71/L69,0)</f>
        <v>0.9</v>
      </c>
      <c r="M73" s="81" t="n">
        <f aca="false">IFERROR(M71/M69,0)</f>
        <v>0.9</v>
      </c>
      <c r="N73" s="81" t="n">
        <f aca="false">IFERROR(N71/N69,0)</f>
        <v>0.9</v>
      </c>
      <c r="O73" s="81" t="n">
        <f aca="false">IFERROR(O71/O69,0)</f>
        <v>0.9</v>
      </c>
      <c r="P73" s="81" t="n">
        <f aca="false">IFERROR(P71/P69,0)</f>
        <v>0.9</v>
      </c>
      <c r="Q73" s="81" t="n">
        <f aca="false">IFERROR(Q71/Q69,0)</f>
        <v>0.875670946614585</v>
      </c>
      <c r="R73" s="81" t="n">
        <f aca="false">IFERROR(R71/R69,0)</f>
        <v>0.845915137749041</v>
      </c>
      <c r="S73" s="81" t="n">
        <f aca="false">IFERROR(S71/S69,0)</f>
        <v>0.817170448602229</v>
      </c>
      <c r="T73" s="81" t="n">
        <f aca="false">IFERROR(T71/T69,0)</f>
        <v>0.789402520737104</v>
      </c>
      <c r="U73" s="81" t="n">
        <f aca="false">IFERROR(U71/U69,0)</f>
        <v>0.762578163236329</v>
      </c>
      <c r="V73" s="81" t="n">
        <f aca="false">IFERROR(V71/V69,0)</f>
        <v>0.736665313029269</v>
      </c>
      <c r="W73" s="81" t="n">
        <f aca="false">IFERROR(W71/W69,0)</f>
        <v>0.711632996567109</v>
      </c>
    </row>
    <row r="74" customFormat="false" ht="15" hidden="false" customHeight="false" outlineLevel="0" collapsed="false">
      <c r="A74" s="10" t="s">
        <v>423</v>
      </c>
      <c r="B74" s="61" t="n">
        <f aca="false">SUM(C74:W74)</f>
        <v>414937.768801715</v>
      </c>
      <c r="C74" s="83" t="n">
        <v>0</v>
      </c>
      <c r="D74" s="83" t="n">
        <f aca="false">D72/DieselEff</f>
        <v>6398.17309090909</v>
      </c>
      <c r="E74" s="83" t="n">
        <f aca="false">E72/DieselEff</f>
        <v>9336.00090181818</v>
      </c>
      <c r="F74" s="83" t="n">
        <f aca="false">F72/DieselEff</f>
        <v>11313.0363869091</v>
      </c>
      <c r="G74" s="83" t="n">
        <f aca="false">G72/DieselEff</f>
        <v>11652.4274785164</v>
      </c>
      <c r="H74" s="83" t="n">
        <f aca="false">H72/DieselEff</f>
        <v>12002.0003028718</v>
      </c>
      <c r="I74" s="83" t="n">
        <f aca="false">I72/DieselEff</f>
        <v>12362.060311958</v>
      </c>
      <c r="J74" s="83" t="n">
        <f aca="false">J72/DieselEff</f>
        <v>12732.9221213168</v>
      </c>
      <c r="K74" s="83" t="n">
        <f aca="false">K72/DieselEff</f>
        <v>13114.9097849563</v>
      </c>
      <c r="L74" s="83" t="n">
        <f aca="false">L72/DieselEff</f>
        <v>13508.3570785049</v>
      </c>
      <c r="M74" s="83" t="n">
        <f aca="false">M72/DieselEff</f>
        <v>13913.6077908601</v>
      </c>
      <c r="N74" s="83" t="n">
        <f aca="false">N72/DieselEff</f>
        <v>14331.0160245859</v>
      </c>
      <c r="O74" s="83" t="n">
        <f aca="false">O72/DieselEff</f>
        <v>14760.9465053235</v>
      </c>
      <c r="P74" s="83" t="n">
        <f aca="false">P72/DieselEff</f>
        <v>15203.7749004832</v>
      </c>
      <c r="Q74" s="83" t="n">
        <f aca="false">Q72/DieselEff</f>
        <v>19469.7906949987</v>
      </c>
      <c r="R74" s="83" t="n">
        <f aca="false">R72/DieselEff</f>
        <v>24853.4025931479</v>
      </c>
      <c r="S74" s="83" t="n">
        <f aca="false">S72/DieselEff</f>
        <v>30374.5252573551</v>
      </c>
      <c r="T74" s="83" t="n">
        <f aca="false">T72/DieselEff</f>
        <v>36037.4039985564</v>
      </c>
      <c r="U74" s="83" t="n">
        <f aca="false">U72/DieselEff</f>
        <v>41846.4108870764</v>
      </c>
      <c r="V74" s="83" t="n">
        <f aca="false">V72/DieselEff</f>
        <v>47806.0485584092</v>
      </c>
      <c r="W74" s="83" t="n">
        <f aca="false">W72/DieselEff</f>
        <v>53920.9541331583</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1685806.51166827</v>
      </c>
      <c r="C77" s="83" t="n">
        <v>0</v>
      </c>
      <c r="D77" s="83" t="n">
        <f aca="false">D61*Seg1_Tariff*LevTariff*$B$5*D43</f>
        <v>27648</v>
      </c>
      <c r="E77" s="83" t="n">
        <f aca="false">E61*Seg1_Tariff*LevTariff*$B$5*E43</f>
        <v>41553.3312</v>
      </c>
      <c r="F77" s="83" t="n">
        <f aca="false">F61*Seg1_Tariff*LevTariff*$B$5*F43</f>
        <v>51863.4459648</v>
      </c>
      <c r="G77" s="83" t="n">
        <f aca="false">G61*Seg1_Tariff*LevTariff*$B$5*G43</f>
        <v>55021.9298240563</v>
      </c>
      <c r="H77" s="83" t="n">
        <f aca="false">H61*Seg1_Tariff*LevTariff*$B$5*H43</f>
        <v>58372.7653503414</v>
      </c>
      <c r="I77" s="83" t="n">
        <f aca="false">I61*Seg1_Tariff*LevTariff*$B$5*I43</f>
        <v>61927.6667601772</v>
      </c>
      <c r="J77" s="83" t="n">
        <f aca="false">J61*Seg1_Tariff*LevTariff*$B$5*J43</f>
        <v>65699.0616658719</v>
      </c>
      <c r="K77" s="83" t="n">
        <f aca="false">K61*Seg1_Tariff*LevTariff*$B$5*K43</f>
        <v>69700.1345213236</v>
      </c>
      <c r="L77" s="83" t="n">
        <f aca="false">L61*Seg1_Tariff*LevTariff*$B$5*L43</f>
        <v>73944.8727136722</v>
      </c>
      <c r="M77" s="83" t="n">
        <f aca="false">M61*Seg1_Tariff*LevTariff*$B$5*M43</f>
        <v>78448.1154619348</v>
      </c>
      <c r="N77" s="83" t="n">
        <f aca="false">N61*Seg1_Tariff*LevTariff*$B$5*N43</f>
        <v>83225.6056935666</v>
      </c>
      <c r="O77" s="83" t="n">
        <f aca="false">O61*Seg1_Tariff*LevTariff*$B$5*O43</f>
        <v>88294.0450803048</v>
      </c>
      <c r="P77" s="83" t="n">
        <f aca="false">P61*Seg1_Tariff*LevTariff*$B$5*P43</f>
        <v>93671.1524256954</v>
      </c>
      <c r="Q77" s="83" t="n">
        <f aca="false">Q61*Seg1_Tariff*LevTariff*$B$5*Q43</f>
        <v>99375.7256084203</v>
      </c>
      <c r="R77" s="83" t="n">
        <f aca="false">R61*Seg1_Tariff*LevTariff*$B$5*R43</f>
        <v>105427.707297973</v>
      </c>
      <c r="S77" s="83" t="n">
        <f aca="false">S61*Seg1_Tariff*LevTariff*$B$5*S43</f>
        <v>111848.25467242</v>
      </c>
      <c r="T77" s="83" t="n">
        <f aca="false">T61*Seg1_Tariff*LevTariff*$B$5*T43</f>
        <v>118659.81338197</v>
      </c>
      <c r="U77" s="83" t="n">
        <f aca="false">U61*Seg1_Tariff*LevTariff*$B$5*U43</f>
        <v>125886.196016932</v>
      </c>
      <c r="V77" s="83" t="n">
        <f aca="false">V61*Seg1_Tariff*LevTariff*$B$5*V43</f>
        <v>133552.665354363</v>
      </c>
      <c r="W77" s="83" t="n">
        <f aca="false">W61*Seg1_Tariff*LevTariff*$B$5*W43</f>
        <v>141686.022674444</v>
      </c>
    </row>
    <row r="78" customFormat="false" ht="15" hidden="false" customHeight="false" outlineLevel="0" collapsed="false">
      <c r="A78" s="10" t="str">
        <f aca="false">"Recettes facturées - "&amp;Seg2_Name</f>
        <v>Recettes facturées - Usagers productifs (moulins, soudure, chambres froides)</v>
      </c>
      <c r="B78" s="61" t="n">
        <f aca="false">SUM(C78:W78)</f>
        <v>1146255.70857628</v>
      </c>
      <c r="C78" s="83" t="n">
        <v>0</v>
      </c>
      <c r="D78" s="83" t="n">
        <f aca="false">D62*Seg2_Tariff*LevTariff*$B$5*D43</f>
        <v>18799.11936</v>
      </c>
      <c r="E78" s="83" t="n">
        <f aca="false">E62*Seg2_Tariff*LevTariff*$B$5*E43</f>
        <v>28253.979782784</v>
      </c>
      <c r="F78" s="83" t="n">
        <f aca="false">F62*Seg2_Tariff*LevTariff*$B$5*F43</f>
        <v>35264.2907665359</v>
      </c>
      <c r="G78" s="83" t="n">
        <f aca="false">G62*Seg2_Tariff*LevTariff*$B$5*G43</f>
        <v>37411.886074218</v>
      </c>
      <c r="H78" s="83" t="n">
        <f aca="false">H62*Seg2_Tariff*LevTariff*$B$5*H43</f>
        <v>39690.2699361379</v>
      </c>
      <c r="I78" s="83" t="n">
        <f aca="false">I62*Seg2_Tariff*LevTariff*$B$5*I43</f>
        <v>42107.4073752486</v>
      </c>
      <c r="J78" s="83" t="n">
        <f aca="false">J62*Seg2_Tariff*LevTariff*$B$5*J43</f>
        <v>44671.7484844013</v>
      </c>
      <c r="K78" s="83" t="n">
        <f aca="false">K62*Seg2_Tariff*LevTariff*$B$5*K43</f>
        <v>47392.2579671013</v>
      </c>
      <c r="L78" s="83" t="n">
        <f aca="false">L62*Seg2_Tariff*LevTariff*$B$5*L43</f>
        <v>50278.4464772978</v>
      </c>
      <c r="M78" s="83" t="n">
        <f aca="false">M62*Seg2_Tariff*LevTariff*$B$5*M43</f>
        <v>53340.4038677653</v>
      </c>
      <c r="N78" s="83" t="n">
        <f aca="false">N62*Seg2_Tariff*LevTariff*$B$5*N43</f>
        <v>56588.8344633122</v>
      </c>
      <c r="O78" s="83" t="n">
        <f aca="false">O62*Seg2_Tariff*LevTariff*$B$5*O43</f>
        <v>60035.0944821279</v>
      </c>
      <c r="P78" s="83" t="n">
        <f aca="false">P62*Seg2_Tariff*LevTariff*$B$5*P43</f>
        <v>63691.2317360894</v>
      </c>
      <c r="Q78" s="83" t="n">
        <f aca="false">Q62*Seg2_Tariff*LevTariff*$B$5*Q43</f>
        <v>67570.0277488173</v>
      </c>
      <c r="R78" s="83" t="n">
        <f aca="false">R62*Seg2_Tariff*LevTariff*$B$5*R43</f>
        <v>71685.0424387203</v>
      </c>
      <c r="S78" s="83" t="n">
        <f aca="false">S62*Seg2_Tariff*LevTariff*$B$5*S43</f>
        <v>76050.6615232384</v>
      </c>
      <c r="T78" s="83" t="n">
        <f aca="false">T62*Seg2_Tariff*LevTariff*$B$5*T43</f>
        <v>80682.1468100036</v>
      </c>
      <c r="U78" s="83" t="n">
        <f aca="false">U62*Seg2_Tariff*LevTariff*$B$5*U43</f>
        <v>85595.6895507328</v>
      </c>
      <c r="V78" s="83" t="n">
        <f aca="false">V62*Seg2_Tariff*LevTariff*$B$5*V43</f>
        <v>90808.4670443725</v>
      </c>
      <c r="W78" s="83" t="n">
        <f aca="false">W62*Seg2_Tariff*LevTariff*$B$5*W43</f>
        <v>96338.7026873747</v>
      </c>
    </row>
    <row r="79" customFormat="false" ht="15" hidden="false" customHeight="false" outlineLevel="0" collapsed="false">
      <c r="A79" s="10" t="str">
        <f aca="false">"Recettes facturées - "&amp;Seg3_Name</f>
        <v>Recettes facturées - Commerces (boutiques, bars, kiosques)</v>
      </c>
      <c r="B79" s="61" t="n">
        <f aca="false">SUM(C79:W79)</f>
        <v>702419.379861778</v>
      </c>
      <c r="C79" s="83" t="n">
        <v>0</v>
      </c>
      <c r="D79" s="83" t="n">
        <f aca="false">D63*Seg3_Tariff*LevTariff*$B$5*D43</f>
        <v>11520</v>
      </c>
      <c r="E79" s="83" t="n">
        <f aca="false">E63*Seg3_Tariff*LevTariff*$B$5*E43</f>
        <v>17313.888</v>
      </c>
      <c r="F79" s="83" t="n">
        <f aca="false">F63*Seg3_Tariff*LevTariff*$B$5*F43</f>
        <v>21609.769152</v>
      </c>
      <c r="G79" s="83" t="n">
        <f aca="false">G63*Seg3_Tariff*LevTariff*$B$5*G43</f>
        <v>22925.8040933568</v>
      </c>
      <c r="H79" s="83" t="n">
        <f aca="false">H63*Seg3_Tariff*LevTariff*$B$5*H43</f>
        <v>24321.9855626422</v>
      </c>
      <c r="I79" s="83" t="n">
        <f aca="false">I63*Seg3_Tariff*LevTariff*$B$5*I43</f>
        <v>25803.1944834072</v>
      </c>
      <c r="J79" s="83" t="n">
        <f aca="false">J63*Seg3_Tariff*LevTariff*$B$5*J43</f>
        <v>27374.6090274466</v>
      </c>
      <c r="K79" s="83" t="n">
        <f aca="false">K63*Seg3_Tariff*LevTariff*$B$5*K43</f>
        <v>29041.7227172182</v>
      </c>
      <c r="L79" s="83" t="n">
        <f aca="false">L63*Seg3_Tariff*LevTariff*$B$5*L43</f>
        <v>30810.3636306967</v>
      </c>
      <c r="M79" s="83" t="n">
        <f aca="false">M63*Seg3_Tariff*LevTariff*$B$5*M43</f>
        <v>32686.7147758062</v>
      </c>
      <c r="N79" s="83" t="n">
        <f aca="false">N63*Seg3_Tariff*LevTariff*$B$5*N43</f>
        <v>34677.3357056528</v>
      </c>
      <c r="O79" s="83" t="n">
        <f aca="false">O63*Seg3_Tariff*LevTariff*$B$5*O43</f>
        <v>36789.185450127</v>
      </c>
      <c r="P79" s="83" t="n">
        <f aca="false">P63*Seg3_Tariff*LevTariff*$B$5*P43</f>
        <v>39029.6468440398</v>
      </c>
      <c r="Q79" s="83" t="n">
        <f aca="false">Q63*Seg3_Tariff*LevTariff*$B$5*Q43</f>
        <v>41406.5523368418</v>
      </c>
      <c r="R79" s="83" t="n">
        <f aca="false">R63*Seg3_Tariff*LevTariff*$B$5*R43</f>
        <v>43928.2113741555</v>
      </c>
      <c r="S79" s="83" t="n">
        <f aca="false">S63*Seg3_Tariff*LevTariff*$B$5*S43</f>
        <v>46603.4394468415</v>
      </c>
      <c r="T79" s="83" t="n">
        <f aca="false">T63*Seg3_Tariff*LevTariff*$B$5*T43</f>
        <v>49441.5889091542</v>
      </c>
      <c r="U79" s="83" t="n">
        <f aca="false">U63*Seg3_Tariff*LevTariff*$B$5*U43</f>
        <v>52452.5816737217</v>
      </c>
      <c r="V79" s="83" t="n">
        <f aca="false">V63*Seg3_Tariff*LevTariff*$B$5*V43</f>
        <v>55646.9438976513</v>
      </c>
      <c r="W79" s="83" t="n">
        <f aca="false">W63*Seg3_Tariff*LevTariff*$B$5*W43</f>
        <v>59035.8427810183</v>
      </c>
    </row>
    <row r="80" customFormat="false" ht="15" hidden="false" customHeight="false" outlineLevel="0" collapsed="false">
      <c r="A80" s="10" t="str">
        <f aca="false">"Recettes facturées - "&amp;Seg4_Name</f>
        <v>Recettes facturées - Institutions (centre de santé, école, eau)</v>
      </c>
      <c r="B80" s="61" t="n">
        <f aca="false">SUM(C80:W80)</f>
        <v>368770.174427433</v>
      </c>
      <c r="C80" s="83" t="n">
        <v>0</v>
      </c>
      <c r="D80" s="83" t="n">
        <f aca="false">D64*Seg4_Tariff*LevTariff*$B$5*D43</f>
        <v>6048</v>
      </c>
      <c r="E80" s="83" t="n">
        <f aca="false">E64*Seg4_Tariff*LevTariff*$B$5*E43</f>
        <v>9089.7912</v>
      </c>
      <c r="F80" s="83" t="n">
        <f aca="false">F64*Seg4_Tariff*LevTariff*$B$5*F43</f>
        <v>11345.1288048</v>
      </c>
      <c r="G80" s="83" t="n">
        <f aca="false">G64*Seg4_Tariff*LevTariff*$B$5*G43</f>
        <v>12036.0471490123</v>
      </c>
      <c r="H80" s="83" t="n">
        <f aca="false">H64*Seg4_Tariff*LevTariff*$B$5*H43</f>
        <v>12769.0424203872</v>
      </c>
      <c r="I80" s="83" t="n">
        <f aca="false">I64*Seg4_Tariff*LevTariff*$B$5*I43</f>
        <v>13546.6771037888</v>
      </c>
      <c r="J80" s="83" t="n">
        <f aca="false">J64*Seg4_Tariff*LevTariff*$B$5*J43</f>
        <v>14371.6697394095</v>
      </c>
      <c r="K80" s="83" t="n">
        <f aca="false">K64*Seg4_Tariff*LevTariff*$B$5*K43</f>
        <v>15246.9044265395</v>
      </c>
      <c r="L80" s="83" t="n">
        <f aca="false">L64*Seg4_Tariff*LevTariff*$B$5*L43</f>
        <v>16175.4409061158</v>
      </c>
      <c r="M80" s="83" t="n">
        <f aca="false">M64*Seg4_Tariff*LevTariff*$B$5*M43</f>
        <v>17160.5252572982</v>
      </c>
      <c r="N80" s="83" t="n">
        <f aca="false">N64*Seg4_Tariff*LevTariff*$B$5*N43</f>
        <v>18205.6012454677</v>
      </c>
      <c r="O80" s="83" t="n">
        <f aca="false">O64*Seg4_Tariff*LevTariff*$B$5*O43</f>
        <v>19314.3223613167</v>
      </c>
      <c r="P80" s="83" t="n">
        <f aca="false">P64*Seg4_Tariff*LevTariff*$B$5*P43</f>
        <v>20490.5645931209</v>
      </c>
      <c r="Q80" s="83" t="n">
        <f aca="false">Q64*Seg4_Tariff*LevTariff*$B$5*Q43</f>
        <v>21738.4399768419</v>
      </c>
      <c r="R80" s="83" t="n">
        <f aca="false">R64*Seg4_Tariff*LevTariff*$B$5*R43</f>
        <v>23062.3109714316</v>
      </c>
      <c r="S80" s="83" t="n">
        <f aca="false">S64*Seg4_Tariff*LevTariff*$B$5*S43</f>
        <v>24466.8057095918</v>
      </c>
      <c r="T80" s="83" t="n">
        <f aca="false">T64*Seg4_Tariff*LevTariff*$B$5*T43</f>
        <v>25956.8341773059</v>
      </c>
      <c r="U80" s="83" t="n">
        <f aca="false">U64*Seg4_Tariff*LevTariff*$B$5*U43</f>
        <v>27537.6053787039</v>
      </c>
      <c r="V80" s="83" t="n">
        <f aca="false">V64*Seg4_Tariff*LevTariff*$B$5*V43</f>
        <v>29214.6455462669</v>
      </c>
      <c r="W80" s="83" t="n">
        <f aca="false">W64*Seg4_Tariff*LevTariff*$B$5*W43</f>
        <v>30993.8174600346</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3903251.77453376</v>
      </c>
      <c r="C82" s="27" t="n">
        <f aca="false">C77+C78+C79+C80+C81</f>
        <v>0</v>
      </c>
      <c r="D82" s="27" t="n">
        <f aca="false">D77+D78+D79+D80+D81</f>
        <v>64015.11936</v>
      </c>
      <c r="E82" s="27" t="n">
        <f aca="false">E77+E78+E79+E80+E81</f>
        <v>96210.990182784</v>
      </c>
      <c r="F82" s="27" t="n">
        <f aca="false">F77+F78+F79+F80+F81</f>
        <v>120082.634688136</v>
      </c>
      <c r="G82" s="27" t="n">
        <f aca="false">G77+G78+G79+G80+G81</f>
        <v>127395.667140643</v>
      </c>
      <c r="H82" s="27" t="n">
        <f aca="false">H77+H78+H79+H80+H81</f>
        <v>135154.063269509</v>
      </c>
      <c r="I82" s="27" t="n">
        <f aca="false">I77+I78+I79+I80+I81</f>
        <v>143384.945722622</v>
      </c>
      <c r="J82" s="27" t="n">
        <f aca="false">J77+J78+J79+J80+J81</f>
        <v>152117.088917129</v>
      </c>
      <c r="K82" s="27" t="n">
        <f aca="false">K77+K78+K79+K80+K81</f>
        <v>161381.019632183</v>
      </c>
      <c r="L82" s="27" t="n">
        <f aca="false">L77+L78+L79+L80+L81</f>
        <v>171209.123727782</v>
      </c>
      <c r="M82" s="27" t="n">
        <f aca="false">M77+M78+M79+M80+M81</f>
        <v>181635.759362804</v>
      </c>
      <c r="N82" s="27" t="n">
        <f aca="false">N77+N78+N79+N80+N81</f>
        <v>192697.377107999</v>
      </c>
      <c r="O82" s="27" t="n">
        <f aca="false">O77+O78+O79+O80+O81</f>
        <v>204432.647373876</v>
      </c>
      <c r="P82" s="27" t="n">
        <f aca="false">P77+P78+P79+P80+P81</f>
        <v>216882.595598946</v>
      </c>
      <c r="Q82" s="27" t="n">
        <f aca="false">Q77+Q78+Q79+Q80+Q81</f>
        <v>230090.745670921</v>
      </c>
      <c r="R82" s="27" t="n">
        <f aca="false">R77+R78+R79+R80+R81</f>
        <v>244103.27208228</v>
      </c>
      <c r="S82" s="27" t="n">
        <f aca="false">S77+S78+S79+S80+S81</f>
        <v>258969.161352091</v>
      </c>
      <c r="T82" s="27" t="n">
        <f aca="false">T77+T78+T79+T80+T81</f>
        <v>274740.383278434</v>
      </c>
      <c r="U82" s="27" t="n">
        <f aca="false">U77+U78+U79+U80+U81</f>
        <v>291472.07262009</v>
      </c>
      <c r="V82" s="27" t="n">
        <f aca="false">V77+V78+V79+V80+V81</f>
        <v>309222.721842654</v>
      </c>
      <c r="W82" s="27" t="n">
        <f aca="false">W77+W78+W79+W80+W81</f>
        <v>328054.385602872</v>
      </c>
    </row>
    <row r="83" customFormat="false" ht="15" hidden="false" customHeight="false" outlineLevel="0" collapsed="false">
      <c r="A83" s="10" t="s">
        <v>426</v>
      </c>
      <c r="B83" s="61" t="n">
        <f aca="false">SUM(C83:W83)</f>
        <v>3590991.63257106</v>
      </c>
      <c r="C83" s="83" t="n">
        <v>0</v>
      </c>
      <c r="D83" s="83" t="n">
        <f aca="false">D82*MIN(1,Collection*LevColl*$B$9)</f>
        <v>58893.9098112</v>
      </c>
      <c r="E83" s="83" t="n">
        <f aca="false">E82*MIN(1,Collection*LevColl*$B$9)</f>
        <v>88514.1109681613</v>
      </c>
      <c r="F83" s="83" t="n">
        <f aca="false">F82*MIN(1,Collection*LevColl*$B$9)</f>
        <v>110476.023913085</v>
      </c>
      <c r="G83" s="83" t="n">
        <f aca="false">G82*MIN(1,Collection*LevColl*$B$9)</f>
        <v>117204.013769392</v>
      </c>
      <c r="H83" s="83" t="n">
        <f aca="false">H82*MIN(1,Collection*LevColl*$B$9)</f>
        <v>124341.738207948</v>
      </c>
      <c r="I83" s="83" t="n">
        <f aca="false">I82*MIN(1,Collection*LevColl*$B$9)</f>
        <v>131914.150064812</v>
      </c>
      <c r="J83" s="83" t="n">
        <f aca="false">J82*MIN(1,Collection*LevColl*$B$9)</f>
        <v>139947.721803759</v>
      </c>
      <c r="K83" s="83" t="n">
        <f aca="false">K82*MIN(1,Collection*LevColl*$B$9)</f>
        <v>148470.538061608</v>
      </c>
      <c r="L83" s="83" t="n">
        <f aca="false">L82*MIN(1,Collection*LevColl*$B$9)</f>
        <v>157512.39382956</v>
      </c>
      <c r="M83" s="83" t="n">
        <f aca="false">M82*MIN(1,Collection*LevColl*$B$9)</f>
        <v>167104.89861378</v>
      </c>
      <c r="N83" s="83" t="n">
        <f aca="false">N82*MIN(1,Collection*LevColl*$B$9)</f>
        <v>177281.586939359</v>
      </c>
      <c r="O83" s="83" t="n">
        <f aca="false">O82*MIN(1,Collection*LevColl*$B$9)</f>
        <v>188078.035583966</v>
      </c>
      <c r="P83" s="83" t="n">
        <f aca="false">P82*MIN(1,Collection*LevColl*$B$9)</f>
        <v>199531.98795103</v>
      </c>
      <c r="Q83" s="83" t="n">
        <f aca="false">Q82*MIN(1,Collection*LevColl*$B$9)</f>
        <v>211683.486017248</v>
      </c>
      <c r="R83" s="83" t="n">
        <f aca="false">R82*MIN(1,Collection*LevColl*$B$9)</f>
        <v>224575.010315698</v>
      </c>
      <c r="S83" s="83" t="n">
        <f aca="false">S82*MIN(1,Collection*LevColl*$B$9)</f>
        <v>238251.628443924</v>
      </c>
      <c r="T83" s="83" t="n">
        <f aca="false">T82*MIN(1,Collection*LevColl*$B$9)</f>
        <v>252761.152616159</v>
      </c>
      <c r="U83" s="83" t="n">
        <f aca="false">U82*MIN(1,Collection*LevColl*$B$9)</f>
        <v>268154.306810483</v>
      </c>
      <c r="V83" s="83" t="n">
        <f aca="false">V82*MIN(1,Collection*LevColl*$B$9)</f>
        <v>284484.904095242</v>
      </c>
      <c r="W83" s="83" t="n">
        <f aca="false">W82*MIN(1,Collection*LevColl*$B$9)</f>
        <v>301810.034754642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3602491.63257106</v>
      </c>
      <c r="C85" s="27" t="n">
        <f aca="false">C83+C84</f>
        <v>0</v>
      </c>
      <c r="D85" s="27" t="n">
        <f aca="false">D83+D84</f>
        <v>65793.9098112</v>
      </c>
      <c r="E85" s="27" t="n">
        <f aca="false">E83+E84</f>
        <v>91389.1109681613</v>
      </c>
      <c r="F85" s="27" t="n">
        <f aca="false">F83+F84</f>
        <v>112201.023913085</v>
      </c>
      <c r="G85" s="27" t="n">
        <f aca="false">G83+G84</f>
        <v>117204.013769392</v>
      </c>
      <c r="H85" s="27" t="n">
        <f aca="false">H83+H84</f>
        <v>124341.738207948</v>
      </c>
      <c r="I85" s="27" t="n">
        <f aca="false">I83+I84</f>
        <v>131914.150064812</v>
      </c>
      <c r="J85" s="27" t="n">
        <f aca="false">J83+J84</f>
        <v>139947.721803759</v>
      </c>
      <c r="K85" s="27" t="n">
        <f aca="false">K83+K84</f>
        <v>148470.538061608</v>
      </c>
      <c r="L85" s="27" t="n">
        <f aca="false">L83+L84</f>
        <v>157512.39382956</v>
      </c>
      <c r="M85" s="27" t="n">
        <f aca="false">M83+M84</f>
        <v>167104.89861378</v>
      </c>
      <c r="N85" s="27" t="n">
        <f aca="false">N83+N84</f>
        <v>177281.586939359</v>
      </c>
      <c r="O85" s="27" t="n">
        <f aca="false">O83+O84</f>
        <v>188078.035583966</v>
      </c>
      <c r="P85" s="27" t="n">
        <f aca="false">P83+P84</f>
        <v>199531.98795103</v>
      </c>
      <c r="Q85" s="27" t="n">
        <f aca="false">Q83+Q84</f>
        <v>211683.486017248</v>
      </c>
      <c r="R85" s="27" t="n">
        <f aca="false">R83+R84</f>
        <v>224575.010315698</v>
      </c>
      <c r="S85" s="27" t="n">
        <f aca="false">S83+S84</f>
        <v>238251.628443924</v>
      </c>
      <c r="T85" s="27" t="n">
        <f aca="false">T83+T84</f>
        <v>252761.152616159</v>
      </c>
      <c r="U85" s="27" t="n">
        <f aca="false">U83+U84</f>
        <v>268154.306810483</v>
      </c>
      <c r="V85" s="27" t="n">
        <f aca="false">V83+V84</f>
        <v>284484.904095242</v>
      </c>
      <c r="W85" s="27" t="n">
        <f aca="false">W83+W84</f>
        <v>301810.034754642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S_Demand_Lo!$B$15*O_FixedPct*D44*LevOpex*$B$8*D41</f>
        <v>25065.4403293775</v>
      </c>
      <c r="E88" s="83" t="n">
        <f aca="false">S_Demand_Lo!$B$15*O_FixedPct*E44*LevOpex*$B$8*E41</f>
        <v>25817.4035392588</v>
      </c>
      <c r="F88" s="83" t="n">
        <f aca="false">S_Demand_Lo!$B$15*O_FixedPct*F44*LevOpex*$B$8*F41</f>
        <v>26591.9256454366</v>
      </c>
      <c r="G88" s="83" t="n">
        <f aca="false">S_Demand_Lo!$B$15*O_FixedPct*G44*LevOpex*$B$8*G41</f>
        <v>27389.6834147997</v>
      </c>
      <c r="H88" s="83" t="n">
        <f aca="false">S_Demand_Lo!$B$15*O_FixedPct*H44*LevOpex*$B$8*H41</f>
        <v>28211.3739172437</v>
      </c>
      <c r="I88" s="83" t="n">
        <f aca="false">S_Demand_Lo!$B$15*O_FixedPct*I44*LevOpex*$B$8*I41</f>
        <v>29057.715134761</v>
      </c>
      <c r="J88" s="83" t="n">
        <f aca="false">S_Demand_Lo!$B$15*O_FixedPct*J44*LevOpex*$B$8*J41</f>
        <v>29929.4465888038</v>
      </c>
      <c r="K88" s="83" t="n">
        <f aca="false">S_Demand_Lo!$B$15*O_FixedPct*K44*LevOpex*$B$8*K41</f>
        <v>30827.329986468</v>
      </c>
      <c r="L88" s="83" t="n">
        <f aca="false">S_Demand_Lo!$B$15*O_FixedPct*L44*LevOpex*$B$8*L41</f>
        <v>31752.149886062</v>
      </c>
      <c r="M88" s="83" t="n">
        <f aca="false">S_Demand_Lo!$B$15*O_FixedPct*M44*LevOpex*$B$8*M41</f>
        <v>32704.7143826439</v>
      </c>
      <c r="N88" s="83" t="n">
        <f aca="false">S_Demand_Lo!$B$15*O_FixedPct*N44*LevOpex*$B$8*N41</f>
        <v>33685.8558141232</v>
      </c>
      <c r="O88" s="83" t="n">
        <f aca="false">S_Demand_Lo!$B$15*O_FixedPct*O44*LevOpex*$B$8*O41</f>
        <v>34696.4314885469</v>
      </c>
      <c r="P88" s="83" t="n">
        <f aca="false">S_Demand_Lo!$B$15*O_FixedPct*P44*LevOpex*$B$8*P41</f>
        <v>35737.3244332033</v>
      </c>
      <c r="Q88" s="83" t="n">
        <f aca="false">S_Demand_Lo!$B$15*O_FixedPct*Q44*LevOpex*$B$8*Q41</f>
        <v>36809.4441661994</v>
      </c>
      <c r="R88" s="83" t="n">
        <f aca="false">S_Demand_Lo!$B$15*O_FixedPct*R44*LevOpex*$B$8*R41</f>
        <v>37913.7274911854</v>
      </c>
      <c r="S88" s="83" t="n">
        <f aca="false">S_Demand_Lo!$B$15*O_FixedPct*S44*LevOpex*$B$8*S41</f>
        <v>39051.1393159209</v>
      </c>
      <c r="T88" s="83" t="n">
        <f aca="false">S_Demand_Lo!$B$15*O_FixedPct*T44*LevOpex*$B$8*T41</f>
        <v>40222.6734953985</v>
      </c>
      <c r="U88" s="83" t="n">
        <f aca="false">S_Demand_Lo!$B$15*O_FixedPct*U44*LevOpex*$B$8*U41</f>
        <v>41429.3537002605</v>
      </c>
      <c r="V88" s="83" t="n">
        <f aca="false">S_Demand_Lo!$B$15*O_FixedPct*V44*LevOpex*$B$8*V41</f>
        <v>42672.2343112683</v>
      </c>
      <c r="W88" s="83" t="n">
        <f aca="false">S_Demand_Lo!$B$15*O_FixedPct*W44*LevOpex*$B$8*W41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S_Demand_Lo!$B$14*O_InsPct*D44*LevOpex*$B$8*D41</f>
        <v>5765.05127575683</v>
      </c>
      <c r="E90" s="83" t="n">
        <f aca="false">S_Demand_Lo!$B$14*O_InsPct*E44*LevOpex*$B$8*E41</f>
        <v>5938.00281402953</v>
      </c>
      <c r="F90" s="83" t="n">
        <f aca="false">S_Demand_Lo!$B$14*O_InsPct*F44*LevOpex*$B$8*F41</f>
        <v>6116.14289845042</v>
      </c>
      <c r="G90" s="83" t="n">
        <f aca="false">S_Demand_Lo!$B$14*O_InsPct*G44*LevOpex*$B$8*G41</f>
        <v>6299.62718540393</v>
      </c>
      <c r="H90" s="83" t="n">
        <f aca="false">S_Demand_Lo!$B$14*O_InsPct*H44*LevOpex*$B$8*H41</f>
        <v>6488.61600096605</v>
      </c>
      <c r="I90" s="83" t="n">
        <f aca="false">S_Demand_Lo!$B$14*O_InsPct*I44*LevOpex*$B$8*I41</f>
        <v>6683.27448099503</v>
      </c>
      <c r="J90" s="83" t="n">
        <f aca="false">S_Demand_Lo!$B$14*O_InsPct*J44*LevOpex*$B$8*J41</f>
        <v>6883.77271542488</v>
      </c>
      <c r="K90" s="83" t="n">
        <f aca="false">S_Demand_Lo!$B$14*O_InsPct*K44*LevOpex*$B$8*K41</f>
        <v>7090.28589688763</v>
      </c>
      <c r="L90" s="83" t="n">
        <f aca="false">S_Demand_Lo!$B$14*O_InsPct*L44*LevOpex*$B$8*L41</f>
        <v>7302.99447379426</v>
      </c>
      <c r="M90" s="83" t="n">
        <f aca="false">S_Demand_Lo!$B$14*O_InsPct*M44*LevOpex*$B$8*M41</f>
        <v>7522.08430800809</v>
      </c>
      <c r="N90" s="83" t="n">
        <f aca="false">S_Demand_Lo!$B$14*O_InsPct*N44*LevOpex*$B$8*N41</f>
        <v>7747.74683724833</v>
      </c>
      <c r="O90" s="83" t="n">
        <f aca="false">S_Demand_Lo!$B$14*O_InsPct*O44*LevOpex*$B$8*O41</f>
        <v>7980.17924236578</v>
      </c>
      <c r="P90" s="83" t="n">
        <f aca="false">S_Demand_Lo!$B$14*O_InsPct*P44*LevOpex*$B$8*P41</f>
        <v>8219.58461963675</v>
      </c>
      <c r="Q90" s="83" t="n">
        <f aca="false">S_Demand_Lo!$B$14*O_InsPct*Q44*LevOpex*$B$8*Q41</f>
        <v>8466.17215822586</v>
      </c>
      <c r="R90" s="83" t="n">
        <f aca="false">S_Demand_Lo!$B$14*O_InsPct*R44*LevOpex*$B$8*R41</f>
        <v>8720.15732297263</v>
      </c>
      <c r="S90" s="83" t="n">
        <f aca="false">S_Demand_Lo!$B$14*O_InsPct*S44*LevOpex*$B$8*S41</f>
        <v>8981.76204266181</v>
      </c>
      <c r="T90" s="83" t="n">
        <f aca="false">S_Demand_Lo!$B$14*O_InsPct*T44*LevOpex*$B$8*T41</f>
        <v>9251.21490394167</v>
      </c>
      <c r="U90" s="83" t="n">
        <f aca="false">S_Demand_Lo!$B$14*O_InsPct*U44*LevOpex*$B$8*U41</f>
        <v>9528.75135105992</v>
      </c>
      <c r="V90" s="83" t="n">
        <f aca="false">S_Demand_Lo!$B$14*O_InsPct*V44*LevOpex*$B$8*V41</f>
        <v>9814.61389159171</v>
      </c>
      <c r="W90" s="83" t="n">
        <f aca="false">S_Demand_Lo!$B$14*O_InsPct*W44*LevOpex*$B$8*W41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108074.748977132</v>
      </c>
      <c r="C93" s="83" t="n">
        <v>0</v>
      </c>
      <c r="D93" s="83" t="n">
        <f aca="false">D85*O_CustPct</f>
        <v>1973.817294336</v>
      </c>
      <c r="E93" s="83" t="n">
        <f aca="false">E85*O_CustPct</f>
        <v>2741.67332904484</v>
      </c>
      <c r="F93" s="83" t="n">
        <f aca="false">F85*O_CustPct</f>
        <v>3366.03071739255</v>
      </c>
      <c r="G93" s="83" t="n">
        <f aca="false">G85*O_CustPct</f>
        <v>3516.12041308176</v>
      </c>
      <c r="H93" s="83" t="n">
        <f aca="false">H85*O_CustPct</f>
        <v>3730.25214623844</v>
      </c>
      <c r="I93" s="83" t="n">
        <f aca="false">I85*O_CustPct</f>
        <v>3957.42450194436</v>
      </c>
      <c r="J93" s="83" t="n">
        <f aca="false">J85*O_CustPct</f>
        <v>4198.43165411277</v>
      </c>
      <c r="K93" s="83" t="n">
        <f aca="false">K85*O_CustPct</f>
        <v>4454.11614184824</v>
      </c>
      <c r="L93" s="83" t="n">
        <f aca="false">L85*O_CustPct</f>
        <v>4725.3718148868</v>
      </c>
      <c r="M93" s="83" t="n">
        <f aca="false">M85*O_CustPct</f>
        <v>5013.1469584134</v>
      </c>
      <c r="N93" s="83" t="n">
        <f aca="false">N85*O_CustPct</f>
        <v>5318.44760818078</v>
      </c>
      <c r="O93" s="83" t="n">
        <f aca="false">O85*O_CustPct</f>
        <v>5642.34106751899</v>
      </c>
      <c r="P93" s="83" t="n">
        <f aca="false">P85*O_CustPct</f>
        <v>5985.9596385309</v>
      </c>
      <c r="Q93" s="83" t="n">
        <f aca="false">Q85*O_CustPct</f>
        <v>6350.50458051743</v>
      </c>
      <c r="R93" s="83" t="n">
        <f aca="false">R85*O_CustPct</f>
        <v>6737.25030947094</v>
      </c>
      <c r="S93" s="83" t="n">
        <f aca="false">S85*O_CustPct</f>
        <v>7147.54885331772</v>
      </c>
      <c r="T93" s="83" t="n">
        <f aca="false">T85*O_CustPct</f>
        <v>7582.83457848477</v>
      </c>
      <c r="U93" s="83" t="n">
        <f aca="false">U85*O_CustPct</f>
        <v>8044.62920431449</v>
      </c>
      <c r="V93" s="83" t="n">
        <f aca="false">V85*O_CustPct</f>
        <v>8534.54712285725</v>
      </c>
      <c r="W93" s="83" t="n">
        <f aca="false">W85*O_CustPct</f>
        <v>9054.30104263925</v>
      </c>
    </row>
    <row r="94" customFormat="false" ht="15" hidden="false" customHeight="false" outlineLevel="0" collapsed="false">
      <c r="A94" s="10" t="s">
        <v>433</v>
      </c>
      <c r="B94" s="61" t="n">
        <f aca="false">SUM(C94:W94)</f>
        <v>55169.7668602571</v>
      </c>
      <c r="C94" s="83" t="n">
        <v>0</v>
      </c>
      <c r="D94" s="83" t="n">
        <f aca="false">D72*O_DieselOM*D44*LevOpex*$B$8</f>
        <v>575.835578181818</v>
      </c>
      <c r="E94" s="83" t="n">
        <f aca="false">E72*O_DieselOM*E44*LevOpex*$B$8</f>
        <v>865.447283598545</v>
      </c>
      <c r="F94" s="83" t="n">
        <f aca="false">F72*O_DieselOM*F44*LevOpex*$B$8</f>
        <v>1080.18002725847</v>
      </c>
      <c r="G94" s="83" t="n">
        <f aca="false">G72*O_DieselOM*G44*LevOpex*$B$8</f>
        <v>1145.96299091851</v>
      </c>
      <c r="H94" s="83" t="n">
        <f aca="false">H72*O_DieselOM*H44*LevOpex*$B$8</f>
        <v>1215.75213706544</v>
      </c>
      <c r="I94" s="83" t="n">
        <f aca="false">I72*O_DieselOM*I44*LevOpex*$B$8</f>
        <v>1289.79144221273</v>
      </c>
      <c r="J94" s="83" t="n">
        <f aca="false">J72*O_DieselOM*J44*LevOpex*$B$8</f>
        <v>1368.33974104349</v>
      </c>
      <c r="K94" s="83" t="n">
        <f aca="false">K72*O_DieselOM*K44*LevOpex*$B$8</f>
        <v>1451.67163127303</v>
      </c>
      <c r="L94" s="83" t="n">
        <f aca="false">L72*O_DieselOM*L44*LevOpex*$B$8</f>
        <v>1540.07843361756</v>
      </c>
      <c r="M94" s="83" t="n">
        <f aca="false">M72*O_DieselOM*M44*LevOpex*$B$8</f>
        <v>1633.86921022487</v>
      </c>
      <c r="N94" s="83" t="n">
        <f aca="false">N72*O_DieselOM*N44*LevOpex*$B$8</f>
        <v>1733.37184512757</v>
      </c>
      <c r="O94" s="83" t="n">
        <f aca="false">O72*O_DieselOM*O44*LevOpex*$B$8</f>
        <v>1838.93419049583</v>
      </c>
      <c r="P94" s="83" t="n">
        <f aca="false">P72*O_DieselOM*P44*LevOpex*$B$8</f>
        <v>1950.92528269703</v>
      </c>
      <c r="Q94" s="83" t="n">
        <f aca="false">Q72*O_DieselOM*Q44*LevOpex*$B$8</f>
        <v>2573.28396265061</v>
      </c>
      <c r="R94" s="83" t="n">
        <f aca="false">R72*O_DieselOM*R44*LevOpex*$B$8</f>
        <v>3383.37012510746</v>
      </c>
      <c r="S94" s="83" t="n">
        <f aca="false">S72*O_DieselOM*S44*LevOpex*$B$8</f>
        <v>4259.02685811085</v>
      </c>
      <c r="T94" s="83" t="n">
        <f aca="false">T72*O_DieselOM*T44*LevOpex*$B$8</f>
        <v>5204.65088203991</v>
      </c>
      <c r="U94" s="83" t="n">
        <f aca="false">U72*O_DieselOM*U44*LevOpex*$B$8</f>
        <v>6224.91670383976</v>
      </c>
      <c r="V94" s="83" t="n">
        <f aca="false">V72*O_DieselOM*V44*LevOpex*$B$8</f>
        <v>7324.79378337684</v>
      </c>
      <c r="W94" s="83" t="n">
        <f aca="false">W72*O_DieselOM*W44*LevOpex*$B$8</f>
        <v>8509.56475141672</v>
      </c>
    </row>
    <row r="95" customFormat="false" ht="15" hidden="false" customHeight="false" outlineLevel="0" collapsed="false">
      <c r="A95" s="10" t="s">
        <v>434</v>
      </c>
      <c r="B95" s="61" t="n">
        <f aca="false">SUM(C95:W95)</f>
        <v>735596.891470094</v>
      </c>
      <c r="C95" s="83" t="n">
        <v>0</v>
      </c>
      <c r="D95" s="83" t="n">
        <f aca="false">D74*FuelPrice*LevFuel*$B$10*D44</f>
        <v>7677.80770909091</v>
      </c>
      <c r="E95" s="83" t="n">
        <f aca="false">E74*FuelPrice*LevFuel*$B$10*E44</f>
        <v>11539.2971146473</v>
      </c>
      <c r="F95" s="83" t="n">
        <f aca="false">F74*FuelPrice*LevFuel*$B$10*F44</f>
        <v>14402.4003634462</v>
      </c>
      <c r="G95" s="83" t="n">
        <f aca="false">G74*FuelPrice*LevFuel*$B$10*G44</f>
        <v>15279.5065455801</v>
      </c>
      <c r="H95" s="83" t="n">
        <f aca="false">H74*FuelPrice*LevFuel*$B$10*H44</f>
        <v>16210.0284942059</v>
      </c>
      <c r="I95" s="83" t="n">
        <f aca="false">I74*FuelPrice*LevFuel*$B$10*I44</f>
        <v>17197.2192295031</v>
      </c>
      <c r="J95" s="83" t="n">
        <f aca="false">J74*FuelPrice*LevFuel*$B$10*J44</f>
        <v>18244.5298805798</v>
      </c>
      <c r="K95" s="83" t="n">
        <f aca="false">K74*FuelPrice*LevFuel*$B$10*K44</f>
        <v>19355.6217503071</v>
      </c>
      <c r="L95" s="83" t="n">
        <f aca="false">L74*FuelPrice*LevFuel*$B$10*L44</f>
        <v>20534.3791149008</v>
      </c>
      <c r="M95" s="83" t="n">
        <f aca="false">M74*FuelPrice*LevFuel*$B$10*M44</f>
        <v>21784.9228029983</v>
      </c>
      <c r="N95" s="83" t="n">
        <f aca="false">N74*FuelPrice*LevFuel*$B$10*N44</f>
        <v>23111.6246017009</v>
      </c>
      <c r="O95" s="83" t="n">
        <f aca="false">O74*FuelPrice*LevFuel*$B$10*O44</f>
        <v>24519.1225399445</v>
      </c>
      <c r="P95" s="83" t="n">
        <f aca="false">P74*FuelPrice*LevFuel*$B$10*P44</f>
        <v>26012.3371026271</v>
      </c>
      <c r="Q95" s="83" t="n">
        <f aca="false">Q74*FuelPrice*LevFuel*$B$10*Q44</f>
        <v>34310.4528353415</v>
      </c>
      <c r="R95" s="83" t="n">
        <f aca="false">R74*FuelPrice*LevFuel*$B$10*R44</f>
        <v>45111.6016680995</v>
      </c>
      <c r="S95" s="83" t="n">
        <f aca="false">S74*FuelPrice*LevFuel*$B$10*S44</f>
        <v>56787.0247748114</v>
      </c>
      <c r="T95" s="83" t="n">
        <f aca="false">T74*FuelPrice*LevFuel*$B$10*T44</f>
        <v>69395.3450938655</v>
      </c>
      <c r="U95" s="83" t="n">
        <f aca="false">U74*FuelPrice*LevFuel*$B$10*U44</f>
        <v>82998.8893845302</v>
      </c>
      <c r="V95" s="83" t="n">
        <f aca="false">V74*FuelPrice*LevFuel*$B$10*V44</f>
        <v>97663.9171116912</v>
      </c>
      <c r="W95" s="83" t="n">
        <f aca="false">W74*FuelPrice*LevFuel*$B$10*W44</f>
        <v>113460.863352223</v>
      </c>
    </row>
    <row r="96" customFormat="false" ht="15" hidden="false" customHeight="false" outlineLevel="0" collapsed="false">
      <c r="A96" s="15" t="s">
        <v>435</v>
      </c>
      <c r="B96" s="61" t="n">
        <f aca="false">SUM(C96:W96)</f>
        <v>2399027.62464132</v>
      </c>
      <c r="C96" s="27" t="n">
        <f aca="false">C88+C89+C90+C91+C92+C93+C94+C95</f>
        <v>0</v>
      </c>
      <c r="D96" s="27" t="n">
        <f aca="false">D88+D89+D90+D91+D92+D93+D94+D95</f>
        <v>66057.9521867431</v>
      </c>
      <c r="E96" s="27" t="n">
        <f aca="false">E88+E89+E90+E91+E92+E93+E94+E95</f>
        <v>72651.824080579</v>
      </c>
      <c r="F96" s="27" t="n">
        <f aca="false">F88+F89+F90+F91+F92+F93+F94+F95</f>
        <v>78079.1796519843</v>
      </c>
      <c r="G96" s="27" t="n">
        <f aca="false">G88+G89+G90+G91+G92+G93+G94+G95</f>
        <v>80949.075549784</v>
      </c>
      <c r="H96" s="27" t="n">
        <f aca="false">H88+H89+H90+H91+H92+H93+H94+H95</f>
        <v>83993.7429457195</v>
      </c>
      <c r="I96" s="27" t="n">
        <f aca="false">I88+I89+I90+I91+I92+I93+I94+I95</f>
        <v>87167.2766469162</v>
      </c>
      <c r="J96" s="27" t="n">
        <f aca="false">J88+J89+J90+J91+J92+J93+J94+J95</f>
        <v>90475.8279931898</v>
      </c>
      <c r="K96" s="27" t="n">
        <f aca="false">K88+K89+K90+K91+K92+K93+K94+K95</f>
        <v>93925.8720424057</v>
      </c>
      <c r="L96" s="27" t="n">
        <f aca="false">L88+L89+L90+L91+L92+L93+L94+L95</f>
        <v>97524.2257579518</v>
      </c>
      <c r="M96" s="27" t="n">
        <f aca="false">M88+M89+M90+M91+M92+M93+M94+M95</f>
        <v>101278.06725802</v>
      </c>
      <c r="N96" s="27" t="n">
        <f aca="false">N88+N89+N90+N91+N92+N93+N94+N95</f>
        <v>105194.956189984</v>
      </c>
      <c r="O96" s="27" t="n">
        <f aca="false">O88+O89+O90+O91+O92+O93+O94+O95</f>
        <v>109282.855296983</v>
      </c>
      <c r="P96" s="27" t="n">
        <f aca="false">P88+P89+P90+P91+P92+P93+P94+P95</f>
        <v>113550.15324785</v>
      </c>
      <c r="Q96" s="27" t="n">
        <f aca="false">Q88+Q89+Q90+Q91+Q92+Q93+Q94+Q95</f>
        <v>125223.200539224</v>
      </c>
      <c r="R96" s="27" t="n">
        <f aca="false">R88+R89+R90+R91+R92+R93+R94+R95</f>
        <v>139680.850038214</v>
      </c>
      <c r="S96" s="27" t="n">
        <f aca="false">S88+S89+S90+S91+S92+S93+S94+S95</f>
        <v>155175.687259842</v>
      </c>
      <c r="T96" s="27" t="n">
        <f aca="false">T88+T89+T90+T91+T92+T93+T94+T95</f>
        <v>171774.3799312</v>
      </c>
      <c r="U96" s="27" t="n">
        <f aca="false">U88+U89+U90+U91+U92+U93+U94+U95</f>
        <v>189547.731150799</v>
      </c>
      <c r="V96" s="27" t="n">
        <f aca="false">V88+V89+V90+V91+V92+V93+V94+V95</f>
        <v>208570.932751783</v>
      </c>
      <c r="W96" s="27" t="n">
        <f aca="false">W88+W89+W90+W91+W92+W93+W94+W95</f>
        <v>228923.834122152</v>
      </c>
    </row>
    <row r="98" customFormat="false" ht="15" hidden="false" customHeight="false" outlineLevel="0" collapsed="false">
      <c r="A98" s="15" t="s">
        <v>436</v>
      </c>
      <c r="B98" s="61" t="n">
        <f aca="false">SUM(C98:W98)</f>
        <v>1203464.00792973</v>
      </c>
      <c r="C98" s="27" t="n">
        <f aca="false">C85-C96</f>
        <v>0</v>
      </c>
      <c r="D98" s="27" t="n">
        <f aca="false">D85-D96</f>
        <v>-264.042375543067</v>
      </c>
      <c r="E98" s="27" t="n">
        <f aca="false">E85-E96</f>
        <v>18737.2868875823</v>
      </c>
      <c r="F98" s="27" t="n">
        <f aca="false">F85-F96</f>
        <v>34121.8442611008</v>
      </c>
      <c r="G98" s="27" t="n">
        <f aca="false">G85-G96</f>
        <v>36254.938219608</v>
      </c>
      <c r="H98" s="27" t="n">
        <f aca="false">H85-H96</f>
        <v>40347.9952622284</v>
      </c>
      <c r="I98" s="27" t="n">
        <f aca="false">I85-I96</f>
        <v>44746.8734178957</v>
      </c>
      <c r="J98" s="27" t="n">
        <f aca="false">J85-J96</f>
        <v>49471.8938105693</v>
      </c>
      <c r="K98" s="27" t="n">
        <f aca="false">K85-K96</f>
        <v>54544.6660192023</v>
      </c>
      <c r="L98" s="27" t="n">
        <f aca="false">L85-L96</f>
        <v>59988.1680716081</v>
      </c>
      <c r="M98" s="27" t="n">
        <f aca="false">M85-M96</f>
        <v>65826.8313557605</v>
      </c>
      <c r="N98" s="27" t="n">
        <f aca="false">N85-N96</f>
        <v>72086.6307493755</v>
      </c>
      <c r="O98" s="27" t="n">
        <f aca="false">O85-O96</f>
        <v>78795.1802869833</v>
      </c>
      <c r="P98" s="27" t="n">
        <f aca="false">P85-P96</f>
        <v>85981.8347031804</v>
      </c>
      <c r="Q98" s="27" t="n">
        <f aca="false">Q85-Q96</f>
        <v>86460.2854780238</v>
      </c>
      <c r="R98" s="27" t="n">
        <f aca="false">R85-R96</f>
        <v>84894.1602774844</v>
      </c>
      <c r="S98" s="27" t="n">
        <f aca="false">S85-S96</f>
        <v>83075.9411840822</v>
      </c>
      <c r="T98" s="27" t="n">
        <f aca="false">T85-T96</f>
        <v>80986.7726849589</v>
      </c>
      <c r="U98" s="27" t="n">
        <f aca="false">U85-U96</f>
        <v>78606.5756596845</v>
      </c>
      <c r="V98" s="27" t="n">
        <f aca="false">V85-V96</f>
        <v>75913.9713434586</v>
      </c>
      <c r="W98" s="27" t="n">
        <f aca="false">W85-W96</f>
        <v>72886.2006324895</v>
      </c>
    </row>
    <row r="99" customFormat="false" ht="15" hidden="false" customHeight="false" outlineLevel="0" collapsed="false">
      <c r="A99" s="10" t="s">
        <v>437</v>
      </c>
      <c r="C99" s="81" t="n">
        <v>0</v>
      </c>
      <c r="D99" s="81" t="n">
        <f aca="false">IFERROR(D98/D85,0)</f>
        <v>-0.00401317350345579</v>
      </c>
      <c r="E99" s="81" t="n">
        <f aca="false">IFERROR(E98/E85,0)</f>
        <v>0.205027564981019</v>
      </c>
      <c r="F99" s="81" t="n">
        <f aca="false">IFERROR(F98/F85,0)</f>
        <v>0.304113483737304</v>
      </c>
      <c r="G99" s="81" t="n">
        <f aca="false">IFERROR(G98/G85,0)</f>
        <v>0.309331882532132</v>
      </c>
      <c r="H99" s="81" t="n">
        <f aca="false">IFERROR(H98/H85,0)</f>
        <v>0.324492771644794</v>
      </c>
      <c r="I99" s="81" t="n">
        <f aca="false">IFERROR(I98/I85,0)</f>
        <v>0.339212081462912</v>
      </c>
      <c r="J99" s="81" t="n">
        <f aca="false">IFERROR(J98/J85,0)</f>
        <v>0.353502673519337</v>
      </c>
      <c r="K99" s="81" t="n">
        <f aca="false">IFERROR(K98/K85,0)</f>
        <v>0.367377034739168</v>
      </c>
      <c r="L99" s="81" t="n">
        <f aca="false">IFERROR(L98/L85,0)</f>
        <v>0.380847288350653</v>
      </c>
      <c r="M99" s="81" t="n">
        <f aca="false">IFERROR(M98/M85,0)</f>
        <v>0.393925204478309</v>
      </c>
      <c r="N99" s="81" t="n">
        <f aca="false">IFERROR(N98/N85,0)</f>
        <v>0.40662221042749</v>
      </c>
      <c r="O99" s="81" t="n">
        <f aca="false">IFERROR(O98/O85,0)</f>
        <v>0.418949400669413</v>
      </c>
      <c r="P99" s="81" t="n">
        <f aca="false">IFERROR(P98/P85,0)</f>
        <v>0.430917546535358</v>
      </c>
      <c r="Q99" s="81" t="n">
        <f aca="false">IFERROR(Q98/Q85,0)</f>
        <v>0.408441334299356</v>
      </c>
      <c r="R99" s="81" t="n">
        <f aca="false">IFERROR(R98/R85,0)</f>
        <v>0.378021402105888</v>
      </c>
      <c r="S99" s="81" t="n">
        <f aca="false">IFERROR(S98/S85,0)</f>
        <v>0.348689919673038</v>
      </c>
      <c r="T99" s="81" t="n">
        <f aca="false">IFERROR(T98/T85,0)</f>
        <v>0.320408305812503</v>
      </c>
      <c r="U99" s="81" t="n">
        <f aca="false">IFERROR(U98/U85,0)</f>
        <v>0.293139336804459</v>
      </c>
      <c r="V99" s="81" t="n">
        <f aca="false">IFERROR(V98/V85,0)</f>
        <v>0.266847098916868</v>
      </c>
      <c r="W99" s="81" t="n">
        <f aca="false">IFERROR(W98/W85,0)</f>
        <v>0.241496942577614</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S_Demand_Lo!$B$14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S_Demand_Lo!$B$16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IF(AND(D39&gt;SenGrace,D39&lt;=SenTenor),PMT(SenRate*$B$11,SenTenor-SenGrace,-S_Demand_Lo!$B$16)-D114,0)</f>
        <v>0</v>
      </c>
      <c r="E115" s="83" t="n">
        <f aca="false">IF(AND(E39&gt;SenGrace,E39&lt;=SenTenor),PMT(SenRate*$B$11,SenTenor-SenGrace,-S_Demand_Lo!$B$16)-E114,0)</f>
        <v>0</v>
      </c>
      <c r="F115" s="83" t="n">
        <f aca="false">IF(AND(F39&gt;SenGrace,F39&lt;=SenTenor),PMT(SenRate*$B$11,SenTenor-SenGrace,-S_Demand_Lo!$B$16)-F114,0)</f>
        <v>9671.48769410162</v>
      </c>
      <c r="G115" s="83" t="n">
        <f aca="false">IF(AND(G39&gt;SenGrace,G39&lt;=SenTenor),PMT(SenRate*$B$11,SenTenor-SenGrace,-S_Demand_Lo!$B$16)-G114,0)</f>
        <v>10638.6364635118</v>
      </c>
      <c r="H115" s="83" t="n">
        <f aca="false">IF(AND(H39&gt;SenGrace,H39&lt;=SenTenor),PMT(SenRate*$B$11,SenTenor-SenGrace,-S_Demand_Lo!$B$16)-H114,0)</f>
        <v>11702.500109863</v>
      </c>
      <c r="I115" s="83" t="n">
        <f aca="false">IF(AND(I39&gt;SenGrace,I39&lt;=SenTenor),PMT(SenRate*$B$11,SenTenor-SenGrace,-S_Demand_Lo!$B$16)-I114,0)</f>
        <v>12872.7501208493</v>
      </c>
      <c r="J115" s="83" t="n">
        <f aca="false">IF(AND(J39&gt;SenGrace,J39&lt;=SenTenor),PMT(SenRate*$B$11,SenTenor-SenGrace,-S_Demand_Lo!$B$16)-J114,0)</f>
        <v>14160.0251329342</v>
      </c>
      <c r="K115" s="83" t="n">
        <f aca="false">IF(AND(K39&gt;SenGrace,K39&lt;=SenTenor),PMT(SenRate*$B$11,SenTenor-SenGrace,-S_Demand_Lo!$B$16)-K114,0)</f>
        <v>15576.0276462276</v>
      </c>
      <c r="L115" s="83" t="n">
        <f aca="false">IF(AND(L39&gt;SenGrace,L39&lt;=SenTenor),PMT(SenRate*$B$11,SenTenor-SenGrace,-S_Demand_Lo!$B$16)-L114,0)</f>
        <v>17133.6304108504</v>
      </c>
      <c r="M115" s="83" t="n">
        <f aca="false">IF(AND(M39&gt;SenGrace,M39&lt;=SenTenor),PMT(SenRate*$B$11,SenTenor-SenGrace,-S_Demand_Lo!$B$16)-M114,0)</f>
        <v>18846.9934519354</v>
      </c>
      <c r="N115" s="83" t="n">
        <f aca="false">IF(AND(N39&gt;SenGrace,N39&lt;=SenTenor),PMT(SenRate*$B$11,SenTenor-SenGrace,-S_Demand_Lo!$B$16)-N114,0)</f>
        <v>0</v>
      </c>
      <c r="O115" s="83" t="n">
        <f aca="false">IF(AND(O39&gt;SenGrace,O39&lt;=SenTenor),PMT(SenRate*$B$11,SenTenor-SenGrace,-S_Demand_Lo!$B$16)-O114,0)</f>
        <v>0</v>
      </c>
      <c r="P115" s="83" t="n">
        <f aca="false">IF(AND(P39&gt;SenGrace,P39&lt;=SenTenor),PMT(SenRate*$B$11,SenTenor-SenGrace,-S_Demand_Lo!$B$16)-P114,0)</f>
        <v>0</v>
      </c>
      <c r="Q115" s="83" t="n">
        <f aca="false">IF(AND(Q39&gt;SenGrace,Q39&lt;=SenTenor),PMT(SenRate*$B$11,SenTenor-SenGrace,-S_Demand_Lo!$B$16)-Q114,0)</f>
        <v>0</v>
      </c>
      <c r="R115" s="83" t="n">
        <f aca="false">IF(AND(R39&gt;SenGrace,R39&lt;=SenTenor),PMT(SenRate*$B$11,SenTenor-SenGrace,-S_Demand_Lo!$B$16)-R114,0)</f>
        <v>0</v>
      </c>
      <c r="S115" s="83" t="n">
        <f aca="false">IF(AND(S39&gt;SenGrace,S39&lt;=SenTenor),PMT(SenRate*$B$11,SenTenor-SenGrace,-S_Demand_Lo!$B$16)-S114,0)</f>
        <v>0</v>
      </c>
      <c r="T115" s="83" t="n">
        <f aca="false">IF(AND(T39&gt;SenGrace,T39&lt;=SenTenor),PMT(SenRate*$B$11,SenTenor-SenGrace,-S_Demand_Lo!$B$16)-T114,0)</f>
        <v>0</v>
      </c>
      <c r="U115" s="83" t="n">
        <f aca="false">IF(AND(U39&gt;SenGrace,U39&lt;=SenTenor),PMT(SenRate*$B$11,SenTenor-SenGrace,-S_Demand_Lo!$B$16)-U114,0)</f>
        <v>0</v>
      </c>
      <c r="V115" s="83" t="n">
        <f aca="false">IF(AND(V39&gt;SenGrace,V39&lt;=SenTenor),PMT(SenRate*$B$11,SenTenor-SenGrace,-S_Demand_Lo!$B$16)-V114,0)</f>
        <v>0</v>
      </c>
      <c r="W115" s="83" t="n">
        <f aca="false">IF(AND(W39&gt;SenGrace,W39&lt;=SenTenor),PMT(SenRate*$B$11,SenTenor-SenGrace,-S_Demand_Lo!$B$16)-W114,0)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S_Demand_Lo!$B$17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IF(AND(D39&gt;ConGrace,D39&lt;=ConTenor),PMT(ConRate*$B$11,ConTenor-ConGrace,-S_Demand_Lo!$B$17)-D121,0)</f>
        <v>0</v>
      </c>
      <c r="E122" s="83" t="n">
        <f aca="false">IF(AND(E39&gt;ConGrace,E39&lt;=ConTenor),PMT(ConRate*$B$11,ConTenor-ConGrace,-S_Demand_Lo!$B$17)-E121,0)</f>
        <v>0</v>
      </c>
      <c r="F122" s="83" t="n">
        <f aca="false">IF(AND(F39&gt;ConGrace,F39&lt;=ConTenor),PMT(ConRate*$B$11,ConTenor-ConGrace,-S_Demand_Lo!$B$17)-F121,0)</f>
        <v>0</v>
      </c>
      <c r="G122" s="83" t="n">
        <f aca="false">IF(AND(G39&gt;ConGrace,G39&lt;=ConTenor),PMT(ConRate*$B$11,ConTenor-ConGrace,-S_Demand_Lo!$B$17)-G121,0)</f>
        <v>0</v>
      </c>
      <c r="H122" s="83" t="n">
        <f aca="false">IF(AND(H39&gt;ConGrace,H39&lt;=ConTenor),PMT(ConRate*$B$11,ConTenor-ConGrace,-S_Demand_Lo!$B$17)-H121,0)</f>
        <v>0</v>
      </c>
      <c r="I122" s="83" t="n">
        <f aca="false">IF(AND(I39&gt;ConGrace,I39&lt;=ConTenor),PMT(ConRate*$B$11,ConTenor-ConGrace,-S_Demand_Lo!$B$17)-I121,0)</f>
        <v>9647.87294294044</v>
      </c>
      <c r="J122" s="83" t="n">
        <f aca="false">IF(AND(J39&gt;ConGrace,J39&lt;=ConTenor),PMT(ConRate*$B$11,ConTenor-ConGrace,-S_Demand_Lo!$B$17)-J121,0)</f>
        <v>9937.30913122865</v>
      </c>
      <c r="K122" s="83" t="n">
        <f aca="false">IF(AND(K39&gt;ConGrace,K39&lt;=ConTenor),PMT(ConRate*$B$11,ConTenor-ConGrace,-S_Demand_Lo!$B$17)-K121,0)</f>
        <v>10235.4284051655</v>
      </c>
      <c r="L122" s="83" t="n">
        <f aca="false">IF(AND(L39&gt;ConGrace,L39&lt;=ConTenor),PMT(ConRate*$B$11,ConTenor-ConGrace,-S_Demand_Lo!$B$17)-L121,0)</f>
        <v>10542.4912573205</v>
      </c>
      <c r="M122" s="83" t="n">
        <f aca="false">IF(AND(M39&gt;ConGrace,M39&lt;=ConTenor),PMT(ConRate*$B$11,ConTenor-ConGrace,-S_Demand_Lo!$B$17)-M121,0)</f>
        <v>10858.7659950401</v>
      </c>
      <c r="N122" s="83" t="n">
        <f aca="false">IF(AND(N39&gt;ConGrace,N39&lt;=ConTenor),PMT(ConRate*$B$11,ConTenor-ConGrace,-S_Demand_Lo!$B$17)-N121,0)</f>
        <v>11184.5289748913</v>
      </c>
      <c r="O122" s="83" t="n">
        <f aca="false">IF(AND(O39&gt;ConGrace,O39&lt;=ConTenor),PMT(ConRate*$B$11,ConTenor-ConGrace,-S_Demand_Lo!$B$17)-O121,0)</f>
        <v>11520.064844138</v>
      </c>
      <c r="P122" s="83" t="n">
        <f aca="false">IF(AND(P39&gt;ConGrace,P39&lt;=ConTenor),PMT(ConRate*$B$11,ConTenor-ConGrace,-S_Demand_Lo!$B$17)-P121,0)</f>
        <v>11865.6667894622</v>
      </c>
      <c r="Q122" s="83" t="n">
        <f aca="false">IF(AND(Q39&gt;ConGrace,Q39&lt;=ConTenor),PMT(ConRate*$B$11,ConTenor-ConGrace,-S_Demand_Lo!$B$17)-Q121,0)</f>
        <v>12221.636793146</v>
      </c>
      <c r="R122" s="83" t="n">
        <f aca="false">IF(AND(R39&gt;ConGrace,R39&lt;=ConTenor),PMT(ConRate*$B$11,ConTenor-ConGrace,-S_Demand_Lo!$B$17)-R121,0)</f>
        <v>12588.2858969404</v>
      </c>
      <c r="S122" s="83" t="n">
        <f aca="false">IF(AND(S39&gt;ConGrace,S39&lt;=ConTenor),PMT(ConRate*$B$11,ConTenor-ConGrace,-S_Demand_Lo!$B$17)-S121,0)</f>
        <v>0</v>
      </c>
      <c r="T122" s="83" t="n">
        <f aca="false">IF(AND(T39&gt;ConGrace,T39&lt;=ConTenor),PMT(ConRate*$B$11,ConTenor-ConGrace,-S_Demand_Lo!$B$17)-T121,0)</f>
        <v>0</v>
      </c>
      <c r="U122" s="83" t="n">
        <f aca="false">IF(AND(U39&gt;ConGrace,U39&lt;=ConTenor),PMT(ConRate*$B$11,ConTenor-ConGrace,-S_Demand_Lo!$B$17)-U121,0)</f>
        <v>0</v>
      </c>
      <c r="V122" s="83" t="n">
        <f aca="false">IF(AND(V39&gt;ConGrace,V39&lt;=ConTenor),PMT(ConRate*$B$11,ConTenor-ConGrace,-S_Demand_Lo!$B$17)-V121,0)</f>
        <v>0</v>
      </c>
      <c r="W122" s="83" t="n">
        <f aca="false">IF(AND(W39&gt;ConGrace,W39&lt;=ConTenor),PMT(ConRate*$B$11,ConTenor-ConGrace,-S_Demand_Lo!$B$17)-W121,0)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968342.676316835</v>
      </c>
      <c r="E127" s="83" t="n">
        <f aca="false">IF(E126&gt;0,(E147/MinDSCR-E121-E122)/E126,1000000000000)</f>
        <v>436045.209110107</v>
      </c>
      <c r="F127" s="83" t="n">
        <f aca="false">IF(F126&gt;0,(F147/MinDSCR-F121-F122)/F126,1000000000000)</f>
        <v>192346.391715125</v>
      </c>
      <c r="G127" s="83" t="n">
        <f aca="false">IF(G126&gt;0,(G147/MinDSCR-G121-G122)/G126,1000000000000)</f>
        <v>45976.9213775153</v>
      </c>
      <c r="H127" s="83" t="n">
        <f aca="false">IF(H126&gt;0,(H147/MinDSCR-H121-H122)/H126,1000000000000)</f>
        <v>62773.9654130429</v>
      </c>
      <c r="I127" s="83" t="n">
        <f aca="false">IF(I126&gt;0,(I147/MinDSCR-I121-I122)/I126,1000000000000)</f>
        <v>29355.3447680609</v>
      </c>
      <c r="J127" s="83" t="n">
        <f aca="false">IF(J126&gt;0,(J147/MinDSCR-J121-J122)/J126,1000000000000)</f>
        <v>48745.8332899826</v>
      </c>
      <c r="K127" s="83" t="n">
        <f aca="false">IF(K126&gt;0,(K147/MinDSCR-K121-K122)/K126,1000000000000)</f>
        <v>69563.4220221586</v>
      </c>
      <c r="L127" s="83" t="n">
        <f aca="false">IF(L126&gt;0,(L147/MinDSCR-L121-L122)/L126,1000000000000)</f>
        <v>69199.1813929846</v>
      </c>
      <c r="M127" s="83" t="n">
        <f aca="false">IF(M126&gt;0,(M147/MinDSCR-M121-M122)/M126,1000000000000)</f>
        <v>93159.8257894132</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IF(D39&lt;=MIN(DepYears,Life),S_Demand_Lo!$B$14/DepYears,0)</f>
        <v>76867.3503434244</v>
      </c>
      <c r="E132" s="83" t="n">
        <f aca="false">IF(E39&lt;=MIN(DepYears,Life),S_Demand_Lo!$B$14/DepYears,0)</f>
        <v>76867.3503434244</v>
      </c>
      <c r="F132" s="83" t="n">
        <f aca="false">IF(F39&lt;=MIN(DepYears,Life),S_Demand_Lo!$B$14/DepYears,0)</f>
        <v>76867.3503434244</v>
      </c>
      <c r="G132" s="83" t="n">
        <f aca="false">IF(G39&lt;=MIN(DepYears,Life),S_Demand_Lo!$B$14/DepYears,0)</f>
        <v>76867.3503434244</v>
      </c>
      <c r="H132" s="83" t="n">
        <f aca="false">IF(H39&lt;=MIN(DepYears,Life),S_Demand_Lo!$B$14/DepYears,0)</f>
        <v>76867.3503434244</v>
      </c>
      <c r="I132" s="83" t="n">
        <f aca="false">IF(I39&lt;=MIN(DepYears,Life),S_Demand_Lo!$B$14/DepYears,0)</f>
        <v>76867.3503434244</v>
      </c>
      <c r="J132" s="83" t="n">
        <f aca="false">IF(J39&lt;=MIN(DepYears,Life),S_Demand_Lo!$B$14/DepYears,0)</f>
        <v>76867.3503434244</v>
      </c>
      <c r="K132" s="83" t="n">
        <f aca="false">IF(K39&lt;=MIN(DepYears,Life),S_Demand_Lo!$B$14/DepYears,0)</f>
        <v>76867.3503434244</v>
      </c>
      <c r="L132" s="83" t="n">
        <f aca="false">IF(L39&lt;=MIN(DepYears,Life),S_Demand_Lo!$B$14/DepYears,0)</f>
        <v>76867.3503434244</v>
      </c>
      <c r="M132" s="83" t="n">
        <f aca="false">IF(M39&lt;=MIN(DepYears,Life),S_Demand_Lo!$B$14/DepYears,0)</f>
        <v>76867.3503434244</v>
      </c>
      <c r="N132" s="83" t="n">
        <f aca="false">IF(N39&lt;=MIN(DepYears,Life),S_Demand_Lo!$B$14/DepYears,0)</f>
        <v>76867.3503434244</v>
      </c>
      <c r="O132" s="83" t="n">
        <f aca="false">IF(O39&lt;=MIN(DepYears,Life),S_Demand_Lo!$B$14/DepYears,0)</f>
        <v>76867.3503434244</v>
      </c>
      <c r="P132" s="83" t="n">
        <f aca="false">IF(P39&lt;=MIN(DepYears,Life),S_Demand_Lo!$B$14/DepYears,0)</f>
        <v>76867.3503434244</v>
      </c>
      <c r="Q132" s="83" t="n">
        <f aca="false">IF(Q39&lt;=MIN(DepYears,Life),S_Demand_Lo!$B$14/DepYears,0)</f>
        <v>76867.3503434244</v>
      </c>
      <c r="R132" s="83" t="n">
        <f aca="false">IF(R39&lt;=MIN(DepYears,Life),S_Demand_Lo!$B$14/DepYears,0)</f>
        <v>76867.3503434244</v>
      </c>
      <c r="S132" s="83" t="n">
        <f aca="false">IF(S39&lt;=MIN(DepYears,Life),S_Demand_Lo!$B$14/DepYears,0)</f>
        <v>0</v>
      </c>
      <c r="T132" s="83" t="n">
        <f aca="false">IF(T39&lt;=MIN(DepYears,Life),S_Demand_Lo!$B$14/DepYears,0)</f>
        <v>0</v>
      </c>
      <c r="U132" s="83" t="n">
        <f aca="false">IF(U39&lt;=MIN(DepYears,Life),S_Demand_Lo!$B$14/DepYears,0)</f>
        <v>0</v>
      </c>
      <c r="V132" s="83" t="n">
        <f aca="false">IF(V39&lt;=MIN(DepYears,Life),S_Demand_Lo!$B$14/DepYears,0)</f>
        <v>0</v>
      </c>
      <c r="W132" s="83" t="n">
        <f aca="false">IF(W39&lt;=MIN(DepYears,Life),S_Demand_Lo!$B$14/DepYears,0)</f>
        <v>0</v>
      </c>
    </row>
    <row r="133" customFormat="false" ht="15" hidden="false" customHeight="false" outlineLevel="0" collapsed="false">
      <c r="A133" s="10" t="s">
        <v>460</v>
      </c>
      <c r="B133" s="61" t="n">
        <f aca="false">SUM(C133:W133)</f>
        <v>50453.7527783678</v>
      </c>
      <c r="C133" s="83" t="n">
        <v>0</v>
      </c>
      <c r="D133" s="83" t="n">
        <f aca="false">D98-D132</f>
        <v>-77131.3927189674</v>
      </c>
      <c r="E133" s="83" t="n">
        <f aca="false">E98-E132</f>
        <v>-58130.0634558421</v>
      </c>
      <c r="F133" s="83" t="n">
        <f aca="false">F98-F132</f>
        <v>-42745.5060823236</v>
      </c>
      <c r="G133" s="83" t="n">
        <f aca="false">G98-G132</f>
        <v>-40612.4121238164</v>
      </c>
      <c r="H133" s="83" t="n">
        <f aca="false">H98-H132</f>
        <v>-36519.355081196</v>
      </c>
      <c r="I133" s="83" t="n">
        <f aca="false">I98-I132</f>
        <v>-32120.4769255286</v>
      </c>
      <c r="J133" s="83" t="n">
        <f aca="false">J98-J132</f>
        <v>-27395.4565328551</v>
      </c>
      <c r="K133" s="83" t="n">
        <f aca="false">K98-K132</f>
        <v>-22322.6843242221</v>
      </c>
      <c r="L133" s="83" t="n">
        <f aca="false">L98-L132</f>
        <v>-16879.1822718163</v>
      </c>
      <c r="M133" s="83" t="n">
        <f aca="false">M98-M132</f>
        <v>-11040.5189876639</v>
      </c>
      <c r="N133" s="83" t="n">
        <f aca="false">N98-N132</f>
        <v>-4780.71959404882</v>
      </c>
      <c r="O133" s="83" t="n">
        <f aca="false">O98-O132</f>
        <v>1927.82994355889</v>
      </c>
      <c r="P133" s="83" t="n">
        <f aca="false">P98-P132</f>
        <v>9114.484359756</v>
      </c>
      <c r="Q133" s="83" t="n">
        <f aca="false">Q98-Q132</f>
        <v>9592.93513459942</v>
      </c>
      <c r="R133" s="83" t="n">
        <f aca="false">R98-R132</f>
        <v>8026.80993406003</v>
      </c>
      <c r="S133" s="83" t="n">
        <f aca="false">S98-S132</f>
        <v>83075.9411840822</v>
      </c>
      <c r="T133" s="83" t="n">
        <f aca="false">T98-T132</f>
        <v>80986.7726849589</v>
      </c>
      <c r="U133" s="83" t="n">
        <f aca="false">U98-U132</f>
        <v>78606.5756596845</v>
      </c>
      <c r="V133" s="83" t="n">
        <f aca="false">V98-V132</f>
        <v>75913.9713434586</v>
      </c>
      <c r="W133" s="83" t="n">
        <f aca="false">W98-W132</f>
        <v>72886.2006324895</v>
      </c>
    </row>
    <row r="134" customFormat="false" ht="15" hidden="false" customHeight="false" outlineLevel="0" collapsed="false">
      <c r="A134" s="10" t="s">
        <v>461</v>
      </c>
      <c r="C134" s="83" t="n">
        <v>0</v>
      </c>
      <c r="D134" s="83" t="n">
        <f aca="false">0</f>
        <v>0</v>
      </c>
      <c r="E134" s="83" t="n">
        <f aca="false">D136</f>
        <v>77131.3927189674</v>
      </c>
      <c r="F134" s="83" t="n">
        <f aca="false">E136</f>
        <v>135261.45617481</v>
      </c>
      <c r="G134" s="83" t="n">
        <f aca="false">F136</f>
        <v>178006.962257133</v>
      </c>
      <c r="H134" s="83" t="n">
        <f aca="false">G136</f>
        <v>218619.374380949</v>
      </c>
      <c r="I134" s="83" t="n">
        <f aca="false">H136</f>
        <v>255138.729462145</v>
      </c>
      <c r="J134" s="83" t="n">
        <f aca="false">I136</f>
        <v>287259.206387674</v>
      </c>
      <c r="K134" s="83" t="n">
        <f aca="false">J136</f>
        <v>314654.662920529</v>
      </c>
      <c r="L134" s="83" t="n">
        <f aca="false">K136</f>
        <v>336977.347244751</v>
      </c>
      <c r="M134" s="83" t="n">
        <f aca="false">L136</f>
        <v>353856.529516568</v>
      </c>
      <c r="N134" s="83" t="n">
        <f aca="false">M136</f>
        <v>364897.048504231</v>
      </c>
      <c r="O134" s="83" t="n">
        <f aca="false">N136</f>
        <v>369677.76809828</v>
      </c>
      <c r="P134" s="83" t="n">
        <f aca="false">O136</f>
        <v>367749.938154721</v>
      </c>
      <c r="Q134" s="83" t="n">
        <f aca="false">P136</f>
        <v>358635.453794965</v>
      </c>
      <c r="R134" s="83" t="n">
        <f aca="false">Q136</f>
        <v>349042.518660366</v>
      </c>
      <c r="S134" s="83" t="n">
        <f aca="false">R136</f>
        <v>341015.708726306</v>
      </c>
      <c r="T134" s="83" t="n">
        <f aca="false">S136</f>
        <v>257939.767542224</v>
      </c>
      <c r="U134" s="83" t="n">
        <f aca="false">T136</f>
        <v>176952.994857265</v>
      </c>
      <c r="V134" s="83" t="n">
        <f aca="false">U136</f>
        <v>98346.4191975802</v>
      </c>
      <c r="W134" s="83" t="n">
        <f aca="false">V136</f>
        <v>22432.4478541216</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1927.82994355889</v>
      </c>
      <c r="P135" s="83" t="n">
        <f aca="false">MIN(P134,MAX(P133,0))</f>
        <v>9114.484359756</v>
      </c>
      <c r="Q135" s="83" t="n">
        <f aca="false">MIN(Q134,MAX(Q133,0))</f>
        <v>9592.93513459942</v>
      </c>
      <c r="R135" s="83" t="n">
        <f aca="false">MIN(R134,MAX(R133,0))</f>
        <v>8026.80993406003</v>
      </c>
      <c r="S135" s="83" t="n">
        <f aca="false">MIN(S134,MAX(S133,0))</f>
        <v>83075.9411840822</v>
      </c>
      <c r="T135" s="83" t="n">
        <f aca="false">MIN(T134,MAX(T133,0))</f>
        <v>80986.7726849589</v>
      </c>
      <c r="U135" s="83" t="n">
        <f aca="false">MIN(U134,MAX(U133,0))</f>
        <v>78606.5756596845</v>
      </c>
      <c r="V135" s="83" t="n">
        <f aca="false">MIN(V134,MAX(V133,0))</f>
        <v>75913.9713434586</v>
      </c>
      <c r="W135" s="83" t="n">
        <f aca="false">MIN(W134,MAX(W133,0))</f>
        <v>22432.4478541216</v>
      </c>
    </row>
    <row r="136" customFormat="false" ht="15" hidden="false" customHeight="false" outlineLevel="0" collapsed="false">
      <c r="A136" s="10" t="s">
        <v>463</v>
      </c>
      <c r="C136" s="83" t="n">
        <v>0</v>
      </c>
      <c r="D136" s="83" t="n">
        <f aca="false">D134-D135+MAX(-D133,0)</f>
        <v>77131.3927189674</v>
      </c>
      <c r="E136" s="83" t="n">
        <f aca="false">E134-E135+MAX(-E133,0)</f>
        <v>135261.45617481</v>
      </c>
      <c r="F136" s="83" t="n">
        <f aca="false">F134-F135+MAX(-F133,0)</f>
        <v>178006.962257133</v>
      </c>
      <c r="G136" s="83" t="n">
        <f aca="false">G134-G135+MAX(-G133,0)</f>
        <v>218619.374380949</v>
      </c>
      <c r="H136" s="83" t="n">
        <f aca="false">H134-H135+MAX(-H133,0)</f>
        <v>255138.729462145</v>
      </c>
      <c r="I136" s="83" t="n">
        <f aca="false">I134-I135+MAX(-I133,0)</f>
        <v>287259.206387674</v>
      </c>
      <c r="J136" s="83" t="n">
        <f aca="false">J134-J135+MAX(-J133,0)</f>
        <v>314654.662920529</v>
      </c>
      <c r="K136" s="83" t="n">
        <f aca="false">K134-K135+MAX(-K133,0)</f>
        <v>336977.347244751</v>
      </c>
      <c r="L136" s="83" t="n">
        <f aca="false">L134-L135+MAX(-L133,0)</f>
        <v>353856.529516568</v>
      </c>
      <c r="M136" s="83" t="n">
        <f aca="false">M134-M135+MAX(-M133,0)</f>
        <v>364897.048504231</v>
      </c>
      <c r="N136" s="83" t="n">
        <f aca="false">N134-N135+MAX(-N133,0)</f>
        <v>369677.76809828</v>
      </c>
      <c r="O136" s="83" t="n">
        <f aca="false">O134-O135+MAX(-O133,0)</f>
        <v>367749.938154721</v>
      </c>
      <c r="P136" s="83" t="n">
        <f aca="false">P134-P135+MAX(-P133,0)</f>
        <v>358635.453794965</v>
      </c>
      <c r="Q136" s="83" t="n">
        <f aca="false">Q134-Q135+MAX(-Q133,0)</f>
        <v>349042.518660366</v>
      </c>
      <c r="R136" s="83" t="n">
        <f aca="false">R134-R135+MAX(-R133,0)</f>
        <v>341015.708726306</v>
      </c>
      <c r="S136" s="83" t="n">
        <f aca="false">S134-S135+MAX(-S133,0)</f>
        <v>257939.767542224</v>
      </c>
      <c r="T136" s="83" t="n">
        <f aca="false">T134-T135+MAX(-T133,0)</f>
        <v>176952.994857265</v>
      </c>
      <c r="U136" s="83" t="n">
        <f aca="false">U134-U135+MAX(-U133,0)</f>
        <v>98346.4191975802</v>
      </c>
      <c r="V136" s="83" t="n">
        <f aca="false">V134-V135+MAX(-V133,0)</f>
        <v>22432.4478541216</v>
      </c>
      <c r="W136" s="83" t="n">
        <f aca="false">W134-W135+MAX(-W133,0)</f>
        <v>0</v>
      </c>
    </row>
    <row r="137" customFormat="false" ht="15" hidden="false" customHeight="false" outlineLevel="0" collapsed="false">
      <c r="A137" s="10" t="s">
        <v>464</v>
      </c>
      <c r="B137" s="61" t="n">
        <f aca="false">SUM(C137:W137)</f>
        <v>12613.438194592</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12613.438194592</v>
      </c>
    </row>
    <row r="138" customFormat="false" ht="15" hidden="false" customHeight="false" outlineLevel="0" collapsed="false">
      <c r="A138" s="10" t="s">
        <v>465</v>
      </c>
      <c r="B138" s="61" t="n">
        <f aca="false">SUM(C138:W138)</f>
        <v>-62565.7501371992</v>
      </c>
      <c r="C138" s="83" t="n">
        <v>0</v>
      </c>
      <c r="D138" s="83" t="n">
        <f aca="false">D98-D132-D114-D121</f>
        <v>-91509.6593529029</v>
      </c>
      <c r="E138" s="83" t="n">
        <f aca="false">E98-E132-E114-E121</f>
        <v>-72508.3300897776</v>
      </c>
      <c r="F138" s="83" t="n">
        <f aca="false">F98-F132-F114-F121</f>
        <v>-57123.7727162591</v>
      </c>
      <c r="G138" s="83" t="n">
        <f aca="false">G98-G132-G114-G121</f>
        <v>-54023.5299883417</v>
      </c>
      <c r="H138" s="83" t="n">
        <f aca="false">H98-H132-H114-H121</f>
        <v>-48866.6092993701</v>
      </c>
      <c r="I138" s="83" t="n">
        <f aca="false">I98-I132-I114-I121</f>
        <v>-43297.4811327165</v>
      </c>
      <c r="J138" s="83" t="n">
        <f aca="false">J98-J132-J114-J121</f>
        <v>-36995.7495396698</v>
      </c>
      <c r="K138" s="83" t="n">
        <f aca="false">K98-K132-K114-K121</f>
        <v>-30208.8555438066</v>
      </c>
      <c r="L138" s="83" t="n">
        <f aca="false">L98-L132-L114-L121</f>
        <v>-22900.687874623</v>
      </c>
      <c r="M138" s="83" t="n">
        <f aca="false">M98-M132-M114-M121</f>
        <v>-15032.386811666</v>
      </c>
      <c r="N138" s="83" t="n">
        <f aca="false">N98-N132-N114-N121</f>
        <v>-6562.12509300615</v>
      </c>
      <c r="O138" s="83" t="n">
        <f aca="false">O98-O132-O114-O121</f>
        <v>481.960313848286</v>
      </c>
      <c r="P138" s="83" t="n">
        <f aca="false">P98-P132-P114-P121</f>
        <v>8014.21667536954</v>
      </c>
      <c r="Q138" s="83" t="n">
        <f aca="false">Q98-Q132-Q114-Q121</f>
        <v>8848.63745389683</v>
      </c>
      <c r="R138" s="83" t="n">
        <f aca="false">R98-R132-R114-R121</f>
        <v>7649.16135715182</v>
      </c>
      <c r="S138" s="83" t="n">
        <f aca="false">S98-S132-S114-S121</f>
        <v>83075.9411840822</v>
      </c>
      <c r="T138" s="83" t="n">
        <f aca="false">T98-T132-T114-T121</f>
        <v>80986.7726849589</v>
      </c>
      <c r="U138" s="83" t="n">
        <f aca="false">U98-U132-U114-U121</f>
        <v>78606.5756596845</v>
      </c>
      <c r="V138" s="83" t="n">
        <f aca="false">V98-V132-V114-V121</f>
        <v>75913.9713434586</v>
      </c>
      <c r="W138" s="83" t="n">
        <f aca="false">W98-W132-W114-W121</f>
        <v>72886.2006324895</v>
      </c>
    </row>
    <row r="139" customFormat="false" ht="15" hidden="false" customHeight="false" outlineLevel="0" collapsed="false">
      <c r="A139" s="10" t="s">
        <v>461</v>
      </c>
      <c r="C139" s="83" t="n">
        <v>0</v>
      </c>
      <c r="D139" s="83" t="n">
        <f aca="false">0</f>
        <v>0</v>
      </c>
      <c r="E139" s="83" t="n">
        <f aca="false">D141</f>
        <v>91509.6593529029</v>
      </c>
      <c r="F139" s="83" t="n">
        <f aca="false">E141</f>
        <v>164017.989442681</v>
      </c>
      <c r="G139" s="83" t="n">
        <f aca="false">F141</f>
        <v>221141.76215894</v>
      </c>
      <c r="H139" s="83" t="n">
        <f aca="false">G141</f>
        <v>275165.292147281</v>
      </c>
      <c r="I139" s="83" t="n">
        <f aca="false">H141</f>
        <v>324031.901446651</v>
      </c>
      <c r="J139" s="83" t="n">
        <f aca="false">I141</f>
        <v>367329.382579368</v>
      </c>
      <c r="K139" s="83" t="n">
        <f aca="false">J141</f>
        <v>404325.132119038</v>
      </c>
      <c r="L139" s="83" t="n">
        <f aca="false">K141</f>
        <v>434533.987662844</v>
      </c>
      <c r="M139" s="83" t="n">
        <f aca="false">L141</f>
        <v>457434.675537467</v>
      </c>
      <c r="N139" s="83" t="n">
        <f aca="false">M141</f>
        <v>472467.062349133</v>
      </c>
      <c r="O139" s="83" t="n">
        <f aca="false">N141</f>
        <v>479029.18744214</v>
      </c>
      <c r="P139" s="83" t="n">
        <f aca="false">O141</f>
        <v>478547.227128291</v>
      </c>
      <c r="Q139" s="83" t="n">
        <f aca="false">P141</f>
        <v>470533.010452922</v>
      </c>
      <c r="R139" s="83" t="n">
        <f aca="false">Q141</f>
        <v>461684.372999025</v>
      </c>
      <c r="S139" s="83" t="n">
        <f aca="false">R141</f>
        <v>454035.211641873</v>
      </c>
      <c r="T139" s="83" t="n">
        <f aca="false">S141</f>
        <v>370959.270457791</v>
      </c>
      <c r="U139" s="83" t="n">
        <f aca="false">T141</f>
        <v>289972.497772832</v>
      </c>
      <c r="V139" s="83" t="n">
        <f aca="false">U141</f>
        <v>211365.922113147</v>
      </c>
      <c r="W139" s="83" t="n">
        <f aca="false">V141</f>
        <v>135451.950769689</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481.960313848286</v>
      </c>
      <c r="P140" s="83" t="n">
        <f aca="false">MIN(P139,MAX(P138,0))</f>
        <v>8014.21667536954</v>
      </c>
      <c r="Q140" s="83" t="n">
        <f aca="false">MIN(Q139,MAX(Q138,0))</f>
        <v>8848.63745389683</v>
      </c>
      <c r="R140" s="83" t="n">
        <f aca="false">MIN(R139,MAX(R138,0))</f>
        <v>7649.16135715182</v>
      </c>
      <c r="S140" s="83" t="n">
        <f aca="false">MIN(S139,MAX(S138,0))</f>
        <v>83075.9411840822</v>
      </c>
      <c r="T140" s="83" t="n">
        <f aca="false">MIN(T139,MAX(T138,0))</f>
        <v>80986.7726849589</v>
      </c>
      <c r="U140" s="83" t="n">
        <f aca="false">MIN(U139,MAX(U138,0))</f>
        <v>78606.5756596845</v>
      </c>
      <c r="V140" s="83" t="n">
        <f aca="false">MIN(V139,MAX(V138,0))</f>
        <v>75913.9713434586</v>
      </c>
      <c r="W140" s="83" t="n">
        <f aca="false">MIN(W139,MAX(W138,0))</f>
        <v>72886.2006324895</v>
      </c>
    </row>
    <row r="141" customFormat="false" ht="15" hidden="false" customHeight="false" outlineLevel="0" collapsed="false">
      <c r="A141" s="10" t="s">
        <v>463</v>
      </c>
      <c r="C141" s="83" t="n">
        <v>0</v>
      </c>
      <c r="D141" s="83" t="n">
        <f aca="false">D139-D140+MAX(-D138,0)</f>
        <v>91509.6593529029</v>
      </c>
      <c r="E141" s="83" t="n">
        <f aca="false">E139-E140+MAX(-E138,0)</f>
        <v>164017.989442681</v>
      </c>
      <c r="F141" s="83" t="n">
        <f aca="false">F139-F140+MAX(-F138,0)</f>
        <v>221141.76215894</v>
      </c>
      <c r="G141" s="83" t="n">
        <f aca="false">G139-G140+MAX(-G138,0)</f>
        <v>275165.292147281</v>
      </c>
      <c r="H141" s="83" t="n">
        <f aca="false">H139-H140+MAX(-H138,0)</f>
        <v>324031.901446651</v>
      </c>
      <c r="I141" s="83" t="n">
        <f aca="false">I139-I140+MAX(-I138,0)</f>
        <v>367329.382579368</v>
      </c>
      <c r="J141" s="83" t="n">
        <f aca="false">J139-J140+MAX(-J138,0)</f>
        <v>404325.132119038</v>
      </c>
      <c r="K141" s="83" t="n">
        <f aca="false">K139-K140+MAX(-K138,0)</f>
        <v>434533.987662844</v>
      </c>
      <c r="L141" s="83" t="n">
        <f aca="false">L139-L140+MAX(-L138,0)</f>
        <v>457434.675537467</v>
      </c>
      <c r="M141" s="83" t="n">
        <f aca="false">M139-M140+MAX(-M138,0)</f>
        <v>472467.062349133</v>
      </c>
      <c r="N141" s="83" t="n">
        <f aca="false">N139-N140+MAX(-N138,0)</f>
        <v>479029.18744214</v>
      </c>
      <c r="O141" s="83" t="n">
        <f aca="false">O139-O140+MAX(-O138,0)</f>
        <v>478547.227128291</v>
      </c>
      <c r="P141" s="83" t="n">
        <f aca="false">P139-P140+MAX(-P138,0)</f>
        <v>470533.010452922</v>
      </c>
      <c r="Q141" s="83" t="n">
        <f aca="false">Q139-Q140+MAX(-Q138,0)</f>
        <v>461684.372999025</v>
      </c>
      <c r="R141" s="83" t="n">
        <f aca="false">R139-R140+MAX(-R138,0)</f>
        <v>454035.211641873</v>
      </c>
      <c r="S141" s="83" t="n">
        <f aca="false">S139-S140+MAX(-S138,0)</f>
        <v>370959.270457791</v>
      </c>
      <c r="T141" s="83" t="n">
        <f aca="false">T139-T140+MAX(-T138,0)</f>
        <v>289972.497772832</v>
      </c>
      <c r="U141" s="83" t="n">
        <f aca="false">U139-U140+MAX(-U138,0)</f>
        <v>211365.922113147</v>
      </c>
      <c r="V141" s="83" t="n">
        <f aca="false">V139-V140+MAX(-V138,0)</f>
        <v>135451.950769689</v>
      </c>
      <c r="W141" s="83" t="n">
        <f aca="false">W139-W140+MAX(-W138,0)</f>
        <v>62565.7501371993</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-870553.434555729</v>
      </c>
      <c r="C145" s="27" t="n">
        <f aca="false">-C102+C98-C103-C137</f>
        <v>-1153010.25515137</v>
      </c>
      <c r="D145" s="27" t="n">
        <f aca="false">-D102+D98-D103-D137</f>
        <v>-264.042375543067</v>
      </c>
      <c r="E145" s="27" t="n">
        <f aca="false">-E102+E98-E103-E137</f>
        <v>18737.2868875823</v>
      </c>
      <c r="F145" s="27" t="n">
        <f aca="false">-F102+F98-F103-F137</f>
        <v>34121.8442611008</v>
      </c>
      <c r="G145" s="27" t="n">
        <f aca="false">-G102+G98-G103-G137</f>
        <v>36254.938219608</v>
      </c>
      <c r="H145" s="27" t="n">
        <f aca="false">-H102+H98-H103-H137</f>
        <v>40347.9952622284</v>
      </c>
      <c r="I145" s="27" t="n">
        <f aca="false">-I102+I98-I103-I137</f>
        <v>44746.8734178957</v>
      </c>
      <c r="J145" s="27" t="n">
        <f aca="false">-J102+J98-J103-J137</f>
        <v>49471.8938105693</v>
      </c>
      <c r="K145" s="27" t="n">
        <f aca="false">-K102+K98-K103-K137</f>
        <v>-111358.771685499</v>
      </c>
      <c r="L145" s="27" t="n">
        <f aca="false">-L102+L98-L103-L137</f>
        <v>59988.1680716081</v>
      </c>
      <c r="M145" s="27" t="n">
        <f aca="false">-M102+M98-M103-M137</f>
        <v>65826.8313557605</v>
      </c>
      <c r="N145" s="27" t="n">
        <f aca="false">-N102+N98-N103-N137</f>
        <v>72086.6307493755</v>
      </c>
      <c r="O145" s="27" t="n">
        <f aca="false">-O102+O98-O103-O137</f>
        <v>78795.1802869833</v>
      </c>
      <c r="P145" s="27" t="n">
        <f aca="false">-P102+P98-P103-P137</f>
        <v>85981.8347031804</v>
      </c>
      <c r="Q145" s="27" t="n">
        <f aca="false">-Q102+Q98-Q103-Q137</f>
        <v>86460.2854780238</v>
      </c>
      <c r="R145" s="27" t="n">
        <f aca="false">-R102+R98-R103-R137</f>
        <v>84894.1602774844</v>
      </c>
      <c r="S145" s="27" t="n">
        <f aca="false">-S102+S98-S103-S137</f>
        <v>-127085.570099588</v>
      </c>
      <c r="T145" s="27" t="n">
        <f aca="false">-T102+T98-T103-T137</f>
        <v>80986.7726849589</v>
      </c>
      <c r="U145" s="27" t="n">
        <f aca="false">-U102+U98-U103-U137</f>
        <v>78606.5756596845</v>
      </c>
      <c r="V145" s="27" t="n">
        <f aca="false">-V102+V98-V103-V137</f>
        <v>75913.9713434586</v>
      </c>
      <c r="W145" s="27" t="n">
        <f aca="false">-W102+W98-W103-W137</f>
        <v>60272.7624378975</v>
      </c>
    </row>
    <row r="146" customFormat="false" ht="15" hidden="false" customHeight="false" outlineLevel="0" collapsed="false">
      <c r="A146" s="15" t="s">
        <v>469</v>
      </c>
      <c r="B146" s="61" t="n">
        <f aca="false">C146+NPV(Hurdle,D146:W146)</f>
        <v>-52633.073924625</v>
      </c>
      <c r="C146" s="27" t="n">
        <f aca="false">C145+C106+C108</f>
        <v>-553010.255151365</v>
      </c>
      <c r="D146" s="27" t="n">
        <f aca="false">D145+D106+D108</f>
        <v>150935.957624457</v>
      </c>
      <c r="E146" s="27" t="n">
        <f aca="false">E145+E106+E108</f>
        <v>81737.2868875823</v>
      </c>
      <c r="F146" s="27" t="n">
        <f aca="false">F145+F106+F108</f>
        <v>71921.8442611008</v>
      </c>
      <c r="G146" s="27" t="n">
        <f aca="false">G145+G106+G108</f>
        <v>36254.938219608</v>
      </c>
      <c r="H146" s="27" t="n">
        <f aca="false">H145+H106+H108</f>
        <v>40347.9952622284</v>
      </c>
      <c r="I146" s="27" t="n">
        <f aca="false">I145+I106+I108</f>
        <v>44746.8734178957</v>
      </c>
      <c r="J146" s="27" t="n">
        <f aca="false">J145+J106+J108</f>
        <v>49471.8938105693</v>
      </c>
      <c r="K146" s="27" t="n">
        <f aca="false">K145+K106+K108</f>
        <v>-111358.771685499</v>
      </c>
      <c r="L146" s="27" t="n">
        <f aca="false">L145+L106+L108</f>
        <v>59988.1680716081</v>
      </c>
      <c r="M146" s="27" t="n">
        <f aca="false">M145+M106+M108</f>
        <v>65826.8313557605</v>
      </c>
      <c r="N146" s="27" t="n">
        <f aca="false">N145+N106+N108</f>
        <v>72086.6307493755</v>
      </c>
      <c r="O146" s="27" t="n">
        <f aca="false">O145+O106+O108</f>
        <v>78795.1802869833</v>
      </c>
      <c r="P146" s="27" t="n">
        <f aca="false">P145+P106+P108</f>
        <v>85981.8347031804</v>
      </c>
      <c r="Q146" s="27" t="n">
        <f aca="false">Q145+Q106+Q108</f>
        <v>86460.2854780238</v>
      </c>
      <c r="R146" s="27" t="n">
        <f aca="false">R145+R106+R108</f>
        <v>84894.1602774844</v>
      </c>
      <c r="S146" s="27" t="n">
        <f aca="false">S145+S106+S108</f>
        <v>-127085.570099588</v>
      </c>
      <c r="T146" s="27" t="n">
        <f aca="false">T145+T106+T108</f>
        <v>80986.7726849589</v>
      </c>
      <c r="U146" s="27" t="n">
        <f aca="false">U145+U106+U108</f>
        <v>78606.5756596845</v>
      </c>
      <c r="V146" s="27" t="n">
        <f aca="false">V145+V106+V108</f>
        <v>75913.9713434586</v>
      </c>
      <c r="W146" s="27" t="n">
        <f aca="false">W145+W106+W108</f>
        <v>60272.7624378975</v>
      </c>
    </row>
    <row r="147" customFormat="false" ht="15" hidden="false" customHeight="false" outlineLevel="0" collapsed="false">
      <c r="A147" s="10" t="s">
        <v>237</v>
      </c>
      <c r="B147" s="61" t="n">
        <f aca="false">SUM(C147:W147)</f>
        <v>1079399.05894136</v>
      </c>
      <c r="C147" s="83" t="n">
        <v>0</v>
      </c>
      <c r="D147" s="83" t="n">
        <f aca="false">D98-D105-D142+D108</f>
        <v>130198.027911369</v>
      </c>
      <c r="E147" s="83" t="n">
        <f aca="false">E98-E105-E142+E108</f>
        <v>60999.3571744946</v>
      </c>
      <c r="F147" s="83" t="n">
        <f aca="false">F98-F105-F142+F108</f>
        <v>51183.9145480131</v>
      </c>
      <c r="G147" s="83" t="n">
        <f aca="false">G98-G105-G142+G108</f>
        <v>15517.0085065203</v>
      </c>
      <c r="H147" s="83" t="n">
        <f aca="false">H98-H105-H142+H108</f>
        <v>19610.0655491407</v>
      </c>
      <c r="I147" s="83" t="n">
        <f aca="false">I98-I105-I142+I108</f>
        <v>24008.9437048081</v>
      </c>
      <c r="J147" s="83" t="n">
        <f aca="false">J98-J105-J142+J108</f>
        <v>28733.9640974816</v>
      </c>
      <c r="K147" s="83" t="n">
        <f aca="false">K98-K105-K142+K108</f>
        <v>33806.7363061146</v>
      </c>
      <c r="L147" s="83" t="n">
        <f aca="false">L98-L105-L142+L108</f>
        <v>33717.9791611493</v>
      </c>
      <c r="M147" s="83" t="n">
        <f aca="false">M98-M105-M142+M108</f>
        <v>39556.6424453017</v>
      </c>
      <c r="N147" s="83" t="n">
        <f aca="false">N98-N105-N142+N108</f>
        <v>45816.4418389168</v>
      </c>
      <c r="O147" s="83" t="n">
        <f aca="false">O98-O105-O142+O108</f>
        <v>52524.9913765245</v>
      </c>
      <c r="P147" s="83" t="n">
        <f aca="false">P98-P105-P142+P108</f>
        <v>59711.6457927216</v>
      </c>
      <c r="Q147" s="83" t="n">
        <f aca="false">Q98-Q105-Q142+Q108</f>
        <v>60190.096567565</v>
      </c>
      <c r="R147" s="83" t="n">
        <f aca="false">R98-R105-R142+R108</f>
        <v>58623.9713670257</v>
      </c>
      <c r="S147" s="83" t="n">
        <f aca="false">S98-S105-S142+S108</f>
        <v>56805.7522736235</v>
      </c>
      <c r="T147" s="83" t="n">
        <f aca="false">T98-T105-T142+T108</f>
        <v>80986.7726849589</v>
      </c>
      <c r="U147" s="83" t="n">
        <f aca="false">U98-U105-U142+U108</f>
        <v>78606.5756596845</v>
      </c>
      <c r="V147" s="83" t="n">
        <f aca="false">V98-V105-V142+V108</f>
        <v>75913.9713434586</v>
      </c>
      <c r="W147" s="83" t="n">
        <f aca="false">W98-W105-W142+W108</f>
        <v>72886.2006324895</v>
      </c>
    </row>
    <row r="148" customFormat="false" ht="15" hidden="false" customHeight="false" outlineLevel="0" collapsed="false">
      <c r="A148" s="10" t="s">
        <v>470</v>
      </c>
      <c r="C148" s="86" t="n">
        <v>0</v>
      </c>
      <c r="D148" s="86" t="n">
        <f aca="false">IF(D125&gt;0,D147/D125,"")</f>
        <v>9.05519637562407</v>
      </c>
      <c r="E148" s="86" t="n">
        <f aca="false">IF(E125&gt;0,E147/E125,"")</f>
        <v>4.24246946641845</v>
      </c>
      <c r="F148" s="86" t="n">
        <f aca="false">IF(F125&gt;0,F147/F125,"")</f>
        <v>2.12825103532734</v>
      </c>
      <c r="G148" s="86" t="n">
        <f aca="false">IF(G125&gt;0,G147/G125,"")</f>
        <v>0.645204449694965</v>
      </c>
      <c r="H148" s="86" t="n">
        <f aca="false">IF(H125&gt;0,H147/H125,"")</f>
        <v>0.815395670228506</v>
      </c>
      <c r="I148" s="86" t="n">
        <f aca="false">IF(I125&gt;0,I147/I125,"")</f>
        <v>0.712481727919343</v>
      </c>
      <c r="J148" s="86" t="n">
        <f aca="false">IF(J125&gt;0,J147/J125,"")</f>
        <v>0.852699920573607</v>
      </c>
      <c r="K148" s="86" t="n">
        <f aca="false">IF(K125&gt;0,K147/K125,"")</f>
        <v>1.00323788480001</v>
      </c>
      <c r="L148" s="86" t="n">
        <f aca="false">IF(L125&gt;0,L147/L125,"")</f>
        <v>1.00060395617793</v>
      </c>
      <c r="M148" s="86" t="n">
        <f aca="false">IF(M125&gt;0,M147/M125,"")</f>
        <v>1.17387025879328</v>
      </c>
      <c r="N148" s="86" t="n">
        <f aca="false">IF(N125&gt;0,N147/N125,"")</f>
        <v>3.53360121719922</v>
      </c>
      <c r="O148" s="86" t="n">
        <f aca="false">IF(O125&gt;0,O147/O125,"")</f>
        <v>4.05099929221945</v>
      </c>
      <c r="P148" s="86" t="n">
        <f aca="false">IF(P125&gt;0,P147/P125,"")</f>
        <v>4.6052712909475</v>
      </c>
      <c r="Q148" s="86" t="n">
        <f aca="false">IF(Q125&gt;0,Q147/Q125,"")</f>
        <v>4.64217189196538</v>
      </c>
      <c r="R148" s="86" t="n">
        <f aca="false">IF(R125&gt;0,R147/R125,"")</f>
        <v>4.52138420761466</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-63719.1258904882</v>
      </c>
      <c r="C149" s="27" t="n">
        <f aca="false">-S_Demand_Lo!$B$18-C129</f>
        <v>-338995.286407787</v>
      </c>
      <c r="D149" s="27" t="n">
        <f aca="false">D147-D125-D129</f>
        <v>115819.761277434</v>
      </c>
      <c r="E149" s="27" t="n">
        <f aca="false">E147-E125-E129</f>
        <v>41785.3466935083</v>
      </c>
      <c r="F149" s="27" t="n">
        <f aca="false">F147-F125-F129</f>
        <v>27134.160219976</v>
      </c>
      <c r="G149" s="27" t="n">
        <f aca="false">G147-G125-G129</f>
        <v>-8532.74582151682</v>
      </c>
      <c r="H149" s="27" t="n">
        <f aca="false">H147-H125-H129</f>
        <v>-9263.6252503666</v>
      </c>
      <c r="I149" s="27" t="n">
        <f aca="false">I147-I125-I129</f>
        <v>-9688.68356616949</v>
      </c>
      <c r="J149" s="27" t="n">
        <f aca="false">J147-J125-J129</f>
        <v>-4963.66317349597</v>
      </c>
      <c r="K149" s="27" t="n">
        <f aca="false">K147-K125-K129</f>
        <v>109.109035137029</v>
      </c>
      <c r="L149" s="27" t="n">
        <f aca="false">L147-L125-L129</f>
        <v>20.3518901717689</v>
      </c>
      <c r="M149" s="27" t="n">
        <f aca="false">M147-M125-M129</f>
        <v>16224.8615728887</v>
      </c>
      <c r="N149" s="27" t="n">
        <f aca="false">N147-N125-N129</f>
        <v>32850.5073650682</v>
      </c>
      <c r="O149" s="27" t="n">
        <f aca="false">O147-O125-O129</f>
        <v>39559.0569026759</v>
      </c>
      <c r="P149" s="27" t="n">
        <f aca="false">P147-P125-P129</f>
        <v>46745.711318873</v>
      </c>
      <c r="Q149" s="27" t="n">
        <f aca="false">Q147-Q125-Q129</f>
        <v>47224.1620937164</v>
      </c>
      <c r="R149" s="27" t="n">
        <f aca="false">R147-R125-R129</f>
        <v>52141.0041301013</v>
      </c>
      <c r="S149" s="27" t="n">
        <f aca="false">S147-S125-S129</f>
        <v>56805.7522736235</v>
      </c>
      <c r="T149" s="27" t="n">
        <f aca="false">T147-T125-T129</f>
        <v>80986.7726849589</v>
      </c>
      <c r="U149" s="27" t="n">
        <f aca="false">U147-U125-U129</f>
        <v>78606.5756596845</v>
      </c>
      <c r="V149" s="27" t="n">
        <f aca="false">V147-V125-V129</f>
        <v>75913.9713434586</v>
      </c>
      <c r="W149" s="27" t="n">
        <f aca="false">W147-W125-W129</f>
        <v>72886.2006324895</v>
      </c>
    </row>
    <row r="150" customFormat="false" ht="15" hidden="false" customHeight="false" outlineLevel="0" collapsed="false">
      <c r="A150" s="10" t="s">
        <v>472</v>
      </c>
      <c r="C150" s="83" t="n">
        <f aca="false">C149</f>
        <v>-338995.286407787</v>
      </c>
      <c r="D150" s="83" t="n">
        <f aca="false">C150+D149</f>
        <v>-223175.525130353</v>
      </c>
      <c r="E150" s="83" t="n">
        <f aca="false">D150+E149</f>
        <v>-181390.178436845</v>
      </c>
      <c r="F150" s="83" t="n">
        <f aca="false">E150+F149</f>
        <v>-154256.018216869</v>
      </c>
      <c r="G150" s="83" t="n">
        <f aca="false">F150+G149</f>
        <v>-162788.764038386</v>
      </c>
      <c r="H150" s="83" t="n">
        <f aca="false">G150+H149</f>
        <v>-172052.389288752</v>
      </c>
      <c r="I150" s="83" t="n">
        <f aca="false">H150+I149</f>
        <v>-181741.072854922</v>
      </c>
      <c r="J150" s="83" t="n">
        <f aca="false">I150+J149</f>
        <v>-186704.736028418</v>
      </c>
      <c r="K150" s="83" t="n">
        <f aca="false">J150+K149</f>
        <v>-186595.626993281</v>
      </c>
      <c r="L150" s="83" t="n">
        <f aca="false">K150+L149</f>
        <v>-186575.275103109</v>
      </c>
      <c r="M150" s="83" t="n">
        <f aca="false">L150+M149</f>
        <v>-170350.41353022</v>
      </c>
      <c r="N150" s="83" t="n">
        <f aca="false">M150+N149</f>
        <v>-137499.906165152</v>
      </c>
      <c r="O150" s="83" t="n">
        <f aca="false">N150+O149</f>
        <v>-97940.8492624763</v>
      </c>
      <c r="P150" s="83" t="n">
        <f aca="false">O150+P149</f>
        <v>-51195.1379436033</v>
      </c>
      <c r="Q150" s="83" t="n">
        <f aca="false">P150+Q149</f>
        <v>-3970.97584988693</v>
      </c>
      <c r="R150" s="83" t="n">
        <f aca="false">Q150+R149</f>
        <v>48170.0282802144</v>
      </c>
      <c r="S150" s="83" t="n">
        <f aca="false">R150+S149</f>
        <v>104975.780553838</v>
      </c>
      <c r="T150" s="83" t="n">
        <f aca="false">S150+T149</f>
        <v>185962.553238797</v>
      </c>
      <c r="U150" s="83" t="n">
        <f aca="false">T150+U149</f>
        <v>264569.128898481</v>
      </c>
      <c r="V150" s="83" t="n">
        <f aca="false">U150+V149</f>
        <v>340483.10024194</v>
      </c>
      <c r="W150" s="83" t="n">
        <f aca="false">V150+W149</f>
        <v>413369.300874429</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2085538.74739212</v>
      </c>
      <c r="C153" s="83" t="n">
        <f aca="false">C102+C96-C93+C103</f>
        <v>1153010.25515137</v>
      </c>
      <c r="D153" s="83" t="n">
        <f aca="false">D102+D96-D93+D103</f>
        <v>64084.1348924071</v>
      </c>
      <c r="E153" s="83" t="n">
        <f aca="false">E102+E96-E93+E103</f>
        <v>69910.1507515342</v>
      </c>
      <c r="F153" s="83" t="n">
        <f aca="false">F102+F96-F93+F103</f>
        <v>74713.1489345917</v>
      </c>
      <c r="G153" s="83" t="n">
        <f aca="false">G102+G96-G93+G103</f>
        <v>77432.9551367022</v>
      </c>
      <c r="H153" s="83" t="n">
        <f aca="false">H102+H96-H93+H103</f>
        <v>80263.4907994811</v>
      </c>
      <c r="I153" s="83" t="n">
        <f aca="false">I102+I96-I93+I103</f>
        <v>83209.8521449719</v>
      </c>
      <c r="J153" s="83" t="n">
        <f aca="false">J102+J96-J93+J103</f>
        <v>86277.396339077</v>
      </c>
      <c r="K153" s="83" t="n">
        <f aca="false">K102+K96-K93+K103</f>
        <v>255375.193605259</v>
      </c>
      <c r="L153" s="83" t="n">
        <f aca="false">L102+L96-L93+L103</f>
        <v>92798.853943065</v>
      </c>
      <c r="M153" s="83" t="n">
        <f aca="false">M102+M96-M93+M103</f>
        <v>96264.9202996062</v>
      </c>
      <c r="N153" s="83" t="n">
        <f aca="false">N102+N96-N93+N103</f>
        <v>99876.508581803</v>
      </c>
      <c r="O153" s="83" t="n">
        <f aca="false">O102+O96-O93+O103</f>
        <v>103640.514229464</v>
      </c>
      <c r="P153" s="83" t="n">
        <f aca="false">P102+P96-P93+P103</f>
        <v>107564.193609319</v>
      </c>
      <c r="Q153" s="83" t="n">
        <f aca="false">Q102+Q96-Q93+Q103</f>
        <v>118872.695958706</v>
      </c>
      <c r="R153" s="83" t="n">
        <f aca="false">R102+R96-R93+R103</f>
        <v>132943.599728743</v>
      </c>
      <c r="S153" s="83" t="n">
        <f aca="false">S102+S96-S93+S103</f>
        <v>358189.649690194</v>
      </c>
      <c r="T153" s="83" t="n">
        <f aca="false">T102+T96-T93+T103</f>
        <v>164191.545352715</v>
      </c>
      <c r="U153" s="83" t="n">
        <f aca="false">U102+U96-U93+U103</f>
        <v>181503.101946484</v>
      </c>
      <c r="V153" s="83" t="n">
        <f aca="false">V102+V96-V93+V103</f>
        <v>200036.385628926</v>
      </c>
      <c r="W153" s="83" t="n">
        <f aca="false">W102+W96-W93+W103</f>
        <v>219869.533079513</v>
      </c>
    </row>
    <row r="154" customFormat="false" ht="15" hidden="false" customHeight="false" outlineLevel="0" collapsed="false">
      <c r="A154" s="10" t="s">
        <v>475</v>
      </c>
      <c r="B154" s="61" t="n">
        <f aca="false">C154+NPV(Hurdle,D154:W154)</f>
        <v>2803696.12985602</v>
      </c>
      <c r="C154" s="83" t="n">
        <f aca="false">C66</f>
        <v>0</v>
      </c>
      <c r="D154" s="83" t="n">
        <f aca="false">D66</f>
        <v>168911.7696</v>
      </c>
      <c r="E154" s="83" t="n">
        <f aca="false">E66</f>
        <v>246470.423808</v>
      </c>
      <c r="F154" s="83" t="n">
        <f aca="false">F66</f>
        <v>298664.1606144</v>
      </c>
      <c r="G154" s="83" t="n">
        <f aca="false">G66</f>
        <v>307624.085432832</v>
      </c>
      <c r="H154" s="83" t="n">
        <f aca="false">H66</f>
        <v>316852.807995817</v>
      </c>
      <c r="I154" s="83" t="n">
        <f aca="false">I66</f>
        <v>326358.392235692</v>
      </c>
      <c r="J154" s="83" t="n">
        <f aca="false">J66</f>
        <v>336149.144002762</v>
      </c>
      <c r="K154" s="83" t="n">
        <f aca="false">K66</f>
        <v>346233.618322845</v>
      </c>
      <c r="L154" s="83" t="n">
        <f aca="false">L66</f>
        <v>356620.626872531</v>
      </c>
      <c r="M154" s="83" t="n">
        <f aca="false">M66</f>
        <v>367319.245678707</v>
      </c>
      <c r="N154" s="83" t="n">
        <f aca="false">N66</f>
        <v>378338.823049068</v>
      </c>
      <c r="O154" s="83" t="n">
        <f aca="false">O66</f>
        <v>389688.98774054</v>
      </c>
      <c r="P154" s="83" t="n">
        <f aca="false">P66</f>
        <v>401379.657372756</v>
      </c>
      <c r="Q154" s="83" t="n">
        <f aca="false">Q66</f>
        <v>413421.047093939</v>
      </c>
      <c r="R154" s="83" t="n">
        <f aca="false">R66</f>
        <v>425823.678506757</v>
      </c>
      <c r="S154" s="83" t="n">
        <f aca="false">S66</f>
        <v>438598.388861959</v>
      </c>
      <c r="T154" s="83" t="n">
        <f aca="false">T66</f>
        <v>451756.340527818</v>
      </c>
      <c r="U154" s="83" t="n">
        <f aca="false">U66</f>
        <v>465309.030743653</v>
      </c>
      <c r="V154" s="83" t="n">
        <f aca="false">V66</f>
        <v>479268.301665962</v>
      </c>
      <c r="W154" s="83" t="n">
        <f aca="false">W66</f>
        <v>493646.350715941</v>
      </c>
    </row>
    <row r="155" customFormat="false" ht="15" hidden="false" customHeight="false" outlineLevel="0" collapsed="false">
      <c r="A155" s="10" t="s">
        <v>476</v>
      </c>
      <c r="B155" s="61" t="n">
        <f aca="false">C155+NPV(Hurdle,D155:W155)</f>
        <v>1244550.2938559</v>
      </c>
      <c r="C155" s="83" t="n">
        <f aca="false">C83</f>
        <v>0</v>
      </c>
      <c r="D155" s="83" t="n">
        <f aca="false">D83</f>
        <v>58893.9098112</v>
      </c>
      <c r="E155" s="83" t="n">
        <f aca="false">E83</f>
        <v>88514.1109681613</v>
      </c>
      <c r="F155" s="83" t="n">
        <f aca="false">F83</f>
        <v>110476.023913085</v>
      </c>
      <c r="G155" s="83" t="n">
        <f aca="false">G83</f>
        <v>117204.013769392</v>
      </c>
      <c r="H155" s="83" t="n">
        <f aca="false">H83</f>
        <v>124341.738207948</v>
      </c>
      <c r="I155" s="83" t="n">
        <f aca="false">I83</f>
        <v>131914.150064812</v>
      </c>
      <c r="J155" s="83" t="n">
        <f aca="false">J83</f>
        <v>139947.721803759</v>
      </c>
      <c r="K155" s="83" t="n">
        <f aca="false">K83</f>
        <v>148470.538061608</v>
      </c>
      <c r="L155" s="83" t="n">
        <f aca="false">L83</f>
        <v>157512.39382956</v>
      </c>
      <c r="M155" s="83" t="n">
        <f aca="false">M83</f>
        <v>167104.89861378</v>
      </c>
      <c r="N155" s="83" t="n">
        <f aca="false">N83</f>
        <v>177281.586939359</v>
      </c>
      <c r="O155" s="83" t="n">
        <f aca="false">O83</f>
        <v>188078.035583966</v>
      </c>
      <c r="P155" s="83" t="n">
        <f aca="false">P83</f>
        <v>199531.98795103</v>
      </c>
      <c r="Q155" s="83" t="n">
        <f aca="false">Q83</f>
        <v>211683.486017248</v>
      </c>
      <c r="R155" s="83" t="n">
        <f aca="false">R83</f>
        <v>224575.010315698</v>
      </c>
      <c r="S155" s="83" t="n">
        <f aca="false">S83</f>
        <v>238251.628443924</v>
      </c>
      <c r="T155" s="83" t="n">
        <f aca="false">T83</f>
        <v>252761.152616159</v>
      </c>
      <c r="U155" s="83" t="n">
        <f aca="false">U83</f>
        <v>268154.306810483</v>
      </c>
      <c r="V155" s="83" t="n">
        <f aca="false">V83</f>
        <v>284484.904095242</v>
      </c>
      <c r="W155" s="83"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f aca="false">1+SensDelta</f>
        <v>1.2</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MAX(0,S_Demand_Hi!$B$14-Grant)*SenPct</f>
        <v>110602.051030273</v>
      </c>
    </row>
    <row r="17" customFormat="false" ht="15" hidden="false" customHeight="false" outlineLevel="0" collapsed="false">
      <c r="A17" s="10" t="s">
        <v>248</v>
      </c>
      <c r="B17" s="61" t="n">
        <f aca="false">MAX(0,S_Demand_Hi!$B$14-Grant)*ConPct</f>
        <v>110602.051030273</v>
      </c>
    </row>
    <row r="18" customFormat="false" ht="15" hidden="false" customHeight="false" outlineLevel="0" collapsed="false">
      <c r="A18" s="10" t="s">
        <v>393</v>
      </c>
      <c r="B18" s="61" t="n">
        <f aca="false">MAX(0,S_Demand_Hi!$B$14-Grant-S_Demand_Hi!$B$16-S_Demand_Hi!$B$17)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-844994.449406489</v>
      </c>
    </row>
    <row r="21" customFormat="false" ht="15" hidden="false" customHeight="false" outlineLevel="0" collapsed="false">
      <c r="A21" s="10" t="s">
        <v>396</v>
      </c>
      <c r="B21" s="61" t="n">
        <f aca="false">$B$146</f>
        <v>-27074.0887753848</v>
      </c>
    </row>
    <row r="22" customFormat="false" ht="15" hidden="false" customHeight="false" outlineLevel="0" collapsed="false">
      <c r="A22" s="10" t="s">
        <v>397</v>
      </c>
      <c r="B22" s="63" t="n">
        <f aca="false">IFERROR(IRR($C$145:$W$145),"n.d.")</f>
        <v>-0.107693971617086</v>
      </c>
    </row>
    <row r="23" customFormat="false" ht="15" hidden="false" customHeight="false" outlineLevel="0" collapsed="false">
      <c r="A23" s="10" t="s">
        <v>398</v>
      </c>
      <c r="B23" s="63" t="n">
        <f aca="false">IFERROR(IRR($C$146:$W$146),"n.d.")</f>
        <v>0.0849467969873074</v>
      </c>
    </row>
    <row r="24" customFormat="false" ht="15" hidden="false" customHeight="false" outlineLevel="0" collapsed="false">
      <c r="A24" s="10" t="s">
        <v>384</v>
      </c>
      <c r="B24" s="61" t="n">
        <f aca="false">MAX(0,-$B$145)</f>
        <v>844994.449406489</v>
      </c>
    </row>
    <row r="25" customFormat="false" ht="15" hidden="false" customHeight="false" outlineLevel="0" collapsed="false">
      <c r="A25" s="10" t="s">
        <v>256</v>
      </c>
      <c r="B25" s="63" t="n">
        <f aca="false">IFERROR(IRR($C$149:$W$149),"n.d.")</f>
        <v>0.0612632567618323</v>
      </c>
    </row>
    <row r="26" customFormat="false" ht="15" hidden="false" customHeight="false" outlineLevel="0" collapsed="false">
      <c r="A26" s="10" t="s">
        <v>258</v>
      </c>
      <c r="B26" s="61" t="n">
        <f aca="false">C149+NPV(TargetEqIRR,D149:W149)</f>
        <v>-76036.9225687715</v>
      </c>
    </row>
    <row r="27" customFormat="false" ht="15" hidden="false" customHeight="false" outlineLevel="0" collapsed="false">
      <c r="A27" s="10" t="s">
        <v>252</v>
      </c>
      <c r="B27" s="62" t="n">
        <f aca="false">IF((S_Demand_Hi!$B$16+S_Demand_Hi!$B$17)&gt;0,MIN($D$148:$W$148),"pas de dette")</f>
        <v>0.785007863146973</v>
      </c>
    </row>
    <row r="28" customFormat="false" ht="15" hidden="false" customHeight="false" outlineLevel="0" collapsed="false">
      <c r="A28" s="10" t="s">
        <v>254</v>
      </c>
      <c r="B28" s="62" t="n">
        <f aca="false">IF((S_Demand_Hi!$B$16+S_Demand_Hi!$B$17)&gt;0,AVERAGE($D$148:$W$148),"pas de dette")</f>
        <v>2.48260919873437</v>
      </c>
    </row>
    <row r="29" customFormat="false" ht="15" hidden="false" customHeight="false" outlineLevel="0" collapsed="false">
      <c r="A29" s="10" t="s">
        <v>399</v>
      </c>
      <c r="B29" s="77" t="n">
        <f aca="false">IFERROR($B$153/$B$154,0)</f>
        <v>0.633797063715073</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46652.0485287493</v>
      </c>
    </row>
    <row r="36" customFormat="false" ht="15" hidden="false" customHeight="false" outlineLevel="0" collapsed="false">
      <c r="A36" s="10" t="s">
        <v>260</v>
      </c>
      <c r="B36" s="78" t="n">
        <f aca="false">IFERROR(MATCH(TRUE(),INDEX($C$150:$W$150&gt;=0,0),0)-1,"&gt; durée de vie")</f>
        <v>8</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1.2</v>
      </c>
      <c r="E45" s="82" t="n">
        <f aca="false">(1+DemandGrowth)^(E39-1)*LevDemand*$B$6</f>
        <v>1.236</v>
      </c>
      <c r="F45" s="82" t="n">
        <f aca="false">(1+DemandGrowth)^(F39-1)*LevDemand*$B$6</f>
        <v>1.27308</v>
      </c>
      <c r="G45" s="82" t="n">
        <f aca="false">(1+DemandGrowth)^(G39-1)*LevDemand*$B$6</f>
        <v>1.3112724</v>
      </c>
      <c r="H45" s="82" t="n">
        <f aca="false">(1+DemandGrowth)^(H39-1)*LevDemand*$B$6</f>
        <v>1.350610572</v>
      </c>
      <c r="I45" s="82" t="n">
        <f aca="false">(1+DemandGrowth)^(I39-1)*LevDemand*$B$6</f>
        <v>1.39112888916</v>
      </c>
      <c r="J45" s="82" t="n">
        <f aca="false">(1+DemandGrowth)^(J39-1)*LevDemand*$B$6</f>
        <v>1.4328627558348</v>
      </c>
      <c r="K45" s="82" t="n">
        <f aca="false">(1+DemandGrowth)^(K39-1)*LevDemand*$B$6</f>
        <v>1.47584863850984</v>
      </c>
      <c r="L45" s="82" t="n">
        <f aca="false">(1+DemandGrowth)^(L39-1)*LevDemand*$B$6</f>
        <v>1.52012409766514</v>
      </c>
      <c r="M45" s="82" t="n">
        <f aca="false">(1+DemandGrowth)^(M39-1)*LevDemand*$B$6</f>
        <v>1.56572782059509</v>
      </c>
      <c r="N45" s="82" t="n">
        <f aca="false">(1+DemandGrowth)^(N39-1)*LevDemand*$B$6</f>
        <v>1.61269965521295</v>
      </c>
      <c r="O45" s="82" t="n">
        <f aca="false">(1+DemandGrowth)^(O39-1)*LevDemand*$B$6</f>
        <v>1.66108064486934</v>
      </c>
      <c r="P45" s="82" t="n">
        <f aca="false">(1+DemandGrowth)^(P39-1)*LevDemand*$B$6</f>
        <v>1.71091306421542</v>
      </c>
      <c r="Q45" s="82" t="n">
        <f aca="false">(1+DemandGrowth)^(Q39-1)*LevDemand*$B$6</f>
        <v>1.76224045614188</v>
      </c>
      <c r="R45" s="82" t="n">
        <f aca="false">(1+DemandGrowth)^(R39-1)*LevDemand*$B$6</f>
        <v>1.81510766982613</v>
      </c>
      <c r="S45" s="82" t="n">
        <f aca="false">(1+DemandGrowth)^(S39-1)*LevDemand*$B$6</f>
        <v>1.86956089992092</v>
      </c>
      <c r="T45" s="82" t="n">
        <f aca="false">(1+DemandGrowth)^(T39-1)*LevDemand*$B$6</f>
        <v>1.92564772691855</v>
      </c>
      <c r="U45" s="82" t="n">
        <f aca="false">(1+DemandGrowth)^(U39-1)*LevDemand*$B$6</f>
        <v>1.9834171587261</v>
      </c>
      <c r="V45" s="82" t="n">
        <f aca="false">(1+DemandGrowth)^(V39-1)*LevDemand*$B$6</f>
        <v>2.04291967348789</v>
      </c>
      <c r="W45" s="82" t="n">
        <f aca="false">(1+DemandGrowth)^(W39-1)*LevDemand*$B$6</f>
        <v>2.10420726369252</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4547383.11169582</v>
      </c>
      <c r="C61" s="83" t="n">
        <v>0</v>
      </c>
      <c r="D61" s="83" t="n">
        <f aca="false">D48*Seg1_kWh*12*D45</f>
        <v>103680</v>
      </c>
      <c r="E61" s="83" t="n">
        <f aca="false">E48*Seg1_kWh*12*E45</f>
        <v>151286.4</v>
      </c>
      <c r="F61" s="83" t="n">
        <f aca="false">F48*Seg1_kWh*12*F45</f>
        <v>183323.52</v>
      </c>
      <c r="G61" s="83" t="n">
        <f aca="false">G48*Seg1_kWh*12*G45</f>
        <v>188823.2256</v>
      </c>
      <c r="H61" s="83" t="n">
        <f aca="false">H48*Seg1_kWh*12*H45</f>
        <v>194487.922368</v>
      </c>
      <c r="I61" s="83" t="n">
        <f aca="false">I48*Seg1_kWh*12*I45</f>
        <v>200322.56003904</v>
      </c>
      <c r="J61" s="83" t="n">
        <f aca="false">J48*Seg1_kWh*12*J45</f>
        <v>206332.236840211</v>
      </c>
      <c r="K61" s="83" t="n">
        <f aca="false">K48*Seg1_kWh*12*K45</f>
        <v>212522.203945418</v>
      </c>
      <c r="L61" s="83" t="n">
        <f aca="false">L48*Seg1_kWh*12*L45</f>
        <v>218897.87006378</v>
      </c>
      <c r="M61" s="83" t="n">
        <f aca="false">M48*Seg1_kWh*12*M45</f>
        <v>225464.806165694</v>
      </c>
      <c r="N61" s="83" t="n">
        <f aca="false">N48*Seg1_kWh*12*N45</f>
        <v>232228.750350664</v>
      </c>
      <c r="O61" s="83" t="n">
        <f aca="false">O48*Seg1_kWh*12*O45</f>
        <v>239195.612861184</v>
      </c>
      <c r="P61" s="83" t="n">
        <f aca="false">P48*Seg1_kWh*12*P45</f>
        <v>246371.48124702</v>
      </c>
      <c r="Q61" s="83" t="n">
        <f aca="false">Q48*Seg1_kWh*12*Q45</f>
        <v>253762.62568443</v>
      </c>
      <c r="R61" s="83" t="n">
        <f aca="false">R48*Seg1_kWh*12*R45</f>
        <v>261375.504454963</v>
      </c>
      <c r="S61" s="83" t="n">
        <f aca="false">S48*Seg1_kWh*12*S45</f>
        <v>269216.769588612</v>
      </c>
      <c r="T61" s="83" t="n">
        <f aca="false">T48*Seg1_kWh*12*T45</f>
        <v>277293.272676271</v>
      </c>
      <c r="U61" s="83" t="n">
        <f aca="false">U48*Seg1_kWh*12*U45</f>
        <v>285612.070856559</v>
      </c>
      <c r="V61" s="83" t="n">
        <f aca="false">V48*Seg1_kWh*12*V45</f>
        <v>294180.432982256</v>
      </c>
      <c r="W61" s="83" t="n">
        <f aca="false">W48*Seg1_kWh*12*W45</f>
        <v>303005.845971723</v>
      </c>
    </row>
    <row r="62" customFormat="false" ht="15" hidden="false" customHeight="false" outlineLevel="0" collapsed="false">
      <c r="A62" s="10" t="str">
        <f aca="false">"Énergie vendue (kWh) - "&amp;Seg2_Name</f>
        <v>Énergie vendue (kWh) - Usagers productifs (moulins, soudure, chambres froides)</v>
      </c>
      <c r="B62" s="61" t="n">
        <f aca="false">SUM(C62:W62)</f>
        <v>3533680.46843659</v>
      </c>
      <c r="C62" s="83" t="n">
        <v>0</v>
      </c>
      <c r="D62" s="83" t="n">
        <f aca="false">D49*Seg2_kWh*12*D45</f>
        <v>80567.6544</v>
      </c>
      <c r="E62" s="83" t="n">
        <f aca="false">E49*Seg2_kWh*12*E45</f>
        <v>117561.635712</v>
      </c>
      <c r="F62" s="83" t="n">
        <f aca="false">F49*Seg2_kWh*12*F45</f>
        <v>142457.0409216</v>
      </c>
      <c r="G62" s="83" t="n">
        <f aca="false">G49*Seg2_kWh*12*G45</f>
        <v>146730.752149248</v>
      </c>
      <c r="H62" s="83" t="n">
        <f aca="false">H49*Seg2_kWh*12*H45</f>
        <v>151132.674713725</v>
      </c>
      <c r="I62" s="83" t="n">
        <f aca="false">I49*Seg2_kWh*12*I45</f>
        <v>155666.654955137</v>
      </c>
      <c r="J62" s="83" t="n">
        <f aca="false">J49*Seg2_kWh*12*J45</f>
        <v>160336.654603791</v>
      </c>
      <c r="K62" s="83" t="n">
        <f aca="false">K49*Seg2_kWh*12*K45</f>
        <v>165146.754241905</v>
      </c>
      <c r="L62" s="83" t="n">
        <f aca="false">L49*Seg2_kWh*12*L45</f>
        <v>170101.156869162</v>
      </c>
      <c r="M62" s="83" t="n">
        <f aca="false">M49*Seg2_kWh*12*M45</f>
        <v>175204.191575237</v>
      </c>
      <c r="N62" s="83" t="n">
        <f aca="false">N49*Seg2_kWh*12*N45</f>
        <v>180460.317322494</v>
      </c>
      <c r="O62" s="83" t="n">
        <f aca="false">O49*Seg2_kWh*12*O45</f>
        <v>185874.126842169</v>
      </c>
      <c r="P62" s="83" t="n">
        <f aca="false">P49*Seg2_kWh*12*P45</f>
        <v>191450.350647434</v>
      </c>
      <c r="Q62" s="83" t="n">
        <f aca="false">Q49*Seg2_kWh*12*Q45</f>
        <v>197193.861166857</v>
      </c>
      <c r="R62" s="83" t="n">
        <f aca="false">R49*Seg2_kWh*12*R45</f>
        <v>203109.677001863</v>
      </c>
      <c r="S62" s="83" t="n">
        <f aca="false">S49*Seg2_kWh*12*S45</f>
        <v>209202.967311919</v>
      </c>
      <c r="T62" s="83" t="n">
        <f aca="false">T49*Seg2_kWh*12*T45</f>
        <v>215479.056331276</v>
      </c>
      <c r="U62" s="83" t="n">
        <f aca="false">U49*Seg2_kWh*12*U45</f>
        <v>221943.428021215</v>
      </c>
      <c r="V62" s="83" t="n">
        <f aca="false">V49*Seg2_kWh*12*V45</f>
        <v>228601.730861851</v>
      </c>
      <c r="W62" s="83" t="n">
        <f aca="false">W49*Seg2_kWh*12*W45</f>
        <v>235459.782787707</v>
      </c>
    </row>
    <row r="63" customFormat="false" ht="15" hidden="false" customHeight="false" outlineLevel="0" collapsed="false">
      <c r="A63" s="10" t="str">
        <f aca="false">"Énergie vendue (kWh) - "&amp;Seg3_Name</f>
        <v>Énergie vendue (kWh) - Commerces (boutiques, bars, kiosques)</v>
      </c>
      <c r="B63" s="61" t="n">
        <f aca="false">SUM(C63:W63)</f>
        <v>1894742.96320659</v>
      </c>
      <c r="C63" s="83" t="n">
        <v>0</v>
      </c>
      <c r="D63" s="83" t="n">
        <f aca="false">D50*Seg3_kWh*12*D45</f>
        <v>43200</v>
      </c>
      <c r="E63" s="83" t="n">
        <f aca="false">E50*Seg3_kWh*12*E45</f>
        <v>63036</v>
      </c>
      <c r="F63" s="83" t="n">
        <f aca="false">F50*Seg3_kWh*12*F45</f>
        <v>76384.8</v>
      </c>
      <c r="G63" s="83" t="n">
        <f aca="false">G50*Seg3_kWh*12*G45</f>
        <v>78676.344</v>
      </c>
      <c r="H63" s="83" t="n">
        <f aca="false">H50*Seg3_kWh*12*H45</f>
        <v>81036.63432</v>
      </c>
      <c r="I63" s="83" t="n">
        <f aca="false">I50*Seg3_kWh*12*I45</f>
        <v>83467.7333496</v>
      </c>
      <c r="J63" s="83" t="n">
        <f aca="false">J50*Seg3_kWh*12*J45</f>
        <v>85971.765350088</v>
      </c>
      <c r="K63" s="83" t="n">
        <f aca="false">K50*Seg3_kWh*12*K45</f>
        <v>88550.9183105907</v>
      </c>
      <c r="L63" s="83" t="n">
        <f aca="false">L50*Seg3_kWh*12*L45</f>
        <v>91207.4458599084</v>
      </c>
      <c r="M63" s="83" t="n">
        <f aca="false">M50*Seg3_kWh*12*M45</f>
        <v>93943.6692357056</v>
      </c>
      <c r="N63" s="83" t="n">
        <f aca="false">N50*Seg3_kWh*12*N45</f>
        <v>96761.9793127768</v>
      </c>
      <c r="O63" s="83" t="n">
        <f aca="false">O50*Seg3_kWh*12*O45</f>
        <v>99664.8386921601</v>
      </c>
      <c r="P63" s="83" t="n">
        <f aca="false">P50*Seg3_kWh*12*P45</f>
        <v>102654.783852925</v>
      </c>
      <c r="Q63" s="83" t="n">
        <f aca="false">Q50*Seg3_kWh*12*Q45</f>
        <v>105734.427368513</v>
      </c>
      <c r="R63" s="83" t="n">
        <f aca="false">R50*Seg3_kWh*12*R45</f>
        <v>108906.460189568</v>
      </c>
      <c r="S63" s="83" t="n">
        <f aca="false">S50*Seg3_kWh*12*S45</f>
        <v>112173.653995255</v>
      </c>
      <c r="T63" s="83" t="n">
        <f aca="false">T50*Seg3_kWh*12*T45</f>
        <v>115538.863615113</v>
      </c>
      <c r="U63" s="83" t="n">
        <f aca="false">U50*Seg3_kWh*12*U45</f>
        <v>119005.029523566</v>
      </c>
      <c r="V63" s="83" t="n">
        <f aca="false">V50*Seg3_kWh*12*V45</f>
        <v>122575.180409273</v>
      </c>
      <c r="W63" s="83" t="n">
        <f aca="false">W50*Seg3_kWh*12*W45</f>
        <v>126252.435821551</v>
      </c>
    </row>
    <row r="64" customFormat="false" ht="15" hidden="false" customHeight="false" outlineLevel="0" collapsed="false">
      <c r="A64" s="10" t="str">
        <f aca="false">"Énergie vendue (kWh) - "&amp;Seg4_Name</f>
        <v>Énergie vendue (kWh) - Institutions (centre de santé, école, eau)</v>
      </c>
      <c r="B64" s="61" t="n">
        <f aca="false">SUM(C64:W64)</f>
        <v>1136845.77792396</v>
      </c>
      <c r="C64" s="83" t="n">
        <v>0</v>
      </c>
      <c r="D64" s="83" t="n">
        <f aca="false">D51*Seg4_kWh*12*D45</f>
        <v>25920</v>
      </c>
      <c r="E64" s="83" t="n">
        <f aca="false">E51*Seg4_kWh*12*E45</f>
        <v>37821.6</v>
      </c>
      <c r="F64" s="83" t="n">
        <f aca="false">F51*Seg4_kWh*12*F45</f>
        <v>45830.88</v>
      </c>
      <c r="G64" s="83" t="n">
        <f aca="false">G51*Seg4_kWh*12*G45</f>
        <v>47205.8064</v>
      </c>
      <c r="H64" s="83" t="n">
        <f aca="false">H51*Seg4_kWh*12*H45</f>
        <v>48621.980592</v>
      </c>
      <c r="I64" s="83" t="n">
        <f aca="false">I51*Seg4_kWh*12*I45</f>
        <v>50080.64000976</v>
      </c>
      <c r="J64" s="83" t="n">
        <f aca="false">J51*Seg4_kWh*12*J45</f>
        <v>51583.0592100528</v>
      </c>
      <c r="K64" s="83" t="n">
        <f aca="false">K51*Seg4_kWh*12*K45</f>
        <v>53130.5509863544</v>
      </c>
      <c r="L64" s="83" t="n">
        <f aca="false">L51*Seg4_kWh*12*L45</f>
        <v>54724.467515945</v>
      </c>
      <c r="M64" s="83" t="n">
        <f aca="false">M51*Seg4_kWh*12*M45</f>
        <v>56366.2015414234</v>
      </c>
      <c r="N64" s="83" t="n">
        <f aca="false">N51*Seg4_kWh*12*N45</f>
        <v>58057.1875876661</v>
      </c>
      <c r="O64" s="83" t="n">
        <f aca="false">O51*Seg4_kWh*12*O45</f>
        <v>59798.9032152961</v>
      </c>
      <c r="P64" s="83" t="n">
        <f aca="false">P51*Seg4_kWh*12*P45</f>
        <v>61592.8703117549</v>
      </c>
      <c r="Q64" s="83" t="n">
        <f aca="false">Q51*Seg4_kWh*12*Q45</f>
        <v>63440.6564211076</v>
      </c>
      <c r="R64" s="83" t="n">
        <f aca="false">R51*Seg4_kWh*12*R45</f>
        <v>65343.8761137408</v>
      </c>
      <c r="S64" s="83" t="n">
        <f aca="false">S51*Seg4_kWh*12*S45</f>
        <v>67304.1923971531</v>
      </c>
      <c r="T64" s="83" t="n">
        <f aca="false">T51*Seg4_kWh*12*T45</f>
        <v>69323.3181690676</v>
      </c>
      <c r="U64" s="83" t="n">
        <f aca="false">U51*Seg4_kWh*12*U45</f>
        <v>71403.0177141397</v>
      </c>
      <c r="V64" s="83" t="n">
        <f aca="false">V51*Seg4_kWh*12*V45</f>
        <v>73545.1082455639</v>
      </c>
      <c r="W64" s="83" t="n">
        <f aca="false">W51*Seg4_kWh*12*W45</f>
        <v>75751.4614929308</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11112652.321263</v>
      </c>
      <c r="C66" s="27" t="n">
        <f aca="false">C61+C62+C63+C64+C65</f>
        <v>0</v>
      </c>
      <c r="D66" s="27" t="n">
        <f aca="false">D61+D62+D63+D64+D65</f>
        <v>253367.6544</v>
      </c>
      <c r="E66" s="27" t="n">
        <f aca="false">E61+E62+E63+E64+E65</f>
        <v>369705.635712</v>
      </c>
      <c r="F66" s="27" t="n">
        <f aca="false">F61+F62+F63+F64+F65</f>
        <v>447996.2409216</v>
      </c>
      <c r="G66" s="27" t="n">
        <f aca="false">G61+G62+G63+G64+G65</f>
        <v>461436.128149248</v>
      </c>
      <c r="H66" s="27" t="n">
        <f aca="false">H61+H62+H63+H64+H65</f>
        <v>475279.211993726</v>
      </c>
      <c r="I66" s="27" t="n">
        <f aca="false">I61+I62+I63+I64+I65</f>
        <v>489537.588353537</v>
      </c>
      <c r="J66" s="27" t="n">
        <f aca="false">J61+J62+J63+J64+J65</f>
        <v>504223.716004143</v>
      </c>
      <c r="K66" s="27" t="n">
        <f aca="false">K61+K62+K63+K64+K65</f>
        <v>519350.427484268</v>
      </c>
      <c r="L66" s="27" t="n">
        <f aca="false">L61+L62+L63+L64+L65</f>
        <v>534930.940308796</v>
      </c>
      <c r="M66" s="27" t="n">
        <f aca="false">M61+M62+M63+M64+M65</f>
        <v>550978.86851806</v>
      </c>
      <c r="N66" s="27" t="n">
        <f aca="false">N61+N62+N63+N64+N65</f>
        <v>567508.234573601</v>
      </c>
      <c r="O66" s="27" t="n">
        <f aca="false">O61+O62+O63+O64+O65</f>
        <v>584533.48161081</v>
      </c>
      <c r="P66" s="27" t="n">
        <f aca="false">P61+P62+P63+P64+P65</f>
        <v>602069.486059134</v>
      </c>
      <c r="Q66" s="27" t="n">
        <f aca="false">Q61+Q62+Q63+Q64+Q65</f>
        <v>620131.570640908</v>
      </c>
      <c r="R66" s="27" t="n">
        <f aca="false">R61+R62+R63+R64+R65</f>
        <v>638735.517760135</v>
      </c>
      <c r="S66" s="27" t="n">
        <f aca="false">S61+S62+S63+S64+S65</f>
        <v>657897.583292939</v>
      </c>
      <c r="T66" s="27" t="n">
        <f aca="false">T61+T62+T63+T64+T65</f>
        <v>677634.510791727</v>
      </c>
      <c r="U66" s="27" t="n">
        <f aca="false">U61+U62+U63+U64+U65</f>
        <v>697963.546115479</v>
      </c>
      <c r="V66" s="27" t="n">
        <f aca="false">V61+V62+V63+V64+V65</f>
        <v>718902.452498944</v>
      </c>
      <c r="W66" s="27" t="n">
        <f aca="false">W61+W62+W63+W64+W65</f>
        <v>740469.526073912</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12628014.0014352</v>
      </c>
      <c r="C69" s="83" t="n">
        <v>0</v>
      </c>
      <c r="D69" s="83" t="n">
        <f aca="false">D66/(1-Losses)</f>
        <v>287917.789090909</v>
      </c>
      <c r="E69" s="83" t="n">
        <f aca="false">E66/(1-Losses)</f>
        <v>420120.040581818</v>
      </c>
      <c r="F69" s="83" t="n">
        <f aca="false">F66/(1-Losses)</f>
        <v>509086.637410909</v>
      </c>
      <c r="G69" s="83" t="n">
        <f aca="false">G66/(1-Losses)</f>
        <v>524359.236533236</v>
      </c>
      <c r="H69" s="83" t="n">
        <f aca="false">H66/(1-Losses)</f>
        <v>540090.013629234</v>
      </c>
      <c r="I69" s="83" t="n">
        <f aca="false">I66/(1-Losses)</f>
        <v>556292.714038111</v>
      </c>
      <c r="J69" s="83" t="n">
        <f aca="false">J66/(1-Losses)</f>
        <v>572981.495459254</v>
      </c>
      <c r="K69" s="83" t="n">
        <f aca="false">K66/(1-Losses)</f>
        <v>590170.940323032</v>
      </c>
      <c r="L69" s="83" t="n">
        <f aca="false">L66/(1-Losses)</f>
        <v>607876.068532722</v>
      </c>
      <c r="M69" s="83" t="n">
        <f aca="false">M66/(1-Losses)</f>
        <v>626112.350588704</v>
      </c>
      <c r="N69" s="83" t="n">
        <f aca="false">N66/(1-Losses)</f>
        <v>644895.721106365</v>
      </c>
      <c r="O69" s="83" t="n">
        <f aca="false">O66/(1-Losses)</f>
        <v>664242.592739556</v>
      </c>
      <c r="P69" s="83" t="n">
        <f aca="false">P66/(1-Losses)</f>
        <v>684169.870521743</v>
      </c>
      <c r="Q69" s="83" t="n">
        <f aca="false">Q66/(1-Losses)</f>
        <v>704694.966637395</v>
      </c>
      <c r="R69" s="83" t="n">
        <f aca="false">R66/(1-Losses)</f>
        <v>725835.815636517</v>
      </c>
      <c r="S69" s="83" t="n">
        <f aca="false">S66/(1-Losses)</f>
        <v>747610.890105613</v>
      </c>
      <c r="T69" s="83" t="n">
        <f aca="false">T66/(1-Losses)</f>
        <v>770039.216808781</v>
      </c>
      <c r="U69" s="83" t="n">
        <f aca="false">U66/(1-Losses)</f>
        <v>793140.393313044</v>
      </c>
      <c r="V69" s="83" t="n">
        <f aca="false">V66/(1-Losses)</f>
        <v>816934.605112436</v>
      </c>
      <c r="W69" s="83" t="n">
        <f aca="false">W66/(1-Losses)</f>
        <v>841442.643265809</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8138118.93090877</v>
      </c>
      <c r="C71" s="83" t="n">
        <v>0</v>
      </c>
      <c r="D71" s="83" t="n">
        <f aca="false">MIN(D70,D69*SolarFraction)</f>
        <v>259126.010181818</v>
      </c>
      <c r="E71" s="83" t="n">
        <f aca="false">MIN(E70,E69*SolarFraction)</f>
        <v>378108.036523636</v>
      </c>
      <c r="F71" s="83" t="n">
        <f aca="false">MIN(F70,F69*SolarFraction)</f>
        <v>434707.329699859</v>
      </c>
      <c r="G71" s="83" t="n">
        <f aca="false">MIN(G70,G69*SolarFraction)</f>
        <v>432533.79305136</v>
      </c>
      <c r="H71" s="83" t="n">
        <f aca="false">MIN(H70,H69*SolarFraction)</f>
        <v>430371.124086103</v>
      </c>
      <c r="I71" s="83" t="n">
        <f aca="false">MIN(I70,I69*SolarFraction)</f>
        <v>428219.268465673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4489895.07052642</v>
      </c>
      <c r="C72" s="83" t="n">
        <v>0</v>
      </c>
      <c r="D72" s="83" t="n">
        <f aca="false">D69-D71</f>
        <v>28791.7789090909</v>
      </c>
      <c r="E72" s="83" t="n">
        <f aca="false">E69-E71</f>
        <v>42012.0040581818</v>
      </c>
      <c r="F72" s="83" t="n">
        <f aca="false">F69-F71</f>
        <v>74379.3077110499</v>
      </c>
      <c r="G72" s="83" t="n">
        <f aca="false">G69-G71</f>
        <v>91825.4434818765</v>
      </c>
      <c r="H72" s="83" t="n">
        <f aca="false">H69-H71</f>
        <v>109718.889543131</v>
      </c>
      <c r="I72" s="83" t="n">
        <f aca="false">I69-I71</f>
        <v>128073.445572438</v>
      </c>
      <c r="J72" s="83" t="n">
        <f aca="false">J69-J71</f>
        <v>146903.32333591</v>
      </c>
      <c r="K72" s="83" t="n">
        <f aca="false">K69-K71</f>
        <v>166223.159060304</v>
      </c>
      <c r="L72" s="83" t="n">
        <f aca="false">L69-L71</f>
        <v>186048.026176309</v>
      </c>
      <c r="M72" s="83" t="n">
        <f aca="false">M69-M71</f>
        <v>206393.448444072</v>
      </c>
      <c r="N72" s="83" t="n">
        <f aca="false">N69-N71</f>
        <v>227275.413472457</v>
      </c>
      <c r="O72" s="83" t="n">
        <f aca="false">O69-O71</f>
        <v>248710.386643817</v>
      </c>
      <c r="P72" s="83" t="n">
        <f aca="false">P69-P71</f>
        <v>270715.325456483</v>
      </c>
      <c r="Q72" s="83" t="n">
        <f aca="false">Q69-Q71</f>
        <v>293307.694297461</v>
      </c>
      <c r="R72" s="83" t="n">
        <f aca="false">R69-R71</f>
        <v>316505.479658283</v>
      </c>
      <c r="S72" s="83" t="n">
        <f aca="false">S69-S71</f>
        <v>340327.205807269</v>
      </c>
      <c r="T72" s="83" t="n">
        <f aca="false">T69-T71</f>
        <v>364791.950931929</v>
      </c>
      <c r="U72" s="83" t="n">
        <f aca="false">U69-U71</f>
        <v>389919.363765577</v>
      </c>
      <c r="V72" s="83" t="n">
        <f aca="false">V69-V71</f>
        <v>415729.680712706</v>
      </c>
      <c r="W72" s="83" t="n">
        <f aca="false">W69-W71</f>
        <v>442243.743488078</v>
      </c>
    </row>
    <row r="73" customFormat="false" ht="15" hidden="false" customHeight="false" outlineLevel="0" collapsed="false">
      <c r="A73" s="10" t="s">
        <v>422</v>
      </c>
      <c r="C73" s="81" t="n">
        <v>0</v>
      </c>
      <c r="D73" s="81" t="n">
        <f aca="false">IFERROR(D71/D69,0)</f>
        <v>0.9</v>
      </c>
      <c r="E73" s="81" t="n">
        <f aca="false">IFERROR(E71/E69,0)</f>
        <v>0.9</v>
      </c>
      <c r="F73" s="81" t="n">
        <f aca="false">IFERROR(F71/F69,0)</f>
        <v>0.8538965625</v>
      </c>
      <c r="G73" s="81" t="n">
        <f aca="false">IFERROR(G71/G69,0)</f>
        <v>0.824880659890777</v>
      </c>
      <c r="H73" s="81" t="n">
        <f aca="false">IFERROR(H71/H69,0)</f>
        <v>0.796850734554682</v>
      </c>
      <c r="I73" s="81" t="n">
        <f aca="false">IFERROR(I71/I69,0)</f>
        <v>0.76977328240962</v>
      </c>
      <c r="J73" s="81" t="n">
        <f aca="false">IFERROR(J71/J69,0)</f>
        <v>0.74361593786172</v>
      </c>
      <c r="K73" s="81" t="n">
        <f aca="false">IFERROR(K71/K69,0)</f>
        <v>0.718347435118847</v>
      </c>
      <c r="L73" s="81" t="n">
        <f aca="false">IFERROR(L71/L69,0)</f>
        <v>0.693937570818692</v>
      </c>
      <c r="M73" s="81" t="n">
        <f aca="false">IFERROR(M71/M69,0)</f>
        <v>0.670357167926794</v>
      </c>
      <c r="N73" s="81" t="n">
        <f aca="false">IFERROR(N71/N69,0)</f>
        <v>0.647578040861321</v>
      </c>
      <c r="O73" s="81" t="n">
        <f aca="false">IFERROR(O71/O69,0)</f>
        <v>0.625572961802926</v>
      </c>
      <c r="P73" s="81" t="n">
        <f aca="false">IFERROR(P71/P69,0)</f>
        <v>0.604315628149429</v>
      </c>
      <c r="Q73" s="81" t="n">
        <f aca="false">IFERROR(Q71/Q69,0)</f>
        <v>0.58378063107639</v>
      </c>
      <c r="R73" s="81" t="n">
        <f aca="false">IFERROR(R71/R69,0)</f>
        <v>0.563943425166027</v>
      </c>
      <c r="S73" s="81" t="n">
        <f aca="false">IFERROR(S71/S69,0)</f>
        <v>0.544780299068152</v>
      </c>
      <c r="T73" s="81" t="n">
        <f aca="false">IFERROR(T71/T69,0)</f>
        <v>0.52626834715807</v>
      </c>
      <c r="U73" s="81" t="n">
        <f aca="false">IFERROR(U71/U69,0)</f>
        <v>0.508385442157552</v>
      </c>
      <c r="V73" s="81" t="n">
        <f aca="false">IFERROR(V71/V69,0)</f>
        <v>0.491110208686179</v>
      </c>
      <c r="W73" s="81" t="n">
        <f aca="false">IFERROR(W71/W69,0)</f>
        <v>0.474421997711406</v>
      </c>
    </row>
    <row r="74" customFormat="false" ht="15" hidden="false" customHeight="false" outlineLevel="0" collapsed="false">
      <c r="A74" s="10" t="s">
        <v>423</v>
      </c>
      <c r="B74" s="61" t="n">
        <f aca="false">SUM(C74:W74)</f>
        <v>1496631.69017547</v>
      </c>
      <c r="C74" s="83" t="n">
        <v>0</v>
      </c>
      <c r="D74" s="83" t="n">
        <f aca="false">D72/DieselEff</f>
        <v>9597.25963636364</v>
      </c>
      <c r="E74" s="83" t="n">
        <f aca="false">E72/DieselEff</f>
        <v>14004.0013527273</v>
      </c>
      <c r="F74" s="83" t="n">
        <f aca="false">F72/DieselEff</f>
        <v>24793.10257035</v>
      </c>
      <c r="G74" s="83" t="n">
        <f aca="false">G72/DieselEff</f>
        <v>30608.4811606255</v>
      </c>
      <c r="H74" s="83" t="n">
        <f aca="false">H72/DieselEff</f>
        <v>36572.9631810435</v>
      </c>
      <c r="I74" s="83" t="n">
        <f aca="false">I72/DieselEff</f>
        <v>42691.148524146</v>
      </c>
      <c r="J74" s="83" t="n">
        <f aca="false">J72/DieselEff</f>
        <v>48967.7744453032</v>
      </c>
      <c r="K74" s="83" t="n">
        <f aca="false">K72/DieselEff</f>
        <v>55407.719686768</v>
      </c>
      <c r="L74" s="83" t="n">
        <f aca="false">L72/DieselEff</f>
        <v>62016.0087254362</v>
      </c>
      <c r="M74" s="83" t="n">
        <f aca="false">M72/DieselEff</f>
        <v>68797.8161480241</v>
      </c>
      <c r="N74" s="83" t="n">
        <f aca="false">N72/DieselEff</f>
        <v>75758.4711574856</v>
      </c>
      <c r="O74" s="83" t="n">
        <f aca="false">O72/DieselEff</f>
        <v>82903.4622146058</v>
      </c>
      <c r="P74" s="83" t="n">
        <f aca="false">P72/DieselEff</f>
        <v>90238.4418188275</v>
      </c>
      <c r="Q74" s="83" t="n">
        <f aca="false">Q72/DieselEff</f>
        <v>97769.231432487</v>
      </c>
      <c r="R74" s="83" t="n">
        <f aca="false">R72/DieselEff</f>
        <v>105501.826552761</v>
      </c>
      <c r="S74" s="83" t="n">
        <f aca="false">S72/DieselEff</f>
        <v>113442.401935756</v>
      </c>
      <c r="T74" s="83" t="n">
        <f aca="false">T72/DieselEff</f>
        <v>121597.31697731</v>
      </c>
      <c r="U74" s="83" t="n">
        <f aca="false">U72/DieselEff</f>
        <v>129973.121255192</v>
      </c>
      <c r="V74" s="83" t="n">
        <f aca="false">V72/DieselEff</f>
        <v>138576.560237569</v>
      </c>
      <c r="W74" s="83" t="n">
        <f aca="false">W72/DieselEff</f>
        <v>147414.581162693</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2528709.7675024</v>
      </c>
      <c r="C77" s="83" t="n">
        <v>0</v>
      </c>
      <c r="D77" s="83" t="n">
        <f aca="false">D61*Seg1_Tariff*LevTariff*$B$5*D43</f>
        <v>41472</v>
      </c>
      <c r="E77" s="83" t="n">
        <f aca="false">E61*Seg1_Tariff*LevTariff*$B$5*E43</f>
        <v>62329.9968</v>
      </c>
      <c r="F77" s="83" t="n">
        <f aca="false">F61*Seg1_Tariff*LevTariff*$B$5*F43</f>
        <v>77795.1689472</v>
      </c>
      <c r="G77" s="83" t="n">
        <f aca="false">G61*Seg1_Tariff*LevTariff*$B$5*G43</f>
        <v>82532.8947360845</v>
      </c>
      <c r="H77" s="83" t="n">
        <f aca="false">H61*Seg1_Tariff*LevTariff*$B$5*H43</f>
        <v>87559.1480255121</v>
      </c>
      <c r="I77" s="83" t="n">
        <f aca="false">I61*Seg1_Tariff*LevTariff*$B$5*I43</f>
        <v>92891.5001402657</v>
      </c>
      <c r="J77" s="83" t="n">
        <f aca="false">J61*Seg1_Tariff*LevTariff*$B$5*J43</f>
        <v>98548.5924988079</v>
      </c>
      <c r="K77" s="83" t="n">
        <f aca="false">K61*Seg1_Tariff*LevTariff*$B$5*K43</f>
        <v>104550.201781985</v>
      </c>
      <c r="L77" s="83" t="n">
        <f aca="false">L61*Seg1_Tariff*LevTariff*$B$5*L43</f>
        <v>110917.309070508</v>
      </c>
      <c r="M77" s="83" t="n">
        <f aca="false">M61*Seg1_Tariff*LevTariff*$B$5*M43</f>
        <v>117672.173192902</v>
      </c>
      <c r="N77" s="83" t="n">
        <f aca="false">N61*Seg1_Tariff*LevTariff*$B$5*N43</f>
        <v>124838.40854035</v>
      </c>
      <c r="O77" s="83" t="n">
        <f aca="false">O61*Seg1_Tariff*LevTariff*$B$5*O43</f>
        <v>132441.067620457</v>
      </c>
      <c r="P77" s="83" t="n">
        <f aca="false">P61*Seg1_Tariff*LevTariff*$B$5*P43</f>
        <v>140506.728638543</v>
      </c>
      <c r="Q77" s="83" t="n">
        <f aca="false">Q61*Seg1_Tariff*LevTariff*$B$5*Q43</f>
        <v>149063.58841263</v>
      </c>
      <c r="R77" s="83" t="n">
        <f aca="false">R61*Seg1_Tariff*LevTariff*$B$5*R43</f>
        <v>158141.56094696</v>
      </c>
      <c r="S77" s="83" t="n">
        <f aca="false">S61*Seg1_Tariff*LevTariff*$B$5*S43</f>
        <v>167772.382008629</v>
      </c>
      <c r="T77" s="83" t="n">
        <f aca="false">T61*Seg1_Tariff*LevTariff*$B$5*T43</f>
        <v>177989.720072955</v>
      </c>
      <c r="U77" s="83" t="n">
        <f aca="false">U61*Seg1_Tariff*LevTariff*$B$5*U43</f>
        <v>188829.294025398</v>
      </c>
      <c r="V77" s="83" t="n">
        <f aca="false">V61*Seg1_Tariff*LevTariff*$B$5*V43</f>
        <v>200328.998031545</v>
      </c>
      <c r="W77" s="83" t="n">
        <f aca="false">W61*Seg1_Tariff*LevTariff*$B$5*W43</f>
        <v>212529.034011666</v>
      </c>
    </row>
    <row r="78" customFormat="false" ht="15" hidden="false" customHeight="false" outlineLevel="0" collapsed="false">
      <c r="A78" s="10" t="str">
        <f aca="false">"Recettes facturées - "&amp;Seg2_Name</f>
        <v>Recettes facturées - Usagers productifs (moulins, soudure, chambres froides)</v>
      </c>
      <c r="B78" s="61" t="n">
        <f aca="false">SUM(C78:W78)</f>
        <v>1719383.56286442</v>
      </c>
      <c r="C78" s="83" t="n">
        <v>0</v>
      </c>
      <c r="D78" s="83" t="n">
        <f aca="false">D62*Seg2_Tariff*LevTariff*$B$5*D43</f>
        <v>28198.67904</v>
      </c>
      <c r="E78" s="83" t="n">
        <f aca="false">E62*Seg2_Tariff*LevTariff*$B$5*E43</f>
        <v>42380.969674176</v>
      </c>
      <c r="F78" s="83" t="n">
        <f aca="false">F62*Seg2_Tariff*LevTariff*$B$5*F43</f>
        <v>52896.4361498039</v>
      </c>
      <c r="G78" s="83" t="n">
        <f aca="false">G62*Seg2_Tariff*LevTariff*$B$5*G43</f>
        <v>56117.829111327</v>
      </c>
      <c r="H78" s="83" t="n">
        <f aca="false">H62*Seg2_Tariff*LevTariff*$B$5*H43</f>
        <v>59535.4049042068</v>
      </c>
      <c r="I78" s="83" t="n">
        <f aca="false">I62*Seg2_Tariff*LevTariff*$B$5*I43</f>
        <v>63161.111062873</v>
      </c>
      <c r="J78" s="83" t="n">
        <f aca="false">J62*Seg2_Tariff*LevTariff*$B$5*J43</f>
        <v>67007.6227266019</v>
      </c>
      <c r="K78" s="83" t="n">
        <f aca="false">K62*Seg2_Tariff*LevTariff*$B$5*K43</f>
        <v>71088.386950652</v>
      </c>
      <c r="L78" s="83" t="n">
        <f aca="false">L62*Seg2_Tariff*LevTariff*$B$5*L43</f>
        <v>75417.6697159467</v>
      </c>
      <c r="M78" s="83" t="n">
        <f aca="false">M62*Seg2_Tariff*LevTariff*$B$5*M43</f>
        <v>80010.6058016479</v>
      </c>
      <c r="N78" s="83" t="n">
        <f aca="false">N62*Seg2_Tariff*LevTariff*$B$5*N43</f>
        <v>84883.2516949682</v>
      </c>
      <c r="O78" s="83" t="n">
        <f aca="false">O62*Seg2_Tariff*LevTariff*$B$5*O43</f>
        <v>90052.6417231918</v>
      </c>
      <c r="P78" s="83" t="n">
        <f aca="false">P62*Seg2_Tariff*LevTariff*$B$5*P43</f>
        <v>95536.8476041342</v>
      </c>
      <c r="Q78" s="83" t="n">
        <f aca="false">Q62*Seg2_Tariff*LevTariff*$B$5*Q43</f>
        <v>101355.041623226</v>
      </c>
      <c r="R78" s="83" t="n">
        <f aca="false">R62*Seg2_Tariff*LevTariff*$B$5*R43</f>
        <v>107527.56365808</v>
      </c>
      <c r="S78" s="83" t="n">
        <f aca="false">S62*Seg2_Tariff*LevTariff*$B$5*S43</f>
        <v>114075.992284858</v>
      </c>
      <c r="T78" s="83" t="n">
        <f aca="false">T62*Seg2_Tariff*LevTariff*$B$5*T43</f>
        <v>121023.220215005</v>
      </c>
      <c r="U78" s="83" t="n">
        <f aca="false">U62*Seg2_Tariff*LevTariff*$B$5*U43</f>
        <v>128393.534326099</v>
      </c>
      <c r="V78" s="83" t="n">
        <f aca="false">V62*Seg2_Tariff*LevTariff*$B$5*V43</f>
        <v>136212.700566559</v>
      </c>
      <c r="W78" s="83" t="n">
        <f aca="false">W62*Seg2_Tariff*LevTariff*$B$5*W43</f>
        <v>144508.054031062</v>
      </c>
    </row>
    <row r="79" customFormat="false" ht="15" hidden="false" customHeight="false" outlineLevel="0" collapsed="false">
      <c r="A79" s="10" t="str">
        <f aca="false">"Recettes facturées - "&amp;Seg3_Name</f>
        <v>Recettes facturées - Commerces (boutiques, bars, kiosques)</v>
      </c>
      <c r="B79" s="61" t="n">
        <f aca="false">SUM(C79:W79)</f>
        <v>1053629.06979267</v>
      </c>
      <c r="C79" s="83" t="n">
        <v>0</v>
      </c>
      <c r="D79" s="83" t="n">
        <f aca="false">D63*Seg3_Tariff*LevTariff*$B$5*D43</f>
        <v>17280</v>
      </c>
      <c r="E79" s="83" t="n">
        <f aca="false">E63*Seg3_Tariff*LevTariff*$B$5*E43</f>
        <v>25970.832</v>
      </c>
      <c r="F79" s="83" t="n">
        <f aca="false">F63*Seg3_Tariff*LevTariff*$B$5*F43</f>
        <v>32414.653728</v>
      </c>
      <c r="G79" s="83" t="n">
        <f aca="false">G63*Seg3_Tariff*LevTariff*$B$5*G43</f>
        <v>34388.7061400352</v>
      </c>
      <c r="H79" s="83" t="n">
        <f aca="false">H63*Seg3_Tariff*LevTariff*$B$5*H43</f>
        <v>36482.9783439634</v>
      </c>
      <c r="I79" s="83" t="n">
        <f aca="false">I63*Seg3_Tariff*LevTariff*$B$5*I43</f>
        <v>38704.7917251107</v>
      </c>
      <c r="J79" s="83" t="n">
        <f aca="false">J63*Seg3_Tariff*LevTariff*$B$5*J43</f>
        <v>41061.91354117</v>
      </c>
      <c r="K79" s="83" t="n">
        <f aca="false">K63*Seg3_Tariff*LevTariff*$B$5*K43</f>
        <v>43562.5840758272</v>
      </c>
      <c r="L79" s="83" t="n">
        <f aca="false">L63*Seg3_Tariff*LevTariff*$B$5*L43</f>
        <v>46215.5454460451</v>
      </c>
      <c r="M79" s="83" t="n">
        <f aca="false">M63*Seg3_Tariff*LevTariff*$B$5*M43</f>
        <v>49030.0721637093</v>
      </c>
      <c r="N79" s="83" t="n">
        <f aca="false">N63*Seg3_Tariff*LevTariff*$B$5*N43</f>
        <v>52016.0035584791</v>
      </c>
      <c r="O79" s="83" t="n">
        <f aca="false">O63*Seg3_Tariff*LevTariff*$B$5*O43</f>
        <v>55183.7781751905</v>
      </c>
      <c r="P79" s="83" t="n">
        <f aca="false">P63*Seg3_Tariff*LevTariff*$B$5*P43</f>
        <v>58544.4702660596</v>
      </c>
      <c r="Q79" s="83" t="n">
        <f aca="false">Q63*Seg3_Tariff*LevTariff*$B$5*Q43</f>
        <v>62109.8285052627</v>
      </c>
      <c r="R79" s="83" t="n">
        <f aca="false">R63*Seg3_Tariff*LevTariff*$B$5*R43</f>
        <v>65892.3170612332</v>
      </c>
      <c r="S79" s="83" t="n">
        <f aca="false">S63*Seg3_Tariff*LevTariff*$B$5*S43</f>
        <v>69905.1591702623</v>
      </c>
      <c r="T79" s="83" t="n">
        <f aca="false">T63*Seg3_Tariff*LevTariff*$B$5*T43</f>
        <v>74162.3833637313</v>
      </c>
      <c r="U79" s="83" t="n">
        <f aca="false">U63*Seg3_Tariff*LevTariff*$B$5*U43</f>
        <v>78678.8725105825</v>
      </c>
      <c r="V79" s="83" t="n">
        <f aca="false">V63*Seg3_Tariff*LevTariff*$B$5*V43</f>
        <v>83470.415846477</v>
      </c>
      <c r="W79" s="83" t="n">
        <f aca="false">W63*Seg3_Tariff*LevTariff*$B$5*W43</f>
        <v>88553.7641715274</v>
      </c>
    </row>
    <row r="80" customFormat="false" ht="15" hidden="false" customHeight="false" outlineLevel="0" collapsed="false">
      <c r="A80" s="10" t="str">
        <f aca="false">"Recettes facturées - "&amp;Seg4_Name</f>
        <v>Recettes facturées - Institutions (centre de santé, école, eau)</v>
      </c>
      <c r="B80" s="61" t="n">
        <f aca="false">SUM(C80:W80)</f>
        <v>553155.26164115</v>
      </c>
      <c r="C80" s="83" t="n">
        <v>0</v>
      </c>
      <c r="D80" s="83" t="n">
        <f aca="false">D64*Seg4_Tariff*LevTariff*$B$5*D43</f>
        <v>9072</v>
      </c>
      <c r="E80" s="83" t="n">
        <f aca="false">E64*Seg4_Tariff*LevTariff*$B$5*E43</f>
        <v>13634.6868</v>
      </c>
      <c r="F80" s="83" t="n">
        <f aca="false">F64*Seg4_Tariff*LevTariff*$B$5*F43</f>
        <v>17017.6932072</v>
      </c>
      <c r="G80" s="83" t="n">
        <f aca="false">G64*Seg4_Tariff*LevTariff*$B$5*G43</f>
        <v>18054.0707235185</v>
      </c>
      <c r="H80" s="83" t="n">
        <f aca="false">H64*Seg4_Tariff*LevTariff*$B$5*H43</f>
        <v>19153.5636305808</v>
      </c>
      <c r="I80" s="83" t="n">
        <f aca="false">I64*Seg4_Tariff*LevTariff*$B$5*I43</f>
        <v>20320.0156556831</v>
      </c>
      <c r="J80" s="83" t="n">
        <f aca="false">J64*Seg4_Tariff*LevTariff*$B$5*J43</f>
        <v>21557.5046091142</v>
      </c>
      <c r="K80" s="83" t="n">
        <f aca="false">K64*Seg4_Tariff*LevTariff*$B$5*K43</f>
        <v>22870.3566398093</v>
      </c>
      <c r="L80" s="83" t="n">
        <f aca="false">L64*Seg4_Tariff*LevTariff*$B$5*L43</f>
        <v>24263.1613591737</v>
      </c>
      <c r="M80" s="83" t="n">
        <f aca="false">M64*Seg4_Tariff*LevTariff*$B$5*M43</f>
        <v>25740.7878859474</v>
      </c>
      <c r="N80" s="83" t="n">
        <f aca="false">N64*Seg4_Tariff*LevTariff*$B$5*N43</f>
        <v>27308.4018682015</v>
      </c>
      <c r="O80" s="83" t="n">
        <f aca="false">O64*Seg4_Tariff*LevTariff*$B$5*O43</f>
        <v>28971.483541975</v>
      </c>
      <c r="P80" s="83" t="n">
        <f aca="false">P64*Seg4_Tariff*LevTariff*$B$5*P43</f>
        <v>30735.8468896813</v>
      </c>
      <c r="Q80" s="83" t="n">
        <f aca="false">Q64*Seg4_Tariff*LevTariff*$B$5*Q43</f>
        <v>32607.6599652629</v>
      </c>
      <c r="R80" s="83" t="n">
        <f aca="false">R64*Seg4_Tariff*LevTariff*$B$5*R43</f>
        <v>34593.4664571474</v>
      </c>
      <c r="S80" s="83" t="n">
        <f aca="false">S64*Seg4_Tariff*LevTariff*$B$5*S43</f>
        <v>36700.2085643877</v>
      </c>
      <c r="T80" s="83" t="n">
        <f aca="false">T64*Seg4_Tariff*LevTariff*$B$5*T43</f>
        <v>38935.2512659589</v>
      </c>
      <c r="U80" s="83" t="n">
        <f aca="false">U64*Seg4_Tariff*LevTariff*$B$5*U43</f>
        <v>41306.4080680558</v>
      </c>
      <c r="V80" s="83" t="n">
        <f aca="false">V64*Seg4_Tariff*LevTariff*$B$5*V43</f>
        <v>43821.9683194004</v>
      </c>
      <c r="W80" s="83" t="n">
        <f aca="false">W64*Seg4_Tariff*LevTariff*$B$5*W43</f>
        <v>46490.7261900519</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5854877.66180063</v>
      </c>
      <c r="C82" s="27" t="n">
        <f aca="false">C77+C78+C79+C80+C81</f>
        <v>0</v>
      </c>
      <c r="D82" s="27" t="n">
        <f aca="false">D77+D78+D79+D80+D81</f>
        <v>96022.67904</v>
      </c>
      <c r="E82" s="27" t="n">
        <f aca="false">E77+E78+E79+E80+E81</f>
        <v>144316.485274176</v>
      </c>
      <c r="F82" s="27" t="n">
        <f aca="false">F77+F78+F79+F80+F81</f>
        <v>180123.952032204</v>
      </c>
      <c r="G82" s="27" t="n">
        <f aca="false">G77+G78+G79+G80+G81</f>
        <v>191093.500710965</v>
      </c>
      <c r="H82" s="27" t="n">
        <f aca="false">H77+H78+H79+H80+H81</f>
        <v>202731.094904263</v>
      </c>
      <c r="I82" s="27" t="n">
        <f aca="false">I77+I78+I79+I80+I81</f>
        <v>215077.418583933</v>
      </c>
      <c r="J82" s="27" t="n">
        <f aca="false">J77+J78+J79+J80+J81</f>
        <v>228175.633375694</v>
      </c>
      <c r="K82" s="27" t="n">
        <f aca="false">K77+K78+K79+K80+K81</f>
        <v>242071.529448274</v>
      </c>
      <c r="L82" s="27" t="n">
        <f aca="false">L77+L78+L79+L80+L81</f>
        <v>256813.685591674</v>
      </c>
      <c r="M82" s="27" t="n">
        <f aca="false">M77+M78+M79+M80+M81</f>
        <v>272453.639044207</v>
      </c>
      <c r="N82" s="27" t="n">
        <f aca="false">N77+N78+N79+N80+N81</f>
        <v>289046.065661999</v>
      </c>
      <c r="O82" s="27" t="n">
        <f aca="false">O77+O78+O79+O80+O81</f>
        <v>306648.971060815</v>
      </c>
      <c r="P82" s="27" t="n">
        <f aca="false">P77+P78+P79+P80+P81</f>
        <v>325323.893398418</v>
      </c>
      <c r="Q82" s="27" t="n">
        <f aca="false">Q77+Q78+Q79+Q80+Q81</f>
        <v>345136.118506382</v>
      </c>
      <c r="R82" s="27" t="n">
        <f aca="false">R77+R78+R79+R80+R81</f>
        <v>366154.908123421</v>
      </c>
      <c r="S82" s="27" t="n">
        <f aca="false">S77+S78+S79+S80+S81</f>
        <v>388453.742028137</v>
      </c>
      <c r="T82" s="27" t="n">
        <f aca="false">T77+T78+T79+T80+T81</f>
        <v>412110.574917651</v>
      </c>
      <c r="U82" s="27" t="n">
        <f aca="false">U77+U78+U79+U80+U81</f>
        <v>437208.108930135</v>
      </c>
      <c r="V82" s="27" t="n">
        <f aca="false">V77+V78+V79+V80+V81</f>
        <v>463834.082763981</v>
      </c>
      <c r="W82" s="27" t="n">
        <f aca="false">W77+W78+W79+W80+W81</f>
        <v>492081.578404307</v>
      </c>
    </row>
    <row r="83" customFormat="false" ht="15" hidden="false" customHeight="false" outlineLevel="0" collapsed="false">
      <c r="A83" s="10" t="s">
        <v>426</v>
      </c>
      <c r="B83" s="61" t="n">
        <f aca="false">SUM(C83:W83)</f>
        <v>5386487.44885658</v>
      </c>
      <c r="C83" s="83" t="n">
        <v>0</v>
      </c>
      <c r="D83" s="83" t="n">
        <f aca="false">D82*MIN(1,Collection*LevColl*$B$9)</f>
        <v>88340.8647168</v>
      </c>
      <c r="E83" s="83" t="n">
        <f aca="false">E82*MIN(1,Collection*LevColl*$B$9)</f>
        <v>132771.166452242</v>
      </c>
      <c r="F83" s="83" t="n">
        <f aca="false">F82*MIN(1,Collection*LevColl*$B$9)</f>
        <v>165714.035869628</v>
      </c>
      <c r="G83" s="83" t="n">
        <f aca="false">G82*MIN(1,Collection*LevColl*$B$9)</f>
        <v>175806.020654088</v>
      </c>
      <c r="H83" s="83" t="n">
        <f aca="false">H82*MIN(1,Collection*LevColl*$B$9)</f>
        <v>186512.607311922</v>
      </c>
      <c r="I83" s="83" t="n">
        <f aca="false">I82*MIN(1,Collection*LevColl*$B$9)</f>
        <v>197871.225097218</v>
      </c>
      <c r="J83" s="83" t="n">
        <f aca="false">J82*MIN(1,Collection*LevColl*$B$9)</f>
        <v>209921.582705639</v>
      </c>
      <c r="K83" s="83" t="n">
        <f aca="false">K82*MIN(1,Collection*LevColl*$B$9)</f>
        <v>222705.807092412</v>
      </c>
      <c r="L83" s="83" t="n">
        <f aca="false">L82*MIN(1,Collection*LevColl*$B$9)</f>
        <v>236268.59074434</v>
      </c>
      <c r="M83" s="83" t="n">
        <f aca="false">M82*MIN(1,Collection*LevColl*$B$9)</f>
        <v>250657.34792067</v>
      </c>
      <c r="N83" s="83" t="n">
        <f aca="false">N82*MIN(1,Collection*LevColl*$B$9)</f>
        <v>265922.380409039</v>
      </c>
      <c r="O83" s="83" t="n">
        <f aca="false">O82*MIN(1,Collection*LevColl*$B$9)</f>
        <v>282117.053375949</v>
      </c>
      <c r="P83" s="83" t="n">
        <f aca="false">P82*MIN(1,Collection*LevColl*$B$9)</f>
        <v>299297.981926545</v>
      </c>
      <c r="Q83" s="83" t="n">
        <f aca="false">Q82*MIN(1,Collection*LevColl*$B$9)</f>
        <v>317525.229025871</v>
      </c>
      <c r="R83" s="83" t="n">
        <f aca="false">R82*MIN(1,Collection*LevColl*$B$9)</f>
        <v>336862.515473547</v>
      </c>
      <c r="S83" s="83" t="n">
        <f aca="false">S82*MIN(1,Collection*LevColl*$B$9)</f>
        <v>357377.442665886</v>
      </c>
      <c r="T83" s="83" t="n">
        <f aca="false">T82*MIN(1,Collection*LevColl*$B$9)</f>
        <v>379141.728924239</v>
      </c>
      <c r="U83" s="83" t="n">
        <f aca="false">U82*MIN(1,Collection*LevColl*$B$9)</f>
        <v>402231.460215725</v>
      </c>
      <c r="V83" s="83" t="n">
        <f aca="false">V82*MIN(1,Collection*LevColl*$B$9)</f>
        <v>426727.356142862</v>
      </c>
      <c r="W83" s="83" t="n">
        <f aca="false">W82*MIN(1,Collection*LevColl*$B$9)</f>
        <v>452715.052131963</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5397987.44885658</v>
      </c>
      <c r="C85" s="27" t="n">
        <f aca="false">C83+C84</f>
        <v>0</v>
      </c>
      <c r="D85" s="27" t="n">
        <f aca="false">D83+D84</f>
        <v>95240.8647168</v>
      </c>
      <c r="E85" s="27" t="n">
        <f aca="false">E83+E84</f>
        <v>135646.166452242</v>
      </c>
      <c r="F85" s="27" t="n">
        <f aca="false">F83+F84</f>
        <v>167439.035869628</v>
      </c>
      <c r="G85" s="27" t="n">
        <f aca="false">G83+G84</f>
        <v>175806.020654088</v>
      </c>
      <c r="H85" s="27" t="n">
        <f aca="false">H83+H84</f>
        <v>186512.607311922</v>
      </c>
      <c r="I85" s="27" t="n">
        <f aca="false">I83+I84</f>
        <v>197871.225097218</v>
      </c>
      <c r="J85" s="27" t="n">
        <f aca="false">J83+J84</f>
        <v>209921.582705639</v>
      </c>
      <c r="K85" s="27" t="n">
        <f aca="false">K83+K84</f>
        <v>222705.807092412</v>
      </c>
      <c r="L85" s="27" t="n">
        <f aca="false">L83+L84</f>
        <v>236268.59074434</v>
      </c>
      <c r="M85" s="27" t="n">
        <f aca="false">M83+M84</f>
        <v>250657.34792067</v>
      </c>
      <c r="N85" s="27" t="n">
        <f aca="false">N83+N84</f>
        <v>265922.380409039</v>
      </c>
      <c r="O85" s="27" t="n">
        <f aca="false">O83+O84</f>
        <v>282117.053375949</v>
      </c>
      <c r="P85" s="27" t="n">
        <f aca="false">P83+P84</f>
        <v>299297.981926545</v>
      </c>
      <c r="Q85" s="27" t="n">
        <f aca="false">Q83+Q84</f>
        <v>317525.229025871</v>
      </c>
      <c r="R85" s="27" t="n">
        <f aca="false">R83+R84</f>
        <v>336862.515473547</v>
      </c>
      <c r="S85" s="27" t="n">
        <f aca="false">S83+S84</f>
        <v>357377.442665886</v>
      </c>
      <c r="T85" s="27" t="n">
        <f aca="false">T83+T84</f>
        <v>379141.728924239</v>
      </c>
      <c r="U85" s="27" t="n">
        <f aca="false">U83+U84</f>
        <v>402231.460215725</v>
      </c>
      <c r="V85" s="27" t="n">
        <f aca="false">V83+V84</f>
        <v>426727.356142862</v>
      </c>
      <c r="W85" s="27" t="n">
        <f aca="false">W83+W84</f>
        <v>452715.052131963</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S_Demand_Hi!$B$15*O_FixedPct*D44*LevOpex*$B$8*D41</f>
        <v>25065.4403293775</v>
      </c>
      <c r="E88" s="83" t="n">
        <f aca="false">S_Demand_Hi!$B$15*O_FixedPct*E44*LevOpex*$B$8*E41</f>
        <v>25817.4035392588</v>
      </c>
      <c r="F88" s="83" t="n">
        <f aca="false">S_Demand_Hi!$B$15*O_FixedPct*F44*LevOpex*$B$8*F41</f>
        <v>26591.9256454366</v>
      </c>
      <c r="G88" s="83" t="n">
        <f aca="false">S_Demand_Hi!$B$15*O_FixedPct*G44*LevOpex*$B$8*G41</f>
        <v>27389.6834147997</v>
      </c>
      <c r="H88" s="83" t="n">
        <f aca="false">S_Demand_Hi!$B$15*O_FixedPct*H44*LevOpex*$B$8*H41</f>
        <v>28211.3739172437</v>
      </c>
      <c r="I88" s="83" t="n">
        <f aca="false">S_Demand_Hi!$B$15*O_FixedPct*I44*LevOpex*$B$8*I41</f>
        <v>29057.715134761</v>
      </c>
      <c r="J88" s="83" t="n">
        <f aca="false">S_Demand_Hi!$B$15*O_FixedPct*J44*LevOpex*$B$8*J41</f>
        <v>29929.4465888038</v>
      </c>
      <c r="K88" s="83" t="n">
        <f aca="false">S_Demand_Hi!$B$15*O_FixedPct*K44*LevOpex*$B$8*K41</f>
        <v>30827.329986468</v>
      </c>
      <c r="L88" s="83" t="n">
        <f aca="false">S_Demand_Hi!$B$15*O_FixedPct*L44*LevOpex*$B$8*L41</f>
        <v>31752.149886062</v>
      </c>
      <c r="M88" s="83" t="n">
        <f aca="false">S_Demand_Hi!$B$15*O_FixedPct*M44*LevOpex*$B$8*M41</f>
        <v>32704.7143826439</v>
      </c>
      <c r="N88" s="83" t="n">
        <f aca="false">S_Demand_Hi!$B$15*O_FixedPct*N44*LevOpex*$B$8*N41</f>
        <v>33685.8558141232</v>
      </c>
      <c r="O88" s="83" t="n">
        <f aca="false">S_Demand_Hi!$B$15*O_FixedPct*O44*LevOpex*$B$8*O41</f>
        <v>34696.4314885469</v>
      </c>
      <c r="P88" s="83" t="n">
        <f aca="false">S_Demand_Hi!$B$15*O_FixedPct*P44*LevOpex*$B$8*P41</f>
        <v>35737.3244332033</v>
      </c>
      <c r="Q88" s="83" t="n">
        <f aca="false">S_Demand_Hi!$B$15*O_FixedPct*Q44*LevOpex*$B$8*Q41</f>
        <v>36809.4441661994</v>
      </c>
      <c r="R88" s="83" t="n">
        <f aca="false">S_Demand_Hi!$B$15*O_FixedPct*R44*LevOpex*$B$8*R41</f>
        <v>37913.7274911854</v>
      </c>
      <c r="S88" s="83" t="n">
        <f aca="false">S_Demand_Hi!$B$15*O_FixedPct*S44*LevOpex*$B$8*S41</f>
        <v>39051.1393159209</v>
      </c>
      <c r="T88" s="83" t="n">
        <f aca="false">S_Demand_Hi!$B$15*O_FixedPct*T44*LevOpex*$B$8*T41</f>
        <v>40222.6734953985</v>
      </c>
      <c r="U88" s="83" t="n">
        <f aca="false">S_Demand_Hi!$B$15*O_FixedPct*U44*LevOpex*$B$8*U41</f>
        <v>41429.3537002605</v>
      </c>
      <c r="V88" s="83" t="n">
        <f aca="false">S_Demand_Hi!$B$15*O_FixedPct*V44*LevOpex*$B$8*V41</f>
        <v>42672.2343112683</v>
      </c>
      <c r="W88" s="83" t="n">
        <f aca="false">S_Demand_Hi!$B$15*O_FixedPct*W44*LevOpex*$B$8*W41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S_Demand_Hi!$B$14*O_InsPct*D44*LevOpex*$B$8*D41</f>
        <v>5765.05127575683</v>
      </c>
      <c r="E90" s="83" t="n">
        <f aca="false">S_Demand_Hi!$B$14*O_InsPct*E44*LevOpex*$B$8*E41</f>
        <v>5938.00281402953</v>
      </c>
      <c r="F90" s="83" t="n">
        <f aca="false">S_Demand_Hi!$B$14*O_InsPct*F44*LevOpex*$B$8*F41</f>
        <v>6116.14289845042</v>
      </c>
      <c r="G90" s="83" t="n">
        <f aca="false">S_Demand_Hi!$B$14*O_InsPct*G44*LevOpex*$B$8*G41</f>
        <v>6299.62718540393</v>
      </c>
      <c r="H90" s="83" t="n">
        <f aca="false">S_Demand_Hi!$B$14*O_InsPct*H44*LevOpex*$B$8*H41</f>
        <v>6488.61600096605</v>
      </c>
      <c r="I90" s="83" t="n">
        <f aca="false">S_Demand_Hi!$B$14*O_InsPct*I44*LevOpex*$B$8*I41</f>
        <v>6683.27448099503</v>
      </c>
      <c r="J90" s="83" t="n">
        <f aca="false">S_Demand_Hi!$B$14*O_InsPct*J44*LevOpex*$B$8*J41</f>
        <v>6883.77271542488</v>
      </c>
      <c r="K90" s="83" t="n">
        <f aca="false">S_Demand_Hi!$B$14*O_InsPct*K44*LevOpex*$B$8*K41</f>
        <v>7090.28589688763</v>
      </c>
      <c r="L90" s="83" t="n">
        <f aca="false">S_Demand_Hi!$B$14*O_InsPct*L44*LevOpex*$B$8*L41</f>
        <v>7302.99447379426</v>
      </c>
      <c r="M90" s="83" t="n">
        <f aca="false">S_Demand_Hi!$B$14*O_InsPct*M44*LevOpex*$B$8*M41</f>
        <v>7522.08430800809</v>
      </c>
      <c r="N90" s="83" t="n">
        <f aca="false">S_Demand_Hi!$B$14*O_InsPct*N44*LevOpex*$B$8*N41</f>
        <v>7747.74683724833</v>
      </c>
      <c r="O90" s="83" t="n">
        <f aca="false">S_Demand_Hi!$B$14*O_InsPct*O44*LevOpex*$B$8*O41</f>
        <v>7980.17924236578</v>
      </c>
      <c r="P90" s="83" t="n">
        <f aca="false">S_Demand_Hi!$B$14*O_InsPct*P44*LevOpex*$B$8*P41</f>
        <v>8219.58461963675</v>
      </c>
      <c r="Q90" s="83" t="n">
        <f aca="false">S_Demand_Hi!$B$14*O_InsPct*Q44*LevOpex*$B$8*Q41</f>
        <v>8466.17215822586</v>
      </c>
      <c r="R90" s="83" t="n">
        <f aca="false">S_Demand_Hi!$B$14*O_InsPct*R44*LevOpex*$B$8*R41</f>
        <v>8720.15732297263</v>
      </c>
      <c r="S90" s="83" t="n">
        <f aca="false">S_Demand_Hi!$B$14*O_InsPct*S44*LevOpex*$B$8*S41</f>
        <v>8981.76204266181</v>
      </c>
      <c r="T90" s="83" t="n">
        <f aca="false">S_Demand_Hi!$B$14*O_InsPct*T44*LevOpex*$B$8*T41</f>
        <v>9251.21490394167</v>
      </c>
      <c r="U90" s="83" t="n">
        <f aca="false">S_Demand_Hi!$B$14*O_InsPct*U44*LevOpex*$B$8*U41</f>
        <v>9528.75135105992</v>
      </c>
      <c r="V90" s="83" t="n">
        <f aca="false">S_Demand_Hi!$B$14*O_InsPct*V44*LevOpex*$B$8*V41</f>
        <v>9814.61389159171</v>
      </c>
      <c r="W90" s="83" t="n">
        <f aca="false">S_Demand_Hi!$B$14*O_InsPct*W44*LevOpex*$B$8*W41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161939.623465697</v>
      </c>
      <c r="C93" s="83" t="n">
        <v>0</v>
      </c>
      <c r="D93" s="83" t="n">
        <f aca="false">D85*O_CustPct</f>
        <v>2857.225941504</v>
      </c>
      <c r="E93" s="83" t="n">
        <f aca="false">E85*O_CustPct</f>
        <v>4069.38499356726</v>
      </c>
      <c r="F93" s="83" t="n">
        <f aca="false">F85*O_CustPct</f>
        <v>5023.17107608883</v>
      </c>
      <c r="G93" s="83" t="n">
        <f aca="false">G85*O_CustPct</f>
        <v>5274.18061962264</v>
      </c>
      <c r="H93" s="83" t="n">
        <f aca="false">H85*O_CustPct</f>
        <v>5595.37821935766</v>
      </c>
      <c r="I93" s="83" t="n">
        <f aca="false">I85*O_CustPct</f>
        <v>5936.13675291654</v>
      </c>
      <c r="J93" s="83" t="n">
        <f aca="false">J85*O_CustPct</f>
        <v>6297.64748116916</v>
      </c>
      <c r="K93" s="83" t="n">
        <f aca="false">K85*O_CustPct</f>
        <v>6681.17421277236</v>
      </c>
      <c r="L93" s="83" t="n">
        <f aca="false">L85*O_CustPct</f>
        <v>7088.0577223302</v>
      </c>
      <c r="M93" s="83" t="n">
        <f aca="false">M85*O_CustPct</f>
        <v>7519.7204376201</v>
      </c>
      <c r="N93" s="83" t="n">
        <f aca="false">N85*O_CustPct</f>
        <v>7977.67141227117</v>
      </c>
      <c r="O93" s="83" t="n">
        <f aca="false">O85*O_CustPct</f>
        <v>8463.51160127848</v>
      </c>
      <c r="P93" s="83" t="n">
        <f aca="false">P85*O_CustPct</f>
        <v>8978.93945779634</v>
      </c>
      <c r="Q93" s="83" t="n">
        <f aca="false">Q85*O_CustPct</f>
        <v>9525.75687077614</v>
      </c>
      <c r="R93" s="83" t="n">
        <f aca="false">R85*O_CustPct</f>
        <v>10105.8754642064</v>
      </c>
      <c r="S93" s="83" t="n">
        <f aca="false">S85*O_CustPct</f>
        <v>10721.3232799766</v>
      </c>
      <c r="T93" s="83" t="n">
        <f aca="false">T85*O_CustPct</f>
        <v>11374.2518677272</v>
      </c>
      <c r="U93" s="83" t="n">
        <f aca="false">U85*O_CustPct</f>
        <v>12066.9438064717</v>
      </c>
      <c r="V93" s="83" t="n">
        <f aca="false">V85*O_CustPct</f>
        <v>12801.8206842859</v>
      </c>
      <c r="W93" s="83" t="n">
        <f aca="false">W85*O_CustPct</f>
        <v>13581.4515639589</v>
      </c>
    </row>
    <row r="94" customFormat="false" ht="15" hidden="false" customHeight="false" outlineLevel="0" collapsed="false">
      <c r="A94" s="10" t="s">
        <v>433</v>
      </c>
      <c r="B94" s="61" t="n">
        <f aca="false">SUM(C94:W94)</f>
        <v>197897.027509162</v>
      </c>
      <c r="C94" s="83" t="n">
        <v>0</v>
      </c>
      <c r="D94" s="83" t="n">
        <f aca="false">D72*O_DieselOM*D44*LevOpex*$B$8</f>
        <v>863.753367272727</v>
      </c>
      <c r="E94" s="83" t="n">
        <f aca="false">E72*O_DieselOM*E44*LevOpex*$B$8</f>
        <v>1298.17092539782</v>
      </c>
      <c r="F94" s="83" t="n">
        <f aca="false">F72*O_DieselOM*F44*LevOpex*$B$8</f>
        <v>2367.27022651958</v>
      </c>
      <c r="G94" s="83" t="n">
        <f aca="false">G72*O_DieselOM*G44*LevOpex*$B$8</f>
        <v>3010.20424138861</v>
      </c>
      <c r="H94" s="83" t="n">
        <f aca="false">H72*O_DieselOM*H44*LevOpex*$B$8</f>
        <v>3704.68730412631</v>
      </c>
      <c r="I94" s="83" t="n">
        <f aca="false">I72*O_DieselOM*I44*LevOpex*$B$8</f>
        <v>4454.16675175198</v>
      </c>
      <c r="J94" s="83" t="n">
        <f aca="false">J72*O_DieselOM*J44*LevOpex*$B$8</f>
        <v>5262.30751790956</v>
      </c>
      <c r="K94" s="83" t="n">
        <f aca="false">K72*O_DieselOM*K44*LevOpex*$B$8</f>
        <v>6133.00557469888</v>
      </c>
      <c r="L94" s="83" t="n">
        <f aca="false">L72*O_DieselOM*L44*LevOpex*$B$8</f>
        <v>7070.40219784103</v>
      </c>
      <c r="M94" s="83" t="n">
        <f aca="false">M72*O_DieselOM*M44*LevOpex*$B$8</f>
        <v>8078.89910543608</v>
      </c>
      <c r="N94" s="83" t="n">
        <f aca="false">N72*O_DieselOM*N44*LevOpex*$B$8</f>
        <v>9163.17452363527</v>
      </c>
      <c r="O94" s="83" t="n">
        <f aca="false">O72*O_DieselOM*O44*LevOpex*$B$8</f>
        <v>10328.2002358003</v>
      </c>
      <c r="P94" s="83" t="n">
        <f aca="false">P72*O_DieselOM*P44*LevOpex*$B$8</f>
        <v>11579.2596751706</v>
      </c>
      <c r="Q94" s="83" t="n">
        <f aca="false">Q72*O_DieselOM*Q44*LevOpex*$B$8</f>
        <v>12921.967124717</v>
      </c>
      <c r="R94" s="83" t="n">
        <f aca="false">R72*O_DieselOM*R44*LevOpex*$B$8</f>
        <v>14362.2880917437</v>
      </c>
      <c r="S94" s="83" t="n">
        <f aca="false">S72*O_DieselOM*S44*LevOpex*$B$8</f>
        <v>15906.5609289152</v>
      </c>
      <c r="T94" s="83" t="n">
        <f aca="false">T72*O_DieselOM*T44*LevOpex*$B$8</f>
        <v>17561.5197777563</v>
      </c>
      <c r="U94" s="83" t="n">
        <f aca="false">U72*O_DieselOM*U44*LevOpex*$B$8</f>
        <v>19334.3189153053</v>
      </c>
      <c r="V94" s="83" t="n">
        <f aca="false">V72*O_DieselOM*V44*LevOpex*$B$8</f>
        <v>21232.5585895206</v>
      </c>
      <c r="W94" s="83" t="n">
        <f aca="false">W72*O_DieselOM*W44*LevOpex*$B$8</f>
        <v>23264.3124342546</v>
      </c>
    </row>
    <row r="95" customFormat="false" ht="15" hidden="false" customHeight="false" outlineLevel="0" collapsed="false">
      <c r="A95" s="10" t="s">
        <v>434</v>
      </c>
      <c r="B95" s="61" t="n">
        <f aca="false">SUM(C95:W95)</f>
        <v>2638627.03345549</v>
      </c>
      <c r="C95" s="83" t="n">
        <v>0</v>
      </c>
      <c r="D95" s="83" t="n">
        <f aca="false">D74*FuelPrice*LevFuel*$B$10*D44</f>
        <v>11516.7115636364</v>
      </c>
      <c r="E95" s="83" t="n">
        <f aca="false">E74*FuelPrice*LevFuel*$B$10*E44</f>
        <v>17308.9456719709</v>
      </c>
      <c r="F95" s="83" t="n">
        <f aca="false">F74*FuelPrice*LevFuel*$B$10*F44</f>
        <v>31563.6030202611</v>
      </c>
      <c r="G95" s="83" t="n">
        <f aca="false">G74*FuelPrice*LevFuel*$B$10*G44</f>
        <v>40136.0565518482</v>
      </c>
      <c r="H95" s="83" t="n">
        <f aca="false">H74*FuelPrice*LevFuel*$B$10*H44</f>
        <v>49395.8307216841</v>
      </c>
      <c r="I95" s="83" t="n">
        <f aca="false">I74*FuelPrice*LevFuel*$B$10*I44</f>
        <v>59388.8900233598</v>
      </c>
      <c r="J95" s="83" t="n">
        <f aca="false">J74*FuelPrice*LevFuel*$B$10*J44</f>
        <v>70164.1002387941</v>
      </c>
      <c r="K95" s="83" t="n">
        <f aca="false">K74*FuelPrice*LevFuel*$B$10*K44</f>
        <v>81773.4076626517</v>
      </c>
      <c r="L95" s="83" t="n">
        <f aca="false">L74*FuelPrice*LevFuel*$B$10*L44</f>
        <v>94272.0293045471</v>
      </c>
      <c r="M95" s="83" t="n">
        <f aca="false">M74*FuelPrice*LevFuel*$B$10*M44</f>
        <v>107718.654739148</v>
      </c>
      <c r="N95" s="83" t="n">
        <f aca="false">N74*FuelPrice*LevFuel*$B$10*N44</f>
        <v>122175.660315137</v>
      </c>
      <c r="O95" s="83" t="n">
        <f aca="false">O74*FuelPrice*LevFuel*$B$10*O44</f>
        <v>137709.336477338</v>
      </c>
      <c r="P95" s="83" t="n">
        <f aca="false">P74*FuelPrice*LevFuel*$B$10*P44</f>
        <v>154390.129002275</v>
      </c>
      <c r="Q95" s="83" t="n">
        <f aca="false">Q74*FuelPrice*LevFuel*$B$10*Q44</f>
        <v>172292.894996227</v>
      </c>
      <c r="R95" s="83" t="n">
        <f aca="false">R74*FuelPrice*LevFuel*$B$10*R44</f>
        <v>191497.174556583</v>
      </c>
      <c r="S95" s="83" t="n">
        <f aca="false">S74*FuelPrice*LevFuel*$B$10*S44</f>
        <v>212087.479052203</v>
      </c>
      <c r="T95" s="83" t="n">
        <f aca="false">T74*FuelPrice*LevFuel*$B$10*T44</f>
        <v>234153.597036751</v>
      </c>
      <c r="U95" s="83" t="n">
        <f aca="false">U74*FuelPrice*LevFuel*$B$10*U44</f>
        <v>257790.918870737</v>
      </c>
      <c r="V95" s="83" t="n">
        <f aca="false">V74*FuelPrice*LevFuel*$B$10*V44</f>
        <v>283100.781193608</v>
      </c>
      <c r="W95" s="83" t="n">
        <f aca="false">W74*FuelPrice*LevFuel*$B$10*W44</f>
        <v>310190.832456729</v>
      </c>
    </row>
    <row r="96" customFormat="false" ht="15" hidden="false" customHeight="false" outlineLevel="0" collapsed="false">
      <c r="A96" s="15" t="s">
        <v>435</v>
      </c>
      <c r="B96" s="61" t="n">
        <f aca="false">SUM(C96:W96)</f>
        <v>4498649.90176419</v>
      </c>
      <c r="C96" s="27" t="n">
        <f aca="false">C88+C89+C90+C91+C92+C93+C94+C95</f>
        <v>0</v>
      </c>
      <c r="D96" s="27" t="n">
        <f aca="false">D88+D89+D90+D91+D92+D93+D94+D95</f>
        <v>71068.1824775474</v>
      </c>
      <c r="E96" s="27" t="n">
        <f aca="false">E88+E89+E90+E91+E92+E93+E94+E95</f>
        <v>80181.9079442244</v>
      </c>
      <c r="F96" s="27" t="n">
        <f aca="false">F88+F89+F90+F91+F92+F93+F94+F95</f>
        <v>98184.6128667565</v>
      </c>
      <c r="G96" s="27" t="n">
        <f aca="false">G88+G89+G90+G91+G92+G93+G94+G95</f>
        <v>109427.927013063</v>
      </c>
      <c r="H96" s="27" t="n">
        <f aca="false">H88+H89+H90+H91+H92+H93+H94+H95</f>
        <v>121533.606413378</v>
      </c>
      <c r="I96" s="27" t="n">
        <f aca="false">I88+I89+I90+I91+I92+I93+I94+I95</f>
        <v>134502.035001284</v>
      </c>
      <c r="J96" s="27" t="n">
        <f aca="false">J88+J89+J90+J91+J92+J93+J94+J95</f>
        <v>148388.581955327</v>
      </c>
      <c r="K96" s="27" t="n">
        <f aca="false">K88+K89+K90+K91+K92+K93+K94+K95</f>
        <v>163252.0499691</v>
      </c>
      <c r="L96" s="27" t="n">
        <f aca="false">L88+L89+L90+L91+L92+L93+L94+L95</f>
        <v>179154.885619265</v>
      </c>
      <c r="M96" s="27" t="n">
        <f aca="false">M88+M89+M90+M91+M92+M93+M94+M95</f>
        <v>196163.402568587</v>
      </c>
      <c r="N96" s="27" t="n">
        <f aca="false">N88+N89+N90+N91+N92+N93+N94+N95</f>
        <v>214348.018386018</v>
      </c>
      <c r="O96" s="27" t="n">
        <f aca="false">O88+O89+O90+O91+O92+O93+O94+O95</f>
        <v>233783.50581344</v>
      </c>
      <c r="P96" s="27" t="n">
        <f aca="false">P88+P89+P90+P91+P92+P93+P94+P95</f>
        <v>254549.259359236</v>
      </c>
      <c r="Q96" s="27" t="n">
        <f aca="false">Q88+Q89+Q90+Q91+Q92+Q93+Q94+Q95</f>
        <v>276729.578152434</v>
      </c>
      <c r="R96" s="27" t="n">
        <f aca="false">R88+R89+R90+R91+R92+R93+R94+R95</f>
        <v>300413.966048069</v>
      </c>
      <c r="S96" s="27" t="n">
        <f aca="false">S88+S89+S90+S91+S92+S93+S94+S95</f>
        <v>325697.450034697</v>
      </c>
      <c r="T96" s="27" t="n">
        <f aca="false">T88+T89+T90+T91+T92+T93+T94+T95</f>
        <v>352680.918059044</v>
      </c>
      <c r="U96" s="27" t="n">
        <f aca="false">U88+U89+U90+U91+U92+U93+U94+U95</f>
        <v>381471.477450628</v>
      </c>
      <c r="V96" s="27" t="n">
        <f aca="false">V88+V89+V90+V91+V92+V93+V94+V95</f>
        <v>412182.835201272</v>
      </c>
      <c r="W96" s="27" t="n">
        <f aca="false">W88+W89+W90+W91+W92+W93+W94+W95</f>
        <v>444935.701430816</v>
      </c>
    </row>
    <row r="98" customFormat="false" ht="15" hidden="false" customHeight="false" outlineLevel="0" collapsed="false">
      <c r="A98" s="15" t="s">
        <v>436</v>
      </c>
      <c r="B98" s="61" t="n">
        <f aca="false">SUM(C98:W98)</f>
        <v>899337.547092397</v>
      </c>
      <c r="C98" s="27" t="n">
        <f aca="false">C85-C96</f>
        <v>0</v>
      </c>
      <c r="D98" s="27" t="n">
        <f aca="false">D85-D96</f>
        <v>24172.6822392526</v>
      </c>
      <c r="E98" s="27" t="n">
        <f aca="false">E85-E96</f>
        <v>55464.2585080176</v>
      </c>
      <c r="F98" s="27" t="n">
        <f aca="false">F85-F96</f>
        <v>69254.423002871</v>
      </c>
      <c r="G98" s="27" t="n">
        <f aca="false">G85-G96</f>
        <v>66378.0936410249</v>
      </c>
      <c r="H98" s="27" t="n">
        <f aca="false">H85-H96</f>
        <v>64979.0008985441</v>
      </c>
      <c r="I98" s="27" t="n">
        <f aca="false">I85-I96</f>
        <v>63369.1900959336</v>
      </c>
      <c r="J98" s="27" t="n">
        <f aca="false">J85-J96</f>
        <v>61533.000750312</v>
      </c>
      <c r="K98" s="27" t="n">
        <f aca="false">K85-K96</f>
        <v>59453.7571233117</v>
      </c>
      <c r="L98" s="27" t="n">
        <f aca="false">L85-L96</f>
        <v>57113.7051250749</v>
      </c>
      <c r="M98" s="27" t="n">
        <f aca="false">M85-M96</f>
        <v>54493.9453520831</v>
      </c>
      <c r="N98" s="27" t="n">
        <f aca="false">N85-N96</f>
        <v>51574.3620230211</v>
      </c>
      <c r="O98" s="27" t="n">
        <f aca="false">O85-O96</f>
        <v>48333.547562509</v>
      </c>
      <c r="P98" s="27" t="n">
        <f aca="false">P85-P96</f>
        <v>44748.7225673086</v>
      </c>
      <c r="Q98" s="27" t="n">
        <f aca="false">Q85-Q96</f>
        <v>40795.6508734372</v>
      </c>
      <c r="R98" s="27" t="n">
        <f aca="false">R85-R96</f>
        <v>36448.5494254783</v>
      </c>
      <c r="S98" s="27" t="n">
        <f aca="false">S85-S96</f>
        <v>31679.9926311889</v>
      </c>
      <c r="T98" s="27" t="n">
        <f aca="false">T85-T96</f>
        <v>26460.8108651945</v>
      </c>
      <c r="U98" s="27" t="n">
        <f aca="false">U85-U96</f>
        <v>20759.9827650965</v>
      </c>
      <c r="V98" s="27" t="n">
        <f aca="false">V85-V96</f>
        <v>14544.5209415901</v>
      </c>
      <c r="W98" s="27" t="n">
        <f aca="false">W85-W96</f>
        <v>7779.35070114705</v>
      </c>
    </row>
    <row r="99" customFormat="false" ht="15" hidden="false" customHeight="false" outlineLevel="0" collapsed="false">
      <c r="A99" s="10" t="s">
        <v>437</v>
      </c>
      <c r="C99" s="81" t="n">
        <v>0</v>
      </c>
      <c r="D99" s="81" t="n">
        <f aca="false">IFERROR(D98/D85,0)</f>
        <v>0.253805782960186</v>
      </c>
      <c r="E99" s="81" t="n">
        <f aca="false">IFERROR(E98/E85,0)</f>
        <v>0.408889244411823</v>
      </c>
      <c r="F99" s="81" t="n">
        <f aca="false">IFERROR(F98/F85,0)</f>
        <v>0.413609781274627</v>
      </c>
      <c r="G99" s="81" t="n">
        <f aca="false">IFERROR(G98/G85,0)</f>
        <v>0.377564393950017</v>
      </c>
      <c r="H99" s="81" t="n">
        <f aca="false">IFERROR(H98/H85,0)</f>
        <v>0.348389322496971</v>
      </c>
      <c r="I99" s="81" t="n">
        <f aca="false">IFERROR(I98/I85,0)</f>
        <v>0.320254701333148</v>
      </c>
      <c r="J99" s="81" t="n">
        <f aca="false">IFERROR(J98/J85,0)</f>
        <v>0.293123746292426</v>
      </c>
      <c r="K99" s="81" t="n">
        <f aca="false">IFERROR(K98/K85,0)</f>
        <v>0.26696096477916</v>
      </c>
      <c r="L99" s="81" t="n">
        <f aca="false">IFERROR(L98/L85,0)</f>
        <v>0.241732110667542</v>
      </c>
      <c r="M99" s="81" t="n">
        <f aca="false">IFERROR(M98/M85,0)</f>
        <v>0.217404140768814</v>
      </c>
      <c r="N99" s="81" t="n">
        <f aca="false">IFERROR(N98/N85,0)</f>
        <v>0.193945172812044</v>
      </c>
      <c r="O99" s="81" t="n">
        <f aca="false">IFERROR(O98/O85,0)</f>
        <v>0.171324444886001</v>
      </c>
      <c r="P99" s="81" t="n">
        <f aca="false">IFERROR(P98/P85,0)</f>
        <v>0.149512276291562</v>
      </c>
      <c r="Q99" s="81" t="n">
        <f aca="false">IFERROR(Q98/Q85,0)</f>
        <v>0.128480029755724</v>
      </c>
      <c r="R99" s="81" t="n">
        <f aca="false">IFERROR(R98/R85,0)</f>
        <v>0.108200074960078</v>
      </c>
      <c r="S99" s="81" t="n">
        <f aca="false">IFERROR(S98/S85,0)</f>
        <v>0.0886457533381779</v>
      </c>
      <c r="T99" s="81" t="n">
        <f aca="false">IFERROR(T98/T85,0)</f>
        <v>0.0697913440978216</v>
      </c>
      <c r="U99" s="81" t="n">
        <f aca="false">IFERROR(U98/U85,0)</f>
        <v>0.0516120314257927</v>
      </c>
      <c r="V99" s="81" t="n">
        <f aca="false">IFERROR(V98/V85,0)</f>
        <v>0.0340838728340651</v>
      </c>
      <c r="W99" s="81" t="n">
        <f aca="false">IFERROR(W98/W85,0)</f>
        <v>0.0171837686078956</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S_Demand_Hi!$B$14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S_Demand_Hi!$B$16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IF(AND(D39&gt;SenGrace,D39&lt;=SenTenor),PMT(SenRate*$B$11,SenTenor-SenGrace,-S_Demand_Hi!$B$16)-D114,0)</f>
        <v>0</v>
      </c>
      <c r="E115" s="83" t="n">
        <f aca="false">IF(AND(E39&gt;SenGrace,E39&lt;=SenTenor),PMT(SenRate*$B$11,SenTenor-SenGrace,-S_Demand_Hi!$B$16)-E114,0)</f>
        <v>0</v>
      </c>
      <c r="F115" s="83" t="n">
        <f aca="false">IF(AND(F39&gt;SenGrace,F39&lt;=SenTenor),PMT(SenRate*$B$11,SenTenor-SenGrace,-S_Demand_Hi!$B$16)-F114,0)</f>
        <v>9671.48769410162</v>
      </c>
      <c r="G115" s="83" t="n">
        <f aca="false">IF(AND(G39&gt;SenGrace,G39&lt;=SenTenor),PMT(SenRate*$B$11,SenTenor-SenGrace,-S_Demand_Hi!$B$16)-G114,0)</f>
        <v>10638.6364635118</v>
      </c>
      <c r="H115" s="83" t="n">
        <f aca="false">IF(AND(H39&gt;SenGrace,H39&lt;=SenTenor),PMT(SenRate*$B$11,SenTenor-SenGrace,-S_Demand_Hi!$B$16)-H114,0)</f>
        <v>11702.500109863</v>
      </c>
      <c r="I115" s="83" t="n">
        <f aca="false">IF(AND(I39&gt;SenGrace,I39&lt;=SenTenor),PMT(SenRate*$B$11,SenTenor-SenGrace,-S_Demand_Hi!$B$16)-I114,0)</f>
        <v>12872.7501208493</v>
      </c>
      <c r="J115" s="83" t="n">
        <f aca="false">IF(AND(J39&gt;SenGrace,J39&lt;=SenTenor),PMT(SenRate*$B$11,SenTenor-SenGrace,-S_Demand_Hi!$B$16)-J114,0)</f>
        <v>14160.0251329342</v>
      </c>
      <c r="K115" s="83" t="n">
        <f aca="false">IF(AND(K39&gt;SenGrace,K39&lt;=SenTenor),PMT(SenRate*$B$11,SenTenor-SenGrace,-S_Demand_Hi!$B$16)-K114,0)</f>
        <v>15576.0276462276</v>
      </c>
      <c r="L115" s="83" t="n">
        <f aca="false">IF(AND(L39&gt;SenGrace,L39&lt;=SenTenor),PMT(SenRate*$B$11,SenTenor-SenGrace,-S_Demand_Hi!$B$16)-L114,0)</f>
        <v>17133.6304108504</v>
      </c>
      <c r="M115" s="83" t="n">
        <f aca="false">IF(AND(M39&gt;SenGrace,M39&lt;=SenTenor),PMT(SenRate*$B$11,SenTenor-SenGrace,-S_Demand_Hi!$B$16)-M114,0)</f>
        <v>18846.9934519354</v>
      </c>
      <c r="N115" s="83" t="n">
        <f aca="false">IF(AND(N39&gt;SenGrace,N39&lt;=SenTenor),PMT(SenRate*$B$11,SenTenor-SenGrace,-S_Demand_Hi!$B$16)-N114,0)</f>
        <v>0</v>
      </c>
      <c r="O115" s="83" t="n">
        <f aca="false">IF(AND(O39&gt;SenGrace,O39&lt;=SenTenor),PMT(SenRate*$B$11,SenTenor-SenGrace,-S_Demand_Hi!$B$16)-O114,0)</f>
        <v>0</v>
      </c>
      <c r="P115" s="83" t="n">
        <f aca="false">IF(AND(P39&gt;SenGrace,P39&lt;=SenTenor),PMT(SenRate*$B$11,SenTenor-SenGrace,-S_Demand_Hi!$B$16)-P114,0)</f>
        <v>0</v>
      </c>
      <c r="Q115" s="83" t="n">
        <f aca="false">IF(AND(Q39&gt;SenGrace,Q39&lt;=SenTenor),PMT(SenRate*$B$11,SenTenor-SenGrace,-S_Demand_Hi!$B$16)-Q114,0)</f>
        <v>0</v>
      </c>
      <c r="R115" s="83" t="n">
        <f aca="false">IF(AND(R39&gt;SenGrace,R39&lt;=SenTenor),PMT(SenRate*$B$11,SenTenor-SenGrace,-S_Demand_Hi!$B$16)-R114,0)</f>
        <v>0</v>
      </c>
      <c r="S115" s="83" t="n">
        <f aca="false">IF(AND(S39&gt;SenGrace,S39&lt;=SenTenor),PMT(SenRate*$B$11,SenTenor-SenGrace,-S_Demand_Hi!$B$16)-S114,0)</f>
        <v>0</v>
      </c>
      <c r="T115" s="83" t="n">
        <f aca="false">IF(AND(T39&gt;SenGrace,T39&lt;=SenTenor),PMT(SenRate*$B$11,SenTenor-SenGrace,-S_Demand_Hi!$B$16)-T114,0)</f>
        <v>0</v>
      </c>
      <c r="U115" s="83" t="n">
        <f aca="false">IF(AND(U39&gt;SenGrace,U39&lt;=SenTenor),PMT(SenRate*$B$11,SenTenor-SenGrace,-S_Demand_Hi!$B$16)-U114,0)</f>
        <v>0</v>
      </c>
      <c r="V115" s="83" t="n">
        <f aca="false">IF(AND(V39&gt;SenGrace,V39&lt;=SenTenor),PMT(SenRate*$B$11,SenTenor-SenGrace,-S_Demand_Hi!$B$16)-V114,0)</f>
        <v>0</v>
      </c>
      <c r="W115" s="83" t="n">
        <f aca="false">IF(AND(W39&gt;SenGrace,W39&lt;=SenTenor),PMT(SenRate*$B$11,SenTenor-SenGrace,-S_Demand_Hi!$B$16)-W114,0)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S_Demand_Hi!$B$17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IF(AND(D39&gt;ConGrace,D39&lt;=ConTenor),PMT(ConRate*$B$11,ConTenor-ConGrace,-S_Demand_Hi!$B$17)-D121,0)</f>
        <v>0</v>
      </c>
      <c r="E122" s="83" t="n">
        <f aca="false">IF(AND(E39&gt;ConGrace,E39&lt;=ConTenor),PMT(ConRate*$B$11,ConTenor-ConGrace,-S_Demand_Hi!$B$17)-E121,0)</f>
        <v>0</v>
      </c>
      <c r="F122" s="83" t="n">
        <f aca="false">IF(AND(F39&gt;ConGrace,F39&lt;=ConTenor),PMT(ConRate*$B$11,ConTenor-ConGrace,-S_Demand_Hi!$B$17)-F121,0)</f>
        <v>0</v>
      </c>
      <c r="G122" s="83" t="n">
        <f aca="false">IF(AND(G39&gt;ConGrace,G39&lt;=ConTenor),PMT(ConRate*$B$11,ConTenor-ConGrace,-S_Demand_Hi!$B$17)-G121,0)</f>
        <v>0</v>
      </c>
      <c r="H122" s="83" t="n">
        <f aca="false">IF(AND(H39&gt;ConGrace,H39&lt;=ConTenor),PMT(ConRate*$B$11,ConTenor-ConGrace,-S_Demand_Hi!$B$17)-H121,0)</f>
        <v>0</v>
      </c>
      <c r="I122" s="83" t="n">
        <f aca="false">IF(AND(I39&gt;ConGrace,I39&lt;=ConTenor),PMT(ConRate*$B$11,ConTenor-ConGrace,-S_Demand_Hi!$B$17)-I121,0)</f>
        <v>9647.87294294044</v>
      </c>
      <c r="J122" s="83" t="n">
        <f aca="false">IF(AND(J39&gt;ConGrace,J39&lt;=ConTenor),PMT(ConRate*$B$11,ConTenor-ConGrace,-S_Demand_Hi!$B$17)-J121,0)</f>
        <v>9937.30913122865</v>
      </c>
      <c r="K122" s="83" t="n">
        <f aca="false">IF(AND(K39&gt;ConGrace,K39&lt;=ConTenor),PMT(ConRate*$B$11,ConTenor-ConGrace,-S_Demand_Hi!$B$17)-K121,0)</f>
        <v>10235.4284051655</v>
      </c>
      <c r="L122" s="83" t="n">
        <f aca="false">IF(AND(L39&gt;ConGrace,L39&lt;=ConTenor),PMT(ConRate*$B$11,ConTenor-ConGrace,-S_Demand_Hi!$B$17)-L121,0)</f>
        <v>10542.4912573205</v>
      </c>
      <c r="M122" s="83" t="n">
        <f aca="false">IF(AND(M39&gt;ConGrace,M39&lt;=ConTenor),PMT(ConRate*$B$11,ConTenor-ConGrace,-S_Demand_Hi!$B$17)-M121,0)</f>
        <v>10858.7659950401</v>
      </c>
      <c r="N122" s="83" t="n">
        <f aca="false">IF(AND(N39&gt;ConGrace,N39&lt;=ConTenor),PMT(ConRate*$B$11,ConTenor-ConGrace,-S_Demand_Hi!$B$17)-N121,0)</f>
        <v>11184.5289748913</v>
      </c>
      <c r="O122" s="83" t="n">
        <f aca="false">IF(AND(O39&gt;ConGrace,O39&lt;=ConTenor),PMT(ConRate*$B$11,ConTenor-ConGrace,-S_Demand_Hi!$B$17)-O121,0)</f>
        <v>11520.064844138</v>
      </c>
      <c r="P122" s="83" t="n">
        <f aca="false">IF(AND(P39&gt;ConGrace,P39&lt;=ConTenor),PMT(ConRate*$B$11,ConTenor-ConGrace,-S_Demand_Hi!$B$17)-P121,0)</f>
        <v>11865.6667894622</v>
      </c>
      <c r="Q122" s="83" t="n">
        <f aca="false">IF(AND(Q39&gt;ConGrace,Q39&lt;=ConTenor),PMT(ConRate*$B$11,ConTenor-ConGrace,-S_Demand_Hi!$B$17)-Q121,0)</f>
        <v>12221.636793146</v>
      </c>
      <c r="R122" s="83" t="n">
        <f aca="false">IF(AND(R39&gt;ConGrace,R39&lt;=ConTenor),PMT(ConRate*$B$11,ConTenor-ConGrace,-S_Demand_Hi!$B$17)-R121,0)</f>
        <v>12588.2858969404</v>
      </c>
      <c r="S122" s="83" t="n">
        <f aca="false">IF(AND(S39&gt;ConGrace,S39&lt;=ConTenor),PMT(ConRate*$B$11,ConTenor-ConGrace,-S_Demand_Hi!$B$17)-S121,0)</f>
        <v>0</v>
      </c>
      <c r="T122" s="83" t="n">
        <f aca="false">IF(AND(T39&gt;ConGrace,T39&lt;=ConTenor),PMT(ConRate*$B$11,ConTenor-ConGrace,-S_Demand_Hi!$B$17)-T121,0)</f>
        <v>0</v>
      </c>
      <c r="U122" s="83" t="n">
        <f aca="false">IF(AND(U39&gt;ConGrace,U39&lt;=ConTenor),PMT(ConRate*$B$11,ConTenor-ConGrace,-S_Demand_Hi!$B$17)-U121,0)</f>
        <v>0</v>
      </c>
      <c r="V122" s="83" t="n">
        <f aca="false">IF(AND(V39&gt;ConGrace,V39&lt;=ConTenor),PMT(ConRate*$B$11,ConTenor-ConGrace,-S_Demand_Hi!$B$17)-V121,0)</f>
        <v>0</v>
      </c>
      <c r="W122" s="83" t="n">
        <f aca="false">IF(AND(W39&gt;ConGrace,W39&lt;=ConTenor),PMT(ConRate*$B$11,ConTenor-ConGrace,-S_Demand_Hi!$B$17)-W121,0)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1156317.48104603</v>
      </c>
      <c r="E127" s="83" t="n">
        <f aca="false">IF(E126&gt;0,(E147/MinDSCR-E121-E122)/E126,1000000000000)</f>
        <v>718560.375421148</v>
      </c>
      <c r="F127" s="83" t="n">
        <f aca="false">IF(F126&gt;0,(F147/MinDSCR-F121-F122)/F126,1000000000000)</f>
        <v>336523.095353086</v>
      </c>
      <c r="G127" s="83" t="n">
        <f aca="false">IF(G126&gt;0,(G147/MinDSCR-G121-G122)/G126,1000000000000)</f>
        <v>169596.006778447</v>
      </c>
      <c r="H127" s="83" t="n">
        <f aca="false">IF(H126&gt;0,(H147/MinDSCR-H121-H122)/H126,1000000000000)</f>
        <v>163854.424836019</v>
      </c>
      <c r="I127" s="83" t="n">
        <f aca="false">IF(I126&gt;0,(I147/MinDSCR-I121-I122)/I126,1000000000000)</f>
        <v>105777.410238295</v>
      </c>
      <c r="J127" s="83" t="n">
        <f aca="false">IF(J126&gt;0,(J147/MinDSCR-J121-J122)/J126,1000000000000)</f>
        <v>98242.0758965514</v>
      </c>
      <c r="K127" s="83" t="n">
        <f aca="false">IF(K126&gt;0,(K147/MinDSCR-K121-K122)/K126,1000000000000)</f>
        <v>89709.2979753928</v>
      </c>
      <c r="L127" s="83" t="n">
        <f aca="false">IF(L126&gt;0,(L147/MinDSCR-L121-L122)/L126,1000000000000)</f>
        <v>57402.990871169</v>
      </c>
      <c r="M127" s="83" t="n">
        <f aca="false">IF(M126&gt;0,(M147/MinDSCR-M121-M122)/M126,1000000000000)</f>
        <v>46652.0485287493</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IF(D39&lt;=MIN(DepYears,Life),S_Demand_Hi!$B$14/DepYears,0)</f>
        <v>76867.3503434244</v>
      </c>
      <c r="E132" s="83" t="n">
        <f aca="false">IF(E39&lt;=MIN(DepYears,Life),S_Demand_Hi!$B$14/DepYears,0)</f>
        <v>76867.3503434244</v>
      </c>
      <c r="F132" s="83" t="n">
        <f aca="false">IF(F39&lt;=MIN(DepYears,Life),S_Demand_Hi!$B$14/DepYears,0)</f>
        <v>76867.3503434244</v>
      </c>
      <c r="G132" s="83" t="n">
        <f aca="false">IF(G39&lt;=MIN(DepYears,Life),S_Demand_Hi!$B$14/DepYears,0)</f>
        <v>76867.3503434244</v>
      </c>
      <c r="H132" s="83" t="n">
        <f aca="false">IF(H39&lt;=MIN(DepYears,Life),S_Demand_Hi!$B$14/DepYears,0)</f>
        <v>76867.3503434244</v>
      </c>
      <c r="I132" s="83" t="n">
        <f aca="false">IF(I39&lt;=MIN(DepYears,Life),S_Demand_Hi!$B$14/DepYears,0)</f>
        <v>76867.3503434244</v>
      </c>
      <c r="J132" s="83" t="n">
        <f aca="false">IF(J39&lt;=MIN(DepYears,Life),S_Demand_Hi!$B$14/DepYears,0)</f>
        <v>76867.3503434244</v>
      </c>
      <c r="K132" s="83" t="n">
        <f aca="false">IF(K39&lt;=MIN(DepYears,Life),S_Demand_Hi!$B$14/DepYears,0)</f>
        <v>76867.3503434244</v>
      </c>
      <c r="L132" s="83" t="n">
        <f aca="false">IF(L39&lt;=MIN(DepYears,Life),S_Demand_Hi!$B$14/DepYears,0)</f>
        <v>76867.3503434244</v>
      </c>
      <c r="M132" s="83" t="n">
        <f aca="false">IF(M39&lt;=MIN(DepYears,Life),S_Demand_Hi!$B$14/DepYears,0)</f>
        <v>76867.3503434244</v>
      </c>
      <c r="N132" s="83" t="n">
        <f aca="false">IF(N39&lt;=MIN(DepYears,Life),S_Demand_Hi!$B$14/DepYears,0)</f>
        <v>76867.3503434244</v>
      </c>
      <c r="O132" s="83" t="n">
        <f aca="false">IF(O39&lt;=MIN(DepYears,Life),S_Demand_Hi!$B$14/DepYears,0)</f>
        <v>76867.3503434244</v>
      </c>
      <c r="P132" s="83" t="n">
        <f aca="false">IF(P39&lt;=MIN(DepYears,Life),S_Demand_Hi!$B$14/DepYears,0)</f>
        <v>76867.3503434244</v>
      </c>
      <c r="Q132" s="83" t="n">
        <f aca="false">IF(Q39&lt;=MIN(DepYears,Life),S_Demand_Hi!$B$14/DepYears,0)</f>
        <v>76867.3503434244</v>
      </c>
      <c r="R132" s="83" t="n">
        <f aca="false">IF(R39&lt;=MIN(DepYears,Life),S_Demand_Hi!$B$14/DepYears,0)</f>
        <v>76867.3503434244</v>
      </c>
      <c r="S132" s="83" t="n">
        <f aca="false">IF(S39&lt;=MIN(DepYears,Life),S_Demand_Hi!$B$14/DepYears,0)</f>
        <v>0</v>
      </c>
      <c r="T132" s="83" t="n">
        <f aca="false">IF(T39&lt;=MIN(DepYears,Life),S_Demand_Hi!$B$14/DepYears,0)</f>
        <v>0</v>
      </c>
      <c r="U132" s="83" t="n">
        <f aca="false">IF(U39&lt;=MIN(DepYears,Life),S_Demand_Hi!$B$14/DepYears,0)</f>
        <v>0</v>
      </c>
      <c r="V132" s="83" t="n">
        <f aca="false">IF(V39&lt;=MIN(DepYears,Life),S_Demand_Hi!$B$14/DepYears,0)</f>
        <v>0</v>
      </c>
      <c r="W132" s="83" t="n">
        <f aca="false">IF(W39&lt;=MIN(DepYears,Life),S_Demand_Hi!$B$14/DepYears,0)</f>
        <v>0</v>
      </c>
    </row>
    <row r="133" customFormat="false" ht="15" hidden="false" customHeight="false" outlineLevel="0" collapsed="false">
      <c r="A133" s="10" t="s">
        <v>460</v>
      </c>
      <c r="B133" s="61" t="n">
        <f aca="false">SUM(C133:W133)</f>
        <v>-253672.708058969</v>
      </c>
      <c r="C133" s="83" t="n">
        <v>0</v>
      </c>
      <c r="D133" s="83" t="n">
        <f aca="false">D98-D132</f>
        <v>-52694.6681041718</v>
      </c>
      <c r="E133" s="83" t="n">
        <f aca="false">E98-E132</f>
        <v>-21403.0918354068</v>
      </c>
      <c r="F133" s="83" t="n">
        <f aca="false">F98-F132</f>
        <v>-7612.92734055332</v>
      </c>
      <c r="G133" s="83" t="n">
        <f aca="false">G98-G132</f>
        <v>-10489.2567023994</v>
      </c>
      <c r="H133" s="83" t="n">
        <f aca="false">H98-H132</f>
        <v>-11888.3494448803</v>
      </c>
      <c r="I133" s="83" t="n">
        <f aca="false">I98-I132</f>
        <v>-13498.1602474908</v>
      </c>
      <c r="J133" s="83" t="n">
        <f aca="false">J98-J132</f>
        <v>-15334.3495931123</v>
      </c>
      <c r="K133" s="83" t="n">
        <f aca="false">K98-K132</f>
        <v>-17413.5932201126</v>
      </c>
      <c r="L133" s="83" t="n">
        <f aca="false">L98-L132</f>
        <v>-19753.6452183495</v>
      </c>
      <c r="M133" s="83" t="n">
        <f aca="false">M98-M132</f>
        <v>-22373.4049913413</v>
      </c>
      <c r="N133" s="83" t="n">
        <f aca="false">N98-N132</f>
        <v>-25292.9883204033</v>
      </c>
      <c r="O133" s="83" t="n">
        <f aca="false">O98-O132</f>
        <v>-28533.8027809154</v>
      </c>
      <c r="P133" s="83" t="n">
        <f aca="false">P98-P132</f>
        <v>-32118.6277761158</v>
      </c>
      <c r="Q133" s="83" t="n">
        <f aca="false">Q98-Q132</f>
        <v>-36071.6994699872</v>
      </c>
      <c r="R133" s="83" t="n">
        <f aca="false">R98-R132</f>
        <v>-40418.800917946</v>
      </c>
      <c r="S133" s="83" t="n">
        <f aca="false">S98-S132</f>
        <v>31679.9926311889</v>
      </c>
      <c r="T133" s="83" t="n">
        <f aca="false">T98-T132</f>
        <v>26460.8108651945</v>
      </c>
      <c r="U133" s="83" t="n">
        <f aca="false">U98-U132</f>
        <v>20759.9827650965</v>
      </c>
      <c r="V133" s="83" t="n">
        <f aca="false">V98-V132</f>
        <v>14544.5209415901</v>
      </c>
      <c r="W133" s="83" t="n">
        <f aca="false">W98-W132</f>
        <v>7779.35070114705</v>
      </c>
    </row>
    <row r="134" customFormat="false" ht="15" hidden="false" customHeight="false" outlineLevel="0" collapsed="false">
      <c r="A134" s="10" t="s">
        <v>461</v>
      </c>
      <c r="C134" s="83" t="n">
        <v>0</v>
      </c>
      <c r="D134" s="83" t="n">
        <f aca="false">0</f>
        <v>0</v>
      </c>
      <c r="E134" s="83" t="n">
        <f aca="false">D136</f>
        <v>52694.6681041718</v>
      </c>
      <c r="F134" s="83" t="n">
        <f aca="false">E136</f>
        <v>74097.7599395786</v>
      </c>
      <c r="G134" s="83" t="n">
        <f aca="false">F136</f>
        <v>81710.6872801319</v>
      </c>
      <c r="H134" s="83" t="n">
        <f aca="false">G136</f>
        <v>92199.9439825314</v>
      </c>
      <c r="I134" s="83" t="n">
        <f aca="false">H136</f>
        <v>104088.293427412</v>
      </c>
      <c r="J134" s="83" t="n">
        <f aca="false">I136</f>
        <v>117586.453674902</v>
      </c>
      <c r="K134" s="83" t="n">
        <f aca="false">J136</f>
        <v>132920.803268015</v>
      </c>
      <c r="L134" s="83" t="n">
        <f aca="false">K136</f>
        <v>150334.396488127</v>
      </c>
      <c r="M134" s="83" t="n">
        <f aca="false">L136</f>
        <v>170088.041706477</v>
      </c>
      <c r="N134" s="83" t="n">
        <f aca="false">M136</f>
        <v>192461.446697818</v>
      </c>
      <c r="O134" s="83" t="n">
        <f aca="false">N136</f>
        <v>217754.435018221</v>
      </c>
      <c r="P134" s="83" t="n">
        <f aca="false">O136</f>
        <v>246288.237799137</v>
      </c>
      <c r="Q134" s="83" t="n">
        <f aca="false">P136</f>
        <v>278406.865575253</v>
      </c>
      <c r="R134" s="83" t="n">
        <f aca="false">Q136</f>
        <v>314478.56504524</v>
      </c>
      <c r="S134" s="83" t="n">
        <f aca="false">R136</f>
        <v>354897.365963186</v>
      </c>
      <c r="T134" s="83" t="n">
        <f aca="false">S136</f>
        <v>323217.373331997</v>
      </c>
      <c r="U134" s="83" t="n">
        <f aca="false">T136</f>
        <v>296756.562466802</v>
      </c>
      <c r="V134" s="83" t="n">
        <f aca="false">U136</f>
        <v>275996.579701706</v>
      </c>
      <c r="W134" s="83" t="n">
        <f aca="false">V136</f>
        <v>261452.058760116</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31679.9926311889</v>
      </c>
      <c r="T135" s="83" t="n">
        <f aca="false">MIN(T134,MAX(T133,0))</f>
        <v>26460.8108651945</v>
      </c>
      <c r="U135" s="83" t="n">
        <f aca="false">MIN(U134,MAX(U133,0))</f>
        <v>20759.9827650965</v>
      </c>
      <c r="V135" s="83" t="n">
        <f aca="false">MIN(V134,MAX(V133,0))</f>
        <v>14544.5209415901</v>
      </c>
      <c r="W135" s="83" t="n">
        <f aca="false">MIN(W134,MAX(W133,0))</f>
        <v>7779.35070114705</v>
      </c>
    </row>
    <row r="136" customFormat="false" ht="15" hidden="false" customHeight="false" outlineLevel="0" collapsed="false">
      <c r="A136" s="10" t="s">
        <v>463</v>
      </c>
      <c r="C136" s="83" t="n">
        <v>0</v>
      </c>
      <c r="D136" s="83" t="n">
        <f aca="false">D134-D135+MAX(-D133,0)</f>
        <v>52694.6681041718</v>
      </c>
      <c r="E136" s="83" t="n">
        <f aca="false">E134-E135+MAX(-E133,0)</f>
        <v>74097.7599395786</v>
      </c>
      <c r="F136" s="83" t="n">
        <f aca="false">F134-F135+MAX(-F133,0)</f>
        <v>81710.6872801319</v>
      </c>
      <c r="G136" s="83" t="n">
        <f aca="false">G134-G135+MAX(-G133,0)</f>
        <v>92199.9439825314</v>
      </c>
      <c r="H136" s="83" t="n">
        <f aca="false">H134-H135+MAX(-H133,0)</f>
        <v>104088.293427412</v>
      </c>
      <c r="I136" s="83" t="n">
        <f aca="false">I134-I135+MAX(-I133,0)</f>
        <v>117586.453674902</v>
      </c>
      <c r="J136" s="83" t="n">
        <f aca="false">J134-J135+MAX(-J133,0)</f>
        <v>132920.803268015</v>
      </c>
      <c r="K136" s="83" t="n">
        <f aca="false">K134-K135+MAX(-K133,0)</f>
        <v>150334.396488127</v>
      </c>
      <c r="L136" s="83" t="n">
        <f aca="false">L134-L135+MAX(-L133,0)</f>
        <v>170088.041706477</v>
      </c>
      <c r="M136" s="83" t="n">
        <f aca="false">M134-M135+MAX(-M133,0)</f>
        <v>192461.446697818</v>
      </c>
      <c r="N136" s="83" t="n">
        <f aca="false">N134-N135+MAX(-N133,0)</f>
        <v>217754.435018221</v>
      </c>
      <c r="O136" s="83" t="n">
        <f aca="false">O134-O135+MAX(-O133,0)</f>
        <v>246288.237799137</v>
      </c>
      <c r="P136" s="83" t="n">
        <f aca="false">P134-P135+MAX(-P133,0)</f>
        <v>278406.865575253</v>
      </c>
      <c r="Q136" s="83" t="n">
        <f aca="false">Q134-Q135+MAX(-Q133,0)</f>
        <v>314478.56504524</v>
      </c>
      <c r="R136" s="83" t="n">
        <f aca="false">R134-R135+MAX(-R133,0)</f>
        <v>354897.365963186</v>
      </c>
      <c r="S136" s="83" t="n">
        <f aca="false">S134-S135+MAX(-S133,0)</f>
        <v>323217.373331997</v>
      </c>
      <c r="T136" s="83" t="n">
        <f aca="false">T134-T135+MAX(-T133,0)</f>
        <v>296756.562466802</v>
      </c>
      <c r="U136" s="83" t="n">
        <f aca="false">U134-U135+MAX(-U133,0)</f>
        <v>275996.579701706</v>
      </c>
      <c r="V136" s="83" t="n">
        <f aca="false">V134-V135+MAX(-V133,0)</f>
        <v>261452.058760116</v>
      </c>
      <c r="W136" s="83" t="n">
        <f aca="false">W134-W135+MAX(-W133,0)</f>
        <v>253672.708058969</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-366692.210974536</v>
      </c>
      <c r="C138" s="83" t="n">
        <v>0</v>
      </c>
      <c r="D138" s="83" t="n">
        <f aca="false">D98-D132-D114-D121</f>
        <v>-67072.9347381073</v>
      </c>
      <c r="E138" s="83" t="n">
        <f aca="false">E98-E132-E114-E121</f>
        <v>-35781.3584693423</v>
      </c>
      <c r="F138" s="83" t="n">
        <f aca="false">F98-F132-F114-F121</f>
        <v>-21991.1939744888</v>
      </c>
      <c r="G138" s="83" t="n">
        <f aca="false">G98-G132-G114-G121</f>
        <v>-23900.3745669248</v>
      </c>
      <c r="H138" s="83" t="n">
        <f aca="false">H98-H132-H114-H121</f>
        <v>-24235.6036630544</v>
      </c>
      <c r="I138" s="83" t="n">
        <f aca="false">I98-I132-I114-I121</f>
        <v>-24675.1644546786</v>
      </c>
      <c r="J138" s="83" t="n">
        <f aca="false">J98-J132-J114-J121</f>
        <v>-24934.6425999271</v>
      </c>
      <c r="K138" s="83" t="n">
        <f aca="false">K98-K132-K114-K121</f>
        <v>-25299.7644396971</v>
      </c>
      <c r="L138" s="83" t="n">
        <f aca="false">L98-L132-L114-L121</f>
        <v>-25775.1508211562</v>
      </c>
      <c r="M138" s="83" t="n">
        <f aca="false">M98-M132-M114-M121</f>
        <v>-26365.2728153434</v>
      </c>
      <c r="N138" s="83" t="n">
        <f aca="false">N98-N132-N114-N121</f>
        <v>-27074.3938193606</v>
      </c>
      <c r="O138" s="83" t="n">
        <f aca="false">O98-O132-O114-O121</f>
        <v>-29979.672410626</v>
      </c>
      <c r="P138" s="83" t="n">
        <f aca="false">P98-P132-P114-P121</f>
        <v>-33218.8954605022</v>
      </c>
      <c r="Q138" s="83" t="n">
        <f aca="false">Q98-Q132-Q114-Q121</f>
        <v>-36815.9971506898</v>
      </c>
      <c r="R138" s="83" t="n">
        <f aca="false">R98-R132-R114-R121</f>
        <v>-40796.4494948543</v>
      </c>
      <c r="S138" s="83" t="n">
        <f aca="false">S98-S132-S114-S121</f>
        <v>31679.9926311889</v>
      </c>
      <c r="T138" s="83" t="n">
        <f aca="false">T98-T132-T114-T121</f>
        <v>26460.8108651945</v>
      </c>
      <c r="U138" s="83" t="n">
        <f aca="false">U98-U132-U114-U121</f>
        <v>20759.9827650965</v>
      </c>
      <c r="V138" s="83" t="n">
        <f aca="false">V98-V132-V114-V121</f>
        <v>14544.5209415901</v>
      </c>
      <c r="W138" s="83" t="n">
        <f aca="false">W98-W132-W114-W121</f>
        <v>7779.35070114705</v>
      </c>
    </row>
    <row r="139" customFormat="false" ht="15" hidden="false" customHeight="false" outlineLevel="0" collapsed="false">
      <c r="A139" s="10" t="s">
        <v>461</v>
      </c>
      <c r="C139" s="83" t="n">
        <v>0</v>
      </c>
      <c r="D139" s="83" t="n">
        <f aca="false">0</f>
        <v>0</v>
      </c>
      <c r="E139" s="83" t="n">
        <f aca="false">D141</f>
        <v>67072.9347381073</v>
      </c>
      <c r="F139" s="83" t="n">
        <f aca="false">E141</f>
        <v>102854.29320745</v>
      </c>
      <c r="G139" s="83" t="n">
        <f aca="false">F141</f>
        <v>124845.487181938</v>
      </c>
      <c r="H139" s="83" t="n">
        <f aca="false">G141</f>
        <v>148745.861748863</v>
      </c>
      <c r="I139" s="83" t="n">
        <f aca="false">H141</f>
        <v>172981.465411918</v>
      </c>
      <c r="J139" s="83" t="n">
        <f aca="false">I141</f>
        <v>197656.629866596</v>
      </c>
      <c r="K139" s="83" t="n">
        <f aca="false">J141</f>
        <v>222591.272466523</v>
      </c>
      <c r="L139" s="83" t="n">
        <f aca="false">K141</f>
        <v>247891.03690622</v>
      </c>
      <c r="M139" s="83" t="n">
        <f aca="false">L141</f>
        <v>273666.187727377</v>
      </c>
      <c r="N139" s="83" t="n">
        <f aca="false">M141</f>
        <v>300031.46054272</v>
      </c>
      <c r="O139" s="83" t="n">
        <f aca="false">N141</f>
        <v>327105.854362081</v>
      </c>
      <c r="P139" s="83" t="n">
        <f aca="false">O141</f>
        <v>357085.526772707</v>
      </c>
      <c r="Q139" s="83" t="n">
        <f aca="false">P141</f>
        <v>390304.422233209</v>
      </c>
      <c r="R139" s="83" t="n">
        <f aca="false">Q141</f>
        <v>427120.419383899</v>
      </c>
      <c r="S139" s="83" t="n">
        <f aca="false">R141</f>
        <v>467916.868878753</v>
      </c>
      <c r="T139" s="83" t="n">
        <f aca="false">S141</f>
        <v>436236.876247564</v>
      </c>
      <c r="U139" s="83" t="n">
        <f aca="false">T141</f>
        <v>409776.065382369</v>
      </c>
      <c r="V139" s="83" t="n">
        <f aca="false">U141</f>
        <v>389016.082617273</v>
      </c>
      <c r="W139" s="83" t="n">
        <f aca="false">V141</f>
        <v>374471.561675683</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31679.9926311889</v>
      </c>
      <c r="T140" s="83" t="n">
        <f aca="false">MIN(T139,MAX(T138,0))</f>
        <v>26460.8108651945</v>
      </c>
      <c r="U140" s="83" t="n">
        <f aca="false">MIN(U139,MAX(U138,0))</f>
        <v>20759.9827650965</v>
      </c>
      <c r="V140" s="83" t="n">
        <f aca="false">MIN(V139,MAX(V138,0))</f>
        <v>14544.5209415901</v>
      </c>
      <c r="W140" s="83" t="n">
        <f aca="false">MIN(W139,MAX(W138,0))</f>
        <v>7779.35070114705</v>
      </c>
    </row>
    <row r="141" customFormat="false" ht="15" hidden="false" customHeight="false" outlineLevel="0" collapsed="false">
      <c r="A141" s="10" t="s">
        <v>463</v>
      </c>
      <c r="C141" s="83" t="n">
        <v>0</v>
      </c>
      <c r="D141" s="83" t="n">
        <f aca="false">D139-D140+MAX(-D138,0)</f>
        <v>67072.9347381073</v>
      </c>
      <c r="E141" s="83" t="n">
        <f aca="false">E139-E140+MAX(-E138,0)</f>
        <v>102854.29320745</v>
      </c>
      <c r="F141" s="83" t="n">
        <f aca="false">F139-F140+MAX(-F138,0)</f>
        <v>124845.487181938</v>
      </c>
      <c r="G141" s="83" t="n">
        <f aca="false">G139-G140+MAX(-G138,0)</f>
        <v>148745.861748863</v>
      </c>
      <c r="H141" s="83" t="n">
        <f aca="false">H139-H140+MAX(-H138,0)</f>
        <v>172981.465411918</v>
      </c>
      <c r="I141" s="83" t="n">
        <f aca="false">I139-I140+MAX(-I138,0)</f>
        <v>197656.629866596</v>
      </c>
      <c r="J141" s="83" t="n">
        <f aca="false">J139-J140+MAX(-J138,0)</f>
        <v>222591.272466523</v>
      </c>
      <c r="K141" s="83" t="n">
        <f aca="false">K139-K140+MAX(-K138,0)</f>
        <v>247891.03690622</v>
      </c>
      <c r="L141" s="83" t="n">
        <f aca="false">L139-L140+MAX(-L138,0)</f>
        <v>273666.187727377</v>
      </c>
      <c r="M141" s="83" t="n">
        <f aca="false">M139-M140+MAX(-M138,0)</f>
        <v>300031.46054272</v>
      </c>
      <c r="N141" s="83" t="n">
        <f aca="false">N139-N140+MAX(-N138,0)</f>
        <v>327105.854362081</v>
      </c>
      <c r="O141" s="83" t="n">
        <f aca="false">O139-O140+MAX(-O138,0)</f>
        <v>357085.526772707</v>
      </c>
      <c r="P141" s="83" t="n">
        <f aca="false">P139-P140+MAX(-P138,0)</f>
        <v>390304.422233209</v>
      </c>
      <c r="Q141" s="83" t="n">
        <f aca="false">Q139-Q140+MAX(-Q138,0)</f>
        <v>427120.419383899</v>
      </c>
      <c r="R141" s="83" t="n">
        <f aca="false">R139-R140+MAX(-R138,0)</f>
        <v>467916.868878753</v>
      </c>
      <c r="S141" s="83" t="n">
        <f aca="false">S139-S140+MAX(-S138,0)</f>
        <v>436236.876247564</v>
      </c>
      <c r="T141" s="83" t="n">
        <f aca="false">T139-T140+MAX(-T138,0)</f>
        <v>409776.065382369</v>
      </c>
      <c r="U141" s="83" t="n">
        <f aca="false">U139-U140+MAX(-U138,0)</f>
        <v>389016.082617273</v>
      </c>
      <c r="V141" s="83" t="n">
        <f aca="false">V139-V140+MAX(-V138,0)</f>
        <v>374471.561675683</v>
      </c>
      <c r="W141" s="83" t="n">
        <f aca="false">W139-W140+MAX(-W138,0)</f>
        <v>366692.210974536</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-844994.449406489</v>
      </c>
      <c r="C145" s="27" t="n">
        <f aca="false">-C102+C98-C103-C137</f>
        <v>-1153010.25515137</v>
      </c>
      <c r="D145" s="27" t="n">
        <f aca="false">-D102+D98-D103-D137</f>
        <v>24172.6822392526</v>
      </c>
      <c r="E145" s="27" t="n">
        <f aca="false">-E102+E98-E103-E137</f>
        <v>55464.2585080176</v>
      </c>
      <c r="F145" s="27" t="n">
        <f aca="false">-F102+F98-F103-F137</f>
        <v>69254.423002871</v>
      </c>
      <c r="G145" s="27" t="n">
        <f aca="false">-G102+G98-G103-G137</f>
        <v>66378.0936410249</v>
      </c>
      <c r="H145" s="27" t="n">
        <f aca="false">-H102+H98-H103-H137</f>
        <v>64979.0008985441</v>
      </c>
      <c r="I145" s="27" t="n">
        <f aca="false">-I102+I98-I103-I137</f>
        <v>63369.1900959336</v>
      </c>
      <c r="J145" s="27" t="n">
        <f aca="false">-J102+J98-J103-J137</f>
        <v>61533.000750312</v>
      </c>
      <c r="K145" s="27" t="n">
        <f aca="false">-K102+K98-K103-K137</f>
        <v>-106449.68058139</v>
      </c>
      <c r="L145" s="27" t="n">
        <f aca="false">-L102+L98-L103-L137</f>
        <v>57113.7051250749</v>
      </c>
      <c r="M145" s="27" t="n">
        <f aca="false">-M102+M98-M103-M137</f>
        <v>54493.9453520831</v>
      </c>
      <c r="N145" s="27" t="n">
        <f aca="false">-N102+N98-N103-N137</f>
        <v>51574.3620230211</v>
      </c>
      <c r="O145" s="27" t="n">
        <f aca="false">-O102+O98-O103-O137</f>
        <v>48333.547562509</v>
      </c>
      <c r="P145" s="27" t="n">
        <f aca="false">-P102+P98-P103-P137</f>
        <v>44748.7225673086</v>
      </c>
      <c r="Q145" s="27" t="n">
        <f aca="false">-Q102+Q98-Q103-Q137</f>
        <v>40795.6508734372</v>
      </c>
      <c r="R145" s="27" t="n">
        <f aca="false">-R102+R98-R103-R137</f>
        <v>36448.5494254783</v>
      </c>
      <c r="S145" s="27" t="n">
        <f aca="false">-S102+S98-S103-S137</f>
        <v>-178481.518652481</v>
      </c>
      <c r="T145" s="27" t="n">
        <f aca="false">-T102+T98-T103-T137</f>
        <v>26460.8108651945</v>
      </c>
      <c r="U145" s="27" t="n">
        <f aca="false">-U102+U98-U103-U137</f>
        <v>20759.9827650965</v>
      </c>
      <c r="V145" s="27" t="n">
        <f aca="false">-V102+V98-V103-V137</f>
        <v>14544.5209415901</v>
      </c>
      <c r="W145" s="27" t="n">
        <f aca="false">-W102+W98-W103-W137</f>
        <v>7779.35070114705</v>
      </c>
    </row>
    <row r="146" customFormat="false" ht="15" hidden="false" customHeight="false" outlineLevel="0" collapsed="false">
      <c r="A146" s="15" t="s">
        <v>469</v>
      </c>
      <c r="B146" s="61" t="n">
        <f aca="false">C146+NPV(Hurdle,D146:W146)</f>
        <v>-27074.0887753848</v>
      </c>
      <c r="C146" s="27" t="n">
        <f aca="false">C145+C106+C108</f>
        <v>-553010.255151365</v>
      </c>
      <c r="D146" s="27" t="n">
        <f aca="false">D145+D106+D108</f>
        <v>175372.682239253</v>
      </c>
      <c r="E146" s="27" t="n">
        <f aca="false">E145+E106+E108</f>
        <v>118464.258508018</v>
      </c>
      <c r="F146" s="27" t="n">
        <f aca="false">F145+F106+F108</f>
        <v>107054.423002871</v>
      </c>
      <c r="G146" s="27" t="n">
        <f aca="false">G145+G106+G108</f>
        <v>66378.0936410249</v>
      </c>
      <c r="H146" s="27" t="n">
        <f aca="false">H145+H106+H108</f>
        <v>64979.0008985441</v>
      </c>
      <c r="I146" s="27" t="n">
        <f aca="false">I145+I106+I108</f>
        <v>63369.1900959336</v>
      </c>
      <c r="J146" s="27" t="n">
        <f aca="false">J145+J106+J108</f>
        <v>61533.000750312</v>
      </c>
      <c r="K146" s="27" t="n">
        <f aca="false">K145+K106+K108</f>
        <v>-106449.68058139</v>
      </c>
      <c r="L146" s="27" t="n">
        <f aca="false">L145+L106+L108</f>
        <v>57113.7051250749</v>
      </c>
      <c r="M146" s="27" t="n">
        <f aca="false">M145+M106+M108</f>
        <v>54493.9453520831</v>
      </c>
      <c r="N146" s="27" t="n">
        <f aca="false">N145+N106+N108</f>
        <v>51574.3620230211</v>
      </c>
      <c r="O146" s="27" t="n">
        <f aca="false">O145+O106+O108</f>
        <v>48333.547562509</v>
      </c>
      <c r="P146" s="27" t="n">
        <f aca="false">P145+P106+P108</f>
        <v>44748.7225673086</v>
      </c>
      <c r="Q146" s="27" t="n">
        <f aca="false">Q145+Q106+Q108</f>
        <v>40795.6508734372</v>
      </c>
      <c r="R146" s="27" t="n">
        <f aca="false">R145+R106+R108</f>
        <v>36448.5494254783</v>
      </c>
      <c r="S146" s="27" t="n">
        <f aca="false">S145+S106+S108</f>
        <v>-178481.518652481</v>
      </c>
      <c r="T146" s="27" t="n">
        <f aca="false">T145+T106+T108</f>
        <v>26460.8108651945</v>
      </c>
      <c r="U146" s="27" t="n">
        <f aca="false">U145+U106+U108</f>
        <v>20759.9827650965</v>
      </c>
      <c r="V146" s="27" t="n">
        <f aca="false">V145+V106+V108</f>
        <v>14544.5209415901</v>
      </c>
      <c r="W146" s="27" t="n">
        <f aca="false">W145+W106+W108</f>
        <v>7779.35070114705</v>
      </c>
    </row>
    <row r="147" customFormat="false" ht="15" hidden="false" customHeight="false" outlineLevel="0" collapsed="false">
      <c r="A147" s="10" t="s">
        <v>237</v>
      </c>
      <c r="B147" s="61" t="n">
        <f aca="false">SUM(C147:W147)</f>
        <v>775272.598104026</v>
      </c>
      <c r="C147" s="83" t="n">
        <v>0</v>
      </c>
      <c r="D147" s="83" t="n">
        <f aca="false">D98-D105-D142+D108</f>
        <v>154634.752526165</v>
      </c>
      <c r="E147" s="83" t="n">
        <f aca="false">E98-E105-E142+E108</f>
        <v>97726.3287949299</v>
      </c>
      <c r="F147" s="83" t="n">
        <f aca="false">F98-F105-F142+F108</f>
        <v>86316.4932897834</v>
      </c>
      <c r="G147" s="83" t="n">
        <f aca="false">G98-G105-G142+G108</f>
        <v>45640.1639279372</v>
      </c>
      <c r="H147" s="83" t="n">
        <f aca="false">H98-H105-H142+H108</f>
        <v>44241.0711854564</v>
      </c>
      <c r="I147" s="83" t="n">
        <f aca="false">I98-I105-I142+I108</f>
        <v>42631.2603828459</v>
      </c>
      <c r="J147" s="83" t="n">
        <f aca="false">J98-J105-J142+J108</f>
        <v>40795.0710372244</v>
      </c>
      <c r="K147" s="83" t="n">
        <f aca="false">K98-K105-K142+K108</f>
        <v>38715.8274102241</v>
      </c>
      <c r="L147" s="83" t="n">
        <f aca="false">L98-L105-L142+L108</f>
        <v>30843.5162146162</v>
      </c>
      <c r="M147" s="83" t="n">
        <f aca="false">M98-M105-M142+M108</f>
        <v>28223.7564416243</v>
      </c>
      <c r="N147" s="83" t="n">
        <f aca="false">N98-N105-N142+N108</f>
        <v>25304.1731125624</v>
      </c>
      <c r="O147" s="83" t="n">
        <f aca="false">O98-O105-O142+O108</f>
        <v>22063.3586520502</v>
      </c>
      <c r="P147" s="83" t="n">
        <f aca="false">P98-P105-P142+P108</f>
        <v>18478.5336568498</v>
      </c>
      <c r="Q147" s="83" t="n">
        <f aca="false">Q98-Q105-Q142+Q108</f>
        <v>14525.4619629784</v>
      </c>
      <c r="R147" s="83" t="n">
        <f aca="false">R98-R105-R142+R108</f>
        <v>10178.3605150196</v>
      </c>
      <c r="S147" s="83" t="n">
        <f aca="false">S98-S105-S142+S108</f>
        <v>5409.8037207302</v>
      </c>
      <c r="T147" s="83" t="n">
        <f aca="false">T98-T105-T142+T108</f>
        <v>26460.8108651945</v>
      </c>
      <c r="U147" s="83" t="n">
        <f aca="false">U98-U105-U142+U108</f>
        <v>20759.9827650965</v>
      </c>
      <c r="V147" s="83" t="n">
        <f aca="false">V98-V105-V142+V108</f>
        <v>14544.5209415901</v>
      </c>
      <c r="W147" s="83" t="n">
        <f aca="false">W98-W105-W142+W108</f>
        <v>7779.35070114705</v>
      </c>
    </row>
    <row r="148" customFormat="false" ht="15" hidden="false" customHeight="false" outlineLevel="0" collapsed="false">
      <c r="A148" s="10" t="s">
        <v>470</v>
      </c>
      <c r="C148" s="86" t="n">
        <v>0</v>
      </c>
      <c r="D148" s="86" t="n">
        <f aca="false">IF(D125&gt;0,D147/D125,"")</f>
        <v>10.7547562208366</v>
      </c>
      <c r="E148" s="86" t="n">
        <f aca="false">IF(E125&gt;0,E147/E125,"")</f>
        <v>6.79680877278188</v>
      </c>
      <c r="F148" s="86" t="n">
        <f aca="false">IF(F125&gt;0,F147/F125,"")</f>
        <v>3.58908004266621</v>
      </c>
      <c r="G148" s="86" t="n">
        <f aca="false">IF(G125&gt;0,G147/G125,"")</f>
        <v>1.89773929934619</v>
      </c>
      <c r="H148" s="86" t="n">
        <f aca="false">IF(H125&gt;0,H147/H125,"")</f>
        <v>1.83956437067968</v>
      </c>
      <c r="I148" s="86" t="n">
        <f aca="false">IF(I125&gt;0,I147/I125,"")</f>
        <v>1.26511163649681</v>
      </c>
      <c r="J148" s="86" t="n">
        <f aca="false">IF(J125&gt;0,J147/J125,"")</f>
        <v>1.21062146925578</v>
      </c>
      <c r="K148" s="86" t="n">
        <f aca="false">IF(K125&gt;0,K147/K125,"")</f>
        <v>1.14891850096426</v>
      </c>
      <c r="L148" s="86" t="n">
        <f aca="false">IF(L125&gt;0,L147/L125,"")</f>
        <v>0.915302313916341</v>
      </c>
      <c r="M148" s="86" t="n">
        <f aca="false">IF(M125&gt;0,M147/M125,"")</f>
        <v>0.837559161500144</v>
      </c>
      <c r="N148" s="86" t="n">
        <f aca="false">IF(N125&gt;0,N147/N125,"")</f>
        <v>1.95158884719023</v>
      </c>
      <c r="O148" s="86" t="n">
        <f aca="false">IF(O125&gt;0,O147/O125,"")</f>
        <v>1.70164045611602</v>
      </c>
      <c r="P148" s="86" t="n">
        <f aca="false">IF(P125&gt;0,P147/P125,"")</f>
        <v>1.42516019143238</v>
      </c>
      <c r="Q148" s="86" t="n">
        <f aca="false">IF(Q125&gt;0,Q147/Q125,"")</f>
        <v>1.12027883468602</v>
      </c>
      <c r="R148" s="86" t="n">
        <f aca="false">IF(R125&gt;0,R147/R125,"")</f>
        <v>0.785007863146973</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-40035.0479563504</v>
      </c>
      <c r="C149" s="27" t="n">
        <f aca="false">-S_Demand_Hi!$B$18-C129</f>
        <v>-338995.286407787</v>
      </c>
      <c r="D149" s="27" t="n">
        <f aca="false">D147-D125-D129</f>
        <v>140256.485892229</v>
      </c>
      <c r="E149" s="27" t="n">
        <f aca="false">E147-E125-E129</f>
        <v>78512.3183139436</v>
      </c>
      <c r="F149" s="27" t="n">
        <f aca="false">F147-F125-F129</f>
        <v>62266.7389617463</v>
      </c>
      <c r="G149" s="27" t="n">
        <f aca="false">G147-G125-G129</f>
        <v>21590.4095999001</v>
      </c>
      <c r="H149" s="27" t="n">
        <f aca="false">H147-H125-H129</f>
        <v>15367.3803859491</v>
      </c>
      <c r="I149" s="27" t="n">
        <f aca="false">I147-I125-I129</f>
        <v>8933.63311186837</v>
      </c>
      <c r="J149" s="27" t="n">
        <f aca="false">J147-J125-J129</f>
        <v>7097.4437662468</v>
      </c>
      <c r="K149" s="27" t="n">
        <f aca="false">K147-K125-K129</f>
        <v>5018.2001392465</v>
      </c>
      <c r="L149" s="27" t="n">
        <f aca="false">L147-L125-L129</f>
        <v>-2854.1110563614</v>
      </c>
      <c r="M149" s="27" t="n">
        <f aca="false">M147-M125-M129</f>
        <v>4891.97556921124</v>
      </c>
      <c r="N149" s="27" t="n">
        <f aca="false">N147-N125-N129</f>
        <v>12338.2386387137</v>
      </c>
      <c r="O149" s="27" t="n">
        <f aca="false">O147-O125-O129</f>
        <v>9097.42417820159</v>
      </c>
      <c r="P149" s="27" t="n">
        <f aca="false">P147-P125-P129</f>
        <v>5512.59918300121</v>
      </c>
      <c r="Q149" s="27" t="n">
        <f aca="false">Q147-Q125-Q129</f>
        <v>1559.52748912981</v>
      </c>
      <c r="R149" s="27" t="n">
        <f aca="false">R147-R125-R129</f>
        <v>3695.39327809527</v>
      </c>
      <c r="S149" s="27" t="n">
        <f aca="false">S147-S125-S129</f>
        <v>5409.8037207302</v>
      </c>
      <c r="T149" s="27" t="n">
        <f aca="false">T147-T125-T129</f>
        <v>26460.8108651945</v>
      </c>
      <c r="U149" s="27" t="n">
        <f aca="false">U147-U125-U129</f>
        <v>20759.9827650965</v>
      </c>
      <c r="V149" s="27" t="n">
        <f aca="false">V147-V125-V129</f>
        <v>14544.5209415901</v>
      </c>
      <c r="W149" s="27" t="n">
        <f aca="false">W147-W125-W129</f>
        <v>7779.35070114705</v>
      </c>
    </row>
    <row r="150" customFormat="false" ht="15" hidden="false" customHeight="false" outlineLevel="0" collapsed="false">
      <c r="A150" s="10" t="s">
        <v>472</v>
      </c>
      <c r="C150" s="83" t="n">
        <f aca="false">C149</f>
        <v>-338995.286407787</v>
      </c>
      <c r="D150" s="83" t="n">
        <f aca="false">C150+D149</f>
        <v>-198738.800515558</v>
      </c>
      <c r="E150" s="83" t="n">
        <f aca="false">D150+E149</f>
        <v>-120226.482201614</v>
      </c>
      <c r="F150" s="83" t="n">
        <f aca="false">E150+F149</f>
        <v>-57959.7432398678</v>
      </c>
      <c r="G150" s="83" t="n">
        <f aca="false">F150+G149</f>
        <v>-36369.3336399677</v>
      </c>
      <c r="H150" s="83" t="n">
        <f aca="false">G150+H149</f>
        <v>-21001.9532540186</v>
      </c>
      <c r="I150" s="83" t="n">
        <f aca="false">H150+I149</f>
        <v>-12068.3201421502</v>
      </c>
      <c r="J150" s="83" t="n">
        <f aca="false">I150+J149</f>
        <v>-4970.87637590343</v>
      </c>
      <c r="K150" s="83" t="n">
        <f aca="false">J150+K149</f>
        <v>47.323763343069</v>
      </c>
      <c r="L150" s="83" t="n">
        <f aca="false">K150+L149</f>
        <v>-2806.78729301833</v>
      </c>
      <c r="M150" s="83" t="n">
        <f aca="false">L150+M149</f>
        <v>2085.18827619291</v>
      </c>
      <c r="N150" s="83" t="n">
        <f aca="false">M150+N149</f>
        <v>14423.4269149066</v>
      </c>
      <c r="O150" s="83" t="n">
        <f aca="false">N150+O149</f>
        <v>23520.8510931082</v>
      </c>
      <c r="P150" s="83" t="n">
        <f aca="false">O150+P149</f>
        <v>29033.4502761094</v>
      </c>
      <c r="Q150" s="83" t="n">
        <f aca="false">P150+Q149</f>
        <v>30592.9777652393</v>
      </c>
      <c r="R150" s="83" t="n">
        <f aca="false">Q150+R149</f>
        <v>34288.3710433345</v>
      </c>
      <c r="S150" s="83" t="n">
        <f aca="false">R150+S149</f>
        <v>39698.1747640647</v>
      </c>
      <c r="T150" s="83" t="n">
        <f aca="false">S150+T149</f>
        <v>66158.9856292593</v>
      </c>
      <c r="U150" s="83" t="n">
        <f aca="false">T150+U149</f>
        <v>86918.9683943557</v>
      </c>
      <c r="V150" s="83" t="n">
        <f aca="false">U150+V149</f>
        <v>101463.489335946</v>
      </c>
      <c r="W150" s="83" t="n">
        <f aca="false">V150+W149</f>
        <v>109242.840037093</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2665461.56197809</v>
      </c>
      <c r="C153" s="83" t="n">
        <f aca="false">C102+C96-C93+C103</f>
        <v>1153010.25515137</v>
      </c>
      <c r="D153" s="83" t="n">
        <f aca="false">D102+D96-D93+D103</f>
        <v>68210.9565360434</v>
      </c>
      <c r="E153" s="83" t="n">
        <f aca="false">E102+E96-E93+E103</f>
        <v>76112.5229506571</v>
      </c>
      <c r="F153" s="83" t="n">
        <f aca="false">F102+F96-F93+F103</f>
        <v>93161.4417906677</v>
      </c>
      <c r="G153" s="83" t="n">
        <f aca="false">G102+G96-G93+G103</f>
        <v>104153.74639344</v>
      </c>
      <c r="H153" s="83" t="n">
        <f aca="false">H102+H96-H93+H103</f>
        <v>115938.22819402</v>
      </c>
      <c r="I153" s="83" t="n">
        <f aca="false">I102+I96-I93+I103</f>
        <v>128565.898248368</v>
      </c>
      <c r="J153" s="83" t="n">
        <f aca="false">J102+J96-J93+J103</f>
        <v>142090.934474157</v>
      </c>
      <c r="K153" s="83" t="n">
        <f aca="false">K102+K96-K93+K103</f>
        <v>322474.313461029</v>
      </c>
      <c r="L153" s="83" t="n">
        <f aca="false">L102+L96-L93+L103</f>
        <v>172066.827896935</v>
      </c>
      <c r="M153" s="83" t="n">
        <f aca="false">M102+M96-M93+M103</f>
        <v>188643.682130967</v>
      </c>
      <c r="N153" s="83" t="n">
        <f aca="false">N102+N96-N93+N103</f>
        <v>206370.346973747</v>
      </c>
      <c r="O153" s="83" t="n">
        <f aca="false">O102+O96-O93+O103</f>
        <v>225319.994212162</v>
      </c>
      <c r="P153" s="83" t="n">
        <f aca="false">P102+P96-P93+P103</f>
        <v>245570.31990144</v>
      </c>
      <c r="Q153" s="83" t="n">
        <f aca="false">Q102+Q96-Q93+Q103</f>
        <v>267203.821281658</v>
      </c>
      <c r="R153" s="83" t="n">
        <f aca="false">R102+R96-R93+R103</f>
        <v>290308.090583862</v>
      </c>
      <c r="S153" s="83" t="n">
        <f aca="false">S102+S96-S93+S103</f>
        <v>525137.63803839</v>
      </c>
      <c r="T153" s="83" t="n">
        <f aca="false">T102+T96-T93+T103</f>
        <v>341306.666191317</v>
      </c>
      <c r="U153" s="83" t="n">
        <f aca="false">U102+U96-U93+U103</f>
        <v>369404.533644156</v>
      </c>
      <c r="V153" s="83" t="n">
        <f aca="false">V102+V96-V93+V103</f>
        <v>399381.014516986</v>
      </c>
      <c r="W153" s="83" t="n">
        <f aca="false">W102+W96-W93+W103</f>
        <v>431354.249866857</v>
      </c>
    </row>
    <row r="154" customFormat="false" ht="15" hidden="false" customHeight="false" outlineLevel="0" collapsed="false">
      <c r="A154" s="10" t="s">
        <v>475</v>
      </c>
      <c r="B154" s="61" t="n">
        <f aca="false">C154+NPV(Hurdle,D154:W154)</f>
        <v>4205544.19478404</v>
      </c>
      <c r="C154" s="83" t="n">
        <f aca="false">C66</f>
        <v>0</v>
      </c>
      <c r="D154" s="83" t="n">
        <f aca="false">D66</f>
        <v>253367.6544</v>
      </c>
      <c r="E154" s="83" t="n">
        <f aca="false">E66</f>
        <v>369705.635712</v>
      </c>
      <c r="F154" s="83" t="n">
        <f aca="false">F66</f>
        <v>447996.2409216</v>
      </c>
      <c r="G154" s="83" t="n">
        <f aca="false">G66</f>
        <v>461436.128149248</v>
      </c>
      <c r="H154" s="83" t="n">
        <f aca="false">H66</f>
        <v>475279.211993726</v>
      </c>
      <c r="I154" s="83" t="n">
        <f aca="false">I66</f>
        <v>489537.588353537</v>
      </c>
      <c r="J154" s="83" t="n">
        <f aca="false">J66</f>
        <v>504223.716004143</v>
      </c>
      <c r="K154" s="83" t="n">
        <f aca="false">K66</f>
        <v>519350.427484268</v>
      </c>
      <c r="L154" s="83" t="n">
        <f aca="false">L66</f>
        <v>534930.940308796</v>
      </c>
      <c r="M154" s="83" t="n">
        <f aca="false">M66</f>
        <v>550978.86851806</v>
      </c>
      <c r="N154" s="83" t="n">
        <f aca="false">N66</f>
        <v>567508.234573601</v>
      </c>
      <c r="O154" s="83" t="n">
        <f aca="false">O66</f>
        <v>584533.48161081</v>
      </c>
      <c r="P154" s="83" t="n">
        <f aca="false">P66</f>
        <v>602069.486059134</v>
      </c>
      <c r="Q154" s="83" t="n">
        <f aca="false">Q66</f>
        <v>620131.570640908</v>
      </c>
      <c r="R154" s="83" t="n">
        <f aca="false">R66</f>
        <v>638735.517760135</v>
      </c>
      <c r="S154" s="83" t="n">
        <f aca="false">S66</f>
        <v>657897.583292939</v>
      </c>
      <c r="T154" s="83" t="n">
        <f aca="false">T66</f>
        <v>677634.510791727</v>
      </c>
      <c r="U154" s="83" t="n">
        <f aca="false">U66</f>
        <v>697963.546115479</v>
      </c>
      <c r="V154" s="83" t="n">
        <f aca="false">V66</f>
        <v>718902.452498944</v>
      </c>
      <c r="W154" s="83" t="n">
        <f aca="false">W66</f>
        <v>740469.526073912</v>
      </c>
    </row>
    <row r="155" customFormat="false" ht="15" hidden="false" customHeight="false" outlineLevel="0" collapsed="false">
      <c r="A155" s="10" t="s">
        <v>476</v>
      </c>
      <c r="B155" s="61" t="n">
        <f aca="false">C155+NPV(Hurdle,D155:W155)</f>
        <v>1866825.44078385</v>
      </c>
      <c r="C155" s="83" t="n">
        <f aca="false">C83</f>
        <v>0</v>
      </c>
      <c r="D155" s="83" t="n">
        <f aca="false">D83</f>
        <v>88340.8647168</v>
      </c>
      <c r="E155" s="83" t="n">
        <f aca="false">E83</f>
        <v>132771.166452242</v>
      </c>
      <c r="F155" s="83" t="n">
        <f aca="false">F83</f>
        <v>165714.035869628</v>
      </c>
      <c r="G155" s="83" t="n">
        <f aca="false">G83</f>
        <v>175806.020654088</v>
      </c>
      <c r="H155" s="83" t="n">
        <f aca="false">H83</f>
        <v>186512.607311922</v>
      </c>
      <c r="I155" s="83" t="n">
        <f aca="false">I83</f>
        <v>197871.225097218</v>
      </c>
      <c r="J155" s="83" t="n">
        <f aca="false">J83</f>
        <v>209921.582705639</v>
      </c>
      <c r="K155" s="83" t="n">
        <f aca="false">K83</f>
        <v>222705.807092412</v>
      </c>
      <c r="L155" s="83" t="n">
        <f aca="false">L83</f>
        <v>236268.59074434</v>
      </c>
      <c r="M155" s="83" t="n">
        <f aca="false">M83</f>
        <v>250657.34792067</v>
      </c>
      <c r="N155" s="83" t="n">
        <f aca="false">N83</f>
        <v>265922.380409039</v>
      </c>
      <c r="O155" s="83" t="n">
        <f aca="false">O83</f>
        <v>282117.053375949</v>
      </c>
      <c r="P155" s="83" t="n">
        <f aca="false">P83</f>
        <v>299297.981926545</v>
      </c>
      <c r="Q155" s="83" t="n">
        <f aca="false">Q83</f>
        <v>317525.229025871</v>
      </c>
      <c r="R155" s="83" t="n">
        <f aca="false">R83</f>
        <v>336862.515473547</v>
      </c>
      <c r="S155" s="83" t="n">
        <f aca="false">S83</f>
        <v>357377.442665886</v>
      </c>
      <c r="T155" s="83" t="n">
        <f aca="false">T83</f>
        <v>379141.728924239</v>
      </c>
      <c r="U155" s="83" t="n">
        <f aca="false">U83</f>
        <v>402231.460215725</v>
      </c>
      <c r="V155" s="83" t="n">
        <f aca="false">V83</f>
        <v>426727.356142862</v>
      </c>
      <c r="W155" s="83" t="n">
        <f aca="false">W83</f>
        <v>452715.052131963</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f aca="false">1-SensDelta</f>
        <v>0.8</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922408.204121092</v>
      </c>
    </row>
    <row r="15" customFormat="false" ht="15" hidden="false" customHeight="false" outlineLevel="0" collapsed="false">
      <c r="A15" s="10" t="s">
        <v>392</v>
      </c>
      <c r="B15" s="61" t="n">
        <f aca="false">HardCapexBase*LevCapex*$B$7</f>
        <v>802094.09054008</v>
      </c>
    </row>
    <row r="16" customFormat="false" ht="15" hidden="false" customHeight="false" outlineLevel="0" collapsed="false">
      <c r="A16" s="10" t="s">
        <v>246</v>
      </c>
      <c r="B16" s="61" t="n">
        <f aca="false">MAX(0,S_Capex_Lo!$B$14-Grant)*SenPct</f>
        <v>64481.6408242185</v>
      </c>
    </row>
    <row r="17" customFormat="false" ht="15" hidden="false" customHeight="false" outlineLevel="0" collapsed="false">
      <c r="A17" s="10" t="s">
        <v>248</v>
      </c>
      <c r="B17" s="61" t="n">
        <f aca="false">MAX(0,S_Capex_Lo!$B$14-Grant)*ConPct</f>
        <v>64481.6408242185</v>
      </c>
    </row>
    <row r="18" customFormat="false" ht="15" hidden="false" customHeight="false" outlineLevel="0" collapsed="false">
      <c r="A18" s="10" t="s">
        <v>393</v>
      </c>
      <c r="B18" s="61" t="n">
        <f aca="false">MAX(0,S_Capex_Lo!$B$14-Grant-S_Capex_Lo!$B$16-S_Capex_Lo!$B$17)</f>
        <v>193444.922472655</v>
      </c>
    </row>
    <row r="19" customFormat="false" ht="15" hidden="false" customHeight="false" outlineLevel="0" collapsed="false">
      <c r="A19" s="10" t="s">
        <v>394</v>
      </c>
      <c r="B19" s="61" t="n">
        <f aca="false">C128</f>
        <v>4191.3066535742</v>
      </c>
    </row>
    <row r="20" customFormat="false" ht="15" hidden="false" customHeight="false" outlineLevel="0" collapsed="false">
      <c r="A20" s="10" t="s">
        <v>395</v>
      </c>
      <c r="B20" s="61" t="n">
        <f aca="false">$B$145</f>
        <v>-497460.970729515</v>
      </c>
    </row>
    <row r="21" customFormat="false" ht="15" hidden="false" customHeight="false" outlineLevel="0" collapsed="false">
      <c r="A21" s="10" t="s">
        <v>396</v>
      </c>
      <c r="B21" s="61" t="n">
        <f aca="false">$B$146</f>
        <v>320459.38990159</v>
      </c>
    </row>
    <row r="22" customFormat="false" ht="15" hidden="false" customHeight="false" outlineLevel="0" collapsed="false">
      <c r="A22" s="10" t="s">
        <v>397</v>
      </c>
      <c r="B22" s="63" t="n">
        <f aca="false">IFERROR(IRR($C$145:$W$145),"n.d.")</f>
        <v>0.00187261824404817</v>
      </c>
    </row>
    <row r="23" customFormat="false" ht="15" hidden="false" customHeight="false" outlineLevel="0" collapsed="false">
      <c r="A23" s="10" t="s">
        <v>398</v>
      </c>
      <c r="B23" s="63" t="n">
        <f aca="false">IFERROR(IRR($C$146:$W$146),"n.d.")</f>
        <v>0.311355466315381</v>
      </c>
    </row>
    <row r="24" customFormat="false" ht="15" hidden="false" customHeight="false" outlineLevel="0" collapsed="false">
      <c r="A24" s="10" t="s">
        <v>384</v>
      </c>
      <c r="B24" s="61" t="n">
        <f aca="false">MAX(0,-$B$145)</f>
        <v>497460.970729515</v>
      </c>
    </row>
    <row r="25" customFormat="false" ht="15" hidden="false" customHeight="false" outlineLevel="0" collapsed="false">
      <c r="A25" s="10" t="s">
        <v>256</v>
      </c>
      <c r="B25" s="63" t="n">
        <f aca="false">IFERROR(IRR($C$149:$W$149),"n.d.")</f>
        <v>0.426040122441522</v>
      </c>
    </row>
    <row r="26" customFormat="false" ht="15" hidden="false" customHeight="false" outlineLevel="0" collapsed="false">
      <c r="A26" s="10" t="s">
        <v>258</v>
      </c>
      <c r="B26" s="61" t="n">
        <f aca="false">C149+NPV(TargetEqIRR,D149:W149)</f>
        <v>202702.930376934</v>
      </c>
    </row>
    <row r="27" customFormat="false" ht="15" hidden="false" customHeight="false" outlineLevel="0" collapsed="false">
      <c r="A27" s="10" t="s">
        <v>252</v>
      </c>
      <c r="B27" s="62" t="n">
        <f aca="false">IF((S_Capex_Lo!$B$16+S_Capex_Lo!$B$17)&gt;0,MIN($D$148:$W$148),"pas de dette")</f>
        <v>3.03102204332978</v>
      </c>
    </row>
    <row r="28" customFormat="false" ht="15" hidden="false" customHeight="false" outlineLevel="0" collapsed="false">
      <c r="A28" s="10" t="s">
        <v>254</v>
      </c>
      <c r="B28" s="62" t="n">
        <f aca="false">IF((S_Capex_Lo!$B$16+S_Capex_Lo!$B$17)&gt;0,AVERAGE($D$148:$W$148),"pas de dette")</f>
        <v>6.15641555476241</v>
      </c>
    </row>
    <row r="29" customFormat="false" ht="15" hidden="false" customHeight="false" outlineLevel="0" collapsed="false">
      <c r="A29" s="10" t="s">
        <v>399</v>
      </c>
      <c r="B29" s="77" t="n">
        <f aca="false">IFERROR($B$153/$B$154,0)</f>
        <v>0.568144457171185</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197816.102665458</v>
      </c>
    </row>
    <row r="36" customFormat="false" ht="15" hidden="false" customHeight="false" outlineLevel="0" collapsed="false">
      <c r="A36" s="10" t="s">
        <v>260</v>
      </c>
      <c r="B36" s="78" t="n">
        <f aca="false">IFERROR(MATCH(TRUE(),INDEX($C$150:$W$150&gt;=0,0),0)-1,"&gt; durée de vie")</f>
        <v>2</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538814.214705254</v>
      </c>
      <c r="C88" s="83" t="n">
        <v>0</v>
      </c>
      <c r="D88" s="83" t="n">
        <f aca="false">S_Capex_Lo!$B$15*O_FixedPct*D44*LevOpex*$B$8*D41</f>
        <v>20052.352263502</v>
      </c>
      <c r="E88" s="83" t="n">
        <f aca="false">S_Capex_Lo!$B$15*O_FixedPct*E44*LevOpex*$B$8*E41</f>
        <v>20653.9228314071</v>
      </c>
      <c r="F88" s="83" t="n">
        <f aca="false">S_Capex_Lo!$B$15*O_FixedPct*F44*LevOpex*$B$8*F41</f>
        <v>21273.5405163493</v>
      </c>
      <c r="G88" s="83" t="n">
        <f aca="false">S_Capex_Lo!$B$15*O_FixedPct*G44*LevOpex*$B$8*G41</f>
        <v>21911.7467318398</v>
      </c>
      <c r="H88" s="83" t="n">
        <f aca="false">S_Capex_Lo!$B$15*O_FixedPct*H44*LevOpex*$B$8*H41</f>
        <v>22569.099133795</v>
      </c>
      <c r="I88" s="83" t="n">
        <f aca="false">S_Capex_Lo!$B$15*O_FixedPct*I44*LevOpex*$B$8*I41</f>
        <v>23246.1721078088</v>
      </c>
      <c r="J88" s="83" t="n">
        <f aca="false">S_Capex_Lo!$B$15*O_FixedPct*J44*LevOpex*$B$8*J41</f>
        <v>23943.5572710431</v>
      </c>
      <c r="K88" s="83" t="n">
        <f aca="false">S_Capex_Lo!$B$15*O_FixedPct*K44*LevOpex*$B$8*K41</f>
        <v>24661.8639891744</v>
      </c>
      <c r="L88" s="83" t="n">
        <f aca="false">S_Capex_Lo!$B$15*O_FixedPct*L44*LevOpex*$B$8*L41</f>
        <v>25401.7199088496</v>
      </c>
      <c r="M88" s="83" t="n">
        <f aca="false">S_Capex_Lo!$B$15*O_FixedPct*M44*LevOpex*$B$8*M41</f>
        <v>26163.7715061151</v>
      </c>
      <c r="N88" s="83" t="n">
        <f aca="false">S_Capex_Lo!$B$15*O_FixedPct*N44*LevOpex*$B$8*N41</f>
        <v>26948.6846512985</v>
      </c>
      <c r="O88" s="83" t="n">
        <f aca="false">S_Capex_Lo!$B$15*O_FixedPct*O44*LevOpex*$B$8*O41</f>
        <v>27757.1451908375</v>
      </c>
      <c r="P88" s="83" t="n">
        <f aca="false">S_Capex_Lo!$B$15*O_FixedPct*P44*LevOpex*$B$8*P41</f>
        <v>28589.8595465626</v>
      </c>
      <c r="Q88" s="83" t="n">
        <f aca="false">S_Capex_Lo!$B$15*O_FixedPct*Q44*LevOpex*$B$8*Q41</f>
        <v>29447.5553329595</v>
      </c>
      <c r="R88" s="83" t="n">
        <f aca="false">S_Capex_Lo!$B$15*O_FixedPct*R44*LevOpex*$B$8*R41</f>
        <v>30330.9819929483</v>
      </c>
      <c r="S88" s="83" t="n">
        <f aca="false">S_Capex_Lo!$B$15*O_FixedPct*S44*LevOpex*$B$8*S41</f>
        <v>31240.9114527367</v>
      </c>
      <c r="T88" s="83" t="n">
        <f aca="false">S_Capex_Lo!$B$15*O_FixedPct*T44*LevOpex*$B$8*T41</f>
        <v>32178.1387963188</v>
      </c>
      <c r="U88" s="83" t="n">
        <f aca="false">S_Capex_Lo!$B$15*O_FixedPct*U44*LevOpex*$B$8*U41</f>
        <v>33143.4829602084</v>
      </c>
      <c r="V88" s="83" t="n">
        <f aca="false">S_Capex_Lo!$B$15*O_FixedPct*V44*LevOpex*$B$8*V41</f>
        <v>34137.7874490147</v>
      </c>
      <c r="W88" s="83" t="n">
        <f aca="false">S_Capex_Lo!$B$15*O_FixedPct*W44*LevOpex*$B$8*W41</f>
        <v>35161.9210724851</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123927.269382208</v>
      </c>
      <c r="C90" s="83" t="n">
        <v>0</v>
      </c>
      <c r="D90" s="83" t="n">
        <f aca="false">S_Capex_Lo!$B$14*O_InsPct*D44*LevOpex*$B$8*D41</f>
        <v>4612.04102060546</v>
      </c>
      <c r="E90" s="83" t="n">
        <f aca="false">S_Capex_Lo!$B$14*O_InsPct*E44*LevOpex*$B$8*E41</f>
        <v>4750.40225122363</v>
      </c>
      <c r="F90" s="83" t="n">
        <f aca="false">S_Capex_Lo!$B$14*O_InsPct*F44*LevOpex*$B$8*F41</f>
        <v>4892.91431876034</v>
      </c>
      <c r="G90" s="83" t="n">
        <f aca="false">S_Capex_Lo!$B$14*O_InsPct*G44*LevOpex*$B$8*G41</f>
        <v>5039.70174832315</v>
      </c>
      <c r="H90" s="83" t="n">
        <f aca="false">S_Capex_Lo!$B$14*O_InsPct*H44*LevOpex*$B$8*H41</f>
        <v>5190.89280077284</v>
      </c>
      <c r="I90" s="83" t="n">
        <f aca="false">S_Capex_Lo!$B$14*O_InsPct*I44*LevOpex*$B$8*I41</f>
        <v>5346.61958479602</v>
      </c>
      <c r="J90" s="83" t="n">
        <f aca="false">S_Capex_Lo!$B$14*O_InsPct*J44*LevOpex*$B$8*J41</f>
        <v>5507.01817233991</v>
      </c>
      <c r="K90" s="83" t="n">
        <f aca="false">S_Capex_Lo!$B$14*O_InsPct*K44*LevOpex*$B$8*K41</f>
        <v>5672.2287175101</v>
      </c>
      <c r="L90" s="83" t="n">
        <f aca="false">S_Capex_Lo!$B$14*O_InsPct*L44*LevOpex*$B$8*L41</f>
        <v>5842.39557903541</v>
      </c>
      <c r="M90" s="83" t="n">
        <f aca="false">S_Capex_Lo!$B$14*O_InsPct*M44*LevOpex*$B$8*M41</f>
        <v>6017.66744640647</v>
      </c>
      <c r="N90" s="83" t="n">
        <f aca="false">S_Capex_Lo!$B$14*O_InsPct*N44*LevOpex*$B$8*N41</f>
        <v>6198.19746979866</v>
      </c>
      <c r="O90" s="83" t="n">
        <f aca="false">S_Capex_Lo!$B$14*O_InsPct*O44*LevOpex*$B$8*O41</f>
        <v>6384.14339389262</v>
      </c>
      <c r="P90" s="83" t="n">
        <f aca="false">S_Capex_Lo!$B$14*O_InsPct*P44*LevOpex*$B$8*P41</f>
        <v>6575.6676957094</v>
      </c>
      <c r="Q90" s="83" t="n">
        <f aca="false">S_Capex_Lo!$B$14*O_InsPct*Q44*LevOpex*$B$8*Q41</f>
        <v>6772.93772658068</v>
      </c>
      <c r="R90" s="83" t="n">
        <f aca="false">S_Capex_Lo!$B$14*O_InsPct*R44*LevOpex*$B$8*R41</f>
        <v>6976.12585837811</v>
      </c>
      <c r="S90" s="83" t="n">
        <f aca="false">S_Capex_Lo!$B$14*O_InsPct*S44*LevOpex*$B$8*S41</f>
        <v>7185.40963412945</v>
      </c>
      <c r="T90" s="83" t="n">
        <f aca="false">S_Capex_Lo!$B$14*O_InsPct*T44*LevOpex*$B$8*T41</f>
        <v>7400.97192315333</v>
      </c>
      <c r="U90" s="83" t="n">
        <f aca="false">S_Capex_Lo!$B$14*O_InsPct*U44*LevOpex*$B$8*U41</f>
        <v>7623.00108084793</v>
      </c>
      <c r="V90" s="83" t="n">
        <f aca="false">S_Capex_Lo!$B$14*O_InsPct*V44*LevOpex*$B$8*V41</f>
        <v>7851.69111327337</v>
      </c>
      <c r="W90" s="83" t="n">
        <f aca="false">S_Capex_Lo!$B$14*O_InsPct*W44*LevOpex*$B$8*W41</f>
        <v>8087.24184667157</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3154678.76758564</v>
      </c>
      <c r="C96" s="27" t="n">
        <f aca="false">C88+C89+C90+C91+C92+C93+C94+C95</f>
        <v>0</v>
      </c>
      <c r="D96" s="27" t="n">
        <f aca="false">D88+D89+D90+D91+D92+D93+D94+D95</f>
        <v>62396.9690111184</v>
      </c>
      <c r="E96" s="27" t="n">
        <f aca="false">E88+E89+E90+E91+E92+E93+E94+E95</f>
        <v>70065.784741744</v>
      </c>
      <c r="F96" s="27" t="n">
        <f aca="false">F88+F89+F90+F91+F92+F93+F94+F95</f>
        <v>76236.7812202312</v>
      </c>
      <c r="G96" s="27" t="n">
        <f aca="false">G88+G89+G90+G91+G92+G93+G94+G95</f>
        <v>79196.6109171384</v>
      </c>
      <c r="H96" s="27" t="n">
        <f aca="false">H88+H89+H90+H91+H92+H93+H94+H95</f>
        <v>82342.7531564551</v>
      </c>
      <c r="I96" s="27" t="n">
        <f aca="false">I88+I89+I90+I91+I92+I93+I94+I95</f>
        <v>85630.18751718</v>
      </c>
      <c r="J96" s="27" t="n">
        <f aca="false">J88+J89+J90+J91+J92+J93+J94+J95</f>
        <v>90944.1561268943</v>
      </c>
      <c r="K96" s="27" t="n">
        <f aca="false">K88+K89+K90+K91+K92+K93+K94+K95</f>
        <v>102536.764303017</v>
      </c>
      <c r="L96" s="27" t="n">
        <f aca="false">L88+L89+L90+L91+L92+L93+L94+L95</f>
        <v>114976.369922276</v>
      </c>
      <c r="M96" s="27" t="n">
        <f aca="false">M88+M89+M90+M91+M92+M93+M94+M95</f>
        <v>128317.776057795</v>
      </c>
      <c r="N96" s="27" t="n">
        <f aca="false">N88+N89+N90+N91+N92+N93+N94+N95</f>
        <v>142619.194836627</v>
      </c>
      <c r="O96" s="27" t="n">
        <f aca="false">O88+O89+O90+O91+O92+O93+O94+O95</f>
        <v>157942.456574277</v>
      </c>
      <c r="P96" s="27" t="n">
        <f aca="false">P88+P89+P90+P91+P92+P93+P94+P95</f>
        <v>174353.231675725</v>
      </c>
      <c r="Q96" s="27" t="n">
        <f aca="false">Q88+Q89+Q90+Q91+Q92+Q93+Q94+Q95</f>
        <v>191921.266080944</v>
      </c>
      <c r="R96" s="27" t="n">
        <f aca="false">R88+R89+R90+R91+R92+R93+R94+R95</f>
        <v>210720.63108031</v>
      </c>
      <c r="S96" s="27" t="n">
        <f aca="false">S88+S89+S90+S91+S92+S93+S94+S95</f>
        <v>230829.988375553</v>
      </c>
      <c r="T96" s="27" t="n">
        <f aca="false">T88+T89+T90+T91+T92+T93+T94+T95</f>
        <v>252332.871315254</v>
      </c>
      <c r="U96" s="27" t="n">
        <f aca="false">U88+U89+U90+U91+U92+U93+U94+U95</f>
        <v>275317.983290449</v>
      </c>
      <c r="V96" s="27" t="n">
        <f aca="false">V88+V89+V90+V91+V92+V93+V94+V95</f>
        <v>299879.514335956</v>
      </c>
      <c r="W96" s="27" t="n">
        <f aca="false">W88+W89+W90+W91+W92+W93+W94+W95</f>
        <v>326117.477046695</v>
      </c>
    </row>
    <row r="98" customFormat="false" ht="15" hidden="false" customHeight="false" outlineLevel="0" collapsed="false">
      <c r="A98" s="15" t="s">
        <v>436</v>
      </c>
      <c r="B98" s="61" t="n">
        <f aca="false">SUM(C98:W98)</f>
        <v>1345560.77312818</v>
      </c>
      <c r="C98" s="27" t="n">
        <f aca="false">C85-C96</f>
        <v>0</v>
      </c>
      <c r="D98" s="27" t="n">
        <f aca="false">D85-D96</f>
        <v>18120.4182528816</v>
      </c>
      <c r="E98" s="27" t="n">
        <f aca="false">E85-E96</f>
        <v>43451.8539684576</v>
      </c>
      <c r="F98" s="27" t="n">
        <f aca="false">F85-F96</f>
        <v>63583.2486711252</v>
      </c>
      <c r="G98" s="27" t="n">
        <f aca="false">G85-G96</f>
        <v>67308.4062946015</v>
      </c>
      <c r="H98" s="27" t="n">
        <f aca="false">H85-H96</f>
        <v>73084.4196034799</v>
      </c>
      <c r="I98" s="27" t="n">
        <f aca="false">I85-I96</f>
        <v>79262.5000638349</v>
      </c>
      <c r="J98" s="27" t="n">
        <f aca="false">J85-J96</f>
        <v>83990.4961278045</v>
      </c>
      <c r="K98" s="27" t="n">
        <f aca="false">K85-K96</f>
        <v>83051.4082739933</v>
      </c>
      <c r="L98" s="27" t="n">
        <f aca="false">L85-L96</f>
        <v>81914.1223646738</v>
      </c>
      <c r="M98" s="27" t="n">
        <f aca="false">M85-M96</f>
        <v>80563.3472094298</v>
      </c>
      <c r="N98" s="27" t="n">
        <f aca="false">N85-N96</f>
        <v>78982.7888375718</v>
      </c>
      <c r="O98" s="27" t="n">
        <f aca="false">O85-O96</f>
        <v>77155.0879056805</v>
      </c>
      <c r="P98" s="27" t="n">
        <f aca="false">P85-P96</f>
        <v>75061.7532630622</v>
      </c>
      <c r="Q98" s="27" t="n">
        <f aca="false">Q85-Q96</f>
        <v>72683.0914406154</v>
      </c>
      <c r="R98" s="27" t="n">
        <f aca="false">R85-R96</f>
        <v>69998.1318143129</v>
      </c>
      <c r="S98" s="27" t="n">
        <f aca="false">S85-S96</f>
        <v>66984.5471793521</v>
      </c>
      <c r="T98" s="27" t="n">
        <f aca="false">T85-T96</f>
        <v>63618.5694549447</v>
      </c>
      <c r="U98" s="27" t="n">
        <f aca="false">U85-U96</f>
        <v>59874.9002226546</v>
      </c>
      <c r="V98" s="27" t="n">
        <f aca="false">V85-V96</f>
        <v>55726.6157830965</v>
      </c>
      <c r="W98" s="27" t="n">
        <f aca="false">W85-W96</f>
        <v>51145.0663966075</v>
      </c>
    </row>
    <row r="99" customFormat="false" ht="15" hidden="false" customHeight="false" outlineLevel="0" collapsed="false">
      <c r="A99" s="10" t="s">
        <v>437</v>
      </c>
      <c r="C99" s="81" t="n">
        <v>0</v>
      </c>
      <c r="D99" s="81" t="n">
        <f aca="false">IFERROR(D98/D85,0)</f>
        <v>0.225049754700416</v>
      </c>
      <c r="E99" s="81" t="n">
        <f aca="false">IFERROR(E98/E85,0)</f>
        <v>0.382776231624986</v>
      </c>
      <c r="F99" s="81" t="n">
        <f aca="false">IFERROR(F98/F85,0)</f>
        <v>0.454750644242681</v>
      </c>
      <c r="G99" s="81" t="n">
        <f aca="false">IFERROR(G98/G85,0)</f>
        <v>0.45942731229008</v>
      </c>
      <c r="H99" s="81" t="n">
        <f aca="false">IFERROR(H98/H85,0)</f>
        <v>0.470216489856394</v>
      </c>
      <c r="I99" s="81" t="n">
        <f aca="false">IFERROR(I98/I85,0)</f>
        <v>0.480691419532426</v>
      </c>
      <c r="J99" s="81" t="n">
        <f aca="false">IFERROR(J98/J85,0)</f>
        <v>0.480124978357731</v>
      </c>
      <c r="K99" s="81" t="n">
        <f aca="false">IFERROR(K98/K85,0)</f>
        <v>0.44750377742704</v>
      </c>
      <c r="L99" s="81" t="n">
        <f aca="false">IFERROR(L98/L85,0)</f>
        <v>0.416038994129241</v>
      </c>
      <c r="M99" s="81" t="n">
        <f aca="false">IFERROR(M98/M85,0)</f>
        <v>0.385689936693627</v>
      </c>
      <c r="N99" s="81" t="n">
        <f aca="false">IFERROR(N98/N85,0)</f>
        <v>0.356417336740509</v>
      </c>
      <c r="O99" s="81" t="n">
        <f aca="false">IFERROR(O98/O85,0)</f>
        <v>0.328183299729266</v>
      </c>
      <c r="P99" s="81" t="n">
        <f aca="false">IFERROR(P98/P85,0)</f>
        <v>0.300951257124684</v>
      </c>
      <c r="Q99" s="81" t="n">
        <f aca="false">IFERROR(Q98/Q85,0)</f>
        <v>0.274685920222207</v>
      </c>
      <c r="R99" s="81" t="n">
        <f aca="false">IFERROR(R98/R85,0)</f>
        <v>0.249353235574742</v>
      </c>
      <c r="S99" s="81" t="n">
        <f aca="false">IFERROR(S98/S85,0)</f>
        <v>0.224920341965656</v>
      </c>
      <c r="T99" s="81" t="n">
        <f aca="false">IFERROR(T98/T85,0)</f>
        <v>0.201355528874503</v>
      </c>
      <c r="U99" s="81" t="n">
        <f aca="false">IFERROR(U98/U85,0)</f>
        <v>0.178628196383871</v>
      </c>
      <c r="V99" s="81" t="n">
        <f aca="false">IFERROR(V98/V85,0)</f>
        <v>0.156708816477489</v>
      </c>
      <c r="W99" s="81" t="n">
        <f aca="false">IFERROR(W98/W85,0)</f>
        <v>0.135568895681514</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922408.204121092</v>
      </c>
      <c r="C102" s="83" t="n">
        <f aca="false">S_Capex_Lo!$B$14</f>
        <v>922408.204121092</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98505.9569347404</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132722.750163761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168129.209026936</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300851.959190697</v>
      </c>
      <c r="C104" s="83" t="n">
        <v>0</v>
      </c>
      <c r="D104" s="83" t="n">
        <f aca="false">IF(AND(UseMRA=1,D41=1,CEILING(D39,BattLife)&lt;Life),BESS_kWh*C_BattRepl*LevCapex*$B$7*(1+CostEsc)^(CEILING(D39,BattLife)-1)/BattLife,0)</f>
        <v>16590.3437704701</v>
      </c>
      <c r="E104" s="83" t="n">
        <f aca="false">IF(AND(UseMRA=1,E41=1,CEILING(E39,BattLife)&lt;Life),BESS_kWh*C_BattRepl*LevCapex*$B$7*(1+CostEsc)^(CEILING(E39,BattLife)-1)/BattLife,0)</f>
        <v>16590.3437704701</v>
      </c>
      <c r="F104" s="83" t="n">
        <f aca="false">IF(AND(UseMRA=1,F41=1,CEILING(F39,BattLife)&lt;Life),BESS_kWh*C_BattRepl*LevCapex*$B$7*(1+CostEsc)^(CEILING(F39,BattLife)-1)/BattLife,0)</f>
        <v>16590.3437704701</v>
      </c>
      <c r="G104" s="83" t="n">
        <f aca="false">IF(AND(UseMRA=1,G41=1,CEILING(G39,BattLife)&lt;Life),BESS_kWh*C_BattRepl*LevCapex*$B$7*(1+CostEsc)^(CEILING(G39,BattLife)-1)/BattLife,0)</f>
        <v>16590.3437704701</v>
      </c>
      <c r="H104" s="83" t="n">
        <f aca="false">IF(AND(UseMRA=1,H41=1,CEILING(H39,BattLife)&lt;Life),BESS_kWh*C_BattRepl*LevCapex*$B$7*(1+CostEsc)^(CEILING(H39,BattLife)-1)/BattLife,0)</f>
        <v>16590.3437704701</v>
      </c>
      <c r="I104" s="83" t="n">
        <f aca="false">IF(AND(UseMRA=1,I41=1,CEILING(I39,BattLife)&lt;Life),BESS_kWh*C_BattRepl*LevCapex*$B$7*(1+CostEsc)^(CEILING(I39,BattLife)-1)/BattLife,0)</f>
        <v>16590.3437704701</v>
      </c>
      <c r="J104" s="83" t="n">
        <f aca="false">IF(AND(UseMRA=1,J41=1,CEILING(J39,BattLife)&lt;Life),BESS_kWh*C_BattRepl*LevCapex*$B$7*(1+CostEsc)^(CEILING(J39,BattLife)-1)/BattLife,0)</f>
        <v>16590.3437704701</v>
      </c>
      <c r="K104" s="83" t="n">
        <f aca="false">IF(AND(UseMRA=1,K41=1,CEILING(K39,BattLife)&lt;Life),BESS_kWh*C_BattRepl*LevCapex*$B$7*(1+CostEsc)^(CEILING(K39,BattLife)-1)/BattLife,0)</f>
        <v>16590.3437704701</v>
      </c>
      <c r="L104" s="83" t="n">
        <f aca="false">IF(AND(UseMRA=1,L41=1,CEILING(L39,BattLife)&lt;Life),BESS_kWh*C_BattRepl*LevCapex*$B$7*(1+CostEsc)^(CEILING(L39,BattLife)-1)/BattLife,0)</f>
        <v>21016.151128367</v>
      </c>
      <c r="M104" s="83" t="n">
        <f aca="false">IF(AND(UseMRA=1,M41=1,CEILING(M39,BattLife)&lt;Life),BESS_kWh*C_BattRepl*LevCapex*$B$7*(1+CostEsc)^(CEILING(M39,BattLife)-1)/BattLife,0)</f>
        <v>21016.151128367</v>
      </c>
      <c r="N104" s="83" t="n">
        <f aca="false">IF(AND(UseMRA=1,N41=1,CEILING(N39,BattLife)&lt;Life),BESS_kWh*C_BattRepl*LevCapex*$B$7*(1+CostEsc)^(CEILING(N39,BattLife)-1)/BattLife,0)</f>
        <v>21016.151128367</v>
      </c>
      <c r="O104" s="83" t="n">
        <f aca="false">IF(AND(UseMRA=1,O41=1,CEILING(O39,BattLife)&lt;Life),BESS_kWh*C_BattRepl*LevCapex*$B$7*(1+CostEsc)^(CEILING(O39,BattLife)-1)/BattLife,0)</f>
        <v>21016.151128367</v>
      </c>
      <c r="P104" s="83" t="n">
        <f aca="false">IF(AND(UseMRA=1,P41=1,CEILING(P39,BattLife)&lt;Life),BESS_kWh*C_BattRepl*LevCapex*$B$7*(1+CostEsc)^(CEILING(P39,BattLife)-1)/BattLife,0)</f>
        <v>21016.151128367</v>
      </c>
      <c r="Q104" s="83" t="n">
        <f aca="false">IF(AND(UseMRA=1,Q41=1,CEILING(Q39,BattLife)&lt;Life),BESS_kWh*C_BattRepl*LevCapex*$B$7*(1+CostEsc)^(CEILING(Q39,BattLife)-1)/BattLife,0)</f>
        <v>21016.151128367</v>
      </c>
      <c r="R104" s="83" t="n">
        <f aca="false">IF(AND(UseMRA=1,R41=1,CEILING(R39,BattLife)&lt;Life),BESS_kWh*C_BattRepl*LevCapex*$B$7*(1+CostEsc)^(CEILING(R39,BattLife)-1)/BattLife,0)</f>
        <v>21016.151128367</v>
      </c>
      <c r="S104" s="83" t="n">
        <f aca="false">IF(AND(UseMRA=1,S41=1,CEILING(S39,BattLife)&lt;Life),BESS_kWh*C_BattRepl*LevCapex*$B$7*(1+CostEsc)^(CEILING(S39,BattLife)-1)/BattLife,0)</f>
        <v>21016.151128367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300851.959190697</v>
      </c>
      <c r="C105" s="83" t="n">
        <v>0</v>
      </c>
      <c r="D105" s="83" t="n">
        <f aca="false">IF(UseMRA=1,D104,D103)</f>
        <v>16590.3437704701</v>
      </c>
      <c r="E105" s="83" t="n">
        <f aca="false">IF(UseMRA=1,E104,E103)</f>
        <v>16590.3437704701</v>
      </c>
      <c r="F105" s="83" t="n">
        <f aca="false">IF(UseMRA=1,F104,F103)</f>
        <v>16590.3437704701</v>
      </c>
      <c r="G105" s="83" t="n">
        <f aca="false">IF(UseMRA=1,G104,G103)</f>
        <v>16590.3437704701</v>
      </c>
      <c r="H105" s="83" t="n">
        <f aca="false">IF(UseMRA=1,H104,H103)</f>
        <v>16590.3437704701</v>
      </c>
      <c r="I105" s="83" t="n">
        <f aca="false">IF(UseMRA=1,I104,I103)</f>
        <v>16590.3437704701</v>
      </c>
      <c r="J105" s="83" t="n">
        <f aca="false">IF(UseMRA=1,J104,J103)</f>
        <v>16590.3437704701</v>
      </c>
      <c r="K105" s="83" t="n">
        <f aca="false">IF(UseMRA=1,K104,K103)</f>
        <v>16590.3437704701</v>
      </c>
      <c r="L105" s="83" t="n">
        <f aca="false">IF(UseMRA=1,L104,L103)</f>
        <v>21016.151128367</v>
      </c>
      <c r="M105" s="83" t="n">
        <f aca="false">IF(UseMRA=1,M104,M103)</f>
        <v>21016.151128367</v>
      </c>
      <c r="N105" s="83" t="n">
        <f aca="false">IF(UseMRA=1,N104,N103)</f>
        <v>21016.151128367</v>
      </c>
      <c r="O105" s="83" t="n">
        <f aca="false">IF(UseMRA=1,O104,O103)</f>
        <v>21016.151128367</v>
      </c>
      <c r="P105" s="83" t="n">
        <f aca="false">IF(UseMRA=1,P104,P103)</f>
        <v>21016.151128367</v>
      </c>
      <c r="Q105" s="83" t="n">
        <f aca="false">IF(UseMRA=1,Q104,Q103)</f>
        <v>21016.151128367</v>
      </c>
      <c r="R105" s="83" t="n">
        <f aca="false">IF(UseMRA=1,R104,R103)</f>
        <v>21016.151128367</v>
      </c>
      <c r="S105" s="83" t="n">
        <f aca="false">IF(UseMRA=1,S104,S103)</f>
        <v>21016.151128367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64481.6408242185</v>
      </c>
      <c r="E112" s="83" t="n">
        <f aca="false">D116</f>
        <v>64481.6408242185</v>
      </c>
      <c r="F112" s="83" t="n">
        <f aca="false">E116</f>
        <v>64481.6408242185</v>
      </c>
      <c r="G112" s="83" t="n">
        <f aca="false">F116</f>
        <v>58843.1070907327</v>
      </c>
      <c r="H112" s="83" t="n">
        <f aca="false">G116</f>
        <v>52640.7199838984</v>
      </c>
      <c r="I112" s="83" t="n">
        <f aca="false">H116</f>
        <v>45818.0941663806</v>
      </c>
      <c r="J112" s="83" t="n">
        <f aca="false">I116</f>
        <v>38313.205767111</v>
      </c>
      <c r="K112" s="83" t="n">
        <f aca="false">J116</f>
        <v>30057.8285279145</v>
      </c>
      <c r="L112" s="83" t="n">
        <f aca="false">K116</f>
        <v>20976.9135647983</v>
      </c>
      <c r="M112" s="83" t="n">
        <f aca="false">L116</f>
        <v>10987.9071053705</v>
      </c>
      <c r="N112" s="83" t="n">
        <f aca="false">M116</f>
        <v>-4.00177668780088E-011</v>
      </c>
      <c r="O112" s="83" t="n">
        <f aca="false">N116</f>
        <v>-4.00177668780088E-011</v>
      </c>
      <c r="P112" s="83" t="n">
        <f aca="false">O116</f>
        <v>-4.00177668780088E-011</v>
      </c>
      <c r="Q112" s="83" t="n">
        <f aca="false">P116</f>
        <v>-4.00177668780088E-011</v>
      </c>
      <c r="R112" s="83" t="n">
        <f aca="false">Q116</f>
        <v>-4.00177668780088E-011</v>
      </c>
      <c r="S112" s="83" t="n">
        <f aca="false">R116</f>
        <v>-4.00177668780088E-011</v>
      </c>
      <c r="T112" s="83" t="n">
        <f aca="false">S116</f>
        <v>-4.00177668780088E-011</v>
      </c>
      <c r="U112" s="83" t="n">
        <f aca="false">T116</f>
        <v>-4.00177668780088E-011</v>
      </c>
      <c r="V112" s="83" t="n">
        <f aca="false">U116</f>
        <v>-4.00177668780088E-011</v>
      </c>
      <c r="W112" s="83" t="n">
        <f aca="false">V116</f>
        <v>-4.00177668780088E-011</v>
      </c>
    </row>
    <row r="113" customFormat="false" ht="15" hidden="false" customHeight="false" outlineLevel="0" collapsed="false">
      <c r="A113" s="10" t="s">
        <v>448</v>
      </c>
      <c r="B113" s="61" t="n">
        <f aca="false">SUM(C113:W113)</f>
        <v>64481.6408242185</v>
      </c>
      <c r="C113" s="83" t="n">
        <f aca="false">S_Capex_Lo!$B$16</f>
        <v>64481.6408242185</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45108.2698678861</v>
      </c>
      <c r="C114" s="83" t="n">
        <v>0</v>
      </c>
      <c r="D114" s="83" t="n">
        <f aca="false">D112*SenRate*$B$11</f>
        <v>6448.16408242185</v>
      </c>
      <c r="E114" s="83" t="n">
        <f aca="false">E112*SenRate*$B$11</f>
        <v>6448.16408242185</v>
      </c>
      <c r="F114" s="83" t="n">
        <f aca="false">F112*SenRate*$B$11</f>
        <v>6448.16408242185</v>
      </c>
      <c r="G114" s="83" t="n">
        <f aca="false">G112*SenRate*$B$11</f>
        <v>5884.31070907327</v>
      </c>
      <c r="H114" s="83" t="n">
        <f aca="false">H112*SenRate*$B$11</f>
        <v>5264.07199838984</v>
      </c>
      <c r="I114" s="83" t="n">
        <f aca="false">I112*SenRate*$B$11</f>
        <v>4581.80941663806</v>
      </c>
      <c r="J114" s="83" t="n">
        <f aca="false">J112*SenRate*$B$11</f>
        <v>3831.3205767111</v>
      </c>
      <c r="K114" s="83" t="n">
        <f aca="false">K112*SenRate*$B$11</f>
        <v>3005.78285279145</v>
      </c>
      <c r="L114" s="83" t="n">
        <f aca="false">L112*SenRate*$B$11</f>
        <v>2097.69135647983</v>
      </c>
      <c r="M114" s="83" t="n">
        <f aca="false">M112*SenRate*$B$11</f>
        <v>1098.79071053705</v>
      </c>
      <c r="N114" s="83" t="n">
        <f aca="false">N112*SenRate*$B$11</f>
        <v>-4.00177668780088E-012</v>
      </c>
      <c r="O114" s="83" t="n">
        <f aca="false">O112*SenRate*$B$11</f>
        <v>-4.00177668780088E-012</v>
      </c>
      <c r="P114" s="83" t="n">
        <f aca="false">P112*SenRate*$B$11</f>
        <v>-4.00177668780088E-012</v>
      </c>
      <c r="Q114" s="83" t="n">
        <f aca="false">Q112*SenRate*$B$11</f>
        <v>-4.00177668780088E-012</v>
      </c>
      <c r="R114" s="83" t="n">
        <f aca="false">R112*SenRate*$B$11</f>
        <v>-4.00177668780088E-012</v>
      </c>
      <c r="S114" s="83" t="n">
        <f aca="false">S112*SenRate*$B$11</f>
        <v>-4.00177668780088E-012</v>
      </c>
      <c r="T114" s="83" t="n">
        <f aca="false">T112*SenRate*$B$11</f>
        <v>-4.00177668780088E-012</v>
      </c>
      <c r="U114" s="83" t="n">
        <f aca="false">U112*SenRate*$B$11</f>
        <v>-4.00177668780088E-012</v>
      </c>
      <c r="V114" s="83" t="n">
        <f aca="false">V112*SenRate*$B$11</f>
        <v>-4.00177668780088E-012</v>
      </c>
      <c r="W114" s="83" t="n">
        <f aca="false">W112*SenRate*$B$11</f>
        <v>-4.00177668780088E-012</v>
      </c>
    </row>
    <row r="115" customFormat="false" ht="15" hidden="false" customHeight="false" outlineLevel="0" collapsed="false">
      <c r="A115" s="10" t="s">
        <v>450</v>
      </c>
      <c r="B115" s="61" t="n">
        <f aca="false">SUM(C115:W115)</f>
        <v>64481.6408242185</v>
      </c>
      <c r="C115" s="83" t="n">
        <v>0</v>
      </c>
      <c r="D115" s="83" t="n">
        <f aca="false">IF(AND(D39&gt;SenGrace,D39&lt;=SenTenor),PMT(SenRate*$B$11,SenTenor-SenGrace,-S_Capex_Lo!$B$16)-D114,0)</f>
        <v>0</v>
      </c>
      <c r="E115" s="83" t="n">
        <f aca="false">IF(AND(E39&gt;SenGrace,E39&lt;=SenTenor),PMT(SenRate*$B$11,SenTenor-SenGrace,-S_Capex_Lo!$B$16)-E114,0)</f>
        <v>0</v>
      </c>
      <c r="F115" s="83" t="n">
        <f aca="false">IF(AND(F39&gt;SenGrace,F39&lt;=SenTenor),PMT(SenRate*$B$11,SenTenor-SenGrace,-S_Capex_Lo!$B$16)-F114,0)</f>
        <v>5638.53373348577</v>
      </c>
      <c r="G115" s="83" t="n">
        <f aca="false">IF(AND(G39&gt;SenGrace,G39&lt;=SenTenor),PMT(SenRate*$B$11,SenTenor-SenGrace,-S_Capex_Lo!$B$16)-G114,0)</f>
        <v>6202.38710683435</v>
      </c>
      <c r="H115" s="83" t="n">
        <f aca="false">IF(AND(H39&gt;SenGrace,H39&lt;=SenTenor),PMT(SenRate*$B$11,SenTenor-SenGrace,-S_Capex_Lo!$B$16)-H114,0)</f>
        <v>6822.62581751778</v>
      </c>
      <c r="I115" s="83" t="n">
        <f aca="false">IF(AND(I39&gt;SenGrace,I39&lt;=SenTenor),PMT(SenRate*$B$11,SenTenor-SenGrace,-S_Capex_Lo!$B$16)-I114,0)</f>
        <v>7504.88839926956</v>
      </c>
      <c r="J115" s="83" t="n">
        <f aca="false">IF(AND(J39&gt;SenGrace,J39&lt;=SenTenor),PMT(SenRate*$B$11,SenTenor-SenGrace,-S_Capex_Lo!$B$16)-J114,0)</f>
        <v>8255.37723919652</v>
      </c>
      <c r="K115" s="83" t="n">
        <f aca="false">IF(AND(K39&gt;SenGrace,K39&lt;=SenTenor),PMT(SenRate*$B$11,SenTenor-SenGrace,-S_Capex_Lo!$B$16)-K114,0)</f>
        <v>9080.91496311617</v>
      </c>
      <c r="L115" s="83" t="n">
        <f aca="false">IF(AND(L39&gt;SenGrace,L39&lt;=SenTenor),PMT(SenRate*$B$11,SenTenor-SenGrace,-S_Capex_Lo!$B$16)-L114,0)</f>
        <v>9989.00645942779</v>
      </c>
      <c r="M115" s="83" t="n">
        <f aca="false">IF(AND(M39&gt;SenGrace,M39&lt;=SenTenor),PMT(SenRate*$B$11,SenTenor-SenGrace,-S_Capex_Lo!$B$16)-M114,0)</f>
        <v>10987.9071053706</v>
      </c>
      <c r="N115" s="83" t="n">
        <f aca="false">IF(AND(N39&gt;SenGrace,N39&lt;=SenTenor),PMT(SenRate*$B$11,SenTenor-SenGrace,-S_Capex_Lo!$B$16)-N114,0)</f>
        <v>0</v>
      </c>
      <c r="O115" s="83" t="n">
        <f aca="false">IF(AND(O39&gt;SenGrace,O39&lt;=SenTenor),PMT(SenRate*$B$11,SenTenor-SenGrace,-S_Capex_Lo!$B$16)-O114,0)</f>
        <v>0</v>
      </c>
      <c r="P115" s="83" t="n">
        <f aca="false">IF(AND(P39&gt;SenGrace,P39&lt;=SenTenor),PMT(SenRate*$B$11,SenTenor-SenGrace,-S_Capex_Lo!$B$16)-P114,0)</f>
        <v>0</v>
      </c>
      <c r="Q115" s="83" t="n">
        <f aca="false">IF(AND(Q39&gt;SenGrace,Q39&lt;=SenTenor),PMT(SenRate*$B$11,SenTenor-SenGrace,-S_Capex_Lo!$B$16)-Q114,0)</f>
        <v>0</v>
      </c>
      <c r="R115" s="83" t="n">
        <f aca="false">IF(AND(R39&gt;SenGrace,R39&lt;=SenTenor),PMT(SenRate*$B$11,SenTenor-SenGrace,-S_Capex_Lo!$B$16)-R114,0)</f>
        <v>0</v>
      </c>
      <c r="S115" s="83" t="n">
        <f aca="false">IF(AND(S39&gt;SenGrace,S39&lt;=SenTenor),PMT(SenRate*$B$11,SenTenor-SenGrace,-S_Capex_Lo!$B$16)-S114,0)</f>
        <v>0</v>
      </c>
      <c r="T115" s="83" t="n">
        <f aca="false">IF(AND(T39&gt;SenGrace,T39&lt;=SenTenor),PMT(SenRate*$B$11,SenTenor-SenGrace,-S_Capex_Lo!$B$16)-T114,0)</f>
        <v>0</v>
      </c>
      <c r="U115" s="83" t="n">
        <f aca="false">IF(AND(U39&gt;SenGrace,U39&lt;=SenTenor),PMT(SenRate*$B$11,SenTenor-SenGrace,-S_Capex_Lo!$B$16)-U114,0)</f>
        <v>0</v>
      </c>
      <c r="V115" s="83" t="n">
        <f aca="false">IF(AND(V39&gt;SenGrace,V39&lt;=SenTenor),PMT(SenRate*$B$11,SenTenor-SenGrace,-S_Capex_Lo!$B$16)-V114,0)</f>
        <v>0</v>
      </c>
      <c r="W115" s="83" t="n">
        <f aca="false">IF(AND(W39&gt;SenGrace,W39&lt;=SenTenor),PMT(SenRate*$B$11,SenTenor-SenGrace,-S_Capex_Lo!$B$16)-W114,0)</f>
        <v>0</v>
      </c>
    </row>
    <row r="116" customFormat="false" ht="15" hidden="false" customHeight="false" outlineLevel="0" collapsed="false">
      <c r="A116" s="10" t="s">
        <v>451</v>
      </c>
      <c r="C116" s="83" t="n">
        <f aca="false">0+C113-0</f>
        <v>64481.6408242185</v>
      </c>
      <c r="D116" s="83" t="n">
        <f aca="false">D112+D113-D115</f>
        <v>64481.6408242185</v>
      </c>
      <c r="E116" s="83" t="n">
        <f aca="false">E112+E113-E115</f>
        <v>64481.6408242185</v>
      </c>
      <c r="F116" s="83" t="n">
        <f aca="false">F112+F113-F115</f>
        <v>58843.1070907327</v>
      </c>
      <c r="G116" s="83" t="n">
        <f aca="false">G112+G113-G115</f>
        <v>52640.7199838984</v>
      </c>
      <c r="H116" s="83" t="n">
        <f aca="false">H112+H113-H115</f>
        <v>45818.0941663806</v>
      </c>
      <c r="I116" s="83" t="n">
        <f aca="false">I112+I113-I115</f>
        <v>38313.205767111</v>
      </c>
      <c r="J116" s="83" t="n">
        <f aca="false">J112+J113-J115</f>
        <v>30057.8285279145</v>
      </c>
      <c r="K116" s="83" t="n">
        <f aca="false">K112+K113-K115</f>
        <v>20976.9135647983</v>
      </c>
      <c r="L116" s="83" t="n">
        <f aca="false">L112+L113-L115</f>
        <v>10987.9071053705</v>
      </c>
      <c r="M116" s="83" t="n">
        <f aca="false">M112+M113-M115</f>
        <v>-4.00177668780088E-011</v>
      </c>
      <c r="N116" s="83" t="n">
        <f aca="false">N112+N113-N115</f>
        <v>-4.00177668780088E-011</v>
      </c>
      <c r="O116" s="83" t="n">
        <f aca="false">O112+O113-O115</f>
        <v>-4.00177668780088E-011</v>
      </c>
      <c r="P116" s="83" t="n">
        <f aca="false">P112+P113-P115</f>
        <v>-4.00177668780088E-011</v>
      </c>
      <c r="Q116" s="83" t="n">
        <f aca="false">Q112+Q113-Q115</f>
        <v>-4.00177668780088E-011</v>
      </c>
      <c r="R116" s="83" t="n">
        <f aca="false">R112+R113-R115</f>
        <v>-4.00177668780088E-011</v>
      </c>
      <c r="S116" s="83" t="n">
        <f aca="false">S112+S113-S115</f>
        <v>-4.00177668780088E-011</v>
      </c>
      <c r="T116" s="83" t="n">
        <f aca="false">T112+T113-T115</f>
        <v>-4.00177668780088E-011</v>
      </c>
      <c r="U116" s="83" t="n">
        <f aca="false">U112+U113-U115</f>
        <v>-4.00177668780088E-011</v>
      </c>
      <c r="V116" s="83" t="n">
        <f aca="false">V112+V113-V115</f>
        <v>-4.00177668780088E-011</v>
      </c>
      <c r="W116" s="83" t="n">
        <f aca="false">W112+W113-W115</f>
        <v>-4.00177668780088E-011</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64481.6408242185</v>
      </c>
      <c r="E119" s="83" t="n">
        <f aca="false">D123</f>
        <v>64481.6408242185</v>
      </c>
      <c r="F119" s="83" t="n">
        <f aca="false">E123</f>
        <v>64481.6408242185</v>
      </c>
      <c r="G119" s="83" t="n">
        <f aca="false">F123</f>
        <v>64481.6408242185</v>
      </c>
      <c r="H119" s="83" t="n">
        <f aca="false">G123</f>
        <v>64481.6408242185</v>
      </c>
      <c r="I119" s="83" t="n">
        <f aca="false">H123</f>
        <v>64481.6408242185</v>
      </c>
      <c r="J119" s="83" t="n">
        <f aca="false">I123</f>
        <v>58856.87462839</v>
      </c>
      <c r="K119" s="83" t="n">
        <f aca="false">J123</f>
        <v>53063.3654466866</v>
      </c>
      <c r="L119" s="83" t="n">
        <f aca="false">K123</f>
        <v>47096.0509895321</v>
      </c>
      <c r="M119" s="83" t="n">
        <f aca="false">L123</f>
        <v>40949.717098663</v>
      </c>
      <c r="N119" s="83" t="n">
        <f aca="false">M123</f>
        <v>34618.9931910678</v>
      </c>
      <c r="O119" s="83" t="n">
        <f aca="false">N123</f>
        <v>28098.3475662448</v>
      </c>
      <c r="P119" s="83" t="n">
        <f aca="false">O123</f>
        <v>21382.082572677</v>
      </c>
      <c r="Q119" s="83" t="n">
        <f aca="false">P123</f>
        <v>14464.3296293023</v>
      </c>
      <c r="R119" s="83" t="n">
        <f aca="false">Q123</f>
        <v>7339.04409762628</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64481.6408242185</v>
      </c>
      <c r="C120" s="83" t="n">
        <f aca="false">S_Capex_Lo!$B$17</f>
        <v>64481.6408242185</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20782.759504965</v>
      </c>
      <c r="C121" s="83" t="n">
        <v>0</v>
      </c>
      <c r="D121" s="83" t="n">
        <f aca="false">D119*ConRate*$B$11</f>
        <v>1934.44922472655</v>
      </c>
      <c r="E121" s="83" t="n">
        <f aca="false">E119*ConRate*$B$11</f>
        <v>1934.44922472655</v>
      </c>
      <c r="F121" s="83" t="n">
        <f aca="false">F119*ConRate*$B$11</f>
        <v>1934.44922472655</v>
      </c>
      <c r="G121" s="83" t="n">
        <f aca="false">G119*ConRate*$B$11</f>
        <v>1934.44922472655</v>
      </c>
      <c r="H121" s="83" t="n">
        <f aca="false">H119*ConRate*$B$11</f>
        <v>1934.44922472655</v>
      </c>
      <c r="I121" s="83" t="n">
        <f aca="false">I119*ConRate*$B$11</f>
        <v>1934.44922472655</v>
      </c>
      <c r="J121" s="83" t="n">
        <f aca="false">J119*ConRate*$B$11</f>
        <v>1765.7062388517</v>
      </c>
      <c r="K121" s="83" t="n">
        <f aca="false">K119*ConRate*$B$11</f>
        <v>1591.9009634006</v>
      </c>
      <c r="L121" s="83" t="n">
        <f aca="false">L119*ConRate*$B$11</f>
        <v>1412.88152968596</v>
      </c>
      <c r="M121" s="83" t="n">
        <f aca="false">M119*ConRate*$B$11</f>
        <v>1228.49151295989</v>
      </c>
      <c r="N121" s="83" t="n">
        <f aca="false">N119*ConRate*$B$11</f>
        <v>1038.56979573203</v>
      </c>
      <c r="O121" s="83" t="n">
        <f aca="false">O119*ConRate*$B$11</f>
        <v>842.950426987343</v>
      </c>
      <c r="P121" s="83" t="n">
        <f aca="false">P119*ConRate*$B$11</f>
        <v>641.462477180311</v>
      </c>
      <c r="Q121" s="83" t="n">
        <f aca="false">Q119*ConRate*$B$11</f>
        <v>433.929888879068</v>
      </c>
      <c r="R121" s="83" t="n">
        <f aca="false">R119*ConRate*$B$11</f>
        <v>220.171322928788</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64481.6408242185</v>
      </c>
      <c r="C122" s="83" t="n">
        <v>0</v>
      </c>
      <c r="D122" s="83" t="n">
        <f aca="false">IF(AND(D39&gt;ConGrace,D39&lt;=ConTenor),PMT(ConRate*$B$11,ConTenor-ConGrace,-S_Capex_Lo!$B$17)-D121,0)</f>
        <v>0</v>
      </c>
      <c r="E122" s="83" t="n">
        <f aca="false">IF(AND(E39&gt;ConGrace,E39&lt;=ConTenor),PMT(ConRate*$B$11,ConTenor-ConGrace,-S_Capex_Lo!$B$17)-E121,0)</f>
        <v>0</v>
      </c>
      <c r="F122" s="83" t="n">
        <f aca="false">IF(AND(F39&gt;ConGrace,F39&lt;=ConTenor),PMT(ConRate*$B$11,ConTenor-ConGrace,-S_Capex_Lo!$B$17)-F121,0)</f>
        <v>0</v>
      </c>
      <c r="G122" s="83" t="n">
        <f aca="false">IF(AND(G39&gt;ConGrace,G39&lt;=ConTenor),PMT(ConRate*$B$11,ConTenor-ConGrace,-S_Capex_Lo!$B$17)-G121,0)</f>
        <v>0</v>
      </c>
      <c r="H122" s="83" t="n">
        <f aca="false">IF(AND(H39&gt;ConGrace,H39&lt;=ConTenor),PMT(ConRate*$B$11,ConTenor-ConGrace,-S_Capex_Lo!$B$17)-H121,0)</f>
        <v>0</v>
      </c>
      <c r="I122" s="83" t="n">
        <f aca="false">IF(AND(I39&gt;ConGrace,I39&lt;=ConTenor),PMT(ConRate*$B$11,ConTenor-ConGrace,-S_Capex_Lo!$B$17)-I121,0)</f>
        <v>5624.76619582852</v>
      </c>
      <c r="J122" s="83" t="n">
        <f aca="false">IF(AND(J39&gt;ConGrace,J39&lt;=ConTenor),PMT(ConRate*$B$11,ConTenor-ConGrace,-S_Capex_Lo!$B$17)-J121,0)</f>
        <v>5793.50918170337</v>
      </c>
      <c r="K122" s="83" t="n">
        <f aca="false">IF(AND(K39&gt;ConGrace,K39&lt;=ConTenor),PMT(ConRate*$B$11,ConTenor-ConGrace,-S_Capex_Lo!$B$17)-K121,0)</f>
        <v>5967.31445715448</v>
      </c>
      <c r="L122" s="83" t="n">
        <f aca="false">IF(AND(L39&gt;ConGrace,L39&lt;=ConTenor),PMT(ConRate*$B$11,ConTenor-ConGrace,-S_Capex_Lo!$B$17)-L121,0)</f>
        <v>6146.33389086911</v>
      </c>
      <c r="M122" s="83" t="n">
        <f aca="false">IF(AND(M39&gt;ConGrace,M39&lt;=ConTenor),PMT(ConRate*$B$11,ConTenor-ConGrace,-S_Capex_Lo!$B$17)-M121,0)</f>
        <v>6330.72390759518</v>
      </c>
      <c r="N122" s="83" t="n">
        <f aca="false">IF(AND(N39&gt;ConGrace,N39&lt;=ConTenor),PMT(ConRate*$B$11,ConTenor-ConGrace,-S_Capex_Lo!$B$17)-N121,0)</f>
        <v>6520.64562482304</v>
      </c>
      <c r="O122" s="83" t="n">
        <f aca="false">IF(AND(O39&gt;ConGrace,O39&lt;=ConTenor),PMT(ConRate*$B$11,ConTenor-ConGrace,-S_Capex_Lo!$B$17)-O121,0)</f>
        <v>6716.26499356773</v>
      </c>
      <c r="P122" s="83" t="n">
        <f aca="false">IF(AND(P39&gt;ConGrace,P39&lt;=ConTenor),PMT(ConRate*$B$11,ConTenor-ConGrace,-S_Capex_Lo!$B$17)-P121,0)</f>
        <v>6917.75294337476</v>
      </c>
      <c r="Q122" s="83" t="n">
        <f aca="false">IF(AND(Q39&gt;ConGrace,Q39&lt;=ConTenor),PMT(ConRate*$B$11,ConTenor-ConGrace,-S_Capex_Lo!$B$17)-Q121,0)</f>
        <v>7125.28553167601</v>
      </c>
      <c r="R122" s="83" t="n">
        <f aca="false">IF(AND(R39&gt;ConGrace,R39&lt;=ConTenor),PMT(ConRate*$B$11,ConTenor-ConGrace,-S_Capex_Lo!$B$17)-R121,0)</f>
        <v>7339.04409762629</v>
      </c>
      <c r="S122" s="83" t="n">
        <f aca="false">IF(AND(S39&gt;ConGrace,S39&lt;=ConTenor),PMT(ConRate*$B$11,ConTenor-ConGrace,-S_Capex_Lo!$B$17)-S121,0)</f>
        <v>0</v>
      </c>
      <c r="T122" s="83" t="n">
        <f aca="false">IF(AND(T39&gt;ConGrace,T39&lt;=ConTenor),PMT(ConRate*$B$11,ConTenor-ConGrace,-S_Capex_Lo!$B$17)-T121,0)</f>
        <v>0</v>
      </c>
      <c r="U122" s="83" t="n">
        <f aca="false">IF(AND(U39&gt;ConGrace,U39&lt;=ConTenor),PMT(ConRate*$B$11,ConTenor-ConGrace,-S_Capex_Lo!$B$17)-U121,0)</f>
        <v>0</v>
      </c>
      <c r="V122" s="83" t="n">
        <f aca="false">IF(AND(V39&gt;ConGrace,V39&lt;=ConTenor),PMT(ConRate*$B$11,ConTenor-ConGrace,-S_Capex_Lo!$B$17)-V121,0)</f>
        <v>0</v>
      </c>
      <c r="W122" s="83" t="n">
        <f aca="false">IF(AND(W39&gt;ConGrace,W39&lt;=ConTenor),PMT(ConRate*$B$11,ConTenor-ConGrace,-S_Capex_Lo!$B$17)-W121,0)</f>
        <v>0</v>
      </c>
    </row>
    <row r="123" customFormat="false" ht="15" hidden="false" customHeight="false" outlineLevel="0" collapsed="false">
      <c r="A123" s="10" t="s">
        <v>451</v>
      </c>
      <c r="C123" s="83" t="n">
        <f aca="false">0+C120-0</f>
        <v>64481.6408242185</v>
      </c>
      <c r="D123" s="83" t="n">
        <f aca="false">D119+D120-D122</f>
        <v>64481.6408242185</v>
      </c>
      <c r="E123" s="83" t="n">
        <f aca="false">E119+E120-E122</f>
        <v>64481.6408242185</v>
      </c>
      <c r="F123" s="83" t="n">
        <f aca="false">F119+F120-F122</f>
        <v>64481.6408242185</v>
      </c>
      <c r="G123" s="83" t="n">
        <f aca="false">G119+G120-G122</f>
        <v>64481.6408242185</v>
      </c>
      <c r="H123" s="83" t="n">
        <f aca="false">H119+H120-H122</f>
        <v>64481.6408242185</v>
      </c>
      <c r="I123" s="83" t="n">
        <f aca="false">I119+I120-I122</f>
        <v>58856.87462839</v>
      </c>
      <c r="J123" s="83" t="n">
        <f aca="false">J119+J120-J122</f>
        <v>53063.3654466866</v>
      </c>
      <c r="K123" s="83" t="n">
        <f aca="false">K119+K120-K122</f>
        <v>47096.0509895321</v>
      </c>
      <c r="L123" s="83" t="n">
        <f aca="false">L119+L120-L122</f>
        <v>40949.717098663</v>
      </c>
      <c r="M123" s="83" t="n">
        <f aca="false">M119+M120-M122</f>
        <v>34618.9931910678</v>
      </c>
      <c r="N123" s="83" t="n">
        <f aca="false">N119+N120-N122</f>
        <v>28098.3475662448</v>
      </c>
      <c r="O123" s="83" t="n">
        <f aca="false">O119+O120-O122</f>
        <v>21382.082572677</v>
      </c>
      <c r="P123" s="83" t="n">
        <f aca="false">P119+P120-P122</f>
        <v>14464.3296293023</v>
      </c>
      <c r="Q123" s="83" t="n">
        <f aca="false">Q119+Q120-Q122</f>
        <v>7339.04409762628</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194854.311021288</v>
      </c>
      <c r="C125" s="27" t="n">
        <v>0</v>
      </c>
      <c r="D125" s="27" t="n">
        <f aca="false">D114+D115+D121+D122</f>
        <v>8382.6133071484</v>
      </c>
      <c r="E125" s="27" t="n">
        <f aca="false">E114+E115+E121+E122</f>
        <v>8382.6133071484</v>
      </c>
      <c r="F125" s="27" t="n">
        <f aca="false">F114+F115+F121+F122</f>
        <v>14021.1470406342</v>
      </c>
      <c r="G125" s="27" t="n">
        <f aca="false">G114+G115+G121+G122</f>
        <v>14021.1470406342</v>
      </c>
      <c r="H125" s="27" t="n">
        <f aca="false">H114+H115+H121+H122</f>
        <v>14021.1470406342</v>
      </c>
      <c r="I125" s="27" t="n">
        <f aca="false">I114+I115+I121+I122</f>
        <v>19645.9132364627</v>
      </c>
      <c r="J125" s="27" t="n">
        <f aca="false">J114+J115+J121+J122</f>
        <v>19645.9132364627</v>
      </c>
      <c r="K125" s="27" t="n">
        <f aca="false">K114+K115+K121+K122</f>
        <v>19645.9132364627</v>
      </c>
      <c r="L125" s="27" t="n">
        <f aca="false">L114+L115+L121+L122</f>
        <v>19645.9132364627</v>
      </c>
      <c r="M125" s="27" t="n">
        <f aca="false">M114+M115+M121+M122</f>
        <v>19645.9132364627</v>
      </c>
      <c r="N125" s="27" t="n">
        <f aca="false">N114+N115+N121+N122</f>
        <v>7559.21542055507</v>
      </c>
      <c r="O125" s="27" t="n">
        <f aca="false">O114+O115+O121+O122</f>
        <v>7559.21542055507</v>
      </c>
      <c r="P125" s="27" t="n">
        <f aca="false">P114+P115+P121+P122</f>
        <v>7559.21542055507</v>
      </c>
      <c r="Q125" s="27" t="n">
        <f aca="false">Q114+Q115+Q121+Q122</f>
        <v>7559.21542055507</v>
      </c>
      <c r="R125" s="27" t="n">
        <f aca="false">R114+R115+R121+R122</f>
        <v>7559.21542055507</v>
      </c>
      <c r="S125" s="27" t="n">
        <f aca="false">S114+S115+S121+S122</f>
        <v>-4.00177668780088E-012</v>
      </c>
      <c r="T125" s="27" t="n">
        <f aca="false">T114+T115+T121+T122</f>
        <v>-4.00177668780088E-012</v>
      </c>
      <c r="U125" s="27" t="n">
        <f aca="false">U114+U115+U121+U122</f>
        <v>-4.00177668780088E-012</v>
      </c>
      <c r="V125" s="27" t="n">
        <f aca="false">V114+V115+V121+V122</f>
        <v>-4.00177668780088E-012</v>
      </c>
      <c r="W125" s="27" t="n">
        <f aca="false">W114+W115+W121+W122</f>
        <v>-4.00177668780088E-012</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1155502.23454051</v>
      </c>
      <c r="E127" s="83" t="n">
        <f aca="false">IF(E126&gt;0,(E147/MinDSCR-E121-E122)/E126,1000000000000)</f>
        <v>671897.893891099</v>
      </c>
      <c r="F127" s="83" t="n">
        <f aca="false">IF(F126&gt;0,(F147/MinDSCR-F121-F122)/F126,1000000000000)</f>
        <v>337652.079037705</v>
      </c>
      <c r="G127" s="83" t="n">
        <f aca="false">IF(G126&gt;0,(G147/MinDSCR-G121-G122)/G126,1000000000000)</f>
        <v>197816.102665458</v>
      </c>
      <c r="H127" s="83" t="n">
        <f aca="false">IF(H126&gt;0,(H147/MinDSCR-H121-H122)/H126,1000000000000)</f>
        <v>221519.644758512</v>
      </c>
      <c r="I127" s="83" t="n">
        <f aca="false">IF(I126&gt;0,(I147/MinDSCR-I121-I122)/I126,1000000000000)</f>
        <v>216865.473223846</v>
      </c>
      <c r="J127" s="83" t="n">
        <f aca="false">IF(J126&gt;0,(J147/MinDSCR-J121-J122)/J126,1000000000000)</f>
        <v>236268.17327404</v>
      </c>
      <c r="K127" s="83" t="n">
        <f aca="false">IF(K126&gt;0,(K147/MinDSCR-K121-K122)/K126,1000000000000)</f>
        <v>232414.354509864</v>
      </c>
      <c r="L127" s="83" t="n">
        <f aca="false">IF(L126&gt;0,(L147/MinDSCR-L121-L122)/L126,1000000000000)</f>
        <v>209584.591423211</v>
      </c>
      <c r="M127" s="83" t="n">
        <f aca="false">IF(M126&gt;0,(M147/MinDSCR-M121-M122)/M126,1000000000000)</f>
        <v>204041.294682298</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4191.3066535742</v>
      </c>
      <c r="D128" s="83" t="n">
        <f aca="false">DSRAPct*E125</f>
        <v>4191.3066535742</v>
      </c>
      <c r="E128" s="83" t="n">
        <f aca="false">DSRAPct*F125</f>
        <v>7010.57352031709</v>
      </c>
      <c r="F128" s="83" t="n">
        <f aca="false">DSRAPct*G125</f>
        <v>7010.57352031709</v>
      </c>
      <c r="G128" s="83" t="n">
        <f aca="false">DSRAPct*H125</f>
        <v>7010.57352031709</v>
      </c>
      <c r="H128" s="83" t="n">
        <f aca="false">DSRAPct*I125</f>
        <v>9822.95661823135</v>
      </c>
      <c r="I128" s="83" t="n">
        <f aca="false">DSRAPct*J125</f>
        <v>9822.95661823135</v>
      </c>
      <c r="J128" s="83" t="n">
        <f aca="false">DSRAPct*K125</f>
        <v>9822.95661823135</v>
      </c>
      <c r="K128" s="83" t="n">
        <f aca="false">DSRAPct*L125</f>
        <v>9822.95661823135</v>
      </c>
      <c r="L128" s="83" t="n">
        <f aca="false">DSRAPct*M125</f>
        <v>9822.95661823135</v>
      </c>
      <c r="M128" s="83" t="n">
        <f aca="false">DSRAPct*N125</f>
        <v>3779.60771027753</v>
      </c>
      <c r="N128" s="83" t="n">
        <f aca="false">DSRAPct*O125</f>
        <v>3779.60771027754</v>
      </c>
      <c r="O128" s="83" t="n">
        <f aca="false">DSRAPct*P125</f>
        <v>3779.60771027754</v>
      </c>
      <c r="P128" s="83" t="n">
        <f aca="false">DSRAPct*Q125</f>
        <v>3779.60771027754</v>
      </c>
      <c r="Q128" s="83" t="n">
        <f aca="false">DSRAPct*R125</f>
        <v>3779.60771027754</v>
      </c>
      <c r="R128" s="83" t="n">
        <f aca="false">DSRAPct*S125</f>
        <v>-2.00088834390044E-012</v>
      </c>
      <c r="S128" s="83" t="n">
        <f aca="false">DSRAPct*T125</f>
        <v>-2.00088834390044E-012</v>
      </c>
      <c r="T128" s="83" t="n">
        <f aca="false">DSRAPct*U125</f>
        <v>-2.00088834390044E-012</v>
      </c>
      <c r="U128" s="83" t="n">
        <f aca="false">DSRAPct*V125</f>
        <v>-2.00088834390044E-012</v>
      </c>
      <c r="V128" s="83" t="n">
        <f aca="false">DSRAPct*W125</f>
        <v>-2.00088834390044E-012</v>
      </c>
      <c r="W128" s="83" t="n">
        <f aca="false">0</f>
        <v>0</v>
      </c>
    </row>
    <row r="129" customFormat="false" ht="15" hidden="false" customHeight="false" outlineLevel="0" collapsed="false">
      <c r="A129" s="10" t="s">
        <v>457</v>
      </c>
      <c r="B129" s="61" t="n">
        <f aca="false">SUM(C129:W129)</f>
        <v>-2.72848410531878E-013</v>
      </c>
      <c r="C129" s="83" t="n">
        <f aca="false">C128</f>
        <v>4191.3066535742</v>
      </c>
      <c r="D129" s="83" t="n">
        <f aca="false">D128-C128</f>
        <v>0</v>
      </c>
      <c r="E129" s="83" t="n">
        <f aca="false">E128-D128</f>
        <v>2819.26686674289</v>
      </c>
      <c r="F129" s="83" t="n">
        <f aca="false">F128-E128</f>
        <v>0</v>
      </c>
      <c r="G129" s="83" t="n">
        <f aca="false">G128-F128</f>
        <v>0</v>
      </c>
      <c r="H129" s="83" t="n">
        <f aca="false">H128-G128</f>
        <v>2812.38309791426</v>
      </c>
      <c r="I129" s="83" t="n">
        <f aca="false">I128-H128</f>
        <v>0</v>
      </c>
      <c r="J129" s="83" t="n">
        <f aca="false">J128-I128</f>
        <v>0</v>
      </c>
      <c r="K129" s="83" t="n">
        <f aca="false">K128-J128</f>
        <v>0</v>
      </c>
      <c r="L129" s="83" t="n">
        <f aca="false">L128-K128</f>
        <v>0</v>
      </c>
      <c r="M129" s="83" t="n">
        <f aca="false">M128-L128</f>
        <v>-6043.34890795381</v>
      </c>
      <c r="N129" s="83" t="n">
        <f aca="false">N128-M128</f>
        <v>0</v>
      </c>
      <c r="O129" s="83" t="n">
        <f aca="false">O128-N128</f>
        <v>0</v>
      </c>
      <c r="P129" s="83" t="n">
        <f aca="false">P128-O128</f>
        <v>0</v>
      </c>
      <c r="Q129" s="83" t="n">
        <f aca="false">Q128-P128</f>
        <v>0</v>
      </c>
      <c r="R129" s="83" t="n">
        <f aca="false">R128-Q128</f>
        <v>-3779.60771027754</v>
      </c>
      <c r="S129" s="83" t="n">
        <f aca="false">S128-R128</f>
        <v>0</v>
      </c>
      <c r="T129" s="83" t="n">
        <f aca="false">T128-S128</f>
        <v>0</v>
      </c>
      <c r="U129" s="83" t="n">
        <f aca="false">U128-T128</f>
        <v>0</v>
      </c>
      <c r="V129" s="83" t="n">
        <f aca="false">V128-U128</f>
        <v>0</v>
      </c>
      <c r="W129" s="83" t="n">
        <f aca="false">W128-V128</f>
        <v>2.00088834390044E-012</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922408.204121092</v>
      </c>
      <c r="C132" s="83" t="n">
        <v>0</v>
      </c>
      <c r="D132" s="83" t="n">
        <f aca="false">IF(D39&lt;=MIN(DepYears,Life),S_Capex_Lo!$B$14/DepYears,0)</f>
        <v>61493.8802747395</v>
      </c>
      <c r="E132" s="83" t="n">
        <f aca="false">IF(E39&lt;=MIN(DepYears,Life),S_Capex_Lo!$B$14/DepYears,0)</f>
        <v>61493.8802747395</v>
      </c>
      <c r="F132" s="83" t="n">
        <f aca="false">IF(F39&lt;=MIN(DepYears,Life),S_Capex_Lo!$B$14/DepYears,0)</f>
        <v>61493.8802747395</v>
      </c>
      <c r="G132" s="83" t="n">
        <f aca="false">IF(G39&lt;=MIN(DepYears,Life),S_Capex_Lo!$B$14/DepYears,0)</f>
        <v>61493.8802747395</v>
      </c>
      <c r="H132" s="83" t="n">
        <f aca="false">IF(H39&lt;=MIN(DepYears,Life),S_Capex_Lo!$B$14/DepYears,0)</f>
        <v>61493.8802747395</v>
      </c>
      <c r="I132" s="83" t="n">
        <f aca="false">IF(I39&lt;=MIN(DepYears,Life),S_Capex_Lo!$B$14/DepYears,0)</f>
        <v>61493.8802747395</v>
      </c>
      <c r="J132" s="83" t="n">
        <f aca="false">IF(J39&lt;=MIN(DepYears,Life),S_Capex_Lo!$B$14/DepYears,0)</f>
        <v>61493.8802747395</v>
      </c>
      <c r="K132" s="83" t="n">
        <f aca="false">IF(K39&lt;=MIN(DepYears,Life),S_Capex_Lo!$B$14/DepYears,0)</f>
        <v>61493.8802747395</v>
      </c>
      <c r="L132" s="83" t="n">
        <f aca="false">IF(L39&lt;=MIN(DepYears,Life),S_Capex_Lo!$B$14/DepYears,0)</f>
        <v>61493.8802747395</v>
      </c>
      <c r="M132" s="83" t="n">
        <f aca="false">IF(M39&lt;=MIN(DepYears,Life),S_Capex_Lo!$B$14/DepYears,0)</f>
        <v>61493.8802747395</v>
      </c>
      <c r="N132" s="83" t="n">
        <f aca="false">IF(N39&lt;=MIN(DepYears,Life),S_Capex_Lo!$B$14/DepYears,0)</f>
        <v>61493.8802747395</v>
      </c>
      <c r="O132" s="83" t="n">
        <f aca="false">IF(O39&lt;=MIN(DepYears,Life),S_Capex_Lo!$B$14/DepYears,0)</f>
        <v>61493.8802747395</v>
      </c>
      <c r="P132" s="83" t="n">
        <f aca="false">IF(P39&lt;=MIN(DepYears,Life),S_Capex_Lo!$B$14/DepYears,0)</f>
        <v>61493.8802747395</v>
      </c>
      <c r="Q132" s="83" t="n">
        <f aca="false">IF(Q39&lt;=MIN(DepYears,Life),S_Capex_Lo!$B$14/DepYears,0)</f>
        <v>61493.8802747395</v>
      </c>
      <c r="R132" s="83" t="n">
        <f aca="false">IF(R39&lt;=MIN(DepYears,Life),S_Capex_Lo!$B$14/DepYears,0)</f>
        <v>61493.8802747395</v>
      </c>
      <c r="S132" s="83" t="n">
        <f aca="false">IF(S39&lt;=MIN(DepYears,Life),S_Capex_Lo!$B$14/DepYears,0)</f>
        <v>0</v>
      </c>
      <c r="T132" s="83" t="n">
        <f aca="false">IF(T39&lt;=MIN(DepYears,Life),S_Capex_Lo!$B$14/DepYears,0)</f>
        <v>0</v>
      </c>
      <c r="U132" s="83" t="n">
        <f aca="false">IF(U39&lt;=MIN(DepYears,Life),S_Capex_Lo!$B$14/DepYears,0)</f>
        <v>0</v>
      </c>
      <c r="V132" s="83" t="n">
        <f aca="false">IF(V39&lt;=MIN(DepYears,Life),S_Capex_Lo!$B$14/DepYears,0)</f>
        <v>0</v>
      </c>
      <c r="W132" s="83" t="n">
        <f aca="false">IF(W39&lt;=MIN(DepYears,Life),S_Capex_Lo!$B$14/DepYears,0)</f>
        <v>0</v>
      </c>
    </row>
    <row r="133" customFormat="false" ht="15" hidden="false" customHeight="false" outlineLevel="0" collapsed="false">
      <c r="A133" s="10" t="s">
        <v>460</v>
      </c>
      <c r="B133" s="61" t="n">
        <f aca="false">SUM(C133:W133)</f>
        <v>423152.569007088</v>
      </c>
      <c r="C133" s="83" t="n">
        <v>0</v>
      </c>
      <c r="D133" s="83" t="n">
        <f aca="false">D98-D132</f>
        <v>-43373.4620218579</v>
      </c>
      <c r="E133" s="83" t="n">
        <f aca="false">E98-E132</f>
        <v>-18042.0263062819</v>
      </c>
      <c r="F133" s="83" t="n">
        <f aca="false">F98-F132</f>
        <v>2089.3683963857</v>
      </c>
      <c r="G133" s="83" t="n">
        <f aca="false">G98-G132</f>
        <v>5814.52601986205</v>
      </c>
      <c r="H133" s="83" t="n">
        <f aca="false">H98-H132</f>
        <v>11590.5393287404</v>
      </c>
      <c r="I133" s="83" t="n">
        <f aca="false">I98-I132</f>
        <v>17768.6197890954</v>
      </c>
      <c r="J133" s="83" t="n">
        <f aca="false">J98-J132</f>
        <v>22496.615853065</v>
      </c>
      <c r="K133" s="83" t="n">
        <f aca="false">K98-K132</f>
        <v>21557.5279992538</v>
      </c>
      <c r="L133" s="83" t="n">
        <f aca="false">L98-L132</f>
        <v>20420.2420899343</v>
      </c>
      <c r="M133" s="83" t="n">
        <f aca="false">M98-M132</f>
        <v>19069.4669346903</v>
      </c>
      <c r="N133" s="83" t="n">
        <f aca="false">N98-N132</f>
        <v>17488.9085628323</v>
      </c>
      <c r="O133" s="83" t="n">
        <f aca="false">O98-O132</f>
        <v>15661.207630941</v>
      </c>
      <c r="P133" s="83" t="n">
        <f aca="false">P98-P132</f>
        <v>13567.8729883228</v>
      </c>
      <c r="Q133" s="83" t="n">
        <f aca="false">Q98-Q132</f>
        <v>11189.2111658759</v>
      </c>
      <c r="R133" s="83" t="n">
        <f aca="false">R98-R132</f>
        <v>8504.2515395734</v>
      </c>
      <c r="S133" s="83" t="n">
        <f aca="false">S98-S132</f>
        <v>66984.5471793521</v>
      </c>
      <c r="T133" s="83" t="n">
        <f aca="false">T98-T132</f>
        <v>63618.5694549447</v>
      </c>
      <c r="U133" s="83" t="n">
        <f aca="false">U98-U132</f>
        <v>59874.9002226546</v>
      </c>
      <c r="V133" s="83" t="n">
        <f aca="false">V98-V132</f>
        <v>55726.6157830965</v>
      </c>
      <c r="W133" s="83" t="n">
        <f aca="false">W98-W132</f>
        <v>51145.0663966075</v>
      </c>
    </row>
    <row r="134" customFormat="false" ht="15" hidden="false" customHeight="false" outlineLevel="0" collapsed="false">
      <c r="A134" s="10" t="s">
        <v>461</v>
      </c>
      <c r="C134" s="83" t="n">
        <v>0</v>
      </c>
      <c r="D134" s="83" t="n">
        <f aca="false">0</f>
        <v>0</v>
      </c>
      <c r="E134" s="83" t="n">
        <f aca="false">D136</f>
        <v>43373.4620218579</v>
      </c>
      <c r="F134" s="83" t="n">
        <f aca="false">E136</f>
        <v>61415.4883281398</v>
      </c>
      <c r="G134" s="83" t="n">
        <f aca="false">F136</f>
        <v>59326.1199317541</v>
      </c>
      <c r="H134" s="83" t="n">
        <f aca="false">G136</f>
        <v>53511.593911892</v>
      </c>
      <c r="I134" s="83" t="n">
        <f aca="false">H136</f>
        <v>41921.0545831516</v>
      </c>
      <c r="J134" s="83" t="n">
        <f aca="false">I136</f>
        <v>24152.4347940562</v>
      </c>
      <c r="K134" s="83" t="n">
        <f aca="false">J136</f>
        <v>1655.81894099119</v>
      </c>
      <c r="L134" s="83" t="n">
        <f aca="false">K136</f>
        <v>0</v>
      </c>
      <c r="M134" s="83" t="n">
        <f aca="false">L136</f>
        <v>0</v>
      </c>
      <c r="N134" s="83" t="n">
        <f aca="false">M136</f>
        <v>0</v>
      </c>
      <c r="O134" s="83" t="n">
        <f aca="false">N136</f>
        <v>0</v>
      </c>
      <c r="P134" s="83" t="n">
        <f aca="false">O136</f>
        <v>0</v>
      </c>
      <c r="Q134" s="83" t="n">
        <f aca="false">P136</f>
        <v>0</v>
      </c>
      <c r="R134" s="83" t="n">
        <f aca="false">Q136</f>
        <v>0</v>
      </c>
      <c r="S134" s="83" t="n">
        <f aca="false">R136</f>
        <v>0</v>
      </c>
      <c r="T134" s="83" t="n">
        <f aca="false">S136</f>
        <v>0</v>
      </c>
      <c r="U134" s="83" t="n">
        <f aca="false">T136</f>
        <v>0</v>
      </c>
      <c r="V134" s="83" t="n">
        <f aca="false">U136</f>
        <v>0</v>
      </c>
      <c r="W134" s="83" t="n">
        <f aca="false">V136</f>
        <v>0</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2089.3683963857</v>
      </c>
      <c r="G135" s="83" t="n">
        <f aca="false">MIN(G134,MAX(G133,0))</f>
        <v>5814.52601986205</v>
      </c>
      <c r="H135" s="83" t="n">
        <f aca="false">MIN(H134,MAX(H133,0))</f>
        <v>11590.5393287404</v>
      </c>
      <c r="I135" s="83" t="n">
        <f aca="false">MIN(I134,MAX(I133,0))</f>
        <v>17768.6197890954</v>
      </c>
      <c r="J135" s="83" t="n">
        <f aca="false">MIN(J134,MAX(J133,0))</f>
        <v>22496.615853065</v>
      </c>
      <c r="K135" s="83" t="n">
        <f aca="false">MIN(K134,MAX(K133,0))</f>
        <v>1655.81894099119</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0</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43373.4620218579</v>
      </c>
      <c r="E136" s="83" t="n">
        <f aca="false">E134-E135+MAX(-E133,0)</f>
        <v>61415.4883281398</v>
      </c>
      <c r="F136" s="83" t="n">
        <f aca="false">F134-F135+MAX(-F133,0)</f>
        <v>59326.1199317541</v>
      </c>
      <c r="G136" s="83" t="n">
        <f aca="false">G134-G135+MAX(-G133,0)</f>
        <v>53511.593911892</v>
      </c>
      <c r="H136" s="83" t="n">
        <f aca="false">H134-H135+MAX(-H133,0)</f>
        <v>41921.0545831516</v>
      </c>
      <c r="I136" s="83" t="n">
        <f aca="false">I134-I135+MAX(-I133,0)</f>
        <v>24152.4347940562</v>
      </c>
      <c r="J136" s="83" t="n">
        <f aca="false">J134-J135+MAX(-J133,0)</f>
        <v>1655.81894099119</v>
      </c>
      <c r="K136" s="83" t="n">
        <f aca="false">K134-K135+MAX(-K133,0)</f>
        <v>0</v>
      </c>
      <c r="L136" s="83" t="n">
        <f aca="false">L134-L135+MAX(-L133,0)</f>
        <v>0</v>
      </c>
      <c r="M136" s="83" t="n">
        <f aca="false">M134-M135+MAX(-M133,0)</f>
        <v>0</v>
      </c>
      <c r="N136" s="83" t="n">
        <f aca="false">N134-N135+MAX(-N133,0)</f>
        <v>0</v>
      </c>
      <c r="O136" s="83" t="n">
        <f aca="false">O134-O135+MAX(-O133,0)</f>
        <v>0</v>
      </c>
      <c r="P136" s="83" t="n">
        <f aca="false">P134-P135+MAX(-P133,0)</f>
        <v>0</v>
      </c>
      <c r="Q136" s="83" t="n">
        <f aca="false">Q134-Q135+MAX(-Q133,0)</f>
        <v>0</v>
      </c>
      <c r="R136" s="83" t="n">
        <f aca="false">R134-R135+MAX(-R133,0)</f>
        <v>0</v>
      </c>
      <c r="S136" s="83" t="n">
        <f aca="false">S134-S135+MAX(-S133,0)</f>
        <v>0</v>
      </c>
      <c r="T136" s="83" t="n">
        <f aca="false">T134-T135+MAX(-T133,0)</f>
        <v>0</v>
      </c>
      <c r="U136" s="83" t="n">
        <f aca="false">U134-U135+MAX(-U133,0)</f>
        <v>0</v>
      </c>
      <c r="V136" s="83" t="n">
        <f aca="false">V134-V135+MAX(-V133,0)</f>
        <v>0</v>
      </c>
      <c r="W136" s="83" t="n">
        <f aca="false">W134-W135+MAX(-W133,0)</f>
        <v>0</v>
      </c>
    </row>
    <row r="137" customFormat="false" ht="15" hidden="false" customHeight="false" outlineLevel="0" collapsed="false">
      <c r="A137" s="10" t="s">
        <v>464</v>
      </c>
      <c r="B137" s="61" t="n">
        <f aca="false">SUM(C137:W137)</f>
        <v>105788.142251772</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4975.42726456566</v>
      </c>
      <c r="L137" s="83" t="n">
        <f aca="false">(MAX(L133,0)-L135)*TaxRate</f>
        <v>5105.06052248358</v>
      </c>
      <c r="M137" s="83" t="n">
        <f aca="false">(MAX(M133,0)-M135)*TaxRate</f>
        <v>4767.36673367257</v>
      </c>
      <c r="N137" s="83" t="n">
        <f aca="false">(MAX(N133,0)-N135)*TaxRate</f>
        <v>4372.22714070809</v>
      </c>
      <c r="O137" s="83" t="n">
        <f aca="false">(MAX(O133,0)-O135)*TaxRate</f>
        <v>3915.30190773525</v>
      </c>
      <c r="P137" s="83" t="n">
        <f aca="false">(MAX(P133,0)-P135)*TaxRate</f>
        <v>3391.96824708069</v>
      </c>
      <c r="Q137" s="83" t="n">
        <f aca="false">(MAX(Q133,0)-Q135)*TaxRate</f>
        <v>2797.30279146898</v>
      </c>
      <c r="R137" s="83" t="n">
        <f aca="false">(MAX(R133,0)-R135)*TaxRate</f>
        <v>2126.06288489335</v>
      </c>
      <c r="S137" s="83" t="n">
        <f aca="false">(MAX(S133,0)-S135)*TaxRate</f>
        <v>16746.136794838</v>
      </c>
      <c r="T137" s="83" t="n">
        <f aca="false">(MAX(T133,0)-T135)*TaxRate</f>
        <v>15904.6423637362</v>
      </c>
      <c r="U137" s="83" t="n">
        <f aca="false">(MAX(U133,0)-U135)*TaxRate</f>
        <v>14968.7250556636</v>
      </c>
      <c r="V137" s="83" t="n">
        <f aca="false">(MAX(V133,0)-V135)*TaxRate</f>
        <v>13931.6539457741</v>
      </c>
      <c r="W137" s="83" t="n">
        <f aca="false">(MAX(W133,0)-W135)*TaxRate</f>
        <v>12786.2665991519</v>
      </c>
    </row>
    <row r="138" customFormat="false" ht="15" hidden="false" customHeight="false" outlineLevel="0" collapsed="false">
      <c r="A138" s="10" t="s">
        <v>465</v>
      </c>
      <c r="B138" s="61" t="n">
        <f aca="false">SUM(C138:W138)</f>
        <v>357261.539634237</v>
      </c>
      <c r="C138" s="83" t="n">
        <v>0</v>
      </c>
      <c r="D138" s="83" t="n">
        <f aca="false">D98-D132-D114-D121</f>
        <v>-51756.0753290063</v>
      </c>
      <c r="E138" s="83" t="n">
        <f aca="false">E98-E132-E114-E121</f>
        <v>-26424.6396134303</v>
      </c>
      <c r="F138" s="83" t="n">
        <f aca="false">F98-F132-F114-F121</f>
        <v>-6293.24491076271</v>
      </c>
      <c r="G138" s="83" t="n">
        <f aca="false">G98-G132-G114-G121</f>
        <v>-2004.23391393778</v>
      </c>
      <c r="H138" s="83" t="n">
        <f aca="false">H98-H132-H114-H121</f>
        <v>4392.018105624</v>
      </c>
      <c r="I138" s="83" t="n">
        <f aca="false">I98-I132-I114-I121</f>
        <v>11252.3611477308</v>
      </c>
      <c r="J138" s="83" t="n">
        <f aca="false">J98-J132-J114-J121</f>
        <v>16899.5890375022</v>
      </c>
      <c r="K138" s="83" t="n">
        <f aca="false">K98-K132-K114-K121</f>
        <v>16959.8441830618</v>
      </c>
      <c r="L138" s="83" t="n">
        <f aca="false">L98-L132-L114-L121</f>
        <v>16909.6692037685</v>
      </c>
      <c r="M138" s="83" t="n">
        <f aca="false">M98-M132-M114-M121</f>
        <v>16742.1847111933</v>
      </c>
      <c r="N138" s="83" t="n">
        <f aca="false">N98-N132-N114-N121</f>
        <v>16450.3387671003</v>
      </c>
      <c r="O138" s="83" t="n">
        <f aca="false">O98-O132-O114-O121</f>
        <v>14818.2572039536</v>
      </c>
      <c r="P138" s="83" t="n">
        <f aca="false">P98-P132-P114-P121</f>
        <v>12926.4105111424</v>
      </c>
      <c r="Q138" s="83" t="n">
        <f aca="false">Q98-Q132-Q114-Q121</f>
        <v>10755.2812769969</v>
      </c>
      <c r="R138" s="83" t="n">
        <f aca="false">R98-R132-R114-R121</f>
        <v>8284.08021664462</v>
      </c>
      <c r="S138" s="83" t="n">
        <f aca="false">S98-S132-S114-S121</f>
        <v>66984.5471793521</v>
      </c>
      <c r="T138" s="83" t="n">
        <f aca="false">T98-T132-T114-T121</f>
        <v>63618.5694549447</v>
      </c>
      <c r="U138" s="83" t="n">
        <f aca="false">U98-U132-U114-U121</f>
        <v>59874.9002226546</v>
      </c>
      <c r="V138" s="83" t="n">
        <f aca="false">V98-V132-V114-V121</f>
        <v>55726.6157830965</v>
      </c>
      <c r="W138" s="83" t="n">
        <f aca="false">W98-W132-W114-W121</f>
        <v>51145.0663966075</v>
      </c>
    </row>
    <row r="139" customFormat="false" ht="15" hidden="false" customHeight="false" outlineLevel="0" collapsed="false">
      <c r="A139" s="10" t="s">
        <v>461</v>
      </c>
      <c r="C139" s="83" t="n">
        <v>0</v>
      </c>
      <c r="D139" s="83" t="n">
        <f aca="false">0</f>
        <v>0</v>
      </c>
      <c r="E139" s="83" t="n">
        <f aca="false">D141</f>
        <v>51756.0753290063</v>
      </c>
      <c r="F139" s="83" t="n">
        <f aca="false">E141</f>
        <v>78180.7149424366</v>
      </c>
      <c r="G139" s="83" t="n">
        <f aca="false">F141</f>
        <v>84473.9598531993</v>
      </c>
      <c r="H139" s="83" t="n">
        <f aca="false">G141</f>
        <v>86478.193767137</v>
      </c>
      <c r="I139" s="83" t="n">
        <f aca="false">H141</f>
        <v>82086.175661513</v>
      </c>
      <c r="J139" s="83" t="n">
        <f aca="false">I141</f>
        <v>70833.8145137822</v>
      </c>
      <c r="K139" s="83" t="n">
        <f aca="false">J141</f>
        <v>53934.22547628</v>
      </c>
      <c r="L139" s="83" t="n">
        <f aca="false">K141</f>
        <v>36974.3812932182</v>
      </c>
      <c r="M139" s="83" t="n">
        <f aca="false">L141</f>
        <v>20064.7120894497</v>
      </c>
      <c r="N139" s="83" t="n">
        <f aca="false">M141</f>
        <v>3322.52737825635</v>
      </c>
      <c r="O139" s="83" t="n">
        <f aca="false">N141</f>
        <v>0</v>
      </c>
      <c r="P139" s="83" t="n">
        <f aca="false">O141</f>
        <v>0</v>
      </c>
      <c r="Q139" s="83" t="n">
        <f aca="false">P141</f>
        <v>0</v>
      </c>
      <c r="R139" s="83" t="n">
        <f aca="false">Q141</f>
        <v>0</v>
      </c>
      <c r="S139" s="83" t="n">
        <f aca="false">R141</f>
        <v>0</v>
      </c>
      <c r="T139" s="83" t="n">
        <f aca="false">S141</f>
        <v>0</v>
      </c>
      <c r="U139" s="83" t="n">
        <f aca="false">T141</f>
        <v>0</v>
      </c>
      <c r="V139" s="83" t="n">
        <f aca="false">U141</f>
        <v>0</v>
      </c>
      <c r="W139" s="83" t="n">
        <f aca="false">V141</f>
        <v>0</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4392.018105624</v>
      </c>
      <c r="I140" s="83" t="n">
        <f aca="false">MIN(I139,MAX(I138,0))</f>
        <v>11252.3611477308</v>
      </c>
      <c r="J140" s="83" t="n">
        <f aca="false">MIN(J139,MAX(J138,0))</f>
        <v>16899.5890375022</v>
      </c>
      <c r="K140" s="83" t="n">
        <f aca="false">MIN(K139,MAX(K138,0))</f>
        <v>16959.8441830618</v>
      </c>
      <c r="L140" s="83" t="n">
        <f aca="false">MIN(L139,MAX(L138,0))</f>
        <v>16909.6692037685</v>
      </c>
      <c r="M140" s="83" t="n">
        <f aca="false">MIN(M139,MAX(M138,0))</f>
        <v>16742.1847111933</v>
      </c>
      <c r="N140" s="83" t="n">
        <f aca="false">MIN(N139,MAX(N138,0))</f>
        <v>3322.52737825635</v>
      </c>
      <c r="O140" s="83" t="n">
        <f aca="false">MIN(O139,MAX(O138,0))</f>
        <v>0</v>
      </c>
      <c r="P140" s="83" t="n">
        <f aca="false">MIN(P139,MAX(P138,0))</f>
        <v>0</v>
      </c>
      <c r="Q140" s="83" t="n">
        <f aca="false">MIN(Q139,MAX(Q138,0))</f>
        <v>0</v>
      </c>
      <c r="R140" s="83" t="n">
        <f aca="false">MIN(R139,MAX(R138,0))</f>
        <v>0</v>
      </c>
      <c r="S140" s="83" t="n">
        <f aca="false">MIN(S139,MAX(S138,0))</f>
        <v>0</v>
      </c>
      <c r="T140" s="83" t="n">
        <f aca="false">MIN(T139,MAX(T138,0))</f>
        <v>0</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51756.0753290063</v>
      </c>
      <c r="E141" s="83" t="n">
        <f aca="false">E139-E140+MAX(-E138,0)</f>
        <v>78180.7149424366</v>
      </c>
      <c r="F141" s="83" t="n">
        <f aca="false">F139-F140+MAX(-F138,0)</f>
        <v>84473.9598531993</v>
      </c>
      <c r="G141" s="83" t="n">
        <f aca="false">G139-G140+MAX(-G138,0)</f>
        <v>86478.193767137</v>
      </c>
      <c r="H141" s="83" t="n">
        <f aca="false">H139-H140+MAX(-H138,0)</f>
        <v>82086.175661513</v>
      </c>
      <c r="I141" s="83" t="n">
        <f aca="false">I139-I140+MAX(-I138,0)</f>
        <v>70833.8145137822</v>
      </c>
      <c r="J141" s="83" t="n">
        <f aca="false">J139-J140+MAX(-J138,0)</f>
        <v>53934.22547628</v>
      </c>
      <c r="K141" s="83" t="n">
        <f aca="false">K139-K140+MAX(-K138,0)</f>
        <v>36974.3812932182</v>
      </c>
      <c r="L141" s="83" t="n">
        <f aca="false">L139-L140+MAX(-L138,0)</f>
        <v>20064.7120894497</v>
      </c>
      <c r="M141" s="83" t="n">
        <f aca="false">M139-M140+MAX(-M138,0)</f>
        <v>3322.52737825635</v>
      </c>
      <c r="N141" s="83" t="n">
        <f aca="false">N139-N140+MAX(-N138,0)</f>
        <v>0</v>
      </c>
      <c r="O141" s="83" t="n">
        <f aca="false">O139-O140+MAX(-O138,0)</f>
        <v>0</v>
      </c>
      <c r="P141" s="83" t="n">
        <f aca="false">P139-P140+MAX(-P138,0)</f>
        <v>0</v>
      </c>
      <c r="Q141" s="83" t="n">
        <f aca="false">Q139-Q140+MAX(-Q138,0)</f>
        <v>0</v>
      </c>
      <c r="R141" s="83" t="n">
        <f aca="false">R139-R140+MAX(-R138,0)</f>
        <v>0</v>
      </c>
      <c r="S141" s="83" t="n">
        <f aca="false">S139-S140+MAX(-S138,0)</f>
        <v>0</v>
      </c>
      <c r="T141" s="83" t="n">
        <f aca="false">T139-T140+MAX(-T138,0)</f>
        <v>0</v>
      </c>
      <c r="U141" s="83" t="n">
        <f aca="false">U139-U140+MAX(-U138,0)</f>
        <v>0</v>
      </c>
      <c r="V141" s="83" t="n">
        <f aca="false">V139-V140+MAX(-V138,0)</f>
        <v>0</v>
      </c>
      <c r="W141" s="83" t="n">
        <f aca="false">W139-W140+MAX(-W138,0)</f>
        <v>0</v>
      </c>
    </row>
    <row r="142" customFormat="false" ht="15" hidden="false" customHeight="false" outlineLevel="0" collapsed="false">
      <c r="A142" s="10" t="s">
        <v>466</v>
      </c>
      <c r="B142" s="61" t="n">
        <f aca="false">SUM(C142:W142)</f>
        <v>89315.3849085592</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3281.95284721099</v>
      </c>
      <c r="O142" s="83" t="n">
        <f aca="false">(MAX(O138,0)-O140)*TaxRate</f>
        <v>3704.56430098841</v>
      </c>
      <c r="P142" s="83" t="n">
        <f aca="false">(MAX(P138,0)-P140)*TaxRate</f>
        <v>3231.60262778561</v>
      </c>
      <c r="Q142" s="83" t="n">
        <f aca="false">(MAX(Q138,0)-Q140)*TaxRate</f>
        <v>2688.82031924922</v>
      </c>
      <c r="R142" s="83" t="n">
        <f aca="false">(MAX(R138,0)-R140)*TaxRate</f>
        <v>2071.02005416115</v>
      </c>
      <c r="S142" s="83" t="n">
        <f aca="false">(MAX(S138,0)-S140)*TaxRate</f>
        <v>16746.136794838</v>
      </c>
      <c r="T142" s="83" t="n">
        <f aca="false">(MAX(T138,0)-T140)*TaxRate</f>
        <v>15904.6423637362</v>
      </c>
      <c r="U142" s="83" t="n">
        <f aca="false">(MAX(U138,0)-U140)*TaxRate</f>
        <v>14968.7250556636</v>
      </c>
      <c r="V142" s="83" t="n">
        <f aca="false">(MAX(V138,0)-V140)*TaxRate</f>
        <v>13931.6539457741</v>
      </c>
      <c r="W142" s="83" t="n">
        <f aca="false">(MAX(W138,0)-W140)*TaxRate</f>
        <v>12786.2665991519</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-497460.970729515</v>
      </c>
      <c r="C145" s="27" t="n">
        <f aca="false">-C102+C98-C103-C137</f>
        <v>-922408.204121092</v>
      </c>
      <c r="D145" s="27" t="n">
        <f aca="false">-D102+D98-D103-D137</f>
        <v>18120.4182528816</v>
      </c>
      <c r="E145" s="27" t="n">
        <f aca="false">-E102+E98-E103-E137</f>
        <v>43451.8539684576</v>
      </c>
      <c r="F145" s="27" t="n">
        <f aca="false">-F102+F98-F103-F137</f>
        <v>63583.2486711252</v>
      </c>
      <c r="G145" s="27" t="n">
        <f aca="false">-G102+G98-G103-G137</f>
        <v>67308.4062946015</v>
      </c>
      <c r="H145" s="27" t="n">
        <f aca="false">-H102+H98-H103-H137</f>
        <v>73084.4196034799</v>
      </c>
      <c r="I145" s="27" t="n">
        <f aca="false">-I102+I98-I103-I137</f>
        <v>79262.5000638349</v>
      </c>
      <c r="J145" s="27" t="n">
        <f aca="false">-J102+J98-J103-J137</f>
        <v>83990.4961278045</v>
      </c>
      <c r="K145" s="27" t="n">
        <f aca="false">-K102+K98-K103-K137</f>
        <v>-54646.7691543335</v>
      </c>
      <c r="L145" s="27" t="n">
        <f aca="false">-L102+L98-L103-L137</f>
        <v>76809.0618421902</v>
      </c>
      <c r="M145" s="27" t="n">
        <f aca="false">-M102+M98-M103-M137</f>
        <v>75795.9804757572</v>
      </c>
      <c r="N145" s="27" t="n">
        <f aca="false">-N102+N98-N103-N137</f>
        <v>74610.5616968638</v>
      </c>
      <c r="O145" s="27" t="n">
        <f aca="false">-O102+O98-O103-O137</f>
        <v>73239.7859979452</v>
      </c>
      <c r="P145" s="27" t="n">
        <f aca="false">-P102+P98-P103-P137</f>
        <v>71669.7850159816</v>
      </c>
      <c r="Q145" s="27" t="n">
        <f aca="false">-Q102+Q98-Q103-Q137</f>
        <v>69885.7886491464</v>
      </c>
      <c r="R145" s="27" t="n">
        <f aca="false">-R102+R98-R103-R137</f>
        <v>67872.0689294195</v>
      </c>
      <c r="S145" s="27" t="n">
        <f aca="false">-S102+S98-S103-S137</f>
        <v>-117890.798642422</v>
      </c>
      <c r="T145" s="27" t="n">
        <f aca="false">-T102+T98-T103-T137</f>
        <v>47713.9270912085</v>
      </c>
      <c r="U145" s="27" t="n">
        <f aca="false">-U102+U98-U103-U137</f>
        <v>44906.1751669909</v>
      </c>
      <c r="V145" s="27" t="n">
        <f aca="false">-V102+V98-V103-V137</f>
        <v>41794.9618373224</v>
      </c>
      <c r="W145" s="27" t="n">
        <f aca="false">-W102+W98-W103-W137</f>
        <v>38358.7997974556</v>
      </c>
    </row>
    <row r="146" customFormat="false" ht="15" hidden="false" customHeight="false" outlineLevel="0" collapsed="false">
      <c r="A146" s="15" t="s">
        <v>469</v>
      </c>
      <c r="B146" s="61" t="n">
        <f aca="false">C146+NPV(Hurdle,D146:W146)</f>
        <v>320459.38990159</v>
      </c>
      <c r="C146" s="27" t="n">
        <f aca="false">C145+C106+C108</f>
        <v>-322408.204121092</v>
      </c>
      <c r="D146" s="27" t="n">
        <f aca="false">D145+D106+D108</f>
        <v>169320.418252882</v>
      </c>
      <c r="E146" s="27" t="n">
        <f aca="false">E145+E106+E108</f>
        <v>106451.853968458</v>
      </c>
      <c r="F146" s="27" t="n">
        <f aca="false">F145+F106+F108</f>
        <v>101383.248671125</v>
      </c>
      <c r="G146" s="27" t="n">
        <f aca="false">G145+G106+G108</f>
        <v>67308.4062946015</v>
      </c>
      <c r="H146" s="27" t="n">
        <f aca="false">H145+H106+H108</f>
        <v>73084.4196034799</v>
      </c>
      <c r="I146" s="27" t="n">
        <f aca="false">I145+I106+I108</f>
        <v>79262.5000638349</v>
      </c>
      <c r="J146" s="27" t="n">
        <f aca="false">J145+J106+J108</f>
        <v>83990.4961278045</v>
      </c>
      <c r="K146" s="27" t="n">
        <f aca="false">K145+K106+K108</f>
        <v>-54646.7691543335</v>
      </c>
      <c r="L146" s="27" t="n">
        <f aca="false">L145+L106+L108</f>
        <v>76809.0618421902</v>
      </c>
      <c r="M146" s="27" t="n">
        <f aca="false">M145+M106+M108</f>
        <v>75795.9804757572</v>
      </c>
      <c r="N146" s="27" t="n">
        <f aca="false">N145+N106+N108</f>
        <v>74610.5616968638</v>
      </c>
      <c r="O146" s="27" t="n">
        <f aca="false">O145+O106+O108</f>
        <v>73239.7859979452</v>
      </c>
      <c r="P146" s="27" t="n">
        <f aca="false">P145+P106+P108</f>
        <v>71669.7850159816</v>
      </c>
      <c r="Q146" s="27" t="n">
        <f aca="false">Q145+Q106+Q108</f>
        <v>69885.7886491464</v>
      </c>
      <c r="R146" s="27" t="n">
        <f aca="false">R145+R106+R108</f>
        <v>67872.0689294195</v>
      </c>
      <c r="S146" s="27" t="n">
        <f aca="false">S145+S106+S108</f>
        <v>-117890.798642422</v>
      </c>
      <c r="T146" s="27" t="n">
        <f aca="false">T145+T106+T108</f>
        <v>47713.9270912085</v>
      </c>
      <c r="U146" s="27" t="n">
        <f aca="false">U145+U106+U108</f>
        <v>44906.1751669909</v>
      </c>
      <c r="V146" s="27" t="n">
        <f aca="false">V145+V106+V108</f>
        <v>41794.9618373224</v>
      </c>
      <c r="W146" s="27" t="n">
        <f aca="false">W145+W106+W108</f>
        <v>38358.7997974556</v>
      </c>
    </row>
    <row r="147" customFormat="false" ht="15" hidden="false" customHeight="false" outlineLevel="0" collapsed="false">
      <c r="A147" s="10" t="s">
        <v>237</v>
      </c>
      <c r="B147" s="61" t="n">
        <f aca="false">SUM(C147:W147)</f>
        <v>1207393.42902892</v>
      </c>
      <c r="C147" s="83" t="n">
        <v>0</v>
      </c>
      <c r="D147" s="83" t="n">
        <f aca="false">D98-D105-D142+D108</f>
        <v>152730.074482412</v>
      </c>
      <c r="E147" s="83" t="n">
        <f aca="false">E98-E105-E142+E108</f>
        <v>89861.5101979875</v>
      </c>
      <c r="F147" s="83" t="n">
        <f aca="false">F98-F105-F142+F108</f>
        <v>84792.9049006551</v>
      </c>
      <c r="G147" s="83" t="n">
        <f aca="false">G98-G105-G142+G108</f>
        <v>50718.0625241314</v>
      </c>
      <c r="H147" s="83" t="n">
        <f aca="false">H98-H105-H142+H108</f>
        <v>56494.0758330097</v>
      </c>
      <c r="I147" s="83" t="n">
        <f aca="false">I98-I105-I142+I108</f>
        <v>62672.1562933648</v>
      </c>
      <c r="J147" s="83" t="n">
        <f aca="false">J98-J105-J142+J108</f>
        <v>67400.1523573344</v>
      </c>
      <c r="K147" s="83" t="n">
        <f aca="false">K98-K105-K142+K108</f>
        <v>66461.0645035232</v>
      </c>
      <c r="L147" s="83" t="n">
        <f aca="false">L98-L105-L142+L108</f>
        <v>60897.9712363068</v>
      </c>
      <c r="M147" s="83" t="n">
        <f aca="false">M98-M105-M142+M108</f>
        <v>59547.1960810628</v>
      </c>
      <c r="N147" s="83" t="n">
        <f aca="false">N98-N105-N142+N108</f>
        <v>54684.6848619939</v>
      </c>
      <c r="O147" s="83" t="n">
        <f aca="false">O98-O105-O142+O108</f>
        <v>52434.3724763251</v>
      </c>
      <c r="P147" s="83" t="n">
        <f aca="false">P98-P105-P142+P108</f>
        <v>50813.9995069096</v>
      </c>
      <c r="Q147" s="83" t="n">
        <f aca="false">Q98-Q105-Q142+Q108</f>
        <v>48978.1199929992</v>
      </c>
      <c r="R147" s="83" t="n">
        <f aca="false">R98-R105-R142+R108</f>
        <v>46910.9606317847</v>
      </c>
      <c r="S147" s="83" t="n">
        <f aca="false">S98-S105-S142+S108</f>
        <v>29222.2592561471</v>
      </c>
      <c r="T147" s="83" t="n">
        <f aca="false">T98-T105-T142+T108</f>
        <v>47713.9270912085</v>
      </c>
      <c r="U147" s="83" t="n">
        <f aca="false">U98-U105-U142+U108</f>
        <v>44906.1751669909</v>
      </c>
      <c r="V147" s="83" t="n">
        <f aca="false">V98-V105-V142+V108</f>
        <v>41794.9618373224</v>
      </c>
      <c r="W147" s="83" t="n">
        <f aca="false">W98-W105-W142+W108</f>
        <v>38358.7997974556</v>
      </c>
    </row>
    <row r="148" customFormat="false" ht="15" hidden="false" customHeight="false" outlineLevel="0" collapsed="false">
      <c r="A148" s="10" t="s">
        <v>470</v>
      </c>
      <c r="C148" s="86" t="n">
        <v>0</v>
      </c>
      <c r="D148" s="86" t="n">
        <f aca="false">IF(D125&gt;0,D147/D125,"")</f>
        <v>18.2198640073458</v>
      </c>
      <c r="E148" s="86" t="n">
        <f aca="false">IF(E125&gt;0,E147/E125,"")</f>
        <v>10.7199875391313</v>
      </c>
      <c r="F148" s="86" t="n">
        <f aca="false">IF(F125&gt;0,F147/F125,"")</f>
        <v>6.04750129607227</v>
      </c>
      <c r="G148" s="86" t="n">
        <f aca="false">IF(G125&gt;0,G147/G125,"")</f>
        <v>3.61725487773199</v>
      </c>
      <c r="H148" s="86" t="n">
        <f aca="false">IF(H125&gt;0,H147/H125,"")</f>
        <v>4.02920500507457</v>
      </c>
      <c r="I148" s="86" t="n">
        <f aca="false">IF(I125&gt;0,I147/I125,"")</f>
        <v>3.19008617919811</v>
      </c>
      <c r="J148" s="86" t="n">
        <f aca="false">IF(J125&gt;0,J147/J125,"")</f>
        <v>3.43074671796067</v>
      </c>
      <c r="K148" s="86" t="n">
        <f aca="false">IF(K125&gt;0,K147/K125,"")</f>
        <v>3.38294604600879</v>
      </c>
      <c r="L148" s="86" t="n">
        <f aca="false">IF(L125&gt;0,L147/L125,"")</f>
        <v>3.09977808123883</v>
      </c>
      <c r="M148" s="86" t="n">
        <f aca="false">IF(M125&gt;0,M147/M125,"")</f>
        <v>3.03102204332978</v>
      </c>
      <c r="N148" s="86" t="n">
        <f aca="false">IF(N125&gt;0,N147/N125,"")</f>
        <v>7.23417468872429</v>
      </c>
      <c r="O148" s="86" t="n">
        <f aca="false">IF(O125&gt;0,O147/O125,"")</f>
        <v>6.93648342574616</v>
      </c>
      <c r="P148" s="86" t="n">
        <f aca="false">IF(P125&gt;0,P147/P125,"")</f>
        <v>6.72212613080663</v>
      </c>
      <c r="Q148" s="86" t="n">
        <f aca="false">IF(Q125&gt;0,Q147/Q125,"")</f>
        <v>6.47925972050189</v>
      </c>
      <c r="R148" s="86" t="n">
        <f aca="false">IF(R125&gt;0,R147/R125,"")</f>
        <v>6.20579756256504</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308289.250238447</v>
      </c>
      <c r="C149" s="27" t="n">
        <f aca="false">-S_Capex_Lo!$B$18-C129</f>
        <v>-197636.22912623</v>
      </c>
      <c r="D149" s="27" t="n">
        <f aca="false">D147-D125-D129</f>
        <v>144347.461175263</v>
      </c>
      <c r="E149" s="27" t="n">
        <f aca="false">E147-E125-E129</f>
        <v>78659.6300240962</v>
      </c>
      <c r="F149" s="27" t="n">
        <f aca="false">F147-F125-F129</f>
        <v>70771.7578600209</v>
      </c>
      <c r="G149" s="27" t="n">
        <f aca="false">G147-G125-G129</f>
        <v>36696.9154834972</v>
      </c>
      <c r="H149" s="27" t="n">
        <f aca="false">H147-H125-H129</f>
        <v>39660.5456944613</v>
      </c>
      <c r="I149" s="27" t="n">
        <f aca="false">I147-I125-I129</f>
        <v>43026.2430569021</v>
      </c>
      <c r="J149" s="27" t="n">
        <f aca="false">J147-J125-J129</f>
        <v>47754.2391208717</v>
      </c>
      <c r="K149" s="27" t="n">
        <f aca="false">K147-K125-K129</f>
        <v>46815.1512670605</v>
      </c>
      <c r="L149" s="27" t="n">
        <f aca="false">L147-L125-L129</f>
        <v>41252.0579998441</v>
      </c>
      <c r="M149" s="27" t="n">
        <f aca="false">M147-M125-M129</f>
        <v>45944.6317525539</v>
      </c>
      <c r="N149" s="27" t="n">
        <f aca="false">N147-N125-N129</f>
        <v>47125.4694414388</v>
      </c>
      <c r="O149" s="27" t="n">
        <f aca="false">O147-O125-O129</f>
        <v>44875.15705577</v>
      </c>
      <c r="P149" s="27" t="n">
        <f aca="false">P147-P125-P129</f>
        <v>43254.7840863546</v>
      </c>
      <c r="Q149" s="27" t="n">
        <f aca="false">Q147-Q125-Q129</f>
        <v>41418.9045724441</v>
      </c>
      <c r="R149" s="27" t="n">
        <f aca="false">R147-R125-R129</f>
        <v>43131.3529215072</v>
      </c>
      <c r="S149" s="27" t="n">
        <f aca="false">S147-S125-S129</f>
        <v>29222.2592561471</v>
      </c>
      <c r="T149" s="27" t="n">
        <f aca="false">T147-T125-T129</f>
        <v>47713.9270912085</v>
      </c>
      <c r="U149" s="27" t="n">
        <f aca="false">U147-U125-U129</f>
        <v>44906.1751669909</v>
      </c>
      <c r="V149" s="27" t="n">
        <f aca="false">V147-V125-V129</f>
        <v>41794.9618373224</v>
      </c>
      <c r="W149" s="27" t="n">
        <f aca="false">W147-W125-W129</f>
        <v>38358.7997974556</v>
      </c>
    </row>
    <row r="150" customFormat="false" ht="15" hidden="false" customHeight="false" outlineLevel="0" collapsed="false">
      <c r="A150" s="10" t="s">
        <v>472</v>
      </c>
      <c r="C150" s="83" t="n">
        <f aca="false">C149</f>
        <v>-197636.22912623</v>
      </c>
      <c r="D150" s="83" t="n">
        <f aca="false">C150+D149</f>
        <v>-53288.7679509665</v>
      </c>
      <c r="E150" s="83" t="n">
        <f aca="false">D150+E149</f>
        <v>25370.8620731296</v>
      </c>
      <c r="F150" s="83" t="n">
        <f aca="false">E150+F149</f>
        <v>96142.6199331505</v>
      </c>
      <c r="G150" s="83" t="n">
        <f aca="false">F150+G149</f>
        <v>132839.535416648</v>
      </c>
      <c r="H150" s="83" t="n">
        <f aca="false">G150+H149</f>
        <v>172500.081111109</v>
      </c>
      <c r="I150" s="83" t="n">
        <f aca="false">H150+I149</f>
        <v>215526.324168011</v>
      </c>
      <c r="J150" s="83" t="n">
        <f aca="false">I150+J149</f>
        <v>263280.563288883</v>
      </c>
      <c r="K150" s="83" t="n">
        <f aca="false">J150+K149</f>
        <v>310095.714555943</v>
      </c>
      <c r="L150" s="83" t="n">
        <f aca="false">K150+L149</f>
        <v>351347.772555787</v>
      </c>
      <c r="M150" s="83" t="n">
        <f aca="false">L150+M149</f>
        <v>397292.404308341</v>
      </c>
      <c r="N150" s="83" t="n">
        <f aca="false">M150+N149</f>
        <v>444417.87374978</v>
      </c>
      <c r="O150" s="83" t="n">
        <f aca="false">N150+O149</f>
        <v>489293.03080555</v>
      </c>
      <c r="P150" s="83" t="n">
        <f aca="false">O150+P149</f>
        <v>532547.814891905</v>
      </c>
      <c r="Q150" s="83" t="n">
        <f aca="false">P150+Q149</f>
        <v>573966.719464349</v>
      </c>
      <c r="R150" s="83" t="n">
        <f aca="false">Q150+R149</f>
        <v>617098.072385856</v>
      </c>
      <c r="S150" s="83" t="n">
        <f aca="false">R150+S149</f>
        <v>646320.331642003</v>
      </c>
      <c r="T150" s="83" t="n">
        <f aca="false">S150+T149</f>
        <v>694034.258733212</v>
      </c>
      <c r="U150" s="83" t="n">
        <f aca="false">T150+U149</f>
        <v>738940.433900203</v>
      </c>
      <c r="V150" s="83" t="n">
        <f aca="false">U150+V149</f>
        <v>780735.395737525</v>
      </c>
      <c r="W150" s="83" t="n">
        <f aca="false">V150+W149</f>
        <v>819094.195534981</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1991130.5197125</v>
      </c>
      <c r="C153" s="83" t="n">
        <f aca="false">C102+C96-C93+C103</f>
        <v>922408.204121092</v>
      </c>
      <c r="D153" s="83" t="n">
        <f aca="false">D102+D96-D93+D103</f>
        <v>59981.4473931984</v>
      </c>
      <c r="E153" s="83" t="n">
        <f aca="false">E102+E96-E93+E103</f>
        <v>66660.255580438</v>
      </c>
      <c r="F153" s="83" t="n">
        <f aca="false">F102+F96-F93+F103</f>
        <v>72042.1803234905</v>
      </c>
      <c r="G153" s="83" t="n">
        <f aca="false">G102+G96-G93+G103</f>
        <v>74801.4604007862</v>
      </c>
      <c r="H153" s="83" t="n">
        <f aca="false">H102+H96-H93+H103</f>
        <v>77679.937973657</v>
      </c>
      <c r="I153" s="83" t="n">
        <f aca="false">I102+I96-I93+I103</f>
        <v>80683.4068897496</v>
      </c>
      <c r="J153" s="83" t="n">
        <f aca="false">J102+J96-J93+J103</f>
        <v>85696.1165592533</v>
      </c>
      <c r="K153" s="83" t="n">
        <f aca="false">K102+K96-K93+K103</f>
        <v>229691.869289467</v>
      </c>
      <c r="L153" s="83" t="n">
        <f aca="false">L102+L96-L93+L103</f>
        <v>109069.655153668</v>
      </c>
      <c r="M153" s="83" t="n">
        <f aca="false">M102+M96-M93+M103</f>
        <v>122051.342359779</v>
      </c>
      <c r="N153" s="83" t="n">
        <f aca="false">N102+N96-N93+N103</f>
        <v>135971.135326401</v>
      </c>
      <c r="O153" s="83" t="n">
        <f aca="false">O102+O96-O93+O103</f>
        <v>150889.530239879</v>
      </c>
      <c r="P153" s="83" t="n">
        <f aca="false">P102+P96-P93+P103</f>
        <v>166870.782127561</v>
      </c>
      <c r="Q153" s="83" t="n">
        <f aca="false">Q102+Q96-Q93+Q103</f>
        <v>183983.135355297</v>
      </c>
      <c r="R153" s="83" t="n">
        <f aca="false">R102+R96-R93+R103</f>
        <v>202299.068193471</v>
      </c>
      <c r="S153" s="83" t="n">
        <f aca="false">S102+S96-S93+S103</f>
        <v>390024.761335842</v>
      </c>
      <c r="T153" s="83" t="n">
        <f aca="false">T102+T96-T93+T103</f>
        <v>242854.328092148</v>
      </c>
      <c r="U153" s="83" t="n">
        <f aca="false">U102+U96-U93+U103</f>
        <v>265262.196785056</v>
      </c>
      <c r="V153" s="83" t="n">
        <f aca="false">V102+V96-V93+V103</f>
        <v>289211.330432384</v>
      </c>
      <c r="W153" s="83" t="n">
        <f aca="false">W102+W96-W93+W103</f>
        <v>314799.600743396</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f aca="false">1+SensDelta</f>
        <v>1.2</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1383612.30618164</v>
      </c>
    </row>
    <row r="15" customFormat="false" ht="15" hidden="false" customHeight="false" outlineLevel="0" collapsed="false">
      <c r="A15" s="10" t="s">
        <v>392</v>
      </c>
      <c r="B15" s="61" t="n">
        <f aca="false">HardCapexBase*LevCapex*$B$7</f>
        <v>1203141.13581012</v>
      </c>
    </row>
    <row r="16" customFormat="false" ht="15" hidden="false" customHeight="false" outlineLevel="0" collapsed="false">
      <c r="A16" s="10" t="s">
        <v>246</v>
      </c>
      <c r="B16" s="61" t="n">
        <f aca="false">MAX(0,S_Capex_Hi!$B$14-Grant)*SenPct</f>
        <v>156722.461236328</v>
      </c>
    </row>
    <row r="17" customFormat="false" ht="15" hidden="false" customHeight="false" outlineLevel="0" collapsed="false">
      <c r="A17" s="10" t="s">
        <v>248</v>
      </c>
      <c r="B17" s="61" t="n">
        <f aca="false">MAX(0,S_Capex_Hi!$B$14-Grant)*ConPct</f>
        <v>156722.461236328</v>
      </c>
    </row>
    <row r="18" customFormat="false" ht="15" hidden="false" customHeight="false" outlineLevel="0" collapsed="false">
      <c r="A18" s="10" t="s">
        <v>393</v>
      </c>
      <c r="B18" s="61" t="n">
        <f aca="false">MAX(0,S_Capex_Hi!$B$14-Grant-S_Capex_Hi!$B$16-S_Capex_Hi!$B$17)</f>
        <v>470167.383708983</v>
      </c>
    </row>
    <row r="19" customFormat="false" ht="15" hidden="false" customHeight="false" outlineLevel="0" collapsed="false">
      <c r="A19" s="10" t="s">
        <v>394</v>
      </c>
      <c r="B19" s="61" t="n">
        <f aca="false">C128</f>
        <v>10186.9599803613</v>
      </c>
    </row>
    <row r="20" customFormat="false" ht="15" hidden="false" customHeight="false" outlineLevel="0" collapsed="false">
      <c r="A20" s="10" t="s">
        <v>395</v>
      </c>
      <c r="B20" s="61" t="n">
        <f aca="false">$B$145</f>
        <v>-1111801.21553057</v>
      </c>
    </row>
    <row r="21" customFormat="false" ht="15" hidden="false" customHeight="false" outlineLevel="0" collapsed="false">
      <c r="A21" s="10" t="s">
        <v>396</v>
      </c>
      <c r="B21" s="61" t="n">
        <f aca="false">$B$146</f>
        <v>-293880.854899461</v>
      </c>
    </row>
    <row r="22" customFormat="false" ht="15" hidden="false" customHeight="false" outlineLevel="0" collapsed="false">
      <c r="A22" s="10" t="s">
        <v>397</v>
      </c>
      <c r="B22" s="63" t="n">
        <f aca="false">IFERROR(IRR($C$145:$W$145),"n.d.")</f>
        <v>-0.0857456874787526</v>
      </c>
    </row>
    <row r="23" customFormat="false" ht="15" hidden="false" customHeight="false" outlineLevel="0" collapsed="false">
      <c r="A23" s="10" t="s">
        <v>398</v>
      </c>
      <c r="B23" s="63" t="n">
        <f aca="false">IFERROR(IRR($C$146:$W$146),"n.d.")</f>
        <v>0.00610987755036589</v>
      </c>
    </row>
    <row r="24" customFormat="false" ht="15" hidden="false" customHeight="false" outlineLevel="0" collapsed="false">
      <c r="A24" s="10" t="s">
        <v>384</v>
      </c>
      <c r="B24" s="61" t="n">
        <f aca="false">MAX(0,-$B$145)</f>
        <v>1111801.21553057</v>
      </c>
    </row>
    <row r="25" customFormat="false" ht="15" hidden="false" customHeight="false" outlineLevel="0" collapsed="false">
      <c r="A25" s="10" t="s">
        <v>256</v>
      </c>
      <c r="B25" s="63" t="n">
        <f aca="false">IFERROR(IRR($C$149:$W$149),"n.d.")</f>
        <v>-0.0278395496392942</v>
      </c>
    </row>
    <row r="26" customFormat="false" ht="15" hidden="false" customHeight="false" outlineLevel="0" collapsed="false">
      <c r="A26" s="10" t="s">
        <v>258</v>
      </c>
      <c r="B26" s="61" t="n">
        <f aca="false">C149+NPV(TargetEqIRR,D149:W149)</f>
        <v>-327453.302701323</v>
      </c>
    </row>
    <row r="27" customFormat="false" ht="15" hidden="false" customHeight="false" outlineLevel="0" collapsed="false">
      <c r="A27" s="10" t="s">
        <v>252</v>
      </c>
      <c r="B27" s="62" t="n">
        <f aca="false">IF((S_Capex_Hi!$B$16+S_Capex_Hi!$B$17)&gt;0,MIN($D$148:$W$148),"pas de dette")</f>
        <v>0.690028388660276</v>
      </c>
    </row>
    <row r="28" customFormat="false" ht="15" hidden="false" customHeight="false" outlineLevel="0" collapsed="false">
      <c r="A28" s="10" t="s">
        <v>254</v>
      </c>
      <c r="B28" s="62" t="n">
        <f aca="false">IF((S_Capex_Hi!$B$16+S_Capex_Hi!$B$17)&gt;0,AVERAGE($D$148:$W$148),"pas de dette")</f>
        <v>1.64335198768271</v>
      </c>
    </row>
    <row r="29" customFormat="false" ht="15" hidden="false" customHeight="false" outlineLevel="0" collapsed="false">
      <c r="A29" s="10" t="s">
        <v>399</v>
      </c>
      <c r="B29" s="77" t="n">
        <f aca="false">IFERROR($B$153/$B$154,0)</f>
        <v>0.750570606801728</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37196.5477504443</v>
      </c>
    </row>
    <row r="36" customFormat="false" ht="15" hidden="false" customHeight="false" outlineLevel="0" collapsed="false">
      <c r="A36" s="10" t="s">
        <v>260</v>
      </c>
      <c r="B36" s="78" t="str">
        <f aca="false">IFERROR(MATCH(TRUE(),INDEX($C$150:$W$150&gt;=0,0),0)-1,"&gt; durée de vie")</f>
        <v>&gt; durée de vie</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808221.322057881</v>
      </c>
      <c r="C88" s="83" t="n">
        <v>0</v>
      </c>
      <c r="D88" s="83" t="n">
        <f aca="false">S_Capex_Hi!$B$15*O_FixedPct*D44*LevOpex*$B$8*D41</f>
        <v>30078.528395253</v>
      </c>
      <c r="E88" s="83" t="n">
        <f aca="false">S_Capex_Hi!$B$15*O_FixedPct*E44*LevOpex*$B$8*E41</f>
        <v>30980.8842471106</v>
      </c>
      <c r="F88" s="83" t="n">
        <f aca="false">S_Capex_Hi!$B$15*O_FixedPct*F44*LevOpex*$B$8*F41</f>
        <v>31910.3107745239</v>
      </c>
      <c r="G88" s="83" t="n">
        <f aca="false">S_Capex_Hi!$B$15*O_FixedPct*G44*LevOpex*$B$8*G41</f>
        <v>32867.6200977596</v>
      </c>
      <c r="H88" s="83" t="n">
        <f aca="false">S_Capex_Hi!$B$15*O_FixedPct*H44*LevOpex*$B$8*H41</f>
        <v>33853.6487006924</v>
      </c>
      <c r="I88" s="83" t="n">
        <f aca="false">S_Capex_Hi!$B$15*O_FixedPct*I44*LevOpex*$B$8*I41</f>
        <v>34869.2581617132</v>
      </c>
      <c r="J88" s="83" t="n">
        <f aca="false">S_Capex_Hi!$B$15*O_FixedPct*J44*LevOpex*$B$8*J41</f>
        <v>35915.3359065646</v>
      </c>
      <c r="K88" s="83" t="n">
        <f aca="false">S_Capex_Hi!$B$15*O_FixedPct*K44*LevOpex*$B$8*K41</f>
        <v>36992.7959837615</v>
      </c>
      <c r="L88" s="83" t="n">
        <f aca="false">S_Capex_Hi!$B$15*O_FixedPct*L44*LevOpex*$B$8*L41</f>
        <v>38102.5798632744</v>
      </c>
      <c r="M88" s="83" t="n">
        <f aca="false">S_Capex_Hi!$B$15*O_FixedPct*M44*LevOpex*$B$8*M41</f>
        <v>39245.6572591726</v>
      </c>
      <c r="N88" s="83" t="n">
        <f aca="false">S_Capex_Hi!$B$15*O_FixedPct*N44*LevOpex*$B$8*N41</f>
        <v>40423.0269769478</v>
      </c>
      <c r="O88" s="83" t="n">
        <f aca="false">S_Capex_Hi!$B$15*O_FixedPct*O44*LevOpex*$B$8*O41</f>
        <v>41635.7177862562</v>
      </c>
      <c r="P88" s="83" t="n">
        <f aca="false">S_Capex_Hi!$B$15*O_FixedPct*P44*LevOpex*$B$8*P41</f>
        <v>42884.7893198439</v>
      </c>
      <c r="Q88" s="83" t="n">
        <f aca="false">S_Capex_Hi!$B$15*O_FixedPct*Q44*LevOpex*$B$8*Q41</f>
        <v>44171.3329994392</v>
      </c>
      <c r="R88" s="83" t="n">
        <f aca="false">S_Capex_Hi!$B$15*O_FixedPct*R44*LevOpex*$B$8*R41</f>
        <v>45496.4729894224</v>
      </c>
      <c r="S88" s="83" t="n">
        <f aca="false">S_Capex_Hi!$B$15*O_FixedPct*S44*LevOpex*$B$8*S41</f>
        <v>46861.3671791051</v>
      </c>
      <c r="T88" s="83" t="n">
        <f aca="false">S_Capex_Hi!$B$15*O_FixedPct*T44*LevOpex*$B$8*T41</f>
        <v>48267.2081944782</v>
      </c>
      <c r="U88" s="83" t="n">
        <f aca="false">S_Capex_Hi!$B$15*O_FixedPct*U44*LevOpex*$B$8*U41</f>
        <v>49715.2244403126</v>
      </c>
      <c r="V88" s="83" t="n">
        <f aca="false">S_Capex_Hi!$B$15*O_FixedPct*V44*LevOpex*$B$8*V41</f>
        <v>51206.681173522</v>
      </c>
      <c r="W88" s="83" t="n">
        <f aca="false">S_Capex_Hi!$B$15*O_FixedPct*W44*LevOpex*$B$8*W41</f>
        <v>52742.8816087276</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185890.904073313</v>
      </c>
      <c r="C90" s="83" t="n">
        <v>0</v>
      </c>
      <c r="D90" s="83" t="n">
        <f aca="false">S_Capex_Hi!$B$14*O_InsPct*D44*LevOpex*$B$8*D41</f>
        <v>6918.06153090819</v>
      </c>
      <c r="E90" s="83" t="n">
        <f aca="false">S_Capex_Hi!$B$14*O_InsPct*E44*LevOpex*$B$8*E41</f>
        <v>7125.60337683544</v>
      </c>
      <c r="F90" s="83" t="n">
        <f aca="false">S_Capex_Hi!$B$14*O_InsPct*F44*LevOpex*$B$8*F41</f>
        <v>7339.3714781405</v>
      </c>
      <c r="G90" s="83" t="n">
        <f aca="false">S_Capex_Hi!$B$14*O_InsPct*G44*LevOpex*$B$8*G41</f>
        <v>7559.55262248472</v>
      </c>
      <c r="H90" s="83" t="n">
        <f aca="false">S_Capex_Hi!$B$14*O_InsPct*H44*LevOpex*$B$8*H41</f>
        <v>7786.33920115926</v>
      </c>
      <c r="I90" s="83" t="n">
        <f aca="false">S_Capex_Hi!$B$14*O_InsPct*I44*LevOpex*$B$8*I41</f>
        <v>8019.92937719404</v>
      </c>
      <c r="J90" s="83" t="n">
        <f aca="false">S_Capex_Hi!$B$14*O_InsPct*J44*LevOpex*$B$8*J41</f>
        <v>8260.52725850986</v>
      </c>
      <c r="K90" s="83" t="n">
        <f aca="false">S_Capex_Hi!$B$14*O_InsPct*K44*LevOpex*$B$8*K41</f>
        <v>8508.34307626515</v>
      </c>
      <c r="L90" s="83" t="n">
        <f aca="false">S_Capex_Hi!$B$14*O_InsPct*L44*LevOpex*$B$8*L41</f>
        <v>8763.59336855311</v>
      </c>
      <c r="M90" s="83" t="n">
        <f aca="false">S_Capex_Hi!$B$14*O_InsPct*M44*LevOpex*$B$8*M41</f>
        <v>9026.5011696097</v>
      </c>
      <c r="N90" s="83" t="n">
        <f aca="false">S_Capex_Hi!$B$14*O_InsPct*N44*LevOpex*$B$8*N41</f>
        <v>9297.29620469799</v>
      </c>
      <c r="O90" s="83" t="n">
        <f aca="false">S_Capex_Hi!$B$14*O_InsPct*O44*LevOpex*$B$8*O41</f>
        <v>9576.21509083893</v>
      </c>
      <c r="P90" s="83" t="n">
        <f aca="false">S_Capex_Hi!$B$14*O_InsPct*P44*LevOpex*$B$8*P41</f>
        <v>9863.5015435641</v>
      </c>
      <c r="Q90" s="83" t="n">
        <f aca="false">S_Capex_Hi!$B$14*O_InsPct*Q44*LevOpex*$B$8*Q41</f>
        <v>10159.406589871</v>
      </c>
      <c r="R90" s="83" t="n">
        <f aca="false">S_Capex_Hi!$B$14*O_InsPct*R44*LevOpex*$B$8*R41</f>
        <v>10464.1887875672</v>
      </c>
      <c r="S90" s="83" t="n">
        <f aca="false">S_Capex_Hi!$B$14*O_InsPct*S44*LevOpex*$B$8*S41</f>
        <v>10778.1144511942</v>
      </c>
      <c r="T90" s="83" t="n">
        <f aca="false">S_Capex_Hi!$B$14*O_InsPct*T44*LevOpex*$B$8*T41</f>
        <v>11101.45788473</v>
      </c>
      <c r="U90" s="83" t="n">
        <f aca="false">S_Capex_Hi!$B$14*O_InsPct*U44*LevOpex*$B$8*U41</f>
        <v>11434.5016212719</v>
      </c>
      <c r="V90" s="83" t="n">
        <f aca="false">S_Capex_Hi!$B$14*O_InsPct*V44*LevOpex*$B$8*V41</f>
        <v>11777.5366699101</v>
      </c>
      <c r="W90" s="83" t="n">
        <f aca="false">S_Capex_Hi!$B$14*O_InsPct*W44*LevOpex*$B$8*W41</f>
        <v>12130.8627700074</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3486049.50962937</v>
      </c>
      <c r="C96" s="27" t="n">
        <f aca="false">C88+C89+C90+C91+C92+C93+C94+C95</f>
        <v>0</v>
      </c>
      <c r="D96" s="27" t="n">
        <f aca="false">D88+D89+D90+D91+D92+D93+D94+D95</f>
        <v>74729.1656531721</v>
      </c>
      <c r="E96" s="27" t="n">
        <f aca="false">E88+E89+E90+E91+E92+E93+E94+E95</f>
        <v>82767.9472830594</v>
      </c>
      <c r="F96" s="27" t="n">
        <f aca="false">F88+F89+F90+F91+F92+F93+F94+F95</f>
        <v>89320.008637786</v>
      </c>
      <c r="G96" s="27" t="n">
        <f aca="false">G88+G89+G90+G91+G92+G93+G94+G95</f>
        <v>92672.3351572198</v>
      </c>
      <c r="H96" s="27" t="n">
        <f aca="false">H88+H89+H90+H91+H92+H93+H94+H95</f>
        <v>96222.749123739</v>
      </c>
      <c r="I96" s="27" t="n">
        <f aca="false">I88+I89+I90+I91+I92+I93+I94+I95</f>
        <v>99926.5833634824</v>
      </c>
      <c r="J96" s="27" t="n">
        <f aca="false">J88+J89+J90+J91+J92+J93+J94+J95</f>
        <v>105669.443848586</v>
      </c>
      <c r="K96" s="27" t="n">
        <f aca="false">K88+K89+K90+K91+K92+K93+K94+K95</f>
        <v>117703.810656359</v>
      </c>
      <c r="L96" s="27" t="n">
        <f aca="false">L88+L89+L90+L91+L92+L93+L94+L95</f>
        <v>130598.427666219</v>
      </c>
      <c r="M96" s="27" t="n">
        <f aca="false">M88+M89+M90+M91+M92+M93+M94+M95</f>
        <v>144408.495534056</v>
      </c>
      <c r="N96" s="27" t="n">
        <f aca="false">N88+N89+N90+N91+N92+N93+N94+N95</f>
        <v>159192.635897176</v>
      </c>
      <c r="O96" s="27" t="n">
        <f aca="false">O88+O89+O90+O91+O92+O93+O94+O95</f>
        <v>175013.100866642</v>
      </c>
      <c r="P96" s="27" t="n">
        <f aca="false">P88+P89+P90+P91+P92+P93+P94+P95</f>
        <v>191935.995296861</v>
      </c>
      <c r="Q96" s="27" t="n">
        <f aca="false">Q88+Q89+Q90+Q91+Q92+Q93+Q94+Q95</f>
        <v>210031.512610714</v>
      </c>
      <c r="R96" s="27" t="n">
        <f aca="false">R88+R89+R90+R91+R92+R93+R94+R95</f>
        <v>229374.185005973</v>
      </c>
      <c r="S96" s="27" t="n">
        <f aca="false">S88+S89+S90+S91+S92+S93+S94+S95</f>
        <v>250043.148918986</v>
      </c>
      <c r="T96" s="27" t="n">
        <f aca="false">T88+T89+T90+T91+T92+T93+T94+T95</f>
        <v>272122.42667499</v>
      </c>
      <c r="U96" s="27" t="n">
        <f aca="false">U88+U89+U90+U91+U92+U93+U94+U95</f>
        <v>295701.225310977</v>
      </c>
      <c r="V96" s="27" t="n">
        <f aca="false">V88+V89+V90+V91+V92+V93+V94+V95</f>
        <v>320874.2536171</v>
      </c>
      <c r="W96" s="27" t="n">
        <f aca="false">W88+W89+W90+W91+W92+W93+W94+W95</f>
        <v>347742.058506273</v>
      </c>
    </row>
    <row r="98" customFormat="false" ht="15" hidden="false" customHeight="false" outlineLevel="0" collapsed="false">
      <c r="A98" s="15" t="s">
        <v>436</v>
      </c>
      <c r="B98" s="61" t="n">
        <f aca="false">SUM(C98:W98)</f>
        <v>1014190.03108445</v>
      </c>
      <c r="C98" s="27" t="n">
        <f aca="false">C85-C96</f>
        <v>0</v>
      </c>
      <c r="D98" s="27" t="n">
        <f aca="false">D85-D96</f>
        <v>5788.22161082791</v>
      </c>
      <c r="E98" s="27" t="n">
        <f aca="false">E85-E96</f>
        <v>30749.6914271422</v>
      </c>
      <c r="F98" s="27" t="n">
        <f aca="false">F85-F96</f>
        <v>50500.0212535704</v>
      </c>
      <c r="G98" s="27" t="n">
        <f aca="false">G85-G96</f>
        <v>53832.6820545201</v>
      </c>
      <c r="H98" s="27" t="n">
        <f aca="false">H85-H96</f>
        <v>59204.423636196</v>
      </c>
      <c r="I98" s="27" t="n">
        <f aca="false">I85-I96</f>
        <v>64966.1042175325</v>
      </c>
      <c r="J98" s="27" t="n">
        <f aca="false">J85-J96</f>
        <v>69265.208406113</v>
      </c>
      <c r="K98" s="27" t="n">
        <f aca="false">K85-K96</f>
        <v>67884.3619206511</v>
      </c>
      <c r="L98" s="27" t="n">
        <f aca="false">L85-L96</f>
        <v>66292.0646207313</v>
      </c>
      <c r="M98" s="27" t="n">
        <f aca="false">M85-M96</f>
        <v>64472.627733169</v>
      </c>
      <c r="N98" s="27" t="n">
        <f aca="false">N85-N96</f>
        <v>62409.3477770232</v>
      </c>
      <c r="O98" s="27" t="n">
        <f aca="false">O85-O96</f>
        <v>60084.4436133154</v>
      </c>
      <c r="P98" s="27" t="n">
        <f aca="false">P85-P96</f>
        <v>57478.9896419263</v>
      </c>
      <c r="Q98" s="27" t="n">
        <f aca="false">Q85-Q96</f>
        <v>54572.8449108454</v>
      </c>
      <c r="R98" s="27" t="n">
        <f aca="false">R85-R96</f>
        <v>51344.5778886497</v>
      </c>
      <c r="S98" s="27" t="n">
        <f aca="false">S85-S96</f>
        <v>47771.386635919</v>
      </c>
      <c r="T98" s="27" t="n">
        <f aca="false">T85-T96</f>
        <v>43829.0140952086</v>
      </c>
      <c r="U98" s="27" t="n">
        <f aca="false">U85-U96</f>
        <v>39491.6582021264</v>
      </c>
      <c r="V98" s="27" t="n">
        <f aca="false">V85-V96</f>
        <v>34731.8765019525</v>
      </c>
      <c r="W98" s="27" t="n">
        <f aca="false">W85-W96</f>
        <v>29520.4849370292</v>
      </c>
    </row>
    <row r="99" customFormat="false" ht="15" hidden="false" customHeight="false" outlineLevel="0" collapsed="false">
      <c r="A99" s="10" t="s">
        <v>437</v>
      </c>
      <c r="C99" s="81" t="n">
        <v>0</v>
      </c>
      <c r="D99" s="81" t="n">
        <f aca="false">IFERROR(D98/D85,0)</f>
        <v>0.0718878469298751</v>
      </c>
      <c r="E99" s="81" t="n">
        <f aca="false">IFERROR(E98/E85,0)</f>
        <v>0.270880294697134</v>
      </c>
      <c r="F99" s="81" t="n">
        <f aca="false">IFERROR(F98/F85,0)</f>
        <v>0.361178733067145</v>
      </c>
      <c r="G99" s="81" t="n">
        <f aca="false">IFERROR(G98/G85,0)</f>
        <v>0.36744599658807</v>
      </c>
      <c r="H99" s="81" t="n">
        <f aca="false">IFERROR(H98/H85,0)</f>
        <v>0.380914241602015</v>
      </c>
      <c r="I99" s="81" t="n">
        <f aca="false">IFERROR(I98/I85,0)</f>
        <v>0.393990207634971</v>
      </c>
      <c r="J99" s="81" t="n">
        <f aca="false">IFERROR(J98/J85,0)</f>
        <v>0.395949044476707</v>
      </c>
      <c r="K99" s="81" t="n">
        <f aca="false">IFERROR(K98/K85,0)</f>
        <v>0.36577956977556</v>
      </c>
      <c r="L99" s="81" t="n">
        <f aca="false">IFERROR(L98/L85,0)</f>
        <v>0.336695103205475</v>
      </c>
      <c r="M99" s="81" t="n">
        <f aca="false">IFERROR(M98/M85,0)</f>
        <v>0.308657032884145</v>
      </c>
      <c r="N99" s="81" t="n">
        <f aca="false">IFERROR(N98/N85,0)</f>
        <v>0.281628109741012</v>
      </c>
      <c r="O99" s="81" t="n">
        <f aca="false">IFERROR(O98/O85,0)</f>
        <v>0.255572399729754</v>
      </c>
      <c r="P99" s="81" t="n">
        <f aca="false">IFERROR(P98/P85,0)</f>
        <v>0.230455237707682</v>
      </c>
      <c r="Q99" s="81" t="n">
        <f aca="false">IFERROR(Q98/Q85,0)</f>
        <v>0.206243182924147</v>
      </c>
      <c r="R99" s="81" t="n">
        <f aca="false">IFERROR(R98/R85,0)</f>
        <v>0.182903976062062</v>
      </c>
      <c r="S99" s="81" t="n">
        <f aca="false">IFERROR(S98/S85,0)</f>
        <v>0.160406497778588</v>
      </c>
      <c r="T99" s="81" t="n">
        <f aca="false">IFERROR(T98/T85,0)</f>
        <v>0.138720728692884</v>
      </c>
      <c r="U99" s="81" t="n">
        <f aca="false">IFERROR(U98/U85,0)</f>
        <v>0.117817710770648</v>
      </c>
      <c r="V99" s="81" t="n">
        <f aca="false">IFERROR(V98/V85,0)</f>
        <v>0.0976695100568844</v>
      </c>
      <c r="W99" s="81" t="n">
        <f aca="false">IFERROR(W98/W85,0)</f>
        <v>0.0782491807100531</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1383612.30618164</v>
      </c>
      <c r="C102" s="83" t="n">
        <f aca="false">S_Capex_Hi!$B$14</f>
        <v>1383612.30618164</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147758.935402111</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199084.125245642</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252193.813540404</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451277.938786046</v>
      </c>
      <c r="C104" s="83" t="n">
        <v>0</v>
      </c>
      <c r="D104" s="83" t="n">
        <f aca="false">IF(AND(UseMRA=1,D41=1,CEILING(D39,BattLife)&lt;Life),BESS_kWh*C_BattRepl*LevCapex*$B$7*(1+CostEsc)^(CEILING(D39,BattLife)-1)/BattLife,0)</f>
        <v>24885.5156557052</v>
      </c>
      <c r="E104" s="83" t="n">
        <f aca="false">IF(AND(UseMRA=1,E41=1,CEILING(E39,BattLife)&lt;Life),BESS_kWh*C_BattRepl*LevCapex*$B$7*(1+CostEsc)^(CEILING(E39,BattLife)-1)/BattLife,0)</f>
        <v>24885.5156557052</v>
      </c>
      <c r="F104" s="83" t="n">
        <f aca="false">IF(AND(UseMRA=1,F41=1,CEILING(F39,BattLife)&lt;Life),BESS_kWh*C_BattRepl*LevCapex*$B$7*(1+CostEsc)^(CEILING(F39,BattLife)-1)/BattLife,0)</f>
        <v>24885.5156557052</v>
      </c>
      <c r="G104" s="83" t="n">
        <f aca="false">IF(AND(UseMRA=1,G41=1,CEILING(G39,BattLife)&lt;Life),BESS_kWh*C_BattRepl*LevCapex*$B$7*(1+CostEsc)^(CEILING(G39,BattLife)-1)/BattLife,0)</f>
        <v>24885.5156557052</v>
      </c>
      <c r="H104" s="83" t="n">
        <f aca="false">IF(AND(UseMRA=1,H41=1,CEILING(H39,BattLife)&lt;Life),BESS_kWh*C_BattRepl*LevCapex*$B$7*(1+CostEsc)^(CEILING(H39,BattLife)-1)/BattLife,0)</f>
        <v>24885.5156557052</v>
      </c>
      <c r="I104" s="83" t="n">
        <f aca="false">IF(AND(UseMRA=1,I41=1,CEILING(I39,BattLife)&lt;Life),BESS_kWh*C_BattRepl*LevCapex*$B$7*(1+CostEsc)^(CEILING(I39,BattLife)-1)/BattLife,0)</f>
        <v>24885.5156557052</v>
      </c>
      <c r="J104" s="83" t="n">
        <f aca="false">IF(AND(UseMRA=1,J41=1,CEILING(J39,BattLife)&lt;Life),BESS_kWh*C_BattRepl*LevCapex*$B$7*(1+CostEsc)^(CEILING(J39,BattLife)-1)/BattLife,0)</f>
        <v>24885.5156557052</v>
      </c>
      <c r="K104" s="83" t="n">
        <f aca="false">IF(AND(UseMRA=1,K41=1,CEILING(K39,BattLife)&lt;Life),BESS_kWh*C_BattRepl*LevCapex*$B$7*(1+CostEsc)^(CEILING(K39,BattLife)-1)/BattLife,0)</f>
        <v>24885.5156557052</v>
      </c>
      <c r="L104" s="83" t="n">
        <f aca="false">IF(AND(UseMRA=1,L41=1,CEILING(L39,BattLife)&lt;Life),BESS_kWh*C_BattRepl*LevCapex*$B$7*(1+CostEsc)^(CEILING(L39,BattLife)-1)/BattLife,0)</f>
        <v>31524.2266925505</v>
      </c>
      <c r="M104" s="83" t="n">
        <f aca="false">IF(AND(UseMRA=1,M41=1,CEILING(M39,BattLife)&lt;Life),BESS_kWh*C_BattRepl*LevCapex*$B$7*(1+CostEsc)^(CEILING(M39,BattLife)-1)/BattLife,0)</f>
        <v>31524.2266925505</v>
      </c>
      <c r="N104" s="83" t="n">
        <f aca="false">IF(AND(UseMRA=1,N41=1,CEILING(N39,BattLife)&lt;Life),BESS_kWh*C_BattRepl*LevCapex*$B$7*(1+CostEsc)^(CEILING(N39,BattLife)-1)/BattLife,0)</f>
        <v>31524.2266925505</v>
      </c>
      <c r="O104" s="83" t="n">
        <f aca="false">IF(AND(UseMRA=1,O41=1,CEILING(O39,BattLife)&lt;Life),BESS_kWh*C_BattRepl*LevCapex*$B$7*(1+CostEsc)^(CEILING(O39,BattLife)-1)/BattLife,0)</f>
        <v>31524.2266925505</v>
      </c>
      <c r="P104" s="83" t="n">
        <f aca="false">IF(AND(UseMRA=1,P41=1,CEILING(P39,BattLife)&lt;Life),BESS_kWh*C_BattRepl*LevCapex*$B$7*(1+CostEsc)^(CEILING(P39,BattLife)-1)/BattLife,0)</f>
        <v>31524.2266925505</v>
      </c>
      <c r="Q104" s="83" t="n">
        <f aca="false">IF(AND(UseMRA=1,Q41=1,CEILING(Q39,BattLife)&lt;Life),BESS_kWh*C_BattRepl*LevCapex*$B$7*(1+CostEsc)^(CEILING(Q39,BattLife)-1)/BattLife,0)</f>
        <v>31524.2266925505</v>
      </c>
      <c r="R104" s="83" t="n">
        <f aca="false">IF(AND(UseMRA=1,R41=1,CEILING(R39,BattLife)&lt;Life),BESS_kWh*C_BattRepl*LevCapex*$B$7*(1+CostEsc)^(CEILING(R39,BattLife)-1)/BattLife,0)</f>
        <v>31524.2266925505</v>
      </c>
      <c r="S104" s="83" t="n">
        <f aca="false">IF(AND(UseMRA=1,S41=1,CEILING(S39,BattLife)&lt;Life),BESS_kWh*C_BattRepl*LevCapex*$B$7*(1+CostEsc)^(CEILING(S39,BattLife)-1)/BattLife,0)</f>
        <v>31524.2266925505</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451277.938786046</v>
      </c>
      <c r="C105" s="83" t="n">
        <v>0</v>
      </c>
      <c r="D105" s="83" t="n">
        <f aca="false">IF(UseMRA=1,D104,D103)</f>
        <v>24885.5156557052</v>
      </c>
      <c r="E105" s="83" t="n">
        <f aca="false">IF(UseMRA=1,E104,E103)</f>
        <v>24885.5156557052</v>
      </c>
      <c r="F105" s="83" t="n">
        <f aca="false">IF(UseMRA=1,F104,F103)</f>
        <v>24885.5156557052</v>
      </c>
      <c r="G105" s="83" t="n">
        <f aca="false">IF(UseMRA=1,G104,G103)</f>
        <v>24885.5156557052</v>
      </c>
      <c r="H105" s="83" t="n">
        <f aca="false">IF(UseMRA=1,H104,H103)</f>
        <v>24885.5156557052</v>
      </c>
      <c r="I105" s="83" t="n">
        <f aca="false">IF(UseMRA=1,I104,I103)</f>
        <v>24885.5156557052</v>
      </c>
      <c r="J105" s="83" t="n">
        <f aca="false">IF(UseMRA=1,J104,J103)</f>
        <v>24885.5156557052</v>
      </c>
      <c r="K105" s="83" t="n">
        <f aca="false">IF(UseMRA=1,K104,K103)</f>
        <v>24885.5156557052</v>
      </c>
      <c r="L105" s="83" t="n">
        <f aca="false">IF(UseMRA=1,L104,L103)</f>
        <v>31524.2266925505</v>
      </c>
      <c r="M105" s="83" t="n">
        <f aca="false">IF(UseMRA=1,M104,M103)</f>
        <v>31524.2266925505</v>
      </c>
      <c r="N105" s="83" t="n">
        <f aca="false">IF(UseMRA=1,N104,N103)</f>
        <v>31524.2266925505</v>
      </c>
      <c r="O105" s="83" t="n">
        <f aca="false">IF(UseMRA=1,O104,O103)</f>
        <v>31524.2266925505</v>
      </c>
      <c r="P105" s="83" t="n">
        <f aca="false">IF(UseMRA=1,P104,P103)</f>
        <v>31524.2266925505</v>
      </c>
      <c r="Q105" s="83" t="n">
        <f aca="false">IF(UseMRA=1,Q104,Q103)</f>
        <v>31524.2266925505</v>
      </c>
      <c r="R105" s="83" t="n">
        <f aca="false">IF(UseMRA=1,R104,R103)</f>
        <v>31524.2266925505</v>
      </c>
      <c r="S105" s="83" t="n">
        <f aca="false">IF(UseMRA=1,S104,S103)</f>
        <v>31524.2266925505</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156722.461236328</v>
      </c>
      <c r="E112" s="83" t="n">
        <f aca="false">D116</f>
        <v>156722.461236328</v>
      </c>
      <c r="F112" s="83" t="n">
        <f aca="false">E116</f>
        <v>156722.461236328</v>
      </c>
      <c r="G112" s="83" t="n">
        <f aca="false">F116</f>
        <v>143018.01958161</v>
      </c>
      <c r="H112" s="83" t="n">
        <f aca="false">G116</f>
        <v>127943.133761421</v>
      </c>
      <c r="I112" s="83" t="n">
        <f aca="false">H116</f>
        <v>111360.759359213</v>
      </c>
      <c r="J112" s="83" t="n">
        <f aca="false">I116</f>
        <v>93120.147516784</v>
      </c>
      <c r="K112" s="83" t="n">
        <f aca="false">J116</f>
        <v>73055.4744901121</v>
      </c>
      <c r="L112" s="83" t="n">
        <f aca="false">K116</f>
        <v>50984.3341607731</v>
      </c>
      <c r="M112" s="83" t="n">
        <f aca="false">L116</f>
        <v>26706.0797985001</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156722.461236328</v>
      </c>
      <c r="C113" s="83" t="n">
        <f aca="false">S_Capex_Hi!$B$16</f>
        <v>156722.461236328</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109635.53323774</v>
      </c>
      <c r="C114" s="83" t="n">
        <v>0</v>
      </c>
      <c r="D114" s="83" t="n">
        <f aca="false">D112*SenRate*$B$11</f>
        <v>15672.2461236328</v>
      </c>
      <c r="E114" s="83" t="n">
        <f aca="false">E112*SenRate*$B$11</f>
        <v>15672.2461236328</v>
      </c>
      <c r="F114" s="83" t="n">
        <f aca="false">F112*SenRate*$B$11</f>
        <v>15672.2461236328</v>
      </c>
      <c r="G114" s="83" t="n">
        <f aca="false">G112*SenRate*$B$11</f>
        <v>14301.801958161</v>
      </c>
      <c r="H114" s="83" t="n">
        <f aca="false">H112*SenRate*$B$11</f>
        <v>12794.3133761421</v>
      </c>
      <c r="I114" s="83" t="n">
        <f aca="false">I112*SenRate*$B$11</f>
        <v>11136.0759359213</v>
      </c>
      <c r="J114" s="83" t="n">
        <f aca="false">J112*SenRate*$B$11</f>
        <v>9312.0147516784</v>
      </c>
      <c r="K114" s="83" t="n">
        <f aca="false">K112*SenRate*$B$11</f>
        <v>7305.54744901121</v>
      </c>
      <c r="L114" s="83" t="n">
        <f aca="false">L112*SenRate*$B$11</f>
        <v>5098.43341607731</v>
      </c>
      <c r="M114" s="83" t="n">
        <f aca="false">M112*SenRate*$B$11</f>
        <v>2670.60797985001</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156722.461236328</v>
      </c>
      <c r="C115" s="83" t="n">
        <v>0</v>
      </c>
      <c r="D115" s="83" t="n">
        <f aca="false">IF(AND(D39&gt;SenGrace,D39&lt;=SenTenor),PMT(SenRate*$B$11,SenTenor-SenGrace,-S_Capex_Hi!$B$16)-D114,0)</f>
        <v>0</v>
      </c>
      <c r="E115" s="83" t="n">
        <f aca="false">IF(AND(E39&gt;SenGrace,E39&lt;=SenTenor),PMT(SenRate*$B$11,SenTenor-SenGrace,-S_Capex_Hi!$B$16)-E114,0)</f>
        <v>0</v>
      </c>
      <c r="F115" s="83" t="n">
        <f aca="false">IF(AND(F39&gt;SenGrace,F39&lt;=SenTenor),PMT(SenRate*$B$11,SenTenor-SenGrace,-S_Capex_Hi!$B$16)-F114,0)</f>
        <v>13704.4416547175</v>
      </c>
      <c r="G115" s="83" t="n">
        <f aca="false">IF(AND(G39&gt;SenGrace,G39&lt;=SenTenor),PMT(SenRate*$B$11,SenTenor-SenGrace,-S_Capex_Hi!$B$16)-G114,0)</f>
        <v>15074.8858201892</v>
      </c>
      <c r="H115" s="83" t="n">
        <f aca="false">IF(AND(H39&gt;SenGrace,H39&lt;=SenTenor),PMT(SenRate*$B$11,SenTenor-SenGrace,-S_Capex_Hi!$B$16)-H114,0)</f>
        <v>16582.3744022081</v>
      </c>
      <c r="I115" s="83" t="n">
        <f aca="false">IF(AND(I39&gt;SenGrace,I39&lt;=SenTenor),PMT(SenRate*$B$11,SenTenor-SenGrace,-S_Capex_Hi!$B$16)-I114,0)</f>
        <v>18240.611842429</v>
      </c>
      <c r="J115" s="83" t="n">
        <f aca="false">IF(AND(J39&gt;SenGrace,J39&lt;=SenTenor),PMT(SenRate*$B$11,SenTenor-SenGrace,-S_Capex_Hi!$B$16)-J114,0)</f>
        <v>20064.6730266718</v>
      </c>
      <c r="K115" s="83" t="n">
        <f aca="false">IF(AND(K39&gt;SenGrace,K39&lt;=SenTenor),PMT(SenRate*$B$11,SenTenor-SenGrace,-S_Capex_Hi!$B$16)-K114,0)</f>
        <v>22071.140329339</v>
      </c>
      <c r="L115" s="83" t="n">
        <f aca="false">IF(AND(L39&gt;SenGrace,L39&lt;=SenTenor),PMT(SenRate*$B$11,SenTenor-SenGrace,-S_Capex_Hi!$B$16)-L114,0)</f>
        <v>24278.2543622729</v>
      </c>
      <c r="M115" s="83" t="n">
        <f aca="false">IF(AND(M39&gt;SenGrace,M39&lt;=SenTenor),PMT(SenRate*$B$11,SenTenor-SenGrace,-S_Capex_Hi!$B$16)-M114,0)</f>
        <v>26706.0797985002</v>
      </c>
      <c r="N115" s="83" t="n">
        <f aca="false">IF(AND(N39&gt;SenGrace,N39&lt;=SenTenor),PMT(SenRate*$B$11,SenTenor-SenGrace,-S_Capex_Hi!$B$16)-N114,0)</f>
        <v>0</v>
      </c>
      <c r="O115" s="83" t="n">
        <f aca="false">IF(AND(O39&gt;SenGrace,O39&lt;=SenTenor),PMT(SenRate*$B$11,SenTenor-SenGrace,-S_Capex_Hi!$B$16)-O114,0)</f>
        <v>0</v>
      </c>
      <c r="P115" s="83" t="n">
        <f aca="false">IF(AND(P39&gt;SenGrace,P39&lt;=SenTenor),PMT(SenRate*$B$11,SenTenor-SenGrace,-S_Capex_Hi!$B$16)-P114,0)</f>
        <v>0</v>
      </c>
      <c r="Q115" s="83" t="n">
        <f aca="false">IF(AND(Q39&gt;SenGrace,Q39&lt;=SenTenor),PMT(SenRate*$B$11,SenTenor-SenGrace,-S_Capex_Hi!$B$16)-Q114,0)</f>
        <v>0</v>
      </c>
      <c r="R115" s="83" t="n">
        <f aca="false">IF(AND(R39&gt;SenGrace,R39&lt;=SenTenor),PMT(SenRate*$B$11,SenTenor-SenGrace,-S_Capex_Hi!$B$16)-R114,0)</f>
        <v>0</v>
      </c>
      <c r="S115" s="83" t="n">
        <f aca="false">IF(AND(S39&gt;SenGrace,S39&lt;=SenTenor),PMT(SenRate*$B$11,SenTenor-SenGrace,-S_Capex_Hi!$B$16)-S114,0)</f>
        <v>0</v>
      </c>
      <c r="T115" s="83" t="n">
        <f aca="false">IF(AND(T39&gt;SenGrace,T39&lt;=SenTenor),PMT(SenRate*$B$11,SenTenor-SenGrace,-S_Capex_Hi!$B$16)-T114,0)</f>
        <v>0</v>
      </c>
      <c r="U115" s="83" t="n">
        <f aca="false">IF(AND(U39&gt;SenGrace,U39&lt;=SenTenor),PMT(SenRate*$B$11,SenTenor-SenGrace,-S_Capex_Hi!$B$16)-U114,0)</f>
        <v>0</v>
      </c>
      <c r="V115" s="83" t="n">
        <f aca="false">IF(AND(V39&gt;SenGrace,V39&lt;=SenTenor),PMT(SenRate*$B$11,SenTenor-SenGrace,-S_Capex_Hi!$B$16)-V114,0)</f>
        <v>0</v>
      </c>
      <c r="W115" s="83" t="n">
        <f aca="false">IF(AND(W39&gt;SenGrace,W39&lt;=SenTenor),PMT(SenRate*$B$11,SenTenor-SenGrace,-S_Capex_Hi!$B$16)-W114,0)</f>
        <v>0</v>
      </c>
    </row>
    <row r="116" customFormat="false" ht="15" hidden="false" customHeight="false" outlineLevel="0" collapsed="false">
      <c r="A116" s="10" t="s">
        <v>451</v>
      </c>
      <c r="C116" s="83" t="n">
        <f aca="false">0+C113-0</f>
        <v>156722.461236328</v>
      </c>
      <c r="D116" s="83" t="n">
        <f aca="false">D112+D113-D115</f>
        <v>156722.461236328</v>
      </c>
      <c r="E116" s="83" t="n">
        <f aca="false">E112+E113-E115</f>
        <v>156722.461236328</v>
      </c>
      <c r="F116" s="83" t="n">
        <f aca="false">F112+F113-F115</f>
        <v>143018.01958161</v>
      </c>
      <c r="G116" s="83" t="n">
        <f aca="false">G112+G113-G115</f>
        <v>127943.133761421</v>
      </c>
      <c r="H116" s="83" t="n">
        <f aca="false">H112+H113-H115</f>
        <v>111360.759359213</v>
      </c>
      <c r="I116" s="83" t="n">
        <f aca="false">I112+I113-I115</f>
        <v>93120.147516784</v>
      </c>
      <c r="J116" s="83" t="n">
        <f aca="false">J112+J113-J115</f>
        <v>73055.4744901121</v>
      </c>
      <c r="K116" s="83" t="n">
        <f aca="false">K112+K113-K115</f>
        <v>50984.3341607731</v>
      </c>
      <c r="L116" s="83" t="n">
        <f aca="false">L112+L113-L115</f>
        <v>26706.0797985001</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156722.461236328</v>
      </c>
      <c r="E119" s="83" t="n">
        <f aca="false">D123</f>
        <v>156722.461236328</v>
      </c>
      <c r="F119" s="83" t="n">
        <f aca="false">E123</f>
        <v>156722.461236328</v>
      </c>
      <c r="G119" s="83" t="n">
        <f aca="false">F123</f>
        <v>156722.461236328</v>
      </c>
      <c r="H119" s="83" t="n">
        <f aca="false">G123</f>
        <v>156722.461236328</v>
      </c>
      <c r="I119" s="83" t="n">
        <f aca="false">H123</f>
        <v>156722.461236328</v>
      </c>
      <c r="J119" s="83" t="n">
        <f aca="false">I123</f>
        <v>143051.481546275</v>
      </c>
      <c r="K119" s="83" t="n">
        <f aca="false">J123</f>
        <v>128970.372465521</v>
      </c>
      <c r="L119" s="83" t="n">
        <f aca="false">K123</f>
        <v>114466.830112345</v>
      </c>
      <c r="M119" s="83" t="n">
        <f aca="false">L123</f>
        <v>99528.181488573</v>
      </c>
      <c r="N119" s="83" t="n">
        <f aca="false">M123</f>
        <v>84141.373406088</v>
      </c>
      <c r="O119" s="83" t="n">
        <f aca="false">N123</f>
        <v>68292.9610811285</v>
      </c>
      <c r="P119" s="83" t="n">
        <f aca="false">O123</f>
        <v>51969.0963864202</v>
      </c>
      <c r="Q119" s="83" t="n">
        <f aca="false">P123</f>
        <v>35155.5157508706</v>
      </c>
      <c r="R119" s="83" t="n">
        <f aca="false">Q123</f>
        <v>17837.5276962545</v>
      </c>
      <c r="S119" s="83" t="n">
        <f aca="false">R123</f>
        <v>-6.54836185276508E-011</v>
      </c>
      <c r="T119" s="83" t="n">
        <f aca="false">S123</f>
        <v>-6.54836185276508E-011</v>
      </c>
      <c r="U119" s="83" t="n">
        <f aca="false">T123</f>
        <v>-6.54836185276508E-011</v>
      </c>
      <c r="V119" s="83" t="n">
        <f aca="false">U123</f>
        <v>-6.54836185276508E-011</v>
      </c>
      <c r="W119" s="83" t="n">
        <f aca="false">V123</f>
        <v>-6.54836185276508E-011</v>
      </c>
    </row>
    <row r="120" customFormat="false" ht="15" hidden="false" customHeight="false" outlineLevel="0" collapsed="false">
      <c r="A120" s="10" t="s">
        <v>448</v>
      </c>
      <c r="B120" s="61" t="n">
        <f aca="false">SUM(C120:W120)</f>
        <v>156722.461236328</v>
      </c>
      <c r="C120" s="83" t="n">
        <f aca="false">S_Capex_Hi!$B$17</f>
        <v>156722.461236328</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50512.4432205433</v>
      </c>
      <c r="C121" s="83" t="n">
        <v>0</v>
      </c>
      <c r="D121" s="83" t="n">
        <f aca="false">D119*ConRate*$B$11</f>
        <v>4701.67383708983</v>
      </c>
      <c r="E121" s="83" t="n">
        <f aca="false">E119*ConRate*$B$11</f>
        <v>4701.67383708983</v>
      </c>
      <c r="F121" s="83" t="n">
        <f aca="false">F119*ConRate*$B$11</f>
        <v>4701.67383708983</v>
      </c>
      <c r="G121" s="83" t="n">
        <f aca="false">G119*ConRate*$B$11</f>
        <v>4701.67383708983</v>
      </c>
      <c r="H121" s="83" t="n">
        <f aca="false">H119*ConRate*$B$11</f>
        <v>4701.67383708983</v>
      </c>
      <c r="I121" s="83" t="n">
        <f aca="false">I119*ConRate*$B$11</f>
        <v>4701.67383708983</v>
      </c>
      <c r="J121" s="83" t="n">
        <f aca="false">J119*ConRate*$B$11</f>
        <v>4291.54444638826</v>
      </c>
      <c r="K121" s="83" t="n">
        <f aca="false">K119*ConRate*$B$11</f>
        <v>3869.11117396564</v>
      </c>
      <c r="L121" s="83" t="n">
        <f aca="false">L119*ConRate*$B$11</f>
        <v>3434.00490337035</v>
      </c>
      <c r="M121" s="83" t="n">
        <f aca="false">M119*ConRate*$B$11</f>
        <v>2985.84544465719</v>
      </c>
      <c r="N121" s="83" t="n">
        <f aca="false">N119*ConRate*$B$11</f>
        <v>2524.24120218264</v>
      </c>
      <c r="O121" s="83" t="n">
        <f aca="false">O119*ConRate*$B$11</f>
        <v>2048.78883243385</v>
      </c>
      <c r="P121" s="83" t="n">
        <f aca="false">P119*ConRate*$B$11</f>
        <v>1559.0728915926</v>
      </c>
      <c r="Q121" s="83" t="n">
        <f aca="false">Q119*ConRate*$B$11</f>
        <v>1054.66547252612</v>
      </c>
      <c r="R121" s="83" t="n">
        <f aca="false">R119*ConRate*$B$11</f>
        <v>535.125830887635</v>
      </c>
      <c r="S121" s="83" t="n">
        <f aca="false">S119*ConRate*$B$11</f>
        <v>-1.96450855582953E-012</v>
      </c>
      <c r="T121" s="83" t="n">
        <f aca="false">T119*ConRate*$B$11</f>
        <v>-1.96450855582953E-012</v>
      </c>
      <c r="U121" s="83" t="n">
        <f aca="false">U119*ConRate*$B$11</f>
        <v>-1.96450855582953E-012</v>
      </c>
      <c r="V121" s="83" t="n">
        <f aca="false">V119*ConRate*$B$11</f>
        <v>-1.96450855582953E-012</v>
      </c>
      <c r="W121" s="83" t="n">
        <f aca="false">W119*ConRate*$B$11</f>
        <v>-1.96450855582953E-012</v>
      </c>
    </row>
    <row r="122" customFormat="false" ht="15" hidden="false" customHeight="false" outlineLevel="0" collapsed="false">
      <c r="A122" s="10" t="s">
        <v>450</v>
      </c>
      <c r="B122" s="61" t="n">
        <f aca="false">SUM(C122:W122)</f>
        <v>156722.461236328</v>
      </c>
      <c r="C122" s="83" t="n">
        <v>0</v>
      </c>
      <c r="D122" s="83" t="n">
        <f aca="false">IF(AND(D39&gt;ConGrace,D39&lt;=ConTenor),PMT(ConRate*$B$11,ConTenor-ConGrace,-S_Capex_Hi!$B$17)-D121,0)</f>
        <v>0</v>
      </c>
      <c r="E122" s="83" t="n">
        <f aca="false">IF(AND(E39&gt;ConGrace,E39&lt;=ConTenor),PMT(ConRate*$B$11,ConTenor-ConGrace,-S_Capex_Hi!$B$17)-E121,0)</f>
        <v>0</v>
      </c>
      <c r="F122" s="83" t="n">
        <f aca="false">IF(AND(F39&gt;ConGrace,F39&lt;=ConTenor),PMT(ConRate*$B$11,ConTenor-ConGrace,-S_Capex_Hi!$B$17)-F121,0)</f>
        <v>0</v>
      </c>
      <c r="G122" s="83" t="n">
        <f aca="false">IF(AND(G39&gt;ConGrace,G39&lt;=ConTenor),PMT(ConRate*$B$11,ConTenor-ConGrace,-S_Capex_Hi!$B$17)-G121,0)</f>
        <v>0</v>
      </c>
      <c r="H122" s="83" t="n">
        <f aca="false">IF(AND(H39&gt;ConGrace,H39&lt;=ConTenor),PMT(ConRate*$B$11,ConTenor-ConGrace,-S_Capex_Hi!$B$17)-H121,0)</f>
        <v>0</v>
      </c>
      <c r="I122" s="83" t="n">
        <f aca="false">IF(AND(I39&gt;ConGrace,I39&lt;=ConTenor),PMT(ConRate*$B$11,ConTenor-ConGrace,-S_Capex_Hi!$B$17)-I121,0)</f>
        <v>13670.9796900524</v>
      </c>
      <c r="J122" s="83" t="n">
        <f aca="false">IF(AND(J39&gt;ConGrace,J39&lt;=ConTenor),PMT(ConRate*$B$11,ConTenor-ConGrace,-S_Capex_Hi!$B$17)-J121,0)</f>
        <v>14081.1090807539</v>
      </c>
      <c r="K122" s="83" t="n">
        <f aca="false">IF(AND(K39&gt;ConGrace,K39&lt;=ConTenor),PMT(ConRate*$B$11,ConTenor-ConGrace,-S_Capex_Hi!$B$17)-K121,0)</f>
        <v>14503.5423531765</v>
      </c>
      <c r="L122" s="83" t="n">
        <f aca="false">IF(AND(L39&gt;ConGrace,L39&lt;=ConTenor),PMT(ConRate*$B$11,ConTenor-ConGrace,-S_Capex_Hi!$B$17)-L121,0)</f>
        <v>14938.6486237718</v>
      </c>
      <c r="M122" s="83" t="n">
        <f aca="false">IF(AND(M39&gt;ConGrace,M39&lt;=ConTenor),PMT(ConRate*$B$11,ConTenor-ConGrace,-S_Capex_Hi!$B$17)-M121,0)</f>
        <v>15386.808082485</v>
      </c>
      <c r="N122" s="83" t="n">
        <f aca="false">IF(AND(N39&gt;ConGrace,N39&lt;=ConTenor),PMT(ConRate*$B$11,ConTenor-ConGrace,-S_Capex_Hi!$B$17)-N121,0)</f>
        <v>15848.4123249595</v>
      </c>
      <c r="O122" s="83" t="n">
        <f aca="false">IF(AND(O39&gt;ConGrace,O39&lt;=ConTenor),PMT(ConRate*$B$11,ConTenor-ConGrace,-S_Capex_Hi!$B$17)-O121,0)</f>
        <v>16323.8646947083</v>
      </c>
      <c r="P122" s="83" t="n">
        <f aca="false">IF(AND(P39&gt;ConGrace,P39&lt;=ConTenor),PMT(ConRate*$B$11,ConTenor-ConGrace,-S_Capex_Hi!$B$17)-P121,0)</f>
        <v>16813.5806355496</v>
      </c>
      <c r="Q122" s="83" t="n">
        <f aca="false">IF(AND(Q39&gt;ConGrace,Q39&lt;=ConTenor),PMT(ConRate*$B$11,ConTenor-ConGrace,-S_Capex_Hi!$B$17)-Q121,0)</f>
        <v>17317.9880546161</v>
      </c>
      <c r="R122" s="83" t="n">
        <f aca="false">IF(AND(R39&gt;ConGrace,R39&lt;=ConTenor),PMT(ConRate*$B$11,ConTenor-ConGrace,-S_Capex_Hi!$B$17)-R121,0)</f>
        <v>17837.5276962546</v>
      </c>
      <c r="S122" s="83" t="n">
        <f aca="false">IF(AND(S39&gt;ConGrace,S39&lt;=ConTenor),PMT(ConRate*$B$11,ConTenor-ConGrace,-S_Capex_Hi!$B$17)-S121,0)</f>
        <v>0</v>
      </c>
      <c r="T122" s="83" t="n">
        <f aca="false">IF(AND(T39&gt;ConGrace,T39&lt;=ConTenor),PMT(ConRate*$B$11,ConTenor-ConGrace,-S_Capex_Hi!$B$17)-T121,0)</f>
        <v>0</v>
      </c>
      <c r="U122" s="83" t="n">
        <f aca="false">IF(AND(U39&gt;ConGrace,U39&lt;=ConTenor),PMT(ConRate*$B$11,ConTenor-ConGrace,-S_Capex_Hi!$B$17)-U121,0)</f>
        <v>0</v>
      </c>
      <c r="V122" s="83" t="n">
        <f aca="false">IF(AND(V39&gt;ConGrace,V39&lt;=ConTenor),PMT(ConRate*$B$11,ConTenor-ConGrace,-S_Capex_Hi!$B$17)-V121,0)</f>
        <v>0</v>
      </c>
      <c r="W122" s="83" t="n">
        <f aca="false">IF(AND(W39&gt;ConGrace,W39&lt;=ConTenor),PMT(ConRate*$B$11,ConTenor-ConGrace,-S_Capex_Hi!$B$17)-W121,0)</f>
        <v>0</v>
      </c>
    </row>
    <row r="123" customFormat="false" ht="15" hidden="false" customHeight="false" outlineLevel="0" collapsed="false">
      <c r="A123" s="10" t="s">
        <v>451</v>
      </c>
      <c r="C123" s="83" t="n">
        <f aca="false">0+C120-0</f>
        <v>156722.461236328</v>
      </c>
      <c r="D123" s="83" t="n">
        <f aca="false">D119+D120-D122</f>
        <v>156722.461236328</v>
      </c>
      <c r="E123" s="83" t="n">
        <f aca="false">E119+E120-E122</f>
        <v>156722.461236328</v>
      </c>
      <c r="F123" s="83" t="n">
        <f aca="false">F119+F120-F122</f>
        <v>156722.461236328</v>
      </c>
      <c r="G123" s="83" t="n">
        <f aca="false">G119+G120-G122</f>
        <v>156722.461236328</v>
      </c>
      <c r="H123" s="83" t="n">
        <f aca="false">H119+H120-H122</f>
        <v>156722.461236328</v>
      </c>
      <c r="I123" s="83" t="n">
        <f aca="false">I119+I120-I122</f>
        <v>143051.481546275</v>
      </c>
      <c r="J123" s="83" t="n">
        <f aca="false">J119+J120-J122</f>
        <v>128970.372465521</v>
      </c>
      <c r="K123" s="83" t="n">
        <f aca="false">K119+K120-K122</f>
        <v>114466.830112345</v>
      </c>
      <c r="L123" s="83" t="n">
        <f aca="false">L119+L120-L122</f>
        <v>99528.181488573</v>
      </c>
      <c r="M123" s="83" t="n">
        <f aca="false">M119+M120-M122</f>
        <v>84141.373406088</v>
      </c>
      <c r="N123" s="83" t="n">
        <f aca="false">N119+N120-N122</f>
        <v>68292.9610811285</v>
      </c>
      <c r="O123" s="83" t="n">
        <f aca="false">O119+O120-O122</f>
        <v>51969.0963864202</v>
      </c>
      <c r="P123" s="83" t="n">
        <f aca="false">P119+P120-P122</f>
        <v>35155.5157508706</v>
      </c>
      <c r="Q123" s="83" t="n">
        <f aca="false">Q119+Q120-Q122</f>
        <v>17837.5276962545</v>
      </c>
      <c r="R123" s="83" t="n">
        <f aca="false">R119+R120-R122</f>
        <v>-6.54836185276508E-011</v>
      </c>
      <c r="S123" s="83" t="n">
        <f aca="false">S119+S120-S122</f>
        <v>-6.54836185276508E-011</v>
      </c>
      <c r="T123" s="83" t="n">
        <f aca="false">T119+T120-T122</f>
        <v>-6.54836185276508E-011</v>
      </c>
      <c r="U123" s="83" t="n">
        <f aca="false">U119+U120-U122</f>
        <v>-6.54836185276508E-011</v>
      </c>
      <c r="V123" s="83" t="n">
        <f aca="false">V119+V120-V122</f>
        <v>-6.54836185276508E-011</v>
      </c>
      <c r="W123" s="83" t="n">
        <f aca="false">W119+W120-W122</f>
        <v>-6.54836185276508E-011</v>
      </c>
    </row>
    <row r="125" customFormat="false" ht="15" hidden="false" customHeight="false" outlineLevel="0" collapsed="false">
      <c r="A125" s="15" t="s">
        <v>453</v>
      </c>
      <c r="B125" s="61" t="n">
        <f aca="false">SUM(C125:W125)</f>
        <v>473592.898930939</v>
      </c>
      <c r="C125" s="27" t="n">
        <v>0</v>
      </c>
      <c r="D125" s="27" t="n">
        <f aca="false">D114+D115+D121+D122</f>
        <v>20373.9199607226</v>
      </c>
      <c r="E125" s="27" t="n">
        <f aca="false">E114+E115+E121+E122</f>
        <v>20373.9199607226</v>
      </c>
      <c r="F125" s="27" t="n">
        <f aca="false">F114+F115+F121+F122</f>
        <v>34078.3616154401</v>
      </c>
      <c r="G125" s="27" t="n">
        <f aca="false">G114+G115+G121+G122</f>
        <v>34078.3616154401</v>
      </c>
      <c r="H125" s="27" t="n">
        <f aca="false">H114+H115+H121+H122</f>
        <v>34078.3616154401</v>
      </c>
      <c r="I125" s="27" t="n">
        <f aca="false">I114+I115+I121+I122</f>
        <v>47749.3413054924</v>
      </c>
      <c r="J125" s="27" t="n">
        <f aca="false">J114+J115+J121+J122</f>
        <v>47749.3413054924</v>
      </c>
      <c r="K125" s="27" t="n">
        <f aca="false">K114+K115+K121+K122</f>
        <v>47749.3413054924</v>
      </c>
      <c r="L125" s="27" t="n">
        <f aca="false">L114+L115+L121+L122</f>
        <v>47749.3413054924</v>
      </c>
      <c r="M125" s="27" t="n">
        <f aca="false">M114+M115+M121+M122</f>
        <v>47749.3413054924</v>
      </c>
      <c r="N125" s="27" t="n">
        <f aca="false">N114+N115+N121+N122</f>
        <v>18372.6535271422</v>
      </c>
      <c r="O125" s="27" t="n">
        <f aca="false">O114+O115+O121+O122</f>
        <v>18372.6535271422</v>
      </c>
      <c r="P125" s="27" t="n">
        <f aca="false">P114+P115+P121+P122</f>
        <v>18372.6535271422</v>
      </c>
      <c r="Q125" s="27" t="n">
        <f aca="false">Q114+Q115+Q121+Q122</f>
        <v>18372.6535271422</v>
      </c>
      <c r="R125" s="27" t="n">
        <f aca="false">R114+R115+R121+R122</f>
        <v>18372.6535271422</v>
      </c>
      <c r="S125" s="27" t="n">
        <f aca="false">S114+S115+S121+S122</f>
        <v>-1.96450855582953E-012</v>
      </c>
      <c r="T125" s="27" t="n">
        <f aca="false">T114+T115+T121+T122</f>
        <v>-1.96450855582953E-012</v>
      </c>
      <c r="U125" s="27" t="n">
        <f aca="false">U114+U115+U121+U122</f>
        <v>-1.96450855582953E-012</v>
      </c>
      <c r="V125" s="27" t="n">
        <f aca="false">V114+V115+V121+V122</f>
        <v>-1.96450855582953E-012</v>
      </c>
      <c r="W125" s="27" t="n">
        <f aca="false">W114+W115+W121+W122</f>
        <v>-1.96450855582953E-012</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969157.922822353</v>
      </c>
      <c r="E127" s="83" t="n">
        <f aca="false">IF(E126&gt;0,(E147/MinDSCR-E121-E122)/E126,1000000000000)</f>
        <v>482707.690640156</v>
      </c>
      <c r="F127" s="83" t="n">
        <f aca="false">IF(F126&gt;0,(F147/MinDSCR-F121-F122)/F126,1000000000000)</f>
        <v>235156.691873359</v>
      </c>
      <c r="G127" s="83" t="n">
        <f aca="false">IF(G126&gt;0,(G147/MinDSCR-G121-G122)/G126,1000000000000)</f>
        <v>93709.9912079662</v>
      </c>
      <c r="H127" s="83" t="n">
        <f aca="false">IF(H126&gt;0,(H147/MinDSCR-H121-H122)/H126,1000000000000)</f>
        <v>115754.487279078</v>
      </c>
      <c r="I127" s="83" t="n">
        <f aca="false">IF(I126&gt;0,(I147/MinDSCR-I121-I122)/I126,1000000000000)</f>
        <v>66465.5431775606</v>
      </c>
      <c r="J127" s="83" t="n">
        <f aca="false">IF(J126&gt;0,(J147/MinDSCR-J121-J122)/J126,1000000000000)</f>
        <v>84108.1613030769</v>
      </c>
      <c r="K127" s="83" t="n">
        <f aca="false">IF(K126&gt;0,(K147/MinDSCR-K121-K122)/K126,1000000000000)</f>
        <v>78441.4581564827</v>
      </c>
      <c r="L127" s="83" t="n">
        <f aca="false">IF(L126&gt;0,(L147/MinDSCR-L121-L122)/L126,1000000000000)</f>
        <v>44663.1335326649</v>
      </c>
      <c r="M127" s="83" t="n">
        <f aca="false">IF(M126&gt;0,(M147/MinDSCR-M121-M122)/M126,1000000000000)</f>
        <v>37196.5477504443</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10186.9599803613</v>
      </c>
      <c r="D128" s="83" t="n">
        <f aca="false">DSRAPct*E125</f>
        <v>10186.9599803613</v>
      </c>
      <c r="E128" s="83" t="n">
        <f aca="false">DSRAPct*F125</f>
        <v>17039.18080772</v>
      </c>
      <c r="F128" s="83" t="n">
        <f aca="false">DSRAPct*G125</f>
        <v>17039.18080772</v>
      </c>
      <c r="G128" s="83" t="n">
        <f aca="false">DSRAPct*H125</f>
        <v>17039.18080772</v>
      </c>
      <c r="H128" s="83" t="n">
        <f aca="false">DSRAPct*I125</f>
        <v>23874.6706527462</v>
      </c>
      <c r="I128" s="83" t="n">
        <f aca="false">DSRAPct*J125</f>
        <v>23874.6706527462</v>
      </c>
      <c r="J128" s="83" t="n">
        <f aca="false">DSRAPct*K125</f>
        <v>23874.6706527462</v>
      </c>
      <c r="K128" s="83" t="n">
        <f aca="false">DSRAPct*L125</f>
        <v>23874.6706527462</v>
      </c>
      <c r="L128" s="83" t="n">
        <f aca="false">DSRAPct*M125</f>
        <v>23874.6706527462</v>
      </c>
      <c r="M128" s="83" t="n">
        <f aca="false">DSRAPct*N125</f>
        <v>9186.32676357109</v>
      </c>
      <c r="N128" s="83" t="n">
        <f aca="false">DSRAPct*O125</f>
        <v>9186.32676357109</v>
      </c>
      <c r="O128" s="83" t="n">
        <f aca="false">DSRAPct*P125</f>
        <v>9186.32676357109</v>
      </c>
      <c r="P128" s="83" t="n">
        <f aca="false">DSRAPct*Q125</f>
        <v>9186.32676357109</v>
      </c>
      <c r="Q128" s="83" t="n">
        <f aca="false">DSRAPct*R125</f>
        <v>9186.32676357109</v>
      </c>
      <c r="R128" s="83" t="n">
        <f aca="false">DSRAPct*S125</f>
        <v>-9.82254277914763E-013</v>
      </c>
      <c r="S128" s="83" t="n">
        <f aca="false">DSRAPct*T125</f>
        <v>-9.82254277914763E-013</v>
      </c>
      <c r="T128" s="83" t="n">
        <f aca="false">DSRAPct*U125</f>
        <v>-9.82254277914763E-013</v>
      </c>
      <c r="U128" s="83" t="n">
        <f aca="false">DSRAPct*V125</f>
        <v>-9.82254277914763E-013</v>
      </c>
      <c r="V128" s="83" t="n">
        <f aca="false">DSRAPct*W125</f>
        <v>-9.82254277914763E-013</v>
      </c>
      <c r="W128" s="83" t="n">
        <f aca="false">0</f>
        <v>0</v>
      </c>
    </row>
    <row r="129" customFormat="false" ht="15" hidden="false" customHeight="false" outlineLevel="0" collapsed="false">
      <c r="A129" s="10" t="s">
        <v>457</v>
      </c>
      <c r="B129" s="61" t="n">
        <f aca="false">SUM(C129:W129)</f>
        <v>-4.47471393272281E-012</v>
      </c>
      <c r="C129" s="83" t="n">
        <f aca="false">C128</f>
        <v>10186.9599803613</v>
      </c>
      <c r="D129" s="83" t="n">
        <f aca="false">D128-C128</f>
        <v>0</v>
      </c>
      <c r="E129" s="83" t="n">
        <f aca="false">E128-D128</f>
        <v>6852.22082735873</v>
      </c>
      <c r="F129" s="83" t="n">
        <f aca="false">F128-E128</f>
        <v>0</v>
      </c>
      <c r="G129" s="83" t="n">
        <f aca="false">G128-F128</f>
        <v>0</v>
      </c>
      <c r="H129" s="83" t="n">
        <f aca="false">H128-G128</f>
        <v>6835.48984502618</v>
      </c>
      <c r="I129" s="83" t="n">
        <f aca="false">I128-H128</f>
        <v>0</v>
      </c>
      <c r="J129" s="83" t="n">
        <f aca="false">J128-I128</f>
        <v>0</v>
      </c>
      <c r="K129" s="83" t="n">
        <f aca="false">K128-J128</f>
        <v>0</v>
      </c>
      <c r="L129" s="83" t="n">
        <f aca="false">L128-K128</f>
        <v>0</v>
      </c>
      <c r="M129" s="83" t="n">
        <f aca="false">M128-L128</f>
        <v>-14688.3438891751</v>
      </c>
      <c r="N129" s="83" t="n">
        <f aca="false">N128-M128</f>
        <v>0</v>
      </c>
      <c r="O129" s="83" t="n">
        <f aca="false">O128-N128</f>
        <v>0</v>
      </c>
      <c r="P129" s="83" t="n">
        <f aca="false">P128-O128</f>
        <v>0</v>
      </c>
      <c r="Q129" s="83" t="n">
        <f aca="false">Q128-P128</f>
        <v>0</v>
      </c>
      <c r="R129" s="83" t="n">
        <f aca="false">R128-Q128</f>
        <v>-9186.3267635711</v>
      </c>
      <c r="S129" s="83" t="n">
        <f aca="false">S128-R128</f>
        <v>0</v>
      </c>
      <c r="T129" s="83" t="n">
        <f aca="false">T128-S128</f>
        <v>0</v>
      </c>
      <c r="U129" s="83" t="n">
        <f aca="false">U128-T128</f>
        <v>0</v>
      </c>
      <c r="V129" s="83" t="n">
        <f aca="false">V128-U128</f>
        <v>0</v>
      </c>
      <c r="W129" s="83" t="n">
        <f aca="false">W128-V128</f>
        <v>9.82254277914763E-013</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1383612.30618164</v>
      </c>
      <c r="C132" s="83" t="n">
        <v>0</v>
      </c>
      <c r="D132" s="83" t="n">
        <f aca="false">IF(D39&lt;=MIN(DepYears,Life),S_Capex_Hi!$B$14/DepYears,0)</f>
        <v>92240.8204121092</v>
      </c>
      <c r="E132" s="83" t="n">
        <f aca="false">IF(E39&lt;=MIN(DepYears,Life),S_Capex_Hi!$B$14/DepYears,0)</f>
        <v>92240.8204121092</v>
      </c>
      <c r="F132" s="83" t="n">
        <f aca="false">IF(F39&lt;=MIN(DepYears,Life),S_Capex_Hi!$B$14/DepYears,0)</f>
        <v>92240.8204121092</v>
      </c>
      <c r="G132" s="83" t="n">
        <f aca="false">IF(G39&lt;=MIN(DepYears,Life),S_Capex_Hi!$B$14/DepYears,0)</f>
        <v>92240.8204121092</v>
      </c>
      <c r="H132" s="83" t="n">
        <f aca="false">IF(H39&lt;=MIN(DepYears,Life),S_Capex_Hi!$B$14/DepYears,0)</f>
        <v>92240.8204121092</v>
      </c>
      <c r="I132" s="83" t="n">
        <f aca="false">IF(I39&lt;=MIN(DepYears,Life),S_Capex_Hi!$B$14/DepYears,0)</f>
        <v>92240.8204121092</v>
      </c>
      <c r="J132" s="83" t="n">
        <f aca="false">IF(J39&lt;=MIN(DepYears,Life),S_Capex_Hi!$B$14/DepYears,0)</f>
        <v>92240.8204121092</v>
      </c>
      <c r="K132" s="83" t="n">
        <f aca="false">IF(K39&lt;=MIN(DepYears,Life),S_Capex_Hi!$B$14/DepYears,0)</f>
        <v>92240.8204121092</v>
      </c>
      <c r="L132" s="83" t="n">
        <f aca="false">IF(L39&lt;=MIN(DepYears,Life),S_Capex_Hi!$B$14/DepYears,0)</f>
        <v>92240.8204121092</v>
      </c>
      <c r="M132" s="83" t="n">
        <f aca="false">IF(M39&lt;=MIN(DepYears,Life),S_Capex_Hi!$B$14/DepYears,0)</f>
        <v>92240.8204121092</v>
      </c>
      <c r="N132" s="83" t="n">
        <f aca="false">IF(N39&lt;=MIN(DepYears,Life),S_Capex_Hi!$B$14/DepYears,0)</f>
        <v>92240.8204121092</v>
      </c>
      <c r="O132" s="83" t="n">
        <f aca="false">IF(O39&lt;=MIN(DepYears,Life),S_Capex_Hi!$B$14/DepYears,0)</f>
        <v>92240.8204121092</v>
      </c>
      <c r="P132" s="83" t="n">
        <f aca="false">IF(P39&lt;=MIN(DepYears,Life),S_Capex_Hi!$B$14/DepYears,0)</f>
        <v>92240.8204121092</v>
      </c>
      <c r="Q132" s="83" t="n">
        <f aca="false">IF(Q39&lt;=MIN(DepYears,Life),S_Capex_Hi!$B$14/DepYears,0)</f>
        <v>92240.8204121092</v>
      </c>
      <c r="R132" s="83" t="n">
        <f aca="false">IF(R39&lt;=MIN(DepYears,Life),S_Capex_Hi!$B$14/DepYears,0)</f>
        <v>92240.8204121092</v>
      </c>
      <c r="S132" s="83" t="n">
        <f aca="false">IF(S39&lt;=MIN(DepYears,Life),S_Capex_Hi!$B$14/DepYears,0)</f>
        <v>0</v>
      </c>
      <c r="T132" s="83" t="n">
        <f aca="false">IF(T39&lt;=MIN(DepYears,Life),S_Capex_Hi!$B$14/DepYears,0)</f>
        <v>0</v>
      </c>
      <c r="U132" s="83" t="n">
        <f aca="false">IF(U39&lt;=MIN(DepYears,Life),S_Capex_Hi!$B$14/DepYears,0)</f>
        <v>0</v>
      </c>
      <c r="V132" s="83" t="n">
        <f aca="false">IF(V39&lt;=MIN(DepYears,Life),S_Capex_Hi!$B$14/DepYears,0)</f>
        <v>0</v>
      </c>
      <c r="W132" s="83" t="n">
        <f aca="false">IF(W39&lt;=MIN(DepYears,Life),S_Capex_Hi!$B$14/DepYears,0)</f>
        <v>0</v>
      </c>
    </row>
    <row r="133" customFormat="false" ht="15" hidden="false" customHeight="false" outlineLevel="0" collapsed="false">
      <c r="A133" s="10" t="s">
        <v>460</v>
      </c>
      <c r="B133" s="61" t="n">
        <f aca="false">SUM(C133:W133)</f>
        <v>-369422.275097189</v>
      </c>
      <c r="C133" s="83" t="n">
        <v>0</v>
      </c>
      <c r="D133" s="83" t="n">
        <f aca="false">D98-D132</f>
        <v>-86452.5988012813</v>
      </c>
      <c r="E133" s="83" t="n">
        <f aca="false">E98-E132</f>
        <v>-61491.128984967</v>
      </c>
      <c r="F133" s="83" t="n">
        <f aca="false">F98-F132</f>
        <v>-41740.7991585389</v>
      </c>
      <c r="G133" s="83" t="n">
        <f aca="false">G98-G132</f>
        <v>-38408.1383575891</v>
      </c>
      <c r="H133" s="83" t="n">
        <f aca="false">H98-H132</f>
        <v>-33036.3967759133</v>
      </c>
      <c r="I133" s="83" t="n">
        <f aca="false">I98-I132</f>
        <v>-27274.7161945767</v>
      </c>
      <c r="J133" s="83" t="n">
        <f aca="false">J98-J132</f>
        <v>-22975.6120059962</v>
      </c>
      <c r="K133" s="83" t="n">
        <f aca="false">K98-K132</f>
        <v>-24356.4584914581</v>
      </c>
      <c r="L133" s="83" t="n">
        <f aca="false">L98-L132</f>
        <v>-25948.7557913779</v>
      </c>
      <c r="M133" s="83" t="n">
        <f aca="false">M98-M132</f>
        <v>-27768.1926789402</v>
      </c>
      <c r="N133" s="83" t="n">
        <f aca="false">N98-N132</f>
        <v>-29831.472635086</v>
      </c>
      <c r="O133" s="83" t="n">
        <f aca="false">O98-O132</f>
        <v>-32156.3767987938</v>
      </c>
      <c r="P133" s="83" t="n">
        <f aca="false">P98-P132</f>
        <v>-34761.830770183</v>
      </c>
      <c r="Q133" s="83" t="n">
        <f aca="false">Q98-Q132</f>
        <v>-37667.9755012638</v>
      </c>
      <c r="R133" s="83" t="n">
        <f aca="false">R98-R132</f>
        <v>-40896.2425234595</v>
      </c>
      <c r="S133" s="83" t="n">
        <f aca="false">S98-S132</f>
        <v>47771.386635919</v>
      </c>
      <c r="T133" s="83" t="n">
        <f aca="false">T98-T132</f>
        <v>43829.0140952086</v>
      </c>
      <c r="U133" s="83" t="n">
        <f aca="false">U98-U132</f>
        <v>39491.6582021264</v>
      </c>
      <c r="V133" s="83" t="n">
        <f aca="false">V98-V132</f>
        <v>34731.8765019525</v>
      </c>
      <c r="W133" s="83" t="n">
        <f aca="false">W98-W132</f>
        <v>29520.4849370292</v>
      </c>
    </row>
    <row r="134" customFormat="false" ht="15" hidden="false" customHeight="false" outlineLevel="0" collapsed="false">
      <c r="A134" s="10" t="s">
        <v>461</v>
      </c>
      <c r="C134" s="83" t="n">
        <v>0</v>
      </c>
      <c r="D134" s="83" t="n">
        <f aca="false">0</f>
        <v>0</v>
      </c>
      <c r="E134" s="83" t="n">
        <f aca="false">D136</f>
        <v>86452.5988012813</v>
      </c>
      <c r="F134" s="83" t="n">
        <f aca="false">E136</f>
        <v>147943.727786248</v>
      </c>
      <c r="G134" s="83" t="n">
        <f aca="false">F136</f>
        <v>189684.526944787</v>
      </c>
      <c r="H134" s="83" t="n">
        <f aca="false">G136</f>
        <v>228092.665302376</v>
      </c>
      <c r="I134" s="83" t="n">
        <f aca="false">H136</f>
        <v>261129.06207829</v>
      </c>
      <c r="J134" s="83" t="n">
        <f aca="false">I136</f>
        <v>288403.778272866</v>
      </c>
      <c r="K134" s="83" t="n">
        <f aca="false">J136</f>
        <v>311379.390278863</v>
      </c>
      <c r="L134" s="83" t="n">
        <f aca="false">K136</f>
        <v>335735.848770321</v>
      </c>
      <c r="M134" s="83" t="n">
        <f aca="false">L136</f>
        <v>361684.604561699</v>
      </c>
      <c r="N134" s="83" t="n">
        <f aca="false">M136</f>
        <v>389452.797240639</v>
      </c>
      <c r="O134" s="83" t="n">
        <f aca="false">N136</f>
        <v>419284.269875725</v>
      </c>
      <c r="P134" s="83" t="n">
        <f aca="false">O136</f>
        <v>451440.646674519</v>
      </c>
      <c r="Q134" s="83" t="n">
        <f aca="false">P136</f>
        <v>486202.477444702</v>
      </c>
      <c r="R134" s="83" t="n">
        <f aca="false">Q136</f>
        <v>523870.452945965</v>
      </c>
      <c r="S134" s="83" t="n">
        <f aca="false">R136</f>
        <v>564766.695469425</v>
      </c>
      <c r="T134" s="83" t="n">
        <f aca="false">S136</f>
        <v>516995.308833506</v>
      </c>
      <c r="U134" s="83" t="n">
        <f aca="false">T136</f>
        <v>473166.294738297</v>
      </c>
      <c r="V134" s="83" t="n">
        <f aca="false">U136</f>
        <v>433674.636536171</v>
      </c>
      <c r="W134" s="83" t="n">
        <f aca="false">V136</f>
        <v>398942.760034218</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47771.386635919</v>
      </c>
      <c r="T135" s="83" t="n">
        <f aca="false">MIN(T134,MAX(T133,0))</f>
        <v>43829.0140952086</v>
      </c>
      <c r="U135" s="83" t="n">
        <f aca="false">MIN(U134,MAX(U133,0))</f>
        <v>39491.6582021264</v>
      </c>
      <c r="V135" s="83" t="n">
        <f aca="false">MIN(V134,MAX(V133,0))</f>
        <v>34731.8765019525</v>
      </c>
      <c r="W135" s="83" t="n">
        <f aca="false">MIN(W134,MAX(W133,0))</f>
        <v>29520.4849370292</v>
      </c>
    </row>
    <row r="136" customFormat="false" ht="15" hidden="false" customHeight="false" outlineLevel="0" collapsed="false">
      <c r="A136" s="10" t="s">
        <v>463</v>
      </c>
      <c r="C136" s="83" t="n">
        <v>0</v>
      </c>
      <c r="D136" s="83" t="n">
        <f aca="false">D134-D135+MAX(-D133,0)</f>
        <v>86452.5988012813</v>
      </c>
      <c r="E136" s="83" t="n">
        <f aca="false">E134-E135+MAX(-E133,0)</f>
        <v>147943.727786248</v>
      </c>
      <c r="F136" s="83" t="n">
        <f aca="false">F134-F135+MAX(-F133,0)</f>
        <v>189684.526944787</v>
      </c>
      <c r="G136" s="83" t="n">
        <f aca="false">G134-G135+MAX(-G133,0)</f>
        <v>228092.665302376</v>
      </c>
      <c r="H136" s="83" t="n">
        <f aca="false">H134-H135+MAX(-H133,0)</f>
        <v>261129.06207829</v>
      </c>
      <c r="I136" s="83" t="n">
        <f aca="false">I134-I135+MAX(-I133,0)</f>
        <v>288403.778272866</v>
      </c>
      <c r="J136" s="83" t="n">
        <f aca="false">J134-J135+MAX(-J133,0)</f>
        <v>311379.390278863</v>
      </c>
      <c r="K136" s="83" t="n">
        <f aca="false">K134-K135+MAX(-K133,0)</f>
        <v>335735.848770321</v>
      </c>
      <c r="L136" s="83" t="n">
        <f aca="false">L134-L135+MAX(-L133,0)</f>
        <v>361684.604561699</v>
      </c>
      <c r="M136" s="83" t="n">
        <f aca="false">M134-M135+MAX(-M133,0)</f>
        <v>389452.797240639</v>
      </c>
      <c r="N136" s="83" t="n">
        <f aca="false">N134-N135+MAX(-N133,0)</f>
        <v>419284.269875725</v>
      </c>
      <c r="O136" s="83" t="n">
        <f aca="false">O134-O135+MAX(-O133,0)</f>
        <v>451440.646674519</v>
      </c>
      <c r="P136" s="83" t="n">
        <f aca="false">P134-P135+MAX(-P133,0)</f>
        <v>486202.477444702</v>
      </c>
      <c r="Q136" s="83" t="n">
        <f aca="false">Q134-Q135+MAX(-Q133,0)</f>
        <v>523870.452945965</v>
      </c>
      <c r="R136" s="83" t="n">
        <f aca="false">R134-R135+MAX(-R133,0)</f>
        <v>564766.695469425</v>
      </c>
      <c r="S136" s="83" t="n">
        <f aca="false">S134-S135+MAX(-S133,0)</f>
        <v>516995.308833506</v>
      </c>
      <c r="T136" s="83" t="n">
        <f aca="false">T134-T135+MAX(-T133,0)</f>
        <v>473166.294738297</v>
      </c>
      <c r="U136" s="83" t="n">
        <f aca="false">U134-U135+MAX(-U133,0)</f>
        <v>433674.636536171</v>
      </c>
      <c r="V136" s="83" t="n">
        <f aca="false">V134-V135+MAX(-V133,0)</f>
        <v>398942.760034218</v>
      </c>
      <c r="W136" s="83" t="n">
        <f aca="false">W134-W135+MAX(-W133,0)</f>
        <v>369422.275097189</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-529570.251555472</v>
      </c>
      <c r="C138" s="83" t="n">
        <v>0</v>
      </c>
      <c r="D138" s="83" t="n">
        <f aca="false">D98-D132-D114-D121</f>
        <v>-106826.518762004</v>
      </c>
      <c r="E138" s="83" t="n">
        <f aca="false">E98-E132-E114-E121</f>
        <v>-81865.0489456896</v>
      </c>
      <c r="F138" s="83" t="n">
        <f aca="false">F98-F132-F114-F121</f>
        <v>-62114.7191192615</v>
      </c>
      <c r="G138" s="83" t="n">
        <f aca="false">G98-G132-G114-G121</f>
        <v>-57411.61415284</v>
      </c>
      <c r="H138" s="83" t="n">
        <f aca="false">H98-H132-H114-H121</f>
        <v>-50532.3839891452</v>
      </c>
      <c r="I138" s="83" t="n">
        <f aca="false">I98-I132-I114-I121</f>
        <v>-43112.4659675878</v>
      </c>
      <c r="J138" s="83" t="n">
        <f aca="false">J98-J132-J114-J121</f>
        <v>-36579.1712040629</v>
      </c>
      <c r="K138" s="83" t="n">
        <f aca="false">K98-K132-K114-K121</f>
        <v>-35531.117114435</v>
      </c>
      <c r="L138" s="83" t="n">
        <f aca="false">L98-L132-L114-L121</f>
        <v>-34481.1941108255</v>
      </c>
      <c r="M138" s="83" t="n">
        <f aca="false">M98-M132-M114-M121</f>
        <v>-33424.6461034474</v>
      </c>
      <c r="N138" s="83" t="n">
        <f aca="false">N98-N132-N114-N121</f>
        <v>-32355.7138372686</v>
      </c>
      <c r="O138" s="83" t="n">
        <f aca="false">O98-O132-O114-O121</f>
        <v>-34205.1656312277</v>
      </c>
      <c r="P138" s="83" t="n">
        <f aca="false">P98-P132-P114-P121</f>
        <v>-36320.9036617756</v>
      </c>
      <c r="Q138" s="83" t="n">
        <f aca="false">Q98-Q132-Q114-Q121</f>
        <v>-38722.64097379</v>
      </c>
      <c r="R138" s="83" t="n">
        <f aca="false">R98-R132-R114-R121</f>
        <v>-41431.3683543472</v>
      </c>
      <c r="S138" s="83" t="n">
        <f aca="false">S98-S132-S114-S121</f>
        <v>47771.386635919</v>
      </c>
      <c r="T138" s="83" t="n">
        <f aca="false">T98-T132-T114-T121</f>
        <v>43829.0140952086</v>
      </c>
      <c r="U138" s="83" t="n">
        <f aca="false">U98-U132-U114-U121</f>
        <v>39491.6582021264</v>
      </c>
      <c r="V138" s="83" t="n">
        <f aca="false">V98-V132-V114-V121</f>
        <v>34731.8765019525</v>
      </c>
      <c r="W138" s="83" t="n">
        <f aca="false">W98-W132-W114-W121</f>
        <v>29520.4849370292</v>
      </c>
    </row>
    <row r="139" customFormat="false" ht="15" hidden="false" customHeight="false" outlineLevel="0" collapsed="false">
      <c r="A139" s="10" t="s">
        <v>461</v>
      </c>
      <c r="C139" s="83" t="n">
        <v>0</v>
      </c>
      <c r="D139" s="83" t="n">
        <f aca="false">0</f>
        <v>0</v>
      </c>
      <c r="E139" s="83" t="n">
        <f aca="false">D141</f>
        <v>106826.518762004</v>
      </c>
      <c r="F139" s="83" t="n">
        <f aca="false">E141</f>
        <v>188691.567707694</v>
      </c>
      <c r="G139" s="83" t="n">
        <f aca="false">F141</f>
        <v>250806.286826955</v>
      </c>
      <c r="H139" s="83" t="n">
        <f aca="false">G141</f>
        <v>308217.900979795</v>
      </c>
      <c r="I139" s="83" t="n">
        <f aca="false">H141</f>
        <v>358750.28496894</v>
      </c>
      <c r="J139" s="83" t="n">
        <f aca="false">I141</f>
        <v>401862.750936528</v>
      </c>
      <c r="K139" s="83" t="n">
        <f aca="false">J141</f>
        <v>438441.922140591</v>
      </c>
      <c r="L139" s="83" t="n">
        <f aca="false">K141</f>
        <v>473973.039255026</v>
      </c>
      <c r="M139" s="83" t="n">
        <f aca="false">L141</f>
        <v>508454.233365851</v>
      </c>
      <c r="N139" s="83" t="n">
        <f aca="false">M141</f>
        <v>541878.879469299</v>
      </c>
      <c r="O139" s="83" t="n">
        <f aca="false">N141</f>
        <v>574234.593306567</v>
      </c>
      <c r="P139" s="83" t="n">
        <f aca="false">O141</f>
        <v>608439.758937795</v>
      </c>
      <c r="Q139" s="83" t="n">
        <f aca="false">P141</f>
        <v>644760.662599571</v>
      </c>
      <c r="R139" s="83" t="n">
        <f aca="false">Q141</f>
        <v>683483.303573361</v>
      </c>
      <c r="S139" s="83" t="n">
        <f aca="false">R141</f>
        <v>724914.671927708</v>
      </c>
      <c r="T139" s="83" t="n">
        <f aca="false">S141</f>
        <v>677143.285291789</v>
      </c>
      <c r="U139" s="83" t="n">
        <f aca="false">T141</f>
        <v>633314.27119658</v>
      </c>
      <c r="V139" s="83" t="n">
        <f aca="false">U141</f>
        <v>593822.612994454</v>
      </c>
      <c r="W139" s="83" t="n">
        <f aca="false">V141</f>
        <v>559090.736492501</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47771.386635919</v>
      </c>
      <c r="T140" s="83" t="n">
        <f aca="false">MIN(T139,MAX(T138,0))</f>
        <v>43829.0140952086</v>
      </c>
      <c r="U140" s="83" t="n">
        <f aca="false">MIN(U139,MAX(U138,0))</f>
        <v>39491.6582021264</v>
      </c>
      <c r="V140" s="83" t="n">
        <f aca="false">MIN(V139,MAX(V138,0))</f>
        <v>34731.8765019525</v>
      </c>
      <c r="W140" s="83" t="n">
        <f aca="false">MIN(W139,MAX(W138,0))</f>
        <v>29520.4849370292</v>
      </c>
    </row>
    <row r="141" customFormat="false" ht="15" hidden="false" customHeight="false" outlineLevel="0" collapsed="false">
      <c r="A141" s="10" t="s">
        <v>463</v>
      </c>
      <c r="C141" s="83" t="n">
        <v>0</v>
      </c>
      <c r="D141" s="83" t="n">
        <f aca="false">D139-D140+MAX(-D138,0)</f>
        <v>106826.518762004</v>
      </c>
      <c r="E141" s="83" t="n">
        <f aca="false">E139-E140+MAX(-E138,0)</f>
        <v>188691.567707694</v>
      </c>
      <c r="F141" s="83" t="n">
        <f aca="false">F139-F140+MAX(-F138,0)</f>
        <v>250806.286826955</v>
      </c>
      <c r="G141" s="83" t="n">
        <f aca="false">G139-G140+MAX(-G138,0)</f>
        <v>308217.900979795</v>
      </c>
      <c r="H141" s="83" t="n">
        <f aca="false">H139-H140+MAX(-H138,0)</f>
        <v>358750.28496894</v>
      </c>
      <c r="I141" s="83" t="n">
        <f aca="false">I139-I140+MAX(-I138,0)</f>
        <v>401862.750936528</v>
      </c>
      <c r="J141" s="83" t="n">
        <f aca="false">J139-J140+MAX(-J138,0)</f>
        <v>438441.922140591</v>
      </c>
      <c r="K141" s="83" t="n">
        <f aca="false">K139-K140+MAX(-K138,0)</f>
        <v>473973.039255026</v>
      </c>
      <c r="L141" s="83" t="n">
        <f aca="false">L139-L140+MAX(-L138,0)</f>
        <v>508454.233365851</v>
      </c>
      <c r="M141" s="83" t="n">
        <f aca="false">M139-M140+MAX(-M138,0)</f>
        <v>541878.879469299</v>
      </c>
      <c r="N141" s="83" t="n">
        <f aca="false">N139-N140+MAX(-N138,0)</f>
        <v>574234.593306567</v>
      </c>
      <c r="O141" s="83" t="n">
        <f aca="false">O139-O140+MAX(-O138,0)</f>
        <v>608439.758937795</v>
      </c>
      <c r="P141" s="83" t="n">
        <f aca="false">P139-P140+MAX(-P138,0)</f>
        <v>644760.662599571</v>
      </c>
      <c r="Q141" s="83" t="n">
        <f aca="false">Q139-Q140+MAX(-Q138,0)</f>
        <v>683483.303573361</v>
      </c>
      <c r="R141" s="83" t="n">
        <f aca="false">R139-R140+MAX(-R138,0)</f>
        <v>724914.671927708</v>
      </c>
      <c r="S141" s="83" t="n">
        <f aca="false">S139-S140+MAX(-S138,0)</f>
        <v>677143.285291789</v>
      </c>
      <c r="T141" s="83" t="n">
        <f aca="false">T139-T140+MAX(-T138,0)</f>
        <v>633314.27119658</v>
      </c>
      <c r="U141" s="83" t="n">
        <f aca="false">U139-U140+MAX(-U138,0)</f>
        <v>593822.612994454</v>
      </c>
      <c r="V141" s="83" t="n">
        <f aca="false">V139-V140+MAX(-V138,0)</f>
        <v>559090.736492501</v>
      </c>
      <c r="W141" s="83" t="n">
        <f aca="false">W139-W140+MAX(-W138,0)</f>
        <v>529570.251555472</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-1111801.21553057</v>
      </c>
      <c r="C145" s="27" t="n">
        <f aca="false">-C102+C98-C103-C137</f>
        <v>-1383612.30618164</v>
      </c>
      <c r="D145" s="27" t="n">
        <f aca="false">-D102+D98-D103-D137</f>
        <v>5788.22161082791</v>
      </c>
      <c r="E145" s="27" t="n">
        <f aca="false">-E102+E98-E103-E137</f>
        <v>30749.6914271422</v>
      </c>
      <c r="F145" s="27" t="n">
        <f aca="false">-F102+F98-F103-F137</f>
        <v>50500.0212535704</v>
      </c>
      <c r="G145" s="27" t="n">
        <f aca="false">-G102+G98-G103-G137</f>
        <v>53832.6820545201</v>
      </c>
      <c r="H145" s="27" t="n">
        <f aca="false">-H102+H98-H103-H137</f>
        <v>59204.423636196</v>
      </c>
      <c r="I145" s="27" t="n">
        <f aca="false">-I102+I98-I103-I137</f>
        <v>64966.1042175325</v>
      </c>
      <c r="J145" s="27" t="n">
        <f aca="false">-J102+J98-J103-J137</f>
        <v>69265.208406113</v>
      </c>
      <c r="K145" s="27" t="n">
        <f aca="false">-K102+K98-K103-K137</f>
        <v>-131199.763324991</v>
      </c>
      <c r="L145" s="27" t="n">
        <f aca="false">-L102+L98-L103-L137</f>
        <v>66292.0646207313</v>
      </c>
      <c r="M145" s="27" t="n">
        <f aca="false">-M102+M98-M103-M137</f>
        <v>64472.627733169</v>
      </c>
      <c r="N145" s="27" t="n">
        <f aca="false">-N102+N98-N103-N137</f>
        <v>62409.3477770232</v>
      </c>
      <c r="O145" s="27" t="n">
        <f aca="false">-O102+O98-O103-O137</f>
        <v>60084.4436133154</v>
      </c>
      <c r="P145" s="27" t="n">
        <f aca="false">-P102+P98-P103-P137</f>
        <v>57478.9896419263</v>
      </c>
      <c r="Q145" s="27" t="n">
        <f aca="false">-Q102+Q98-Q103-Q137</f>
        <v>54572.8449108454</v>
      </c>
      <c r="R145" s="27" t="n">
        <f aca="false">-R102+R98-R103-R137</f>
        <v>51344.5778886497</v>
      </c>
      <c r="S145" s="27" t="n">
        <f aca="false">-S102+S98-S103-S137</f>
        <v>-204422.426904485</v>
      </c>
      <c r="T145" s="27" t="n">
        <f aca="false">-T102+T98-T103-T137</f>
        <v>43829.0140952086</v>
      </c>
      <c r="U145" s="27" t="n">
        <f aca="false">-U102+U98-U103-U137</f>
        <v>39491.6582021264</v>
      </c>
      <c r="V145" s="27" t="n">
        <f aca="false">-V102+V98-V103-V137</f>
        <v>34731.8765019525</v>
      </c>
      <c r="W145" s="27" t="n">
        <f aca="false">-W102+W98-W103-W137</f>
        <v>29520.4849370292</v>
      </c>
    </row>
    <row r="146" customFormat="false" ht="15" hidden="false" customHeight="false" outlineLevel="0" collapsed="false">
      <c r="A146" s="15" t="s">
        <v>469</v>
      </c>
      <c r="B146" s="61" t="n">
        <f aca="false">C146+NPV(Hurdle,D146:W146)</f>
        <v>-293880.854899461</v>
      </c>
      <c r="C146" s="27" t="n">
        <f aca="false">C145+C106+C108</f>
        <v>-783612.306181639</v>
      </c>
      <c r="D146" s="27" t="n">
        <f aca="false">D145+D106+D108</f>
        <v>156988.221610828</v>
      </c>
      <c r="E146" s="27" t="n">
        <f aca="false">E145+E106+E108</f>
        <v>93749.6914271422</v>
      </c>
      <c r="F146" s="27" t="n">
        <f aca="false">F145+F106+F108</f>
        <v>88300.0212535704</v>
      </c>
      <c r="G146" s="27" t="n">
        <f aca="false">G145+G106+G108</f>
        <v>53832.6820545201</v>
      </c>
      <c r="H146" s="27" t="n">
        <f aca="false">H145+H106+H108</f>
        <v>59204.423636196</v>
      </c>
      <c r="I146" s="27" t="n">
        <f aca="false">I145+I106+I108</f>
        <v>64966.1042175325</v>
      </c>
      <c r="J146" s="27" t="n">
        <f aca="false">J145+J106+J108</f>
        <v>69265.208406113</v>
      </c>
      <c r="K146" s="27" t="n">
        <f aca="false">K145+K106+K108</f>
        <v>-131199.763324991</v>
      </c>
      <c r="L146" s="27" t="n">
        <f aca="false">L145+L106+L108</f>
        <v>66292.0646207313</v>
      </c>
      <c r="M146" s="27" t="n">
        <f aca="false">M145+M106+M108</f>
        <v>64472.627733169</v>
      </c>
      <c r="N146" s="27" t="n">
        <f aca="false">N145+N106+N108</f>
        <v>62409.3477770232</v>
      </c>
      <c r="O146" s="27" t="n">
        <f aca="false">O145+O106+O108</f>
        <v>60084.4436133154</v>
      </c>
      <c r="P146" s="27" t="n">
        <f aca="false">P145+P106+P108</f>
        <v>57478.9896419263</v>
      </c>
      <c r="Q146" s="27" t="n">
        <f aca="false">Q145+Q106+Q108</f>
        <v>54572.8449108454</v>
      </c>
      <c r="R146" s="27" t="n">
        <f aca="false">R145+R106+R108</f>
        <v>51344.5778886497</v>
      </c>
      <c r="S146" s="27" t="n">
        <f aca="false">S145+S106+S108</f>
        <v>-204422.426904485</v>
      </c>
      <c r="T146" s="27" t="n">
        <f aca="false">T145+T106+T108</f>
        <v>43829.0140952086</v>
      </c>
      <c r="U146" s="27" t="n">
        <f aca="false">U145+U106+U108</f>
        <v>39491.6582021264</v>
      </c>
      <c r="V146" s="27" t="n">
        <f aca="false">V145+V106+V108</f>
        <v>34731.8765019525</v>
      </c>
      <c r="W146" s="27" t="n">
        <f aca="false">W145+W106+W108</f>
        <v>29520.4849370292</v>
      </c>
    </row>
    <row r="147" customFormat="false" ht="15" hidden="false" customHeight="false" outlineLevel="0" collapsed="false">
      <c r="A147" s="10" t="s">
        <v>237</v>
      </c>
      <c r="B147" s="61" t="n">
        <f aca="false">SUM(C147:W147)</f>
        <v>814912.092298404</v>
      </c>
      <c r="C147" s="83" t="n">
        <v>0</v>
      </c>
      <c r="D147" s="83" t="n">
        <f aca="false">D98-D105-D142+D108</f>
        <v>132102.705955123</v>
      </c>
      <c r="E147" s="83" t="n">
        <f aca="false">E98-E105-E142+E108</f>
        <v>68864.175771437</v>
      </c>
      <c r="F147" s="83" t="n">
        <f aca="false">F98-F105-F142+F108</f>
        <v>63414.5055978652</v>
      </c>
      <c r="G147" s="83" t="n">
        <f aca="false">G98-G105-G142+G108</f>
        <v>28947.1663988149</v>
      </c>
      <c r="H147" s="83" t="n">
        <f aca="false">H98-H105-H142+H108</f>
        <v>34318.9079804908</v>
      </c>
      <c r="I147" s="83" t="n">
        <f aca="false">I98-I105-I142+I108</f>
        <v>40080.5885618273</v>
      </c>
      <c r="J147" s="83" t="n">
        <f aca="false">J98-J105-J142+J108</f>
        <v>44379.6927504078</v>
      </c>
      <c r="K147" s="83" t="n">
        <f aca="false">K98-K105-K142+K108</f>
        <v>42998.8462649459</v>
      </c>
      <c r="L147" s="83" t="n">
        <f aca="false">L98-L105-L142+L108</f>
        <v>34767.8379281809</v>
      </c>
      <c r="M147" s="83" t="n">
        <f aca="false">M98-M105-M142+M108</f>
        <v>32948.4010406185</v>
      </c>
      <c r="N147" s="83" t="n">
        <f aca="false">N98-N105-N142+N108</f>
        <v>30885.1210844728</v>
      </c>
      <c r="O147" s="83" t="n">
        <f aca="false">O98-O105-O142+O108</f>
        <v>28560.216920765</v>
      </c>
      <c r="P147" s="83" t="n">
        <f aca="false">P98-P105-P142+P108</f>
        <v>25954.7629493758</v>
      </c>
      <c r="Q147" s="83" t="n">
        <f aca="false">Q98-Q105-Q142+Q108</f>
        <v>23048.6182182949</v>
      </c>
      <c r="R147" s="83" t="n">
        <f aca="false">R98-R105-R142+R108</f>
        <v>19820.3511960992</v>
      </c>
      <c r="S147" s="83" t="n">
        <f aca="false">S98-S105-S142+S108</f>
        <v>16247.1599433686</v>
      </c>
      <c r="T147" s="83" t="n">
        <f aca="false">T98-T105-T142+T108</f>
        <v>43829.0140952086</v>
      </c>
      <c r="U147" s="83" t="n">
        <f aca="false">U98-U105-U142+U108</f>
        <v>39491.6582021264</v>
      </c>
      <c r="V147" s="83" t="n">
        <f aca="false">V98-V105-V142+V108</f>
        <v>34731.8765019525</v>
      </c>
      <c r="W147" s="83" t="n">
        <f aca="false">W98-W105-W142+W108</f>
        <v>29520.4849370292</v>
      </c>
    </row>
    <row r="148" customFormat="false" ht="15" hidden="false" customHeight="false" outlineLevel="0" collapsed="false">
      <c r="A148" s="10" t="s">
        <v>470</v>
      </c>
      <c r="C148" s="86" t="n">
        <v>0</v>
      </c>
      <c r="D148" s="86" t="n">
        <f aca="false">IF(D125&gt;0,D147/D125,"")</f>
        <v>6.48391209005404</v>
      </c>
      <c r="E148" s="86" t="n">
        <f aca="false">IF(E125&gt;0,E147/E125,"")</f>
        <v>3.38001601577876</v>
      </c>
      <c r="F148" s="86" t="n">
        <f aca="false">IF(F125&gt;0,F147/F125,"")</f>
        <v>1.86084373167557</v>
      </c>
      <c r="G148" s="86" t="n">
        <f aca="false">IF(G125&gt;0,G147/G125,"")</f>
        <v>0.849429521450341</v>
      </c>
      <c r="H148" s="86" t="n">
        <f aca="false">IF(H125&gt;0,H147/H125,"")</f>
        <v>1.00705862470048</v>
      </c>
      <c r="I148" s="86" t="n">
        <f aca="false">IF(I125&gt;0,I147/I125,"")</f>
        <v>0.839395632819274</v>
      </c>
      <c r="J148" s="86" t="n">
        <f aca="false">IF(J125&gt;0,J147/J125,"")</f>
        <v>0.929430470390656</v>
      </c>
      <c r="K148" s="86" t="n">
        <f aca="false">IF(K125&gt;0,K147/K125,"")</f>
        <v>0.900511820463582</v>
      </c>
      <c r="L148" s="86" t="n">
        <f aca="false">IF(L125&gt;0,L147/L125,"")</f>
        <v>0.728132304605878</v>
      </c>
      <c r="M148" s="86" t="n">
        <f aca="false">IF(M125&gt;0,M147/M125,"")</f>
        <v>0.690028388660276</v>
      </c>
      <c r="N148" s="86" t="n">
        <f aca="false">IF(N125&gt;0,N147/N125,"")</f>
        <v>1.68103758332163</v>
      </c>
      <c r="O148" s="86" t="n">
        <f aca="false">IF(O125&gt;0,O147/O125,"")</f>
        <v>1.55449602740141</v>
      </c>
      <c r="P148" s="86" t="n">
        <f aca="false">IF(P125&gt;0,P147/P125,"")</f>
        <v>1.41268450477403</v>
      </c>
      <c r="Q148" s="86" t="n">
        <f aca="false">IF(Q125&gt;0,Q147/Q125,"")</f>
        <v>1.25450676921789</v>
      </c>
      <c r="R148" s="86" t="n">
        <f aca="false">IF(R125&gt;0,R147/R125,"")</f>
        <v>1.07879632992688</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-300771.011964216</v>
      </c>
      <c r="C149" s="27" t="n">
        <f aca="false">-S_Capex_Hi!$B$18-C129</f>
        <v>-480354.343689344</v>
      </c>
      <c r="D149" s="27" t="n">
        <f aca="false">D147-D125-D129</f>
        <v>111728.7859944</v>
      </c>
      <c r="E149" s="27" t="n">
        <f aca="false">E147-E125-E129</f>
        <v>41638.0349833557</v>
      </c>
      <c r="F149" s="27" t="n">
        <f aca="false">F147-F125-F129</f>
        <v>29336.1439824251</v>
      </c>
      <c r="G149" s="27" t="n">
        <f aca="false">G147-G125-G129</f>
        <v>-5131.19521662516</v>
      </c>
      <c r="H149" s="27" t="n">
        <f aca="false">H147-H125-H129</f>
        <v>-6594.94347997548</v>
      </c>
      <c r="I149" s="27" t="n">
        <f aca="false">I147-I125-I129</f>
        <v>-7668.75274366512</v>
      </c>
      <c r="J149" s="27" t="n">
        <f aca="false">J147-J125-J129</f>
        <v>-3369.64855508463</v>
      </c>
      <c r="K149" s="27" t="n">
        <f aca="false">K147-K125-K129</f>
        <v>-4750.49504054654</v>
      </c>
      <c r="L149" s="27" t="n">
        <f aca="false">L147-L125-L129</f>
        <v>-12981.5033773116</v>
      </c>
      <c r="M149" s="27" t="n">
        <f aca="false">M147-M125-M129</f>
        <v>-112.596375698791</v>
      </c>
      <c r="N149" s="27" t="n">
        <f aca="false">N147-N125-N129</f>
        <v>12512.4675573306</v>
      </c>
      <c r="O149" s="27" t="n">
        <f aca="false">O147-O125-O129</f>
        <v>10187.5633936228</v>
      </c>
      <c r="P149" s="27" t="n">
        <f aca="false">P147-P125-P129</f>
        <v>7582.10942223357</v>
      </c>
      <c r="Q149" s="27" t="n">
        <f aca="false">Q147-Q125-Q129</f>
        <v>4675.96469115272</v>
      </c>
      <c r="R149" s="27" t="n">
        <f aca="false">R147-R125-R129</f>
        <v>10634.0244325281</v>
      </c>
      <c r="S149" s="27" t="n">
        <f aca="false">S147-S125-S129</f>
        <v>16247.1599433686</v>
      </c>
      <c r="T149" s="27" t="n">
        <f aca="false">T147-T125-T129</f>
        <v>43829.0140952086</v>
      </c>
      <c r="U149" s="27" t="n">
        <f aca="false">U147-U125-U129</f>
        <v>39491.6582021264</v>
      </c>
      <c r="V149" s="27" t="n">
        <f aca="false">V147-V125-V129</f>
        <v>34731.8765019525</v>
      </c>
      <c r="W149" s="27" t="n">
        <f aca="false">W147-W125-W129</f>
        <v>29520.4849370292</v>
      </c>
    </row>
    <row r="150" customFormat="false" ht="15" hidden="false" customHeight="false" outlineLevel="0" collapsed="false">
      <c r="A150" s="10" t="s">
        <v>472</v>
      </c>
      <c r="C150" s="83" t="n">
        <f aca="false">C149</f>
        <v>-480354.343689344</v>
      </c>
      <c r="D150" s="83" t="n">
        <f aca="false">C150+D149</f>
        <v>-368625.557694944</v>
      </c>
      <c r="E150" s="83" t="n">
        <f aca="false">D150+E149</f>
        <v>-326987.522711589</v>
      </c>
      <c r="F150" s="83" t="n">
        <f aca="false">E150+F149</f>
        <v>-297651.378729164</v>
      </c>
      <c r="G150" s="83" t="n">
        <f aca="false">F150+G149</f>
        <v>-302782.573945789</v>
      </c>
      <c r="H150" s="83" t="n">
        <f aca="false">G150+H149</f>
        <v>-309377.517425764</v>
      </c>
      <c r="I150" s="83" t="n">
        <f aca="false">H150+I149</f>
        <v>-317046.270169429</v>
      </c>
      <c r="J150" s="83" t="n">
        <f aca="false">I150+J149</f>
        <v>-320415.918724514</v>
      </c>
      <c r="K150" s="83" t="n">
        <f aca="false">J150+K149</f>
        <v>-325166.413765061</v>
      </c>
      <c r="L150" s="83" t="n">
        <f aca="false">K150+L149</f>
        <v>-338147.917142372</v>
      </c>
      <c r="M150" s="83" t="n">
        <f aca="false">L150+M149</f>
        <v>-338260.513518071</v>
      </c>
      <c r="N150" s="83" t="n">
        <f aca="false">M150+N149</f>
        <v>-325748.04596074</v>
      </c>
      <c r="O150" s="83" t="n">
        <f aca="false">N150+O149</f>
        <v>-315560.482567118</v>
      </c>
      <c r="P150" s="83" t="n">
        <f aca="false">O150+P149</f>
        <v>-307978.373144884</v>
      </c>
      <c r="Q150" s="83" t="n">
        <f aca="false">P150+Q149</f>
        <v>-303302.408453731</v>
      </c>
      <c r="R150" s="83" t="n">
        <f aca="false">Q150+R149</f>
        <v>-292668.384021203</v>
      </c>
      <c r="S150" s="83" t="n">
        <f aca="false">R150+S149</f>
        <v>-276421.224077835</v>
      </c>
      <c r="T150" s="83" t="n">
        <f aca="false">S150+T149</f>
        <v>-232592.209982626</v>
      </c>
      <c r="U150" s="83" t="n">
        <f aca="false">T150+U149</f>
        <v>-193100.5517805</v>
      </c>
      <c r="V150" s="83" t="n">
        <f aca="false">U150+V149</f>
        <v>-158368.675278547</v>
      </c>
      <c r="W150" s="83" t="n">
        <f aca="false">V150+W149</f>
        <v>-128848.190341518</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2630464.88184212</v>
      </c>
      <c r="C153" s="83" t="n">
        <f aca="false">C102+C96-C93+C103</f>
        <v>1383612.30618164</v>
      </c>
      <c r="D153" s="83" t="n">
        <f aca="false">D102+D96-D93+D103</f>
        <v>72313.6440352521</v>
      </c>
      <c r="E153" s="83" t="n">
        <f aca="false">E102+E96-E93+E103</f>
        <v>79362.4181217533</v>
      </c>
      <c r="F153" s="83" t="n">
        <f aca="false">F102+F96-F93+F103</f>
        <v>85125.4077410453</v>
      </c>
      <c r="G153" s="83" t="n">
        <f aca="false">G102+G96-G93+G103</f>
        <v>88277.1846408676</v>
      </c>
      <c r="H153" s="83" t="n">
        <f aca="false">H102+H96-H93+H103</f>
        <v>91559.9339409409</v>
      </c>
      <c r="I153" s="83" t="n">
        <f aca="false">I102+I96-I93+I103</f>
        <v>94979.802736052</v>
      </c>
      <c r="J153" s="83" t="n">
        <f aca="false">J102+J96-J93+J103</f>
        <v>100421.404280945</v>
      </c>
      <c r="K153" s="83" t="n">
        <f aca="false">K102+K96-K93+K103</f>
        <v>311220.29072469</v>
      </c>
      <c r="L153" s="83" t="n">
        <f aca="false">L102+L96-L93+L103</f>
        <v>124691.71289761</v>
      </c>
      <c r="M153" s="83" t="n">
        <f aca="false">M102+M96-M93+M103</f>
        <v>138142.061836039</v>
      </c>
      <c r="N153" s="83" t="n">
        <f aca="false">N102+N96-N93+N103</f>
        <v>152544.57638695</v>
      </c>
      <c r="O153" s="83" t="n">
        <f aca="false">O102+O96-O93+O103</f>
        <v>167960.174532244</v>
      </c>
      <c r="P153" s="83" t="n">
        <f aca="false">P102+P96-P93+P103</f>
        <v>184453.545748697</v>
      </c>
      <c r="Q153" s="83" t="n">
        <f aca="false">Q102+Q96-Q93+Q103</f>
        <v>202093.381885067</v>
      </c>
      <c r="R153" s="83" t="n">
        <f aca="false">R102+R96-R93+R103</f>
        <v>220952.622119134</v>
      </c>
      <c r="S153" s="83" t="n">
        <f aca="false">S102+S96-S93+S103</f>
        <v>493302.526392743</v>
      </c>
      <c r="T153" s="83" t="n">
        <f aca="false">T102+T96-T93+T103</f>
        <v>262643.883451884</v>
      </c>
      <c r="U153" s="83" t="n">
        <f aca="false">U102+U96-U93+U103</f>
        <v>285645.438805584</v>
      </c>
      <c r="V153" s="83" t="n">
        <f aca="false">V102+V96-V93+V103</f>
        <v>310206.069713528</v>
      </c>
      <c r="W153" s="83" t="n">
        <f aca="false">W102+W96-W93+W103</f>
        <v>336424.182202974</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f aca="false">1-SensDelta</f>
        <v>0.8</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MAX(0,S_Opex_Lo!$B$14-Grant)*SenPct</f>
        <v>110602.051030273</v>
      </c>
    </row>
    <row r="17" customFormat="false" ht="15" hidden="false" customHeight="false" outlineLevel="0" collapsed="false">
      <c r="A17" s="10" t="s">
        <v>248</v>
      </c>
      <c r="B17" s="61" t="n">
        <f aca="false">MAX(0,S_Opex_Lo!$B$14-Grant)*ConPct</f>
        <v>110602.051030273</v>
      </c>
    </row>
    <row r="18" customFormat="false" ht="15" hidden="false" customHeight="false" outlineLevel="0" collapsed="false">
      <c r="A18" s="10" t="s">
        <v>393</v>
      </c>
      <c r="B18" s="61" t="n">
        <f aca="false">MAX(0,S_Opex_Lo!$B$14-Grant-S_Opex_Lo!$B$16-S_Opex_Lo!$B$17)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-685183.385653803</v>
      </c>
    </row>
    <row r="21" customFormat="false" ht="15" hidden="false" customHeight="false" outlineLevel="0" collapsed="false">
      <c r="A21" s="10" t="s">
        <v>396</v>
      </c>
      <c r="B21" s="61" t="n">
        <f aca="false">$B$146</f>
        <v>132736.974977302</v>
      </c>
    </row>
    <row r="22" customFormat="false" ht="15" hidden="false" customHeight="false" outlineLevel="0" collapsed="false">
      <c r="A22" s="10" t="s">
        <v>397</v>
      </c>
      <c r="B22" s="63" t="n">
        <f aca="false">IFERROR(IRR($C$145:$W$145),"n.d.")</f>
        <v>-0.0105459423898673</v>
      </c>
    </row>
    <row r="23" customFormat="false" ht="15" hidden="false" customHeight="false" outlineLevel="0" collapsed="false">
      <c r="A23" s="10" t="s">
        <v>398</v>
      </c>
      <c r="B23" s="63" t="n">
        <f aca="false">IFERROR(IRR($C$146:$W$146),"n.d.")</f>
        <v>0.148445674026892</v>
      </c>
    </row>
    <row r="24" customFormat="false" ht="15" hidden="false" customHeight="false" outlineLevel="0" collapsed="false">
      <c r="A24" s="10" t="s">
        <v>384</v>
      </c>
      <c r="B24" s="61" t="n">
        <f aca="false">MAX(0,-$B$145)</f>
        <v>685183.385653803</v>
      </c>
    </row>
    <row r="25" customFormat="false" ht="15" hidden="false" customHeight="false" outlineLevel="0" collapsed="false">
      <c r="A25" s="10" t="s">
        <v>256</v>
      </c>
      <c r="B25" s="63" t="n">
        <f aca="false">IFERROR(IRR($C$149:$W$149),"n.d.")</f>
        <v>0.166671362612233</v>
      </c>
    </row>
    <row r="26" customFormat="false" ht="15" hidden="false" customHeight="false" outlineLevel="0" collapsed="false">
      <c r="A26" s="10" t="s">
        <v>258</v>
      </c>
      <c r="B26" s="61" t="n">
        <f aca="false">C149+NPV(TargetEqIRR,D149:W149)</f>
        <v>24094.2512819286</v>
      </c>
    </row>
    <row r="27" customFormat="false" ht="15" hidden="false" customHeight="false" outlineLevel="0" collapsed="false">
      <c r="A27" s="10" t="s">
        <v>252</v>
      </c>
      <c r="B27" s="62" t="n">
        <f aca="false">IF((S_Opex_Lo!$B$16+S_Opex_Lo!$B$17)&gt;0,MIN($D$148:$W$148),"pas de dette")</f>
        <v>1.82849281756877</v>
      </c>
    </row>
    <row r="28" customFormat="false" ht="15" hidden="false" customHeight="false" outlineLevel="0" collapsed="false">
      <c r="A28" s="10" t="s">
        <v>254</v>
      </c>
      <c r="B28" s="62" t="n">
        <f aca="false">IF((S_Opex_Lo!$B$16+S_Opex_Lo!$B$17)&gt;0,AVERAGE($D$148:$W$148),"pas de dette")</f>
        <v>3.79374069551156</v>
      </c>
    </row>
    <row r="29" customFormat="false" ht="15" hidden="false" customHeight="false" outlineLevel="0" collapsed="false">
      <c r="A29" s="10" t="s">
        <v>399</v>
      </c>
      <c r="B29" s="77" t="n">
        <f aca="false">IFERROR($B$153/$B$154,0)</f>
        <v>0.624264765518728</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183686.247303243</v>
      </c>
    </row>
    <row r="36" customFormat="false" ht="15" hidden="false" customHeight="false" outlineLevel="0" collapsed="false">
      <c r="A36" s="10" t="s">
        <v>260</v>
      </c>
      <c r="B36" s="78" t="n">
        <f aca="false">IFERROR(MATCH(TRUE(),INDEX($C$150:$W$150&gt;=0,0),0)-1,"&gt; durée de vie")</f>
        <v>6</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538814.214705254</v>
      </c>
      <c r="C88" s="83" t="n">
        <v>0</v>
      </c>
      <c r="D88" s="83" t="n">
        <f aca="false">S_Opex_Lo!$B$15*O_FixedPct*D44*LevOpex*$B$8*D41</f>
        <v>20052.352263502</v>
      </c>
      <c r="E88" s="83" t="n">
        <f aca="false">S_Opex_Lo!$B$15*O_FixedPct*E44*LevOpex*$B$8*E41</f>
        <v>20653.9228314071</v>
      </c>
      <c r="F88" s="83" t="n">
        <f aca="false">S_Opex_Lo!$B$15*O_FixedPct*F44*LevOpex*$B$8*F41</f>
        <v>21273.5405163493</v>
      </c>
      <c r="G88" s="83" t="n">
        <f aca="false">S_Opex_Lo!$B$15*O_FixedPct*G44*LevOpex*$B$8*G41</f>
        <v>21911.7467318398</v>
      </c>
      <c r="H88" s="83" t="n">
        <f aca="false">S_Opex_Lo!$B$15*O_FixedPct*H44*LevOpex*$B$8*H41</f>
        <v>22569.099133795</v>
      </c>
      <c r="I88" s="83" t="n">
        <f aca="false">S_Opex_Lo!$B$15*O_FixedPct*I44*LevOpex*$B$8*I41</f>
        <v>23246.1721078088</v>
      </c>
      <c r="J88" s="83" t="n">
        <f aca="false">S_Opex_Lo!$B$15*O_FixedPct*J44*LevOpex*$B$8*J41</f>
        <v>23943.5572710431</v>
      </c>
      <c r="K88" s="83" t="n">
        <f aca="false">S_Opex_Lo!$B$15*O_FixedPct*K44*LevOpex*$B$8*K41</f>
        <v>24661.8639891744</v>
      </c>
      <c r="L88" s="83" t="n">
        <f aca="false">S_Opex_Lo!$B$15*O_FixedPct*L44*LevOpex*$B$8*L41</f>
        <v>25401.7199088496</v>
      </c>
      <c r="M88" s="83" t="n">
        <f aca="false">S_Opex_Lo!$B$15*O_FixedPct*M44*LevOpex*$B$8*M41</f>
        <v>26163.7715061151</v>
      </c>
      <c r="N88" s="83" t="n">
        <f aca="false">S_Opex_Lo!$B$15*O_FixedPct*N44*LevOpex*$B$8*N41</f>
        <v>26948.6846512985</v>
      </c>
      <c r="O88" s="83" t="n">
        <f aca="false">S_Opex_Lo!$B$15*O_FixedPct*O44*LevOpex*$B$8*O41</f>
        <v>27757.1451908375</v>
      </c>
      <c r="P88" s="83" t="n">
        <f aca="false">S_Opex_Lo!$B$15*O_FixedPct*P44*LevOpex*$B$8*P41</f>
        <v>28589.8595465626</v>
      </c>
      <c r="Q88" s="83" t="n">
        <f aca="false">S_Opex_Lo!$B$15*O_FixedPct*Q44*LevOpex*$B$8*Q41</f>
        <v>29447.5553329595</v>
      </c>
      <c r="R88" s="83" t="n">
        <f aca="false">S_Opex_Lo!$B$15*O_FixedPct*R44*LevOpex*$B$8*R41</f>
        <v>30330.9819929483</v>
      </c>
      <c r="S88" s="83" t="n">
        <f aca="false">S_Opex_Lo!$B$15*O_FixedPct*S44*LevOpex*$B$8*S41</f>
        <v>31240.9114527367</v>
      </c>
      <c r="T88" s="83" t="n">
        <f aca="false">S_Opex_Lo!$B$15*O_FixedPct*T44*LevOpex*$B$8*T41</f>
        <v>32178.1387963188</v>
      </c>
      <c r="U88" s="83" t="n">
        <f aca="false">S_Opex_Lo!$B$15*O_FixedPct*U44*LevOpex*$B$8*U41</f>
        <v>33143.4829602084</v>
      </c>
      <c r="V88" s="83" t="n">
        <f aca="false">S_Opex_Lo!$B$15*O_FixedPct*V44*LevOpex*$B$8*V41</f>
        <v>34137.7874490147</v>
      </c>
      <c r="W88" s="83" t="n">
        <f aca="false">S_Opex_Lo!$B$15*O_FixedPct*W44*LevOpex*$B$8*W41</f>
        <v>35161.9210724851</v>
      </c>
    </row>
    <row r="89" customFormat="false" ht="15" hidden="false" customHeight="false" outlineLevel="0" collapsed="false">
      <c r="A89" s="10" t="s">
        <v>429</v>
      </c>
      <c r="B89" s="61" t="n">
        <f aca="false">SUM(C89:W89)</f>
        <v>386933.392641319</v>
      </c>
      <c r="C89" s="83" t="n">
        <v>0</v>
      </c>
      <c r="D89" s="83" t="n">
        <f aca="false">O_Staff*D44*LevOpex*$B$8*D41</f>
        <v>14400</v>
      </c>
      <c r="E89" s="83" t="n">
        <f aca="false">O_Staff*E44*LevOpex*$B$8*E41</f>
        <v>14832</v>
      </c>
      <c r="F89" s="83" t="n">
        <f aca="false">O_Staff*F44*LevOpex*$B$8*F41</f>
        <v>15276.96</v>
      </c>
      <c r="G89" s="83" t="n">
        <f aca="false">O_Staff*G44*LevOpex*$B$8*G41</f>
        <v>15735.2688</v>
      </c>
      <c r="H89" s="83" t="n">
        <f aca="false">O_Staff*H44*LevOpex*$B$8*H41</f>
        <v>16207.326864</v>
      </c>
      <c r="I89" s="83" t="n">
        <f aca="false">O_Staff*I44*LevOpex*$B$8*I41</f>
        <v>16693.54666992</v>
      </c>
      <c r="J89" s="83" t="n">
        <f aca="false">O_Staff*J44*LevOpex*$B$8*J41</f>
        <v>17194.3530700176</v>
      </c>
      <c r="K89" s="83" t="n">
        <f aca="false">O_Staff*K44*LevOpex*$B$8*K41</f>
        <v>17710.1836621181</v>
      </c>
      <c r="L89" s="83" t="n">
        <f aca="false">O_Staff*L44*LevOpex*$B$8*L41</f>
        <v>18241.4891719817</v>
      </c>
      <c r="M89" s="83" t="n">
        <f aca="false">O_Staff*M44*LevOpex*$B$8*M41</f>
        <v>18788.7338471411</v>
      </c>
      <c r="N89" s="83" t="n">
        <f aca="false">O_Staff*N44*LevOpex*$B$8*N41</f>
        <v>19352.3958625554</v>
      </c>
      <c r="O89" s="83" t="n">
        <f aca="false">O_Staff*O44*LevOpex*$B$8*O41</f>
        <v>19932.967738432</v>
      </c>
      <c r="P89" s="83" t="n">
        <f aca="false">O_Staff*P44*LevOpex*$B$8*P41</f>
        <v>20530.956770585</v>
      </c>
      <c r="Q89" s="83" t="n">
        <f aca="false">O_Staff*Q44*LevOpex*$B$8*Q41</f>
        <v>21146.8854737025</v>
      </c>
      <c r="R89" s="83" t="n">
        <f aca="false">O_Staff*R44*LevOpex*$B$8*R41</f>
        <v>21781.2920379136</v>
      </c>
      <c r="S89" s="83" t="n">
        <f aca="false">O_Staff*S44*LevOpex*$B$8*S41</f>
        <v>22434.730799051</v>
      </c>
      <c r="T89" s="83" t="n">
        <f aca="false">O_Staff*T44*LevOpex*$B$8*T41</f>
        <v>23107.7727230226</v>
      </c>
      <c r="U89" s="83" t="n">
        <f aca="false">O_Staff*U44*LevOpex*$B$8*U41</f>
        <v>23801.0059047132</v>
      </c>
      <c r="V89" s="83" t="n">
        <f aca="false">O_Staff*V44*LevOpex*$B$8*V41</f>
        <v>24515.0360818546</v>
      </c>
      <c r="W89" s="83" t="n">
        <f aca="false">O_Staff*W44*LevOpex*$B$8*W41</f>
        <v>25250.4871643103</v>
      </c>
    </row>
    <row r="90" customFormat="false" ht="15" hidden="false" customHeight="false" outlineLevel="0" collapsed="false">
      <c r="A90" s="10" t="s">
        <v>159</v>
      </c>
      <c r="B90" s="61" t="n">
        <f aca="false">SUM(C90:W90)</f>
        <v>123927.269382208</v>
      </c>
      <c r="C90" s="83" t="n">
        <v>0</v>
      </c>
      <c r="D90" s="83" t="n">
        <f aca="false">S_Opex_Lo!$B$14*O_InsPct*D44*LevOpex*$B$8*D41</f>
        <v>4612.04102060546</v>
      </c>
      <c r="E90" s="83" t="n">
        <f aca="false">S_Opex_Lo!$B$14*O_InsPct*E44*LevOpex*$B$8*E41</f>
        <v>4750.40225122363</v>
      </c>
      <c r="F90" s="83" t="n">
        <f aca="false">S_Opex_Lo!$B$14*O_InsPct*F44*LevOpex*$B$8*F41</f>
        <v>4892.91431876034</v>
      </c>
      <c r="G90" s="83" t="n">
        <f aca="false">S_Opex_Lo!$B$14*O_InsPct*G44*LevOpex*$B$8*G41</f>
        <v>5039.70174832315</v>
      </c>
      <c r="H90" s="83" t="n">
        <f aca="false">S_Opex_Lo!$B$14*O_InsPct*H44*LevOpex*$B$8*H41</f>
        <v>5190.89280077284</v>
      </c>
      <c r="I90" s="83" t="n">
        <f aca="false">S_Opex_Lo!$B$14*O_InsPct*I44*LevOpex*$B$8*I41</f>
        <v>5346.61958479603</v>
      </c>
      <c r="J90" s="83" t="n">
        <f aca="false">S_Opex_Lo!$B$14*O_InsPct*J44*LevOpex*$B$8*J41</f>
        <v>5507.01817233991</v>
      </c>
      <c r="K90" s="83" t="n">
        <f aca="false">S_Opex_Lo!$B$14*O_InsPct*K44*LevOpex*$B$8*K41</f>
        <v>5672.2287175101</v>
      </c>
      <c r="L90" s="83" t="n">
        <f aca="false">S_Opex_Lo!$B$14*O_InsPct*L44*LevOpex*$B$8*L41</f>
        <v>5842.39557903541</v>
      </c>
      <c r="M90" s="83" t="n">
        <f aca="false">S_Opex_Lo!$B$14*O_InsPct*M44*LevOpex*$B$8*M41</f>
        <v>6017.66744640647</v>
      </c>
      <c r="N90" s="83" t="n">
        <f aca="false">S_Opex_Lo!$B$14*O_InsPct*N44*LevOpex*$B$8*N41</f>
        <v>6198.19746979866</v>
      </c>
      <c r="O90" s="83" t="n">
        <f aca="false">S_Opex_Lo!$B$14*O_InsPct*O44*LevOpex*$B$8*O41</f>
        <v>6384.14339389262</v>
      </c>
      <c r="P90" s="83" t="n">
        <f aca="false">S_Opex_Lo!$B$14*O_InsPct*P44*LevOpex*$B$8*P41</f>
        <v>6575.6676957094</v>
      </c>
      <c r="Q90" s="83" t="n">
        <f aca="false">S_Opex_Lo!$B$14*O_InsPct*Q44*LevOpex*$B$8*Q41</f>
        <v>6772.93772658069</v>
      </c>
      <c r="R90" s="83" t="n">
        <f aca="false">S_Opex_Lo!$B$14*O_InsPct*R44*LevOpex*$B$8*R41</f>
        <v>6976.12585837811</v>
      </c>
      <c r="S90" s="83" t="n">
        <f aca="false">S_Opex_Lo!$B$14*O_InsPct*S44*LevOpex*$B$8*S41</f>
        <v>7185.40963412945</v>
      </c>
      <c r="T90" s="83" t="n">
        <f aca="false">S_Opex_Lo!$B$14*O_InsPct*T44*LevOpex*$B$8*T41</f>
        <v>7400.97192315333</v>
      </c>
      <c r="U90" s="83" t="n">
        <f aca="false">S_Opex_Lo!$B$14*O_InsPct*U44*LevOpex*$B$8*U41</f>
        <v>7623.00108084793</v>
      </c>
      <c r="V90" s="83" t="n">
        <f aca="false">S_Opex_Lo!$B$14*O_InsPct*V44*LevOpex*$B$8*V41</f>
        <v>7851.69111327337</v>
      </c>
      <c r="W90" s="83" t="n">
        <f aca="false">S_Opex_Lo!$B$14*O_InsPct*W44*LevOpex*$B$8*W41</f>
        <v>8087.24184667157</v>
      </c>
    </row>
    <row r="91" customFormat="false" ht="15" hidden="false" customHeight="false" outlineLevel="0" collapsed="false">
      <c r="A91" s="10" t="s">
        <v>430</v>
      </c>
      <c r="B91" s="61" t="n">
        <f aca="false">SUM(C91:W91)</f>
        <v>64488.8987735531</v>
      </c>
      <c r="C91" s="83" t="n">
        <v>0</v>
      </c>
      <c r="D91" s="83" t="n">
        <f aca="false">O_Fees*D44*LevOpex*$B$8*D41</f>
        <v>2400</v>
      </c>
      <c r="E91" s="83" t="n">
        <f aca="false">O_Fees*E44*LevOpex*$B$8*E41</f>
        <v>2472</v>
      </c>
      <c r="F91" s="83" t="n">
        <f aca="false">O_Fees*F44*LevOpex*$B$8*F41</f>
        <v>2546.16</v>
      </c>
      <c r="G91" s="83" t="n">
        <f aca="false">O_Fees*G44*LevOpex*$B$8*G41</f>
        <v>2622.5448</v>
      </c>
      <c r="H91" s="83" t="n">
        <f aca="false">O_Fees*H44*LevOpex*$B$8*H41</f>
        <v>2701.221144</v>
      </c>
      <c r="I91" s="83" t="n">
        <f aca="false">O_Fees*I44*LevOpex*$B$8*I41</f>
        <v>2782.25777832</v>
      </c>
      <c r="J91" s="83" t="n">
        <f aca="false">O_Fees*J44*LevOpex*$B$8*J41</f>
        <v>2865.7255116696</v>
      </c>
      <c r="K91" s="83" t="n">
        <f aca="false">O_Fees*K44*LevOpex*$B$8*K41</f>
        <v>2951.69727701969</v>
      </c>
      <c r="L91" s="83" t="n">
        <f aca="false">O_Fees*L44*LevOpex*$B$8*L41</f>
        <v>3040.24819533028</v>
      </c>
      <c r="M91" s="83" t="n">
        <f aca="false">O_Fees*M44*LevOpex*$B$8*M41</f>
        <v>3131.45564119019</v>
      </c>
      <c r="N91" s="83" t="n">
        <f aca="false">O_Fees*N44*LevOpex*$B$8*N41</f>
        <v>3225.39931042589</v>
      </c>
      <c r="O91" s="83" t="n">
        <f aca="false">O_Fees*O44*LevOpex*$B$8*O41</f>
        <v>3322.16128973867</v>
      </c>
      <c r="P91" s="83" t="n">
        <f aca="false">O_Fees*P44*LevOpex*$B$8*P41</f>
        <v>3421.82612843083</v>
      </c>
      <c r="Q91" s="83" t="n">
        <f aca="false">O_Fees*Q44*LevOpex*$B$8*Q41</f>
        <v>3524.48091228376</v>
      </c>
      <c r="R91" s="83" t="n">
        <f aca="false">O_Fees*R44*LevOpex*$B$8*R41</f>
        <v>3630.21533965227</v>
      </c>
      <c r="S91" s="83" t="n">
        <f aca="false">O_Fees*S44*LevOpex*$B$8*S41</f>
        <v>3739.12179984184</v>
      </c>
      <c r="T91" s="83" t="n">
        <f aca="false">O_Fees*T44*LevOpex*$B$8*T41</f>
        <v>3851.29545383709</v>
      </c>
      <c r="U91" s="83" t="n">
        <f aca="false">O_Fees*U44*LevOpex*$B$8*U41</f>
        <v>3966.8343174522</v>
      </c>
      <c r="V91" s="83" t="n">
        <f aca="false">O_Fees*V44*LevOpex*$B$8*V41</f>
        <v>4085.83934697577</v>
      </c>
      <c r="W91" s="83" t="n">
        <f aca="false">O_Fees*W44*LevOpex*$B$8*W41</f>
        <v>4208.41452738504</v>
      </c>
    </row>
    <row r="92" customFormat="false" ht="15" hidden="false" customHeight="false" outlineLevel="0" collapsed="false">
      <c r="A92" s="10" t="s">
        <v>431</v>
      </c>
      <c r="B92" s="61" t="n">
        <f aca="false">SUM(C92:W92)</f>
        <v>85985.1983647375</v>
      </c>
      <c r="C92" s="83" t="n">
        <v>0</v>
      </c>
      <c r="D92" s="83" t="n">
        <f aca="false">O_MRV*D44*LevOpex*$B$8*D41</f>
        <v>3200</v>
      </c>
      <c r="E92" s="83" t="n">
        <f aca="false">O_MRV*E44*LevOpex*$B$8*E41</f>
        <v>3296</v>
      </c>
      <c r="F92" s="83" t="n">
        <f aca="false">O_MRV*F44*LevOpex*$B$8*F41</f>
        <v>3394.88</v>
      </c>
      <c r="G92" s="83" t="n">
        <f aca="false">O_MRV*G44*LevOpex*$B$8*G41</f>
        <v>3496.7264</v>
      </c>
      <c r="H92" s="83" t="n">
        <f aca="false">O_MRV*H44*LevOpex*$B$8*H41</f>
        <v>3601.628192</v>
      </c>
      <c r="I92" s="83" t="n">
        <f aca="false">O_MRV*I44*LevOpex*$B$8*I41</f>
        <v>3709.67703776</v>
      </c>
      <c r="J92" s="83" t="n">
        <f aca="false">O_MRV*J44*LevOpex*$B$8*J41</f>
        <v>3820.9673488928</v>
      </c>
      <c r="K92" s="83" t="n">
        <f aca="false">O_MRV*K44*LevOpex*$B$8*K41</f>
        <v>3935.59636935959</v>
      </c>
      <c r="L92" s="83" t="n">
        <f aca="false">O_MRV*L44*LevOpex*$B$8*L41</f>
        <v>4053.66426044037</v>
      </c>
      <c r="M92" s="83" t="n">
        <f aca="false">O_MRV*M44*LevOpex*$B$8*M41</f>
        <v>4175.27418825358</v>
      </c>
      <c r="N92" s="83" t="n">
        <f aca="false">O_MRV*N44*LevOpex*$B$8*N41</f>
        <v>4300.53241390119</v>
      </c>
      <c r="O92" s="83" t="n">
        <f aca="false">O_MRV*O44*LevOpex*$B$8*O41</f>
        <v>4429.54838631823</v>
      </c>
      <c r="P92" s="83" t="n">
        <f aca="false">O_MRV*P44*LevOpex*$B$8*P41</f>
        <v>4562.43483790777</v>
      </c>
      <c r="Q92" s="83" t="n">
        <f aca="false">O_MRV*Q44*LevOpex*$B$8*Q41</f>
        <v>4699.30788304501</v>
      </c>
      <c r="R92" s="83" t="n">
        <f aca="false">O_MRV*R44*LevOpex*$B$8*R41</f>
        <v>4840.28711953636</v>
      </c>
      <c r="S92" s="83" t="n">
        <f aca="false">O_MRV*S44*LevOpex*$B$8*S41</f>
        <v>4985.49573312245</v>
      </c>
      <c r="T92" s="83" t="n">
        <f aca="false">O_MRV*T44*LevOpex*$B$8*T41</f>
        <v>5135.06060511612</v>
      </c>
      <c r="U92" s="83" t="n">
        <f aca="false">O_MRV*U44*LevOpex*$B$8*U41</f>
        <v>5289.11242326961</v>
      </c>
      <c r="V92" s="83" t="n">
        <f aca="false">O_MRV*V44*LevOpex*$B$8*V41</f>
        <v>5447.7857959677</v>
      </c>
      <c r="W92" s="83" t="n">
        <f aca="false">O_MRV*W44*LevOpex*$B$8*W41</f>
        <v>5611.21936984673</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94056.0410261721</v>
      </c>
      <c r="C94" s="83" t="n">
        <v>0</v>
      </c>
      <c r="D94" s="83" t="n">
        <f aca="false">D72*O_DieselOM*D44*LevOpex*$B$8</f>
        <v>575.835578181818</v>
      </c>
      <c r="E94" s="83" t="n">
        <f aca="false">E72*O_DieselOM*E44*LevOpex*$B$8</f>
        <v>865.447283598546</v>
      </c>
      <c r="F94" s="83" t="n">
        <f aca="false">F72*O_DieselOM*F44*LevOpex*$B$8</f>
        <v>1080.18002725847</v>
      </c>
      <c r="G94" s="83" t="n">
        <f aca="false">G72*O_DieselOM*G44*LevOpex*$B$8</f>
        <v>1145.96299091851</v>
      </c>
      <c r="H94" s="83" t="n">
        <f aca="false">H72*O_DieselOM*H44*LevOpex*$B$8</f>
        <v>1215.75213706545</v>
      </c>
      <c r="I94" s="83" t="n">
        <f aca="false">I72*O_DieselOM*I44*LevOpex*$B$8</f>
        <v>1289.79144221273</v>
      </c>
      <c r="J94" s="83" t="n">
        <f aca="false">J72*O_DieselOM*J44*LevOpex*$B$8</f>
        <v>1473.16653224067</v>
      </c>
      <c r="K94" s="83" t="n">
        <f aca="false">K72*O_DieselOM*K44*LevOpex*$B$8</f>
        <v>2003.06119721303</v>
      </c>
      <c r="L94" s="83" t="n">
        <f aca="false">L72*O_DieselOM*L44*LevOpex*$B$8</f>
        <v>2576.1648910377</v>
      </c>
      <c r="M94" s="83" t="n">
        <f aca="false">M72*O_DieselOM*M44*LevOpex*$B$8</f>
        <v>3195.38086389912</v>
      </c>
      <c r="N94" s="83" t="n">
        <f aca="false">N72*O_DieselOM*N44*LevOpex*$B$8</f>
        <v>3863.79592865308</v>
      </c>
      <c r="O94" s="83" t="n">
        <f aca="false">O72*O_DieselOM*O44*LevOpex*$B$8</f>
        <v>4584.6918076486</v>
      </c>
      <c r="P94" s="83" t="n">
        <f aca="false">P72*O_DieselOM*P44*LevOpex*$B$8</f>
        <v>5361.55717474242</v>
      </c>
      <c r="Q94" s="83" t="n">
        <f aca="false">Q72*O_DieselOM*Q44*LevOpex*$B$8</f>
        <v>6198.10043494705</v>
      </c>
      <c r="R94" s="83" t="n">
        <f aca="false">R72*O_DieselOM*R44*LevOpex*$B$8</f>
        <v>7098.26328674047</v>
      </c>
      <c r="S94" s="83" t="n">
        <f aca="false">S72*O_DieselOM*S44*LevOpex*$B$8</f>
        <v>8066.23511481044</v>
      </c>
      <c r="T94" s="83" t="n">
        <f aca="false">T72*O_DieselOM*T44*LevOpex*$B$8</f>
        <v>9106.46826391849</v>
      </c>
      <c r="U94" s="83" t="n">
        <f aca="false">U72*O_DieselOM*U44*LevOpex*$B$8</f>
        <v>10223.694247658</v>
      </c>
      <c r="V94" s="83" t="n">
        <f aca="false">V72*O_DieselOM*V44*LevOpex*$B$8</f>
        <v>11422.940949159</v>
      </c>
      <c r="W94" s="83" t="n">
        <f aca="false">W72*O_DieselOM*W44*LevOpex*$B$8</f>
        <v>12709.5508742685</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2996812.88488419</v>
      </c>
      <c r="C96" s="27" t="n">
        <f aca="false">C88+C89+C90+C91+C92+C93+C94+C95</f>
        <v>0</v>
      </c>
      <c r="D96" s="27" t="n">
        <f aca="false">D88+D89+D90+D91+D92+D93+D94+D95</f>
        <v>57253.0101165729</v>
      </c>
      <c r="E96" s="27" t="n">
        <f aca="false">E88+E89+E90+E91+E92+E93+E94+E95</f>
        <v>64699.4229208444</v>
      </c>
      <c r="F96" s="27" t="n">
        <f aca="false">F88+F89+F90+F91+F92+F93+F94+F95</f>
        <v>70662.2362134165</v>
      </c>
      <c r="G96" s="27" t="n">
        <f aca="false">G88+G89+G90+G91+G92+G93+G94+G95</f>
        <v>73446.4851694087</v>
      </c>
      <c r="H96" s="27" t="n">
        <f aca="false">H88+H89+H90+H91+H92+H93+H94+H95</f>
        <v>76411.2710721887</v>
      </c>
      <c r="I96" s="27" t="n">
        <f aca="false">I88+I89+I90+I91+I92+I93+I94+I95</f>
        <v>79511.3692851268</v>
      </c>
      <c r="J96" s="27" t="n">
        <f aca="false">J88+J89+J90+J91+J92+J93+J94+J95</f>
        <v>84605.6030111892</v>
      </c>
      <c r="K96" s="27" t="n">
        <f aca="false">K88+K89+K90+K91+K92+K93+K94+K95</f>
        <v>95886.629676589</v>
      </c>
      <c r="L96" s="27" t="n">
        <f aca="false">L88+L89+L90+L91+L92+L93+L94+L95</f>
        <v>107998.478292579</v>
      </c>
      <c r="M96" s="27" t="n">
        <f aca="false">M88+M89+M90+M91+M92+M93+M94+M95</f>
        <v>120995.064922674</v>
      </c>
      <c r="N96" s="27" t="n">
        <f aca="false">N88+N89+N90+N91+N92+N93+N94+N95</f>
        <v>134933.663957743</v>
      </c>
      <c r="O96" s="27" t="n">
        <f aca="false">O88+O89+O90+O91+O92+O93+O94+O95</f>
        <v>149875.114268743</v>
      </c>
      <c r="P96" s="27" t="n">
        <f aca="false">P88+P89+P90+P91+P92+P93+P94+P95</f>
        <v>165884.037947809</v>
      </c>
      <c r="Q96" s="27" t="n">
        <f aca="false">Q88+Q89+Q90+Q91+Q92+Q93+Q94+Q95</f>
        <v>183029.072404949</v>
      </c>
      <c r="R96" s="27" t="n">
        <f aca="false">R88+R89+R90+R91+R92+R93+R94+R95</f>
        <v>201383.116634349</v>
      </c>
      <c r="S96" s="27" t="n">
        <f aca="false">S88+S89+S90+S91+S92+S93+S94+S95</f>
        <v>221023.592513846</v>
      </c>
      <c r="T96" s="27" t="n">
        <f aca="false">T88+T89+T90+T91+T92+T93+T94+T95</f>
        <v>242032.722053781</v>
      </c>
      <c r="U96" s="27" t="n">
        <f aca="false">U88+U89+U90+U91+U92+U93+U94+U95</f>
        <v>264497.821567176</v>
      </c>
      <c r="V96" s="27" t="n">
        <f aca="false">V88+V89+V90+V91+V92+V93+V94+V95</f>
        <v>288511.613792466</v>
      </c>
      <c r="W96" s="27" t="n">
        <f aca="false">W88+W89+W90+W91+W92+W93+W94+W95</f>
        <v>314172.559062742</v>
      </c>
    </row>
    <row r="98" customFormat="false" ht="15" hidden="false" customHeight="false" outlineLevel="0" collapsed="false">
      <c r="A98" s="15" t="s">
        <v>436</v>
      </c>
      <c r="B98" s="61" t="n">
        <f aca="false">SUM(C98:W98)</f>
        <v>1503426.65582963</v>
      </c>
      <c r="C98" s="27" t="n">
        <f aca="false">C85-C96</f>
        <v>0</v>
      </c>
      <c r="D98" s="27" t="n">
        <f aca="false">D85-D96</f>
        <v>23264.3771474271</v>
      </c>
      <c r="E98" s="27" t="n">
        <f aca="false">E85-E96</f>
        <v>48818.2157893572</v>
      </c>
      <c r="F98" s="27" t="n">
        <f aca="false">F85-F96</f>
        <v>69157.7936779398</v>
      </c>
      <c r="G98" s="27" t="n">
        <f aca="false">G85-G96</f>
        <v>73058.5320423312</v>
      </c>
      <c r="H98" s="27" t="n">
        <f aca="false">H85-H96</f>
        <v>79015.9016877462</v>
      </c>
      <c r="I98" s="27" t="n">
        <f aca="false">I85-I96</f>
        <v>85381.3182958881</v>
      </c>
      <c r="J98" s="27" t="n">
        <f aca="false">J85-J96</f>
        <v>90329.0492435097</v>
      </c>
      <c r="K98" s="27" t="n">
        <f aca="false">K85-K96</f>
        <v>89701.5429004209</v>
      </c>
      <c r="L98" s="27" t="n">
        <f aca="false">L85-L96</f>
        <v>88892.0139943713</v>
      </c>
      <c r="M98" s="27" t="n">
        <f aca="false">M85-M96</f>
        <v>87886.0583445508</v>
      </c>
      <c r="N98" s="27" t="n">
        <f aca="false">N85-N96</f>
        <v>86668.3197164557</v>
      </c>
      <c r="O98" s="27" t="n">
        <f aca="false">O85-O96</f>
        <v>85222.4302112148</v>
      </c>
      <c r="P98" s="27" t="n">
        <f aca="false">P85-P96</f>
        <v>83530.9469909788</v>
      </c>
      <c r="Q98" s="27" t="n">
        <f aca="false">Q85-Q96</f>
        <v>81575.28511661</v>
      </c>
      <c r="R98" s="27" t="n">
        <f aca="false">R85-R96</f>
        <v>79335.6462602736</v>
      </c>
      <c r="S98" s="27" t="n">
        <f aca="false">S85-S96</f>
        <v>76790.9430410586</v>
      </c>
      <c r="T98" s="27" t="n">
        <f aca="false">T85-T96</f>
        <v>73918.7187164182</v>
      </c>
      <c r="U98" s="27" t="n">
        <f aca="false">U85-U96</f>
        <v>70695.0619459278</v>
      </c>
      <c r="V98" s="27" t="n">
        <f aca="false">V85-V96</f>
        <v>67094.5163265858</v>
      </c>
      <c r="W98" s="27" t="n">
        <f aca="false">W85-W96</f>
        <v>63089.9843805602</v>
      </c>
    </row>
    <row r="99" customFormat="false" ht="15" hidden="false" customHeight="false" outlineLevel="0" collapsed="false">
      <c r="A99" s="10" t="s">
        <v>437</v>
      </c>
      <c r="C99" s="81" t="n">
        <v>0</v>
      </c>
      <c r="D99" s="81" t="n">
        <f aca="false">IFERROR(D98/D85,0)</f>
        <v>0.288936066332455</v>
      </c>
      <c r="E99" s="81" t="n">
        <f aca="false">IFERROR(E98/E85,0)</f>
        <v>0.430049605894155</v>
      </c>
      <c r="F99" s="81" t="n">
        <f aca="false">IFERROR(F98/F85,0)</f>
        <v>0.494620075047024</v>
      </c>
      <c r="G99" s="81" t="n">
        <f aca="false">IFERROR(G98/G85,0)</f>
        <v>0.498675973238115</v>
      </c>
      <c r="H99" s="81" t="n">
        <f aca="false">IFERROR(H98/H85,0)</f>
        <v>0.508378942270218</v>
      </c>
      <c r="I99" s="81" t="n">
        <f aca="false">IFERROR(I98/I85,0)</f>
        <v>0.517799300553814</v>
      </c>
      <c r="J99" s="81" t="n">
        <f aca="false">IFERROR(J98/J85,0)</f>
        <v>0.516358812158003</v>
      </c>
      <c r="K99" s="81" t="n">
        <f aca="false">IFERROR(K98/K85,0)</f>
        <v>0.483336527618425</v>
      </c>
      <c r="L99" s="81" t="n">
        <f aca="false">IFERROR(L98/L85,0)</f>
        <v>0.45147946435534</v>
      </c>
      <c r="M99" s="81" t="n">
        <f aca="false">IFERROR(M98/M85,0)</f>
        <v>0.420746771991056</v>
      </c>
      <c r="N99" s="81" t="n">
        <f aca="false">IFERROR(N98/N85,0)</f>
        <v>0.391099024834887</v>
      </c>
      <c r="O99" s="81" t="n">
        <f aca="false">IFERROR(O98/O85,0)</f>
        <v>0.362498172406391</v>
      </c>
      <c r="P99" s="81" t="n">
        <f aca="false">IFERROR(P98/P85,0)</f>
        <v>0.334907491670877</v>
      </c>
      <c r="Q99" s="81" t="n">
        <f aca="false">IFERROR(Q98/Q85,0)</f>
        <v>0.308291540928095</v>
      </c>
      <c r="R99" s="81" t="n">
        <f aca="false">IFERROR(R98/R85,0)</f>
        <v>0.282616115297056</v>
      </c>
      <c r="S99" s="81" t="n">
        <f aca="false">IFERROR(S98/S85,0)</f>
        <v>0.257848203741894</v>
      </c>
      <c r="T99" s="81" t="n">
        <f aca="false">IFERROR(T98/T85,0)</f>
        <v>0.233955947585571</v>
      </c>
      <c r="U99" s="81" t="n">
        <f aca="false">IFERROR(U98/U85,0)</f>
        <v>0.210908600460081</v>
      </c>
      <c r="V99" s="81" t="n">
        <f aca="false">IFERROR(V98/V85,0)</f>
        <v>0.188676489643538</v>
      </c>
      <c r="W99" s="81" t="n">
        <f aca="false">IFERROR(W98/W85,0)</f>
        <v>0.167230978736276</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S_Opex_Lo!$B$14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S_Opex_Lo!$B$16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IF(AND(D39&gt;SenGrace,D39&lt;=SenTenor),PMT(SenRate*$B$11,SenTenor-SenGrace,-S_Opex_Lo!$B$16)-D114,0)</f>
        <v>0</v>
      </c>
      <c r="E115" s="83" t="n">
        <f aca="false">IF(AND(E39&gt;SenGrace,E39&lt;=SenTenor),PMT(SenRate*$B$11,SenTenor-SenGrace,-S_Opex_Lo!$B$16)-E114,0)</f>
        <v>0</v>
      </c>
      <c r="F115" s="83" t="n">
        <f aca="false">IF(AND(F39&gt;SenGrace,F39&lt;=SenTenor),PMT(SenRate*$B$11,SenTenor-SenGrace,-S_Opex_Lo!$B$16)-F114,0)</f>
        <v>9671.48769410162</v>
      </c>
      <c r="G115" s="83" t="n">
        <f aca="false">IF(AND(G39&gt;SenGrace,G39&lt;=SenTenor),PMT(SenRate*$B$11,SenTenor-SenGrace,-S_Opex_Lo!$B$16)-G114,0)</f>
        <v>10638.6364635118</v>
      </c>
      <c r="H115" s="83" t="n">
        <f aca="false">IF(AND(H39&gt;SenGrace,H39&lt;=SenTenor),PMT(SenRate*$B$11,SenTenor-SenGrace,-S_Opex_Lo!$B$16)-H114,0)</f>
        <v>11702.500109863</v>
      </c>
      <c r="I115" s="83" t="n">
        <f aca="false">IF(AND(I39&gt;SenGrace,I39&lt;=SenTenor),PMT(SenRate*$B$11,SenTenor-SenGrace,-S_Opex_Lo!$B$16)-I114,0)</f>
        <v>12872.7501208493</v>
      </c>
      <c r="J115" s="83" t="n">
        <f aca="false">IF(AND(J39&gt;SenGrace,J39&lt;=SenTenor),PMT(SenRate*$B$11,SenTenor-SenGrace,-S_Opex_Lo!$B$16)-J114,0)</f>
        <v>14160.0251329342</v>
      </c>
      <c r="K115" s="83" t="n">
        <f aca="false">IF(AND(K39&gt;SenGrace,K39&lt;=SenTenor),PMT(SenRate*$B$11,SenTenor-SenGrace,-S_Opex_Lo!$B$16)-K114,0)</f>
        <v>15576.0276462276</v>
      </c>
      <c r="L115" s="83" t="n">
        <f aca="false">IF(AND(L39&gt;SenGrace,L39&lt;=SenTenor),PMT(SenRate*$B$11,SenTenor-SenGrace,-S_Opex_Lo!$B$16)-L114,0)</f>
        <v>17133.6304108504</v>
      </c>
      <c r="M115" s="83" t="n">
        <f aca="false">IF(AND(M39&gt;SenGrace,M39&lt;=SenTenor),PMT(SenRate*$B$11,SenTenor-SenGrace,-S_Opex_Lo!$B$16)-M114,0)</f>
        <v>18846.9934519354</v>
      </c>
      <c r="N115" s="83" t="n">
        <f aca="false">IF(AND(N39&gt;SenGrace,N39&lt;=SenTenor),PMT(SenRate*$B$11,SenTenor-SenGrace,-S_Opex_Lo!$B$16)-N114,0)</f>
        <v>0</v>
      </c>
      <c r="O115" s="83" t="n">
        <f aca="false">IF(AND(O39&gt;SenGrace,O39&lt;=SenTenor),PMT(SenRate*$B$11,SenTenor-SenGrace,-S_Opex_Lo!$B$16)-O114,0)</f>
        <v>0</v>
      </c>
      <c r="P115" s="83" t="n">
        <f aca="false">IF(AND(P39&gt;SenGrace,P39&lt;=SenTenor),PMT(SenRate*$B$11,SenTenor-SenGrace,-S_Opex_Lo!$B$16)-P114,0)</f>
        <v>0</v>
      </c>
      <c r="Q115" s="83" t="n">
        <f aca="false">IF(AND(Q39&gt;SenGrace,Q39&lt;=SenTenor),PMT(SenRate*$B$11,SenTenor-SenGrace,-S_Opex_Lo!$B$16)-Q114,0)</f>
        <v>0</v>
      </c>
      <c r="R115" s="83" t="n">
        <f aca="false">IF(AND(R39&gt;SenGrace,R39&lt;=SenTenor),PMT(SenRate*$B$11,SenTenor-SenGrace,-S_Opex_Lo!$B$16)-R114,0)</f>
        <v>0</v>
      </c>
      <c r="S115" s="83" t="n">
        <f aca="false">IF(AND(S39&gt;SenGrace,S39&lt;=SenTenor),PMT(SenRate*$B$11,SenTenor-SenGrace,-S_Opex_Lo!$B$16)-S114,0)</f>
        <v>0</v>
      </c>
      <c r="T115" s="83" t="n">
        <f aca="false">IF(AND(T39&gt;SenGrace,T39&lt;=SenTenor),PMT(SenRate*$B$11,SenTenor-SenGrace,-S_Opex_Lo!$B$16)-T114,0)</f>
        <v>0</v>
      </c>
      <c r="U115" s="83" t="n">
        <f aca="false">IF(AND(U39&gt;SenGrace,U39&lt;=SenTenor),PMT(SenRate*$B$11,SenTenor-SenGrace,-S_Opex_Lo!$B$16)-U114,0)</f>
        <v>0</v>
      </c>
      <c r="V115" s="83" t="n">
        <f aca="false">IF(AND(V39&gt;SenGrace,V39&lt;=SenTenor),PMT(SenRate*$B$11,SenTenor-SenGrace,-S_Opex_Lo!$B$16)-V114,0)</f>
        <v>0</v>
      </c>
      <c r="W115" s="83" t="n">
        <f aca="false">IF(AND(W39&gt;SenGrace,W39&lt;=SenTenor),PMT(SenRate*$B$11,SenTenor-SenGrace,-S_Opex_Lo!$B$16)-W114,0)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S_Opex_Lo!$B$17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IF(AND(D39&gt;ConGrace,D39&lt;=ConTenor),PMT(ConRate*$B$11,ConTenor-ConGrace,-S_Opex_Lo!$B$17)-D121,0)</f>
        <v>0</v>
      </c>
      <c r="E122" s="83" t="n">
        <f aca="false">IF(AND(E39&gt;ConGrace,E39&lt;=ConTenor),PMT(ConRate*$B$11,ConTenor-ConGrace,-S_Opex_Lo!$B$17)-E121,0)</f>
        <v>0</v>
      </c>
      <c r="F122" s="83" t="n">
        <f aca="false">IF(AND(F39&gt;ConGrace,F39&lt;=ConTenor),PMT(ConRate*$B$11,ConTenor-ConGrace,-S_Opex_Lo!$B$17)-F121,0)</f>
        <v>0</v>
      </c>
      <c r="G122" s="83" t="n">
        <f aca="false">IF(AND(G39&gt;ConGrace,G39&lt;=ConTenor),PMT(ConRate*$B$11,ConTenor-ConGrace,-S_Opex_Lo!$B$17)-G121,0)</f>
        <v>0</v>
      </c>
      <c r="H122" s="83" t="n">
        <f aca="false">IF(AND(H39&gt;ConGrace,H39&lt;=ConTenor),PMT(ConRate*$B$11,ConTenor-ConGrace,-S_Opex_Lo!$B$17)-H121,0)</f>
        <v>0</v>
      </c>
      <c r="I122" s="83" t="n">
        <f aca="false">IF(AND(I39&gt;ConGrace,I39&lt;=ConTenor),PMT(ConRate*$B$11,ConTenor-ConGrace,-S_Opex_Lo!$B$17)-I121,0)</f>
        <v>9647.87294294044</v>
      </c>
      <c r="J122" s="83" t="n">
        <f aca="false">IF(AND(J39&gt;ConGrace,J39&lt;=ConTenor),PMT(ConRate*$B$11,ConTenor-ConGrace,-S_Opex_Lo!$B$17)-J121,0)</f>
        <v>9937.30913122865</v>
      </c>
      <c r="K122" s="83" t="n">
        <f aca="false">IF(AND(K39&gt;ConGrace,K39&lt;=ConTenor),PMT(ConRate*$B$11,ConTenor-ConGrace,-S_Opex_Lo!$B$17)-K121,0)</f>
        <v>10235.4284051655</v>
      </c>
      <c r="L122" s="83" t="n">
        <f aca="false">IF(AND(L39&gt;ConGrace,L39&lt;=ConTenor),PMT(ConRate*$B$11,ConTenor-ConGrace,-S_Opex_Lo!$B$17)-L121,0)</f>
        <v>10542.4912573205</v>
      </c>
      <c r="M122" s="83" t="n">
        <f aca="false">IF(AND(M39&gt;ConGrace,M39&lt;=ConTenor),PMT(ConRate*$B$11,ConTenor-ConGrace,-S_Opex_Lo!$B$17)-M121,0)</f>
        <v>10858.7659950401</v>
      </c>
      <c r="N122" s="83" t="n">
        <f aca="false">IF(AND(N39&gt;ConGrace,N39&lt;=ConTenor),PMT(ConRate*$B$11,ConTenor-ConGrace,-S_Opex_Lo!$B$17)-N121,0)</f>
        <v>11184.5289748913</v>
      </c>
      <c r="O122" s="83" t="n">
        <f aca="false">IF(AND(O39&gt;ConGrace,O39&lt;=ConTenor),PMT(ConRate*$B$11,ConTenor-ConGrace,-S_Opex_Lo!$B$17)-O121,0)</f>
        <v>11520.064844138</v>
      </c>
      <c r="P122" s="83" t="n">
        <f aca="false">IF(AND(P39&gt;ConGrace,P39&lt;=ConTenor),PMT(ConRate*$B$11,ConTenor-ConGrace,-S_Opex_Lo!$B$17)-P121,0)</f>
        <v>11865.6667894622</v>
      </c>
      <c r="Q122" s="83" t="n">
        <f aca="false">IF(AND(Q39&gt;ConGrace,Q39&lt;=ConTenor),PMT(ConRate*$B$11,ConTenor-ConGrace,-S_Opex_Lo!$B$17)-Q121,0)</f>
        <v>12221.636793146</v>
      </c>
      <c r="R122" s="83" t="n">
        <f aca="false">IF(AND(R39&gt;ConGrace,R39&lt;=ConTenor),PMT(ConRate*$B$11,ConTenor-ConGrace,-S_Opex_Lo!$B$17)-R121,0)</f>
        <v>12588.2858969404</v>
      </c>
      <c r="S122" s="83" t="n">
        <f aca="false">IF(AND(S39&gt;ConGrace,S39&lt;=ConTenor),PMT(ConRate*$B$11,ConTenor-ConGrace,-S_Opex_Lo!$B$17)-S121,0)</f>
        <v>0</v>
      </c>
      <c r="T122" s="83" t="n">
        <f aca="false">IF(AND(T39&gt;ConGrace,T39&lt;=ConTenor),PMT(ConRate*$B$11,ConTenor-ConGrace,-S_Opex_Lo!$B$17)-T121,0)</f>
        <v>0</v>
      </c>
      <c r="U122" s="83" t="n">
        <f aca="false">IF(AND(U39&gt;ConGrace,U39&lt;=ConTenor),PMT(ConRate*$B$11,ConTenor-ConGrace,-S_Opex_Lo!$B$17)-U121,0)</f>
        <v>0</v>
      </c>
      <c r="V122" s="83" t="n">
        <f aca="false">IF(AND(V39&gt;ConGrace,V39&lt;=ConTenor),PMT(ConRate*$B$11,ConTenor-ConGrace,-S_Opex_Lo!$B$17)-V121,0)</f>
        <v>0</v>
      </c>
      <c r="W122" s="83" t="n">
        <f aca="false">IF(AND(W39&gt;ConGrace,W39&lt;=ConTenor),PMT(ConRate*$B$11,ConTenor-ConGrace,-S_Opex_Lo!$B$17)-W121,0)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1149330.51880122</v>
      </c>
      <c r="E127" s="83" t="n">
        <f aca="false">IF(E126&gt;0,(E147/MinDSCR-E121-E122)/E126,1000000000000)</f>
        <v>667436.969892992</v>
      </c>
      <c r="F127" s="83" t="n">
        <f aca="false">IF(F126&gt;0,(F147/MinDSCR-F121-F122)/F126,1000000000000)</f>
        <v>336126.548955346</v>
      </c>
      <c r="G127" s="83" t="n">
        <f aca="false">IF(G126&gt;0,(G147/MinDSCR-G121-G122)/G126,1000000000000)</f>
        <v>197011.118963527</v>
      </c>
      <c r="H127" s="83" t="n">
        <f aca="false">IF(H126&gt;0,(H147/MinDSCR-H121-H122)/H126,1000000000000)</f>
        <v>221458.909265</v>
      </c>
      <c r="I127" s="83" t="n">
        <f aca="false">IF(I126&gt;0,(I147/MinDSCR-I121-I122)/I126,1000000000000)</f>
        <v>196110.548242548</v>
      </c>
      <c r="J127" s="83" t="n">
        <f aca="false">IF(J126&gt;0,(J147/MinDSCR-J121-J122)/J126,1000000000000)</f>
        <v>216414.993975348</v>
      </c>
      <c r="K127" s="83" t="n">
        <f aca="false">IF(K126&gt;0,(K147/MinDSCR-K121-K122)/K126,1000000000000)</f>
        <v>213839.840106814</v>
      </c>
      <c r="L127" s="83" t="n">
        <f aca="false">IF(L126&gt;0,(L147/MinDSCR-L121-L122)/L126,1000000000000)</f>
        <v>187814.477418748</v>
      </c>
      <c r="M127" s="83" t="n">
        <f aca="false">IF(M126&gt;0,(M147/MinDSCR-M121-M122)/M126,1000000000000)</f>
        <v>183686.247303243</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IF(D39&lt;=MIN(DepYears,Life),S_Opex_Lo!$B$14/DepYears,0)</f>
        <v>76867.3503434244</v>
      </c>
      <c r="E132" s="83" t="n">
        <f aca="false">IF(E39&lt;=MIN(DepYears,Life),S_Opex_Lo!$B$14/DepYears,0)</f>
        <v>76867.3503434244</v>
      </c>
      <c r="F132" s="83" t="n">
        <f aca="false">IF(F39&lt;=MIN(DepYears,Life),S_Opex_Lo!$B$14/DepYears,0)</f>
        <v>76867.3503434244</v>
      </c>
      <c r="G132" s="83" t="n">
        <f aca="false">IF(G39&lt;=MIN(DepYears,Life),S_Opex_Lo!$B$14/DepYears,0)</f>
        <v>76867.3503434244</v>
      </c>
      <c r="H132" s="83" t="n">
        <f aca="false">IF(H39&lt;=MIN(DepYears,Life),S_Opex_Lo!$B$14/DepYears,0)</f>
        <v>76867.3503434244</v>
      </c>
      <c r="I132" s="83" t="n">
        <f aca="false">IF(I39&lt;=MIN(DepYears,Life),S_Opex_Lo!$B$14/DepYears,0)</f>
        <v>76867.3503434244</v>
      </c>
      <c r="J132" s="83" t="n">
        <f aca="false">IF(J39&lt;=MIN(DepYears,Life),S_Opex_Lo!$B$14/DepYears,0)</f>
        <v>76867.3503434244</v>
      </c>
      <c r="K132" s="83" t="n">
        <f aca="false">IF(K39&lt;=MIN(DepYears,Life),S_Opex_Lo!$B$14/DepYears,0)</f>
        <v>76867.3503434244</v>
      </c>
      <c r="L132" s="83" t="n">
        <f aca="false">IF(L39&lt;=MIN(DepYears,Life),S_Opex_Lo!$B$14/DepYears,0)</f>
        <v>76867.3503434244</v>
      </c>
      <c r="M132" s="83" t="n">
        <f aca="false">IF(M39&lt;=MIN(DepYears,Life),S_Opex_Lo!$B$14/DepYears,0)</f>
        <v>76867.3503434244</v>
      </c>
      <c r="N132" s="83" t="n">
        <f aca="false">IF(N39&lt;=MIN(DepYears,Life),S_Opex_Lo!$B$14/DepYears,0)</f>
        <v>76867.3503434244</v>
      </c>
      <c r="O132" s="83" t="n">
        <f aca="false">IF(O39&lt;=MIN(DepYears,Life),S_Opex_Lo!$B$14/DepYears,0)</f>
        <v>76867.3503434244</v>
      </c>
      <c r="P132" s="83" t="n">
        <f aca="false">IF(P39&lt;=MIN(DepYears,Life),S_Opex_Lo!$B$14/DepYears,0)</f>
        <v>76867.3503434244</v>
      </c>
      <c r="Q132" s="83" t="n">
        <f aca="false">IF(Q39&lt;=MIN(DepYears,Life),S_Opex_Lo!$B$14/DepYears,0)</f>
        <v>76867.3503434244</v>
      </c>
      <c r="R132" s="83" t="n">
        <f aca="false">IF(R39&lt;=MIN(DepYears,Life),S_Opex_Lo!$B$14/DepYears,0)</f>
        <v>76867.3503434244</v>
      </c>
      <c r="S132" s="83" t="n">
        <f aca="false">IF(S39&lt;=MIN(DepYears,Life),S_Opex_Lo!$B$14/DepYears,0)</f>
        <v>0</v>
      </c>
      <c r="T132" s="83" t="n">
        <f aca="false">IF(T39&lt;=MIN(DepYears,Life),S_Opex_Lo!$B$14/DepYears,0)</f>
        <v>0</v>
      </c>
      <c r="U132" s="83" t="n">
        <f aca="false">IF(U39&lt;=MIN(DepYears,Life),S_Opex_Lo!$B$14/DepYears,0)</f>
        <v>0</v>
      </c>
      <c r="V132" s="83" t="n">
        <f aca="false">IF(V39&lt;=MIN(DepYears,Life),S_Opex_Lo!$B$14/DepYears,0)</f>
        <v>0</v>
      </c>
      <c r="W132" s="83" t="n">
        <f aca="false">IF(W39&lt;=MIN(DepYears,Life),S_Opex_Lo!$B$14/DepYears,0)</f>
        <v>0</v>
      </c>
    </row>
    <row r="133" customFormat="false" ht="15" hidden="false" customHeight="false" outlineLevel="0" collapsed="false">
      <c r="A133" s="10" t="s">
        <v>460</v>
      </c>
      <c r="B133" s="61" t="n">
        <f aca="false">SUM(C133:W133)</f>
        <v>350416.40067826</v>
      </c>
      <c r="C133" s="83" t="n">
        <v>0</v>
      </c>
      <c r="D133" s="83" t="n">
        <f aca="false">D98-D132</f>
        <v>-53602.9731959973</v>
      </c>
      <c r="E133" s="83" t="n">
        <f aca="false">E98-E132</f>
        <v>-28049.1345540671</v>
      </c>
      <c r="F133" s="83" t="n">
        <f aca="false">F98-F132</f>
        <v>-7709.55666548456</v>
      </c>
      <c r="G133" s="83" t="n">
        <f aca="false">G98-G132</f>
        <v>-3808.8183010932</v>
      </c>
      <c r="H133" s="83" t="n">
        <f aca="false">H98-H132</f>
        <v>2148.55134432187</v>
      </c>
      <c r="I133" s="83" t="n">
        <f aca="false">I98-I132</f>
        <v>8513.96795246373</v>
      </c>
      <c r="J133" s="83" t="n">
        <f aca="false">J98-J132</f>
        <v>13461.6989000853</v>
      </c>
      <c r="K133" s="83" t="n">
        <f aca="false">K98-K132</f>
        <v>12834.1925569966</v>
      </c>
      <c r="L133" s="83" t="n">
        <f aca="false">L98-L132</f>
        <v>12024.663650947</v>
      </c>
      <c r="M133" s="83" t="n">
        <f aca="false">M98-M132</f>
        <v>11018.7080011264</v>
      </c>
      <c r="N133" s="83" t="n">
        <f aca="false">N98-N132</f>
        <v>9800.96937303137</v>
      </c>
      <c r="O133" s="83" t="n">
        <f aca="false">O98-O132</f>
        <v>8355.07986779048</v>
      </c>
      <c r="P133" s="83" t="n">
        <f aca="false">P98-P132</f>
        <v>6663.5966475544</v>
      </c>
      <c r="Q133" s="83" t="n">
        <f aca="false">Q98-Q132</f>
        <v>4707.93477318567</v>
      </c>
      <c r="R133" s="83" t="n">
        <f aca="false">R98-R132</f>
        <v>2468.29591684919</v>
      </c>
      <c r="S133" s="83" t="n">
        <f aca="false">S98-S132</f>
        <v>76790.9430410586</v>
      </c>
      <c r="T133" s="83" t="n">
        <f aca="false">T98-T132</f>
        <v>73918.7187164182</v>
      </c>
      <c r="U133" s="83" t="n">
        <f aca="false">U98-U132</f>
        <v>70695.0619459278</v>
      </c>
      <c r="V133" s="83" t="n">
        <f aca="false">V98-V132</f>
        <v>67094.5163265858</v>
      </c>
      <c r="W133" s="83" t="n">
        <f aca="false">W98-W132</f>
        <v>63089.9843805602</v>
      </c>
    </row>
    <row r="134" customFormat="false" ht="15" hidden="false" customHeight="false" outlineLevel="0" collapsed="false">
      <c r="A134" s="10" t="s">
        <v>461</v>
      </c>
      <c r="C134" s="83" t="n">
        <v>0</v>
      </c>
      <c r="D134" s="83" t="n">
        <f aca="false">0</f>
        <v>0</v>
      </c>
      <c r="E134" s="83" t="n">
        <f aca="false">D136</f>
        <v>53602.9731959973</v>
      </c>
      <c r="F134" s="83" t="n">
        <f aca="false">E136</f>
        <v>81652.1077500644</v>
      </c>
      <c r="G134" s="83" t="n">
        <f aca="false">F136</f>
        <v>89361.664415549</v>
      </c>
      <c r="H134" s="83" t="n">
        <f aca="false">G136</f>
        <v>93170.4827166422</v>
      </c>
      <c r="I134" s="83" t="n">
        <f aca="false">H136</f>
        <v>91021.9313723203</v>
      </c>
      <c r="J134" s="83" t="n">
        <f aca="false">I136</f>
        <v>82507.9634198566</v>
      </c>
      <c r="K134" s="83" t="n">
        <f aca="false">J136</f>
        <v>69046.2645197713</v>
      </c>
      <c r="L134" s="83" t="n">
        <f aca="false">K136</f>
        <v>56212.0719627747</v>
      </c>
      <c r="M134" s="83" t="n">
        <f aca="false">L136</f>
        <v>44187.4083118278</v>
      </c>
      <c r="N134" s="83" t="n">
        <f aca="false">M136</f>
        <v>33168.7003107013</v>
      </c>
      <c r="O134" s="83" t="n">
        <f aca="false">N136</f>
        <v>23367.73093767</v>
      </c>
      <c r="P134" s="83" t="n">
        <f aca="false">O136</f>
        <v>15012.6510698795</v>
      </c>
      <c r="Q134" s="83" t="n">
        <f aca="false">P136</f>
        <v>8349.05442232509</v>
      </c>
      <c r="R134" s="83" t="n">
        <f aca="false">Q136</f>
        <v>3641.11964913942</v>
      </c>
      <c r="S134" s="83" t="n">
        <f aca="false">R136</f>
        <v>1172.82373229023</v>
      </c>
      <c r="T134" s="83" t="n">
        <f aca="false">S136</f>
        <v>0</v>
      </c>
      <c r="U134" s="83" t="n">
        <f aca="false">T136</f>
        <v>0</v>
      </c>
      <c r="V134" s="83" t="n">
        <f aca="false">U136</f>
        <v>0</v>
      </c>
      <c r="W134" s="83" t="n">
        <f aca="false">V136</f>
        <v>0</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2148.55134432187</v>
      </c>
      <c r="I135" s="83" t="n">
        <f aca="false">MIN(I134,MAX(I133,0))</f>
        <v>8513.96795246373</v>
      </c>
      <c r="J135" s="83" t="n">
        <f aca="false">MIN(J134,MAX(J133,0))</f>
        <v>13461.6989000853</v>
      </c>
      <c r="K135" s="83" t="n">
        <f aca="false">MIN(K134,MAX(K133,0))</f>
        <v>12834.1925569966</v>
      </c>
      <c r="L135" s="83" t="n">
        <f aca="false">MIN(L134,MAX(L133,0))</f>
        <v>12024.663650947</v>
      </c>
      <c r="M135" s="83" t="n">
        <f aca="false">MIN(M134,MAX(M133,0))</f>
        <v>11018.7080011264</v>
      </c>
      <c r="N135" s="83" t="n">
        <f aca="false">MIN(N134,MAX(N133,0))</f>
        <v>9800.96937303137</v>
      </c>
      <c r="O135" s="83" t="n">
        <f aca="false">MIN(O134,MAX(O133,0))</f>
        <v>8355.07986779048</v>
      </c>
      <c r="P135" s="83" t="n">
        <f aca="false">MIN(P134,MAX(P133,0))</f>
        <v>6663.5966475544</v>
      </c>
      <c r="Q135" s="83" t="n">
        <f aca="false">MIN(Q134,MAX(Q133,0))</f>
        <v>4707.93477318567</v>
      </c>
      <c r="R135" s="83" t="n">
        <f aca="false">MIN(R134,MAX(R133,0))</f>
        <v>2468.29591684919</v>
      </c>
      <c r="S135" s="83" t="n">
        <f aca="false">MIN(S134,MAX(S133,0))</f>
        <v>1172.82373229023</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53602.9731959973</v>
      </c>
      <c r="E136" s="83" t="n">
        <f aca="false">E134-E135+MAX(-E133,0)</f>
        <v>81652.1077500644</v>
      </c>
      <c r="F136" s="83" t="n">
        <f aca="false">F134-F135+MAX(-F133,0)</f>
        <v>89361.664415549</v>
      </c>
      <c r="G136" s="83" t="n">
        <f aca="false">G134-G135+MAX(-G133,0)</f>
        <v>93170.4827166422</v>
      </c>
      <c r="H136" s="83" t="n">
        <f aca="false">H134-H135+MAX(-H133,0)</f>
        <v>91021.9313723203</v>
      </c>
      <c r="I136" s="83" t="n">
        <f aca="false">I134-I135+MAX(-I133,0)</f>
        <v>82507.9634198566</v>
      </c>
      <c r="J136" s="83" t="n">
        <f aca="false">J134-J135+MAX(-J133,0)</f>
        <v>69046.2645197713</v>
      </c>
      <c r="K136" s="83" t="n">
        <f aca="false">K134-K135+MAX(-K133,0)</f>
        <v>56212.0719627747</v>
      </c>
      <c r="L136" s="83" t="n">
        <f aca="false">L134-L135+MAX(-L133,0)</f>
        <v>44187.4083118278</v>
      </c>
      <c r="M136" s="83" t="n">
        <f aca="false">M134-M135+MAX(-M133,0)</f>
        <v>33168.7003107013</v>
      </c>
      <c r="N136" s="83" t="n">
        <f aca="false">N134-N135+MAX(-N133,0)</f>
        <v>23367.73093767</v>
      </c>
      <c r="O136" s="83" t="n">
        <f aca="false">O134-O135+MAX(-O133,0)</f>
        <v>15012.6510698795</v>
      </c>
      <c r="P136" s="83" t="n">
        <f aca="false">P134-P135+MAX(-P133,0)</f>
        <v>8349.05442232509</v>
      </c>
      <c r="Q136" s="83" t="n">
        <f aca="false">Q134-Q135+MAX(-Q133,0)</f>
        <v>3641.11964913942</v>
      </c>
      <c r="R136" s="83" t="n">
        <f aca="false">R134-R135+MAX(-R133,0)</f>
        <v>1172.82373229023</v>
      </c>
      <c r="S136" s="83" t="n">
        <f aca="false">S134-S135+MAX(-S133,0)</f>
        <v>0</v>
      </c>
      <c r="T136" s="83" t="n">
        <f aca="false">T134-T135+MAX(-T133,0)</f>
        <v>0</v>
      </c>
      <c r="U136" s="83" t="n">
        <f aca="false">U134-U135+MAX(-U133,0)</f>
        <v>0</v>
      </c>
      <c r="V136" s="83" t="n">
        <f aca="false">V134-V135+MAX(-V133,0)</f>
        <v>0</v>
      </c>
      <c r="W136" s="83" t="n">
        <f aca="false">W134-W135+MAX(-W133,0)</f>
        <v>0</v>
      </c>
    </row>
    <row r="137" customFormat="false" ht="15" hidden="false" customHeight="false" outlineLevel="0" collapsed="false">
      <c r="A137" s="10" t="s">
        <v>464</v>
      </c>
      <c r="B137" s="61" t="n">
        <f aca="false">SUM(C137:W137)</f>
        <v>87604.1001695651</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18904.5298271921</v>
      </c>
      <c r="T137" s="83" t="n">
        <f aca="false">(MAX(T133,0)-T135)*TaxRate</f>
        <v>18479.6796791046</v>
      </c>
      <c r="U137" s="83" t="n">
        <f aca="false">(MAX(U133,0)-U135)*TaxRate</f>
        <v>17673.765486482</v>
      </c>
      <c r="V137" s="83" t="n">
        <f aca="false">(MAX(V133,0)-V135)*TaxRate</f>
        <v>16773.6290816464</v>
      </c>
      <c r="W137" s="83" t="n">
        <f aca="false">(MAX(W133,0)-W135)*TaxRate</f>
        <v>15772.49609514</v>
      </c>
    </row>
    <row r="138" customFormat="false" ht="15" hidden="false" customHeight="false" outlineLevel="0" collapsed="false">
      <c r="A138" s="10" t="s">
        <v>465</v>
      </c>
      <c r="B138" s="61" t="n">
        <f aca="false">SUM(C138:W138)</f>
        <v>237396.897762693</v>
      </c>
      <c r="C138" s="83" t="n">
        <v>0</v>
      </c>
      <c r="D138" s="83" t="n">
        <f aca="false">D98-D132-D114-D121</f>
        <v>-67981.2398299328</v>
      </c>
      <c r="E138" s="83" t="n">
        <f aca="false">E98-E132-E114-E121</f>
        <v>-42427.4011880026</v>
      </c>
      <c r="F138" s="83" t="n">
        <f aca="false">F98-F132-F114-F121</f>
        <v>-22087.8232994201</v>
      </c>
      <c r="G138" s="83" t="n">
        <f aca="false">G98-G132-G114-G121</f>
        <v>-17219.9361656185</v>
      </c>
      <c r="H138" s="83" t="n">
        <f aca="false">H98-H132-H114-H121</f>
        <v>-10198.7028738523</v>
      </c>
      <c r="I138" s="83" t="n">
        <f aca="false">I98-I132-I114-I121</f>
        <v>-2663.03625472413</v>
      </c>
      <c r="J138" s="83" t="n">
        <f aca="false">J98-J132-J114-J121</f>
        <v>3861.40589327056</v>
      </c>
      <c r="K138" s="83" t="n">
        <f aca="false">K98-K132-K114-K121</f>
        <v>4948.02133741212</v>
      </c>
      <c r="L138" s="83" t="n">
        <f aca="false">L98-L132-L114-L121</f>
        <v>6003.15804814023</v>
      </c>
      <c r="M138" s="83" t="n">
        <f aca="false">M98-M132-M114-M121</f>
        <v>7026.84017712434</v>
      </c>
      <c r="N138" s="83" t="n">
        <f aca="false">N98-N132-N114-N121</f>
        <v>8019.56387407404</v>
      </c>
      <c r="O138" s="83" t="n">
        <f aca="false">O98-O132-O114-O121</f>
        <v>6909.21023807988</v>
      </c>
      <c r="P138" s="83" t="n">
        <f aca="false">P98-P132-P114-P121</f>
        <v>5563.32896316794</v>
      </c>
      <c r="Q138" s="83" t="n">
        <f aca="false">Q98-Q132-Q114-Q121</f>
        <v>3963.63709248308</v>
      </c>
      <c r="R138" s="83" t="n">
        <f aca="false">R98-R132-R114-R121</f>
        <v>2090.64733994098</v>
      </c>
      <c r="S138" s="83" t="n">
        <f aca="false">S98-S132-S114-S121</f>
        <v>76790.9430410586</v>
      </c>
      <c r="T138" s="83" t="n">
        <f aca="false">T98-T132-T114-T121</f>
        <v>73918.7187164182</v>
      </c>
      <c r="U138" s="83" t="n">
        <f aca="false">U98-U132-U114-U121</f>
        <v>70695.0619459278</v>
      </c>
      <c r="V138" s="83" t="n">
        <f aca="false">V98-V132-V114-V121</f>
        <v>67094.5163265858</v>
      </c>
      <c r="W138" s="83" t="n">
        <f aca="false">W98-W132-W114-W121</f>
        <v>63089.9843805602</v>
      </c>
    </row>
    <row r="139" customFormat="false" ht="15" hidden="false" customHeight="false" outlineLevel="0" collapsed="false">
      <c r="A139" s="10" t="s">
        <v>461</v>
      </c>
      <c r="C139" s="83" t="n">
        <v>0</v>
      </c>
      <c r="D139" s="83" t="n">
        <f aca="false">0</f>
        <v>0</v>
      </c>
      <c r="E139" s="83" t="n">
        <f aca="false">D141</f>
        <v>67981.2398299328</v>
      </c>
      <c r="F139" s="83" t="n">
        <f aca="false">E141</f>
        <v>110408.641017935</v>
      </c>
      <c r="G139" s="83" t="n">
        <f aca="false">F141</f>
        <v>132496.464317355</v>
      </c>
      <c r="H139" s="83" t="n">
        <f aca="false">G141</f>
        <v>149716.400482974</v>
      </c>
      <c r="I139" s="83" t="n">
        <f aca="false">H141</f>
        <v>159915.103356826</v>
      </c>
      <c r="J139" s="83" t="n">
        <f aca="false">I141</f>
        <v>162578.13961155</v>
      </c>
      <c r="K139" s="83" t="n">
        <f aca="false">J141</f>
        <v>158716.73371828</v>
      </c>
      <c r="L139" s="83" t="n">
        <f aca="false">K141</f>
        <v>153768.712380868</v>
      </c>
      <c r="M139" s="83" t="n">
        <f aca="false">L141</f>
        <v>147765.554332728</v>
      </c>
      <c r="N139" s="83" t="n">
        <f aca="false">M141</f>
        <v>140738.714155603</v>
      </c>
      <c r="O139" s="83" t="n">
        <f aca="false">N141</f>
        <v>132719.150281529</v>
      </c>
      <c r="P139" s="83" t="n">
        <f aca="false">O141</f>
        <v>125809.940043449</v>
      </c>
      <c r="Q139" s="83" t="n">
        <f aca="false">P141</f>
        <v>120246.611080281</v>
      </c>
      <c r="R139" s="83" t="n">
        <f aca="false">Q141</f>
        <v>116282.973987798</v>
      </c>
      <c r="S139" s="83" t="n">
        <f aca="false">R141</f>
        <v>114192.326647857</v>
      </c>
      <c r="T139" s="83" t="n">
        <f aca="false">S141</f>
        <v>37401.3836067987</v>
      </c>
      <c r="U139" s="83" t="n">
        <f aca="false">T141</f>
        <v>0</v>
      </c>
      <c r="V139" s="83" t="n">
        <f aca="false">U141</f>
        <v>0</v>
      </c>
      <c r="W139" s="83" t="n">
        <f aca="false">V141</f>
        <v>0</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3861.40589327056</v>
      </c>
      <c r="K140" s="83" t="n">
        <f aca="false">MIN(K139,MAX(K138,0))</f>
        <v>4948.02133741212</v>
      </c>
      <c r="L140" s="83" t="n">
        <f aca="false">MIN(L139,MAX(L138,0))</f>
        <v>6003.15804814023</v>
      </c>
      <c r="M140" s="83" t="n">
        <f aca="false">MIN(M139,MAX(M138,0))</f>
        <v>7026.84017712434</v>
      </c>
      <c r="N140" s="83" t="n">
        <f aca="false">MIN(N139,MAX(N138,0))</f>
        <v>8019.56387407404</v>
      </c>
      <c r="O140" s="83" t="n">
        <f aca="false">MIN(O139,MAX(O138,0))</f>
        <v>6909.21023807988</v>
      </c>
      <c r="P140" s="83" t="n">
        <f aca="false">MIN(P139,MAX(P138,0))</f>
        <v>5563.32896316794</v>
      </c>
      <c r="Q140" s="83" t="n">
        <f aca="false">MIN(Q139,MAX(Q138,0))</f>
        <v>3963.63709248308</v>
      </c>
      <c r="R140" s="83" t="n">
        <f aca="false">MIN(R139,MAX(R138,0))</f>
        <v>2090.64733994098</v>
      </c>
      <c r="S140" s="83" t="n">
        <f aca="false">MIN(S139,MAX(S138,0))</f>
        <v>76790.9430410586</v>
      </c>
      <c r="T140" s="83" t="n">
        <f aca="false">MIN(T139,MAX(T138,0))</f>
        <v>37401.3836067987</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67981.2398299328</v>
      </c>
      <c r="E141" s="83" t="n">
        <f aca="false">E139-E140+MAX(-E138,0)</f>
        <v>110408.641017935</v>
      </c>
      <c r="F141" s="83" t="n">
        <f aca="false">F139-F140+MAX(-F138,0)</f>
        <v>132496.464317355</v>
      </c>
      <c r="G141" s="83" t="n">
        <f aca="false">G139-G140+MAX(-G138,0)</f>
        <v>149716.400482974</v>
      </c>
      <c r="H141" s="83" t="n">
        <f aca="false">H139-H140+MAX(-H138,0)</f>
        <v>159915.103356826</v>
      </c>
      <c r="I141" s="83" t="n">
        <f aca="false">I139-I140+MAX(-I138,0)</f>
        <v>162578.13961155</v>
      </c>
      <c r="J141" s="83" t="n">
        <f aca="false">J139-J140+MAX(-J138,0)</f>
        <v>158716.73371828</v>
      </c>
      <c r="K141" s="83" t="n">
        <f aca="false">K139-K140+MAX(-K138,0)</f>
        <v>153768.712380868</v>
      </c>
      <c r="L141" s="83" t="n">
        <f aca="false">L139-L140+MAX(-L138,0)</f>
        <v>147765.554332728</v>
      </c>
      <c r="M141" s="83" t="n">
        <f aca="false">M139-M140+MAX(-M138,0)</f>
        <v>140738.714155603</v>
      </c>
      <c r="N141" s="83" t="n">
        <f aca="false">N139-N140+MAX(-N138,0)</f>
        <v>132719.150281529</v>
      </c>
      <c r="O141" s="83" t="n">
        <f aca="false">O139-O140+MAX(-O138,0)</f>
        <v>125809.940043449</v>
      </c>
      <c r="P141" s="83" t="n">
        <f aca="false">P139-P140+MAX(-P138,0)</f>
        <v>120246.611080281</v>
      </c>
      <c r="Q141" s="83" t="n">
        <f aca="false">Q139-Q140+MAX(-Q138,0)</f>
        <v>116282.973987798</v>
      </c>
      <c r="R141" s="83" t="n">
        <f aca="false">R139-R140+MAX(-R138,0)</f>
        <v>114192.326647857</v>
      </c>
      <c r="S141" s="83" t="n">
        <f aca="false">S139-S140+MAX(-S138,0)</f>
        <v>37401.3836067987</v>
      </c>
      <c r="T141" s="83" t="n">
        <f aca="false">T139-T140+MAX(-T138,0)</f>
        <v>0</v>
      </c>
      <c r="U141" s="83" t="n">
        <f aca="false">U139-U140+MAX(-U138,0)</f>
        <v>0</v>
      </c>
      <c r="V141" s="83" t="n">
        <f aca="false">V139-V140+MAX(-V138,0)</f>
        <v>0</v>
      </c>
      <c r="W141" s="83" t="n">
        <f aca="false">W139-W140+MAX(-W138,0)</f>
        <v>0</v>
      </c>
    </row>
    <row r="142" customFormat="false" ht="15" hidden="false" customHeight="false" outlineLevel="0" collapsed="false">
      <c r="A142" s="10" t="s">
        <v>466</v>
      </c>
      <c r="B142" s="61" t="n">
        <f aca="false">SUM(C142:W142)</f>
        <v>59349.2244406733</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9129.33377740486</v>
      </c>
      <c r="U142" s="83" t="n">
        <f aca="false">(MAX(U138,0)-U140)*TaxRate</f>
        <v>17673.765486482</v>
      </c>
      <c r="V142" s="83" t="n">
        <f aca="false">(MAX(V138,0)-V140)*TaxRate</f>
        <v>16773.6290816464</v>
      </c>
      <c r="W142" s="83" t="n">
        <f aca="false">(MAX(W138,0)-W140)*TaxRate</f>
        <v>15772.49609514</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-685183.385653803</v>
      </c>
      <c r="C145" s="27" t="n">
        <f aca="false">-C102+C98-C103-C137</f>
        <v>-1153010.25515137</v>
      </c>
      <c r="D145" s="27" t="n">
        <f aca="false">-D102+D98-D103-D137</f>
        <v>23264.3771474271</v>
      </c>
      <c r="E145" s="27" t="n">
        <f aca="false">-E102+E98-E103-E137</f>
        <v>48818.2157893572</v>
      </c>
      <c r="F145" s="27" t="n">
        <f aca="false">-F102+F98-F103-F137</f>
        <v>69157.7936779398</v>
      </c>
      <c r="G145" s="27" t="n">
        <f aca="false">-G102+G98-G103-G137</f>
        <v>73058.5320423312</v>
      </c>
      <c r="H145" s="27" t="n">
        <f aca="false">-H102+H98-H103-H137</f>
        <v>79015.9016877462</v>
      </c>
      <c r="I145" s="27" t="n">
        <f aca="false">-I102+I98-I103-I137</f>
        <v>85381.3182958881</v>
      </c>
      <c r="J145" s="27" t="n">
        <f aca="false">-J102+J98-J103-J137</f>
        <v>90329.0492435097</v>
      </c>
      <c r="K145" s="27" t="n">
        <f aca="false">-K102+K98-K103-K137</f>
        <v>-76201.8948042805</v>
      </c>
      <c r="L145" s="27" t="n">
        <f aca="false">-L102+L98-L103-L137</f>
        <v>88892.0139943713</v>
      </c>
      <c r="M145" s="27" t="n">
        <f aca="false">-M102+M98-M103-M137</f>
        <v>87886.0583445508</v>
      </c>
      <c r="N145" s="27" t="n">
        <f aca="false">-N102+N98-N103-N137</f>
        <v>86668.3197164557</v>
      </c>
      <c r="O145" s="27" t="n">
        <f aca="false">-O102+O98-O103-O137</f>
        <v>85222.4302112148</v>
      </c>
      <c r="P145" s="27" t="n">
        <f aca="false">-P102+P98-P103-P137</f>
        <v>83530.9469909788</v>
      </c>
      <c r="Q145" s="27" t="n">
        <f aca="false">-Q102+Q98-Q103-Q137</f>
        <v>81575.28511661</v>
      </c>
      <c r="R145" s="27" t="n">
        <f aca="false">-R102+R98-R103-R137</f>
        <v>79335.6462602736</v>
      </c>
      <c r="S145" s="27" t="n">
        <f aca="false">-S102+S98-S103-S137</f>
        <v>-152275.098069803</v>
      </c>
      <c r="T145" s="27" t="n">
        <f aca="false">-T102+T98-T103-T137</f>
        <v>55439.0390373137</v>
      </c>
      <c r="U145" s="27" t="n">
        <f aca="false">-U102+U98-U103-U137</f>
        <v>53021.2964594458</v>
      </c>
      <c r="V145" s="27" t="n">
        <f aca="false">-V102+V98-V103-V137</f>
        <v>50320.8872449393</v>
      </c>
      <c r="W145" s="27" t="n">
        <f aca="false">-W102+W98-W103-W137</f>
        <v>47317.4882854201</v>
      </c>
    </row>
    <row r="146" customFormat="false" ht="15" hidden="false" customHeight="false" outlineLevel="0" collapsed="false">
      <c r="A146" s="15" t="s">
        <v>469</v>
      </c>
      <c r="B146" s="61" t="n">
        <f aca="false">C146+NPV(Hurdle,D146:W146)</f>
        <v>132736.974977302</v>
      </c>
      <c r="C146" s="27" t="n">
        <f aca="false">C145+C106+C108</f>
        <v>-553010.255151365</v>
      </c>
      <c r="D146" s="27" t="n">
        <f aca="false">D145+D106+D108</f>
        <v>174464.377147427</v>
      </c>
      <c r="E146" s="27" t="n">
        <f aca="false">E145+E106+E108</f>
        <v>111818.215789357</v>
      </c>
      <c r="F146" s="27" t="n">
        <f aca="false">F145+F106+F108</f>
        <v>106957.79367794</v>
      </c>
      <c r="G146" s="27" t="n">
        <f aca="false">G145+G106+G108</f>
        <v>73058.5320423312</v>
      </c>
      <c r="H146" s="27" t="n">
        <f aca="false">H145+H106+H108</f>
        <v>79015.9016877462</v>
      </c>
      <c r="I146" s="27" t="n">
        <f aca="false">I145+I106+I108</f>
        <v>85381.3182958881</v>
      </c>
      <c r="J146" s="27" t="n">
        <f aca="false">J145+J106+J108</f>
        <v>90329.0492435097</v>
      </c>
      <c r="K146" s="27" t="n">
        <f aca="false">K145+K106+K108</f>
        <v>-76201.8948042805</v>
      </c>
      <c r="L146" s="27" t="n">
        <f aca="false">L145+L106+L108</f>
        <v>88892.0139943713</v>
      </c>
      <c r="M146" s="27" t="n">
        <f aca="false">M145+M106+M108</f>
        <v>87886.0583445508</v>
      </c>
      <c r="N146" s="27" t="n">
        <f aca="false">N145+N106+N108</f>
        <v>86668.3197164557</v>
      </c>
      <c r="O146" s="27" t="n">
        <f aca="false">O145+O106+O108</f>
        <v>85222.4302112148</v>
      </c>
      <c r="P146" s="27" t="n">
        <f aca="false">P145+P106+P108</f>
        <v>83530.9469909788</v>
      </c>
      <c r="Q146" s="27" t="n">
        <f aca="false">Q145+Q106+Q108</f>
        <v>81575.28511661</v>
      </c>
      <c r="R146" s="27" t="n">
        <f aca="false">R145+R106+R108</f>
        <v>79335.6462602736</v>
      </c>
      <c r="S146" s="27" t="n">
        <f aca="false">S145+S106+S108</f>
        <v>-152275.098069803</v>
      </c>
      <c r="T146" s="27" t="n">
        <f aca="false">T145+T106+T108</f>
        <v>55439.0390373137</v>
      </c>
      <c r="U146" s="27" t="n">
        <f aca="false">U145+U106+U108</f>
        <v>53021.2964594458</v>
      </c>
      <c r="V146" s="27" t="n">
        <f aca="false">V145+V106+V108</f>
        <v>50320.8872449393</v>
      </c>
      <c r="W146" s="27" t="n">
        <f aca="false">W145+W106+W108</f>
        <v>47317.4882854201</v>
      </c>
    </row>
    <row r="147" customFormat="false" ht="15" hidden="false" customHeight="false" outlineLevel="0" collapsed="false">
      <c r="A147" s="10" t="s">
        <v>237</v>
      </c>
      <c r="B147" s="61" t="n">
        <f aca="false">SUM(C147:W147)</f>
        <v>1320012.48240058</v>
      </c>
      <c r="C147" s="83" t="n">
        <v>0</v>
      </c>
      <c r="D147" s="83" t="n">
        <f aca="false">D98-D105-D142+D108</f>
        <v>153726.447434339</v>
      </c>
      <c r="E147" s="83" t="n">
        <f aca="false">E98-E105-E142+E108</f>
        <v>91080.2860762696</v>
      </c>
      <c r="F147" s="83" t="n">
        <f aca="false">F98-F105-F142+F108</f>
        <v>86219.8639648521</v>
      </c>
      <c r="G147" s="83" t="n">
        <f aca="false">G98-G105-G142+G108</f>
        <v>52320.6023292435</v>
      </c>
      <c r="H147" s="83" t="n">
        <f aca="false">H98-H105-H142+H108</f>
        <v>58277.9719746586</v>
      </c>
      <c r="I147" s="83" t="n">
        <f aca="false">I98-I105-I142+I108</f>
        <v>64643.3885828004</v>
      </c>
      <c r="J147" s="83" t="n">
        <f aca="false">J98-J105-J142+J108</f>
        <v>69591.119530422</v>
      </c>
      <c r="K147" s="83" t="n">
        <f aca="false">K98-K105-K142+K108</f>
        <v>68963.6131873333</v>
      </c>
      <c r="L147" s="83" t="n">
        <f aca="false">L98-L105-L142+L108</f>
        <v>62621.8250839126</v>
      </c>
      <c r="M147" s="83" t="n">
        <f aca="false">M98-M105-M142+M108</f>
        <v>61615.869434092</v>
      </c>
      <c r="N147" s="83" t="n">
        <f aca="false">N98-N105-N142+N108</f>
        <v>60398.130805997</v>
      </c>
      <c r="O147" s="83" t="n">
        <f aca="false">O98-O105-O142+O108</f>
        <v>58952.2413007561</v>
      </c>
      <c r="P147" s="83" t="n">
        <f aca="false">P98-P105-P142+P108</f>
        <v>57260.75808052</v>
      </c>
      <c r="Q147" s="83" t="n">
        <f aca="false">Q98-Q105-Q142+Q108</f>
        <v>55305.0962061513</v>
      </c>
      <c r="R147" s="83" t="n">
        <f aca="false">R98-R105-R142+R108</f>
        <v>53065.4573498148</v>
      </c>
      <c r="S147" s="83" t="n">
        <f aca="false">S98-S105-S142+S108</f>
        <v>50520.7541305998</v>
      </c>
      <c r="T147" s="83" t="n">
        <f aca="false">T98-T105-T142+T108</f>
        <v>64789.3849390133</v>
      </c>
      <c r="U147" s="83" t="n">
        <f aca="false">U98-U105-U142+U108</f>
        <v>53021.2964594458</v>
      </c>
      <c r="V147" s="83" t="n">
        <f aca="false">V98-V105-V142+V108</f>
        <v>50320.8872449393</v>
      </c>
      <c r="W147" s="83" t="n">
        <f aca="false">W98-W105-W142+W108</f>
        <v>47317.4882854201</v>
      </c>
    </row>
    <row r="148" customFormat="false" ht="15" hidden="false" customHeight="false" outlineLevel="0" collapsed="false">
      <c r="A148" s="10" t="s">
        <v>470</v>
      </c>
      <c r="C148" s="86" t="n">
        <v>0</v>
      </c>
      <c r="D148" s="86" t="n">
        <f aca="false">IF(D125&gt;0,D147/D125,"")</f>
        <v>10.6915841351499</v>
      </c>
      <c r="E148" s="86" t="n">
        <f aca="false">IF(E125&gt;0,E147/E125,"")</f>
        <v>6.33458040493577</v>
      </c>
      <c r="F148" s="86" t="n">
        <f aca="false">IF(F125&gt;0,F147/F125,"")</f>
        <v>3.58506215027475</v>
      </c>
      <c r="G148" s="86" t="n">
        <f aca="false">IF(G125&gt;0,G147/G125,"")</f>
        <v>2.17551504333865</v>
      </c>
      <c r="H148" s="86" t="n">
        <f aca="false">IF(H125&gt;0,H147/H125,"")</f>
        <v>2.42322525127495</v>
      </c>
      <c r="I148" s="86" t="n">
        <f aca="false">IF(I125&gt;0,I147/I125,"")</f>
        <v>1.91833650669153</v>
      </c>
      <c r="J148" s="86" t="n">
        <f aca="false">IF(J125&gt;0,J147/J125,"")</f>
        <v>2.06516378648292</v>
      </c>
      <c r="K148" s="86" t="n">
        <f aca="false">IF(K125&gt;0,K147/K125,"")</f>
        <v>2.04654210911547</v>
      </c>
      <c r="L148" s="86" t="n">
        <f aca="false">IF(L125&gt;0,L147/L125,"")</f>
        <v>1.85834523541799</v>
      </c>
      <c r="M148" s="86" t="n">
        <f aca="false">IF(M125&gt;0,M147/M125,"")</f>
        <v>1.82849281756877</v>
      </c>
      <c r="N148" s="86" t="n">
        <f aca="false">IF(N125&gt;0,N147/N125,"")</f>
        <v>4.65821656956664</v>
      </c>
      <c r="O148" s="86" t="n">
        <f aca="false">IF(O125&gt;0,O147/O125,"")</f>
        <v>4.54670208457852</v>
      </c>
      <c r="P148" s="86" t="n">
        <f aca="false">IF(P125&gt;0,P147/P125,"")</f>
        <v>4.41624614068588</v>
      </c>
      <c r="Q148" s="86" t="n">
        <f aca="false">IF(Q125&gt;0,Q147/Q125,"")</f>
        <v>4.26541537115568</v>
      </c>
      <c r="R148" s="86" t="n">
        <f aca="false">IF(R125&gt;0,R147/R125,"")</f>
        <v>4.092682826436</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125740.108374171</v>
      </c>
      <c r="C149" s="27" t="n">
        <f aca="false">-S_Opex_Lo!$B$18-C129</f>
        <v>-338995.286407787</v>
      </c>
      <c r="D149" s="27" t="n">
        <f aca="false">D147-D125-D129</f>
        <v>139348.180800404</v>
      </c>
      <c r="E149" s="27" t="n">
        <f aca="false">E147-E125-E129</f>
        <v>71866.2755952832</v>
      </c>
      <c r="F149" s="27" t="n">
        <f aca="false">F147-F125-F129</f>
        <v>62170.109636815</v>
      </c>
      <c r="G149" s="27" t="n">
        <f aca="false">G147-G125-G129</f>
        <v>28270.8480012064</v>
      </c>
      <c r="H149" s="27" t="n">
        <f aca="false">H147-H125-H129</f>
        <v>29404.2811751512</v>
      </c>
      <c r="I149" s="27" t="n">
        <f aca="false">I147-I125-I129</f>
        <v>30945.7613118229</v>
      </c>
      <c r="J149" s="27" t="n">
        <f aca="false">J147-J125-J129</f>
        <v>35893.4922594444</v>
      </c>
      <c r="K149" s="27" t="n">
        <f aca="false">K147-K125-K129</f>
        <v>35265.9859163557</v>
      </c>
      <c r="L149" s="27" t="n">
        <f aca="false">L147-L125-L129</f>
        <v>28924.197812935</v>
      </c>
      <c r="M149" s="27" t="n">
        <f aca="false">M147-M125-M129</f>
        <v>38284.088561679</v>
      </c>
      <c r="N149" s="27" t="n">
        <f aca="false">N147-N125-N129</f>
        <v>47432.1963321484</v>
      </c>
      <c r="O149" s="27" t="n">
        <f aca="false">O147-O125-O129</f>
        <v>45986.3068269075</v>
      </c>
      <c r="P149" s="27" t="n">
        <f aca="false">P147-P125-P129</f>
        <v>44294.8236066714</v>
      </c>
      <c r="Q149" s="27" t="n">
        <f aca="false">Q147-Q125-Q129</f>
        <v>42339.1617323027</v>
      </c>
      <c r="R149" s="27" t="n">
        <f aca="false">R147-R125-R129</f>
        <v>46582.4901128905</v>
      </c>
      <c r="S149" s="27" t="n">
        <f aca="false">S147-S125-S129</f>
        <v>50520.7541305998</v>
      </c>
      <c r="T149" s="27" t="n">
        <f aca="false">T147-T125-T129</f>
        <v>64789.3849390133</v>
      </c>
      <c r="U149" s="27" t="n">
        <f aca="false">U147-U125-U129</f>
        <v>53021.2964594458</v>
      </c>
      <c r="V149" s="27" t="n">
        <f aca="false">V147-V125-V129</f>
        <v>50320.8872449393</v>
      </c>
      <c r="W149" s="27" t="n">
        <f aca="false">W147-W125-W129</f>
        <v>47317.4882854201</v>
      </c>
    </row>
    <row r="150" customFormat="false" ht="15" hidden="false" customHeight="false" outlineLevel="0" collapsed="false">
      <c r="A150" s="10" t="s">
        <v>472</v>
      </c>
      <c r="C150" s="83" t="n">
        <f aca="false">C149</f>
        <v>-338995.286407787</v>
      </c>
      <c r="D150" s="83" t="n">
        <f aca="false">C150+D149</f>
        <v>-199647.105607383</v>
      </c>
      <c r="E150" s="83" t="n">
        <f aca="false">D150+E149</f>
        <v>-127780.8300121</v>
      </c>
      <c r="F150" s="83" t="n">
        <f aca="false">E150+F149</f>
        <v>-65610.7203752849</v>
      </c>
      <c r="G150" s="83" t="n">
        <f aca="false">F150+G149</f>
        <v>-37339.8723740785</v>
      </c>
      <c r="H150" s="83" t="n">
        <f aca="false">G150+H149</f>
        <v>-7935.59119892726</v>
      </c>
      <c r="I150" s="83" t="n">
        <f aca="false">H150+I149</f>
        <v>23010.1701128956</v>
      </c>
      <c r="J150" s="83" t="n">
        <f aca="false">I150+J149</f>
        <v>58903.66237234</v>
      </c>
      <c r="K150" s="83" t="n">
        <f aca="false">J150+K149</f>
        <v>94169.6482886957</v>
      </c>
      <c r="L150" s="83" t="n">
        <f aca="false">K150+L149</f>
        <v>123093.846101631</v>
      </c>
      <c r="M150" s="83" t="n">
        <f aca="false">L150+M149</f>
        <v>161377.93466331</v>
      </c>
      <c r="N150" s="83" t="n">
        <f aca="false">M150+N149</f>
        <v>208810.130995458</v>
      </c>
      <c r="O150" s="83" t="n">
        <f aca="false">N150+O149</f>
        <v>254796.437822366</v>
      </c>
      <c r="P150" s="83" t="n">
        <f aca="false">O150+P149</f>
        <v>299091.261429037</v>
      </c>
      <c r="Q150" s="83" t="n">
        <f aca="false">P150+Q149</f>
        <v>341430.42316134</v>
      </c>
      <c r="R150" s="83" t="n">
        <f aca="false">Q150+R149</f>
        <v>388012.91327423</v>
      </c>
      <c r="S150" s="83" t="n">
        <f aca="false">R150+S149</f>
        <v>438533.66740483</v>
      </c>
      <c r="T150" s="83" t="n">
        <f aca="false">S150+T149</f>
        <v>503323.052343843</v>
      </c>
      <c r="U150" s="83" t="n">
        <f aca="false">T150+U149</f>
        <v>556344.348803289</v>
      </c>
      <c r="V150" s="83" t="n">
        <f aca="false">U150+V149</f>
        <v>606665.236048228</v>
      </c>
      <c r="W150" s="83" t="n">
        <f aca="false">V150+W149</f>
        <v>653982.724333649</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2187810.88386292</v>
      </c>
      <c r="C153" s="83" t="n">
        <f aca="false">C102+C96-C93+C103</f>
        <v>1153010.25515137</v>
      </c>
      <c r="D153" s="83" t="n">
        <f aca="false">D102+D96-D93+D103</f>
        <v>54837.4884986529</v>
      </c>
      <c r="E153" s="83" t="n">
        <f aca="false">E102+E96-E93+E103</f>
        <v>61293.8937595383</v>
      </c>
      <c r="F153" s="83" t="n">
        <f aca="false">F102+F96-F93+F103</f>
        <v>66467.6353166758</v>
      </c>
      <c r="G153" s="83" t="n">
        <f aca="false">G102+G96-G93+G103</f>
        <v>69051.3346530566</v>
      </c>
      <c r="H153" s="83" t="n">
        <f aca="false">H102+H96-H93+H103</f>
        <v>71748.4558893907</v>
      </c>
      <c r="I153" s="83" t="n">
        <f aca="false">I102+I96-I93+I103</f>
        <v>74564.5886576964</v>
      </c>
      <c r="J153" s="83" t="n">
        <f aca="false">J102+J96-J93+J103</f>
        <v>79357.5634435482</v>
      </c>
      <c r="K153" s="83" t="n">
        <f aca="false">K102+K96-K93+K103</f>
        <v>256222.42220398</v>
      </c>
      <c r="L153" s="83" t="n">
        <f aca="false">L102+L96-L93+L103</f>
        <v>102091.76352397</v>
      </c>
      <c r="M153" s="83" t="n">
        <f aca="false">M102+M96-M93+M103</f>
        <v>114728.631224658</v>
      </c>
      <c r="N153" s="83" t="n">
        <f aca="false">N102+N96-N93+N103</f>
        <v>128285.604447517</v>
      </c>
      <c r="O153" s="83" t="n">
        <f aca="false">O102+O96-O93+O103</f>
        <v>142822.187934344</v>
      </c>
      <c r="P153" s="83" t="n">
        <f aca="false">P102+P96-P93+P103</f>
        <v>158401.588399645</v>
      </c>
      <c r="Q153" s="83" t="n">
        <f aca="false">Q102+Q96-Q93+Q103</f>
        <v>175090.941679303</v>
      </c>
      <c r="R153" s="83" t="n">
        <f aca="false">R102+R96-R93+R103</f>
        <v>192961.55374751</v>
      </c>
      <c r="S153" s="83" t="n">
        <f aca="false">S102+S96-S93+S103</f>
        <v>422250.667730869</v>
      </c>
      <c r="T153" s="83" t="n">
        <f aca="false">T102+T96-T93+T103</f>
        <v>232554.178830675</v>
      </c>
      <c r="U153" s="83" t="n">
        <f aca="false">U102+U96-U93+U103</f>
        <v>254442.035061783</v>
      </c>
      <c r="V153" s="83" t="n">
        <f aca="false">V102+V96-V93+V103</f>
        <v>277843.429888895</v>
      </c>
      <c r="W153" s="83" t="n">
        <f aca="false">W102+W96-W93+W103</f>
        <v>302854.682759443</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f aca="false">1+SensDelta</f>
        <v>1.2</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MAX(0,S_Opex_Hi!$B$14-Grant)*SenPct</f>
        <v>110602.051030273</v>
      </c>
    </row>
    <row r="17" customFormat="false" ht="15" hidden="false" customHeight="false" outlineLevel="0" collapsed="false">
      <c r="A17" s="10" t="s">
        <v>248</v>
      </c>
      <c r="B17" s="61" t="n">
        <f aca="false">MAX(0,S_Opex_Hi!$B$14-Grant)*ConPct</f>
        <v>110602.051030273</v>
      </c>
    </row>
    <row r="18" customFormat="false" ht="15" hidden="false" customHeight="false" outlineLevel="0" collapsed="false">
      <c r="A18" s="10" t="s">
        <v>393</v>
      </c>
      <c r="B18" s="61" t="n">
        <f aca="false">MAX(0,S_Opex_Hi!$B$14-Grant-S_Opex_Hi!$B$16-S_Opex_Hi!$B$17)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-915120.851380147</v>
      </c>
    </row>
    <row r="21" customFormat="false" ht="15" hidden="false" customHeight="false" outlineLevel="0" collapsed="false">
      <c r="A21" s="10" t="s">
        <v>396</v>
      </c>
      <c r="B21" s="61" t="n">
        <f aca="false">$B$146</f>
        <v>-97200.490749042</v>
      </c>
    </row>
    <row r="22" customFormat="false" ht="15" hidden="false" customHeight="false" outlineLevel="0" collapsed="false">
      <c r="A22" s="10" t="s">
        <v>397</v>
      </c>
      <c r="B22" s="63" t="n">
        <f aca="false">IFERROR(IRR($C$145:$W$145),"n.d.")</f>
        <v>-0.0893389428455868</v>
      </c>
    </row>
    <row r="23" customFormat="false" ht="15" hidden="false" customHeight="false" outlineLevel="0" collapsed="false">
      <c r="A23" s="10" t="s">
        <v>398</v>
      </c>
      <c r="B23" s="63" t="n">
        <f aca="false">IFERROR(IRR($C$146:$W$146),"n.d.")</f>
        <v>0.053629325151918</v>
      </c>
    </row>
    <row r="24" customFormat="false" ht="15" hidden="false" customHeight="false" outlineLevel="0" collapsed="false">
      <c r="A24" s="10" t="s">
        <v>384</v>
      </c>
      <c r="B24" s="61" t="n">
        <f aca="false">MAX(0,-$B$145)</f>
        <v>915120.851380147</v>
      </c>
    </row>
    <row r="25" customFormat="false" ht="15" hidden="false" customHeight="false" outlineLevel="0" collapsed="false">
      <c r="A25" s="10" t="s">
        <v>256</v>
      </c>
      <c r="B25" s="63" t="n">
        <f aca="false">IFERROR(IRR($C$149:$W$149),"n.d.")</f>
        <v>0.0238309390609284</v>
      </c>
    </row>
    <row r="26" customFormat="false" ht="15" hidden="false" customHeight="false" outlineLevel="0" collapsed="false">
      <c r="A26" s="10" t="s">
        <v>258</v>
      </c>
      <c r="B26" s="61" t="n">
        <f aca="false">C149+NPV(TargetEqIRR,D149:W149)</f>
        <v>-144468.589698201</v>
      </c>
    </row>
    <row r="27" customFormat="false" ht="15" hidden="false" customHeight="false" outlineLevel="0" collapsed="false">
      <c r="A27" s="10" t="s">
        <v>252</v>
      </c>
      <c r="B27" s="62" t="n">
        <f aca="false">IF((S_Opex_Hi!$B$16+S_Opex_Hi!$B$17)&gt;0,MIN($D$148:$W$148),"pas de dette")</f>
        <v>0.916376913996695</v>
      </c>
    </row>
    <row r="28" customFormat="false" ht="15" hidden="false" customHeight="false" outlineLevel="0" collapsed="false">
      <c r="A28" s="10" t="s">
        <v>254</v>
      </c>
      <c r="B28" s="62" t="n">
        <f aca="false">IF((S_Opex_Hi!$B$16+S_Opex_Hi!$B$17)&gt;0,AVERAGE($D$148:$W$148),"pas de dette")</f>
        <v>2.20111751722584</v>
      </c>
    </row>
    <row r="29" customFormat="false" ht="15" hidden="false" customHeight="false" outlineLevel="0" collapsed="false">
      <c r="A29" s="10" t="s">
        <v>399</v>
      </c>
      <c r="B29" s="77" t="n">
        <f aca="false">IFERROR($B$153/$B$154,0)</f>
        <v>0.694450298454184</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57551.5951294989</v>
      </c>
    </row>
    <row r="36" customFormat="false" ht="15" hidden="false" customHeight="false" outlineLevel="0" collapsed="false">
      <c r="A36" s="10" t="s">
        <v>260</v>
      </c>
      <c r="B36" s="78" t="n">
        <f aca="false">IFERROR(MATCH(TRUE(),INDEX($C$150:$W$150&gt;=0,0),0)-1,"&gt; durée de vie")</f>
        <v>18</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808221.322057881</v>
      </c>
      <c r="C88" s="83" t="n">
        <v>0</v>
      </c>
      <c r="D88" s="83" t="n">
        <f aca="false">S_Opex_Hi!$B$15*O_FixedPct*D44*LevOpex*$B$8*D41</f>
        <v>30078.528395253</v>
      </c>
      <c r="E88" s="83" t="n">
        <f aca="false">S_Opex_Hi!$B$15*O_FixedPct*E44*LevOpex*$B$8*E41</f>
        <v>30980.8842471106</v>
      </c>
      <c r="F88" s="83" t="n">
        <f aca="false">S_Opex_Hi!$B$15*O_FixedPct*F44*LevOpex*$B$8*F41</f>
        <v>31910.3107745239</v>
      </c>
      <c r="G88" s="83" t="n">
        <f aca="false">S_Opex_Hi!$B$15*O_FixedPct*G44*LevOpex*$B$8*G41</f>
        <v>32867.6200977596</v>
      </c>
      <c r="H88" s="83" t="n">
        <f aca="false">S_Opex_Hi!$B$15*O_FixedPct*H44*LevOpex*$B$8*H41</f>
        <v>33853.6487006924</v>
      </c>
      <c r="I88" s="83" t="n">
        <f aca="false">S_Opex_Hi!$B$15*O_FixedPct*I44*LevOpex*$B$8*I41</f>
        <v>34869.2581617132</v>
      </c>
      <c r="J88" s="83" t="n">
        <f aca="false">S_Opex_Hi!$B$15*O_FixedPct*J44*LevOpex*$B$8*J41</f>
        <v>35915.3359065646</v>
      </c>
      <c r="K88" s="83" t="n">
        <f aca="false">S_Opex_Hi!$B$15*O_FixedPct*K44*LevOpex*$B$8*K41</f>
        <v>36992.7959837615</v>
      </c>
      <c r="L88" s="83" t="n">
        <f aca="false">S_Opex_Hi!$B$15*O_FixedPct*L44*LevOpex*$B$8*L41</f>
        <v>38102.5798632744</v>
      </c>
      <c r="M88" s="83" t="n">
        <f aca="false">S_Opex_Hi!$B$15*O_FixedPct*M44*LevOpex*$B$8*M41</f>
        <v>39245.6572591726</v>
      </c>
      <c r="N88" s="83" t="n">
        <f aca="false">S_Opex_Hi!$B$15*O_FixedPct*N44*LevOpex*$B$8*N41</f>
        <v>40423.0269769478</v>
      </c>
      <c r="O88" s="83" t="n">
        <f aca="false">S_Opex_Hi!$B$15*O_FixedPct*O44*LevOpex*$B$8*O41</f>
        <v>41635.7177862562</v>
      </c>
      <c r="P88" s="83" t="n">
        <f aca="false">S_Opex_Hi!$B$15*O_FixedPct*P44*LevOpex*$B$8*P41</f>
        <v>42884.7893198439</v>
      </c>
      <c r="Q88" s="83" t="n">
        <f aca="false">S_Opex_Hi!$B$15*O_FixedPct*Q44*LevOpex*$B$8*Q41</f>
        <v>44171.3329994392</v>
      </c>
      <c r="R88" s="83" t="n">
        <f aca="false">S_Opex_Hi!$B$15*O_FixedPct*R44*LevOpex*$B$8*R41</f>
        <v>45496.4729894224</v>
      </c>
      <c r="S88" s="83" t="n">
        <f aca="false">S_Opex_Hi!$B$15*O_FixedPct*S44*LevOpex*$B$8*S41</f>
        <v>46861.3671791051</v>
      </c>
      <c r="T88" s="83" t="n">
        <f aca="false">S_Opex_Hi!$B$15*O_FixedPct*T44*LevOpex*$B$8*T41</f>
        <v>48267.2081944783</v>
      </c>
      <c r="U88" s="83" t="n">
        <f aca="false">S_Opex_Hi!$B$15*O_FixedPct*U44*LevOpex*$B$8*U41</f>
        <v>49715.2244403126</v>
      </c>
      <c r="V88" s="83" t="n">
        <f aca="false">S_Opex_Hi!$B$15*O_FixedPct*V44*LevOpex*$B$8*V41</f>
        <v>51206.681173522</v>
      </c>
      <c r="W88" s="83" t="n">
        <f aca="false">S_Opex_Hi!$B$15*O_FixedPct*W44*LevOpex*$B$8*W41</f>
        <v>52742.8816087276</v>
      </c>
    </row>
    <row r="89" customFormat="false" ht="15" hidden="false" customHeight="false" outlineLevel="0" collapsed="false">
      <c r="A89" s="10" t="s">
        <v>429</v>
      </c>
      <c r="B89" s="61" t="n">
        <f aca="false">SUM(C89:W89)</f>
        <v>580400.088961978</v>
      </c>
      <c r="C89" s="83" t="n">
        <v>0</v>
      </c>
      <c r="D89" s="83" t="n">
        <f aca="false">O_Staff*D44*LevOpex*$B$8*D41</f>
        <v>21600</v>
      </c>
      <c r="E89" s="83" t="n">
        <f aca="false">O_Staff*E44*LevOpex*$B$8*E41</f>
        <v>22248</v>
      </c>
      <c r="F89" s="83" t="n">
        <f aca="false">O_Staff*F44*LevOpex*$B$8*F41</f>
        <v>22915.44</v>
      </c>
      <c r="G89" s="83" t="n">
        <f aca="false">O_Staff*G44*LevOpex*$B$8*G41</f>
        <v>23602.9032</v>
      </c>
      <c r="H89" s="83" t="n">
        <f aca="false">O_Staff*H44*LevOpex*$B$8*H41</f>
        <v>24310.990296</v>
      </c>
      <c r="I89" s="83" t="n">
        <f aca="false">O_Staff*I44*LevOpex*$B$8*I41</f>
        <v>25040.32000488</v>
      </c>
      <c r="J89" s="83" t="n">
        <f aca="false">O_Staff*J44*LevOpex*$B$8*J41</f>
        <v>25791.5296050264</v>
      </c>
      <c r="K89" s="83" t="n">
        <f aca="false">O_Staff*K44*LevOpex*$B$8*K41</f>
        <v>26565.2754931772</v>
      </c>
      <c r="L89" s="83" t="n">
        <f aca="false">O_Staff*L44*LevOpex*$B$8*L41</f>
        <v>27362.2337579725</v>
      </c>
      <c r="M89" s="83" t="n">
        <f aca="false">O_Staff*M44*LevOpex*$B$8*M41</f>
        <v>28183.1007707117</v>
      </c>
      <c r="N89" s="83" t="n">
        <f aca="false">O_Staff*N44*LevOpex*$B$8*N41</f>
        <v>29028.593793833</v>
      </c>
      <c r="O89" s="83" t="n">
        <f aca="false">O_Staff*O44*LevOpex*$B$8*O41</f>
        <v>29899.451607648</v>
      </c>
      <c r="P89" s="83" t="n">
        <f aca="false">O_Staff*P44*LevOpex*$B$8*P41</f>
        <v>30796.4351558775</v>
      </c>
      <c r="Q89" s="83" t="n">
        <f aca="false">O_Staff*Q44*LevOpex*$B$8*Q41</f>
        <v>31720.3282105538</v>
      </c>
      <c r="R89" s="83" t="n">
        <f aca="false">O_Staff*R44*LevOpex*$B$8*R41</f>
        <v>32671.9380568704</v>
      </c>
      <c r="S89" s="83" t="n">
        <f aca="false">O_Staff*S44*LevOpex*$B$8*S41</f>
        <v>33652.0961985765</v>
      </c>
      <c r="T89" s="83" t="n">
        <f aca="false">O_Staff*T44*LevOpex*$B$8*T41</f>
        <v>34661.6590845338</v>
      </c>
      <c r="U89" s="83" t="n">
        <f aca="false">O_Staff*U44*LevOpex*$B$8*U41</f>
        <v>35701.5088570698</v>
      </c>
      <c r="V89" s="83" t="n">
        <f aca="false">O_Staff*V44*LevOpex*$B$8*V41</f>
        <v>36772.5541227819</v>
      </c>
      <c r="W89" s="83" t="n">
        <f aca="false">O_Staff*W44*LevOpex*$B$8*W41</f>
        <v>37875.7307464654</v>
      </c>
    </row>
    <row r="90" customFormat="false" ht="15" hidden="false" customHeight="false" outlineLevel="0" collapsed="false">
      <c r="A90" s="10" t="s">
        <v>159</v>
      </c>
      <c r="B90" s="61" t="n">
        <f aca="false">SUM(C90:W90)</f>
        <v>185890.904073313</v>
      </c>
      <c r="C90" s="83" t="n">
        <v>0</v>
      </c>
      <c r="D90" s="83" t="n">
        <f aca="false">S_Opex_Hi!$B$14*O_InsPct*D44*LevOpex*$B$8*D41</f>
        <v>6918.06153090819</v>
      </c>
      <c r="E90" s="83" t="n">
        <f aca="false">S_Opex_Hi!$B$14*O_InsPct*E44*LevOpex*$B$8*E41</f>
        <v>7125.60337683544</v>
      </c>
      <c r="F90" s="83" t="n">
        <f aca="false">S_Opex_Hi!$B$14*O_InsPct*F44*LevOpex*$B$8*F41</f>
        <v>7339.3714781405</v>
      </c>
      <c r="G90" s="83" t="n">
        <f aca="false">S_Opex_Hi!$B$14*O_InsPct*G44*LevOpex*$B$8*G41</f>
        <v>7559.55262248472</v>
      </c>
      <c r="H90" s="83" t="n">
        <f aca="false">S_Opex_Hi!$B$14*O_InsPct*H44*LevOpex*$B$8*H41</f>
        <v>7786.33920115926</v>
      </c>
      <c r="I90" s="83" t="n">
        <f aca="false">S_Opex_Hi!$B$14*O_InsPct*I44*LevOpex*$B$8*I41</f>
        <v>8019.92937719404</v>
      </c>
      <c r="J90" s="83" t="n">
        <f aca="false">S_Opex_Hi!$B$14*O_InsPct*J44*LevOpex*$B$8*J41</f>
        <v>8260.52725850986</v>
      </c>
      <c r="K90" s="83" t="n">
        <f aca="false">S_Opex_Hi!$B$14*O_InsPct*K44*LevOpex*$B$8*K41</f>
        <v>8508.34307626516</v>
      </c>
      <c r="L90" s="83" t="n">
        <f aca="false">S_Opex_Hi!$B$14*O_InsPct*L44*LevOpex*$B$8*L41</f>
        <v>8763.59336855311</v>
      </c>
      <c r="M90" s="83" t="n">
        <f aca="false">S_Opex_Hi!$B$14*O_InsPct*M44*LevOpex*$B$8*M41</f>
        <v>9026.5011696097</v>
      </c>
      <c r="N90" s="83" t="n">
        <f aca="false">S_Opex_Hi!$B$14*O_InsPct*N44*LevOpex*$B$8*N41</f>
        <v>9297.29620469799</v>
      </c>
      <c r="O90" s="83" t="n">
        <f aca="false">S_Opex_Hi!$B$14*O_InsPct*O44*LevOpex*$B$8*O41</f>
        <v>9576.21509083893</v>
      </c>
      <c r="P90" s="83" t="n">
        <f aca="false">S_Opex_Hi!$B$14*O_InsPct*P44*LevOpex*$B$8*P41</f>
        <v>9863.5015435641</v>
      </c>
      <c r="Q90" s="83" t="n">
        <f aca="false">S_Opex_Hi!$B$14*O_InsPct*Q44*LevOpex*$B$8*Q41</f>
        <v>10159.406589871</v>
      </c>
      <c r="R90" s="83" t="n">
        <f aca="false">S_Opex_Hi!$B$14*O_InsPct*R44*LevOpex*$B$8*R41</f>
        <v>10464.1887875672</v>
      </c>
      <c r="S90" s="83" t="n">
        <f aca="false">S_Opex_Hi!$B$14*O_InsPct*S44*LevOpex*$B$8*S41</f>
        <v>10778.1144511942</v>
      </c>
      <c r="T90" s="83" t="n">
        <f aca="false">S_Opex_Hi!$B$14*O_InsPct*T44*LevOpex*$B$8*T41</f>
        <v>11101.45788473</v>
      </c>
      <c r="U90" s="83" t="n">
        <f aca="false">S_Opex_Hi!$B$14*O_InsPct*U44*LevOpex*$B$8*U41</f>
        <v>11434.5016212719</v>
      </c>
      <c r="V90" s="83" t="n">
        <f aca="false">S_Opex_Hi!$B$14*O_InsPct*V44*LevOpex*$B$8*V41</f>
        <v>11777.5366699101</v>
      </c>
      <c r="W90" s="83" t="n">
        <f aca="false">S_Opex_Hi!$B$14*O_InsPct*W44*LevOpex*$B$8*W41</f>
        <v>12130.8627700074</v>
      </c>
    </row>
    <row r="91" customFormat="false" ht="15" hidden="false" customHeight="false" outlineLevel="0" collapsed="false">
      <c r="A91" s="10" t="s">
        <v>430</v>
      </c>
      <c r="B91" s="61" t="n">
        <f aca="false">SUM(C91:W91)</f>
        <v>96733.3481603297</v>
      </c>
      <c r="C91" s="83" t="n">
        <v>0</v>
      </c>
      <c r="D91" s="83" t="n">
        <f aca="false">O_Fees*D44*LevOpex*$B$8*D41</f>
        <v>3600</v>
      </c>
      <c r="E91" s="83" t="n">
        <f aca="false">O_Fees*E44*LevOpex*$B$8*E41</f>
        <v>3708</v>
      </c>
      <c r="F91" s="83" t="n">
        <f aca="false">O_Fees*F44*LevOpex*$B$8*F41</f>
        <v>3819.24</v>
      </c>
      <c r="G91" s="83" t="n">
        <f aca="false">O_Fees*G44*LevOpex*$B$8*G41</f>
        <v>3933.8172</v>
      </c>
      <c r="H91" s="83" t="n">
        <f aca="false">O_Fees*H44*LevOpex*$B$8*H41</f>
        <v>4051.831716</v>
      </c>
      <c r="I91" s="83" t="n">
        <f aca="false">O_Fees*I44*LevOpex*$B$8*I41</f>
        <v>4173.38666748</v>
      </c>
      <c r="J91" s="83" t="n">
        <f aca="false">O_Fees*J44*LevOpex*$B$8*J41</f>
        <v>4298.5882675044</v>
      </c>
      <c r="K91" s="83" t="n">
        <f aca="false">O_Fees*K44*LevOpex*$B$8*K41</f>
        <v>4427.54591552953</v>
      </c>
      <c r="L91" s="83" t="n">
        <f aca="false">O_Fees*L44*LevOpex*$B$8*L41</f>
        <v>4560.37229299542</v>
      </c>
      <c r="M91" s="83" t="n">
        <f aca="false">O_Fees*M44*LevOpex*$B$8*M41</f>
        <v>4697.18346178528</v>
      </c>
      <c r="N91" s="83" t="n">
        <f aca="false">O_Fees*N44*LevOpex*$B$8*N41</f>
        <v>4838.09896563884</v>
      </c>
      <c r="O91" s="83" t="n">
        <f aca="false">O_Fees*O44*LevOpex*$B$8*O41</f>
        <v>4983.24193460801</v>
      </c>
      <c r="P91" s="83" t="n">
        <f aca="false">O_Fees*P44*LevOpex*$B$8*P41</f>
        <v>5132.73919264625</v>
      </c>
      <c r="Q91" s="83" t="n">
        <f aca="false">O_Fees*Q44*LevOpex*$B$8*Q41</f>
        <v>5286.72136842563</v>
      </c>
      <c r="R91" s="83" t="n">
        <f aca="false">O_Fees*R44*LevOpex*$B$8*R41</f>
        <v>5445.3230094784</v>
      </c>
      <c r="S91" s="83" t="n">
        <f aca="false">O_Fees*S44*LevOpex*$B$8*S41</f>
        <v>5608.68269976275</v>
      </c>
      <c r="T91" s="83" t="n">
        <f aca="false">O_Fees*T44*LevOpex*$B$8*T41</f>
        <v>5776.94318075564</v>
      </c>
      <c r="U91" s="83" t="n">
        <f aca="false">O_Fees*U44*LevOpex*$B$8*U41</f>
        <v>5950.25147617831</v>
      </c>
      <c r="V91" s="83" t="n">
        <f aca="false">O_Fees*V44*LevOpex*$B$8*V41</f>
        <v>6128.75902046366</v>
      </c>
      <c r="W91" s="83" t="n">
        <f aca="false">O_Fees*W44*LevOpex*$B$8*W41</f>
        <v>6312.62179107757</v>
      </c>
    </row>
    <row r="92" customFormat="false" ht="15" hidden="false" customHeight="false" outlineLevel="0" collapsed="false">
      <c r="A92" s="10" t="s">
        <v>431</v>
      </c>
      <c r="B92" s="61" t="n">
        <f aca="false">SUM(C92:W92)</f>
        <v>128977.797547106</v>
      </c>
      <c r="C92" s="83" t="n">
        <v>0</v>
      </c>
      <c r="D92" s="83" t="n">
        <f aca="false">O_MRV*D44*LevOpex*$B$8*D41</f>
        <v>4800</v>
      </c>
      <c r="E92" s="83" t="n">
        <f aca="false">O_MRV*E44*LevOpex*$B$8*E41</f>
        <v>4944</v>
      </c>
      <c r="F92" s="83" t="n">
        <f aca="false">O_MRV*F44*LevOpex*$B$8*F41</f>
        <v>5092.32</v>
      </c>
      <c r="G92" s="83" t="n">
        <f aca="false">O_MRV*G44*LevOpex*$B$8*G41</f>
        <v>5245.0896</v>
      </c>
      <c r="H92" s="83" t="n">
        <f aca="false">O_MRV*H44*LevOpex*$B$8*H41</f>
        <v>5402.442288</v>
      </c>
      <c r="I92" s="83" t="n">
        <f aca="false">O_MRV*I44*LevOpex*$B$8*I41</f>
        <v>5564.51555664</v>
      </c>
      <c r="J92" s="83" t="n">
        <f aca="false">O_MRV*J44*LevOpex*$B$8*J41</f>
        <v>5731.4510233392</v>
      </c>
      <c r="K92" s="83" t="n">
        <f aca="false">O_MRV*K44*LevOpex*$B$8*K41</f>
        <v>5903.39455403938</v>
      </c>
      <c r="L92" s="83" t="n">
        <f aca="false">O_MRV*L44*LevOpex*$B$8*L41</f>
        <v>6080.49639066056</v>
      </c>
      <c r="M92" s="83" t="n">
        <f aca="false">O_MRV*M44*LevOpex*$B$8*M41</f>
        <v>6262.91128238038</v>
      </c>
      <c r="N92" s="83" t="n">
        <f aca="false">O_MRV*N44*LevOpex*$B$8*N41</f>
        <v>6450.79862085179</v>
      </c>
      <c r="O92" s="83" t="n">
        <f aca="false">O_MRV*O44*LevOpex*$B$8*O41</f>
        <v>6644.32257947734</v>
      </c>
      <c r="P92" s="83" t="n">
        <f aca="false">O_MRV*P44*LevOpex*$B$8*P41</f>
        <v>6843.65225686166</v>
      </c>
      <c r="Q92" s="83" t="n">
        <f aca="false">O_MRV*Q44*LevOpex*$B$8*Q41</f>
        <v>7048.96182456751</v>
      </c>
      <c r="R92" s="83" t="n">
        <f aca="false">O_MRV*R44*LevOpex*$B$8*R41</f>
        <v>7260.43067930454</v>
      </c>
      <c r="S92" s="83" t="n">
        <f aca="false">O_MRV*S44*LevOpex*$B$8*S41</f>
        <v>7478.24359968367</v>
      </c>
      <c r="T92" s="83" t="n">
        <f aca="false">O_MRV*T44*LevOpex*$B$8*T41</f>
        <v>7702.59090767418</v>
      </c>
      <c r="U92" s="83" t="n">
        <f aca="false">O_MRV*U44*LevOpex*$B$8*U41</f>
        <v>7933.66863490441</v>
      </c>
      <c r="V92" s="83" t="n">
        <f aca="false">O_MRV*V44*LevOpex*$B$8*V41</f>
        <v>8171.67869395154</v>
      </c>
      <c r="W92" s="83" t="n">
        <f aca="false">O_MRV*W44*LevOpex*$B$8*W41</f>
        <v>8416.82905477009</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141084.061539258</v>
      </c>
      <c r="C94" s="83" t="n">
        <v>0</v>
      </c>
      <c r="D94" s="83" t="n">
        <f aca="false">D72*O_DieselOM*D44*LevOpex*$B$8</f>
        <v>863.753367272727</v>
      </c>
      <c r="E94" s="83" t="n">
        <f aca="false">E72*O_DieselOM*E44*LevOpex*$B$8</f>
        <v>1298.17092539782</v>
      </c>
      <c r="F94" s="83" t="n">
        <f aca="false">F72*O_DieselOM*F44*LevOpex*$B$8</f>
        <v>1620.2700408877</v>
      </c>
      <c r="G94" s="83" t="n">
        <f aca="false">G72*O_DieselOM*G44*LevOpex*$B$8</f>
        <v>1718.94448637776</v>
      </c>
      <c r="H94" s="83" t="n">
        <f aca="false">H72*O_DieselOM*H44*LevOpex*$B$8</f>
        <v>1823.62820559817</v>
      </c>
      <c r="I94" s="83" t="n">
        <f aca="false">I72*O_DieselOM*I44*LevOpex*$B$8</f>
        <v>1934.6871633191</v>
      </c>
      <c r="J94" s="83" t="n">
        <f aca="false">J72*O_DieselOM*J44*LevOpex*$B$8</f>
        <v>2209.74979836101</v>
      </c>
      <c r="K94" s="83" t="n">
        <f aca="false">K72*O_DieselOM*K44*LevOpex*$B$8</f>
        <v>3004.59179581955</v>
      </c>
      <c r="L94" s="83" t="n">
        <f aca="false">L72*O_DieselOM*L44*LevOpex*$B$8</f>
        <v>3864.24733655655</v>
      </c>
      <c r="M94" s="83" t="n">
        <f aca="false">M72*O_DieselOM*M44*LevOpex*$B$8</f>
        <v>4793.07129584868</v>
      </c>
      <c r="N94" s="83" t="n">
        <f aca="false">N72*O_DieselOM*N44*LevOpex*$B$8</f>
        <v>5795.69389297962</v>
      </c>
      <c r="O94" s="83" t="n">
        <f aca="false">O72*O_DieselOM*O44*LevOpex*$B$8</f>
        <v>6877.0377114729</v>
      </c>
      <c r="P94" s="83" t="n">
        <f aca="false">P72*O_DieselOM*P44*LevOpex*$B$8</f>
        <v>8042.33576211362</v>
      </c>
      <c r="Q94" s="83" t="n">
        <f aca="false">Q72*O_DieselOM*Q44*LevOpex*$B$8</f>
        <v>9297.15065242057</v>
      </c>
      <c r="R94" s="83" t="n">
        <f aca="false">R72*O_DieselOM*R44*LevOpex*$B$8</f>
        <v>10647.3949301107</v>
      </c>
      <c r="S94" s="83" t="n">
        <f aca="false">S72*O_DieselOM*S44*LevOpex*$B$8</f>
        <v>12099.3526722157</v>
      </c>
      <c r="T94" s="83" t="n">
        <f aca="false">T72*O_DieselOM*T44*LevOpex*$B$8</f>
        <v>13659.7023958777</v>
      </c>
      <c r="U94" s="83" t="n">
        <f aca="false">U72*O_DieselOM*U44*LevOpex*$B$8</f>
        <v>15335.541371487</v>
      </c>
      <c r="V94" s="83" t="n">
        <f aca="false">V72*O_DieselOM*V44*LevOpex*$B$8</f>
        <v>17134.4114237385</v>
      </c>
      <c r="W94" s="83" t="n">
        <f aca="false">W72*O_DieselOM*W44*LevOpex*$B$8</f>
        <v>19064.3263114028</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3643915.39233082</v>
      </c>
      <c r="C96" s="27" t="n">
        <f aca="false">C88+C89+C90+C91+C92+C93+C94+C95</f>
        <v>0</v>
      </c>
      <c r="D96" s="27" t="n">
        <f aca="false">D88+D89+D90+D91+D92+D93+D94+D95</f>
        <v>79873.1245477176</v>
      </c>
      <c r="E96" s="27" t="n">
        <f aca="false">E88+E89+E90+E91+E92+E93+E94+E95</f>
        <v>88134.309103959</v>
      </c>
      <c r="F96" s="27" t="n">
        <f aca="false">F88+F89+F90+F91+F92+F93+F94+F95</f>
        <v>94894.5536446006</v>
      </c>
      <c r="G96" s="27" t="n">
        <f aca="false">G88+G89+G90+G91+G92+G93+G94+G95</f>
        <v>98422.4609049494</v>
      </c>
      <c r="H96" s="27" t="n">
        <f aca="false">H88+H89+H90+H91+H92+H93+H94+H95</f>
        <v>102154.231208005</v>
      </c>
      <c r="I96" s="27" t="n">
        <f aca="false">I88+I89+I90+I91+I92+I93+I94+I95</f>
        <v>106045.401595536</v>
      </c>
      <c r="J96" s="27" t="n">
        <f aca="false">J88+J89+J90+J91+J92+J93+J94+J95</f>
        <v>112007.996964291</v>
      </c>
      <c r="K96" s="27" t="n">
        <f aca="false">K88+K89+K90+K91+K92+K93+K94+K95</f>
        <v>124353.945282787</v>
      </c>
      <c r="L96" s="27" t="n">
        <f aca="false">L88+L89+L90+L91+L92+L93+L94+L95</f>
        <v>137576.319295916</v>
      </c>
      <c r="M96" s="27" t="n">
        <f aca="false">M88+M89+M90+M91+M92+M93+M94+M95</f>
        <v>151731.206669177</v>
      </c>
      <c r="N96" s="27" t="n">
        <f aca="false">N88+N89+N90+N91+N92+N93+N94+N95</f>
        <v>166878.16677606</v>
      </c>
      <c r="O96" s="27" t="n">
        <f aca="false">O88+O89+O90+O91+O92+O93+O94+O95</f>
        <v>183080.443172177</v>
      </c>
      <c r="P96" s="27" t="n">
        <f aca="false">P88+P89+P90+P91+P92+P93+P94+P95</f>
        <v>200405.189024778</v>
      </c>
      <c r="Q96" s="27" t="n">
        <f aca="false">Q88+Q89+Q90+Q91+Q92+Q93+Q94+Q95</f>
        <v>218923.706286709</v>
      </c>
      <c r="R96" s="27" t="n">
        <f aca="false">R88+R89+R90+R91+R92+R93+R94+R95</f>
        <v>238711.699451934</v>
      </c>
      <c r="S96" s="27" t="n">
        <f aca="false">S88+S89+S90+S91+S92+S93+S94+S95</f>
        <v>259849.544780692</v>
      </c>
      <c r="T96" s="27" t="n">
        <f aca="false">T88+T89+T90+T91+T92+T93+T94+T95</f>
        <v>282422.575936464</v>
      </c>
      <c r="U96" s="27" t="n">
        <f aca="false">U88+U89+U90+U91+U92+U93+U94+U95</f>
        <v>306521.387034251</v>
      </c>
      <c r="V96" s="27" t="n">
        <f aca="false">V88+V89+V90+V91+V92+V93+V94+V95</f>
        <v>332242.154160589</v>
      </c>
      <c r="W96" s="27" t="n">
        <f aca="false">W88+W89+W90+W91+W92+W93+W94+W95</f>
        <v>359686.976490226</v>
      </c>
    </row>
    <row r="98" customFormat="false" ht="15" hidden="false" customHeight="false" outlineLevel="0" collapsed="false">
      <c r="A98" s="15" t="s">
        <v>436</v>
      </c>
      <c r="B98" s="61" t="n">
        <f aca="false">SUM(C98:W98)</f>
        <v>856324.148383004</v>
      </c>
      <c r="C98" s="27" t="n">
        <f aca="false">C85-C96</f>
        <v>0</v>
      </c>
      <c r="D98" s="27" t="n">
        <f aca="false">D85-D96</f>
        <v>644.262716282436</v>
      </c>
      <c r="E98" s="27" t="n">
        <f aca="false">E85-E96</f>
        <v>25383.3296062426</v>
      </c>
      <c r="F98" s="27" t="n">
        <f aca="false">F85-F96</f>
        <v>44925.4762467557</v>
      </c>
      <c r="G98" s="27" t="n">
        <f aca="false">G85-G96</f>
        <v>48082.5563067905</v>
      </c>
      <c r="H98" s="27" t="n">
        <f aca="false">H85-H96</f>
        <v>53272.9415519296</v>
      </c>
      <c r="I98" s="27" t="n">
        <f aca="false">I85-I96</f>
        <v>58847.2859854793</v>
      </c>
      <c r="J98" s="27" t="n">
        <f aca="false">J85-J96</f>
        <v>62926.6552904078</v>
      </c>
      <c r="K98" s="27" t="n">
        <f aca="false">K85-K96</f>
        <v>61234.2272942235</v>
      </c>
      <c r="L98" s="27" t="n">
        <f aca="false">L85-L96</f>
        <v>59314.1729910338</v>
      </c>
      <c r="M98" s="27" t="n">
        <f aca="false">M85-M96</f>
        <v>57149.916598048</v>
      </c>
      <c r="N98" s="27" t="n">
        <f aca="false">N85-N96</f>
        <v>54723.8168981394</v>
      </c>
      <c r="O98" s="27" t="n">
        <f aca="false">O85-O96</f>
        <v>52017.101307781</v>
      </c>
      <c r="P98" s="27" t="n">
        <f aca="false">P85-P96</f>
        <v>49009.7959140097</v>
      </c>
      <c r="Q98" s="27" t="n">
        <f aca="false">Q85-Q96</f>
        <v>45680.6512348508</v>
      </c>
      <c r="R98" s="27" t="n">
        <f aca="false">R85-R96</f>
        <v>42007.063442689</v>
      </c>
      <c r="S98" s="27" t="n">
        <f aca="false">S85-S96</f>
        <v>37964.9907742126</v>
      </c>
      <c r="T98" s="27" t="n">
        <f aca="false">T85-T96</f>
        <v>33528.864833735</v>
      </c>
      <c r="U98" s="27" t="n">
        <f aca="false">U85-U96</f>
        <v>28671.4964788532</v>
      </c>
      <c r="V98" s="27" t="n">
        <f aca="false">V85-V96</f>
        <v>23363.9759584632</v>
      </c>
      <c r="W98" s="27" t="n">
        <f aca="false">W85-W96</f>
        <v>17575.5669530766</v>
      </c>
    </row>
    <row r="99" customFormat="false" ht="15" hidden="false" customHeight="false" outlineLevel="0" collapsed="false">
      <c r="A99" s="10" t="s">
        <v>437</v>
      </c>
      <c r="C99" s="81" t="n">
        <v>0</v>
      </c>
      <c r="D99" s="81" t="n">
        <f aca="false">IFERROR(D98/D85,0)</f>
        <v>0.00800153529783611</v>
      </c>
      <c r="E99" s="81" t="n">
        <f aca="false">IFERROR(E98/E85,0)</f>
        <v>0.223606920427966</v>
      </c>
      <c r="F99" s="81" t="n">
        <f aca="false">IFERROR(F98/F85,0)</f>
        <v>0.321309302262801</v>
      </c>
      <c r="G99" s="81" t="n">
        <f aca="false">IFERROR(G98/G85,0)</f>
        <v>0.328197335640035</v>
      </c>
      <c r="H99" s="81" t="n">
        <f aca="false">IFERROR(H98/H85,0)</f>
        <v>0.34275178918819</v>
      </c>
      <c r="I99" s="81" t="n">
        <f aca="false">IFERROR(I98/I85,0)</f>
        <v>0.356882326613583</v>
      </c>
      <c r="J99" s="81" t="n">
        <f aca="false">IFERROR(J98/J85,0)</f>
        <v>0.359715210676435</v>
      </c>
      <c r="K99" s="81" t="n">
        <f aca="false">IFERROR(K98/K85,0)</f>
        <v>0.329946819584175</v>
      </c>
      <c r="L99" s="81" t="n">
        <f aca="false">IFERROR(L98/L85,0)</f>
        <v>0.301254632979376</v>
      </c>
      <c r="M99" s="81" t="n">
        <f aca="false">IFERROR(M98/M85,0)</f>
        <v>0.273600197586716</v>
      </c>
      <c r="N99" s="81" t="n">
        <f aca="false">IFERROR(N98/N85,0)</f>
        <v>0.246946421646634</v>
      </c>
      <c r="O99" s="81" t="n">
        <f aca="false">IFERROR(O98/O85,0)</f>
        <v>0.221257527052629</v>
      </c>
      <c r="P99" s="81" t="n">
        <f aca="false">IFERROR(P98/P85,0)</f>
        <v>0.19649900316149</v>
      </c>
      <c r="Q99" s="81" t="n">
        <f aca="false">IFERROR(Q98/Q85,0)</f>
        <v>0.172637562218259</v>
      </c>
      <c r="R99" s="81" t="n">
        <f aca="false">IFERROR(R98/R85,0)</f>
        <v>0.149641096339748</v>
      </c>
      <c r="S99" s="81" t="n">
        <f aca="false">IFERROR(S98/S85,0)</f>
        <v>0.12747863600235</v>
      </c>
      <c r="T99" s="81" t="n">
        <f aca="false">IFERROR(T98/T85,0)</f>
        <v>0.106120309981816</v>
      </c>
      <c r="U99" s="81" t="n">
        <f aca="false">IFERROR(U98/U85,0)</f>
        <v>0.0855373066944373</v>
      </c>
      <c r="V99" s="81" t="n">
        <f aca="false">IFERROR(V98/V85,0)</f>
        <v>0.0657018368908356</v>
      </c>
      <c r="W99" s="81" t="n">
        <f aca="false">IFERROR(W98/W85,0)</f>
        <v>0.046587097655291</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S_Opex_Hi!$B$14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S_Opex_Hi!$B$16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IF(AND(D39&gt;SenGrace,D39&lt;=SenTenor),PMT(SenRate*$B$11,SenTenor-SenGrace,-S_Opex_Hi!$B$16)-D114,0)</f>
        <v>0</v>
      </c>
      <c r="E115" s="83" t="n">
        <f aca="false">IF(AND(E39&gt;SenGrace,E39&lt;=SenTenor),PMT(SenRate*$B$11,SenTenor-SenGrace,-S_Opex_Hi!$B$16)-E114,0)</f>
        <v>0</v>
      </c>
      <c r="F115" s="83" t="n">
        <f aca="false">IF(AND(F39&gt;SenGrace,F39&lt;=SenTenor),PMT(SenRate*$B$11,SenTenor-SenGrace,-S_Opex_Hi!$B$16)-F114,0)</f>
        <v>9671.48769410162</v>
      </c>
      <c r="G115" s="83" t="n">
        <f aca="false">IF(AND(G39&gt;SenGrace,G39&lt;=SenTenor),PMT(SenRate*$B$11,SenTenor-SenGrace,-S_Opex_Hi!$B$16)-G114,0)</f>
        <v>10638.6364635118</v>
      </c>
      <c r="H115" s="83" t="n">
        <f aca="false">IF(AND(H39&gt;SenGrace,H39&lt;=SenTenor),PMT(SenRate*$B$11,SenTenor-SenGrace,-S_Opex_Hi!$B$16)-H114,0)</f>
        <v>11702.500109863</v>
      </c>
      <c r="I115" s="83" t="n">
        <f aca="false">IF(AND(I39&gt;SenGrace,I39&lt;=SenTenor),PMT(SenRate*$B$11,SenTenor-SenGrace,-S_Opex_Hi!$B$16)-I114,0)</f>
        <v>12872.7501208493</v>
      </c>
      <c r="J115" s="83" t="n">
        <f aca="false">IF(AND(J39&gt;SenGrace,J39&lt;=SenTenor),PMT(SenRate*$B$11,SenTenor-SenGrace,-S_Opex_Hi!$B$16)-J114,0)</f>
        <v>14160.0251329342</v>
      </c>
      <c r="K115" s="83" t="n">
        <f aca="false">IF(AND(K39&gt;SenGrace,K39&lt;=SenTenor),PMT(SenRate*$B$11,SenTenor-SenGrace,-S_Opex_Hi!$B$16)-K114,0)</f>
        <v>15576.0276462276</v>
      </c>
      <c r="L115" s="83" t="n">
        <f aca="false">IF(AND(L39&gt;SenGrace,L39&lt;=SenTenor),PMT(SenRate*$B$11,SenTenor-SenGrace,-S_Opex_Hi!$B$16)-L114,0)</f>
        <v>17133.6304108504</v>
      </c>
      <c r="M115" s="83" t="n">
        <f aca="false">IF(AND(M39&gt;SenGrace,M39&lt;=SenTenor),PMT(SenRate*$B$11,SenTenor-SenGrace,-S_Opex_Hi!$B$16)-M114,0)</f>
        <v>18846.9934519354</v>
      </c>
      <c r="N115" s="83" t="n">
        <f aca="false">IF(AND(N39&gt;SenGrace,N39&lt;=SenTenor),PMT(SenRate*$B$11,SenTenor-SenGrace,-S_Opex_Hi!$B$16)-N114,0)</f>
        <v>0</v>
      </c>
      <c r="O115" s="83" t="n">
        <f aca="false">IF(AND(O39&gt;SenGrace,O39&lt;=SenTenor),PMT(SenRate*$B$11,SenTenor-SenGrace,-S_Opex_Hi!$B$16)-O114,0)</f>
        <v>0</v>
      </c>
      <c r="P115" s="83" t="n">
        <f aca="false">IF(AND(P39&gt;SenGrace,P39&lt;=SenTenor),PMT(SenRate*$B$11,SenTenor-SenGrace,-S_Opex_Hi!$B$16)-P114,0)</f>
        <v>0</v>
      </c>
      <c r="Q115" s="83" t="n">
        <f aca="false">IF(AND(Q39&gt;SenGrace,Q39&lt;=SenTenor),PMT(SenRate*$B$11,SenTenor-SenGrace,-S_Opex_Hi!$B$16)-Q114,0)</f>
        <v>0</v>
      </c>
      <c r="R115" s="83" t="n">
        <f aca="false">IF(AND(R39&gt;SenGrace,R39&lt;=SenTenor),PMT(SenRate*$B$11,SenTenor-SenGrace,-S_Opex_Hi!$B$16)-R114,0)</f>
        <v>0</v>
      </c>
      <c r="S115" s="83" t="n">
        <f aca="false">IF(AND(S39&gt;SenGrace,S39&lt;=SenTenor),PMT(SenRate*$B$11,SenTenor-SenGrace,-S_Opex_Hi!$B$16)-S114,0)</f>
        <v>0</v>
      </c>
      <c r="T115" s="83" t="n">
        <f aca="false">IF(AND(T39&gt;SenGrace,T39&lt;=SenTenor),PMT(SenRate*$B$11,SenTenor-SenGrace,-S_Opex_Hi!$B$16)-T114,0)</f>
        <v>0</v>
      </c>
      <c r="U115" s="83" t="n">
        <f aca="false">IF(AND(U39&gt;SenGrace,U39&lt;=SenTenor),PMT(SenRate*$B$11,SenTenor-SenGrace,-S_Opex_Hi!$B$16)-U114,0)</f>
        <v>0</v>
      </c>
      <c r="V115" s="83" t="n">
        <f aca="false">IF(AND(V39&gt;SenGrace,V39&lt;=SenTenor),PMT(SenRate*$B$11,SenTenor-SenGrace,-S_Opex_Hi!$B$16)-V114,0)</f>
        <v>0</v>
      </c>
      <c r="W115" s="83" t="n">
        <f aca="false">IF(AND(W39&gt;SenGrace,W39&lt;=SenTenor),PMT(SenRate*$B$11,SenTenor-SenGrace,-S_Opex_Hi!$B$16)-W114,0)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S_Opex_Hi!$B$17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IF(AND(D39&gt;ConGrace,D39&lt;=ConTenor),PMT(ConRate*$B$11,ConTenor-ConGrace,-S_Opex_Hi!$B$17)-D121,0)</f>
        <v>0</v>
      </c>
      <c r="E122" s="83" t="n">
        <f aca="false">IF(AND(E39&gt;ConGrace,E39&lt;=ConTenor),PMT(ConRate*$B$11,ConTenor-ConGrace,-S_Opex_Hi!$B$17)-E121,0)</f>
        <v>0</v>
      </c>
      <c r="F122" s="83" t="n">
        <f aca="false">IF(AND(F39&gt;ConGrace,F39&lt;=ConTenor),PMT(ConRate*$B$11,ConTenor-ConGrace,-S_Opex_Hi!$B$17)-F121,0)</f>
        <v>0</v>
      </c>
      <c r="G122" s="83" t="n">
        <f aca="false">IF(AND(G39&gt;ConGrace,G39&lt;=ConTenor),PMT(ConRate*$B$11,ConTenor-ConGrace,-S_Opex_Hi!$B$17)-G121,0)</f>
        <v>0</v>
      </c>
      <c r="H122" s="83" t="n">
        <f aca="false">IF(AND(H39&gt;ConGrace,H39&lt;=ConTenor),PMT(ConRate*$B$11,ConTenor-ConGrace,-S_Opex_Hi!$B$17)-H121,0)</f>
        <v>0</v>
      </c>
      <c r="I122" s="83" t="n">
        <f aca="false">IF(AND(I39&gt;ConGrace,I39&lt;=ConTenor),PMT(ConRate*$B$11,ConTenor-ConGrace,-S_Opex_Hi!$B$17)-I121,0)</f>
        <v>9647.87294294044</v>
      </c>
      <c r="J122" s="83" t="n">
        <f aca="false">IF(AND(J39&gt;ConGrace,J39&lt;=ConTenor),PMT(ConRate*$B$11,ConTenor-ConGrace,-S_Opex_Hi!$B$17)-J121,0)</f>
        <v>9937.30913122865</v>
      </c>
      <c r="K122" s="83" t="n">
        <f aca="false">IF(AND(K39&gt;ConGrace,K39&lt;=ConTenor),PMT(ConRate*$B$11,ConTenor-ConGrace,-S_Opex_Hi!$B$17)-K121,0)</f>
        <v>10235.4284051655</v>
      </c>
      <c r="L122" s="83" t="n">
        <f aca="false">IF(AND(L39&gt;ConGrace,L39&lt;=ConTenor),PMT(ConRate*$B$11,ConTenor-ConGrace,-S_Opex_Hi!$B$17)-L121,0)</f>
        <v>10542.4912573205</v>
      </c>
      <c r="M122" s="83" t="n">
        <f aca="false">IF(AND(M39&gt;ConGrace,M39&lt;=ConTenor),PMT(ConRate*$B$11,ConTenor-ConGrace,-S_Opex_Hi!$B$17)-M121,0)</f>
        <v>10858.7659950401</v>
      </c>
      <c r="N122" s="83" t="n">
        <f aca="false">IF(AND(N39&gt;ConGrace,N39&lt;=ConTenor),PMT(ConRate*$B$11,ConTenor-ConGrace,-S_Opex_Hi!$B$17)-N121,0)</f>
        <v>11184.5289748913</v>
      </c>
      <c r="O122" s="83" t="n">
        <f aca="false">IF(AND(O39&gt;ConGrace,O39&lt;=ConTenor),PMT(ConRate*$B$11,ConTenor-ConGrace,-S_Opex_Hi!$B$17)-O121,0)</f>
        <v>11520.064844138</v>
      </c>
      <c r="P122" s="83" t="n">
        <f aca="false">IF(AND(P39&gt;ConGrace,P39&lt;=ConTenor),PMT(ConRate*$B$11,ConTenor-ConGrace,-S_Opex_Hi!$B$17)-P121,0)</f>
        <v>11865.6667894622</v>
      </c>
      <c r="Q122" s="83" t="n">
        <f aca="false">IF(AND(Q39&gt;ConGrace,Q39&lt;=ConTenor),PMT(ConRate*$B$11,ConTenor-ConGrace,-S_Opex_Hi!$B$17)-Q121,0)</f>
        <v>12221.636793146</v>
      </c>
      <c r="R122" s="83" t="n">
        <f aca="false">IF(AND(R39&gt;ConGrace,R39&lt;=ConTenor),PMT(ConRate*$B$11,ConTenor-ConGrace,-S_Opex_Hi!$B$17)-R121,0)</f>
        <v>12588.2858969404</v>
      </c>
      <c r="S122" s="83" t="n">
        <f aca="false">IF(AND(S39&gt;ConGrace,S39&lt;=ConTenor),PMT(ConRate*$B$11,ConTenor-ConGrace,-S_Opex_Hi!$B$17)-S121,0)</f>
        <v>0</v>
      </c>
      <c r="T122" s="83" t="n">
        <f aca="false">IF(AND(T39&gt;ConGrace,T39&lt;=ConTenor),PMT(ConRate*$B$11,ConTenor-ConGrace,-S_Opex_Hi!$B$17)-T121,0)</f>
        <v>0</v>
      </c>
      <c r="U122" s="83" t="n">
        <f aca="false">IF(AND(U39&gt;ConGrace,U39&lt;=ConTenor),PMT(ConRate*$B$11,ConTenor-ConGrace,-S_Opex_Hi!$B$17)-U121,0)</f>
        <v>0</v>
      </c>
      <c r="V122" s="83" t="n">
        <f aca="false">IF(AND(V39&gt;ConGrace,V39&lt;=ConTenor),PMT(ConRate*$B$11,ConTenor-ConGrace,-S_Opex_Hi!$B$17)-V121,0)</f>
        <v>0</v>
      </c>
      <c r="W122" s="83" t="n">
        <f aca="false">IF(AND(W39&gt;ConGrace,W39&lt;=ConTenor),PMT(ConRate*$B$11,ConTenor-ConGrace,-S_Opex_Hi!$B$17)-W121,0)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975329.638561647</v>
      </c>
      <c r="E127" s="83" t="n">
        <f aca="false">IF(E126&gt;0,(E147/MinDSCR-E121-E122)/E126,1000000000000)</f>
        <v>487168.614638264</v>
      </c>
      <c r="F127" s="83" t="n">
        <f aca="false">IF(F126&gt;0,(F147/MinDSCR-F121-F122)/F126,1000000000000)</f>
        <v>236682.221955717</v>
      </c>
      <c r="G127" s="83" t="n">
        <f aca="false">IF(G126&gt;0,(G147/MinDSCR-G121-G122)/G126,1000000000000)</f>
        <v>94514.9749098979</v>
      </c>
      <c r="H127" s="83" t="n">
        <f aca="false">IF(H126&gt;0,(H147/MinDSCR-H121-H122)/H126,1000000000000)</f>
        <v>115815.22277259</v>
      </c>
      <c r="I127" s="83" t="n">
        <f aca="false">IF(I126&gt;0,(I147/MinDSCR-I121-I122)/I126,1000000000000)</f>
        <v>87220.4681588591</v>
      </c>
      <c r="J127" s="83" t="n">
        <f aca="false">IF(J126&gt;0,(J147/MinDSCR-J121-J122)/J126,1000000000000)</f>
        <v>103961.340601769</v>
      </c>
      <c r="K127" s="83" t="n">
        <f aca="false">IF(K126&gt;0,(K147/MinDSCR-K121-K122)/K126,1000000000000)</f>
        <v>97015.9725595323</v>
      </c>
      <c r="L127" s="83" t="n">
        <f aca="false">IF(L126&gt;0,(L147/MinDSCR-L121-L122)/L126,1000000000000)</f>
        <v>66433.2475371284</v>
      </c>
      <c r="M127" s="83" t="n">
        <f aca="false">IF(M126&gt;0,(M147/MinDSCR-M121-M122)/M126,1000000000000)</f>
        <v>57551.5951294989</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IF(D39&lt;=MIN(DepYears,Life),S_Opex_Hi!$B$14/DepYears,0)</f>
        <v>76867.3503434244</v>
      </c>
      <c r="E132" s="83" t="n">
        <f aca="false">IF(E39&lt;=MIN(DepYears,Life),S_Opex_Hi!$B$14/DepYears,0)</f>
        <v>76867.3503434244</v>
      </c>
      <c r="F132" s="83" t="n">
        <f aca="false">IF(F39&lt;=MIN(DepYears,Life),S_Opex_Hi!$B$14/DepYears,0)</f>
        <v>76867.3503434244</v>
      </c>
      <c r="G132" s="83" t="n">
        <f aca="false">IF(G39&lt;=MIN(DepYears,Life),S_Opex_Hi!$B$14/DepYears,0)</f>
        <v>76867.3503434244</v>
      </c>
      <c r="H132" s="83" t="n">
        <f aca="false">IF(H39&lt;=MIN(DepYears,Life),S_Opex_Hi!$B$14/DepYears,0)</f>
        <v>76867.3503434244</v>
      </c>
      <c r="I132" s="83" t="n">
        <f aca="false">IF(I39&lt;=MIN(DepYears,Life),S_Opex_Hi!$B$14/DepYears,0)</f>
        <v>76867.3503434244</v>
      </c>
      <c r="J132" s="83" t="n">
        <f aca="false">IF(J39&lt;=MIN(DepYears,Life),S_Opex_Hi!$B$14/DepYears,0)</f>
        <v>76867.3503434244</v>
      </c>
      <c r="K132" s="83" t="n">
        <f aca="false">IF(K39&lt;=MIN(DepYears,Life),S_Opex_Hi!$B$14/DepYears,0)</f>
        <v>76867.3503434244</v>
      </c>
      <c r="L132" s="83" t="n">
        <f aca="false">IF(L39&lt;=MIN(DepYears,Life),S_Opex_Hi!$B$14/DepYears,0)</f>
        <v>76867.3503434244</v>
      </c>
      <c r="M132" s="83" t="n">
        <f aca="false">IF(M39&lt;=MIN(DepYears,Life),S_Opex_Hi!$B$14/DepYears,0)</f>
        <v>76867.3503434244</v>
      </c>
      <c r="N132" s="83" t="n">
        <f aca="false">IF(N39&lt;=MIN(DepYears,Life),S_Opex_Hi!$B$14/DepYears,0)</f>
        <v>76867.3503434244</v>
      </c>
      <c r="O132" s="83" t="n">
        <f aca="false">IF(O39&lt;=MIN(DepYears,Life),S_Opex_Hi!$B$14/DepYears,0)</f>
        <v>76867.3503434244</v>
      </c>
      <c r="P132" s="83" t="n">
        <f aca="false">IF(P39&lt;=MIN(DepYears,Life),S_Opex_Hi!$B$14/DepYears,0)</f>
        <v>76867.3503434244</v>
      </c>
      <c r="Q132" s="83" t="n">
        <f aca="false">IF(Q39&lt;=MIN(DepYears,Life),S_Opex_Hi!$B$14/DepYears,0)</f>
        <v>76867.3503434244</v>
      </c>
      <c r="R132" s="83" t="n">
        <f aca="false">IF(R39&lt;=MIN(DepYears,Life),S_Opex_Hi!$B$14/DepYears,0)</f>
        <v>76867.3503434244</v>
      </c>
      <c r="S132" s="83" t="n">
        <f aca="false">IF(S39&lt;=MIN(DepYears,Life),S_Opex_Hi!$B$14/DepYears,0)</f>
        <v>0</v>
      </c>
      <c r="T132" s="83" t="n">
        <f aca="false">IF(T39&lt;=MIN(DepYears,Life),S_Opex_Hi!$B$14/DepYears,0)</f>
        <v>0</v>
      </c>
      <c r="U132" s="83" t="n">
        <f aca="false">IF(U39&lt;=MIN(DepYears,Life),S_Opex_Hi!$B$14/DepYears,0)</f>
        <v>0</v>
      </c>
      <c r="V132" s="83" t="n">
        <f aca="false">IF(V39&lt;=MIN(DepYears,Life),S_Opex_Hi!$B$14/DepYears,0)</f>
        <v>0</v>
      </c>
      <c r="W132" s="83" t="n">
        <f aca="false">IF(W39&lt;=MIN(DepYears,Life),S_Opex_Hi!$B$14/DepYears,0)</f>
        <v>0</v>
      </c>
    </row>
    <row r="133" customFormat="false" ht="15" hidden="false" customHeight="false" outlineLevel="0" collapsed="false">
      <c r="A133" s="10" t="s">
        <v>460</v>
      </c>
      <c r="B133" s="61" t="n">
        <f aca="false">SUM(C133:W133)</f>
        <v>-296686.106768362</v>
      </c>
      <c r="C133" s="83" t="n">
        <v>0</v>
      </c>
      <c r="D133" s="83" t="n">
        <f aca="false">D98-D132</f>
        <v>-76223.0876271419</v>
      </c>
      <c r="E133" s="83" t="n">
        <f aca="false">E98-E132</f>
        <v>-51484.0207371818</v>
      </c>
      <c r="F133" s="83" t="n">
        <f aca="false">F98-F132</f>
        <v>-31941.8740966686</v>
      </c>
      <c r="G133" s="83" t="n">
        <f aca="false">G98-G132</f>
        <v>-28784.7940366339</v>
      </c>
      <c r="H133" s="83" t="n">
        <f aca="false">H98-H132</f>
        <v>-23594.4087914948</v>
      </c>
      <c r="I133" s="83" t="n">
        <f aca="false">I98-I132</f>
        <v>-18020.064357945</v>
      </c>
      <c r="J133" s="83" t="n">
        <f aca="false">J98-J132</f>
        <v>-13940.6950530165</v>
      </c>
      <c r="K133" s="83" t="n">
        <f aca="false">K98-K132</f>
        <v>-15633.1230492009</v>
      </c>
      <c r="L133" s="83" t="n">
        <f aca="false">L98-L132</f>
        <v>-17553.1773523905</v>
      </c>
      <c r="M133" s="83" t="n">
        <f aca="false">M98-M132</f>
        <v>-19717.4337453764</v>
      </c>
      <c r="N133" s="83" t="n">
        <f aca="false">N98-N132</f>
        <v>-22143.533445285</v>
      </c>
      <c r="O133" s="83" t="n">
        <f aca="false">O98-O132</f>
        <v>-24850.2490356433</v>
      </c>
      <c r="P133" s="83" t="n">
        <f aca="false">P98-P132</f>
        <v>-27857.5544294146</v>
      </c>
      <c r="Q133" s="83" t="n">
        <f aca="false">Q98-Q132</f>
        <v>-31186.6991085736</v>
      </c>
      <c r="R133" s="83" t="n">
        <f aca="false">R98-R132</f>
        <v>-34860.2869007353</v>
      </c>
      <c r="S133" s="83" t="n">
        <f aca="false">S98-S132</f>
        <v>37964.9907742126</v>
      </c>
      <c r="T133" s="83" t="n">
        <f aca="false">T98-T132</f>
        <v>33528.864833735</v>
      </c>
      <c r="U133" s="83" t="n">
        <f aca="false">U98-U132</f>
        <v>28671.4964788532</v>
      </c>
      <c r="V133" s="83" t="n">
        <f aca="false">V98-V132</f>
        <v>23363.9759584632</v>
      </c>
      <c r="W133" s="83" t="n">
        <f aca="false">W98-W132</f>
        <v>17575.5669530766</v>
      </c>
    </row>
    <row r="134" customFormat="false" ht="15" hidden="false" customHeight="false" outlineLevel="0" collapsed="false">
      <c r="A134" s="10" t="s">
        <v>461</v>
      </c>
      <c r="C134" s="83" t="n">
        <v>0</v>
      </c>
      <c r="D134" s="83" t="n">
        <f aca="false">0</f>
        <v>0</v>
      </c>
      <c r="E134" s="83" t="n">
        <f aca="false">D136</f>
        <v>76223.0876271419</v>
      </c>
      <c r="F134" s="83" t="n">
        <f aca="false">E136</f>
        <v>127707.108364324</v>
      </c>
      <c r="G134" s="83" t="n">
        <f aca="false">F136</f>
        <v>159648.982460992</v>
      </c>
      <c r="H134" s="83" t="n">
        <f aca="false">G136</f>
        <v>188433.776497626</v>
      </c>
      <c r="I134" s="83" t="n">
        <f aca="false">H136</f>
        <v>212028.185289121</v>
      </c>
      <c r="J134" s="83" t="n">
        <f aca="false">I136</f>
        <v>230048.249647066</v>
      </c>
      <c r="K134" s="83" t="n">
        <f aca="false">J136</f>
        <v>243988.944700083</v>
      </c>
      <c r="L134" s="83" t="n">
        <f aca="false">K136</f>
        <v>259622.067749283</v>
      </c>
      <c r="M134" s="83" t="n">
        <f aca="false">L136</f>
        <v>277175.245101674</v>
      </c>
      <c r="N134" s="83" t="n">
        <f aca="false">M136</f>
        <v>296892.67884705</v>
      </c>
      <c r="O134" s="83" t="n">
        <f aca="false">N136</f>
        <v>319036.212292335</v>
      </c>
      <c r="P134" s="83" t="n">
        <f aca="false">O136</f>
        <v>343886.461327979</v>
      </c>
      <c r="Q134" s="83" t="n">
        <f aca="false">P136</f>
        <v>371744.015757393</v>
      </c>
      <c r="R134" s="83" t="n">
        <f aca="false">Q136</f>
        <v>402930.714865967</v>
      </c>
      <c r="S134" s="83" t="n">
        <f aca="false">R136</f>
        <v>437791.001766702</v>
      </c>
      <c r="T134" s="83" t="n">
        <f aca="false">S136</f>
        <v>399826.01099249</v>
      </c>
      <c r="U134" s="83" t="n">
        <f aca="false">T136</f>
        <v>366297.146158755</v>
      </c>
      <c r="V134" s="83" t="n">
        <f aca="false">U136</f>
        <v>337625.649679901</v>
      </c>
      <c r="W134" s="83" t="n">
        <f aca="false">V136</f>
        <v>314261.673721438</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37964.9907742126</v>
      </c>
      <c r="T135" s="83" t="n">
        <f aca="false">MIN(T134,MAX(T133,0))</f>
        <v>33528.864833735</v>
      </c>
      <c r="U135" s="83" t="n">
        <f aca="false">MIN(U134,MAX(U133,0))</f>
        <v>28671.4964788532</v>
      </c>
      <c r="V135" s="83" t="n">
        <f aca="false">MIN(V134,MAX(V133,0))</f>
        <v>23363.9759584632</v>
      </c>
      <c r="W135" s="83" t="n">
        <f aca="false">MIN(W134,MAX(W133,0))</f>
        <v>17575.5669530766</v>
      </c>
    </row>
    <row r="136" customFormat="false" ht="15" hidden="false" customHeight="false" outlineLevel="0" collapsed="false">
      <c r="A136" s="10" t="s">
        <v>463</v>
      </c>
      <c r="C136" s="83" t="n">
        <v>0</v>
      </c>
      <c r="D136" s="83" t="n">
        <f aca="false">D134-D135+MAX(-D133,0)</f>
        <v>76223.0876271419</v>
      </c>
      <c r="E136" s="83" t="n">
        <f aca="false">E134-E135+MAX(-E133,0)</f>
        <v>127707.108364324</v>
      </c>
      <c r="F136" s="83" t="n">
        <f aca="false">F134-F135+MAX(-F133,0)</f>
        <v>159648.982460992</v>
      </c>
      <c r="G136" s="83" t="n">
        <f aca="false">G134-G135+MAX(-G133,0)</f>
        <v>188433.776497626</v>
      </c>
      <c r="H136" s="83" t="n">
        <f aca="false">H134-H135+MAX(-H133,0)</f>
        <v>212028.185289121</v>
      </c>
      <c r="I136" s="83" t="n">
        <f aca="false">I134-I135+MAX(-I133,0)</f>
        <v>230048.249647066</v>
      </c>
      <c r="J136" s="83" t="n">
        <f aca="false">J134-J135+MAX(-J133,0)</f>
        <v>243988.944700083</v>
      </c>
      <c r="K136" s="83" t="n">
        <f aca="false">K134-K135+MAX(-K133,0)</f>
        <v>259622.067749283</v>
      </c>
      <c r="L136" s="83" t="n">
        <f aca="false">L134-L135+MAX(-L133,0)</f>
        <v>277175.245101674</v>
      </c>
      <c r="M136" s="83" t="n">
        <f aca="false">M134-M135+MAX(-M133,0)</f>
        <v>296892.67884705</v>
      </c>
      <c r="N136" s="83" t="n">
        <f aca="false">N134-N135+MAX(-N133,0)</f>
        <v>319036.212292335</v>
      </c>
      <c r="O136" s="83" t="n">
        <f aca="false">O134-O135+MAX(-O133,0)</f>
        <v>343886.461327979</v>
      </c>
      <c r="P136" s="83" t="n">
        <f aca="false">P134-P135+MAX(-P133,0)</f>
        <v>371744.015757393</v>
      </c>
      <c r="Q136" s="83" t="n">
        <f aca="false">Q134-Q135+MAX(-Q133,0)</f>
        <v>402930.714865967</v>
      </c>
      <c r="R136" s="83" t="n">
        <f aca="false">R134-R135+MAX(-R133,0)</f>
        <v>437791.001766702</v>
      </c>
      <c r="S136" s="83" t="n">
        <f aca="false">S134-S135+MAX(-S133,0)</f>
        <v>399826.01099249</v>
      </c>
      <c r="T136" s="83" t="n">
        <f aca="false">T134-T135+MAX(-T133,0)</f>
        <v>366297.146158755</v>
      </c>
      <c r="U136" s="83" t="n">
        <f aca="false">U134-U135+MAX(-U133,0)</f>
        <v>337625.649679901</v>
      </c>
      <c r="V136" s="83" t="n">
        <f aca="false">V134-V135+MAX(-V133,0)</f>
        <v>314261.673721438</v>
      </c>
      <c r="W136" s="83" t="n">
        <f aca="false">W134-W135+MAX(-W133,0)</f>
        <v>296686.106768362</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-409705.609683929</v>
      </c>
      <c r="C138" s="83" t="n">
        <v>0</v>
      </c>
      <c r="D138" s="83" t="n">
        <f aca="false">D98-D132-D114-D121</f>
        <v>-90601.3542610774</v>
      </c>
      <c r="E138" s="83" t="n">
        <f aca="false">E98-E132-E114-E121</f>
        <v>-65862.2873711173</v>
      </c>
      <c r="F138" s="83" t="n">
        <f aca="false">F98-F132-F114-F121</f>
        <v>-46320.1407306041</v>
      </c>
      <c r="G138" s="83" t="n">
        <f aca="false">G98-G132-G114-G121</f>
        <v>-42195.9119011592</v>
      </c>
      <c r="H138" s="83" t="n">
        <f aca="false">H98-H132-H114-H121</f>
        <v>-35941.6630096689</v>
      </c>
      <c r="I138" s="83" t="n">
        <f aca="false">I98-I132-I114-I121</f>
        <v>-29197.0685651329</v>
      </c>
      <c r="J138" s="83" t="n">
        <f aca="false">J98-J132-J114-J121</f>
        <v>-23540.9880598313</v>
      </c>
      <c r="K138" s="83" t="n">
        <f aca="false">K98-K132-K114-K121</f>
        <v>-23519.2942687853</v>
      </c>
      <c r="L138" s="83" t="n">
        <f aca="false">L98-L132-L114-L121</f>
        <v>-23574.6829551973</v>
      </c>
      <c r="M138" s="83" t="n">
        <f aca="false">M98-M132-M114-M121</f>
        <v>-23709.3015693784</v>
      </c>
      <c r="N138" s="83" t="n">
        <f aca="false">N98-N132-N114-N121</f>
        <v>-23924.9389442423</v>
      </c>
      <c r="O138" s="83" t="n">
        <f aca="false">O98-O132-O114-O121</f>
        <v>-26296.1186653539</v>
      </c>
      <c r="P138" s="83" t="n">
        <f aca="false">P98-P132-P114-P121</f>
        <v>-28957.8221138011</v>
      </c>
      <c r="Q138" s="83" t="n">
        <f aca="false">Q98-Q132-Q114-Q121</f>
        <v>-31930.9967892762</v>
      </c>
      <c r="R138" s="83" t="n">
        <f aca="false">R98-R132-R114-R121</f>
        <v>-35237.9354776436</v>
      </c>
      <c r="S138" s="83" t="n">
        <f aca="false">S98-S132-S114-S121</f>
        <v>37964.9907742126</v>
      </c>
      <c r="T138" s="83" t="n">
        <f aca="false">T98-T132-T114-T121</f>
        <v>33528.864833735</v>
      </c>
      <c r="U138" s="83" t="n">
        <f aca="false">U98-U132-U114-U121</f>
        <v>28671.4964788532</v>
      </c>
      <c r="V138" s="83" t="n">
        <f aca="false">V98-V132-V114-V121</f>
        <v>23363.9759584632</v>
      </c>
      <c r="W138" s="83" t="n">
        <f aca="false">W98-W132-W114-W121</f>
        <v>17575.5669530766</v>
      </c>
    </row>
    <row r="139" customFormat="false" ht="15" hidden="false" customHeight="false" outlineLevel="0" collapsed="false">
      <c r="A139" s="10" t="s">
        <v>461</v>
      </c>
      <c r="C139" s="83" t="n">
        <v>0</v>
      </c>
      <c r="D139" s="83" t="n">
        <f aca="false">0</f>
        <v>0</v>
      </c>
      <c r="E139" s="83" t="n">
        <f aca="false">D141</f>
        <v>90601.3542610774</v>
      </c>
      <c r="F139" s="83" t="n">
        <f aca="false">E141</f>
        <v>156463.641632195</v>
      </c>
      <c r="G139" s="83" t="n">
        <f aca="false">F141</f>
        <v>202783.782362799</v>
      </c>
      <c r="H139" s="83" t="n">
        <f aca="false">G141</f>
        <v>244979.694263958</v>
      </c>
      <c r="I139" s="83" t="n">
        <f aca="false">H141</f>
        <v>280921.357273627</v>
      </c>
      <c r="J139" s="83" t="n">
        <f aca="false">I141</f>
        <v>310118.42583876</v>
      </c>
      <c r="K139" s="83" t="n">
        <f aca="false">J141</f>
        <v>333659.413898591</v>
      </c>
      <c r="L139" s="83" t="n">
        <f aca="false">K141</f>
        <v>357178.708167376</v>
      </c>
      <c r="M139" s="83" t="n">
        <f aca="false">L141</f>
        <v>380753.391122574</v>
      </c>
      <c r="N139" s="83" t="n">
        <f aca="false">M141</f>
        <v>404462.692691952</v>
      </c>
      <c r="O139" s="83" t="n">
        <f aca="false">N141</f>
        <v>428387.631636195</v>
      </c>
      <c r="P139" s="83" t="n">
        <f aca="false">O141</f>
        <v>454683.750301548</v>
      </c>
      <c r="Q139" s="83" t="n">
        <f aca="false">P141</f>
        <v>483641.57241535</v>
      </c>
      <c r="R139" s="83" t="n">
        <f aca="false">Q141</f>
        <v>515572.569204626</v>
      </c>
      <c r="S139" s="83" t="n">
        <f aca="false">R141</f>
        <v>550810.504682269</v>
      </c>
      <c r="T139" s="83" t="n">
        <f aca="false">S141</f>
        <v>512845.513908057</v>
      </c>
      <c r="U139" s="83" t="n">
        <f aca="false">T141</f>
        <v>479316.649074322</v>
      </c>
      <c r="V139" s="83" t="n">
        <f aca="false">U141</f>
        <v>450645.152595468</v>
      </c>
      <c r="W139" s="83" t="n">
        <f aca="false">V141</f>
        <v>427281.176637005</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37964.9907742126</v>
      </c>
      <c r="T140" s="83" t="n">
        <f aca="false">MIN(T139,MAX(T138,0))</f>
        <v>33528.864833735</v>
      </c>
      <c r="U140" s="83" t="n">
        <f aca="false">MIN(U139,MAX(U138,0))</f>
        <v>28671.4964788532</v>
      </c>
      <c r="V140" s="83" t="n">
        <f aca="false">MIN(V139,MAX(V138,0))</f>
        <v>23363.9759584632</v>
      </c>
      <c r="W140" s="83" t="n">
        <f aca="false">MIN(W139,MAX(W138,0))</f>
        <v>17575.5669530766</v>
      </c>
    </row>
    <row r="141" customFormat="false" ht="15" hidden="false" customHeight="false" outlineLevel="0" collapsed="false">
      <c r="A141" s="10" t="s">
        <v>463</v>
      </c>
      <c r="C141" s="83" t="n">
        <v>0</v>
      </c>
      <c r="D141" s="83" t="n">
        <f aca="false">D139-D140+MAX(-D138,0)</f>
        <v>90601.3542610774</v>
      </c>
      <c r="E141" s="83" t="n">
        <f aca="false">E139-E140+MAX(-E138,0)</f>
        <v>156463.641632195</v>
      </c>
      <c r="F141" s="83" t="n">
        <f aca="false">F139-F140+MAX(-F138,0)</f>
        <v>202783.782362799</v>
      </c>
      <c r="G141" s="83" t="n">
        <f aca="false">G139-G140+MAX(-G138,0)</f>
        <v>244979.694263958</v>
      </c>
      <c r="H141" s="83" t="n">
        <f aca="false">H139-H140+MAX(-H138,0)</f>
        <v>280921.357273627</v>
      </c>
      <c r="I141" s="83" t="n">
        <f aca="false">I139-I140+MAX(-I138,0)</f>
        <v>310118.42583876</v>
      </c>
      <c r="J141" s="83" t="n">
        <f aca="false">J139-J140+MAX(-J138,0)</f>
        <v>333659.413898591</v>
      </c>
      <c r="K141" s="83" t="n">
        <f aca="false">K139-K140+MAX(-K138,0)</f>
        <v>357178.708167376</v>
      </c>
      <c r="L141" s="83" t="n">
        <f aca="false">L139-L140+MAX(-L138,0)</f>
        <v>380753.391122574</v>
      </c>
      <c r="M141" s="83" t="n">
        <f aca="false">M139-M140+MAX(-M138,0)</f>
        <v>404462.692691952</v>
      </c>
      <c r="N141" s="83" t="n">
        <f aca="false">N139-N140+MAX(-N138,0)</f>
        <v>428387.631636195</v>
      </c>
      <c r="O141" s="83" t="n">
        <f aca="false">O139-O140+MAX(-O138,0)</f>
        <v>454683.750301548</v>
      </c>
      <c r="P141" s="83" t="n">
        <f aca="false">P139-P140+MAX(-P138,0)</f>
        <v>483641.57241535</v>
      </c>
      <c r="Q141" s="83" t="n">
        <f aca="false">Q139-Q140+MAX(-Q138,0)</f>
        <v>515572.569204626</v>
      </c>
      <c r="R141" s="83" t="n">
        <f aca="false">R139-R140+MAX(-R138,0)</f>
        <v>550810.504682269</v>
      </c>
      <c r="S141" s="83" t="n">
        <f aca="false">S139-S140+MAX(-S138,0)</f>
        <v>512845.513908057</v>
      </c>
      <c r="T141" s="83" t="n">
        <f aca="false">T139-T140+MAX(-T138,0)</f>
        <v>479316.649074322</v>
      </c>
      <c r="U141" s="83" t="n">
        <f aca="false">U139-U140+MAX(-U138,0)</f>
        <v>450645.152595468</v>
      </c>
      <c r="V141" s="83" t="n">
        <f aca="false">V139-V140+MAX(-V138,0)</f>
        <v>427281.176637005</v>
      </c>
      <c r="W141" s="83" t="n">
        <f aca="false">W139-W140+MAX(-W138,0)</f>
        <v>409705.609683929</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-915120.851380147</v>
      </c>
      <c r="C145" s="27" t="n">
        <f aca="false">-C102+C98-C103-C137</f>
        <v>-1153010.25515137</v>
      </c>
      <c r="D145" s="27" t="n">
        <f aca="false">-D102+D98-D103-D137</f>
        <v>644.262716282436</v>
      </c>
      <c r="E145" s="27" t="n">
        <f aca="false">-E102+E98-E103-E137</f>
        <v>25383.3296062426</v>
      </c>
      <c r="F145" s="27" t="n">
        <f aca="false">-F102+F98-F103-F137</f>
        <v>44925.4762467557</v>
      </c>
      <c r="G145" s="27" t="n">
        <f aca="false">-G102+G98-G103-G137</f>
        <v>48082.5563067905</v>
      </c>
      <c r="H145" s="27" t="n">
        <f aca="false">-H102+H98-H103-H137</f>
        <v>53272.9415519296</v>
      </c>
      <c r="I145" s="27" t="n">
        <f aca="false">-I102+I98-I103-I137</f>
        <v>58847.2859854793</v>
      </c>
      <c r="J145" s="27" t="n">
        <f aca="false">-J102+J98-J103-J137</f>
        <v>62926.6552904078</v>
      </c>
      <c r="K145" s="27" t="n">
        <f aca="false">-K102+K98-K103-K137</f>
        <v>-104669.210410478</v>
      </c>
      <c r="L145" s="27" t="n">
        <f aca="false">-L102+L98-L103-L137</f>
        <v>59314.1729910338</v>
      </c>
      <c r="M145" s="27" t="n">
        <f aca="false">-M102+M98-M103-M137</f>
        <v>57149.916598048</v>
      </c>
      <c r="N145" s="27" t="n">
        <f aca="false">-N102+N98-N103-N137</f>
        <v>54723.8168981394</v>
      </c>
      <c r="O145" s="27" t="n">
        <f aca="false">-O102+O98-O103-O137</f>
        <v>52017.101307781</v>
      </c>
      <c r="P145" s="27" t="n">
        <f aca="false">-P102+P98-P103-P137</f>
        <v>49009.7959140097</v>
      </c>
      <c r="Q145" s="27" t="n">
        <f aca="false">-Q102+Q98-Q103-Q137</f>
        <v>45680.6512348508</v>
      </c>
      <c r="R145" s="27" t="n">
        <f aca="false">-R102+R98-R103-R137</f>
        <v>42007.063442689</v>
      </c>
      <c r="S145" s="27" t="n">
        <f aca="false">-S102+S98-S103-S137</f>
        <v>-172196.520509457</v>
      </c>
      <c r="T145" s="27" t="n">
        <f aca="false">-T102+T98-T103-T137</f>
        <v>33528.864833735</v>
      </c>
      <c r="U145" s="27" t="n">
        <f aca="false">-U102+U98-U103-U137</f>
        <v>28671.4964788532</v>
      </c>
      <c r="V145" s="27" t="n">
        <f aca="false">-V102+V98-V103-V137</f>
        <v>23363.9759584632</v>
      </c>
      <c r="W145" s="27" t="n">
        <f aca="false">-W102+W98-W103-W137</f>
        <v>17575.5669530766</v>
      </c>
    </row>
    <row r="146" customFormat="false" ht="15" hidden="false" customHeight="false" outlineLevel="0" collapsed="false">
      <c r="A146" s="15" t="s">
        <v>469</v>
      </c>
      <c r="B146" s="61" t="n">
        <f aca="false">C146+NPV(Hurdle,D146:W146)</f>
        <v>-97200.490749042</v>
      </c>
      <c r="C146" s="27" t="n">
        <f aca="false">C145+C106+C108</f>
        <v>-553010.255151365</v>
      </c>
      <c r="D146" s="27" t="n">
        <f aca="false">D145+D106+D108</f>
        <v>151844.262716282</v>
      </c>
      <c r="E146" s="27" t="n">
        <f aca="false">E145+E106+E108</f>
        <v>88383.3296062426</v>
      </c>
      <c r="F146" s="27" t="n">
        <f aca="false">F145+F106+F108</f>
        <v>82725.4762467557</v>
      </c>
      <c r="G146" s="27" t="n">
        <f aca="false">G145+G106+G108</f>
        <v>48082.5563067905</v>
      </c>
      <c r="H146" s="27" t="n">
        <f aca="false">H145+H106+H108</f>
        <v>53272.9415519296</v>
      </c>
      <c r="I146" s="27" t="n">
        <f aca="false">I145+I106+I108</f>
        <v>58847.2859854793</v>
      </c>
      <c r="J146" s="27" t="n">
        <f aca="false">J145+J106+J108</f>
        <v>62926.6552904078</v>
      </c>
      <c r="K146" s="27" t="n">
        <f aca="false">K145+K106+K108</f>
        <v>-104669.210410478</v>
      </c>
      <c r="L146" s="27" t="n">
        <f aca="false">L145+L106+L108</f>
        <v>59314.1729910338</v>
      </c>
      <c r="M146" s="27" t="n">
        <f aca="false">M145+M106+M108</f>
        <v>57149.916598048</v>
      </c>
      <c r="N146" s="27" t="n">
        <f aca="false">N145+N106+N108</f>
        <v>54723.8168981394</v>
      </c>
      <c r="O146" s="27" t="n">
        <f aca="false">O145+O106+O108</f>
        <v>52017.101307781</v>
      </c>
      <c r="P146" s="27" t="n">
        <f aca="false">P145+P106+P108</f>
        <v>49009.7959140097</v>
      </c>
      <c r="Q146" s="27" t="n">
        <f aca="false">Q145+Q106+Q108</f>
        <v>45680.6512348508</v>
      </c>
      <c r="R146" s="27" t="n">
        <f aca="false">R145+R106+R108</f>
        <v>42007.063442689</v>
      </c>
      <c r="S146" s="27" t="n">
        <f aca="false">S145+S106+S108</f>
        <v>-172196.520509457</v>
      </c>
      <c r="T146" s="27" t="n">
        <f aca="false">T145+T106+T108</f>
        <v>33528.864833735</v>
      </c>
      <c r="U146" s="27" t="n">
        <f aca="false">U145+U106+U108</f>
        <v>28671.4964788532</v>
      </c>
      <c r="V146" s="27" t="n">
        <f aca="false">V145+V106+V108</f>
        <v>23363.9759584632</v>
      </c>
      <c r="W146" s="27" t="n">
        <f aca="false">W145+W106+W108</f>
        <v>17575.5669530766</v>
      </c>
    </row>
    <row r="147" customFormat="false" ht="15" hidden="false" customHeight="false" outlineLevel="0" collapsed="false">
      <c r="A147" s="10" t="s">
        <v>237</v>
      </c>
      <c r="B147" s="61" t="n">
        <f aca="false">SUM(C147:W147)</f>
        <v>732259.199394633</v>
      </c>
      <c r="C147" s="83" t="n">
        <v>0</v>
      </c>
      <c r="D147" s="83" t="n">
        <f aca="false">D98-D105-D142+D108</f>
        <v>131106.333003195</v>
      </c>
      <c r="E147" s="83" t="n">
        <f aca="false">E98-E105-E142+E108</f>
        <v>67645.3998931549</v>
      </c>
      <c r="F147" s="83" t="n">
        <f aca="false">F98-F105-F142+F108</f>
        <v>61987.5465336681</v>
      </c>
      <c r="G147" s="83" t="n">
        <f aca="false">G98-G105-G142+G108</f>
        <v>27344.6265937028</v>
      </c>
      <c r="H147" s="83" t="n">
        <f aca="false">H98-H105-H142+H108</f>
        <v>32535.0118388419</v>
      </c>
      <c r="I147" s="83" t="n">
        <f aca="false">I98-I105-I142+I108</f>
        <v>38109.3562723917</v>
      </c>
      <c r="J147" s="83" t="n">
        <f aca="false">J98-J105-J142+J108</f>
        <v>42188.7255773202</v>
      </c>
      <c r="K147" s="83" t="n">
        <f aca="false">K98-K105-K142+K108</f>
        <v>40496.2975811358</v>
      </c>
      <c r="L147" s="83" t="n">
        <f aca="false">L98-L105-L142+L108</f>
        <v>33043.9840805751</v>
      </c>
      <c r="M147" s="83" t="n">
        <f aca="false">M98-M105-M142+M108</f>
        <v>30879.7276875893</v>
      </c>
      <c r="N147" s="83" t="n">
        <f aca="false">N98-N105-N142+N108</f>
        <v>28453.6279876806</v>
      </c>
      <c r="O147" s="83" t="n">
        <f aca="false">O98-O105-O142+O108</f>
        <v>25746.9123973223</v>
      </c>
      <c r="P147" s="83" t="n">
        <f aca="false">P98-P105-P142+P108</f>
        <v>22739.607003551</v>
      </c>
      <c r="Q147" s="83" t="n">
        <f aca="false">Q98-Q105-Q142+Q108</f>
        <v>19410.462324392</v>
      </c>
      <c r="R147" s="83" t="n">
        <f aca="false">R98-R105-R142+R108</f>
        <v>15736.8745322303</v>
      </c>
      <c r="S147" s="83" t="n">
        <f aca="false">S98-S105-S142+S108</f>
        <v>11694.8018637539</v>
      </c>
      <c r="T147" s="83" t="n">
        <f aca="false">T98-T105-T142+T108</f>
        <v>33528.864833735</v>
      </c>
      <c r="U147" s="83" t="n">
        <f aca="false">U98-U105-U142+U108</f>
        <v>28671.4964788532</v>
      </c>
      <c r="V147" s="83" t="n">
        <f aca="false">V98-V105-V142+V108</f>
        <v>23363.9759584632</v>
      </c>
      <c r="W147" s="83" t="n">
        <f aca="false">W98-W105-W142+W108</f>
        <v>17575.5669530766</v>
      </c>
    </row>
    <row r="148" customFormat="false" ht="15" hidden="false" customHeight="false" outlineLevel="0" collapsed="false">
      <c r="A148" s="10" t="s">
        <v>470</v>
      </c>
      <c r="C148" s="86" t="n">
        <v>0</v>
      </c>
      <c r="D148" s="86" t="n">
        <f aca="false">IF(D125&gt;0,D147/D125,"")</f>
        <v>9.11836846131079</v>
      </c>
      <c r="E148" s="86" t="n">
        <f aca="false">IF(E125&gt;0,E147/E125,"")</f>
        <v>4.70469783426457</v>
      </c>
      <c r="F148" s="86" t="n">
        <f aca="false">IF(F125&gt;0,F147/F125,"")</f>
        <v>2.57747109131187</v>
      </c>
      <c r="G148" s="86" t="n">
        <f aca="false">IF(G125&gt;0,G147/G125,"")</f>
        <v>1.13700232529297</v>
      </c>
      <c r="H148" s="86" t="n">
        <f aca="false">IF(H125&gt;0,H147/H125,"")</f>
        <v>1.35282096420057</v>
      </c>
      <c r="I148" s="86" t="n">
        <f aca="false">IF(I125&gt;0,I147/I125,"")</f>
        <v>1.13092105761446</v>
      </c>
      <c r="J148" s="86" t="n">
        <f aca="false">IF(J125&gt;0,J147/J125,"")</f>
        <v>1.25197911526714</v>
      </c>
      <c r="K148" s="86" t="n">
        <f aca="false">IF(K125&gt;0,K147/K125,"")</f>
        <v>1.20175516381279</v>
      </c>
      <c r="L148" s="86" t="n">
        <f aca="false">IF(L125&gt;0,L147/L125,"")</f>
        <v>0.980602693918292</v>
      </c>
      <c r="M148" s="86" t="n">
        <f aca="false">IF(M125&gt;0,M147/M125,"")</f>
        <v>0.916376913996695</v>
      </c>
      <c r="N148" s="86" t="n">
        <f aca="false">IF(N125&gt;0,N147/N125,"")</f>
        <v>2.19449111400876</v>
      </c>
      <c r="O148" s="86" t="n">
        <f aca="false">IF(O125&gt;0,O147/O125,"")</f>
        <v>1.98573519319043</v>
      </c>
      <c r="P148" s="86" t="n">
        <f aca="false">IF(P125&gt;0,P147/P125,"")</f>
        <v>1.75379623037701</v>
      </c>
      <c r="Q148" s="86" t="n">
        <f aca="false">IF(Q125&gt;0,Q147/Q125,"")</f>
        <v>1.49703535549571</v>
      </c>
      <c r="R148" s="86" t="n">
        <f aca="false">IF(R125&gt;0,R147/R125,"")</f>
        <v>1.21370924432562</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-110161.449930008</v>
      </c>
      <c r="C149" s="27" t="n">
        <f aca="false">-S_Opex_Hi!$B$18-C129</f>
        <v>-338995.286407787</v>
      </c>
      <c r="D149" s="27" t="n">
        <f aca="false">D147-D125-D129</f>
        <v>116728.066369259</v>
      </c>
      <c r="E149" s="27" t="n">
        <f aca="false">E147-E125-E129</f>
        <v>48431.3894121686</v>
      </c>
      <c r="F149" s="27" t="n">
        <f aca="false">F147-F125-F129</f>
        <v>37937.792205631</v>
      </c>
      <c r="G149" s="27" t="n">
        <f aca="false">G147-G125-G129</f>
        <v>3294.87226566568</v>
      </c>
      <c r="H149" s="27" t="n">
        <f aca="false">H147-H125-H129</f>
        <v>3661.32103933459</v>
      </c>
      <c r="I149" s="27" t="n">
        <f aca="false">I147-I125-I129</f>
        <v>4411.7290014141</v>
      </c>
      <c r="J149" s="27" t="n">
        <f aca="false">J147-J125-J129</f>
        <v>8491.0983063426</v>
      </c>
      <c r="K149" s="27" t="n">
        <f aca="false">K147-K125-K129</f>
        <v>6798.67031015825</v>
      </c>
      <c r="L149" s="27" t="n">
        <f aca="false">L147-L125-L129</f>
        <v>-653.643190402472</v>
      </c>
      <c r="M149" s="27" t="n">
        <f aca="false">M147-M125-M129</f>
        <v>7547.94681517617</v>
      </c>
      <c r="N149" s="27" t="n">
        <f aca="false">N147-N125-N129</f>
        <v>15487.693513832</v>
      </c>
      <c r="O149" s="27" t="n">
        <f aca="false">O147-O125-O129</f>
        <v>12780.9779234737</v>
      </c>
      <c r="P149" s="27" t="n">
        <f aca="false">P147-P125-P129</f>
        <v>9773.67252970237</v>
      </c>
      <c r="Q149" s="27" t="n">
        <f aca="false">Q147-Q125-Q129</f>
        <v>6444.52785054341</v>
      </c>
      <c r="R149" s="27" t="n">
        <f aca="false">R147-R125-R129</f>
        <v>9253.90729530596</v>
      </c>
      <c r="S149" s="27" t="n">
        <f aca="false">S147-S125-S129</f>
        <v>11694.8018637539</v>
      </c>
      <c r="T149" s="27" t="n">
        <f aca="false">T147-T125-T129</f>
        <v>33528.864833735</v>
      </c>
      <c r="U149" s="27" t="n">
        <f aca="false">U147-U125-U129</f>
        <v>28671.4964788532</v>
      </c>
      <c r="V149" s="27" t="n">
        <f aca="false">V147-V125-V129</f>
        <v>23363.9759584632</v>
      </c>
      <c r="W149" s="27" t="n">
        <f aca="false">W147-W125-W129</f>
        <v>17575.5669530766</v>
      </c>
    </row>
    <row r="150" customFormat="false" ht="15" hidden="false" customHeight="false" outlineLevel="0" collapsed="false">
      <c r="A150" s="10" t="s">
        <v>472</v>
      </c>
      <c r="C150" s="83" t="n">
        <f aca="false">C149</f>
        <v>-338995.286407787</v>
      </c>
      <c r="D150" s="83" t="n">
        <f aca="false">C150+D149</f>
        <v>-222267.220038528</v>
      </c>
      <c r="E150" s="83" t="n">
        <f aca="false">D150+E149</f>
        <v>-173835.830626359</v>
      </c>
      <c r="F150" s="83" t="n">
        <f aca="false">E150+F149</f>
        <v>-135898.038420728</v>
      </c>
      <c r="G150" s="83" t="n">
        <f aca="false">F150+G149</f>
        <v>-132603.166155063</v>
      </c>
      <c r="H150" s="83" t="n">
        <f aca="false">G150+H149</f>
        <v>-128941.845115728</v>
      </c>
      <c r="I150" s="83" t="n">
        <f aca="false">H150+I149</f>
        <v>-124530.116114314</v>
      </c>
      <c r="J150" s="83" t="n">
        <f aca="false">I150+J149</f>
        <v>-116039.017807971</v>
      </c>
      <c r="K150" s="83" t="n">
        <f aca="false">J150+K149</f>
        <v>-109240.347497813</v>
      </c>
      <c r="L150" s="83" t="n">
        <f aca="false">K150+L149</f>
        <v>-109893.990688215</v>
      </c>
      <c r="M150" s="83" t="n">
        <f aca="false">L150+M149</f>
        <v>-102346.043873039</v>
      </c>
      <c r="N150" s="83" t="n">
        <f aca="false">M150+N149</f>
        <v>-86858.3503592073</v>
      </c>
      <c r="O150" s="83" t="n">
        <f aca="false">N150+O149</f>
        <v>-74077.3724357336</v>
      </c>
      <c r="P150" s="83" t="n">
        <f aca="false">O150+P149</f>
        <v>-64303.6999060313</v>
      </c>
      <c r="Q150" s="83" t="n">
        <f aca="false">P150+Q149</f>
        <v>-57859.1720554878</v>
      </c>
      <c r="R150" s="83" t="n">
        <f aca="false">Q150+R149</f>
        <v>-48605.2647601819</v>
      </c>
      <c r="S150" s="83" t="n">
        <f aca="false">R150+S149</f>
        <v>-36910.462896428</v>
      </c>
      <c r="T150" s="83" t="n">
        <f aca="false">S150+T149</f>
        <v>-3381.59806269299</v>
      </c>
      <c r="U150" s="83" t="n">
        <f aca="false">T150+U149</f>
        <v>25289.8984161602</v>
      </c>
      <c r="V150" s="83" t="n">
        <f aca="false">U150+V149</f>
        <v>48653.8743746234</v>
      </c>
      <c r="W150" s="83" t="n">
        <f aca="false">V150+W149</f>
        <v>66229.4413277</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2433784.5176917</v>
      </c>
      <c r="C153" s="83" t="n">
        <f aca="false">C102+C96-C93+C103</f>
        <v>1153010.25515137</v>
      </c>
      <c r="D153" s="83" t="n">
        <f aca="false">D102+D96-D93+D103</f>
        <v>77457.6029297976</v>
      </c>
      <c r="E153" s="83" t="n">
        <f aca="false">E102+E96-E93+E103</f>
        <v>84728.779942653</v>
      </c>
      <c r="F153" s="83" t="n">
        <f aca="false">F102+F96-F93+F103</f>
        <v>90699.9527478599</v>
      </c>
      <c r="G153" s="83" t="n">
        <f aca="false">G102+G96-G93+G103</f>
        <v>94027.3103885972</v>
      </c>
      <c r="H153" s="83" t="n">
        <f aca="false">H102+H96-H93+H103</f>
        <v>97491.4160252073</v>
      </c>
      <c r="I153" s="83" t="n">
        <f aca="false">I102+I96-I93+I103</f>
        <v>101098.620968105</v>
      </c>
      <c r="J153" s="83" t="n">
        <f aca="false">J102+J96-J93+J103</f>
        <v>106759.95739665</v>
      </c>
      <c r="K153" s="83" t="n">
        <f aca="false">K102+K96-K93+K103</f>
        <v>284689.737810178</v>
      </c>
      <c r="L153" s="83" t="n">
        <f aca="false">L102+L96-L93+L103</f>
        <v>131669.604527308</v>
      </c>
      <c r="M153" s="83" t="n">
        <f aca="false">M102+M96-M93+M103</f>
        <v>145464.77297116</v>
      </c>
      <c r="N153" s="83" t="n">
        <f aca="false">N102+N96-N93+N103</f>
        <v>160230.107265834</v>
      </c>
      <c r="O153" s="83" t="n">
        <f aca="false">O102+O96-O93+O103</f>
        <v>176027.516837778</v>
      </c>
      <c r="P153" s="83" t="n">
        <f aca="false">P102+P96-P93+P103</f>
        <v>192922.739476614</v>
      </c>
      <c r="Q153" s="83" t="n">
        <f aca="false">Q102+Q96-Q93+Q103</f>
        <v>210985.575561062</v>
      </c>
      <c r="R153" s="83" t="n">
        <f aca="false">R102+R96-R93+R103</f>
        <v>230290.136565095</v>
      </c>
      <c r="S153" s="83" t="n">
        <f aca="false">S102+S96-S93+S103</f>
        <v>461076.619997715</v>
      </c>
      <c r="T153" s="83" t="n">
        <f aca="false">T102+T96-T93+T103</f>
        <v>272944.032713358</v>
      </c>
      <c r="U153" s="83" t="n">
        <f aca="false">U102+U96-U93+U103</f>
        <v>296465.600528858</v>
      </c>
      <c r="V153" s="83" t="n">
        <f aca="false">V102+V96-V93+V103</f>
        <v>321573.970257017</v>
      </c>
      <c r="W153" s="83" t="n">
        <f aca="false">W102+W96-W93+W103</f>
        <v>348369.100186927</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f aca="false">1-SensDelta</f>
        <v>0.8</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MAX(0,S_Coll_Lo!$B$14-Grant)*SenPct</f>
        <v>110602.051030273</v>
      </c>
    </row>
    <row r="17" customFormat="false" ht="15" hidden="false" customHeight="false" outlineLevel="0" collapsed="false">
      <c r="A17" s="10" t="s">
        <v>248</v>
      </c>
      <c r="B17" s="61" t="n">
        <f aca="false">MAX(0,S_Coll_Lo!$B$14-Grant)*ConPct</f>
        <v>110602.051030273</v>
      </c>
    </row>
    <row r="18" customFormat="false" ht="15" hidden="false" customHeight="false" outlineLevel="0" collapsed="false">
      <c r="A18" s="10" t="s">
        <v>393</v>
      </c>
      <c r="B18" s="61" t="n">
        <f aca="false">MAX(0,S_Coll_Lo!$B$14-Grant-S_Coll_Lo!$B$16-S_Coll_Lo!$B$17)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-1093937.48072582</v>
      </c>
    </row>
    <row r="21" customFormat="false" ht="15" hidden="false" customHeight="false" outlineLevel="0" collapsed="false">
      <c r="A21" s="10" t="s">
        <v>396</v>
      </c>
      <c r="B21" s="61" t="n">
        <f aca="false">$B$146</f>
        <v>-276017.120094711</v>
      </c>
    </row>
    <row r="22" customFormat="false" ht="15" hidden="false" customHeight="false" outlineLevel="0" collapsed="false">
      <c r="A22" s="10" t="s">
        <v>397</v>
      </c>
      <c r="B22" s="63" t="str">
        <f aca="false">IFERROR(IRR($C$145:$W$145),"n.d.")</f>
        <v>n.d.</v>
      </c>
    </row>
    <row r="23" customFormat="false" ht="15" hidden="false" customHeight="false" outlineLevel="0" collapsed="false">
      <c r="A23" s="10" t="s">
        <v>398</v>
      </c>
      <c r="B23" s="63" t="str">
        <f aca="false">IFERROR(IRR($C$146:$W$146),"n.d.")</f>
        <v>n.d.</v>
      </c>
    </row>
    <row r="24" customFormat="false" ht="15" hidden="false" customHeight="false" outlineLevel="0" collapsed="false">
      <c r="A24" s="10" t="s">
        <v>384</v>
      </c>
      <c r="B24" s="61" t="n">
        <f aca="false">MAX(0,-$B$145)</f>
        <v>1093937.48072582</v>
      </c>
    </row>
    <row r="25" customFormat="false" ht="15" hidden="false" customHeight="false" outlineLevel="0" collapsed="false">
      <c r="A25" s="10" t="s">
        <v>256</v>
      </c>
      <c r="B25" s="63" t="str">
        <f aca="false">IFERROR(IRR($C$149:$W$149),"n.d.")</f>
        <v>n.d.</v>
      </c>
    </row>
    <row r="26" customFormat="false" ht="15" hidden="false" customHeight="false" outlineLevel="0" collapsed="false">
      <c r="A26" s="10" t="s">
        <v>258</v>
      </c>
      <c r="B26" s="61" t="n">
        <f aca="false">C149+NPV(TargetEqIRR,D149:W149)</f>
        <v>-260737.269079221</v>
      </c>
    </row>
    <row r="27" customFormat="false" ht="15" hidden="false" customHeight="false" outlineLevel="0" collapsed="false">
      <c r="A27" s="10" t="s">
        <v>252</v>
      </c>
      <c r="B27" s="62" t="n">
        <f aca="false">IF((S_Coll_Lo!$B$16+S_Coll_Lo!$B$17)&gt;0,MIN($D$148:$W$148),"pas de dette")</f>
        <v>-1.54699795074472</v>
      </c>
    </row>
    <row r="28" customFormat="false" ht="15" hidden="false" customHeight="false" outlineLevel="0" collapsed="false">
      <c r="A28" s="10" t="s">
        <v>254</v>
      </c>
      <c r="B28" s="62" t="n">
        <f aca="false">IF((S_Coll_Lo!$B$16+S_Coll_Lo!$B$17)&gt;0,AVERAGE($D$148:$W$148),"pas de dette")</f>
        <v>0.989365182201391</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0.355117027299192</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0</v>
      </c>
    </row>
    <row r="36" customFormat="false" ht="15" hidden="false" customHeight="false" outlineLevel="0" collapsed="false">
      <c r="A36" s="10" t="s">
        <v>260</v>
      </c>
      <c r="B36" s="78" t="str">
        <f aca="false">IFERROR(MATCH(TRUE(),INDEX($C$150:$W$150&gt;=0,0),0)-1,"&gt; durée de vie")</f>
        <v>&gt; durée de vie</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3590991.63257106</v>
      </c>
      <c r="C83" s="83" t="n">
        <v>0</v>
      </c>
      <c r="D83" s="83" t="n">
        <f aca="false">D82*MIN(1,Collection*LevColl*$B$9)</f>
        <v>58893.9098112</v>
      </c>
      <c r="E83" s="83" t="n">
        <f aca="false">E82*MIN(1,Collection*LevColl*$B$9)</f>
        <v>88514.1109681613</v>
      </c>
      <c r="F83" s="83" t="n">
        <f aca="false">F82*MIN(1,Collection*LevColl*$B$9)</f>
        <v>110476.023913085</v>
      </c>
      <c r="G83" s="83" t="n">
        <f aca="false">G82*MIN(1,Collection*LevColl*$B$9)</f>
        <v>117204.013769392</v>
      </c>
      <c r="H83" s="83" t="n">
        <f aca="false">H82*MIN(1,Collection*LevColl*$B$9)</f>
        <v>124341.738207948</v>
      </c>
      <c r="I83" s="83" t="n">
        <f aca="false">I82*MIN(1,Collection*LevColl*$B$9)</f>
        <v>131914.150064812</v>
      </c>
      <c r="J83" s="83" t="n">
        <f aca="false">J82*MIN(1,Collection*LevColl*$B$9)</f>
        <v>139947.721803759</v>
      </c>
      <c r="K83" s="83" t="n">
        <f aca="false">K82*MIN(1,Collection*LevColl*$B$9)</f>
        <v>148470.538061608</v>
      </c>
      <c r="L83" s="83" t="n">
        <f aca="false">L82*MIN(1,Collection*LevColl*$B$9)</f>
        <v>157512.39382956</v>
      </c>
      <c r="M83" s="83" t="n">
        <f aca="false">M82*MIN(1,Collection*LevColl*$B$9)</f>
        <v>167104.89861378</v>
      </c>
      <c r="N83" s="83" t="n">
        <f aca="false">N82*MIN(1,Collection*LevColl*$B$9)</f>
        <v>177281.586939359</v>
      </c>
      <c r="O83" s="83" t="n">
        <f aca="false">O82*MIN(1,Collection*LevColl*$B$9)</f>
        <v>188078.035583966</v>
      </c>
      <c r="P83" s="83" t="n">
        <f aca="false">P82*MIN(1,Collection*LevColl*$B$9)</f>
        <v>199531.98795103</v>
      </c>
      <c r="Q83" s="83" t="n">
        <f aca="false">Q82*MIN(1,Collection*LevColl*$B$9)</f>
        <v>211683.486017248</v>
      </c>
      <c r="R83" s="83" t="n">
        <f aca="false">R82*MIN(1,Collection*LevColl*$B$9)</f>
        <v>224575.010315698</v>
      </c>
      <c r="S83" s="83" t="n">
        <f aca="false">S82*MIN(1,Collection*LevColl*$B$9)</f>
        <v>238251.628443924</v>
      </c>
      <c r="T83" s="83" t="n">
        <f aca="false">T82*MIN(1,Collection*LevColl*$B$9)</f>
        <v>252761.152616159</v>
      </c>
      <c r="U83" s="83" t="n">
        <f aca="false">U82*MIN(1,Collection*LevColl*$B$9)</f>
        <v>268154.306810483</v>
      </c>
      <c r="V83" s="83" t="n">
        <f aca="false">V82*MIN(1,Collection*LevColl*$B$9)</f>
        <v>284484.904095242</v>
      </c>
      <c r="W83" s="83" t="n">
        <f aca="false">W82*MIN(1,Collection*LevColl*$B$9)</f>
        <v>301810.034754642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3602491.63257106</v>
      </c>
      <c r="C85" s="27" t="n">
        <f aca="false">C83+C84</f>
        <v>0</v>
      </c>
      <c r="D85" s="27" t="n">
        <f aca="false">D83+D84</f>
        <v>65793.9098112</v>
      </c>
      <c r="E85" s="27" t="n">
        <f aca="false">E83+E84</f>
        <v>91389.1109681613</v>
      </c>
      <c r="F85" s="27" t="n">
        <f aca="false">F83+F84</f>
        <v>112201.023913085</v>
      </c>
      <c r="G85" s="27" t="n">
        <f aca="false">G83+G84</f>
        <v>117204.013769392</v>
      </c>
      <c r="H85" s="27" t="n">
        <f aca="false">H83+H84</f>
        <v>124341.738207948</v>
      </c>
      <c r="I85" s="27" t="n">
        <f aca="false">I83+I84</f>
        <v>131914.150064812</v>
      </c>
      <c r="J85" s="27" t="n">
        <f aca="false">J83+J84</f>
        <v>139947.721803759</v>
      </c>
      <c r="K85" s="27" t="n">
        <f aca="false">K83+K84</f>
        <v>148470.538061608</v>
      </c>
      <c r="L85" s="27" t="n">
        <f aca="false">L83+L84</f>
        <v>157512.39382956</v>
      </c>
      <c r="M85" s="27" t="n">
        <f aca="false">M83+M84</f>
        <v>167104.89861378</v>
      </c>
      <c r="N85" s="27" t="n">
        <f aca="false">N83+N84</f>
        <v>177281.586939359</v>
      </c>
      <c r="O85" s="27" t="n">
        <f aca="false">O83+O84</f>
        <v>188078.035583966</v>
      </c>
      <c r="P85" s="27" t="n">
        <f aca="false">P83+P84</f>
        <v>199531.98795103</v>
      </c>
      <c r="Q85" s="27" t="n">
        <f aca="false">Q83+Q84</f>
        <v>211683.486017248</v>
      </c>
      <c r="R85" s="27" t="n">
        <f aca="false">R83+R84</f>
        <v>224575.010315698</v>
      </c>
      <c r="S85" s="27" t="n">
        <f aca="false">S83+S84</f>
        <v>238251.628443924</v>
      </c>
      <c r="T85" s="27" t="n">
        <f aca="false">T83+T84</f>
        <v>252761.152616159</v>
      </c>
      <c r="U85" s="27" t="n">
        <f aca="false">U83+U84</f>
        <v>268154.306810483</v>
      </c>
      <c r="V85" s="27" t="n">
        <f aca="false">V83+V84</f>
        <v>284484.904095242</v>
      </c>
      <c r="W85" s="27" t="n">
        <f aca="false">W83+W84</f>
        <v>301810.034754642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S_Coll_Lo!$B$15*O_FixedPct*D44*LevOpex*$B$8*D41</f>
        <v>25065.4403293775</v>
      </c>
      <c r="E88" s="83" t="n">
        <f aca="false">S_Coll_Lo!$B$15*O_FixedPct*E44*LevOpex*$B$8*E41</f>
        <v>25817.4035392588</v>
      </c>
      <c r="F88" s="83" t="n">
        <f aca="false">S_Coll_Lo!$B$15*O_FixedPct*F44*LevOpex*$B$8*F41</f>
        <v>26591.9256454366</v>
      </c>
      <c r="G88" s="83" t="n">
        <f aca="false">S_Coll_Lo!$B$15*O_FixedPct*G44*LevOpex*$B$8*G41</f>
        <v>27389.6834147997</v>
      </c>
      <c r="H88" s="83" t="n">
        <f aca="false">S_Coll_Lo!$B$15*O_FixedPct*H44*LevOpex*$B$8*H41</f>
        <v>28211.3739172437</v>
      </c>
      <c r="I88" s="83" t="n">
        <f aca="false">S_Coll_Lo!$B$15*O_FixedPct*I44*LevOpex*$B$8*I41</f>
        <v>29057.715134761</v>
      </c>
      <c r="J88" s="83" t="n">
        <f aca="false">S_Coll_Lo!$B$15*O_FixedPct*J44*LevOpex*$B$8*J41</f>
        <v>29929.4465888038</v>
      </c>
      <c r="K88" s="83" t="n">
        <f aca="false">S_Coll_Lo!$B$15*O_FixedPct*K44*LevOpex*$B$8*K41</f>
        <v>30827.329986468</v>
      </c>
      <c r="L88" s="83" t="n">
        <f aca="false">S_Coll_Lo!$B$15*O_FixedPct*L44*LevOpex*$B$8*L41</f>
        <v>31752.149886062</v>
      </c>
      <c r="M88" s="83" t="n">
        <f aca="false">S_Coll_Lo!$B$15*O_FixedPct*M44*LevOpex*$B$8*M41</f>
        <v>32704.7143826439</v>
      </c>
      <c r="N88" s="83" t="n">
        <f aca="false">S_Coll_Lo!$B$15*O_FixedPct*N44*LevOpex*$B$8*N41</f>
        <v>33685.8558141232</v>
      </c>
      <c r="O88" s="83" t="n">
        <f aca="false">S_Coll_Lo!$B$15*O_FixedPct*O44*LevOpex*$B$8*O41</f>
        <v>34696.4314885469</v>
      </c>
      <c r="P88" s="83" t="n">
        <f aca="false">S_Coll_Lo!$B$15*O_FixedPct*P44*LevOpex*$B$8*P41</f>
        <v>35737.3244332033</v>
      </c>
      <c r="Q88" s="83" t="n">
        <f aca="false">S_Coll_Lo!$B$15*O_FixedPct*Q44*LevOpex*$B$8*Q41</f>
        <v>36809.4441661994</v>
      </c>
      <c r="R88" s="83" t="n">
        <f aca="false">S_Coll_Lo!$B$15*O_FixedPct*R44*LevOpex*$B$8*R41</f>
        <v>37913.7274911854</v>
      </c>
      <c r="S88" s="83" t="n">
        <f aca="false">S_Coll_Lo!$B$15*O_FixedPct*S44*LevOpex*$B$8*S41</f>
        <v>39051.1393159209</v>
      </c>
      <c r="T88" s="83" t="n">
        <f aca="false">S_Coll_Lo!$B$15*O_FixedPct*T44*LevOpex*$B$8*T41</f>
        <v>40222.6734953985</v>
      </c>
      <c r="U88" s="83" t="n">
        <f aca="false">S_Coll_Lo!$B$15*O_FixedPct*U44*LevOpex*$B$8*U41</f>
        <v>41429.3537002605</v>
      </c>
      <c r="V88" s="83" t="n">
        <f aca="false">S_Coll_Lo!$B$15*O_FixedPct*V44*LevOpex*$B$8*V41</f>
        <v>42672.2343112683</v>
      </c>
      <c r="W88" s="83" t="n">
        <f aca="false">S_Coll_Lo!$B$15*O_FixedPct*W44*LevOpex*$B$8*W41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S_Coll_Lo!$B$14*O_InsPct*D44*LevOpex*$B$8*D41</f>
        <v>5765.05127575683</v>
      </c>
      <c r="E90" s="83" t="n">
        <f aca="false">S_Coll_Lo!$B$14*O_InsPct*E44*LevOpex*$B$8*E41</f>
        <v>5938.00281402953</v>
      </c>
      <c r="F90" s="83" t="n">
        <f aca="false">S_Coll_Lo!$B$14*O_InsPct*F44*LevOpex*$B$8*F41</f>
        <v>6116.14289845042</v>
      </c>
      <c r="G90" s="83" t="n">
        <f aca="false">S_Coll_Lo!$B$14*O_InsPct*G44*LevOpex*$B$8*G41</f>
        <v>6299.62718540393</v>
      </c>
      <c r="H90" s="83" t="n">
        <f aca="false">S_Coll_Lo!$B$14*O_InsPct*H44*LevOpex*$B$8*H41</f>
        <v>6488.61600096605</v>
      </c>
      <c r="I90" s="83" t="n">
        <f aca="false">S_Coll_Lo!$B$14*O_InsPct*I44*LevOpex*$B$8*I41</f>
        <v>6683.27448099503</v>
      </c>
      <c r="J90" s="83" t="n">
        <f aca="false">S_Coll_Lo!$B$14*O_InsPct*J44*LevOpex*$B$8*J41</f>
        <v>6883.77271542488</v>
      </c>
      <c r="K90" s="83" t="n">
        <f aca="false">S_Coll_Lo!$B$14*O_InsPct*K44*LevOpex*$B$8*K41</f>
        <v>7090.28589688763</v>
      </c>
      <c r="L90" s="83" t="n">
        <f aca="false">S_Coll_Lo!$B$14*O_InsPct*L44*LevOpex*$B$8*L41</f>
        <v>7302.99447379426</v>
      </c>
      <c r="M90" s="83" t="n">
        <f aca="false">S_Coll_Lo!$B$14*O_InsPct*M44*LevOpex*$B$8*M41</f>
        <v>7522.08430800809</v>
      </c>
      <c r="N90" s="83" t="n">
        <f aca="false">S_Coll_Lo!$B$14*O_InsPct*N44*LevOpex*$B$8*N41</f>
        <v>7747.74683724833</v>
      </c>
      <c r="O90" s="83" t="n">
        <f aca="false">S_Coll_Lo!$B$14*O_InsPct*O44*LevOpex*$B$8*O41</f>
        <v>7980.17924236578</v>
      </c>
      <c r="P90" s="83" t="n">
        <f aca="false">S_Coll_Lo!$B$14*O_InsPct*P44*LevOpex*$B$8*P41</f>
        <v>8219.58461963675</v>
      </c>
      <c r="Q90" s="83" t="n">
        <f aca="false">S_Coll_Lo!$B$14*O_InsPct*Q44*LevOpex*$B$8*Q41</f>
        <v>8466.17215822586</v>
      </c>
      <c r="R90" s="83" t="n">
        <f aca="false">S_Coll_Lo!$B$14*O_InsPct*R44*LevOpex*$B$8*R41</f>
        <v>8720.15732297263</v>
      </c>
      <c r="S90" s="83" t="n">
        <f aca="false">S_Coll_Lo!$B$14*O_InsPct*S44*LevOpex*$B$8*S41</f>
        <v>8981.76204266181</v>
      </c>
      <c r="T90" s="83" t="n">
        <f aca="false">S_Coll_Lo!$B$14*O_InsPct*T44*LevOpex*$B$8*T41</f>
        <v>9251.21490394167</v>
      </c>
      <c r="U90" s="83" t="n">
        <f aca="false">S_Coll_Lo!$B$14*O_InsPct*U44*LevOpex*$B$8*U41</f>
        <v>9528.75135105992</v>
      </c>
      <c r="V90" s="83" t="n">
        <f aca="false">S_Coll_Lo!$B$14*O_InsPct*V44*LevOpex*$B$8*V41</f>
        <v>9814.61389159171</v>
      </c>
      <c r="W90" s="83" t="n">
        <f aca="false">S_Coll_Lo!$B$14*O_InsPct*W44*LevOpex*$B$8*W41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108074.748977132</v>
      </c>
      <c r="C93" s="83" t="n">
        <v>0</v>
      </c>
      <c r="D93" s="83" t="n">
        <f aca="false">D85*O_CustPct</f>
        <v>1973.817294336</v>
      </c>
      <c r="E93" s="83" t="n">
        <f aca="false">E85*O_CustPct</f>
        <v>2741.67332904484</v>
      </c>
      <c r="F93" s="83" t="n">
        <f aca="false">F85*O_CustPct</f>
        <v>3366.03071739255</v>
      </c>
      <c r="G93" s="83" t="n">
        <f aca="false">G85*O_CustPct</f>
        <v>3516.12041308176</v>
      </c>
      <c r="H93" s="83" t="n">
        <f aca="false">H85*O_CustPct</f>
        <v>3730.25214623844</v>
      </c>
      <c r="I93" s="83" t="n">
        <f aca="false">I85*O_CustPct</f>
        <v>3957.42450194436</v>
      </c>
      <c r="J93" s="83" t="n">
        <f aca="false">J85*O_CustPct</f>
        <v>4198.43165411277</v>
      </c>
      <c r="K93" s="83" t="n">
        <f aca="false">K85*O_CustPct</f>
        <v>4454.11614184824</v>
      </c>
      <c r="L93" s="83" t="n">
        <f aca="false">L85*O_CustPct</f>
        <v>4725.3718148868</v>
      </c>
      <c r="M93" s="83" t="n">
        <f aca="false">M85*O_CustPct</f>
        <v>5013.1469584134</v>
      </c>
      <c r="N93" s="83" t="n">
        <f aca="false">N85*O_CustPct</f>
        <v>5318.44760818078</v>
      </c>
      <c r="O93" s="83" t="n">
        <f aca="false">O85*O_CustPct</f>
        <v>5642.34106751899</v>
      </c>
      <c r="P93" s="83" t="n">
        <f aca="false">P85*O_CustPct</f>
        <v>5985.9596385309</v>
      </c>
      <c r="Q93" s="83" t="n">
        <f aca="false">Q85*O_CustPct</f>
        <v>6350.50458051743</v>
      </c>
      <c r="R93" s="83" t="n">
        <f aca="false">R85*O_CustPct</f>
        <v>6737.25030947094</v>
      </c>
      <c r="S93" s="83" t="n">
        <f aca="false">S85*O_CustPct</f>
        <v>7147.54885331772</v>
      </c>
      <c r="T93" s="83" t="n">
        <f aca="false">T85*O_CustPct</f>
        <v>7582.83457848477</v>
      </c>
      <c r="U93" s="83" t="n">
        <f aca="false">U85*O_CustPct</f>
        <v>8044.62920431449</v>
      </c>
      <c r="V93" s="83" t="n">
        <f aca="false">V85*O_CustPct</f>
        <v>8534.54712285725</v>
      </c>
      <c r="W93" s="83" t="n">
        <f aca="false">W85*O_CustPct</f>
        <v>9054.30104263925</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3293431.70136322</v>
      </c>
      <c r="C96" s="27" t="n">
        <f aca="false">C88+C89+C90+C91+C92+C93+C94+C95</f>
        <v>0</v>
      </c>
      <c r="D96" s="27" t="n">
        <f aca="false">D88+D89+D90+D91+D92+D93+D94+D95</f>
        <v>68121.3630085612</v>
      </c>
      <c r="E96" s="27" t="n">
        <f aca="false">E88+E89+E90+E91+E92+E93+E94+E95</f>
        <v>75753.0101801405</v>
      </c>
      <c r="F96" s="27" t="n">
        <f aca="false">F88+F89+F90+F91+F92+F93+F94+F95</f>
        <v>81949.8247496604</v>
      </c>
      <c r="G96" s="27" t="n">
        <f aca="false">G88+G89+G90+G91+G92+G93+G94+G95</f>
        <v>85055.4429339086</v>
      </c>
      <c r="H96" s="27" t="n">
        <f aca="false">H88+H89+H90+H91+H92+H93+H94+H95</f>
        <v>88350.1881035374</v>
      </c>
      <c r="I96" s="27" t="n">
        <f aca="false">I88+I89+I90+I91+I92+I93+I94+I95</f>
        <v>91789.0293148452</v>
      </c>
      <c r="J96" s="27" t="n">
        <f aca="false">J88+J89+J90+J91+J92+J93+J94+J95</f>
        <v>97257.1920742119</v>
      </c>
      <c r="K96" s="27" t="n">
        <f aca="false">K88+K89+K90+K91+K92+K93+K94+K95</f>
        <v>109006.758444226</v>
      </c>
      <c r="L96" s="27" t="n">
        <f aca="false">L88+L89+L90+L91+L92+L93+L94+L95</f>
        <v>121606.055840526</v>
      </c>
      <c r="M96" s="27" t="n">
        <f aca="false">M88+M89+M90+M91+M92+M93+M94+M95</f>
        <v>135109.849056322</v>
      </c>
      <c r="N96" s="27" t="n">
        <f aca="false">N88+N89+N90+N91+N92+N93+N94+N95</f>
        <v>149576.303464856</v>
      </c>
      <c r="O96" s="27" t="n">
        <f aca="false">O88+O89+O90+O91+O92+O93+O94+O95</f>
        <v>165067.19345358</v>
      </c>
      <c r="P96" s="27" t="n">
        <f aca="false">P88+P89+P90+P91+P92+P93+P94+P95</f>
        <v>181648.12357666</v>
      </c>
      <c r="Q96" s="27" t="n">
        <f aca="false">Q88+Q89+Q90+Q91+Q92+Q93+Q94+Q95</f>
        <v>199388.7632007</v>
      </c>
      <c r="R96" s="27" t="n">
        <f aca="false">R88+R89+R90+R91+R92+R93+R94+R95</f>
        <v>218363.095465773</v>
      </c>
      <c r="S96" s="27" t="n">
        <f aca="false">S88+S89+S90+S91+S92+S93+S94+S95</f>
        <v>238649.68143394</v>
      </c>
      <c r="T96" s="27" t="n">
        <f aca="false">T88+T89+T90+T91+T92+T93+T94+T95</f>
        <v>260331.940350501</v>
      </c>
      <c r="U96" s="27" t="n">
        <f aca="false">U88+U89+U90+U91+U92+U93+U94+U95</f>
        <v>283498.446999635</v>
      </c>
      <c r="V96" s="27" t="n">
        <f aca="false">V88+V89+V90+V91+V92+V93+V94+V95</f>
        <v>308243.247195813</v>
      </c>
      <c r="W96" s="27" t="n">
        <f aca="false">W88+W89+W90+W91+W92+W93+W94+W95</f>
        <v>334666.192515824</v>
      </c>
    </row>
    <row r="98" customFormat="false" ht="15" hidden="false" customHeight="false" outlineLevel="0" collapsed="false">
      <c r="A98" s="15" t="s">
        <v>436</v>
      </c>
      <c r="B98" s="61" t="n">
        <f aca="false">SUM(C98:W98)</f>
        <v>309059.931207834</v>
      </c>
      <c r="C98" s="27" t="n">
        <f aca="false">C85-C96</f>
        <v>0</v>
      </c>
      <c r="D98" s="27" t="n">
        <f aca="false">D85-D96</f>
        <v>-2327.45319736123</v>
      </c>
      <c r="E98" s="27" t="n">
        <f aca="false">E85-E96</f>
        <v>15636.1007880208</v>
      </c>
      <c r="F98" s="27" t="n">
        <f aca="false">F85-F96</f>
        <v>30251.1991634247</v>
      </c>
      <c r="G98" s="27" t="n">
        <f aca="false">G85-G96</f>
        <v>32148.5708354833</v>
      </c>
      <c r="H98" s="27" t="n">
        <f aca="false">H85-H96</f>
        <v>35991.5501044106</v>
      </c>
      <c r="I98" s="27" t="n">
        <f aca="false">I85-I96</f>
        <v>40125.1207499668</v>
      </c>
      <c r="J98" s="27" t="n">
        <f aca="false">J85-J96</f>
        <v>42690.5297295472</v>
      </c>
      <c r="K98" s="27" t="n">
        <f aca="false">K85-K96</f>
        <v>39463.7796173823</v>
      </c>
      <c r="L98" s="27" t="n">
        <f aca="false">L85-L96</f>
        <v>35906.3379890343</v>
      </c>
      <c r="M98" s="27" t="n">
        <f aca="false">M85-M96</f>
        <v>31995.0495574577</v>
      </c>
      <c r="N98" s="27" t="n">
        <f aca="false">N85-N96</f>
        <v>27705.2834745029</v>
      </c>
      <c r="O98" s="27" t="n">
        <f aca="false">O85-O96</f>
        <v>23010.8421303861</v>
      </c>
      <c r="P98" s="27" t="n">
        <f aca="false">P85-P96</f>
        <v>17883.8643743695</v>
      </c>
      <c r="Q98" s="27" t="n">
        <f aca="false">Q85-Q96</f>
        <v>12294.7228165479</v>
      </c>
      <c r="R98" s="27" t="n">
        <f aca="false">R85-R96</f>
        <v>6211.91484992456</v>
      </c>
      <c r="S98" s="27" t="n">
        <f aca="false">S85-S96</f>
        <v>-398.052990015975</v>
      </c>
      <c r="T98" s="27" t="n">
        <f aca="false">T85-T96</f>
        <v>-7570.7877343419</v>
      </c>
      <c r="U98" s="27" t="n">
        <f aca="false">U85-U96</f>
        <v>-15344.1401891516</v>
      </c>
      <c r="V98" s="27" t="n">
        <f aca="false">V85-V96</f>
        <v>-23758.3431005716</v>
      </c>
      <c r="W98" s="27" t="n">
        <f aca="false">W85-W96</f>
        <v>-32856.1577611822</v>
      </c>
    </row>
    <row r="99" customFormat="false" ht="15" hidden="false" customHeight="false" outlineLevel="0" collapsed="false">
      <c r="A99" s="10" t="s">
        <v>437</v>
      </c>
      <c r="C99" s="81" t="n">
        <v>0</v>
      </c>
      <c r="D99" s="81" t="n">
        <f aca="false">IFERROR(D98/D85,0)</f>
        <v>-0.0353749033009288</v>
      </c>
      <c r="E99" s="81" t="n">
        <f aca="false">IFERROR(E98/E85,0)</f>
        <v>0.171093696200505</v>
      </c>
      <c r="F99" s="81" t="n">
        <f aca="false">IFERROR(F98/F85,0)</f>
        <v>0.269616070410002</v>
      </c>
      <c r="G99" s="81" t="n">
        <f aca="false">IFERROR(G98/G85,0)</f>
        <v>0.274295818048844</v>
      </c>
      <c r="H99" s="81" t="n">
        <f aca="false">IFERROR(H98/H85,0)</f>
        <v>0.289456707161505</v>
      </c>
      <c r="I99" s="81" t="n">
        <f aca="false">IFERROR(I98/I85,0)</f>
        <v>0.304176016979623</v>
      </c>
      <c r="J99" s="81" t="n">
        <f aca="false">IFERROR(J98/J85,0)</f>
        <v>0.305046264271524</v>
      </c>
      <c r="K99" s="81" t="n">
        <f aca="false">IFERROR(K98/K85,0)</f>
        <v>0.265802092001625</v>
      </c>
      <c r="L99" s="81" t="n">
        <f aca="false">IFERROR(L98/L85,0)</f>
        <v>0.227958810834198</v>
      </c>
      <c r="M99" s="81" t="n">
        <f aca="false">IFERROR(M98/M85,0)</f>
        <v>0.191466855986107</v>
      </c>
      <c r="N99" s="81" t="n">
        <f aca="false">IFERROR(N98/N85,0)</f>
        <v>0.156278404050951</v>
      </c>
      <c r="O99" s="81" t="n">
        <f aca="false">IFERROR(O98/O85,0)</f>
        <v>0.122347312161888</v>
      </c>
      <c r="P99" s="81" t="n">
        <f aca="false">IFERROR(P98/P85,0)</f>
        <v>0.0896290592702293</v>
      </c>
      <c r="Q99" s="81" t="n">
        <f aca="false">IFERROR(Q98/Q85,0)</f>
        <v>0.0580806894664714</v>
      </c>
      <c r="R99" s="81" t="n">
        <f aca="false">IFERROR(R98/R85,0)</f>
        <v>0.0276607572730025</v>
      </c>
      <c r="S99" s="81" t="n">
        <f aca="false">IFERROR(S98/S85,0)</f>
        <v>-0.0016707251598478</v>
      </c>
      <c r="T99" s="81" t="n">
        <f aca="false">IFERROR(T98/T85,0)</f>
        <v>-0.0299523390203827</v>
      </c>
      <c r="U99" s="81" t="n">
        <f aca="false">IFERROR(U98/U85,0)</f>
        <v>-0.0572213080284257</v>
      </c>
      <c r="V99" s="81" t="n">
        <f aca="false">IFERROR(V98/V85,0)</f>
        <v>-0.0835135459160168</v>
      </c>
      <c r="W99" s="81" t="n">
        <f aca="false">IFERROR(W98/W85,0)</f>
        <v>-0.108863702255271</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S_Coll_Lo!$B$14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S_Coll_Lo!$B$16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IF(AND(D39&gt;SenGrace,D39&lt;=SenTenor),PMT(SenRate*$B$11,SenTenor-SenGrace,-S_Coll_Lo!$B$16)-D114,0)</f>
        <v>0</v>
      </c>
      <c r="E115" s="83" t="n">
        <f aca="false">IF(AND(E39&gt;SenGrace,E39&lt;=SenTenor),PMT(SenRate*$B$11,SenTenor-SenGrace,-S_Coll_Lo!$B$16)-E114,0)</f>
        <v>0</v>
      </c>
      <c r="F115" s="83" t="n">
        <f aca="false">IF(AND(F39&gt;SenGrace,F39&lt;=SenTenor),PMT(SenRate*$B$11,SenTenor-SenGrace,-S_Coll_Lo!$B$16)-F114,0)</f>
        <v>9671.48769410162</v>
      </c>
      <c r="G115" s="83" t="n">
        <f aca="false">IF(AND(G39&gt;SenGrace,G39&lt;=SenTenor),PMT(SenRate*$B$11,SenTenor-SenGrace,-S_Coll_Lo!$B$16)-G114,0)</f>
        <v>10638.6364635118</v>
      </c>
      <c r="H115" s="83" t="n">
        <f aca="false">IF(AND(H39&gt;SenGrace,H39&lt;=SenTenor),PMT(SenRate*$B$11,SenTenor-SenGrace,-S_Coll_Lo!$B$16)-H114,0)</f>
        <v>11702.500109863</v>
      </c>
      <c r="I115" s="83" t="n">
        <f aca="false">IF(AND(I39&gt;SenGrace,I39&lt;=SenTenor),PMT(SenRate*$B$11,SenTenor-SenGrace,-S_Coll_Lo!$B$16)-I114,0)</f>
        <v>12872.7501208493</v>
      </c>
      <c r="J115" s="83" t="n">
        <f aca="false">IF(AND(J39&gt;SenGrace,J39&lt;=SenTenor),PMT(SenRate*$B$11,SenTenor-SenGrace,-S_Coll_Lo!$B$16)-J114,0)</f>
        <v>14160.0251329342</v>
      </c>
      <c r="K115" s="83" t="n">
        <f aca="false">IF(AND(K39&gt;SenGrace,K39&lt;=SenTenor),PMT(SenRate*$B$11,SenTenor-SenGrace,-S_Coll_Lo!$B$16)-K114,0)</f>
        <v>15576.0276462276</v>
      </c>
      <c r="L115" s="83" t="n">
        <f aca="false">IF(AND(L39&gt;SenGrace,L39&lt;=SenTenor),PMT(SenRate*$B$11,SenTenor-SenGrace,-S_Coll_Lo!$B$16)-L114,0)</f>
        <v>17133.6304108504</v>
      </c>
      <c r="M115" s="83" t="n">
        <f aca="false">IF(AND(M39&gt;SenGrace,M39&lt;=SenTenor),PMT(SenRate*$B$11,SenTenor-SenGrace,-S_Coll_Lo!$B$16)-M114,0)</f>
        <v>18846.9934519354</v>
      </c>
      <c r="N115" s="83" t="n">
        <f aca="false">IF(AND(N39&gt;SenGrace,N39&lt;=SenTenor),PMT(SenRate*$B$11,SenTenor-SenGrace,-S_Coll_Lo!$B$16)-N114,0)</f>
        <v>0</v>
      </c>
      <c r="O115" s="83" t="n">
        <f aca="false">IF(AND(O39&gt;SenGrace,O39&lt;=SenTenor),PMT(SenRate*$B$11,SenTenor-SenGrace,-S_Coll_Lo!$B$16)-O114,0)</f>
        <v>0</v>
      </c>
      <c r="P115" s="83" t="n">
        <f aca="false">IF(AND(P39&gt;SenGrace,P39&lt;=SenTenor),PMT(SenRate*$B$11,SenTenor-SenGrace,-S_Coll_Lo!$B$16)-P114,0)</f>
        <v>0</v>
      </c>
      <c r="Q115" s="83" t="n">
        <f aca="false">IF(AND(Q39&gt;SenGrace,Q39&lt;=SenTenor),PMT(SenRate*$B$11,SenTenor-SenGrace,-S_Coll_Lo!$B$16)-Q114,0)</f>
        <v>0</v>
      </c>
      <c r="R115" s="83" t="n">
        <f aca="false">IF(AND(R39&gt;SenGrace,R39&lt;=SenTenor),PMT(SenRate*$B$11,SenTenor-SenGrace,-S_Coll_Lo!$B$16)-R114,0)</f>
        <v>0</v>
      </c>
      <c r="S115" s="83" t="n">
        <f aca="false">IF(AND(S39&gt;SenGrace,S39&lt;=SenTenor),PMT(SenRate*$B$11,SenTenor-SenGrace,-S_Coll_Lo!$B$16)-S114,0)</f>
        <v>0</v>
      </c>
      <c r="T115" s="83" t="n">
        <f aca="false">IF(AND(T39&gt;SenGrace,T39&lt;=SenTenor),PMT(SenRate*$B$11,SenTenor-SenGrace,-S_Coll_Lo!$B$16)-T114,0)</f>
        <v>0</v>
      </c>
      <c r="U115" s="83" t="n">
        <f aca="false">IF(AND(U39&gt;SenGrace,U39&lt;=SenTenor),PMT(SenRate*$B$11,SenTenor-SenGrace,-S_Coll_Lo!$B$16)-U114,0)</f>
        <v>0</v>
      </c>
      <c r="V115" s="83" t="n">
        <f aca="false">IF(AND(V39&gt;SenGrace,V39&lt;=SenTenor),PMT(SenRate*$B$11,SenTenor-SenGrace,-S_Coll_Lo!$B$16)-V114,0)</f>
        <v>0</v>
      </c>
      <c r="W115" s="83" t="n">
        <f aca="false">IF(AND(W39&gt;SenGrace,W39&lt;=SenTenor),PMT(SenRate*$B$11,SenTenor-SenGrace,-S_Coll_Lo!$B$16)-W114,0)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S_Coll_Lo!$B$17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IF(AND(D39&gt;ConGrace,D39&lt;=ConTenor),PMT(ConRate*$B$11,ConTenor-ConGrace,-S_Coll_Lo!$B$17)-D121,0)</f>
        <v>0</v>
      </c>
      <c r="E122" s="83" t="n">
        <f aca="false">IF(AND(E39&gt;ConGrace,E39&lt;=ConTenor),PMT(ConRate*$B$11,ConTenor-ConGrace,-S_Coll_Lo!$B$17)-E121,0)</f>
        <v>0</v>
      </c>
      <c r="F122" s="83" t="n">
        <f aca="false">IF(AND(F39&gt;ConGrace,F39&lt;=ConTenor),PMT(ConRate*$B$11,ConTenor-ConGrace,-S_Coll_Lo!$B$17)-F121,0)</f>
        <v>0</v>
      </c>
      <c r="G122" s="83" t="n">
        <f aca="false">IF(AND(G39&gt;ConGrace,G39&lt;=ConTenor),PMT(ConRate*$B$11,ConTenor-ConGrace,-S_Coll_Lo!$B$17)-G121,0)</f>
        <v>0</v>
      </c>
      <c r="H122" s="83" t="n">
        <f aca="false">IF(AND(H39&gt;ConGrace,H39&lt;=ConTenor),PMT(ConRate*$B$11,ConTenor-ConGrace,-S_Coll_Lo!$B$17)-H121,0)</f>
        <v>0</v>
      </c>
      <c r="I122" s="83" t="n">
        <f aca="false">IF(AND(I39&gt;ConGrace,I39&lt;=ConTenor),PMT(ConRate*$B$11,ConTenor-ConGrace,-S_Coll_Lo!$B$17)-I121,0)</f>
        <v>9647.87294294044</v>
      </c>
      <c r="J122" s="83" t="n">
        <f aca="false">IF(AND(J39&gt;ConGrace,J39&lt;=ConTenor),PMT(ConRate*$B$11,ConTenor-ConGrace,-S_Coll_Lo!$B$17)-J121,0)</f>
        <v>9937.30913122865</v>
      </c>
      <c r="K122" s="83" t="n">
        <f aca="false">IF(AND(K39&gt;ConGrace,K39&lt;=ConTenor),PMT(ConRate*$B$11,ConTenor-ConGrace,-S_Coll_Lo!$B$17)-K121,0)</f>
        <v>10235.4284051655</v>
      </c>
      <c r="L122" s="83" t="n">
        <f aca="false">IF(AND(L39&gt;ConGrace,L39&lt;=ConTenor),PMT(ConRate*$B$11,ConTenor-ConGrace,-S_Coll_Lo!$B$17)-L121,0)</f>
        <v>10542.4912573205</v>
      </c>
      <c r="M122" s="83" t="n">
        <f aca="false">IF(AND(M39&gt;ConGrace,M39&lt;=ConTenor),PMT(ConRate*$B$11,ConTenor-ConGrace,-S_Coll_Lo!$B$17)-M121,0)</f>
        <v>10858.7659950401</v>
      </c>
      <c r="N122" s="83" t="n">
        <f aca="false">IF(AND(N39&gt;ConGrace,N39&lt;=ConTenor),PMT(ConRate*$B$11,ConTenor-ConGrace,-S_Coll_Lo!$B$17)-N121,0)</f>
        <v>11184.5289748913</v>
      </c>
      <c r="O122" s="83" t="n">
        <f aca="false">IF(AND(O39&gt;ConGrace,O39&lt;=ConTenor),PMT(ConRate*$B$11,ConTenor-ConGrace,-S_Coll_Lo!$B$17)-O121,0)</f>
        <v>11520.064844138</v>
      </c>
      <c r="P122" s="83" t="n">
        <f aca="false">IF(AND(P39&gt;ConGrace,P39&lt;=ConTenor),PMT(ConRate*$B$11,ConTenor-ConGrace,-S_Coll_Lo!$B$17)-P121,0)</f>
        <v>11865.6667894622</v>
      </c>
      <c r="Q122" s="83" t="n">
        <f aca="false">IF(AND(Q39&gt;ConGrace,Q39&lt;=ConTenor),PMT(ConRate*$B$11,ConTenor-ConGrace,-S_Coll_Lo!$B$17)-Q121,0)</f>
        <v>12221.636793146</v>
      </c>
      <c r="R122" s="83" t="n">
        <f aca="false">IF(AND(R39&gt;ConGrace,R39&lt;=ConTenor),PMT(ConRate*$B$11,ConTenor-ConGrace,-S_Coll_Lo!$B$17)-R121,0)</f>
        <v>12588.2858969404</v>
      </c>
      <c r="S122" s="83" t="n">
        <f aca="false">IF(AND(S39&gt;ConGrace,S39&lt;=ConTenor),PMT(ConRate*$B$11,ConTenor-ConGrace,-S_Coll_Lo!$B$17)-S121,0)</f>
        <v>0</v>
      </c>
      <c r="T122" s="83" t="n">
        <f aca="false">IF(AND(T39&gt;ConGrace,T39&lt;=ConTenor),PMT(ConRate*$B$11,ConTenor-ConGrace,-S_Coll_Lo!$B$17)-T121,0)</f>
        <v>0</v>
      </c>
      <c r="U122" s="83" t="n">
        <f aca="false">IF(AND(U39&gt;ConGrace,U39&lt;=ConTenor),PMT(ConRate*$B$11,ConTenor-ConGrace,-S_Coll_Lo!$B$17)-U121,0)</f>
        <v>0</v>
      </c>
      <c r="V122" s="83" t="n">
        <f aca="false">IF(AND(V39&gt;ConGrace,V39&lt;=ConTenor),PMT(ConRate*$B$11,ConTenor-ConGrace,-S_Coll_Lo!$B$17)-V121,0)</f>
        <v>0</v>
      </c>
      <c r="W122" s="83" t="n">
        <f aca="false">IF(AND(W39&gt;ConGrace,W39&lt;=ConTenor),PMT(ConRate*$B$11,ConTenor-ConGrace,-S_Coll_Lo!$B$17)-W121,0)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952470.285379773</v>
      </c>
      <c r="E127" s="83" t="n">
        <f aca="false">IF(E126&gt;0,(E147/MinDSCR-E121-E122)/E126,1000000000000)</f>
        <v>412189.931421173</v>
      </c>
      <c r="F127" s="83" t="n">
        <f aca="false">IF(F126&gt;0,(F147/MinDSCR-F121-F122)/F126,1000000000000)</f>
        <v>176462.079457913</v>
      </c>
      <c r="G127" s="83" t="n">
        <f aca="false">IF(G126&gt;0,(G147/MinDSCR-G121-G122)/G126,1000000000000)</f>
        <v>29125.2545038387</v>
      </c>
      <c r="H127" s="83" t="n">
        <f aca="false">IF(H126&gt;0,(H147/MinDSCR-H121-H122)/H126,1000000000000)</f>
        <v>44896.0320267593</v>
      </c>
      <c r="I127" s="83" t="n">
        <f aca="false">IF(I126&gt;0,(I147/MinDSCR-I121-I122)/I126,1000000000000)</f>
        <v>10388.6452385527</v>
      </c>
      <c r="J127" s="83" t="n">
        <f aca="false">IF(J126&gt;0,(J147/MinDSCR-J121-J122)/J126,1000000000000)</f>
        <v>20916.5433720129</v>
      </c>
      <c r="K127" s="83" t="n">
        <f aca="false">IF(K126&gt;0,(K147/MinDSCR-K121-K122)/K126,1000000000000)</f>
        <v>7674.64052010977</v>
      </c>
      <c r="L127" s="83" t="n">
        <f aca="false">IF(L126&gt;0,(L147/MinDSCR-L121-L122)/L126,1000000000000)</f>
        <v>-29627.577223141</v>
      </c>
      <c r="M127" s="83" t="n">
        <f aca="false">IF(M126&gt;0,(M147/MinDSCR-M121-M122)/M126,1000000000000)</f>
        <v>-45678.6811625038</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IF(D39&lt;=MIN(DepYears,Life),S_Coll_Lo!$B$14/DepYears,0)</f>
        <v>76867.3503434244</v>
      </c>
      <c r="E132" s="83" t="n">
        <f aca="false">IF(E39&lt;=MIN(DepYears,Life),S_Coll_Lo!$B$14/DepYears,0)</f>
        <v>76867.3503434244</v>
      </c>
      <c r="F132" s="83" t="n">
        <f aca="false">IF(F39&lt;=MIN(DepYears,Life),S_Coll_Lo!$B$14/DepYears,0)</f>
        <v>76867.3503434244</v>
      </c>
      <c r="G132" s="83" t="n">
        <f aca="false">IF(G39&lt;=MIN(DepYears,Life),S_Coll_Lo!$B$14/DepYears,0)</f>
        <v>76867.3503434244</v>
      </c>
      <c r="H132" s="83" t="n">
        <f aca="false">IF(H39&lt;=MIN(DepYears,Life),S_Coll_Lo!$B$14/DepYears,0)</f>
        <v>76867.3503434244</v>
      </c>
      <c r="I132" s="83" t="n">
        <f aca="false">IF(I39&lt;=MIN(DepYears,Life),S_Coll_Lo!$B$14/DepYears,0)</f>
        <v>76867.3503434244</v>
      </c>
      <c r="J132" s="83" t="n">
        <f aca="false">IF(J39&lt;=MIN(DepYears,Life),S_Coll_Lo!$B$14/DepYears,0)</f>
        <v>76867.3503434244</v>
      </c>
      <c r="K132" s="83" t="n">
        <f aca="false">IF(K39&lt;=MIN(DepYears,Life),S_Coll_Lo!$B$14/DepYears,0)</f>
        <v>76867.3503434244</v>
      </c>
      <c r="L132" s="83" t="n">
        <f aca="false">IF(L39&lt;=MIN(DepYears,Life),S_Coll_Lo!$B$14/DepYears,0)</f>
        <v>76867.3503434244</v>
      </c>
      <c r="M132" s="83" t="n">
        <f aca="false">IF(M39&lt;=MIN(DepYears,Life),S_Coll_Lo!$B$14/DepYears,0)</f>
        <v>76867.3503434244</v>
      </c>
      <c r="N132" s="83" t="n">
        <f aca="false">IF(N39&lt;=MIN(DepYears,Life),S_Coll_Lo!$B$14/DepYears,0)</f>
        <v>76867.3503434244</v>
      </c>
      <c r="O132" s="83" t="n">
        <f aca="false">IF(O39&lt;=MIN(DepYears,Life),S_Coll_Lo!$B$14/DepYears,0)</f>
        <v>76867.3503434244</v>
      </c>
      <c r="P132" s="83" t="n">
        <f aca="false">IF(P39&lt;=MIN(DepYears,Life),S_Coll_Lo!$B$14/DepYears,0)</f>
        <v>76867.3503434244</v>
      </c>
      <c r="Q132" s="83" t="n">
        <f aca="false">IF(Q39&lt;=MIN(DepYears,Life),S_Coll_Lo!$B$14/DepYears,0)</f>
        <v>76867.3503434244</v>
      </c>
      <c r="R132" s="83" t="n">
        <f aca="false">IF(R39&lt;=MIN(DepYears,Life),S_Coll_Lo!$B$14/DepYears,0)</f>
        <v>76867.3503434244</v>
      </c>
      <c r="S132" s="83" t="n">
        <f aca="false">IF(S39&lt;=MIN(DepYears,Life),S_Coll_Lo!$B$14/DepYears,0)</f>
        <v>0</v>
      </c>
      <c r="T132" s="83" t="n">
        <f aca="false">IF(T39&lt;=MIN(DepYears,Life),S_Coll_Lo!$B$14/DepYears,0)</f>
        <v>0</v>
      </c>
      <c r="U132" s="83" t="n">
        <f aca="false">IF(U39&lt;=MIN(DepYears,Life),S_Coll_Lo!$B$14/DepYears,0)</f>
        <v>0</v>
      </c>
      <c r="V132" s="83" t="n">
        <f aca="false">IF(V39&lt;=MIN(DepYears,Life),S_Coll_Lo!$B$14/DepYears,0)</f>
        <v>0</v>
      </c>
      <c r="W132" s="83" t="n">
        <f aca="false">IF(W39&lt;=MIN(DepYears,Life),S_Coll_Lo!$B$14/DepYears,0)</f>
        <v>0</v>
      </c>
    </row>
    <row r="133" customFormat="false" ht="15" hidden="false" customHeight="false" outlineLevel="0" collapsed="false">
      <c r="A133" s="10" t="s">
        <v>460</v>
      </c>
      <c r="B133" s="61" t="n">
        <f aca="false">SUM(C133:W133)</f>
        <v>-843950.323943531</v>
      </c>
      <c r="C133" s="83" t="n">
        <v>0</v>
      </c>
      <c r="D133" s="83" t="n">
        <f aca="false">D98-D132</f>
        <v>-79194.8035407856</v>
      </c>
      <c r="E133" s="83" t="n">
        <f aca="false">E98-E132</f>
        <v>-61231.2495554036</v>
      </c>
      <c r="F133" s="83" t="n">
        <f aca="false">F98-F132</f>
        <v>-46616.1511799997</v>
      </c>
      <c r="G133" s="83" t="n">
        <f aca="false">G98-G132</f>
        <v>-44718.7795079411</v>
      </c>
      <c r="H133" s="83" t="n">
        <f aca="false">H98-H132</f>
        <v>-40875.8002390138</v>
      </c>
      <c r="I133" s="83" t="n">
        <f aca="false">I98-I132</f>
        <v>-36742.2295934576</v>
      </c>
      <c r="J133" s="83" t="n">
        <f aca="false">J98-J132</f>
        <v>-34176.8206138772</v>
      </c>
      <c r="K133" s="83" t="n">
        <f aca="false">K98-K132</f>
        <v>-37403.5707260421</v>
      </c>
      <c r="L133" s="83" t="n">
        <f aca="false">L98-L132</f>
        <v>-40961.0123543901</v>
      </c>
      <c r="M133" s="83" t="n">
        <f aca="false">M98-M132</f>
        <v>-44872.3007859667</v>
      </c>
      <c r="N133" s="83" t="n">
        <f aca="false">N98-N132</f>
        <v>-49162.0668689214</v>
      </c>
      <c r="O133" s="83" t="n">
        <f aca="false">O98-O132</f>
        <v>-53856.5082130382</v>
      </c>
      <c r="P133" s="83" t="n">
        <f aca="false">P98-P132</f>
        <v>-58983.4859690548</v>
      </c>
      <c r="Q133" s="83" t="n">
        <f aca="false">Q98-Q132</f>
        <v>-64572.6275268765</v>
      </c>
      <c r="R133" s="83" t="n">
        <f aca="false">R98-R132</f>
        <v>-70655.4354934998</v>
      </c>
      <c r="S133" s="83" t="n">
        <f aca="false">S98-S132</f>
        <v>-398.052990015975</v>
      </c>
      <c r="T133" s="83" t="n">
        <f aca="false">T98-T132</f>
        <v>-7570.7877343419</v>
      </c>
      <c r="U133" s="83" t="n">
        <f aca="false">U98-U132</f>
        <v>-15344.1401891516</v>
      </c>
      <c r="V133" s="83" t="n">
        <f aca="false">V98-V132</f>
        <v>-23758.3431005716</v>
      </c>
      <c r="W133" s="83" t="n">
        <f aca="false">W98-W132</f>
        <v>-32856.1577611822</v>
      </c>
    </row>
    <row r="134" customFormat="false" ht="15" hidden="false" customHeight="false" outlineLevel="0" collapsed="false">
      <c r="A134" s="10" t="s">
        <v>461</v>
      </c>
      <c r="C134" s="83" t="n">
        <v>0</v>
      </c>
      <c r="D134" s="83" t="n">
        <f aca="false">0</f>
        <v>0</v>
      </c>
      <c r="E134" s="83" t="n">
        <f aca="false">D136</f>
        <v>79194.8035407856</v>
      </c>
      <c r="F134" s="83" t="n">
        <f aca="false">E136</f>
        <v>140426.053096189</v>
      </c>
      <c r="G134" s="83" t="n">
        <f aca="false">F136</f>
        <v>187042.204276189</v>
      </c>
      <c r="H134" s="83" t="n">
        <f aca="false">G136</f>
        <v>231760.98378413</v>
      </c>
      <c r="I134" s="83" t="n">
        <f aca="false">H136</f>
        <v>272636.784023144</v>
      </c>
      <c r="J134" s="83" t="n">
        <f aca="false">I136</f>
        <v>309379.013616601</v>
      </c>
      <c r="K134" s="83" t="n">
        <f aca="false">J136</f>
        <v>343555.834230478</v>
      </c>
      <c r="L134" s="83" t="n">
        <f aca="false">K136</f>
        <v>380959.404956521</v>
      </c>
      <c r="M134" s="83" t="n">
        <f aca="false">L136</f>
        <v>421920.417310911</v>
      </c>
      <c r="N134" s="83" t="n">
        <f aca="false">M136</f>
        <v>466792.718096877</v>
      </c>
      <c r="O134" s="83" t="n">
        <f aca="false">N136</f>
        <v>515954.784965799</v>
      </c>
      <c r="P134" s="83" t="n">
        <f aca="false">O136</f>
        <v>569811.293178837</v>
      </c>
      <c r="Q134" s="83" t="n">
        <f aca="false">P136</f>
        <v>628794.779147892</v>
      </c>
      <c r="R134" s="83" t="n">
        <f aca="false">Q136</f>
        <v>693367.406674768</v>
      </c>
      <c r="S134" s="83" t="n">
        <f aca="false">R136</f>
        <v>764022.842168268</v>
      </c>
      <c r="T134" s="83" t="n">
        <f aca="false">S136</f>
        <v>764420.895158284</v>
      </c>
      <c r="U134" s="83" t="n">
        <f aca="false">T136</f>
        <v>771991.682892626</v>
      </c>
      <c r="V134" s="83" t="n">
        <f aca="false">U136</f>
        <v>787335.823081777</v>
      </c>
      <c r="W134" s="83" t="n">
        <f aca="false">V136</f>
        <v>811094.166182349</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0</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79194.8035407856</v>
      </c>
      <c r="E136" s="83" t="n">
        <f aca="false">E134-E135+MAX(-E133,0)</f>
        <v>140426.053096189</v>
      </c>
      <c r="F136" s="83" t="n">
        <f aca="false">F134-F135+MAX(-F133,0)</f>
        <v>187042.204276189</v>
      </c>
      <c r="G136" s="83" t="n">
        <f aca="false">G134-G135+MAX(-G133,0)</f>
        <v>231760.98378413</v>
      </c>
      <c r="H136" s="83" t="n">
        <f aca="false">H134-H135+MAX(-H133,0)</f>
        <v>272636.784023144</v>
      </c>
      <c r="I136" s="83" t="n">
        <f aca="false">I134-I135+MAX(-I133,0)</f>
        <v>309379.013616601</v>
      </c>
      <c r="J136" s="83" t="n">
        <f aca="false">J134-J135+MAX(-J133,0)</f>
        <v>343555.834230478</v>
      </c>
      <c r="K136" s="83" t="n">
        <f aca="false">K134-K135+MAX(-K133,0)</f>
        <v>380959.404956521</v>
      </c>
      <c r="L136" s="83" t="n">
        <f aca="false">L134-L135+MAX(-L133,0)</f>
        <v>421920.417310911</v>
      </c>
      <c r="M136" s="83" t="n">
        <f aca="false">M134-M135+MAX(-M133,0)</f>
        <v>466792.718096877</v>
      </c>
      <c r="N136" s="83" t="n">
        <f aca="false">N134-N135+MAX(-N133,0)</f>
        <v>515954.784965799</v>
      </c>
      <c r="O136" s="83" t="n">
        <f aca="false">O134-O135+MAX(-O133,0)</f>
        <v>569811.293178837</v>
      </c>
      <c r="P136" s="83" t="n">
        <f aca="false">P134-P135+MAX(-P133,0)</f>
        <v>628794.779147892</v>
      </c>
      <c r="Q136" s="83" t="n">
        <f aca="false">Q134-Q135+MAX(-Q133,0)</f>
        <v>693367.406674768</v>
      </c>
      <c r="R136" s="83" t="n">
        <f aca="false">R134-R135+MAX(-R133,0)</f>
        <v>764022.842168268</v>
      </c>
      <c r="S136" s="83" t="n">
        <f aca="false">S134-S135+MAX(-S133,0)</f>
        <v>764420.895158284</v>
      </c>
      <c r="T136" s="83" t="n">
        <f aca="false">T134-T135+MAX(-T133,0)</f>
        <v>771991.682892626</v>
      </c>
      <c r="U136" s="83" t="n">
        <f aca="false">U134-U135+MAX(-U133,0)</f>
        <v>787335.823081777</v>
      </c>
      <c r="V136" s="83" t="n">
        <f aca="false">V134-V135+MAX(-V133,0)</f>
        <v>811094.166182349</v>
      </c>
      <c r="W136" s="83" t="n">
        <f aca="false">W134-W135+MAX(-W133,0)</f>
        <v>843950.323943531</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-956969.826859098</v>
      </c>
      <c r="C138" s="83" t="n">
        <v>0</v>
      </c>
      <c r="D138" s="83" t="n">
        <f aca="false">D98-D132-D114-D121</f>
        <v>-93573.0701747211</v>
      </c>
      <c r="E138" s="83" t="n">
        <f aca="false">E98-E132-E114-E121</f>
        <v>-75609.5161893391</v>
      </c>
      <c r="F138" s="83" t="n">
        <f aca="false">F98-F132-F114-F121</f>
        <v>-60994.4178139352</v>
      </c>
      <c r="G138" s="83" t="n">
        <f aca="false">G98-G132-G114-G121</f>
        <v>-58129.8973724664</v>
      </c>
      <c r="H138" s="83" t="n">
        <f aca="false">H98-H132-H114-H121</f>
        <v>-53223.054457188</v>
      </c>
      <c r="I138" s="83" t="n">
        <f aca="false">I98-I132-I114-I121</f>
        <v>-47919.2338006454</v>
      </c>
      <c r="J138" s="83" t="n">
        <f aca="false">J98-J132-J114-J121</f>
        <v>-43777.1136206919</v>
      </c>
      <c r="K138" s="83" t="n">
        <f aca="false">K98-K132-K114-K121</f>
        <v>-45289.7419456265</v>
      </c>
      <c r="L138" s="83" t="n">
        <f aca="false">L98-L132-L114-L121</f>
        <v>-46982.5179571968</v>
      </c>
      <c r="M138" s="83" t="n">
        <f aca="false">M98-M132-M114-M121</f>
        <v>-48864.1686099687</v>
      </c>
      <c r="N138" s="83" t="n">
        <f aca="false">N98-N132-N114-N121</f>
        <v>-50943.4723678788</v>
      </c>
      <c r="O138" s="83" t="n">
        <f aca="false">O98-O132-O114-O121</f>
        <v>-55302.3778427488</v>
      </c>
      <c r="P138" s="83" t="n">
        <f aca="false">P98-P132-P114-P121</f>
        <v>-60083.7536534413</v>
      </c>
      <c r="Q138" s="83" t="n">
        <f aca="false">Q98-Q132-Q114-Q121</f>
        <v>-65316.9252075791</v>
      </c>
      <c r="R138" s="83" t="n">
        <f aca="false">R98-R132-R114-R121</f>
        <v>-71033.084070408</v>
      </c>
      <c r="S138" s="83" t="n">
        <f aca="false">S98-S132-S114-S121</f>
        <v>-398.052990015975</v>
      </c>
      <c r="T138" s="83" t="n">
        <f aca="false">T98-T132-T114-T121</f>
        <v>-7570.7877343419</v>
      </c>
      <c r="U138" s="83" t="n">
        <f aca="false">U98-U132-U114-U121</f>
        <v>-15344.1401891516</v>
      </c>
      <c r="V138" s="83" t="n">
        <f aca="false">V98-V132-V114-V121</f>
        <v>-23758.3431005716</v>
      </c>
      <c r="W138" s="83" t="n">
        <f aca="false">W98-W132-W114-W121</f>
        <v>-32856.1577611822</v>
      </c>
    </row>
    <row r="139" customFormat="false" ht="15" hidden="false" customHeight="false" outlineLevel="0" collapsed="false">
      <c r="A139" s="10" t="s">
        <v>461</v>
      </c>
      <c r="C139" s="83" t="n">
        <v>0</v>
      </c>
      <c r="D139" s="83" t="n">
        <f aca="false">0</f>
        <v>0</v>
      </c>
      <c r="E139" s="83" t="n">
        <f aca="false">D141</f>
        <v>93573.0701747211</v>
      </c>
      <c r="F139" s="83" t="n">
        <f aca="false">E141</f>
        <v>169182.58636406</v>
      </c>
      <c r="G139" s="83" t="n">
        <f aca="false">F141</f>
        <v>230177.004177995</v>
      </c>
      <c r="H139" s="83" t="n">
        <f aca="false">G141</f>
        <v>288306.901550462</v>
      </c>
      <c r="I139" s="83" t="n">
        <f aca="false">H141</f>
        <v>341529.95600765</v>
      </c>
      <c r="J139" s="83" t="n">
        <f aca="false">I141</f>
        <v>389449.189808295</v>
      </c>
      <c r="K139" s="83" t="n">
        <f aca="false">J141</f>
        <v>433226.303428987</v>
      </c>
      <c r="L139" s="83" t="n">
        <f aca="false">K141</f>
        <v>478516.045374614</v>
      </c>
      <c r="M139" s="83" t="n">
        <f aca="false">L141</f>
        <v>525498.56333181</v>
      </c>
      <c r="N139" s="83" t="n">
        <f aca="false">M141</f>
        <v>574362.731941779</v>
      </c>
      <c r="O139" s="83" t="n">
        <f aca="false">N141</f>
        <v>625306.204309658</v>
      </c>
      <c r="P139" s="83" t="n">
        <f aca="false">O141</f>
        <v>680608.582152407</v>
      </c>
      <c r="Q139" s="83" t="n">
        <f aca="false">P141</f>
        <v>740692.335805848</v>
      </c>
      <c r="R139" s="83" t="n">
        <f aca="false">Q141</f>
        <v>806009.261013427</v>
      </c>
      <c r="S139" s="83" t="n">
        <f aca="false">R141</f>
        <v>877042.345083835</v>
      </c>
      <c r="T139" s="83" t="n">
        <f aca="false">S141</f>
        <v>877440.398073851</v>
      </c>
      <c r="U139" s="83" t="n">
        <f aca="false">T141</f>
        <v>885011.185808193</v>
      </c>
      <c r="V139" s="83" t="n">
        <f aca="false">U141</f>
        <v>900355.325997345</v>
      </c>
      <c r="W139" s="83" t="n">
        <f aca="false">V141</f>
        <v>924113.669097916</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0</v>
      </c>
      <c r="T140" s="83" t="n">
        <f aca="false">MIN(T139,MAX(T138,0))</f>
        <v>0</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93573.0701747211</v>
      </c>
      <c r="E141" s="83" t="n">
        <f aca="false">E139-E140+MAX(-E138,0)</f>
        <v>169182.58636406</v>
      </c>
      <c r="F141" s="83" t="n">
        <f aca="false">F139-F140+MAX(-F138,0)</f>
        <v>230177.004177995</v>
      </c>
      <c r="G141" s="83" t="n">
        <f aca="false">G139-G140+MAX(-G138,0)</f>
        <v>288306.901550462</v>
      </c>
      <c r="H141" s="83" t="n">
        <f aca="false">H139-H140+MAX(-H138,0)</f>
        <v>341529.95600765</v>
      </c>
      <c r="I141" s="83" t="n">
        <f aca="false">I139-I140+MAX(-I138,0)</f>
        <v>389449.189808295</v>
      </c>
      <c r="J141" s="83" t="n">
        <f aca="false">J139-J140+MAX(-J138,0)</f>
        <v>433226.303428987</v>
      </c>
      <c r="K141" s="83" t="n">
        <f aca="false">K139-K140+MAX(-K138,0)</f>
        <v>478516.045374614</v>
      </c>
      <c r="L141" s="83" t="n">
        <f aca="false">L139-L140+MAX(-L138,0)</f>
        <v>525498.56333181</v>
      </c>
      <c r="M141" s="83" t="n">
        <f aca="false">M139-M140+MAX(-M138,0)</f>
        <v>574362.731941779</v>
      </c>
      <c r="N141" s="83" t="n">
        <f aca="false">N139-N140+MAX(-N138,0)</f>
        <v>625306.204309658</v>
      </c>
      <c r="O141" s="83" t="n">
        <f aca="false">O139-O140+MAX(-O138,0)</f>
        <v>680608.582152407</v>
      </c>
      <c r="P141" s="83" t="n">
        <f aca="false">P139-P140+MAX(-P138,0)</f>
        <v>740692.335805848</v>
      </c>
      <c r="Q141" s="83" t="n">
        <f aca="false">Q139-Q140+MAX(-Q138,0)</f>
        <v>806009.261013427</v>
      </c>
      <c r="R141" s="83" t="n">
        <f aca="false">R139-R140+MAX(-R138,0)</f>
        <v>877042.345083835</v>
      </c>
      <c r="S141" s="83" t="n">
        <f aca="false">S139-S140+MAX(-S138,0)</f>
        <v>877440.398073851</v>
      </c>
      <c r="T141" s="83" t="n">
        <f aca="false">T139-T140+MAX(-T138,0)</f>
        <v>885011.185808193</v>
      </c>
      <c r="U141" s="83" t="n">
        <f aca="false">U139-U140+MAX(-U138,0)</f>
        <v>900355.325997345</v>
      </c>
      <c r="V141" s="83" t="n">
        <f aca="false">V139-V140+MAX(-V138,0)</f>
        <v>924113.669097916</v>
      </c>
      <c r="W141" s="83" t="n">
        <f aca="false">W139-W140+MAX(-W138,0)</f>
        <v>956969.826859098</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-1093937.48072582</v>
      </c>
      <c r="C145" s="27" t="n">
        <f aca="false">-C102+C98-C103-C137</f>
        <v>-1153010.25515137</v>
      </c>
      <c r="D145" s="27" t="n">
        <f aca="false">-D102+D98-D103-D137</f>
        <v>-2327.45319736123</v>
      </c>
      <c r="E145" s="27" t="n">
        <f aca="false">-E102+E98-E103-E137</f>
        <v>15636.1007880208</v>
      </c>
      <c r="F145" s="27" t="n">
        <f aca="false">-F102+F98-F103-F137</f>
        <v>30251.1991634247</v>
      </c>
      <c r="G145" s="27" t="n">
        <f aca="false">-G102+G98-G103-G137</f>
        <v>32148.5708354833</v>
      </c>
      <c r="H145" s="27" t="n">
        <f aca="false">-H102+H98-H103-H137</f>
        <v>35991.5501044106</v>
      </c>
      <c r="I145" s="27" t="n">
        <f aca="false">-I102+I98-I103-I137</f>
        <v>40125.1207499668</v>
      </c>
      <c r="J145" s="27" t="n">
        <f aca="false">-J102+J98-J103-J137</f>
        <v>42690.5297295472</v>
      </c>
      <c r="K145" s="27" t="n">
        <f aca="false">-K102+K98-K103-K137</f>
        <v>-126439.658087319</v>
      </c>
      <c r="L145" s="27" t="n">
        <f aca="false">-L102+L98-L103-L137</f>
        <v>35906.3379890343</v>
      </c>
      <c r="M145" s="27" t="n">
        <f aca="false">-M102+M98-M103-M137</f>
        <v>31995.0495574577</v>
      </c>
      <c r="N145" s="27" t="n">
        <f aca="false">-N102+N98-N103-N137</f>
        <v>27705.2834745029</v>
      </c>
      <c r="O145" s="27" t="n">
        <f aca="false">-O102+O98-O103-O137</f>
        <v>23010.8421303861</v>
      </c>
      <c r="P145" s="27" t="n">
        <f aca="false">-P102+P98-P103-P137</f>
        <v>17883.8643743695</v>
      </c>
      <c r="Q145" s="27" t="n">
        <f aca="false">-Q102+Q98-Q103-Q137</f>
        <v>12294.7228165479</v>
      </c>
      <c r="R145" s="27" t="n">
        <f aca="false">-R102+R98-R103-R137</f>
        <v>6211.91484992456</v>
      </c>
      <c r="S145" s="27" t="n">
        <f aca="false">-S102+S98-S103-S137</f>
        <v>-210559.564273686</v>
      </c>
      <c r="T145" s="27" t="n">
        <f aca="false">-T102+T98-T103-T137</f>
        <v>-7570.7877343419</v>
      </c>
      <c r="U145" s="27" t="n">
        <f aca="false">-U102+U98-U103-U137</f>
        <v>-15344.1401891516</v>
      </c>
      <c r="V145" s="27" t="n">
        <f aca="false">-V102+V98-V103-V137</f>
        <v>-23758.3431005716</v>
      </c>
      <c r="W145" s="27" t="n">
        <f aca="false">-W102+W98-W103-W137</f>
        <v>-32856.1577611822</v>
      </c>
    </row>
    <row r="146" customFormat="false" ht="15" hidden="false" customHeight="false" outlineLevel="0" collapsed="false">
      <c r="A146" s="15" t="s">
        <v>469</v>
      </c>
      <c r="B146" s="61" t="n">
        <f aca="false">C146+NPV(Hurdle,D146:W146)</f>
        <v>-276017.120094711</v>
      </c>
      <c r="C146" s="27" t="n">
        <f aca="false">C145+C106+C108</f>
        <v>-553010.255151365</v>
      </c>
      <c r="D146" s="27" t="n">
        <f aca="false">D145+D106+D108</f>
        <v>148872.546802639</v>
      </c>
      <c r="E146" s="27" t="n">
        <f aca="false">E145+E106+E108</f>
        <v>78636.1007880208</v>
      </c>
      <c r="F146" s="27" t="n">
        <f aca="false">F145+F106+F108</f>
        <v>68051.1991634247</v>
      </c>
      <c r="G146" s="27" t="n">
        <f aca="false">G145+G106+G108</f>
        <v>32148.5708354833</v>
      </c>
      <c r="H146" s="27" t="n">
        <f aca="false">H145+H106+H108</f>
        <v>35991.5501044106</v>
      </c>
      <c r="I146" s="27" t="n">
        <f aca="false">I145+I106+I108</f>
        <v>40125.1207499668</v>
      </c>
      <c r="J146" s="27" t="n">
        <f aca="false">J145+J106+J108</f>
        <v>42690.5297295472</v>
      </c>
      <c r="K146" s="27" t="n">
        <f aca="false">K145+K106+K108</f>
        <v>-126439.658087319</v>
      </c>
      <c r="L146" s="27" t="n">
        <f aca="false">L145+L106+L108</f>
        <v>35906.3379890343</v>
      </c>
      <c r="M146" s="27" t="n">
        <f aca="false">M145+M106+M108</f>
        <v>31995.0495574577</v>
      </c>
      <c r="N146" s="27" t="n">
        <f aca="false">N145+N106+N108</f>
        <v>27705.2834745029</v>
      </c>
      <c r="O146" s="27" t="n">
        <f aca="false">O145+O106+O108</f>
        <v>23010.8421303861</v>
      </c>
      <c r="P146" s="27" t="n">
        <f aca="false">P145+P106+P108</f>
        <v>17883.8643743695</v>
      </c>
      <c r="Q146" s="27" t="n">
        <f aca="false">Q145+Q106+Q108</f>
        <v>12294.7228165479</v>
      </c>
      <c r="R146" s="27" t="n">
        <f aca="false">R145+R106+R108</f>
        <v>6211.91484992456</v>
      </c>
      <c r="S146" s="27" t="n">
        <f aca="false">S145+S106+S108</f>
        <v>-210559.564273686</v>
      </c>
      <c r="T146" s="27" t="n">
        <f aca="false">T145+T106+T108</f>
        <v>-7570.7877343419</v>
      </c>
      <c r="U146" s="27" t="n">
        <f aca="false">U145+U106+U108</f>
        <v>-15344.1401891516</v>
      </c>
      <c r="V146" s="27" t="n">
        <f aca="false">V145+V106+V108</f>
        <v>-23758.3431005716</v>
      </c>
      <c r="W146" s="27" t="n">
        <f aca="false">W145+W106+W108</f>
        <v>-32856.1577611822</v>
      </c>
    </row>
    <row r="147" customFormat="false" ht="15" hidden="false" customHeight="false" outlineLevel="0" collapsed="false">
      <c r="A147" s="10" t="s">
        <v>237</v>
      </c>
      <c r="B147" s="61" t="n">
        <f aca="false">SUM(C147:W147)</f>
        <v>184994.982219463</v>
      </c>
      <c r="C147" s="83" t="n">
        <v>0</v>
      </c>
      <c r="D147" s="83" t="n">
        <f aca="false">D98-D105-D142+D108</f>
        <v>128134.617089551</v>
      </c>
      <c r="E147" s="83" t="n">
        <f aca="false">E98-E105-E142+E108</f>
        <v>57898.1710749331</v>
      </c>
      <c r="F147" s="83" t="n">
        <f aca="false">F98-F105-F142+F108</f>
        <v>47313.269450337</v>
      </c>
      <c r="G147" s="83" t="n">
        <f aca="false">G98-G105-G142+G108</f>
        <v>11410.6411223956</v>
      </c>
      <c r="H147" s="83" t="n">
        <f aca="false">H98-H105-H142+H108</f>
        <v>15253.6203913229</v>
      </c>
      <c r="I147" s="83" t="n">
        <f aca="false">I98-I105-I142+I108</f>
        <v>19387.1910368791</v>
      </c>
      <c r="J147" s="83" t="n">
        <f aca="false">J98-J105-J142+J108</f>
        <v>21952.6000164595</v>
      </c>
      <c r="K147" s="83" t="n">
        <f aca="false">K98-K105-K142+K108</f>
        <v>18725.8499042946</v>
      </c>
      <c r="L147" s="83" t="n">
        <f aca="false">L98-L105-L142+L108</f>
        <v>9636.14907857557</v>
      </c>
      <c r="M147" s="83" t="n">
        <f aca="false">M98-M105-M142+M108</f>
        <v>5724.86064699897</v>
      </c>
      <c r="N147" s="83" t="n">
        <f aca="false">N98-N105-N142+N108</f>
        <v>1435.0945640442</v>
      </c>
      <c r="O147" s="83" t="n">
        <f aca="false">O98-O105-O142+O108</f>
        <v>-3259.34678007261</v>
      </c>
      <c r="P147" s="83" t="n">
        <f aca="false">P98-P105-P142+P108</f>
        <v>-8386.32453608921</v>
      </c>
      <c r="Q147" s="83" t="n">
        <f aca="false">Q98-Q105-Q142+Q108</f>
        <v>-13975.4660939108</v>
      </c>
      <c r="R147" s="83" t="n">
        <f aca="false">R98-R105-R142+R108</f>
        <v>-20058.2740605342</v>
      </c>
      <c r="S147" s="83" t="n">
        <f aca="false">S98-S105-S142+S108</f>
        <v>-26668.2419004747</v>
      </c>
      <c r="T147" s="83" t="n">
        <f aca="false">T98-T105-T142+T108</f>
        <v>-7570.7877343419</v>
      </c>
      <c r="U147" s="83" t="n">
        <f aca="false">U98-U105-U142+U108</f>
        <v>-15344.1401891516</v>
      </c>
      <c r="V147" s="83" t="n">
        <f aca="false">V98-V105-V142+V108</f>
        <v>-23758.3431005716</v>
      </c>
      <c r="W147" s="83" t="n">
        <f aca="false">W98-W105-W142+W108</f>
        <v>-32856.1577611822</v>
      </c>
    </row>
    <row r="148" customFormat="false" ht="15" hidden="false" customHeight="false" outlineLevel="0" collapsed="false">
      <c r="A148" s="10" t="s">
        <v>470</v>
      </c>
      <c r="C148" s="86" t="n">
        <v>0</v>
      </c>
      <c r="D148" s="86" t="n">
        <f aca="false">IF(D125&gt;0,D147/D125,"")</f>
        <v>8.9116873648127</v>
      </c>
      <c r="E148" s="86" t="n">
        <f aca="false">IF(E125&gt;0,E147/E125,"")</f>
        <v>4.02678379452793</v>
      </c>
      <c r="F148" s="86" t="n">
        <f aca="false">IF(F125&gt;0,F147/F125,"")</f>
        <v>1.96730780718119</v>
      </c>
      <c r="G148" s="86" t="n">
        <f aca="false">IF(G125&gt;0,G147/G125,"")</f>
        <v>0.474459778954713</v>
      </c>
      <c r="H148" s="86" t="n">
        <f aca="false">IF(H125&gt;0,H147/H125,"")</f>
        <v>0.634252649040172</v>
      </c>
      <c r="I148" s="86" t="n">
        <f aca="false">IF(I125&gt;0,I147/I125,"")</f>
        <v>0.575328075207733</v>
      </c>
      <c r="J148" s="86" t="n">
        <f aca="false">IF(J125&gt;0,J147/J125,"")</f>
        <v>0.651458330876799</v>
      </c>
      <c r="K148" s="86" t="n">
        <f aca="false">IF(K125&gt;0,K147/K125,"")</f>
        <v>0.555702327458006</v>
      </c>
      <c r="L148" s="86" t="n">
        <f aca="false">IF(L125&gt;0,L147/L125,"")</f>
        <v>0.28595927544355</v>
      </c>
      <c r="M148" s="86" t="n">
        <f aca="false">IF(M125&gt;0,M147/M125,"")</f>
        <v>0.169889131984363</v>
      </c>
      <c r="N148" s="86" t="n">
        <f aca="false">IF(N125&gt;0,N147/N125,"")</f>
        <v>0.110681923230345</v>
      </c>
      <c r="O148" s="86" t="n">
        <f aca="false">IF(O125&gt;0,O147/O125,"")</f>
        <v>-0.251377699513019</v>
      </c>
      <c r="P148" s="86" t="n">
        <f aca="false">IF(P125&gt;0,P147/P125,"")</f>
        <v>-0.646796769874461</v>
      </c>
      <c r="Q148" s="86" t="n">
        <f aca="false">IF(Q125&gt;0,Q147/Q125,"")</f>
        <v>-1.07786030556443</v>
      </c>
      <c r="R148" s="86" t="n">
        <f aca="false">IF(R125&gt;0,R147/R125,"")</f>
        <v>-1.54699795074472</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-288978.079275677</v>
      </c>
      <c r="C149" s="27" t="n">
        <f aca="false">-S_Coll_Lo!$B$18-C129</f>
        <v>-338995.286407787</v>
      </c>
      <c r="D149" s="27" t="n">
        <f aca="false">D147-D125-D129</f>
        <v>113756.350455616</v>
      </c>
      <c r="E149" s="27" t="n">
        <f aca="false">E147-E125-E129</f>
        <v>38684.1605939468</v>
      </c>
      <c r="F149" s="27" t="n">
        <f aca="false">F147-F125-F129</f>
        <v>23263.5151222999</v>
      </c>
      <c r="G149" s="27" t="n">
        <f aca="false">G147-G125-G129</f>
        <v>-12639.1132056415</v>
      </c>
      <c r="H149" s="27" t="n">
        <f aca="false">H147-H125-H129</f>
        <v>-13620.0704081844</v>
      </c>
      <c r="I149" s="27" t="n">
        <f aca="false">I147-I125-I129</f>
        <v>-14310.4362340984</v>
      </c>
      <c r="J149" s="27" t="n">
        <f aca="false">J147-J125-J129</f>
        <v>-11745.027254518</v>
      </c>
      <c r="K149" s="27" t="n">
        <f aca="false">K147-K125-K129</f>
        <v>-14971.777366683</v>
      </c>
      <c r="L149" s="27" t="n">
        <f aca="false">L147-L125-L129</f>
        <v>-24061.478192402</v>
      </c>
      <c r="M149" s="27" t="n">
        <f aca="false">M147-M125-M129</f>
        <v>-17606.9202254141</v>
      </c>
      <c r="N149" s="27" t="n">
        <f aca="false">N147-N125-N129</f>
        <v>-11530.8399098044</v>
      </c>
      <c r="O149" s="27" t="n">
        <f aca="false">O147-O125-O129</f>
        <v>-16225.2812539212</v>
      </c>
      <c r="P149" s="27" t="n">
        <f aca="false">P147-P125-P129</f>
        <v>-21352.2590099378</v>
      </c>
      <c r="Q149" s="27" t="n">
        <f aca="false">Q147-Q125-Q129</f>
        <v>-26941.4005677595</v>
      </c>
      <c r="R149" s="27" t="n">
        <f aca="false">R147-R125-R129</f>
        <v>-26541.2412974585</v>
      </c>
      <c r="S149" s="27" t="n">
        <f aca="false">S147-S125-S129</f>
        <v>-26668.2419004747</v>
      </c>
      <c r="T149" s="27" t="n">
        <f aca="false">T147-T125-T129</f>
        <v>-7570.7877343419</v>
      </c>
      <c r="U149" s="27" t="n">
        <f aca="false">U147-U125-U129</f>
        <v>-15344.1401891516</v>
      </c>
      <c r="V149" s="27" t="n">
        <f aca="false">V147-V125-V129</f>
        <v>-23758.3431005716</v>
      </c>
      <c r="W149" s="27" t="n">
        <f aca="false">W147-W125-W129</f>
        <v>-32856.1577611822</v>
      </c>
    </row>
    <row r="150" customFormat="false" ht="15" hidden="false" customHeight="false" outlineLevel="0" collapsed="false">
      <c r="A150" s="10" t="s">
        <v>472</v>
      </c>
      <c r="C150" s="83" t="n">
        <f aca="false">C149</f>
        <v>-338995.286407787</v>
      </c>
      <c r="D150" s="83" t="n">
        <f aca="false">C150+D149</f>
        <v>-225238.935952171</v>
      </c>
      <c r="E150" s="83" t="n">
        <f aca="false">D150+E149</f>
        <v>-186554.775358225</v>
      </c>
      <c r="F150" s="83" t="n">
        <f aca="false">E150+F149</f>
        <v>-163291.260235925</v>
      </c>
      <c r="G150" s="83" t="n">
        <f aca="false">F150+G149</f>
        <v>-175930.373441566</v>
      </c>
      <c r="H150" s="83" t="n">
        <f aca="false">G150+H149</f>
        <v>-189550.443849751</v>
      </c>
      <c r="I150" s="83" t="n">
        <f aca="false">H150+I149</f>
        <v>-203860.880083849</v>
      </c>
      <c r="J150" s="83" t="n">
        <f aca="false">I150+J149</f>
        <v>-215605.907338367</v>
      </c>
      <c r="K150" s="83" t="n">
        <f aca="false">J150+K149</f>
        <v>-230577.68470505</v>
      </c>
      <c r="L150" s="83" t="n">
        <f aca="false">K150+L149</f>
        <v>-254639.162897452</v>
      </c>
      <c r="M150" s="83" t="n">
        <f aca="false">L150+M149</f>
        <v>-272246.083122866</v>
      </c>
      <c r="N150" s="83" t="n">
        <f aca="false">M150+N149</f>
        <v>-283776.923032671</v>
      </c>
      <c r="O150" s="83" t="n">
        <f aca="false">N150+O149</f>
        <v>-300002.204286592</v>
      </c>
      <c r="P150" s="83" t="n">
        <f aca="false">O150+P149</f>
        <v>-321354.46329653</v>
      </c>
      <c r="Q150" s="83" t="n">
        <f aca="false">P150+Q149</f>
        <v>-348295.863864289</v>
      </c>
      <c r="R150" s="83" t="n">
        <f aca="false">Q150+R149</f>
        <v>-374837.105161748</v>
      </c>
      <c r="S150" s="83" t="n">
        <f aca="false">R150+S149</f>
        <v>-401505.347062222</v>
      </c>
      <c r="T150" s="83" t="n">
        <f aca="false">S150+T149</f>
        <v>-409076.134796564</v>
      </c>
      <c r="U150" s="83" t="n">
        <f aca="false">T150+U149</f>
        <v>-424420.274985716</v>
      </c>
      <c r="V150" s="83" t="n">
        <f aca="false">U150+V149</f>
        <v>-448178.618086287</v>
      </c>
      <c r="W150" s="83" t="n">
        <f aca="false">V150+W149</f>
        <v>-481034.77584747</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1244550.2938559</v>
      </c>
      <c r="C155" s="83" t="n">
        <f aca="false">C83</f>
        <v>0</v>
      </c>
      <c r="D155" s="83" t="n">
        <f aca="false">D83</f>
        <v>58893.9098112</v>
      </c>
      <c r="E155" s="83" t="n">
        <f aca="false">E83</f>
        <v>88514.1109681613</v>
      </c>
      <c r="F155" s="83" t="n">
        <f aca="false">F83</f>
        <v>110476.023913085</v>
      </c>
      <c r="G155" s="83" t="n">
        <f aca="false">G83</f>
        <v>117204.013769392</v>
      </c>
      <c r="H155" s="83" t="n">
        <f aca="false">H83</f>
        <v>124341.738207948</v>
      </c>
      <c r="I155" s="83" t="n">
        <f aca="false">I83</f>
        <v>131914.150064812</v>
      </c>
      <c r="J155" s="83" t="n">
        <f aca="false">J83</f>
        <v>139947.721803759</v>
      </c>
      <c r="K155" s="83" t="n">
        <f aca="false">K83</f>
        <v>148470.538061608</v>
      </c>
      <c r="L155" s="83" t="n">
        <f aca="false">L83</f>
        <v>157512.39382956</v>
      </c>
      <c r="M155" s="83" t="n">
        <f aca="false">M83</f>
        <v>167104.89861378</v>
      </c>
      <c r="N155" s="83" t="n">
        <f aca="false">N83</f>
        <v>177281.586939359</v>
      </c>
      <c r="O155" s="83" t="n">
        <f aca="false">O83</f>
        <v>188078.035583966</v>
      </c>
      <c r="P155" s="83" t="n">
        <f aca="false">P83</f>
        <v>199531.98795103</v>
      </c>
      <c r="Q155" s="83" t="n">
        <f aca="false">Q83</f>
        <v>211683.486017248</v>
      </c>
      <c r="R155" s="83" t="n">
        <f aca="false">R83</f>
        <v>224575.010315698</v>
      </c>
      <c r="S155" s="83" t="n">
        <f aca="false">S83</f>
        <v>238251.628443924</v>
      </c>
      <c r="T155" s="83" t="n">
        <f aca="false">T83</f>
        <v>252761.152616159</v>
      </c>
      <c r="U155" s="83" t="n">
        <f aca="false">U83</f>
        <v>268154.306810483</v>
      </c>
      <c r="V155" s="83" t="n">
        <f aca="false">V83</f>
        <v>284484.904095242</v>
      </c>
      <c r="W155" s="83"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f aca="false">1+SensDelta</f>
        <v>1.2</v>
      </c>
    </row>
    <row r="10" customFormat="false" ht="15" hidden="false" customHeight="false" outlineLevel="0" collapsed="false">
      <c r="A10" s="10" t="s">
        <v>70</v>
      </c>
      <c r="B10" s="62" t="n">
        <v>1</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MAX(0,S_Coll_Hi!$B$14-Grant)*SenPct</f>
        <v>110602.051030273</v>
      </c>
    </row>
    <row r="17" customFormat="false" ht="15" hidden="false" customHeight="false" outlineLevel="0" collapsed="false">
      <c r="A17" s="10" t="s">
        <v>248</v>
      </c>
      <c r="B17" s="61" t="n">
        <f aca="false">MAX(0,S_Coll_Hi!$B$14-Grant)*ConPct</f>
        <v>110602.051030273</v>
      </c>
    </row>
    <row r="18" customFormat="false" ht="15" hidden="false" customHeight="false" outlineLevel="0" collapsed="false">
      <c r="A18" s="10" t="s">
        <v>393</v>
      </c>
      <c r="B18" s="61" t="n">
        <f aca="false">MAX(0,S_Coll_Hi!$B$14-Grant-S_Coll_Hi!$B$16-S_Coll_Hi!$B$17)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-679737.696270617</v>
      </c>
    </row>
    <row r="21" customFormat="false" ht="15" hidden="false" customHeight="false" outlineLevel="0" collapsed="false">
      <c r="A21" s="10" t="s">
        <v>396</v>
      </c>
      <c r="B21" s="61" t="n">
        <f aca="false">$B$146</f>
        <v>138182.664360487</v>
      </c>
    </row>
    <row r="22" customFormat="false" ht="15" hidden="false" customHeight="false" outlineLevel="0" collapsed="false">
      <c r="A22" s="10" t="s">
        <v>397</v>
      </c>
      <c r="B22" s="63" t="n">
        <f aca="false">IFERROR(IRR($C$145:$W$145),"n.d.")</f>
        <v>-0.00641557372270736</v>
      </c>
    </row>
    <row r="23" customFormat="false" ht="15" hidden="false" customHeight="false" outlineLevel="0" collapsed="false">
      <c r="A23" s="10" t="s">
        <v>398</v>
      </c>
      <c r="B23" s="63" t="n">
        <f aca="false">IFERROR(IRR($C$146:$W$146),"n.d.")</f>
        <v>0.148635740412732</v>
      </c>
    </row>
    <row r="24" customFormat="false" ht="15" hidden="false" customHeight="false" outlineLevel="0" collapsed="false">
      <c r="A24" s="10" t="s">
        <v>384</v>
      </c>
      <c r="B24" s="61" t="n">
        <f aca="false">MAX(0,-$B$145)</f>
        <v>679737.696270617</v>
      </c>
    </row>
    <row r="25" customFormat="false" ht="15" hidden="false" customHeight="false" outlineLevel="0" collapsed="false">
      <c r="A25" s="10" t="s">
        <v>256</v>
      </c>
      <c r="B25" s="63" t="n">
        <f aca="false">IFERROR(IRR($C$149:$W$149),"n.d.")</f>
        <v>0.166294943926734</v>
      </c>
    </row>
    <row r="26" customFormat="false" ht="15" hidden="false" customHeight="false" outlineLevel="0" collapsed="false">
      <c r="A26" s="10" t="s">
        <v>258</v>
      </c>
      <c r="B26" s="61" t="n">
        <f aca="false">C149+NPV(TargetEqIRR,D149:W149)</f>
        <v>24620.6895333555</v>
      </c>
    </row>
    <row r="27" customFormat="false" ht="15" hidden="false" customHeight="false" outlineLevel="0" collapsed="false">
      <c r="A27" s="10" t="s">
        <v>252</v>
      </c>
      <c r="B27" s="62" t="n">
        <f aca="false">IF((S_Coll_Hi!$B$16+S_Coll_Hi!$B$17)&gt;0,MIN($D$148:$W$148),"pas de dette")</f>
        <v>1.89528083699942</v>
      </c>
    </row>
    <row r="28" customFormat="false" ht="15" hidden="false" customHeight="false" outlineLevel="0" collapsed="false">
      <c r="A28" s="10" t="s">
        <v>254</v>
      </c>
      <c r="B28" s="62" t="n">
        <f aca="false">IF((S_Coll_Hi!$B$16+S_Coll_Hi!$B$17)&gt;0,AVERAGE($D$148:$W$148),"pas de dette")</f>
        <v>3.87050037774579</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0.482495961004337</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192922.22659849</v>
      </c>
    </row>
    <row r="36" customFormat="false" ht="15" hidden="false" customHeight="false" outlineLevel="0" collapsed="false">
      <c r="A36" s="10" t="s">
        <v>260</v>
      </c>
      <c r="B36" s="78" t="n">
        <f aca="false">IFERROR(MATCH(TRUE(),INDEX($C$150:$W$150&gt;=0,0),0)-1,"&gt; durée de vie")</f>
        <v>6</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4879064.7181672</v>
      </c>
      <c r="C83" s="83" t="n">
        <v>0</v>
      </c>
      <c r="D83" s="83" t="n">
        <f aca="false">D82*MIN(1,Collection*LevColl*$B$9)</f>
        <v>80018.8992</v>
      </c>
      <c r="E83" s="83" t="n">
        <f aca="false">E82*MIN(1,Collection*LevColl*$B$9)</f>
        <v>120263.73772848</v>
      </c>
      <c r="F83" s="83" t="n">
        <f aca="false">F82*MIN(1,Collection*LevColl*$B$9)</f>
        <v>150103.29336017</v>
      </c>
      <c r="G83" s="83" t="n">
        <f aca="false">G82*MIN(1,Collection*LevColl*$B$9)</f>
        <v>159244.583925804</v>
      </c>
      <c r="H83" s="83" t="n">
        <f aca="false">H82*MIN(1,Collection*LevColl*$B$9)</f>
        <v>168942.579086886</v>
      </c>
      <c r="I83" s="83" t="n">
        <f aca="false">I82*MIN(1,Collection*LevColl*$B$9)</f>
        <v>179231.182153277</v>
      </c>
      <c r="J83" s="83" t="n">
        <f aca="false">J82*MIN(1,Collection*LevColl*$B$9)</f>
        <v>190146.361146412</v>
      </c>
      <c r="K83" s="83" t="n">
        <f aca="false">K82*MIN(1,Collection*LevColl*$B$9)</f>
        <v>201726.274540228</v>
      </c>
      <c r="L83" s="83" t="n">
        <f aca="false">L82*MIN(1,Collection*LevColl*$B$9)</f>
        <v>214011.404659728</v>
      </c>
      <c r="M83" s="83" t="n">
        <f aca="false">M82*MIN(1,Collection*LevColl*$B$9)</f>
        <v>227044.699203506</v>
      </c>
      <c r="N83" s="83" t="n">
        <f aca="false">N82*MIN(1,Collection*LevColl*$B$9)</f>
        <v>240871.721384999</v>
      </c>
      <c r="O83" s="83" t="n">
        <f aca="false">O82*MIN(1,Collection*LevColl*$B$9)</f>
        <v>255540.809217346</v>
      </c>
      <c r="P83" s="83" t="n">
        <f aca="false">P82*MIN(1,Collection*LevColl*$B$9)</f>
        <v>271103.244498682</v>
      </c>
      <c r="Q83" s="83" t="n">
        <f aca="false">Q82*MIN(1,Collection*LevColl*$B$9)</f>
        <v>287613.432088652</v>
      </c>
      <c r="R83" s="83" t="n">
        <f aca="false">R82*MIN(1,Collection*LevColl*$B$9)</f>
        <v>305129.090102851</v>
      </c>
      <c r="S83" s="83" t="n">
        <f aca="false">S82*MIN(1,Collection*LevColl*$B$9)</f>
        <v>323711.451690114</v>
      </c>
      <c r="T83" s="83" t="n">
        <f aca="false">T82*MIN(1,Collection*LevColl*$B$9)</f>
        <v>343425.479098042</v>
      </c>
      <c r="U83" s="83" t="n">
        <f aca="false">U82*MIN(1,Collection*LevColl*$B$9)</f>
        <v>364340.090775113</v>
      </c>
      <c r="V83" s="83" t="n">
        <f aca="false">V82*MIN(1,Collection*LevColl*$B$9)</f>
        <v>386528.402303317</v>
      </c>
      <c r="W83" s="83" t="n">
        <f aca="false">W82*MIN(1,Collection*LevColl*$B$9)</f>
        <v>410067.982003589</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4890564.7181672</v>
      </c>
      <c r="C85" s="27" t="n">
        <f aca="false">C83+C84</f>
        <v>0</v>
      </c>
      <c r="D85" s="27" t="n">
        <f aca="false">D83+D84</f>
        <v>86918.8992</v>
      </c>
      <c r="E85" s="27" t="n">
        <f aca="false">E83+E84</f>
        <v>123138.73772848</v>
      </c>
      <c r="F85" s="27" t="n">
        <f aca="false">F83+F84</f>
        <v>151828.29336017</v>
      </c>
      <c r="G85" s="27" t="n">
        <f aca="false">G83+G84</f>
        <v>159244.583925804</v>
      </c>
      <c r="H85" s="27" t="n">
        <f aca="false">H83+H84</f>
        <v>168942.579086886</v>
      </c>
      <c r="I85" s="27" t="n">
        <f aca="false">I83+I84</f>
        <v>179231.182153277</v>
      </c>
      <c r="J85" s="27" t="n">
        <f aca="false">J83+J84</f>
        <v>190146.361146412</v>
      </c>
      <c r="K85" s="27" t="n">
        <f aca="false">K83+K84</f>
        <v>201726.274540228</v>
      </c>
      <c r="L85" s="27" t="n">
        <f aca="false">L83+L84</f>
        <v>214011.404659728</v>
      </c>
      <c r="M85" s="27" t="n">
        <f aca="false">M83+M84</f>
        <v>227044.699203506</v>
      </c>
      <c r="N85" s="27" t="n">
        <f aca="false">N83+N84</f>
        <v>240871.721384999</v>
      </c>
      <c r="O85" s="27" t="n">
        <f aca="false">O83+O84</f>
        <v>255540.809217346</v>
      </c>
      <c r="P85" s="27" t="n">
        <f aca="false">P83+P84</f>
        <v>271103.244498682</v>
      </c>
      <c r="Q85" s="27" t="n">
        <f aca="false">Q83+Q84</f>
        <v>287613.432088652</v>
      </c>
      <c r="R85" s="27" t="n">
        <f aca="false">R83+R84</f>
        <v>305129.090102851</v>
      </c>
      <c r="S85" s="27" t="n">
        <f aca="false">S83+S84</f>
        <v>323711.451690114</v>
      </c>
      <c r="T85" s="27" t="n">
        <f aca="false">T83+T84</f>
        <v>343425.479098042</v>
      </c>
      <c r="U85" s="27" t="n">
        <f aca="false">U83+U84</f>
        <v>364340.090775113</v>
      </c>
      <c r="V85" s="27" t="n">
        <f aca="false">V83+V84</f>
        <v>386528.402303317</v>
      </c>
      <c r="W85" s="27" t="n">
        <f aca="false">W83+W84</f>
        <v>410067.982003589</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S_Coll_Hi!$B$15*O_FixedPct*D44*LevOpex*$B$8*D41</f>
        <v>25065.4403293775</v>
      </c>
      <c r="E88" s="83" t="n">
        <f aca="false">S_Coll_Hi!$B$15*O_FixedPct*E44*LevOpex*$B$8*E41</f>
        <v>25817.4035392588</v>
      </c>
      <c r="F88" s="83" t="n">
        <f aca="false">S_Coll_Hi!$B$15*O_FixedPct*F44*LevOpex*$B$8*F41</f>
        <v>26591.9256454366</v>
      </c>
      <c r="G88" s="83" t="n">
        <f aca="false">S_Coll_Hi!$B$15*O_FixedPct*G44*LevOpex*$B$8*G41</f>
        <v>27389.6834147997</v>
      </c>
      <c r="H88" s="83" t="n">
        <f aca="false">S_Coll_Hi!$B$15*O_FixedPct*H44*LevOpex*$B$8*H41</f>
        <v>28211.3739172437</v>
      </c>
      <c r="I88" s="83" t="n">
        <f aca="false">S_Coll_Hi!$B$15*O_FixedPct*I44*LevOpex*$B$8*I41</f>
        <v>29057.715134761</v>
      </c>
      <c r="J88" s="83" t="n">
        <f aca="false">S_Coll_Hi!$B$15*O_FixedPct*J44*LevOpex*$B$8*J41</f>
        <v>29929.4465888038</v>
      </c>
      <c r="K88" s="83" t="n">
        <f aca="false">S_Coll_Hi!$B$15*O_FixedPct*K44*LevOpex*$B$8*K41</f>
        <v>30827.329986468</v>
      </c>
      <c r="L88" s="83" t="n">
        <f aca="false">S_Coll_Hi!$B$15*O_FixedPct*L44*LevOpex*$B$8*L41</f>
        <v>31752.149886062</v>
      </c>
      <c r="M88" s="83" t="n">
        <f aca="false">S_Coll_Hi!$B$15*O_FixedPct*M44*LevOpex*$B$8*M41</f>
        <v>32704.7143826439</v>
      </c>
      <c r="N88" s="83" t="n">
        <f aca="false">S_Coll_Hi!$B$15*O_FixedPct*N44*LevOpex*$B$8*N41</f>
        <v>33685.8558141232</v>
      </c>
      <c r="O88" s="83" t="n">
        <f aca="false">S_Coll_Hi!$B$15*O_FixedPct*O44*LevOpex*$B$8*O41</f>
        <v>34696.4314885469</v>
      </c>
      <c r="P88" s="83" t="n">
        <f aca="false">S_Coll_Hi!$B$15*O_FixedPct*P44*LevOpex*$B$8*P41</f>
        <v>35737.3244332033</v>
      </c>
      <c r="Q88" s="83" t="n">
        <f aca="false">S_Coll_Hi!$B$15*O_FixedPct*Q44*LevOpex*$B$8*Q41</f>
        <v>36809.4441661994</v>
      </c>
      <c r="R88" s="83" t="n">
        <f aca="false">S_Coll_Hi!$B$15*O_FixedPct*R44*LevOpex*$B$8*R41</f>
        <v>37913.7274911854</v>
      </c>
      <c r="S88" s="83" t="n">
        <f aca="false">S_Coll_Hi!$B$15*O_FixedPct*S44*LevOpex*$B$8*S41</f>
        <v>39051.1393159209</v>
      </c>
      <c r="T88" s="83" t="n">
        <f aca="false">S_Coll_Hi!$B$15*O_FixedPct*T44*LevOpex*$B$8*T41</f>
        <v>40222.6734953985</v>
      </c>
      <c r="U88" s="83" t="n">
        <f aca="false">S_Coll_Hi!$B$15*O_FixedPct*U44*LevOpex*$B$8*U41</f>
        <v>41429.3537002605</v>
      </c>
      <c r="V88" s="83" t="n">
        <f aca="false">S_Coll_Hi!$B$15*O_FixedPct*V44*LevOpex*$B$8*V41</f>
        <v>42672.2343112683</v>
      </c>
      <c r="W88" s="83" t="n">
        <f aca="false">S_Coll_Hi!$B$15*O_FixedPct*W44*LevOpex*$B$8*W41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S_Coll_Hi!$B$14*O_InsPct*D44*LevOpex*$B$8*D41</f>
        <v>5765.05127575683</v>
      </c>
      <c r="E90" s="83" t="n">
        <f aca="false">S_Coll_Hi!$B$14*O_InsPct*E44*LevOpex*$B$8*E41</f>
        <v>5938.00281402953</v>
      </c>
      <c r="F90" s="83" t="n">
        <f aca="false">S_Coll_Hi!$B$14*O_InsPct*F44*LevOpex*$B$8*F41</f>
        <v>6116.14289845042</v>
      </c>
      <c r="G90" s="83" t="n">
        <f aca="false">S_Coll_Hi!$B$14*O_InsPct*G44*LevOpex*$B$8*G41</f>
        <v>6299.62718540393</v>
      </c>
      <c r="H90" s="83" t="n">
        <f aca="false">S_Coll_Hi!$B$14*O_InsPct*H44*LevOpex*$B$8*H41</f>
        <v>6488.61600096605</v>
      </c>
      <c r="I90" s="83" t="n">
        <f aca="false">S_Coll_Hi!$B$14*O_InsPct*I44*LevOpex*$B$8*I41</f>
        <v>6683.27448099503</v>
      </c>
      <c r="J90" s="83" t="n">
        <f aca="false">S_Coll_Hi!$B$14*O_InsPct*J44*LevOpex*$B$8*J41</f>
        <v>6883.77271542488</v>
      </c>
      <c r="K90" s="83" t="n">
        <f aca="false">S_Coll_Hi!$B$14*O_InsPct*K44*LevOpex*$B$8*K41</f>
        <v>7090.28589688763</v>
      </c>
      <c r="L90" s="83" t="n">
        <f aca="false">S_Coll_Hi!$B$14*O_InsPct*L44*LevOpex*$B$8*L41</f>
        <v>7302.99447379426</v>
      </c>
      <c r="M90" s="83" t="n">
        <f aca="false">S_Coll_Hi!$B$14*O_InsPct*M44*LevOpex*$B$8*M41</f>
        <v>7522.08430800809</v>
      </c>
      <c r="N90" s="83" t="n">
        <f aca="false">S_Coll_Hi!$B$14*O_InsPct*N44*LevOpex*$B$8*N41</f>
        <v>7747.74683724833</v>
      </c>
      <c r="O90" s="83" t="n">
        <f aca="false">S_Coll_Hi!$B$14*O_InsPct*O44*LevOpex*$B$8*O41</f>
        <v>7980.17924236578</v>
      </c>
      <c r="P90" s="83" t="n">
        <f aca="false">S_Coll_Hi!$B$14*O_InsPct*P44*LevOpex*$B$8*P41</f>
        <v>8219.58461963675</v>
      </c>
      <c r="Q90" s="83" t="n">
        <f aca="false">S_Coll_Hi!$B$14*O_InsPct*Q44*LevOpex*$B$8*Q41</f>
        <v>8466.17215822586</v>
      </c>
      <c r="R90" s="83" t="n">
        <f aca="false">S_Coll_Hi!$B$14*O_InsPct*R44*LevOpex*$B$8*R41</f>
        <v>8720.15732297263</v>
      </c>
      <c r="S90" s="83" t="n">
        <f aca="false">S_Coll_Hi!$B$14*O_InsPct*S44*LevOpex*$B$8*S41</f>
        <v>8981.76204266181</v>
      </c>
      <c r="T90" s="83" t="n">
        <f aca="false">S_Coll_Hi!$B$14*O_InsPct*T44*LevOpex*$B$8*T41</f>
        <v>9251.21490394167</v>
      </c>
      <c r="U90" s="83" t="n">
        <f aca="false">S_Coll_Hi!$B$14*O_InsPct*U44*LevOpex*$B$8*U41</f>
        <v>9528.75135105992</v>
      </c>
      <c r="V90" s="83" t="n">
        <f aca="false">S_Coll_Hi!$B$14*O_InsPct*V44*LevOpex*$B$8*V41</f>
        <v>9814.61389159171</v>
      </c>
      <c r="W90" s="83" t="n">
        <f aca="false">S_Coll_Hi!$B$14*O_InsPct*W44*LevOpex*$B$8*W41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146716.941545016</v>
      </c>
      <c r="C93" s="83" t="n">
        <v>0</v>
      </c>
      <c r="D93" s="83" t="n">
        <f aca="false">D85*O_CustPct</f>
        <v>2607.566976</v>
      </c>
      <c r="E93" s="83" t="n">
        <f aca="false">E85*O_CustPct</f>
        <v>3694.1621318544</v>
      </c>
      <c r="F93" s="83" t="n">
        <f aca="false">F85*O_CustPct</f>
        <v>4554.8488008051</v>
      </c>
      <c r="G93" s="83" t="n">
        <f aca="false">G85*O_CustPct</f>
        <v>4777.33751777413</v>
      </c>
      <c r="H93" s="83" t="n">
        <f aca="false">H85*O_CustPct</f>
        <v>5068.27737260657</v>
      </c>
      <c r="I93" s="83" t="n">
        <f aca="false">I85*O_CustPct</f>
        <v>5376.93546459831</v>
      </c>
      <c r="J93" s="83" t="n">
        <f aca="false">J85*O_CustPct</f>
        <v>5704.39083439235</v>
      </c>
      <c r="K93" s="83" t="n">
        <f aca="false">K85*O_CustPct</f>
        <v>6051.78823620685</v>
      </c>
      <c r="L93" s="83" t="n">
        <f aca="false">L85*O_CustPct</f>
        <v>6420.34213979184</v>
      </c>
      <c r="M93" s="83" t="n">
        <f aca="false">M85*O_CustPct</f>
        <v>6811.34097610517</v>
      </c>
      <c r="N93" s="83" t="n">
        <f aca="false">N85*O_CustPct</f>
        <v>7226.15164154997</v>
      </c>
      <c r="O93" s="83" t="n">
        <f aca="false">O85*O_CustPct</f>
        <v>7666.22427652037</v>
      </c>
      <c r="P93" s="83" t="n">
        <f aca="false">P85*O_CustPct</f>
        <v>8133.09733496046</v>
      </c>
      <c r="Q93" s="83" t="n">
        <f aca="false">Q85*O_CustPct</f>
        <v>8628.40296265955</v>
      </c>
      <c r="R93" s="83" t="n">
        <f aca="false">R85*O_CustPct</f>
        <v>9153.87270308552</v>
      </c>
      <c r="S93" s="83" t="n">
        <f aca="false">S85*O_CustPct</f>
        <v>9711.34355070342</v>
      </c>
      <c r="T93" s="83" t="n">
        <f aca="false">T85*O_CustPct</f>
        <v>10302.7643729413</v>
      </c>
      <c r="U93" s="83" t="n">
        <f aca="false">U85*O_CustPct</f>
        <v>10930.2027232534</v>
      </c>
      <c r="V93" s="83" t="n">
        <f aca="false">V85*O_CustPct</f>
        <v>11595.8520690995</v>
      </c>
      <c r="W93" s="83" t="n">
        <f aca="false">W85*O_CustPct</f>
        <v>12302.0394601077</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3332073.89393111</v>
      </c>
      <c r="C96" s="27" t="n">
        <f aca="false">C88+C89+C90+C91+C92+C93+C94+C95</f>
        <v>0</v>
      </c>
      <c r="D96" s="27" t="n">
        <f aca="false">D88+D89+D90+D91+D92+D93+D94+D95</f>
        <v>68755.1126902252</v>
      </c>
      <c r="E96" s="27" t="n">
        <f aca="false">E88+E89+E90+E91+E92+E93+E94+E95</f>
        <v>76705.4989829501</v>
      </c>
      <c r="F96" s="27" t="n">
        <f aca="false">F88+F89+F90+F91+F92+F93+F94+F95</f>
        <v>83138.642833073</v>
      </c>
      <c r="G96" s="27" t="n">
        <f aca="false">G88+G89+G90+G91+G92+G93+G94+G95</f>
        <v>86316.660038601</v>
      </c>
      <c r="H96" s="27" t="n">
        <f aca="false">H88+H89+H90+H91+H92+H93+H94+H95</f>
        <v>89688.2133299056</v>
      </c>
      <c r="I96" s="27" t="n">
        <f aca="false">I88+I89+I90+I91+I92+I93+I94+I95</f>
        <v>93208.5402774991</v>
      </c>
      <c r="J96" s="27" t="n">
        <f aca="false">J88+J89+J90+J91+J92+J93+J94+J95</f>
        <v>98763.1512544914</v>
      </c>
      <c r="K96" s="27" t="n">
        <f aca="false">K88+K89+K90+K91+K92+K93+K94+K95</f>
        <v>110604.430538584</v>
      </c>
      <c r="L96" s="27" t="n">
        <f aca="false">L88+L89+L90+L91+L92+L93+L94+L95</f>
        <v>123301.026165431</v>
      </c>
      <c r="M96" s="27" t="n">
        <f aca="false">M88+M89+M90+M91+M92+M93+M94+M95</f>
        <v>136908.043074014</v>
      </c>
      <c r="N96" s="27" t="n">
        <f aca="false">N88+N89+N90+N91+N92+N93+N94+N95</f>
        <v>151484.007498226</v>
      </c>
      <c r="O96" s="27" t="n">
        <f aca="false">O88+O89+O90+O91+O92+O93+O94+O95</f>
        <v>167091.076662582</v>
      </c>
      <c r="P96" s="27" t="n">
        <f aca="false">P88+P89+P90+P91+P92+P93+P94+P95</f>
        <v>183795.26127309</v>
      </c>
      <c r="Q96" s="27" t="n">
        <f aca="false">Q88+Q89+Q90+Q91+Q92+Q93+Q94+Q95</f>
        <v>201666.661582842</v>
      </c>
      <c r="R96" s="27" t="n">
        <f aca="false">R88+R89+R90+R91+R92+R93+R94+R95</f>
        <v>220779.717859388</v>
      </c>
      <c r="S96" s="27" t="n">
        <f aca="false">S88+S89+S90+S91+S92+S93+S94+S95</f>
        <v>241213.476131326</v>
      </c>
      <c r="T96" s="27" t="n">
        <f aca="false">T88+T89+T90+T91+T92+T93+T94+T95</f>
        <v>263051.870144957</v>
      </c>
      <c r="U96" s="27" t="n">
        <f aca="false">U88+U89+U90+U91+U92+U93+U94+U95</f>
        <v>286384.020518574</v>
      </c>
      <c r="V96" s="27" t="n">
        <f aca="false">V88+V89+V90+V91+V92+V93+V94+V95</f>
        <v>311304.552142056</v>
      </c>
      <c r="W96" s="27" t="n">
        <f aca="false">W88+W89+W90+W91+W92+W93+W94+W95</f>
        <v>337913.930933293</v>
      </c>
    </row>
    <row r="98" customFormat="false" ht="15" hidden="false" customHeight="false" outlineLevel="0" collapsed="false">
      <c r="A98" s="15" t="s">
        <v>436</v>
      </c>
      <c r="B98" s="61" t="n">
        <f aca="false">SUM(C98:W98)</f>
        <v>1558490.82423609</v>
      </c>
      <c r="C98" s="27" t="n">
        <f aca="false">C85-C96</f>
        <v>0</v>
      </c>
      <c r="D98" s="27" t="n">
        <f aca="false">D85-D96</f>
        <v>18163.7865097748</v>
      </c>
      <c r="E98" s="27" t="n">
        <f aca="false">E85-E96</f>
        <v>46433.23874553</v>
      </c>
      <c r="F98" s="27" t="n">
        <f aca="false">F85-F96</f>
        <v>68689.650527097</v>
      </c>
      <c r="G98" s="27" t="n">
        <f aca="false">G85-G96</f>
        <v>72927.9238872032</v>
      </c>
      <c r="H98" s="27" t="n">
        <f aca="false">H85-H96</f>
        <v>79254.3657569802</v>
      </c>
      <c r="I98" s="27" t="n">
        <f aca="false">I85-I96</f>
        <v>86022.641875778</v>
      </c>
      <c r="J98" s="27" t="n">
        <f aca="false">J85-J96</f>
        <v>91383.2098919203</v>
      </c>
      <c r="K98" s="27" t="n">
        <f aca="false">K85-K96</f>
        <v>91121.8440016439</v>
      </c>
      <c r="L98" s="27" t="n">
        <f aca="false">L85-L96</f>
        <v>90710.3784942975</v>
      </c>
      <c r="M98" s="27" t="n">
        <f aca="false">M85-M96</f>
        <v>90136.6561294914</v>
      </c>
      <c r="N98" s="27" t="n">
        <f aca="false">N85-N96</f>
        <v>89387.7138867735</v>
      </c>
      <c r="O98" s="27" t="n">
        <f aca="false">O85-O96</f>
        <v>88449.732554764</v>
      </c>
      <c r="P98" s="27" t="n">
        <f aca="false">P85-P96</f>
        <v>87307.983225592</v>
      </c>
      <c r="Q98" s="27" t="n">
        <f aca="false">Q85-Q96</f>
        <v>85946.7705058098</v>
      </c>
      <c r="R98" s="27" t="n">
        <f aca="false">R85-R96</f>
        <v>84349.3722434625</v>
      </c>
      <c r="S98" s="27" t="n">
        <f aca="false">S85-S96</f>
        <v>82497.9755587884</v>
      </c>
      <c r="T98" s="27" t="n">
        <f aca="false">T85-T96</f>
        <v>80373.6089530847</v>
      </c>
      <c r="U98" s="27" t="n">
        <f aca="false">U85-U96</f>
        <v>77956.0702565393</v>
      </c>
      <c r="V98" s="27" t="n">
        <f aca="false">V85-V96</f>
        <v>75223.8501612619</v>
      </c>
      <c r="W98" s="27" t="n">
        <f aca="false">W85-W96</f>
        <v>72154.0510702969</v>
      </c>
    </row>
    <row r="99" customFormat="false" ht="15" hidden="false" customHeight="false" outlineLevel="0" collapsed="false">
      <c r="A99" s="10" t="s">
        <v>437</v>
      </c>
      <c r="C99" s="81" t="n">
        <v>0</v>
      </c>
      <c r="D99" s="81" t="n">
        <f aca="false">IFERROR(D98/D85,0)</f>
        <v>0.208973959368491</v>
      </c>
      <c r="E99" s="81" t="n">
        <f aca="false">IFERROR(E98/E85,0)</f>
        <v>0.377080678282694</v>
      </c>
      <c r="F99" s="81" t="n">
        <f aca="false">IFERROR(F98/F85,0)</f>
        <v>0.45241666758481</v>
      </c>
      <c r="G99" s="81" t="n">
        <f aca="false">IFERROR(G98/G85,0)</f>
        <v>0.457961722083949</v>
      </c>
      <c r="H99" s="81" t="n">
        <f aca="false">IFERROR(H98/H85,0)</f>
        <v>0.469120136470868</v>
      </c>
      <c r="I99" s="81" t="n">
        <f aca="false">IFERROR(I98/I85,0)</f>
        <v>0.479953548497003</v>
      </c>
      <c r="J99" s="81" t="n">
        <f aca="false">IFERROR(J98/J85,0)</f>
        <v>0.480594050503842</v>
      </c>
      <c r="K99" s="81" t="n">
        <f aca="false">IFERROR(K98/K85,0)</f>
        <v>0.451710339713196</v>
      </c>
      <c r="L99" s="81" t="n">
        <f aca="false">IFERROR(L98/L85,0)</f>
        <v>0.423857684773969</v>
      </c>
      <c r="M99" s="81" t="n">
        <f aca="false">IFERROR(M98/M85,0)</f>
        <v>0.396999606005775</v>
      </c>
      <c r="N99" s="81" t="n">
        <f aca="false">IFERROR(N98/N85,0)</f>
        <v>0.3711009053815</v>
      </c>
      <c r="O99" s="81" t="n">
        <f aca="false">IFERROR(O98/O85,0)</f>
        <v>0.346127621751149</v>
      </c>
      <c r="P99" s="81" t="n">
        <f aca="false">IFERROR(P98/P85,0)</f>
        <v>0.322046987622889</v>
      </c>
      <c r="Q99" s="81" t="n">
        <f aca="false">IFERROR(Q98/Q85,0)</f>
        <v>0.298827387447323</v>
      </c>
      <c r="R99" s="81" t="n">
        <f aca="false">IFERROR(R98/R85,0)</f>
        <v>0.27643831735293</v>
      </c>
      <c r="S99" s="81" t="n">
        <f aca="false">IFERROR(S98/S85,0)</f>
        <v>0.254850346282352</v>
      </c>
      <c r="T99" s="81" t="n">
        <f aca="false">IFERROR(T98/T85,0)</f>
        <v>0.234035078480998</v>
      </c>
      <c r="U99" s="81" t="n">
        <f aca="false">IFERROR(U98/U85,0)</f>
        <v>0.213965117291079</v>
      </c>
      <c r="V99" s="81" t="n">
        <f aca="false">IFERROR(V98/V85,0)</f>
        <v>0.194614030205812</v>
      </c>
      <c r="W99" s="81" t="n">
        <f aca="false">IFERROR(W98/W85,0)</f>
        <v>0.175956315140121</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S_Coll_Hi!$B$14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S_Coll_Hi!$B$16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IF(AND(D39&gt;SenGrace,D39&lt;=SenTenor),PMT(SenRate*$B$11,SenTenor-SenGrace,-S_Coll_Hi!$B$16)-D114,0)</f>
        <v>0</v>
      </c>
      <c r="E115" s="83" t="n">
        <f aca="false">IF(AND(E39&gt;SenGrace,E39&lt;=SenTenor),PMT(SenRate*$B$11,SenTenor-SenGrace,-S_Coll_Hi!$B$16)-E114,0)</f>
        <v>0</v>
      </c>
      <c r="F115" s="83" t="n">
        <f aca="false">IF(AND(F39&gt;SenGrace,F39&lt;=SenTenor),PMT(SenRate*$B$11,SenTenor-SenGrace,-S_Coll_Hi!$B$16)-F114,0)</f>
        <v>9671.48769410162</v>
      </c>
      <c r="G115" s="83" t="n">
        <f aca="false">IF(AND(G39&gt;SenGrace,G39&lt;=SenTenor),PMT(SenRate*$B$11,SenTenor-SenGrace,-S_Coll_Hi!$B$16)-G114,0)</f>
        <v>10638.6364635118</v>
      </c>
      <c r="H115" s="83" t="n">
        <f aca="false">IF(AND(H39&gt;SenGrace,H39&lt;=SenTenor),PMT(SenRate*$B$11,SenTenor-SenGrace,-S_Coll_Hi!$B$16)-H114,0)</f>
        <v>11702.500109863</v>
      </c>
      <c r="I115" s="83" t="n">
        <f aca="false">IF(AND(I39&gt;SenGrace,I39&lt;=SenTenor),PMT(SenRate*$B$11,SenTenor-SenGrace,-S_Coll_Hi!$B$16)-I114,0)</f>
        <v>12872.7501208493</v>
      </c>
      <c r="J115" s="83" t="n">
        <f aca="false">IF(AND(J39&gt;SenGrace,J39&lt;=SenTenor),PMT(SenRate*$B$11,SenTenor-SenGrace,-S_Coll_Hi!$B$16)-J114,0)</f>
        <v>14160.0251329342</v>
      </c>
      <c r="K115" s="83" t="n">
        <f aca="false">IF(AND(K39&gt;SenGrace,K39&lt;=SenTenor),PMT(SenRate*$B$11,SenTenor-SenGrace,-S_Coll_Hi!$B$16)-K114,0)</f>
        <v>15576.0276462276</v>
      </c>
      <c r="L115" s="83" t="n">
        <f aca="false">IF(AND(L39&gt;SenGrace,L39&lt;=SenTenor),PMT(SenRate*$B$11,SenTenor-SenGrace,-S_Coll_Hi!$B$16)-L114,0)</f>
        <v>17133.6304108504</v>
      </c>
      <c r="M115" s="83" t="n">
        <f aca="false">IF(AND(M39&gt;SenGrace,M39&lt;=SenTenor),PMT(SenRate*$B$11,SenTenor-SenGrace,-S_Coll_Hi!$B$16)-M114,0)</f>
        <v>18846.9934519354</v>
      </c>
      <c r="N115" s="83" t="n">
        <f aca="false">IF(AND(N39&gt;SenGrace,N39&lt;=SenTenor),PMT(SenRate*$B$11,SenTenor-SenGrace,-S_Coll_Hi!$B$16)-N114,0)</f>
        <v>0</v>
      </c>
      <c r="O115" s="83" t="n">
        <f aca="false">IF(AND(O39&gt;SenGrace,O39&lt;=SenTenor),PMT(SenRate*$B$11,SenTenor-SenGrace,-S_Coll_Hi!$B$16)-O114,0)</f>
        <v>0</v>
      </c>
      <c r="P115" s="83" t="n">
        <f aca="false">IF(AND(P39&gt;SenGrace,P39&lt;=SenTenor),PMT(SenRate*$B$11,SenTenor-SenGrace,-S_Coll_Hi!$B$16)-P114,0)</f>
        <v>0</v>
      </c>
      <c r="Q115" s="83" t="n">
        <f aca="false">IF(AND(Q39&gt;SenGrace,Q39&lt;=SenTenor),PMT(SenRate*$B$11,SenTenor-SenGrace,-S_Coll_Hi!$B$16)-Q114,0)</f>
        <v>0</v>
      </c>
      <c r="R115" s="83" t="n">
        <f aca="false">IF(AND(R39&gt;SenGrace,R39&lt;=SenTenor),PMT(SenRate*$B$11,SenTenor-SenGrace,-S_Coll_Hi!$B$16)-R114,0)</f>
        <v>0</v>
      </c>
      <c r="S115" s="83" t="n">
        <f aca="false">IF(AND(S39&gt;SenGrace,S39&lt;=SenTenor),PMT(SenRate*$B$11,SenTenor-SenGrace,-S_Coll_Hi!$B$16)-S114,0)</f>
        <v>0</v>
      </c>
      <c r="T115" s="83" t="n">
        <f aca="false">IF(AND(T39&gt;SenGrace,T39&lt;=SenTenor),PMT(SenRate*$B$11,SenTenor-SenGrace,-S_Coll_Hi!$B$16)-T114,0)</f>
        <v>0</v>
      </c>
      <c r="U115" s="83" t="n">
        <f aca="false">IF(AND(U39&gt;SenGrace,U39&lt;=SenTenor),PMT(SenRate*$B$11,SenTenor-SenGrace,-S_Coll_Hi!$B$16)-U114,0)</f>
        <v>0</v>
      </c>
      <c r="V115" s="83" t="n">
        <f aca="false">IF(AND(V39&gt;SenGrace,V39&lt;=SenTenor),PMT(SenRate*$B$11,SenTenor-SenGrace,-S_Coll_Hi!$B$16)-V114,0)</f>
        <v>0</v>
      </c>
      <c r="W115" s="83" t="n">
        <f aca="false">IF(AND(W39&gt;SenGrace,W39&lt;=SenTenor),PMT(SenRate*$B$11,SenTenor-SenGrace,-S_Coll_Hi!$B$16)-W114,0)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S_Coll_Hi!$B$17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IF(AND(D39&gt;ConGrace,D39&lt;=ConTenor),PMT(ConRate*$B$11,ConTenor-ConGrace,-S_Coll_Hi!$B$17)-D121,0)</f>
        <v>0</v>
      </c>
      <c r="E122" s="83" t="n">
        <f aca="false">IF(AND(E39&gt;ConGrace,E39&lt;=ConTenor),PMT(ConRate*$B$11,ConTenor-ConGrace,-S_Coll_Hi!$B$17)-E121,0)</f>
        <v>0</v>
      </c>
      <c r="F122" s="83" t="n">
        <f aca="false">IF(AND(F39&gt;ConGrace,F39&lt;=ConTenor),PMT(ConRate*$B$11,ConTenor-ConGrace,-S_Coll_Hi!$B$17)-F121,0)</f>
        <v>0</v>
      </c>
      <c r="G122" s="83" t="n">
        <f aca="false">IF(AND(G39&gt;ConGrace,G39&lt;=ConTenor),PMT(ConRate*$B$11,ConTenor-ConGrace,-S_Coll_Hi!$B$17)-G121,0)</f>
        <v>0</v>
      </c>
      <c r="H122" s="83" t="n">
        <f aca="false">IF(AND(H39&gt;ConGrace,H39&lt;=ConTenor),PMT(ConRate*$B$11,ConTenor-ConGrace,-S_Coll_Hi!$B$17)-H121,0)</f>
        <v>0</v>
      </c>
      <c r="I122" s="83" t="n">
        <f aca="false">IF(AND(I39&gt;ConGrace,I39&lt;=ConTenor),PMT(ConRate*$B$11,ConTenor-ConGrace,-S_Coll_Hi!$B$17)-I121,0)</f>
        <v>9647.87294294044</v>
      </c>
      <c r="J122" s="83" t="n">
        <f aca="false">IF(AND(J39&gt;ConGrace,J39&lt;=ConTenor),PMT(ConRate*$B$11,ConTenor-ConGrace,-S_Coll_Hi!$B$17)-J121,0)</f>
        <v>9937.30913122865</v>
      </c>
      <c r="K122" s="83" t="n">
        <f aca="false">IF(AND(K39&gt;ConGrace,K39&lt;=ConTenor),PMT(ConRate*$B$11,ConTenor-ConGrace,-S_Coll_Hi!$B$17)-K121,0)</f>
        <v>10235.4284051655</v>
      </c>
      <c r="L122" s="83" t="n">
        <f aca="false">IF(AND(L39&gt;ConGrace,L39&lt;=ConTenor),PMT(ConRate*$B$11,ConTenor-ConGrace,-S_Coll_Hi!$B$17)-L121,0)</f>
        <v>10542.4912573205</v>
      </c>
      <c r="M122" s="83" t="n">
        <f aca="false">IF(AND(M39&gt;ConGrace,M39&lt;=ConTenor),PMT(ConRate*$B$11,ConTenor-ConGrace,-S_Coll_Hi!$B$17)-M121,0)</f>
        <v>10858.7659950401</v>
      </c>
      <c r="N122" s="83" t="n">
        <f aca="false">IF(AND(N39&gt;ConGrace,N39&lt;=ConTenor),PMT(ConRate*$B$11,ConTenor-ConGrace,-S_Coll_Hi!$B$17)-N121,0)</f>
        <v>11184.5289748913</v>
      </c>
      <c r="O122" s="83" t="n">
        <f aca="false">IF(AND(O39&gt;ConGrace,O39&lt;=ConTenor),PMT(ConRate*$B$11,ConTenor-ConGrace,-S_Coll_Hi!$B$17)-O121,0)</f>
        <v>11520.064844138</v>
      </c>
      <c r="P122" s="83" t="n">
        <f aca="false">IF(AND(P39&gt;ConGrace,P39&lt;=ConTenor),PMT(ConRate*$B$11,ConTenor-ConGrace,-S_Coll_Hi!$B$17)-P121,0)</f>
        <v>11865.6667894622</v>
      </c>
      <c r="Q122" s="83" t="n">
        <f aca="false">IF(AND(Q39&gt;ConGrace,Q39&lt;=ConTenor),PMT(ConRate*$B$11,ConTenor-ConGrace,-S_Coll_Hi!$B$17)-Q121,0)</f>
        <v>12221.636793146</v>
      </c>
      <c r="R122" s="83" t="n">
        <f aca="false">IF(AND(R39&gt;ConGrace,R39&lt;=ConTenor),PMT(ConRate*$B$11,ConTenor-ConGrace,-S_Coll_Hi!$B$17)-R121,0)</f>
        <v>12588.2858969404</v>
      </c>
      <c r="S122" s="83" t="n">
        <f aca="false">IF(AND(S39&gt;ConGrace,S39&lt;=ConTenor),PMT(ConRate*$B$11,ConTenor-ConGrace,-S_Coll_Hi!$B$17)-S121,0)</f>
        <v>0</v>
      </c>
      <c r="T122" s="83" t="n">
        <f aca="false">IF(AND(T39&gt;ConGrace,T39&lt;=ConTenor),PMT(ConRate*$B$11,ConTenor-ConGrace,-S_Coll_Hi!$B$17)-T121,0)</f>
        <v>0</v>
      </c>
      <c r="U122" s="83" t="n">
        <f aca="false">IF(AND(U39&gt;ConGrace,U39&lt;=ConTenor),PMT(ConRate*$B$11,ConTenor-ConGrace,-S_Coll_Hi!$B$17)-U121,0)</f>
        <v>0</v>
      </c>
      <c r="V122" s="83" t="n">
        <f aca="false">IF(AND(V39&gt;ConGrace,V39&lt;=ConTenor),PMT(ConRate*$B$11,ConTenor-ConGrace,-S_Coll_Hi!$B$17)-V121,0)</f>
        <v>0</v>
      </c>
      <c r="W122" s="83" t="n">
        <f aca="false">IF(AND(W39&gt;ConGrace,W39&lt;=ConTenor),PMT(ConRate*$B$11,ConTenor-ConGrace,-S_Coll_Hi!$B$17)-W121,0)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1110095.2062039</v>
      </c>
      <c r="E127" s="83" t="n">
        <f aca="false">IF(E126&gt;0,(E147/MinDSCR-E121-E122)/E126,1000000000000)</f>
        <v>649090.992632782</v>
      </c>
      <c r="F127" s="83" t="n">
        <f aca="false">IF(F126&gt;0,(F147/MinDSCR-F121-F122)/F126,1000000000000)</f>
        <v>334205.388063192</v>
      </c>
      <c r="G127" s="83" t="n">
        <f aca="false">IF(G126&gt;0,(G147/MinDSCR-G121-G122)/G126,1000000000000)</f>
        <v>196475.130603179</v>
      </c>
      <c r="H127" s="83" t="n">
        <f aca="false">IF(H126&gt;0,(H147/MinDSCR-H121-H122)/H126,1000000000000)</f>
        <v>222437.51558055</v>
      </c>
      <c r="I127" s="83" t="n">
        <f aca="false">IF(I126&gt;0,(I147/MinDSCR-I121-I122)/I126,1000000000000)</f>
        <v>198742.405140769</v>
      </c>
      <c r="J127" s="83" t="n">
        <f aca="false">IF(J126&gt;0,(J147/MinDSCR-J121-J122)/J126,1000000000000)</f>
        <v>220741.047252274</v>
      </c>
      <c r="K127" s="83" t="n">
        <f aca="false">IF(K126&gt;0,(K147/MinDSCR-K121-K122)/K126,1000000000000)</f>
        <v>219668.456686679</v>
      </c>
      <c r="L127" s="83" t="n">
        <f aca="false">IF(L126&gt;0,(L147/MinDSCR-L121-L122)/L126,1000000000000)</f>
        <v>195276.662347972</v>
      </c>
      <c r="M127" s="83" t="n">
        <f aca="false">IF(M126&gt;0,(M147/MinDSCR-M121-M122)/M126,1000000000000)</f>
        <v>192922.22659849</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IF(D39&lt;=MIN(DepYears,Life),S_Coll_Hi!$B$14/DepYears,0)</f>
        <v>76867.3503434244</v>
      </c>
      <c r="E132" s="83" t="n">
        <f aca="false">IF(E39&lt;=MIN(DepYears,Life),S_Coll_Hi!$B$14/DepYears,0)</f>
        <v>76867.3503434244</v>
      </c>
      <c r="F132" s="83" t="n">
        <f aca="false">IF(F39&lt;=MIN(DepYears,Life),S_Coll_Hi!$B$14/DepYears,0)</f>
        <v>76867.3503434244</v>
      </c>
      <c r="G132" s="83" t="n">
        <f aca="false">IF(G39&lt;=MIN(DepYears,Life),S_Coll_Hi!$B$14/DepYears,0)</f>
        <v>76867.3503434244</v>
      </c>
      <c r="H132" s="83" t="n">
        <f aca="false">IF(H39&lt;=MIN(DepYears,Life),S_Coll_Hi!$B$14/DepYears,0)</f>
        <v>76867.3503434244</v>
      </c>
      <c r="I132" s="83" t="n">
        <f aca="false">IF(I39&lt;=MIN(DepYears,Life),S_Coll_Hi!$B$14/DepYears,0)</f>
        <v>76867.3503434244</v>
      </c>
      <c r="J132" s="83" t="n">
        <f aca="false">IF(J39&lt;=MIN(DepYears,Life),S_Coll_Hi!$B$14/DepYears,0)</f>
        <v>76867.3503434244</v>
      </c>
      <c r="K132" s="83" t="n">
        <f aca="false">IF(K39&lt;=MIN(DepYears,Life),S_Coll_Hi!$B$14/DepYears,0)</f>
        <v>76867.3503434244</v>
      </c>
      <c r="L132" s="83" t="n">
        <f aca="false">IF(L39&lt;=MIN(DepYears,Life),S_Coll_Hi!$B$14/DepYears,0)</f>
        <v>76867.3503434244</v>
      </c>
      <c r="M132" s="83" t="n">
        <f aca="false">IF(M39&lt;=MIN(DepYears,Life),S_Coll_Hi!$B$14/DepYears,0)</f>
        <v>76867.3503434244</v>
      </c>
      <c r="N132" s="83" t="n">
        <f aca="false">IF(N39&lt;=MIN(DepYears,Life),S_Coll_Hi!$B$14/DepYears,0)</f>
        <v>76867.3503434244</v>
      </c>
      <c r="O132" s="83" t="n">
        <f aca="false">IF(O39&lt;=MIN(DepYears,Life),S_Coll_Hi!$B$14/DepYears,0)</f>
        <v>76867.3503434244</v>
      </c>
      <c r="P132" s="83" t="n">
        <f aca="false">IF(P39&lt;=MIN(DepYears,Life),S_Coll_Hi!$B$14/DepYears,0)</f>
        <v>76867.3503434244</v>
      </c>
      <c r="Q132" s="83" t="n">
        <f aca="false">IF(Q39&lt;=MIN(DepYears,Life),S_Coll_Hi!$B$14/DepYears,0)</f>
        <v>76867.3503434244</v>
      </c>
      <c r="R132" s="83" t="n">
        <f aca="false">IF(R39&lt;=MIN(DepYears,Life),S_Coll_Hi!$B$14/DepYears,0)</f>
        <v>76867.3503434244</v>
      </c>
      <c r="S132" s="83" t="n">
        <f aca="false">IF(S39&lt;=MIN(DepYears,Life),S_Coll_Hi!$B$14/DepYears,0)</f>
        <v>0</v>
      </c>
      <c r="T132" s="83" t="n">
        <f aca="false">IF(T39&lt;=MIN(DepYears,Life),S_Coll_Hi!$B$14/DepYears,0)</f>
        <v>0</v>
      </c>
      <c r="U132" s="83" t="n">
        <f aca="false">IF(U39&lt;=MIN(DepYears,Life),S_Coll_Hi!$B$14/DepYears,0)</f>
        <v>0</v>
      </c>
      <c r="V132" s="83" t="n">
        <f aca="false">IF(V39&lt;=MIN(DepYears,Life),S_Coll_Hi!$B$14/DepYears,0)</f>
        <v>0</v>
      </c>
      <c r="W132" s="83" t="n">
        <f aca="false">IF(W39&lt;=MIN(DepYears,Life),S_Coll_Hi!$B$14/DepYears,0)</f>
        <v>0</v>
      </c>
    </row>
    <row r="133" customFormat="false" ht="15" hidden="false" customHeight="false" outlineLevel="0" collapsed="false">
      <c r="A133" s="10" t="s">
        <v>460</v>
      </c>
      <c r="B133" s="61" t="n">
        <f aca="false">SUM(C133:W133)</f>
        <v>405480.569084724</v>
      </c>
      <c r="C133" s="83" t="n">
        <v>0</v>
      </c>
      <c r="D133" s="83" t="n">
        <f aca="false">D98-D132</f>
        <v>-58703.5638336496</v>
      </c>
      <c r="E133" s="83" t="n">
        <f aca="false">E98-E132</f>
        <v>-30434.1115978944</v>
      </c>
      <c r="F133" s="83" t="n">
        <f aca="false">F98-F132</f>
        <v>-8177.69981632741</v>
      </c>
      <c r="G133" s="83" t="n">
        <f aca="false">G98-G132</f>
        <v>-3939.42645622115</v>
      </c>
      <c r="H133" s="83" t="n">
        <f aca="false">H98-H132</f>
        <v>2387.01541355587</v>
      </c>
      <c r="I133" s="83" t="n">
        <f aca="false">I98-I132</f>
        <v>9155.29153235364</v>
      </c>
      <c r="J133" s="83" t="n">
        <f aca="false">J98-J132</f>
        <v>14515.8595484959</v>
      </c>
      <c r="K133" s="83" t="n">
        <f aca="false">K98-K132</f>
        <v>14254.4936582196</v>
      </c>
      <c r="L133" s="83" t="n">
        <f aca="false">L98-L132</f>
        <v>13843.0281508731</v>
      </c>
      <c r="M133" s="83" t="n">
        <f aca="false">M98-M132</f>
        <v>13269.305786067</v>
      </c>
      <c r="N133" s="83" t="n">
        <f aca="false">N98-N132</f>
        <v>12520.3635433491</v>
      </c>
      <c r="O133" s="83" t="n">
        <f aca="false">O98-O132</f>
        <v>11582.3822113396</v>
      </c>
      <c r="P133" s="83" t="n">
        <f aca="false">P98-P132</f>
        <v>10440.6328821676</v>
      </c>
      <c r="Q133" s="83" t="n">
        <f aca="false">Q98-Q132</f>
        <v>9079.42016238539</v>
      </c>
      <c r="R133" s="83" t="n">
        <f aca="false">R98-R132</f>
        <v>7482.02190003815</v>
      </c>
      <c r="S133" s="83" t="n">
        <f aca="false">S98-S132</f>
        <v>82497.9755587884</v>
      </c>
      <c r="T133" s="83" t="n">
        <f aca="false">T98-T132</f>
        <v>80373.6089530847</v>
      </c>
      <c r="U133" s="83" t="n">
        <f aca="false">U98-U132</f>
        <v>77956.0702565393</v>
      </c>
      <c r="V133" s="83" t="n">
        <f aca="false">V98-V132</f>
        <v>75223.8501612619</v>
      </c>
      <c r="W133" s="83" t="n">
        <f aca="false">W98-W132</f>
        <v>72154.0510702969</v>
      </c>
    </row>
    <row r="134" customFormat="false" ht="15" hidden="false" customHeight="false" outlineLevel="0" collapsed="false">
      <c r="A134" s="10" t="s">
        <v>461</v>
      </c>
      <c r="C134" s="83" t="n">
        <v>0</v>
      </c>
      <c r="D134" s="83" t="n">
        <f aca="false">0</f>
        <v>0</v>
      </c>
      <c r="E134" s="83" t="n">
        <f aca="false">D136</f>
        <v>58703.5638336496</v>
      </c>
      <c r="F134" s="83" t="n">
        <f aca="false">E136</f>
        <v>89137.675431544</v>
      </c>
      <c r="G134" s="83" t="n">
        <f aca="false">F136</f>
        <v>97315.3752478714</v>
      </c>
      <c r="H134" s="83" t="n">
        <f aca="false">G136</f>
        <v>101254.801704093</v>
      </c>
      <c r="I134" s="83" t="n">
        <f aca="false">H136</f>
        <v>98867.7862905367</v>
      </c>
      <c r="J134" s="83" t="n">
        <f aca="false">I136</f>
        <v>89712.4947581831</v>
      </c>
      <c r="K134" s="83" t="n">
        <f aca="false">J136</f>
        <v>75196.6352096871</v>
      </c>
      <c r="L134" s="83" t="n">
        <f aca="false">K136</f>
        <v>60942.1415514676</v>
      </c>
      <c r="M134" s="83" t="n">
        <f aca="false">L136</f>
        <v>47099.1134005945</v>
      </c>
      <c r="N134" s="83" t="n">
        <f aca="false">M136</f>
        <v>33829.8076145275</v>
      </c>
      <c r="O134" s="83" t="n">
        <f aca="false">N136</f>
        <v>21309.4440711784</v>
      </c>
      <c r="P134" s="83" t="n">
        <f aca="false">O136</f>
        <v>9727.06185983875</v>
      </c>
      <c r="Q134" s="83" t="n">
        <f aca="false">P136</f>
        <v>0</v>
      </c>
      <c r="R134" s="83" t="n">
        <f aca="false">Q136</f>
        <v>0</v>
      </c>
      <c r="S134" s="83" t="n">
        <f aca="false">R136</f>
        <v>0</v>
      </c>
      <c r="T134" s="83" t="n">
        <f aca="false">S136</f>
        <v>0</v>
      </c>
      <c r="U134" s="83" t="n">
        <f aca="false">T136</f>
        <v>0</v>
      </c>
      <c r="V134" s="83" t="n">
        <f aca="false">U136</f>
        <v>0</v>
      </c>
      <c r="W134" s="83" t="n">
        <f aca="false">V136</f>
        <v>0</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2387.01541355587</v>
      </c>
      <c r="I135" s="83" t="n">
        <f aca="false">MIN(I134,MAX(I133,0))</f>
        <v>9155.29153235364</v>
      </c>
      <c r="J135" s="83" t="n">
        <f aca="false">MIN(J134,MAX(J133,0))</f>
        <v>14515.8595484959</v>
      </c>
      <c r="K135" s="83" t="n">
        <f aca="false">MIN(K134,MAX(K133,0))</f>
        <v>14254.4936582196</v>
      </c>
      <c r="L135" s="83" t="n">
        <f aca="false">MIN(L134,MAX(L133,0))</f>
        <v>13843.0281508731</v>
      </c>
      <c r="M135" s="83" t="n">
        <f aca="false">MIN(M134,MAX(M133,0))</f>
        <v>13269.305786067</v>
      </c>
      <c r="N135" s="83" t="n">
        <f aca="false">MIN(N134,MAX(N133,0))</f>
        <v>12520.3635433491</v>
      </c>
      <c r="O135" s="83" t="n">
        <f aca="false">MIN(O134,MAX(O133,0))</f>
        <v>11582.3822113396</v>
      </c>
      <c r="P135" s="83" t="n">
        <f aca="false">MIN(P134,MAX(P133,0))</f>
        <v>9727.06185983875</v>
      </c>
      <c r="Q135" s="83" t="n">
        <f aca="false">MIN(Q134,MAX(Q133,0))</f>
        <v>0</v>
      </c>
      <c r="R135" s="83" t="n">
        <f aca="false">MIN(R134,MAX(R133,0))</f>
        <v>0</v>
      </c>
      <c r="S135" s="83" t="n">
        <f aca="false">MIN(S134,MAX(S133,0))</f>
        <v>0</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58703.5638336496</v>
      </c>
      <c r="E136" s="83" t="n">
        <f aca="false">E134-E135+MAX(-E133,0)</f>
        <v>89137.675431544</v>
      </c>
      <c r="F136" s="83" t="n">
        <f aca="false">F134-F135+MAX(-F133,0)</f>
        <v>97315.3752478714</v>
      </c>
      <c r="G136" s="83" t="n">
        <f aca="false">G134-G135+MAX(-G133,0)</f>
        <v>101254.801704093</v>
      </c>
      <c r="H136" s="83" t="n">
        <f aca="false">H134-H135+MAX(-H133,0)</f>
        <v>98867.7862905367</v>
      </c>
      <c r="I136" s="83" t="n">
        <f aca="false">I134-I135+MAX(-I133,0)</f>
        <v>89712.4947581831</v>
      </c>
      <c r="J136" s="83" t="n">
        <f aca="false">J134-J135+MAX(-J133,0)</f>
        <v>75196.6352096871</v>
      </c>
      <c r="K136" s="83" t="n">
        <f aca="false">K134-K135+MAX(-K133,0)</f>
        <v>60942.1415514676</v>
      </c>
      <c r="L136" s="83" t="n">
        <f aca="false">L134-L135+MAX(-L133,0)</f>
        <v>47099.1134005945</v>
      </c>
      <c r="M136" s="83" t="n">
        <f aca="false">M134-M135+MAX(-M133,0)</f>
        <v>33829.8076145275</v>
      </c>
      <c r="N136" s="83" t="n">
        <f aca="false">N134-N135+MAX(-N133,0)</f>
        <v>21309.4440711784</v>
      </c>
      <c r="O136" s="83" t="n">
        <f aca="false">O134-O135+MAX(-O133,0)</f>
        <v>9727.06185983875</v>
      </c>
      <c r="P136" s="83" t="n">
        <f aca="false">P134-P135+MAX(-P133,0)</f>
        <v>0</v>
      </c>
      <c r="Q136" s="83" t="n">
        <f aca="false">Q134-Q135+MAX(-Q133,0)</f>
        <v>0</v>
      </c>
      <c r="R136" s="83" t="n">
        <f aca="false">R134-R135+MAX(-R133,0)</f>
        <v>0</v>
      </c>
      <c r="S136" s="83" t="n">
        <f aca="false">S134-S135+MAX(-S133,0)</f>
        <v>0</v>
      </c>
      <c r="T136" s="83" t="n">
        <f aca="false">T134-T135+MAX(-T133,0)</f>
        <v>0</v>
      </c>
      <c r="U136" s="83" t="n">
        <f aca="false">U134-U135+MAX(-U133,0)</f>
        <v>0</v>
      </c>
      <c r="V136" s="83" t="n">
        <f aca="false">V134-V135+MAX(-V133,0)</f>
        <v>0</v>
      </c>
      <c r="W136" s="83" t="n">
        <f aca="false">W134-W135+MAX(-W133,0)</f>
        <v>0</v>
      </c>
    </row>
    <row r="137" customFormat="false" ht="15" hidden="false" customHeight="false" outlineLevel="0" collapsed="false">
      <c r="A137" s="10" t="s">
        <v>464</v>
      </c>
      <c r="B137" s="61" t="n">
        <f aca="false">SUM(C137:W137)</f>
        <v>101370.142271181</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178.392755582208</v>
      </c>
      <c r="Q137" s="83" t="n">
        <f aca="false">(MAX(Q133,0)-Q135)*TaxRate</f>
        <v>2269.85504059635</v>
      </c>
      <c r="R137" s="83" t="n">
        <f aca="false">(MAX(R133,0)-R135)*TaxRate</f>
        <v>1870.50547500954</v>
      </c>
      <c r="S137" s="83" t="n">
        <f aca="false">(MAX(S133,0)-S135)*TaxRate</f>
        <v>20624.4938896971</v>
      </c>
      <c r="T137" s="83" t="n">
        <f aca="false">(MAX(T133,0)-T135)*TaxRate</f>
        <v>20093.4022382712</v>
      </c>
      <c r="U137" s="83" t="n">
        <f aca="false">(MAX(U133,0)-U135)*TaxRate</f>
        <v>19489.0175641348</v>
      </c>
      <c r="V137" s="83" t="n">
        <f aca="false">(MAX(V133,0)-V135)*TaxRate</f>
        <v>18805.9625403155</v>
      </c>
      <c r="W137" s="83" t="n">
        <f aca="false">(MAX(W133,0)-W135)*TaxRate</f>
        <v>18038.5127675742</v>
      </c>
    </row>
    <row r="138" customFormat="false" ht="15" hidden="false" customHeight="false" outlineLevel="0" collapsed="false">
      <c r="A138" s="10" t="s">
        <v>465</v>
      </c>
      <c r="B138" s="61" t="n">
        <f aca="false">SUM(C138:W138)</f>
        <v>292461.066169156</v>
      </c>
      <c r="C138" s="83" t="n">
        <v>0</v>
      </c>
      <c r="D138" s="83" t="n">
        <f aca="false">D98-D132-D114-D121</f>
        <v>-73081.8304675851</v>
      </c>
      <c r="E138" s="83" t="n">
        <f aca="false">E98-E132-E114-E121</f>
        <v>-44812.3782318299</v>
      </c>
      <c r="F138" s="83" t="n">
        <f aca="false">F98-F132-F114-F121</f>
        <v>-22555.9664502629</v>
      </c>
      <c r="G138" s="83" t="n">
        <f aca="false">G98-G132-G114-G121</f>
        <v>-17350.5443207465</v>
      </c>
      <c r="H138" s="83" t="n">
        <f aca="false">H98-H132-H114-H121</f>
        <v>-9960.23880461829</v>
      </c>
      <c r="I138" s="83" t="n">
        <f aca="false">I98-I132-I114-I121</f>
        <v>-2021.71267483422</v>
      </c>
      <c r="J138" s="83" t="n">
        <f aca="false">J98-J132-J114-J121</f>
        <v>4915.56654168119</v>
      </c>
      <c r="K138" s="83" t="n">
        <f aca="false">K98-K132-K114-K121</f>
        <v>6368.3224386351</v>
      </c>
      <c r="L138" s="83" t="n">
        <f aca="false">L98-L132-L114-L121</f>
        <v>7821.52254806636</v>
      </c>
      <c r="M138" s="83" t="n">
        <f aca="false">M98-M132-M114-M121</f>
        <v>9277.43796206496</v>
      </c>
      <c r="N138" s="83" t="n">
        <f aca="false">N98-N132-N114-N121</f>
        <v>10738.9580443918</v>
      </c>
      <c r="O138" s="83" t="n">
        <f aca="false">O98-O132-O114-O121</f>
        <v>10136.512581629</v>
      </c>
      <c r="P138" s="83" t="n">
        <f aca="false">P98-P132-P114-P121</f>
        <v>9340.36519778113</v>
      </c>
      <c r="Q138" s="83" t="n">
        <f aca="false">Q98-Q132-Q114-Q121</f>
        <v>8335.12248168279</v>
      </c>
      <c r="R138" s="83" t="n">
        <f aca="false">R98-R132-R114-R121</f>
        <v>7104.37332312994</v>
      </c>
      <c r="S138" s="83" t="n">
        <f aca="false">S98-S132-S114-S121</f>
        <v>82497.9755587884</v>
      </c>
      <c r="T138" s="83" t="n">
        <f aca="false">T98-T132-T114-T121</f>
        <v>80373.6089530847</v>
      </c>
      <c r="U138" s="83" t="n">
        <f aca="false">U98-U132-U114-U121</f>
        <v>77956.0702565393</v>
      </c>
      <c r="V138" s="83" t="n">
        <f aca="false">V98-V132-V114-V121</f>
        <v>75223.8501612619</v>
      </c>
      <c r="W138" s="83" t="n">
        <f aca="false">W98-W132-W114-W121</f>
        <v>72154.0510702969</v>
      </c>
    </row>
    <row r="139" customFormat="false" ht="15" hidden="false" customHeight="false" outlineLevel="0" collapsed="false">
      <c r="A139" s="10" t="s">
        <v>461</v>
      </c>
      <c r="C139" s="83" t="n">
        <v>0</v>
      </c>
      <c r="D139" s="83" t="n">
        <f aca="false">0</f>
        <v>0</v>
      </c>
      <c r="E139" s="83" t="n">
        <f aca="false">D141</f>
        <v>73081.8304675851</v>
      </c>
      <c r="F139" s="83" t="n">
        <f aca="false">E141</f>
        <v>117894.208699415</v>
      </c>
      <c r="G139" s="83" t="n">
        <f aca="false">F141</f>
        <v>140450.175149678</v>
      </c>
      <c r="H139" s="83" t="n">
        <f aca="false">G141</f>
        <v>157800.719470424</v>
      </c>
      <c r="I139" s="83" t="n">
        <f aca="false">H141</f>
        <v>167760.958275043</v>
      </c>
      <c r="J139" s="83" t="n">
        <f aca="false">I141</f>
        <v>169782.670949877</v>
      </c>
      <c r="K139" s="83" t="n">
        <f aca="false">J141</f>
        <v>164867.104408196</v>
      </c>
      <c r="L139" s="83" t="n">
        <f aca="false">K141</f>
        <v>158498.781969561</v>
      </c>
      <c r="M139" s="83" t="n">
        <f aca="false">L141</f>
        <v>150677.259421494</v>
      </c>
      <c r="N139" s="83" t="n">
        <f aca="false">M141</f>
        <v>141399.821459429</v>
      </c>
      <c r="O139" s="83" t="n">
        <f aca="false">N141</f>
        <v>130660.863415038</v>
      </c>
      <c r="P139" s="83" t="n">
        <f aca="false">O141</f>
        <v>120524.350833409</v>
      </c>
      <c r="Q139" s="83" t="n">
        <f aca="false">P141</f>
        <v>111183.985635627</v>
      </c>
      <c r="R139" s="83" t="n">
        <f aca="false">Q141</f>
        <v>102848.863153945</v>
      </c>
      <c r="S139" s="83" t="n">
        <f aca="false">R141</f>
        <v>95744.4898308147</v>
      </c>
      <c r="T139" s="83" t="n">
        <f aca="false">S141</f>
        <v>13246.5142720263</v>
      </c>
      <c r="U139" s="83" t="n">
        <f aca="false">T141</f>
        <v>0</v>
      </c>
      <c r="V139" s="83" t="n">
        <f aca="false">U141</f>
        <v>0</v>
      </c>
      <c r="W139" s="83" t="n">
        <f aca="false">V141</f>
        <v>0</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4915.56654168119</v>
      </c>
      <c r="K140" s="83" t="n">
        <f aca="false">MIN(K139,MAX(K138,0))</f>
        <v>6368.3224386351</v>
      </c>
      <c r="L140" s="83" t="n">
        <f aca="false">MIN(L139,MAX(L138,0))</f>
        <v>7821.52254806636</v>
      </c>
      <c r="M140" s="83" t="n">
        <f aca="false">MIN(M139,MAX(M138,0))</f>
        <v>9277.43796206496</v>
      </c>
      <c r="N140" s="83" t="n">
        <f aca="false">MIN(N139,MAX(N138,0))</f>
        <v>10738.9580443918</v>
      </c>
      <c r="O140" s="83" t="n">
        <f aca="false">MIN(O139,MAX(O138,0))</f>
        <v>10136.512581629</v>
      </c>
      <c r="P140" s="83" t="n">
        <f aca="false">MIN(P139,MAX(P138,0))</f>
        <v>9340.36519778113</v>
      </c>
      <c r="Q140" s="83" t="n">
        <f aca="false">MIN(Q139,MAX(Q138,0))</f>
        <v>8335.12248168279</v>
      </c>
      <c r="R140" s="83" t="n">
        <f aca="false">MIN(R139,MAX(R138,0))</f>
        <v>7104.37332312994</v>
      </c>
      <c r="S140" s="83" t="n">
        <f aca="false">MIN(S139,MAX(S138,0))</f>
        <v>82497.9755587884</v>
      </c>
      <c r="T140" s="83" t="n">
        <f aca="false">MIN(T139,MAX(T138,0))</f>
        <v>13246.5142720263</v>
      </c>
      <c r="U140" s="83" t="n">
        <f aca="false">MIN(U139,MAX(U138,0))</f>
        <v>0</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73081.8304675851</v>
      </c>
      <c r="E141" s="83" t="n">
        <f aca="false">E139-E140+MAX(-E138,0)</f>
        <v>117894.208699415</v>
      </c>
      <c r="F141" s="83" t="n">
        <f aca="false">F139-F140+MAX(-F138,0)</f>
        <v>140450.175149678</v>
      </c>
      <c r="G141" s="83" t="n">
        <f aca="false">G139-G140+MAX(-G138,0)</f>
        <v>157800.719470424</v>
      </c>
      <c r="H141" s="83" t="n">
        <f aca="false">H139-H140+MAX(-H138,0)</f>
        <v>167760.958275043</v>
      </c>
      <c r="I141" s="83" t="n">
        <f aca="false">I139-I140+MAX(-I138,0)</f>
        <v>169782.670949877</v>
      </c>
      <c r="J141" s="83" t="n">
        <f aca="false">J139-J140+MAX(-J138,0)</f>
        <v>164867.104408196</v>
      </c>
      <c r="K141" s="83" t="n">
        <f aca="false">K139-K140+MAX(-K138,0)</f>
        <v>158498.781969561</v>
      </c>
      <c r="L141" s="83" t="n">
        <f aca="false">L139-L140+MAX(-L138,0)</f>
        <v>150677.259421494</v>
      </c>
      <c r="M141" s="83" t="n">
        <f aca="false">M139-M140+MAX(-M138,0)</f>
        <v>141399.821459429</v>
      </c>
      <c r="N141" s="83" t="n">
        <f aca="false">N139-N140+MAX(-N138,0)</f>
        <v>130660.863415038</v>
      </c>
      <c r="O141" s="83" t="n">
        <f aca="false">O139-O140+MAX(-O138,0)</f>
        <v>120524.350833409</v>
      </c>
      <c r="P141" s="83" t="n">
        <f aca="false">P139-P140+MAX(-P138,0)</f>
        <v>111183.985635627</v>
      </c>
      <c r="Q141" s="83" t="n">
        <f aca="false">Q139-Q140+MAX(-Q138,0)</f>
        <v>102848.863153945</v>
      </c>
      <c r="R141" s="83" t="n">
        <f aca="false">R139-R140+MAX(-R138,0)</f>
        <v>95744.4898308147</v>
      </c>
      <c r="S141" s="83" t="n">
        <f aca="false">S139-S140+MAX(-S138,0)</f>
        <v>13246.5142720263</v>
      </c>
      <c r="T141" s="83" t="n">
        <f aca="false">T139-T140+MAX(-T138,0)</f>
        <v>0</v>
      </c>
      <c r="U141" s="83" t="n">
        <f aca="false">U139-U140+MAX(-U138,0)</f>
        <v>0</v>
      </c>
      <c r="V141" s="83" t="n">
        <f aca="false">V139-V140+MAX(-V138,0)</f>
        <v>0</v>
      </c>
      <c r="W141" s="83" t="n">
        <f aca="false">W139-W140+MAX(-W138,0)</f>
        <v>0</v>
      </c>
    </row>
    <row r="142" customFormat="false" ht="15" hidden="false" customHeight="false" outlineLevel="0" collapsed="false">
      <c r="A142" s="10" t="s">
        <v>466</v>
      </c>
      <c r="B142" s="61" t="n">
        <f aca="false">SUM(C142:W142)</f>
        <v>73115.2665422891</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16781.7736702646</v>
      </c>
      <c r="U142" s="83" t="n">
        <f aca="false">(MAX(U138,0)-U140)*TaxRate</f>
        <v>19489.0175641348</v>
      </c>
      <c r="V142" s="83" t="n">
        <f aca="false">(MAX(V138,0)-V140)*TaxRate</f>
        <v>18805.9625403155</v>
      </c>
      <c r="W142" s="83" t="n">
        <f aca="false">(MAX(W138,0)-W140)*TaxRate</f>
        <v>18038.5127675742</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-679737.696270617</v>
      </c>
      <c r="C145" s="27" t="n">
        <f aca="false">-C102+C98-C103-C137</f>
        <v>-1153010.25515137</v>
      </c>
      <c r="D145" s="27" t="n">
        <f aca="false">-D102+D98-D103-D137</f>
        <v>18163.7865097748</v>
      </c>
      <c r="E145" s="27" t="n">
        <f aca="false">-E102+E98-E103-E137</f>
        <v>46433.23874553</v>
      </c>
      <c r="F145" s="27" t="n">
        <f aca="false">-F102+F98-F103-F137</f>
        <v>68689.650527097</v>
      </c>
      <c r="G145" s="27" t="n">
        <f aca="false">-G102+G98-G103-G137</f>
        <v>72927.9238872032</v>
      </c>
      <c r="H145" s="27" t="n">
        <f aca="false">-H102+H98-H103-H137</f>
        <v>79254.3657569802</v>
      </c>
      <c r="I145" s="27" t="n">
        <f aca="false">-I102+I98-I103-I137</f>
        <v>86022.641875778</v>
      </c>
      <c r="J145" s="27" t="n">
        <f aca="false">-J102+J98-J103-J137</f>
        <v>91383.2098919203</v>
      </c>
      <c r="K145" s="27" t="n">
        <f aca="false">-K102+K98-K103-K137</f>
        <v>-74781.5937030575</v>
      </c>
      <c r="L145" s="27" t="n">
        <f aca="false">-L102+L98-L103-L137</f>
        <v>90710.3784942975</v>
      </c>
      <c r="M145" s="27" t="n">
        <f aca="false">-M102+M98-M103-M137</f>
        <v>90136.6561294914</v>
      </c>
      <c r="N145" s="27" t="n">
        <f aca="false">-N102+N98-N103-N137</f>
        <v>89387.7138867735</v>
      </c>
      <c r="O145" s="27" t="n">
        <f aca="false">-O102+O98-O103-O137</f>
        <v>88449.732554764</v>
      </c>
      <c r="P145" s="27" t="n">
        <f aca="false">-P102+P98-P103-P137</f>
        <v>87129.5904700098</v>
      </c>
      <c r="Q145" s="27" t="n">
        <f aca="false">-Q102+Q98-Q103-Q137</f>
        <v>83676.9154652134</v>
      </c>
      <c r="R145" s="27" t="n">
        <f aca="false">-R102+R98-R103-R137</f>
        <v>82478.866768453</v>
      </c>
      <c r="S145" s="27" t="n">
        <f aca="false">-S102+S98-S103-S137</f>
        <v>-148288.029614579</v>
      </c>
      <c r="T145" s="27" t="n">
        <f aca="false">-T102+T98-T103-T137</f>
        <v>60280.2067148135</v>
      </c>
      <c r="U145" s="27" t="n">
        <f aca="false">-U102+U98-U103-U137</f>
        <v>58467.0526924045</v>
      </c>
      <c r="V145" s="27" t="n">
        <f aca="false">-V102+V98-V103-V137</f>
        <v>56417.8876209464</v>
      </c>
      <c r="W145" s="27" t="n">
        <f aca="false">-W102+W98-W103-W137</f>
        <v>54115.5383027226</v>
      </c>
    </row>
    <row r="146" customFormat="false" ht="15" hidden="false" customHeight="false" outlineLevel="0" collapsed="false">
      <c r="A146" s="15" t="s">
        <v>469</v>
      </c>
      <c r="B146" s="61" t="n">
        <f aca="false">C146+NPV(Hurdle,D146:W146)</f>
        <v>138182.664360487</v>
      </c>
      <c r="C146" s="27" t="n">
        <f aca="false">C145+C106+C108</f>
        <v>-553010.255151365</v>
      </c>
      <c r="D146" s="27" t="n">
        <f aca="false">D145+D106+D108</f>
        <v>169363.786509775</v>
      </c>
      <c r="E146" s="27" t="n">
        <f aca="false">E145+E106+E108</f>
        <v>109433.23874553</v>
      </c>
      <c r="F146" s="27" t="n">
        <f aca="false">F145+F106+F108</f>
        <v>106489.650527097</v>
      </c>
      <c r="G146" s="27" t="n">
        <f aca="false">G145+G106+G108</f>
        <v>72927.9238872032</v>
      </c>
      <c r="H146" s="27" t="n">
        <f aca="false">H145+H106+H108</f>
        <v>79254.3657569802</v>
      </c>
      <c r="I146" s="27" t="n">
        <f aca="false">I145+I106+I108</f>
        <v>86022.641875778</v>
      </c>
      <c r="J146" s="27" t="n">
        <f aca="false">J145+J106+J108</f>
        <v>91383.2098919203</v>
      </c>
      <c r="K146" s="27" t="n">
        <f aca="false">K145+K106+K108</f>
        <v>-74781.5937030575</v>
      </c>
      <c r="L146" s="27" t="n">
        <f aca="false">L145+L106+L108</f>
        <v>90710.3784942975</v>
      </c>
      <c r="M146" s="27" t="n">
        <f aca="false">M145+M106+M108</f>
        <v>90136.6561294914</v>
      </c>
      <c r="N146" s="27" t="n">
        <f aca="false">N145+N106+N108</f>
        <v>89387.7138867735</v>
      </c>
      <c r="O146" s="27" t="n">
        <f aca="false">O145+O106+O108</f>
        <v>88449.732554764</v>
      </c>
      <c r="P146" s="27" t="n">
        <f aca="false">P145+P106+P108</f>
        <v>87129.5904700098</v>
      </c>
      <c r="Q146" s="27" t="n">
        <f aca="false">Q145+Q106+Q108</f>
        <v>83676.9154652134</v>
      </c>
      <c r="R146" s="27" t="n">
        <f aca="false">R145+R106+R108</f>
        <v>82478.866768453</v>
      </c>
      <c r="S146" s="27" t="n">
        <f aca="false">S145+S106+S108</f>
        <v>-148288.029614579</v>
      </c>
      <c r="T146" s="27" t="n">
        <f aca="false">T145+T106+T108</f>
        <v>60280.2067148135</v>
      </c>
      <c r="U146" s="27" t="n">
        <f aca="false">U145+U106+U108</f>
        <v>58467.0526924045</v>
      </c>
      <c r="V146" s="27" t="n">
        <f aca="false">V145+V106+V108</f>
        <v>56417.8876209464</v>
      </c>
      <c r="W146" s="27" t="n">
        <f aca="false">W145+W106+W108</f>
        <v>54115.5383027226</v>
      </c>
    </row>
    <row r="147" customFormat="false" ht="15" hidden="false" customHeight="false" outlineLevel="0" collapsed="false">
      <c r="A147" s="10" t="s">
        <v>237</v>
      </c>
      <c r="B147" s="61" t="n">
        <f aca="false">SUM(C147:W147)</f>
        <v>1361310.60870543</v>
      </c>
      <c r="C147" s="83" t="n">
        <v>0</v>
      </c>
      <c r="D147" s="83" t="n">
        <f aca="false">D98-D105-D142+D108</f>
        <v>148625.856796687</v>
      </c>
      <c r="E147" s="83" t="n">
        <f aca="false">E98-E105-E142+E108</f>
        <v>88695.3090324423</v>
      </c>
      <c r="F147" s="83" t="n">
        <f aca="false">F98-F105-F142+F108</f>
        <v>85751.7208140093</v>
      </c>
      <c r="G147" s="83" t="n">
        <f aca="false">G98-G105-G142+G108</f>
        <v>52189.9941741155</v>
      </c>
      <c r="H147" s="83" t="n">
        <f aca="false">H98-H105-H142+H108</f>
        <v>58516.4360438926</v>
      </c>
      <c r="I147" s="83" t="n">
        <f aca="false">I98-I105-I142+I108</f>
        <v>65284.7121626903</v>
      </c>
      <c r="J147" s="83" t="n">
        <f aca="false">J98-J105-J142+J108</f>
        <v>70645.2801788326</v>
      </c>
      <c r="K147" s="83" t="n">
        <f aca="false">K98-K105-K142+K108</f>
        <v>70383.9142885562</v>
      </c>
      <c r="L147" s="83" t="n">
        <f aca="false">L98-L105-L142+L108</f>
        <v>64440.1895838387</v>
      </c>
      <c r="M147" s="83" t="n">
        <f aca="false">M98-M105-M142+M108</f>
        <v>63866.4672190327</v>
      </c>
      <c r="N147" s="83" t="n">
        <f aca="false">N98-N105-N142+N108</f>
        <v>63117.5249763147</v>
      </c>
      <c r="O147" s="83" t="n">
        <f aca="false">O98-O105-O142+O108</f>
        <v>62179.5436443052</v>
      </c>
      <c r="P147" s="83" t="n">
        <f aca="false">P98-P105-P142+P108</f>
        <v>61037.7943151332</v>
      </c>
      <c r="Q147" s="83" t="n">
        <f aca="false">Q98-Q105-Q142+Q108</f>
        <v>59676.581595351</v>
      </c>
      <c r="R147" s="83" t="n">
        <f aca="false">R98-R105-R142+R108</f>
        <v>58079.1833330038</v>
      </c>
      <c r="S147" s="83" t="n">
        <f aca="false">S98-S105-S142+S108</f>
        <v>56227.7866483297</v>
      </c>
      <c r="T147" s="83" t="n">
        <f aca="false">T98-T105-T142+T108</f>
        <v>63591.8352828201</v>
      </c>
      <c r="U147" s="83" t="n">
        <f aca="false">U98-U105-U142+U108</f>
        <v>58467.0526924045</v>
      </c>
      <c r="V147" s="83" t="n">
        <f aca="false">V98-V105-V142+V108</f>
        <v>56417.8876209464</v>
      </c>
      <c r="W147" s="83" t="n">
        <f aca="false">W98-W105-W142+W108</f>
        <v>54115.5383027226</v>
      </c>
    </row>
    <row r="148" customFormat="false" ht="15" hidden="false" customHeight="false" outlineLevel="0" collapsed="false">
      <c r="A148" s="10" t="s">
        <v>470</v>
      </c>
      <c r="C148" s="86" t="n">
        <v>0</v>
      </c>
      <c r="D148" s="86" t="n">
        <f aca="false">IF(D125&gt;0,D147/D125,"")</f>
        <v>10.3368410518902</v>
      </c>
      <c r="E148" s="86" t="n">
        <f aca="false">IF(E125&gt;0,E147/E125,"")</f>
        <v>6.16870665224027</v>
      </c>
      <c r="F148" s="86" t="n">
        <f aca="false">IF(F125&gt;0,F147/F125,"")</f>
        <v>3.5655965397551</v>
      </c>
      <c r="G148" s="86" t="n">
        <f aca="false">IF(G125&gt;0,G147/G125,"")</f>
        <v>2.17008429534237</v>
      </c>
      <c r="H148" s="86" t="n">
        <f aca="false">IF(H125&gt;0,H147/H125,"")</f>
        <v>2.43314069847584</v>
      </c>
      <c r="I148" s="86" t="n">
        <f aca="false">IF(I125&gt;0,I147/I125,"")</f>
        <v>1.93736821995528</v>
      </c>
      <c r="J148" s="86" t="n">
        <f aca="false">IF(J125&gt;0,J147/J125,"")</f>
        <v>2.09644672043947</v>
      </c>
      <c r="K148" s="86" t="n">
        <f aca="false">IF(K125&gt;0,K147/K125,"")</f>
        <v>2.08869050994505</v>
      </c>
      <c r="L148" s="86" t="n">
        <f aca="false">IF(L125&gt;0,L147/L125,"")</f>
        <v>1.91230643824405</v>
      </c>
      <c r="M148" s="86" t="n">
        <f aca="false">IF(M125&gt;0,M147/M125,"")</f>
        <v>1.89528083699942</v>
      </c>
      <c r="N148" s="86" t="n">
        <f aca="false">IF(N125&gt;0,N147/N125,"")</f>
        <v>4.86795032811698</v>
      </c>
      <c r="O148" s="86" t="n">
        <f aca="false">IF(O125&gt;0,O147/O125,"")</f>
        <v>4.79560835123122</v>
      </c>
      <c r="P148" s="86" t="n">
        <f aca="false">IF(P125&gt;0,P147/P125,"")</f>
        <v>4.7075507313601</v>
      </c>
      <c r="Q148" s="86" t="n">
        <f aca="false">IF(Q125&gt;0,Q147/Q125,"")</f>
        <v>4.60256695849531</v>
      </c>
      <c r="R148" s="86" t="n">
        <f aca="false">IF(R125&gt;0,R147/R125,"")</f>
        <v>4.47936733369626</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131462.565959251</v>
      </c>
      <c r="C149" s="27" t="n">
        <f aca="false">-S_Coll_Hi!$B$18-C129</f>
        <v>-338995.286407787</v>
      </c>
      <c r="D149" s="27" t="n">
        <f aca="false">D147-D125-D129</f>
        <v>134247.590162752</v>
      </c>
      <c r="E149" s="27" t="n">
        <f aca="false">E147-E125-E129</f>
        <v>69481.298551456</v>
      </c>
      <c r="F149" s="27" t="n">
        <f aca="false">F147-F125-F129</f>
        <v>61701.9664859722</v>
      </c>
      <c r="G149" s="27" t="n">
        <f aca="false">G147-G125-G129</f>
        <v>28140.2398460784</v>
      </c>
      <c r="H149" s="27" t="n">
        <f aca="false">H147-H125-H129</f>
        <v>29642.7452443852</v>
      </c>
      <c r="I149" s="27" t="n">
        <f aca="false">I147-I125-I129</f>
        <v>31587.0848917128</v>
      </c>
      <c r="J149" s="27" t="n">
        <f aca="false">J147-J125-J129</f>
        <v>36947.6529078551</v>
      </c>
      <c r="K149" s="27" t="n">
        <f aca="false">K147-K125-K129</f>
        <v>36686.2870175787</v>
      </c>
      <c r="L149" s="27" t="n">
        <f aca="false">L147-L125-L129</f>
        <v>30742.5623128612</v>
      </c>
      <c r="M149" s="27" t="n">
        <f aca="false">M147-M125-M129</f>
        <v>40534.6863466196</v>
      </c>
      <c r="N149" s="27" t="n">
        <f aca="false">N147-N125-N129</f>
        <v>50151.5905024661</v>
      </c>
      <c r="O149" s="27" t="n">
        <f aca="false">O147-O125-O129</f>
        <v>49213.6091704566</v>
      </c>
      <c r="P149" s="27" t="n">
        <f aca="false">P147-P125-P129</f>
        <v>48071.8598412846</v>
      </c>
      <c r="Q149" s="27" t="n">
        <f aca="false">Q147-Q125-Q129</f>
        <v>46710.6471215024</v>
      </c>
      <c r="R149" s="27" t="n">
        <f aca="false">R147-R125-R129</f>
        <v>51596.2160960795</v>
      </c>
      <c r="S149" s="27" t="n">
        <f aca="false">S147-S125-S129</f>
        <v>56227.7866483297</v>
      </c>
      <c r="T149" s="27" t="n">
        <f aca="false">T147-T125-T129</f>
        <v>63591.8352828201</v>
      </c>
      <c r="U149" s="27" t="n">
        <f aca="false">U147-U125-U129</f>
        <v>58467.0526924045</v>
      </c>
      <c r="V149" s="27" t="n">
        <f aca="false">V147-V125-V129</f>
        <v>56417.8876209464</v>
      </c>
      <c r="W149" s="27" t="n">
        <f aca="false">W147-W125-W129</f>
        <v>54115.5383027226</v>
      </c>
    </row>
    <row r="150" customFormat="false" ht="15" hidden="false" customHeight="false" outlineLevel="0" collapsed="false">
      <c r="A150" s="10" t="s">
        <v>472</v>
      </c>
      <c r="C150" s="83" t="n">
        <f aca="false">C149</f>
        <v>-338995.286407787</v>
      </c>
      <c r="D150" s="83" t="n">
        <f aca="false">C150+D149</f>
        <v>-204747.696245035</v>
      </c>
      <c r="E150" s="83" t="n">
        <f aca="false">D150+E149</f>
        <v>-135266.397693579</v>
      </c>
      <c r="F150" s="83" t="n">
        <f aca="false">E150+F149</f>
        <v>-73564.4312076073</v>
      </c>
      <c r="G150" s="83" t="n">
        <f aca="false">F150+G149</f>
        <v>-45424.1913615288</v>
      </c>
      <c r="H150" s="83" t="n">
        <f aca="false">G150+H149</f>
        <v>-15781.4461171436</v>
      </c>
      <c r="I150" s="83" t="n">
        <f aca="false">H150+I149</f>
        <v>15805.6387745692</v>
      </c>
      <c r="J150" s="83" t="n">
        <f aca="false">I150+J149</f>
        <v>52753.2916824242</v>
      </c>
      <c r="K150" s="83" t="n">
        <f aca="false">J150+K149</f>
        <v>89439.5787000029</v>
      </c>
      <c r="L150" s="83" t="n">
        <f aca="false">K150+L149</f>
        <v>120182.141012864</v>
      </c>
      <c r="M150" s="83" t="n">
        <f aca="false">L150+M149</f>
        <v>160716.827359484</v>
      </c>
      <c r="N150" s="83" t="n">
        <f aca="false">M150+N149</f>
        <v>210868.41786195</v>
      </c>
      <c r="O150" s="83" t="n">
        <f aca="false">N150+O149</f>
        <v>260082.027032406</v>
      </c>
      <c r="P150" s="83" t="n">
        <f aca="false">O150+P149</f>
        <v>308153.886873691</v>
      </c>
      <c r="Q150" s="83" t="n">
        <f aca="false">P150+Q149</f>
        <v>354864.533995193</v>
      </c>
      <c r="R150" s="83" t="n">
        <f aca="false">Q150+R149</f>
        <v>406460.750091273</v>
      </c>
      <c r="S150" s="83" t="n">
        <f aca="false">R150+S149</f>
        <v>462688.536739602</v>
      </c>
      <c r="T150" s="83" t="n">
        <f aca="false">S150+T149</f>
        <v>526280.372022422</v>
      </c>
      <c r="U150" s="83" t="n">
        <f aca="false">T150+U149</f>
        <v>584747.424714827</v>
      </c>
      <c r="V150" s="83" t="n">
        <f aca="false">U150+V149</f>
        <v>641165.312335773</v>
      </c>
      <c r="W150" s="83" t="n">
        <f aca="false">V150+W149</f>
        <v>695280.850638496</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1690965.07317378</v>
      </c>
      <c r="C155" s="83" t="n">
        <f aca="false">C83</f>
        <v>0</v>
      </c>
      <c r="D155" s="83" t="n">
        <f aca="false">D83</f>
        <v>80018.8992</v>
      </c>
      <c r="E155" s="83" t="n">
        <f aca="false">E83</f>
        <v>120263.73772848</v>
      </c>
      <c r="F155" s="83" t="n">
        <f aca="false">F83</f>
        <v>150103.29336017</v>
      </c>
      <c r="G155" s="83" t="n">
        <f aca="false">G83</f>
        <v>159244.583925804</v>
      </c>
      <c r="H155" s="83" t="n">
        <f aca="false">H83</f>
        <v>168942.579086886</v>
      </c>
      <c r="I155" s="83" t="n">
        <f aca="false">I83</f>
        <v>179231.182153277</v>
      </c>
      <c r="J155" s="83" t="n">
        <f aca="false">J83</f>
        <v>190146.361146412</v>
      </c>
      <c r="K155" s="83" t="n">
        <f aca="false">K83</f>
        <v>201726.274540228</v>
      </c>
      <c r="L155" s="83" t="n">
        <f aca="false">L83</f>
        <v>214011.404659728</v>
      </c>
      <c r="M155" s="83" t="n">
        <f aca="false">M83</f>
        <v>227044.699203506</v>
      </c>
      <c r="N155" s="83" t="n">
        <f aca="false">N83</f>
        <v>240871.721384999</v>
      </c>
      <c r="O155" s="83" t="n">
        <f aca="false">O83</f>
        <v>255540.809217346</v>
      </c>
      <c r="P155" s="83" t="n">
        <f aca="false">P83</f>
        <v>271103.244498682</v>
      </c>
      <c r="Q155" s="83" t="n">
        <f aca="false">Q83</f>
        <v>287613.432088652</v>
      </c>
      <c r="R155" s="83" t="n">
        <f aca="false">R83</f>
        <v>305129.090102851</v>
      </c>
      <c r="S155" s="83" t="n">
        <f aca="false">S83</f>
        <v>323711.451690114</v>
      </c>
      <c r="T155" s="83" t="n">
        <f aca="false">T83</f>
        <v>343425.479098042</v>
      </c>
      <c r="U155" s="83" t="n">
        <f aca="false">U83</f>
        <v>364340.090775113</v>
      </c>
      <c r="V155" s="83" t="n">
        <f aca="false">V83</f>
        <v>386528.402303317</v>
      </c>
      <c r="W155" s="83" t="n">
        <f aca="false">W83</f>
        <v>410067.982003589</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f aca="false">1-SensDelta</f>
        <v>0.8</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MAX(0,S_Fuel_Lo!$B$14-Grant)*SenPct</f>
        <v>110602.051030273</v>
      </c>
    </row>
    <row r="17" customFormat="false" ht="15" hidden="false" customHeight="false" outlineLevel="0" collapsed="false">
      <c r="A17" s="10" t="s">
        <v>248</v>
      </c>
      <c r="B17" s="61" t="n">
        <f aca="false">MAX(0,S_Fuel_Lo!$B$14-Grant)*ConPct</f>
        <v>110602.051030273</v>
      </c>
    </row>
    <row r="18" customFormat="false" ht="15" hidden="false" customHeight="false" outlineLevel="0" collapsed="false">
      <c r="A18" s="10" t="s">
        <v>393</v>
      </c>
      <c r="B18" s="61" t="n">
        <f aca="false">MAX(0,S_Fuel_Lo!$B$14-Grant-S_Fuel_Lo!$B$16-S_Fuel_Lo!$B$17)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-722949.104774183</v>
      </c>
    </row>
    <row r="21" customFormat="false" ht="15" hidden="false" customHeight="false" outlineLevel="0" collapsed="false">
      <c r="A21" s="10" t="s">
        <v>396</v>
      </c>
      <c r="B21" s="61" t="n">
        <f aca="false">$B$146</f>
        <v>94971.2558569212</v>
      </c>
    </row>
    <row r="22" customFormat="false" ht="15" hidden="false" customHeight="false" outlineLevel="0" collapsed="false">
      <c r="A22" s="10" t="s">
        <v>397</v>
      </c>
      <c r="B22" s="63" t="n">
        <f aca="false">IFERROR(IRR($C$145:$W$145),"n.d.")</f>
        <v>-0.010299101391199</v>
      </c>
    </row>
    <row r="23" customFormat="false" ht="15" hidden="false" customHeight="false" outlineLevel="0" collapsed="false">
      <c r="A23" s="10" t="s">
        <v>398</v>
      </c>
      <c r="B23" s="63" t="n">
        <f aca="false">IFERROR(IRR($C$146:$W$146),"n.d.")</f>
        <v>0.132704288414342</v>
      </c>
    </row>
    <row r="24" customFormat="false" ht="15" hidden="false" customHeight="false" outlineLevel="0" collapsed="false">
      <c r="A24" s="10" t="s">
        <v>384</v>
      </c>
      <c r="B24" s="61" t="n">
        <f aca="false">MAX(0,-$B$145)</f>
        <v>722949.104774183</v>
      </c>
    </row>
    <row r="25" customFormat="false" ht="15" hidden="false" customHeight="false" outlineLevel="0" collapsed="false">
      <c r="A25" s="10" t="s">
        <v>256</v>
      </c>
      <c r="B25" s="63" t="n">
        <f aca="false">IFERROR(IRR($C$149:$W$149),"n.d.")</f>
        <v>0.142019849301188</v>
      </c>
    </row>
    <row r="26" customFormat="false" ht="15" hidden="false" customHeight="false" outlineLevel="0" collapsed="false">
      <c r="A26" s="10" t="s">
        <v>258</v>
      </c>
      <c r="B26" s="61" t="n">
        <f aca="false">C149+NPV(TargetEqIRR,D149:W149)</f>
        <v>-12497.0634788658</v>
      </c>
    </row>
    <row r="27" customFormat="false" ht="15" hidden="false" customHeight="false" outlineLevel="0" collapsed="false">
      <c r="A27" s="10" t="s">
        <v>252</v>
      </c>
      <c r="B27" s="62" t="n">
        <f aca="false">IF((S_Fuel_Lo!$B$16+S_Fuel_Lo!$B$17)&gt;0,MIN($D$148:$W$148),"pas de dette")</f>
        <v>1.6522135753731</v>
      </c>
    </row>
    <row r="28" customFormat="false" ht="15" hidden="false" customHeight="false" outlineLevel="0" collapsed="false">
      <c r="A28" s="10" t="s">
        <v>254</v>
      </c>
      <c r="B28" s="62" t="n">
        <f aca="false">IF((S_Fuel_Lo!$B$16+S_Fuel_Lo!$B$17)&gt;0,AVERAGE($D$148:$W$148),"pas de dette")</f>
        <v>3.58557398807138</v>
      </c>
    </row>
    <row r="29" customFormat="false" ht="15" hidden="false" customHeight="false" outlineLevel="0" collapsed="false">
      <c r="A29" s="10" t="s">
        <v>399</v>
      </c>
      <c r="B29" s="77" t="n">
        <f aca="false">IFERROR($B$153/$B$154,0)</f>
        <v>0.635405098030947</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159308.949623502</v>
      </c>
    </row>
    <row r="36" customFormat="false" ht="15" hidden="false" customHeight="false" outlineLevel="0" collapsed="false">
      <c r="A36" s="10" t="s">
        <v>260</v>
      </c>
      <c r="B36" s="78" t="n">
        <f aca="false">IFERROR(MATCH(TRUE(),INDEX($C$150:$W$150&gt;=0,0),0)-1,"&gt; durée de vie")</f>
        <v>8</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S_Fuel_Lo!$B$15*O_FixedPct*D44*LevOpex*$B$8*D41</f>
        <v>25065.4403293775</v>
      </c>
      <c r="E88" s="83" t="n">
        <f aca="false">S_Fuel_Lo!$B$15*O_FixedPct*E44*LevOpex*$B$8*E41</f>
        <v>25817.4035392588</v>
      </c>
      <c r="F88" s="83" t="n">
        <f aca="false">S_Fuel_Lo!$B$15*O_FixedPct*F44*LevOpex*$B$8*F41</f>
        <v>26591.9256454366</v>
      </c>
      <c r="G88" s="83" t="n">
        <f aca="false">S_Fuel_Lo!$B$15*O_FixedPct*G44*LevOpex*$B$8*G41</f>
        <v>27389.6834147997</v>
      </c>
      <c r="H88" s="83" t="n">
        <f aca="false">S_Fuel_Lo!$B$15*O_FixedPct*H44*LevOpex*$B$8*H41</f>
        <v>28211.3739172437</v>
      </c>
      <c r="I88" s="83" t="n">
        <f aca="false">S_Fuel_Lo!$B$15*O_FixedPct*I44*LevOpex*$B$8*I41</f>
        <v>29057.715134761</v>
      </c>
      <c r="J88" s="83" t="n">
        <f aca="false">S_Fuel_Lo!$B$15*O_FixedPct*J44*LevOpex*$B$8*J41</f>
        <v>29929.4465888038</v>
      </c>
      <c r="K88" s="83" t="n">
        <f aca="false">S_Fuel_Lo!$B$15*O_FixedPct*K44*LevOpex*$B$8*K41</f>
        <v>30827.329986468</v>
      </c>
      <c r="L88" s="83" t="n">
        <f aca="false">S_Fuel_Lo!$B$15*O_FixedPct*L44*LevOpex*$B$8*L41</f>
        <v>31752.149886062</v>
      </c>
      <c r="M88" s="83" t="n">
        <f aca="false">S_Fuel_Lo!$B$15*O_FixedPct*M44*LevOpex*$B$8*M41</f>
        <v>32704.7143826439</v>
      </c>
      <c r="N88" s="83" t="n">
        <f aca="false">S_Fuel_Lo!$B$15*O_FixedPct*N44*LevOpex*$B$8*N41</f>
        <v>33685.8558141232</v>
      </c>
      <c r="O88" s="83" t="n">
        <f aca="false">S_Fuel_Lo!$B$15*O_FixedPct*O44*LevOpex*$B$8*O41</f>
        <v>34696.4314885469</v>
      </c>
      <c r="P88" s="83" t="n">
        <f aca="false">S_Fuel_Lo!$B$15*O_FixedPct*P44*LevOpex*$B$8*P41</f>
        <v>35737.3244332033</v>
      </c>
      <c r="Q88" s="83" t="n">
        <f aca="false">S_Fuel_Lo!$B$15*O_FixedPct*Q44*LevOpex*$B$8*Q41</f>
        <v>36809.4441661994</v>
      </c>
      <c r="R88" s="83" t="n">
        <f aca="false">S_Fuel_Lo!$B$15*O_FixedPct*R44*LevOpex*$B$8*R41</f>
        <v>37913.7274911854</v>
      </c>
      <c r="S88" s="83" t="n">
        <f aca="false">S_Fuel_Lo!$B$15*O_FixedPct*S44*LevOpex*$B$8*S41</f>
        <v>39051.1393159209</v>
      </c>
      <c r="T88" s="83" t="n">
        <f aca="false">S_Fuel_Lo!$B$15*O_FixedPct*T44*LevOpex*$B$8*T41</f>
        <v>40222.6734953985</v>
      </c>
      <c r="U88" s="83" t="n">
        <f aca="false">S_Fuel_Lo!$B$15*O_FixedPct*U44*LevOpex*$B$8*U41</f>
        <v>41429.3537002605</v>
      </c>
      <c r="V88" s="83" t="n">
        <f aca="false">S_Fuel_Lo!$B$15*O_FixedPct*V44*LevOpex*$B$8*V41</f>
        <v>42672.2343112683</v>
      </c>
      <c r="W88" s="83" t="n">
        <f aca="false">S_Fuel_Lo!$B$15*O_FixedPct*W44*LevOpex*$B$8*W41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S_Fuel_Lo!$B$14*O_InsPct*D44*LevOpex*$B$8*D41</f>
        <v>5765.05127575683</v>
      </c>
      <c r="E90" s="83" t="n">
        <f aca="false">S_Fuel_Lo!$B$14*O_InsPct*E44*LevOpex*$B$8*E41</f>
        <v>5938.00281402953</v>
      </c>
      <c r="F90" s="83" t="n">
        <f aca="false">S_Fuel_Lo!$B$14*O_InsPct*F44*LevOpex*$B$8*F41</f>
        <v>6116.14289845042</v>
      </c>
      <c r="G90" s="83" t="n">
        <f aca="false">S_Fuel_Lo!$B$14*O_InsPct*G44*LevOpex*$B$8*G41</f>
        <v>6299.62718540393</v>
      </c>
      <c r="H90" s="83" t="n">
        <f aca="false">S_Fuel_Lo!$B$14*O_InsPct*H44*LevOpex*$B$8*H41</f>
        <v>6488.61600096605</v>
      </c>
      <c r="I90" s="83" t="n">
        <f aca="false">S_Fuel_Lo!$B$14*O_InsPct*I44*LevOpex*$B$8*I41</f>
        <v>6683.27448099503</v>
      </c>
      <c r="J90" s="83" t="n">
        <f aca="false">S_Fuel_Lo!$B$14*O_InsPct*J44*LevOpex*$B$8*J41</f>
        <v>6883.77271542488</v>
      </c>
      <c r="K90" s="83" t="n">
        <f aca="false">S_Fuel_Lo!$B$14*O_InsPct*K44*LevOpex*$B$8*K41</f>
        <v>7090.28589688763</v>
      </c>
      <c r="L90" s="83" t="n">
        <f aca="false">S_Fuel_Lo!$B$14*O_InsPct*L44*LevOpex*$B$8*L41</f>
        <v>7302.99447379426</v>
      </c>
      <c r="M90" s="83" t="n">
        <f aca="false">S_Fuel_Lo!$B$14*O_InsPct*M44*LevOpex*$B$8*M41</f>
        <v>7522.08430800809</v>
      </c>
      <c r="N90" s="83" t="n">
        <f aca="false">S_Fuel_Lo!$B$14*O_InsPct*N44*LevOpex*$B$8*N41</f>
        <v>7747.74683724833</v>
      </c>
      <c r="O90" s="83" t="n">
        <f aca="false">S_Fuel_Lo!$B$14*O_InsPct*O44*LevOpex*$B$8*O41</f>
        <v>7980.17924236578</v>
      </c>
      <c r="P90" s="83" t="n">
        <f aca="false">S_Fuel_Lo!$B$14*O_InsPct*P44*LevOpex*$B$8*P41</f>
        <v>8219.58461963675</v>
      </c>
      <c r="Q90" s="83" t="n">
        <f aca="false">S_Fuel_Lo!$B$14*O_InsPct*Q44*LevOpex*$B$8*Q41</f>
        <v>8466.17215822586</v>
      </c>
      <c r="R90" s="83" t="n">
        <f aca="false">S_Fuel_Lo!$B$14*O_InsPct*R44*LevOpex*$B$8*R41</f>
        <v>8720.15732297263</v>
      </c>
      <c r="S90" s="83" t="n">
        <f aca="false">S_Fuel_Lo!$B$14*O_InsPct*S44*LevOpex*$B$8*S41</f>
        <v>8981.76204266181</v>
      </c>
      <c r="T90" s="83" t="n">
        <f aca="false">S_Fuel_Lo!$B$14*O_InsPct*T44*LevOpex*$B$8*T41</f>
        <v>9251.21490394167</v>
      </c>
      <c r="U90" s="83" t="n">
        <f aca="false">S_Fuel_Lo!$B$14*O_InsPct*U44*LevOpex*$B$8*U41</f>
        <v>9528.75135105992</v>
      </c>
      <c r="V90" s="83" t="n">
        <f aca="false">S_Fuel_Lo!$B$14*O_InsPct*V44*LevOpex*$B$8*V41</f>
        <v>9814.61389159171</v>
      </c>
      <c r="W90" s="83" t="n">
        <f aca="false">S_Fuel_Lo!$B$14*O_InsPct*W44*LevOpex*$B$8*W41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1254080.54701563</v>
      </c>
      <c r="C95" s="83" t="n">
        <v>0</v>
      </c>
      <c r="D95" s="83" t="n">
        <f aca="false">D74*FuelPrice*LevFuel*$B$10*D44</f>
        <v>7677.80770909091</v>
      </c>
      <c r="E95" s="83" t="n">
        <f aca="false">E74*FuelPrice*LevFuel*$B$10*E44</f>
        <v>11539.2971146473</v>
      </c>
      <c r="F95" s="83" t="n">
        <f aca="false">F74*FuelPrice*LevFuel*$B$10*F44</f>
        <v>14402.4003634462</v>
      </c>
      <c r="G95" s="83" t="n">
        <f aca="false">G74*FuelPrice*LevFuel*$B$10*G44</f>
        <v>15279.5065455801</v>
      </c>
      <c r="H95" s="83" t="n">
        <f aca="false">H74*FuelPrice*LevFuel*$B$10*H44</f>
        <v>16210.0284942059</v>
      </c>
      <c r="I95" s="83" t="n">
        <f aca="false">I74*FuelPrice*LevFuel*$B$10*I44</f>
        <v>17197.2192295031</v>
      </c>
      <c r="J95" s="83" t="n">
        <f aca="false">J74*FuelPrice*LevFuel*$B$10*J44</f>
        <v>19642.2204298756</v>
      </c>
      <c r="K95" s="83" t="n">
        <f aca="false">K74*FuelPrice*LevFuel*$B$10*K44</f>
        <v>26707.4826295071</v>
      </c>
      <c r="L95" s="83" t="n">
        <f aca="false">L74*FuelPrice*LevFuel*$B$10*L44</f>
        <v>34348.865213836</v>
      </c>
      <c r="M95" s="83" t="n">
        <f aca="false">M74*FuelPrice*LevFuel*$B$10*M44</f>
        <v>42605.0781853217</v>
      </c>
      <c r="N95" s="83" t="n">
        <f aca="false">N74*FuelPrice*LevFuel*$B$10*N44</f>
        <v>51517.2790487078</v>
      </c>
      <c r="O95" s="83" t="n">
        <f aca="false">O74*FuelPrice*LevFuel*$B$10*O44</f>
        <v>61129.2241019813</v>
      </c>
      <c r="P95" s="83" t="n">
        <f aca="false">P74*FuelPrice*LevFuel*$B$10*P44</f>
        <v>71487.4289965656</v>
      </c>
      <c r="Q95" s="83" t="n">
        <f aca="false">Q74*FuelPrice*LevFuel*$B$10*Q44</f>
        <v>82641.3391326273</v>
      </c>
      <c r="R95" s="83" t="n">
        <f aca="false">R74*FuelPrice*LevFuel*$B$10*R44</f>
        <v>94643.510489873</v>
      </c>
      <c r="S95" s="83" t="n">
        <f aca="false">S74*FuelPrice*LevFuel*$B$10*S44</f>
        <v>107549.801530806</v>
      </c>
      <c r="T95" s="83" t="n">
        <f aca="false">T74*FuelPrice*LevFuel*$B$10*T44</f>
        <v>121419.576852247</v>
      </c>
      <c r="U95" s="83" t="n">
        <f aca="false">U74*FuelPrice*LevFuel*$B$10*U44</f>
        <v>136315.923302107</v>
      </c>
      <c r="V95" s="83" t="n">
        <f aca="false">V74*FuelPrice*LevFuel*$B$10*V44</f>
        <v>152305.87932212</v>
      </c>
      <c r="W95" s="83" t="n">
        <f aca="false">W74*FuelPrice*LevFuel*$B$10*W44</f>
        <v>169460.678323581</v>
      </c>
    </row>
    <row r="96" customFormat="false" ht="15" hidden="false" customHeight="false" outlineLevel="0" collapsed="false">
      <c r="A96" s="15" t="s">
        <v>435</v>
      </c>
      <c r="B96" s="61" t="n">
        <f aca="false">SUM(C96:W96)</f>
        <v>3006844.0018536</v>
      </c>
      <c r="C96" s="27" t="n">
        <f aca="false">C88+C89+C90+C91+C92+C93+C94+C95</f>
        <v>0</v>
      </c>
      <c r="D96" s="27" t="n">
        <f aca="false">D88+D89+D90+D91+D92+D93+D94+D95</f>
        <v>66643.6154048725</v>
      </c>
      <c r="E96" s="27" t="n">
        <f aca="false">E88+E89+E90+E91+E92+E93+E94+E95</f>
        <v>73532.0417337399</v>
      </c>
      <c r="F96" s="27" t="n">
        <f aca="false">F88+F89+F90+F91+F92+F93+F94+F95</f>
        <v>79177.794838147</v>
      </c>
      <c r="G96" s="27" t="n">
        <f aca="false">G88+G89+G90+G91+G92+G93+G94+G95</f>
        <v>82114.5964007841</v>
      </c>
      <c r="H96" s="27" t="n">
        <f aca="false">H88+H89+H90+H91+H92+H93+H94+H95</f>
        <v>85230.2440165455</v>
      </c>
      <c r="I96" s="27" t="n">
        <f aca="false">I88+I89+I90+I91+I92+I93+I94+I95</f>
        <v>88479.0806329555</v>
      </c>
      <c r="J96" s="27" t="n">
        <f aca="false">J88+J89+J90+J91+J92+J93+J94+J95</f>
        <v>93396.2448802711</v>
      </c>
      <c r="K96" s="27" t="n">
        <f aca="false">K88+K89+K90+K91+K92+K93+K94+K95</f>
        <v>103443.416822311</v>
      </c>
      <c r="L96" s="27" t="n">
        <f aca="false">L88+L89+L90+L91+L92+L93+L94+L95</f>
        <v>114200.182490788</v>
      </c>
      <c r="M96" s="27" t="n">
        <f aca="false">M88+M89+M90+M91+M92+M93+M94+M95</f>
        <v>125711.866249595</v>
      </c>
      <c r="N96" s="27" t="n">
        <f aca="false">N88+N89+N90+N91+N92+N93+N94+N95</f>
        <v>138026.595604725</v>
      </c>
      <c r="O96" s="27" t="n">
        <f aca="false">O88+O89+O90+O91+O92+O93+O94+O95</f>
        <v>151195.472694965</v>
      </c>
      <c r="P96" s="27" t="n">
        <f aca="false">P88+P89+P90+P91+P92+P93+P94+P95</f>
        <v>165272.756237152</v>
      </c>
      <c r="Q96" s="27" t="n">
        <f aca="false">Q88+Q89+Q90+Q91+Q92+Q93+Q94+Q95</f>
        <v>180316.054562672</v>
      </c>
      <c r="R96" s="27" t="n">
        <f aca="false">R88+R89+R90+R91+R92+R93+R94+R95</f>
        <v>196386.530420673</v>
      </c>
      <c r="S96" s="27" t="n">
        <f aca="false">S88+S89+S90+S91+S92+S93+S94+S95</f>
        <v>213549.118264568</v>
      </c>
      <c r="T96" s="27" t="n">
        <f aca="false">T88+T89+T90+T91+T92+T93+T94+T95</f>
        <v>231872.75478206</v>
      </c>
      <c r="U96" s="27" t="n">
        <f aca="false">U88+U89+U90+U91+U92+U93+U94+U95</f>
        <v>251430.623475187</v>
      </c>
      <c r="V96" s="27" t="n">
        <f aca="false">V88+V89+V90+V91+V92+V93+V94+V95</f>
        <v>272300.414145998</v>
      </c>
      <c r="W96" s="27" t="n">
        <f aca="false">W88+W89+W90+W91+W92+W93+W94+W95</f>
        <v>294564.598195589</v>
      </c>
    </row>
    <row r="98" customFormat="false" ht="15" hidden="false" customHeight="false" outlineLevel="0" collapsed="false">
      <c r="A98" s="15" t="s">
        <v>436</v>
      </c>
      <c r="B98" s="61" t="n">
        <f aca="false">SUM(C98:W98)</f>
        <v>1493395.53886022</v>
      </c>
      <c r="C98" s="27" t="n">
        <f aca="false">C85-C96</f>
        <v>0</v>
      </c>
      <c r="D98" s="27" t="n">
        <f aca="false">D85-D96</f>
        <v>13873.7718591275</v>
      </c>
      <c r="E98" s="27" t="n">
        <f aca="false">E85-E96</f>
        <v>39985.5969764617</v>
      </c>
      <c r="F98" s="27" t="n">
        <f aca="false">F85-F96</f>
        <v>60642.2350532093</v>
      </c>
      <c r="G98" s="27" t="n">
        <f aca="false">G85-G96</f>
        <v>64390.4208109558</v>
      </c>
      <c r="H98" s="27" t="n">
        <f aca="false">H85-H96</f>
        <v>70196.9287433894</v>
      </c>
      <c r="I98" s="27" t="n">
        <f aca="false">I85-I96</f>
        <v>76413.6069480595</v>
      </c>
      <c r="J98" s="27" t="n">
        <f aca="false">J85-J96</f>
        <v>81538.4073744277</v>
      </c>
      <c r="K98" s="27" t="n">
        <f aca="false">K85-K96</f>
        <v>82144.755754699</v>
      </c>
      <c r="L98" s="27" t="n">
        <f aca="false">L85-L96</f>
        <v>82690.3097961616</v>
      </c>
      <c r="M98" s="27" t="n">
        <f aca="false">M85-M96</f>
        <v>83169.2570176298</v>
      </c>
      <c r="N98" s="27" t="n">
        <f aca="false">N85-N96</f>
        <v>83575.3880694745</v>
      </c>
      <c r="O98" s="27" t="n">
        <f aca="false">O85-O96</f>
        <v>83902.0717849933</v>
      </c>
      <c r="P98" s="27" t="n">
        <f aca="false">P85-P96</f>
        <v>84142.2287016356</v>
      </c>
      <c r="Q98" s="27" t="n">
        <f aca="false">Q85-Q96</f>
        <v>84288.3029588872</v>
      </c>
      <c r="R98" s="27" t="n">
        <f aca="false">R85-R96</f>
        <v>84332.2324739495</v>
      </c>
      <c r="S98" s="27" t="n">
        <f aca="false">S85-S96</f>
        <v>84265.417290337</v>
      </c>
      <c r="T98" s="27" t="n">
        <f aca="false">T85-T96</f>
        <v>84078.6859881383</v>
      </c>
      <c r="U98" s="27" t="n">
        <f aca="false">U85-U96</f>
        <v>83762.2600379172</v>
      </c>
      <c r="V98" s="27" t="n">
        <f aca="false">V85-V96</f>
        <v>83305.7159730544</v>
      </c>
      <c r="W98" s="27" t="n">
        <f aca="false">W85-W96</f>
        <v>82697.9452477135</v>
      </c>
    </row>
    <row r="99" customFormat="false" ht="15" hidden="false" customHeight="false" outlineLevel="0" collapsed="false">
      <c r="A99" s="10" t="s">
        <v>437</v>
      </c>
      <c r="C99" s="81" t="n">
        <v>0</v>
      </c>
      <c r="D99" s="81" t="n">
        <f aca="false">IFERROR(D98/D85,0)</f>
        <v>0.172307775134807</v>
      </c>
      <c r="E99" s="81" t="n">
        <f aca="false">IFERROR(E98/E85,0)</f>
        <v>0.352241267795754</v>
      </c>
      <c r="F99" s="81" t="n">
        <f aca="false">IFERROR(F98/F85,0)</f>
        <v>0.433716364531819</v>
      </c>
      <c r="G99" s="81" t="n">
        <f aca="false">IFERROR(G98/G85,0)</f>
        <v>0.43951000475222</v>
      </c>
      <c r="H99" s="81" t="n">
        <f aca="false">IFERROR(H98/H85,0)</f>
        <v>0.451638716042349</v>
      </c>
      <c r="I99" s="81" t="n">
        <f aca="false">IFERROR(I98/I85,0)</f>
        <v>0.463414163896844</v>
      </c>
      <c r="J99" s="81" t="n">
        <f aca="false">IFERROR(J98/J85,0)</f>
        <v>0.466107808392991</v>
      </c>
      <c r="K99" s="81" t="n">
        <f aca="false">IFERROR(K98/K85,0)</f>
        <v>0.442618484863915</v>
      </c>
      <c r="L99" s="81" t="n">
        <f aca="false">IFERROR(L98/L85,0)</f>
        <v>0.419981223245905</v>
      </c>
      <c r="M99" s="81" t="n">
        <f aca="false">IFERROR(M98/M85,0)</f>
        <v>0.398165500628939</v>
      </c>
      <c r="N99" s="81" t="n">
        <f aca="false">IFERROR(N98/N85,0)</f>
        <v>0.377141876998482</v>
      </c>
      <c r="O99" s="81" t="n">
        <f aca="false">IFERROR(O98/O85,0)</f>
        <v>0.356881957106728</v>
      </c>
      <c r="P99" s="81" t="n">
        <f aca="false">IFERROR(P98/P85,0)</f>
        <v>0.337358353678253</v>
      </c>
      <c r="Q99" s="81" t="n">
        <f aca="false">IFERROR(Q98/Q85,0)</f>
        <v>0.318544651903624</v>
      </c>
      <c r="R99" s="81" t="n">
        <f aca="false">IFERROR(R98/R85,0)</f>
        <v>0.300415375176067</v>
      </c>
      <c r="S99" s="81" t="n">
        <f aca="false">IFERROR(S98/S85,0)</f>
        <v>0.282945952027925</v>
      </c>
      <c r="T99" s="81" t="n">
        <f aca="false">IFERROR(T98/T85,0)</f>
        <v>0.266112684225078</v>
      </c>
      <c r="U99" s="81" t="n">
        <f aca="false">IFERROR(U98/U85,0)</f>
        <v>0.249892715978985</v>
      </c>
      <c r="V99" s="81" t="n">
        <f aca="false">IFERROR(V98/V85,0)</f>
        <v>0.234264004237398</v>
      </c>
      <c r="W99" s="81" t="n">
        <f aca="false">IFERROR(W98/W85,0)</f>
        <v>0.219205290016134</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S_Fuel_Lo!$B$14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S_Fuel_Lo!$B$16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IF(AND(D39&gt;SenGrace,D39&lt;=SenTenor),PMT(SenRate*$B$11,SenTenor-SenGrace,-S_Fuel_Lo!$B$16)-D114,0)</f>
        <v>0</v>
      </c>
      <c r="E115" s="83" t="n">
        <f aca="false">IF(AND(E39&gt;SenGrace,E39&lt;=SenTenor),PMT(SenRate*$B$11,SenTenor-SenGrace,-S_Fuel_Lo!$B$16)-E114,0)</f>
        <v>0</v>
      </c>
      <c r="F115" s="83" t="n">
        <f aca="false">IF(AND(F39&gt;SenGrace,F39&lt;=SenTenor),PMT(SenRate*$B$11,SenTenor-SenGrace,-S_Fuel_Lo!$B$16)-F114,0)</f>
        <v>9671.48769410162</v>
      </c>
      <c r="G115" s="83" t="n">
        <f aca="false">IF(AND(G39&gt;SenGrace,G39&lt;=SenTenor),PMT(SenRate*$B$11,SenTenor-SenGrace,-S_Fuel_Lo!$B$16)-G114,0)</f>
        <v>10638.6364635118</v>
      </c>
      <c r="H115" s="83" t="n">
        <f aca="false">IF(AND(H39&gt;SenGrace,H39&lt;=SenTenor),PMT(SenRate*$B$11,SenTenor-SenGrace,-S_Fuel_Lo!$B$16)-H114,0)</f>
        <v>11702.500109863</v>
      </c>
      <c r="I115" s="83" t="n">
        <f aca="false">IF(AND(I39&gt;SenGrace,I39&lt;=SenTenor),PMT(SenRate*$B$11,SenTenor-SenGrace,-S_Fuel_Lo!$B$16)-I114,0)</f>
        <v>12872.7501208493</v>
      </c>
      <c r="J115" s="83" t="n">
        <f aca="false">IF(AND(J39&gt;SenGrace,J39&lt;=SenTenor),PMT(SenRate*$B$11,SenTenor-SenGrace,-S_Fuel_Lo!$B$16)-J114,0)</f>
        <v>14160.0251329342</v>
      </c>
      <c r="K115" s="83" t="n">
        <f aca="false">IF(AND(K39&gt;SenGrace,K39&lt;=SenTenor),PMT(SenRate*$B$11,SenTenor-SenGrace,-S_Fuel_Lo!$B$16)-K114,0)</f>
        <v>15576.0276462276</v>
      </c>
      <c r="L115" s="83" t="n">
        <f aca="false">IF(AND(L39&gt;SenGrace,L39&lt;=SenTenor),PMT(SenRate*$B$11,SenTenor-SenGrace,-S_Fuel_Lo!$B$16)-L114,0)</f>
        <v>17133.6304108504</v>
      </c>
      <c r="M115" s="83" t="n">
        <f aca="false">IF(AND(M39&gt;SenGrace,M39&lt;=SenTenor),PMT(SenRate*$B$11,SenTenor-SenGrace,-S_Fuel_Lo!$B$16)-M114,0)</f>
        <v>18846.9934519354</v>
      </c>
      <c r="N115" s="83" t="n">
        <f aca="false">IF(AND(N39&gt;SenGrace,N39&lt;=SenTenor),PMT(SenRate*$B$11,SenTenor-SenGrace,-S_Fuel_Lo!$B$16)-N114,0)</f>
        <v>0</v>
      </c>
      <c r="O115" s="83" t="n">
        <f aca="false">IF(AND(O39&gt;SenGrace,O39&lt;=SenTenor),PMT(SenRate*$B$11,SenTenor-SenGrace,-S_Fuel_Lo!$B$16)-O114,0)</f>
        <v>0</v>
      </c>
      <c r="P115" s="83" t="n">
        <f aca="false">IF(AND(P39&gt;SenGrace,P39&lt;=SenTenor),PMT(SenRate*$B$11,SenTenor-SenGrace,-S_Fuel_Lo!$B$16)-P114,0)</f>
        <v>0</v>
      </c>
      <c r="Q115" s="83" t="n">
        <f aca="false">IF(AND(Q39&gt;SenGrace,Q39&lt;=SenTenor),PMT(SenRate*$B$11,SenTenor-SenGrace,-S_Fuel_Lo!$B$16)-Q114,0)</f>
        <v>0</v>
      </c>
      <c r="R115" s="83" t="n">
        <f aca="false">IF(AND(R39&gt;SenGrace,R39&lt;=SenTenor),PMT(SenRate*$B$11,SenTenor-SenGrace,-S_Fuel_Lo!$B$16)-R114,0)</f>
        <v>0</v>
      </c>
      <c r="S115" s="83" t="n">
        <f aca="false">IF(AND(S39&gt;SenGrace,S39&lt;=SenTenor),PMT(SenRate*$B$11,SenTenor-SenGrace,-S_Fuel_Lo!$B$16)-S114,0)</f>
        <v>0</v>
      </c>
      <c r="T115" s="83" t="n">
        <f aca="false">IF(AND(T39&gt;SenGrace,T39&lt;=SenTenor),PMT(SenRate*$B$11,SenTenor-SenGrace,-S_Fuel_Lo!$B$16)-T114,0)</f>
        <v>0</v>
      </c>
      <c r="U115" s="83" t="n">
        <f aca="false">IF(AND(U39&gt;SenGrace,U39&lt;=SenTenor),PMT(SenRate*$B$11,SenTenor-SenGrace,-S_Fuel_Lo!$B$16)-U114,0)</f>
        <v>0</v>
      </c>
      <c r="V115" s="83" t="n">
        <f aca="false">IF(AND(V39&gt;SenGrace,V39&lt;=SenTenor),PMT(SenRate*$B$11,SenTenor-SenGrace,-S_Fuel_Lo!$B$16)-V114,0)</f>
        <v>0</v>
      </c>
      <c r="W115" s="83" t="n">
        <f aca="false">IF(AND(W39&gt;SenGrace,W39&lt;=SenTenor),PMT(SenRate*$B$11,SenTenor-SenGrace,-S_Fuel_Lo!$B$16)-W114,0)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S_Fuel_Lo!$B$17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IF(AND(D39&gt;ConGrace,D39&lt;=ConTenor),PMT(ConRate*$B$11,ConTenor-ConGrace,-S_Fuel_Lo!$B$17)-D121,0)</f>
        <v>0</v>
      </c>
      <c r="E122" s="83" t="n">
        <f aca="false">IF(AND(E39&gt;ConGrace,E39&lt;=ConTenor),PMT(ConRate*$B$11,ConTenor-ConGrace,-S_Fuel_Lo!$B$17)-E121,0)</f>
        <v>0</v>
      </c>
      <c r="F122" s="83" t="n">
        <f aca="false">IF(AND(F39&gt;ConGrace,F39&lt;=ConTenor),PMT(ConRate*$B$11,ConTenor-ConGrace,-S_Fuel_Lo!$B$17)-F121,0)</f>
        <v>0</v>
      </c>
      <c r="G122" s="83" t="n">
        <f aca="false">IF(AND(G39&gt;ConGrace,G39&lt;=ConTenor),PMT(ConRate*$B$11,ConTenor-ConGrace,-S_Fuel_Lo!$B$17)-G121,0)</f>
        <v>0</v>
      </c>
      <c r="H122" s="83" t="n">
        <f aca="false">IF(AND(H39&gt;ConGrace,H39&lt;=ConTenor),PMT(ConRate*$B$11,ConTenor-ConGrace,-S_Fuel_Lo!$B$17)-H121,0)</f>
        <v>0</v>
      </c>
      <c r="I122" s="83" t="n">
        <f aca="false">IF(AND(I39&gt;ConGrace,I39&lt;=ConTenor),PMT(ConRate*$B$11,ConTenor-ConGrace,-S_Fuel_Lo!$B$17)-I121,0)</f>
        <v>9647.87294294044</v>
      </c>
      <c r="J122" s="83" t="n">
        <f aca="false">IF(AND(J39&gt;ConGrace,J39&lt;=ConTenor),PMT(ConRate*$B$11,ConTenor-ConGrace,-S_Fuel_Lo!$B$17)-J121,0)</f>
        <v>9937.30913122865</v>
      </c>
      <c r="K122" s="83" t="n">
        <f aca="false">IF(AND(K39&gt;ConGrace,K39&lt;=ConTenor),PMT(ConRate*$B$11,ConTenor-ConGrace,-S_Fuel_Lo!$B$17)-K121,0)</f>
        <v>10235.4284051655</v>
      </c>
      <c r="L122" s="83" t="n">
        <f aca="false">IF(AND(L39&gt;ConGrace,L39&lt;=ConTenor),PMT(ConRate*$B$11,ConTenor-ConGrace,-S_Fuel_Lo!$B$17)-L121,0)</f>
        <v>10542.4912573205</v>
      </c>
      <c r="M122" s="83" t="n">
        <f aca="false">IF(AND(M39&gt;ConGrace,M39&lt;=ConTenor),PMT(ConRate*$B$11,ConTenor-ConGrace,-S_Fuel_Lo!$B$17)-M121,0)</f>
        <v>10858.7659950401</v>
      </c>
      <c r="N122" s="83" t="n">
        <f aca="false">IF(AND(N39&gt;ConGrace,N39&lt;=ConTenor),PMT(ConRate*$B$11,ConTenor-ConGrace,-S_Fuel_Lo!$B$17)-N121,0)</f>
        <v>11184.5289748913</v>
      </c>
      <c r="O122" s="83" t="n">
        <f aca="false">IF(AND(O39&gt;ConGrace,O39&lt;=ConTenor),PMT(ConRate*$B$11,ConTenor-ConGrace,-S_Fuel_Lo!$B$17)-O121,0)</f>
        <v>11520.064844138</v>
      </c>
      <c r="P122" s="83" t="n">
        <f aca="false">IF(AND(P39&gt;ConGrace,P39&lt;=ConTenor),PMT(ConRate*$B$11,ConTenor-ConGrace,-S_Fuel_Lo!$B$17)-P121,0)</f>
        <v>11865.6667894622</v>
      </c>
      <c r="Q122" s="83" t="n">
        <f aca="false">IF(AND(Q39&gt;ConGrace,Q39&lt;=ConTenor),PMT(ConRate*$B$11,ConTenor-ConGrace,-S_Fuel_Lo!$B$17)-Q121,0)</f>
        <v>12221.636793146</v>
      </c>
      <c r="R122" s="83" t="n">
        <f aca="false">IF(AND(R39&gt;ConGrace,R39&lt;=ConTenor),PMT(ConRate*$B$11,ConTenor-ConGrace,-S_Fuel_Lo!$B$17)-R121,0)</f>
        <v>12588.2858969404</v>
      </c>
      <c r="S122" s="83" t="n">
        <f aca="false">IF(AND(S39&gt;ConGrace,S39&lt;=ConTenor),PMT(ConRate*$B$11,ConTenor-ConGrace,-S_Fuel_Lo!$B$17)-S121,0)</f>
        <v>0</v>
      </c>
      <c r="T122" s="83" t="n">
        <f aca="false">IF(AND(T39&gt;ConGrace,T39&lt;=ConTenor),PMT(ConRate*$B$11,ConTenor-ConGrace,-S_Fuel_Lo!$B$17)-T121,0)</f>
        <v>0</v>
      </c>
      <c r="U122" s="83" t="n">
        <f aca="false">IF(AND(U39&gt;ConGrace,U39&lt;=ConTenor),PMT(ConRate*$B$11,ConTenor-ConGrace,-S_Fuel_Lo!$B$17)-U121,0)</f>
        <v>0</v>
      </c>
      <c r="V122" s="83" t="n">
        <f aca="false">IF(AND(V39&gt;ConGrace,V39&lt;=ConTenor),PMT(ConRate*$B$11,ConTenor-ConGrace,-S_Fuel_Lo!$B$17)-V121,0)</f>
        <v>0</v>
      </c>
      <c r="W122" s="83" t="n">
        <f aca="false">IF(AND(W39&gt;ConGrace,W39&lt;=ConTenor),PMT(ConRate*$B$11,ConTenor-ConGrace,-S_Fuel_Lo!$B$17)-W121,0)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1077095.09350661</v>
      </c>
      <c r="E127" s="83" t="n">
        <f aca="false">IF(E126&gt;0,(E147/MinDSCR-E121-E122)/E126,1000000000000)</f>
        <v>599493.748255334</v>
      </c>
      <c r="F127" s="83" t="n">
        <f aca="false">IF(F126&gt;0,(F147/MinDSCR-F121-F122)/F126,1000000000000)</f>
        <v>301180.489880846</v>
      </c>
      <c r="G127" s="83" t="n">
        <f aca="false">IF(G126&gt;0,(G147/MinDSCR-G121-G122)/G126,1000000000000)</f>
        <v>161439.016121528</v>
      </c>
      <c r="H127" s="83" t="n">
        <f aca="false">IF(H126&gt;0,(H147/MinDSCR-H121-H122)/H126,1000000000000)</f>
        <v>185267.701726966</v>
      </c>
      <c r="I127" s="83" t="n">
        <f aca="false">IF(I126&gt;0,(I147/MinDSCR-I121-I122)/I126,1000000000000)</f>
        <v>159308.949623502</v>
      </c>
      <c r="J127" s="83" t="n">
        <f aca="false">IF(J126&gt;0,(J147/MinDSCR-J121-J122)/J126,1000000000000)</f>
        <v>180340.051203236</v>
      </c>
      <c r="K127" s="83" t="n">
        <f aca="false">IF(K126&gt;0,(K147/MinDSCR-K121-K122)/K126,1000000000000)</f>
        <v>182828.377248594</v>
      </c>
      <c r="L127" s="83" t="n">
        <f aca="false">IF(L126&gt;0,(L147/MinDSCR-L121-L122)/L126,1000000000000)</f>
        <v>162363.989573615</v>
      </c>
      <c r="M127" s="83" t="n">
        <f aca="false">IF(M126&gt;0,(M147/MinDSCR-M121-M122)/M126,1000000000000)</f>
        <v>164329.488096095</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IF(D39&lt;=MIN(DepYears,Life),S_Fuel_Lo!$B$14/DepYears,0)</f>
        <v>76867.3503434244</v>
      </c>
      <c r="E132" s="83" t="n">
        <f aca="false">IF(E39&lt;=MIN(DepYears,Life),S_Fuel_Lo!$B$14/DepYears,0)</f>
        <v>76867.3503434244</v>
      </c>
      <c r="F132" s="83" t="n">
        <f aca="false">IF(F39&lt;=MIN(DepYears,Life),S_Fuel_Lo!$B$14/DepYears,0)</f>
        <v>76867.3503434244</v>
      </c>
      <c r="G132" s="83" t="n">
        <f aca="false">IF(G39&lt;=MIN(DepYears,Life),S_Fuel_Lo!$B$14/DepYears,0)</f>
        <v>76867.3503434244</v>
      </c>
      <c r="H132" s="83" t="n">
        <f aca="false">IF(H39&lt;=MIN(DepYears,Life),S_Fuel_Lo!$B$14/DepYears,0)</f>
        <v>76867.3503434244</v>
      </c>
      <c r="I132" s="83" t="n">
        <f aca="false">IF(I39&lt;=MIN(DepYears,Life),S_Fuel_Lo!$B$14/DepYears,0)</f>
        <v>76867.3503434244</v>
      </c>
      <c r="J132" s="83" t="n">
        <f aca="false">IF(J39&lt;=MIN(DepYears,Life),S_Fuel_Lo!$B$14/DepYears,0)</f>
        <v>76867.3503434244</v>
      </c>
      <c r="K132" s="83" t="n">
        <f aca="false">IF(K39&lt;=MIN(DepYears,Life),S_Fuel_Lo!$B$14/DepYears,0)</f>
        <v>76867.3503434244</v>
      </c>
      <c r="L132" s="83" t="n">
        <f aca="false">IF(L39&lt;=MIN(DepYears,Life),S_Fuel_Lo!$B$14/DepYears,0)</f>
        <v>76867.3503434244</v>
      </c>
      <c r="M132" s="83" t="n">
        <f aca="false">IF(M39&lt;=MIN(DepYears,Life),S_Fuel_Lo!$B$14/DepYears,0)</f>
        <v>76867.3503434244</v>
      </c>
      <c r="N132" s="83" t="n">
        <f aca="false">IF(N39&lt;=MIN(DepYears,Life),S_Fuel_Lo!$B$14/DepYears,0)</f>
        <v>76867.3503434244</v>
      </c>
      <c r="O132" s="83" t="n">
        <f aca="false">IF(O39&lt;=MIN(DepYears,Life),S_Fuel_Lo!$B$14/DepYears,0)</f>
        <v>76867.3503434244</v>
      </c>
      <c r="P132" s="83" t="n">
        <f aca="false">IF(P39&lt;=MIN(DepYears,Life),S_Fuel_Lo!$B$14/DepYears,0)</f>
        <v>76867.3503434244</v>
      </c>
      <c r="Q132" s="83" t="n">
        <f aca="false">IF(Q39&lt;=MIN(DepYears,Life),S_Fuel_Lo!$B$14/DepYears,0)</f>
        <v>76867.3503434244</v>
      </c>
      <c r="R132" s="83" t="n">
        <f aca="false">IF(R39&lt;=MIN(DepYears,Life),S_Fuel_Lo!$B$14/DepYears,0)</f>
        <v>76867.3503434244</v>
      </c>
      <c r="S132" s="83" t="n">
        <f aca="false">IF(S39&lt;=MIN(DepYears,Life),S_Fuel_Lo!$B$14/DepYears,0)</f>
        <v>0</v>
      </c>
      <c r="T132" s="83" t="n">
        <f aca="false">IF(T39&lt;=MIN(DepYears,Life),S_Fuel_Lo!$B$14/DepYears,0)</f>
        <v>0</v>
      </c>
      <c r="U132" s="83" t="n">
        <f aca="false">IF(U39&lt;=MIN(DepYears,Life),S_Fuel_Lo!$B$14/DepYears,0)</f>
        <v>0</v>
      </c>
      <c r="V132" s="83" t="n">
        <f aca="false">IF(V39&lt;=MIN(DepYears,Life),S_Fuel_Lo!$B$14/DepYears,0)</f>
        <v>0</v>
      </c>
      <c r="W132" s="83" t="n">
        <f aca="false">IF(W39&lt;=MIN(DepYears,Life),S_Fuel_Lo!$B$14/DepYears,0)</f>
        <v>0</v>
      </c>
    </row>
    <row r="133" customFormat="false" ht="15" hidden="false" customHeight="false" outlineLevel="0" collapsed="false">
      <c r="A133" s="10" t="s">
        <v>460</v>
      </c>
      <c r="B133" s="61" t="n">
        <f aca="false">SUM(C133:W133)</f>
        <v>340385.283708856</v>
      </c>
      <c r="C133" s="83" t="n">
        <v>0</v>
      </c>
      <c r="D133" s="83" t="n">
        <f aca="false">D98-D132</f>
        <v>-62993.5784842969</v>
      </c>
      <c r="E133" s="83" t="n">
        <f aca="false">E98-E132</f>
        <v>-36881.7533669626</v>
      </c>
      <c r="F133" s="83" t="n">
        <f aca="false">F98-F132</f>
        <v>-16225.115290215</v>
      </c>
      <c r="G133" s="83" t="n">
        <f aca="false">G98-G132</f>
        <v>-12476.9295324685</v>
      </c>
      <c r="H133" s="83" t="n">
        <f aca="false">H98-H132</f>
        <v>-6670.42160003496</v>
      </c>
      <c r="I133" s="83" t="n">
        <f aca="false">I98-I132</f>
        <v>-453.743395364887</v>
      </c>
      <c r="J133" s="83" t="n">
        <f aca="false">J98-J132</f>
        <v>4671.05703100329</v>
      </c>
      <c r="K133" s="83" t="n">
        <f aca="false">K98-K132</f>
        <v>5277.40541127461</v>
      </c>
      <c r="L133" s="83" t="n">
        <f aca="false">L98-L132</f>
        <v>5822.95945273721</v>
      </c>
      <c r="M133" s="83" t="n">
        <f aca="false">M98-M132</f>
        <v>6301.90667420543</v>
      </c>
      <c r="N133" s="83" t="n">
        <f aca="false">N98-N132</f>
        <v>6708.03772605013</v>
      </c>
      <c r="O133" s="83" t="n">
        <f aca="false">O98-O132</f>
        <v>7034.72144156892</v>
      </c>
      <c r="P133" s="83" t="n">
        <f aca="false">P98-P132</f>
        <v>7274.87835821128</v>
      </c>
      <c r="Q133" s="83" t="n">
        <f aca="false">Q98-Q132</f>
        <v>7420.95261546286</v>
      </c>
      <c r="R133" s="83" t="n">
        <f aca="false">R98-R132</f>
        <v>7464.88213052516</v>
      </c>
      <c r="S133" s="83" t="n">
        <f aca="false">S98-S132</f>
        <v>84265.417290337</v>
      </c>
      <c r="T133" s="83" t="n">
        <f aca="false">T98-T132</f>
        <v>84078.6859881383</v>
      </c>
      <c r="U133" s="83" t="n">
        <f aca="false">U98-U132</f>
        <v>83762.2600379172</v>
      </c>
      <c r="V133" s="83" t="n">
        <f aca="false">V98-V132</f>
        <v>83305.7159730544</v>
      </c>
      <c r="W133" s="83" t="n">
        <f aca="false">W98-W132</f>
        <v>82697.9452477135</v>
      </c>
    </row>
    <row r="134" customFormat="false" ht="15" hidden="false" customHeight="false" outlineLevel="0" collapsed="false">
      <c r="A134" s="10" t="s">
        <v>461</v>
      </c>
      <c r="C134" s="83" t="n">
        <v>0</v>
      </c>
      <c r="D134" s="83" t="n">
        <f aca="false">0</f>
        <v>0</v>
      </c>
      <c r="E134" s="83" t="n">
        <f aca="false">D136</f>
        <v>62993.5784842969</v>
      </c>
      <c r="F134" s="83" t="n">
        <f aca="false">E136</f>
        <v>99875.3318512595</v>
      </c>
      <c r="G134" s="83" t="n">
        <f aca="false">F136</f>
        <v>116100.447141475</v>
      </c>
      <c r="H134" s="83" t="n">
        <f aca="false">G136</f>
        <v>128577.376673943</v>
      </c>
      <c r="I134" s="83" t="n">
        <f aca="false">H136</f>
        <v>135247.798273978</v>
      </c>
      <c r="J134" s="83" t="n">
        <f aca="false">I136</f>
        <v>135701.541669343</v>
      </c>
      <c r="K134" s="83" t="n">
        <f aca="false">J136</f>
        <v>131030.48463834</v>
      </c>
      <c r="L134" s="83" t="n">
        <f aca="false">K136</f>
        <v>125753.079227065</v>
      </c>
      <c r="M134" s="83" t="n">
        <f aca="false">L136</f>
        <v>119930.119774328</v>
      </c>
      <c r="N134" s="83" t="n">
        <f aca="false">M136</f>
        <v>113628.213100122</v>
      </c>
      <c r="O134" s="83" t="n">
        <f aca="false">N136</f>
        <v>106920.175374072</v>
      </c>
      <c r="P134" s="83" t="n">
        <f aca="false">O136</f>
        <v>99885.4539325033</v>
      </c>
      <c r="Q134" s="83" t="n">
        <f aca="false">P136</f>
        <v>92610.575574292</v>
      </c>
      <c r="R134" s="83" t="n">
        <f aca="false">Q136</f>
        <v>85189.6229588292</v>
      </c>
      <c r="S134" s="83" t="n">
        <f aca="false">R136</f>
        <v>77724.740828304</v>
      </c>
      <c r="T134" s="83" t="n">
        <f aca="false">S136</f>
        <v>0</v>
      </c>
      <c r="U134" s="83" t="n">
        <f aca="false">T136</f>
        <v>0</v>
      </c>
      <c r="V134" s="83" t="n">
        <f aca="false">U136</f>
        <v>0</v>
      </c>
      <c r="W134" s="83" t="n">
        <f aca="false">V136</f>
        <v>0</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4671.05703100329</v>
      </c>
      <c r="K135" s="83" t="n">
        <f aca="false">MIN(K134,MAX(K133,0))</f>
        <v>5277.40541127461</v>
      </c>
      <c r="L135" s="83" t="n">
        <f aca="false">MIN(L134,MAX(L133,0))</f>
        <v>5822.95945273721</v>
      </c>
      <c r="M135" s="83" t="n">
        <f aca="false">MIN(M134,MAX(M133,0))</f>
        <v>6301.90667420543</v>
      </c>
      <c r="N135" s="83" t="n">
        <f aca="false">MIN(N134,MAX(N133,0))</f>
        <v>6708.03772605013</v>
      </c>
      <c r="O135" s="83" t="n">
        <f aca="false">MIN(O134,MAX(O133,0))</f>
        <v>7034.72144156892</v>
      </c>
      <c r="P135" s="83" t="n">
        <f aca="false">MIN(P134,MAX(P133,0))</f>
        <v>7274.87835821128</v>
      </c>
      <c r="Q135" s="83" t="n">
        <f aca="false">MIN(Q134,MAX(Q133,0))</f>
        <v>7420.95261546286</v>
      </c>
      <c r="R135" s="83" t="n">
        <f aca="false">MIN(R134,MAX(R133,0))</f>
        <v>7464.88213052516</v>
      </c>
      <c r="S135" s="83" t="n">
        <f aca="false">MIN(S134,MAX(S133,0))</f>
        <v>77724.740828304</v>
      </c>
      <c r="T135" s="83" t="n">
        <f aca="false">MIN(T134,MAX(T133,0))</f>
        <v>0</v>
      </c>
      <c r="U135" s="83" t="n">
        <f aca="false">MIN(U134,MAX(U133,0))</f>
        <v>0</v>
      </c>
      <c r="V135" s="83" t="n">
        <f aca="false">MIN(V134,MAX(V133,0))</f>
        <v>0</v>
      </c>
      <c r="W135" s="83" t="n">
        <f aca="false">MIN(W134,MAX(W133,0))</f>
        <v>0</v>
      </c>
    </row>
    <row r="136" customFormat="false" ht="15" hidden="false" customHeight="false" outlineLevel="0" collapsed="false">
      <c r="A136" s="10" t="s">
        <v>463</v>
      </c>
      <c r="C136" s="83" t="n">
        <v>0</v>
      </c>
      <c r="D136" s="83" t="n">
        <f aca="false">D134-D135+MAX(-D133,0)</f>
        <v>62993.5784842969</v>
      </c>
      <c r="E136" s="83" t="n">
        <f aca="false">E134-E135+MAX(-E133,0)</f>
        <v>99875.3318512595</v>
      </c>
      <c r="F136" s="83" t="n">
        <f aca="false">F134-F135+MAX(-F133,0)</f>
        <v>116100.447141475</v>
      </c>
      <c r="G136" s="83" t="n">
        <f aca="false">G134-G135+MAX(-G133,0)</f>
        <v>128577.376673943</v>
      </c>
      <c r="H136" s="83" t="n">
        <f aca="false">H134-H135+MAX(-H133,0)</f>
        <v>135247.798273978</v>
      </c>
      <c r="I136" s="83" t="n">
        <f aca="false">I134-I135+MAX(-I133,0)</f>
        <v>135701.541669343</v>
      </c>
      <c r="J136" s="83" t="n">
        <f aca="false">J134-J135+MAX(-J133,0)</f>
        <v>131030.48463834</v>
      </c>
      <c r="K136" s="83" t="n">
        <f aca="false">K134-K135+MAX(-K133,0)</f>
        <v>125753.079227065</v>
      </c>
      <c r="L136" s="83" t="n">
        <f aca="false">L134-L135+MAX(-L133,0)</f>
        <v>119930.119774328</v>
      </c>
      <c r="M136" s="83" t="n">
        <f aca="false">M134-M135+MAX(-M133,0)</f>
        <v>113628.213100122</v>
      </c>
      <c r="N136" s="83" t="n">
        <f aca="false">N134-N135+MAX(-N133,0)</f>
        <v>106920.175374072</v>
      </c>
      <c r="O136" s="83" t="n">
        <f aca="false">O134-O135+MAX(-O133,0)</f>
        <v>99885.4539325033</v>
      </c>
      <c r="P136" s="83" t="n">
        <f aca="false">P134-P135+MAX(-P133,0)</f>
        <v>92610.575574292</v>
      </c>
      <c r="Q136" s="83" t="n">
        <f aca="false">Q134-Q135+MAX(-Q133,0)</f>
        <v>85189.6229588292</v>
      </c>
      <c r="R136" s="83" t="n">
        <f aca="false">R134-R135+MAX(-R133,0)</f>
        <v>77724.740828304</v>
      </c>
      <c r="S136" s="83" t="n">
        <f aca="false">S134-S135+MAX(-S133,0)</f>
        <v>0</v>
      </c>
      <c r="T136" s="83" t="n">
        <f aca="false">T134-T135+MAX(-T133,0)</f>
        <v>0</v>
      </c>
      <c r="U136" s="83" t="n">
        <f aca="false">U134-U135+MAX(-U133,0)</f>
        <v>0</v>
      </c>
      <c r="V136" s="83" t="n">
        <f aca="false">V134-V135+MAX(-V133,0)</f>
        <v>0</v>
      </c>
      <c r="W136" s="83" t="n">
        <f aca="false">W134-W135+MAX(-W133,0)</f>
        <v>0</v>
      </c>
    </row>
    <row r="137" customFormat="false" ht="15" hidden="false" customHeight="false" outlineLevel="0" collapsed="false">
      <c r="A137" s="10" t="s">
        <v>464</v>
      </c>
      <c r="B137" s="61" t="n">
        <f aca="false">SUM(C137:W137)</f>
        <v>85096.3209272141</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1635.16911550826</v>
      </c>
      <c r="T137" s="83" t="n">
        <f aca="false">(MAX(T133,0)-T135)*TaxRate</f>
        <v>21019.6714970346</v>
      </c>
      <c r="U137" s="83" t="n">
        <f aca="false">(MAX(U133,0)-U135)*TaxRate</f>
        <v>20940.5650094793</v>
      </c>
      <c r="V137" s="83" t="n">
        <f aca="false">(MAX(V133,0)-V135)*TaxRate</f>
        <v>20826.4289932636</v>
      </c>
      <c r="W137" s="83" t="n">
        <f aca="false">(MAX(W133,0)-W135)*TaxRate</f>
        <v>20674.4863119284</v>
      </c>
    </row>
    <row r="138" customFormat="false" ht="15" hidden="false" customHeight="false" outlineLevel="0" collapsed="false">
      <c r="A138" s="10" t="s">
        <v>465</v>
      </c>
      <c r="B138" s="61" t="n">
        <f aca="false">SUM(C138:W138)</f>
        <v>227365.780793289</v>
      </c>
      <c r="C138" s="83" t="n">
        <v>0</v>
      </c>
      <c r="D138" s="83" t="n">
        <f aca="false">D98-D132-D114-D121</f>
        <v>-77371.8451182324</v>
      </c>
      <c r="E138" s="83" t="n">
        <f aca="false">E98-E132-E114-E121</f>
        <v>-51260.0200008981</v>
      </c>
      <c r="F138" s="83" t="n">
        <f aca="false">F98-F132-F114-F121</f>
        <v>-30603.3819241505</v>
      </c>
      <c r="G138" s="83" t="n">
        <f aca="false">G98-G132-G114-G121</f>
        <v>-25888.0473969939</v>
      </c>
      <c r="H138" s="83" t="n">
        <f aca="false">H98-H132-H114-H121</f>
        <v>-19017.6758182091</v>
      </c>
      <c r="I138" s="83" t="n">
        <f aca="false">I98-I132-I114-I121</f>
        <v>-11630.7476025528</v>
      </c>
      <c r="J138" s="83" t="n">
        <f aca="false">J98-J132-J114-J121</f>
        <v>-4929.23597581144</v>
      </c>
      <c r="K138" s="83" t="n">
        <f aca="false">K98-K132-K114-K121</f>
        <v>-2608.76580830984</v>
      </c>
      <c r="L138" s="83" t="n">
        <f aca="false">L98-L132-L114-L121</f>
        <v>-198.546150069516</v>
      </c>
      <c r="M138" s="83" t="n">
        <f aca="false">M98-M132-M114-M121</f>
        <v>2310.03885020335</v>
      </c>
      <c r="N138" s="83" t="n">
        <f aca="false">N98-N132-N114-N121</f>
        <v>4926.63222709279</v>
      </c>
      <c r="O138" s="83" t="n">
        <f aca="false">O98-O132-O114-O121</f>
        <v>5588.85181185832</v>
      </c>
      <c r="P138" s="83" t="n">
        <f aca="false">P98-P132-P114-P121</f>
        <v>6174.61067382482</v>
      </c>
      <c r="Q138" s="83" t="n">
        <f aca="false">Q98-Q132-Q114-Q121</f>
        <v>6676.65493476026</v>
      </c>
      <c r="R138" s="83" t="n">
        <f aca="false">R98-R132-R114-R121</f>
        <v>7087.23355361695</v>
      </c>
      <c r="S138" s="83" t="n">
        <f aca="false">S98-S132-S114-S121</f>
        <v>84265.417290337</v>
      </c>
      <c r="T138" s="83" t="n">
        <f aca="false">T98-T132-T114-T121</f>
        <v>84078.6859881383</v>
      </c>
      <c r="U138" s="83" t="n">
        <f aca="false">U98-U132-U114-U121</f>
        <v>83762.2600379172</v>
      </c>
      <c r="V138" s="83" t="n">
        <f aca="false">V98-V132-V114-V121</f>
        <v>83305.7159730544</v>
      </c>
      <c r="W138" s="83" t="n">
        <f aca="false">W98-W132-W114-W121</f>
        <v>82697.9452477135</v>
      </c>
    </row>
    <row r="139" customFormat="false" ht="15" hidden="false" customHeight="false" outlineLevel="0" collapsed="false">
      <c r="A139" s="10" t="s">
        <v>461</v>
      </c>
      <c r="C139" s="83" t="n">
        <v>0</v>
      </c>
      <c r="D139" s="83" t="n">
        <f aca="false">0</f>
        <v>0</v>
      </c>
      <c r="E139" s="83" t="n">
        <f aca="false">D141</f>
        <v>77371.8451182324</v>
      </c>
      <c r="F139" s="83" t="n">
        <f aca="false">E141</f>
        <v>128631.865119131</v>
      </c>
      <c r="G139" s="83" t="n">
        <f aca="false">F141</f>
        <v>159235.247043281</v>
      </c>
      <c r="H139" s="83" t="n">
        <f aca="false">G141</f>
        <v>185123.294440275</v>
      </c>
      <c r="I139" s="83" t="n">
        <f aca="false">H141</f>
        <v>204140.970258484</v>
      </c>
      <c r="J139" s="83" t="n">
        <f aca="false">I141</f>
        <v>215771.717861037</v>
      </c>
      <c r="K139" s="83" t="n">
        <f aca="false">J141</f>
        <v>220700.953836848</v>
      </c>
      <c r="L139" s="83" t="n">
        <f aca="false">K141</f>
        <v>223309.719645158</v>
      </c>
      <c r="M139" s="83" t="n">
        <f aca="false">L141</f>
        <v>223508.265795228</v>
      </c>
      <c r="N139" s="83" t="n">
        <f aca="false">M141</f>
        <v>221198.226945024</v>
      </c>
      <c r="O139" s="83" t="n">
        <f aca="false">N141</f>
        <v>216271.594717931</v>
      </c>
      <c r="P139" s="83" t="n">
        <f aca="false">O141</f>
        <v>210682.742906073</v>
      </c>
      <c r="Q139" s="83" t="n">
        <f aca="false">P141</f>
        <v>204508.132232248</v>
      </c>
      <c r="R139" s="83" t="n">
        <f aca="false">Q141</f>
        <v>197831.477297488</v>
      </c>
      <c r="S139" s="83" t="n">
        <f aca="false">R141</f>
        <v>190744.243743871</v>
      </c>
      <c r="T139" s="83" t="n">
        <f aca="false">S141</f>
        <v>106478.826453534</v>
      </c>
      <c r="U139" s="83" t="n">
        <f aca="false">T141</f>
        <v>22400.1404653958</v>
      </c>
      <c r="V139" s="83" t="n">
        <f aca="false">U141</f>
        <v>0</v>
      </c>
      <c r="W139" s="83" t="n">
        <f aca="false">V141</f>
        <v>0</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2310.03885020335</v>
      </c>
      <c r="N140" s="83" t="n">
        <f aca="false">MIN(N139,MAX(N138,0))</f>
        <v>4926.63222709279</v>
      </c>
      <c r="O140" s="83" t="n">
        <f aca="false">MIN(O139,MAX(O138,0))</f>
        <v>5588.85181185832</v>
      </c>
      <c r="P140" s="83" t="n">
        <f aca="false">MIN(P139,MAX(P138,0))</f>
        <v>6174.61067382482</v>
      </c>
      <c r="Q140" s="83" t="n">
        <f aca="false">MIN(Q139,MAX(Q138,0))</f>
        <v>6676.65493476026</v>
      </c>
      <c r="R140" s="83" t="n">
        <f aca="false">MIN(R139,MAX(R138,0))</f>
        <v>7087.23355361695</v>
      </c>
      <c r="S140" s="83" t="n">
        <f aca="false">MIN(S139,MAX(S138,0))</f>
        <v>84265.417290337</v>
      </c>
      <c r="T140" s="83" t="n">
        <f aca="false">MIN(T139,MAX(T138,0))</f>
        <v>84078.6859881383</v>
      </c>
      <c r="U140" s="83" t="n">
        <f aca="false">MIN(U139,MAX(U138,0))</f>
        <v>22400.1404653958</v>
      </c>
      <c r="V140" s="83" t="n">
        <f aca="false">MIN(V139,MAX(V138,0))</f>
        <v>0</v>
      </c>
      <c r="W140" s="83" t="n">
        <f aca="false">MIN(W139,MAX(W138,0))</f>
        <v>0</v>
      </c>
    </row>
    <row r="141" customFormat="false" ht="15" hidden="false" customHeight="false" outlineLevel="0" collapsed="false">
      <c r="A141" s="10" t="s">
        <v>463</v>
      </c>
      <c r="C141" s="83" t="n">
        <v>0</v>
      </c>
      <c r="D141" s="83" t="n">
        <f aca="false">D139-D140+MAX(-D138,0)</f>
        <v>77371.8451182324</v>
      </c>
      <c r="E141" s="83" t="n">
        <f aca="false">E139-E140+MAX(-E138,0)</f>
        <v>128631.865119131</v>
      </c>
      <c r="F141" s="83" t="n">
        <f aca="false">F139-F140+MAX(-F138,0)</f>
        <v>159235.247043281</v>
      </c>
      <c r="G141" s="83" t="n">
        <f aca="false">G139-G140+MAX(-G138,0)</f>
        <v>185123.294440275</v>
      </c>
      <c r="H141" s="83" t="n">
        <f aca="false">H139-H140+MAX(-H138,0)</f>
        <v>204140.970258484</v>
      </c>
      <c r="I141" s="83" t="n">
        <f aca="false">I139-I140+MAX(-I138,0)</f>
        <v>215771.717861037</v>
      </c>
      <c r="J141" s="83" t="n">
        <f aca="false">J139-J140+MAX(-J138,0)</f>
        <v>220700.953836848</v>
      </c>
      <c r="K141" s="83" t="n">
        <f aca="false">K139-K140+MAX(-K138,0)</f>
        <v>223309.719645158</v>
      </c>
      <c r="L141" s="83" t="n">
        <f aca="false">L139-L140+MAX(-L138,0)</f>
        <v>223508.265795228</v>
      </c>
      <c r="M141" s="83" t="n">
        <f aca="false">M139-M140+MAX(-M138,0)</f>
        <v>221198.226945024</v>
      </c>
      <c r="N141" s="83" t="n">
        <f aca="false">N139-N140+MAX(-N138,0)</f>
        <v>216271.594717931</v>
      </c>
      <c r="O141" s="83" t="n">
        <f aca="false">O139-O140+MAX(-O138,0)</f>
        <v>210682.742906073</v>
      </c>
      <c r="P141" s="83" t="n">
        <f aca="false">P139-P140+MAX(-P138,0)</f>
        <v>204508.132232248</v>
      </c>
      <c r="Q141" s="83" t="n">
        <f aca="false">Q139-Q140+MAX(-Q138,0)</f>
        <v>197831.477297488</v>
      </c>
      <c r="R141" s="83" t="n">
        <f aca="false">R139-R140+MAX(-R138,0)</f>
        <v>190744.243743871</v>
      </c>
      <c r="S141" s="83" t="n">
        <f aca="false">S139-S140+MAX(-S138,0)</f>
        <v>106478.826453534</v>
      </c>
      <c r="T141" s="83" t="n">
        <f aca="false">T139-T140+MAX(-T138,0)</f>
        <v>22400.1404653958</v>
      </c>
      <c r="U141" s="83" t="n">
        <f aca="false">U139-U140+MAX(-U138,0)</f>
        <v>0</v>
      </c>
      <c r="V141" s="83" t="n">
        <f aca="false">V139-V140+MAX(-V138,0)</f>
        <v>0</v>
      </c>
      <c r="W141" s="83" t="n">
        <f aca="false">W139-W140+MAX(-W138,0)</f>
        <v>0</v>
      </c>
    </row>
    <row r="142" customFormat="false" ht="15" hidden="false" customHeight="false" outlineLevel="0" collapsed="false">
      <c r="A142" s="10" t="s">
        <v>466</v>
      </c>
      <c r="B142" s="61" t="n">
        <f aca="false">SUM(C142:W142)</f>
        <v>56841.4451983223</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15340.5298931303</v>
      </c>
      <c r="V142" s="83" t="n">
        <f aca="false">(MAX(V138,0)-V140)*TaxRate</f>
        <v>20826.4289932636</v>
      </c>
      <c r="W142" s="83" t="n">
        <f aca="false">(MAX(W138,0)-W140)*TaxRate</f>
        <v>20674.4863119284</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-722949.104774183</v>
      </c>
      <c r="C145" s="27" t="n">
        <f aca="false">-C102+C98-C103-C137</f>
        <v>-1153010.25515137</v>
      </c>
      <c r="D145" s="27" t="n">
        <f aca="false">-D102+D98-D103-D137</f>
        <v>13873.7718591275</v>
      </c>
      <c r="E145" s="27" t="n">
        <f aca="false">-E102+E98-E103-E137</f>
        <v>39985.5969764617</v>
      </c>
      <c r="F145" s="27" t="n">
        <f aca="false">-F102+F98-F103-F137</f>
        <v>60642.2350532093</v>
      </c>
      <c r="G145" s="27" t="n">
        <f aca="false">-G102+G98-G103-G137</f>
        <v>64390.4208109558</v>
      </c>
      <c r="H145" s="27" t="n">
        <f aca="false">-H102+H98-H103-H137</f>
        <v>70196.9287433894</v>
      </c>
      <c r="I145" s="27" t="n">
        <f aca="false">-I102+I98-I103-I137</f>
        <v>76413.6069480595</v>
      </c>
      <c r="J145" s="27" t="n">
        <f aca="false">-J102+J98-J103-J137</f>
        <v>81538.4073744277</v>
      </c>
      <c r="K145" s="27" t="n">
        <f aca="false">-K102+K98-K103-K137</f>
        <v>-83758.6819500024</v>
      </c>
      <c r="L145" s="27" t="n">
        <f aca="false">-L102+L98-L103-L137</f>
        <v>82690.3097961616</v>
      </c>
      <c r="M145" s="27" t="n">
        <f aca="false">-M102+M98-M103-M137</f>
        <v>83169.2570176298</v>
      </c>
      <c r="N145" s="27" t="n">
        <f aca="false">-N102+N98-N103-N137</f>
        <v>83575.3880694745</v>
      </c>
      <c r="O145" s="27" t="n">
        <f aca="false">-O102+O98-O103-O137</f>
        <v>83902.0717849933</v>
      </c>
      <c r="P145" s="27" t="n">
        <f aca="false">-P102+P98-P103-P137</f>
        <v>84142.2287016356</v>
      </c>
      <c r="Q145" s="27" t="n">
        <f aca="false">-Q102+Q98-Q103-Q137</f>
        <v>84288.3029588872</v>
      </c>
      <c r="R145" s="27" t="n">
        <f aca="false">-R102+R98-R103-R137</f>
        <v>84332.2324739495</v>
      </c>
      <c r="S145" s="27" t="n">
        <f aca="false">-S102+S98-S103-S137</f>
        <v>-127531.263108841</v>
      </c>
      <c r="T145" s="27" t="n">
        <f aca="false">-T102+T98-T103-T137</f>
        <v>63059.0144911037</v>
      </c>
      <c r="U145" s="27" t="n">
        <f aca="false">-U102+U98-U103-U137</f>
        <v>62821.6950284379</v>
      </c>
      <c r="V145" s="27" t="n">
        <f aca="false">-V102+V98-V103-V137</f>
        <v>62479.2869797908</v>
      </c>
      <c r="W145" s="27" t="n">
        <f aca="false">-W102+W98-W103-W137</f>
        <v>62023.4589357851</v>
      </c>
    </row>
    <row r="146" customFormat="false" ht="15" hidden="false" customHeight="false" outlineLevel="0" collapsed="false">
      <c r="A146" s="15" t="s">
        <v>469</v>
      </c>
      <c r="B146" s="61" t="n">
        <f aca="false">C146+NPV(Hurdle,D146:W146)</f>
        <v>94971.2558569212</v>
      </c>
      <c r="C146" s="27" t="n">
        <f aca="false">C145+C106+C108</f>
        <v>-553010.255151365</v>
      </c>
      <c r="D146" s="27" t="n">
        <f aca="false">D145+D106+D108</f>
        <v>165073.771859128</v>
      </c>
      <c r="E146" s="27" t="n">
        <f aca="false">E145+E106+E108</f>
        <v>102985.596976462</v>
      </c>
      <c r="F146" s="27" t="n">
        <f aca="false">F145+F106+F108</f>
        <v>98442.2350532093</v>
      </c>
      <c r="G146" s="27" t="n">
        <f aca="false">G145+G106+G108</f>
        <v>64390.4208109558</v>
      </c>
      <c r="H146" s="27" t="n">
        <f aca="false">H145+H106+H108</f>
        <v>70196.9287433894</v>
      </c>
      <c r="I146" s="27" t="n">
        <f aca="false">I145+I106+I108</f>
        <v>76413.6069480595</v>
      </c>
      <c r="J146" s="27" t="n">
        <f aca="false">J145+J106+J108</f>
        <v>81538.4073744277</v>
      </c>
      <c r="K146" s="27" t="n">
        <f aca="false">K145+K106+K108</f>
        <v>-83758.6819500024</v>
      </c>
      <c r="L146" s="27" t="n">
        <f aca="false">L145+L106+L108</f>
        <v>82690.3097961616</v>
      </c>
      <c r="M146" s="27" t="n">
        <f aca="false">M145+M106+M108</f>
        <v>83169.2570176298</v>
      </c>
      <c r="N146" s="27" t="n">
        <f aca="false">N145+N106+N108</f>
        <v>83575.3880694745</v>
      </c>
      <c r="O146" s="27" t="n">
        <f aca="false">O145+O106+O108</f>
        <v>83902.0717849933</v>
      </c>
      <c r="P146" s="27" t="n">
        <f aca="false">P145+P106+P108</f>
        <v>84142.2287016356</v>
      </c>
      <c r="Q146" s="27" t="n">
        <f aca="false">Q145+Q106+Q108</f>
        <v>84288.3029588872</v>
      </c>
      <c r="R146" s="27" t="n">
        <f aca="false">R145+R106+R108</f>
        <v>84332.2324739495</v>
      </c>
      <c r="S146" s="27" t="n">
        <f aca="false">S145+S106+S108</f>
        <v>-127531.263108841</v>
      </c>
      <c r="T146" s="27" t="n">
        <f aca="false">T145+T106+T108</f>
        <v>63059.0144911037</v>
      </c>
      <c r="U146" s="27" t="n">
        <f aca="false">U145+U106+U108</f>
        <v>62821.6950284379</v>
      </c>
      <c r="V146" s="27" t="n">
        <f aca="false">V145+V106+V108</f>
        <v>62479.2869797908</v>
      </c>
      <c r="W146" s="27" t="n">
        <f aca="false">W145+W106+W108</f>
        <v>62023.4589357851</v>
      </c>
    </row>
    <row r="147" customFormat="false" ht="15" hidden="false" customHeight="false" outlineLevel="0" collapsed="false">
      <c r="A147" s="10" t="s">
        <v>237</v>
      </c>
      <c r="B147" s="61" t="n">
        <f aca="false">SUM(C147:W147)</f>
        <v>1312489.14467353</v>
      </c>
      <c r="C147" s="83" t="n">
        <v>0</v>
      </c>
      <c r="D147" s="83" t="n">
        <f aca="false">D98-D105-D142+D108</f>
        <v>144335.84214604</v>
      </c>
      <c r="E147" s="83" t="n">
        <f aca="false">E98-E105-E142+E108</f>
        <v>82247.6672633741</v>
      </c>
      <c r="F147" s="83" t="n">
        <f aca="false">F98-F105-F142+F108</f>
        <v>77704.3053401217</v>
      </c>
      <c r="G147" s="83" t="n">
        <f aca="false">G98-G105-G142+G108</f>
        <v>43652.4910978682</v>
      </c>
      <c r="H147" s="83" t="n">
        <f aca="false">H98-H105-H142+H108</f>
        <v>49458.9990303017</v>
      </c>
      <c r="I147" s="83" t="n">
        <f aca="false">I98-I105-I142+I108</f>
        <v>55675.6772349718</v>
      </c>
      <c r="J147" s="83" t="n">
        <f aca="false">J98-J105-J142+J108</f>
        <v>60800.47766134</v>
      </c>
      <c r="K147" s="83" t="n">
        <f aca="false">K98-K105-K142+K108</f>
        <v>61406.8260416113</v>
      </c>
      <c r="L147" s="83" t="n">
        <f aca="false">L98-L105-L142+L108</f>
        <v>56420.1208857028</v>
      </c>
      <c r="M147" s="83" t="n">
        <f aca="false">M98-M105-M142+M108</f>
        <v>56899.0681071711</v>
      </c>
      <c r="N147" s="83" t="n">
        <f aca="false">N98-N105-N142+N108</f>
        <v>57305.1991590158</v>
      </c>
      <c r="O147" s="83" t="n">
        <f aca="false">O98-O105-O142+O108</f>
        <v>57631.8828745345</v>
      </c>
      <c r="P147" s="83" t="n">
        <f aca="false">P98-P105-P142+P108</f>
        <v>57872.0397911769</v>
      </c>
      <c r="Q147" s="83" t="n">
        <f aca="false">Q98-Q105-Q142+Q108</f>
        <v>58018.1140484285</v>
      </c>
      <c r="R147" s="83" t="n">
        <f aca="false">R98-R105-R142+R108</f>
        <v>58062.0435634908</v>
      </c>
      <c r="S147" s="83" t="n">
        <f aca="false">S98-S105-S142+S108</f>
        <v>57995.2283798783</v>
      </c>
      <c r="T147" s="83" t="n">
        <f aca="false">T98-T105-T142+T108</f>
        <v>84078.6859881383</v>
      </c>
      <c r="U147" s="83" t="n">
        <f aca="false">U98-U105-U142+U108</f>
        <v>68421.7301447868</v>
      </c>
      <c r="V147" s="83" t="n">
        <f aca="false">V98-V105-V142+V108</f>
        <v>62479.2869797908</v>
      </c>
      <c r="W147" s="83" t="n">
        <f aca="false">W98-W105-W142+W108</f>
        <v>62023.4589357851</v>
      </c>
    </row>
    <row r="148" customFormat="false" ht="15" hidden="false" customHeight="false" outlineLevel="0" collapsed="false">
      <c r="A148" s="10" t="s">
        <v>470</v>
      </c>
      <c r="C148" s="86" t="n">
        <v>0</v>
      </c>
      <c r="D148" s="86" t="n">
        <f aca="false">IF(D125&gt;0,D147/D125,"")</f>
        <v>10.0384730524735</v>
      </c>
      <c r="E148" s="86" t="n">
        <f aca="false">IF(E125&gt;0,E147/E125,"")</f>
        <v>5.72027695391693</v>
      </c>
      <c r="F148" s="86" t="n">
        <f aca="false">IF(F125&gt;0,F147/F125,"")</f>
        <v>3.23098125162693</v>
      </c>
      <c r="G148" s="86" t="n">
        <f aca="false">IF(G125&gt;0,G147/G125,"")</f>
        <v>1.8150909361672</v>
      </c>
      <c r="H148" s="86" t="n">
        <f aca="false">IF(H125&gt;0,H147/H125,"")</f>
        <v>2.05652824372691</v>
      </c>
      <c r="I148" s="86" t="n">
        <f aca="false">IF(I125&gt;0,I147/I125,"")</f>
        <v>1.6522135753731</v>
      </c>
      <c r="J148" s="86" t="n">
        <f aca="false">IF(J125&gt;0,J147/J125,"")</f>
        <v>1.80429551233434</v>
      </c>
      <c r="K148" s="86" t="n">
        <f aca="false">IF(K125&gt;0,K147/K125,"")</f>
        <v>1.82228931277006</v>
      </c>
      <c r="L148" s="86" t="n">
        <f aca="false">IF(L125&gt;0,L147/L125,"")</f>
        <v>1.67430544684953</v>
      </c>
      <c r="M148" s="86" t="n">
        <f aca="false">IF(M125&gt;0,M147/M125,"")</f>
        <v>1.68851853127879</v>
      </c>
      <c r="N148" s="86" t="n">
        <f aca="false">IF(N125&gt;0,N147/N125,"")</f>
        <v>4.41967366676087</v>
      </c>
      <c r="O148" s="86" t="n">
        <f aca="false">IF(O125&gt;0,O147/O125,"")</f>
        <v>4.44486920636333</v>
      </c>
      <c r="P148" s="86" t="n">
        <f aca="false">IF(P125&gt;0,P147/P125,"")</f>
        <v>4.46339135122892</v>
      </c>
      <c r="Q148" s="86" t="n">
        <f aca="false">IF(Q125&gt;0,Q147/Q125,"")</f>
        <v>4.47465735427299</v>
      </c>
      <c r="R148" s="86" t="n">
        <f aca="false">IF(R125&gt;0,R147/R125,"")</f>
        <v>4.47804542592729</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87532.0026046304</v>
      </c>
      <c r="C149" s="27" t="n">
        <f aca="false">-S_Fuel_Lo!$B$18-C129</f>
        <v>-338995.286407787</v>
      </c>
      <c r="D149" s="27" t="n">
        <f aca="false">D147-D125-D129</f>
        <v>129957.575512104</v>
      </c>
      <c r="E149" s="27" t="n">
        <f aca="false">E147-E125-E129</f>
        <v>63033.6567823877</v>
      </c>
      <c r="F149" s="27" t="n">
        <f aca="false">F147-F125-F129</f>
        <v>53654.5510120845</v>
      </c>
      <c r="G149" s="27" t="n">
        <f aca="false">G147-G125-G129</f>
        <v>19602.736769831</v>
      </c>
      <c r="H149" s="27" t="n">
        <f aca="false">H147-H125-H129</f>
        <v>20585.3082307944</v>
      </c>
      <c r="I149" s="27" t="n">
        <f aca="false">I147-I125-I129</f>
        <v>21978.0499639943</v>
      </c>
      <c r="J149" s="27" t="n">
        <f aca="false">J147-J125-J129</f>
        <v>27102.8503903624</v>
      </c>
      <c r="K149" s="27" t="n">
        <f aca="false">K147-K125-K129</f>
        <v>27709.1987706337</v>
      </c>
      <c r="L149" s="27" t="n">
        <f aca="false">L147-L125-L129</f>
        <v>22722.4936147253</v>
      </c>
      <c r="M149" s="27" t="n">
        <f aca="false">M147-M125-M129</f>
        <v>33567.287234758</v>
      </c>
      <c r="N149" s="27" t="n">
        <f aca="false">N147-N125-N129</f>
        <v>44339.2646851671</v>
      </c>
      <c r="O149" s="27" t="n">
        <f aca="false">O147-O125-O129</f>
        <v>44665.9484006859</v>
      </c>
      <c r="P149" s="27" t="n">
        <f aca="false">P147-P125-P129</f>
        <v>44906.1053173283</v>
      </c>
      <c r="Q149" s="27" t="n">
        <f aca="false">Q147-Q125-Q129</f>
        <v>45052.1795745798</v>
      </c>
      <c r="R149" s="27" t="n">
        <f aca="false">R147-R125-R129</f>
        <v>51579.0763265665</v>
      </c>
      <c r="S149" s="27" t="n">
        <f aca="false">S147-S125-S129</f>
        <v>57995.2283798783</v>
      </c>
      <c r="T149" s="27" t="n">
        <f aca="false">T147-T125-T129</f>
        <v>84078.6859881383</v>
      </c>
      <c r="U149" s="27" t="n">
        <f aca="false">U147-U125-U129</f>
        <v>68421.7301447868</v>
      </c>
      <c r="V149" s="27" t="n">
        <f aca="false">V147-V125-V129</f>
        <v>62479.2869797908</v>
      </c>
      <c r="W149" s="27" t="n">
        <f aca="false">W147-W125-W129</f>
        <v>62023.4589357851</v>
      </c>
    </row>
    <row r="150" customFormat="false" ht="15" hidden="false" customHeight="false" outlineLevel="0" collapsed="false">
      <c r="A150" s="10" t="s">
        <v>472</v>
      </c>
      <c r="C150" s="83" t="n">
        <f aca="false">C149</f>
        <v>-338995.286407787</v>
      </c>
      <c r="D150" s="83" t="n">
        <f aca="false">C150+D149</f>
        <v>-209037.710895683</v>
      </c>
      <c r="E150" s="83" t="n">
        <f aca="false">D150+E149</f>
        <v>-146004.054113295</v>
      </c>
      <c r="F150" s="83" t="n">
        <f aca="false">E150+F149</f>
        <v>-92349.5031012104</v>
      </c>
      <c r="G150" s="83" t="n">
        <f aca="false">F150+G149</f>
        <v>-72746.7663313794</v>
      </c>
      <c r="H150" s="83" t="n">
        <f aca="false">G150+H149</f>
        <v>-52161.458100585</v>
      </c>
      <c r="I150" s="83" t="n">
        <f aca="false">H150+I149</f>
        <v>-30183.4081365907</v>
      </c>
      <c r="J150" s="83" t="n">
        <f aca="false">I150+J149</f>
        <v>-3080.55774622828</v>
      </c>
      <c r="K150" s="83" t="n">
        <f aca="false">J150+K149</f>
        <v>24628.6410244055</v>
      </c>
      <c r="L150" s="83" t="n">
        <f aca="false">K150+L149</f>
        <v>47351.1346391307</v>
      </c>
      <c r="M150" s="83" t="n">
        <f aca="false">L150+M149</f>
        <v>80918.4218738887</v>
      </c>
      <c r="N150" s="83" t="n">
        <f aca="false">M150+N149</f>
        <v>125257.686559056</v>
      </c>
      <c r="O150" s="83" t="n">
        <f aca="false">N150+O149</f>
        <v>169923.634959742</v>
      </c>
      <c r="P150" s="83" t="n">
        <f aca="false">O150+P149</f>
        <v>214829.74027707</v>
      </c>
      <c r="Q150" s="83" t="n">
        <f aca="false">P150+Q149</f>
        <v>259881.91985165</v>
      </c>
      <c r="R150" s="83" t="n">
        <f aca="false">Q150+R149</f>
        <v>311460.996178216</v>
      </c>
      <c r="S150" s="83" t="n">
        <f aca="false">R150+S149</f>
        <v>369456.224558095</v>
      </c>
      <c r="T150" s="83" t="n">
        <f aca="false">S150+T149</f>
        <v>453534.910546233</v>
      </c>
      <c r="U150" s="83" t="n">
        <f aca="false">T150+U149</f>
        <v>521956.64069102</v>
      </c>
      <c r="V150" s="83" t="n">
        <f aca="false">U150+V149</f>
        <v>584435.927670811</v>
      </c>
      <c r="W150" s="83" t="n">
        <f aca="false">V150+W149</f>
        <v>646459.386606596</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2226853.51780019</v>
      </c>
      <c r="C153" s="83" t="n">
        <f aca="false">C102+C96-C93+C103</f>
        <v>1153010.25515137</v>
      </c>
      <c r="D153" s="83" t="n">
        <f aca="false">D102+D96-D93+D103</f>
        <v>64228.0937869525</v>
      </c>
      <c r="E153" s="83" t="n">
        <f aca="false">E102+E96-E93+E103</f>
        <v>70126.5125724338</v>
      </c>
      <c r="F153" s="83" t="n">
        <f aca="false">F102+F96-F93+F103</f>
        <v>74983.1939414063</v>
      </c>
      <c r="G153" s="83" t="n">
        <f aca="false">G102+G96-G93+G103</f>
        <v>77719.4458844319</v>
      </c>
      <c r="H153" s="83" t="n">
        <f aca="false">H102+H96-H93+H103</f>
        <v>80567.4288337475</v>
      </c>
      <c r="I153" s="83" t="n">
        <f aca="false">I102+I96-I93+I103</f>
        <v>83532.300005525</v>
      </c>
      <c r="J153" s="83" t="n">
        <f aca="false">J102+J96-J93+J103</f>
        <v>88148.2053126302</v>
      </c>
      <c r="K153" s="83" t="n">
        <f aca="false">K102+K96-K93+K103</f>
        <v>263779.209349702</v>
      </c>
      <c r="L153" s="83" t="n">
        <f aca="false">L102+L96-L93+L103</f>
        <v>108293.46772218</v>
      </c>
      <c r="M153" s="83" t="n">
        <f aca="false">M102+M96-M93+M103</f>
        <v>119445.432551579</v>
      </c>
      <c r="N153" s="83" t="n">
        <f aca="false">N102+N96-N93+N103</f>
        <v>131378.536094499</v>
      </c>
      <c r="O153" s="83" t="n">
        <f aca="false">O102+O96-O93+O103</f>
        <v>144142.546360566</v>
      </c>
      <c r="P153" s="83" t="n">
        <f aca="false">P102+P96-P93+P103</f>
        <v>157790.306688988</v>
      </c>
      <c r="Q153" s="83" t="n">
        <f aca="false">Q102+Q96-Q93+Q103</f>
        <v>172377.923837025</v>
      </c>
      <c r="R153" s="83" t="n">
        <f aca="false">R102+R96-R93+R103</f>
        <v>187964.967533834</v>
      </c>
      <c r="S153" s="83" t="n">
        <f aca="false">S102+S96-S93+S103</f>
        <v>414776.193481591</v>
      </c>
      <c r="T153" s="83" t="n">
        <f aca="false">T102+T96-T93+T103</f>
        <v>222394.211558955</v>
      </c>
      <c r="U153" s="83" t="n">
        <f aca="false">U102+U96-U93+U103</f>
        <v>241374.836969794</v>
      </c>
      <c r="V153" s="83" t="n">
        <f aca="false">V102+V96-V93+V103</f>
        <v>261632.230242426</v>
      </c>
      <c r="W153" s="83" t="n">
        <f aca="false">W102+W96-W93+W103</f>
        <v>283246.72189229</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f aca="false">1+SensDelta</f>
        <v>1.2</v>
      </c>
    </row>
    <row r="11" customFormat="false" ht="15" hidden="false" customHeight="false" outlineLevel="0" collapsed="false">
      <c r="A11" s="10" t="s">
        <v>328</v>
      </c>
      <c r="B11" s="62" t="n">
        <v>1</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MAX(0,S_Fuel_Hi!$B$14-Grant)*SenPct</f>
        <v>110602.051030273</v>
      </c>
    </row>
    <row r="17" customFormat="false" ht="15" hidden="false" customHeight="false" outlineLevel="0" collapsed="false">
      <c r="A17" s="10" t="s">
        <v>248</v>
      </c>
      <c r="B17" s="61" t="n">
        <f aca="false">MAX(0,S_Fuel_Hi!$B$14-Grant)*ConPct</f>
        <v>110602.051030273</v>
      </c>
    </row>
    <row r="18" customFormat="false" ht="15" hidden="false" customHeight="false" outlineLevel="0" collapsed="false">
      <c r="A18" s="10" t="s">
        <v>393</v>
      </c>
      <c r="B18" s="61" t="n">
        <f aca="false">MAX(0,S_Fuel_Hi!$B$14-Grant-S_Fuel_Hi!$B$16-S_Fuel_Hi!$B$17)</f>
        <v>331806.153090819</v>
      </c>
    </row>
    <row r="19" customFormat="false" ht="15" hidden="false" customHeight="false" outlineLevel="0" collapsed="false">
      <c r="A19" s="10" t="s">
        <v>394</v>
      </c>
      <c r="B19" s="61" t="n">
        <f aca="false">C128</f>
        <v>7189.13331696775</v>
      </c>
    </row>
    <row r="20" customFormat="false" ht="15" hidden="false" customHeight="false" outlineLevel="0" collapsed="false">
      <c r="A20" s="10" t="s">
        <v>395</v>
      </c>
      <c r="B20" s="61" t="n">
        <f aca="false">$B$145</f>
        <v>-876078.217442876</v>
      </c>
    </row>
    <row r="21" customFormat="false" ht="15" hidden="false" customHeight="false" outlineLevel="0" collapsed="false">
      <c r="A21" s="10" t="s">
        <v>396</v>
      </c>
      <c r="B21" s="61" t="n">
        <f aca="false">$B$146</f>
        <v>-58157.8568117719</v>
      </c>
    </row>
    <row r="22" customFormat="false" ht="15" hidden="false" customHeight="false" outlineLevel="0" collapsed="false">
      <c r="A22" s="10" t="s">
        <v>397</v>
      </c>
      <c r="B22" s="63" t="n">
        <f aca="false">IFERROR(IRR($C$145:$W$145),"n.d.")</f>
        <v>-0.514998768068382</v>
      </c>
    </row>
    <row r="23" customFormat="false" ht="15" hidden="false" customHeight="false" outlineLevel="0" collapsed="false">
      <c r="A23" s="10" t="s">
        <v>398</v>
      </c>
      <c r="B23" s="63" t="n">
        <f aca="false">IFERROR(IRR($C$146:$W$146),"n.d.")</f>
        <v>0.069510282732125</v>
      </c>
    </row>
    <row r="24" customFormat="false" ht="15" hidden="false" customHeight="false" outlineLevel="0" collapsed="false">
      <c r="A24" s="10" t="s">
        <v>384</v>
      </c>
      <c r="B24" s="61" t="n">
        <f aca="false">MAX(0,-$B$145)</f>
        <v>876078.217442876</v>
      </c>
    </row>
    <row r="25" customFormat="false" ht="15" hidden="false" customHeight="false" outlineLevel="0" collapsed="false">
      <c r="A25" s="10" t="s">
        <v>256</v>
      </c>
      <c r="B25" s="63" t="n">
        <f aca="false">IFERROR(IRR($C$149:$W$149),"n.d.")</f>
        <v>0.0391565795768965</v>
      </c>
    </row>
    <row r="26" customFormat="false" ht="15" hidden="false" customHeight="false" outlineLevel="0" collapsed="false">
      <c r="A26" s="10" t="s">
        <v>258</v>
      </c>
      <c r="B26" s="61" t="n">
        <f aca="false">C149+NPV(TargetEqIRR,D149:W149)</f>
        <v>-107424.670376777</v>
      </c>
    </row>
    <row r="27" customFormat="false" ht="15" hidden="false" customHeight="false" outlineLevel="0" collapsed="false">
      <c r="A27" s="10" t="s">
        <v>252</v>
      </c>
      <c r="B27" s="62" t="n">
        <f aca="false">IF((S_Fuel_Hi!$B$16+S_Fuel_Hi!$B$17)&gt;0,MIN($D$148:$W$148),"pas de dette")</f>
        <v>0.828346644834332</v>
      </c>
    </row>
    <row r="28" customFormat="false" ht="15" hidden="false" customHeight="false" outlineLevel="0" collapsed="false">
      <c r="A28" s="10" t="s">
        <v>254</v>
      </c>
      <c r="B28" s="62" t="n">
        <f aca="false">IF((S_Fuel_Hi!$B$16+S_Fuel_Hi!$B$17)&gt;0,AVERAGE($D$148:$W$148),"pas de dette")</f>
        <v>2.40928422466603</v>
      </c>
    </row>
    <row r="29" customFormat="false" ht="15" hidden="false" customHeight="false" outlineLevel="0" collapsed="false">
      <c r="A29" s="10" t="s">
        <v>399</v>
      </c>
      <c r="B29" s="77" t="n">
        <f aca="false">IFERROR($B$153/$B$154,0)</f>
        <v>0.683309965941966</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76908.3543366472</v>
      </c>
    </row>
    <row r="36" customFormat="false" ht="15" hidden="false" customHeight="false" outlineLevel="0" collapsed="false">
      <c r="A36" s="10" t="s">
        <v>260</v>
      </c>
      <c r="B36" s="78" t="n">
        <f aca="false">IFERROR(MATCH(TRUE(),INDEX($C$150:$W$150&gt;=0,0),0)-1,"&gt; durée de vie")</f>
        <v>12</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S_Fuel_Hi!$B$15*O_FixedPct*D44*LevOpex*$B$8*D41</f>
        <v>25065.4403293775</v>
      </c>
      <c r="E88" s="83" t="n">
        <f aca="false">S_Fuel_Hi!$B$15*O_FixedPct*E44*LevOpex*$B$8*E41</f>
        <v>25817.4035392588</v>
      </c>
      <c r="F88" s="83" t="n">
        <f aca="false">S_Fuel_Hi!$B$15*O_FixedPct*F44*LevOpex*$B$8*F41</f>
        <v>26591.9256454366</v>
      </c>
      <c r="G88" s="83" t="n">
        <f aca="false">S_Fuel_Hi!$B$15*O_FixedPct*G44*LevOpex*$B$8*G41</f>
        <v>27389.6834147997</v>
      </c>
      <c r="H88" s="83" t="n">
        <f aca="false">S_Fuel_Hi!$B$15*O_FixedPct*H44*LevOpex*$B$8*H41</f>
        <v>28211.3739172437</v>
      </c>
      <c r="I88" s="83" t="n">
        <f aca="false">S_Fuel_Hi!$B$15*O_FixedPct*I44*LevOpex*$B$8*I41</f>
        <v>29057.715134761</v>
      </c>
      <c r="J88" s="83" t="n">
        <f aca="false">S_Fuel_Hi!$B$15*O_FixedPct*J44*LevOpex*$B$8*J41</f>
        <v>29929.4465888038</v>
      </c>
      <c r="K88" s="83" t="n">
        <f aca="false">S_Fuel_Hi!$B$15*O_FixedPct*K44*LevOpex*$B$8*K41</f>
        <v>30827.329986468</v>
      </c>
      <c r="L88" s="83" t="n">
        <f aca="false">S_Fuel_Hi!$B$15*O_FixedPct*L44*LevOpex*$B$8*L41</f>
        <v>31752.149886062</v>
      </c>
      <c r="M88" s="83" t="n">
        <f aca="false">S_Fuel_Hi!$B$15*O_FixedPct*M44*LevOpex*$B$8*M41</f>
        <v>32704.7143826439</v>
      </c>
      <c r="N88" s="83" t="n">
        <f aca="false">S_Fuel_Hi!$B$15*O_FixedPct*N44*LevOpex*$B$8*N41</f>
        <v>33685.8558141232</v>
      </c>
      <c r="O88" s="83" t="n">
        <f aca="false">S_Fuel_Hi!$B$15*O_FixedPct*O44*LevOpex*$B$8*O41</f>
        <v>34696.4314885469</v>
      </c>
      <c r="P88" s="83" t="n">
        <f aca="false">S_Fuel_Hi!$B$15*O_FixedPct*P44*LevOpex*$B$8*P41</f>
        <v>35737.3244332033</v>
      </c>
      <c r="Q88" s="83" t="n">
        <f aca="false">S_Fuel_Hi!$B$15*O_FixedPct*Q44*LevOpex*$B$8*Q41</f>
        <v>36809.4441661994</v>
      </c>
      <c r="R88" s="83" t="n">
        <f aca="false">S_Fuel_Hi!$B$15*O_FixedPct*R44*LevOpex*$B$8*R41</f>
        <v>37913.7274911854</v>
      </c>
      <c r="S88" s="83" t="n">
        <f aca="false">S_Fuel_Hi!$B$15*O_FixedPct*S44*LevOpex*$B$8*S41</f>
        <v>39051.1393159209</v>
      </c>
      <c r="T88" s="83" t="n">
        <f aca="false">S_Fuel_Hi!$B$15*O_FixedPct*T44*LevOpex*$B$8*T41</f>
        <v>40222.6734953985</v>
      </c>
      <c r="U88" s="83" t="n">
        <f aca="false">S_Fuel_Hi!$B$15*O_FixedPct*U44*LevOpex*$B$8*U41</f>
        <v>41429.3537002605</v>
      </c>
      <c r="V88" s="83" t="n">
        <f aca="false">S_Fuel_Hi!$B$15*O_FixedPct*V44*LevOpex*$B$8*V41</f>
        <v>42672.2343112683</v>
      </c>
      <c r="W88" s="83" t="n">
        <f aca="false">S_Fuel_Hi!$B$15*O_FixedPct*W44*LevOpex*$B$8*W41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S_Fuel_Hi!$B$14*O_InsPct*D44*LevOpex*$B$8*D41</f>
        <v>5765.05127575683</v>
      </c>
      <c r="E90" s="83" t="n">
        <f aca="false">S_Fuel_Hi!$B$14*O_InsPct*E44*LevOpex*$B$8*E41</f>
        <v>5938.00281402953</v>
      </c>
      <c r="F90" s="83" t="n">
        <f aca="false">S_Fuel_Hi!$B$14*O_InsPct*F44*LevOpex*$B$8*F41</f>
        <v>6116.14289845042</v>
      </c>
      <c r="G90" s="83" t="n">
        <f aca="false">S_Fuel_Hi!$B$14*O_InsPct*G44*LevOpex*$B$8*G41</f>
        <v>6299.62718540393</v>
      </c>
      <c r="H90" s="83" t="n">
        <f aca="false">S_Fuel_Hi!$B$14*O_InsPct*H44*LevOpex*$B$8*H41</f>
        <v>6488.61600096605</v>
      </c>
      <c r="I90" s="83" t="n">
        <f aca="false">S_Fuel_Hi!$B$14*O_InsPct*I44*LevOpex*$B$8*I41</f>
        <v>6683.27448099503</v>
      </c>
      <c r="J90" s="83" t="n">
        <f aca="false">S_Fuel_Hi!$B$14*O_InsPct*J44*LevOpex*$B$8*J41</f>
        <v>6883.77271542488</v>
      </c>
      <c r="K90" s="83" t="n">
        <f aca="false">S_Fuel_Hi!$B$14*O_InsPct*K44*LevOpex*$B$8*K41</f>
        <v>7090.28589688763</v>
      </c>
      <c r="L90" s="83" t="n">
        <f aca="false">S_Fuel_Hi!$B$14*O_InsPct*L44*LevOpex*$B$8*L41</f>
        <v>7302.99447379426</v>
      </c>
      <c r="M90" s="83" t="n">
        <f aca="false">S_Fuel_Hi!$B$14*O_InsPct*M44*LevOpex*$B$8*M41</f>
        <v>7522.08430800809</v>
      </c>
      <c r="N90" s="83" t="n">
        <f aca="false">S_Fuel_Hi!$B$14*O_InsPct*N44*LevOpex*$B$8*N41</f>
        <v>7747.74683724833</v>
      </c>
      <c r="O90" s="83" t="n">
        <f aca="false">S_Fuel_Hi!$B$14*O_InsPct*O44*LevOpex*$B$8*O41</f>
        <v>7980.17924236578</v>
      </c>
      <c r="P90" s="83" t="n">
        <f aca="false">S_Fuel_Hi!$B$14*O_InsPct*P44*LevOpex*$B$8*P41</f>
        <v>8219.58461963675</v>
      </c>
      <c r="Q90" s="83" t="n">
        <f aca="false">S_Fuel_Hi!$B$14*O_InsPct*Q44*LevOpex*$B$8*Q41</f>
        <v>8466.17215822586</v>
      </c>
      <c r="R90" s="83" t="n">
        <f aca="false">S_Fuel_Hi!$B$14*O_InsPct*R44*LevOpex*$B$8*R41</f>
        <v>8720.15732297263</v>
      </c>
      <c r="S90" s="83" t="n">
        <f aca="false">S_Fuel_Hi!$B$14*O_InsPct*S44*LevOpex*$B$8*S41</f>
        <v>8981.76204266181</v>
      </c>
      <c r="T90" s="83" t="n">
        <f aca="false">S_Fuel_Hi!$B$14*O_InsPct*T44*LevOpex*$B$8*T41</f>
        <v>9251.21490394167</v>
      </c>
      <c r="U90" s="83" t="n">
        <f aca="false">S_Fuel_Hi!$B$14*O_InsPct*U44*LevOpex*$B$8*U41</f>
        <v>9528.75135105992</v>
      </c>
      <c r="V90" s="83" t="n">
        <f aca="false">S_Fuel_Hi!$B$14*O_InsPct*V44*LevOpex*$B$8*V41</f>
        <v>9814.61389159171</v>
      </c>
      <c r="W90" s="83" t="n">
        <f aca="false">S_Fuel_Hi!$B$14*O_InsPct*W44*LevOpex*$B$8*W41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1881120.82052344</v>
      </c>
      <c r="C95" s="83" t="n">
        <v>0</v>
      </c>
      <c r="D95" s="83" t="n">
        <f aca="false">D74*FuelPrice*LevFuel*$B$10*D44</f>
        <v>11516.7115636364</v>
      </c>
      <c r="E95" s="83" t="n">
        <f aca="false">E74*FuelPrice*LevFuel*$B$10*E44</f>
        <v>17308.9456719709</v>
      </c>
      <c r="F95" s="83" t="n">
        <f aca="false">F74*FuelPrice*LevFuel*$B$10*F44</f>
        <v>21603.6005451693</v>
      </c>
      <c r="G95" s="83" t="n">
        <f aca="false">G74*FuelPrice*LevFuel*$B$10*G44</f>
        <v>22919.2598183702</v>
      </c>
      <c r="H95" s="83" t="n">
        <f aca="false">H74*FuelPrice*LevFuel*$B$10*H44</f>
        <v>24315.0427413089</v>
      </c>
      <c r="I95" s="83" t="n">
        <f aca="false">I74*FuelPrice*LevFuel*$B$10*I44</f>
        <v>25795.8288442546</v>
      </c>
      <c r="J95" s="83" t="n">
        <f aca="false">J74*FuelPrice*LevFuel*$B$10*J44</f>
        <v>29463.3306448134</v>
      </c>
      <c r="K95" s="83" t="n">
        <f aca="false">K74*FuelPrice*LevFuel*$B$10*K44</f>
        <v>40061.2239442606</v>
      </c>
      <c r="L95" s="83" t="n">
        <f aca="false">L74*FuelPrice*LevFuel*$B$10*L44</f>
        <v>51523.2978207541</v>
      </c>
      <c r="M95" s="83" t="n">
        <f aca="false">M74*FuelPrice*LevFuel*$B$10*M44</f>
        <v>63907.6172779825</v>
      </c>
      <c r="N95" s="83" t="n">
        <f aca="false">N74*FuelPrice*LevFuel*$B$10*N44</f>
        <v>77275.9185730616</v>
      </c>
      <c r="O95" s="83" t="n">
        <f aca="false">O74*FuelPrice*LevFuel*$B$10*O44</f>
        <v>91693.836152972</v>
      </c>
      <c r="P95" s="83" t="n">
        <f aca="false">P74*FuelPrice*LevFuel*$B$10*P44</f>
        <v>107231.143494848</v>
      </c>
      <c r="Q95" s="83" t="n">
        <f aca="false">Q74*FuelPrice*LevFuel*$B$10*Q44</f>
        <v>123962.008698941</v>
      </c>
      <c r="R95" s="83" t="n">
        <f aca="false">R74*FuelPrice*LevFuel*$B$10*R44</f>
        <v>141965.265734809</v>
      </c>
      <c r="S95" s="83" t="n">
        <f aca="false">S74*FuelPrice*LevFuel*$B$10*S44</f>
        <v>161324.702296209</v>
      </c>
      <c r="T95" s="83" t="n">
        <f aca="false">T74*FuelPrice*LevFuel*$B$10*T44</f>
        <v>182129.36527837</v>
      </c>
      <c r="U95" s="83" t="n">
        <f aca="false">U74*FuelPrice*LevFuel*$B$10*U44</f>
        <v>204473.88495316</v>
      </c>
      <c r="V95" s="83" t="n">
        <f aca="false">V74*FuelPrice*LevFuel*$B$10*V44</f>
        <v>228458.81898318</v>
      </c>
      <c r="W95" s="83" t="n">
        <f aca="false">W74*FuelPrice*LevFuel*$B$10*W44</f>
        <v>254191.017485371</v>
      </c>
    </row>
    <row r="96" customFormat="false" ht="15" hidden="false" customHeight="false" outlineLevel="0" collapsed="false">
      <c r="A96" s="15" t="s">
        <v>435</v>
      </c>
      <c r="B96" s="61" t="n">
        <f aca="false">SUM(C96:W96)</f>
        <v>3633884.27536141</v>
      </c>
      <c r="C96" s="27" t="n">
        <f aca="false">C88+C89+C90+C91+C92+C93+C94+C95</f>
        <v>0</v>
      </c>
      <c r="D96" s="27" t="n">
        <f aca="false">D88+D89+D90+D91+D92+D93+D94+D95</f>
        <v>70482.519259418</v>
      </c>
      <c r="E96" s="27" t="n">
        <f aca="false">E88+E89+E90+E91+E92+E93+E94+E95</f>
        <v>79301.6902910635</v>
      </c>
      <c r="F96" s="27" t="n">
        <f aca="false">F88+F89+F90+F91+F92+F93+F94+F95</f>
        <v>86378.9950198701</v>
      </c>
      <c r="G96" s="27" t="n">
        <f aca="false">G88+G89+G90+G91+G92+G93+G94+G95</f>
        <v>89754.3496735741</v>
      </c>
      <c r="H96" s="27" t="n">
        <f aca="false">H88+H89+H90+H91+H92+H93+H94+H95</f>
        <v>93335.2582636485</v>
      </c>
      <c r="I96" s="27" t="n">
        <f aca="false">I88+I89+I90+I91+I92+I93+I94+I95</f>
        <v>97077.690247707</v>
      </c>
      <c r="J96" s="27" t="n">
        <f aca="false">J88+J89+J90+J91+J92+J93+J94+J95</f>
        <v>103217.355095209</v>
      </c>
      <c r="K96" s="27" t="n">
        <f aca="false">K88+K89+K90+K91+K92+K93+K94+K95</f>
        <v>116797.158137065</v>
      </c>
      <c r="L96" s="27" t="n">
        <f aca="false">L88+L89+L90+L91+L92+L93+L94+L95</f>
        <v>131374.615097706</v>
      </c>
      <c r="M96" s="27" t="n">
        <f aca="false">M88+M89+M90+M91+M92+M93+M94+M95</f>
        <v>147014.405342256</v>
      </c>
      <c r="N96" s="27" t="n">
        <f aca="false">N88+N89+N90+N91+N92+N93+N94+N95</f>
        <v>163785.235129079</v>
      </c>
      <c r="O96" s="27" t="n">
        <f aca="false">O88+O89+O90+O91+O92+O93+O94+O95</f>
        <v>181760.084745955</v>
      </c>
      <c r="P96" s="27" t="n">
        <f aca="false">P88+P89+P90+P91+P92+P93+P94+P95</f>
        <v>201016.470735434</v>
      </c>
      <c r="Q96" s="27" t="n">
        <f aca="false">Q88+Q89+Q90+Q91+Q92+Q93+Q94+Q95</f>
        <v>221636.724128986</v>
      </c>
      <c r="R96" s="27" t="n">
        <f aca="false">R88+R89+R90+R91+R92+R93+R94+R95</f>
        <v>243708.285665609</v>
      </c>
      <c r="S96" s="27" t="n">
        <f aca="false">S88+S89+S90+S91+S92+S93+S94+S95</f>
        <v>267324.019029971</v>
      </c>
      <c r="T96" s="27" t="n">
        <f aca="false">T88+T89+T90+T91+T92+T93+T94+T95</f>
        <v>292582.543208184</v>
      </c>
      <c r="U96" s="27" t="n">
        <f aca="false">U88+U89+U90+U91+U92+U93+U94+U95</f>
        <v>319588.58512624</v>
      </c>
      <c r="V96" s="27" t="n">
        <f aca="false">V88+V89+V90+V91+V92+V93+V94+V95</f>
        <v>348453.353807058</v>
      </c>
      <c r="W96" s="27" t="n">
        <f aca="false">W88+W89+W90+W91+W92+W93+W94+W95</f>
        <v>379294.937357379</v>
      </c>
    </row>
    <row r="98" customFormat="false" ht="15" hidden="false" customHeight="false" outlineLevel="0" collapsed="false">
      <c r="A98" s="15" t="s">
        <v>436</v>
      </c>
      <c r="B98" s="61" t="n">
        <f aca="false">SUM(C98:W98)</f>
        <v>866355.265352408</v>
      </c>
      <c r="C98" s="27" t="n">
        <f aca="false">C85-C96</f>
        <v>0</v>
      </c>
      <c r="D98" s="27" t="n">
        <f aca="false">D85-D96</f>
        <v>10034.868004582</v>
      </c>
      <c r="E98" s="27" t="n">
        <f aca="false">E85-E96</f>
        <v>34215.9484191381</v>
      </c>
      <c r="F98" s="27" t="n">
        <f aca="false">F85-F96</f>
        <v>53441.0348714862</v>
      </c>
      <c r="G98" s="27" t="n">
        <f aca="false">G85-G96</f>
        <v>56750.6675381658</v>
      </c>
      <c r="H98" s="27" t="n">
        <f aca="false">H85-H96</f>
        <v>62091.9144962864</v>
      </c>
      <c r="I98" s="27" t="n">
        <f aca="false">I85-I96</f>
        <v>67814.997333308</v>
      </c>
      <c r="J98" s="27" t="n">
        <f aca="false">J85-J96</f>
        <v>71717.2971594899</v>
      </c>
      <c r="K98" s="27" t="n">
        <f aca="false">K85-K96</f>
        <v>68791.0144399454</v>
      </c>
      <c r="L98" s="27" t="n">
        <f aca="false">L85-L96</f>
        <v>65515.8771892436</v>
      </c>
      <c r="M98" s="27" t="n">
        <f aca="false">M85-M96</f>
        <v>61866.717924969</v>
      </c>
      <c r="N98" s="27" t="n">
        <f aca="false">N85-N96</f>
        <v>57816.7485451206</v>
      </c>
      <c r="O98" s="27" t="n">
        <f aca="false">O85-O96</f>
        <v>53337.4597340026</v>
      </c>
      <c r="P98" s="27" t="n">
        <f aca="false">P85-P96</f>
        <v>48398.5142033529</v>
      </c>
      <c r="Q98" s="27" t="n">
        <f aca="false">Q85-Q96</f>
        <v>42967.6333925736</v>
      </c>
      <c r="R98" s="27" t="n">
        <f aca="false">R85-R96</f>
        <v>37010.4772290131</v>
      </c>
      <c r="S98" s="27" t="n">
        <f aca="false">S85-S96</f>
        <v>30490.5165249341</v>
      </c>
      <c r="T98" s="27" t="n">
        <f aca="false">T85-T96</f>
        <v>23368.897562015</v>
      </c>
      <c r="U98" s="27" t="n">
        <f aca="false">U85-U96</f>
        <v>15604.2983868638</v>
      </c>
      <c r="V98" s="27" t="n">
        <f aca="false">V85-V96</f>
        <v>7152.77631199453</v>
      </c>
      <c r="W98" s="27" t="n">
        <f aca="false">W85-W96</f>
        <v>-2032.39391407679</v>
      </c>
    </row>
    <row r="99" customFormat="false" ht="15" hidden="false" customHeight="false" outlineLevel="0" collapsed="false">
      <c r="A99" s="10" t="s">
        <v>437</v>
      </c>
      <c r="C99" s="81" t="n">
        <v>0</v>
      </c>
      <c r="D99" s="81" t="n">
        <f aca="false">IFERROR(D98/D85,0)</f>
        <v>0.124629826495484</v>
      </c>
      <c r="E99" s="81" t="n">
        <f aca="false">IFERROR(E98/E85,0)</f>
        <v>0.301415258526367</v>
      </c>
      <c r="F99" s="81" t="n">
        <f aca="false">IFERROR(F98/F85,0)</f>
        <v>0.382213012778006</v>
      </c>
      <c r="G99" s="81" t="n">
        <f aca="false">IFERROR(G98/G85,0)</f>
        <v>0.38736330412593</v>
      </c>
      <c r="H99" s="81" t="n">
        <f aca="false">IFERROR(H98/H85,0)</f>
        <v>0.399492015416059</v>
      </c>
      <c r="I99" s="81" t="n">
        <f aca="false">IFERROR(I98/I85,0)</f>
        <v>0.411267463270554</v>
      </c>
      <c r="J99" s="81" t="n">
        <f aca="false">IFERROR(J98/J85,0)</f>
        <v>0.409966214441447</v>
      </c>
      <c r="K99" s="81" t="n">
        <f aca="false">IFERROR(K98/K85,0)</f>
        <v>0.370664862338685</v>
      </c>
      <c r="L99" s="81" t="n">
        <f aca="false">IFERROR(L98/L85,0)</f>
        <v>0.332752874088812</v>
      </c>
      <c r="M99" s="81" t="n">
        <f aca="false">IFERROR(M98/M85,0)</f>
        <v>0.296181468948833</v>
      </c>
      <c r="N99" s="81" t="n">
        <f aca="false">IFERROR(N98/N85,0)</f>
        <v>0.260903569483039</v>
      </c>
      <c r="O99" s="81" t="n">
        <f aca="false">IFERROR(O98/O85,0)</f>
        <v>0.226873742352293</v>
      </c>
      <c r="P99" s="81" t="n">
        <f aca="false">IFERROR(P98/P85,0)</f>
        <v>0.194048141154113</v>
      </c>
      <c r="Q99" s="81" t="n">
        <f aca="false">IFERROR(Q98/Q85,0)</f>
        <v>0.16238445124273</v>
      </c>
      <c r="R99" s="81" t="n">
        <f aca="false">IFERROR(R98/R85,0)</f>
        <v>0.131841836460736</v>
      </c>
      <c r="S99" s="81" t="n">
        <f aca="false">IFERROR(S98/S85,0)</f>
        <v>0.102380887716318</v>
      </c>
      <c r="T99" s="81" t="n">
        <f aca="false">IFERROR(T98/T85,0)</f>
        <v>0.0739635733423096</v>
      </c>
      <c r="U99" s="81" t="n">
        <f aca="false">IFERROR(U98/U85,0)</f>
        <v>0.0465531911755333</v>
      </c>
      <c r="V99" s="81" t="n">
        <f aca="false">IFERROR(V98/V85,0)</f>
        <v>0.0201143222969747</v>
      </c>
      <c r="W99" s="81" t="n">
        <f aca="false">IFERROR(W98/W85,0)</f>
        <v>-0.00538721362456762</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S_Fuel_Hi!$B$14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100930.563336171</v>
      </c>
      <c r="H112" s="83" t="n">
        <f aca="false">G116</f>
        <v>90291.9268726597</v>
      </c>
      <c r="I112" s="83" t="n">
        <f aca="false">H116</f>
        <v>78589.4267627967</v>
      </c>
      <c r="J112" s="83" t="n">
        <f aca="false">I116</f>
        <v>65716.6766419475</v>
      </c>
      <c r="K112" s="83" t="n">
        <f aca="false">J116</f>
        <v>51556.6515090133</v>
      </c>
      <c r="L112" s="83" t="n">
        <f aca="false">K116</f>
        <v>35980.6238627857</v>
      </c>
      <c r="M112" s="83" t="n">
        <f aca="false">L116</f>
        <v>18846.9934519354</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S_Fuel_Hi!$B$16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77371.9015528129</v>
      </c>
      <c r="C114" s="83" t="n">
        <v>0</v>
      </c>
      <c r="D114" s="83" t="n">
        <f aca="false">D112*SenRate*$B$11</f>
        <v>11060.2051030273</v>
      </c>
      <c r="E114" s="83" t="n">
        <f aca="false">E112*SenRate*$B$11</f>
        <v>11060.2051030273</v>
      </c>
      <c r="F114" s="83" t="n">
        <f aca="false">F112*SenRate*$B$11</f>
        <v>11060.2051030273</v>
      </c>
      <c r="G114" s="83" t="n">
        <f aca="false">G112*SenRate*$B$11</f>
        <v>10093.0563336171</v>
      </c>
      <c r="H114" s="83" t="n">
        <f aca="false">H112*SenRate*$B$11</f>
        <v>9029.19268726597</v>
      </c>
      <c r="I114" s="83" t="n">
        <f aca="false">I112*SenRate*$B$11</f>
        <v>7858.94267627967</v>
      </c>
      <c r="J114" s="83" t="n">
        <f aca="false">J112*SenRate*$B$11</f>
        <v>6571.66766419475</v>
      </c>
      <c r="K114" s="83" t="n">
        <f aca="false">K112*SenRate*$B$11</f>
        <v>5155.66515090133</v>
      </c>
      <c r="L114" s="83" t="n">
        <f aca="false">L112*SenRate*$B$11</f>
        <v>3598.06238627857</v>
      </c>
      <c r="M114" s="83" t="n">
        <f aca="false">M112*SenRate*$B$11</f>
        <v>1884.69934519354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IF(AND(D39&gt;SenGrace,D39&lt;=SenTenor),PMT(SenRate*$B$11,SenTenor-SenGrace,-S_Fuel_Hi!$B$16)-D114,0)</f>
        <v>0</v>
      </c>
      <c r="E115" s="83" t="n">
        <f aca="false">IF(AND(E39&gt;SenGrace,E39&lt;=SenTenor),PMT(SenRate*$B$11,SenTenor-SenGrace,-S_Fuel_Hi!$B$16)-E114,0)</f>
        <v>0</v>
      </c>
      <c r="F115" s="83" t="n">
        <f aca="false">IF(AND(F39&gt;SenGrace,F39&lt;=SenTenor),PMT(SenRate*$B$11,SenTenor-SenGrace,-S_Fuel_Hi!$B$16)-F114,0)</f>
        <v>9671.48769410162</v>
      </c>
      <c r="G115" s="83" t="n">
        <f aca="false">IF(AND(G39&gt;SenGrace,G39&lt;=SenTenor),PMT(SenRate*$B$11,SenTenor-SenGrace,-S_Fuel_Hi!$B$16)-G114,0)</f>
        <v>10638.6364635118</v>
      </c>
      <c r="H115" s="83" t="n">
        <f aca="false">IF(AND(H39&gt;SenGrace,H39&lt;=SenTenor),PMT(SenRate*$B$11,SenTenor-SenGrace,-S_Fuel_Hi!$B$16)-H114,0)</f>
        <v>11702.500109863</v>
      </c>
      <c r="I115" s="83" t="n">
        <f aca="false">IF(AND(I39&gt;SenGrace,I39&lt;=SenTenor),PMT(SenRate*$B$11,SenTenor-SenGrace,-S_Fuel_Hi!$B$16)-I114,0)</f>
        <v>12872.7501208493</v>
      </c>
      <c r="J115" s="83" t="n">
        <f aca="false">IF(AND(J39&gt;SenGrace,J39&lt;=SenTenor),PMT(SenRate*$B$11,SenTenor-SenGrace,-S_Fuel_Hi!$B$16)-J114,0)</f>
        <v>14160.0251329342</v>
      </c>
      <c r="K115" s="83" t="n">
        <f aca="false">IF(AND(K39&gt;SenGrace,K39&lt;=SenTenor),PMT(SenRate*$B$11,SenTenor-SenGrace,-S_Fuel_Hi!$B$16)-K114,0)</f>
        <v>15576.0276462276</v>
      </c>
      <c r="L115" s="83" t="n">
        <f aca="false">IF(AND(L39&gt;SenGrace,L39&lt;=SenTenor),PMT(SenRate*$B$11,SenTenor-SenGrace,-S_Fuel_Hi!$B$16)-L114,0)</f>
        <v>17133.6304108504</v>
      </c>
      <c r="M115" s="83" t="n">
        <f aca="false">IF(AND(M39&gt;SenGrace,M39&lt;=SenTenor),PMT(SenRate*$B$11,SenTenor-SenGrace,-S_Fuel_Hi!$B$16)-M114,0)</f>
        <v>18846.9934519354</v>
      </c>
      <c r="N115" s="83" t="n">
        <f aca="false">IF(AND(N39&gt;SenGrace,N39&lt;=SenTenor),PMT(SenRate*$B$11,SenTenor-SenGrace,-S_Fuel_Hi!$B$16)-N114,0)</f>
        <v>0</v>
      </c>
      <c r="O115" s="83" t="n">
        <f aca="false">IF(AND(O39&gt;SenGrace,O39&lt;=SenTenor),PMT(SenRate*$B$11,SenTenor-SenGrace,-S_Fuel_Hi!$B$16)-O114,0)</f>
        <v>0</v>
      </c>
      <c r="P115" s="83" t="n">
        <f aca="false">IF(AND(P39&gt;SenGrace,P39&lt;=SenTenor),PMT(SenRate*$B$11,SenTenor-SenGrace,-S_Fuel_Hi!$B$16)-P114,0)</f>
        <v>0</v>
      </c>
      <c r="Q115" s="83" t="n">
        <f aca="false">IF(AND(Q39&gt;SenGrace,Q39&lt;=SenTenor),PMT(SenRate*$B$11,SenTenor-SenGrace,-S_Fuel_Hi!$B$16)-Q114,0)</f>
        <v>0</v>
      </c>
      <c r="R115" s="83" t="n">
        <f aca="false">IF(AND(R39&gt;SenGrace,R39&lt;=SenTenor),PMT(SenRate*$B$11,SenTenor-SenGrace,-S_Fuel_Hi!$B$16)-R114,0)</f>
        <v>0</v>
      </c>
      <c r="S115" s="83" t="n">
        <f aca="false">IF(AND(S39&gt;SenGrace,S39&lt;=SenTenor),PMT(SenRate*$B$11,SenTenor-SenGrace,-S_Fuel_Hi!$B$16)-S114,0)</f>
        <v>0</v>
      </c>
      <c r="T115" s="83" t="n">
        <f aca="false">IF(AND(T39&gt;SenGrace,T39&lt;=SenTenor),PMT(SenRate*$B$11,SenTenor-SenGrace,-S_Fuel_Hi!$B$16)-T114,0)</f>
        <v>0</v>
      </c>
      <c r="U115" s="83" t="n">
        <f aca="false">IF(AND(U39&gt;SenGrace,U39&lt;=SenTenor),PMT(SenRate*$B$11,SenTenor-SenGrace,-S_Fuel_Hi!$B$16)-U114,0)</f>
        <v>0</v>
      </c>
      <c r="V115" s="83" t="n">
        <f aca="false">IF(AND(V39&gt;SenGrace,V39&lt;=SenTenor),PMT(SenRate*$B$11,SenTenor-SenGrace,-S_Fuel_Hi!$B$16)-V114,0)</f>
        <v>0</v>
      </c>
      <c r="W115" s="83" t="n">
        <f aca="false">IF(AND(W39&gt;SenGrace,W39&lt;=SenTenor),PMT(SenRate*$B$11,SenTenor-SenGrace,-S_Fuel_Hi!$B$16)-W114,0)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100930.563336171</v>
      </c>
      <c r="G116" s="83" t="n">
        <f aca="false">G112+G113-G115</f>
        <v>90291.9268726597</v>
      </c>
      <c r="H116" s="83" t="n">
        <f aca="false">H112+H113-H115</f>
        <v>78589.4267627967</v>
      </c>
      <c r="I116" s="83" t="n">
        <f aca="false">I112+I113-I115</f>
        <v>65716.6766419475</v>
      </c>
      <c r="J116" s="83" t="n">
        <f aca="false">J112+J113-J115</f>
        <v>51556.6515090133</v>
      </c>
      <c r="K116" s="83" t="n">
        <f aca="false">K112+K113-K115</f>
        <v>35980.6238627857</v>
      </c>
      <c r="L116" s="83" t="n">
        <f aca="false">L112+L113-L115</f>
        <v>18846.9934519354</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100954.178087333</v>
      </c>
      <c r="K119" s="83" t="n">
        <f aca="false">J123</f>
        <v>91016.868956104</v>
      </c>
      <c r="L119" s="83" t="n">
        <f aca="false">K123</f>
        <v>80781.4405509385</v>
      </c>
      <c r="M119" s="83" t="n">
        <f aca="false">L123</f>
        <v>70238.949293618</v>
      </c>
      <c r="N119" s="83" t="n">
        <f aca="false">M123</f>
        <v>59380.1832985779</v>
      </c>
      <c r="O119" s="83" t="n">
        <f aca="false">N123</f>
        <v>48195.6543236866</v>
      </c>
      <c r="P119" s="83" t="n">
        <f aca="false">O123</f>
        <v>36675.5894795486</v>
      </c>
      <c r="Q119" s="83" t="n">
        <f aca="false">P123</f>
        <v>24809.9226900864</v>
      </c>
      <c r="R119" s="83" t="n">
        <f aca="false">Q123</f>
        <v>12588.2858969404</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S_Fuel_Hi!$B$17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35647.6013627542</v>
      </c>
      <c r="C121" s="83" t="n">
        <v>0</v>
      </c>
      <c r="D121" s="83" t="n">
        <f aca="false">D119*ConRate*$B$11</f>
        <v>3318.06153090819</v>
      </c>
      <c r="E121" s="83" t="n">
        <f aca="false">E119*ConRate*$B$11</f>
        <v>3318.06153090819</v>
      </c>
      <c r="F121" s="83" t="n">
        <f aca="false">F119*ConRate*$B$11</f>
        <v>3318.06153090819</v>
      </c>
      <c r="G121" s="83" t="n">
        <f aca="false">G119*ConRate*$B$11</f>
        <v>3318.06153090819</v>
      </c>
      <c r="H121" s="83" t="n">
        <f aca="false">H119*ConRate*$B$11</f>
        <v>3318.06153090819</v>
      </c>
      <c r="I121" s="83" t="n">
        <f aca="false">I119*ConRate*$B$11</f>
        <v>3318.06153090819</v>
      </c>
      <c r="J121" s="83" t="n">
        <f aca="false">J119*ConRate*$B$11</f>
        <v>3028.62534261998</v>
      </c>
      <c r="K121" s="83" t="n">
        <f aca="false">K119*ConRate*$B$11</f>
        <v>2730.50606868312</v>
      </c>
      <c r="L121" s="83" t="n">
        <f aca="false">L119*ConRate*$B$11</f>
        <v>2423.44321652815</v>
      </c>
      <c r="M121" s="83" t="n">
        <f aca="false">M119*ConRate*$B$11</f>
        <v>2107.16847880854</v>
      </c>
      <c r="N121" s="83" t="n">
        <f aca="false">N119*ConRate*$B$11</f>
        <v>1781.40549895734</v>
      </c>
      <c r="O121" s="83" t="n">
        <f aca="false">O119*ConRate*$B$11</f>
        <v>1445.8696297106</v>
      </c>
      <c r="P121" s="83" t="n">
        <f aca="false">P119*ConRate*$B$11</f>
        <v>1100.26768438646</v>
      </c>
      <c r="Q121" s="83" t="n">
        <f aca="false">Q119*ConRate*$B$11</f>
        <v>744.297680702593</v>
      </c>
      <c r="R121" s="83" t="n">
        <f aca="false">R119*ConRate*$B$11</f>
        <v>377.648576908212</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IF(AND(D39&gt;ConGrace,D39&lt;=ConTenor),PMT(ConRate*$B$11,ConTenor-ConGrace,-S_Fuel_Hi!$B$17)-D121,0)</f>
        <v>0</v>
      </c>
      <c r="E122" s="83" t="n">
        <f aca="false">IF(AND(E39&gt;ConGrace,E39&lt;=ConTenor),PMT(ConRate*$B$11,ConTenor-ConGrace,-S_Fuel_Hi!$B$17)-E121,0)</f>
        <v>0</v>
      </c>
      <c r="F122" s="83" t="n">
        <f aca="false">IF(AND(F39&gt;ConGrace,F39&lt;=ConTenor),PMT(ConRate*$B$11,ConTenor-ConGrace,-S_Fuel_Hi!$B$17)-F121,0)</f>
        <v>0</v>
      </c>
      <c r="G122" s="83" t="n">
        <f aca="false">IF(AND(G39&gt;ConGrace,G39&lt;=ConTenor),PMT(ConRate*$B$11,ConTenor-ConGrace,-S_Fuel_Hi!$B$17)-G121,0)</f>
        <v>0</v>
      </c>
      <c r="H122" s="83" t="n">
        <f aca="false">IF(AND(H39&gt;ConGrace,H39&lt;=ConTenor),PMT(ConRate*$B$11,ConTenor-ConGrace,-S_Fuel_Hi!$B$17)-H121,0)</f>
        <v>0</v>
      </c>
      <c r="I122" s="83" t="n">
        <f aca="false">IF(AND(I39&gt;ConGrace,I39&lt;=ConTenor),PMT(ConRate*$B$11,ConTenor-ConGrace,-S_Fuel_Hi!$B$17)-I121,0)</f>
        <v>9647.87294294044</v>
      </c>
      <c r="J122" s="83" t="n">
        <f aca="false">IF(AND(J39&gt;ConGrace,J39&lt;=ConTenor),PMT(ConRate*$B$11,ConTenor-ConGrace,-S_Fuel_Hi!$B$17)-J121,0)</f>
        <v>9937.30913122865</v>
      </c>
      <c r="K122" s="83" t="n">
        <f aca="false">IF(AND(K39&gt;ConGrace,K39&lt;=ConTenor),PMT(ConRate*$B$11,ConTenor-ConGrace,-S_Fuel_Hi!$B$17)-K121,0)</f>
        <v>10235.4284051655</v>
      </c>
      <c r="L122" s="83" t="n">
        <f aca="false">IF(AND(L39&gt;ConGrace,L39&lt;=ConTenor),PMT(ConRate*$B$11,ConTenor-ConGrace,-S_Fuel_Hi!$B$17)-L121,0)</f>
        <v>10542.4912573205</v>
      </c>
      <c r="M122" s="83" t="n">
        <f aca="false">IF(AND(M39&gt;ConGrace,M39&lt;=ConTenor),PMT(ConRate*$B$11,ConTenor-ConGrace,-S_Fuel_Hi!$B$17)-M121,0)</f>
        <v>10858.7659950401</v>
      </c>
      <c r="N122" s="83" t="n">
        <f aca="false">IF(AND(N39&gt;ConGrace,N39&lt;=ConTenor),PMT(ConRate*$B$11,ConTenor-ConGrace,-S_Fuel_Hi!$B$17)-N121,0)</f>
        <v>11184.5289748913</v>
      </c>
      <c r="O122" s="83" t="n">
        <f aca="false">IF(AND(O39&gt;ConGrace,O39&lt;=ConTenor),PMT(ConRate*$B$11,ConTenor-ConGrace,-S_Fuel_Hi!$B$17)-O121,0)</f>
        <v>11520.064844138</v>
      </c>
      <c r="P122" s="83" t="n">
        <f aca="false">IF(AND(P39&gt;ConGrace,P39&lt;=ConTenor),PMT(ConRate*$B$11,ConTenor-ConGrace,-S_Fuel_Hi!$B$17)-P121,0)</f>
        <v>11865.6667894622</v>
      </c>
      <c r="Q122" s="83" t="n">
        <f aca="false">IF(AND(Q39&gt;ConGrace,Q39&lt;=ConTenor),PMT(ConRate*$B$11,ConTenor-ConGrace,-S_Fuel_Hi!$B$17)-Q121,0)</f>
        <v>12221.636793146</v>
      </c>
      <c r="R122" s="83" t="n">
        <f aca="false">IF(AND(R39&gt;ConGrace,R39&lt;=ConTenor),PMT(ConRate*$B$11,ConTenor-ConGrace,-S_Fuel_Hi!$B$17)-R121,0)</f>
        <v>12588.2858969404</v>
      </c>
      <c r="S122" s="83" t="n">
        <f aca="false">IF(AND(S39&gt;ConGrace,S39&lt;=ConTenor),PMT(ConRate*$B$11,ConTenor-ConGrace,-S_Fuel_Hi!$B$17)-S121,0)</f>
        <v>0</v>
      </c>
      <c r="T122" s="83" t="n">
        <f aca="false">IF(AND(T39&gt;ConGrace,T39&lt;=ConTenor),PMT(ConRate*$B$11,ConTenor-ConGrace,-S_Fuel_Hi!$B$17)-T121,0)</f>
        <v>0</v>
      </c>
      <c r="U122" s="83" t="n">
        <f aca="false">IF(AND(U39&gt;ConGrace,U39&lt;=ConTenor),PMT(ConRate*$B$11,ConTenor-ConGrace,-S_Fuel_Hi!$B$17)-U121,0)</f>
        <v>0</v>
      </c>
      <c r="V122" s="83" t="n">
        <f aca="false">IF(AND(V39&gt;ConGrace,V39&lt;=ConTenor),PMT(ConRate*$B$11,ConTenor-ConGrace,-S_Fuel_Hi!$B$17)-V121,0)</f>
        <v>0</v>
      </c>
      <c r="W122" s="83" t="n">
        <f aca="false">IF(AND(W39&gt;ConGrace,W39&lt;=ConTenor),PMT(ConRate*$B$11,ConTenor-ConGrace,-S_Fuel_Hi!$B$17)-W121,0)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100954.178087333</v>
      </c>
      <c r="J123" s="83" t="n">
        <f aca="false">J119+J120-J122</f>
        <v>91016.868956104</v>
      </c>
      <c r="K123" s="83" t="n">
        <f aca="false">K119+K120-K122</f>
        <v>80781.4405509385</v>
      </c>
      <c r="L123" s="83" t="n">
        <f aca="false">L119+L120-L122</f>
        <v>70238.949293618</v>
      </c>
      <c r="M123" s="83" t="n">
        <f aca="false">M119+M120-M122</f>
        <v>59380.1832985779</v>
      </c>
      <c r="N123" s="83" t="n">
        <f aca="false">N119+N120-N122</f>
        <v>48195.6543236866</v>
      </c>
      <c r="O123" s="83" t="n">
        <f aca="false">O119+O120-O122</f>
        <v>36675.5894795486</v>
      </c>
      <c r="P123" s="83" t="n">
        <f aca="false">P119+P120-P122</f>
        <v>24809.9226900864</v>
      </c>
      <c r="Q123" s="83" t="n">
        <f aca="false">Q119+Q120-Q122</f>
        <v>12588.2858969404</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334223.604976113</v>
      </c>
      <c r="C125" s="27" t="n">
        <v>0</v>
      </c>
      <c r="D125" s="27" t="n">
        <f aca="false">D114+D115+D121+D122</f>
        <v>14378.2666339355</v>
      </c>
      <c r="E125" s="27" t="n">
        <f aca="false">E114+E115+E121+E122</f>
        <v>14378.2666339355</v>
      </c>
      <c r="F125" s="27" t="n">
        <f aca="false">F114+F115+F121+F122</f>
        <v>24049.7543280371</v>
      </c>
      <c r="G125" s="27" t="n">
        <f aca="false">G114+G115+G121+G122</f>
        <v>24049.7543280371</v>
      </c>
      <c r="H125" s="27" t="n">
        <f aca="false">H114+H115+H121+H122</f>
        <v>24049.7543280371</v>
      </c>
      <c r="I125" s="27" t="n">
        <f aca="false">I114+I115+I121+I122</f>
        <v>33697.6272709776</v>
      </c>
      <c r="J125" s="27" t="n">
        <f aca="false">J114+J115+J121+J122</f>
        <v>33697.6272709776</v>
      </c>
      <c r="K125" s="27" t="n">
        <f aca="false">K114+K115+K121+K122</f>
        <v>33697.6272709776</v>
      </c>
      <c r="L125" s="27" t="n">
        <f aca="false">L114+L115+L121+L122</f>
        <v>33697.6272709776</v>
      </c>
      <c r="M125" s="27" t="n">
        <f aca="false">M114+M115+M121+M122</f>
        <v>33697.6272709776</v>
      </c>
      <c r="N125" s="27" t="n">
        <f aca="false">N114+N115+N121+N122</f>
        <v>12965.9344738486</v>
      </c>
      <c r="O125" s="27" t="n">
        <f aca="false">O114+O115+O121+O122</f>
        <v>12965.9344738486</v>
      </c>
      <c r="P125" s="27" t="n">
        <f aca="false">P114+P115+P121+P122</f>
        <v>12965.9344738486</v>
      </c>
      <c r="Q125" s="27" t="n">
        <f aca="false">Q114+Q115+Q121+Q122</f>
        <v>12965.9344738486</v>
      </c>
      <c r="R125" s="27" t="n">
        <f aca="false">R114+R115+R121+R122</f>
        <v>12965.9344738486</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v>
      </c>
      <c r="E126" s="85" t="n">
        <f aca="false">IF(E39&lt;=SenGrace,SenRate*$B$11,IF(E39&lt;=SenTenor,PMT(SenRate*$B$11,SenTenor-SenGrace,-1),0))</f>
        <v>0.1</v>
      </c>
      <c r="F126" s="85" t="n">
        <f aca="false">IF(F39&lt;=SenGrace,SenRate*$B$11,IF(F39&lt;=SenTenor,PMT(SenRate*$B$11,SenTenor-SenGrace,-1),0))</f>
        <v>0.187444017574813</v>
      </c>
      <c r="G126" s="85" t="n">
        <f aca="false">IF(G39&lt;=SenGrace,SenRate*$B$11,IF(G39&lt;=SenTenor,PMT(SenRate*$B$11,SenTenor-SenGrace,-1),0))</f>
        <v>0.187444017574813</v>
      </c>
      <c r="H126" s="85" t="n">
        <f aca="false">IF(H39&lt;=SenGrace,SenRate*$B$11,IF(H39&lt;=SenTenor,PMT(SenRate*$B$11,SenTenor-SenGrace,-1),0))</f>
        <v>0.187444017574813</v>
      </c>
      <c r="I126" s="85" t="n">
        <f aca="false">IF(I39&lt;=SenGrace,SenRate*$B$11,IF(I39&lt;=SenTenor,PMT(SenRate*$B$11,SenTenor-SenGrace,-1),0))</f>
        <v>0.187444017574813</v>
      </c>
      <c r="J126" s="85" t="n">
        <f aca="false">IF(J39&lt;=SenGrace,SenRate*$B$11,IF(J39&lt;=SenTenor,PMT(SenRate*$B$11,SenTenor-SenGrace,-1),0))</f>
        <v>0.187444017574813</v>
      </c>
      <c r="K126" s="85" t="n">
        <f aca="false">IF(K39&lt;=SenGrace,SenRate*$B$11,IF(K39&lt;=SenTenor,PMT(SenRate*$B$11,SenTenor-SenGrace,-1),0))</f>
        <v>0.187444017574813</v>
      </c>
      <c r="L126" s="85" t="n">
        <f aca="false">IF(L39&lt;=SenGrace,SenRate*$B$11,IF(L39&lt;=SenTenor,PMT(SenRate*$B$11,SenTenor-SenGrace,-1),0))</f>
        <v>0.187444017574813</v>
      </c>
      <c r="M126" s="85" t="n">
        <f aca="false">IF(M39&lt;=SenGrace,SenRate*$B$11,IF(M39&lt;=SenTenor,PMT(SenRate*$B$11,SenTenor-SenGrace,-1),0))</f>
        <v>0.187444017574813</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1047565.06385626</v>
      </c>
      <c r="E127" s="83" t="n">
        <f aca="false">IF(E126&gt;0,(E147/MinDSCR-E121-E122)/E126,1000000000000)</f>
        <v>555111.836275921</v>
      </c>
      <c r="F127" s="83" t="n">
        <f aca="false">IF(F126&gt;0,(F147/MinDSCR-F121-F122)/F126,1000000000000)</f>
        <v>271628.281030218</v>
      </c>
      <c r="G127" s="83" t="n">
        <f aca="false">IF(G126&gt;0,(G147/MinDSCR-G121-G122)/G126,1000000000000)</f>
        <v>130087.077751897</v>
      </c>
      <c r="H127" s="83" t="n">
        <f aca="false">IF(H126&gt;0,(H147/MinDSCR-H121-H122)/H126,1000000000000)</f>
        <v>152006.430310624</v>
      </c>
      <c r="I127" s="83" t="n">
        <f aca="false">IF(I126&gt;0,(I147/MinDSCR-I121-I122)/I126,1000000000000)</f>
        <v>124022.066777905</v>
      </c>
      <c r="J127" s="83" t="n">
        <f aca="false">IF(J126&gt;0,(J147/MinDSCR-J121-J122)/J126,1000000000000)</f>
        <v>140036.283373881</v>
      </c>
      <c r="K127" s="83" t="n">
        <f aca="false">IF(K126&gt;0,(K147/MinDSCR-K121-K122)/K126,1000000000000)</f>
        <v>128027.435417752</v>
      </c>
      <c r="L127" s="83" t="n">
        <f aca="false">IF(L126&gt;0,(L147/MinDSCR-L121-L122)/L126,1000000000000)</f>
        <v>91883.7353822608</v>
      </c>
      <c r="M127" s="83" t="n">
        <f aca="false">IF(M126&gt;0,(M147/MinDSCR-M121-M122)/M126,1000000000000)</f>
        <v>76908.3543366472</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7189.13331696775</v>
      </c>
      <c r="D128" s="83" t="n">
        <f aca="false">DSRAPct*E125</f>
        <v>7189.13331696775</v>
      </c>
      <c r="E128" s="83" t="n">
        <f aca="false">DSRAPct*F125</f>
        <v>12024.8771640186</v>
      </c>
      <c r="F128" s="83" t="n">
        <f aca="false">DSRAPct*G125</f>
        <v>12024.8771640186</v>
      </c>
      <c r="G128" s="83" t="n">
        <f aca="false">DSRAPct*H125</f>
        <v>12024.8771640186</v>
      </c>
      <c r="H128" s="83" t="n">
        <f aca="false">DSRAPct*I125</f>
        <v>16848.8136354888</v>
      </c>
      <c r="I128" s="83" t="n">
        <f aca="false">DSRAPct*J125</f>
        <v>16848.8136354888</v>
      </c>
      <c r="J128" s="83" t="n">
        <f aca="false">DSRAPct*K125</f>
        <v>16848.8136354888</v>
      </c>
      <c r="K128" s="83" t="n">
        <f aca="false">DSRAPct*L125</f>
        <v>16848.8136354888</v>
      </c>
      <c r="L128" s="83" t="n">
        <f aca="false">DSRAPct*M125</f>
        <v>16848.8136354888</v>
      </c>
      <c r="M128" s="83" t="n">
        <f aca="false">DSRAPct*N125</f>
        <v>6482.96723692431</v>
      </c>
      <c r="N128" s="83" t="n">
        <f aca="false">DSRAPct*O125</f>
        <v>6482.96723692431</v>
      </c>
      <c r="O128" s="83" t="n">
        <f aca="false">DSRAPct*P125</f>
        <v>6482.96723692431</v>
      </c>
      <c r="P128" s="83" t="n">
        <f aca="false">DSRAPct*Q125</f>
        <v>6482.96723692431</v>
      </c>
      <c r="Q128" s="83" t="n">
        <f aca="false">DSRAPct*R125</f>
        <v>6482.96723692431</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7189.13331696775</v>
      </c>
      <c r="D129" s="83" t="n">
        <f aca="false">D128-C128</f>
        <v>0</v>
      </c>
      <c r="E129" s="83" t="n">
        <f aca="false">E128-D128</f>
        <v>4835.74384705081</v>
      </c>
      <c r="F129" s="83" t="n">
        <f aca="false">F128-E128</f>
        <v>0</v>
      </c>
      <c r="G129" s="83" t="n">
        <f aca="false">G128-F128</f>
        <v>0</v>
      </c>
      <c r="H129" s="83" t="n">
        <f aca="false">H128-G128</f>
        <v>4823.93647147022</v>
      </c>
      <c r="I129" s="83" t="n">
        <f aca="false">I128-H128</f>
        <v>0</v>
      </c>
      <c r="J129" s="83" t="n">
        <f aca="false">J128-I128</f>
        <v>0</v>
      </c>
      <c r="K129" s="83" t="n">
        <f aca="false">K128-J128</f>
        <v>0</v>
      </c>
      <c r="L129" s="83" t="n">
        <f aca="false">L128-K128</f>
        <v>0</v>
      </c>
      <c r="M129" s="83" t="n">
        <f aca="false">M128-L128</f>
        <v>-10365.8463985645</v>
      </c>
      <c r="N129" s="83" t="n">
        <f aca="false">N128-M128</f>
        <v>0</v>
      </c>
      <c r="O129" s="83" t="n">
        <f aca="false">O128-N128</f>
        <v>0</v>
      </c>
      <c r="P129" s="83" t="n">
        <f aca="false">P128-O128</f>
        <v>0</v>
      </c>
      <c r="Q129" s="83" t="n">
        <f aca="false">Q128-P128</f>
        <v>0</v>
      </c>
      <c r="R129" s="83" t="n">
        <f aca="false">R128-Q128</f>
        <v>-6482.96723692431</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IF(D39&lt;=MIN(DepYears,Life),S_Fuel_Hi!$B$14/DepYears,0)</f>
        <v>76867.3503434244</v>
      </c>
      <c r="E132" s="83" t="n">
        <f aca="false">IF(E39&lt;=MIN(DepYears,Life),S_Fuel_Hi!$B$14/DepYears,0)</f>
        <v>76867.3503434244</v>
      </c>
      <c r="F132" s="83" t="n">
        <f aca="false">IF(F39&lt;=MIN(DepYears,Life),S_Fuel_Hi!$B$14/DepYears,0)</f>
        <v>76867.3503434244</v>
      </c>
      <c r="G132" s="83" t="n">
        <f aca="false">IF(G39&lt;=MIN(DepYears,Life),S_Fuel_Hi!$B$14/DepYears,0)</f>
        <v>76867.3503434244</v>
      </c>
      <c r="H132" s="83" t="n">
        <f aca="false">IF(H39&lt;=MIN(DepYears,Life),S_Fuel_Hi!$B$14/DepYears,0)</f>
        <v>76867.3503434244</v>
      </c>
      <c r="I132" s="83" t="n">
        <f aca="false">IF(I39&lt;=MIN(DepYears,Life),S_Fuel_Hi!$B$14/DepYears,0)</f>
        <v>76867.3503434244</v>
      </c>
      <c r="J132" s="83" t="n">
        <f aca="false">IF(J39&lt;=MIN(DepYears,Life),S_Fuel_Hi!$B$14/DepYears,0)</f>
        <v>76867.3503434244</v>
      </c>
      <c r="K132" s="83" t="n">
        <f aca="false">IF(K39&lt;=MIN(DepYears,Life),S_Fuel_Hi!$B$14/DepYears,0)</f>
        <v>76867.3503434244</v>
      </c>
      <c r="L132" s="83" t="n">
        <f aca="false">IF(L39&lt;=MIN(DepYears,Life),S_Fuel_Hi!$B$14/DepYears,0)</f>
        <v>76867.3503434244</v>
      </c>
      <c r="M132" s="83" t="n">
        <f aca="false">IF(M39&lt;=MIN(DepYears,Life),S_Fuel_Hi!$B$14/DepYears,0)</f>
        <v>76867.3503434244</v>
      </c>
      <c r="N132" s="83" t="n">
        <f aca="false">IF(N39&lt;=MIN(DepYears,Life),S_Fuel_Hi!$B$14/DepYears,0)</f>
        <v>76867.3503434244</v>
      </c>
      <c r="O132" s="83" t="n">
        <f aca="false">IF(O39&lt;=MIN(DepYears,Life),S_Fuel_Hi!$B$14/DepYears,0)</f>
        <v>76867.3503434244</v>
      </c>
      <c r="P132" s="83" t="n">
        <f aca="false">IF(P39&lt;=MIN(DepYears,Life),S_Fuel_Hi!$B$14/DepYears,0)</f>
        <v>76867.3503434244</v>
      </c>
      <c r="Q132" s="83" t="n">
        <f aca="false">IF(Q39&lt;=MIN(DepYears,Life),S_Fuel_Hi!$B$14/DepYears,0)</f>
        <v>76867.3503434244</v>
      </c>
      <c r="R132" s="83" t="n">
        <f aca="false">IF(R39&lt;=MIN(DepYears,Life),S_Fuel_Hi!$B$14/DepYears,0)</f>
        <v>76867.3503434244</v>
      </c>
      <c r="S132" s="83" t="n">
        <f aca="false">IF(S39&lt;=MIN(DepYears,Life),S_Fuel_Hi!$B$14/DepYears,0)</f>
        <v>0</v>
      </c>
      <c r="T132" s="83" t="n">
        <f aca="false">IF(T39&lt;=MIN(DepYears,Life),S_Fuel_Hi!$B$14/DepYears,0)</f>
        <v>0</v>
      </c>
      <c r="U132" s="83" t="n">
        <f aca="false">IF(U39&lt;=MIN(DepYears,Life),S_Fuel_Hi!$B$14/DepYears,0)</f>
        <v>0</v>
      </c>
      <c r="V132" s="83" t="n">
        <f aca="false">IF(V39&lt;=MIN(DepYears,Life),S_Fuel_Hi!$B$14/DepYears,0)</f>
        <v>0</v>
      </c>
      <c r="W132" s="83" t="n">
        <f aca="false">IF(W39&lt;=MIN(DepYears,Life),S_Fuel_Hi!$B$14/DepYears,0)</f>
        <v>0</v>
      </c>
    </row>
    <row r="133" customFormat="false" ht="15" hidden="false" customHeight="false" outlineLevel="0" collapsed="false">
      <c r="A133" s="10" t="s">
        <v>460</v>
      </c>
      <c r="B133" s="61" t="n">
        <f aca="false">SUM(C133:W133)</f>
        <v>-286654.989798958</v>
      </c>
      <c r="C133" s="83" t="n">
        <v>0</v>
      </c>
      <c r="D133" s="83" t="n">
        <f aca="false">D98-D132</f>
        <v>-66832.4823388423</v>
      </c>
      <c r="E133" s="83" t="n">
        <f aca="false">E98-E132</f>
        <v>-42651.4019242863</v>
      </c>
      <c r="F133" s="83" t="n">
        <f aca="false">F98-F132</f>
        <v>-23426.3154719381</v>
      </c>
      <c r="G133" s="83" t="n">
        <f aca="false">G98-G132</f>
        <v>-20116.6828052586</v>
      </c>
      <c r="H133" s="83" t="n">
        <f aca="false">H98-H132</f>
        <v>-14775.4358471379</v>
      </c>
      <c r="I133" s="83" t="n">
        <f aca="false">I98-I132</f>
        <v>-9052.35301011641</v>
      </c>
      <c r="J133" s="83" t="n">
        <f aca="false">J98-J132</f>
        <v>-5150.05318393451</v>
      </c>
      <c r="K133" s="83" t="n">
        <f aca="false">K98-K132</f>
        <v>-8076.33590347893</v>
      </c>
      <c r="L133" s="83" t="n">
        <f aca="false">L98-L132</f>
        <v>-11351.4731541808</v>
      </c>
      <c r="M133" s="83" t="n">
        <f aca="false">M98-M132</f>
        <v>-15000.6324184554</v>
      </c>
      <c r="N133" s="83" t="n">
        <f aca="false">N98-N132</f>
        <v>-19050.6017983037</v>
      </c>
      <c r="O133" s="83" t="n">
        <f aca="false">O98-O132</f>
        <v>-23529.8906094217</v>
      </c>
      <c r="P133" s="83" t="n">
        <f aca="false">P98-P132</f>
        <v>-28468.8361400715</v>
      </c>
      <c r="Q133" s="83" t="n">
        <f aca="false">Q98-Q132</f>
        <v>-33899.7169508508</v>
      </c>
      <c r="R133" s="83" t="n">
        <f aca="false">R98-R132</f>
        <v>-39856.8731144113</v>
      </c>
      <c r="S133" s="83" t="n">
        <f aca="false">S98-S132</f>
        <v>30490.5165249341</v>
      </c>
      <c r="T133" s="83" t="n">
        <f aca="false">T98-T132</f>
        <v>23368.897562015</v>
      </c>
      <c r="U133" s="83" t="n">
        <f aca="false">U98-U132</f>
        <v>15604.2983868638</v>
      </c>
      <c r="V133" s="83" t="n">
        <f aca="false">V98-V132</f>
        <v>7152.77631199453</v>
      </c>
      <c r="W133" s="83" t="n">
        <f aca="false">W98-W132</f>
        <v>-2032.39391407679</v>
      </c>
    </row>
    <row r="134" customFormat="false" ht="15" hidden="false" customHeight="false" outlineLevel="0" collapsed="false">
      <c r="A134" s="10" t="s">
        <v>461</v>
      </c>
      <c r="C134" s="83" t="n">
        <v>0</v>
      </c>
      <c r="D134" s="83" t="n">
        <f aca="false">0</f>
        <v>0</v>
      </c>
      <c r="E134" s="83" t="n">
        <f aca="false">D136</f>
        <v>66832.4823388423</v>
      </c>
      <c r="F134" s="83" t="n">
        <f aca="false">E136</f>
        <v>109483.884263129</v>
      </c>
      <c r="G134" s="83" t="n">
        <f aca="false">F136</f>
        <v>132910.199735067</v>
      </c>
      <c r="H134" s="83" t="n">
        <f aca="false">G136</f>
        <v>153026.882540325</v>
      </c>
      <c r="I134" s="83" t="n">
        <f aca="false">H136</f>
        <v>167802.318387463</v>
      </c>
      <c r="J134" s="83" t="n">
        <f aca="false">I136</f>
        <v>176854.67139758</v>
      </c>
      <c r="K134" s="83" t="n">
        <f aca="false">J136</f>
        <v>182004.724581514</v>
      </c>
      <c r="L134" s="83" t="n">
        <f aca="false">K136</f>
        <v>190081.060484993</v>
      </c>
      <c r="M134" s="83" t="n">
        <f aca="false">L136</f>
        <v>201432.533639174</v>
      </c>
      <c r="N134" s="83" t="n">
        <f aca="false">M136</f>
        <v>216433.166057629</v>
      </c>
      <c r="O134" s="83" t="n">
        <f aca="false">N136</f>
        <v>235483.767855933</v>
      </c>
      <c r="P134" s="83" t="n">
        <f aca="false">O136</f>
        <v>259013.658465355</v>
      </c>
      <c r="Q134" s="83" t="n">
        <f aca="false">P136</f>
        <v>287482.494605426</v>
      </c>
      <c r="R134" s="83" t="n">
        <f aca="false">Q136</f>
        <v>321382.211556277</v>
      </c>
      <c r="S134" s="83" t="n">
        <f aca="false">R136</f>
        <v>361239.084670688</v>
      </c>
      <c r="T134" s="83" t="n">
        <f aca="false">S136</f>
        <v>330748.568145754</v>
      </c>
      <c r="U134" s="83" t="n">
        <f aca="false">T136</f>
        <v>307379.670583739</v>
      </c>
      <c r="V134" s="83" t="n">
        <f aca="false">U136</f>
        <v>291775.372196875</v>
      </c>
      <c r="W134" s="83" t="n">
        <f aca="false">V136</f>
        <v>284622.595884881</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30490.5165249341</v>
      </c>
      <c r="T135" s="83" t="n">
        <f aca="false">MIN(T134,MAX(T133,0))</f>
        <v>23368.897562015</v>
      </c>
      <c r="U135" s="83" t="n">
        <f aca="false">MIN(U134,MAX(U133,0))</f>
        <v>15604.2983868638</v>
      </c>
      <c r="V135" s="83" t="n">
        <f aca="false">MIN(V134,MAX(V133,0))</f>
        <v>7152.77631199453</v>
      </c>
      <c r="W135" s="83" t="n">
        <f aca="false">MIN(W134,MAX(W133,0))</f>
        <v>0</v>
      </c>
    </row>
    <row r="136" customFormat="false" ht="15" hidden="false" customHeight="false" outlineLevel="0" collapsed="false">
      <c r="A136" s="10" t="s">
        <v>463</v>
      </c>
      <c r="C136" s="83" t="n">
        <v>0</v>
      </c>
      <c r="D136" s="83" t="n">
        <f aca="false">D134-D135+MAX(-D133,0)</f>
        <v>66832.4823388423</v>
      </c>
      <c r="E136" s="83" t="n">
        <f aca="false">E134-E135+MAX(-E133,0)</f>
        <v>109483.884263129</v>
      </c>
      <c r="F136" s="83" t="n">
        <f aca="false">F134-F135+MAX(-F133,0)</f>
        <v>132910.199735067</v>
      </c>
      <c r="G136" s="83" t="n">
        <f aca="false">G134-G135+MAX(-G133,0)</f>
        <v>153026.882540325</v>
      </c>
      <c r="H136" s="83" t="n">
        <f aca="false">H134-H135+MAX(-H133,0)</f>
        <v>167802.318387463</v>
      </c>
      <c r="I136" s="83" t="n">
        <f aca="false">I134-I135+MAX(-I133,0)</f>
        <v>176854.67139758</v>
      </c>
      <c r="J136" s="83" t="n">
        <f aca="false">J134-J135+MAX(-J133,0)</f>
        <v>182004.724581514</v>
      </c>
      <c r="K136" s="83" t="n">
        <f aca="false">K134-K135+MAX(-K133,0)</f>
        <v>190081.060484993</v>
      </c>
      <c r="L136" s="83" t="n">
        <f aca="false">L134-L135+MAX(-L133,0)</f>
        <v>201432.533639174</v>
      </c>
      <c r="M136" s="83" t="n">
        <f aca="false">M134-M135+MAX(-M133,0)</f>
        <v>216433.166057629</v>
      </c>
      <c r="N136" s="83" t="n">
        <f aca="false">N134-N135+MAX(-N133,0)</f>
        <v>235483.767855933</v>
      </c>
      <c r="O136" s="83" t="n">
        <f aca="false">O134-O135+MAX(-O133,0)</f>
        <v>259013.658465355</v>
      </c>
      <c r="P136" s="83" t="n">
        <f aca="false">P134-P135+MAX(-P133,0)</f>
        <v>287482.494605426</v>
      </c>
      <c r="Q136" s="83" t="n">
        <f aca="false">Q134-Q135+MAX(-Q133,0)</f>
        <v>321382.211556277</v>
      </c>
      <c r="R136" s="83" t="n">
        <f aca="false">R134-R135+MAX(-R133,0)</f>
        <v>361239.084670688</v>
      </c>
      <c r="S136" s="83" t="n">
        <f aca="false">S134-S135+MAX(-S133,0)</f>
        <v>330748.568145754</v>
      </c>
      <c r="T136" s="83" t="n">
        <f aca="false">T134-T135+MAX(-T133,0)</f>
        <v>307379.670583739</v>
      </c>
      <c r="U136" s="83" t="n">
        <f aca="false">U134-U135+MAX(-U133,0)</f>
        <v>291775.372196875</v>
      </c>
      <c r="V136" s="83" t="n">
        <f aca="false">V134-V135+MAX(-V133,0)</f>
        <v>284622.595884881</v>
      </c>
      <c r="W136" s="83" t="n">
        <f aca="false">W134-W135+MAX(-W133,0)</f>
        <v>286654.989798958</v>
      </c>
    </row>
    <row r="137" customFormat="false" ht="15" hidden="false" customHeight="false" outlineLevel="0" collapsed="false">
      <c r="A137" s="10" t="s">
        <v>464</v>
      </c>
      <c r="B137" s="61" t="n">
        <f aca="false">SUM(C137:W137)</f>
        <v>0</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0</v>
      </c>
    </row>
    <row r="138" customFormat="false" ht="15" hidden="false" customHeight="false" outlineLevel="0" collapsed="false">
      <c r="A138" s="10" t="s">
        <v>465</v>
      </c>
      <c r="B138" s="61" t="n">
        <f aca="false">SUM(C138:W138)</f>
        <v>-399674.492714525</v>
      </c>
      <c r="C138" s="83" t="n">
        <v>0</v>
      </c>
      <c r="D138" s="83" t="n">
        <f aca="false">D98-D132-D114-D121</f>
        <v>-81210.7489727778</v>
      </c>
      <c r="E138" s="83" t="n">
        <f aca="false">E98-E132-E114-E121</f>
        <v>-57029.6685582218</v>
      </c>
      <c r="F138" s="83" t="n">
        <f aca="false">F98-F132-F114-F121</f>
        <v>-37804.5821058736</v>
      </c>
      <c r="G138" s="83" t="n">
        <f aca="false">G98-G132-G114-G121</f>
        <v>-33527.8006697839</v>
      </c>
      <c r="H138" s="83" t="n">
        <f aca="false">H98-H132-H114-H121</f>
        <v>-27122.6900653121</v>
      </c>
      <c r="I138" s="83" t="n">
        <f aca="false">I98-I132-I114-I121</f>
        <v>-20229.3572173043</v>
      </c>
      <c r="J138" s="83" t="n">
        <f aca="false">J98-J132-J114-J121</f>
        <v>-14750.3461907492</v>
      </c>
      <c r="K138" s="83" t="n">
        <f aca="false">K98-K132-K114-K121</f>
        <v>-15962.5071230634</v>
      </c>
      <c r="L138" s="83" t="n">
        <f aca="false">L98-L132-L114-L121</f>
        <v>-17372.9787569875</v>
      </c>
      <c r="M138" s="83" t="n">
        <f aca="false">M98-M132-M114-M121</f>
        <v>-18992.5002424575</v>
      </c>
      <c r="N138" s="83" t="n">
        <f aca="false">N98-N132-N114-N121</f>
        <v>-20832.0072972611</v>
      </c>
      <c r="O138" s="83" t="n">
        <f aca="false">O98-O132-O114-O121</f>
        <v>-24975.7602391323</v>
      </c>
      <c r="P138" s="83" t="n">
        <f aca="false">P98-P132-P114-P121</f>
        <v>-29569.103824458</v>
      </c>
      <c r="Q138" s="83" t="n">
        <f aca="false">Q98-Q132-Q114-Q121</f>
        <v>-34644.0146315534</v>
      </c>
      <c r="R138" s="83" t="n">
        <f aca="false">R98-R132-R114-R121</f>
        <v>-40234.5216913195</v>
      </c>
      <c r="S138" s="83" t="n">
        <f aca="false">S98-S132-S114-S121</f>
        <v>30490.5165249341</v>
      </c>
      <c r="T138" s="83" t="n">
        <f aca="false">T98-T132-T114-T121</f>
        <v>23368.897562015</v>
      </c>
      <c r="U138" s="83" t="n">
        <f aca="false">U98-U132-U114-U121</f>
        <v>15604.2983868638</v>
      </c>
      <c r="V138" s="83" t="n">
        <f aca="false">V98-V132-V114-V121</f>
        <v>7152.77631199453</v>
      </c>
      <c r="W138" s="83" t="n">
        <f aca="false">W98-W132-W114-W121</f>
        <v>-2032.39391407679</v>
      </c>
    </row>
    <row r="139" customFormat="false" ht="15" hidden="false" customHeight="false" outlineLevel="0" collapsed="false">
      <c r="A139" s="10" t="s">
        <v>461</v>
      </c>
      <c r="C139" s="83" t="n">
        <v>0</v>
      </c>
      <c r="D139" s="83" t="n">
        <f aca="false">0</f>
        <v>0</v>
      </c>
      <c r="E139" s="83" t="n">
        <f aca="false">D141</f>
        <v>81210.7489727778</v>
      </c>
      <c r="F139" s="83" t="n">
        <f aca="false">E141</f>
        <v>138240.417531</v>
      </c>
      <c r="G139" s="83" t="n">
        <f aca="false">F141</f>
        <v>176044.999636873</v>
      </c>
      <c r="H139" s="83" t="n">
        <f aca="false">G141</f>
        <v>209572.800306657</v>
      </c>
      <c r="I139" s="83" t="n">
        <f aca="false">H141</f>
        <v>236695.490371969</v>
      </c>
      <c r="J139" s="83" t="n">
        <f aca="false">I141</f>
        <v>256924.847589274</v>
      </c>
      <c r="K139" s="83" t="n">
        <f aca="false">J141</f>
        <v>271675.193780023</v>
      </c>
      <c r="L139" s="83" t="n">
        <f aca="false">K141</f>
        <v>287637.700903086</v>
      </c>
      <c r="M139" s="83" t="n">
        <f aca="false">L141</f>
        <v>305010.679660074</v>
      </c>
      <c r="N139" s="83" t="n">
        <f aca="false">M141</f>
        <v>324003.179902531</v>
      </c>
      <c r="O139" s="83" t="n">
        <f aca="false">N141</f>
        <v>344835.187199792</v>
      </c>
      <c r="P139" s="83" t="n">
        <f aca="false">O141</f>
        <v>369810.947438925</v>
      </c>
      <c r="Q139" s="83" t="n">
        <f aca="false">P141</f>
        <v>399380.051263383</v>
      </c>
      <c r="R139" s="83" t="n">
        <f aca="false">Q141</f>
        <v>434024.065894936</v>
      </c>
      <c r="S139" s="83" t="n">
        <f aca="false">R141</f>
        <v>474258.587586255</v>
      </c>
      <c r="T139" s="83" t="n">
        <f aca="false">S141</f>
        <v>443768.071061321</v>
      </c>
      <c r="U139" s="83" t="n">
        <f aca="false">T141</f>
        <v>420399.173499306</v>
      </c>
      <c r="V139" s="83" t="n">
        <f aca="false">U141</f>
        <v>404794.875112443</v>
      </c>
      <c r="W139" s="83" t="n">
        <f aca="false">V141</f>
        <v>397642.098800448</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30490.5165249341</v>
      </c>
      <c r="T140" s="83" t="n">
        <f aca="false">MIN(T139,MAX(T138,0))</f>
        <v>23368.897562015</v>
      </c>
      <c r="U140" s="83" t="n">
        <f aca="false">MIN(U139,MAX(U138,0))</f>
        <v>15604.2983868638</v>
      </c>
      <c r="V140" s="83" t="n">
        <f aca="false">MIN(V139,MAX(V138,0))</f>
        <v>7152.77631199453</v>
      </c>
      <c r="W140" s="83" t="n">
        <f aca="false">MIN(W139,MAX(W138,0))</f>
        <v>0</v>
      </c>
    </row>
    <row r="141" customFormat="false" ht="15" hidden="false" customHeight="false" outlineLevel="0" collapsed="false">
      <c r="A141" s="10" t="s">
        <v>463</v>
      </c>
      <c r="C141" s="83" t="n">
        <v>0</v>
      </c>
      <c r="D141" s="83" t="n">
        <f aca="false">D139-D140+MAX(-D138,0)</f>
        <v>81210.7489727778</v>
      </c>
      <c r="E141" s="83" t="n">
        <f aca="false">E139-E140+MAX(-E138,0)</f>
        <v>138240.417531</v>
      </c>
      <c r="F141" s="83" t="n">
        <f aca="false">F139-F140+MAX(-F138,0)</f>
        <v>176044.999636873</v>
      </c>
      <c r="G141" s="83" t="n">
        <f aca="false">G139-G140+MAX(-G138,0)</f>
        <v>209572.800306657</v>
      </c>
      <c r="H141" s="83" t="n">
        <f aca="false">H139-H140+MAX(-H138,0)</f>
        <v>236695.490371969</v>
      </c>
      <c r="I141" s="83" t="n">
        <f aca="false">I139-I140+MAX(-I138,0)</f>
        <v>256924.847589274</v>
      </c>
      <c r="J141" s="83" t="n">
        <f aca="false">J139-J140+MAX(-J138,0)</f>
        <v>271675.193780023</v>
      </c>
      <c r="K141" s="83" t="n">
        <f aca="false">K139-K140+MAX(-K138,0)</f>
        <v>287637.700903086</v>
      </c>
      <c r="L141" s="83" t="n">
        <f aca="false">L139-L140+MAX(-L138,0)</f>
        <v>305010.679660074</v>
      </c>
      <c r="M141" s="83" t="n">
        <f aca="false">M139-M140+MAX(-M138,0)</f>
        <v>324003.179902531</v>
      </c>
      <c r="N141" s="83" t="n">
        <f aca="false">N139-N140+MAX(-N138,0)</f>
        <v>344835.187199792</v>
      </c>
      <c r="O141" s="83" t="n">
        <f aca="false">O139-O140+MAX(-O138,0)</f>
        <v>369810.947438925</v>
      </c>
      <c r="P141" s="83" t="n">
        <f aca="false">P139-P140+MAX(-P138,0)</f>
        <v>399380.051263383</v>
      </c>
      <c r="Q141" s="83" t="n">
        <f aca="false">Q139-Q140+MAX(-Q138,0)</f>
        <v>434024.065894936</v>
      </c>
      <c r="R141" s="83" t="n">
        <f aca="false">R139-R140+MAX(-R138,0)</f>
        <v>474258.587586255</v>
      </c>
      <c r="S141" s="83" t="n">
        <f aca="false">S139-S140+MAX(-S138,0)</f>
        <v>443768.071061321</v>
      </c>
      <c r="T141" s="83" t="n">
        <f aca="false">T139-T140+MAX(-T138,0)</f>
        <v>420399.173499306</v>
      </c>
      <c r="U141" s="83" t="n">
        <f aca="false">U139-U140+MAX(-U138,0)</f>
        <v>404794.875112443</v>
      </c>
      <c r="V141" s="83" t="n">
        <f aca="false">V139-V140+MAX(-V138,0)</f>
        <v>397642.098800448</v>
      </c>
      <c r="W141" s="83" t="n">
        <f aca="false">W139-W140+MAX(-W138,0)</f>
        <v>399674.492714525</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-876078.217442876</v>
      </c>
      <c r="C145" s="27" t="n">
        <f aca="false">-C102+C98-C103-C137</f>
        <v>-1153010.25515137</v>
      </c>
      <c r="D145" s="27" t="n">
        <f aca="false">-D102+D98-D103-D137</f>
        <v>10034.868004582</v>
      </c>
      <c r="E145" s="27" t="n">
        <f aca="false">-E102+E98-E103-E137</f>
        <v>34215.9484191381</v>
      </c>
      <c r="F145" s="27" t="n">
        <f aca="false">-F102+F98-F103-F137</f>
        <v>53441.0348714862</v>
      </c>
      <c r="G145" s="27" t="n">
        <f aca="false">-G102+G98-G103-G137</f>
        <v>56750.6675381658</v>
      </c>
      <c r="H145" s="27" t="n">
        <f aca="false">-H102+H98-H103-H137</f>
        <v>62091.9144962864</v>
      </c>
      <c r="I145" s="27" t="n">
        <f aca="false">-I102+I98-I103-I137</f>
        <v>67814.997333308</v>
      </c>
      <c r="J145" s="27" t="n">
        <f aca="false">-J102+J98-J103-J137</f>
        <v>71717.2971594899</v>
      </c>
      <c r="K145" s="27" t="n">
        <f aca="false">-K102+K98-K103-K137</f>
        <v>-97112.423264756</v>
      </c>
      <c r="L145" s="27" t="n">
        <f aca="false">-L102+L98-L103-L137</f>
        <v>65515.8771892436</v>
      </c>
      <c r="M145" s="27" t="n">
        <f aca="false">-M102+M98-M103-M137</f>
        <v>61866.717924969</v>
      </c>
      <c r="N145" s="27" t="n">
        <f aca="false">-N102+N98-N103-N137</f>
        <v>57816.7485451206</v>
      </c>
      <c r="O145" s="27" t="n">
        <f aca="false">-O102+O98-O103-O137</f>
        <v>53337.4597340026</v>
      </c>
      <c r="P145" s="27" t="n">
        <f aca="false">-P102+P98-P103-P137</f>
        <v>48398.5142033529</v>
      </c>
      <c r="Q145" s="27" t="n">
        <f aca="false">-Q102+Q98-Q103-Q137</f>
        <v>42967.6333925736</v>
      </c>
      <c r="R145" s="27" t="n">
        <f aca="false">-R102+R98-R103-R137</f>
        <v>37010.4772290131</v>
      </c>
      <c r="S145" s="27" t="n">
        <f aca="false">-S102+S98-S103-S137</f>
        <v>-179670.994758736</v>
      </c>
      <c r="T145" s="27" t="n">
        <f aca="false">-T102+T98-T103-T137</f>
        <v>23368.897562015</v>
      </c>
      <c r="U145" s="27" t="n">
        <f aca="false">-U102+U98-U103-U137</f>
        <v>15604.2983868638</v>
      </c>
      <c r="V145" s="27" t="n">
        <f aca="false">-V102+V98-V103-V137</f>
        <v>7152.77631199453</v>
      </c>
      <c r="W145" s="27" t="n">
        <f aca="false">-W102+W98-W103-W137</f>
        <v>-2032.39391407679</v>
      </c>
    </row>
    <row r="146" customFormat="false" ht="15" hidden="false" customHeight="false" outlineLevel="0" collapsed="false">
      <c r="A146" s="15" t="s">
        <v>469</v>
      </c>
      <c r="B146" s="61" t="n">
        <f aca="false">C146+NPV(Hurdle,D146:W146)</f>
        <v>-58157.8568117719</v>
      </c>
      <c r="C146" s="27" t="n">
        <f aca="false">C145+C106+C108</f>
        <v>-553010.255151365</v>
      </c>
      <c r="D146" s="27" t="n">
        <f aca="false">D145+D106+D108</f>
        <v>161234.868004582</v>
      </c>
      <c r="E146" s="27" t="n">
        <f aca="false">E145+E106+E108</f>
        <v>97215.9484191381</v>
      </c>
      <c r="F146" s="27" t="n">
        <f aca="false">F145+F106+F108</f>
        <v>91241.0348714862</v>
      </c>
      <c r="G146" s="27" t="n">
        <f aca="false">G145+G106+G108</f>
        <v>56750.6675381658</v>
      </c>
      <c r="H146" s="27" t="n">
        <f aca="false">H145+H106+H108</f>
        <v>62091.9144962864</v>
      </c>
      <c r="I146" s="27" t="n">
        <f aca="false">I145+I106+I108</f>
        <v>67814.997333308</v>
      </c>
      <c r="J146" s="27" t="n">
        <f aca="false">J145+J106+J108</f>
        <v>71717.2971594899</v>
      </c>
      <c r="K146" s="27" t="n">
        <f aca="false">K145+K106+K108</f>
        <v>-97112.423264756</v>
      </c>
      <c r="L146" s="27" t="n">
        <f aca="false">L145+L106+L108</f>
        <v>65515.8771892436</v>
      </c>
      <c r="M146" s="27" t="n">
        <f aca="false">M145+M106+M108</f>
        <v>61866.717924969</v>
      </c>
      <c r="N146" s="27" t="n">
        <f aca="false">N145+N106+N108</f>
        <v>57816.7485451206</v>
      </c>
      <c r="O146" s="27" t="n">
        <f aca="false">O145+O106+O108</f>
        <v>53337.4597340026</v>
      </c>
      <c r="P146" s="27" t="n">
        <f aca="false">P145+P106+P108</f>
        <v>48398.5142033529</v>
      </c>
      <c r="Q146" s="27" t="n">
        <f aca="false">Q145+Q106+Q108</f>
        <v>42967.6333925736</v>
      </c>
      <c r="R146" s="27" t="n">
        <f aca="false">R145+R106+R108</f>
        <v>37010.4772290131</v>
      </c>
      <c r="S146" s="27" t="n">
        <f aca="false">S145+S106+S108</f>
        <v>-179670.994758736</v>
      </c>
      <c r="T146" s="27" t="n">
        <f aca="false">T145+T106+T108</f>
        <v>23368.897562015</v>
      </c>
      <c r="U146" s="27" t="n">
        <f aca="false">U145+U106+U108</f>
        <v>15604.2983868638</v>
      </c>
      <c r="V146" s="27" t="n">
        <f aca="false">V145+V106+V108</f>
        <v>7152.77631199453</v>
      </c>
      <c r="W146" s="27" t="n">
        <f aca="false">W145+W106+W108</f>
        <v>-2032.39391407679</v>
      </c>
    </row>
    <row r="147" customFormat="false" ht="15" hidden="false" customHeight="false" outlineLevel="0" collapsed="false">
      <c r="A147" s="10" t="s">
        <v>237</v>
      </c>
      <c r="B147" s="61" t="n">
        <f aca="false">SUM(C147:W147)</f>
        <v>742290.316364036</v>
      </c>
      <c r="C147" s="83" t="n">
        <v>0</v>
      </c>
      <c r="D147" s="83" t="n">
        <f aca="false">D98-D105-D142+D108</f>
        <v>140496.938291494</v>
      </c>
      <c r="E147" s="83" t="n">
        <f aca="false">E98-E105-E142+E108</f>
        <v>76478.0187060504</v>
      </c>
      <c r="F147" s="83" t="n">
        <f aca="false">F98-F105-F142+F108</f>
        <v>70503.1051583985</v>
      </c>
      <c r="G147" s="83" t="n">
        <f aca="false">G98-G105-G142+G108</f>
        <v>36012.7378250781</v>
      </c>
      <c r="H147" s="83" t="n">
        <f aca="false">H98-H105-H142+H108</f>
        <v>41353.9847831988</v>
      </c>
      <c r="I147" s="83" t="n">
        <f aca="false">I98-I105-I142+I108</f>
        <v>47077.0676202203</v>
      </c>
      <c r="J147" s="83" t="n">
        <f aca="false">J98-J105-J142+J108</f>
        <v>50979.3674464022</v>
      </c>
      <c r="K147" s="83" t="n">
        <f aca="false">K98-K105-K142+K108</f>
        <v>48053.0847268578</v>
      </c>
      <c r="L147" s="83" t="n">
        <f aca="false">L98-L105-L142+L108</f>
        <v>39245.6882787848</v>
      </c>
      <c r="M147" s="83" t="n">
        <f aca="false">M98-M105-M142+M108</f>
        <v>35596.5290145102</v>
      </c>
      <c r="N147" s="83" t="n">
        <f aca="false">N98-N105-N142+N108</f>
        <v>31546.5596346619</v>
      </c>
      <c r="O147" s="83" t="n">
        <f aca="false">O98-O105-O142+O108</f>
        <v>27067.2708235439</v>
      </c>
      <c r="P147" s="83" t="n">
        <f aca="false">P98-P105-P142+P108</f>
        <v>22128.3252928941</v>
      </c>
      <c r="Q147" s="83" t="n">
        <f aca="false">Q98-Q105-Q142+Q108</f>
        <v>16697.4444821148</v>
      </c>
      <c r="R147" s="83" t="n">
        <f aca="false">R98-R105-R142+R108</f>
        <v>10740.2883185543</v>
      </c>
      <c r="S147" s="83" t="n">
        <f aca="false">S98-S105-S142+S108</f>
        <v>4220.32761447535</v>
      </c>
      <c r="T147" s="83" t="n">
        <f aca="false">T98-T105-T142+T108</f>
        <v>23368.897562015</v>
      </c>
      <c r="U147" s="83" t="n">
        <f aca="false">U98-U105-U142+U108</f>
        <v>15604.2983868638</v>
      </c>
      <c r="V147" s="83" t="n">
        <f aca="false">V98-V105-V142+V108</f>
        <v>7152.77631199453</v>
      </c>
      <c r="W147" s="83" t="n">
        <f aca="false">W98-W105-W142+W108</f>
        <v>-2032.39391407679</v>
      </c>
    </row>
    <row r="148" customFormat="false" ht="15" hidden="false" customHeight="false" outlineLevel="0" collapsed="false">
      <c r="A148" s="10" t="s">
        <v>470</v>
      </c>
      <c r="C148" s="86" t="n">
        <v>0</v>
      </c>
      <c r="D148" s="86" t="n">
        <f aca="false">IF(D125&gt;0,D147/D125,"")</f>
        <v>9.77147954398719</v>
      </c>
      <c r="E148" s="86" t="n">
        <f aca="false">IF(E125&gt;0,E147/E125,"")</f>
        <v>5.3190012852834</v>
      </c>
      <c r="F148" s="86" t="n">
        <f aca="false">IF(F125&gt;0,F147/F125,"")</f>
        <v>2.93155198995968</v>
      </c>
      <c r="G148" s="86" t="n">
        <f aca="false">IF(G125&gt;0,G147/G125,"")</f>
        <v>1.49742643246441</v>
      </c>
      <c r="H148" s="86" t="n">
        <f aca="false">IF(H125&gt;0,H147/H125,"")</f>
        <v>1.71951797174861</v>
      </c>
      <c r="I148" s="86" t="n">
        <f aca="false">IF(I125&gt;0,I147/I125,"")</f>
        <v>1.39704398893289</v>
      </c>
      <c r="J148" s="86" t="n">
        <f aca="false">IF(J125&gt;0,J147/J125,"")</f>
        <v>1.51284738941571</v>
      </c>
      <c r="K148" s="86" t="n">
        <f aca="false">IF(K125&gt;0,K147/K125,"")</f>
        <v>1.42600796015819</v>
      </c>
      <c r="L148" s="86" t="n">
        <f aca="false">IF(L125&gt;0,L147/L125,"")</f>
        <v>1.16464248248676</v>
      </c>
      <c r="M148" s="86" t="n">
        <f aca="false">IF(M125&gt;0,M147/M125,"")</f>
        <v>1.05635120028668</v>
      </c>
      <c r="N148" s="86" t="n">
        <f aca="false">IF(N125&gt;0,N147/N125,"")</f>
        <v>2.43303401681453</v>
      </c>
      <c r="O148" s="86" t="n">
        <f aca="false">IF(O125&gt;0,O147/O125,"")</f>
        <v>2.08756807140562</v>
      </c>
      <c r="P148" s="86" t="n">
        <f aca="false">IF(P125&gt;0,P147/P125,"")</f>
        <v>1.70665101983396</v>
      </c>
      <c r="Q148" s="86" t="n">
        <f aca="false">IF(Q125&gt;0,Q147/Q125,"")</f>
        <v>1.2877933723784</v>
      </c>
      <c r="R148" s="86" t="n">
        <f aca="false">IF(R125&gt;0,R147/R125,"")</f>
        <v>0.828346644834332</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-71118.8159927375</v>
      </c>
      <c r="C149" s="27" t="n">
        <f aca="false">-S_Fuel_Hi!$B$18-C129</f>
        <v>-338995.286407787</v>
      </c>
      <c r="D149" s="27" t="n">
        <f aca="false">D147-D125-D129</f>
        <v>126118.671657559</v>
      </c>
      <c r="E149" s="27" t="n">
        <f aca="false">E147-E125-E129</f>
        <v>57264.0082250641</v>
      </c>
      <c r="F149" s="27" t="n">
        <f aca="false">F147-F125-F129</f>
        <v>46453.3508303614</v>
      </c>
      <c r="G149" s="27" t="n">
        <f aca="false">G147-G125-G129</f>
        <v>11962.983497041</v>
      </c>
      <c r="H149" s="27" t="n">
        <f aca="false">H147-H125-H129</f>
        <v>12480.2939836914</v>
      </c>
      <c r="I149" s="27" t="n">
        <f aca="false">I147-I125-I129</f>
        <v>13379.4403492427</v>
      </c>
      <c r="J149" s="27" t="n">
        <f aca="false">J147-J125-J129</f>
        <v>17281.7401754246</v>
      </c>
      <c r="K149" s="27" t="n">
        <f aca="false">K147-K125-K129</f>
        <v>14355.4574558802</v>
      </c>
      <c r="L149" s="27" t="n">
        <f aca="false">L147-L125-L129</f>
        <v>5548.06100780727</v>
      </c>
      <c r="M149" s="27" t="n">
        <f aca="false">M147-M125-M129</f>
        <v>12264.7481420972</v>
      </c>
      <c r="N149" s="27" t="n">
        <f aca="false">N147-N125-N129</f>
        <v>18580.6251608132</v>
      </c>
      <c r="O149" s="27" t="n">
        <f aca="false">O147-O125-O129</f>
        <v>14101.3363496953</v>
      </c>
      <c r="P149" s="27" t="n">
        <f aca="false">P147-P125-P129</f>
        <v>9162.39081904549</v>
      </c>
      <c r="Q149" s="27" t="n">
        <f aca="false">Q147-Q125-Q129</f>
        <v>3731.5100082662</v>
      </c>
      <c r="R149" s="27" t="n">
        <f aca="false">R147-R125-R129</f>
        <v>4257.32108163</v>
      </c>
      <c r="S149" s="27" t="n">
        <f aca="false">S147-S125-S129</f>
        <v>4220.32761447535</v>
      </c>
      <c r="T149" s="27" t="n">
        <f aca="false">T147-T125-T129</f>
        <v>23368.897562015</v>
      </c>
      <c r="U149" s="27" t="n">
        <f aca="false">U147-U125-U129</f>
        <v>15604.2983868638</v>
      </c>
      <c r="V149" s="27" t="n">
        <f aca="false">V147-V125-V129</f>
        <v>7152.77631199453</v>
      </c>
      <c r="W149" s="27" t="n">
        <f aca="false">W147-W125-W129</f>
        <v>-2032.39391407679</v>
      </c>
    </row>
    <row r="150" customFormat="false" ht="15" hidden="false" customHeight="false" outlineLevel="0" collapsed="false">
      <c r="A150" s="10" t="s">
        <v>472</v>
      </c>
      <c r="C150" s="83" t="n">
        <f aca="false">C149</f>
        <v>-338995.286407787</v>
      </c>
      <c r="D150" s="83" t="n">
        <f aca="false">C150+D149</f>
        <v>-212876.614750228</v>
      </c>
      <c r="E150" s="83" t="n">
        <f aca="false">D150+E149</f>
        <v>-155612.606525164</v>
      </c>
      <c r="F150" s="83" t="n">
        <f aca="false">E150+F149</f>
        <v>-109159.255694803</v>
      </c>
      <c r="G150" s="83" t="n">
        <f aca="false">F150+G149</f>
        <v>-97196.2721977616</v>
      </c>
      <c r="H150" s="83" t="n">
        <f aca="false">G150+H149</f>
        <v>-84715.9782140702</v>
      </c>
      <c r="I150" s="83" t="n">
        <f aca="false">H150+I149</f>
        <v>-71336.5378648275</v>
      </c>
      <c r="J150" s="83" t="n">
        <f aca="false">I150+J149</f>
        <v>-54054.7976894028</v>
      </c>
      <c r="K150" s="83" t="n">
        <f aca="false">J150+K149</f>
        <v>-39699.3402335226</v>
      </c>
      <c r="L150" s="83" t="n">
        <f aca="false">K150+L149</f>
        <v>-34151.2792257154</v>
      </c>
      <c r="M150" s="83" t="n">
        <f aca="false">L150+M149</f>
        <v>-21886.5310836182</v>
      </c>
      <c r="N150" s="83" t="n">
        <f aca="false">M150+N149</f>
        <v>-3305.90592280496</v>
      </c>
      <c r="O150" s="83" t="n">
        <f aca="false">N150+O149</f>
        <v>10795.4304268903</v>
      </c>
      <c r="P150" s="83" t="n">
        <f aca="false">O150+P149</f>
        <v>19957.8212459358</v>
      </c>
      <c r="Q150" s="83" t="n">
        <f aca="false">P150+Q149</f>
        <v>23689.331254202</v>
      </c>
      <c r="R150" s="83" t="n">
        <f aca="false">Q150+R149</f>
        <v>27946.652335832</v>
      </c>
      <c r="S150" s="83" t="n">
        <f aca="false">R150+S149</f>
        <v>32166.9799503073</v>
      </c>
      <c r="T150" s="83" t="n">
        <f aca="false">S150+T149</f>
        <v>55535.8775123223</v>
      </c>
      <c r="U150" s="83" t="n">
        <f aca="false">T150+U149</f>
        <v>71140.1758991861</v>
      </c>
      <c r="V150" s="83" t="n">
        <f aca="false">U150+V149</f>
        <v>78292.9522111806</v>
      </c>
      <c r="W150" s="83" t="n">
        <f aca="false">V150+W149</f>
        <v>76260.5582971039</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2394741.88375443</v>
      </c>
      <c r="C153" s="83" t="n">
        <f aca="false">C102+C96-C93+C103</f>
        <v>1153010.25515137</v>
      </c>
      <c r="D153" s="83" t="n">
        <f aca="false">D102+D96-D93+D103</f>
        <v>68066.997641498</v>
      </c>
      <c r="E153" s="83" t="n">
        <f aca="false">E102+E96-E93+E103</f>
        <v>75896.1611297575</v>
      </c>
      <c r="F153" s="83" t="n">
        <f aca="false">F102+F96-F93+F103</f>
        <v>82184.3941231294</v>
      </c>
      <c r="G153" s="83" t="n">
        <f aca="false">G102+G96-G93+G103</f>
        <v>85359.1991572219</v>
      </c>
      <c r="H153" s="83" t="n">
        <f aca="false">H102+H96-H93+H103</f>
        <v>88672.4430808505</v>
      </c>
      <c r="I153" s="83" t="n">
        <f aca="false">I102+I96-I93+I103</f>
        <v>92130.9096202765</v>
      </c>
      <c r="J153" s="83" t="n">
        <f aca="false">J102+J96-J93+J103</f>
        <v>97969.315527568</v>
      </c>
      <c r="K153" s="83" t="n">
        <f aca="false">K102+K96-K93+K103</f>
        <v>277132.950664456</v>
      </c>
      <c r="L153" s="83" t="n">
        <f aca="false">L102+L96-L93+L103</f>
        <v>125467.900329098</v>
      </c>
      <c r="M153" s="83" t="n">
        <f aca="false">M102+M96-M93+M103</f>
        <v>140747.971644239</v>
      </c>
      <c r="N153" s="83" t="n">
        <f aca="false">N102+N96-N93+N103</f>
        <v>157137.175618853</v>
      </c>
      <c r="O153" s="83" t="n">
        <f aca="false">O102+O96-O93+O103</f>
        <v>174707.158411557</v>
      </c>
      <c r="P153" s="83" t="n">
        <f aca="false">P102+P96-P93+P103</f>
        <v>193534.021187271</v>
      </c>
      <c r="Q153" s="83" t="n">
        <f aca="false">Q102+Q96-Q93+Q103</f>
        <v>213698.593403339</v>
      </c>
      <c r="R153" s="83" t="n">
        <f aca="false">R102+R96-R93+R103</f>
        <v>235286.722778771</v>
      </c>
      <c r="S153" s="83" t="n">
        <f aca="false">S102+S96-S93+S103</f>
        <v>468551.094246994</v>
      </c>
      <c r="T153" s="83" t="n">
        <f aca="false">T102+T96-T93+T103</f>
        <v>283103.999985078</v>
      </c>
      <c r="U153" s="83" t="n">
        <f aca="false">U102+U96-U93+U103</f>
        <v>309532.798620847</v>
      </c>
      <c r="V153" s="83" t="n">
        <f aca="false">V102+V96-V93+V103</f>
        <v>337785.169903486</v>
      </c>
      <c r="W153" s="83" t="n">
        <f aca="false">W102+W96-W93+W103</f>
        <v>367977.06105408</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f aca="false">1-SensDelta</f>
        <v>0.8</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MAX(0,S_Rate_Lo!$B$14-Grant)*SenPct</f>
        <v>110602.051030273</v>
      </c>
    </row>
    <row r="17" customFormat="false" ht="15" hidden="false" customHeight="false" outlineLevel="0" collapsed="false">
      <c r="A17" s="10" t="s">
        <v>248</v>
      </c>
      <c r="B17" s="61" t="n">
        <f aca="false">MAX(0,S_Rate_Lo!$B$14-Grant)*ConPct</f>
        <v>110602.051030273</v>
      </c>
    </row>
    <row r="18" customFormat="false" ht="15" hidden="false" customHeight="false" outlineLevel="0" collapsed="false">
      <c r="A18" s="10" t="s">
        <v>393</v>
      </c>
      <c r="B18" s="61" t="n">
        <f aca="false">MAX(0,S_Rate_Lo!$B$14-Grant-S_Rate_Lo!$B$16-S_Rate_Lo!$B$17)</f>
        <v>331806.153090819</v>
      </c>
    </row>
    <row r="19" customFormat="false" ht="15" hidden="false" customHeight="false" outlineLevel="0" collapsed="false">
      <c r="A19" s="10" t="s">
        <v>394</v>
      </c>
      <c r="B19" s="61" t="n">
        <f aca="false">C128</f>
        <v>5751.3066535742</v>
      </c>
    </row>
    <row r="20" customFormat="false" ht="15" hidden="false" customHeight="false" outlineLevel="0" collapsed="false">
      <c r="A20" s="10" t="s">
        <v>395</v>
      </c>
      <c r="B20" s="61" t="n">
        <f aca="false">$B$145</f>
        <v>-793132.367693456</v>
      </c>
    </row>
    <row r="21" customFormat="false" ht="15" hidden="false" customHeight="false" outlineLevel="0" collapsed="false">
      <c r="A21" s="10" t="s">
        <v>396</v>
      </c>
      <c r="B21" s="61" t="n">
        <f aca="false">$B$146</f>
        <v>24787.9929376486</v>
      </c>
    </row>
    <row r="22" customFormat="false" ht="15" hidden="false" customHeight="false" outlineLevel="0" collapsed="false">
      <c r="A22" s="10" t="s">
        <v>397</v>
      </c>
      <c r="B22" s="63" t="n">
        <f aca="false">IFERROR(IRR($C$145:$W$145),"n.d.")</f>
        <v>-0.035930891794335</v>
      </c>
    </row>
    <row r="23" customFormat="false" ht="15" hidden="false" customHeight="false" outlineLevel="0" collapsed="false">
      <c r="A23" s="10" t="s">
        <v>398</v>
      </c>
      <c r="B23" s="63" t="n">
        <f aca="false">IFERROR(IRR($C$146:$W$146),"n.d.")</f>
        <v>0.109727758924095</v>
      </c>
    </row>
    <row r="24" customFormat="false" ht="15" hidden="false" customHeight="false" outlineLevel="0" collapsed="false">
      <c r="A24" s="10" t="s">
        <v>384</v>
      </c>
      <c r="B24" s="61" t="n">
        <f aca="false">MAX(0,-$B$145)</f>
        <v>793132.367693456</v>
      </c>
    </row>
    <row r="25" customFormat="false" ht="15" hidden="false" customHeight="false" outlineLevel="0" collapsed="false">
      <c r="A25" s="10" t="s">
        <v>256</v>
      </c>
      <c r="B25" s="63" t="n">
        <f aca="false">IFERROR(IRR($C$149:$W$149),"n.d.")</f>
        <v>0.116142222729026</v>
      </c>
    </row>
    <row r="26" customFormat="false" ht="15" hidden="false" customHeight="false" outlineLevel="0" collapsed="false">
      <c r="A26" s="10" t="s">
        <v>258</v>
      </c>
      <c r="B26" s="61" t="n">
        <f aca="false">C149+NPV(TargetEqIRR,D149:W149)</f>
        <v>-45246.2913574149</v>
      </c>
    </row>
    <row r="27" customFormat="false" ht="15" hidden="false" customHeight="false" outlineLevel="0" collapsed="false">
      <c r="A27" s="10" t="s">
        <v>252</v>
      </c>
      <c r="B27" s="62" t="n">
        <f aca="false">IF((S_Rate_Lo!$B$16+S_Rate_Lo!$B$17)&gt;0,MIN($D$148:$W$148),"pas de dette")</f>
        <v>1.45349091202494</v>
      </c>
    </row>
    <row r="28" customFormat="false" ht="15" hidden="false" customHeight="false" outlineLevel="0" collapsed="false">
      <c r="A28" s="10" t="s">
        <v>254</v>
      </c>
      <c r="B28" s="62" t="n">
        <f aca="false">IF((S_Rate_Lo!$B$16+S_Rate_Lo!$B$17)&gt;0,AVERAGE($D$148:$W$148),"pas de dette")</f>
        <v>3.35974956145847</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132191.023376078</v>
      </c>
    </row>
    <row r="36" customFormat="false" ht="15" hidden="false" customHeight="false" outlineLevel="0" collapsed="false">
      <c r="A36" s="10" t="s">
        <v>260</v>
      </c>
      <c r="B36" s="78" t="n">
        <f aca="false">IFERROR(MATCH(TRUE(),INDEX($C$150:$W$150&gt;=0,0),0)-1,"&gt; durée de vie")</f>
        <v>8</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S_Rate_Lo!$B$15*O_FixedPct*D44*LevOpex*$B$8*D41</f>
        <v>25065.4403293775</v>
      </c>
      <c r="E88" s="83" t="n">
        <f aca="false">S_Rate_Lo!$B$15*O_FixedPct*E44*LevOpex*$B$8*E41</f>
        <v>25817.4035392588</v>
      </c>
      <c r="F88" s="83" t="n">
        <f aca="false">S_Rate_Lo!$B$15*O_FixedPct*F44*LevOpex*$B$8*F41</f>
        <v>26591.9256454366</v>
      </c>
      <c r="G88" s="83" t="n">
        <f aca="false">S_Rate_Lo!$B$15*O_FixedPct*G44*LevOpex*$B$8*G41</f>
        <v>27389.6834147997</v>
      </c>
      <c r="H88" s="83" t="n">
        <f aca="false">S_Rate_Lo!$B$15*O_FixedPct*H44*LevOpex*$B$8*H41</f>
        <v>28211.3739172437</v>
      </c>
      <c r="I88" s="83" t="n">
        <f aca="false">S_Rate_Lo!$B$15*O_FixedPct*I44*LevOpex*$B$8*I41</f>
        <v>29057.715134761</v>
      </c>
      <c r="J88" s="83" t="n">
        <f aca="false">S_Rate_Lo!$B$15*O_FixedPct*J44*LevOpex*$B$8*J41</f>
        <v>29929.4465888038</v>
      </c>
      <c r="K88" s="83" t="n">
        <f aca="false">S_Rate_Lo!$B$15*O_FixedPct*K44*LevOpex*$B$8*K41</f>
        <v>30827.329986468</v>
      </c>
      <c r="L88" s="83" t="n">
        <f aca="false">S_Rate_Lo!$B$15*O_FixedPct*L44*LevOpex*$B$8*L41</f>
        <v>31752.149886062</v>
      </c>
      <c r="M88" s="83" t="n">
        <f aca="false">S_Rate_Lo!$B$15*O_FixedPct*M44*LevOpex*$B$8*M41</f>
        <v>32704.7143826439</v>
      </c>
      <c r="N88" s="83" t="n">
        <f aca="false">S_Rate_Lo!$B$15*O_FixedPct*N44*LevOpex*$B$8*N41</f>
        <v>33685.8558141232</v>
      </c>
      <c r="O88" s="83" t="n">
        <f aca="false">S_Rate_Lo!$B$15*O_FixedPct*O44*LevOpex*$B$8*O41</f>
        <v>34696.4314885469</v>
      </c>
      <c r="P88" s="83" t="n">
        <f aca="false">S_Rate_Lo!$B$15*O_FixedPct*P44*LevOpex*$B$8*P41</f>
        <v>35737.3244332033</v>
      </c>
      <c r="Q88" s="83" t="n">
        <f aca="false">S_Rate_Lo!$B$15*O_FixedPct*Q44*LevOpex*$B$8*Q41</f>
        <v>36809.4441661994</v>
      </c>
      <c r="R88" s="83" t="n">
        <f aca="false">S_Rate_Lo!$B$15*O_FixedPct*R44*LevOpex*$B$8*R41</f>
        <v>37913.7274911854</v>
      </c>
      <c r="S88" s="83" t="n">
        <f aca="false">S_Rate_Lo!$B$15*O_FixedPct*S44*LevOpex*$B$8*S41</f>
        <v>39051.1393159209</v>
      </c>
      <c r="T88" s="83" t="n">
        <f aca="false">S_Rate_Lo!$B$15*O_FixedPct*T44*LevOpex*$B$8*T41</f>
        <v>40222.6734953985</v>
      </c>
      <c r="U88" s="83" t="n">
        <f aca="false">S_Rate_Lo!$B$15*O_FixedPct*U44*LevOpex*$B$8*U41</f>
        <v>41429.3537002605</v>
      </c>
      <c r="V88" s="83" t="n">
        <f aca="false">S_Rate_Lo!$B$15*O_FixedPct*V44*LevOpex*$B$8*V41</f>
        <v>42672.2343112683</v>
      </c>
      <c r="W88" s="83" t="n">
        <f aca="false">S_Rate_Lo!$B$15*O_FixedPct*W44*LevOpex*$B$8*W41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S_Rate_Lo!$B$14*O_InsPct*D44*LevOpex*$B$8*D41</f>
        <v>5765.05127575683</v>
      </c>
      <c r="E90" s="83" t="n">
        <f aca="false">S_Rate_Lo!$B$14*O_InsPct*E44*LevOpex*$B$8*E41</f>
        <v>5938.00281402953</v>
      </c>
      <c r="F90" s="83" t="n">
        <f aca="false">S_Rate_Lo!$B$14*O_InsPct*F44*LevOpex*$B$8*F41</f>
        <v>6116.14289845042</v>
      </c>
      <c r="G90" s="83" t="n">
        <f aca="false">S_Rate_Lo!$B$14*O_InsPct*G44*LevOpex*$B$8*G41</f>
        <v>6299.62718540393</v>
      </c>
      <c r="H90" s="83" t="n">
        <f aca="false">S_Rate_Lo!$B$14*O_InsPct*H44*LevOpex*$B$8*H41</f>
        <v>6488.61600096605</v>
      </c>
      <c r="I90" s="83" t="n">
        <f aca="false">S_Rate_Lo!$B$14*O_InsPct*I44*LevOpex*$B$8*I41</f>
        <v>6683.27448099503</v>
      </c>
      <c r="J90" s="83" t="n">
        <f aca="false">S_Rate_Lo!$B$14*O_InsPct*J44*LevOpex*$B$8*J41</f>
        <v>6883.77271542488</v>
      </c>
      <c r="K90" s="83" t="n">
        <f aca="false">S_Rate_Lo!$B$14*O_InsPct*K44*LevOpex*$B$8*K41</f>
        <v>7090.28589688763</v>
      </c>
      <c r="L90" s="83" t="n">
        <f aca="false">S_Rate_Lo!$B$14*O_InsPct*L44*LevOpex*$B$8*L41</f>
        <v>7302.99447379426</v>
      </c>
      <c r="M90" s="83" t="n">
        <f aca="false">S_Rate_Lo!$B$14*O_InsPct*M44*LevOpex*$B$8*M41</f>
        <v>7522.08430800809</v>
      </c>
      <c r="N90" s="83" t="n">
        <f aca="false">S_Rate_Lo!$B$14*O_InsPct*N44*LevOpex*$B$8*N41</f>
        <v>7747.74683724833</v>
      </c>
      <c r="O90" s="83" t="n">
        <f aca="false">S_Rate_Lo!$B$14*O_InsPct*O44*LevOpex*$B$8*O41</f>
        <v>7980.17924236578</v>
      </c>
      <c r="P90" s="83" t="n">
        <f aca="false">S_Rate_Lo!$B$14*O_InsPct*P44*LevOpex*$B$8*P41</f>
        <v>8219.58461963675</v>
      </c>
      <c r="Q90" s="83" t="n">
        <f aca="false">S_Rate_Lo!$B$14*O_InsPct*Q44*LevOpex*$B$8*Q41</f>
        <v>8466.17215822586</v>
      </c>
      <c r="R90" s="83" t="n">
        <f aca="false">S_Rate_Lo!$B$14*O_InsPct*R44*LevOpex*$B$8*R41</f>
        <v>8720.15732297263</v>
      </c>
      <c r="S90" s="83" t="n">
        <f aca="false">S_Rate_Lo!$B$14*O_InsPct*S44*LevOpex*$B$8*S41</f>
        <v>8981.76204266181</v>
      </c>
      <c r="T90" s="83" t="n">
        <f aca="false">S_Rate_Lo!$B$14*O_InsPct*T44*LevOpex*$B$8*T41</f>
        <v>9251.21490394167</v>
      </c>
      <c r="U90" s="83" t="n">
        <f aca="false">S_Rate_Lo!$B$14*O_InsPct*U44*LevOpex*$B$8*U41</f>
        <v>9528.75135105992</v>
      </c>
      <c r="V90" s="83" t="n">
        <f aca="false">S_Rate_Lo!$B$14*O_InsPct*V44*LevOpex*$B$8*V41</f>
        <v>9814.61389159171</v>
      </c>
      <c r="W90" s="83" t="n">
        <f aca="false">S_Rate_Lo!$B$14*O_InsPct*W44*LevOpex*$B$8*W41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3320364.13860751</v>
      </c>
      <c r="C96" s="27" t="n">
        <f aca="false">C88+C89+C90+C91+C92+C93+C94+C95</f>
        <v>0</v>
      </c>
      <c r="D96" s="27" t="n">
        <f aca="false">D88+D89+D90+D91+D92+D93+D94+D95</f>
        <v>68563.0673321452</v>
      </c>
      <c r="E96" s="27" t="n">
        <f aca="false">E88+E89+E90+E91+E92+E93+E94+E95</f>
        <v>76416.8660124017</v>
      </c>
      <c r="F96" s="27" t="n">
        <f aca="false">F88+F89+F90+F91+F92+F93+F94+F95</f>
        <v>82778.3949290086</v>
      </c>
      <c r="G96" s="27" t="n">
        <f aca="false">G88+G89+G90+G91+G92+G93+G94+G95</f>
        <v>85934.4730371791</v>
      </c>
      <c r="H96" s="27" t="n">
        <f aca="false">H88+H89+H90+H91+H92+H93+H94+H95</f>
        <v>89282.751140097</v>
      </c>
      <c r="I96" s="27" t="n">
        <f aca="false">I88+I89+I90+I91+I92+I93+I94+I95</f>
        <v>92778.3854403312</v>
      </c>
      <c r="J96" s="27" t="n">
        <f aca="false">J88+J89+J90+J91+J92+J93+J94+J95</f>
        <v>98306.79998774</v>
      </c>
      <c r="K96" s="27" t="n">
        <f aca="false">K88+K89+K90+K91+K92+K93+K94+K95</f>
        <v>110120.287479688</v>
      </c>
      <c r="L96" s="27" t="n">
        <f aca="false">L88+L89+L90+L91+L92+L93+L94+L95</f>
        <v>122787.398794247</v>
      </c>
      <c r="M96" s="27" t="n">
        <f aca="false">M88+M89+M90+M91+M92+M93+M94+M95</f>
        <v>136363.135795926</v>
      </c>
      <c r="N96" s="27" t="n">
        <f aca="false">N88+N89+N90+N91+N92+N93+N94+N95</f>
        <v>150905.915366902</v>
      </c>
      <c r="O96" s="27" t="n">
        <f aca="false">O88+O89+O90+O91+O92+O93+O94+O95</f>
        <v>166477.77872046</v>
      </c>
      <c r="P96" s="27" t="n">
        <f aca="false">P88+P89+P90+P91+P92+P93+P94+P95</f>
        <v>183144.613486293</v>
      </c>
      <c r="Q96" s="27" t="n">
        <f aca="false">Q88+Q89+Q90+Q91+Q92+Q93+Q94+Q95</f>
        <v>200976.389345829</v>
      </c>
      <c r="R96" s="27" t="n">
        <f aca="false">R88+R89+R90+R91+R92+R93+R94+R95</f>
        <v>220047.408043141</v>
      </c>
      <c r="S96" s="27" t="n">
        <f aca="false">S88+S89+S90+S91+S92+S93+S94+S95</f>
        <v>240436.568647269</v>
      </c>
      <c r="T96" s="27" t="n">
        <f aca="false">T88+T89+T90+T91+T92+T93+T94+T95</f>
        <v>262227.648995122</v>
      </c>
      <c r="U96" s="27" t="n">
        <f aca="false">U88+U89+U90+U91+U92+U93+U94+U95</f>
        <v>285509.604300713</v>
      </c>
      <c r="V96" s="27" t="n">
        <f aca="false">V88+V89+V90+V91+V92+V93+V94+V95</f>
        <v>310376.883976528</v>
      </c>
      <c r="W96" s="27" t="n">
        <f aca="false">W88+W89+W90+W91+W92+W93+W94+W95</f>
        <v>336929.767776484</v>
      </c>
    </row>
    <row r="98" customFormat="false" ht="15" hidden="false" customHeight="false" outlineLevel="0" collapsed="false">
      <c r="A98" s="15" t="s">
        <v>436</v>
      </c>
      <c r="B98" s="61" t="n">
        <f aca="false">SUM(C98:W98)</f>
        <v>1179875.40210632</v>
      </c>
      <c r="C98" s="27" t="n">
        <f aca="false">C85-C96</f>
        <v>0</v>
      </c>
      <c r="D98" s="27" t="n">
        <f aca="false">D85-D96</f>
        <v>11954.3199318548</v>
      </c>
      <c r="E98" s="27" t="n">
        <f aca="false">E85-E96</f>
        <v>37100.7726977999</v>
      </c>
      <c r="F98" s="27" t="n">
        <f aca="false">F85-F96</f>
        <v>57041.6349623478</v>
      </c>
      <c r="G98" s="27" t="n">
        <f aca="false">G85-G96</f>
        <v>60570.5441745608</v>
      </c>
      <c r="H98" s="27" t="n">
        <f aca="false">H85-H96</f>
        <v>66144.4216198379</v>
      </c>
      <c r="I98" s="27" t="n">
        <f aca="false">I85-I96</f>
        <v>72114.3021406837</v>
      </c>
      <c r="J98" s="27" t="n">
        <f aca="false">J85-J96</f>
        <v>76627.8522669588</v>
      </c>
      <c r="K98" s="27" t="n">
        <f aca="false">K85-K96</f>
        <v>75467.8850973222</v>
      </c>
      <c r="L98" s="27" t="n">
        <f aca="false">L85-L96</f>
        <v>74103.0934927026</v>
      </c>
      <c r="M98" s="27" t="n">
        <f aca="false">M85-M96</f>
        <v>72517.9874712994</v>
      </c>
      <c r="N98" s="27" t="n">
        <f aca="false">N85-N96</f>
        <v>70696.0683072976</v>
      </c>
      <c r="O98" s="27" t="n">
        <f aca="false">O85-O96</f>
        <v>68619.765759498</v>
      </c>
      <c r="P98" s="27" t="n">
        <f aca="false">P85-P96</f>
        <v>66270.3714524942</v>
      </c>
      <c r="Q98" s="27" t="n">
        <f aca="false">Q85-Q96</f>
        <v>63627.9681757304</v>
      </c>
      <c r="R98" s="27" t="n">
        <f aca="false">R85-R96</f>
        <v>60671.3548514813</v>
      </c>
      <c r="S98" s="27" t="n">
        <f aca="false">S85-S96</f>
        <v>57377.9669076356</v>
      </c>
      <c r="T98" s="27" t="n">
        <f aca="false">T85-T96</f>
        <v>53723.7917750767</v>
      </c>
      <c r="U98" s="27" t="n">
        <f aca="false">U85-U96</f>
        <v>49683.2792123905</v>
      </c>
      <c r="V98" s="27" t="n">
        <f aca="false">V85-V96</f>
        <v>45229.2461425245</v>
      </c>
      <c r="W98" s="27" t="n">
        <f aca="false">W85-W96</f>
        <v>40332.7756668184</v>
      </c>
    </row>
    <row r="99" customFormat="false" ht="15" hidden="false" customHeight="false" outlineLevel="0" collapsed="false">
      <c r="A99" s="10" t="s">
        <v>437</v>
      </c>
      <c r="C99" s="81" t="n">
        <v>0</v>
      </c>
      <c r="D99" s="81" t="n">
        <f aca="false">IFERROR(D98/D85,0)</f>
        <v>0.148468800815146</v>
      </c>
      <c r="E99" s="81" t="n">
        <f aca="false">IFERROR(E98/E85,0)</f>
        <v>0.32682826316106</v>
      </c>
      <c r="F99" s="81" t="n">
        <f aca="false">IFERROR(F98/F85,0)</f>
        <v>0.407964688654913</v>
      </c>
      <c r="G99" s="81" t="n">
        <f aca="false">IFERROR(G98/G85,0)</f>
        <v>0.413436654439075</v>
      </c>
      <c r="H99" s="81" t="n">
        <f aca="false">IFERROR(H98/H85,0)</f>
        <v>0.425565365729204</v>
      </c>
      <c r="I99" s="81" t="n">
        <f aca="false">IFERROR(I98/I85,0)</f>
        <v>0.437340813583699</v>
      </c>
      <c r="J99" s="81" t="n">
        <f aca="false">IFERROR(J98/J85,0)</f>
        <v>0.438037011417219</v>
      </c>
      <c r="K99" s="81" t="n">
        <f aca="false">IFERROR(K98/K85,0)</f>
        <v>0.4066416736013</v>
      </c>
      <c r="L99" s="81" t="n">
        <f aca="false">IFERROR(L98/L85,0)</f>
        <v>0.376367048667358</v>
      </c>
      <c r="M99" s="81" t="n">
        <f aca="false">IFERROR(M98/M85,0)</f>
        <v>0.347173484788886</v>
      </c>
      <c r="N99" s="81" t="n">
        <f aca="false">IFERROR(N98/N85,0)</f>
        <v>0.319022723240761</v>
      </c>
      <c r="O99" s="81" t="n">
        <f aca="false">IFERROR(O98/O85,0)</f>
        <v>0.29187784972951</v>
      </c>
      <c r="P99" s="81" t="n">
        <f aca="false">IFERROR(P98/P85,0)</f>
        <v>0.265703247416183</v>
      </c>
      <c r="Q99" s="81" t="n">
        <f aca="false">IFERROR(Q98/Q85,0)</f>
        <v>0.240464551573177</v>
      </c>
      <c r="R99" s="81" t="n">
        <f aca="false">IFERROR(R98/R85,0)</f>
        <v>0.216128605818402</v>
      </c>
      <c r="S99" s="81" t="n">
        <f aca="false">IFERROR(S98/S85,0)</f>
        <v>0.192663419872122</v>
      </c>
      <c r="T99" s="81" t="n">
        <f aca="false">IFERROR(T98/T85,0)</f>
        <v>0.170038128783694</v>
      </c>
      <c r="U99" s="81" t="n">
        <f aca="false">IFERROR(U98/U85,0)</f>
        <v>0.148222953577259</v>
      </c>
      <c r="V99" s="81" t="n">
        <f aca="false">IFERROR(V98/V85,0)</f>
        <v>0.127189163267187</v>
      </c>
      <c r="W99" s="81" t="n">
        <f aca="false">IFERROR(W98/W85,0)</f>
        <v>0.106909038195783</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S_Rate_Lo!$B$14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100203.825681697</v>
      </c>
      <c r="H112" s="83" t="n">
        <f aca="false">G116</f>
        <v>88973.7423052358</v>
      </c>
      <c r="I112" s="83" t="n">
        <f aca="false">H116</f>
        <v>76845.2522586572</v>
      </c>
      <c r="J112" s="83" t="n">
        <f aca="false">I116</f>
        <v>63746.4830083523</v>
      </c>
      <c r="K112" s="83" t="n">
        <f aca="false">J116</f>
        <v>49599.812218023</v>
      </c>
      <c r="L112" s="83" t="n">
        <f aca="false">K116</f>
        <v>34321.4077644674</v>
      </c>
      <c r="M112" s="83" t="n">
        <f aca="false">L116</f>
        <v>17820.7309546273</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S_Rate_Lo!$B$16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61065.3925825504</v>
      </c>
      <c r="C114" s="83" t="n">
        <v>0</v>
      </c>
      <c r="D114" s="83" t="n">
        <f aca="false">D112*SenRate*$B$11</f>
        <v>8848.16408242185</v>
      </c>
      <c r="E114" s="83" t="n">
        <f aca="false">E112*SenRate*$B$11</f>
        <v>8848.16408242185</v>
      </c>
      <c r="F114" s="83" t="n">
        <f aca="false">F112*SenRate*$B$11</f>
        <v>8848.16408242185</v>
      </c>
      <c r="G114" s="83" t="n">
        <f aca="false">G112*SenRate*$B$11</f>
        <v>8016.3060545358</v>
      </c>
      <c r="H114" s="83" t="n">
        <f aca="false">H112*SenRate*$B$11</f>
        <v>7117.89938441886</v>
      </c>
      <c r="I114" s="83" t="n">
        <f aca="false">I112*SenRate*$B$11</f>
        <v>6147.62018069258</v>
      </c>
      <c r="J114" s="83" t="n">
        <f aca="false">J112*SenRate*$B$11</f>
        <v>5099.71864066818</v>
      </c>
      <c r="K114" s="83" t="n">
        <f aca="false">K112*SenRate*$B$11</f>
        <v>3967.98497744184</v>
      </c>
      <c r="L114" s="83" t="n">
        <f aca="false">L112*SenRate*$B$11</f>
        <v>2745.71262115739</v>
      </c>
      <c r="M114" s="83" t="n">
        <f aca="false">M112*SenRate*$B$11</f>
        <v>1425.65847637018</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IF(AND(D39&gt;SenGrace,D39&lt;=SenTenor),PMT(SenRate*$B$11,SenTenor-SenGrace,-S_Rate_Lo!$B$16)-D114,0)</f>
        <v>0</v>
      </c>
      <c r="E115" s="83" t="n">
        <f aca="false">IF(AND(E39&gt;SenGrace,E39&lt;=SenTenor),PMT(SenRate*$B$11,SenTenor-SenGrace,-S_Rate_Lo!$B$16)-E114,0)</f>
        <v>0</v>
      </c>
      <c r="F115" s="83" t="n">
        <f aca="false">IF(AND(F39&gt;SenGrace,F39&lt;=SenTenor),PMT(SenRate*$B$11,SenTenor-SenGrace,-S_Rate_Lo!$B$16)-F114,0)</f>
        <v>10398.2253485756</v>
      </c>
      <c r="G115" s="83" t="n">
        <f aca="false">IF(AND(G39&gt;SenGrace,G39&lt;=SenTenor),PMT(SenRate*$B$11,SenTenor-SenGrace,-S_Rate_Lo!$B$16)-G114,0)</f>
        <v>11230.0833764617</v>
      </c>
      <c r="H115" s="83" t="n">
        <f aca="false">IF(AND(H39&gt;SenGrace,H39&lt;=SenTenor),PMT(SenRate*$B$11,SenTenor-SenGrace,-S_Rate_Lo!$B$16)-H114,0)</f>
        <v>12128.4900465786</v>
      </c>
      <c r="I115" s="83" t="n">
        <f aca="false">IF(AND(I39&gt;SenGrace,I39&lt;=SenTenor),PMT(SenRate*$B$11,SenTenor-SenGrace,-S_Rate_Lo!$B$16)-I114,0)</f>
        <v>13098.7692503049</v>
      </c>
      <c r="J115" s="83" t="n">
        <f aca="false">IF(AND(J39&gt;SenGrace,J39&lt;=SenTenor),PMT(SenRate*$B$11,SenTenor-SenGrace,-S_Rate_Lo!$B$16)-J114,0)</f>
        <v>14146.6707903293</v>
      </c>
      <c r="K115" s="83" t="n">
        <f aca="false">IF(AND(K39&gt;SenGrace,K39&lt;=SenTenor),PMT(SenRate*$B$11,SenTenor-SenGrace,-S_Rate_Lo!$B$16)-K114,0)</f>
        <v>15278.4044535556</v>
      </c>
      <c r="L115" s="83" t="n">
        <f aca="false">IF(AND(L39&gt;SenGrace,L39&lt;=SenTenor),PMT(SenRate*$B$11,SenTenor-SenGrace,-S_Rate_Lo!$B$16)-L114,0)</f>
        <v>16500.6768098401</v>
      </c>
      <c r="M115" s="83" t="n">
        <f aca="false">IF(AND(M39&gt;SenGrace,M39&lt;=SenTenor),PMT(SenRate*$B$11,SenTenor-SenGrace,-S_Rate_Lo!$B$16)-M114,0)</f>
        <v>17820.7309546273</v>
      </c>
      <c r="N115" s="83" t="n">
        <f aca="false">IF(AND(N39&gt;SenGrace,N39&lt;=SenTenor),PMT(SenRate*$B$11,SenTenor-SenGrace,-S_Rate_Lo!$B$16)-N114,0)</f>
        <v>0</v>
      </c>
      <c r="O115" s="83" t="n">
        <f aca="false">IF(AND(O39&gt;SenGrace,O39&lt;=SenTenor),PMT(SenRate*$B$11,SenTenor-SenGrace,-S_Rate_Lo!$B$16)-O114,0)</f>
        <v>0</v>
      </c>
      <c r="P115" s="83" t="n">
        <f aca="false">IF(AND(P39&gt;SenGrace,P39&lt;=SenTenor),PMT(SenRate*$B$11,SenTenor-SenGrace,-S_Rate_Lo!$B$16)-P114,0)</f>
        <v>0</v>
      </c>
      <c r="Q115" s="83" t="n">
        <f aca="false">IF(AND(Q39&gt;SenGrace,Q39&lt;=SenTenor),PMT(SenRate*$B$11,SenTenor-SenGrace,-S_Rate_Lo!$B$16)-Q114,0)</f>
        <v>0</v>
      </c>
      <c r="R115" s="83" t="n">
        <f aca="false">IF(AND(R39&gt;SenGrace,R39&lt;=SenTenor),PMT(SenRate*$B$11,SenTenor-SenGrace,-S_Rate_Lo!$B$16)-R114,0)</f>
        <v>0</v>
      </c>
      <c r="S115" s="83" t="n">
        <f aca="false">IF(AND(S39&gt;SenGrace,S39&lt;=SenTenor),PMT(SenRate*$B$11,SenTenor-SenGrace,-S_Rate_Lo!$B$16)-S114,0)</f>
        <v>0</v>
      </c>
      <c r="T115" s="83" t="n">
        <f aca="false">IF(AND(T39&gt;SenGrace,T39&lt;=SenTenor),PMT(SenRate*$B$11,SenTenor-SenGrace,-S_Rate_Lo!$B$16)-T114,0)</f>
        <v>0</v>
      </c>
      <c r="U115" s="83" t="n">
        <f aca="false">IF(AND(U39&gt;SenGrace,U39&lt;=SenTenor),PMT(SenRate*$B$11,SenTenor-SenGrace,-S_Rate_Lo!$B$16)-U114,0)</f>
        <v>0</v>
      </c>
      <c r="V115" s="83" t="n">
        <f aca="false">IF(AND(V39&gt;SenGrace,V39&lt;=SenTenor),PMT(SenRate*$B$11,SenTenor-SenGrace,-S_Rate_Lo!$B$16)-V114,0)</f>
        <v>0</v>
      </c>
      <c r="W115" s="83" t="n">
        <f aca="false">IF(AND(W39&gt;SenGrace,W39&lt;=SenTenor),PMT(SenRate*$B$11,SenTenor-SenGrace,-S_Rate_Lo!$B$16)-W114,0)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100203.825681697</v>
      </c>
      <c r="G116" s="83" t="n">
        <f aca="false">G112+G113-G115</f>
        <v>88973.7423052358</v>
      </c>
      <c r="H116" s="83" t="n">
        <f aca="false">H112+H113-H115</f>
        <v>76845.2522586572</v>
      </c>
      <c r="I116" s="83" t="n">
        <f aca="false">I112+I113-I115</f>
        <v>63746.4830083523</v>
      </c>
      <c r="J116" s="83" t="n">
        <f aca="false">J112+J113-J115</f>
        <v>49599.812218023</v>
      </c>
      <c r="K116" s="83" t="n">
        <f aca="false">K112+K113-K115</f>
        <v>34321.4077644674</v>
      </c>
      <c r="L116" s="83" t="n">
        <f aca="false">L112+L113-L115</f>
        <v>17820.7309546273</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100684.459877991</v>
      </c>
      <c r="K119" s="83" t="n">
        <f aca="false">J123</f>
        <v>90528.8465380536</v>
      </c>
      <c r="L119" s="83" t="n">
        <f aca="false">K123</f>
        <v>80129.4984779579</v>
      </c>
      <c r="M119" s="83" t="n">
        <f aca="false">L123</f>
        <v>69480.56606442</v>
      </c>
      <c r="N119" s="83" t="n">
        <f aca="false">M123</f>
        <v>58576.0592729571</v>
      </c>
      <c r="O119" s="83" t="n">
        <f aca="false">N123</f>
        <v>47409.8443184992</v>
      </c>
      <c r="P119" s="83" t="n">
        <f aca="false">O123</f>
        <v>35975.6402051342</v>
      </c>
      <c r="Q119" s="83" t="n">
        <f aca="false">P123</f>
        <v>24267.0151930485</v>
      </c>
      <c r="R119" s="83" t="n">
        <f aca="false">Q123</f>
        <v>12277.3831806728</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S_Rate_Lo!$B$17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28390.5988634489</v>
      </c>
      <c r="C121" s="83" t="n">
        <v>0</v>
      </c>
      <c r="D121" s="83" t="n">
        <f aca="false">D119*ConRate*$B$11</f>
        <v>2654.44922472655</v>
      </c>
      <c r="E121" s="83" t="n">
        <f aca="false">E119*ConRate*$B$11</f>
        <v>2654.44922472655</v>
      </c>
      <c r="F121" s="83" t="n">
        <f aca="false">F119*ConRate*$B$11</f>
        <v>2654.44922472655</v>
      </c>
      <c r="G121" s="83" t="n">
        <f aca="false">G119*ConRate*$B$11</f>
        <v>2654.44922472655</v>
      </c>
      <c r="H121" s="83" t="n">
        <f aca="false">H119*ConRate*$B$11</f>
        <v>2654.44922472655</v>
      </c>
      <c r="I121" s="83" t="n">
        <f aca="false">I119*ConRate*$B$11</f>
        <v>2654.44922472655</v>
      </c>
      <c r="J121" s="83" t="n">
        <f aca="false">J119*ConRate*$B$11</f>
        <v>2416.42703707178</v>
      </c>
      <c r="K121" s="83" t="n">
        <f aca="false">K119*ConRate*$B$11</f>
        <v>2172.69231691329</v>
      </c>
      <c r="L121" s="83" t="n">
        <f aca="false">L119*ConRate*$B$11</f>
        <v>1923.10796347099</v>
      </c>
      <c r="M121" s="83" t="n">
        <f aca="false">M119*ConRate*$B$11</f>
        <v>1667.53358554608</v>
      </c>
      <c r="N121" s="83" t="n">
        <f aca="false">N119*ConRate*$B$11</f>
        <v>1405.82542255097</v>
      </c>
      <c r="O121" s="83" t="n">
        <f aca="false">O119*ConRate*$B$11</f>
        <v>1137.83626364398</v>
      </c>
      <c r="P121" s="83" t="n">
        <f aca="false">P119*ConRate*$B$11</f>
        <v>863.415364923222</v>
      </c>
      <c r="Q121" s="83" t="n">
        <f aca="false">Q119*ConRate*$B$11</f>
        <v>582.408364633165</v>
      </c>
      <c r="R121" s="83" t="n">
        <f aca="false">R119*ConRate*$B$11</f>
        <v>294.657196336147</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IF(AND(D39&gt;ConGrace,D39&lt;=ConTenor),PMT(ConRate*$B$11,ConTenor-ConGrace,-S_Rate_Lo!$B$17)-D121,0)</f>
        <v>0</v>
      </c>
      <c r="E122" s="83" t="n">
        <f aca="false">IF(AND(E39&gt;ConGrace,E39&lt;=ConTenor),PMT(ConRate*$B$11,ConTenor-ConGrace,-S_Rate_Lo!$B$17)-E121,0)</f>
        <v>0</v>
      </c>
      <c r="F122" s="83" t="n">
        <f aca="false">IF(AND(F39&gt;ConGrace,F39&lt;=ConTenor),PMT(ConRate*$B$11,ConTenor-ConGrace,-S_Rate_Lo!$B$17)-F121,0)</f>
        <v>0</v>
      </c>
      <c r="G122" s="83" t="n">
        <f aca="false">IF(AND(G39&gt;ConGrace,G39&lt;=ConTenor),PMT(ConRate*$B$11,ConTenor-ConGrace,-S_Rate_Lo!$B$17)-G121,0)</f>
        <v>0</v>
      </c>
      <c r="H122" s="83" t="n">
        <f aca="false">IF(AND(H39&gt;ConGrace,H39&lt;=ConTenor),PMT(ConRate*$B$11,ConTenor-ConGrace,-S_Rate_Lo!$B$17)-H121,0)</f>
        <v>0</v>
      </c>
      <c r="I122" s="83" t="n">
        <f aca="false">IF(AND(I39&gt;ConGrace,I39&lt;=ConTenor),PMT(ConRate*$B$11,ConTenor-ConGrace,-S_Rate_Lo!$B$17)-I121,0)</f>
        <v>9917.59115228237</v>
      </c>
      <c r="J122" s="83" t="n">
        <f aca="false">IF(AND(J39&gt;ConGrace,J39&lt;=ConTenor),PMT(ConRate*$B$11,ConTenor-ConGrace,-S_Rate_Lo!$B$17)-J121,0)</f>
        <v>10155.6133399371</v>
      </c>
      <c r="K122" s="83" t="n">
        <f aca="false">IF(AND(K39&gt;ConGrace,K39&lt;=ConTenor),PMT(ConRate*$B$11,ConTenor-ConGrace,-S_Rate_Lo!$B$17)-K121,0)</f>
        <v>10399.3480600956</v>
      </c>
      <c r="L122" s="83" t="n">
        <f aca="false">IF(AND(L39&gt;ConGrace,L39&lt;=ConTenor),PMT(ConRate*$B$11,ConTenor-ConGrace,-S_Rate_Lo!$B$17)-L121,0)</f>
        <v>10648.9324135379</v>
      </c>
      <c r="M122" s="83" t="n">
        <f aca="false">IF(AND(M39&gt;ConGrace,M39&lt;=ConTenor),PMT(ConRate*$B$11,ConTenor-ConGrace,-S_Rate_Lo!$B$17)-M121,0)</f>
        <v>10904.5067914628</v>
      </c>
      <c r="N122" s="83" t="n">
        <f aca="false">IF(AND(N39&gt;ConGrace,N39&lt;=ConTenor),PMT(ConRate*$B$11,ConTenor-ConGrace,-S_Rate_Lo!$B$17)-N121,0)</f>
        <v>11166.214954458</v>
      </c>
      <c r="O122" s="83" t="n">
        <f aca="false">IF(AND(O39&gt;ConGrace,O39&lt;=ConTenor),PMT(ConRate*$B$11,ConTenor-ConGrace,-S_Rate_Lo!$B$17)-O121,0)</f>
        <v>11434.2041133649</v>
      </c>
      <c r="P122" s="83" t="n">
        <f aca="false">IF(AND(P39&gt;ConGrace,P39&lt;=ConTenor),PMT(ConRate*$B$11,ConTenor-ConGrace,-S_Rate_Lo!$B$17)-P121,0)</f>
        <v>11708.6250120857</v>
      </c>
      <c r="Q122" s="83" t="n">
        <f aca="false">IF(AND(Q39&gt;ConGrace,Q39&lt;=ConTenor),PMT(ConRate*$B$11,ConTenor-ConGrace,-S_Rate_Lo!$B$17)-Q121,0)</f>
        <v>11989.6320123758</v>
      </c>
      <c r="R122" s="83" t="n">
        <f aca="false">IF(AND(R39&gt;ConGrace,R39&lt;=ConTenor),PMT(ConRate*$B$11,ConTenor-ConGrace,-S_Rate_Lo!$B$17)-R121,0)</f>
        <v>12277.3831806728</v>
      </c>
      <c r="S122" s="83" t="n">
        <f aca="false">IF(AND(S39&gt;ConGrace,S39&lt;=ConTenor),PMT(ConRate*$B$11,ConTenor-ConGrace,-S_Rate_Lo!$B$17)-S121,0)</f>
        <v>0</v>
      </c>
      <c r="T122" s="83" t="n">
        <f aca="false">IF(AND(T39&gt;ConGrace,T39&lt;=ConTenor),PMT(ConRate*$B$11,ConTenor-ConGrace,-S_Rate_Lo!$B$17)-T121,0)</f>
        <v>0</v>
      </c>
      <c r="U122" s="83" t="n">
        <f aca="false">IF(AND(U39&gt;ConGrace,U39&lt;=ConTenor),PMT(ConRate*$B$11,ConTenor-ConGrace,-S_Rate_Lo!$B$17)-U121,0)</f>
        <v>0</v>
      </c>
      <c r="V122" s="83" t="n">
        <f aca="false">IF(AND(V39&gt;ConGrace,V39&lt;=ConTenor),PMT(ConRate*$B$11,ConTenor-ConGrace,-S_Rate_Lo!$B$17)-V121,0)</f>
        <v>0</v>
      </c>
      <c r="W122" s="83" t="n">
        <f aca="false">IF(AND(W39&gt;ConGrace,W39&lt;=ConTenor),PMT(ConRate*$B$11,ConTenor-ConGrace,-S_Rate_Lo!$B$17)-W121,0)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100684.459877991</v>
      </c>
      <c r="J123" s="83" t="n">
        <f aca="false">J119+J120-J122</f>
        <v>90528.8465380536</v>
      </c>
      <c r="K123" s="83" t="n">
        <f aca="false">K119+K120-K122</f>
        <v>80129.4984779579</v>
      </c>
      <c r="L123" s="83" t="n">
        <f aca="false">L119+L120-L122</f>
        <v>69480.56606442</v>
      </c>
      <c r="M123" s="83" t="n">
        <f aca="false">M119+M120-M122</f>
        <v>58576.0592729571</v>
      </c>
      <c r="N123" s="83" t="n">
        <f aca="false">N119+N120-N122</f>
        <v>47409.8443184992</v>
      </c>
      <c r="O123" s="83" t="n">
        <f aca="false">O119+O120-O122</f>
        <v>35975.6402051342</v>
      </c>
      <c r="P123" s="83" t="n">
        <f aca="false">P119+P120-P122</f>
        <v>24267.0151930485</v>
      </c>
      <c r="Q123" s="83" t="n">
        <f aca="false">Q119+Q120-Q122</f>
        <v>12277.3831806728</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310660.093506545</v>
      </c>
      <c r="C125" s="27" t="n">
        <v>0</v>
      </c>
      <c r="D125" s="27" t="n">
        <f aca="false">D114+D115+D121+D122</f>
        <v>11502.6133071484</v>
      </c>
      <c r="E125" s="27" t="n">
        <f aca="false">E114+E115+E121+E122</f>
        <v>11502.6133071484</v>
      </c>
      <c r="F125" s="27" t="n">
        <f aca="false">F114+F115+F121+F122</f>
        <v>21900.838655724</v>
      </c>
      <c r="G125" s="27" t="n">
        <f aca="false">G114+G115+G121+G122</f>
        <v>21900.838655724</v>
      </c>
      <c r="H125" s="27" t="n">
        <f aca="false">H114+H115+H121+H122</f>
        <v>21900.838655724</v>
      </c>
      <c r="I125" s="27" t="n">
        <f aca="false">I114+I115+I121+I122</f>
        <v>31818.4298080064</v>
      </c>
      <c r="J125" s="27" t="n">
        <f aca="false">J114+J115+J121+J122</f>
        <v>31818.4298080064</v>
      </c>
      <c r="K125" s="27" t="n">
        <f aca="false">K114+K115+K121+K122</f>
        <v>31818.4298080064</v>
      </c>
      <c r="L125" s="27" t="n">
        <f aca="false">L114+L115+L121+L122</f>
        <v>31818.4298080064</v>
      </c>
      <c r="M125" s="27" t="n">
        <f aca="false">M114+M115+M121+M122</f>
        <v>31818.4298080064</v>
      </c>
      <c r="N125" s="27" t="n">
        <f aca="false">N114+N115+N121+N122</f>
        <v>12572.0403770089</v>
      </c>
      <c r="O125" s="27" t="n">
        <f aca="false">O114+O115+O121+O122</f>
        <v>12572.0403770089</v>
      </c>
      <c r="P125" s="27" t="n">
        <f aca="false">P114+P115+P121+P122</f>
        <v>12572.0403770089</v>
      </c>
      <c r="Q125" s="27" t="n">
        <f aca="false">Q114+Q115+Q121+Q122</f>
        <v>12572.0403770089</v>
      </c>
      <c r="R125" s="27" t="n">
        <f aca="false">R114+R115+R121+R122</f>
        <v>12572.0403770089</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0.08</v>
      </c>
      <c r="E126" s="85" t="n">
        <f aca="false">IF(E39&lt;=SenGrace,SenRate*$B$11,IF(E39&lt;=SenTenor,PMT(SenRate*$B$11,SenTenor-SenGrace,-1),0))</f>
        <v>0.08</v>
      </c>
      <c r="F126" s="85" t="n">
        <f aca="false">IF(F39&lt;=SenGrace,SenRate*$B$11,IF(F39&lt;=SenTenor,PMT(SenRate*$B$11,SenTenor-SenGrace,-1),0))</f>
        <v>0.174014760591822</v>
      </c>
      <c r="G126" s="85" t="n">
        <f aca="false">IF(G39&lt;=SenGrace,SenRate*$B$11,IF(G39&lt;=SenTenor,PMT(SenRate*$B$11,SenTenor-SenGrace,-1),0))</f>
        <v>0.174014760591822</v>
      </c>
      <c r="H126" s="85" t="n">
        <f aca="false">IF(H39&lt;=SenGrace,SenRate*$B$11,IF(H39&lt;=SenTenor,PMT(SenRate*$B$11,SenTenor-SenGrace,-1),0))</f>
        <v>0.174014760591822</v>
      </c>
      <c r="I126" s="85" t="n">
        <f aca="false">IF(I39&lt;=SenGrace,SenRate*$B$11,IF(I39&lt;=SenTenor,PMT(SenRate*$B$11,SenTenor-SenGrace,-1),0))</f>
        <v>0.174014760591822</v>
      </c>
      <c r="J126" s="85" t="n">
        <f aca="false">IF(J39&lt;=SenGrace,SenRate*$B$11,IF(J39&lt;=SenTenor,PMT(SenRate*$B$11,SenTenor-SenGrace,-1),0))</f>
        <v>0.174014760591822</v>
      </c>
      <c r="K126" s="85" t="n">
        <f aca="false">IF(K39&lt;=SenGrace,SenRate*$B$11,IF(K39&lt;=SenTenor,PMT(SenRate*$B$11,SenTenor-SenGrace,-1),0))</f>
        <v>0.174014760591822</v>
      </c>
      <c r="L126" s="85" t="n">
        <f aca="false">IF(L39&lt;=SenGrace,SenRate*$B$11,IF(L39&lt;=SenTenor,PMT(SenRate*$B$11,SenTenor-SenGrace,-1),0))</f>
        <v>0.174014760591822</v>
      </c>
      <c r="M126" s="85" t="n">
        <f aca="false">IF(M39&lt;=SenGrace,SenRate*$B$11,IF(M39&lt;=SenTenor,PMT(SenRate*$B$11,SenTenor-SenGrace,-1),0))</f>
        <v>0.174014760591822</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1336207.75217906</v>
      </c>
      <c r="E127" s="83" t="n">
        <f aca="false">IF(E126&gt;0,(E147/MinDSCR-E121-E122)/E126,1000000000000)</f>
        <v>729923.644159305</v>
      </c>
      <c r="F127" s="83" t="n">
        <f aca="false">IF(F126&gt;0,(F147/MinDSCR-F121-F122)/F126,1000000000000)</f>
        <v>312320.637526229</v>
      </c>
      <c r="G127" s="83" t="n">
        <f aca="false">IF(G126&gt;0,(G147/MinDSCR-G121-G122)/G126,1000000000000)</f>
        <v>160825.572168504</v>
      </c>
      <c r="H127" s="83" t="n">
        <f aca="false">IF(H126&gt;0,(H147/MinDSCR-H121-H122)/H126,1000000000000)</f>
        <v>185464.85001049</v>
      </c>
      <c r="I127" s="83" t="n">
        <f aca="false">IF(I126&gt;0,(I147/MinDSCR-I121-I122)/I126,1000000000000)</f>
        <v>154861.840536438</v>
      </c>
      <c r="J127" s="83" t="n">
        <f aca="false">IF(J126&gt;0,(J147/MinDSCR-J121-J122)/J126,1000000000000)</f>
        <v>174813.950482676</v>
      </c>
      <c r="K127" s="83" t="n">
        <f aca="false">IF(K126&gt;0,(K147/MinDSCR-K121-K122)/K126,1000000000000)</f>
        <v>169686.325474617</v>
      </c>
      <c r="L127" s="83" t="n">
        <f aca="false">IF(L126&gt;0,(L147/MinDSCR-L121-L122)/L126,1000000000000)</f>
        <v>139197.971062639</v>
      </c>
      <c r="M127" s="83" t="n">
        <f aca="false">IF(M126&gt;0,(M147/MinDSCR-M121-M122)/M126,1000000000000)</f>
        <v>132191.023376078</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5751.3066535742</v>
      </c>
      <c r="D128" s="83" t="n">
        <f aca="false">DSRAPct*E125</f>
        <v>5751.3066535742</v>
      </c>
      <c r="E128" s="83" t="n">
        <f aca="false">DSRAPct*F125</f>
        <v>10950.419327862</v>
      </c>
      <c r="F128" s="83" t="n">
        <f aca="false">DSRAPct*G125</f>
        <v>10950.419327862</v>
      </c>
      <c r="G128" s="83" t="n">
        <f aca="false">DSRAPct*H125</f>
        <v>10950.419327862</v>
      </c>
      <c r="H128" s="83" t="n">
        <f aca="false">DSRAPct*I125</f>
        <v>15909.2149040032</v>
      </c>
      <c r="I128" s="83" t="n">
        <f aca="false">DSRAPct*J125</f>
        <v>15909.2149040032</v>
      </c>
      <c r="J128" s="83" t="n">
        <f aca="false">DSRAPct*K125</f>
        <v>15909.2149040032</v>
      </c>
      <c r="K128" s="83" t="n">
        <f aca="false">DSRAPct*L125</f>
        <v>15909.2149040032</v>
      </c>
      <c r="L128" s="83" t="n">
        <f aca="false">DSRAPct*M125</f>
        <v>15909.2149040032</v>
      </c>
      <c r="M128" s="83" t="n">
        <f aca="false">DSRAPct*N125</f>
        <v>6286.02018850446</v>
      </c>
      <c r="N128" s="83" t="n">
        <f aca="false">DSRAPct*O125</f>
        <v>6286.02018850446</v>
      </c>
      <c r="O128" s="83" t="n">
        <f aca="false">DSRAPct*P125</f>
        <v>6286.02018850446</v>
      </c>
      <c r="P128" s="83" t="n">
        <f aca="false">DSRAPct*Q125</f>
        <v>6286.02018850446</v>
      </c>
      <c r="Q128" s="83" t="n">
        <f aca="false">DSRAPct*R125</f>
        <v>6286.02018850446</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5751.3066535742</v>
      </c>
      <c r="D129" s="83" t="n">
        <f aca="false">D128-C128</f>
        <v>0</v>
      </c>
      <c r="E129" s="83" t="n">
        <f aca="false">E128-D128</f>
        <v>5199.11267428781</v>
      </c>
      <c r="F129" s="83" t="n">
        <f aca="false">F128-E128</f>
        <v>0</v>
      </c>
      <c r="G129" s="83" t="n">
        <f aca="false">G128-F128</f>
        <v>0</v>
      </c>
      <c r="H129" s="83" t="n">
        <f aca="false">H128-G128</f>
        <v>4958.79557614119</v>
      </c>
      <c r="I129" s="83" t="n">
        <f aca="false">I128-H128</f>
        <v>0</v>
      </c>
      <c r="J129" s="83" t="n">
        <f aca="false">J128-I128</f>
        <v>0</v>
      </c>
      <c r="K129" s="83" t="n">
        <f aca="false">K128-J128</f>
        <v>0</v>
      </c>
      <c r="L129" s="83" t="n">
        <f aca="false">L128-K128</f>
        <v>0</v>
      </c>
      <c r="M129" s="83" t="n">
        <f aca="false">M128-L128</f>
        <v>-9623.19471549874</v>
      </c>
      <c r="N129" s="83" t="n">
        <f aca="false">N128-M128</f>
        <v>0</v>
      </c>
      <c r="O129" s="83" t="n">
        <f aca="false">O128-N128</f>
        <v>0</v>
      </c>
      <c r="P129" s="83" t="n">
        <f aca="false">P128-O128</f>
        <v>0</v>
      </c>
      <c r="Q129" s="83" t="n">
        <f aca="false">Q128-P128</f>
        <v>0</v>
      </c>
      <c r="R129" s="83" t="n">
        <f aca="false">R128-Q128</f>
        <v>-6286.02018850446</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IF(D39&lt;=MIN(DepYears,Life),S_Rate_Lo!$B$14/DepYears,0)</f>
        <v>76867.3503434244</v>
      </c>
      <c r="E132" s="83" t="n">
        <f aca="false">IF(E39&lt;=MIN(DepYears,Life),S_Rate_Lo!$B$14/DepYears,0)</f>
        <v>76867.3503434244</v>
      </c>
      <c r="F132" s="83" t="n">
        <f aca="false">IF(F39&lt;=MIN(DepYears,Life),S_Rate_Lo!$B$14/DepYears,0)</f>
        <v>76867.3503434244</v>
      </c>
      <c r="G132" s="83" t="n">
        <f aca="false">IF(G39&lt;=MIN(DepYears,Life),S_Rate_Lo!$B$14/DepYears,0)</f>
        <v>76867.3503434244</v>
      </c>
      <c r="H132" s="83" t="n">
        <f aca="false">IF(H39&lt;=MIN(DepYears,Life),S_Rate_Lo!$B$14/DepYears,0)</f>
        <v>76867.3503434244</v>
      </c>
      <c r="I132" s="83" t="n">
        <f aca="false">IF(I39&lt;=MIN(DepYears,Life),S_Rate_Lo!$B$14/DepYears,0)</f>
        <v>76867.3503434244</v>
      </c>
      <c r="J132" s="83" t="n">
        <f aca="false">IF(J39&lt;=MIN(DepYears,Life),S_Rate_Lo!$B$14/DepYears,0)</f>
        <v>76867.3503434244</v>
      </c>
      <c r="K132" s="83" t="n">
        <f aca="false">IF(K39&lt;=MIN(DepYears,Life),S_Rate_Lo!$B$14/DepYears,0)</f>
        <v>76867.3503434244</v>
      </c>
      <c r="L132" s="83" t="n">
        <f aca="false">IF(L39&lt;=MIN(DepYears,Life),S_Rate_Lo!$B$14/DepYears,0)</f>
        <v>76867.3503434244</v>
      </c>
      <c r="M132" s="83" t="n">
        <f aca="false">IF(M39&lt;=MIN(DepYears,Life),S_Rate_Lo!$B$14/DepYears,0)</f>
        <v>76867.3503434244</v>
      </c>
      <c r="N132" s="83" t="n">
        <f aca="false">IF(N39&lt;=MIN(DepYears,Life),S_Rate_Lo!$B$14/DepYears,0)</f>
        <v>76867.3503434244</v>
      </c>
      <c r="O132" s="83" t="n">
        <f aca="false">IF(O39&lt;=MIN(DepYears,Life),S_Rate_Lo!$B$14/DepYears,0)</f>
        <v>76867.3503434244</v>
      </c>
      <c r="P132" s="83" t="n">
        <f aca="false">IF(P39&lt;=MIN(DepYears,Life),S_Rate_Lo!$B$14/DepYears,0)</f>
        <v>76867.3503434244</v>
      </c>
      <c r="Q132" s="83" t="n">
        <f aca="false">IF(Q39&lt;=MIN(DepYears,Life),S_Rate_Lo!$B$14/DepYears,0)</f>
        <v>76867.3503434244</v>
      </c>
      <c r="R132" s="83" t="n">
        <f aca="false">IF(R39&lt;=MIN(DepYears,Life),S_Rate_Lo!$B$14/DepYears,0)</f>
        <v>76867.3503434244</v>
      </c>
      <c r="S132" s="83" t="n">
        <f aca="false">IF(S39&lt;=MIN(DepYears,Life),S_Rate_Lo!$B$14/DepYears,0)</f>
        <v>0</v>
      </c>
      <c r="T132" s="83" t="n">
        <f aca="false">IF(T39&lt;=MIN(DepYears,Life),S_Rate_Lo!$B$14/DepYears,0)</f>
        <v>0</v>
      </c>
      <c r="U132" s="83" t="n">
        <f aca="false">IF(U39&lt;=MIN(DepYears,Life),S_Rate_Lo!$B$14/DepYears,0)</f>
        <v>0</v>
      </c>
      <c r="V132" s="83" t="n">
        <f aca="false">IF(V39&lt;=MIN(DepYears,Life),S_Rate_Lo!$B$14/DepYears,0)</f>
        <v>0</v>
      </c>
      <c r="W132" s="83" t="n">
        <f aca="false">IF(W39&lt;=MIN(DepYears,Life),S_Rate_Lo!$B$14/DepYears,0)</f>
        <v>0</v>
      </c>
    </row>
    <row r="133" customFormat="false" ht="15" hidden="false" customHeight="false" outlineLevel="0" collapsed="false">
      <c r="A133" s="10" t="s">
        <v>460</v>
      </c>
      <c r="B133" s="61" t="n">
        <f aca="false">SUM(C133:W133)</f>
        <v>26865.1469549494</v>
      </c>
      <c r="C133" s="83" t="n">
        <v>0</v>
      </c>
      <c r="D133" s="83" t="n">
        <f aca="false">D98-D132</f>
        <v>-64913.0304115696</v>
      </c>
      <c r="E133" s="83" t="n">
        <f aca="false">E98-E132</f>
        <v>-39766.5776456245</v>
      </c>
      <c r="F133" s="83" t="n">
        <f aca="false">F98-F132</f>
        <v>-19825.7153810766</v>
      </c>
      <c r="G133" s="83" t="n">
        <f aca="false">G98-G132</f>
        <v>-16296.8061688636</v>
      </c>
      <c r="H133" s="83" t="n">
        <f aca="false">H98-H132</f>
        <v>-10722.9287235864</v>
      </c>
      <c r="I133" s="83" t="n">
        <f aca="false">I98-I132</f>
        <v>-4753.04820274065</v>
      </c>
      <c r="J133" s="83" t="n">
        <f aca="false">J98-J132</f>
        <v>-239.498076465607</v>
      </c>
      <c r="K133" s="83" t="n">
        <f aca="false">K98-K132</f>
        <v>-1399.46524610216</v>
      </c>
      <c r="L133" s="83" t="n">
        <f aca="false">L98-L132</f>
        <v>-2764.25685072178</v>
      </c>
      <c r="M133" s="83" t="n">
        <f aca="false">M98-M132</f>
        <v>-4349.36287212497</v>
      </c>
      <c r="N133" s="83" t="n">
        <f aca="false">N98-N132</f>
        <v>-6171.2820361268</v>
      </c>
      <c r="O133" s="83" t="n">
        <f aca="false">O98-O132</f>
        <v>-8247.58458392639</v>
      </c>
      <c r="P133" s="83" t="n">
        <f aca="false">P98-P132</f>
        <v>-10596.9788909301</v>
      </c>
      <c r="Q133" s="83" t="n">
        <f aca="false">Q98-Q132</f>
        <v>-13239.382167694</v>
      </c>
      <c r="R133" s="83" t="n">
        <f aca="false">R98-R132</f>
        <v>-16195.9954919431</v>
      </c>
      <c r="S133" s="83" t="n">
        <f aca="false">S98-S132</f>
        <v>57377.9669076356</v>
      </c>
      <c r="T133" s="83" t="n">
        <f aca="false">T98-T132</f>
        <v>53723.7917750767</v>
      </c>
      <c r="U133" s="83" t="n">
        <f aca="false">U98-U132</f>
        <v>49683.2792123905</v>
      </c>
      <c r="V133" s="83" t="n">
        <f aca="false">V98-V132</f>
        <v>45229.2461425245</v>
      </c>
      <c r="W133" s="83" t="n">
        <f aca="false">W98-W132</f>
        <v>40332.7756668184</v>
      </c>
    </row>
    <row r="134" customFormat="false" ht="15" hidden="false" customHeight="false" outlineLevel="0" collapsed="false">
      <c r="A134" s="10" t="s">
        <v>461</v>
      </c>
      <c r="C134" s="83" t="n">
        <v>0</v>
      </c>
      <c r="D134" s="83" t="n">
        <f aca="false">0</f>
        <v>0</v>
      </c>
      <c r="E134" s="83" t="n">
        <f aca="false">D136</f>
        <v>64913.0304115696</v>
      </c>
      <c r="F134" s="83" t="n">
        <f aca="false">E136</f>
        <v>104679.608057194</v>
      </c>
      <c r="G134" s="83" t="n">
        <f aca="false">F136</f>
        <v>124505.323438271</v>
      </c>
      <c r="H134" s="83" t="n">
        <f aca="false">G136</f>
        <v>140802.129607134</v>
      </c>
      <c r="I134" s="83" t="n">
        <f aca="false">H136</f>
        <v>151525.058330721</v>
      </c>
      <c r="J134" s="83" t="n">
        <f aca="false">I136</f>
        <v>156278.106533461</v>
      </c>
      <c r="K134" s="83" t="n">
        <f aca="false">J136</f>
        <v>156517.604609927</v>
      </c>
      <c r="L134" s="83" t="n">
        <f aca="false">K136</f>
        <v>157917.069856029</v>
      </c>
      <c r="M134" s="83" t="n">
        <f aca="false">L136</f>
        <v>160681.326706751</v>
      </c>
      <c r="N134" s="83" t="n">
        <f aca="false">M136</f>
        <v>165030.689578876</v>
      </c>
      <c r="O134" s="83" t="n">
        <f aca="false">N136</f>
        <v>171201.971615003</v>
      </c>
      <c r="P134" s="83" t="n">
        <f aca="false">O136</f>
        <v>179449.556198929</v>
      </c>
      <c r="Q134" s="83" t="n">
        <f aca="false">P136</f>
        <v>190046.535089859</v>
      </c>
      <c r="R134" s="83" t="n">
        <f aca="false">Q136</f>
        <v>203285.917257553</v>
      </c>
      <c r="S134" s="83" t="n">
        <f aca="false">R136</f>
        <v>219481.912749496</v>
      </c>
      <c r="T134" s="83" t="n">
        <f aca="false">S136</f>
        <v>162103.945841861</v>
      </c>
      <c r="U134" s="83" t="n">
        <f aca="false">T136</f>
        <v>108380.154066784</v>
      </c>
      <c r="V134" s="83" t="n">
        <f aca="false">U136</f>
        <v>58696.8748543935</v>
      </c>
      <c r="W134" s="83" t="n">
        <f aca="false">V136</f>
        <v>13467.628711869</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57377.9669076356</v>
      </c>
      <c r="T135" s="83" t="n">
        <f aca="false">MIN(T134,MAX(T133,0))</f>
        <v>53723.7917750767</v>
      </c>
      <c r="U135" s="83" t="n">
        <f aca="false">MIN(U134,MAX(U133,0))</f>
        <v>49683.2792123905</v>
      </c>
      <c r="V135" s="83" t="n">
        <f aca="false">MIN(V134,MAX(V133,0))</f>
        <v>45229.2461425245</v>
      </c>
      <c r="W135" s="83" t="n">
        <f aca="false">MIN(W134,MAX(W133,0))</f>
        <v>13467.628711869</v>
      </c>
    </row>
    <row r="136" customFormat="false" ht="15" hidden="false" customHeight="false" outlineLevel="0" collapsed="false">
      <c r="A136" s="10" t="s">
        <v>463</v>
      </c>
      <c r="C136" s="83" t="n">
        <v>0</v>
      </c>
      <c r="D136" s="83" t="n">
        <f aca="false">D134-D135+MAX(-D133,0)</f>
        <v>64913.0304115696</v>
      </c>
      <c r="E136" s="83" t="n">
        <f aca="false">E134-E135+MAX(-E133,0)</f>
        <v>104679.608057194</v>
      </c>
      <c r="F136" s="83" t="n">
        <f aca="false">F134-F135+MAX(-F133,0)</f>
        <v>124505.323438271</v>
      </c>
      <c r="G136" s="83" t="n">
        <f aca="false">G134-G135+MAX(-G133,0)</f>
        <v>140802.129607134</v>
      </c>
      <c r="H136" s="83" t="n">
        <f aca="false">H134-H135+MAX(-H133,0)</f>
        <v>151525.058330721</v>
      </c>
      <c r="I136" s="83" t="n">
        <f aca="false">I134-I135+MAX(-I133,0)</f>
        <v>156278.106533461</v>
      </c>
      <c r="J136" s="83" t="n">
        <f aca="false">J134-J135+MAX(-J133,0)</f>
        <v>156517.604609927</v>
      </c>
      <c r="K136" s="83" t="n">
        <f aca="false">K134-K135+MAX(-K133,0)</f>
        <v>157917.069856029</v>
      </c>
      <c r="L136" s="83" t="n">
        <f aca="false">L134-L135+MAX(-L133,0)</f>
        <v>160681.326706751</v>
      </c>
      <c r="M136" s="83" t="n">
        <f aca="false">M134-M135+MAX(-M133,0)</f>
        <v>165030.689578876</v>
      </c>
      <c r="N136" s="83" t="n">
        <f aca="false">N134-N135+MAX(-N133,0)</f>
        <v>171201.971615003</v>
      </c>
      <c r="O136" s="83" t="n">
        <f aca="false">O134-O135+MAX(-O133,0)</f>
        <v>179449.556198929</v>
      </c>
      <c r="P136" s="83" t="n">
        <f aca="false">P134-P135+MAX(-P133,0)</f>
        <v>190046.535089859</v>
      </c>
      <c r="Q136" s="83" t="n">
        <f aca="false">Q134-Q135+MAX(-Q133,0)</f>
        <v>203285.917257553</v>
      </c>
      <c r="R136" s="83" t="n">
        <f aca="false">R134-R135+MAX(-R133,0)</f>
        <v>219481.912749496</v>
      </c>
      <c r="S136" s="83" t="n">
        <f aca="false">S134-S135+MAX(-S133,0)</f>
        <v>162103.945841861</v>
      </c>
      <c r="T136" s="83" t="n">
        <f aca="false">T134-T135+MAX(-T133,0)</f>
        <v>108380.154066784</v>
      </c>
      <c r="U136" s="83" t="n">
        <f aca="false">U134-U135+MAX(-U133,0)</f>
        <v>58696.8748543935</v>
      </c>
      <c r="V136" s="83" t="n">
        <f aca="false">V134-V135+MAX(-V133,0)</f>
        <v>13467.628711869</v>
      </c>
      <c r="W136" s="83" t="n">
        <f aca="false">W134-W135+MAX(-W133,0)</f>
        <v>0</v>
      </c>
    </row>
    <row r="137" customFormat="false" ht="15" hidden="false" customHeight="false" outlineLevel="0" collapsed="false">
      <c r="A137" s="10" t="s">
        <v>464</v>
      </c>
      <c r="B137" s="61" t="n">
        <f aca="false">SUM(C137:W137)</f>
        <v>6716.28673873734</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6716.28673873734</v>
      </c>
    </row>
    <row r="138" customFormat="false" ht="15" hidden="false" customHeight="false" outlineLevel="0" collapsed="false">
      <c r="A138" s="10" t="s">
        <v>465</v>
      </c>
      <c r="B138" s="61" t="n">
        <f aca="false">SUM(C138:W138)</f>
        <v>-62590.8444910499</v>
      </c>
      <c r="C138" s="83" t="n">
        <v>0</v>
      </c>
      <c r="D138" s="83" t="n">
        <f aca="false">D98-D132-D114-D121</f>
        <v>-76415.643718718</v>
      </c>
      <c r="E138" s="83" t="n">
        <f aca="false">E98-E132-E114-E121</f>
        <v>-51269.1909527729</v>
      </c>
      <c r="F138" s="83" t="n">
        <f aca="false">F98-F132-F114-F121</f>
        <v>-31328.328688225</v>
      </c>
      <c r="G138" s="83" t="n">
        <f aca="false">G98-G132-G114-G121</f>
        <v>-26967.5614481259</v>
      </c>
      <c r="H138" s="83" t="n">
        <f aca="false">H98-H132-H114-H121</f>
        <v>-20495.2773327319</v>
      </c>
      <c r="I138" s="83" t="n">
        <f aca="false">I98-I132-I114-I121</f>
        <v>-13555.1176081598</v>
      </c>
      <c r="J138" s="83" t="n">
        <f aca="false">J98-J132-J114-J121</f>
        <v>-7755.64375420557</v>
      </c>
      <c r="K138" s="83" t="n">
        <f aca="false">K98-K132-K114-K121</f>
        <v>-7540.14254045729</v>
      </c>
      <c r="L138" s="83" t="n">
        <f aca="false">L98-L132-L114-L121</f>
        <v>-7433.07743535016</v>
      </c>
      <c r="M138" s="83" t="n">
        <f aca="false">M98-M132-M114-M121</f>
        <v>-7442.55493404123</v>
      </c>
      <c r="N138" s="83" t="n">
        <f aca="false">N98-N132-N114-N121</f>
        <v>-7577.10745867777</v>
      </c>
      <c r="O138" s="83" t="n">
        <f aca="false">O98-O132-O114-O121</f>
        <v>-9385.42084757037</v>
      </c>
      <c r="P138" s="83" t="n">
        <f aca="false">P98-P132-P114-P121</f>
        <v>-11460.3942558533</v>
      </c>
      <c r="Q138" s="83" t="n">
        <f aca="false">Q98-Q132-Q114-Q121</f>
        <v>-13821.7905323272</v>
      </c>
      <c r="R138" s="83" t="n">
        <f aca="false">R98-R132-R114-R121</f>
        <v>-16490.6526882792</v>
      </c>
      <c r="S138" s="83" t="n">
        <f aca="false">S98-S132-S114-S121</f>
        <v>57377.9669076356</v>
      </c>
      <c r="T138" s="83" t="n">
        <f aca="false">T98-T132-T114-T121</f>
        <v>53723.7917750767</v>
      </c>
      <c r="U138" s="83" t="n">
        <f aca="false">U98-U132-U114-U121</f>
        <v>49683.2792123905</v>
      </c>
      <c r="V138" s="83" t="n">
        <f aca="false">V98-V132-V114-V121</f>
        <v>45229.2461425245</v>
      </c>
      <c r="W138" s="83" t="n">
        <f aca="false">W98-W132-W114-W121</f>
        <v>40332.7756668184</v>
      </c>
    </row>
    <row r="139" customFormat="false" ht="15" hidden="false" customHeight="false" outlineLevel="0" collapsed="false">
      <c r="A139" s="10" t="s">
        <v>461</v>
      </c>
      <c r="C139" s="83" t="n">
        <v>0</v>
      </c>
      <c r="D139" s="83" t="n">
        <f aca="false">0</f>
        <v>0</v>
      </c>
      <c r="E139" s="83" t="n">
        <f aca="false">D141</f>
        <v>76415.643718718</v>
      </c>
      <c r="F139" s="83" t="n">
        <f aca="false">E141</f>
        <v>127684.834671491</v>
      </c>
      <c r="G139" s="83" t="n">
        <f aca="false">F141</f>
        <v>159013.163359716</v>
      </c>
      <c r="H139" s="83" t="n">
        <f aca="false">G141</f>
        <v>185980.724807842</v>
      </c>
      <c r="I139" s="83" t="n">
        <f aca="false">H141</f>
        <v>206476.002140574</v>
      </c>
      <c r="J139" s="83" t="n">
        <f aca="false">I141</f>
        <v>220031.119748733</v>
      </c>
      <c r="K139" s="83" t="n">
        <f aca="false">J141</f>
        <v>227786.763502939</v>
      </c>
      <c r="L139" s="83" t="n">
        <f aca="false">K141</f>
        <v>235326.906043396</v>
      </c>
      <c r="M139" s="83" t="n">
        <f aca="false">L141</f>
        <v>242759.983478746</v>
      </c>
      <c r="N139" s="83" t="n">
        <f aca="false">M141</f>
        <v>250202.538412788</v>
      </c>
      <c r="O139" s="83" t="n">
        <f aca="false">N141</f>
        <v>257779.645871465</v>
      </c>
      <c r="P139" s="83" t="n">
        <f aca="false">O141</f>
        <v>267165.066719036</v>
      </c>
      <c r="Q139" s="83" t="n">
        <f aca="false">P141</f>
        <v>278625.460974889</v>
      </c>
      <c r="R139" s="83" t="n">
        <f aca="false">Q141</f>
        <v>292447.251507216</v>
      </c>
      <c r="S139" s="83" t="n">
        <f aca="false">R141</f>
        <v>308937.904195496</v>
      </c>
      <c r="T139" s="83" t="n">
        <f aca="false">S141</f>
        <v>251559.93728786</v>
      </c>
      <c r="U139" s="83" t="n">
        <f aca="false">T141</f>
        <v>197836.145512783</v>
      </c>
      <c r="V139" s="83" t="n">
        <f aca="false">U141</f>
        <v>148152.866300393</v>
      </c>
      <c r="W139" s="83" t="n">
        <f aca="false">V141</f>
        <v>102923.620157868</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57377.9669076356</v>
      </c>
      <c r="T140" s="83" t="n">
        <f aca="false">MIN(T139,MAX(T138,0))</f>
        <v>53723.7917750767</v>
      </c>
      <c r="U140" s="83" t="n">
        <f aca="false">MIN(U139,MAX(U138,0))</f>
        <v>49683.2792123905</v>
      </c>
      <c r="V140" s="83" t="n">
        <f aca="false">MIN(V139,MAX(V138,0))</f>
        <v>45229.2461425245</v>
      </c>
      <c r="W140" s="83" t="n">
        <f aca="false">MIN(W139,MAX(W138,0))</f>
        <v>40332.7756668184</v>
      </c>
    </row>
    <row r="141" customFormat="false" ht="15" hidden="false" customHeight="false" outlineLevel="0" collapsed="false">
      <c r="A141" s="10" t="s">
        <v>463</v>
      </c>
      <c r="C141" s="83" t="n">
        <v>0</v>
      </c>
      <c r="D141" s="83" t="n">
        <f aca="false">D139-D140+MAX(-D138,0)</f>
        <v>76415.643718718</v>
      </c>
      <c r="E141" s="83" t="n">
        <f aca="false">E139-E140+MAX(-E138,0)</f>
        <v>127684.834671491</v>
      </c>
      <c r="F141" s="83" t="n">
        <f aca="false">F139-F140+MAX(-F138,0)</f>
        <v>159013.163359716</v>
      </c>
      <c r="G141" s="83" t="n">
        <f aca="false">G139-G140+MAX(-G138,0)</f>
        <v>185980.724807842</v>
      </c>
      <c r="H141" s="83" t="n">
        <f aca="false">H139-H140+MAX(-H138,0)</f>
        <v>206476.002140574</v>
      </c>
      <c r="I141" s="83" t="n">
        <f aca="false">I139-I140+MAX(-I138,0)</f>
        <v>220031.119748733</v>
      </c>
      <c r="J141" s="83" t="n">
        <f aca="false">J139-J140+MAX(-J138,0)</f>
        <v>227786.763502939</v>
      </c>
      <c r="K141" s="83" t="n">
        <f aca="false">K139-K140+MAX(-K138,0)</f>
        <v>235326.906043396</v>
      </c>
      <c r="L141" s="83" t="n">
        <f aca="false">L139-L140+MAX(-L138,0)</f>
        <v>242759.983478746</v>
      </c>
      <c r="M141" s="83" t="n">
        <f aca="false">M139-M140+MAX(-M138,0)</f>
        <v>250202.538412788</v>
      </c>
      <c r="N141" s="83" t="n">
        <f aca="false">N139-N140+MAX(-N138,0)</f>
        <v>257779.645871465</v>
      </c>
      <c r="O141" s="83" t="n">
        <f aca="false">O139-O140+MAX(-O138,0)</f>
        <v>267165.066719036</v>
      </c>
      <c r="P141" s="83" t="n">
        <f aca="false">P139-P140+MAX(-P138,0)</f>
        <v>278625.460974889</v>
      </c>
      <c r="Q141" s="83" t="n">
        <f aca="false">Q139-Q140+MAX(-Q138,0)</f>
        <v>292447.251507216</v>
      </c>
      <c r="R141" s="83" t="n">
        <f aca="false">R139-R140+MAX(-R138,0)</f>
        <v>308937.904195496</v>
      </c>
      <c r="S141" s="83" t="n">
        <f aca="false">S139-S140+MAX(-S138,0)</f>
        <v>251559.93728786</v>
      </c>
      <c r="T141" s="83" t="n">
        <f aca="false">T139-T140+MAX(-T138,0)</f>
        <v>197836.145512783</v>
      </c>
      <c r="U141" s="83" t="n">
        <f aca="false">U139-U140+MAX(-U138,0)</f>
        <v>148152.866300393</v>
      </c>
      <c r="V141" s="83" t="n">
        <f aca="false">V139-V140+MAX(-V138,0)</f>
        <v>102923.620157868</v>
      </c>
      <c r="W141" s="83" t="n">
        <f aca="false">W139-W140+MAX(-W138,0)</f>
        <v>62590.8444910499</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-793132.367693456</v>
      </c>
      <c r="C145" s="27" t="n">
        <f aca="false">-C102+C98-C103-C137</f>
        <v>-1153010.25515137</v>
      </c>
      <c r="D145" s="27" t="n">
        <f aca="false">-D102+D98-D103-D137</f>
        <v>11954.3199318548</v>
      </c>
      <c r="E145" s="27" t="n">
        <f aca="false">-E102+E98-E103-E137</f>
        <v>37100.7726977999</v>
      </c>
      <c r="F145" s="27" t="n">
        <f aca="false">-F102+F98-F103-F137</f>
        <v>57041.6349623478</v>
      </c>
      <c r="G145" s="27" t="n">
        <f aca="false">-G102+G98-G103-G137</f>
        <v>60570.5441745608</v>
      </c>
      <c r="H145" s="27" t="n">
        <f aca="false">-H102+H98-H103-H137</f>
        <v>66144.4216198379</v>
      </c>
      <c r="I145" s="27" t="n">
        <f aca="false">-I102+I98-I103-I137</f>
        <v>72114.3021406837</v>
      </c>
      <c r="J145" s="27" t="n">
        <f aca="false">-J102+J98-J103-J137</f>
        <v>76627.8522669588</v>
      </c>
      <c r="K145" s="27" t="n">
        <f aca="false">-K102+K98-K103-K137</f>
        <v>-90435.5526073792</v>
      </c>
      <c r="L145" s="27" t="n">
        <f aca="false">-L102+L98-L103-L137</f>
        <v>74103.0934927026</v>
      </c>
      <c r="M145" s="27" t="n">
        <f aca="false">-M102+M98-M103-M137</f>
        <v>72517.9874712994</v>
      </c>
      <c r="N145" s="27" t="n">
        <f aca="false">-N102+N98-N103-N137</f>
        <v>70696.0683072976</v>
      </c>
      <c r="O145" s="27" t="n">
        <f aca="false">-O102+O98-O103-O137</f>
        <v>68619.765759498</v>
      </c>
      <c r="P145" s="27" t="n">
        <f aca="false">-P102+P98-P103-P137</f>
        <v>66270.3714524942</v>
      </c>
      <c r="Q145" s="27" t="n">
        <f aca="false">-Q102+Q98-Q103-Q137</f>
        <v>63627.9681757304</v>
      </c>
      <c r="R145" s="27" t="n">
        <f aca="false">-R102+R98-R103-R137</f>
        <v>60671.3548514813</v>
      </c>
      <c r="S145" s="27" t="n">
        <f aca="false">-S102+S98-S103-S137</f>
        <v>-152783.544376034</v>
      </c>
      <c r="T145" s="27" t="n">
        <f aca="false">-T102+T98-T103-T137</f>
        <v>53723.7917750767</v>
      </c>
      <c r="U145" s="27" t="n">
        <f aca="false">-U102+U98-U103-U137</f>
        <v>49683.2792123905</v>
      </c>
      <c r="V145" s="27" t="n">
        <f aca="false">-V102+V98-V103-V137</f>
        <v>45229.2461425245</v>
      </c>
      <c r="W145" s="27" t="n">
        <f aca="false">-W102+W98-W103-W137</f>
        <v>33616.488928081</v>
      </c>
    </row>
    <row r="146" customFormat="false" ht="15" hidden="false" customHeight="false" outlineLevel="0" collapsed="false">
      <c r="A146" s="15" t="s">
        <v>469</v>
      </c>
      <c r="B146" s="61" t="n">
        <f aca="false">C146+NPV(Hurdle,D146:W146)</f>
        <v>24787.9929376486</v>
      </c>
      <c r="C146" s="27" t="n">
        <f aca="false">C145+C106+C108</f>
        <v>-553010.255151365</v>
      </c>
      <c r="D146" s="27" t="n">
        <f aca="false">D145+D106+D108</f>
        <v>163154.319931855</v>
      </c>
      <c r="E146" s="27" t="n">
        <f aca="false">E145+E106+E108</f>
        <v>100100.7726978</v>
      </c>
      <c r="F146" s="27" t="n">
        <f aca="false">F145+F106+F108</f>
        <v>94841.6349623478</v>
      </c>
      <c r="G146" s="27" t="n">
        <f aca="false">G145+G106+G108</f>
        <v>60570.5441745608</v>
      </c>
      <c r="H146" s="27" t="n">
        <f aca="false">H145+H106+H108</f>
        <v>66144.4216198379</v>
      </c>
      <c r="I146" s="27" t="n">
        <f aca="false">I145+I106+I108</f>
        <v>72114.3021406837</v>
      </c>
      <c r="J146" s="27" t="n">
        <f aca="false">J145+J106+J108</f>
        <v>76627.8522669588</v>
      </c>
      <c r="K146" s="27" t="n">
        <f aca="false">K145+K106+K108</f>
        <v>-90435.5526073792</v>
      </c>
      <c r="L146" s="27" t="n">
        <f aca="false">L145+L106+L108</f>
        <v>74103.0934927026</v>
      </c>
      <c r="M146" s="27" t="n">
        <f aca="false">M145+M106+M108</f>
        <v>72517.9874712994</v>
      </c>
      <c r="N146" s="27" t="n">
        <f aca="false">N145+N106+N108</f>
        <v>70696.0683072976</v>
      </c>
      <c r="O146" s="27" t="n">
        <f aca="false">O145+O106+O108</f>
        <v>68619.765759498</v>
      </c>
      <c r="P146" s="27" t="n">
        <f aca="false">P145+P106+P108</f>
        <v>66270.3714524942</v>
      </c>
      <c r="Q146" s="27" t="n">
        <f aca="false">Q145+Q106+Q108</f>
        <v>63627.9681757304</v>
      </c>
      <c r="R146" s="27" t="n">
        <f aca="false">R145+R106+R108</f>
        <v>60671.3548514813</v>
      </c>
      <c r="S146" s="27" t="n">
        <f aca="false">S145+S106+S108</f>
        <v>-152783.544376034</v>
      </c>
      <c r="T146" s="27" t="n">
        <f aca="false">T145+T106+T108</f>
        <v>53723.7917750767</v>
      </c>
      <c r="U146" s="27" t="n">
        <f aca="false">U145+U106+U108</f>
        <v>49683.2792123905</v>
      </c>
      <c r="V146" s="27" t="n">
        <f aca="false">V145+V106+V108</f>
        <v>45229.2461425245</v>
      </c>
      <c r="W146" s="27" t="n">
        <f aca="false">W145+W106+W108</f>
        <v>33616.488928081</v>
      </c>
    </row>
    <row r="147" customFormat="false" ht="15" hidden="false" customHeight="false" outlineLevel="0" collapsed="false">
      <c r="A147" s="10" t="s">
        <v>237</v>
      </c>
      <c r="B147" s="61" t="n">
        <f aca="false">SUM(C147:W147)</f>
        <v>1055810.45311794</v>
      </c>
      <c r="C147" s="83" t="n">
        <v>0</v>
      </c>
      <c r="D147" s="83" t="n">
        <f aca="false">D98-D105-D142+D108</f>
        <v>142416.390218767</v>
      </c>
      <c r="E147" s="83" t="n">
        <f aca="false">E98-E105-E142+E108</f>
        <v>79362.8429847122</v>
      </c>
      <c r="F147" s="83" t="n">
        <f aca="false">F98-F105-F142+F108</f>
        <v>74103.7052492601</v>
      </c>
      <c r="G147" s="83" t="n">
        <f aca="false">G98-G105-G142+G108</f>
        <v>39832.6144614731</v>
      </c>
      <c r="H147" s="83" t="n">
        <f aca="false">H98-H105-H142+H108</f>
        <v>45406.4919067503</v>
      </c>
      <c r="I147" s="83" t="n">
        <f aca="false">I98-I105-I142+I108</f>
        <v>51376.372427596</v>
      </c>
      <c r="J147" s="83" t="n">
        <f aca="false">J98-J105-J142+J108</f>
        <v>55889.9225538711</v>
      </c>
      <c r="K147" s="83" t="n">
        <f aca="false">K98-K105-K142+K108</f>
        <v>54729.9553842345</v>
      </c>
      <c r="L147" s="83" t="n">
        <f aca="false">L98-L105-L142+L108</f>
        <v>47832.9045822438</v>
      </c>
      <c r="M147" s="83" t="n">
        <f aca="false">M98-M105-M142+M108</f>
        <v>46247.7985608407</v>
      </c>
      <c r="N147" s="83" t="n">
        <f aca="false">N98-N105-N142+N108</f>
        <v>44425.8793968388</v>
      </c>
      <c r="O147" s="83" t="n">
        <f aca="false">O98-O105-O142+O108</f>
        <v>42349.5768490392</v>
      </c>
      <c r="P147" s="83" t="n">
        <f aca="false">P98-P105-P142+P108</f>
        <v>40000.1825420355</v>
      </c>
      <c r="Q147" s="83" t="n">
        <f aca="false">Q98-Q105-Q142+Q108</f>
        <v>37357.7792652716</v>
      </c>
      <c r="R147" s="83" t="n">
        <f aca="false">R98-R105-R142+R108</f>
        <v>34401.1659410226</v>
      </c>
      <c r="S147" s="83" t="n">
        <f aca="false">S98-S105-S142+S108</f>
        <v>31107.7779971769</v>
      </c>
      <c r="T147" s="83" t="n">
        <f aca="false">T98-T105-T142+T108</f>
        <v>53723.7917750767</v>
      </c>
      <c r="U147" s="83" t="n">
        <f aca="false">U98-U105-U142+U108</f>
        <v>49683.2792123905</v>
      </c>
      <c r="V147" s="83" t="n">
        <f aca="false">V98-V105-V142+V108</f>
        <v>45229.2461425245</v>
      </c>
      <c r="W147" s="83" t="n">
        <f aca="false">W98-W105-W142+W108</f>
        <v>40332.7756668184</v>
      </c>
    </row>
    <row r="148" customFormat="false" ht="15" hidden="false" customHeight="false" outlineLevel="0" collapsed="false">
      <c r="A148" s="10" t="s">
        <v>470</v>
      </c>
      <c r="C148" s="86" t="n">
        <v>0</v>
      </c>
      <c r="D148" s="86" t="n">
        <f aca="false">IF(D125&gt;0,D147/D125,"")</f>
        <v>12.3812203727879</v>
      </c>
      <c r="E148" s="86" t="n">
        <f aca="false">IF(E125&gt;0,E147/E125,"")</f>
        <v>6.89954889950021</v>
      </c>
      <c r="F148" s="86" t="n">
        <f aca="false">IF(F125&gt;0,F147/F125,"")</f>
        <v>3.38360125902723</v>
      </c>
      <c r="G148" s="86" t="n">
        <f aca="false">IF(G125&gt;0,G147/G125,"")</f>
        <v>1.81877119354342</v>
      </c>
      <c r="H148" s="86" t="n">
        <f aca="false">IF(H125&gt;0,H147/H125,"")</f>
        <v>2.07327639916122</v>
      </c>
      <c r="I148" s="86" t="n">
        <f aca="false">IF(I125&gt;0,I147/I125,"")</f>
        <v>1.6146734058721</v>
      </c>
      <c r="J148" s="86" t="n">
        <f aca="false">IF(J125&gt;0,J147/J125,"")</f>
        <v>1.75652673281218</v>
      </c>
      <c r="K148" s="86" t="n">
        <f aca="false">IF(K125&gt;0,K147/K125,"")</f>
        <v>1.72007090590193</v>
      </c>
      <c r="L148" s="86" t="n">
        <f aca="false">IF(L125&gt;0,L147/L125,"")</f>
        <v>1.50330814156668</v>
      </c>
      <c r="M148" s="86" t="n">
        <f aca="false">IF(M125&gt;0,M147/M125,"")</f>
        <v>1.45349091202494</v>
      </c>
      <c r="N148" s="86" t="n">
        <f aca="false">IF(N125&gt;0,N147/N125,"")</f>
        <v>3.53370479767807</v>
      </c>
      <c r="O148" s="86" t="n">
        <f aca="false">IF(O125&gt;0,O147/O125,"")</f>
        <v>3.3685524051041</v>
      </c>
      <c r="P148" s="86" t="n">
        <f aca="false">IF(P125&gt;0,P147/P125,"")</f>
        <v>3.18167786154948</v>
      </c>
      <c r="Q148" s="86" t="n">
        <f aca="false">IF(Q125&gt;0,Q147/Q125,"")</f>
        <v>2.97149692054677</v>
      </c>
      <c r="R148" s="86" t="n">
        <f aca="false">IF(R125&gt;0,R147/R125,"")</f>
        <v>2.7363232148008</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27951.9404772148</v>
      </c>
      <c r="C149" s="27" t="n">
        <f aca="false">-S_Rate_Lo!$B$18-C129</f>
        <v>-337557.459744394</v>
      </c>
      <c r="D149" s="27" t="n">
        <f aca="false">D147-D125-D129</f>
        <v>130913.776911619</v>
      </c>
      <c r="E149" s="27" t="n">
        <f aca="false">E147-E125-E129</f>
        <v>62661.117003276</v>
      </c>
      <c r="F149" s="27" t="n">
        <f aca="false">F147-F125-F129</f>
        <v>52202.8665935361</v>
      </c>
      <c r="G149" s="27" t="n">
        <f aca="false">G147-G125-G129</f>
        <v>17931.7758057491</v>
      </c>
      <c r="H149" s="27" t="n">
        <f aca="false">H147-H125-H129</f>
        <v>18546.857674885</v>
      </c>
      <c r="I149" s="27" t="n">
        <f aca="false">I147-I125-I129</f>
        <v>19557.9426195896</v>
      </c>
      <c r="J149" s="27" t="n">
        <f aca="false">J147-J125-J129</f>
        <v>24071.4927458647</v>
      </c>
      <c r="K149" s="27" t="n">
        <f aca="false">K147-K125-K129</f>
        <v>22911.5255762281</v>
      </c>
      <c r="L149" s="27" t="n">
        <f aca="false">L147-L125-L129</f>
        <v>16014.4747742374</v>
      </c>
      <c r="M149" s="27" t="n">
        <f aca="false">M147-M125-M129</f>
        <v>24052.563468333</v>
      </c>
      <c r="N149" s="27" t="n">
        <f aca="false">N147-N125-N129</f>
        <v>31853.8390198299</v>
      </c>
      <c r="O149" s="27" t="n">
        <f aca="false">O147-O125-O129</f>
        <v>29777.5364720303</v>
      </c>
      <c r="P149" s="27" t="n">
        <f aca="false">P147-P125-P129</f>
        <v>27428.1421650266</v>
      </c>
      <c r="Q149" s="27" t="n">
        <f aca="false">Q147-Q125-Q129</f>
        <v>24785.7388882627</v>
      </c>
      <c r="R149" s="27" t="n">
        <f aca="false">R147-R125-R129</f>
        <v>28115.1457525181</v>
      </c>
      <c r="S149" s="27" t="n">
        <f aca="false">S147-S125-S129</f>
        <v>31107.7779971769</v>
      </c>
      <c r="T149" s="27" t="n">
        <f aca="false">T147-T125-T129</f>
        <v>53723.7917750767</v>
      </c>
      <c r="U149" s="27" t="n">
        <f aca="false">U147-U125-U129</f>
        <v>49683.2792123905</v>
      </c>
      <c r="V149" s="27" t="n">
        <f aca="false">V147-V125-V129</f>
        <v>45229.2461425245</v>
      </c>
      <c r="W149" s="27" t="n">
        <f aca="false">W147-W125-W129</f>
        <v>40332.7756668184</v>
      </c>
    </row>
    <row r="150" customFormat="false" ht="15" hidden="false" customHeight="false" outlineLevel="0" collapsed="false">
      <c r="A150" s="10" t="s">
        <v>472</v>
      </c>
      <c r="C150" s="83" t="n">
        <f aca="false">C149</f>
        <v>-337557.459744394</v>
      </c>
      <c r="D150" s="83" t="n">
        <f aca="false">C150+D149</f>
        <v>-206643.682832775</v>
      </c>
      <c r="E150" s="83" t="n">
        <f aca="false">D150+E149</f>
        <v>-143982.565829499</v>
      </c>
      <c r="F150" s="83" t="n">
        <f aca="false">E150+F149</f>
        <v>-91779.6992359627</v>
      </c>
      <c r="G150" s="83" t="n">
        <f aca="false">F150+G149</f>
        <v>-73847.9234302136</v>
      </c>
      <c r="H150" s="83" t="n">
        <f aca="false">G150+H149</f>
        <v>-55301.0657553285</v>
      </c>
      <c r="I150" s="83" t="n">
        <f aca="false">H150+I149</f>
        <v>-35743.1231357389</v>
      </c>
      <c r="J150" s="83" t="n">
        <f aca="false">I150+J149</f>
        <v>-11671.6303898742</v>
      </c>
      <c r="K150" s="83" t="n">
        <f aca="false">J150+K149</f>
        <v>11239.8951863539</v>
      </c>
      <c r="L150" s="83" t="n">
        <f aca="false">K150+L149</f>
        <v>27254.3699605914</v>
      </c>
      <c r="M150" s="83" t="n">
        <f aca="false">L150+M149</f>
        <v>51306.9334289244</v>
      </c>
      <c r="N150" s="83" t="n">
        <f aca="false">M150+N149</f>
        <v>83160.7724487543</v>
      </c>
      <c r="O150" s="83" t="n">
        <f aca="false">N150+O149</f>
        <v>112938.308920785</v>
      </c>
      <c r="P150" s="83" t="n">
        <f aca="false">O150+P149</f>
        <v>140366.451085811</v>
      </c>
      <c r="Q150" s="83" t="n">
        <f aca="false">P150+Q149</f>
        <v>165152.189974074</v>
      </c>
      <c r="R150" s="83" t="n">
        <f aca="false">Q150+R149</f>
        <v>193267.335726592</v>
      </c>
      <c r="S150" s="83" t="n">
        <f aca="false">R150+S149</f>
        <v>224375.113723769</v>
      </c>
      <c r="T150" s="83" t="n">
        <f aca="false">S150+T149</f>
        <v>278098.905498845</v>
      </c>
      <c r="U150" s="83" t="n">
        <f aca="false">T150+U149</f>
        <v>327782.184711236</v>
      </c>
      <c r="V150" s="83" t="n">
        <f aca="false">U150+V149</f>
        <v>373011.43085376</v>
      </c>
      <c r="W150" s="83" t="n">
        <f aca="false">V150+W149</f>
        <v>413344.206520579</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6" t="s">
        <v>386</v>
      </c>
    </row>
    <row r="2" customFormat="false" ht="15" hidden="false" customHeight="false" outlineLevel="0" collapsed="false">
      <c r="A2" s="7" t="s">
        <v>387</v>
      </c>
    </row>
    <row r="4" customFormat="false" ht="15" hidden="false" customHeight="false" outlineLevel="0" collapsed="false">
      <c r="A4" s="8" t="s">
        <v>388</v>
      </c>
      <c r="B4" s="9"/>
    </row>
    <row r="5" customFormat="false" ht="15" hidden="false" customHeight="false" outlineLevel="0" collapsed="false">
      <c r="A5" s="10" t="s">
        <v>65</v>
      </c>
      <c r="B5" s="62" t="n">
        <v>1</v>
      </c>
    </row>
    <row r="6" customFormat="false" ht="15" hidden="false" customHeight="false" outlineLevel="0" collapsed="false">
      <c r="A6" s="10" t="s">
        <v>327</v>
      </c>
      <c r="B6" s="62" t="n">
        <v>1</v>
      </c>
    </row>
    <row r="7" customFormat="false" ht="15" hidden="false" customHeight="false" outlineLevel="0" collapsed="false">
      <c r="A7" s="10" t="s">
        <v>67</v>
      </c>
      <c r="B7" s="62" t="n">
        <v>1</v>
      </c>
    </row>
    <row r="8" customFormat="false" ht="15" hidden="false" customHeight="false" outlineLevel="0" collapsed="false">
      <c r="A8" s="10" t="s">
        <v>68</v>
      </c>
      <c r="B8" s="62" t="n">
        <v>1</v>
      </c>
    </row>
    <row r="9" customFormat="false" ht="15" hidden="false" customHeight="false" outlineLevel="0" collapsed="false">
      <c r="A9" s="10" t="s">
        <v>389</v>
      </c>
      <c r="B9" s="62" t="n">
        <v>1</v>
      </c>
    </row>
    <row r="10" customFormat="false" ht="15" hidden="false" customHeight="false" outlineLevel="0" collapsed="false">
      <c r="A10" s="10" t="s">
        <v>70</v>
      </c>
      <c r="B10" s="62" t="n">
        <v>1</v>
      </c>
    </row>
    <row r="11" customFormat="false" ht="15" hidden="false" customHeight="false" outlineLevel="0" collapsed="false">
      <c r="A11" s="10" t="s">
        <v>328</v>
      </c>
      <c r="B11" s="62" t="n">
        <f aca="false">1+SensDelta</f>
        <v>1.2</v>
      </c>
    </row>
    <row r="13" customFormat="false" ht="15" hidden="false" customHeight="false" outlineLevel="0" collapsed="false">
      <c r="A13" s="8" t="s">
        <v>390</v>
      </c>
      <c r="B13" s="9"/>
    </row>
    <row r="14" customFormat="false" ht="15" hidden="false" customHeight="false" outlineLevel="0" collapsed="false">
      <c r="A14" s="10" t="s">
        <v>391</v>
      </c>
      <c r="B14" s="61" t="n">
        <f aca="false">TotalCapexBase*LevCapex*$B$7</f>
        <v>1153010.25515137</v>
      </c>
    </row>
    <row r="15" customFormat="false" ht="15" hidden="false" customHeight="false" outlineLevel="0" collapsed="false">
      <c r="A15" s="10" t="s">
        <v>392</v>
      </c>
      <c r="B15" s="61" t="n">
        <f aca="false">HardCapexBase*LevCapex*$B$7</f>
        <v>1002617.6131751</v>
      </c>
    </row>
    <row r="16" customFormat="false" ht="15" hidden="false" customHeight="false" outlineLevel="0" collapsed="false">
      <c r="A16" s="10" t="s">
        <v>246</v>
      </c>
      <c r="B16" s="61" t="n">
        <f aca="false">MAX(0,S_Rate_Hi!$B$14-Grant)*SenPct</f>
        <v>110602.051030273</v>
      </c>
    </row>
    <row r="17" customFormat="false" ht="15" hidden="false" customHeight="false" outlineLevel="0" collapsed="false">
      <c r="A17" s="10" t="s">
        <v>248</v>
      </c>
      <c r="B17" s="61" t="n">
        <f aca="false">MAX(0,S_Rate_Hi!$B$14-Grant)*ConPct</f>
        <v>110602.051030273</v>
      </c>
    </row>
    <row r="18" customFormat="false" ht="15" hidden="false" customHeight="false" outlineLevel="0" collapsed="false">
      <c r="A18" s="10" t="s">
        <v>393</v>
      </c>
      <c r="B18" s="61" t="n">
        <f aca="false">MAX(0,S_Rate_Hi!$B$14-Grant-S_Rate_Hi!$B$16-S_Rate_Hi!$B$17)</f>
        <v>331806.153090819</v>
      </c>
    </row>
    <row r="19" customFormat="false" ht="15" hidden="false" customHeight="false" outlineLevel="0" collapsed="false">
      <c r="A19" s="10" t="s">
        <v>394</v>
      </c>
      <c r="B19" s="61" t="n">
        <f aca="false">C128</f>
        <v>8626.9599803613</v>
      </c>
    </row>
    <row r="20" customFormat="false" ht="15" hidden="false" customHeight="false" outlineLevel="0" collapsed="false">
      <c r="A20" s="10" t="s">
        <v>395</v>
      </c>
      <c r="B20" s="61" t="n">
        <f aca="false">$B$145</f>
        <v>-793132.367693456</v>
      </c>
    </row>
    <row r="21" customFormat="false" ht="15" hidden="false" customHeight="false" outlineLevel="0" collapsed="false">
      <c r="A21" s="10" t="s">
        <v>396</v>
      </c>
      <c r="B21" s="61" t="n">
        <f aca="false">$B$146</f>
        <v>24787.9929376486</v>
      </c>
    </row>
    <row r="22" customFormat="false" ht="15" hidden="false" customHeight="false" outlineLevel="0" collapsed="false">
      <c r="A22" s="10" t="s">
        <v>397</v>
      </c>
      <c r="B22" s="63" t="n">
        <f aca="false">IFERROR(IRR($C$145:$W$145),"n.d.")</f>
        <v>-0.035930891794335</v>
      </c>
    </row>
    <row r="23" customFormat="false" ht="15" hidden="false" customHeight="false" outlineLevel="0" collapsed="false">
      <c r="A23" s="10" t="s">
        <v>398</v>
      </c>
      <c r="B23" s="63" t="n">
        <f aca="false">IFERROR(IRR($C$146:$W$146),"n.d.")</f>
        <v>0.109727758924095</v>
      </c>
    </row>
    <row r="24" customFormat="false" ht="15" hidden="false" customHeight="false" outlineLevel="0" collapsed="false">
      <c r="A24" s="10" t="s">
        <v>384</v>
      </c>
      <c r="B24" s="61" t="n">
        <f aca="false">MAX(0,-$B$145)</f>
        <v>793132.367693456</v>
      </c>
    </row>
    <row r="25" customFormat="false" ht="15" hidden="false" customHeight="false" outlineLevel="0" collapsed="false">
      <c r="A25" s="10" t="s">
        <v>256</v>
      </c>
      <c r="B25" s="63" t="n">
        <f aca="false">IFERROR(IRR($C$149:$W$149),"n.d.")</f>
        <v>0.098579856411693</v>
      </c>
    </row>
    <row r="26" customFormat="false" ht="15" hidden="false" customHeight="false" outlineLevel="0" collapsed="false">
      <c r="A26" s="10" t="s">
        <v>258</v>
      </c>
      <c r="B26" s="61" t="n">
        <f aca="false">C149+NPV(TargetEqIRR,D149:W149)</f>
        <v>-70899.266056044</v>
      </c>
    </row>
    <row r="27" customFormat="false" ht="15" hidden="false" customHeight="false" outlineLevel="0" collapsed="false">
      <c r="A27" s="10" t="s">
        <v>252</v>
      </c>
      <c r="B27" s="62" t="n">
        <f aca="false">IF((S_Rate_Hi!$B$16+S_Rate_Hi!$B$17)&gt;0,MIN($D$148:$W$148),"pas de dette")</f>
        <v>1.29798103139178</v>
      </c>
    </row>
    <row r="28" customFormat="false" ht="15" hidden="false" customHeight="false" outlineLevel="0" collapsed="false">
      <c r="A28" s="10" t="s">
        <v>254</v>
      </c>
      <c r="B28" s="62" t="n">
        <f aca="false">IF((S_Rate_Hi!$B$16+S_Rate_Hi!$B$17)&gt;0,AVERAGE($D$148:$W$148),"pas de dette")</f>
        <v>2.73103806499312</v>
      </c>
    </row>
    <row r="29" customFormat="false" ht="15" hidden="false" customHeight="false" outlineLevel="0" collapsed="false">
      <c r="A29" s="10" t="s">
        <v>399</v>
      </c>
      <c r="B29" s="77" t="n">
        <f aca="false">IFERROR($B$153/$B$154,0)</f>
        <v>0.659357531986456</v>
      </c>
    </row>
    <row r="30" customFormat="false" ht="15" hidden="false" customHeight="false" outlineLevel="0" collapsed="false">
      <c r="A30" s="10" t="s">
        <v>255</v>
      </c>
      <c r="B30" s="77" t="n">
        <f aca="false">IFERROR($B$155/$B$154,0)</f>
        <v>0.44389628412399</v>
      </c>
    </row>
    <row r="31" customFormat="false" ht="15" hidden="false" customHeight="false" outlineLevel="0" collapsed="false">
      <c r="A31" s="10" t="s">
        <v>400</v>
      </c>
      <c r="B31" s="69" t="n">
        <f aca="false">NPV(Hurdle,D109:W109)</f>
        <v>838.820435762584</v>
      </c>
    </row>
    <row r="32" customFormat="false" ht="15" hidden="false" customHeight="false" outlineLevel="0" collapsed="false">
      <c r="A32" s="10" t="s">
        <v>401</v>
      </c>
      <c r="B32" s="61" t="n">
        <f aca="false">NPV(Hurdle,D108:W108)</f>
        <v>217920.360631104</v>
      </c>
    </row>
    <row r="33" customFormat="false" ht="15" hidden="false" customHeight="false" outlineLevel="0" collapsed="false">
      <c r="A33" s="10" t="s">
        <v>402</v>
      </c>
      <c r="B33" s="69" t="n">
        <f aca="false">NPV(TargetEqIRR,D109:W109)</f>
        <v>785.120407660064</v>
      </c>
    </row>
    <row r="34" customFormat="false" ht="15" hidden="false" customHeight="false" outlineLevel="0" collapsed="false">
      <c r="A34" s="10" t="s">
        <v>403</v>
      </c>
      <c r="B34" s="61" t="n">
        <f aca="false">NPV(TargetEqIRR,D108:W108)</f>
        <v>203969.425495192</v>
      </c>
    </row>
    <row r="35" customFormat="false" ht="15" hidden="false" customHeight="false" outlineLevel="0" collapsed="false">
      <c r="A35" s="10" t="s">
        <v>404</v>
      </c>
      <c r="B35" s="61" t="n">
        <f aca="false">MAX(0,MIN($D$127:$W$127))</f>
        <v>110327.160975322</v>
      </c>
    </row>
    <row r="36" customFormat="false" ht="15" hidden="false" customHeight="false" outlineLevel="0" collapsed="false">
      <c r="A36" s="10" t="s">
        <v>260</v>
      </c>
      <c r="B36" s="78" t="n">
        <f aca="false">IFERROR(MATCH(TRUE(),INDEX($C$150:$W$150&gt;=0,0),0)-1,"&gt; durée de vie")</f>
        <v>10</v>
      </c>
    </row>
    <row r="39" customFormat="false" ht="15" hidden="false" customHeight="false" outlineLevel="0" collapsed="false">
      <c r="A39" s="15" t="s">
        <v>405</v>
      </c>
      <c r="B39" s="67" t="s">
        <v>406</v>
      </c>
      <c r="C39" s="79" t="n">
        <v>0</v>
      </c>
      <c r="D39" s="79" t="n">
        <v>1</v>
      </c>
      <c r="E39" s="79" t="n">
        <v>2</v>
      </c>
      <c r="F39" s="79" t="n">
        <v>3</v>
      </c>
      <c r="G39" s="79" t="n">
        <v>4</v>
      </c>
      <c r="H39" s="79" t="n">
        <v>5</v>
      </c>
      <c r="I39" s="79" t="n">
        <v>6</v>
      </c>
      <c r="J39" s="79" t="n">
        <v>7</v>
      </c>
      <c r="K39" s="79" t="n">
        <v>8</v>
      </c>
      <c r="L39" s="79" t="n">
        <v>9</v>
      </c>
      <c r="M39" s="79" t="n">
        <v>10</v>
      </c>
      <c r="N39" s="79" t="n">
        <v>11</v>
      </c>
      <c r="O39" s="79" t="n">
        <v>12</v>
      </c>
      <c r="P39" s="79" t="n">
        <v>13</v>
      </c>
      <c r="Q39" s="79" t="n">
        <v>14</v>
      </c>
      <c r="R39" s="79" t="n">
        <v>15</v>
      </c>
      <c r="S39" s="79" t="n">
        <v>16</v>
      </c>
      <c r="T39" s="79" t="n">
        <v>17</v>
      </c>
      <c r="U39" s="79" t="n">
        <v>18</v>
      </c>
      <c r="V39" s="79" t="n">
        <v>19</v>
      </c>
      <c r="W39" s="79" t="n">
        <v>20</v>
      </c>
    </row>
    <row r="40" customFormat="false" ht="15" hidden="false" customHeight="false" outlineLevel="0" collapsed="false">
      <c r="A40" s="10" t="s">
        <v>407</v>
      </c>
      <c r="C40" s="80" t="n">
        <f aca="false">StartYear-1+C39</f>
        <v>2026</v>
      </c>
      <c r="D40" s="80" t="n">
        <f aca="false">StartYear-1+D39</f>
        <v>2027</v>
      </c>
      <c r="E40" s="80" t="n">
        <f aca="false">StartYear-1+E39</f>
        <v>2028</v>
      </c>
      <c r="F40" s="80" t="n">
        <f aca="false">StartYear-1+F39</f>
        <v>2029</v>
      </c>
      <c r="G40" s="80" t="n">
        <f aca="false">StartYear-1+G39</f>
        <v>2030</v>
      </c>
      <c r="H40" s="80" t="n">
        <f aca="false">StartYear-1+H39</f>
        <v>2031</v>
      </c>
      <c r="I40" s="80" t="n">
        <f aca="false">StartYear-1+I39</f>
        <v>2032</v>
      </c>
      <c r="J40" s="80" t="n">
        <f aca="false">StartYear-1+J39</f>
        <v>2033</v>
      </c>
      <c r="K40" s="80" t="n">
        <f aca="false">StartYear-1+K39</f>
        <v>2034</v>
      </c>
      <c r="L40" s="80" t="n">
        <f aca="false">StartYear-1+L39</f>
        <v>2035</v>
      </c>
      <c r="M40" s="80" t="n">
        <f aca="false">StartYear-1+M39</f>
        <v>2036</v>
      </c>
      <c r="N40" s="80" t="n">
        <f aca="false">StartYear-1+N39</f>
        <v>2037</v>
      </c>
      <c r="O40" s="80" t="n">
        <f aca="false">StartYear-1+O39</f>
        <v>2038</v>
      </c>
      <c r="P40" s="80" t="n">
        <f aca="false">StartYear-1+P39</f>
        <v>2039</v>
      </c>
      <c r="Q40" s="80" t="n">
        <f aca="false">StartYear-1+Q39</f>
        <v>2040</v>
      </c>
      <c r="R40" s="80" t="n">
        <f aca="false">StartYear-1+R39</f>
        <v>2041</v>
      </c>
      <c r="S40" s="80" t="n">
        <f aca="false">StartYear-1+S39</f>
        <v>2042</v>
      </c>
      <c r="T40" s="80" t="n">
        <f aca="false">StartYear-1+T39</f>
        <v>2043</v>
      </c>
      <c r="U40" s="80" t="n">
        <f aca="false">StartYear-1+U39</f>
        <v>2044</v>
      </c>
      <c r="V40" s="80" t="n">
        <f aca="false">StartYear-1+V39</f>
        <v>2045</v>
      </c>
      <c r="W40" s="80" t="n">
        <f aca="false">StartYear-1+W39</f>
        <v>2046</v>
      </c>
    </row>
    <row r="41" customFormat="false" ht="15" hidden="false" customHeight="false" outlineLevel="0" collapsed="false">
      <c r="A41" s="10" t="s">
        <v>408</v>
      </c>
      <c r="C41" s="80" t="n">
        <f aca="false">IF(AND(C39&gt;=1,C39&lt;=Life),1,0)</f>
        <v>0</v>
      </c>
      <c r="D41" s="80" t="n">
        <f aca="false">IF(AND(D39&gt;=1,D39&lt;=Life),1,0)</f>
        <v>1</v>
      </c>
      <c r="E41" s="80" t="n">
        <f aca="false">IF(AND(E39&gt;=1,E39&lt;=Life),1,0)</f>
        <v>1</v>
      </c>
      <c r="F41" s="80" t="n">
        <f aca="false">IF(AND(F39&gt;=1,F39&lt;=Life),1,0)</f>
        <v>1</v>
      </c>
      <c r="G41" s="80" t="n">
        <f aca="false">IF(AND(G39&gt;=1,G39&lt;=Life),1,0)</f>
        <v>1</v>
      </c>
      <c r="H41" s="80" t="n">
        <f aca="false">IF(AND(H39&gt;=1,H39&lt;=Life),1,0)</f>
        <v>1</v>
      </c>
      <c r="I41" s="80" t="n">
        <f aca="false">IF(AND(I39&gt;=1,I39&lt;=Life),1,0)</f>
        <v>1</v>
      </c>
      <c r="J41" s="80" t="n">
        <f aca="false">IF(AND(J39&gt;=1,J39&lt;=Life),1,0)</f>
        <v>1</v>
      </c>
      <c r="K41" s="80" t="n">
        <f aca="false">IF(AND(K39&gt;=1,K39&lt;=Life),1,0)</f>
        <v>1</v>
      </c>
      <c r="L41" s="80" t="n">
        <f aca="false">IF(AND(L39&gt;=1,L39&lt;=Life),1,0)</f>
        <v>1</v>
      </c>
      <c r="M41" s="80" t="n">
        <f aca="false">IF(AND(M39&gt;=1,M39&lt;=Life),1,0)</f>
        <v>1</v>
      </c>
      <c r="N41" s="80" t="n">
        <f aca="false">IF(AND(N39&gt;=1,N39&lt;=Life),1,0)</f>
        <v>1</v>
      </c>
      <c r="O41" s="80" t="n">
        <f aca="false">IF(AND(O39&gt;=1,O39&lt;=Life),1,0)</f>
        <v>1</v>
      </c>
      <c r="P41" s="80" t="n">
        <f aca="false">IF(AND(P39&gt;=1,P39&lt;=Life),1,0)</f>
        <v>1</v>
      </c>
      <c r="Q41" s="80" t="n">
        <f aca="false">IF(AND(Q39&gt;=1,Q39&lt;=Life),1,0)</f>
        <v>1</v>
      </c>
      <c r="R41" s="80" t="n">
        <f aca="false">IF(AND(R39&gt;=1,R39&lt;=Life),1,0)</f>
        <v>1</v>
      </c>
      <c r="S41" s="80" t="n">
        <f aca="false">IF(AND(S39&gt;=1,S39&lt;=Life),1,0)</f>
        <v>1</v>
      </c>
      <c r="T41" s="80" t="n">
        <f aca="false">IF(AND(T39&gt;=1,T39&lt;=Life),1,0)</f>
        <v>1</v>
      </c>
      <c r="U41" s="80" t="n">
        <f aca="false">IF(AND(U39&gt;=1,U39&lt;=Life),1,0)</f>
        <v>1</v>
      </c>
      <c r="V41" s="80" t="n">
        <f aca="false">IF(AND(V39&gt;=1,V39&lt;=Life),1,0)</f>
        <v>1</v>
      </c>
      <c r="W41" s="80" t="n">
        <f aca="false">IF(AND(W39&gt;=1,W39&lt;=Life),1,0)</f>
        <v>1</v>
      </c>
    </row>
    <row r="42" customFormat="false" ht="15" hidden="false" customHeight="false" outlineLevel="0" collapsed="false">
      <c r="A42" s="10" t="s">
        <v>409</v>
      </c>
      <c r="C42" s="81" t="n">
        <v>0</v>
      </c>
      <c r="D42" s="81" t="n">
        <f aca="false">IF(D39=1,Ramp1,IF(D39=2,Ramp2,Ramp3))*D41</f>
        <v>0.6</v>
      </c>
      <c r="E42" s="81" t="n">
        <f aca="false">IF(E39=1,Ramp1,IF(E39=2,Ramp2,Ramp3))*E41</f>
        <v>0.85</v>
      </c>
      <c r="F42" s="81" t="n">
        <f aca="false">IF(F39=1,Ramp1,IF(F39=2,Ramp2,Ramp3))*F41</f>
        <v>1</v>
      </c>
      <c r="G42" s="81" t="n">
        <f aca="false">IF(G39=1,Ramp1,IF(G39=2,Ramp2,Ramp3))*G41</f>
        <v>1</v>
      </c>
      <c r="H42" s="81" t="n">
        <f aca="false">IF(H39=1,Ramp1,IF(H39=2,Ramp2,Ramp3))*H41</f>
        <v>1</v>
      </c>
      <c r="I42" s="81" t="n">
        <f aca="false">IF(I39=1,Ramp1,IF(I39=2,Ramp2,Ramp3))*I41</f>
        <v>1</v>
      </c>
      <c r="J42" s="81" t="n">
        <f aca="false">IF(J39=1,Ramp1,IF(J39=2,Ramp2,Ramp3))*J41</f>
        <v>1</v>
      </c>
      <c r="K42" s="81" t="n">
        <f aca="false">IF(K39=1,Ramp1,IF(K39=2,Ramp2,Ramp3))*K41</f>
        <v>1</v>
      </c>
      <c r="L42" s="81" t="n">
        <f aca="false">IF(L39=1,Ramp1,IF(L39=2,Ramp2,Ramp3))*L41</f>
        <v>1</v>
      </c>
      <c r="M42" s="81" t="n">
        <f aca="false">IF(M39=1,Ramp1,IF(M39=2,Ramp2,Ramp3))*M41</f>
        <v>1</v>
      </c>
      <c r="N42" s="81" t="n">
        <f aca="false">IF(N39=1,Ramp1,IF(N39=2,Ramp2,Ramp3))*N41</f>
        <v>1</v>
      </c>
      <c r="O42" s="81" t="n">
        <f aca="false">IF(O39=1,Ramp1,IF(O39=2,Ramp2,Ramp3))*O41</f>
        <v>1</v>
      </c>
      <c r="P42" s="81" t="n">
        <f aca="false">IF(P39=1,Ramp1,IF(P39=2,Ramp2,Ramp3))*P41</f>
        <v>1</v>
      </c>
      <c r="Q42" s="81" t="n">
        <f aca="false">IF(Q39=1,Ramp1,IF(Q39=2,Ramp2,Ramp3))*Q41</f>
        <v>1</v>
      </c>
      <c r="R42" s="81" t="n">
        <f aca="false">IF(R39=1,Ramp1,IF(R39=2,Ramp2,Ramp3))*R41</f>
        <v>1</v>
      </c>
      <c r="S42" s="81" t="n">
        <f aca="false">IF(S39=1,Ramp1,IF(S39=2,Ramp2,Ramp3))*S41</f>
        <v>1</v>
      </c>
      <c r="T42" s="81" t="n">
        <f aca="false">IF(T39=1,Ramp1,IF(T39=2,Ramp2,Ramp3))*T41</f>
        <v>1</v>
      </c>
      <c r="U42" s="81" t="n">
        <f aca="false">IF(U39=1,Ramp1,IF(U39=2,Ramp2,Ramp3))*U41</f>
        <v>1</v>
      </c>
      <c r="V42" s="81" t="n">
        <f aca="false">IF(V39=1,Ramp1,IF(V39=2,Ramp2,Ramp3))*V41</f>
        <v>1</v>
      </c>
      <c r="W42" s="81" t="n">
        <f aca="false">IF(W39=1,Ramp1,IF(W39=2,Ramp2,Ramp3))*W41</f>
        <v>1</v>
      </c>
    </row>
    <row r="43" customFormat="false" ht="15" hidden="false" customHeight="false" outlineLevel="0" collapsed="false">
      <c r="A43" s="10" t="s">
        <v>410</v>
      </c>
      <c r="C43" s="82" t="n">
        <v>0</v>
      </c>
      <c r="D43" s="82" t="n">
        <f aca="false">(1+TariffEsc)^(D39-1)</f>
        <v>1</v>
      </c>
      <c r="E43" s="82" t="n">
        <f aca="false">(1+TariffEsc)^(E39-1)</f>
        <v>1.03</v>
      </c>
      <c r="F43" s="82" t="n">
        <f aca="false">(1+TariffEsc)^(F39-1)</f>
        <v>1.0609</v>
      </c>
      <c r="G43" s="82" t="n">
        <f aca="false">(1+TariffEsc)^(G39-1)</f>
        <v>1.092727</v>
      </c>
      <c r="H43" s="82" t="n">
        <f aca="false">(1+TariffEsc)^(H39-1)</f>
        <v>1.12550881</v>
      </c>
      <c r="I43" s="82" t="n">
        <f aca="false">(1+TariffEsc)^(I39-1)</f>
        <v>1.1592740743</v>
      </c>
      <c r="J43" s="82" t="n">
        <f aca="false">(1+TariffEsc)^(J39-1)</f>
        <v>1.194052296529</v>
      </c>
      <c r="K43" s="82" t="n">
        <f aca="false">(1+TariffEsc)^(K39-1)</f>
        <v>1.22987386542487</v>
      </c>
      <c r="L43" s="82" t="n">
        <f aca="false">(1+TariffEsc)^(L39-1)</f>
        <v>1.26677008138762</v>
      </c>
      <c r="M43" s="82" t="n">
        <f aca="false">(1+TariffEsc)^(M39-1)</f>
        <v>1.30477318382925</v>
      </c>
      <c r="N43" s="82" t="n">
        <f aca="false">(1+TariffEsc)^(N39-1)</f>
        <v>1.34391637934412</v>
      </c>
      <c r="O43" s="82" t="n">
        <f aca="false">(1+TariffEsc)^(O39-1)</f>
        <v>1.38423387072445</v>
      </c>
      <c r="P43" s="82" t="n">
        <f aca="false">(1+TariffEsc)^(P39-1)</f>
        <v>1.42576088684618</v>
      </c>
      <c r="Q43" s="82" t="n">
        <f aca="false">(1+TariffEsc)^(Q39-1)</f>
        <v>1.46853371345156</v>
      </c>
      <c r="R43" s="82" t="n">
        <f aca="false">(1+TariffEsc)^(R39-1)</f>
        <v>1.51258972485511</v>
      </c>
      <c r="S43" s="82" t="n">
        <f aca="false">(1+TariffEsc)^(S39-1)</f>
        <v>1.55796741660077</v>
      </c>
      <c r="T43" s="82" t="n">
        <f aca="false">(1+TariffEsc)^(T39-1)</f>
        <v>1.60470643909879</v>
      </c>
      <c r="U43" s="82" t="n">
        <f aca="false">(1+TariffEsc)^(U39-1)</f>
        <v>1.65284763227175</v>
      </c>
      <c r="V43" s="82" t="n">
        <f aca="false">(1+TariffEsc)^(V39-1)</f>
        <v>1.7024330612399</v>
      </c>
      <c r="W43" s="82" t="n">
        <f aca="false">(1+TariffEsc)^(W39-1)</f>
        <v>1.7535060530771</v>
      </c>
    </row>
    <row r="44" customFormat="false" ht="15" hidden="false" customHeight="false" outlineLevel="0" collapsed="false">
      <c r="A44" s="10" t="s">
        <v>411</v>
      </c>
      <c r="C44" s="82" t="n">
        <v>0</v>
      </c>
      <c r="D44" s="82" t="n">
        <f aca="false">(1+CostEsc)^(D39-1)</f>
        <v>1</v>
      </c>
      <c r="E44" s="82" t="n">
        <f aca="false">(1+CostEsc)^(E39-1)</f>
        <v>1.03</v>
      </c>
      <c r="F44" s="82" t="n">
        <f aca="false">(1+CostEsc)^(F39-1)</f>
        <v>1.0609</v>
      </c>
      <c r="G44" s="82" t="n">
        <f aca="false">(1+CostEsc)^(G39-1)</f>
        <v>1.092727</v>
      </c>
      <c r="H44" s="82" t="n">
        <f aca="false">(1+CostEsc)^(H39-1)</f>
        <v>1.12550881</v>
      </c>
      <c r="I44" s="82" t="n">
        <f aca="false">(1+CostEsc)^(I39-1)</f>
        <v>1.1592740743</v>
      </c>
      <c r="J44" s="82" t="n">
        <f aca="false">(1+CostEsc)^(J39-1)</f>
        <v>1.194052296529</v>
      </c>
      <c r="K44" s="82" t="n">
        <f aca="false">(1+CostEsc)^(K39-1)</f>
        <v>1.22987386542487</v>
      </c>
      <c r="L44" s="82" t="n">
        <f aca="false">(1+CostEsc)^(L39-1)</f>
        <v>1.26677008138762</v>
      </c>
      <c r="M44" s="82" t="n">
        <f aca="false">(1+CostEsc)^(M39-1)</f>
        <v>1.30477318382925</v>
      </c>
      <c r="N44" s="82" t="n">
        <f aca="false">(1+CostEsc)^(N39-1)</f>
        <v>1.34391637934412</v>
      </c>
      <c r="O44" s="82" t="n">
        <f aca="false">(1+CostEsc)^(O39-1)</f>
        <v>1.38423387072445</v>
      </c>
      <c r="P44" s="82" t="n">
        <f aca="false">(1+CostEsc)^(P39-1)</f>
        <v>1.42576088684618</v>
      </c>
      <c r="Q44" s="82" t="n">
        <f aca="false">(1+CostEsc)^(Q39-1)</f>
        <v>1.46853371345156</v>
      </c>
      <c r="R44" s="82" t="n">
        <f aca="false">(1+CostEsc)^(R39-1)</f>
        <v>1.51258972485511</v>
      </c>
      <c r="S44" s="82" t="n">
        <f aca="false">(1+CostEsc)^(S39-1)</f>
        <v>1.55796741660077</v>
      </c>
      <c r="T44" s="82" t="n">
        <f aca="false">(1+CostEsc)^(T39-1)</f>
        <v>1.60470643909879</v>
      </c>
      <c r="U44" s="82" t="n">
        <f aca="false">(1+CostEsc)^(U39-1)</f>
        <v>1.65284763227175</v>
      </c>
      <c r="V44" s="82" t="n">
        <f aca="false">(1+CostEsc)^(V39-1)</f>
        <v>1.7024330612399</v>
      </c>
      <c r="W44" s="82" t="n">
        <f aca="false">(1+CostEsc)^(W39-1)</f>
        <v>1.7535060530771</v>
      </c>
    </row>
    <row r="45" customFormat="false" ht="15" hidden="false" customHeight="false" outlineLevel="0" collapsed="false">
      <c r="A45" s="10" t="s">
        <v>412</v>
      </c>
      <c r="C45" s="82" t="n">
        <v>0</v>
      </c>
      <c r="D45" s="82" t="n">
        <f aca="false">(1+DemandGrowth)^(D39-1)*LevDemand*$B$6</f>
        <v>1</v>
      </c>
      <c r="E45" s="82" t="n">
        <f aca="false">(1+DemandGrowth)^(E39-1)*LevDemand*$B$6</f>
        <v>1.03</v>
      </c>
      <c r="F45" s="82" t="n">
        <f aca="false">(1+DemandGrowth)^(F39-1)*LevDemand*$B$6</f>
        <v>1.0609</v>
      </c>
      <c r="G45" s="82" t="n">
        <f aca="false">(1+DemandGrowth)^(G39-1)*LevDemand*$B$6</f>
        <v>1.092727</v>
      </c>
      <c r="H45" s="82" t="n">
        <f aca="false">(1+DemandGrowth)^(H39-1)*LevDemand*$B$6</f>
        <v>1.12550881</v>
      </c>
      <c r="I45" s="82" t="n">
        <f aca="false">(1+DemandGrowth)^(I39-1)*LevDemand*$B$6</f>
        <v>1.1592740743</v>
      </c>
      <c r="J45" s="82" t="n">
        <f aca="false">(1+DemandGrowth)^(J39-1)*LevDemand*$B$6</f>
        <v>1.194052296529</v>
      </c>
      <c r="K45" s="82" t="n">
        <f aca="false">(1+DemandGrowth)^(K39-1)*LevDemand*$B$6</f>
        <v>1.22987386542487</v>
      </c>
      <c r="L45" s="82" t="n">
        <f aca="false">(1+DemandGrowth)^(L39-1)*LevDemand*$B$6</f>
        <v>1.26677008138762</v>
      </c>
      <c r="M45" s="82" t="n">
        <f aca="false">(1+DemandGrowth)^(M39-1)*LevDemand*$B$6</f>
        <v>1.30477318382925</v>
      </c>
      <c r="N45" s="82" t="n">
        <f aca="false">(1+DemandGrowth)^(N39-1)*LevDemand*$B$6</f>
        <v>1.34391637934412</v>
      </c>
      <c r="O45" s="82" t="n">
        <f aca="false">(1+DemandGrowth)^(O39-1)*LevDemand*$B$6</f>
        <v>1.38423387072445</v>
      </c>
      <c r="P45" s="82" t="n">
        <f aca="false">(1+DemandGrowth)^(P39-1)*LevDemand*$B$6</f>
        <v>1.42576088684618</v>
      </c>
      <c r="Q45" s="82" t="n">
        <f aca="false">(1+DemandGrowth)^(Q39-1)*LevDemand*$B$6</f>
        <v>1.46853371345156</v>
      </c>
      <c r="R45" s="82" t="n">
        <f aca="false">(1+DemandGrowth)^(R39-1)*LevDemand*$B$6</f>
        <v>1.51258972485511</v>
      </c>
      <c r="S45" s="82" t="n">
        <f aca="false">(1+DemandGrowth)^(S39-1)*LevDemand*$B$6</f>
        <v>1.55796741660077</v>
      </c>
      <c r="T45" s="82" t="n">
        <f aca="false">(1+DemandGrowth)^(T39-1)*LevDemand*$B$6</f>
        <v>1.60470643909879</v>
      </c>
      <c r="U45" s="82" t="n">
        <f aca="false">(1+DemandGrowth)^(U39-1)*LevDemand*$B$6</f>
        <v>1.65284763227175</v>
      </c>
      <c r="V45" s="82" t="n">
        <f aca="false">(1+DemandGrowth)^(V39-1)*LevDemand*$B$6</f>
        <v>1.7024330612399</v>
      </c>
      <c r="W45" s="82" t="n">
        <f aca="false">(1+DemandGrowth)^(W39-1)*LevDemand*$B$6</f>
        <v>1.7535060530771</v>
      </c>
    </row>
    <row r="47" customFormat="false" ht="15" hidden="false" customHeight="false" outlineLevel="0" collapsed="false">
      <c r="A47" s="8" t="s">
        <v>413</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tr">
        <f aca="false">"Raccordements - "&amp;Seg1_Name</f>
        <v>Raccordements - Ménages</v>
      </c>
      <c r="C48" s="83" t="n">
        <v>0</v>
      </c>
      <c r="D48" s="83" t="n">
        <f aca="false">Seg1_N*D42</f>
        <v>480</v>
      </c>
      <c r="E48" s="83" t="n">
        <f aca="false">Seg1_N*E42</f>
        <v>680</v>
      </c>
      <c r="F48" s="83" t="n">
        <f aca="false">Seg1_N*F42</f>
        <v>800</v>
      </c>
      <c r="G48" s="83" t="n">
        <f aca="false">Seg1_N*G42</f>
        <v>800</v>
      </c>
      <c r="H48" s="83" t="n">
        <f aca="false">Seg1_N*H42</f>
        <v>800</v>
      </c>
      <c r="I48" s="83" t="n">
        <f aca="false">Seg1_N*I42</f>
        <v>800</v>
      </c>
      <c r="J48" s="83" t="n">
        <f aca="false">Seg1_N*J42</f>
        <v>800</v>
      </c>
      <c r="K48" s="83" t="n">
        <f aca="false">Seg1_N*K42</f>
        <v>800</v>
      </c>
      <c r="L48" s="83" t="n">
        <f aca="false">Seg1_N*L42</f>
        <v>800</v>
      </c>
      <c r="M48" s="83" t="n">
        <f aca="false">Seg1_N*M42</f>
        <v>800</v>
      </c>
      <c r="N48" s="83" t="n">
        <f aca="false">Seg1_N*N42</f>
        <v>800</v>
      </c>
      <c r="O48" s="83" t="n">
        <f aca="false">Seg1_N*O42</f>
        <v>800</v>
      </c>
      <c r="P48" s="83" t="n">
        <f aca="false">Seg1_N*P42</f>
        <v>800</v>
      </c>
      <c r="Q48" s="83" t="n">
        <f aca="false">Seg1_N*Q42</f>
        <v>800</v>
      </c>
      <c r="R48" s="83" t="n">
        <f aca="false">Seg1_N*R42</f>
        <v>800</v>
      </c>
      <c r="S48" s="83" t="n">
        <f aca="false">Seg1_N*S42</f>
        <v>800</v>
      </c>
      <c r="T48" s="83" t="n">
        <f aca="false">Seg1_N*T42</f>
        <v>800</v>
      </c>
      <c r="U48" s="83" t="n">
        <f aca="false">Seg1_N*U42</f>
        <v>800</v>
      </c>
      <c r="V48" s="83" t="n">
        <f aca="false">Seg1_N*V42</f>
        <v>800</v>
      </c>
      <c r="W48" s="83" t="n">
        <f aca="false">Seg1_N*W42</f>
        <v>800</v>
      </c>
    </row>
    <row r="49" customFormat="false" ht="15" hidden="false" customHeight="false" outlineLevel="0" collapsed="false">
      <c r="A49" s="10" t="str">
        <f aca="false">"Raccordements - "&amp;Seg2_Name</f>
        <v>Raccordements - Usagers productifs (moulins, soudure, chambres froides)</v>
      </c>
      <c r="C49" s="83" t="n">
        <v>0</v>
      </c>
      <c r="D49" s="83" t="n">
        <f aca="false">Seg2_N*D42</f>
        <v>36</v>
      </c>
      <c r="E49" s="83" t="n">
        <f aca="false">Seg2_N*E42</f>
        <v>51</v>
      </c>
      <c r="F49" s="83" t="n">
        <f aca="false">Seg2_N*F42</f>
        <v>60</v>
      </c>
      <c r="G49" s="83" t="n">
        <f aca="false">Seg2_N*G42</f>
        <v>60</v>
      </c>
      <c r="H49" s="83" t="n">
        <f aca="false">Seg2_N*H42</f>
        <v>60</v>
      </c>
      <c r="I49" s="83" t="n">
        <f aca="false">Seg2_N*I42</f>
        <v>60</v>
      </c>
      <c r="J49" s="83" t="n">
        <f aca="false">Seg2_N*J42</f>
        <v>60</v>
      </c>
      <c r="K49" s="83" t="n">
        <f aca="false">Seg2_N*K42</f>
        <v>60</v>
      </c>
      <c r="L49" s="83" t="n">
        <f aca="false">Seg2_N*L42</f>
        <v>60</v>
      </c>
      <c r="M49" s="83" t="n">
        <f aca="false">Seg2_N*M42</f>
        <v>60</v>
      </c>
      <c r="N49" s="83" t="n">
        <f aca="false">Seg2_N*N42</f>
        <v>60</v>
      </c>
      <c r="O49" s="83" t="n">
        <f aca="false">Seg2_N*O42</f>
        <v>60</v>
      </c>
      <c r="P49" s="83" t="n">
        <f aca="false">Seg2_N*P42</f>
        <v>60</v>
      </c>
      <c r="Q49" s="83" t="n">
        <f aca="false">Seg2_N*Q42</f>
        <v>60</v>
      </c>
      <c r="R49" s="83" t="n">
        <f aca="false">Seg2_N*R42</f>
        <v>60</v>
      </c>
      <c r="S49" s="83" t="n">
        <f aca="false">Seg2_N*S42</f>
        <v>60</v>
      </c>
      <c r="T49" s="83" t="n">
        <f aca="false">Seg2_N*T42</f>
        <v>60</v>
      </c>
      <c r="U49" s="83" t="n">
        <f aca="false">Seg2_N*U42</f>
        <v>60</v>
      </c>
      <c r="V49" s="83" t="n">
        <f aca="false">Seg2_N*V42</f>
        <v>60</v>
      </c>
      <c r="W49" s="83" t="n">
        <f aca="false">Seg2_N*W42</f>
        <v>60</v>
      </c>
    </row>
    <row r="50" customFormat="false" ht="15" hidden="false" customHeight="false" outlineLevel="0" collapsed="false">
      <c r="A50" s="10" t="str">
        <f aca="false">"Raccordements - "&amp;Seg3_Name</f>
        <v>Raccordements - Commerces (boutiques, bars, kiosques)</v>
      </c>
      <c r="C50" s="83" t="n">
        <v>0</v>
      </c>
      <c r="D50" s="83" t="n">
        <f aca="false">Seg3_N*D42</f>
        <v>60</v>
      </c>
      <c r="E50" s="83" t="n">
        <f aca="false">Seg3_N*E42</f>
        <v>85</v>
      </c>
      <c r="F50" s="83" t="n">
        <f aca="false">Seg3_N*F42</f>
        <v>100</v>
      </c>
      <c r="G50" s="83" t="n">
        <f aca="false">Seg3_N*G42</f>
        <v>100</v>
      </c>
      <c r="H50" s="83" t="n">
        <f aca="false">Seg3_N*H42</f>
        <v>100</v>
      </c>
      <c r="I50" s="83" t="n">
        <f aca="false">Seg3_N*I42</f>
        <v>100</v>
      </c>
      <c r="J50" s="83" t="n">
        <f aca="false">Seg3_N*J42</f>
        <v>100</v>
      </c>
      <c r="K50" s="83" t="n">
        <f aca="false">Seg3_N*K42</f>
        <v>100</v>
      </c>
      <c r="L50" s="83" t="n">
        <f aca="false">Seg3_N*L42</f>
        <v>100</v>
      </c>
      <c r="M50" s="83" t="n">
        <f aca="false">Seg3_N*M42</f>
        <v>100</v>
      </c>
      <c r="N50" s="83" t="n">
        <f aca="false">Seg3_N*N42</f>
        <v>100</v>
      </c>
      <c r="O50" s="83" t="n">
        <f aca="false">Seg3_N*O42</f>
        <v>100</v>
      </c>
      <c r="P50" s="83" t="n">
        <f aca="false">Seg3_N*P42</f>
        <v>100</v>
      </c>
      <c r="Q50" s="83" t="n">
        <f aca="false">Seg3_N*Q42</f>
        <v>100</v>
      </c>
      <c r="R50" s="83" t="n">
        <f aca="false">Seg3_N*R42</f>
        <v>100</v>
      </c>
      <c r="S50" s="83" t="n">
        <f aca="false">Seg3_N*S42</f>
        <v>100</v>
      </c>
      <c r="T50" s="83" t="n">
        <f aca="false">Seg3_N*T42</f>
        <v>100</v>
      </c>
      <c r="U50" s="83" t="n">
        <f aca="false">Seg3_N*U42</f>
        <v>100</v>
      </c>
      <c r="V50" s="83" t="n">
        <f aca="false">Seg3_N*V42</f>
        <v>100</v>
      </c>
      <c r="W50" s="83" t="n">
        <f aca="false">Seg3_N*W42</f>
        <v>100</v>
      </c>
    </row>
    <row r="51" customFormat="false" ht="15" hidden="false" customHeight="false" outlineLevel="0" collapsed="false">
      <c r="A51" s="10" t="str">
        <f aca="false">"Raccordements - "&amp;Seg4_Name</f>
        <v>Raccordements - Institutions (centre de santé, école, eau)</v>
      </c>
      <c r="C51" s="83" t="n">
        <v>0</v>
      </c>
      <c r="D51" s="83" t="n">
        <f aca="false">Seg4_N*D42</f>
        <v>6</v>
      </c>
      <c r="E51" s="83" t="n">
        <f aca="false">Seg4_N*E42</f>
        <v>8.5</v>
      </c>
      <c r="F51" s="83" t="n">
        <f aca="false">Seg4_N*F42</f>
        <v>10</v>
      </c>
      <c r="G51" s="83" t="n">
        <f aca="false">Seg4_N*G42</f>
        <v>10</v>
      </c>
      <c r="H51" s="83" t="n">
        <f aca="false">Seg4_N*H42</f>
        <v>10</v>
      </c>
      <c r="I51" s="83" t="n">
        <f aca="false">Seg4_N*I42</f>
        <v>10</v>
      </c>
      <c r="J51" s="83" t="n">
        <f aca="false">Seg4_N*J42</f>
        <v>10</v>
      </c>
      <c r="K51" s="83" t="n">
        <f aca="false">Seg4_N*K42</f>
        <v>10</v>
      </c>
      <c r="L51" s="83" t="n">
        <f aca="false">Seg4_N*L42</f>
        <v>10</v>
      </c>
      <c r="M51" s="83" t="n">
        <f aca="false">Seg4_N*M42</f>
        <v>10</v>
      </c>
      <c r="N51" s="83" t="n">
        <f aca="false">Seg4_N*N42</f>
        <v>10</v>
      </c>
      <c r="O51" s="83" t="n">
        <f aca="false">Seg4_N*O42</f>
        <v>10</v>
      </c>
      <c r="P51" s="83" t="n">
        <f aca="false">Seg4_N*P42</f>
        <v>10</v>
      </c>
      <c r="Q51" s="83" t="n">
        <f aca="false">Seg4_N*Q42</f>
        <v>10</v>
      </c>
      <c r="R51" s="83" t="n">
        <f aca="false">Seg4_N*R42</f>
        <v>10</v>
      </c>
      <c r="S51" s="83" t="n">
        <f aca="false">Seg4_N*S42</f>
        <v>10</v>
      </c>
      <c r="T51" s="83" t="n">
        <f aca="false">Seg4_N*T42</f>
        <v>10</v>
      </c>
      <c r="U51" s="83" t="n">
        <f aca="false">Seg4_N*U42</f>
        <v>10</v>
      </c>
      <c r="V51" s="83" t="n">
        <f aca="false">Seg4_N*V42</f>
        <v>10</v>
      </c>
      <c r="W51" s="83" t="n">
        <f aca="false">Seg4_N*W42</f>
        <v>10</v>
      </c>
    </row>
    <row r="52" customFormat="false" ht="15" hidden="false" customHeight="false" outlineLevel="0" collapsed="false">
      <c r="A52" s="10" t="str">
        <f aca="false">"Raccordements - "&amp;Seg5_Name</f>
        <v>Raccordements - Autre / personnalisé</v>
      </c>
      <c r="C52" s="83" t="n">
        <v>0</v>
      </c>
      <c r="D52" s="83" t="n">
        <f aca="false">Seg5_N*D42</f>
        <v>0</v>
      </c>
      <c r="E52" s="83" t="n">
        <f aca="false">Seg5_N*E42</f>
        <v>0</v>
      </c>
      <c r="F52" s="83" t="n">
        <f aca="false">Seg5_N*F42</f>
        <v>0</v>
      </c>
      <c r="G52" s="83" t="n">
        <f aca="false">Seg5_N*G42</f>
        <v>0</v>
      </c>
      <c r="H52" s="83" t="n">
        <f aca="false">Seg5_N*H42</f>
        <v>0</v>
      </c>
      <c r="I52" s="83" t="n">
        <f aca="false">Seg5_N*I42</f>
        <v>0</v>
      </c>
      <c r="J52" s="83" t="n">
        <f aca="false">Seg5_N*J42</f>
        <v>0</v>
      </c>
      <c r="K52" s="83" t="n">
        <f aca="false">Seg5_N*K42</f>
        <v>0</v>
      </c>
      <c r="L52" s="83" t="n">
        <f aca="false">Seg5_N*L42</f>
        <v>0</v>
      </c>
      <c r="M52" s="83" t="n">
        <f aca="false">Seg5_N*M42</f>
        <v>0</v>
      </c>
      <c r="N52" s="83" t="n">
        <f aca="false">Seg5_N*N42</f>
        <v>0</v>
      </c>
      <c r="O52" s="83" t="n">
        <f aca="false">Seg5_N*O42</f>
        <v>0</v>
      </c>
      <c r="P52" s="83" t="n">
        <f aca="false">Seg5_N*P42</f>
        <v>0</v>
      </c>
      <c r="Q52" s="83" t="n">
        <f aca="false">Seg5_N*Q42</f>
        <v>0</v>
      </c>
      <c r="R52" s="83" t="n">
        <f aca="false">Seg5_N*R42</f>
        <v>0</v>
      </c>
      <c r="S52" s="83" t="n">
        <f aca="false">Seg5_N*S42</f>
        <v>0</v>
      </c>
      <c r="T52" s="83" t="n">
        <f aca="false">Seg5_N*T42</f>
        <v>0</v>
      </c>
      <c r="U52" s="83" t="n">
        <f aca="false">Seg5_N*U42</f>
        <v>0</v>
      </c>
      <c r="V52" s="83" t="n">
        <f aca="false">Seg5_N*V42</f>
        <v>0</v>
      </c>
      <c r="W52" s="83" t="n">
        <f aca="false">Seg5_N*W42</f>
        <v>0</v>
      </c>
    </row>
    <row r="53" customFormat="false" ht="15" hidden="false" customHeight="false" outlineLevel="0" collapsed="false">
      <c r="A53" s="15" t="s">
        <v>414</v>
      </c>
      <c r="C53" s="27" t="n">
        <f aca="false">C48+C49+C50+C51+C52</f>
        <v>0</v>
      </c>
      <c r="D53" s="27" t="n">
        <f aca="false">D48+D49+D50+D51+D52</f>
        <v>582</v>
      </c>
      <c r="E53" s="27" t="n">
        <f aca="false">E48+E49+E50+E51+E52</f>
        <v>824.5</v>
      </c>
      <c r="F53" s="27" t="n">
        <f aca="false">F48+F49+F50+F51+F52</f>
        <v>970</v>
      </c>
      <c r="G53" s="27" t="n">
        <f aca="false">G48+G49+G50+G51+G52</f>
        <v>970</v>
      </c>
      <c r="H53" s="27" t="n">
        <f aca="false">H48+H49+H50+H51+H52</f>
        <v>970</v>
      </c>
      <c r="I53" s="27" t="n">
        <f aca="false">I48+I49+I50+I51+I52</f>
        <v>970</v>
      </c>
      <c r="J53" s="27" t="n">
        <f aca="false">J48+J49+J50+J51+J52</f>
        <v>970</v>
      </c>
      <c r="K53" s="27" t="n">
        <f aca="false">K48+K49+K50+K51+K52</f>
        <v>970</v>
      </c>
      <c r="L53" s="27" t="n">
        <f aca="false">L48+L49+L50+L51+L52</f>
        <v>970</v>
      </c>
      <c r="M53" s="27" t="n">
        <f aca="false">M48+M49+M50+M51+M52</f>
        <v>970</v>
      </c>
      <c r="N53" s="27" t="n">
        <f aca="false">N48+N49+N50+N51+N52</f>
        <v>970</v>
      </c>
      <c r="O53" s="27" t="n">
        <f aca="false">O48+O49+O50+O51+O52</f>
        <v>970</v>
      </c>
      <c r="P53" s="27" t="n">
        <f aca="false">P48+P49+P50+P51+P52</f>
        <v>970</v>
      </c>
      <c r="Q53" s="27" t="n">
        <f aca="false">Q48+Q49+Q50+Q51+Q52</f>
        <v>970</v>
      </c>
      <c r="R53" s="27" t="n">
        <f aca="false">R48+R49+R50+R51+R52</f>
        <v>970</v>
      </c>
      <c r="S53" s="27" t="n">
        <f aca="false">S48+S49+S50+S51+S52</f>
        <v>970</v>
      </c>
      <c r="T53" s="27" t="n">
        <f aca="false">T48+T49+T50+T51+T52</f>
        <v>970</v>
      </c>
      <c r="U53" s="27" t="n">
        <f aca="false">U48+U49+U50+U51+U52</f>
        <v>970</v>
      </c>
      <c r="V53" s="27" t="n">
        <f aca="false">V48+V49+V50+V51+V52</f>
        <v>970</v>
      </c>
      <c r="W53" s="27" t="n">
        <f aca="false">W48+W49+W50+W51+W52</f>
        <v>970</v>
      </c>
    </row>
    <row r="54" customFormat="false" ht="15" hidden="false" customHeight="false" outlineLevel="0" collapsed="false">
      <c r="A54" s="10" t="str">
        <f aca="false">"Nouveaux raccordements - "&amp;Seg1_Name</f>
        <v>Nouveaux raccordements - Ménages</v>
      </c>
      <c r="B54" s="69" t="n">
        <f aca="false">SUM(C54:W54)</f>
        <v>800</v>
      </c>
      <c r="C54" s="84" t="n">
        <v>0</v>
      </c>
      <c r="D54" s="84" t="n">
        <f aca="false">MAX(0,D48-C48)</f>
        <v>480</v>
      </c>
      <c r="E54" s="84" t="n">
        <f aca="false">MAX(0,E48-D48)</f>
        <v>200</v>
      </c>
      <c r="F54" s="84" t="n">
        <f aca="false">MAX(0,F48-E48)</f>
        <v>120</v>
      </c>
      <c r="G54" s="84" t="n">
        <f aca="false">MAX(0,G48-F48)</f>
        <v>0</v>
      </c>
      <c r="H54" s="84" t="n">
        <f aca="false">MAX(0,H48-G48)</f>
        <v>0</v>
      </c>
      <c r="I54" s="84" t="n">
        <f aca="false">MAX(0,I48-H48)</f>
        <v>0</v>
      </c>
      <c r="J54" s="84" t="n">
        <f aca="false">MAX(0,J48-I48)</f>
        <v>0</v>
      </c>
      <c r="K54" s="84" t="n">
        <f aca="false">MAX(0,K48-J48)</f>
        <v>0</v>
      </c>
      <c r="L54" s="84" t="n">
        <f aca="false">MAX(0,L48-K48)</f>
        <v>0</v>
      </c>
      <c r="M54" s="84" t="n">
        <f aca="false">MAX(0,M48-L48)</f>
        <v>0</v>
      </c>
      <c r="N54" s="84" t="n">
        <f aca="false">MAX(0,N48-M48)</f>
        <v>0</v>
      </c>
      <c r="O54" s="84" t="n">
        <f aca="false">MAX(0,O48-N48)</f>
        <v>0</v>
      </c>
      <c r="P54" s="84" t="n">
        <f aca="false">MAX(0,P48-O48)</f>
        <v>0</v>
      </c>
      <c r="Q54" s="84" t="n">
        <f aca="false">MAX(0,Q48-P48)</f>
        <v>0</v>
      </c>
      <c r="R54" s="84" t="n">
        <f aca="false">MAX(0,R48-Q48)</f>
        <v>0</v>
      </c>
      <c r="S54" s="84" t="n">
        <f aca="false">MAX(0,S48-R48)</f>
        <v>0</v>
      </c>
      <c r="T54" s="84" t="n">
        <f aca="false">MAX(0,T48-S48)</f>
        <v>0</v>
      </c>
      <c r="U54" s="84" t="n">
        <f aca="false">MAX(0,U48-T48)</f>
        <v>0</v>
      </c>
      <c r="V54" s="84" t="n">
        <f aca="false">MAX(0,V48-U48)</f>
        <v>0</v>
      </c>
      <c r="W54" s="84" t="n">
        <f aca="false">MAX(0,W48-V48)</f>
        <v>0</v>
      </c>
    </row>
    <row r="55" customFormat="false" ht="15" hidden="false" customHeight="false" outlineLevel="0" collapsed="false">
      <c r="A55" s="10" t="str">
        <f aca="false">"Nouveaux raccordements - "&amp;Seg2_Name</f>
        <v>Nouveaux raccordements - Usagers productifs (moulins, soudure, chambres froides)</v>
      </c>
      <c r="B55" s="69" t="n">
        <f aca="false">SUM(C55:W55)</f>
        <v>60</v>
      </c>
      <c r="C55" s="84" t="n">
        <v>0</v>
      </c>
      <c r="D55" s="84" t="n">
        <f aca="false">MAX(0,D49-C49)</f>
        <v>36</v>
      </c>
      <c r="E55" s="84" t="n">
        <f aca="false">MAX(0,E49-D49)</f>
        <v>15</v>
      </c>
      <c r="F55" s="84" t="n">
        <f aca="false">MAX(0,F49-E49)</f>
        <v>9</v>
      </c>
      <c r="G55" s="84" t="n">
        <f aca="false">MAX(0,G49-F49)</f>
        <v>0</v>
      </c>
      <c r="H55" s="84" t="n">
        <f aca="false">MAX(0,H49-G49)</f>
        <v>0</v>
      </c>
      <c r="I55" s="84" t="n">
        <f aca="false">MAX(0,I49-H49)</f>
        <v>0</v>
      </c>
      <c r="J55" s="84" t="n">
        <f aca="false">MAX(0,J49-I49)</f>
        <v>0</v>
      </c>
      <c r="K55" s="84" t="n">
        <f aca="false">MAX(0,K49-J49)</f>
        <v>0</v>
      </c>
      <c r="L55" s="84" t="n">
        <f aca="false">MAX(0,L49-K49)</f>
        <v>0</v>
      </c>
      <c r="M55" s="84" t="n">
        <f aca="false">MAX(0,M49-L49)</f>
        <v>0</v>
      </c>
      <c r="N55" s="84" t="n">
        <f aca="false">MAX(0,N49-M49)</f>
        <v>0</v>
      </c>
      <c r="O55" s="84" t="n">
        <f aca="false">MAX(0,O49-N49)</f>
        <v>0</v>
      </c>
      <c r="P55" s="84" t="n">
        <f aca="false">MAX(0,P49-O49)</f>
        <v>0</v>
      </c>
      <c r="Q55" s="84" t="n">
        <f aca="false">MAX(0,Q49-P49)</f>
        <v>0</v>
      </c>
      <c r="R55" s="84" t="n">
        <f aca="false">MAX(0,R49-Q49)</f>
        <v>0</v>
      </c>
      <c r="S55" s="84" t="n">
        <f aca="false">MAX(0,S49-R49)</f>
        <v>0</v>
      </c>
      <c r="T55" s="84" t="n">
        <f aca="false">MAX(0,T49-S49)</f>
        <v>0</v>
      </c>
      <c r="U55" s="84" t="n">
        <f aca="false">MAX(0,U49-T49)</f>
        <v>0</v>
      </c>
      <c r="V55" s="84" t="n">
        <f aca="false">MAX(0,V49-U49)</f>
        <v>0</v>
      </c>
      <c r="W55" s="84" t="n">
        <f aca="false">MAX(0,W49-V49)</f>
        <v>0</v>
      </c>
    </row>
    <row r="56" customFormat="false" ht="15" hidden="false" customHeight="false" outlineLevel="0" collapsed="false">
      <c r="A56" s="10" t="str">
        <f aca="false">"Nouveaux raccordements - "&amp;Seg3_Name</f>
        <v>Nouveaux raccordements - Commerces (boutiques, bars, kiosques)</v>
      </c>
      <c r="B56" s="69" t="n">
        <f aca="false">SUM(C56:W56)</f>
        <v>100</v>
      </c>
      <c r="C56" s="84" t="n">
        <v>0</v>
      </c>
      <c r="D56" s="84" t="n">
        <f aca="false">MAX(0,D50-C50)</f>
        <v>60</v>
      </c>
      <c r="E56" s="84" t="n">
        <f aca="false">MAX(0,E50-D50)</f>
        <v>25</v>
      </c>
      <c r="F56" s="84" t="n">
        <f aca="false">MAX(0,F50-E50)</f>
        <v>15</v>
      </c>
      <c r="G56" s="84" t="n">
        <f aca="false">MAX(0,G50-F50)</f>
        <v>0</v>
      </c>
      <c r="H56" s="84" t="n">
        <f aca="false">MAX(0,H50-G50)</f>
        <v>0</v>
      </c>
      <c r="I56" s="84" t="n">
        <f aca="false">MAX(0,I50-H50)</f>
        <v>0</v>
      </c>
      <c r="J56" s="84" t="n">
        <f aca="false">MAX(0,J50-I50)</f>
        <v>0</v>
      </c>
      <c r="K56" s="84" t="n">
        <f aca="false">MAX(0,K50-J50)</f>
        <v>0</v>
      </c>
      <c r="L56" s="84" t="n">
        <f aca="false">MAX(0,L50-K50)</f>
        <v>0</v>
      </c>
      <c r="M56" s="84" t="n">
        <f aca="false">MAX(0,M50-L50)</f>
        <v>0</v>
      </c>
      <c r="N56" s="84" t="n">
        <f aca="false">MAX(0,N50-M50)</f>
        <v>0</v>
      </c>
      <c r="O56" s="84" t="n">
        <f aca="false">MAX(0,O50-N50)</f>
        <v>0</v>
      </c>
      <c r="P56" s="84" t="n">
        <f aca="false">MAX(0,P50-O50)</f>
        <v>0</v>
      </c>
      <c r="Q56" s="84" t="n">
        <f aca="false">MAX(0,Q50-P50)</f>
        <v>0</v>
      </c>
      <c r="R56" s="84" t="n">
        <f aca="false">MAX(0,R50-Q50)</f>
        <v>0</v>
      </c>
      <c r="S56" s="84" t="n">
        <f aca="false">MAX(0,S50-R50)</f>
        <v>0</v>
      </c>
      <c r="T56" s="84" t="n">
        <f aca="false">MAX(0,T50-S50)</f>
        <v>0</v>
      </c>
      <c r="U56" s="84" t="n">
        <f aca="false">MAX(0,U50-T50)</f>
        <v>0</v>
      </c>
      <c r="V56" s="84" t="n">
        <f aca="false">MAX(0,V50-U50)</f>
        <v>0</v>
      </c>
      <c r="W56" s="84" t="n">
        <f aca="false">MAX(0,W50-V50)</f>
        <v>0</v>
      </c>
    </row>
    <row r="57" customFormat="false" ht="15" hidden="false" customHeight="false" outlineLevel="0" collapsed="false">
      <c r="A57" s="10" t="str">
        <f aca="false">"Nouveaux raccordements - "&amp;Seg4_Name</f>
        <v>Nouveaux raccordements - Institutions (centre de santé, école, eau)</v>
      </c>
      <c r="B57" s="69" t="n">
        <f aca="false">SUM(C57:W57)</f>
        <v>10</v>
      </c>
      <c r="C57" s="84" t="n">
        <v>0</v>
      </c>
      <c r="D57" s="84" t="n">
        <f aca="false">MAX(0,D51-C51)</f>
        <v>6</v>
      </c>
      <c r="E57" s="84" t="n">
        <f aca="false">MAX(0,E51-D51)</f>
        <v>2.5</v>
      </c>
      <c r="F57" s="84" t="n">
        <f aca="false">MAX(0,F51-E51)</f>
        <v>1.5</v>
      </c>
      <c r="G57" s="84" t="n">
        <f aca="false">MAX(0,G51-F51)</f>
        <v>0</v>
      </c>
      <c r="H57" s="84" t="n">
        <f aca="false">MAX(0,H51-G51)</f>
        <v>0</v>
      </c>
      <c r="I57" s="84" t="n">
        <f aca="false">MAX(0,I51-H51)</f>
        <v>0</v>
      </c>
      <c r="J57" s="84" t="n">
        <f aca="false">MAX(0,J51-I51)</f>
        <v>0</v>
      </c>
      <c r="K57" s="84" t="n">
        <f aca="false">MAX(0,K51-J51)</f>
        <v>0</v>
      </c>
      <c r="L57" s="84" t="n">
        <f aca="false">MAX(0,L51-K51)</f>
        <v>0</v>
      </c>
      <c r="M57" s="84" t="n">
        <f aca="false">MAX(0,M51-L51)</f>
        <v>0</v>
      </c>
      <c r="N57" s="84" t="n">
        <f aca="false">MAX(0,N51-M51)</f>
        <v>0</v>
      </c>
      <c r="O57" s="84" t="n">
        <f aca="false">MAX(0,O51-N51)</f>
        <v>0</v>
      </c>
      <c r="P57" s="84" t="n">
        <f aca="false">MAX(0,P51-O51)</f>
        <v>0</v>
      </c>
      <c r="Q57" s="84" t="n">
        <f aca="false">MAX(0,Q51-P51)</f>
        <v>0</v>
      </c>
      <c r="R57" s="84" t="n">
        <f aca="false">MAX(0,R51-Q51)</f>
        <v>0</v>
      </c>
      <c r="S57" s="84" t="n">
        <f aca="false">MAX(0,S51-R51)</f>
        <v>0</v>
      </c>
      <c r="T57" s="84" t="n">
        <f aca="false">MAX(0,T51-S51)</f>
        <v>0</v>
      </c>
      <c r="U57" s="84" t="n">
        <f aca="false">MAX(0,U51-T51)</f>
        <v>0</v>
      </c>
      <c r="V57" s="84" t="n">
        <f aca="false">MAX(0,V51-U51)</f>
        <v>0</v>
      </c>
      <c r="W57" s="84" t="n">
        <f aca="false">MAX(0,W51-V51)</f>
        <v>0</v>
      </c>
    </row>
    <row r="58" customFormat="false" ht="15" hidden="false" customHeight="false" outlineLevel="0" collapsed="false">
      <c r="A58" s="10" t="str">
        <f aca="false">"Nouveaux raccordements - "&amp;Seg5_Name</f>
        <v>Nouveaux raccordements - Autre / personnalisé</v>
      </c>
      <c r="B58" s="69" t="n">
        <f aca="false">SUM(C58:W58)</f>
        <v>0</v>
      </c>
      <c r="C58" s="84" t="n">
        <v>0</v>
      </c>
      <c r="D58" s="84" t="n">
        <f aca="false">MAX(0,D52-C52)</f>
        <v>0</v>
      </c>
      <c r="E58" s="84" t="n">
        <f aca="false">MAX(0,E52-D52)</f>
        <v>0</v>
      </c>
      <c r="F58" s="84" t="n">
        <f aca="false">MAX(0,F52-E52)</f>
        <v>0</v>
      </c>
      <c r="G58" s="84" t="n">
        <f aca="false">MAX(0,G52-F52)</f>
        <v>0</v>
      </c>
      <c r="H58" s="84" t="n">
        <f aca="false">MAX(0,H52-G52)</f>
        <v>0</v>
      </c>
      <c r="I58" s="84" t="n">
        <f aca="false">MAX(0,I52-H52)</f>
        <v>0</v>
      </c>
      <c r="J58" s="84" t="n">
        <f aca="false">MAX(0,J52-I52)</f>
        <v>0</v>
      </c>
      <c r="K58" s="84" t="n">
        <f aca="false">MAX(0,K52-J52)</f>
        <v>0</v>
      </c>
      <c r="L58" s="84" t="n">
        <f aca="false">MAX(0,L52-K52)</f>
        <v>0</v>
      </c>
      <c r="M58" s="84" t="n">
        <f aca="false">MAX(0,M52-L52)</f>
        <v>0</v>
      </c>
      <c r="N58" s="84" t="n">
        <f aca="false">MAX(0,N52-M52)</f>
        <v>0</v>
      </c>
      <c r="O58" s="84" t="n">
        <f aca="false">MAX(0,O52-N52)</f>
        <v>0</v>
      </c>
      <c r="P58" s="84" t="n">
        <f aca="false">MAX(0,P52-O52)</f>
        <v>0</v>
      </c>
      <c r="Q58" s="84" t="n">
        <f aca="false">MAX(0,Q52-P52)</f>
        <v>0</v>
      </c>
      <c r="R58" s="84" t="n">
        <f aca="false">MAX(0,R52-Q52)</f>
        <v>0</v>
      </c>
      <c r="S58" s="84" t="n">
        <f aca="false">MAX(0,S52-R52)</f>
        <v>0</v>
      </c>
      <c r="T58" s="84" t="n">
        <f aca="false">MAX(0,T52-S52)</f>
        <v>0</v>
      </c>
      <c r="U58" s="84" t="n">
        <f aca="false">MAX(0,U52-T52)</f>
        <v>0</v>
      </c>
      <c r="V58" s="84" t="n">
        <f aca="false">MAX(0,V52-U52)</f>
        <v>0</v>
      </c>
      <c r="W58" s="84" t="n">
        <f aca="false">MAX(0,W52-V52)</f>
        <v>0</v>
      </c>
    </row>
    <row r="59" customFormat="false" ht="15" hidden="false" customHeight="false" outlineLevel="0" collapsed="false">
      <c r="A59" s="15" t="s">
        <v>415</v>
      </c>
      <c r="B59" s="61" t="n">
        <f aca="false">SUM(C59:W59)</f>
        <v>970</v>
      </c>
      <c r="C59" s="27" t="n">
        <f aca="false">C54+C55+C56+C57+C58</f>
        <v>0</v>
      </c>
      <c r="D59" s="27" t="n">
        <f aca="false">D54+D55+D56+D57+D58</f>
        <v>582</v>
      </c>
      <c r="E59" s="27" t="n">
        <f aca="false">E54+E55+E56+E57+E58</f>
        <v>242.5</v>
      </c>
      <c r="F59" s="27" t="n">
        <f aca="false">F54+F55+F56+F57+F58</f>
        <v>145.5</v>
      </c>
      <c r="G59" s="27" t="n">
        <f aca="false">G54+G55+G56+G57+G58</f>
        <v>0</v>
      </c>
      <c r="H59" s="27" t="n">
        <f aca="false">H54+H55+H56+H57+H58</f>
        <v>0</v>
      </c>
      <c r="I59" s="27" t="n">
        <f aca="false">I54+I55+I56+I57+I58</f>
        <v>0</v>
      </c>
      <c r="J59" s="27" t="n">
        <f aca="false">J54+J55+J56+J57+J58</f>
        <v>0</v>
      </c>
      <c r="K59" s="27" t="n">
        <f aca="false">K54+K55+K56+K57+K58</f>
        <v>0</v>
      </c>
      <c r="L59" s="27" t="n">
        <f aca="false">L54+L55+L56+L57+L58</f>
        <v>0</v>
      </c>
      <c r="M59" s="27" t="n">
        <f aca="false">M54+M55+M56+M57+M58</f>
        <v>0</v>
      </c>
      <c r="N59" s="27" t="n">
        <f aca="false">N54+N55+N56+N57+N58</f>
        <v>0</v>
      </c>
      <c r="O59" s="27" t="n">
        <f aca="false">O54+O55+O56+O57+O58</f>
        <v>0</v>
      </c>
      <c r="P59" s="27" t="n">
        <f aca="false">P54+P55+P56+P57+P58</f>
        <v>0</v>
      </c>
      <c r="Q59" s="27" t="n">
        <f aca="false">Q54+Q55+Q56+Q57+Q58</f>
        <v>0</v>
      </c>
      <c r="R59" s="27" t="n">
        <f aca="false">R54+R55+R56+R57+R58</f>
        <v>0</v>
      </c>
      <c r="S59" s="27" t="n">
        <f aca="false">S54+S55+S56+S57+S58</f>
        <v>0</v>
      </c>
      <c r="T59" s="27" t="n">
        <f aca="false">T54+T55+T56+T57+T58</f>
        <v>0</v>
      </c>
      <c r="U59" s="27" t="n">
        <f aca="false">U54+U55+U56+U57+U58</f>
        <v>0</v>
      </c>
      <c r="V59" s="27" t="n">
        <f aca="false">V54+V55+V56+V57+V58</f>
        <v>0</v>
      </c>
      <c r="W59" s="27" t="n">
        <f aca="false">W54+W55+W56+W57+W58</f>
        <v>0</v>
      </c>
    </row>
    <row r="61" customFormat="false" ht="15" hidden="false" customHeight="false" outlineLevel="0" collapsed="false">
      <c r="A61" s="10" t="str">
        <f aca="false">"Énergie vendue (kWh) - "&amp;Seg1_Name</f>
        <v>Énergie vendue (kWh) - Ménages</v>
      </c>
      <c r="B61" s="61" t="n">
        <f aca="false">SUM(C61:W61)</f>
        <v>3789485.92641319</v>
      </c>
      <c r="C61" s="83" t="n">
        <v>0</v>
      </c>
      <c r="D61" s="83" t="n">
        <f aca="false">D48*Seg1_kWh*12*D45</f>
        <v>86400</v>
      </c>
      <c r="E61" s="83" t="n">
        <f aca="false">E48*Seg1_kWh*12*E45</f>
        <v>126072</v>
      </c>
      <c r="F61" s="83" t="n">
        <f aca="false">F48*Seg1_kWh*12*F45</f>
        <v>152769.6</v>
      </c>
      <c r="G61" s="83" t="n">
        <f aca="false">G48*Seg1_kWh*12*G45</f>
        <v>157352.688</v>
      </c>
      <c r="H61" s="83" t="n">
        <f aca="false">H48*Seg1_kWh*12*H45</f>
        <v>162073.26864</v>
      </c>
      <c r="I61" s="83" t="n">
        <f aca="false">I48*Seg1_kWh*12*I45</f>
        <v>166935.4666992</v>
      </c>
      <c r="J61" s="83" t="n">
        <f aca="false">J48*Seg1_kWh*12*J45</f>
        <v>171943.530700176</v>
      </c>
      <c r="K61" s="83" t="n">
        <f aca="false">K48*Seg1_kWh*12*K45</f>
        <v>177101.836621181</v>
      </c>
      <c r="L61" s="83" t="n">
        <f aca="false">L48*Seg1_kWh*12*L45</f>
        <v>182414.891719817</v>
      </c>
      <c r="M61" s="83" t="n">
        <f aca="false">M48*Seg1_kWh*12*M45</f>
        <v>187887.338471411</v>
      </c>
      <c r="N61" s="83" t="n">
        <f aca="false">N48*Seg1_kWh*12*N45</f>
        <v>193523.958625554</v>
      </c>
      <c r="O61" s="83" t="n">
        <f aca="false">O48*Seg1_kWh*12*O45</f>
        <v>199329.67738432</v>
      </c>
      <c r="P61" s="83" t="n">
        <f aca="false">P48*Seg1_kWh*12*P45</f>
        <v>205309.56770585</v>
      </c>
      <c r="Q61" s="83" t="n">
        <f aca="false">Q48*Seg1_kWh*12*Q45</f>
        <v>211468.854737025</v>
      </c>
      <c r="R61" s="83" t="n">
        <f aca="false">R48*Seg1_kWh*12*R45</f>
        <v>217812.920379136</v>
      </c>
      <c r="S61" s="83" t="n">
        <f aca="false">S48*Seg1_kWh*12*S45</f>
        <v>224347.30799051</v>
      </c>
      <c r="T61" s="83" t="n">
        <f aca="false">T48*Seg1_kWh*12*T45</f>
        <v>231077.727230226</v>
      </c>
      <c r="U61" s="83" t="n">
        <f aca="false">U48*Seg1_kWh*12*U45</f>
        <v>238010.059047132</v>
      </c>
      <c r="V61" s="83" t="n">
        <f aca="false">V48*Seg1_kWh*12*V45</f>
        <v>245150.360818546</v>
      </c>
      <c r="W61" s="83" t="n">
        <f aca="false">W48*Seg1_kWh*12*W45</f>
        <v>252504.871643103</v>
      </c>
    </row>
    <row r="62" customFormat="false" ht="15" hidden="false" customHeight="false" outlineLevel="0" collapsed="false">
      <c r="A62" s="10" t="str">
        <f aca="false">"Énergie vendue (kWh) - "&amp;Seg2_Name</f>
        <v>Énergie vendue (kWh) - Usagers productifs (moulins, soudure, chambres froides)</v>
      </c>
      <c r="B62" s="61" t="n">
        <f aca="false">SUM(C62:W62)</f>
        <v>2944733.72369716</v>
      </c>
      <c r="C62" s="83" t="n">
        <v>0</v>
      </c>
      <c r="D62" s="83" t="n">
        <f aca="false">D49*Seg2_kWh*12*D45</f>
        <v>67139.712</v>
      </c>
      <c r="E62" s="83" t="n">
        <f aca="false">E49*Seg2_kWh*12*E45</f>
        <v>97968.02976</v>
      </c>
      <c r="F62" s="83" t="n">
        <f aca="false">F49*Seg2_kWh*12*F45</f>
        <v>118714.200768</v>
      </c>
      <c r="G62" s="83" t="n">
        <f aca="false">G49*Seg2_kWh*12*G45</f>
        <v>122275.62679104</v>
      </c>
      <c r="H62" s="83" t="n">
        <f aca="false">H49*Seg2_kWh*12*H45</f>
        <v>125943.895594771</v>
      </c>
      <c r="I62" s="83" t="n">
        <f aca="false">I49*Seg2_kWh*12*I45</f>
        <v>129722.212462614</v>
      </c>
      <c r="J62" s="83" t="n">
        <f aca="false">J49*Seg2_kWh*12*J45</f>
        <v>133613.878836493</v>
      </c>
      <c r="K62" s="83" t="n">
        <f aca="false">K49*Seg2_kWh*12*K45</f>
        <v>137622.295201588</v>
      </c>
      <c r="L62" s="83" t="n">
        <f aca="false">L49*Seg2_kWh*12*L45</f>
        <v>141750.964057635</v>
      </c>
      <c r="M62" s="83" t="n">
        <f aca="false">M49*Seg2_kWh*12*M45</f>
        <v>146003.492979364</v>
      </c>
      <c r="N62" s="83" t="n">
        <f aca="false">N49*Seg2_kWh*12*N45</f>
        <v>150383.597768745</v>
      </c>
      <c r="O62" s="83" t="n">
        <f aca="false">O49*Seg2_kWh*12*O45</f>
        <v>154895.105701808</v>
      </c>
      <c r="P62" s="83" t="n">
        <f aca="false">P49*Seg2_kWh*12*P45</f>
        <v>159541.958872862</v>
      </c>
      <c r="Q62" s="83" t="n">
        <f aca="false">Q49*Seg2_kWh*12*Q45</f>
        <v>164328.217639048</v>
      </c>
      <c r="R62" s="83" t="n">
        <f aca="false">R49*Seg2_kWh*12*R45</f>
        <v>169258.064168219</v>
      </c>
      <c r="S62" s="83" t="n">
        <f aca="false">S49*Seg2_kWh*12*S45</f>
        <v>174335.806093266</v>
      </c>
      <c r="T62" s="83" t="n">
        <f aca="false">T49*Seg2_kWh*12*T45</f>
        <v>179565.880276064</v>
      </c>
      <c r="U62" s="83" t="n">
        <f aca="false">U49*Seg2_kWh*12*U45</f>
        <v>184952.856684346</v>
      </c>
      <c r="V62" s="83" t="n">
        <f aca="false">V49*Seg2_kWh*12*V45</f>
        <v>190501.442384876</v>
      </c>
      <c r="W62" s="83" t="n">
        <f aca="false">W49*Seg2_kWh*12*W45</f>
        <v>196216.485656422</v>
      </c>
    </row>
    <row r="63" customFormat="false" ht="15" hidden="false" customHeight="false" outlineLevel="0" collapsed="false">
      <c r="A63" s="10" t="str">
        <f aca="false">"Énergie vendue (kWh) - "&amp;Seg3_Name</f>
        <v>Énergie vendue (kWh) - Commerces (boutiques, bars, kiosques)</v>
      </c>
      <c r="B63" s="61" t="n">
        <f aca="false">SUM(C63:W63)</f>
        <v>1578952.46933883</v>
      </c>
      <c r="C63" s="83" t="n">
        <v>0</v>
      </c>
      <c r="D63" s="83" t="n">
        <f aca="false">D50*Seg3_kWh*12*D45</f>
        <v>36000</v>
      </c>
      <c r="E63" s="83" t="n">
        <f aca="false">E50*Seg3_kWh*12*E45</f>
        <v>52530</v>
      </c>
      <c r="F63" s="83" t="n">
        <f aca="false">F50*Seg3_kWh*12*F45</f>
        <v>63654</v>
      </c>
      <c r="G63" s="83" t="n">
        <f aca="false">G50*Seg3_kWh*12*G45</f>
        <v>65563.62</v>
      </c>
      <c r="H63" s="83" t="n">
        <f aca="false">H50*Seg3_kWh*12*H45</f>
        <v>67530.5286</v>
      </c>
      <c r="I63" s="83" t="n">
        <f aca="false">I50*Seg3_kWh*12*I45</f>
        <v>69556.444458</v>
      </c>
      <c r="J63" s="83" t="n">
        <f aca="false">J50*Seg3_kWh*12*J45</f>
        <v>71643.13779174</v>
      </c>
      <c r="K63" s="83" t="n">
        <f aca="false">K50*Seg3_kWh*12*K45</f>
        <v>73792.4319254922</v>
      </c>
      <c r="L63" s="83" t="n">
        <f aca="false">L50*Seg3_kWh*12*L45</f>
        <v>76006.204883257</v>
      </c>
      <c r="M63" s="83" t="n">
        <f aca="false">M50*Seg3_kWh*12*M45</f>
        <v>78286.3910297547</v>
      </c>
      <c r="N63" s="83" t="n">
        <f aca="false">N50*Seg3_kWh*12*N45</f>
        <v>80634.9827606473</v>
      </c>
      <c r="O63" s="83" t="n">
        <f aca="false">O50*Seg3_kWh*12*O45</f>
        <v>83054.0322434668</v>
      </c>
      <c r="P63" s="83" t="n">
        <f aca="false">P50*Seg3_kWh*12*P45</f>
        <v>85545.6532107708</v>
      </c>
      <c r="Q63" s="83" t="n">
        <f aca="false">Q50*Seg3_kWh*12*Q45</f>
        <v>88112.0228070939</v>
      </c>
      <c r="R63" s="83" t="n">
        <f aca="false">R50*Seg3_kWh*12*R45</f>
        <v>90755.3834913067</v>
      </c>
      <c r="S63" s="83" t="n">
        <f aca="false">S50*Seg3_kWh*12*S45</f>
        <v>93478.0449960459</v>
      </c>
      <c r="T63" s="83" t="n">
        <f aca="false">T50*Seg3_kWh*12*T45</f>
        <v>96282.3863459273</v>
      </c>
      <c r="U63" s="83" t="n">
        <f aca="false">U50*Seg3_kWh*12*U45</f>
        <v>99170.8579363051</v>
      </c>
      <c r="V63" s="83" t="n">
        <f aca="false">V50*Seg3_kWh*12*V45</f>
        <v>102145.983674394</v>
      </c>
      <c r="W63" s="83" t="n">
        <f aca="false">W50*Seg3_kWh*12*W45</f>
        <v>105210.363184626</v>
      </c>
    </row>
    <row r="64" customFormat="false" ht="15" hidden="false" customHeight="false" outlineLevel="0" collapsed="false">
      <c r="A64" s="10" t="str">
        <f aca="false">"Énergie vendue (kWh) - "&amp;Seg4_Name</f>
        <v>Énergie vendue (kWh) - Institutions (centre de santé, école, eau)</v>
      </c>
      <c r="B64" s="61" t="n">
        <f aca="false">SUM(C64:W64)</f>
        <v>947371.481603297</v>
      </c>
      <c r="C64" s="83" t="n">
        <v>0</v>
      </c>
      <c r="D64" s="83" t="n">
        <f aca="false">D51*Seg4_kWh*12*D45</f>
        <v>21600</v>
      </c>
      <c r="E64" s="83" t="n">
        <f aca="false">E51*Seg4_kWh*12*E45</f>
        <v>31518</v>
      </c>
      <c r="F64" s="83" t="n">
        <f aca="false">F51*Seg4_kWh*12*F45</f>
        <v>38192.4</v>
      </c>
      <c r="G64" s="83" t="n">
        <f aca="false">G51*Seg4_kWh*12*G45</f>
        <v>39338.172</v>
      </c>
      <c r="H64" s="83" t="n">
        <f aca="false">H51*Seg4_kWh*12*H45</f>
        <v>40518.31716</v>
      </c>
      <c r="I64" s="83" t="n">
        <f aca="false">I51*Seg4_kWh*12*I45</f>
        <v>41733.8666748</v>
      </c>
      <c r="J64" s="83" t="n">
        <f aca="false">J51*Seg4_kWh*12*J45</f>
        <v>42985.882675044</v>
      </c>
      <c r="K64" s="83" t="n">
        <f aca="false">K51*Seg4_kWh*12*K45</f>
        <v>44275.4591552953</v>
      </c>
      <c r="L64" s="83" t="n">
        <f aca="false">L51*Seg4_kWh*12*L45</f>
        <v>45603.7229299542</v>
      </c>
      <c r="M64" s="83" t="n">
        <f aca="false">M51*Seg4_kWh*12*M45</f>
        <v>46971.8346178528</v>
      </c>
      <c r="N64" s="83" t="n">
        <f aca="false">N51*Seg4_kWh*12*N45</f>
        <v>48380.9896563884</v>
      </c>
      <c r="O64" s="83" t="n">
        <f aca="false">O51*Seg4_kWh*12*O45</f>
        <v>49832.4193460801</v>
      </c>
      <c r="P64" s="83" t="n">
        <f aca="false">P51*Seg4_kWh*12*P45</f>
        <v>51327.3919264625</v>
      </c>
      <c r="Q64" s="83" t="n">
        <f aca="false">Q51*Seg4_kWh*12*Q45</f>
        <v>52867.2136842563</v>
      </c>
      <c r="R64" s="83" t="n">
        <f aca="false">R51*Seg4_kWh*12*R45</f>
        <v>54453.230094784</v>
      </c>
      <c r="S64" s="83" t="n">
        <f aca="false">S51*Seg4_kWh*12*S45</f>
        <v>56086.8269976275</v>
      </c>
      <c r="T64" s="83" t="n">
        <f aca="false">T51*Seg4_kWh*12*T45</f>
        <v>57769.4318075564</v>
      </c>
      <c r="U64" s="83" t="n">
        <f aca="false">U51*Seg4_kWh*12*U45</f>
        <v>59502.5147617831</v>
      </c>
      <c r="V64" s="83" t="n">
        <f aca="false">V51*Seg4_kWh*12*V45</f>
        <v>61287.5902046366</v>
      </c>
      <c r="W64" s="83" t="n">
        <f aca="false">W51*Seg4_kWh*12*W45</f>
        <v>63126.2179107757</v>
      </c>
    </row>
    <row r="65" customFormat="false" ht="15" hidden="false" customHeight="false" outlineLevel="0" collapsed="false">
      <c r="A65" s="10" t="str">
        <f aca="false">"Énergie vendue (kWh) - "&amp;Seg5_Name</f>
        <v>Énergie vendue (kWh) - Autre / personnalisé</v>
      </c>
      <c r="B65" s="61" t="n">
        <f aca="false">SUM(C65:W65)</f>
        <v>0</v>
      </c>
      <c r="C65" s="83" t="n">
        <v>0</v>
      </c>
      <c r="D65" s="83" t="n">
        <f aca="false">D52*Seg5_kWh*12*D45</f>
        <v>0</v>
      </c>
      <c r="E65" s="83" t="n">
        <f aca="false">E52*Seg5_kWh*12*E45</f>
        <v>0</v>
      </c>
      <c r="F65" s="83" t="n">
        <f aca="false">F52*Seg5_kWh*12*F45</f>
        <v>0</v>
      </c>
      <c r="G65" s="83" t="n">
        <f aca="false">G52*Seg5_kWh*12*G45</f>
        <v>0</v>
      </c>
      <c r="H65" s="83" t="n">
        <f aca="false">H52*Seg5_kWh*12*H45</f>
        <v>0</v>
      </c>
      <c r="I65" s="83" t="n">
        <f aca="false">I52*Seg5_kWh*12*I45</f>
        <v>0</v>
      </c>
      <c r="J65" s="83" t="n">
        <f aca="false">J52*Seg5_kWh*12*J45</f>
        <v>0</v>
      </c>
      <c r="K65" s="83" t="n">
        <f aca="false">K52*Seg5_kWh*12*K45</f>
        <v>0</v>
      </c>
      <c r="L65" s="83" t="n">
        <f aca="false">L52*Seg5_kWh*12*L45</f>
        <v>0</v>
      </c>
      <c r="M65" s="83" t="n">
        <f aca="false">M52*Seg5_kWh*12*M45</f>
        <v>0</v>
      </c>
      <c r="N65" s="83" t="n">
        <f aca="false">N52*Seg5_kWh*12*N45</f>
        <v>0</v>
      </c>
      <c r="O65" s="83" t="n">
        <f aca="false">O52*Seg5_kWh*12*O45</f>
        <v>0</v>
      </c>
      <c r="P65" s="83" t="n">
        <f aca="false">P52*Seg5_kWh*12*P45</f>
        <v>0</v>
      </c>
      <c r="Q65" s="83" t="n">
        <f aca="false">Q52*Seg5_kWh*12*Q45</f>
        <v>0</v>
      </c>
      <c r="R65" s="83" t="n">
        <f aca="false">R52*Seg5_kWh*12*R45</f>
        <v>0</v>
      </c>
      <c r="S65" s="83" t="n">
        <f aca="false">S52*Seg5_kWh*12*S45</f>
        <v>0</v>
      </c>
      <c r="T65" s="83" t="n">
        <f aca="false">T52*Seg5_kWh*12*T45</f>
        <v>0</v>
      </c>
      <c r="U65" s="83" t="n">
        <f aca="false">U52*Seg5_kWh*12*U45</f>
        <v>0</v>
      </c>
      <c r="V65" s="83" t="n">
        <f aca="false">V52*Seg5_kWh*12*V45</f>
        <v>0</v>
      </c>
      <c r="W65" s="83" t="n">
        <f aca="false">W52*Seg5_kWh*12*W45</f>
        <v>0</v>
      </c>
    </row>
    <row r="66" customFormat="false" ht="15" hidden="false" customHeight="false" outlineLevel="0" collapsed="false">
      <c r="A66" s="15" t="s">
        <v>416</v>
      </c>
      <c r="B66" s="61" t="n">
        <f aca="false">SUM(C66:W66)</f>
        <v>9260543.60105247</v>
      </c>
      <c r="C66" s="27" t="n">
        <f aca="false">C61+C62+C63+C64+C65</f>
        <v>0</v>
      </c>
      <c r="D66" s="27" t="n">
        <f aca="false">D61+D62+D63+D64+D65</f>
        <v>211139.712</v>
      </c>
      <c r="E66" s="27" t="n">
        <f aca="false">E61+E62+E63+E64+E65</f>
        <v>308088.02976</v>
      </c>
      <c r="F66" s="27" t="n">
        <f aca="false">F61+F62+F63+F64+F65</f>
        <v>373330.200768</v>
      </c>
      <c r="G66" s="27" t="n">
        <f aca="false">G61+G62+G63+G64+G65</f>
        <v>384530.10679104</v>
      </c>
      <c r="H66" s="27" t="n">
        <f aca="false">H61+H62+H63+H64+H65</f>
        <v>396066.009994771</v>
      </c>
      <c r="I66" s="27" t="n">
        <f aca="false">I61+I62+I63+I64+I65</f>
        <v>407947.990294614</v>
      </c>
      <c r="J66" s="27" t="n">
        <f aca="false">J61+J62+J63+J64+J65</f>
        <v>420186.430003453</v>
      </c>
      <c r="K66" s="27" t="n">
        <f aca="false">K61+K62+K63+K64+K65</f>
        <v>432792.022903556</v>
      </c>
      <c r="L66" s="27" t="n">
        <f aca="false">L61+L62+L63+L64+L65</f>
        <v>445775.783590663</v>
      </c>
      <c r="M66" s="27" t="n">
        <f aca="false">M61+M62+M63+M64+M65</f>
        <v>459149.057098383</v>
      </c>
      <c r="N66" s="27" t="n">
        <f aca="false">N61+N62+N63+N64+N65</f>
        <v>472923.528811335</v>
      </c>
      <c r="O66" s="27" t="n">
        <f aca="false">O61+O62+O63+O64+O65</f>
        <v>487111.234675675</v>
      </c>
      <c r="P66" s="27" t="n">
        <f aca="false">P61+P62+P63+P64+P65</f>
        <v>501724.571715945</v>
      </c>
      <c r="Q66" s="27" t="n">
        <f aca="false">Q61+Q62+Q63+Q64+Q65</f>
        <v>516776.308867423</v>
      </c>
      <c r="R66" s="27" t="n">
        <f aca="false">R61+R62+R63+R64+R65</f>
        <v>532279.598133446</v>
      </c>
      <c r="S66" s="27" t="n">
        <f aca="false">S61+S62+S63+S64+S65</f>
        <v>548247.986077449</v>
      </c>
      <c r="T66" s="27" t="n">
        <f aca="false">T61+T62+T63+T64+T65</f>
        <v>564695.425659773</v>
      </c>
      <c r="U66" s="27" t="n">
        <f aca="false">U61+U62+U63+U64+U65</f>
        <v>581636.288429566</v>
      </c>
      <c r="V66" s="27" t="n">
        <f aca="false">V61+V62+V63+V64+V65</f>
        <v>599085.377082453</v>
      </c>
      <c r="W66" s="27" t="n">
        <f aca="false">W61+W62+W63+W64+W65</f>
        <v>617057.938394927</v>
      </c>
    </row>
    <row r="68" customFormat="false" ht="15" hidden="false" customHeight="false" outlineLevel="0" collapsed="false">
      <c r="A68" s="8" t="s">
        <v>417</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418</v>
      </c>
      <c r="B69" s="61" t="n">
        <f aca="false">SUM(C69:W69)</f>
        <v>10523345.001196</v>
      </c>
      <c r="C69" s="83" t="n">
        <v>0</v>
      </c>
      <c r="D69" s="83" t="n">
        <f aca="false">D66/(1-Losses)</f>
        <v>239931.490909091</v>
      </c>
      <c r="E69" s="83" t="n">
        <f aca="false">E66/(1-Losses)</f>
        <v>350100.033818182</v>
      </c>
      <c r="F69" s="83" t="n">
        <f aca="false">F66/(1-Losses)</f>
        <v>424238.864509091</v>
      </c>
      <c r="G69" s="83" t="n">
        <f aca="false">G66/(1-Losses)</f>
        <v>436966.030444364</v>
      </c>
      <c r="H69" s="83" t="n">
        <f aca="false">H66/(1-Losses)</f>
        <v>450075.011357695</v>
      </c>
      <c r="I69" s="83" t="n">
        <f aca="false">I66/(1-Losses)</f>
        <v>463577.261698425</v>
      </c>
      <c r="J69" s="83" t="n">
        <f aca="false">J66/(1-Losses)</f>
        <v>477484.579549378</v>
      </c>
      <c r="K69" s="83" t="n">
        <f aca="false">K66/(1-Losses)</f>
        <v>491809.11693586</v>
      </c>
      <c r="L69" s="83" t="n">
        <f aca="false">L66/(1-Losses)</f>
        <v>506563.390443935</v>
      </c>
      <c r="M69" s="83" t="n">
        <f aca="false">M66/(1-Losses)</f>
        <v>521760.292157253</v>
      </c>
      <c r="N69" s="83" t="n">
        <f aca="false">N66/(1-Losses)</f>
        <v>537413.100921971</v>
      </c>
      <c r="O69" s="83" t="n">
        <f aca="false">O66/(1-Losses)</f>
        <v>553535.49394963</v>
      </c>
      <c r="P69" s="83" t="n">
        <f aca="false">P66/(1-Losses)</f>
        <v>570141.558768119</v>
      </c>
      <c r="Q69" s="83" t="n">
        <f aca="false">Q66/(1-Losses)</f>
        <v>587245.805531163</v>
      </c>
      <c r="R69" s="83" t="n">
        <f aca="false">R66/(1-Losses)</f>
        <v>604863.179697098</v>
      </c>
      <c r="S69" s="83" t="n">
        <f aca="false">S66/(1-Losses)</f>
        <v>623009.07508801</v>
      </c>
      <c r="T69" s="83" t="n">
        <f aca="false">T66/(1-Losses)</f>
        <v>641699.347340651</v>
      </c>
      <c r="U69" s="83" t="n">
        <f aca="false">U66/(1-Losses)</f>
        <v>660950.327760871</v>
      </c>
      <c r="V69" s="83" t="n">
        <f aca="false">V66/(1-Losses)</f>
        <v>680778.837593697</v>
      </c>
      <c r="W69" s="83" t="n">
        <f aca="false">W66/(1-Losses)</f>
        <v>701202.202721508</v>
      </c>
    </row>
    <row r="70" customFormat="false" ht="15" hidden="false" customHeight="false" outlineLevel="0" collapsed="false">
      <c r="A70" s="10" t="s">
        <v>419</v>
      </c>
      <c r="B70" s="61" t="n">
        <f aca="false">SUM(C70:W70)</f>
        <v>8376863.89761329</v>
      </c>
      <c r="C70" s="83" t="n">
        <v>0</v>
      </c>
      <c r="D70" s="83" t="n">
        <f aca="false">PV_kWp*SpecYield*(1-Degradation)^(D39-1)*D41</f>
        <v>439087.224766909</v>
      </c>
      <c r="E70" s="83" t="n">
        <f aca="false">PV_kWp*SpecYield*(1-Degradation)^(E39-1)*E41</f>
        <v>436891.788643075</v>
      </c>
      <c r="F70" s="83" t="n">
        <f aca="false">PV_kWp*SpecYield*(1-Degradation)^(F39-1)*F41</f>
        <v>434707.329699859</v>
      </c>
      <c r="G70" s="83" t="n">
        <f aca="false">PV_kWp*SpecYield*(1-Degradation)^(G39-1)*G41</f>
        <v>432533.79305136</v>
      </c>
      <c r="H70" s="83" t="n">
        <f aca="false">PV_kWp*SpecYield*(1-Degradation)^(H39-1)*H41</f>
        <v>430371.124086103</v>
      </c>
      <c r="I70" s="83" t="n">
        <f aca="false">PV_kWp*SpecYield*(1-Degradation)^(I39-1)*I41</f>
        <v>428219.268465673</v>
      </c>
      <c r="J70" s="83" t="n">
        <f aca="false">PV_kWp*SpecYield*(1-Degradation)^(J39-1)*J41</f>
        <v>426078.172123344</v>
      </c>
      <c r="K70" s="83" t="n">
        <f aca="false">PV_kWp*SpecYield*(1-Degradation)^(K39-1)*K41</f>
        <v>423947.781262727</v>
      </c>
      <c r="L70" s="83" t="n">
        <f aca="false">PV_kWp*SpecYield*(1-Degradation)^(L39-1)*L41</f>
        <v>421828.042356414</v>
      </c>
      <c r="M70" s="83" t="n">
        <f aca="false">PV_kWp*SpecYield*(1-Degradation)^(M39-1)*M41</f>
        <v>419718.902144632</v>
      </c>
      <c r="N70" s="83" t="n">
        <f aca="false">PV_kWp*SpecYield*(1-Degradation)^(N39-1)*N41</f>
        <v>417620.307633909</v>
      </c>
      <c r="O70" s="83" t="n">
        <f aca="false">PV_kWp*SpecYield*(1-Degradation)^(O39-1)*O41</f>
        <v>415532.206095739</v>
      </c>
      <c r="P70" s="83" t="n">
        <f aca="false">PV_kWp*SpecYield*(1-Degradation)^(P39-1)*P41</f>
        <v>413454.54506526</v>
      </c>
      <c r="Q70" s="83" t="n">
        <f aca="false">PV_kWp*SpecYield*(1-Degradation)^(Q39-1)*Q41</f>
        <v>411387.272339934</v>
      </c>
      <c r="R70" s="83" t="n">
        <f aca="false">PV_kWp*SpecYield*(1-Degradation)^(R39-1)*R41</f>
        <v>409330.335978234</v>
      </c>
      <c r="S70" s="83" t="n">
        <f aca="false">PV_kWp*SpecYield*(1-Degradation)^(S39-1)*S41</f>
        <v>407283.684298343</v>
      </c>
      <c r="T70" s="83" t="n">
        <f aca="false">PV_kWp*SpecYield*(1-Degradation)^(T39-1)*T41</f>
        <v>405247.265876851</v>
      </c>
      <c r="U70" s="83" t="n">
        <f aca="false">PV_kWp*SpecYield*(1-Degradation)^(U39-1)*U41</f>
        <v>403221.029547467</v>
      </c>
      <c r="V70" s="83" t="n">
        <f aca="false">PV_kWp*SpecYield*(1-Degradation)^(V39-1)*V41</f>
        <v>401204.92439973</v>
      </c>
      <c r="W70" s="83" t="n">
        <f aca="false">PV_kWp*SpecYield*(1-Degradation)^(W39-1)*W41</f>
        <v>399198.899777731</v>
      </c>
    </row>
    <row r="71" customFormat="false" ht="15" hidden="false" customHeight="false" outlineLevel="0" collapsed="false">
      <c r="A71" s="10" t="s">
        <v>420</v>
      </c>
      <c r="B71" s="61" t="n">
        <f aca="false">SUM(C71:W71)</f>
        <v>7903453.19236348</v>
      </c>
      <c r="C71" s="83" t="n">
        <v>0</v>
      </c>
      <c r="D71" s="83" t="n">
        <f aca="false">MIN(D70,D69*SolarFraction)</f>
        <v>215938.341818182</v>
      </c>
      <c r="E71" s="83" t="n">
        <f aca="false">MIN(E70,E69*SolarFraction)</f>
        <v>315090.030436364</v>
      </c>
      <c r="F71" s="83" t="n">
        <f aca="false">MIN(F70,F69*SolarFraction)</f>
        <v>381814.978058182</v>
      </c>
      <c r="G71" s="83" t="n">
        <f aca="false">MIN(G70,G69*SolarFraction)</f>
        <v>393269.427399927</v>
      </c>
      <c r="H71" s="83" t="n">
        <f aca="false">MIN(H70,H69*SolarFraction)</f>
        <v>405067.510221925</v>
      </c>
      <c r="I71" s="83" t="n">
        <f aca="false">MIN(I70,I69*SolarFraction)</f>
        <v>417219.535528583</v>
      </c>
      <c r="J71" s="83" t="n">
        <f aca="false">MIN(J70,J69*SolarFraction)</f>
        <v>426078.172123344</v>
      </c>
      <c r="K71" s="83" t="n">
        <f aca="false">MIN(K70,K69*SolarFraction)</f>
        <v>423947.781262727</v>
      </c>
      <c r="L71" s="83" t="n">
        <f aca="false">MIN(L70,L69*SolarFraction)</f>
        <v>421828.042356414</v>
      </c>
      <c r="M71" s="83" t="n">
        <f aca="false">MIN(M70,M69*SolarFraction)</f>
        <v>419718.902144632</v>
      </c>
      <c r="N71" s="83" t="n">
        <f aca="false">MIN(N70,N69*SolarFraction)</f>
        <v>417620.307633909</v>
      </c>
      <c r="O71" s="83" t="n">
        <f aca="false">MIN(O70,O69*SolarFraction)</f>
        <v>415532.206095739</v>
      </c>
      <c r="P71" s="83" t="n">
        <f aca="false">MIN(P70,P69*SolarFraction)</f>
        <v>413454.54506526</v>
      </c>
      <c r="Q71" s="83" t="n">
        <f aca="false">MIN(Q70,Q69*SolarFraction)</f>
        <v>411387.272339934</v>
      </c>
      <c r="R71" s="83" t="n">
        <f aca="false">MIN(R70,R69*SolarFraction)</f>
        <v>409330.335978234</v>
      </c>
      <c r="S71" s="83" t="n">
        <f aca="false">MIN(S70,S69*SolarFraction)</f>
        <v>407283.684298343</v>
      </c>
      <c r="T71" s="83" t="n">
        <f aca="false">MIN(T70,T69*SolarFraction)</f>
        <v>405247.265876851</v>
      </c>
      <c r="U71" s="83" t="n">
        <f aca="false">MIN(U70,U69*SolarFraction)</f>
        <v>403221.029547467</v>
      </c>
      <c r="V71" s="83" t="n">
        <f aca="false">MIN(V70,V69*SolarFraction)</f>
        <v>401204.92439973</v>
      </c>
      <c r="W71" s="83" t="n">
        <f aca="false">MIN(W70,W69*SolarFraction)</f>
        <v>399198.899777731</v>
      </c>
    </row>
    <row r="72" customFormat="false" ht="15" hidden="false" customHeight="false" outlineLevel="0" collapsed="false">
      <c r="A72" s="10" t="s">
        <v>421</v>
      </c>
      <c r="B72" s="61" t="n">
        <f aca="false">SUM(C72:W72)</f>
        <v>2619891.80883251</v>
      </c>
      <c r="C72" s="83" t="n">
        <v>0</v>
      </c>
      <c r="D72" s="83" t="n">
        <f aca="false">D69-D71</f>
        <v>23993.1490909091</v>
      </c>
      <c r="E72" s="83" t="n">
        <f aca="false">E69-E71</f>
        <v>35010.0033818182</v>
      </c>
      <c r="F72" s="83" t="n">
        <f aca="false">F69-F71</f>
        <v>42423.8864509091</v>
      </c>
      <c r="G72" s="83" t="n">
        <f aca="false">G69-G71</f>
        <v>43696.6030444364</v>
      </c>
      <c r="H72" s="83" t="n">
        <f aca="false">H69-H71</f>
        <v>45007.5011357695</v>
      </c>
      <c r="I72" s="83" t="n">
        <f aca="false">I69-I71</f>
        <v>46357.7261698425</v>
      </c>
      <c r="J72" s="83" t="n">
        <f aca="false">J69-J71</f>
        <v>51406.407426034</v>
      </c>
      <c r="K72" s="83" t="n">
        <f aca="false">K69-K71</f>
        <v>67861.3356731321</v>
      </c>
      <c r="L72" s="83" t="n">
        <f aca="false">L69-L71</f>
        <v>84735.3480875215</v>
      </c>
      <c r="M72" s="83" t="n">
        <f aca="false">M69-M71</f>
        <v>102041.390012622</v>
      </c>
      <c r="N72" s="83" t="n">
        <f aca="false">N69-N71</f>
        <v>119792.793288062</v>
      </c>
      <c r="O72" s="83" t="n">
        <f aca="false">O69-O71</f>
        <v>138003.287853891</v>
      </c>
      <c r="P72" s="83" t="n">
        <f aca="false">P69-P71</f>
        <v>156687.013702859</v>
      </c>
      <c r="Q72" s="83" t="n">
        <f aca="false">Q69-Q71</f>
        <v>175858.533191229</v>
      </c>
      <c r="R72" s="83" t="n">
        <f aca="false">R69-R71</f>
        <v>195532.843718863</v>
      </c>
      <c r="S72" s="83" t="n">
        <f aca="false">S69-S71</f>
        <v>215725.390789667</v>
      </c>
      <c r="T72" s="83" t="n">
        <f aca="false">T69-T71</f>
        <v>236452.0814638</v>
      </c>
      <c r="U72" s="83" t="n">
        <f aca="false">U69-U71</f>
        <v>257729.298213403</v>
      </c>
      <c r="V72" s="83" t="n">
        <f aca="false">V69-V71</f>
        <v>279573.913193967</v>
      </c>
      <c r="W72" s="83" t="n">
        <f aca="false">W69-W71</f>
        <v>302003.302943776</v>
      </c>
    </row>
    <row r="73" customFormat="false" ht="15" hidden="false" customHeight="false" outlineLevel="0" collapsed="false">
      <c r="A73" s="10" t="s">
        <v>422</v>
      </c>
      <c r="C73" s="81" t="n">
        <v>0</v>
      </c>
      <c r="D73" s="81" t="n">
        <f aca="false">IFERROR(D71/D69,0)</f>
        <v>0.9</v>
      </c>
      <c r="E73" s="81" t="n">
        <f aca="false">IFERROR(E71/E69,0)</f>
        <v>0.9</v>
      </c>
      <c r="F73" s="81" t="n">
        <f aca="false">IFERROR(F71/F69,0)</f>
        <v>0.9</v>
      </c>
      <c r="G73" s="81" t="n">
        <f aca="false">IFERROR(G71/G69,0)</f>
        <v>0.9</v>
      </c>
      <c r="H73" s="81" t="n">
        <f aca="false">IFERROR(H71/H69,0)</f>
        <v>0.9</v>
      </c>
      <c r="I73" s="81" t="n">
        <f aca="false">IFERROR(I71/I69,0)</f>
        <v>0.9</v>
      </c>
      <c r="J73" s="81" t="n">
        <f aca="false">IFERROR(J71/J69,0)</f>
        <v>0.892339125434065</v>
      </c>
      <c r="K73" s="81" t="n">
        <f aca="false">IFERROR(K71/K69,0)</f>
        <v>0.862016922142616</v>
      </c>
      <c r="L73" s="81" t="n">
        <f aca="false">IFERROR(L71/L69,0)</f>
        <v>0.83272508498243</v>
      </c>
      <c r="M73" s="81" t="n">
        <f aca="false">IFERROR(M71/M69,0)</f>
        <v>0.804428601512153</v>
      </c>
      <c r="N73" s="81" t="n">
        <f aca="false">IFERROR(N71/N69,0)</f>
        <v>0.777093649033585</v>
      </c>
      <c r="O73" s="81" t="n">
        <f aca="false">IFERROR(O71/O69,0)</f>
        <v>0.750687554163511</v>
      </c>
      <c r="P73" s="81" t="n">
        <f aca="false">IFERROR(P71/P69,0)</f>
        <v>0.725178753779314</v>
      </c>
      <c r="Q73" s="81" t="n">
        <f aca="false">IFERROR(Q71/Q69,0)</f>
        <v>0.700536757291668</v>
      </c>
      <c r="R73" s="81" t="n">
        <f aca="false">IFERROR(R71/R69,0)</f>
        <v>0.676732110199232</v>
      </c>
      <c r="S73" s="81" t="n">
        <f aca="false">IFERROR(S71/S69,0)</f>
        <v>0.653736358881783</v>
      </c>
      <c r="T73" s="81" t="n">
        <f aca="false">IFERROR(T71/T69,0)</f>
        <v>0.631522016589683</v>
      </c>
      <c r="U73" s="81" t="n">
        <f aca="false">IFERROR(U71/U69,0)</f>
        <v>0.610062530589063</v>
      </c>
      <c r="V73" s="81" t="n">
        <f aca="false">IFERROR(V71/V69,0)</f>
        <v>0.589332250423415</v>
      </c>
      <c r="W73" s="81" t="n">
        <f aca="false">IFERROR(W71/W69,0)</f>
        <v>0.569306397253687</v>
      </c>
    </row>
    <row r="74" customFormat="false" ht="15" hidden="false" customHeight="false" outlineLevel="0" collapsed="false">
      <c r="A74" s="10" t="s">
        <v>423</v>
      </c>
      <c r="B74" s="61" t="n">
        <f aca="false">SUM(C74:W74)</f>
        <v>873297.269610837</v>
      </c>
      <c r="C74" s="83" t="n">
        <v>0</v>
      </c>
      <c r="D74" s="83" t="n">
        <f aca="false">D72/DieselEff</f>
        <v>7997.71636363636</v>
      </c>
      <c r="E74" s="83" t="n">
        <f aca="false">E72/DieselEff</f>
        <v>11670.0011272727</v>
      </c>
      <c r="F74" s="83" t="n">
        <f aca="false">F72/DieselEff</f>
        <v>14141.2954836364</v>
      </c>
      <c r="G74" s="83" t="n">
        <f aca="false">G72/DieselEff</f>
        <v>14565.5343481455</v>
      </c>
      <c r="H74" s="83" t="n">
        <f aca="false">H72/DieselEff</f>
        <v>15002.5003785898</v>
      </c>
      <c r="I74" s="83" t="n">
        <f aca="false">I72/DieselEff</f>
        <v>15452.5753899475</v>
      </c>
      <c r="J74" s="83" t="n">
        <f aca="false">J72/DieselEff</f>
        <v>17135.4691420113</v>
      </c>
      <c r="K74" s="83" t="n">
        <f aca="false">K72/DieselEff</f>
        <v>22620.4452243774</v>
      </c>
      <c r="L74" s="83" t="n">
        <f aca="false">L72/DieselEff</f>
        <v>28245.1160291738</v>
      </c>
      <c r="M74" s="83" t="n">
        <f aca="false">M72/DieselEff</f>
        <v>34013.7966708739</v>
      </c>
      <c r="N74" s="83" t="n">
        <f aca="false">N72/DieselEff</f>
        <v>39930.9310960208</v>
      </c>
      <c r="O74" s="83" t="n">
        <f aca="false">O72/DieselEff</f>
        <v>46001.0959512971</v>
      </c>
      <c r="P74" s="83" t="n">
        <f aca="false">P72/DieselEff</f>
        <v>52229.0045676196</v>
      </c>
      <c r="Q74" s="83" t="n">
        <f aca="false">Q72/DieselEff</f>
        <v>58619.5110637429</v>
      </c>
      <c r="R74" s="83" t="n">
        <f aca="false">R72/DieselEff</f>
        <v>65177.6145729544</v>
      </c>
      <c r="S74" s="83" t="n">
        <f aca="false">S72/DieselEff</f>
        <v>71908.4635965557</v>
      </c>
      <c r="T74" s="83" t="n">
        <f aca="false">T72/DieselEff</f>
        <v>78817.3604879332</v>
      </c>
      <c r="U74" s="83" t="n">
        <f aca="false">U72/DieselEff</f>
        <v>85909.7660711344</v>
      </c>
      <c r="V74" s="83" t="n">
        <f aca="false">V72/DieselEff</f>
        <v>93191.3043979889</v>
      </c>
      <c r="W74" s="83" t="n">
        <f aca="false">W72/DieselEff</f>
        <v>100667.767647925</v>
      </c>
    </row>
    <row r="76" customFormat="false" ht="15" hidden="false" customHeight="false" outlineLevel="0" collapsed="false">
      <c r="A76" s="8" t="s">
        <v>424</v>
      </c>
      <c r="B76" s="9"/>
      <c r="C76" s="9"/>
      <c r="D76" s="9"/>
      <c r="E76" s="9"/>
      <c r="F76" s="9"/>
      <c r="G76" s="9"/>
      <c r="H76" s="9"/>
      <c r="I76" s="9"/>
      <c r="J76" s="9"/>
      <c r="K76" s="9"/>
      <c r="L76" s="9"/>
      <c r="M76" s="9"/>
      <c r="N76" s="9"/>
      <c r="O76" s="9"/>
      <c r="P76" s="9"/>
      <c r="Q76" s="9"/>
      <c r="R76" s="9"/>
      <c r="S76" s="9"/>
      <c r="T76" s="9"/>
      <c r="U76" s="9"/>
      <c r="V76" s="9"/>
      <c r="W76" s="9"/>
    </row>
    <row r="77" customFormat="false" ht="15" hidden="false" customHeight="false" outlineLevel="0" collapsed="false">
      <c r="A77" s="10" t="str">
        <f aca="false">"Recettes facturées - "&amp;Seg1_Name</f>
        <v>Recettes facturées - Ménages</v>
      </c>
      <c r="B77" s="61" t="n">
        <f aca="false">SUM(C77:W77)</f>
        <v>2107258.13958533</v>
      </c>
      <c r="C77" s="83" t="n">
        <v>0</v>
      </c>
      <c r="D77" s="83" t="n">
        <f aca="false">D61*Seg1_Tariff*LevTariff*$B$5*D43</f>
        <v>34560</v>
      </c>
      <c r="E77" s="83" t="n">
        <f aca="false">E61*Seg1_Tariff*LevTariff*$B$5*E43</f>
        <v>51941.664</v>
      </c>
      <c r="F77" s="83" t="n">
        <f aca="false">F61*Seg1_Tariff*LevTariff*$B$5*F43</f>
        <v>64829.307456</v>
      </c>
      <c r="G77" s="83" t="n">
        <f aca="false">G61*Seg1_Tariff*LevTariff*$B$5*G43</f>
        <v>68777.4122800704</v>
      </c>
      <c r="H77" s="83" t="n">
        <f aca="false">H61*Seg1_Tariff*LevTariff*$B$5*H43</f>
        <v>72965.9566879267</v>
      </c>
      <c r="I77" s="83" t="n">
        <f aca="false">I61*Seg1_Tariff*LevTariff*$B$5*I43</f>
        <v>77409.5834502214</v>
      </c>
      <c r="J77" s="83" t="n">
        <f aca="false">J61*Seg1_Tariff*LevTariff*$B$5*J43</f>
        <v>82123.8270823399</v>
      </c>
      <c r="K77" s="83" t="n">
        <f aca="false">K61*Seg1_Tariff*LevTariff*$B$5*K43</f>
        <v>87125.1681516545</v>
      </c>
      <c r="L77" s="83" t="n">
        <f aca="false">L61*Seg1_Tariff*LevTariff*$B$5*L43</f>
        <v>92431.0908920902</v>
      </c>
      <c r="M77" s="83" t="n">
        <f aca="false">M61*Seg1_Tariff*LevTariff*$B$5*M43</f>
        <v>98060.1443274185</v>
      </c>
      <c r="N77" s="83" t="n">
        <f aca="false">N61*Seg1_Tariff*LevTariff*$B$5*N43</f>
        <v>104032.007116958</v>
      </c>
      <c r="O77" s="83" t="n">
        <f aca="false">O61*Seg1_Tariff*LevTariff*$B$5*O43</f>
        <v>110367.556350381</v>
      </c>
      <c r="P77" s="83" t="n">
        <f aca="false">P61*Seg1_Tariff*LevTariff*$B$5*P43</f>
        <v>117088.940532119</v>
      </c>
      <c r="Q77" s="83" t="n">
        <f aca="false">Q61*Seg1_Tariff*LevTariff*$B$5*Q43</f>
        <v>124219.657010525</v>
      </c>
      <c r="R77" s="83" t="n">
        <f aca="false">R61*Seg1_Tariff*LevTariff*$B$5*R43</f>
        <v>131784.634122466</v>
      </c>
      <c r="S77" s="83" t="n">
        <f aca="false">S61*Seg1_Tariff*LevTariff*$B$5*S43</f>
        <v>139810.318340525</v>
      </c>
      <c r="T77" s="83" t="n">
        <f aca="false">T61*Seg1_Tariff*LevTariff*$B$5*T43</f>
        <v>148324.766727463</v>
      </c>
      <c r="U77" s="83" t="n">
        <f aca="false">U61*Seg1_Tariff*LevTariff*$B$5*U43</f>
        <v>157357.745021165</v>
      </c>
      <c r="V77" s="83" t="n">
        <f aca="false">V61*Seg1_Tariff*LevTariff*$B$5*V43</f>
        <v>166940.831692954</v>
      </c>
      <c r="W77" s="83" t="n">
        <f aca="false">W61*Seg1_Tariff*LevTariff*$B$5*W43</f>
        <v>177107.528343055</v>
      </c>
    </row>
    <row r="78" customFormat="false" ht="15" hidden="false" customHeight="false" outlineLevel="0" collapsed="false">
      <c r="A78" s="10" t="str">
        <f aca="false">"Recettes facturées - "&amp;Seg2_Name</f>
        <v>Recettes facturées - Usagers productifs (moulins, soudure, chambres froides)</v>
      </c>
      <c r="B78" s="61" t="n">
        <f aca="false">SUM(C78:W78)</f>
        <v>1432819.63572035</v>
      </c>
      <c r="C78" s="83" t="n">
        <v>0</v>
      </c>
      <c r="D78" s="83" t="n">
        <f aca="false">D62*Seg2_Tariff*LevTariff*$B$5*D43</f>
        <v>23498.8992</v>
      </c>
      <c r="E78" s="83" t="n">
        <f aca="false">E62*Seg2_Tariff*LevTariff*$B$5*E43</f>
        <v>35317.47472848</v>
      </c>
      <c r="F78" s="83" t="n">
        <f aca="false">F62*Seg2_Tariff*LevTariff*$B$5*F43</f>
        <v>44080.3634581699</v>
      </c>
      <c r="G78" s="83" t="n">
        <f aca="false">G62*Seg2_Tariff*LevTariff*$B$5*G43</f>
        <v>46764.8575927725</v>
      </c>
      <c r="H78" s="83" t="n">
        <f aca="false">H62*Seg2_Tariff*LevTariff*$B$5*H43</f>
        <v>49612.8374201723</v>
      </c>
      <c r="I78" s="83" t="n">
        <f aca="false">I62*Seg2_Tariff*LevTariff*$B$5*I43</f>
        <v>52634.2592190608</v>
      </c>
      <c r="J78" s="83" t="n">
        <f aca="false">J62*Seg2_Tariff*LevTariff*$B$5*J43</f>
        <v>55839.6856055016</v>
      </c>
      <c r="K78" s="83" t="n">
        <f aca="false">K62*Seg2_Tariff*LevTariff*$B$5*K43</f>
        <v>59240.3224588767</v>
      </c>
      <c r="L78" s="83" t="n">
        <f aca="false">L62*Seg2_Tariff*LevTariff*$B$5*L43</f>
        <v>62848.0580966223</v>
      </c>
      <c r="M78" s="83" t="n">
        <f aca="false">M62*Seg2_Tariff*LevTariff*$B$5*M43</f>
        <v>66675.5048347066</v>
      </c>
      <c r="N78" s="83" t="n">
        <f aca="false">N62*Seg2_Tariff*LevTariff*$B$5*N43</f>
        <v>70736.0430791402</v>
      </c>
      <c r="O78" s="83" t="n">
        <f aca="false">O62*Seg2_Tariff*LevTariff*$B$5*O43</f>
        <v>75043.8681026598</v>
      </c>
      <c r="P78" s="83" t="n">
        <f aca="false">P62*Seg2_Tariff*LevTariff*$B$5*P43</f>
        <v>79614.0396701118</v>
      </c>
      <c r="Q78" s="83" t="n">
        <f aca="false">Q62*Seg2_Tariff*LevTariff*$B$5*Q43</f>
        <v>84462.5346860216</v>
      </c>
      <c r="R78" s="83" t="n">
        <f aca="false">R62*Seg2_Tariff*LevTariff*$B$5*R43</f>
        <v>89606.3030484004</v>
      </c>
      <c r="S78" s="83" t="n">
        <f aca="false">S62*Seg2_Tariff*LevTariff*$B$5*S43</f>
        <v>95063.3269040479</v>
      </c>
      <c r="T78" s="83" t="n">
        <f aca="false">T62*Seg2_Tariff*LevTariff*$B$5*T43</f>
        <v>100852.683512504</v>
      </c>
      <c r="U78" s="83" t="n">
        <f aca="false">U62*Seg2_Tariff*LevTariff*$B$5*U43</f>
        <v>106994.611938416</v>
      </c>
      <c r="V78" s="83" t="n">
        <f aca="false">V62*Seg2_Tariff*LevTariff*$B$5*V43</f>
        <v>113510.583805466</v>
      </c>
      <c r="W78" s="83" t="n">
        <f aca="false">W62*Seg2_Tariff*LevTariff*$B$5*W43</f>
        <v>120423.378359218</v>
      </c>
    </row>
    <row r="79" customFormat="false" ht="15" hidden="false" customHeight="false" outlineLevel="0" collapsed="false">
      <c r="A79" s="10" t="str">
        <f aca="false">"Recettes facturées - "&amp;Seg3_Name</f>
        <v>Recettes facturées - Commerces (boutiques, bars, kiosques)</v>
      </c>
      <c r="B79" s="61" t="n">
        <f aca="false">SUM(C79:W79)</f>
        <v>878024.224827222</v>
      </c>
      <c r="C79" s="83" t="n">
        <v>0</v>
      </c>
      <c r="D79" s="83" t="n">
        <f aca="false">D63*Seg3_Tariff*LevTariff*$B$5*D43</f>
        <v>14400</v>
      </c>
      <c r="E79" s="83" t="n">
        <f aca="false">E63*Seg3_Tariff*LevTariff*$B$5*E43</f>
        <v>21642.36</v>
      </c>
      <c r="F79" s="83" t="n">
        <f aca="false">F63*Seg3_Tariff*LevTariff*$B$5*F43</f>
        <v>27012.21144</v>
      </c>
      <c r="G79" s="83" t="n">
        <f aca="false">G63*Seg3_Tariff*LevTariff*$B$5*G43</f>
        <v>28657.255116696</v>
      </c>
      <c r="H79" s="83" t="n">
        <f aca="false">H63*Seg3_Tariff*LevTariff*$B$5*H43</f>
        <v>30402.4819533028</v>
      </c>
      <c r="I79" s="83" t="n">
        <f aca="false">I63*Seg3_Tariff*LevTariff*$B$5*I43</f>
        <v>32253.9931042589</v>
      </c>
      <c r="J79" s="83" t="n">
        <f aca="false">J63*Seg3_Tariff*LevTariff*$B$5*J43</f>
        <v>34218.2612843083</v>
      </c>
      <c r="K79" s="83" t="n">
        <f aca="false">K63*Seg3_Tariff*LevTariff*$B$5*K43</f>
        <v>36302.1533965227</v>
      </c>
      <c r="L79" s="83" t="n">
        <f aca="false">L63*Seg3_Tariff*LevTariff*$B$5*L43</f>
        <v>38512.9545383709</v>
      </c>
      <c r="M79" s="83" t="n">
        <f aca="false">M63*Seg3_Tariff*LevTariff*$B$5*M43</f>
        <v>40858.3934697577</v>
      </c>
      <c r="N79" s="83" t="n">
        <f aca="false">N63*Seg3_Tariff*LevTariff*$B$5*N43</f>
        <v>43346.669632066</v>
      </c>
      <c r="O79" s="83" t="n">
        <f aca="false">O63*Seg3_Tariff*LevTariff*$B$5*O43</f>
        <v>45986.4818126588</v>
      </c>
      <c r="P79" s="83" t="n">
        <f aca="false">P63*Seg3_Tariff*LevTariff*$B$5*P43</f>
        <v>48787.0585550497</v>
      </c>
      <c r="Q79" s="83" t="n">
        <f aca="false">Q63*Seg3_Tariff*LevTariff*$B$5*Q43</f>
        <v>51758.1904210522</v>
      </c>
      <c r="R79" s="83" t="n">
        <f aca="false">R63*Seg3_Tariff*LevTariff*$B$5*R43</f>
        <v>54910.2642176943</v>
      </c>
      <c r="S79" s="83" t="n">
        <f aca="false">S63*Seg3_Tariff*LevTariff*$B$5*S43</f>
        <v>58254.2993085519</v>
      </c>
      <c r="T79" s="83" t="n">
        <f aca="false">T63*Seg3_Tariff*LevTariff*$B$5*T43</f>
        <v>61801.9861364427</v>
      </c>
      <c r="U79" s="83" t="n">
        <f aca="false">U63*Seg3_Tariff*LevTariff*$B$5*U43</f>
        <v>65565.7270921521</v>
      </c>
      <c r="V79" s="83" t="n">
        <f aca="false">V63*Seg3_Tariff*LevTariff*$B$5*V43</f>
        <v>69558.6798720642</v>
      </c>
      <c r="W79" s="83" t="n">
        <f aca="false">W63*Seg3_Tariff*LevTariff*$B$5*W43</f>
        <v>73794.8034762729</v>
      </c>
    </row>
    <row r="80" customFormat="false" ht="15" hidden="false" customHeight="false" outlineLevel="0" collapsed="false">
      <c r="A80" s="10" t="str">
        <f aca="false">"Recettes facturées - "&amp;Seg4_Name</f>
        <v>Recettes facturées - Institutions (centre de santé, école, eau)</v>
      </c>
      <c r="B80" s="61" t="n">
        <f aca="false">SUM(C80:W80)</f>
        <v>460962.718034292</v>
      </c>
      <c r="C80" s="83" t="n">
        <v>0</v>
      </c>
      <c r="D80" s="83" t="n">
        <f aca="false">D64*Seg4_Tariff*LevTariff*$B$5*D43</f>
        <v>7560</v>
      </c>
      <c r="E80" s="83" t="n">
        <f aca="false">E64*Seg4_Tariff*LevTariff*$B$5*E43</f>
        <v>11362.239</v>
      </c>
      <c r="F80" s="83" t="n">
        <f aca="false">F64*Seg4_Tariff*LevTariff*$B$5*F43</f>
        <v>14181.411006</v>
      </c>
      <c r="G80" s="83" t="n">
        <f aca="false">G64*Seg4_Tariff*LevTariff*$B$5*G43</f>
        <v>15045.0589362654</v>
      </c>
      <c r="H80" s="83" t="n">
        <f aca="false">H64*Seg4_Tariff*LevTariff*$B$5*H43</f>
        <v>15961.303025484</v>
      </c>
      <c r="I80" s="83" t="n">
        <f aca="false">I64*Seg4_Tariff*LevTariff*$B$5*I43</f>
        <v>16933.3463797359</v>
      </c>
      <c r="J80" s="83" t="n">
        <f aca="false">J64*Seg4_Tariff*LevTariff*$B$5*J43</f>
        <v>17964.5871742619</v>
      </c>
      <c r="K80" s="83" t="n">
        <f aca="false">K64*Seg4_Tariff*LevTariff*$B$5*K43</f>
        <v>19058.6305331744</v>
      </c>
      <c r="L80" s="83" t="n">
        <f aca="false">L64*Seg4_Tariff*LevTariff*$B$5*L43</f>
        <v>20219.3011326447</v>
      </c>
      <c r="M80" s="83" t="n">
        <f aca="false">M64*Seg4_Tariff*LevTariff*$B$5*M43</f>
        <v>21450.6565716228</v>
      </c>
      <c r="N80" s="83" t="n">
        <f aca="false">N64*Seg4_Tariff*LevTariff*$B$5*N43</f>
        <v>22757.0015568346</v>
      </c>
      <c r="O80" s="83" t="n">
        <f aca="false">O64*Seg4_Tariff*LevTariff*$B$5*O43</f>
        <v>24142.9029516459</v>
      </c>
      <c r="P80" s="83" t="n">
        <f aca="false">P64*Seg4_Tariff*LevTariff*$B$5*P43</f>
        <v>25613.2057414011</v>
      </c>
      <c r="Q80" s="83" t="n">
        <f aca="false">Q64*Seg4_Tariff*LevTariff*$B$5*Q43</f>
        <v>27173.0499710524</v>
      </c>
      <c r="R80" s="83" t="n">
        <f aca="false">R64*Seg4_Tariff*LevTariff*$B$5*R43</f>
        <v>28827.8887142895</v>
      </c>
      <c r="S80" s="83" t="n">
        <f aca="false">S64*Seg4_Tariff*LevTariff*$B$5*S43</f>
        <v>30583.5071369897</v>
      </c>
      <c r="T80" s="83" t="n">
        <f aca="false">T64*Seg4_Tariff*LevTariff*$B$5*T43</f>
        <v>32446.0427216324</v>
      </c>
      <c r="U80" s="83" t="n">
        <f aca="false">U64*Seg4_Tariff*LevTariff*$B$5*U43</f>
        <v>34422.0067233798</v>
      </c>
      <c r="V80" s="83" t="n">
        <f aca="false">V64*Seg4_Tariff*LevTariff*$B$5*V43</f>
        <v>36518.3069328337</v>
      </c>
      <c r="W80" s="83" t="n">
        <f aca="false">W64*Seg4_Tariff*LevTariff*$B$5*W43</f>
        <v>38742.2718250432</v>
      </c>
    </row>
    <row r="81" customFormat="false" ht="15" hidden="false" customHeight="false" outlineLevel="0" collapsed="false">
      <c r="A81" s="10" t="str">
        <f aca="false">"Recettes facturées - "&amp;Seg5_Name</f>
        <v>Recettes facturées - Autre / personnalisé</v>
      </c>
      <c r="B81" s="61" t="n">
        <f aca="false">SUM(C81:W81)</f>
        <v>0</v>
      </c>
      <c r="C81" s="83" t="n">
        <v>0</v>
      </c>
      <c r="D81" s="83" t="n">
        <f aca="false">D65*Seg5_Tariff*LevTariff*$B$5*D43</f>
        <v>0</v>
      </c>
      <c r="E81" s="83" t="n">
        <f aca="false">E65*Seg5_Tariff*LevTariff*$B$5*E43</f>
        <v>0</v>
      </c>
      <c r="F81" s="83" t="n">
        <f aca="false">F65*Seg5_Tariff*LevTariff*$B$5*F43</f>
        <v>0</v>
      </c>
      <c r="G81" s="83" t="n">
        <f aca="false">G65*Seg5_Tariff*LevTariff*$B$5*G43</f>
        <v>0</v>
      </c>
      <c r="H81" s="83" t="n">
        <f aca="false">H65*Seg5_Tariff*LevTariff*$B$5*H43</f>
        <v>0</v>
      </c>
      <c r="I81" s="83" t="n">
        <f aca="false">I65*Seg5_Tariff*LevTariff*$B$5*I43</f>
        <v>0</v>
      </c>
      <c r="J81" s="83" t="n">
        <f aca="false">J65*Seg5_Tariff*LevTariff*$B$5*J43</f>
        <v>0</v>
      </c>
      <c r="K81" s="83" t="n">
        <f aca="false">K65*Seg5_Tariff*LevTariff*$B$5*K43</f>
        <v>0</v>
      </c>
      <c r="L81" s="83" t="n">
        <f aca="false">L65*Seg5_Tariff*LevTariff*$B$5*L43</f>
        <v>0</v>
      </c>
      <c r="M81" s="83" t="n">
        <f aca="false">M65*Seg5_Tariff*LevTariff*$B$5*M43</f>
        <v>0</v>
      </c>
      <c r="N81" s="83" t="n">
        <f aca="false">N65*Seg5_Tariff*LevTariff*$B$5*N43</f>
        <v>0</v>
      </c>
      <c r="O81" s="83" t="n">
        <f aca="false">O65*Seg5_Tariff*LevTariff*$B$5*O43</f>
        <v>0</v>
      </c>
      <c r="P81" s="83" t="n">
        <f aca="false">P65*Seg5_Tariff*LevTariff*$B$5*P43</f>
        <v>0</v>
      </c>
      <c r="Q81" s="83" t="n">
        <f aca="false">Q65*Seg5_Tariff*LevTariff*$B$5*Q43</f>
        <v>0</v>
      </c>
      <c r="R81" s="83" t="n">
        <f aca="false">R65*Seg5_Tariff*LevTariff*$B$5*R43</f>
        <v>0</v>
      </c>
      <c r="S81" s="83" t="n">
        <f aca="false">S65*Seg5_Tariff*LevTariff*$B$5*S43</f>
        <v>0</v>
      </c>
      <c r="T81" s="83" t="n">
        <f aca="false">T65*Seg5_Tariff*LevTariff*$B$5*T43</f>
        <v>0</v>
      </c>
      <c r="U81" s="83" t="n">
        <f aca="false">U65*Seg5_Tariff*LevTariff*$B$5*U43</f>
        <v>0</v>
      </c>
      <c r="V81" s="83" t="n">
        <f aca="false">V65*Seg5_Tariff*LevTariff*$B$5*V43</f>
        <v>0</v>
      </c>
      <c r="W81" s="83" t="n">
        <f aca="false">W65*Seg5_Tariff*LevTariff*$B$5*W43</f>
        <v>0</v>
      </c>
    </row>
    <row r="82" customFormat="false" ht="15" hidden="false" customHeight="false" outlineLevel="0" collapsed="false">
      <c r="A82" s="15" t="s">
        <v>425</v>
      </c>
      <c r="B82" s="61" t="n">
        <f aca="false">SUM(C82:W82)</f>
        <v>4879064.7181672</v>
      </c>
      <c r="C82" s="27" t="n">
        <f aca="false">C77+C78+C79+C80+C81</f>
        <v>0</v>
      </c>
      <c r="D82" s="27" t="n">
        <f aca="false">D77+D78+D79+D80+D81</f>
        <v>80018.8992</v>
      </c>
      <c r="E82" s="27" t="n">
        <f aca="false">E77+E78+E79+E80+E81</f>
        <v>120263.73772848</v>
      </c>
      <c r="F82" s="27" t="n">
        <f aca="false">F77+F78+F79+F80+F81</f>
        <v>150103.29336017</v>
      </c>
      <c r="G82" s="27" t="n">
        <f aca="false">G77+G78+G79+G80+G81</f>
        <v>159244.583925804</v>
      </c>
      <c r="H82" s="27" t="n">
        <f aca="false">H77+H78+H79+H80+H81</f>
        <v>168942.579086886</v>
      </c>
      <c r="I82" s="27" t="n">
        <f aca="false">I77+I78+I79+I80+I81</f>
        <v>179231.182153277</v>
      </c>
      <c r="J82" s="27" t="n">
        <f aca="false">J77+J78+J79+J80+J81</f>
        <v>190146.361146412</v>
      </c>
      <c r="K82" s="27" t="n">
        <f aca="false">K77+K78+K79+K80+K81</f>
        <v>201726.274540228</v>
      </c>
      <c r="L82" s="27" t="n">
        <f aca="false">L77+L78+L79+L80+L81</f>
        <v>214011.404659728</v>
      </c>
      <c r="M82" s="27" t="n">
        <f aca="false">M77+M78+M79+M80+M81</f>
        <v>227044.699203506</v>
      </c>
      <c r="N82" s="27" t="n">
        <f aca="false">N77+N78+N79+N80+N81</f>
        <v>240871.721384999</v>
      </c>
      <c r="O82" s="27" t="n">
        <f aca="false">O77+O78+O79+O80+O81</f>
        <v>255540.809217346</v>
      </c>
      <c r="P82" s="27" t="n">
        <f aca="false">P77+P78+P79+P80+P81</f>
        <v>271103.244498682</v>
      </c>
      <c r="Q82" s="27" t="n">
        <f aca="false">Q77+Q78+Q79+Q80+Q81</f>
        <v>287613.432088652</v>
      </c>
      <c r="R82" s="27" t="n">
        <f aca="false">R77+R78+R79+R80+R81</f>
        <v>305129.090102851</v>
      </c>
      <c r="S82" s="27" t="n">
        <f aca="false">S77+S78+S79+S80+S81</f>
        <v>323711.451690114</v>
      </c>
      <c r="T82" s="27" t="n">
        <f aca="false">T77+T78+T79+T80+T81</f>
        <v>343425.479098042</v>
      </c>
      <c r="U82" s="27" t="n">
        <f aca="false">U77+U78+U79+U80+U81</f>
        <v>364340.090775113</v>
      </c>
      <c r="V82" s="27" t="n">
        <f aca="false">V77+V78+V79+V80+V81</f>
        <v>386528.402303317</v>
      </c>
      <c r="W82" s="27" t="n">
        <f aca="false">W77+W78+W79+W80+W81</f>
        <v>410067.982003589</v>
      </c>
    </row>
    <row r="83" customFormat="false" ht="15" hidden="false" customHeight="false" outlineLevel="0" collapsed="false">
      <c r="A83" s="10" t="s">
        <v>426</v>
      </c>
      <c r="B83" s="61" t="n">
        <f aca="false">SUM(C83:W83)</f>
        <v>4488739.54071382</v>
      </c>
      <c r="C83" s="83" t="n">
        <v>0</v>
      </c>
      <c r="D83" s="83" t="n">
        <f aca="false">D82*MIN(1,Collection*LevColl*$B$9)</f>
        <v>73617.387264</v>
      </c>
      <c r="E83" s="83" t="n">
        <f aca="false">E82*MIN(1,Collection*LevColl*$B$9)</f>
        <v>110642.638710202</v>
      </c>
      <c r="F83" s="83" t="n">
        <f aca="false">F82*MIN(1,Collection*LevColl*$B$9)</f>
        <v>138095.029891356</v>
      </c>
      <c r="G83" s="83" t="n">
        <f aca="false">G82*MIN(1,Collection*LevColl*$B$9)</f>
        <v>146505.01721174</v>
      </c>
      <c r="H83" s="83" t="n">
        <f aca="false">H82*MIN(1,Collection*LevColl*$B$9)</f>
        <v>155427.172759935</v>
      </c>
      <c r="I83" s="83" t="n">
        <f aca="false">I82*MIN(1,Collection*LevColl*$B$9)</f>
        <v>164892.687581015</v>
      </c>
      <c r="J83" s="83" t="n">
        <f aca="false">J82*MIN(1,Collection*LevColl*$B$9)</f>
        <v>174934.652254699</v>
      </c>
      <c r="K83" s="83" t="n">
        <f aca="false">K82*MIN(1,Collection*LevColl*$B$9)</f>
        <v>185588.17257701</v>
      </c>
      <c r="L83" s="83" t="n">
        <f aca="false">L82*MIN(1,Collection*LevColl*$B$9)</f>
        <v>196890.49228695</v>
      </c>
      <c r="M83" s="83" t="n">
        <f aca="false">M82*MIN(1,Collection*LevColl*$B$9)</f>
        <v>208881.123267225</v>
      </c>
      <c r="N83" s="83" t="n">
        <f aca="false">N82*MIN(1,Collection*LevColl*$B$9)</f>
        <v>221601.983674199</v>
      </c>
      <c r="O83" s="83" t="n">
        <f aca="false">O82*MIN(1,Collection*LevColl*$B$9)</f>
        <v>235097.544479958</v>
      </c>
      <c r="P83" s="83" t="n">
        <f aca="false">P82*MIN(1,Collection*LevColl*$B$9)</f>
        <v>249414.984938787</v>
      </c>
      <c r="Q83" s="83" t="n">
        <f aca="false">Q82*MIN(1,Collection*LevColl*$B$9)</f>
        <v>264604.357521559</v>
      </c>
      <c r="R83" s="83" t="n">
        <f aca="false">R82*MIN(1,Collection*LevColl*$B$9)</f>
        <v>280718.762894623</v>
      </c>
      <c r="S83" s="83" t="n">
        <f aca="false">S82*MIN(1,Collection*LevColl*$B$9)</f>
        <v>297814.535554905</v>
      </c>
      <c r="T83" s="83" t="n">
        <f aca="false">T82*MIN(1,Collection*LevColl*$B$9)</f>
        <v>315951.440770199</v>
      </c>
      <c r="U83" s="83" t="n">
        <f aca="false">U82*MIN(1,Collection*LevColl*$B$9)</f>
        <v>335192.883513104</v>
      </c>
      <c r="V83" s="83" t="n">
        <f aca="false">V82*MIN(1,Collection*LevColl*$B$9)</f>
        <v>355606.130119052</v>
      </c>
      <c r="W83" s="83" t="n">
        <f aca="false">W82*MIN(1,Collection*LevColl*$B$9)</f>
        <v>377262.543443302</v>
      </c>
    </row>
    <row r="84" customFormat="false" ht="15" hidden="false" customHeight="false" outlineLevel="0" collapsed="false">
      <c r="A84" s="10" t="s">
        <v>79</v>
      </c>
      <c r="B84" s="61" t="n">
        <f aca="false">SUM(C84:W84)</f>
        <v>11500</v>
      </c>
      <c r="C84" s="83" t="n">
        <v>0</v>
      </c>
      <c r="D84" s="83" t="n">
        <f aca="false">D54*Seg1_Fee+D55*Seg2_Fee+D56*Seg3_Fee+D57*Seg4_Fee+D58*Seg5_Fee</f>
        <v>6900</v>
      </c>
      <c r="E84" s="83" t="n">
        <f aca="false">E54*Seg1_Fee+E55*Seg2_Fee+E56*Seg3_Fee+E57*Seg4_Fee+E58*Seg5_Fee</f>
        <v>2875</v>
      </c>
      <c r="F84" s="83" t="n">
        <f aca="false">F54*Seg1_Fee+F55*Seg2_Fee+F56*Seg3_Fee+F57*Seg4_Fee+F58*Seg5_Fee</f>
        <v>1725</v>
      </c>
      <c r="G84" s="83" t="n">
        <f aca="false">G54*Seg1_Fee+G55*Seg2_Fee+G56*Seg3_Fee+G57*Seg4_Fee+G58*Seg5_Fee</f>
        <v>0</v>
      </c>
      <c r="H84" s="83" t="n">
        <f aca="false">H54*Seg1_Fee+H55*Seg2_Fee+H56*Seg3_Fee+H57*Seg4_Fee+H58*Seg5_Fee</f>
        <v>0</v>
      </c>
      <c r="I84" s="83" t="n">
        <f aca="false">I54*Seg1_Fee+I55*Seg2_Fee+I56*Seg3_Fee+I57*Seg4_Fee+I58*Seg5_Fee</f>
        <v>0</v>
      </c>
      <c r="J84" s="83" t="n">
        <f aca="false">J54*Seg1_Fee+J55*Seg2_Fee+J56*Seg3_Fee+J57*Seg4_Fee+J58*Seg5_Fee</f>
        <v>0</v>
      </c>
      <c r="K84" s="83" t="n">
        <f aca="false">K54*Seg1_Fee+K55*Seg2_Fee+K56*Seg3_Fee+K57*Seg4_Fee+K58*Seg5_Fee</f>
        <v>0</v>
      </c>
      <c r="L84" s="83" t="n">
        <f aca="false">L54*Seg1_Fee+L55*Seg2_Fee+L56*Seg3_Fee+L57*Seg4_Fee+L58*Seg5_Fee</f>
        <v>0</v>
      </c>
      <c r="M84" s="83" t="n">
        <f aca="false">M54*Seg1_Fee+M55*Seg2_Fee+M56*Seg3_Fee+M57*Seg4_Fee+M58*Seg5_Fee</f>
        <v>0</v>
      </c>
      <c r="N84" s="83" t="n">
        <f aca="false">N54*Seg1_Fee+N55*Seg2_Fee+N56*Seg3_Fee+N57*Seg4_Fee+N58*Seg5_Fee</f>
        <v>0</v>
      </c>
      <c r="O84" s="83" t="n">
        <f aca="false">O54*Seg1_Fee+O55*Seg2_Fee+O56*Seg3_Fee+O57*Seg4_Fee+O58*Seg5_Fee</f>
        <v>0</v>
      </c>
      <c r="P84" s="83" t="n">
        <f aca="false">P54*Seg1_Fee+P55*Seg2_Fee+P56*Seg3_Fee+P57*Seg4_Fee+P58*Seg5_Fee</f>
        <v>0</v>
      </c>
      <c r="Q84" s="83" t="n">
        <f aca="false">Q54*Seg1_Fee+Q55*Seg2_Fee+Q56*Seg3_Fee+Q57*Seg4_Fee+Q58*Seg5_Fee</f>
        <v>0</v>
      </c>
      <c r="R84" s="83" t="n">
        <f aca="false">R54*Seg1_Fee+R55*Seg2_Fee+R56*Seg3_Fee+R57*Seg4_Fee+R58*Seg5_Fee</f>
        <v>0</v>
      </c>
      <c r="S84" s="83" t="n">
        <f aca="false">S54*Seg1_Fee+S55*Seg2_Fee+S56*Seg3_Fee+S57*Seg4_Fee+S58*Seg5_Fee</f>
        <v>0</v>
      </c>
      <c r="T84" s="83" t="n">
        <f aca="false">T54*Seg1_Fee+T55*Seg2_Fee+T56*Seg3_Fee+T57*Seg4_Fee+T58*Seg5_Fee</f>
        <v>0</v>
      </c>
      <c r="U84" s="83" t="n">
        <f aca="false">U54*Seg1_Fee+U55*Seg2_Fee+U56*Seg3_Fee+U57*Seg4_Fee+U58*Seg5_Fee</f>
        <v>0</v>
      </c>
      <c r="V84" s="83" t="n">
        <f aca="false">V54*Seg1_Fee+V55*Seg2_Fee+V56*Seg3_Fee+V57*Seg4_Fee+V58*Seg5_Fee</f>
        <v>0</v>
      </c>
      <c r="W84" s="83" t="n">
        <f aca="false">W54*Seg1_Fee+W55*Seg2_Fee+W56*Seg3_Fee+W57*Seg4_Fee+W58*Seg5_Fee</f>
        <v>0</v>
      </c>
    </row>
    <row r="85" customFormat="false" ht="15" hidden="false" customHeight="false" outlineLevel="0" collapsed="false">
      <c r="A85" s="15" t="s">
        <v>427</v>
      </c>
      <c r="B85" s="61" t="n">
        <f aca="false">SUM(C85:W85)</f>
        <v>4500239.54071382</v>
      </c>
      <c r="C85" s="27" t="n">
        <f aca="false">C83+C84</f>
        <v>0</v>
      </c>
      <c r="D85" s="27" t="n">
        <f aca="false">D83+D84</f>
        <v>80517.387264</v>
      </c>
      <c r="E85" s="27" t="n">
        <f aca="false">E83+E84</f>
        <v>113517.638710202</v>
      </c>
      <c r="F85" s="27" t="n">
        <f aca="false">F83+F84</f>
        <v>139820.029891356</v>
      </c>
      <c r="G85" s="27" t="n">
        <f aca="false">G83+G84</f>
        <v>146505.01721174</v>
      </c>
      <c r="H85" s="27" t="n">
        <f aca="false">H83+H84</f>
        <v>155427.172759935</v>
      </c>
      <c r="I85" s="27" t="n">
        <f aca="false">I83+I84</f>
        <v>164892.687581015</v>
      </c>
      <c r="J85" s="27" t="n">
        <f aca="false">J83+J84</f>
        <v>174934.652254699</v>
      </c>
      <c r="K85" s="27" t="n">
        <f aca="false">K83+K84</f>
        <v>185588.17257701</v>
      </c>
      <c r="L85" s="27" t="n">
        <f aca="false">L83+L84</f>
        <v>196890.49228695</v>
      </c>
      <c r="M85" s="27" t="n">
        <f aca="false">M83+M84</f>
        <v>208881.123267225</v>
      </c>
      <c r="N85" s="27" t="n">
        <f aca="false">N83+N84</f>
        <v>221601.983674199</v>
      </c>
      <c r="O85" s="27" t="n">
        <f aca="false">O83+O84</f>
        <v>235097.544479958</v>
      </c>
      <c r="P85" s="27" t="n">
        <f aca="false">P83+P84</f>
        <v>249414.984938787</v>
      </c>
      <c r="Q85" s="27" t="n">
        <f aca="false">Q83+Q84</f>
        <v>264604.357521559</v>
      </c>
      <c r="R85" s="27" t="n">
        <f aca="false">R83+R84</f>
        <v>280718.762894623</v>
      </c>
      <c r="S85" s="27" t="n">
        <f aca="false">S83+S84</f>
        <v>297814.535554905</v>
      </c>
      <c r="T85" s="27" t="n">
        <f aca="false">T83+T84</f>
        <v>315951.440770199</v>
      </c>
      <c r="U85" s="27" t="n">
        <f aca="false">U83+U84</f>
        <v>335192.883513104</v>
      </c>
      <c r="V85" s="27" t="n">
        <f aca="false">V83+V84</f>
        <v>355606.130119052</v>
      </c>
      <c r="W85" s="27" t="n">
        <f aca="false">W83+W84</f>
        <v>377262.543443302</v>
      </c>
    </row>
    <row r="87" customFormat="false" ht="15" hidden="false" customHeight="false" outlineLevel="0" collapsed="false">
      <c r="A87" s="8" t="s">
        <v>428</v>
      </c>
      <c r="B87" s="9"/>
      <c r="C87" s="9"/>
      <c r="D87" s="9"/>
      <c r="E87" s="9"/>
      <c r="F87" s="9"/>
      <c r="G87" s="9"/>
      <c r="H87" s="9"/>
      <c r="I87" s="9"/>
      <c r="J87" s="9"/>
      <c r="K87" s="9"/>
      <c r="L87" s="9"/>
      <c r="M87" s="9"/>
      <c r="N87" s="9"/>
      <c r="O87" s="9"/>
      <c r="P87" s="9"/>
      <c r="Q87" s="9"/>
      <c r="R87" s="9"/>
      <c r="S87" s="9"/>
      <c r="T87" s="9"/>
      <c r="U87" s="9"/>
      <c r="V87" s="9"/>
      <c r="W87" s="9"/>
    </row>
    <row r="88" customFormat="false" ht="15" hidden="false" customHeight="false" outlineLevel="0" collapsed="false">
      <c r="A88" s="10" t="s">
        <v>156</v>
      </c>
      <c r="B88" s="61" t="n">
        <f aca="false">SUM(C88:W88)</f>
        <v>673517.768381568</v>
      </c>
      <c r="C88" s="83" t="n">
        <v>0</v>
      </c>
      <c r="D88" s="83" t="n">
        <f aca="false">S_Rate_Hi!$B$15*O_FixedPct*D44*LevOpex*$B$8*D41</f>
        <v>25065.4403293775</v>
      </c>
      <c r="E88" s="83" t="n">
        <f aca="false">S_Rate_Hi!$B$15*O_FixedPct*E44*LevOpex*$B$8*E41</f>
        <v>25817.4035392588</v>
      </c>
      <c r="F88" s="83" t="n">
        <f aca="false">S_Rate_Hi!$B$15*O_FixedPct*F44*LevOpex*$B$8*F41</f>
        <v>26591.9256454366</v>
      </c>
      <c r="G88" s="83" t="n">
        <f aca="false">S_Rate_Hi!$B$15*O_FixedPct*G44*LevOpex*$B$8*G41</f>
        <v>27389.6834147997</v>
      </c>
      <c r="H88" s="83" t="n">
        <f aca="false">S_Rate_Hi!$B$15*O_FixedPct*H44*LevOpex*$B$8*H41</f>
        <v>28211.3739172437</v>
      </c>
      <c r="I88" s="83" t="n">
        <f aca="false">S_Rate_Hi!$B$15*O_FixedPct*I44*LevOpex*$B$8*I41</f>
        <v>29057.715134761</v>
      </c>
      <c r="J88" s="83" t="n">
        <f aca="false">S_Rate_Hi!$B$15*O_FixedPct*J44*LevOpex*$B$8*J41</f>
        <v>29929.4465888038</v>
      </c>
      <c r="K88" s="83" t="n">
        <f aca="false">S_Rate_Hi!$B$15*O_FixedPct*K44*LevOpex*$B$8*K41</f>
        <v>30827.329986468</v>
      </c>
      <c r="L88" s="83" t="n">
        <f aca="false">S_Rate_Hi!$B$15*O_FixedPct*L44*LevOpex*$B$8*L41</f>
        <v>31752.149886062</v>
      </c>
      <c r="M88" s="83" t="n">
        <f aca="false">S_Rate_Hi!$B$15*O_FixedPct*M44*LevOpex*$B$8*M41</f>
        <v>32704.7143826439</v>
      </c>
      <c r="N88" s="83" t="n">
        <f aca="false">S_Rate_Hi!$B$15*O_FixedPct*N44*LevOpex*$B$8*N41</f>
        <v>33685.8558141232</v>
      </c>
      <c r="O88" s="83" t="n">
        <f aca="false">S_Rate_Hi!$B$15*O_FixedPct*O44*LevOpex*$B$8*O41</f>
        <v>34696.4314885469</v>
      </c>
      <c r="P88" s="83" t="n">
        <f aca="false">S_Rate_Hi!$B$15*O_FixedPct*P44*LevOpex*$B$8*P41</f>
        <v>35737.3244332033</v>
      </c>
      <c r="Q88" s="83" t="n">
        <f aca="false">S_Rate_Hi!$B$15*O_FixedPct*Q44*LevOpex*$B$8*Q41</f>
        <v>36809.4441661994</v>
      </c>
      <c r="R88" s="83" t="n">
        <f aca="false">S_Rate_Hi!$B$15*O_FixedPct*R44*LevOpex*$B$8*R41</f>
        <v>37913.7274911854</v>
      </c>
      <c r="S88" s="83" t="n">
        <f aca="false">S_Rate_Hi!$B$15*O_FixedPct*S44*LevOpex*$B$8*S41</f>
        <v>39051.1393159209</v>
      </c>
      <c r="T88" s="83" t="n">
        <f aca="false">S_Rate_Hi!$B$15*O_FixedPct*T44*LevOpex*$B$8*T41</f>
        <v>40222.6734953985</v>
      </c>
      <c r="U88" s="83" t="n">
        <f aca="false">S_Rate_Hi!$B$15*O_FixedPct*U44*LevOpex*$B$8*U41</f>
        <v>41429.3537002605</v>
      </c>
      <c r="V88" s="83" t="n">
        <f aca="false">S_Rate_Hi!$B$15*O_FixedPct*V44*LevOpex*$B$8*V41</f>
        <v>42672.2343112683</v>
      </c>
      <c r="W88" s="83" t="n">
        <f aca="false">S_Rate_Hi!$B$15*O_FixedPct*W44*LevOpex*$B$8*W41</f>
        <v>43952.4013406064</v>
      </c>
    </row>
    <row r="89" customFormat="false" ht="15" hidden="false" customHeight="false" outlineLevel="0" collapsed="false">
      <c r="A89" s="10" t="s">
        <v>429</v>
      </c>
      <c r="B89" s="61" t="n">
        <f aca="false">SUM(C89:W89)</f>
        <v>483666.740801648</v>
      </c>
      <c r="C89" s="83" t="n">
        <v>0</v>
      </c>
      <c r="D89" s="83" t="n">
        <f aca="false">O_Staff*D44*LevOpex*$B$8*D41</f>
        <v>18000</v>
      </c>
      <c r="E89" s="83" t="n">
        <f aca="false">O_Staff*E44*LevOpex*$B$8*E41</f>
        <v>18540</v>
      </c>
      <c r="F89" s="83" t="n">
        <f aca="false">O_Staff*F44*LevOpex*$B$8*F41</f>
        <v>19096.2</v>
      </c>
      <c r="G89" s="83" t="n">
        <f aca="false">O_Staff*G44*LevOpex*$B$8*G41</f>
        <v>19669.086</v>
      </c>
      <c r="H89" s="83" t="n">
        <f aca="false">O_Staff*H44*LevOpex*$B$8*H41</f>
        <v>20259.15858</v>
      </c>
      <c r="I89" s="83" t="n">
        <f aca="false">O_Staff*I44*LevOpex*$B$8*I41</f>
        <v>20866.9333374</v>
      </c>
      <c r="J89" s="83" t="n">
        <f aca="false">O_Staff*J44*LevOpex*$B$8*J41</f>
        <v>21492.941337522</v>
      </c>
      <c r="K89" s="83" t="n">
        <f aca="false">O_Staff*K44*LevOpex*$B$8*K41</f>
        <v>22137.7295776477</v>
      </c>
      <c r="L89" s="83" t="n">
        <f aca="false">O_Staff*L44*LevOpex*$B$8*L41</f>
        <v>22801.8614649771</v>
      </c>
      <c r="M89" s="83" t="n">
        <f aca="false">O_Staff*M44*LevOpex*$B$8*M41</f>
        <v>23485.9173089264</v>
      </c>
      <c r="N89" s="83" t="n">
        <f aca="false">O_Staff*N44*LevOpex*$B$8*N41</f>
        <v>24190.4948281942</v>
      </c>
      <c r="O89" s="83" t="n">
        <f aca="false">O_Staff*O44*LevOpex*$B$8*O41</f>
        <v>24916.20967304</v>
      </c>
      <c r="P89" s="83" t="n">
        <f aca="false">O_Staff*P44*LevOpex*$B$8*P41</f>
        <v>25663.6959632312</v>
      </c>
      <c r="Q89" s="83" t="n">
        <f aca="false">O_Staff*Q44*LevOpex*$B$8*Q41</f>
        <v>26433.6068421282</v>
      </c>
      <c r="R89" s="83" t="n">
        <f aca="false">O_Staff*R44*LevOpex*$B$8*R41</f>
        <v>27226.615047392</v>
      </c>
      <c r="S89" s="83" t="n">
        <f aca="false">O_Staff*S44*LevOpex*$B$8*S41</f>
        <v>28043.4134988138</v>
      </c>
      <c r="T89" s="83" t="n">
        <f aca="false">O_Staff*T44*LevOpex*$B$8*T41</f>
        <v>28884.7159037782</v>
      </c>
      <c r="U89" s="83" t="n">
        <f aca="false">O_Staff*U44*LevOpex*$B$8*U41</f>
        <v>29751.2573808915</v>
      </c>
      <c r="V89" s="83" t="n">
        <f aca="false">O_Staff*V44*LevOpex*$B$8*V41</f>
        <v>30643.7951023183</v>
      </c>
      <c r="W89" s="83" t="n">
        <f aca="false">O_Staff*W44*LevOpex*$B$8*W41</f>
        <v>31563.1089553878</v>
      </c>
    </row>
    <row r="90" customFormat="false" ht="15" hidden="false" customHeight="false" outlineLevel="0" collapsed="false">
      <c r="A90" s="10" t="s">
        <v>159</v>
      </c>
      <c r="B90" s="61" t="n">
        <f aca="false">SUM(C90:W90)</f>
        <v>154909.086727761</v>
      </c>
      <c r="C90" s="83" t="n">
        <v>0</v>
      </c>
      <c r="D90" s="83" t="n">
        <f aca="false">S_Rate_Hi!$B$14*O_InsPct*D44*LevOpex*$B$8*D41</f>
        <v>5765.05127575683</v>
      </c>
      <c r="E90" s="83" t="n">
        <f aca="false">S_Rate_Hi!$B$14*O_InsPct*E44*LevOpex*$B$8*E41</f>
        <v>5938.00281402953</v>
      </c>
      <c r="F90" s="83" t="n">
        <f aca="false">S_Rate_Hi!$B$14*O_InsPct*F44*LevOpex*$B$8*F41</f>
        <v>6116.14289845042</v>
      </c>
      <c r="G90" s="83" t="n">
        <f aca="false">S_Rate_Hi!$B$14*O_InsPct*G44*LevOpex*$B$8*G41</f>
        <v>6299.62718540393</v>
      </c>
      <c r="H90" s="83" t="n">
        <f aca="false">S_Rate_Hi!$B$14*O_InsPct*H44*LevOpex*$B$8*H41</f>
        <v>6488.61600096605</v>
      </c>
      <c r="I90" s="83" t="n">
        <f aca="false">S_Rate_Hi!$B$14*O_InsPct*I44*LevOpex*$B$8*I41</f>
        <v>6683.27448099503</v>
      </c>
      <c r="J90" s="83" t="n">
        <f aca="false">S_Rate_Hi!$B$14*O_InsPct*J44*LevOpex*$B$8*J41</f>
        <v>6883.77271542488</v>
      </c>
      <c r="K90" s="83" t="n">
        <f aca="false">S_Rate_Hi!$B$14*O_InsPct*K44*LevOpex*$B$8*K41</f>
        <v>7090.28589688763</v>
      </c>
      <c r="L90" s="83" t="n">
        <f aca="false">S_Rate_Hi!$B$14*O_InsPct*L44*LevOpex*$B$8*L41</f>
        <v>7302.99447379426</v>
      </c>
      <c r="M90" s="83" t="n">
        <f aca="false">S_Rate_Hi!$B$14*O_InsPct*M44*LevOpex*$B$8*M41</f>
        <v>7522.08430800809</v>
      </c>
      <c r="N90" s="83" t="n">
        <f aca="false">S_Rate_Hi!$B$14*O_InsPct*N44*LevOpex*$B$8*N41</f>
        <v>7747.74683724833</v>
      </c>
      <c r="O90" s="83" t="n">
        <f aca="false">S_Rate_Hi!$B$14*O_InsPct*O44*LevOpex*$B$8*O41</f>
        <v>7980.17924236578</v>
      </c>
      <c r="P90" s="83" t="n">
        <f aca="false">S_Rate_Hi!$B$14*O_InsPct*P44*LevOpex*$B$8*P41</f>
        <v>8219.58461963675</v>
      </c>
      <c r="Q90" s="83" t="n">
        <f aca="false">S_Rate_Hi!$B$14*O_InsPct*Q44*LevOpex*$B$8*Q41</f>
        <v>8466.17215822586</v>
      </c>
      <c r="R90" s="83" t="n">
        <f aca="false">S_Rate_Hi!$B$14*O_InsPct*R44*LevOpex*$B$8*R41</f>
        <v>8720.15732297263</v>
      </c>
      <c r="S90" s="83" t="n">
        <f aca="false">S_Rate_Hi!$B$14*O_InsPct*S44*LevOpex*$B$8*S41</f>
        <v>8981.76204266181</v>
      </c>
      <c r="T90" s="83" t="n">
        <f aca="false">S_Rate_Hi!$B$14*O_InsPct*T44*LevOpex*$B$8*T41</f>
        <v>9251.21490394167</v>
      </c>
      <c r="U90" s="83" t="n">
        <f aca="false">S_Rate_Hi!$B$14*O_InsPct*U44*LevOpex*$B$8*U41</f>
        <v>9528.75135105992</v>
      </c>
      <c r="V90" s="83" t="n">
        <f aca="false">S_Rate_Hi!$B$14*O_InsPct*V44*LevOpex*$B$8*V41</f>
        <v>9814.61389159171</v>
      </c>
      <c r="W90" s="83" t="n">
        <f aca="false">S_Rate_Hi!$B$14*O_InsPct*W44*LevOpex*$B$8*W41</f>
        <v>10109.0523083395</v>
      </c>
    </row>
    <row r="91" customFormat="false" ht="15" hidden="false" customHeight="false" outlineLevel="0" collapsed="false">
      <c r="A91" s="10" t="s">
        <v>430</v>
      </c>
      <c r="B91" s="61" t="n">
        <f aca="false">SUM(C91:W91)</f>
        <v>80611.1234669414</v>
      </c>
      <c r="C91" s="83" t="n">
        <v>0</v>
      </c>
      <c r="D91" s="83" t="n">
        <f aca="false">O_Fees*D44*LevOpex*$B$8*D41</f>
        <v>3000</v>
      </c>
      <c r="E91" s="83" t="n">
        <f aca="false">O_Fees*E44*LevOpex*$B$8*E41</f>
        <v>3090</v>
      </c>
      <c r="F91" s="83" t="n">
        <f aca="false">O_Fees*F44*LevOpex*$B$8*F41</f>
        <v>3182.7</v>
      </c>
      <c r="G91" s="83" t="n">
        <f aca="false">O_Fees*G44*LevOpex*$B$8*G41</f>
        <v>3278.181</v>
      </c>
      <c r="H91" s="83" t="n">
        <f aca="false">O_Fees*H44*LevOpex*$B$8*H41</f>
        <v>3376.52643</v>
      </c>
      <c r="I91" s="83" t="n">
        <f aca="false">O_Fees*I44*LevOpex*$B$8*I41</f>
        <v>3477.8222229</v>
      </c>
      <c r="J91" s="83" t="n">
        <f aca="false">O_Fees*J44*LevOpex*$B$8*J41</f>
        <v>3582.156889587</v>
      </c>
      <c r="K91" s="83" t="n">
        <f aca="false">O_Fees*K44*LevOpex*$B$8*K41</f>
        <v>3689.62159627461</v>
      </c>
      <c r="L91" s="83" t="n">
        <f aca="false">O_Fees*L44*LevOpex*$B$8*L41</f>
        <v>3800.31024416285</v>
      </c>
      <c r="M91" s="83" t="n">
        <f aca="false">O_Fees*M44*LevOpex*$B$8*M41</f>
        <v>3914.31955148773</v>
      </c>
      <c r="N91" s="83" t="n">
        <f aca="false">O_Fees*N44*LevOpex*$B$8*N41</f>
        <v>4031.74913803237</v>
      </c>
      <c r="O91" s="83" t="n">
        <f aca="false">O_Fees*O44*LevOpex*$B$8*O41</f>
        <v>4152.70161217334</v>
      </c>
      <c r="P91" s="83" t="n">
        <f aca="false">O_Fees*P44*LevOpex*$B$8*P41</f>
        <v>4277.28266053854</v>
      </c>
      <c r="Q91" s="83" t="n">
        <f aca="false">O_Fees*Q44*LevOpex*$B$8*Q41</f>
        <v>4405.60114035469</v>
      </c>
      <c r="R91" s="83" t="n">
        <f aca="false">O_Fees*R44*LevOpex*$B$8*R41</f>
        <v>4537.76917456534</v>
      </c>
      <c r="S91" s="83" t="n">
        <f aca="false">O_Fees*S44*LevOpex*$B$8*S41</f>
        <v>4673.9022498023</v>
      </c>
      <c r="T91" s="83" t="n">
        <f aca="false">O_Fees*T44*LevOpex*$B$8*T41</f>
        <v>4814.11931729637</v>
      </c>
      <c r="U91" s="83" t="n">
        <f aca="false">O_Fees*U44*LevOpex*$B$8*U41</f>
        <v>4958.54289681526</v>
      </c>
      <c r="V91" s="83" t="n">
        <f aca="false">O_Fees*V44*LevOpex*$B$8*V41</f>
        <v>5107.29918371971</v>
      </c>
      <c r="W91" s="83" t="n">
        <f aca="false">O_Fees*W44*LevOpex*$B$8*W41</f>
        <v>5260.51815923131</v>
      </c>
    </row>
    <row r="92" customFormat="false" ht="15" hidden="false" customHeight="false" outlineLevel="0" collapsed="false">
      <c r="A92" s="10" t="s">
        <v>431</v>
      </c>
      <c r="B92" s="61" t="n">
        <f aca="false">SUM(C92:W92)</f>
        <v>107481.497955922</v>
      </c>
      <c r="C92" s="83" t="n">
        <v>0</v>
      </c>
      <c r="D92" s="83" t="n">
        <f aca="false">O_MRV*D44*LevOpex*$B$8*D41</f>
        <v>4000</v>
      </c>
      <c r="E92" s="83" t="n">
        <f aca="false">O_MRV*E44*LevOpex*$B$8*E41</f>
        <v>4120</v>
      </c>
      <c r="F92" s="83" t="n">
        <f aca="false">O_MRV*F44*LevOpex*$B$8*F41</f>
        <v>4243.6</v>
      </c>
      <c r="G92" s="83" t="n">
        <f aca="false">O_MRV*G44*LevOpex*$B$8*G41</f>
        <v>4370.908</v>
      </c>
      <c r="H92" s="83" t="n">
        <f aca="false">O_MRV*H44*LevOpex*$B$8*H41</f>
        <v>4502.03524</v>
      </c>
      <c r="I92" s="83" t="n">
        <f aca="false">O_MRV*I44*LevOpex*$B$8*I41</f>
        <v>4637.0962972</v>
      </c>
      <c r="J92" s="83" t="n">
        <f aca="false">O_MRV*J44*LevOpex*$B$8*J41</f>
        <v>4776.209186116</v>
      </c>
      <c r="K92" s="83" t="n">
        <f aca="false">O_MRV*K44*LevOpex*$B$8*K41</f>
        <v>4919.49546169948</v>
      </c>
      <c r="L92" s="83" t="n">
        <f aca="false">O_MRV*L44*LevOpex*$B$8*L41</f>
        <v>5067.08032555047</v>
      </c>
      <c r="M92" s="83" t="n">
        <f aca="false">O_MRV*M44*LevOpex*$B$8*M41</f>
        <v>5219.09273531698</v>
      </c>
      <c r="N92" s="83" t="n">
        <f aca="false">O_MRV*N44*LevOpex*$B$8*N41</f>
        <v>5375.66551737649</v>
      </c>
      <c r="O92" s="83" t="n">
        <f aca="false">O_MRV*O44*LevOpex*$B$8*O41</f>
        <v>5536.93548289778</v>
      </c>
      <c r="P92" s="83" t="n">
        <f aca="false">O_MRV*P44*LevOpex*$B$8*P41</f>
        <v>5703.04354738472</v>
      </c>
      <c r="Q92" s="83" t="n">
        <f aca="false">O_MRV*Q44*LevOpex*$B$8*Q41</f>
        <v>5874.13485380626</v>
      </c>
      <c r="R92" s="83" t="n">
        <f aca="false">O_MRV*R44*LevOpex*$B$8*R41</f>
        <v>6050.35889942045</v>
      </c>
      <c r="S92" s="83" t="n">
        <f aca="false">O_MRV*S44*LevOpex*$B$8*S41</f>
        <v>6231.86966640306</v>
      </c>
      <c r="T92" s="83" t="n">
        <f aca="false">O_MRV*T44*LevOpex*$B$8*T41</f>
        <v>6418.82575639515</v>
      </c>
      <c r="U92" s="83" t="n">
        <f aca="false">O_MRV*U44*LevOpex*$B$8*U41</f>
        <v>6611.39052908701</v>
      </c>
      <c r="V92" s="83" t="n">
        <f aca="false">O_MRV*V44*LevOpex*$B$8*V41</f>
        <v>6809.73224495962</v>
      </c>
      <c r="W92" s="83" t="n">
        <f aca="false">O_MRV*W44*LevOpex*$B$8*W41</f>
        <v>7014.02421230841</v>
      </c>
    </row>
    <row r="93" customFormat="false" ht="15" hidden="false" customHeight="false" outlineLevel="0" collapsed="false">
      <c r="A93" s="10" t="s">
        <v>432</v>
      </c>
      <c r="B93" s="61" t="n">
        <f aca="false">SUM(C93:W93)</f>
        <v>135007.186221415</v>
      </c>
      <c r="C93" s="83" t="n">
        <v>0</v>
      </c>
      <c r="D93" s="83" t="n">
        <f aca="false">D85*O_CustPct</f>
        <v>2415.52161792</v>
      </c>
      <c r="E93" s="83" t="n">
        <f aca="false">E85*O_CustPct</f>
        <v>3405.52916130605</v>
      </c>
      <c r="F93" s="83" t="n">
        <f aca="false">F85*O_CustPct</f>
        <v>4194.60089674069</v>
      </c>
      <c r="G93" s="83" t="n">
        <f aca="false">G85*O_CustPct</f>
        <v>4395.1505163522</v>
      </c>
      <c r="H93" s="83" t="n">
        <f aca="false">H85*O_CustPct</f>
        <v>4662.81518279805</v>
      </c>
      <c r="I93" s="83" t="n">
        <f aca="false">I85*O_CustPct</f>
        <v>4946.78062743045</v>
      </c>
      <c r="J93" s="83" t="n">
        <f aca="false">J85*O_CustPct</f>
        <v>5248.03956764096</v>
      </c>
      <c r="K93" s="83" t="n">
        <f aca="false">K85*O_CustPct</f>
        <v>5567.6451773103</v>
      </c>
      <c r="L93" s="83" t="n">
        <f aca="false">L85*O_CustPct</f>
        <v>5906.7147686085</v>
      </c>
      <c r="M93" s="83" t="n">
        <f aca="false">M85*O_CustPct</f>
        <v>6266.43369801675</v>
      </c>
      <c r="N93" s="83" t="n">
        <f aca="false">N85*O_CustPct</f>
        <v>6648.05951022597</v>
      </c>
      <c r="O93" s="83" t="n">
        <f aca="false">O85*O_CustPct</f>
        <v>7052.92633439874</v>
      </c>
      <c r="P93" s="83" t="n">
        <f aca="false">P85*O_CustPct</f>
        <v>7482.44954816362</v>
      </c>
      <c r="Q93" s="83" t="n">
        <f aca="false">Q85*O_CustPct</f>
        <v>7938.13072564678</v>
      </c>
      <c r="R93" s="83" t="n">
        <f aca="false">R85*O_CustPct</f>
        <v>8421.56288683868</v>
      </c>
      <c r="S93" s="83" t="n">
        <f aca="false">S85*O_CustPct</f>
        <v>8934.43606664715</v>
      </c>
      <c r="T93" s="83" t="n">
        <f aca="false">T85*O_CustPct</f>
        <v>9478.54322310596</v>
      </c>
      <c r="U93" s="83" t="n">
        <f aca="false">U85*O_CustPct</f>
        <v>10055.7865053931</v>
      </c>
      <c r="V93" s="83" t="n">
        <f aca="false">V85*O_CustPct</f>
        <v>10668.1839035716</v>
      </c>
      <c r="W93" s="83" t="n">
        <f aca="false">W85*O_CustPct</f>
        <v>11317.8763032991</v>
      </c>
    </row>
    <row r="94" customFormat="false" ht="15" hidden="false" customHeight="false" outlineLevel="0" collapsed="false">
      <c r="A94" s="10" t="s">
        <v>433</v>
      </c>
      <c r="B94" s="61" t="n">
        <f aca="false">SUM(C94:W94)</f>
        <v>117570.051282715</v>
      </c>
      <c r="C94" s="83" t="n">
        <v>0</v>
      </c>
      <c r="D94" s="83" t="n">
        <f aca="false">D72*O_DieselOM*D44*LevOpex*$B$8</f>
        <v>719.794472727272</v>
      </c>
      <c r="E94" s="83" t="n">
        <f aca="false">E72*O_DieselOM*E44*LevOpex*$B$8</f>
        <v>1081.80910449818</v>
      </c>
      <c r="F94" s="83" t="n">
        <f aca="false">F72*O_DieselOM*F44*LevOpex*$B$8</f>
        <v>1350.22503407308</v>
      </c>
      <c r="G94" s="83" t="n">
        <f aca="false">G72*O_DieselOM*G44*LevOpex*$B$8</f>
        <v>1432.45373864813</v>
      </c>
      <c r="H94" s="83" t="n">
        <f aca="false">H72*O_DieselOM*H44*LevOpex*$B$8</f>
        <v>1519.69017133181</v>
      </c>
      <c r="I94" s="83" t="n">
        <f aca="false">I72*O_DieselOM*I44*LevOpex*$B$8</f>
        <v>1612.23930276591</v>
      </c>
      <c r="J94" s="83" t="n">
        <f aca="false">J72*O_DieselOM*J44*LevOpex*$B$8</f>
        <v>1841.45816530084</v>
      </c>
      <c r="K94" s="83" t="n">
        <f aca="false">K72*O_DieselOM*K44*LevOpex*$B$8</f>
        <v>2503.82649651629</v>
      </c>
      <c r="L94" s="83" t="n">
        <f aca="false">L72*O_DieselOM*L44*LevOpex*$B$8</f>
        <v>3220.20611379713</v>
      </c>
      <c r="M94" s="83" t="n">
        <f aca="false">M72*O_DieselOM*M44*LevOpex*$B$8</f>
        <v>3994.2260798739</v>
      </c>
      <c r="N94" s="83" t="n">
        <f aca="false">N72*O_DieselOM*N44*LevOpex*$B$8</f>
        <v>4829.74491081635</v>
      </c>
      <c r="O94" s="83" t="n">
        <f aca="false">O72*O_DieselOM*O44*LevOpex*$B$8</f>
        <v>5730.86475956075</v>
      </c>
      <c r="P94" s="83" t="n">
        <f aca="false">P72*O_DieselOM*P44*LevOpex*$B$8</f>
        <v>6701.94646842802</v>
      </c>
      <c r="Q94" s="83" t="n">
        <f aca="false">Q72*O_DieselOM*Q44*LevOpex*$B$8</f>
        <v>7747.62554368381</v>
      </c>
      <c r="R94" s="83" t="n">
        <f aca="false">R72*O_DieselOM*R44*LevOpex*$B$8</f>
        <v>8872.82910842559</v>
      </c>
      <c r="S94" s="83" t="n">
        <f aca="false">S72*O_DieselOM*S44*LevOpex*$B$8</f>
        <v>10082.7938935131</v>
      </c>
      <c r="T94" s="83" t="n">
        <f aca="false">T72*O_DieselOM*T44*LevOpex*$B$8</f>
        <v>11383.0853298981</v>
      </c>
      <c r="U94" s="83" t="n">
        <f aca="false">U72*O_DieselOM*U44*LevOpex*$B$8</f>
        <v>12779.6178095725</v>
      </c>
      <c r="V94" s="83" t="n">
        <f aca="false">V72*O_DieselOM*V44*LevOpex*$B$8</f>
        <v>14278.6761864487</v>
      </c>
      <c r="W94" s="83" t="n">
        <f aca="false">W72*O_DieselOM*W44*LevOpex*$B$8</f>
        <v>15886.9385928357</v>
      </c>
    </row>
    <row r="95" customFormat="false" ht="15" hidden="false" customHeight="false" outlineLevel="0" collapsed="false">
      <c r="A95" s="10" t="s">
        <v>434</v>
      </c>
      <c r="B95" s="61" t="n">
        <f aca="false">SUM(C95:W95)</f>
        <v>1567600.68376954</v>
      </c>
      <c r="C95" s="83" t="n">
        <v>0</v>
      </c>
      <c r="D95" s="83" t="n">
        <f aca="false">D74*FuelPrice*LevFuel*$B$10*D44</f>
        <v>9597.25963636363</v>
      </c>
      <c r="E95" s="83" t="n">
        <f aca="false">E74*FuelPrice*LevFuel*$B$10*E44</f>
        <v>14424.1213933091</v>
      </c>
      <c r="F95" s="83" t="n">
        <f aca="false">F74*FuelPrice*LevFuel*$B$10*F44</f>
        <v>18003.0004543078</v>
      </c>
      <c r="G95" s="83" t="n">
        <f aca="false">G74*FuelPrice*LevFuel*$B$10*G44</f>
        <v>19099.3831819751</v>
      </c>
      <c r="H95" s="83" t="n">
        <f aca="false">H74*FuelPrice*LevFuel*$B$10*H44</f>
        <v>20262.5356177574</v>
      </c>
      <c r="I95" s="83" t="n">
        <f aca="false">I74*FuelPrice*LevFuel*$B$10*I44</f>
        <v>21496.5240368788</v>
      </c>
      <c r="J95" s="83" t="n">
        <f aca="false">J74*FuelPrice*LevFuel*$B$10*J44</f>
        <v>24552.7755373445</v>
      </c>
      <c r="K95" s="83" t="n">
        <f aca="false">K74*FuelPrice*LevFuel*$B$10*K44</f>
        <v>33384.3532868838</v>
      </c>
      <c r="L95" s="83" t="n">
        <f aca="false">L74*FuelPrice*LevFuel*$B$10*L44</f>
        <v>42936.081517295</v>
      </c>
      <c r="M95" s="83" t="n">
        <f aca="false">M74*FuelPrice*LevFuel*$B$10*M44</f>
        <v>53256.3477316521</v>
      </c>
      <c r="N95" s="83" t="n">
        <f aca="false">N74*FuelPrice*LevFuel*$B$10*N44</f>
        <v>64396.5988108847</v>
      </c>
      <c r="O95" s="83" t="n">
        <f aca="false">O74*FuelPrice*LevFuel*$B$10*O44</f>
        <v>76411.5301274767</v>
      </c>
      <c r="P95" s="83" t="n">
        <f aca="false">P74*FuelPrice*LevFuel*$B$10*P44</f>
        <v>89359.2862457069</v>
      </c>
      <c r="Q95" s="83" t="n">
        <f aca="false">Q74*FuelPrice*LevFuel*$B$10*Q44</f>
        <v>103301.673915784</v>
      </c>
      <c r="R95" s="83" t="n">
        <f aca="false">R74*FuelPrice*LevFuel*$B$10*R44</f>
        <v>118304.388112341</v>
      </c>
      <c r="S95" s="83" t="n">
        <f aca="false">S74*FuelPrice*LevFuel*$B$10*S44</f>
        <v>134437.251913507</v>
      </c>
      <c r="T95" s="83" t="n">
        <f aca="false">T74*FuelPrice*LevFuel*$B$10*T44</f>
        <v>151774.471065308</v>
      </c>
      <c r="U95" s="83" t="n">
        <f aca="false">U74*FuelPrice*LevFuel*$B$10*U44</f>
        <v>170394.904127634</v>
      </c>
      <c r="V95" s="83" t="n">
        <f aca="false">V74*FuelPrice*LevFuel*$B$10*V44</f>
        <v>190382.34915265</v>
      </c>
      <c r="W95" s="83" t="n">
        <f aca="false">W74*FuelPrice*LevFuel*$B$10*W44</f>
        <v>211825.847904476</v>
      </c>
    </row>
    <row r="96" customFormat="false" ht="15" hidden="false" customHeight="false" outlineLevel="0" collapsed="false">
      <c r="A96" s="15" t="s">
        <v>435</v>
      </c>
      <c r="B96" s="61" t="n">
        <f aca="false">SUM(C96:W96)</f>
        <v>3320364.13860751</v>
      </c>
      <c r="C96" s="27" t="n">
        <f aca="false">C88+C89+C90+C91+C92+C93+C94+C95</f>
        <v>0</v>
      </c>
      <c r="D96" s="27" t="n">
        <f aca="false">D88+D89+D90+D91+D92+D93+D94+D95</f>
        <v>68563.0673321452</v>
      </c>
      <c r="E96" s="27" t="n">
        <f aca="false">E88+E89+E90+E91+E92+E93+E94+E95</f>
        <v>76416.8660124017</v>
      </c>
      <c r="F96" s="27" t="n">
        <f aca="false">F88+F89+F90+F91+F92+F93+F94+F95</f>
        <v>82778.3949290086</v>
      </c>
      <c r="G96" s="27" t="n">
        <f aca="false">G88+G89+G90+G91+G92+G93+G94+G95</f>
        <v>85934.4730371791</v>
      </c>
      <c r="H96" s="27" t="n">
        <f aca="false">H88+H89+H90+H91+H92+H93+H94+H95</f>
        <v>89282.751140097</v>
      </c>
      <c r="I96" s="27" t="n">
        <f aca="false">I88+I89+I90+I91+I92+I93+I94+I95</f>
        <v>92778.3854403312</v>
      </c>
      <c r="J96" s="27" t="n">
        <f aca="false">J88+J89+J90+J91+J92+J93+J94+J95</f>
        <v>98306.79998774</v>
      </c>
      <c r="K96" s="27" t="n">
        <f aca="false">K88+K89+K90+K91+K92+K93+K94+K95</f>
        <v>110120.287479688</v>
      </c>
      <c r="L96" s="27" t="n">
        <f aca="false">L88+L89+L90+L91+L92+L93+L94+L95</f>
        <v>122787.398794247</v>
      </c>
      <c r="M96" s="27" t="n">
        <f aca="false">M88+M89+M90+M91+M92+M93+M94+M95</f>
        <v>136363.135795926</v>
      </c>
      <c r="N96" s="27" t="n">
        <f aca="false">N88+N89+N90+N91+N92+N93+N94+N95</f>
        <v>150905.915366902</v>
      </c>
      <c r="O96" s="27" t="n">
        <f aca="false">O88+O89+O90+O91+O92+O93+O94+O95</f>
        <v>166477.77872046</v>
      </c>
      <c r="P96" s="27" t="n">
        <f aca="false">P88+P89+P90+P91+P92+P93+P94+P95</f>
        <v>183144.613486293</v>
      </c>
      <c r="Q96" s="27" t="n">
        <f aca="false">Q88+Q89+Q90+Q91+Q92+Q93+Q94+Q95</f>
        <v>200976.389345829</v>
      </c>
      <c r="R96" s="27" t="n">
        <f aca="false">R88+R89+R90+R91+R92+R93+R94+R95</f>
        <v>220047.408043141</v>
      </c>
      <c r="S96" s="27" t="n">
        <f aca="false">S88+S89+S90+S91+S92+S93+S94+S95</f>
        <v>240436.568647269</v>
      </c>
      <c r="T96" s="27" t="n">
        <f aca="false">T88+T89+T90+T91+T92+T93+T94+T95</f>
        <v>262227.648995122</v>
      </c>
      <c r="U96" s="27" t="n">
        <f aca="false">U88+U89+U90+U91+U92+U93+U94+U95</f>
        <v>285509.604300713</v>
      </c>
      <c r="V96" s="27" t="n">
        <f aca="false">V88+V89+V90+V91+V92+V93+V94+V95</f>
        <v>310376.883976528</v>
      </c>
      <c r="W96" s="27" t="n">
        <f aca="false">W88+W89+W90+W91+W92+W93+W94+W95</f>
        <v>336929.767776484</v>
      </c>
    </row>
    <row r="98" customFormat="false" ht="15" hidden="false" customHeight="false" outlineLevel="0" collapsed="false">
      <c r="A98" s="15" t="s">
        <v>436</v>
      </c>
      <c r="B98" s="61" t="n">
        <f aca="false">SUM(C98:W98)</f>
        <v>1179875.40210632</v>
      </c>
      <c r="C98" s="27" t="n">
        <f aca="false">C85-C96</f>
        <v>0</v>
      </c>
      <c r="D98" s="27" t="n">
        <f aca="false">D85-D96</f>
        <v>11954.3199318548</v>
      </c>
      <c r="E98" s="27" t="n">
        <f aca="false">E85-E96</f>
        <v>37100.7726977999</v>
      </c>
      <c r="F98" s="27" t="n">
        <f aca="false">F85-F96</f>
        <v>57041.6349623478</v>
      </c>
      <c r="G98" s="27" t="n">
        <f aca="false">G85-G96</f>
        <v>60570.5441745608</v>
      </c>
      <c r="H98" s="27" t="n">
        <f aca="false">H85-H96</f>
        <v>66144.4216198379</v>
      </c>
      <c r="I98" s="27" t="n">
        <f aca="false">I85-I96</f>
        <v>72114.3021406837</v>
      </c>
      <c r="J98" s="27" t="n">
        <f aca="false">J85-J96</f>
        <v>76627.8522669588</v>
      </c>
      <c r="K98" s="27" t="n">
        <f aca="false">K85-K96</f>
        <v>75467.8850973222</v>
      </c>
      <c r="L98" s="27" t="n">
        <f aca="false">L85-L96</f>
        <v>74103.0934927026</v>
      </c>
      <c r="M98" s="27" t="n">
        <f aca="false">M85-M96</f>
        <v>72517.9874712994</v>
      </c>
      <c r="N98" s="27" t="n">
        <f aca="false">N85-N96</f>
        <v>70696.0683072976</v>
      </c>
      <c r="O98" s="27" t="n">
        <f aca="false">O85-O96</f>
        <v>68619.765759498</v>
      </c>
      <c r="P98" s="27" t="n">
        <f aca="false">P85-P96</f>
        <v>66270.3714524942</v>
      </c>
      <c r="Q98" s="27" t="n">
        <f aca="false">Q85-Q96</f>
        <v>63627.9681757304</v>
      </c>
      <c r="R98" s="27" t="n">
        <f aca="false">R85-R96</f>
        <v>60671.3548514813</v>
      </c>
      <c r="S98" s="27" t="n">
        <f aca="false">S85-S96</f>
        <v>57377.9669076356</v>
      </c>
      <c r="T98" s="27" t="n">
        <f aca="false">T85-T96</f>
        <v>53723.7917750767</v>
      </c>
      <c r="U98" s="27" t="n">
        <f aca="false">U85-U96</f>
        <v>49683.2792123905</v>
      </c>
      <c r="V98" s="27" t="n">
        <f aca="false">V85-V96</f>
        <v>45229.2461425245</v>
      </c>
      <c r="W98" s="27" t="n">
        <f aca="false">W85-W96</f>
        <v>40332.7756668184</v>
      </c>
    </row>
    <row r="99" customFormat="false" ht="15" hidden="false" customHeight="false" outlineLevel="0" collapsed="false">
      <c r="A99" s="10" t="s">
        <v>437</v>
      </c>
      <c r="C99" s="81" t="n">
        <v>0</v>
      </c>
      <c r="D99" s="81" t="n">
        <f aca="false">IFERROR(D98/D85,0)</f>
        <v>0.148468800815146</v>
      </c>
      <c r="E99" s="81" t="n">
        <f aca="false">IFERROR(E98/E85,0)</f>
        <v>0.32682826316106</v>
      </c>
      <c r="F99" s="81" t="n">
        <f aca="false">IFERROR(F98/F85,0)</f>
        <v>0.407964688654913</v>
      </c>
      <c r="G99" s="81" t="n">
        <f aca="false">IFERROR(G98/G85,0)</f>
        <v>0.413436654439075</v>
      </c>
      <c r="H99" s="81" t="n">
        <f aca="false">IFERROR(H98/H85,0)</f>
        <v>0.425565365729204</v>
      </c>
      <c r="I99" s="81" t="n">
        <f aca="false">IFERROR(I98/I85,0)</f>
        <v>0.437340813583699</v>
      </c>
      <c r="J99" s="81" t="n">
        <f aca="false">IFERROR(J98/J85,0)</f>
        <v>0.438037011417219</v>
      </c>
      <c r="K99" s="81" t="n">
        <f aca="false">IFERROR(K98/K85,0)</f>
        <v>0.4066416736013</v>
      </c>
      <c r="L99" s="81" t="n">
        <f aca="false">IFERROR(L98/L85,0)</f>
        <v>0.376367048667358</v>
      </c>
      <c r="M99" s="81" t="n">
        <f aca="false">IFERROR(M98/M85,0)</f>
        <v>0.347173484788886</v>
      </c>
      <c r="N99" s="81" t="n">
        <f aca="false">IFERROR(N98/N85,0)</f>
        <v>0.319022723240761</v>
      </c>
      <c r="O99" s="81" t="n">
        <f aca="false">IFERROR(O98/O85,0)</f>
        <v>0.29187784972951</v>
      </c>
      <c r="P99" s="81" t="n">
        <f aca="false">IFERROR(P98/P85,0)</f>
        <v>0.265703247416183</v>
      </c>
      <c r="Q99" s="81" t="n">
        <f aca="false">IFERROR(Q98/Q85,0)</f>
        <v>0.240464551573177</v>
      </c>
      <c r="R99" s="81" t="n">
        <f aca="false">IFERROR(R98/R85,0)</f>
        <v>0.216128605818402</v>
      </c>
      <c r="S99" s="81" t="n">
        <f aca="false">IFERROR(S98/S85,0)</f>
        <v>0.192663419872122</v>
      </c>
      <c r="T99" s="81" t="n">
        <f aca="false">IFERROR(T98/T85,0)</f>
        <v>0.170038128783694</v>
      </c>
      <c r="U99" s="81" t="n">
        <f aca="false">IFERROR(U98/U85,0)</f>
        <v>0.148222953577259</v>
      </c>
      <c r="V99" s="81" t="n">
        <f aca="false">IFERROR(V98/V85,0)</f>
        <v>0.127189163267187</v>
      </c>
      <c r="W99" s="81" t="n">
        <f aca="false">IFERROR(W98/W85,0)</f>
        <v>0.106909038195783</v>
      </c>
    </row>
    <row r="101" customFormat="false" ht="15" hidden="false" customHeight="false" outlineLevel="0" collapsed="false">
      <c r="A101" s="8" t="s">
        <v>438</v>
      </c>
      <c r="B101" s="9"/>
      <c r="C101" s="9"/>
      <c r="D101" s="9"/>
      <c r="E101" s="9"/>
      <c r="F101" s="9"/>
      <c r="G101" s="9"/>
      <c r="H101" s="9"/>
      <c r="I101" s="9"/>
      <c r="J101" s="9"/>
      <c r="K101" s="9"/>
      <c r="L101" s="9"/>
      <c r="M101" s="9"/>
      <c r="N101" s="9"/>
      <c r="O101" s="9"/>
      <c r="P101" s="9"/>
      <c r="Q101" s="9"/>
      <c r="R101" s="9"/>
      <c r="S101" s="9"/>
      <c r="T101" s="9"/>
      <c r="U101" s="9"/>
      <c r="V101" s="9"/>
      <c r="W101" s="9"/>
    </row>
    <row r="102" customFormat="false" ht="15" hidden="false" customHeight="false" outlineLevel="0" collapsed="false">
      <c r="A102" s="10" t="s">
        <v>439</v>
      </c>
      <c r="B102" s="61" t="n">
        <f aca="false">C102+NPV(Hurdle,D102:W102)</f>
        <v>1153010.25515137</v>
      </c>
      <c r="C102" s="83" t="n">
        <f aca="false">S_Rate_Hi!$B$14</f>
        <v>1153010.25515137</v>
      </c>
      <c r="D102" s="83" t="n">
        <f aca="false">0</f>
        <v>0</v>
      </c>
      <c r="E102" s="83" t="n">
        <f aca="false">0</f>
        <v>0</v>
      </c>
      <c r="F102" s="83" t="n">
        <f aca="false">0</f>
        <v>0</v>
      </c>
      <c r="G102" s="83" t="n">
        <f aca="false">0</f>
        <v>0</v>
      </c>
      <c r="H102" s="83" t="n">
        <f aca="false">0</f>
        <v>0</v>
      </c>
      <c r="I102" s="83" t="n">
        <f aca="false">0</f>
        <v>0</v>
      </c>
      <c r="J102" s="83" t="n">
        <f aca="false">0</f>
        <v>0</v>
      </c>
      <c r="K102" s="83" t="n">
        <f aca="false">0</f>
        <v>0</v>
      </c>
      <c r="L102" s="83" t="n">
        <f aca="false">0</f>
        <v>0</v>
      </c>
      <c r="M102" s="83" t="n">
        <f aca="false">0</f>
        <v>0</v>
      </c>
      <c r="N102" s="83" t="n">
        <f aca="false">0</f>
        <v>0</v>
      </c>
      <c r="O102" s="83" t="n">
        <f aca="false">0</f>
        <v>0</v>
      </c>
      <c r="P102" s="83" t="n">
        <f aca="false">0</f>
        <v>0</v>
      </c>
      <c r="Q102" s="83" t="n">
        <f aca="false">0</f>
        <v>0</v>
      </c>
      <c r="R102" s="83" t="n">
        <f aca="false">0</f>
        <v>0</v>
      </c>
      <c r="S102" s="83" t="n">
        <f aca="false">0</f>
        <v>0</v>
      </c>
      <c r="T102" s="83" t="n">
        <f aca="false">0</f>
        <v>0</v>
      </c>
      <c r="U102" s="83" t="n">
        <f aca="false">0</f>
        <v>0</v>
      </c>
      <c r="V102" s="83" t="n">
        <f aca="false">0</f>
        <v>0</v>
      </c>
      <c r="W102" s="83" t="n">
        <f aca="false">0</f>
        <v>0</v>
      </c>
    </row>
    <row r="103" customFormat="false" ht="15" hidden="false" customHeight="false" outlineLevel="0" collapsed="false">
      <c r="A103" s="10" t="s">
        <v>440</v>
      </c>
      <c r="B103" s="61" t="n">
        <f aca="false">C103+NPV(Hurdle,D103:W103)</f>
        <v>123132.446168426</v>
      </c>
      <c r="C103" s="83" t="n">
        <v>0</v>
      </c>
      <c r="D103" s="83" t="n">
        <f aca="false">IF(AND(D41=1,MOD(D39,BattLife)=0,D39&lt;Life),BESS_kWh*C_BattRepl*LevCapex*$B$7*D44,0)</f>
        <v>0</v>
      </c>
      <c r="E103" s="83" t="n">
        <f aca="false">IF(AND(E41=1,MOD(E39,BattLife)=0,E39&lt;Life),BESS_kWh*C_BattRepl*LevCapex*$B$7*E44,0)</f>
        <v>0</v>
      </c>
      <c r="F103" s="83" t="n">
        <f aca="false">IF(AND(F41=1,MOD(F39,BattLife)=0,F39&lt;Life),BESS_kWh*C_BattRepl*LevCapex*$B$7*F44,0)</f>
        <v>0</v>
      </c>
      <c r="G103" s="83" t="n">
        <f aca="false">IF(AND(G41=1,MOD(G39,BattLife)=0,G39&lt;Life),BESS_kWh*C_BattRepl*LevCapex*$B$7*G44,0)</f>
        <v>0</v>
      </c>
      <c r="H103" s="83" t="n">
        <f aca="false">IF(AND(H41=1,MOD(H39,BattLife)=0,H39&lt;Life),BESS_kWh*C_BattRepl*LevCapex*$B$7*H44,0)</f>
        <v>0</v>
      </c>
      <c r="I103" s="83" t="n">
        <f aca="false">IF(AND(I41=1,MOD(I39,BattLife)=0,I39&lt;Life),BESS_kWh*C_BattRepl*LevCapex*$B$7*I44,0)</f>
        <v>0</v>
      </c>
      <c r="J103" s="83" t="n">
        <f aca="false">IF(AND(J41=1,MOD(J39,BattLife)=0,J39&lt;Life),BESS_kWh*C_BattRepl*LevCapex*$B$7*J44,0)</f>
        <v>0</v>
      </c>
      <c r="K103" s="83" t="n">
        <f aca="false">IF(AND(K41=1,MOD(K39,BattLife)=0,K39&lt;Life),BESS_kWh*C_BattRepl*LevCapex*$B$7*K44,0)</f>
        <v>165903.437704701</v>
      </c>
      <c r="L103" s="83" t="n">
        <f aca="false">IF(AND(L41=1,MOD(L39,BattLife)=0,L39&lt;Life),BESS_kWh*C_BattRepl*LevCapex*$B$7*L44,0)</f>
        <v>0</v>
      </c>
      <c r="M103" s="83" t="n">
        <f aca="false">IF(AND(M41=1,MOD(M39,BattLife)=0,M39&lt;Life),BESS_kWh*C_BattRepl*LevCapex*$B$7*M44,0)</f>
        <v>0</v>
      </c>
      <c r="N103" s="83" t="n">
        <f aca="false">IF(AND(N41=1,MOD(N39,BattLife)=0,N39&lt;Life),BESS_kWh*C_BattRepl*LevCapex*$B$7*N44,0)</f>
        <v>0</v>
      </c>
      <c r="O103" s="83" t="n">
        <f aca="false">IF(AND(O41=1,MOD(O39,BattLife)=0,O39&lt;Life),BESS_kWh*C_BattRepl*LevCapex*$B$7*O44,0)</f>
        <v>0</v>
      </c>
      <c r="P103" s="83" t="n">
        <f aca="false">IF(AND(P41=1,MOD(P39,BattLife)=0,P39&lt;Life),BESS_kWh*C_BattRepl*LevCapex*$B$7*P44,0)</f>
        <v>0</v>
      </c>
      <c r="Q103" s="83" t="n">
        <f aca="false">IF(AND(Q41=1,MOD(Q39,BattLife)=0,Q39&lt;Life),BESS_kWh*C_BattRepl*LevCapex*$B$7*Q44,0)</f>
        <v>0</v>
      </c>
      <c r="R103" s="83" t="n">
        <f aca="false">IF(AND(R41=1,MOD(R39,BattLife)=0,R39&lt;Life),BESS_kWh*C_BattRepl*LevCapex*$B$7*R44,0)</f>
        <v>0</v>
      </c>
      <c r="S103" s="83" t="n">
        <f aca="false">IF(AND(S41=1,MOD(S39,BattLife)=0,S39&lt;Life),BESS_kWh*C_BattRepl*LevCapex*$B$7*S44,0)</f>
        <v>210161.51128367</v>
      </c>
      <c r="T103" s="83" t="n">
        <f aca="false">IF(AND(T41=1,MOD(T39,BattLife)=0,T39&lt;Life),BESS_kWh*C_BattRepl*LevCapex*$B$7*T44,0)</f>
        <v>0</v>
      </c>
      <c r="U103" s="83" t="n">
        <f aca="false">IF(AND(U41=1,MOD(U39,BattLife)=0,U39&lt;Life),BESS_kWh*C_BattRepl*LevCapex*$B$7*U44,0)</f>
        <v>0</v>
      </c>
      <c r="V103" s="83" t="n">
        <f aca="false">IF(AND(V41=1,MOD(V39,BattLife)=0,V39&lt;Life),BESS_kWh*C_BattRepl*LevCapex*$B$7*V44,0)</f>
        <v>0</v>
      </c>
      <c r="W103" s="83" t="n">
        <f aca="false">IF(AND(W41=1,MOD(W39,BattLife)=0,W39&lt;Life),BESS_kWh*C_BattRepl*LevCapex*$B$7*W44,0)</f>
        <v>0</v>
      </c>
    </row>
    <row r="104" customFormat="false" ht="15" hidden="false" customHeight="false" outlineLevel="0" collapsed="false">
      <c r="A104" s="10" t="s">
        <v>441</v>
      </c>
      <c r="B104" s="61" t="n">
        <f aca="false">SUM(C104:W104)</f>
        <v>376064.948988371</v>
      </c>
      <c r="C104" s="83" t="n">
        <v>0</v>
      </c>
      <c r="D104" s="83" t="n">
        <f aca="false">IF(AND(UseMRA=1,D41=1,CEILING(D39,BattLife)&lt;Life),BESS_kWh*C_BattRepl*LevCapex*$B$7*(1+CostEsc)^(CEILING(D39,BattLife)-1)/BattLife,0)</f>
        <v>20737.9297130877</v>
      </c>
      <c r="E104" s="83" t="n">
        <f aca="false">IF(AND(UseMRA=1,E41=1,CEILING(E39,BattLife)&lt;Life),BESS_kWh*C_BattRepl*LevCapex*$B$7*(1+CostEsc)^(CEILING(E39,BattLife)-1)/BattLife,0)</f>
        <v>20737.9297130877</v>
      </c>
      <c r="F104" s="83" t="n">
        <f aca="false">IF(AND(UseMRA=1,F41=1,CEILING(F39,BattLife)&lt;Life),BESS_kWh*C_BattRepl*LevCapex*$B$7*(1+CostEsc)^(CEILING(F39,BattLife)-1)/BattLife,0)</f>
        <v>20737.9297130877</v>
      </c>
      <c r="G104" s="83" t="n">
        <f aca="false">IF(AND(UseMRA=1,G41=1,CEILING(G39,BattLife)&lt;Life),BESS_kWh*C_BattRepl*LevCapex*$B$7*(1+CostEsc)^(CEILING(G39,BattLife)-1)/BattLife,0)</f>
        <v>20737.9297130877</v>
      </c>
      <c r="H104" s="83" t="n">
        <f aca="false">IF(AND(UseMRA=1,H41=1,CEILING(H39,BattLife)&lt;Life),BESS_kWh*C_BattRepl*LevCapex*$B$7*(1+CostEsc)^(CEILING(H39,BattLife)-1)/BattLife,0)</f>
        <v>20737.9297130877</v>
      </c>
      <c r="I104" s="83" t="n">
        <f aca="false">IF(AND(UseMRA=1,I41=1,CEILING(I39,BattLife)&lt;Life),BESS_kWh*C_BattRepl*LevCapex*$B$7*(1+CostEsc)^(CEILING(I39,BattLife)-1)/BattLife,0)</f>
        <v>20737.9297130877</v>
      </c>
      <c r="J104" s="83" t="n">
        <f aca="false">IF(AND(UseMRA=1,J41=1,CEILING(J39,BattLife)&lt;Life),BESS_kWh*C_BattRepl*LevCapex*$B$7*(1+CostEsc)^(CEILING(J39,BattLife)-1)/BattLife,0)</f>
        <v>20737.9297130877</v>
      </c>
      <c r="K104" s="83" t="n">
        <f aca="false">IF(AND(UseMRA=1,K41=1,CEILING(K39,BattLife)&lt;Life),BESS_kWh*C_BattRepl*LevCapex*$B$7*(1+CostEsc)^(CEILING(K39,BattLife)-1)/BattLife,0)</f>
        <v>20737.9297130877</v>
      </c>
      <c r="L104" s="83" t="n">
        <f aca="false">IF(AND(UseMRA=1,L41=1,CEILING(L39,BattLife)&lt;Life),BESS_kWh*C_BattRepl*LevCapex*$B$7*(1+CostEsc)^(CEILING(L39,BattLife)-1)/BattLife,0)</f>
        <v>26270.1889104587</v>
      </c>
      <c r="M104" s="83" t="n">
        <f aca="false">IF(AND(UseMRA=1,M41=1,CEILING(M39,BattLife)&lt;Life),BESS_kWh*C_BattRepl*LevCapex*$B$7*(1+CostEsc)^(CEILING(M39,BattLife)-1)/BattLife,0)</f>
        <v>26270.1889104587</v>
      </c>
      <c r="N104" s="83" t="n">
        <f aca="false">IF(AND(UseMRA=1,N41=1,CEILING(N39,BattLife)&lt;Life),BESS_kWh*C_BattRepl*LevCapex*$B$7*(1+CostEsc)^(CEILING(N39,BattLife)-1)/BattLife,0)</f>
        <v>26270.1889104587</v>
      </c>
      <c r="O104" s="83" t="n">
        <f aca="false">IF(AND(UseMRA=1,O41=1,CEILING(O39,BattLife)&lt;Life),BESS_kWh*C_BattRepl*LevCapex*$B$7*(1+CostEsc)^(CEILING(O39,BattLife)-1)/BattLife,0)</f>
        <v>26270.1889104587</v>
      </c>
      <c r="P104" s="83" t="n">
        <f aca="false">IF(AND(UseMRA=1,P41=1,CEILING(P39,BattLife)&lt;Life),BESS_kWh*C_BattRepl*LevCapex*$B$7*(1+CostEsc)^(CEILING(P39,BattLife)-1)/BattLife,0)</f>
        <v>26270.1889104587</v>
      </c>
      <c r="Q104" s="83" t="n">
        <f aca="false">IF(AND(UseMRA=1,Q41=1,CEILING(Q39,BattLife)&lt;Life),BESS_kWh*C_BattRepl*LevCapex*$B$7*(1+CostEsc)^(CEILING(Q39,BattLife)-1)/BattLife,0)</f>
        <v>26270.1889104587</v>
      </c>
      <c r="R104" s="83" t="n">
        <f aca="false">IF(AND(UseMRA=1,R41=1,CEILING(R39,BattLife)&lt;Life),BESS_kWh*C_BattRepl*LevCapex*$B$7*(1+CostEsc)^(CEILING(R39,BattLife)-1)/BattLife,0)</f>
        <v>26270.1889104587</v>
      </c>
      <c r="S104" s="83" t="n">
        <f aca="false">IF(AND(UseMRA=1,S41=1,CEILING(S39,BattLife)&lt;Life),BESS_kWh*C_BattRepl*LevCapex*$B$7*(1+CostEsc)^(CEILING(S39,BattLife)-1)/BattLife,0)</f>
        <v>26270.1889104587</v>
      </c>
      <c r="T104" s="83" t="n">
        <f aca="false">IF(AND(UseMRA=1,T41=1,CEILING(T39,BattLife)&lt;Life),BESS_kWh*C_BattRepl*LevCapex*$B$7*(1+CostEsc)^(CEILING(T39,BattLife)-1)/BattLife,0)</f>
        <v>0</v>
      </c>
      <c r="U104" s="83" t="n">
        <f aca="false">IF(AND(UseMRA=1,U41=1,CEILING(U39,BattLife)&lt;Life),BESS_kWh*C_BattRepl*LevCapex*$B$7*(1+CostEsc)^(CEILING(U39,BattLife)-1)/BattLife,0)</f>
        <v>0</v>
      </c>
      <c r="V104" s="83" t="n">
        <f aca="false">IF(AND(UseMRA=1,V41=1,CEILING(V39,BattLife)&lt;Life),BESS_kWh*C_BattRepl*LevCapex*$B$7*(1+CostEsc)^(CEILING(V39,BattLife)-1)/BattLife,0)</f>
        <v>0</v>
      </c>
      <c r="W104" s="83" t="n">
        <f aca="false">IF(AND(UseMRA=1,W41=1,CEILING(W39,BattLife)&lt;Life),BESS_kWh*C_BattRepl*LevCapex*$B$7*(1+CostEsc)^(CEILING(W39,BattLife)-1)/BattLife,0)</f>
        <v>0</v>
      </c>
    </row>
    <row r="105" customFormat="false" ht="15" hidden="false" customHeight="false" outlineLevel="0" collapsed="false">
      <c r="A105" s="10" t="s">
        <v>442</v>
      </c>
      <c r="B105" s="61" t="n">
        <f aca="false">SUM(C105:W105)</f>
        <v>376064.948988371</v>
      </c>
      <c r="C105" s="83" t="n">
        <v>0</v>
      </c>
      <c r="D105" s="83" t="n">
        <f aca="false">IF(UseMRA=1,D104,D103)</f>
        <v>20737.9297130877</v>
      </c>
      <c r="E105" s="83" t="n">
        <f aca="false">IF(UseMRA=1,E104,E103)</f>
        <v>20737.9297130877</v>
      </c>
      <c r="F105" s="83" t="n">
        <f aca="false">IF(UseMRA=1,F104,F103)</f>
        <v>20737.9297130877</v>
      </c>
      <c r="G105" s="83" t="n">
        <f aca="false">IF(UseMRA=1,G104,G103)</f>
        <v>20737.9297130877</v>
      </c>
      <c r="H105" s="83" t="n">
        <f aca="false">IF(UseMRA=1,H104,H103)</f>
        <v>20737.9297130877</v>
      </c>
      <c r="I105" s="83" t="n">
        <f aca="false">IF(UseMRA=1,I104,I103)</f>
        <v>20737.9297130877</v>
      </c>
      <c r="J105" s="83" t="n">
        <f aca="false">IF(UseMRA=1,J104,J103)</f>
        <v>20737.9297130877</v>
      </c>
      <c r="K105" s="83" t="n">
        <f aca="false">IF(UseMRA=1,K104,K103)</f>
        <v>20737.9297130877</v>
      </c>
      <c r="L105" s="83" t="n">
        <f aca="false">IF(UseMRA=1,L104,L103)</f>
        <v>26270.1889104587</v>
      </c>
      <c r="M105" s="83" t="n">
        <f aca="false">IF(UseMRA=1,M104,M103)</f>
        <v>26270.1889104587</v>
      </c>
      <c r="N105" s="83" t="n">
        <f aca="false">IF(UseMRA=1,N104,N103)</f>
        <v>26270.1889104587</v>
      </c>
      <c r="O105" s="83" t="n">
        <f aca="false">IF(UseMRA=1,O104,O103)</f>
        <v>26270.1889104587</v>
      </c>
      <c r="P105" s="83" t="n">
        <f aca="false">IF(UseMRA=1,P104,P103)</f>
        <v>26270.1889104587</v>
      </c>
      <c r="Q105" s="83" t="n">
        <f aca="false">IF(UseMRA=1,Q104,Q103)</f>
        <v>26270.1889104587</v>
      </c>
      <c r="R105" s="83" t="n">
        <f aca="false">IF(UseMRA=1,R104,R103)</f>
        <v>26270.1889104587</v>
      </c>
      <c r="S105" s="83" t="n">
        <f aca="false">IF(UseMRA=1,S104,S103)</f>
        <v>26270.1889104587</v>
      </c>
      <c r="T105" s="83" t="n">
        <f aca="false">IF(UseMRA=1,T104,T103)</f>
        <v>0</v>
      </c>
      <c r="U105" s="83" t="n">
        <f aca="false">IF(UseMRA=1,U104,U103)</f>
        <v>0</v>
      </c>
      <c r="V105" s="83" t="n">
        <f aca="false">IF(UseMRA=1,V104,V103)</f>
        <v>0</v>
      </c>
      <c r="W105" s="83" t="n">
        <f aca="false">IF(UseMRA=1,W104,W103)</f>
        <v>0</v>
      </c>
    </row>
    <row r="106" customFormat="false" ht="15" hidden="false" customHeight="false" outlineLevel="0" collapsed="false">
      <c r="A106" s="10" t="s">
        <v>169</v>
      </c>
      <c r="B106" s="61" t="n">
        <f aca="false">SUM(C106:W106)</f>
        <v>600000</v>
      </c>
      <c r="C106" s="83" t="n">
        <f aca="false">Grant</f>
        <v>600000</v>
      </c>
      <c r="D106" s="83" t="n">
        <f aca="false">0</f>
        <v>0</v>
      </c>
      <c r="E106" s="83" t="n">
        <f aca="false">0</f>
        <v>0</v>
      </c>
      <c r="F106" s="83" t="n">
        <f aca="false">0</f>
        <v>0</v>
      </c>
      <c r="G106" s="83" t="n">
        <f aca="false">0</f>
        <v>0</v>
      </c>
      <c r="H106" s="83" t="n">
        <f aca="false">0</f>
        <v>0</v>
      </c>
      <c r="I106" s="83" t="n">
        <f aca="false">0</f>
        <v>0</v>
      </c>
      <c r="J106" s="83" t="n">
        <f aca="false">0</f>
        <v>0</v>
      </c>
      <c r="K106" s="83" t="n">
        <f aca="false">0</f>
        <v>0</v>
      </c>
      <c r="L106" s="83" t="n">
        <f aca="false">0</f>
        <v>0</v>
      </c>
      <c r="M106" s="83" t="n">
        <f aca="false">0</f>
        <v>0</v>
      </c>
      <c r="N106" s="83" t="n">
        <f aca="false">0</f>
        <v>0</v>
      </c>
      <c r="O106" s="83" t="n">
        <f aca="false">0</f>
        <v>0</v>
      </c>
      <c r="P106" s="83" t="n">
        <f aca="false">0</f>
        <v>0</v>
      </c>
      <c r="Q106" s="83" t="n">
        <f aca="false">0</f>
        <v>0</v>
      </c>
      <c r="R106" s="83" t="n">
        <f aca="false">0</f>
        <v>0</v>
      </c>
      <c r="S106" s="83" t="n">
        <f aca="false">0</f>
        <v>0</v>
      </c>
      <c r="T106" s="83" t="n">
        <f aca="false">0</f>
        <v>0</v>
      </c>
      <c r="U106" s="83" t="n">
        <f aca="false">0</f>
        <v>0</v>
      </c>
      <c r="V106" s="83" t="n">
        <f aca="false">0</f>
        <v>0</v>
      </c>
      <c r="W106" s="83" t="n">
        <f aca="false">0</f>
        <v>0</v>
      </c>
    </row>
    <row r="107" customFormat="false" ht="15" hidden="false" customHeight="false" outlineLevel="0" collapsed="false">
      <c r="A107" s="10" t="s">
        <v>443</v>
      </c>
      <c r="B107" s="61" t="n">
        <f aca="false">SUM(C107:W107)</f>
        <v>252000</v>
      </c>
      <c r="C107" s="83" t="n">
        <v>0</v>
      </c>
      <c r="D107" s="83" t="n">
        <f aca="false">D54*Seg1_RBF+D55*Seg2_RBF+D56*Seg3_RBF+D57*Seg4_RBF+D58*Seg5_RBF</f>
        <v>151200</v>
      </c>
      <c r="E107" s="83" t="n">
        <f aca="false">E54*Seg1_RBF+E55*Seg2_RBF+E56*Seg3_RBF+E57*Seg4_RBF+E58*Seg5_RBF</f>
        <v>63000</v>
      </c>
      <c r="F107" s="83" t="n">
        <f aca="false">F54*Seg1_RBF+F55*Seg2_RBF+F56*Seg3_RBF+F57*Seg4_RBF+F58*Seg5_RBF</f>
        <v>37800</v>
      </c>
      <c r="G107" s="83" t="n">
        <f aca="false">G54*Seg1_RBF+G55*Seg2_RBF+G56*Seg3_RBF+G57*Seg4_RBF+G58*Seg5_RBF</f>
        <v>0</v>
      </c>
      <c r="H107" s="83" t="n">
        <f aca="false">H54*Seg1_RBF+H55*Seg2_RBF+H56*Seg3_RBF+H57*Seg4_RBF+H58*Seg5_RBF</f>
        <v>0</v>
      </c>
      <c r="I107" s="83" t="n">
        <f aca="false">I54*Seg1_RBF+I55*Seg2_RBF+I56*Seg3_RBF+I57*Seg4_RBF+I58*Seg5_RBF</f>
        <v>0</v>
      </c>
      <c r="J107" s="83" t="n">
        <f aca="false">J54*Seg1_RBF+J55*Seg2_RBF+J56*Seg3_RBF+J57*Seg4_RBF+J58*Seg5_RBF</f>
        <v>0</v>
      </c>
      <c r="K107" s="83" t="n">
        <f aca="false">K54*Seg1_RBF+K55*Seg2_RBF+K56*Seg3_RBF+K57*Seg4_RBF+K58*Seg5_RBF</f>
        <v>0</v>
      </c>
      <c r="L107" s="83" t="n">
        <f aca="false">L54*Seg1_RBF+L55*Seg2_RBF+L56*Seg3_RBF+L57*Seg4_RBF+L58*Seg5_RBF</f>
        <v>0</v>
      </c>
      <c r="M107" s="83" t="n">
        <f aca="false">M54*Seg1_RBF+M55*Seg2_RBF+M56*Seg3_RBF+M57*Seg4_RBF+M58*Seg5_RBF</f>
        <v>0</v>
      </c>
      <c r="N107" s="83" t="n">
        <f aca="false">N54*Seg1_RBF+N55*Seg2_RBF+N56*Seg3_RBF+N57*Seg4_RBF+N58*Seg5_RBF</f>
        <v>0</v>
      </c>
      <c r="O107" s="83" t="n">
        <f aca="false">O54*Seg1_RBF+O55*Seg2_RBF+O56*Seg3_RBF+O57*Seg4_RBF+O58*Seg5_RBF</f>
        <v>0</v>
      </c>
      <c r="P107" s="83" t="n">
        <f aca="false">P54*Seg1_RBF+P55*Seg2_RBF+P56*Seg3_RBF+P57*Seg4_RBF+P58*Seg5_RBF</f>
        <v>0</v>
      </c>
      <c r="Q107" s="83" t="n">
        <f aca="false">Q54*Seg1_RBF+Q55*Seg2_RBF+Q56*Seg3_RBF+Q57*Seg4_RBF+Q58*Seg5_RBF</f>
        <v>0</v>
      </c>
      <c r="R107" s="83" t="n">
        <f aca="false">R54*Seg1_RBF+R55*Seg2_RBF+R56*Seg3_RBF+R57*Seg4_RBF+R58*Seg5_RBF</f>
        <v>0</v>
      </c>
      <c r="S107" s="83" t="n">
        <f aca="false">S54*Seg1_RBF+S55*Seg2_RBF+S56*Seg3_RBF+S57*Seg4_RBF+S58*Seg5_RBF</f>
        <v>0</v>
      </c>
      <c r="T107" s="83" t="n">
        <f aca="false">T54*Seg1_RBF+T55*Seg2_RBF+T56*Seg3_RBF+T57*Seg4_RBF+T58*Seg5_RBF</f>
        <v>0</v>
      </c>
      <c r="U107" s="83" t="n">
        <f aca="false">U54*Seg1_RBF+U55*Seg2_RBF+U56*Seg3_RBF+U57*Seg4_RBF+U58*Seg5_RBF</f>
        <v>0</v>
      </c>
      <c r="V107" s="83" t="n">
        <f aca="false">V54*Seg1_RBF+V55*Seg2_RBF+V56*Seg3_RBF+V57*Seg4_RBF+V58*Seg5_RBF</f>
        <v>0</v>
      </c>
      <c r="W107" s="83" t="n">
        <f aca="false">W54*Seg1_RBF+W55*Seg2_RBF+W56*Seg3_RBF+W57*Seg4_RBF+W58*Seg5_RBF</f>
        <v>0</v>
      </c>
    </row>
    <row r="108" customFormat="false" ht="15" hidden="false" customHeight="false" outlineLevel="0" collapsed="false">
      <c r="A108" s="10" t="s">
        <v>444</v>
      </c>
      <c r="B108" s="61" t="n">
        <f aca="false">SUM(C108:W108)</f>
        <v>252000</v>
      </c>
      <c r="C108" s="83" t="n">
        <v>0</v>
      </c>
      <c r="D108" s="83" t="n">
        <f aca="false">IF(D39-RBFLag&gt;=1,INDEX($C$107:$W$107,1,D39-RBFLag+1),0)</f>
        <v>151200</v>
      </c>
      <c r="E108" s="83" t="n">
        <f aca="false">IF(E39-RBFLag&gt;=1,INDEX($C$107:$W$107,1,E39-RBFLag+1),0)</f>
        <v>63000</v>
      </c>
      <c r="F108" s="83" t="n">
        <f aca="false">IF(F39-RBFLag&gt;=1,INDEX($C$107:$W$107,1,F39-RBFLag+1),0)</f>
        <v>37800</v>
      </c>
      <c r="G108" s="83" t="n">
        <f aca="false">IF(G39-RBFLag&gt;=1,INDEX($C$107:$W$107,1,G39-RBFLag+1),0)</f>
        <v>0</v>
      </c>
      <c r="H108" s="83" t="n">
        <f aca="false">IF(H39-RBFLag&gt;=1,INDEX($C$107:$W$107,1,H39-RBFLag+1),0)</f>
        <v>0</v>
      </c>
      <c r="I108" s="83" t="n">
        <f aca="false">IF(I39-RBFLag&gt;=1,INDEX($C$107:$W$107,1,I39-RBFLag+1),0)</f>
        <v>0</v>
      </c>
      <c r="J108" s="83" t="n">
        <f aca="false">IF(J39-RBFLag&gt;=1,INDEX($C$107:$W$107,1,J39-RBFLag+1),0)</f>
        <v>0</v>
      </c>
      <c r="K108" s="83" t="n">
        <f aca="false">IF(K39-RBFLag&gt;=1,INDEX($C$107:$W$107,1,K39-RBFLag+1),0)</f>
        <v>0</v>
      </c>
      <c r="L108" s="83" t="n">
        <f aca="false">IF(L39-RBFLag&gt;=1,INDEX($C$107:$W$107,1,L39-RBFLag+1),0)</f>
        <v>0</v>
      </c>
      <c r="M108" s="83" t="n">
        <f aca="false">IF(M39-RBFLag&gt;=1,INDEX($C$107:$W$107,1,M39-RBFLag+1),0)</f>
        <v>0</v>
      </c>
      <c r="N108" s="83" t="n">
        <f aca="false">IF(N39-RBFLag&gt;=1,INDEX($C$107:$W$107,1,N39-RBFLag+1),0)</f>
        <v>0</v>
      </c>
      <c r="O108" s="83" t="n">
        <f aca="false">IF(O39-RBFLag&gt;=1,INDEX($C$107:$W$107,1,O39-RBFLag+1),0)</f>
        <v>0</v>
      </c>
      <c r="P108" s="83" t="n">
        <f aca="false">IF(P39-RBFLag&gt;=1,INDEX($C$107:$W$107,1,P39-RBFLag+1),0)</f>
        <v>0</v>
      </c>
      <c r="Q108" s="83" t="n">
        <f aca="false">IF(Q39-RBFLag&gt;=1,INDEX($C$107:$W$107,1,Q39-RBFLag+1),0)</f>
        <v>0</v>
      </c>
      <c r="R108" s="83" t="n">
        <f aca="false">IF(R39-RBFLag&gt;=1,INDEX($C$107:$W$107,1,R39-RBFLag+1),0)</f>
        <v>0</v>
      </c>
      <c r="S108" s="83" t="n">
        <f aca="false">IF(S39-RBFLag&gt;=1,INDEX($C$107:$W$107,1,S39-RBFLag+1),0)</f>
        <v>0</v>
      </c>
      <c r="T108" s="83" t="n">
        <f aca="false">IF(T39-RBFLag&gt;=1,INDEX($C$107:$W$107,1,T39-RBFLag+1),0)</f>
        <v>0</v>
      </c>
      <c r="U108" s="83" t="n">
        <f aca="false">IF(U39-RBFLag&gt;=1,INDEX($C$107:$W$107,1,U39-RBFLag+1),0)</f>
        <v>0</v>
      </c>
      <c r="V108" s="83" t="n">
        <f aca="false">IF(V39-RBFLag&gt;=1,INDEX($C$107:$W$107,1,V39-RBFLag+1),0)</f>
        <v>0</v>
      </c>
      <c r="W108" s="83" t="n">
        <f aca="false">IF(W39-RBFLag&gt;=1,INDEX($C$107:$W$107,1,W39-RBFLag+1),0)</f>
        <v>0</v>
      </c>
    </row>
    <row r="109" customFormat="false" ht="15" hidden="false" customHeight="false" outlineLevel="0" collapsed="false">
      <c r="A109" s="10" t="s">
        <v>445</v>
      </c>
      <c r="B109" s="61" t="n">
        <f aca="false">SUM(C109:W109)</f>
        <v>970</v>
      </c>
      <c r="C109" s="83" t="n">
        <v>0</v>
      </c>
      <c r="D109" s="83" t="n">
        <f aca="false">IF(D39-RBFLag&gt;=1,INDEX($C$59:$W$59,1,D39-RBFLag+1),0)</f>
        <v>582</v>
      </c>
      <c r="E109" s="83" t="n">
        <f aca="false">IF(E39-RBFLag&gt;=1,INDEX($C$59:$W$59,1,E39-RBFLag+1),0)</f>
        <v>242.5</v>
      </c>
      <c r="F109" s="83" t="n">
        <f aca="false">IF(F39-RBFLag&gt;=1,INDEX($C$59:$W$59,1,F39-RBFLag+1),0)</f>
        <v>145.5</v>
      </c>
      <c r="G109" s="83" t="n">
        <f aca="false">IF(G39-RBFLag&gt;=1,INDEX($C$59:$W$59,1,G39-RBFLag+1),0)</f>
        <v>0</v>
      </c>
      <c r="H109" s="83" t="n">
        <f aca="false">IF(H39-RBFLag&gt;=1,INDEX($C$59:$W$59,1,H39-RBFLag+1),0)</f>
        <v>0</v>
      </c>
      <c r="I109" s="83" t="n">
        <f aca="false">IF(I39-RBFLag&gt;=1,INDEX($C$59:$W$59,1,I39-RBFLag+1),0)</f>
        <v>0</v>
      </c>
      <c r="J109" s="83" t="n">
        <f aca="false">IF(J39-RBFLag&gt;=1,INDEX($C$59:$W$59,1,J39-RBFLag+1),0)</f>
        <v>0</v>
      </c>
      <c r="K109" s="83" t="n">
        <f aca="false">IF(K39-RBFLag&gt;=1,INDEX($C$59:$W$59,1,K39-RBFLag+1),0)</f>
        <v>0</v>
      </c>
      <c r="L109" s="83" t="n">
        <f aca="false">IF(L39-RBFLag&gt;=1,INDEX($C$59:$W$59,1,L39-RBFLag+1),0)</f>
        <v>0</v>
      </c>
      <c r="M109" s="83" t="n">
        <f aca="false">IF(M39-RBFLag&gt;=1,INDEX($C$59:$W$59,1,M39-RBFLag+1),0)</f>
        <v>0</v>
      </c>
      <c r="N109" s="83" t="n">
        <f aca="false">IF(N39-RBFLag&gt;=1,INDEX($C$59:$W$59,1,N39-RBFLag+1),0)</f>
        <v>0</v>
      </c>
      <c r="O109" s="83" t="n">
        <f aca="false">IF(O39-RBFLag&gt;=1,INDEX($C$59:$W$59,1,O39-RBFLag+1),0)</f>
        <v>0</v>
      </c>
      <c r="P109" s="83" t="n">
        <f aca="false">IF(P39-RBFLag&gt;=1,INDEX($C$59:$W$59,1,P39-RBFLag+1),0)</f>
        <v>0</v>
      </c>
      <c r="Q109" s="83" t="n">
        <f aca="false">IF(Q39-RBFLag&gt;=1,INDEX($C$59:$W$59,1,Q39-RBFLag+1),0)</f>
        <v>0</v>
      </c>
      <c r="R109" s="83" t="n">
        <f aca="false">IF(R39-RBFLag&gt;=1,INDEX($C$59:$W$59,1,R39-RBFLag+1),0)</f>
        <v>0</v>
      </c>
      <c r="S109" s="83" t="n">
        <f aca="false">IF(S39-RBFLag&gt;=1,INDEX($C$59:$W$59,1,S39-RBFLag+1),0)</f>
        <v>0</v>
      </c>
      <c r="T109" s="83" t="n">
        <f aca="false">IF(T39-RBFLag&gt;=1,INDEX($C$59:$W$59,1,T39-RBFLag+1),0)</f>
        <v>0</v>
      </c>
      <c r="U109" s="83" t="n">
        <f aca="false">IF(U39-RBFLag&gt;=1,INDEX($C$59:$W$59,1,U39-RBFLag+1),0)</f>
        <v>0</v>
      </c>
      <c r="V109" s="83" t="n">
        <f aca="false">IF(V39-RBFLag&gt;=1,INDEX($C$59:$W$59,1,V39-RBFLag+1),0)</f>
        <v>0</v>
      </c>
      <c r="W109" s="83" t="n">
        <f aca="false">IF(W39-RBFLag&gt;=1,INDEX($C$59:$W$59,1,W39-RBFLag+1),0)</f>
        <v>0</v>
      </c>
    </row>
    <row r="111" customFormat="false" ht="15" hidden="false" customHeight="false" outlineLevel="0" collapsed="false">
      <c r="A111" s="8" t="s">
        <v>446</v>
      </c>
      <c r="B111" s="9"/>
      <c r="C111" s="9"/>
      <c r="D111" s="9"/>
      <c r="E111" s="9"/>
      <c r="F111" s="9"/>
      <c r="G111" s="9"/>
      <c r="H111" s="9"/>
      <c r="I111" s="9"/>
      <c r="J111" s="9"/>
      <c r="K111" s="9"/>
      <c r="L111" s="9"/>
      <c r="M111" s="9"/>
      <c r="N111" s="9"/>
      <c r="O111" s="9"/>
      <c r="P111" s="9"/>
      <c r="Q111" s="9"/>
      <c r="R111" s="9"/>
      <c r="S111" s="9"/>
      <c r="T111" s="9"/>
      <c r="U111" s="9"/>
      <c r="V111" s="9"/>
      <c r="W111" s="9"/>
    </row>
    <row r="112" customFormat="false" ht="15" hidden="false" customHeight="false" outlineLevel="0" collapsed="false">
      <c r="A112" s="10" t="s">
        <v>447</v>
      </c>
      <c r="C112" s="83" t="n">
        <v>0</v>
      </c>
      <c r="D112" s="83" t="n">
        <f aca="false">C116</f>
        <v>110602.051030273</v>
      </c>
      <c r="E112" s="83" t="n">
        <f aca="false">D116</f>
        <v>110602.051030273</v>
      </c>
      <c r="F112" s="83" t="n">
        <f aca="false">E116</f>
        <v>110602.051030273</v>
      </c>
      <c r="G112" s="83" t="n">
        <f aca="false">F116</f>
        <v>101609.790019432</v>
      </c>
      <c r="H112" s="83" t="n">
        <f aca="false">G116</f>
        <v>91538.4576872903</v>
      </c>
      <c r="I112" s="83" t="n">
        <f aca="false">H116</f>
        <v>80258.5654752914</v>
      </c>
      <c r="J112" s="83" t="n">
        <f aca="false">I116</f>
        <v>67625.0861978527</v>
      </c>
      <c r="K112" s="83" t="n">
        <f aca="false">J116</f>
        <v>53475.5894071213</v>
      </c>
      <c r="L112" s="83" t="n">
        <f aca="false">K116</f>
        <v>37628.1530015021</v>
      </c>
      <c r="M112" s="83" t="n">
        <f aca="false">L116</f>
        <v>19879.0242272086</v>
      </c>
      <c r="N112" s="83" t="n">
        <f aca="false">M116</f>
        <v>0</v>
      </c>
      <c r="O112" s="83" t="n">
        <f aca="false">N116</f>
        <v>0</v>
      </c>
      <c r="P112" s="83" t="n">
        <f aca="false">O116</f>
        <v>0</v>
      </c>
      <c r="Q112" s="83" t="n">
        <f aca="false">P116</f>
        <v>0</v>
      </c>
      <c r="R112" s="83" t="n">
        <f aca="false">Q116</f>
        <v>0</v>
      </c>
      <c r="S112" s="83" t="n">
        <f aca="false">R116</f>
        <v>0</v>
      </c>
      <c r="T112" s="83" t="n">
        <f aca="false">S116</f>
        <v>0</v>
      </c>
      <c r="U112" s="83" t="n">
        <f aca="false">T116</f>
        <v>0</v>
      </c>
      <c r="V112" s="83" t="n">
        <f aca="false">U116</f>
        <v>0</v>
      </c>
      <c r="W112" s="83" t="n">
        <f aca="false">V116</f>
        <v>0</v>
      </c>
    </row>
    <row r="113" customFormat="false" ht="15" hidden="false" customHeight="false" outlineLevel="0" collapsed="false">
      <c r="A113" s="10" t="s">
        <v>448</v>
      </c>
      <c r="B113" s="61" t="n">
        <f aca="false">SUM(C113:W113)</f>
        <v>110602.051030273</v>
      </c>
      <c r="C113" s="83" t="n">
        <f aca="false">S_Rate_Hi!$B$16</f>
        <v>110602.051030273</v>
      </c>
      <c r="D113" s="83" t="n">
        <f aca="false">0</f>
        <v>0</v>
      </c>
      <c r="E113" s="83" t="n">
        <f aca="false">0</f>
        <v>0</v>
      </c>
      <c r="F113" s="83" t="n">
        <f aca="false">0</f>
        <v>0</v>
      </c>
      <c r="G113" s="83" t="n">
        <f aca="false">0</f>
        <v>0</v>
      </c>
      <c r="H113" s="83" t="n">
        <f aca="false">0</f>
        <v>0</v>
      </c>
      <c r="I113" s="83" t="n">
        <f aca="false">0</f>
        <v>0</v>
      </c>
      <c r="J113" s="83" t="n">
        <f aca="false">0</f>
        <v>0</v>
      </c>
      <c r="K113" s="83" t="n">
        <f aca="false">0</f>
        <v>0</v>
      </c>
      <c r="L113" s="83" t="n">
        <f aca="false">0</f>
        <v>0</v>
      </c>
      <c r="M113" s="83" t="n">
        <f aca="false">0</f>
        <v>0</v>
      </c>
      <c r="N113" s="83" t="n">
        <f aca="false">0</f>
        <v>0</v>
      </c>
      <c r="O113" s="83" t="n">
        <f aca="false">0</f>
        <v>0</v>
      </c>
      <c r="P113" s="83" t="n">
        <f aca="false">0</f>
        <v>0</v>
      </c>
      <c r="Q113" s="83" t="n">
        <f aca="false">0</f>
        <v>0</v>
      </c>
      <c r="R113" s="83" t="n">
        <f aca="false">0</f>
        <v>0</v>
      </c>
      <c r="S113" s="83" t="n">
        <f aca="false">0</f>
        <v>0</v>
      </c>
      <c r="T113" s="83" t="n">
        <f aca="false">0</f>
        <v>0</v>
      </c>
      <c r="U113" s="83" t="n">
        <f aca="false">0</f>
        <v>0</v>
      </c>
      <c r="V113" s="83" t="n">
        <f aca="false">0</f>
        <v>0</v>
      </c>
      <c r="W113" s="83" t="n">
        <f aca="false">0</f>
        <v>0</v>
      </c>
    </row>
    <row r="114" customFormat="false" ht="15" hidden="false" customHeight="false" outlineLevel="0" collapsed="false">
      <c r="A114" s="10" t="s">
        <v>449</v>
      </c>
      <c r="B114" s="61" t="n">
        <f aca="false">SUM(C114:W114)</f>
        <v>94058.4982927821</v>
      </c>
      <c r="C114" s="83" t="n">
        <v>0</v>
      </c>
      <c r="D114" s="83" t="n">
        <f aca="false">D112*SenRate*$B$11</f>
        <v>13272.2461236328</v>
      </c>
      <c r="E114" s="83" t="n">
        <f aca="false">E112*SenRate*$B$11</f>
        <v>13272.2461236328</v>
      </c>
      <c r="F114" s="83" t="n">
        <f aca="false">F112*SenRate*$B$11</f>
        <v>13272.2461236328</v>
      </c>
      <c r="G114" s="83" t="n">
        <f aca="false">G112*SenRate*$B$11</f>
        <v>12193.1748023319</v>
      </c>
      <c r="H114" s="83" t="n">
        <f aca="false">H112*SenRate*$B$11</f>
        <v>10984.6149224748</v>
      </c>
      <c r="I114" s="83" t="n">
        <f aca="false">I112*SenRate*$B$11</f>
        <v>9631.02785703497</v>
      </c>
      <c r="J114" s="83" t="n">
        <f aca="false">J112*SenRate*$B$11</f>
        <v>8115.01034374232</v>
      </c>
      <c r="K114" s="83" t="n">
        <f aca="false">K112*SenRate*$B$11</f>
        <v>6417.07072885455</v>
      </c>
      <c r="L114" s="83" t="n">
        <f aca="false">L112*SenRate*$B$11</f>
        <v>4515.37836018025</v>
      </c>
      <c r="M114" s="83" t="n">
        <f aca="false">M112*SenRate*$B$11</f>
        <v>2385.48290726504</v>
      </c>
      <c r="N114" s="83" t="n">
        <f aca="false">N112*SenRate*$B$11</f>
        <v>0</v>
      </c>
      <c r="O114" s="83" t="n">
        <f aca="false">O112*SenRate*$B$11</f>
        <v>0</v>
      </c>
      <c r="P114" s="83" t="n">
        <f aca="false">P112*SenRate*$B$11</f>
        <v>0</v>
      </c>
      <c r="Q114" s="83" t="n">
        <f aca="false">Q112*SenRate*$B$11</f>
        <v>0</v>
      </c>
      <c r="R114" s="83" t="n">
        <f aca="false">R112*SenRate*$B$11</f>
        <v>0</v>
      </c>
      <c r="S114" s="83" t="n">
        <f aca="false">S112*SenRate*$B$11</f>
        <v>0</v>
      </c>
      <c r="T114" s="83" t="n">
        <f aca="false">T112*SenRate*$B$11</f>
        <v>0</v>
      </c>
      <c r="U114" s="83" t="n">
        <f aca="false">U112*SenRate*$B$11</f>
        <v>0</v>
      </c>
      <c r="V114" s="83" t="n">
        <f aca="false">V112*SenRate*$B$11</f>
        <v>0</v>
      </c>
      <c r="W114" s="83" t="n">
        <f aca="false">W112*SenRate*$B$11</f>
        <v>0</v>
      </c>
    </row>
    <row r="115" customFormat="false" ht="15" hidden="false" customHeight="false" outlineLevel="0" collapsed="false">
      <c r="A115" s="10" t="s">
        <v>450</v>
      </c>
      <c r="B115" s="61" t="n">
        <f aca="false">SUM(C115:W115)</f>
        <v>110602.051030273</v>
      </c>
      <c r="C115" s="83" t="n">
        <v>0</v>
      </c>
      <c r="D115" s="83" t="n">
        <f aca="false">IF(AND(D39&gt;SenGrace,D39&lt;=SenTenor),PMT(SenRate*$B$11,SenTenor-SenGrace,-S_Rate_Hi!$B$16)-D114,0)</f>
        <v>0</v>
      </c>
      <c r="E115" s="83" t="n">
        <f aca="false">IF(AND(E39&gt;SenGrace,E39&lt;=SenTenor),PMT(SenRate*$B$11,SenTenor-SenGrace,-S_Rate_Hi!$B$16)-E114,0)</f>
        <v>0</v>
      </c>
      <c r="F115" s="83" t="n">
        <f aca="false">IF(AND(F39&gt;SenGrace,F39&lt;=SenTenor),PMT(SenRate*$B$11,SenTenor-SenGrace,-S_Rate_Hi!$B$16)-F114,0)</f>
        <v>8992.26101084094</v>
      </c>
      <c r="G115" s="83" t="n">
        <f aca="false">IF(AND(G39&gt;SenGrace,G39&lt;=SenTenor),PMT(SenRate*$B$11,SenTenor-SenGrace,-S_Rate_Hi!$B$16)-G114,0)</f>
        <v>10071.3323321419</v>
      </c>
      <c r="H115" s="83" t="n">
        <f aca="false">IF(AND(H39&gt;SenGrace,H39&lt;=SenTenor),PMT(SenRate*$B$11,SenTenor-SenGrace,-S_Rate_Hi!$B$16)-H114,0)</f>
        <v>11279.8922119989</v>
      </c>
      <c r="I115" s="83" t="n">
        <f aca="false">IF(AND(I39&gt;SenGrace,I39&lt;=SenTenor),PMT(SenRate*$B$11,SenTenor-SenGrace,-S_Rate_Hi!$B$16)-I114,0)</f>
        <v>12633.4792774387</v>
      </c>
      <c r="J115" s="83" t="n">
        <f aca="false">IF(AND(J39&gt;SenGrace,J39&lt;=SenTenor),PMT(SenRate*$B$11,SenTenor-SenGrace,-S_Rate_Hi!$B$16)-J114,0)</f>
        <v>14149.4967907314</v>
      </c>
      <c r="K115" s="83" t="n">
        <f aca="false">IF(AND(K39&gt;SenGrace,K39&lt;=SenTenor),PMT(SenRate*$B$11,SenTenor-SenGrace,-S_Rate_Hi!$B$16)-K114,0)</f>
        <v>15847.4364056192</v>
      </c>
      <c r="L115" s="83" t="n">
        <f aca="false">IF(AND(L39&gt;SenGrace,L39&lt;=SenTenor),PMT(SenRate*$B$11,SenTenor-SenGrace,-S_Rate_Hi!$B$16)-L114,0)</f>
        <v>17749.1287742935</v>
      </c>
      <c r="M115" s="83" t="n">
        <f aca="false">IF(AND(M39&gt;SenGrace,M39&lt;=SenTenor),PMT(SenRate*$B$11,SenTenor-SenGrace,-S_Rate_Hi!$B$16)-M114,0)</f>
        <v>19879.0242272087</v>
      </c>
      <c r="N115" s="83" t="n">
        <f aca="false">IF(AND(N39&gt;SenGrace,N39&lt;=SenTenor),PMT(SenRate*$B$11,SenTenor-SenGrace,-S_Rate_Hi!$B$16)-N114,0)</f>
        <v>0</v>
      </c>
      <c r="O115" s="83" t="n">
        <f aca="false">IF(AND(O39&gt;SenGrace,O39&lt;=SenTenor),PMT(SenRate*$B$11,SenTenor-SenGrace,-S_Rate_Hi!$B$16)-O114,0)</f>
        <v>0</v>
      </c>
      <c r="P115" s="83" t="n">
        <f aca="false">IF(AND(P39&gt;SenGrace,P39&lt;=SenTenor),PMT(SenRate*$B$11,SenTenor-SenGrace,-S_Rate_Hi!$B$16)-P114,0)</f>
        <v>0</v>
      </c>
      <c r="Q115" s="83" t="n">
        <f aca="false">IF(AND(Q39&gt;SenGrace,Q39&lt;=SenTenor),PMT(SenRate*$B$11,SenTenor-SenGrace,-S_Rate_Hi!$B$16)-Q114,0)</f>
        <v>0</v>
      </c>
      <c r="R115" s="83" t="n">
        <f aca="false">IF(AND(R39&gt;SenGrace,R39&lt;=SenTenor),PMT(SenRate*$B$11,SenTenor-SenGrace,-S_Rate_Hi!$B$16)-R114,0)</f>
        <v>0</v>
      </c>
      <c r="S115" s="83" t="n">
        <f aca="false">IF(AND(S39&gt;SenGrace,S39&lt;=SenTenor),PMT(SenRate*$B$11,SenTenor-SenGrace,-S_Rate_Hi!$B$16)-S114,0)</f>
        <v>0</v>
      </c>
      <c r="T115" s="83" t="n">
        <f aca="false">IF(AND(T39&gt;SenGrace,T39&lt;=SenTenor),PMT(SenRate*$B$11,SenTenor-SenGrace,-S_Rate_Hi!$B$16)-T114,0)</f>
        <v>0</v>
      </c>
      <c r="U115" s="83" t="n">
        <f aca="false">IF(AND(U39&gt;SenGrace,U39&lt;=SenTenor),PMT(SenRate*$B$11,SenTenor-SenGrace,-S_Rate_Hi!$B$16)-U114,0)</f>
        <v>0</v>
      </c>
      <c r="V115" s="83" t="n">
        <f aca="false">IF(AND(V39&gt;SenGrace,V39&lt;=SenTenor),PMT(SenRate*$B$11,SenTenor-SenGrace,-S_Rate_Hi!$B$16)-V114,0)</f>
        <v>0</v>
      </c>
      <c r="W115" s="83" t="n">
        <f aca="false">IF(AND(W39&gt;SenGrace,W39&lt;=SenTenor),PMT(SenRate*$B$11,SenTenor-SenGrace,-S_Rate_Hi!$B$16)-W114,0)</f>
        <v>0</v>
      </c>
    </row>
    <row r="116" customFormat="false" ht="15" hidden="false" customHeight="false" outlineLevel="0" collapsed="false">
      <c r="A116" s="10" t="s">
        <v>451</v>
      </c>
      <c r="C116" s="83" t="n">
        <f aca="false">0+C113-0</f>
        <v>110602.051030273</v>
      </c>
      <c r="D116" s="83" t="n">
        <f aca="false">D112+D113-D115</f>
        <v>110602.051030273</v>
      </c>
      <c r="E116" s="83" t="n">
        <f aca="false">E112+E113-E115</f>
        <v>110602.051030273</v>
      </c>
      <c r="F116" s="83" t="n">
        <f aca="false">F112+F113-F115</f>
        <v>101609.790019432</v>
      </c>
      <c r="G116" s="83" t="n">
        <f aca="false">G112+G113-G115</f>
        <v>91538.4576872903</v>
      </c>
      <c r="H116" s="83" t="n">
        <f aca="false">H112+H113-H115</f>
        <v>80258.5654752914</v>
      </c>
      <c r="I116" s="83" t="n">
        <f aca="false">I112+I113-I115</f>
        <v>67625.0861978527</v>
      </c>
      <c r="J116" s="83" t="n">
        <f aca="false">J112+J113-J115</f>
        <v>53475.5894071213</v>
      </c>
      <c r="K116" s="83" t="n">
        <f aca="false">K112+K113-K115</f>
        <v>37628.1530015021</v>
      </c>
      <c r="L116" s="83" t="n">
        <f aca="false">L112+L113-L115</f>
        <v>19879.0242272086</v>
      </c>
      <c r="M116" s="83" t="n">
        <f aca="false">M112+M113-M115</f>
        <v>0</v>
      </c>
      <c r="N116" s="83" t="n">
        <f aca="false">N112+N113-N115</f>
        <v>0</v>
      </c>
      <c r="O116" s="83" t="n">
        <f aca="false">O112+O113-O115</f>
        <v>0</v>
      </c>
      <c r="P116" s="83" t="n">
        <f aca="false">P112+P113-P115</f>
        <v>0</v>
      </c>
      <c r="Q116" s="83" t="n">
        <f aca="false">Q112+Q113-Q115</f>
        <v>0</v>
      </c>
      <c r="R116" s="83" t="n">
        <f aca="false">R112+R113-R115</f>
        <v>0</v>
      </c>
      <c r="S116" s="83" t="n">
        <f aca="false">S112+S113-S115</f>
        <v>0</v>
      </c>
      <c r="T116" s="83" t="n">
        <f aca="false">T112+T113-T115</f>
        <v>0</v>
      </c>
      <c r="U116" s="83" t="n">
        <f aca="false">U112+U113-U115</f>
        <v>0</v>
      </c>
      <c r="V116" s="83" t="n">
        <f aca="false">V112+V113-V115</f>
        <v>0</v>
      </c>
      <c r="W116" s="83" t="n">
        <f aca="false">W112+W113-W115</f>
        <v>0</v>
      </c>
    </row>
    <row r="118" customFormat="false" ht="15" hidden="false" customHeight="false" outlineLevel="0" collapsed="false">
      <c r="A118" s="8" t="s">
        <v>452</v>
      </c>
      <c r="B118" s="9"/>
      <c r="C118" s="9"/>
      <c r="D118" s="9"/>
      <c r="E118" s="9"/>
      <c r="F118" s="9"/>
      <c r="G118" s="9"/>
      <c r="H118" s="9"/>
      <c r="I118" s="9"/>
      <c r="J118" s="9"/>
      <c r="K118" s="9"/>
      <c r="L118" s="9"/>
      <c r="M118" s="9"/>
      <c r="N118" s="9"/>
      <c r="O118" s="9"/>
      <c r="P118" s="9"/>
      <c r="Q118" s="9"/>
      <c r="R118" s="9"/>
      <c r="S118" s="9"/>
      <c r="T118" s="9"/>
      <c r="U118" s="9"/>
      <c r="V118" s="9"/>
      <c r="W118" s="9"/>
    </row>
    <row r="119" customFormat="false" ht="15" hidden="false" customHeight="false" outlineLevel="0" collapsed="false">
      <c r="A119" s="10" t="s">
        <v>447</v>
      </c>
      <c r="C119" s="83" t="n">
        <v>0</v>
      </c>
      <c r="D119" s="83" t="n">
        <f aca="false">C123</f>
        <v>110602.051030273</v>
      </c>
      <c r="E119" s="83" t="n">
        <f aca="false">D123</f>
        <v>110602.051030273</v>
      </c>
      <c r="F119" s="83" t="n">
        <f aca="false">E123</f>
        <v>110602.051030273</v>
      </c>
      <c r="G119" s="83" t="n">
        <f aca="false">F123</f>
        <v>110602.051030273</v>
      </c>
      <c r="H119" s="83" t="n">
        <f aca="false">G123</f>
        <v>110602.051030273</v>
      </c>
      <c r="I119" s="83" t="n">
        <f aca="false">H123</f>
        <v>110602.051030273</v>
      </c>
      <c r="J119" s="83" t="n">
        <f aca="false">I123</f>
        <v>101217.666190524</v>
      </c>
      <c r="K119" s="83" t="n">
        <f aca="false">J123</f>
        <v>91495.4434965433</v>
      </c>
      <c r="L119" s="83" t="n">
        <f aca="false">K123</f>
        <v>81423.2207855796</v>
      </c>
      <c r="M119" s="83" t="n">
        <f aca="false">L123</f>
        <v>70988.3980570212</v>
      </c>
      <c r="N119" s="83" t="n">
        <f aca="false">M123</f>
        <v>60177.9217102347</v>
      </c>
      <c r="O119" s="83" t="n">
        <f aca="false">N123</f>
        <v>48978.2682149639</v>
      </c>
      <c r="P119" s="83" t="n">
        <f aca="false">O123</f>
        <v>37375.4271938634</v>
      </c>
      <c r="Q119" s="83" t="n">
        <f aca="false">P123</f>
        <v>25354.8838960032</v>
      </c>
      <c r="R119" s="83" t="n">
        <f aca="false">Q123</f>
        <v>12901.6010394201</v>
      </c>
      <c r="S119" s="83" t="n">
        <f aca="false">R123</f>
        <v>0</v>
      </c>
      <c r="T119" s="83" t="n">
        <f aca="false">S123</f>
        <v>0</v>
      </c>
      <c r="U119" s="83" t="n">
        <f aca="false">T123</f>
        <v>0</v>
      </c>
      <c r="V119" s="83" t="n">
        <f aca="false">U123</f>
        <v>0</v>
      </c>
      <c r="W119" s="83" t="n">
        <f aca="false">V123</f>
        <v>0</v>
      </c>
    </row>
    <row r="120" customFormat="false" ht="15" hidden="false" customHeight="false" outlineLevel="0" collapsed="false">
      <c r="A120" s="10" t="s">
        <v>448</v>
      </c>
      <c r="B120" s="61" t="n">
        <f aca="false">SUM(C120:W120)</f>
        <v>110602.051030273</v>
      </c>
      <c r="C120" s="83" t="n">
        <f aca="false">S_Rate_Hi!$B$17</f>
        <v>110602.051030273</v>
      </c>
      <c r="D120" s="83" t="n">
        <f aca="false">0</f>
        <v>0</v>
      </c>
      <c r="E120" s="83" t="n">
        <f aca="false">0</f>
        <v>0</v>
      </c>
      <c r="F120" s="83" t="n">
        <f aca="false">0</f>
        <v>0</v>
      </c>
      <c r="G120" s="83" t="n">
        <f aca="false">0</f>
        <v>0</v>
      </c>
      <c r="H120" s="83" t="n">
        <f aca="false">0</f>
        <v>0</v>
      </c>
      <c r="I120" s="83" t="n">
        <f aca="false">0</f>
        <v>0</v>
      </c>
      <c r="J120" s="83" t="n">
        <f aca="false">0</f>
        <v>0</v>
      </c>
      <c r="K120" s="83" t="n">
        <f aca="false">0</f>
        <v>0</v>
      </c>
      <c r="L120" s="83" t="n">
        <f aca="false">0</f>
        <v>0</v>
      </c>
      <c r="M120" s="83" t="n">
        <f aca="false">0</f>
        <v>0</v>
      </c>
      <c r="N120" s="83" t="n">
        <f aca="false">0</f>
        <v>0</v>
      </c>
      <c r="O120" s="83" t="n">
        <f aca="false">0</f>
        <v>0</v>
      </c>
      <c r="P120" s="83" t="n">
        <f aca="false">0</f>
        <v>0</v>
      </c>
      <c r="Q120" s="83" t="n">
        <f aca="false">0</f>
        <v>0</v>
      </c>
      <c r="R120" s="83" t="n">
        <f aca="false">0</f>
        <v>0</v>
      </c>
      <c r="S120" s="83" t="n">
        <f aca="false">0</f>
        <v>0</v>
      </c>
      <c r="T120" s="83" t="n">
        <f aca="false">0</f>
        <v>0</v>
      </c>
      <c r="U120" s="83" t="n">
        <f aca="false">0</f>
        <v>0</v>
      </c>
      <c r="V120" s="83" t="n">
        <f aca="false">0</f>
        <v>0</v>
      </c>
      <c r="W120" s="83" t="n">
        <f aca="false">0</f>
        <v>0</v>
      </c>
    </row>
    <row r="121" customFormat="false" ht="15" hidden="false" customHeight="false" outlineLevel="0" collapsed="false">
      <c r="A121" s="10" t="s">
        <v>449</v>
      </c>
      <c r="B121" s="61" t="n">
        <f aca="false">SUM(C121:W121)</f>
        <v>42966.9049235685</v>
      </c>
      <c r="C121" s="83" t="n">
        <v>0</v>
      </c>
      <c r="D121" s="83" t="n">
        <f aca="false">D119*ConRate*$B$11</f>
        <v>3981.67383708983</v>
      </c>
      <c r="E121" s="83" t="n">
        <f aca="false">E119*ConRate*$B$11</f>
        <v>3981.67383708983</v>
      </c>
      <c r="F121" s="83" t="n">
        <f aca="false">F119*ConRate*$B$11</f>
        <v>3981.67383708983</v>
      </c>
      <c r="G121" s="83" t="n">
        <f aca="false">G119*ConRate*$B$11</f>
        <v>3981.67383708983</v>
      </c>
      <c r="H121" s="83" t="n">
        <f aca="false">H119*ConRate*$B$11</f>
        <v>3981.67383708983</v>
      </c>
      <c r="I121" s="83" t="n">
        <f aca="false">I119*ConRate*$B$11</f>
        <v>3981.67383708983</v>
      </c>
      <c r="J121" s="83" t="n">
        <f aca="false">J119*ConRate*$B$11</f>
        <v>3643.83598285885</v>
      </c>
      <c r="K121" s="83" t="n">
        <f aca="false">K119*ConRate*$B$11</f>
        <v>3293.83596587556</v>
      </c>
      <c r="L121" s="83" t="n">
        <f aca="false">L119*ConRate*$B$11</f>
        <v>2931.23594828087</v>
      </c>
      <c r="M121" s="83" t="n">
        <f aca="false">M119*ConRate*$B$11</f>
        <v>2555.58233005276</v>
      </c>
      <c r="N121" s="83" t="n">
        <f aca="false">N119*ConRate*$B$11</f>
        <v>2166.40518156845</v>
      </c>
      <c r="O121" s="83" t="n">
        <f aca="false">O119*ConRate*$B$11</f>
        <v>1763.2176557387</v>
      </c>
      <c r="P121" s="83" t="n">
        <f aca="false">P119*ConRate*$B$11</f>
        <v>1345.51537897908</v>
      </c>
      <c r="Q121" s="83" t="n">
        <f aca="false">Q119*ConRate*$B$11</f>
        <v>912.775820256116</v>
      </c>
      <c r="R121" s="83" t="n">
        <f aca="false">R119*ConRate*$B$11</f>
        <v>464.457637419123</v>
      </c>
      <c r="S121" s="83" t="n">
        <f aca="false">S119*ConRate*$B$11</f>
        <v>0</v>
      </c>
      <c r="T121" s="83" t="n">
        <f aca="false">T119*ConRate*$B$11</f>
        <v>0</v>
      </c>
      <c r="U121" s="83" t="n">
        <f aca="false">U119*ConRate*$B$11</f>
        <v>0</v>
      </c>
      <c r="V121" s="83" t="n">
        <f aca="false">V119*ConRate*$B$11</f>
        <v>0</v>
      </c>
      <c r="W121" s="83" t="n">
        <f aca="false">W119*ConRate*$B$11</f>
        <v>0</v>
      </c>
    </row>
    <row r="122" customFormat="false" ht="15" hidden="false" customHeight="false" outlineLevel="0" collapsed="false">
      <c r="A122" s="10" t="s">
        <v>450</v>
      </c>
      <c r="B122" s="61" t="n">
        <f aca="false">SUM(C122:W122)</f>
        <v>110602.051030273</v>
      </c>
      <c r="C122" s="83" t="n">
        <v>0</v>
      </c>
      <c r="D122" s="83" t="n">
        <f aca="false">IF(AND(D39&gt;ConGrace,D39&lt;=ConTenor),PMT(ConRate*$B$11,ConTenor-ConGrace,-S_Rate_Hi!$B$17)-D121,0)</f>
        <v>0</v>
      </c>
      <c r="E122" s="83" t="n">
        <f aca="false">IF(AND(E39&gt;ConGrace,E39&lt;=ConTenor),PMT(ConRate*$B$11,ConTenor-ConGrace,-S_Rate_Hi!$B$17)-E121,0)</f>
        <v>0</v>
      </c>
      <c r="F122" s="83" t="n">
        <f aca="false">IF(AND(F39&gt;ConGrace,F39&lt;=ConTenor),PMT(ConRate*$B$11,ConTenor-ConGrace,-S_Rate_Hi!$B$17)-F121,0)</f>
        <v>0</v>
      </c>
      <c r="G122" s="83" t="n">
        <f aca="false">IF(AND(G39&gt;ConGrace,G39&lt;=ConTenor),PMT(ConRate*$B$11,ConTenor-ConGrace,-S_Rate_Hi!$B$17)-G121,0)</f>
        <v>0</v>
      </c>
      <c r="H122" s="83" t="n">
        <f aca="false">IF(AND(H39&gt;ConGrace,H39&lt;=ConTenor),PMT(ConRate*$B$11,ConTenor-ConGrace,-S_Rate_Hi!$B$17)-H121,0)</f>
        <v>0</v>
      </c>
      <c r="I122" s="83" t="n">
        <f aca="false">IF(AND(I39&gt;ConGrace,I39&lt;=ConTenor),PMT(ConRate*$B$11,ConTenor-ConGrace,-S_Rate_Hi!$B$17)-I121,0)</f>
        <v>9384.38483974941</v>
      </c>
      <c r="J122" s="83" t="n">
        <f aca="false">IF(AND(J39&gt;ConGrace,J39&lt;=ConTenor),PMT(ConRate*$B$11,ConTenor-ConGrace,-S_Rate_Hi!$B$17)-J121,0)</f>
        <v>9722.22269398039</v>
      </c>
      <c r="K122" s="83" t="n">
        <f aca="false">IF(AND(K39&gt;ConGrace,K39&lt;=ConTenor),PMT(ConRate*$B$11,ConTenor-ConGrace,-S_Rate_Hi!$B$17)-K121,0)</f>
        <v>10072.2227109637</v>
      </c>
      <c r="L122" s="83" t="n">
        <f aca="false">IF(AND(L39&gt;ConGrace,L39&lt;=ConTenor),PMT(ConRate*$B$11,ConTenor-ConGrace,-S_Rate_Hi!$B$17)-L121,0)</f>
        <v>10434.8227285584</v>
      </c>
      <c r="M122" s="83" t="n">
        <f aca="false">IF(AND(M39&gt;ConGrace,M39&lt;=ConTenor),PMT(ConRate*$B$11,ConTenor-ConGrace,-S_Rate_Hi!$B$17)-M121,0)</f>
        <v>10810.4763467865</v>
      </c>
      <c r="N122" s="83" t="n">
        <f aca="false">IF(AND(N39&gt;ConGrace,N39&lt;=ConTenor),PMT(ConRate*$B$11,ConTenor-ConGrace,-S_Rate_Hi!$B$17)-N121,0)</f>
        <v>11199.6534952708</v>
      </c>
      <c r="O122" s="83" t="n">
        <f aca="false">IF(AND(O39&gt;ConGrace,O39&lt;=ConTenor),PMT(ConRate*$B$11,ConTenor-ConGrace,-S_Rate_Hi!$B$17)-O121,0)</f>
        <v>11602.8410211005</v>
      </c>
      <c r="P122" s="83" t="n">
        <f aca="false">IF(AND(P39&gt;ConGrace,P39&lt;=ConTenor),PMT(ConRate*$B$11,ConTenor-ConGrace,-S_Rate_Hi!$B$17)-P121,0)</f>
        <v>12020.5432978602</v>
      </c>
      <c r="Q122" s="83" t="n">
        <f aca="false">IF(AND(Q39&gt;ConGrace,Q39&lt;=ConTenor),PMT(ConRate*$B$11,ConTenor-ConGrace,-S_Rate_Hi!$B$17)-Q121,0)</f>
        <v>12453.2828565831</v>
      </c>
      <c r="R122" s="83" t="n">
        <f aca="false">IF(AND(R39&gt;ConGrace,R39&lt;=ConTenor),PMT(ConRate*$B$11,ConTenor-ConGrace,-S_Rate_Hi!$B$17)-R121,0)</f>
        <v>12901.6010394201</v>
      </c>
      <c r="S122" s="83" t="n">
        <f aca="false">IF(AND(S39&gt;ConGrace,S39&lt;=ConTenor),PMT(ConRate*$B$11,ConTenor-ConGrace,-S_Rate_Hi!$B$17)-S121,0)</f>
        <v>0</v>
      </c>
      <c r="T122" s="83" t="n">
        <f aca="false">IF(AND(T39&gt;ConGrace,T39&lt;=ConTenor),PMT(ConRate*$B$11,ConTenor-ConGrace,-S_Rate_Hi!$B$17)-T121,0)</f>
        <v>0</v>
      </c>
      <c r="U122" s="83" t="n">
        <f aca="false">IF(AND(U39&gt;ConGrace,U39&lt;=ConTenor),PMT(ConRate*$B$11,ConTenor-ConGrace,-S_Rate_Hi!$B$17)-U121,0)</f>
        <v>0</v>
      </c>
      <c r="V122" s="83" t="n">
        <f aca="false">IF(AND(V39&gt;ConGrace,V39&lt;=ConTenor),PMT(ConRate*$B$11,ConTenor-ConGrace,-S_Rate_Hi!$B$17)-V121,0)</f>
        <v>0</v>
      </c>
      <c r="W122" s="83" t="n">
        <f aca="false">IF(AND(W39&gt;ConGrace,W39&lt;=ConTenor),PMT(ConRate*$B$11,ConTenor-ConGrace,-S_Rate_Hi!$B$17)-W121,0)</f>
        <v>0</v>
      </c>
    </row>
    <row r="123" customFormat="false" ht="15" hidden="false" customHeight="false" outlineLevel="0" collapsed="false">
      <c r="A123" s="10" t="s">
        <v>451</v>
      </c>
      <c r="C123" s="83" t="n">
        <f aca="false">0+C120-0</f>
        <v>110602.051030273</v>
      </c>
      <c r="D123" s="83" t="n">
        <f aca="false">D119+D120-D122</f>
        <v>110602.051030273</v>
      </c>
      <c r="E123" s="83" t="n">
        <f aca="false">E119+E120-E122</f>
        <v>110602.051030273</v>
      </c>
      <c r="F123" s="83" t="n">
        <f aca="false">F119+F120-F122</f>
        <v>110602.051030273</v>
      </c>
      <c r="G123" s="83" t="n">
        <f aca="false">G119+G120-G122</f>
        <v>110602.051030273</v>
      </c>
      <c r="H123" s="83" t="n">
        <f aca="false">H119+H120-H122</f>
        <v>110602.051030273</v>
      </c>
      <c r="I123" s="83" t="n">
        <f aca="false">I119+I120-I122</f>
        <v>101217.666190524</v>
      </c>
      <c r="J123" s="83" t="n">
        <f aca="false">J119+J120-J122</f>
        <v>91495.4434965433</v>
      </c>
      <c r="K123" s="83" t="n">
        <f aca="false">K119+K120-K122</f>
        <v>81423.2207855796</v>
      </c>
      <c r="L123" s="83" t="n">
        <f aca="false">L119+L120-L122</f>
        <v>70988.3980570212</v>
      </c>
      <c r="M123" s="83" t="n">
        <f aca="false">M119+M120-M122</f>
        <v>60177.9217102347</v>
      </c>
      <c r="N123" s="83" t="n">
        <f aca="false">N119+N120-N122</f>
        <v>48978.2682149639</v>
      </c>
      <c r="O123" s="83" t="n">
        <f aca="false">O119+O120-O122</f>
        <v>37375.4271938634</v>
      </c>
      <c r="P123" s="83" t="n">
        <f aca="false">P119+P120-P122</f>
        <v>25354.8838960032</v>
      </c>
      <c r="Q123" s="83" t="n">
        <f aca="false">Q119+Q120-Q122</f>
        <v>12901.6010394201</v>
      </c>
      <c r="R123" s="83" t="n">
        <f aca="false">R119+R120-R122</f>
        <v>0</v>
      </c>
      <c r="S123" s="83" t="n">
        <f aca="false">S119+S120-S122</f>
        <v>0</v>
      </c>
      <c r="T123" s="83" t="n">
        <f aca="false">T119+T120-T122</f>
        <v>0</v>
      </c>
      <c r="U123" s="83" t="n">
        <f aca="false">U119+U120-U122</f>
        <v>0</v>
      </c>
      <c r="V123" s="83" t="n">
        <f aca="false">V119+V120-V122</f>
        <v>0</v>
      </c>
      <c r="W123" s="83" t="n">
        <f aca="false">W119+W120-W122</f>
        <v>0</v>
      </c>
    </row>
    <row r="125" customFormat="false" ht="15" hidden="false" customHeight="false" outlineLevel="0" collapsed="false">
      <c r="A125" s="15" t="s">
        <v>453</v>
      </c>
      <c r="B125" s="61" t="n">
        <f aca="false">SUM(C125:W125)</f>
        <v>358229.505276897</v>
      </c>
      <c r="C125" s="27" t="n">
        <v>0</v>
      </c>
      <c r="D125" s="27" t="n">
        <f aca="false">D114+D115+D121+D122</f>
        <v>17253.9199607226</v>
      </c>
      <c r="E125" s="27" t="n">
        <f aca="false">E114+E115+E121+E122</f>
        <v>17253.9199607226</v>
      </c>
      <c r="F125" s="27" t="n">
        <f aca="false">F114+F115+F121+F122</f>
        <v>26246.1809715635</v>
      </c>
      <c r="G125" s="27" t="n">
        <f aca="false">G114+G115+G121+G122</f>
        <v>26246.1809715635</v>
      </c>
      <c r="H125" s="27" t="n">
        <f aca="false">H114+H115+H121+H122</f>
        <v>26246.1809715635</v>
      </c>
      <c r="I125" s="27" t="n">
        <f aca="false">I114+I115+I121+I122</f>
        <v>35630.565811313</v>
      </c>
      <c r="J125" s="27" t="n">
        <f aca="false">J114+J115+J121+J122</f>
        <v>35630.565811313</v>
      </c>
      <c r="K125" s="27" t="n">
        <f aca="false">K114+K115+K121+K122</f>
        <v>35630.565811313</v>
      </c>
      <c r="L125" s="27" t="n">
        <f aca="false">L114+L115+L121+L122</f>
        <v>35630.565811313</v>
      </c>
      <c r="M125" s="27" t="n">
        <f aca="false">M114+M115+M121+M122</f>
        <v>35630.565811313</v>
      </c>
      <c r="N125" s="27" t="n">
        <f aca="false">N114+N115+N121+N122</f>
        <v>13366.0586768392</v>
      </c>
      <c r="O125" s="27" t="n">
        <f aca="false">O114+O115+O121+O122</f>
        <v>13366.0586768392</v>
      </c>
      <c r="P125" s="27" t="n">
        <f aca="false">P114+P115+P121+P122</f>
        <v>13366.0586768392</v>
      </c>
      <c r="Q125" s="27" t="n">
        <f aca="false">Q114+Q115+Q121+Q122</f>
        <v>13366.0586768392</v>
      </c>
      <c r="R125" s="27" t="n">
        <f aca="false">R114+R115+R121+R122</f>
        <v>13366.0586768392</v>
      </c>
      <c r="S125" s="27" t="n">
        <f aca="false">S114+S115+S121+S122</f>
        <v>0</v>
      </c>
      <c r="T125" s="27" t="n">
        <f aca="false">T114+T115+T121+T122</f>
        <v>0</v>
      </c>
      <c r="U125" s="27" t="n">
        <f aca="false">U114+U115+U121+U122</f>
        <v>0</v>
      </c>
      <c r="V125" s="27" t="n">
        <f aca="false">V114+V115+V121+V122</f>
        <v>0</v>
      </c>
      <c r="W125" s="27" t="n">
        <f aca="false">W114+W115+W121+W122</f>
        <v>0</v>
      </c>
    </row>
    <row r="126" customFormat="false" ht="15" hidden="false" customHeight="false" outlineLevel="0" collapsed="false">
      <c r="A126" s="10" t="s">
        <v>454</v>
      </c>
      <c r="C126" s="85" t="n">
        <v>0</v>
      </c>
      <c r="D126" s="85" t="n">
        <f aca="false">IF(D39&lt;=SenGrace,SenRate*$B$11,IF(D39&lt;=SenTenor,PMT(SenRate*$B$11,SenTenor-SenGrace,-1),0))</f>
        <v>0.12</v>
      </c>
      <c r="E126" s="85" t="n">
        <f aca="false">IF(E39&lt;=SenGrace,SenRate*$B$11,IF(E39&lt;=SenTenor,PMT(SenRate*$B$11,SenTenor-SenGrace,-1),0))</f>
        <v>0.12</v>
      </c>
      <c r="F126" s="85" t="n">
        <f aca="false">IF(F39&lt;=SenGrace,SenRate*$B$11,IF(F39&lt;=SenTenor,PMT(SenRate*$B$11,SenTenor-SenGrace,-1),0))</f>
        <v>0.2013028413766</v>
      </c>
      <c r="G126" s="85" t="n">
        <f aca="false">IF(G39&lt;=SenGrace,SenRate*$B$11,IF(G39&lt;=SenTenor,PMT(SenRate*$B$11,SenTenor-SenGrace,-1),0))</f>
        <v>0.2013028413766</v>
      </c>
      <c r="H126" s="85" t="n">
        <f aca="false">IF(H39&lt;=SenGrace,SenRate*$B$11,IF(H39&lt;=SenTenor,PMT(SenRate*$B$11,SenTenor-SenGrace,-1),0))</f>
        <v>0.2013028413766</v>
      </c>
      <c r="I126" s="85" t="n">
        <f aca="false">IF(I39&lt;=SenGrace,SenRate*$B$11,IF(I39&lt;=SenTenor,PMT(SenRate*$B$11,SenTenor-SenGrace,-1),0))</f>
        <v>0.2013028413766</v>
      </c>
      <c r="J126" s="85" t="n">
        <f aca="false">IF(J39&lt;=SenGrace,SenRate*$B$11,IF(J39&lt;=SenTenor,PMT(SenRate*$B$11,SenTenor-SenGrace,-1),0))</f>
        <v>0.2013028413766</v>
      </c>
      <c r="K126" s="85" t="n">
        <f aca="false">IF(K39&lt;=SenGrace,SenRate*$B$11,IF(K39&lt;=SenTenor,PMT(SenRate*$B$11,SenTenor-SenGrace,-1),0))</f>
        <v>0.2013028413766</v>
      </c>
      <c r="L126" s="85" t="n">
        <f aca="false">IF(L39&lt;=SenGrace,SenRate*$B$11,IF(L39&lt;=SenTenor,PMT(SenRate*$B$11,SenTenor-SenGrace,-1),0))</f>
        <v>0.2013028413766</v>
      </c>
      <c r="M126" s="85" t="n">
        <f aca="false">IF(M39&lt;=SenGrace,SenRate*$B$11,IF(M39&lt;=SenTenor,PMT(SenRate*$B$11,SenTenor-SenGrace,-1),0))</f>
        <v>0.2013028413766</v>
      </c>
      <c r="N126" s="85" t="n">
        <f aca="false">IF(N39&lt;=SenGrace,SenRate*$B$11,IF(N39&lt;=SenTenor,PMT(SenRate*$B$11,SenTenor-SenGrace,-1),0))</f>
        <v>0</v>
      </c>
      <c r="O126" s="85" t="n">
        <f aca="false">IF(O39&lt;=SenGrace,SenRate*$B$11,IF(O39&lt;=SenTenor,PMT(SenRate*$B$11,SenTenor-SenGrace,-1),0))</f>
        <v>0</v>
      </c>
      <c r="P126" s="85" t="n">
        <f aca="false">IF(P39&lt;=SenGrace,SenRate*$B$11,IF(P39&lt;=SenTenor,PMT(SenRate*$B$11,SenTenor-SenGrace,-1),0))</f>
        <v>0</v>
      </c>
      <c r="Q126" s="85" t="n">
        <f aca="false">IF(Q39&lt;=SenGrace,SenRate*$B$11,IF(Q39&lt;=SenTenor,PMT(SenRate*$B$11,SenTenor-SenGrace,-1),0))</f>
        <v>0</v>
      </c>
      <c r="R126" s="85" t="n">
        <f aca="false">IF(R39&lt;=SenGrace,SenRate*$B$11,IF(R39&lt;=SenTenor,PMT(SenRate*$B$11,SenTenor-SenGrace,-1),0))</f>
        <v>0</v>
      </c>
      <c r="S126" s="85" t="n">
        <f aca="false">IF(S39&lt;=SenGrace,SenRate*$B$11,IF(S39&lt;=SenTenor,PMT(SenRate*$B$11,SenTenor-SenGrace,-1),0))</f>
        <v>0</v>
      </c>
      <c r="T126" s="85" t="n">
        <f aca="false">IF(T39&lt;=SenGrace,SenRate*$B$11,IF(T39&lt;=SenTenor,PMT(SenRate*$B$11,SenTenor-SenGrace,-1),0))</f>
        <v>0</v>
      </c>
      <c r="U126" s="85" t="n">
        <f aca="false">IF(U39&lt;=SenGrace,SenRate*$B$11,IF(U39&lt;=SenTenor,PMT(SenRate*$B$11,SenTenor-SenGrace,-1),0))</f>
        <v>0</v>
      </c>
      <c r="V126" s="85" t="n">
        <f aca="false">IF(V39&lt;=SenGrace,SenRate*$B$11,IF(V39&lt;=SenTenor,PMT(SenRate*$B$11,SenTenor-SenGrace,-1),0))</f>
        <v>0</v>
      </c>
      <c r="W126" s="85" t="n">
        <f aca="false">IF(W39&lt;=SenGrace,SenRate*$B$11,IF(W39&lt;=SenTenor,PMT(SenRate*$B$11,SenTenor-SenGrace,-1),0))</f>
        <v>0</v>
      </c>
    </row>
    <row r="127" customFormat="false" ht="15" hidden="false" customHeight="false" outlineLevel="0" collapsed="false">
      <c r="A127" s="10" t="s">
        <v>455</v>
      </c>
      <c r="C127" s="83" t="n">
        <v>0</v>
      </c>
      <c r="D127" s="83" t="n">
        <f aca="false">IF(D126&gt;0,(D147/MinDSCR-D121-D122)/D126,1000000000000)</f>
        <v>879744.963016348</v>
      </c>
      <c r="E127" s="83" t="n">
        <f aca="false">IF(E126&gt;0,(E147/MinDSCR-E121-E122)/E126,1000000000000)</f>
        <v>475555.557669843</v>
      </c>
      <c r="F127" s="83" t="n">
        <f aca="false">IF(F126&gt;0,(F147/MinDSCR-F121-F122)/F126,1000000000000)</f>
        <v>263390.104143915</v>
      </c>
      <c r="G127" s="83" t="n">
        <f aca="false">IF(G126&gt;0,(G147/MinDSCR-G121-G122)/G126,1000000000000)</f>
        <v>132431.30918211</v>
      </c>
      <c r="H127" s="83" t="n">
        <f aca="false">IF(H126&gt;0,(H147/MinDSCR-H121-H122)/H126,1000000000000)</f>
        <v>153730.551684143</v>
      </c>
      <c r="I127" s="83" t="n">
        <f aca="false">IF(I126&gt;0,(I147/MinDSCR-I121-I122)/I126,1000000000000)</f>
        <v>129924.782119678</v>
      </c>
      <c r="J127" s="83" t="n">
        <f aca="false">IF(J126&gt;0,(J147/MinDSCR-J121-J122)/J126,1000000000000)</f>
        <v>147172.236809604</v>
      </c>
      <c r="K127" s="83" t="n">
        <f aca="false">IF(K126&gt;0,(K147/MinDSCR-K121-K122)/K126,1000000000000)</f>
        <v>142739.699086439</v>
      </c>
      <c r="L127" s="83" t="n">
        <f aca="false">IF(L126&gt;0,(L147/MinDSCR-L121-L122)/L126,1000000000000)</f>
        <v>116384.265364997</v>
      </c>
      <c r="M127" s="83" t="n">
        <f aca="false">IF(M126&gt;0,(M147/MinDSCR-M121-M122)/M126,1000000000000)</f>
        <v>110327.160975322</v>
      </c>
      <c r="N127" s="83" t="n">
        <f aca="false">IF(N126&gt;0,(N147/MinDSCR-N121-N122)/N126,1000000000000)</f>
        <v>1000000000000</v>
      </c>
      <c r="O127" s="83" t="n">
        <f aca="false">IF(O126&gt;0,(O147/MinDSCR-O121-O122)/O126,1000000000000)</f>
        <v>1000000000000</v>
      </c>
      <c r="P127" s="83" t="n">
        <f aca="false">IF(P126&gt;0,(P147/MinDSCR-P121-P122)/P126,1000000000000)</f>
        <v>1000000000000</v>
      </c>
      <c r="Q127" s="83" t="n">
        <f aca="false">IF(Q126&gt;0,(Q147/MinDSCR-Q121-Q122)/Q126,1000000000000)</f>
        <v>1000000000000</v>
      </c>
      <c r="R127" s="83" t="n">
        <f aca="false">IF(R126&gt;0,(R147/MinDSCR-R121-R122)/R126,1000000000000)</f>
        <v>1000000000000</v>
      </c>
      <c r="S127" s="83" t="n">
        <f aca="false">IF(S126&gt;0,(S147/MinDSCR-S121-S122)/S126,1000000000000)</f>
        <v>1000000000000</v>
      </c>
      <c r="T127" s="83" t="n">
        <f aca="false">IF(T126&gt;0,(T147/MinDSCR-T121-T122)/T126,1000000000000)</f>
        <v>1000000000000</v>
      </c>
      <c r="U127" s="83" t="n">
        <f aca="false">IF(U126&gt;0,(U147/MinDSCR-U121-U122)/U126,1000000000000)</f>
        <v>1000000000000</v>
      </c>
      <c r="V127" s="83" t="n">
        <f aca="false">IF(V126&gt;0,(V147/MinDSCR-V121-V122)/V126,1000000000000)</f>
        <v>1000000000000</v>
      </c>
      <c r="W127" s="83" t="n">
        <f aca="false">IF(W126&gt;0,(W147/MinDSCR-W121-W122)/W126,1000000000000)</f>
        <v>1000000000000</v>
      </c>
    </row>
    <row r="128" customFormat="false" ht="15" hidden="false" customHeight="false" outlineLevel="0" collapsed="false">
      <c r="A128" s="10" t="s">
        <v>456</v>
      </c>
      <c r="C128" s="83" t="n">
        <f aca="false">DSRAPct*D125</f>
        <v>8626.9599803613</v>
      </c>
      <c r="D128" s="83" t="n">
        <f aca="false">DSRAPct*E125</f>
        <v>8626.9599803613</v>
      </c>
      <c r="E128" s="83" t="n">
        <f aca="false">DSRAPct*F125</f>
        <v>13123.0904857818</v>
      </c>
      <c r="F128" s="83" t="n">
        <f aca="false">DSRAPct*G125</f>
        <v>13123.0904857818</v>
      </c>
      <c r="G128" s="83" t="n">
        <f aca="false">DSRAPct*H125</f>
        <v>13123.0904857818</v>
      </c>
      <c r="H128" s="83" t="n">
        <f aca="false">DSRAPct*I125</f>
        <v>17815.2829056565</v>
      </c>
      <c r="I128" s="83" t="n">
        <f aca="false">DSRAPct*J125</f>
        <v>17815.2829056565</v>
      </c>
      <c r="J128" s="83" t="n">
        <f aca="false">DSRAPct*K125</f>
        <v>17815.2829056565</v>
      </c>
      <c r="K128" s="83" t="n">
        <f aca="false">DSRAPct*L125</f>
        <v>17815.2829056565</v>
      </c>
      <c r="L128" s="83" t="n">
        <f aca="false">DSRAPct*M125</f>
        <v>17815.2829056565</v>
      </c>
      <c r="M128" s="83" t="n">
        <f aca="false">DSRAPct*N125</f>
        <v>6683.02933841962</v>
      </c>
      <c r="N128" s="83" t="n">
        <f aca="false">DSRAPct*O125</f>
        <v>6683.02933841962</v>
      </c>
      <c r="O128" s="83" t="n">
        <f aca="false">DSRAPct*P125</f>
        <v>6683.02933841962</v>
      </c>
      <c r="P128" s="83" t="n">
        <f aca="false">DSRAPct*Q125</f>
        <v>6683.02933841962</v>
      </c>
      <c r="Q128" s="83" t="n">
        <f aca="false">DSRAPct*R125</f>
        <v>6683.02933841962</v>
      </c>
      <c r="R128" s="83" t="n">
        <f aca="false">DSRAPct*S125</f>
        <v>0</v>
      </c>
      <c r="S128" s="83" t="n">
        <f aca="false">DSRAPct*T125</f>
        <v>0</v>
      </c>
      <c r="T128" s="83" t="n">
        <f aca="false">DSRAPct*U125</f>
        <v>0</v>
      </c>
      <c r="U128" s="83" t="n">
        <f aca="false">DSRAPct*V125</f>
        <v>0</v>
      </c>
      <c r="V128" s="83" t="n">
        <f aca="false">DSRAPct*W125</f>
        <v>0</v>
      </c>
      <c r="W128" s="83" t="n">
        <f aca="false">0</f>
        <v>0</v>
      </c>
    </row>
    <row r="129" customFormat="false" ht="15" hidden="false" customHeight="false" outlineLevel="0" collapsed="false">
      <c r="A129" s="10" t="s">
        <v>457</v>
      </c>
      <c r="B129" s="61" t="n">
        <f aca="false">SUM(C129:W129)</f>
        <v>0</v>
      </c>
      <c r="C129" s="83" t="n">
        <f aca="false">C128</f>
        <v>8626.9599803613</v>
      </c>
      <c r="D129" s="83" t="n">
        <f aca="false">D128-C128</f>
        <v>0</v>
      </c>
      <c r="E129" s="83" t="n">
        <f aca="false">E128-D128</f>
        <v>4496.13050542047</v>
      </c>
      <c r="F129" s="83" t="n">
        <f aca="false">F128-E128</f>
        <v>0</v>
      </c>
      <c r="G129" s="83" t="n">
        <f aca="false">G128-F128</f>
        <v>0</v>
      </c>
      <c r="H129" s="83" t="n">
        <f aca="false">H128-G128</f>
        <v>4692.19241987471</v>
      </c>
      <c r="I129" s="83" t="n">
        <f aca="false">I128-H128</f>
        <v>0</v>
      </c>
      <c r="J129" s="83" t="n">
        <f aca="false">J128-I128</f>
        <v>0</v>
      </c>
      <c r="K129" s="83" t="n">
        <f aca="false">K128-J128</f>
        <v>0</v>
      </c>
      <c r="L129" s="83" t="n">
        <f aca="false">L128-K128</f>
        <v>0</v>
      </c>
      <c r="M129" s="83" t="n">
        <f aca="false">M128-L128</f>
        <v>-11132.2535672369</v>
      </c>
      <c r="N129" s="83" t="n">
        <f aca="false">N128-M128</f>
        <v>0</v>
      </c>
      <c r="O129" s="83" t="n">
        <f aca="false">O128-N128</f>
        <v>0</v>
      </c>
      <c r="P129" s="83" t="n">
        <f aca="false">P128-O128</f>
        <v>0</v>
      </c>
      <c r="Q129" s="83" t="n">
        <f aca="false">Q128-P128</f>
        <v>0</v>
      </c>
      <c r="R129" s="83" t="n">
        <f aca="false">R128-Q128</f>
        <v>-6683.02933841962</v>
      </c>
      <c r="S129" s="83" t="n">
        <f aca="false">S128-R128</f>
        <v>0</v>
      </c>
      <c r="T129" s="83" t="n">
        <f aca="false">T128-S128</f>
        <v>0</v>
      </c>
      <c r="U129" s="83" t="n">
        <f aca="false">U128-T128</f>
        <v>0</v>
      </c>
      <c r="V129" s="83" t="n">
        <f aca="false">V128-U128</f>
        <v>0</v>
      </c>
      <c r="W129" s="83" t="n">
        <f aca="false">W128-V128</f>
        <v>0</v>
      </c>
    </row>
    <row r="131" customFormat="false" ht="15" hidden="false" customHeight="false" outlineLevel="0" collapsed="false">
      <c r="A131" s="8" t="s">
        <v>458</v>
      </c>
      <c r="B131" s="9"/>
      <c r="C131" s="9"/>
      <c r="D131" s="9"/>
      <c r="E131" s="9"/>
      <c r="F131" s="9"/>
      <c r="G131" s="9"/>
      <c r="H131" s="9"/>
      <c r="I131" s="9"/>
      <c r="J131" s="9"/>
      <c r="K131" s="9"/>
      <c r="L131" s="9"/>
      <c r="M131" s="9"/>
      <c r="N131" s="9"/>
      <c r="O131" s="9"/>
      <c r="P131" s="9"/>
      <c r="Q131" s="9"/>
      <c r="R131" s="9"/>
      <c r="S131" s="9"/>
      <c r="T131" s="9"/>
      <c r="U131" s="9"/>
      <c r="V131" s="9"/>
      <c r="W131" s="9"/>
    </row>
    <row r="132" customFormat="false" ht="15" hidden="false" customHeight="false" outlineLevel="0" collapsed="false">
      <c r="A132" s="10" t="s">
        <v>459</v>
      </c>
      <c r="B132" s="61" t="n">
        <f aca="false">SUM(C132:W132)</f>
        <v>1153010.25515137</v>
      </c>
      <c r="C132" s="83" t="n">
        <v>0</v>
      </c>
      <c r="D132" s="83" t="n">
        <f aca="false">IF(D39&lt;=MIN(DepYears,Life),S_Rate_Hi!$B$14/DepYears,0)</f>
        <v>76867.3503434244</v>
      </c>
      <c r="E132" s="83" t="n">
        <f aca="false">IF(E39&lt;=MIN(DepYears,Life),S_Rate_Hi!$B$14/DepYears,0)</f>
        <v>76867.3503434244</v>
      </c>
      <c r="F132" s="83" t="n">
        <f aca="false">IF(F39&lt;=MIN(DepYears,Life),S_Rate_Hi!$B$14/DepYears,0)</f>
        <v>76867.3503434244</v>
      </c>
      <c r="G132" s="83" t="n">
        <f aca="false">IF(G39&lt;=MIN(DepYears,Life),S_Rate_Hi!$B$14/DepYears,0)</f>
        <v>76867.3503434244</v>
      </c>
      <c r="H132" s="83" t="n">
        <f aca="false">IF(H39&lt;=MIN(DepYears,Life),S_Rate_Hi!$B$14/DepYears,0)</f>
        <v>76867.3503434244</v>
      </c>
      <c r="I132" s="83" t="n">
        <f aca="false">IF(I39&lt;=MIN(DepYears,Life),S_Rate_Hi!$B$14/DepYears,0)</f>
        <v>76867.3503434244</v>
      </c>
      <c r="J132" s="83" t="n">
        <f aca="false">IF(J39&lt;=MIN(DepYears,Life),S_Rate_Hi!$B$14/DepYears,0)</f>
        <v>76867.3503434244</v>
      </c>
      <c r="K132" s="83" t="n">
        <f aca="false">IF(K39&lt;=MIN(DepYears,Life),S_Rate_Hi!$B$14/DepYears,0)</f>
        <v>76867.3503434244</v>
      </c>
      <c r="L132" s="83" t="n">
        <f aca="false">IF(L39&lt;=MIN(DepYears,Life),S_Rate_Hi!$B$14/DepYears,0)</f>
        <v>76867.3503434244</v>
      </c>
      <c r="M132" s="83" t="n">
        <f aca="false">IF(M39&lt;=MIN(DepYears,Life),S_Rate_Hi!$B$14/DepYears,0)</f>
        <v>76867.3503434244</v>
      </c>
      <c r="N132" s="83" t="n">
        <f aca="false">IF(N39&lt;=MIN(DepYears,Life),S_Rate_Hi!$B$14/DepYears,0)</f>
        <v>76867.3503434244</v>
      </c>
      <c r="O132" s="83" t="n">
        <f aca="false">IF(O39&lt;=MIN(DepYears,Life),S_Rate_Hi!$B$14/DepYears,0)</f>
        <v>76867.3503434244</v>
      </c>
      <c r="P132" s="83" t="n">
        <f aca="false">IF(P39&lt;=MIN(DepYears,Life),S_Rate_Hi!$B$14/DepYears,0)</f>
        <v>76867.3503434244</v>
      </c>
      <c r="Q132" s="83" t="n">
        <f aca="false">IF(Q39&lt;=MIN(DepYears,Life),S_Rate_Hi!$B$14/DepYears,0)</f>
        <v>76867.3503434244</v>
      </c>
      <c r="R132" s="83" t="n">
        <f aca="false">IF(R39&lt;=MIN(DepYears,Life),S_Rate_Hi!$B$14/DepYears,0)</f>
        <v>76867.3503434244</v>
      </c>
      <c r="S132" s="83" t="n">
        <f aca="false">IF(S39&lt;=MIN(DepYears,Life),S_Rate_Hi!$B$14/DepYears,0)</f>
        <v>0</v>
      </c>
      <c r="T132" s="83" t="n">
        <f aca="false">IF(T39&lt;=MIN(DepYears,Life),S_Rate_Hi!$B$14/DepYears,0)</f>
        <v>0</v>
      </c>
      <c r="U132" s="83" t="n">
        <f aca="false">IF(U39&lt;=MIN(DepYears,Life),S_Rate_Hi!$B$14/DepYears,0)</f>
        <v>0</v>
      </c>
      <c r="V132" s="83" t="n">
        <f aca="false">IF(V39&lt;=MIN(DepYears,Life),S_Rate_Hi!$B$14/DepYears,0)</f>
        <v>0</v>
      </c>
      <c r="W132" s="83" t="n">
        <f aca="false">IF(W39&lt;=MIN(DepYears,Life),S_Rate_Hi!$B$14/DepYears,0)</f>
        <v>0</v>
      </c>
    </row>
    <row r="133" customFormat="false" ht="15" hidden="false" customHeight="false" outlineLevel="0" collapsed="false">
      <c r="A133" s="10" t="s">
        <v>460</v>
      </c>
      <c r="B133" s="61" t="n">
        <f aca="false">SUM(C133:W133)</f>
        <v>26865.1469549494</v>
      </c>
      <c r="C133" s="83" t="n">
        <v>0</v>
      </c>
      <c r="D133" s="83" t="n">
        <f aca="false">D98-D132</f>
        <v>-64913.0304115696</v>
      </c>
      <c r="E133" s="83" t="n">
        <f aca="false">E98-E132</f>
        <v>-39766.5776456245</v>
      </c>
      <c r="F133" s="83" t="n">
        <f aca="false">F98-F132</f>
        <v>-19825.7153810766</v>
      </c>
      <c r="G133" s="83" t="n">
        <f aca="false">G98-G132</f>
        <v>-16296.8061688636</v>
      </c>
      <c r="H133" s="83" t="n">
        <f aca="false">H98-H132</f>
        <v>-10722.9287235864</v>
      </c>
      <c r="I133" s="83" t="n">
        <f aca="false">I98-I132</f>
        <v>-4753.04820274065</v>
      </c>
      <c r="J133" s="83" t="n">
        <f aca="false">J98-J132</f>
        <v>-239.498076465607</v>
      </c>
      <c r="K133" s="83" t="n">
        <f aca="false">K98-K132</f>
        <v>-1399.46524610216</v>
      </c>
      <c r="L133" s="83" t="n">
        <f aca="false">L98-L132</f>
        <v>-2764.25685072178</v>
      </c>
      <c r="M133" s="83" t="n">
        <f aca="false">M98-M132</f>
        <v>-4349.36287212497</v>
      </c>
      <c r="N133" s="83" t="n">
        <f aca="false">N98-N132</f>
        <v>-6171.2820361268</v>
      </c>
      <c r="O133" s="83" t="n">
        <f aca="false">O98-O132</f>
        <v>-8247.58458392639</v>
      </c>
      <c r="P133" s="83" t="n">
        <f aca="false">P98-P132</f>
        <v>-10596.9788909301</v>
      </c>
      <c r="Q133" s="83" t="n">
        <f aca="false">Q98-Q132</f>
        <v>-13239.382167694</v>
      </c>
      <c r="R133" s="83" t="n">
        <f aca="false">R98-R132</f>
        <v>-16195.9954919431</v>
      </c>
      <c r="S133" s="83" t="n">
        <f aca="false">S98-S132</f>
        <v>57377.9669076356</v>
      </c>
      <c r="T133" s="83" t="n">
        <f aca="false">T98-T132</f>
        <v>53723.7917750767</v>
      </c>
      <c r="U133" s="83" t="n">
        <f aca="false">U98-U132</f>
        <v>49683.2792123905</v>
      </c>
      <c r="V133" s="83" t="n">
        <f aca="false">V98-V132</f>
        <v>45229.2461425245</v>
      </c>
      <c r="W133" s="83" t="n">
        <f aca="false">W98-W132</f>
        <v>40332.7756668184</v>
      </c>
    </row>
    <row r="134" customFormat="false" ht="15" hidden="false" customHeight="false" outlineLevel="0" collapsed="false">
      <c r="A134" s="10" t="s">
        <v>461</v>
      </c>
      <c r="C134" s="83" t="n">
        <v>0</v>
      </c>
      <c r="D134" s="83" t="n">
        <f aca="false">0</f>
        <v>0</v>
      </c>
      <c r="E134" s="83" t="n">
        <f aca="false">D136</f>
        <v>64913.0304115696</v>
      </c>
      <c r="F134" s="83" t="n">
        <f aca="false">E136</f>
        <v>104679.608057194</v>
      </c>
      <c r="G134" s="83" t="n">
        <f aca="false">F136</f>
        <v>124505.323438271</v>
      </c>
      <c r="H134" s="83" t="n">
        <f aca="false">G136</f>
        <v>140802.129607134</v>
      </c>
      <c r="I134" s="83" t="n">
        <f aca="false">H136</f>
        <v>151525.058330721</v>
      </c>
      <c r="J134" s="83" t="n">
        <f aca="false">I136</f>
        <v>156278.106533461</v>
      </c>
      <c r="K134" s="83" t="n">
        <f aca="false">J136</f>
        <v>156517.604609927</v>
      </c>
      <c r="L134" s="83" t="n">
        <f aca="false">K136</f>
        <v>157917.069856029</v>
      </c>
      <c r="M134" s="83" t="n">
        <f aca="false">L136</f>
        <v>160681.326706751</v>
      </c>
      <c r="N134" s="83" t="n">
        <f aca="false">M136</f>
        <v>165030.689578876</v>
      </c>
      <c r="O134" s="83" t="n">
        <f aca="false">N136</f>
        <v>171201.971615003</v>
      </c>
      <c r="P134" s="83" t="n">
        <f aca="false">O136</f>
        <v>179449.556198929</v>
      </c>
      <c r="Q134" s="83" t="n">
        <f aca="false">P136</f>
        <v>190046.535089859</v>
      </c>
      <c r="R134" s="83" t="n">
        <f aca="false">Q136</f>
        <v>203285.917257553</v>
      </c>
      <c r="S134" s="83" t="n">
        <f aca="false">R136</f>
        <v>219481.912749496</v>
      </c>
      <c r="T134" s="83" t="n">
        <f aca="false">S136</f>
        <v>162103.945841861</v>
      </c>
      <c r="U134" s="83" t="n">
        <f aca="false">T136</f>
        <v>108380.154066784</v>
      </c>
      <c r="V134" s="83" t="n">
        <f aca="false">U136</f>
        <v>58696.8748543935</v>
      </c>
      <c r="W134" s="83" t="n">
        <f aca="false">V136</f>
        <v>13467.628711869</v>
      </c>
    </row>
    <row r="135" customFormat="false" ht="15" hidden="false" customHeight="false" outlineLevel="0" collapsed="false">
      <c r="A135" s="10" t="s">
        <v>462</v>
      </c>
      <c r="C135" s="83" t="n">
        <v>0</v>
      </c>
      <c r="D135" s="83" t="n">
        <f aca="false">MIN(D134,MAX(D133,0))</f>
        <v>0</v>
      </c>
      <c r="E135" s="83" t="n">
        <f aca="false">MIN(E134,MAX(E133,0))</f>
        <v>0</v>
      </c>
      <c r="F135" s="83" t="n">
        <f aca="false">MIN(F134,MAX(F133,0))</f>
        <v>0</v>
      </c>
      <c r="G135" s="83" t="n">
        <f aca="false">MIN(G134,MAX(G133,0))</f>
        <v>0</v>
      </c>
      <c r="H135" s="83" t="n">
        <f aca="false">MIN(H134,MAX(H133,0))</f>
        <v>0</v>
      </c>
      <c r="I135" s="83" t="n">
        <f aca="false">MIN(I134,MAX(I133,0))</f>
        <v>0</v>
      </c>
      <c r="J135" s="83" t="n">
        <f aca="false">MIN(J134,MAX(J133,0))</f>
        <v>0</v>
      </c>
      <c r="K135" s="83" t="n">
        <f aca="false">MIN(K134,MAX(K133,0))</f>
        <v>0</v>
      </c>
      <c r="L135" s="83" t="n">
        <f aca="false">MIN(L134,MAX(L133,0))</f>
        <v>0</v>
      </c>
      <c r="M135" s="83" t="n">
        <f aca="false">MIN(M134,MAX(M133,0))</f>
        <v>0</v>
      </c>
      <c r="N135" s="83" t="n">
        <f aca="false">MIN(N134,MAX(N133,0))</f>
        <v>0</v>
      </c>
      <c r="O135" s="83" t="n">
        <f aca="false">MIN(O134,MAX(O133,0))</f>
        <v>0</v>
      </c>
      <c r="P135" s="83" t="n">
        <f aca="false">MIN(P134,MAX(P133,0))</f>
        <v>0</v>
      </c>
      <c r="Q135" s="83" t="n">
        <f aca="false">MIN(Q134,MAX(Q133,0))</f>
        <v>0</v>
      </c>
      <c r="R135" s="83" t="n">
        <f aca="false">MIN(R134,MAX(R133,0))</f>
        <v>0</v>
      </c>
      <c r="S135" s="83" t="n">
        <f aca="false">MIN(S134,MAX(S133,0))</f>
        <v>57377.9669076356</v>
      </c>
      <c r="T135" s="83" t="n">
        <f aca="false">MIN(T134,MAX(T133,0))</f>
        <v>53723.7917750767</v>
      </c>
      <c r="U135" s="83" t="n">
        <f aca="false">MIN(U134,MAX(U133,0))</f>
        <v>49683.2792123905</v>
      </c>
      <c r="V135" s="83" t="n">
        <f aca="false">MIN(V134,MAX(V133,0))</f>
        <v>45229.2461425245</v>
      </c>
      <c r="W135" s="83" t="n">
        <f aca="false">MIN(W134,MAX(W133,0))</f>
        <v>13467.628711869</v>
      </c>
    </row>
    <row r="136" customFormat="false" ht="15" hidden="false" customHeight="false" outlineLevel="0" collapsed="false">
      <c r="A136" s="10" t="s">
        <v>463</v>
      </c>
      <c r="C136" s="83" t="n">
        <v>0</v>
      </c>
      <c r="D136" s="83" t="n">
        <f aca="false">D134-D135+MAX(-D133,0)</f>
        <v>64913.0304115696</v>
      </c>
      <c r="E136" s="83" t="n">
        <f aca="false">E134-E135+MAX(-E133,0)</f>
        <v>104679.608057194</v>
      </c>
      <c r="F136" s="83" t="n">
        <f aca="false">F134-F135+MAX(-F133,0)</f>
        <v>124505.323438271</v>
      </c>
      <c r="G136" s="83" t="n">
        <f aca="false">G134-G135+MAX(-G133,0)</f>
        <v>140802.129607134</v>
      </c>
      <c r="H136" s="83" t="n">
        <f aca="false">H134-H135+MAX(-H133,0)</f>
        <v>151525.058330721</v>
      </c>
      <c r="I136" s="83" t="n">
        <f aca="false">I134-I135+MAX(-I133,0)</f>
        <v>156278.106533461</v>
      </c>
      <c r="J136" s="83" t="n">
        <f aca="false">J134-J135+MAX(-J133,0)</f>
        <v>156517.604609927</v>
      </c>
      <c r="K136" s="83" t="n">
        <f aca="false">K134-K135+MAX(-K133,0)</f>
        <v>157917.069856029</v>
      </c>
      <c r="L136" s="83" t="n">
        <f aca="false">L134-L135+MAX(-L133,0)</f>
        <v>160681.326706751</v>
      </c>
      <c r="M136" s="83" t="n">
        <f aca="false">M134-M135+MAX(-M133,0)</f>
        <v>165030.689578876</v>
      </c>
      <c r="N136" s="83" t="n">
        <f aca="false">N134-N135+MAX(-N133,0)</f>
        <v>171201.971615003</v>
      </c>
      <c r="O136" s="83" t="n">
        <f aca="false">O134-O135+MAX(-O133,0)</f>
        <v>179449.556198929</v>
      </c>
      <c r="P136" s="83" t="n">
        <f aca="false">P134-P135+MAX(-P133,0)</f>
        <v>190046.535089859</v>
      </c>
      <c r="Q136" s="83" t="n">
        <f aca="false">Q134-Q135+MAX(-Q133,0)</f>
        <v>203285.917257553</v>
      </c>
      <c r="R136" s="83" t="n">
        <f aca="false">R134-R135+MAX(-R133,0)</f>
        <v>219481.912749496</v>
      </c>
      <c r="S136" s="83" t="n">
        <f aca="false">S134-S135+MAX(-S133,0)</f>
        <v>162103.945841861</v>
      </c>
      <c r="T136" s="83" t="n">
        <f aca="false">T134-T135+MAX(-T133,0)</f>
        <v>108380.154066784</v>
      </c>
      <c r="U136" s="83" t="n">
        <f aca="false">U134-U135+MAX(-U133,0)</f>
        <v>58696.8748543935</v>
      </c>
      <c r="V136" s="83" t="n">
        <f aca="false">V134-V135+MAX(-V133,0)</f>
        <v>13467.628711869</v>
      </c>
      <c r="W136" s="83" t="n">
        <f aca="false">W134-W135+MAX(-W133,0)</f>
        <v>0</v>
      </c>
    </row>
    <row r="137" customFormat="false" ht="15" hidden="false" customHeight="false" outlineLevel="0" collapsed="false">
      <c r="A137" s="10" t="s">
        <v>464</v>
      </c>
      <c r="B137" s="61" t="n">
        <f aca="false">SUM(C137:W137)</f>
        <v>6716.28673873734</v>
      </c>
      <c r="C137" s="83" t="n">
        <v>0</v>
      </c>
      <c r="D137" s="83" t="n">
        <f aca="false">(MAX(D133,0)-D135)*TaxRate</f>
        <v>0</v>
      </c>
      <c r="E137" s="83" t="n">
        <f aca="false">(MAX(E133,0)-E135)*TaxRate</f>
        <v>0</v>
      </c>
      <c r="F137" s="83" t="n">
        <f aca="false">(MAX(F133,0)-F135)*TaxRate</f>
        <v>0</v>
      </c>
      <c r="G137" s="83" t="n">
        <f aca="false">(MAX(G133,0)-G135)*TaxRate</f>
        <v>0</v>
      </c>
      <c r="H137" s="83" t="n">
        <f aca="false">(MAX(H133,0)-H135)*TaxRate</f>
        <v>0</v>
      </c>
      <c r="I137" s="83" t="n">
        <f aca="false">(MAX(I133,0)-I135)*TaxRate</f>
        <v>0</v>
      </c>
      <c r="J137" s="83" t="n">
        <f aca="false">(MAX(J133,0)-J135)*TaxRate</f>
        <v>0</v>
      </c>
      <c r="K137" s="83" t="n">
        <f aca="false">(MAX(K133,0)-K135)*TaxRate</f>
        <v>0</v>
      </c>
      <c r="L137" s="83" t="n">
        <f aca="false">(MAX(L133,0)-L135)*TaxRate</f>
        <v>0</v>
      </c>
      <c r="M137" s="83" t="n">
        <f aca="false">(MAX(M133,0)-M135)*TaxRate</f>
        <v>0</v>
      </c>
      <c r="N137" s="83" t="n">
        <f aca="false">(MAX(N133,0)-N135)*TaxRate</f>
        <v>0</v>
      </c>
      <c r="O137" s="83" t="n">
        <f aca="false">(MAX(O133,0)-O135)*TaxRate</f>
        <v>0</v>
      </c>
      <c r="P137" s="83" t="n">
        <f aca="false">(MAX(P133,0)-P135)*TaxRate</f>
        <v>0</v>
      </c>
      <c r="Q137" s="83" t="n">
        <f aca="false">(MAX(Q133,0)-Q135)*TaxRate</f>
        <v>0</v>
      </c>
      <c r="R137" s="83" t="n">
        <f aca="false">(MAX(R133,0)-R135)*TaxRate</f>
        <v>0</v>
      </c>
      <c r="S137" s="83" t="n">
        <f aca="false">(MAX(S133,0)-S135)*TaxRate</f>
        <v>0</v>
      </c>
      <c r="T137" s="83" t="n">
        <f aca="false">(MAX(T133,0)-T135)*TaxRate</f>
        <v>0</v>
      </c>
      <c r="U137" s="83" t="n">
        <f aca="false">(MAX(U133,0)-U135)*TaxRate</f>
        <v>0</v>
      </c>
      <c r="V137" s="83" t="n">
        <f aca="false">(MAX(V133,0)-V135)*TaxRate</f>
        <v>0</v>
      </c>
      <c r="W137" s="83" t="n">
        <f aca="false">(MAX(W133,0)-W135)*TaxRate</f>
        <v>6716.28673873734</v>
      </c>
    </row>
    <row r="138" customFormat="false" ht="15" hidden="false" customHeight="false" outlineLevel="0" collapsed="false">
      <c r="A138" s="10" t="s">
        <v>465</v>
      </c>
      <c r="B138" s="61" t="n">
        <f aca="false">SUM(C138:W138)</f>
        <v>-110160.256261401</v>
      </c>
      <c r="C138" s="83" t="n">
        <v>0</v>
      </c>
      <c r="D138" s="83" t="n">
        <f aca="false">D98-D132-D114-D121</f>
        <v>-82166.9503722922</v>
      </c>
      <c r="E138" s="83" t="n">
        <f aca="false">E98-E132-E114-E121</f>
        <v>-57020.4976063471</v>
      </c>
      <c r="F138" s="83" t="n">
        <f aca="false">F98-F132-F114-F121</f>
        <v>-37079.6353417992</v>
      </c>
      <c r="G138" s="83" t="n">
        <f aca="false">G98-G132-G114-G121</f>
        <v>-32471.6548082852</v>
      </c>
      <c r="H138" s="83" t="n">
        <f aca="false">H98-H132-H114-H121</f>
        <v>-25689.2174831511</v>
      </c>
      <c r="I138" s="83" t="n">
        <f aca="false">I98-I132-I114-I121</f>
        <v>-18365.7498968655</v>
      </c>
      <c r="J138" s="83" t="n">
        <f aca="false">J98-J132-J114-J121</f>
        <v>-11998.3444030668</v>
      </c>
      <c r="K138" s="83" t="n">
        <f aca="false">K98-K132-K114-K121</f>
        <v>-11110.3719408323</v>
      </c>
      <c r="L138" s="83" t="n">
        <f aca="false">L98-L132-L114-L121</f>
        <v>-10210.8711591829</v>
      </c>
      <c r="M138" s="83" t="n">
        <f aca="false">M98-M132-M114-M121</f>
        <v>-9290.42810944277</v>
      </c>
      <c r="N138" s="83" t="n">
        <f aca="false">N98-N132-N114-N121</f>
        <v>-8337.68721769525</v>
      </c>
      <c r="O138" s="83" t="n">
        <f aca="false">O98-O132-O114-O121</f>
        <v>-10010.8022396651</v>
      </c>
      <c r="P138" s="83" t="n">
        <f aca="false">P98-P132-P114-P121</f>
        <v>-11942.4942699092</v>
      </c>
      <c r="Q138" s="83" t="n">
        <f aca="false">Q98-Q132-Q114-Q121</f>
        <v>-14152.1579879501</v>
      </c>
      <c r="R138" s="83" t="n">
        <f aca="false">R98-R132-R114-R121</f>
        <v>-16660.4531293622</v>
      </c>
      <c r="S138" s="83" t="n">
        <f aca="false">S98-S132-S114-S121</f>
        <v>57377.9669076356</v>
      </c>
      <c r="T138" s="83" t="n">
        <f aca="false">T98-T132-T114-T121</f>
        <v>53723.7917750767</v>
      </c>
      <c r="U138" s="83" t="n">
        <f aca="false">U98-U132-U114-U121</f>
        <v>49683.2792123905</v>
      </c>
      <c r="V138" s="83" t="n">
        <f aca="false">V98-V132-V114-V121</f>
        <v>45229.2461425245</v>
      </c>
      <c r="W138" s="83" t="n">
        <f aca="false">W98-W132-W114-W121</f>
        <v>40332.7756668184</v>
      </c>
    </row>
    <row r="139" customFormat="false" ht="15" hidden="false" customHeight="false" outlineLevel="0" collapsed="false">
      <c r="A139" s="10" t="s">
        <v>461</v>
      </c>
      <c r="C139" s="83" t="n">
        <v>0</v>
      </c>
      <c r="D139" s="83" t="n">
        <f aca="false">0</f>
        <v>0</v>
      </c>
      <c r="E139" s="83" t="n">
        <f aca="false">D141</f>
        <v>82166.9503722922</v>
      </c>
      <c r="F139" s="83" t="n">
        <f aca="false">E141</f>
        <v>139187.447978639</v>
      </c>
      <c r="G139" s="83" t="n">
        <f aca="false">F141</f>
        <v>176267.083320438</v>
      </c>
      <c r="H139" s="83" t="n">
        <f aca="false">G141</f>
        <v>208738.738128724</v>
      </c>
      <c r="I139" s="83" t="n">
        <f aca="false">H141</f>
        <v>234427.955611875</v>
      </c>
      <c r="J139" s="83" t="n">
        <f aca="false">I141</f>
        <v>252793.70550874</v>
      </c>
      <c r="K139" s="83" t="n">
        <f aca="false">J141</f>
        <v>264792.049911807</v>
      </c>
      <c r="L139" s="83" t="n">
        <f aca="false">K141</f>
        <v>275902.421852639</v>
      </c>
      <c r="M139" s="83" t="n">
        <f aca="false">L141</f>
        <v>286113.293011822</v>
      </c>
      <c r="N139" s="83" t="n">
        <f aca="false">M141</f>
        <v>295403.721121265</v>
      </c>
      <c r="O139" s="83" t="n">
        <f aca="false">N141</f>
        <v>303741.40833896</v>
      </c>
      <c r="P139" s="83" t="n">
        <f aca="false">O141</f>
        <v>313752.210578625</v>
      </c>
      <c r="Q139" s="83" t="n">
        <f aca="false">P141</f>
        <v>325694.704848535</v>
      </c>
      <c r="R139" s="83" t="n">
        <f aca="false">Q141</f>
        <v>339846.862836485</v>
      </c>
      <c r="S139" s="83" t="n">
        <f aca="false">R141</f>
        <v>356507.315965847</v>
      </c>
      <c r="T139" s="83" t="n">
        <f aca="false">S141</f>
        <v>299129.349058211</v>
      </c>
      <c r="U139" s="83" t="n">
        <f aca="false">T141</f>
        <v>245405.557283135</v>
      </c>
      <c r="V139" s="83" t="n">
        <f aca="false">U141</f>
        <v>195722.278070744</v>
      </c>
      <c r="W139" s="83" t="n">
        <f aca="false">V141</f>
        <v>150493.03192822</v>
      </c>
    </row>
    <row r="140" customFormat="false" ht="15" hidden="false" customHeight="false" outlineLevel="0" collapsed="false">
      <c r="A140" s="10" t="s">
        <v>462</v>
      </c>
      <c r="C140" s="83" t="n">
        <v>0</v>
      </c>
      <c r="D140" s="83" t="n">
        <f aca="false">MIN(D139,MAX(D138,0))</f>
        <v>0</v>
      </c>
      <c r="E140" s="83" t="n">
        <f aca="false">MIN(E139,MAX(E138,0))</f>
        <v>0</v>
      </c>
      <c r="F140" s="83" t="n">
        <f aca="false">MIN(F139,MAX(F138,0))</f>
        <v>0</v>
      </c>
      <c r="G140" s="83" t="n">
        <f aca="false">MIN(G139,MAX(G138,0))</f>
        <v>0</v>
      </c>
      <c r="H140" s="83" t="n">
        <f aca="false">MIN(H139,MAX(H138,0))</f>
        <v>0</v>
      </c>
      <c r="I140" s="83" t="n">
        <f aca="false">MIN(I139,MAX(I138,0))</f>
        <v>0</v>
      </c>
      <c r="J140" s="83" t="n">
        <f aca="false">MIN(J139,MAX(J138,0))</f>
        <v>0</v>
      </c>
      <c r="K140" s="83" t="n">
        <f aca="false">MIN(K139,MAX(K138,0))</f>
        <v>0</v>
      </c>
      <c r="L140" s="83" t="n">
        <f aca="false">MIN(L139,MAX(L138,0))</f>
        <v>0</v>
      </c>
      <c r="M140" s="83" t="n">
        <f aca="false">MIN(M139,MAX(M138,0))</f>
        <v>0</v>
      </c>
      <c r="N140" s="83" t="n">
        <f aca="false">MIN(N139,MAX(N138,0))</f>
        <v>0</v>
      </c>
      <c r="O140" s="83" t="n">
        <f aca="false">MIN(O139,MAX(O138,0))</f>
        <v>0</v>
      </c>
      <c r="P140" s="83" t="n">
        <f aca="false">MIN(P139,MAX(P138,0))</f>
        <v>0</v>
      </c>
      <c r="Q140" s="83" t="n">
        <f aca="false">MIN(Q139,MAX(Q138,0))</f>
        <v>0</v>
      </c>
      <c r="R140" s="83" t="n">
        <f aca="false">MIN(R139,MAX(R138,0))</f>
        <v>0</v>
      </c>
      <c r="S140" s="83" t="n">
        <f aca="false">MIN(S139,MAX(S138,0))</f>
        <v>57377.9669076356</v>
      </c>
      <c r="T140" s="83" t="n">
        <f aca="false">MIN(T139,MAX(T138,0))</f>
        <v>53723.7917750767</v>
      </c>
      <c r="U140" s="83" t="n">
        <f aca="false">MIN(U139,MAX(U138,0))</f>
        <v>49683.2792123905</v>
      </c>
      <c r="V140" s="83" t="n">
        <f aca="false">MIN(V139,MAX(V138,0))</f>
        <v>45229.2461425245</v>
      </c>
      <c r="W140" s="83" t="n">
        <f aca="false">MIN(W139,MAX(W138,0))</f>
        <v>40332.7756668184</v>
      </c>
    </row>
    <row r="141" customFormat="false" ht="15" hidden="false" customHeight="false" outlineLevel="0" collapsed="false">
      <c r="A141" s="10" t="s">
        <v>463</v>
      </c>
      <c r="C141" s="83" t="n">
        <v>0</v>
      </c>
      <c r="D141" s="83" t="n">
        <f aca="false">D139-D140+MAX(-D138,0)</f>
        <v>82166.9503722922</v>
      </c>
      <c r="E141" s="83" t="n">
        <f aca="false">E139-E140+MAX(-E138,0)</f>
        <v>139187.447978639</v>
      </c>
      <c r="F141" s="83" t="n">
        <f aca="false">F139-F140+MAX(-F138,0)</f>
        <v>176267.083320438</v>
      </c>
      <c r="G141" s="83" t="n">
        <f aca="false">G139-G140+MAX(-G138,0)</f>
        <v>208738.738128724</v>
      </c>
      <c r="H141" s="83" t="n">
        <f aca="false">H139-H140+MAX(-H138,0)</f>
        <v>234427.955611875</v>
      </c>
      <c r="I141" s="83" t="n">
        <f aca="false">I139-I140+MAX(-I138,0)</f>
        <v>252793.70550874</v>
      </c>
      <c r="J141" s="83" t="n">
        <f aca="false">J139-J140+MAX(-J138,0)</f>
        <v>264792.049911807</v>
      </c>
      <c r="K141" s="83" t="n">
        <f aca="false">K139-K140+MAX(-K138,0)</f>
        <v>275902.421852639</v>
      </c>
      <c r="L141" s="83" t="n">
        <f aca="false">L139-L140+MAX(-L138,0)</f>
        <v>286113.293011822</v>
      </c>
      <c r="M141" s="83" t="n">
        <f aca="false">M139-M140+MAX(-M138,0)</f>
        <v>295403.721121265</v>
      </c>
      <c r="N141" s="83" t="n">
        <f aca="false">N139-N140+MAX(-N138,0)</f>
        <v>303741.40833896</v>
      </c>
      <c r="O141" s="83" t="n">
        <f aca="false">O139-O140+MAX(-O138,0)</f>
        <v>313752.210578625</v>
      </c>
      <c r="P141" s="83" t="n">
        <f aca="false">P139-P140+MAX(-P138,0)</f>
        <v>325694.704848535</v>
      </c>
      <c r="Q141" s="83" t="n">
        <f aca="false">Q139-Q140+MAX(-Q138,0)</f>
        <v>339846.862836485</v>
      </c>
      <c r="R141" s="83" t="n">
        <f aca="false">R139-R140+MAX(-R138,0)</f>
        <v>356507.315965847</v>
      </c>
      <c r="S141" s="83" t="n">
        <f aca="false">S139-S140+MAX(-S138,0)</f>
        <v>299129.349058211</v>
      </c>
      <c r="T141" s="83" t="n">
        <f aca="false">T139-T140+MAX(-T138,0)</f>
        <v>245405.557283135</v>
      </c>
      <c r="U141" s="83" t="n">
        <f aca="false">U139-U140+MAX(-U138,0)</f>
        <v>195722.278070744</v>
      </c>
      <c r="V141" s="83" t="n">
        <f aca="false">V139-V140+MAX(-V138,0)</f>
        <v>150493.03192822</v>
      </c>
      <c r="W141" s="83" t="n">
        <f aca="false">W139-W140+MAX(-W138,0)</f>
        <v>110160.256261401</v>
      </c>
    </row>
    <row r="142" customFormat="false" ht="15" hidden="false" customHeight="false" outlineLevel="0" collapsed="false">
      <c r="A142" s="10" t="s">
        <v>466</v>
      </c>
      <c r="B142" s="61" t="n">
        <f aca="false">SUM(C142:W142)</f>
        <v>0</v>
      </c>
      <c r="C142" s="83" t="n">
        <v>0</v>
      </c>
      <c r="D142" s="83" t="n">
        <f aca="false">(MAX(D138,0)-D140)*TaxRate</f>
        <v>0</v>
      </c>
      <c r="E142" s="83" t="n">
        <f aca="false">(MAX(E138,0)-E140)*TaxRate</f>
        <v>0</v>
      </c>
      <c r="F142" s="83" t="n">
        <f aca="false">(MAX(F138,0)-F140)*TaxRate</f>
        <v>0</v>
      </c>
      <c r="G142" s="83" t="n">
        <f aca="false">(MAX(G138,0)-G140)*TaxRate</f>
        <v>0</v>
      </c>
      <c r="H142" s="83" t="n">
        <f aca="false">(MAX(H138,0)-H140)*TaxRate</f>
        <v>0</v>
      </c>
      <c r="I142" s="83" t="n">
        <f aca="false">(MAX(I138,0)-I140)*TaxRate</f>
        <v>0</v>
      </c>
      <c r="J142" s="83" t="n">
        <f aca="false">(MAX(J138,0)-J140)*TaxRate</f>
        <v>0</v>
      </c>
      <c r="K142" s="83" t="n">
        <f aca="false">(MAX(K138,0)-K140)*TaxRate</f>
        <v>0</v>
      </c>
      <c r="L142" s="83" t="n">
        <f aca="false">(MAX(L138,0)-L140)*TaxRate</f>
        <v>0</v>
      </c>
      <c r="M142" s="83" t="n">
        <f aca="false">(MAX(M138,0)-M140)*TaxRate</f>
        <v>0</v>
      </c>
      <c r="N142" s="83" t="n">
        <f aca="false">(MAX(N138,0)-N140)*TaxRate</f>
        <v>0</v>
      </c>
      <c r="O142" s="83" t="n">
        <f aca="false">(MAX(O138,0)-O140)*TaxRate</f>
        <v>0</v>
      </c>
      <c r="P142" s="83" t="n">
        <f aca="false">(MAX(P138,0)-P140)*TaxRate</f>
        <v>0</v>
      </c>
      <c r="Q142" s="83" t="n">
        <f aca="false">(MAX(Q138,0)-Q140)*TaxRate</f>
        <v>0</v>
      </c>
      <c r="R142" s="83" t="n">
        <f aca="false">(MAX(R138,0)-R140)*TaxRate</f>
        <v>0</v>
      </c>
      <c r="S142" s="83" t="n">
        <f aca="false">(MAX(S138,0)-S140)*TaxRate</f>
        <v>0</v>
      </c>
      <c r="T142" s="83" t="n">
        <f aca="false">(MAX(T138,0)-T140)*TaxRate</f>
        <v>0</v>
      </c>
      <c r="U142" s="83" t="n">
        <f aca="false">(MAX(U138,0)-U140)*TaxRate</f>
        <v>0</v>
      </c>
      <c r="V142" s="83" t="n">
        <f aca="false">(MAX(V138,0)-V140)*TaxRate</f>
        <v>0</v>
      </c>
      <c r="W142" s="83" t="n">
        <f aca="false">(MAX(W138,0)-W140)*TaxRate</f>
        <v>0</v>
      </c>
    </row>
    <row r="144" customFormat="false" ht="15" hidden="false" customHeight="false" outlineLevel="0" collapsed="false">
      <c r="A144" s="8" t="s">
        <v>467</v>
      </c>
      <c r="B144" s="9"/>
      <c r="C144" s="9"/>
      <c r="D144" s="9"/>
      <c r="E144" s="9"/>
      <c r="F144" s="9"/>
      <c r="G144" s="9"/>
      <c r="H144" s="9"/>
      <c r="I144" s="9"/>
      <c r="J144" s="9"/>
      <c r="K144" s="9"/>
      <c r="L144" s="9"/>
      <c r="M144" s="9"/>
      <c r="N144" s="9"/>
      <c r="O144" s="9"/>
      <c r="P144" s="9"/>
      <c r="Q144" s="9"/>
      <c r="R144" s="9"/>
      <c r="S144" s="9"/>
      <c r="T144" s="9"/>
      <c r="U144" s="9"/>
      <c r="V144" s="9"/>
      <c r="W144" s="9"/>
    </row>
    <row r="145" customFormat="false" ht="15" hidden="false" customHeight="false" outlineLevel="0" collapsed="false">
      <c r="A145" s="15" t="s">
        <v>468</v>
      </c>
      <c r="B145" s="61" t="n">
        <f aca="false">C145+NPV(Hurdle,D145:W145)</f>
        <v>-793132.367693456</v>
      </c>
      <c r="C145" s="27" t="n">
        <f aca="false">-C102+C98-C103-C137</f>
        <v>-1153010.25515137</v>
      </c>
      <c r="D145" s="27" t="n">
        <f aca="false">-D102+D98-D103-D137</f>
        <v>11954.3199318548</v>
      </c>
      <c r="E145" s="27" t="n">
        <f aca="false">-E102+E98-E103-E137</f>
        <v>37100.7726977999</v>
      </c>
      <c r="F145" s="27" t="n">
        <f aca="false">-F102+F98-F103-F137</f>
        <v>57041.6349623478</v>
      </c>
      <c r="G145" s="27" t="n">
        <f aca="false">-G102+G98-G103-G137</f>
        <v>60570.5441745608</v>
      </c>
      <c r="H145" s="27" t="n">
        <f aca="false">-H102+H98-H103-H137</f>
        <v>66144.4216198379</v>
      </c>
      <c r="I145" s="27" t="n">
        <f aca="false">-I102+I98-I103-I137</f>
        <v>72114.3021406837</v>
      </c>
      <c r="J145" s="27" t="n">
        <f aca="false">-J102+J98-J103-J137</f>
        <v>76627.8522669588</v>
      </c>
      <c r="K145" s="27" t="n">
        <f aca="false">-K102+K98-K103-K137</f>
        <v>-90435.5526073792</v>
      </c>
      <c r="L145" s="27" t="n">
        <f aca="false">-L102+L98-L103-L137</f>
        <v>74103.0934927026</v>
      </c>
      <c r="M145" s="27" t="n">
        <f aca="false">-M102+M98-M103-M137</f>
        <v>72517.9874712994</v>
      </c>
      <c r="N145" s="27" t="n">
        <f aca="false">-N102+N98-N103-N137</f>
        <v>70696.0683072976</v>
      </c>
      <c r="O145" s="27" t="n">
        <f aca="false">-O102+O98-O103-O137</f>
        <v>68619.765759498</v>
      </c>
      <c r="P145" s="27" t="n">
        <f aca="false">-P102+P98-P103-P137</f>
        <v>66270.3714524942</v>
      </c>
      <c r="Q145" s="27" t="n">
        <f aca="false">-Q102+Q98-Q103-Q137</f>
        <v>63627.9681757304</v>
      </c>
      <c r="R145" s="27" t="n">
        <f aca="false">-R102+R98-R103-R137</f>
        <v>60671.3548514813</v>
      </c>
      <c r="S145" s="27" t="n">
        <f aca="false">-S102+S98-S103-S137</f>
        <v>-152783.544376034</v>
      </c>
      <c r="T145" s="27" t="n">
        <f aca="false">-T102+T98-T103-T137</f>
        <v>53723.7917750767</v>
      </c>
      <c r="U145" s="27" t="n">
        <f aca="false">-U102+U98-U103-U137</f>
        <v>49683.2792123905</v>
      </c>
      <c r="V145" s="27" t="n">
        <f aca="false">-V102+V98-V103-V137</f>
        <v>45229.2461425245</v>
      </c>
      <c r="W145" s="27" t="n">
        <f aca="false">-W102+W98-W103-W137</f>
        <v>33616.488928081</v>
      </c>
    </row>
    <row r="146" customFormat="false" ht="15" hidden="false" customHeight="false" outlineLevel="0" collapsed="false">
      <c r="A146" s="15" t="s">
        <v>469</v>
      </c>
      <c r="B146" s="61" t="n">
        <f aca="false">C146+NPV(Hurdle,D146:W146)</f>
        <v>24787.9929376486</v>
      </c>
      <c r="C146" s="27" t="n">
        <f aca="false">C145+C106+C108</f>
        <v>-553010.255151365</v>
      </c>
      <c r="D146" s="27" t="n">
        <f aca="false">D145+D106+D108</f>
        <v>163154.319931855</v>
      </c>
      <c r="E146" s="27" t="n">
        <f aca="false">E145+E106+E108</f>
        <v>100100.7726978</v>
      </c>
      <c r="F146" s="27" t="n">
        <f aca="false">F145+F106+F108</f>
        <v>94841.6349623478</v>
      </c>
      <c r="G146" s="27" t="n">
        <f aca="false">G145+G106+G108</f>
        <v>60570.5441745608</v>
      </c>
      <c r="H146" s="27" t="n">
        <f aca="false">H145+H106+H108</f>
        <v>66144.4216198379</v>
      </c>
      <c r="I146" s="27" t="n">
        <f aca="false">I145+I106+I108</f>
        <v>72114.3021406837</v>
      </c>
      <c r="J146" s="27" t="n">
        <f aca="false">J145+J106+J108</f>
        <v>76627.8522669588</v>
      </c>
      <c r="K146" s="27" t="n">
        <f aca="false">K145+K106+K108</f>
        <v>-90435.5526073792</v>
      </c>
      <c r="L146" s="27" t="n">
        <f aca="false">L145+L106+L108</f>
        <v>74103.0934927026</v>
      </c>
      <c r="M146" s="27" t="n">
        <f aca="false">M145+M106+M108</f>
        <v>72517.9874712994</v>
      </c>
      <c r="N146" s="27" t="n">
        <f aca="false">N145+N106+N108</f>
        <v>70696.0683072976</v>
      </c>
      <c r="O146" s="27" t="n">
        <f aca="false">O145+O106+O108</f>
        <v>68619.765759498</v>
      </c>
      <c r="P146" s="27" t="n">
        <f aca="false">P145+P106+P108</f>
        <v>66270.3714524942</v>
      </c>
      <c r="Q146" s="27" t="n">
        <f aca="false">Q145+Q106+Q108</f>
        <v>63627.9681757304</v>
      </c>
      <c r="R146" s="27" t="n">
        <f aca="false">R145+R106+R108</f>
        <v>60671.3548514813</v>
      </c>
      <c r="S146" s="27" t="n">
        <f aca="false">S145+S106+S108</f>
        <v>-152783.544376034</v>
      </c>
      <c r="T146" s="27" t="n">
        <f aca="false">T145+T106+T108</f>
        <v>53723.7917750767</v>
      </c>
      <c r="U146" s="27" t="n">
        <f aca="false">U145+U106+U108</f>
        <v>49683.2792123905</v>
      </c>
      <c r="V146" s="27" t="n">
        <f aca="false">V145+V106+V108</f>
        <v>45229.2461425245</v>
      </c>
      <c r="W146" s="27" t="n">
        <f aca="false">W145+W106+W108</f>
        <v>33616.488928081</v>
      </c>
    </row>
    <row r="147" customFormat="false" ht="15" hidden="false" customHeight="false" outlineLevel="0" collapsed="false">
      <c r="A147" s="10" t="s">
        <v>237</v>
      </c>
      <c r="B147" s="61" t="n">
        <f aca="false">SUM(C147:W147)</f>
        <v>1055810.45311794</v>
      </c>
      <c r="C147" s="83" t="n">
        <v>0</v>
      </c>
      <c r="D147" s="83" t="n">
        <f aca="false">D98-D105-D142+D108</f>
        <v>142416.390218767</v>
      </c>
      <c r="E147" s="83" t="n">
        <f aca="false">E98-E105-E142+E108</f>
        <v>79362.8429847122</v>
      </c>
      <c r="F147" s="83" t="n">
        <f aca="false">F98-F105-F142+F108</f>
        <v>74103.7052492601</v>
      </c>
      <c r="G147" s="83" t="n">
        <f aca="false">G98-G105-G142+G108</f>
        <v>39832.6144614731</v>
      </c>
      <c r="H147" s="83" t="n">
        <f aca="false">H98-H105-H142+H108</f>
        <v>45406.4919067503</v>
      </c>
      <c r="I147" s="83" t="n">
        <f aca="false">I98-I105-I142+I108</f>
        <v>51376.372427596</v>
      </c>
      <c r="J147" s="83" t="n">
        <f aca="false">J98-J105-J142+J108</f>
        <v>55889.9225538711</v>
      </c>
      <c r="K147" s="83" t="n">
        <f aca="false">K98-K105-K142+K108</f>
        <v>54729.9553842345</v>
      </c>
      <c r="L147" s="83" t="n">
        <f aca="false">L98-L105-L142+L108</f>
        <v>47832.9045822438</v>
      </c>
      <c r="M147" s="83" t="n">
        <f aca="false">M98-M105-M142+M108</f>
        <v>46247.7985608407</v>
      </c>
      <c r="N147" s="83" t="n">
        <f aca="false">N98-N105-N142+N108</f>
        <v>44425.8793968388</v>
      </c>
      <c r="O147" s="83" t="n">
        <f aca="false">O98-O105-O142+O108</f>
        <v>42349.5768490392</v>
      </c>
      <c r="P147" s="83" t="n">
        <f aca="false">P98-P105-P142+P108</f>
        <v>40000.1825420355</v>
      </c>
      <c r="Q147" s="83" t="n">
        <f aca="false">Q98-Q105-Q142+Q108</f>
        <v>37357.7792652716</v>
      </c>
      <c r="R147" s="83" t="n">
        <f aca="false">R98-R105-R142+R108</f>
        <v>34401.1659410226</v>
      </c>
      <c r="S147" s="83" t="n">
        <f aca="false">S98-S105-S142+S108</f>
        <v>31107.7779971769</v>
      </c>
      <c r="T147" s="83" t="n">
        <f aca="false">T98-T105-T142+T108</f>
        <v>53723.7917750767</v>
      </c>
      <c r="U147" s="83" t="n">
        <f aca="false">U98-U105-U142+U108</f>
        <v>49683.2792123905</v>
      </c>
      <c r="V147" s="83" t="n">
        <f aca="false">V98-V105-V142+V108</f>
        <v>45229.2461425245</v>
      </c>
      <c r="W147" s="83" t="n">
        <f aca="false">W98-W105-W142+W108</f>
        <v>40332.7756668184</v>
      </c>
    </row>
    <row r="148" customFormat="false" ht="15" hidden="false" customHeight="false" outlineLevel="0" collapsed="false">
      <c r="A148" s="10" t="s">
        <v>470</v>
      </c>
      <c r="C148" s="86" t="n">
        <v>0</v>
      </c>
      <c r="D148" s="86" t="n">
        <f aca="false">IF(D125&gt;0,D147/D125,"")</f>
        <v>8.25414691519194</v>
      </c>
      <c r="E148" s="86" t="n">
        <f aca="false">IF(E125&gt;0,E147/E125,"")</f>
        <v>4.59969926633347</v>
      </c>
      <c r="F148" s="86" t="n">
        <f aca="false">IF(F125&gt;0,F147/F125,"")</f>
        <v>2.82340906395288</v>
      </c>
      <c r="G148" s="86" t="n">
        <f aca="false">IF(G125&gt;0,G147/G125,"")</f>
        <v>1.51765373044672</v>
      </c>
      <c r="H148" s="86" t="n">
        <f aca="false">IF(H125&gt;0,H147/H125,"")</f>
        <v>1.73002281573635</v>
      </c>
      <c r="I148" s="86" t="n">
        <f aca="false">IF(I125&gt;0,I147/I125,"")</f>
        <v>1.44191851175385</v>
      </c>
      <c r="J148" s="86" t="n">
        <f aca="false">IF(J125&gt;0,J147/J125,"")</f>
        <v>1.56859486458466</v>
      </c>
      <c r="K148" s="86" t="n">
        <f aca="false">IF(K125&gt;0,K147/K125,"")</f>
        <v>1.53603946886685</v>
      </c>
      <c r="L148" s="86" t="n">
        <f aca="false">IF(L125&gt;0,L147/L125,"")</f>
        <v>1.34246828511089</v>
      </c>
      <c r="M148" s="86" t="n">
        <f aca="false">IF(M125&gt;0,M147/M125,"")</f>
        <v>1.29798103139178</v>
      </c>
      <c r="N148" s="86" t="n">
        <f aca="false">IF(N125&gt;0,N147/N125,"")</f>
        <v>3.32378305908683</v>
      </c>
      <c r="O148" s="86" t="n">
        <f aca="false">IF(O125&gt;0,O147/O125,"")</f>
        <v>3.16844163810404</v>
      </c>
      <c r="P148" s="86" t="n">
        <f aca="false">IF(P125&gt;0,P147/P125,"")</f>
        <v>2.99266848284513</v>
      </c>
      <c r="Q148" s="86" t="n">
        <f aca="false">IF(Q125&gt;0,Q147/Q125,"")</f>
        <v>2.79497345990298</v>
      </c>
      <c r="R148" s="86" t="n">
        <f aca="false">IF(R125&gt;0,R147/R125,"")</f>
        <v>2.57377038158848</v>
      </c>
      <c r="S148" s="86" t="str">
        <f aca="false">IF(S125&gt;0,S147/S125,"")</f>
        <v/>
      </c>
      <c r="T148" s="86" t="str">
        <f aca="false">IF(T125&gt;0,T147/T125,"")</f>
        <v/>
      </c>
      <c r="U148" s="86" t="str">
        <f aca="false">IF(U125&gt;0,U147/U125,"")</f>
        <v/>
      </c>
      <c r="V148" s="86" t="str">
        <f aca="false">IF(V125&gt;0,V147/V125,"")</f>
        <v/>
      </c>
      <c r="W148" s="86" t="str">
        <f aca="false">IF(W125&gt;0,W147/W125,"")</f>
        <v/>
      </c>
    </row>
    <row r="149" customFormat="false" ht="15" hidden="false" customHeight="false" outlineLevel="0" collapsed="false">
      <c r="A149" s="15" t="s">
        <v>471</v>
      </c>
      <c r="B149" s="61" t="n">
        <f aca="false">C149+NPV(Hurdle,D149:W149)</f>
        <v>-2546.11582921102</v>
      </c>
      <c r="C149" s="27" t="n">
        <f aca="false">-S_Rate_Hi!$B$18-C129</f>
        <v>-340433.113071181</v>
      </c>
      <c r="D149" s="27" t="n">
        <f aca="false">D147-D125-D129</f>
        <v>125162.470258045</v>
      </c>
      <c r="E149" s="27" t="n">
        <f aca="false">E147-E125-E129</f>
        <v>57612.7925185691</v>
      </c>
      <c r="F149" s="27" t="n">
        <f aca="false">F147-F125-F129</f>
        <v>47857.5242776965</v>
      </c>
      <c r="G149" s="27" t="n">
        <f aca="false">G147-G125-G129</f>
        <v>13586.4334899096</v>
      </c>
      <c r="H149" s="27" t="n">
        <f aca="false">H147-H125-H129</f>
        <v>14468.118515312</v>
      </c>
      <c r="I149" s="27" t="n">
        <f aca="false">I147-I125-I129</f>
        <v>15745.8066162831</v>
      </c>
      <c r="J149" s="27" t="n">
        <f aca="false">J147-J125-J129</f>
        <v>20259.3567425581</v>
      </c>
      <c r="K149" s="27" t="n">
        <f aca="false">K147-K125-K129</f>
        <v>19099.3895729216</v>
      </c>
      <c r="L149" s="27" t="n">
        <f aca="false">L147-L125-L129</f>
        <v>12202.3387709309</v>
      </c>
      <c r="M149" s="27" t="n">
        <f aca="false">M147-M125-M129</f>
        <v>21749.4863167646</v>
      </c>
      <c r="N149" s="27" t="n">
        <f aca="false">N147-N125-N129</f>
        <v>31059.8207199996</v>
      </c>
      <c r="O149" s="27" t="n">
        <f aca="false">O147-O125-O129</f>
        <v>28983.5181722</v>
      </c>
      <c r="P149" s="27" t="n">
        <f aca="false">P147-P125-P129</f>
        <v>26634.1238651963</v>
      </c>
      <c r="Q149" s="27" t="n">
        <f aca="false">Q147-Q125-Q129</f>
        <v>23991.7205884324</v>
      </c>
      <c r="R149" s="27" t="n">
        <f aca="false">R147-R125-R129</f>
        <v>27718.1366026029</v>
      </c>
      <c r="S149" s="27" t="n">
        <f aca="false">S147-S125-S129</f>
        <v>31107.7779971769</v>
      </c>
      <c r="T149" s="27" t="n">
        <f aca="false">T147-T125-T129</f>
        <v>53723.7917750767</v>
      </c>
      <c r="U149" s="27" t="n">
        <f aca="false">U147-U125-U129</f>
        <v>49683.2792123905</v>
      </c>
      <c r="V149" s="27" t="n">
        <f aca="false">V147-V125-V129</f>
        <v>45229.2461425245</v>
      </c>
      <c r="W149" s="27" t="n">
        <f aca="false">W147-W125-W129</f>
        <v>40332.7756668184</v>
      </c>
    </row>
    <row r="150" customFormat="false" ht="15" hidden="false" customHeight="false" outlineLevel="0" collapsed="false">
      <c r="A150" s="10" t="s">
        <v>472</v>
      </c>
      <c r="C150" s="83" t="n">
        <f aca="false">C149</f>
        <v>-340433.113071181</v>
      </c>
      <c r="D150" s="83" t="n">
        <f aca="false">C150+D149</f>
        <v>-215270.642813136</v>
      </c>
      <c r="E150" s="83" t="n">
        <f aca="false">D150+E149</f>
        <v>-157657.850294567</v>
      </c>
      <c r="F150" s="83" t="n">
        <f aca="false">E150+F149</f>
        <v>-109800.32601687</v>
      </c>
      <c r="G150" s="83" t="n">
        <f aca="false">F150+G149</f>
        <v>-96213.8925269607</v>
      </c>
      <c r="H150" s="83" t="n">
        <f aca="false">G150+H149</f>
        <v>-81745.7740116487</v>
      </c>
      <c r="I150" s="83" t="n">
        <f aca="false">H150+I149</f>
        <v>-65999.9673953657</v>
      </c>
      <c r="J150" s="83" t="n">
        <f aca="false">I150+J149</f>
        <v>-45740.6106528075</v>
      </c>
      <c r="K150" s="83" t="n">
        <f aca="false">J150+K149</f>
        <v>-26641.221079886</v>
      </c>
      <c r="L150" s="83" t="n">
        <f aca="false">K150+L149</f>
        <v>-14438.8823089551</v>
      </c>
      <c r="M150" s="83" t="n">
        <f aca="false">L150+M149</f>
        <v>7310.60400780948</v>
      </c>
      <c r="N150" s="83" t="n">
        <f aca="false">M150+N149</f>
        <v>38370.4247278091</v>
      </c>
      <c r="O150" s="83" t="n">
        <f aca="false">N150+O149</f>
        <v>67353.9429000091</v>
      </c>
      <c r="P150" s="83" t="n">
        <f aca="false">O150+P149</f>
        <v>93988.0667652053</v>
      </c>
      <c r="Q150" s="83" t="n">
        <f aca="false">P150+Q149</f>
        <v>117979.787353638</v>
      </c>
      <c r="R150" s="83" t="n">
        <f aca="false">Q150+R149</f>
        <v>145697.923956241</v>
      </c>
      <c r="S150" s="83" t="n">
        <f aca="false">R150+S149</f>
        <v>176805.701953417</v>
      </c>
      <c r="T150" s="83" t="n">
        <f aca="false">S150+T149</f>
        <v>230529.493728494</v>
      </c>
      <c r="U150" s="83" t="n">
        <f aca="false">T150+U149</f>
        <v>280212.772940885</v>
      </c>
      <c r="V150" s="83" t="n">
        <f aca="false">U150+V149</f>
        <v>325442.019083409</v>
      </c>
      <c r="W150" s="83" t="n">
        <f aca="false">V150+W149</f>
        <v>365774.794750227</v>
      </c>
    </row>
    <row r="152" customFormat="false" ht="15" hidden="false" customHeight="false" outlineLevel="0" collapsed="false">
      <c r="A152" s="8" t="s">
        <v>473</v>
      </c>
      <c r="B152" s="9"/>
      <c r="C152" s="9"/>
      <c r="D152" s="9"/>
      <c r="E152" s="9"/>
      <c r="F152" s="9"/>
      <c r="G152" s="9"/>
      <c r="H152" s="9"/>
      <c r="I152" s="9"/>
      <c r="J152" s="9"/>
      <c r="K152" s="9"/>
      <c r="L152" s="9"/>
      <c r="M152" s="9"/>
      <c r="N152" s="9"/>
      <c r="O152" s="9"/>
      <c r="P152" s="9"/>
      <c r="Q152" s="9"/>
      <c r="R152" s="9"/>
      <c r="S152" s="9"/>
      <c r="T152" s="9"/>
      <c r="U152" s="9"/>
      <c r="V152" s="9"/>
      <c r="W152" s="9"/>
    </row>
    <row r="153" customFormat="false" ht="15" hidden="false" customHeight="false" outlineLevel="0" collapsed="false">
      <c r="A153" s="10" t="s">
        <v>474</v>
      </c>
      <c r="B153" s="61" t="n">
        <f aca="false">C153+NPV(Hurdle,D153:W153)</f>
        <v>2310797.70077731</v>
      </c>
      <c r="C153" s="83" t="n">
        <f aca="false">C102+C96-C93+C103</f>
        <v>1153010.25515137</v>
      </c>
      <c r="D153" s="83" t="n">
        <f aca="false">D102+D96-D93+D103</f>
        <v>66147.5457142252</v>
      </c>
      <c r="E153" s="83" t="n">
        <f aca="false">E102+E96-E93+E103</f>
        <v>73011.3368510957</v>
      </c>
      <c r="F153" s="83" t="n">
        <f aca="false">F102+F96-F93+F103</f>
        <v>78583.7940322679</v>
      </c>
      <c r="G153" s="83" t="n">
        <f aca="false">G102+G96-G93+G103</f>
        <v>81539.3225208269</v>
      </c>
      <c r="H153" s="83" t="n">
        <f aca="false">H102+H96-H93+H103</f>
        <v>84619.935957299</v>
      </c>
      <c r="I153" s="83" t="n">
        <f aca="false">I102+I96-I93+I103</f>
        <v>87831.6048129008</v>
      </c>
      <c r="J153" s="83" t="n">
        <f aca="false">J102+J96-J93+J103</f>
        <v>93058.7604200991</v>
      </c>
      <c r="K153" s="83" t="n">
        <f aca="false">K102+K96-K93+K103</f>
        <v>270456.080007079</v>
      </c>
      <c r="L153" s="83" t="n">
        <f aca="false">L102+L96-L93+L103</f>
        <v>116880.684025639</v>
      </c>
      <c r="M153" s="83" t="n">
        <f aca="false">M102+M96-M93+M103</f>
        <v>130096.702097909</v>
      </c>
      <c r="N153" s="83" t="n">
        <f aca="false">N102+N96-N93+N103</f>
        <v>144257.855856676</v>
      </c>
      <c r="O153" s="83" t="n">
        <f aca="false">O102+O96-O93+O103</f>
        <v>159424.852386061</v>
      </c>
      <c r="P153" s="83" t="n">
        <f aca="false">P102+P96-P93+P103</f>
        <v>175662.163938129</v>
      </c>
      <c r="Q153" s="83" t="n">
        <f aca="false">Q102+Q96-Q93+Q103</f>
        <v>193038.258620182</v>
      </c>
      <c r="R153" s="83" t="n">
        <f aca="false">R102+R96-R93+R103</f>
        <v>211625.845156303</v>
      </c>
      <c r="S153" s="83" t="n">
        <f aca="false">S102+S96-S93+S103</f>
        <v>441663.643864292</v>
      </c>
      <c r="T153" s="83" t="n">
        <f aca="false">T102+T96-T93+T103</f>
        <v>252749.105772016</v>
      </c>
      <c r="U153" s="83" t="n">
        <f aca="false">U102+U96-U93+U103</f>
        <v>275453.81779532</v>
      </c>
      <c r="V153" s="83" t="n">
        <f aca="false">V102+V96-V93+V103</f>
        <v>299708.700072956</v>
      </c>
      <c r="W153" s="83" t="n">
        <f aca="false">W102+W96-W93+W103</f>
        <v>325611.891473185</v>
      </c>
    </row>
    <row r="154" customFormat="false" ht="15" hidden="false" customHeight="false" outlineLevel="0" collapsed="false">
      <c r="A154" s="10" t="s">
        <v>475</v>
      </c>
      <c r="B154" s="61" t="n">
        <f aca="false">C154+NPV(Hurdle,D154:W154)</f>
        <v>3504620.16232003</v>
      </c>
      <c r="C154" s="83" t="n">
        <f aca="false">C66</f>
        <v>0</v>
      </c>
      <c r="D154" s="83" t="n">
        <f aca="false">D66</f>
        <v>211139.712</v>
      </c>
      <c r="E154" s="83" t="n">
        <f aca="false">E66</f>
        <v>308088.02976</v>
      </c>
      <c r="F154" s="83" t="n">
        <f aca="false">F66</f>
        <v>373330.200768</v>
      </c>
      <c r="G154" s="83" t="n">
        <f aca="false">G66</f>
        <v>384530.10679104</v>
      </c>
      <c r="H154" s="83" t="n">
        <f aca="false">H66</f>
        <v>396066.009994771</v>
      </c>
      <c r="I154" s="83" t="n">
        <f aca="false">I66</f>
        <v>407947.990294614</v>
      </c>
      <c r="J154" s="83" t="n">
        <f aca="false">J66</f>
        <v>420186.430003453</v>
      </c>
      <c r="K154" s="83" t="n">
        <f aca="false">K66</f>
        <v>432792.022903556</v>
      </c>
      <c r="L154" s="83" t="n">
        <f aca="false">L66</f>
        <v>445775.783590663</v>
      </c>
      <c r="M154" s="83" t="n">
        <f aca="false">M66</f>
        <v>459149.057098383</v>
      </c>
      <c r="N154" s="83" t="n">
        <f aca="false">N66</f>
        <v>472923.528811335</v>
      </c>
      <c r="O154" s="83" t="n">
        <f aca="false">O66</f>
        <v>487111.234675675</v>
      </c>
      <c r="P154" s="83" t="n">
        <f aca="false">P66</f>
        <v>501724.571715945</v>
      </c>
      <c r="Q154" s="83" t="n">
        <f aca="false">Q66</f>
        <v>516776.308867423</v>
      </c>
      <c r="R154" s="83" t="n">
        <f aca="false">R66</f>
        <v>532279.598133446</v>
      </c>
      <c r="S154" s="83" t="n">
        <f aca="false">S66</f>
        <v>548247.986077449</v>
      </c>
      <c r="T154" s="83" t="n">
        <f aca="false">T66</f>
        <v>564695.425659773</v>
      </c>
      <c r="U154" s="83" t="n">
        <f aca="false">U66</f>
        <v>581636.288429566</v>
      </c>
      <c r="V154" s="83" t="n">
        <f aca="false">V66</f>
        <v>599085.377082453</v>
      </c>
      <c r="W154" s="83" t="n">
        <f aca="false">W66</f>
        <v>617057.938394927</v>
      </c>
    </row>
    <row r="155" customFormat="false" ht="15" hidden="false" customHeight="false" outlineLevel="0" collapsed="false">
      <c r="A155" s="10" t="s">
        <v>476</v>
      </c>
      <c r="B155" s="61" t="n">
        <f aca="false">C155+NPV(Hurdle,D155:W155)</f>
        <v>1555687.86731988</v>
      </c>
      <c r="C155" s="83" t="n">
        <f aca="false">C83</f>
        <v>0</v>
      </c>
      <c r="D155" s="83" t="n">
        <f aca="false">D83</f>
        <v>73617.387264</v>
      </c>
      <c r="E155" s="83" t="n">
        <f aca="false">E83</f>
        <v>110642.638710202</v>
      </c>
      <c r="F155" s="83" t="n">
        <f aca="false">F83</f>
        <v>138095.029891356</v>
      </c>
      <c r="G155" s="83" t="n">
        <f aca="false">G83</f>
        <v>146505.01721174</v>
      </c>
      <c r="H155" s="83" t="n">
        <f aca="false">H83</f>
        <v>155427.172759935</v>
      </c>
      <c r="I155" s="83" t="n">
        <f aca="false">I83</f>
        <v>164892.687581015</v>
      </c>
      <c r="J155" s="83" t="n">
        <f aca="false">J83</f>
        <v>174934.652254699</v>
      </c>
      <c r="K155" s="83" t="n">
        <f aca="false">K83</f>
        <v>185588.17257701</v>
      </c>
      <c r="L155" s="83" t="n">
        <f aca="false">L83</f>
        <v>196890.49228695</v>
      </c>
      <c r="M155" s="83" t="n">
        <f aca="false">M83</f>
        <v>208881.123267225</v>
      </c>
      <c r="N155" s="83" t="n">
        <f aca="false">N83</f>
        <v>221601.983674199</v>
      </c>
      <c r="O155" s="83" t="n">
        <f aca="false">O83</f>
        <v>235097.544479958</v>
      </c>
      <c r="P155" s="83" t="n">
        <f aca="false">P83</f>
        <v>249414.984938787</v>
      </c>
      <c r="Q155" s="83" t="n">
        <f aca="false">Q83</f>
        <v>264604.357521559</v>
      </c>
      <c r="R155" s="83" t="n">
        <f aca="false">R83</f>
        <v>280718.762894623</v>
      </c>
      <c r="S155" s="83" t="n">
        <f aca="false">S83</f>
        <v>297814.535554905</v>
      </c>
      <c r="T155" s="83" t="n">
        <f aca="false">T83</f>
        <v>315951.440770199</v>
      </c>
      <c r="U155" s="83" t="n">
        <f aca="false">U83</f>
        <v>335192.883513104</v>
      </c>
      <c r="V155" s="83" t="n">
        <f aca="false">V83</f>
        <v>355606.130119052</v>
      </c>
      <c r="W155" s="83"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2026-10-01T20:52:30Z</dcterms:created>
  <dc:creator>openpyxl</dc:creator>
  <dc:description/>
  <dc:language>en-US</dc:language>
  <cp:lastModifiedBy/>
  <dcterms:modified xsi:type="dcterms:W3CDTF">2026-10-01T20:52:41Z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