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Inputs" sheetId="2" state="visible" r:id="rId4"/>
    <sheet name="Load Profile" sheetId="3" state="visible" r:id="rId5"/>
    <sheet name="Productive Use" sheetId="4" state="visible" r:id="rId6"/>
    <sheet name="Dashboard" sheetId="5" state="visible" r:id="rId7"/>
    <sheet name="Funding Gap &amp; RBF" sheetId="6" state="visible" r:id="rId8"/>
    <sheet name="Sensitivity" sheetId="7" state="visible" r:id="rId9"/>
    <sheet name="Impact &amp; MRV" sheetId="8" state="visible" r:id="rId10"/>
    <sheet name="Financing Request" sheetId="9" state="visible" r:id="rId11"/>
    <sheet name="Cash Flow" sheetId="10" state="visible" r:id="rId12"/>
    <sheet name="Checks" sheetId="11" state="visible" r:id="rId13"/>
    <sheet name="S_Tariff_Lo" sheetId="12" state="hidden" r:id="rId14"/>
    <sheet name="S_Tariff_Hi" sheetId="13" state="hidden" r:id="rId15"/>
    <sheet name="S_Demand_Lo" sheetId="14" state="hidden" r:id="rId16"/>
    <sheet name="S_Demand_Hi" sheetId="15" state="hidden" r:id="rId17"/>
    <sheet name="S_Capex_Lo" sheetId="16" state="hidden" r:id="rId18"/>
    <sheet name="S_Capex_Hi" sheetId="17" state="hidden" r:id="rId19"/>
    <sheet name="S_Opex_Lo" sheetId="18" state="hidden" r:id="rId20"/>
    <sheet name="S_Opex_Hi" sheetId="19" state="hidden" r:id="rId21"/>
    <sheet name="S_Coll_Lo" sheetId="20" state="hidden" r:id="rId22"/>
    <sheet name="S_Coll_Hi" sheetId="21" state="hidden" r:id="rId23"/>
    <sheet name="S_Fuel_Lo" sheetId="22" state="hidden" r:id="rId24"/>
    <sheet name="S_Fuel_Hi" sheetId="23" state="hidden" r:id="rId25"/>
    <sheet name="S_Rate_Lo" sheetId="24" state="hidden" r:id="rId26"/>
    <sheet name="S_Rate_Hi" sheetId="25" state="hidden" r:id="rId27"/>
  </sheets>
  <definedNames>
    <definedName function="false" hidden="false" name="AffordThreshold" vbProcedure="false">Inputs!$C$44</definedName>
    <definedName function="false" hidden="false" name="AvgRBFperConn" vbProcedure="false">Inputs!$F$40</definedName>
    <definedName function="false" hidden="false" name="AvgTariff" vbProcedure="false">Dashboard!$C$14</definedName>
    <definedName function="false" hidden="false" name="AvgTariffInput" vbProcedure="false">Inputs!$D$40</definedName>
    <definedName function="false" hidden="false" name="BaselineShare" vbProcedure="false">Inputs!$C$116</definedName>
    <definedName function="false" hidden="false" name="BattLife" vbProcedure="false">Inputs!$C$83</definedName>
    <definedName function="false" hidden="false" name="BESS_kWh" vbProcedure="false">Inputs!$D$69</definedName>
    <definedName function="false" hidden="false" name="BreakEvenTariff" vbProcedure="false">Sensitivity!$D$37</definedName>
    <definedName function="false" hidden="false" name="CapexPerConn" vbProcedure="false">Dashboard!$C$7</definedName>
    <definedName function="false" hidden="false" name="ChecksOverall" vbProcedure="false">Checks!$B$20</definedName>
    <definedName function="false" hidden="false" name="CO2perL" vbProcedure="false">Inputs!$C$115</definedName>
    <definedName function="false" hidden="false" name="CO2Total" vbProcedure="false">'Impact &amp; MRV'!$B$37</definedName>
    <definedName function="false" hidden="false" name="Collection" vbProcedure="false">Inputs!$C$49</definedName>
    <definedName function="false" hidden="false" name="ConAmt" vbProcedure="false">Dashboard!$F$9</definedName>
    <definedName function="false" hidden="false" name="ConGrace" vbProcedure="false">Inputs!$C$109</definedName>
    <definedName function="false" hidden="false" name="ConPct" vbProcedure="false">Inputs!$C$106</definedName>
    <definedName function="false" hidden="false" name="ConRate" vbProcedure="false">Inputs!$C$107</definedName>
    <definedName function="false" hidden="false" name="ConTenor" vbProcedure="false">Inputs!$C$108</definedName>
    <definedName function="false" hidden="false" name="CostEsc" vbProcedure="false">Inputs!$C$16</definedName>
    <definedName function="false" hidden="false" name="Currency" vbProcedure="false">Inputs!$C$9</definedName>
    <definedName function="false" hidden="false" name="C_BattRepl" vbProcedure="false">Inputs!$C$84</definedName>
    <definedName function="false" hidden="false" name="C_BESS" vbProcedure="false">Inputs!$C$75</definedName>
    <definedName function="false" hidden="false" name="C_BOS" vbProcedure="false">Inputs!$C$79</definedName>
    <definedName function="false" hidden="false" name="C_ContPct" vbProcedure="false">Inputs!$C$82</definedName>
    <definedName function="false" hidden="false" name="C_DevPct" vbProcedure="false">Inputs!$C$81</definedName>
    <definedName function="false" hidden="false" name="C_Diesel" vbProcedure="false">Inputs!$C$76</definedName>
    <definedName function="false" hidden="false" name="C_Meter" vbProcedure="false">Inputs!$C$78</definedName>
    <definedName function="false" hidden="false" name="C_Network" vbProcedure="false">Inputs!$C$77</definedName>
    <definedName function="false" hidden="false" name="C_PUEquip" vbProcedure="false">Inputs!$C$80</definedName>
    <definedName function="false" hidden="false" name="C_PV" vbProcedure="false">Inputs!$C$74</definedName>
    <definedName function="false" hidden="false" name="DebtCap" vbProcedure="false">'Funding Gap &amp; RBF'!$C$23</definedName>
    <definedName function="false" hidden="false" name="Degradation" vbProcedure="false">Inputs!$C$53</definedName>
    <definedName function="false" hidden="false" name="DemandGrowth" vbProcedure="false">Inputs!$C$48</definedName>
    <definedName function="false" hidden="false" name="DepYears" vbProcedure="false">Inputs!$C$18</definedName>
    <definedName function="false" hidden="false" name="DesignEnergy" vbProcedure="false">Inputs!$B$66</definedName>
    <definedName function="false" hidden="false" name="DesignGen" vbProcedure="false">Inputs!$B$67</definedName>
    <definedName function="false" hidden="false" name="DieselEff" vbProcedure="false">Inputs!$C$59</definedName>
    <definedName function="false" hidden="false" name="Diesel_kW" vbProcedure="false">Inputs!$D$70</definedName>
    <definedName function="false" hidden="false" name="DoD" vbProcedure="false">Inputs!$C$57</definedName>
    <definedName function="false" hidden="false" name="DSCR_Min" vbProcedure="false">Dashboard!$F$11</definedName>
    <definedName function="false" hidden="false" name="DSRAPct" vbProcedure="false">Inputs!$C$110</definedName>
    <definedName function="false" hidden="false" name="EqNPV" vbProcedure="false">Dashboard!$F$14</definedName>
    <definedName function="false" hidden="false" name="EquityTotal" vbProcedure="false">Dashboard!$F$10</definedName>
    <definedName function="false" hidden="false" name="FuelPrice" vbProcedure="false">Inputs!$C$60</definedName>
    <definedName function="false" hidden="false" name="Grant" vbProcedure="false">Inputs!$C$100</definedName>
    <definedName function="false" hidden="false" name="GrantNeeded" vbProcedure="false">'Funding Gap &amp; RBF'!$C$11</definedName>
    <definedName function="false" hidden="false" name="GrantPerConn" vbProcedure="false">'Impact &amp; MRV'!$B$33</definedName>
    <definedName function="false" hidden="false" name="HardCapexBase" vbProcedure="false">Inputs!$C$87</definedName>
    <definedName function="false" hidden="false" name="HHSize" vbProcedure="false">Inputs!$C$113</definedName>
    <definedName function="false" hidden="false" name="Hurdle" vbProcedure="false">Inputs!$C$12</definedName>
    <definedName function="false" hidden="false" name="IRR_Eq" vbProcedure="false">Dashboard!$F$13</definedName>
    <definedName function="false" hidden="false" name="IRR_Post" vbProcedure="false">Dashboard!$C$9</definedName>
    <definedName function="false" hidden="false" name="IRR_Pre" vbProcedure="false">Dashboard!$C$8</definedName>
    <definedName function="false" hidden="false" name="Jobs" vbProcedure="false">'Impact &amp; MRV'!$B$38</definedName>
    <definedName function="false" hidden="false" name="JobsPerPU" vbProcedure="false">Inputs!$C$114</definedName>
    <definedName function="false" hidden="false" name="LCOE" vbProcedure="false">Dashboard!$C$12</definedName>
    <definedName function="false" hidden="false" name="LevCapex" vbProcedure="false">Inputs!$B$26</definedName>
    <definedName function="false" hidden="false" name="LevColl" vbProcedure="false">Inputs!$B$28</definedName>
    <definedName function="false" hidden="false" name="LevDemand" vbProcedure="false">Inputs!$B$25</definedName>
    <definedName function="false" hidden="false" name="LevFuel" vbProcedure="false">Inputs!$B$29</definedName>
    <definedName function="false" hidden="false" name="LevOpex" vbProcedure="false">Inputs!$B$27</definedName>
    <definedName function="false" hidden="false" name="LevRev" vbProcedure="false">Dashboard!$C$13</definedName>
    <definedName function="false" hidden="false" name="LevTariff" vbProcedure="false">Inputs!$B$24</definedName>
    <definedName function="false" hidden="false" name="Life" vbProcedure="false">Inputs!$C$11</definedName>
    <definedName function="false" hidden="false" name="Losses" vbProcedure="false">Inputs!$C$54</definedName>
    <definedName function="false" hidden="false" name="LP_Check" vbProcedure="false">'Load Profile'!$D$36</definedName>
    <definedName function="false" hidden="false" name="LP_SumCheck" vbProcedure="false">'Load Profile'!$G$32</definedName>
    <definedName function="false" hidden="false" name="MinDSCR" vbProcedure="false">Inputs!$C$14</definedName>
    <definedName function="false" hidden="false" name="NightShare" vbProcedure="false">'Load Profile'!$D$34</definedName>
    <definedName function="false" hidden="false" name="NightShareUsed" vbProcedure="false">Inputs!$C$61</definedName>
    <definedName function="false" hidden="false" name="NPV_Post" vbProcedure="false">Dashboard!$C$11</definedName>
    <definedName function="false" hidden="false" name="NPV_Pre" vbProcedure="false">Dashboard!$C$10</definedName>
    <definedName function="false" hidden="false" name="O_CustPct" vbProcedure="false">Inputs!$C$96</definedName>
    <definedName function="false" hidden="false" name="O_DieselOM" vbProcedure="false">Inputs!$C$95</definedName>
    <definedName function="false" hidden="false" name="O_Fees" vbProcedure="false">Inputs!$C$94</definedName>
    <definedName function="false" hidden="false" name="O_FixedPct" vbProcedure="false">Inputs!$C$91</definedName>
    <definedName function="false" hidden="false" name="O_InsPct" vbProcedure="false">Inputs!$C$93</definedName>
    <definedName function="false" hidden="false" name="O_MRV" vbProcedure="false">Inputs!$C$97</definedName>
    <definedName function="false" hidden="false" name="O_Staff" vbProcedure="false">Inputs!$C$92</definedName>
    <definedName function="false" hidden="false" name="PeakRatio" vbProcedure="false">'Load Profile'!$D$35</definedName>
    <definedName function="false" hidden="false" name="PeakRatioUsed" vbProcedure="false">Inputs!$C$62</definedName>
    <definedName function="false" hidden="false" name="People" vbProcedure="false">'Impact &amp; MRV'!$B$36</definedName>
    <definedName function="false" hidden="false" name="PlannedSubsidyPV" vbProcedure="false">'Funding Gap &amp; RBF'!$C$7</definedName>
    <definedName function="false" hidden="false" name="PrivateCap" vbProcedure="false">'Impact &amp; MRV'!$B$30</definedName>
    <definedName function="false" hidden="false" name="ProjectName" vbProcedure="false">Inputs!$C$6</definedName>
    <definedName function="false" hidden="false" name="PublicGrant" vbProcedure="false">'Impact &amp; MRV'!$B$29</definedName>
    <definedName function="false" hidden="false" name="PUE_kWhPerUser" vbProcedure="false">'Productive Use'!$G$16</definedName>
    <definedName function="false" hidden="false" name="PUE_Total" vbProcedure="false">'Productive Use'!$G$14</definedName>
    <definedName function="false" hidden="false" name="PVOversize" vbProcedure="false">Inputs!$C$56</definedName>
    <definedName function="false" hidden="false" name="PV_kWp" vbProcedure="false">Inputs!$D$68</definedName>
    <definedName function="false" hidden="false" name="Ramp1" vbProcedure="false">Inputs!$C$45</definedName>
    <definedName function="false" hidden="false" name="Ramp2" vbProcedure="false">Inputs!$C$46</definedName>
    <definedName function="false" hidden="false" name="Ramp3" vbProcedure="false">Inputs!$C$47</definedName>
    <definedName function="false" hidden="false" name="RBFLag" vbProcedure="false">Inputs!$C$101</definedName>
    <definedName function="false" hidden="false" name="RBFNeededEq" vbProcedure="false">'Funding Gap &amp; RBF'!$C$17</definedName>
    <definedName function="false" hidden="false" name="RBFNeededProj" vbProcedure="false">'Funding Gap &amp; RBF'!$C$16</definedName>
    <definedName function="false" hidden="false" name="RBFTotal" vbProcedure="false">Dashboard!$F$7</definedName>
    <definedName function="false" hidden="false" name="RemainingGap" vbProcedure="false">'Funding Gap &amp; RBF'!$C$8</definedName>
    <definedName function="false" hidden="false" name="RTE" vbProcedure="false">Inputs!$C$58</definedName>
    <definedName function="false" hidden="false" name="ScenarioName" vbProcedure="false">Inputs!$C$21</definedName>
    <definedName function="false" hidden="false" name="Seg1_Afford" vbProcedure="false">Inputs!$K$35</definedName>
    <definedName function="false" hidden="false" name="Seg1_Bill" vbProcedure="false">Inputs!$I$35</definedName>
    <definedName function="false" hidden="false" name="Seg1_BillPct" vbProcedure="false">Inputs!$J$35</definedName>
    <definedName function="false" hidden="false" name="Seg1_Fee" vbProcedure="false">Inputs!$E$35</definedName>
    <definedName function="false" hidden="false" name="Seg1_Income" vbProcedure="false">Inputs!$G$35</definedName>
    <definedName function="false" hidden="false" name="Seg1_kWh" vbProcedure="false">Inputs!$H$35</definedName>
    <definedName function="false" hidden="false" name="Seg1_N" vbProcedure="false">Inputs!$B$35</definedName>
    <definedName function="false" hidden="false" name="Seg1_Name" vbProcedure="false">Inputs!$A$35</definedName>
    <definedName function="false" hidden="false" name="Seg1_RBF" vbProcedure="false">Inputs!$F$35</definedName>
    <definedName function="false" hidden="false" name="Seg1_Tariff" vbProcedure="false">Inputs!$D$35</definedName>
    <definedName function="false" hidden="false" name="Seg2_Afford" vbProcedure="false">Inputs!$K$36</definedName>
    <definedName function="false" hidden="false" name="Seg2_Bill" vbProcedure="false">Inputs!$I$36</definedName>
    <definedName function="false" hidden="false" name="Seg2_BillPct" vbProcedure="false">Inputs!$J$36</definedName>
    <definedName function="false" hidden="false" name="Seg2_Fee" vbProcedure="false">Inputs!$E$36</definedName>
    <definedName function="false" hidden="false" name="Seg2_Income" vbProcedure="false">Inputs!$G$36</definedName>
    <definedName function="false" hidden="false" name="Seg2_kWh" vbProcedure="false">Inputs!$H$36</definedName>
    <definedName function="false" hidden="false" name="Seg2_N" vbProcedure="false">Inputs!$B$36</definedName>
    <definedName function="false" hidden="false" name="Seg2_Name" vbProcedure="false">Inputs!$A$36</definedName>
    <definedName function="false" hidden="false" name="Seg2_RBF" vbProcedure="false">Inputs!$F$36</definedName>
    <definedName function="false" hidden="false" name="Seg2_Tariff" vbProcedure="false">Inputs!$D$36</definedName>
    <definedName function="false" hidden="false" name="Seg3_Afford" vbProcedure="false">Inputs!$K$37</definedName>
    <definedName function="false" hidden="false" name="Seg3_Bill" vbProcedure="false">Inputs!$I$37</definedName>
    <definedName function="false" hidden="false" name="Seg3_BillPct" vbProcedure="false">Inputs!$J$37</definedName>
    <definedName function="false" hidden="false" name="Seg3_Fee" vbProcedure="false">Inputs!$E$37</definedName>
    <definedName function="false" hidden="false" name="Seg3_Income" vbProcedure="false">Inputs!$G$37</definedName>
    <definedName function="false" hidden="false" name="Seg3_kWh" vbProcedure="false">Inputs!$H$37</definedName>
    <definedName function="false" hidden="false" name="Seg3_N" vbProcedure="false">Inputs!$B$37</definedName>
    <definedName function="false" hidden="false" name="Seg3_Name" vbProcedure="false">Inputs!$A$37</definedName>
    <definedName function="false" hidden="false" name="Seg3_RBF" vbProcedure="false">Inputs!$F$37</definedName>
    <definedName function="false" hidden="false" name="Seg3_Tariff" vbProcedure="false">Inputs!$D$37</definedName>
    <definedName function="false" hidden="false" name="Seg4_Afford" vbProcedure="false">Inputs!$K$38</definedName>
    <definedName function="false" hidden="false" name="Seg4_Bill" vbProcedure="false">Inputs!$I$38</definedName>
    <definedName function="false" hidden="false" name="Seg4_BillPct" vbProcedure="false">Inputs!$J$38</definedName>
    <definedName function="false" hidden="false" name="Seg4_Fee" vbProcedure="false">Inputs!$E$38</definedName>
    <definedName function="false" hidden="false" name="Seg4_Income" vbProcedure="false">Inputs!$G$38</definedName>
    <definedName function="false" hidden="false" name="Seg4_kWh" vbProcedure="false">Inputs!$H$38</definedName>
    <definedName function="false" hidden="false" name="Seg4_N" vbProcedure="false">Inputs!$B$38</definedName>
    <definedName function="false" hidden="false" name="Seg4_Name" vbProcedure="false">Inputs!$A$38</definedName>
    <definedName function="false" hidden="false" name="Seg4_RBF" vbProcedure="false">Inputs!$F$38</definedName>
    <definedName function="false" hidden="false" name="Seg4_Tariff" vbProcedure="false">Inputs!$D$38</definedName>
    <definedName function="false" hidden="false" name="Seg5_Afford" vbProcedure="false">Inputs!$K$39</definedName>
    <definedName function="false" hidden="false" name="Seg5_Bill" vbProcedure="false">Inputs!$I$39</definedName>
    <definedName function="false" hidden="false" name="Seg5_BillPct" vbProcedure="false">Inputs!$J$39</definedName>
    <definedName function="false" hidden="false" name="Seg5_Fee" vbProcedure="false">Inputs!$E$39</definedName>
    <definedName function="false" hidden="false" name="Seg5_Income" vbProcedure="false">Inputs!$G$39</definedName>
    <definedName function="false" hidden="false" name="Seg5_kWh" vbProcedure="false">Inputs!$H$39</definedName>
    <definedName function="false" hidden="false" name="Seg5_N" vbProcedure="false">Inputs!$B$39</definedName>
    <definedName function="false" hidden="false" name="Seg5_Name" vbProcedure="false">Inputs!$A$39</definedName>
    <definedName function="false" hidden="false" name="Seg5_RBF" vbProcedure="false">Inputs!$F$39</definedName>
    <definedName function="false" hidden="false" name="Seg5_Tariff" vbProcedure="false">Inputs!$D$39</definedName>
    <definedName function="false" hidden="false" name="SenAmt" vbProcedure="false">Dashboard!$F$8</definedName>
    <definedName function="false" hidden="false" name="SenGrace" vbProcedure="false">Inputs!$C$105</definedName>
    <definedName function="false" hidden="false" name="SenPct" vbProcedure="false">Inputs!$C$102</definedName>
    <definedName function="false" hidden="false" name="SenRate" vbProcedure="false">Inputs!$C$103</definedName>
    <definedName function="false" hidden="false" name="SensDelta" vbProcedure="false">Inputs!$C$31</definedName>
    <definedName function="false" hidden="false" name="SenTenor" vbProcedure="false">Inputs!$C$104</definedName>
    <definedName function="false" hidden="false" name="Site" vbProcedure="false">Inputs!$C$7</definedName>
    <definedName function="false" hidden="false" name="SolarFraction" vbProcedure="false">Inputs!$C$55</definedName>
    <definedName function="false" hidden="false" name="SourcesTotal" vbProcedure="false">'Financing Request'!$F$33</definedName>
    <definedName function="false" hidden="false" name="SpecYield" vbProcedure="false">Inputs!$C$52</definedName>
    <definedName function="false" hidden="false" name="Sponsor" vbProcedure="false">Inputs!$C$8</definedName>
    <definedName function="false" hidden="false" name="StartYear" vbProcedure="false">Inputs!$C$10</definedName>
    <definedName function="false" hidden="false" name="StorageFactor" vbProcedure="false">Inputs!$C$63</definedName>
    <definedName function="false" hidden="false" name="Sunrise" vbProcedure="false">'Load Profile'!$D$4</definedName>
    <definedName function="false" hidden="false" name="Sunset" vbProcedure="false">'Load Profile'!$D$5</definedName>
    <definedName function="false" hidden="false" name="TargetEqIRR" vbProcedure="false">Inputs!$C$13</definedName>
    <definedName function="false" hidden="false" name="TariffEsc" vbProcedure="false">Inputs!$C$15</definedName>
    <definedName function="false" hidden="false" name="TaxRate" vbProcedure="false">Inputs!$C$17</definedName>
    <definedName function="false" hidden="false" name="TotalCapex" vbProcedure="false">Dashboard!$C$6</definedName>
    <definedName function="false" hidden="false" name="TotalCapexBase" vbProcedure="false">Inputs!$C$88</definedName>
    <definedName function="false" hidden="false" name="TotalCustomers" vbProcedure="false">Inputs!$B$40</definedName>
    <definedName function="false" hidden="false" name="UseMRA" vbProcedure="false">Inputs!$C$85</definedName>
    <definedName function="false" hidden="false" name="UsePUE" vbProcedure="false">Inputs!$C$43</definedName>
    <definedName function="false" hidden="false" name="UsesTotal" vbProcedure="false">'Financing Request'!$C$33</definedName>
    <definedName function="false" hidden="false" name="VGF" vbProcedure="false">Dashboard!$F$16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<sst xmlns="http://schemas.openxmlformats.org/spreadsheetml/2006/main" count="2232" uniqueCount="502">
  <si>
    <t xml:space="preserve">Energy Access Project Financial Model - Developer Edition</t>
  </si>
  <si>
    <t xml:space="preserve">From community demand to a bankable funding request  |  Solar PV + battery + diesel mini-grids  |  20-year annual model</t>
  </si>
  <si>
    <t xml:space="preserve">By Emmanuel Boujieka Kamga</t>
  </si>
  <si>
    <t xml:space="preserve">THE QUESTION THIS MODEL ANSWERS</t>
  </si>
  <si>
    <t xml:space="preserve">Can this energy-access project be made bankable, and what combination of grant, RBF, concessional debt, senior debt and equity does it need?</t>
  </si>
  <si>
    <t xml:space="preserve">WORKFLOW</t>
  </si>
  <si>
    <t xml:space="preserve">1. Inputs           - project, scenarios, customer segments (tariff, RBF, income), technical, CAPEX, OPEX, financing, impact.</t>
  </si>
  <si>
    <t xml:space="preserve">2. Load Profile     - hourly load shape per segment. Drives the night-time energy share (battery size) and the peak ratio (generator size).</t>
  </si>
  <si>
    <t xml:space="preserve">3. Productive Use   - appliance inventory (mills, welding, cold rooms, pumps...). Can drive productive users' consumption.</t>
  </si>
  <si>
    <t xml:space="preserve">4. Dashboard        - KPIs, bankability verdict, affordability by segment, charts.</t>
  </si>
  <si>
    <t xml:space="preserve">5. Funding Gap &amp; RBF - viability gap, grant needed, RBF per connection needed for the project hurdle and the equity target, debt capacity.</t>
  </si>
  <si>
    <t xml:space="preserve">6. Sensitivity      - live tornado: tariff, demand, CAPEX, OPEX, collection, diesel price, interest rate.</t>
  </si>
  <si>
    <t xml:space="preserve">7. Impact &amp; MRV     - connections, people, productive users, energy, CO2, RBF disbursements, cost-effectiveness ratios.</t>
  </si>
  <si>
    <t xml:space="preserve">8. Financing Request - auto-written project summary, sources &amp; uses, key metrics. Copy into your concept note.</t>
  </si>
  <si>
    <t xml:space="preserve">9. Cash Flow / Checks - the engine and the integrity checks (all should read OK).</t>
  </si>
  <si>
    <t xml:space="preserve">COLOUR LEGEND</t>
  </si>
  <si>
    <t xml:space="preserve">Blue text on yellow = input   |   Black = formula (do not overwrite)   |   Green = link from another sheet</t>
  </si>
  <si>
    <t xml:space="preserve">METHOD AND SIMPLIFICATIONS</t>
  </si>
  <si>
    <t xml:space="preserve">- Annual time step. Construction in Year 0, operation Years 1-20. No hourly dispatch: solar delivery is capped by the target solar fraction.</t>
  </si>
  <si>
    <t xml:space="preserve">- Night-time solar energy passes through the battery: the round-trip efficiency loss is charged to PV production.</t>
  </si>
  <si>
    <t xml:space="preserve">- Sizing uses base inputs. Scenario and sensitivity levers model out-turn risk on the built system (the design does not change).</t>
  </si>
  <si>
    <t xml:space="preserve">- PV and battery capacity are fixed after Year 0. If demand keeps growing, diesel covers the difference and fuel cost rises.</t>
  </si>
  <si>
    <t xml:space="preserve">- Tax: flat rate with unlimited loss carry-forward. Grants and RBF are treated as non-taxable. Check local tax treatment.</t>
  </si>
  <si>
    <t xml:space="preserve">- Debt: senior and concessional tranches, each an annuity after interest-only grace years. DSRA funded by equity. No fees, no sculpting.</t>
  </si>
  <si>
    <t xml:space="preserve">- RBF is paid per verified new connection, by segment, with an optional verification lag. RBF is not a construction source: bridge it.</t>
  </si>
  <si>
    <t xml:space="preserve">- RBF and grant needs are solved in closed form (cash flows are linear in RBF), so no Goal Seek is required.</t>
  </si>
  <si>
    <t xml:space="preserve">- Battery replacements create negative cash-flow years, so IRR can mislead. Use NPV and the funding-gap metrics as primary decision tools.</t>
  </si>
  <si>
    <t xml:space="preserve">- Pre-filled values are ILLUSTRATIVE ONLY, not market benchmarks. Replace them with your project data, quotes and programme rules.</t>
  </si>
  <si>
    <t xml:space="preserve">DISCLAIMER &amp; LICENCE</t>
  </si>
  <si>
    <t xml:space="preserve">Screening and pre-feasibility tool for educational and planning purposes. Not investment, legal, tax or engineering advice.</t>
  </si>
  <si>
    <t xml:space="preserve">Perform independent technical and financial due diligence before any investment decision. Licence: single user / single organisation. No resale.</t>
  </si>
  <si>
    <t xml:space="preserve">INPUTS</t>
  </si>
  <si>
    <t xml:space="preserve">Edit yellow cells only. Example values are illustrative, not benchmarks.</t>
  </si>
  <si>
    <t xml:space="preserve">1. PROJECT</t>
  </si>
  <si>
    <t xml:space="preserve">Project name</t>
  </si>
  <si>
    <t xml:space="preserve">Example village mini-grid</t>
  </si>
  <si>
    <t xml:space="preserve">Country / site</t>
  </si>
  <si>
    <t xml:space="preserve">Example site</t>
  </si>
  <si>
    <t xml:space="preserve">Developer / sponsor</t>
  </si>
  <si>
    <t xml:space="preserve">Example Energy Ltd</t>
  </si>
  <si>
    <t xml:space="preserve">Currency label</t>
  </si>
  <si>
    <t xml:space="preserve">USD</t>
  </si>
  <si>
    <t xml:space="preserve">Label only. Enter every amount in this currency.</t>
  </si>
  <si>
    <t xml:space="preserve">First operating year</t>
  </si>
  <si>
    <t xml:space="preserve">year</t>
  </si>
  <si>
    <t xml:space="preserve">Project life</t>
  </si>
  <si>
    <t xml:space="preserve">years</t>
  </si>
  <si>
    <t xml:space="preserve">1 to 20.</t>
  </si>
  <si>
    <t xml:space="preserve">Project hurdle rate (discount rate)</t>
  </si>
  <si>
    <t xml:space="preserve">Used for NPV, LCOE, viability gap and RBF calibration.</t>
  </si>
  <si>
    <t xml:space="preserve">Target equity IRR</t>
  </si>
  <si>
    <t xml:space="preserve">Minimum DSCR required by lenders</t>
  </si>
  <si>
    <t xml:space="preserve">Tariff escalation</t>
  </si>
  <si>
    <t xml:space="preserve">per year</t>
  </si>
  <si>
    <t xml:space="preserve">Cost escalation (OPEX, fuel, replacements)</t>
  </si>
  <si>
    <t xml:space="preserve">Corporate tax rate</t>
  </si>
  <si>
    <t xml:space="preserve">Tax depreciation period</t>
  </si>
  <si>
    <t xml:space="preserve">Straight-line on total CAPEX.</t>
  </si>
  <si>
    <t xml:space="preserve">2. SCENARIOS (multipliers on the inputs below; 1.00 = as entered)</t>
  </si>
  <si>
    <t xml:space="preserve">Active scenario</t>
  </si>
  <si>
    <t xml:space="preserve">Base</t>
  </si>
  <si>
    <t xml:space="preserve">Select from the drop-down list.</t>
  </si>
  <si>
    <t xml:space="preserve">Lever</t>
  </si>
  <si>
    <t xml:space="preserve">Active</t>
  </si>
  <si>
    <t xml:space="preserve">Conservative</t>
  </si>
  <si>
    <t xml:space="preserve">Optimistic</t>
  </si>
  <si>
    <t xml:space="preserve">Custom</t>
  </si>
  <si>
    <t xml:space="preserve">Tariff</t>
  </si>
  <si>
    <t xml:space="preserve">Demand (consumption per customer)</t>
  </si>
  <si>
    <t xml:space="preserve">CAPEX</t>
  </si>
  <si>
    <t xml:space="preserve">OPEX</t>
  </si>
  <si>
    <t xml:space="preserve">Collection rate</t>
  </si>
  <si>
    <t xml:space="preserve">Diesel price</t>
  </si>
  <si>
    <t xml:space="preserve">Collection lever multiplies the collection rate (capped at 100%). Scenario values are illustrative.</t>
  </si>
  <si>
    <t xml:space="preserve">Sensitivity range (+/- applied to each variable)</t>
  </si>
  <si>
    <t xml:space="preserve">Used by the tornado on the 'Sensitivity' sheet.</t>
  </si>
  <si>
    <t xml:space="preserve">3. CUSTOMER SEGMENTS, TARIFFS, RBF AND AFFORDABILITY</t>
  </si>
  <si>
    <t xml:space="preserve">Segment</t>
  </si>
  <si>
    <t xml:space="preserve">Customers</t>
  </si>
  <si>
    <t xml:space="preserve">kWh/month (entered)</t>
  </si>
  <si>
    <t xml:space="preserve">Tariff per kWh</t>
  </si>
  <si>
    <t xml:space="preserve">Connection fee</t>
  </si>
  <si>
    <t xml:space="preserve">RBF per new connection</t>
  </si>
  <si>
    <t xml:space="preserve">Monthly income or revenue</t>
  </si>
  <si>
    <t xml:space="preserve">kWh/month (used)</t>
  </si>
  <si>
    <t xml:space="preserve">Monthly bill (Yr 1)</t>
  </si>
  <si>
    <t xml:space="preserve">Bill as % of income</t>
  </si>
  <si>
    <t xml:space="preserve">Affordable?</t>
  </si>
  <si>
    <t xml:space="preserve">Households</t>
  </si>
  <si>
    <t xml:space="preserve">Productive users (mills, welding, cold rooms)</t>
  </si>
  <si>
    <t xml:space="preserve">Commercial (shops, bars, kiosks)</t>
  </si>
  <si>
    <t xml:space="preserve">Institutions (health centre, school, water)</t>
  </si>
  <si>
    <t xml:space="preserve">Other / custom</t>
  </si>
  <si>
    <t xml:space="preserve">Total / weighted average</t>
  </si>
  <si>
    <t xml:space="preserve">Monthly income: household income, or business revenue for productive/commercial users. Leave 0 for institutions.</t>
  </si>
  <si>
    <t xml:space="preserve">Use 'Productive Use' sheet for productive users' kWh? (1 = yes)</t>
  </si>
  <si>
    <t xml:space="preserve">1 = kWh/month of productive users comes from the appliance inventory.</t>
  </si>
  <si>
    <t xml:space="preserve">Affordability threshold (max bill as % of income)</t>
  </si>
  <si>
    <t xml:space="preserve">Set to your programme's own definition. Example value only.</t>
  </si>
  <si>
    <t xml:space="preserve">Connection ramp - Year 1 (% of customers connected)</t>
  </si>
  <si>
    <t xml:space="preserve">Connection ramp - Year 2</t>
  </si>
  <si>
    <t xml:space="preserve">Connection ramp - Year 3 onwards</t>
  </si>
  <si>
    <t xml:space="preserve">Annual growth in consumption per customer</t>
  </si>
  <si>
    <t xml:space="preserve">Collection rate (share of bills paid)</t>
  </si>
  <si>
    <t xml:space="preserve">4. TECHNICAL DESIGN &amp; AUTO-SIZING</t>
  </si>
  <si>
    <t xml:space="preserve">PV specific yield</t>
  </si>
  <si>
    <t xml:space="preserve">kWh/kWp/yr</t>
  </si>
  <si>
    <t xml:space="preserve">Use PVGIS or your design study for the site.</t>
  </si>
  <si>
    <t xml:space="preserve">PV degradation</t>
  </si>
  <si>
    <t xml:space="preserve">Distribution &amp; conversion losses</t>
  </si>
  <si>
    <t xml:space="preserve">Target solar fraction (max share of generation from PV)</t>
  </si>
  <si>
    <t xml:space="preserve">Storage-limited cap. Diesel supplies the rest.</t>
  </si>
  <si>
    <t xml:space="preserve">PV oversizing factor</t>
  </si>
  <si>
    <t xml:space="preserve">Battery usable depth of discharge</t>
  </si>
  <si>
    <t xml:space="preserve">Battery round-trip efficiency</t>
  </si>
  <si>
    <t xml:space="preserve">Energy out / energy in. Applies to the solar energy stored for night-time use.</t>
  </si>
  <si>
    <t xml:space="preserve">Diesel generator efficiency</t>
  </si>
  <si>
    <t xml:space="preserve">kWh/litre</t>
  </si>
  <si>
    <t xml:space="preserve">Diesel price, Year 1</t>
  </si>
  <si>
    <t xml:space="preserve">per litre</t>
  </si>
  <si>
    <t xml:space="preserve">Night-time share of daily energy (from Load Profile)</t>
  </si>
  <si>
    <t xml:space="preserve">Peak-to-average load ratio (from Load Profile)</t>
  </si>
  <si>
    <t xml:space="preserve">Storage loss factor on solar energy</t>
  </si>
  <si>
    <t xml:space="preserve">PV must produce this much energy per kWh of solar delivered, because night-time solar passes through the battery.</t>
  </si>
  <si>
    <t xml:space="preserve">Component</t>
  </si>
  <si>
    <t xml:space="preserve">Auto-size</t>
  </si>
  <si>
    <t xml:space="preserve">Override</t>
  </si>
  <si>
    <t xml:space="preserve">Used</t>
  </si>
  <si>
    <t xml:space="preserve">Unit</t>
  </si>
  <si>
    <t xml:space="preserve">Design energy sold (Year 3, full connection, base inputs)</t>
  </si>
  <si>
    <t xml:space="preserve">kWh/yr</t>
  </si>
  <si>
    <t xml:space="preserve">Design generation (incl. losses)</t>
  </si>
  <si>
    <t xml:space="preserve">PV array</t>
  </si>
  <si>
    <t xml:space="preserve">kWp</t>
  </si>
  <si>
    <t xml:space="preserve">Battery storage (nameplate)</t>
  </si>
  <si>
    <t xml:space="preserve">kWh</t>
  </si>
  <si>
    <t xml:space="preserve">Diesel generator (covers peak)</t>
  </si>
  <si>
    <t xml:space="preserve">kW</t>
  </si>
  <si>
    <t xml:space="preserve">Leave Override blank to use the auto-size. This is a screening rule of thumb, not an engineering design.</t>
  </si>
  <si>
    <t xml:space="preserve">5. CAPEX (Year 0)</t>
  </si>
  <si>
    <t xml:space="preserve">PV modules, structures &amp; inverters</t>
  </si>
  <si>
    <t xml:space="preserve">per kWp</t>
  </si>
  <si>
    <t xml:space="preserve">Battery storage system</t>
  </si>
  <si>
    <t xml:space="preserve">per kWh</t>
  </si>
  <si>
    <t xml:space="preserve">Diesel generator</t>
  </si>
  <si>
    <t xml:space="preserve">per kW</t>
  </si>
  <si>
    <t xml:space="preserve">Distribution network</t>
  </si>
  <si>
    <t xml:space="preserve">per connection</t>
  </si>
  <si>
    <t xml:space="preserve">Smart meters &amp; service drops</t>
  </si>
  <si>
    <t xml:space="preserve">Powerhouse, BOS, civil works (lump sum)</t>
  </si>
  <si>
    <t xml:space="preserve">Productive-use equipment financed by the project</t>
  </si>
  <si>
    <t xml:space="preserve">Optional: appliances the developer buys and leases or sells to users.</t>
  </si>
  <si>
    <t xml:space="preserve">Development costs (studies, permits, community)</t>
  </si>
  <si>
    <t xml:space="preserve">of hard CAPEX</t>
  </si>
  <si>
    <t xml:space="preserve">Contingency</t>
  </si>
  <si>
    <t xml:space="preserve">Battery life</t>
  </si>
  <si>
    <t xml:space="preserve">Battery replacement cost (Year-0 terms)</t>
  </si>
  <si>
    <t xml:space="preserve">Fund replacements via maintenance reserve? (1 = yes)</t>
  </si>
  <si>
    <t xml:space="preserve">1 = reserve contributions smooth replacements in CFADS (lender practice).</t>
  </si>
  <si>
    <t xml:space="preserve">Hard CAPEX (base, before scenario lever)</t>
  </si>
  <si>
    <t xml:space="preserve">Total CAPEX (base, before scenario lever)</t>
  </si>
  <si>
    <t xml:space="preserve">6. OPEX (Year-1 values, escalated)</t>
  </si>
  <si>
    <t xml:space="preserve">Fixed O&amp;M</t>
  </si>
  <si>
    <t xml:space="preserve">of hard CAPEX / yr</t>
  </si>
  <si>
    <t xml:space="preserve">Local staff &amp; operator</t>
  </si>
  <si>
    <t xml:space="preserve">Insurance</t>
  </si>
  <si>
    <t xml:space="preserve">of total CAPEX / yr</t>
  </si>
  <si>
    <t xml:space="preserve">Licences, land, regulatory fees</t>
  </si>
  <si>
    <t xml:space="preserve">Diesel generator O&amp;M</t>
  </si>
  <si>
    <t xml:space="preserve">per kWh diesel</t>
  </si>
  <si>
    <t xml:space="preserve">Customer management &amp; mobile money fees</t>
  </si>
  <si>
    <t xml:space="preserve">of revenue</t>
  </si>
  <si>
    <t xml:space="preserve">MRV &amp; reporting costs (programme compliance)</t>
  </si>
  <si>
    <t xml:space="preserve">Verification, data platform, audits.</t>
  </si>
  <si>
    <t xml:space="preserve">7. FUNDING STRUCTURE</t>
  </si>
  <si>
    <t xml:space="preserve">Upfront CAPEX grant</t>
  </si>
  <si>
    <t xml:space="preserve">Capital subsidy received in Year 0.</t>
  </si>
  <si>
    <t xml:space="preserve">RBF verification lag</t>
  </si>
  <si>
    <t xml:space="preserve">0 = paid in the year of connection, 1 = next year. RBF amounts per segment are in section 3.</t>
  </si>
  <si>
    <t xml:space="preserve">Senior debt - share of CAPEX net of grant</t>
  </si>
  <si>
    <t xml:space="preserve">Senior debt - interest rate</t>
  </si>
  <si>
    <t xml:space="preserve">Senior debt - tenor (incl. grace)</t>
  </si>
  <si>
    <t xml:space="preserve">Senior debt - grace period (interest only)</t>
  </si>
  <si>
    <t xml:space="preserve">Concessional debt - share of CAPEX net of grant</t>
  </si>
  <si>
    <t xml:space="preserve">For example a DFI or climate-fund loan.</t>
  </si>
  <si>
    <t xml:space="preserve">Concessional debt - interest rate</t>
  </si>
  <si>
    <t xml:space="preserve">Concessional debt - tenor (incl. grace)</t>
  </si>
  <si>
    <t xml:space="preserve">Concessional debt - grace period</t>
  </si>
  <si>
    <t xml:space="preserve">DSRA target (share of next year's debt service)</t>
  </si>
  <si>
    <t xml:space="preserve">0.5 = 6 months. Funded by equity, released when the debt is repaid.</t>
  </si>
  <si>
    <t xml:space="preserve">8. IMPACT &amp; MRV</t>
  </si>
  <si>
    <t xml:space="preserve">Average household size</t>
  </si>
  <si>
    <t xml:space="preserve">people</t>
  </si>
  <si>
    <t xml:space="preserve">Jobs supported per productive user connected</t>
  </si>
  <si>
    <t xml:space="preserve">jobs</t>
  </si>
  <si>
    <t xml:space="preserve">Use your own survey data. Example value only.</t>
  </si>
  <si>
    <t xml:space="preserve">Diesel CO2 emission factor</t>
  </si>
  <si>
    <t xml:space="preserve">kgCO2/litre</t>
  </si>
  <si>
    <t xml:space="preserve">Combustion factor. Verify against your funder's standard.</t>
  </si>
  <si>
    <t xml:space="preserve">Baseline: share of households' energy otherwise from diesel/kerosene</t>
  </si>
  <si>
    <t xml:space="preserve">1 = counterfactual is fully diesel-based supply.</t>
  </si>
  <si>
    <t xml:space="preserve">LOAD PROFILE (share of each segment's daily energy, by hour)</t>
  </si>
  <si>
    <t xml:space="preserve">Each segment column must sum to 100%. Shapes are illustrative; replace them with metered data or survey results where you have them.</t>
  </si>
  <si>
    <t xml:space="preserve">Sunrise hour (PV starts)</t>
  </si>
  <si>
    <t xml:space="preserve">Sunset hour (PV stops)</t>
  </si>
  <si>
    <t xml:space="preserve">Hour</t>
  </si>
  <si>
    <t xml:space="preserve">Seg 1</t>
  </si>
  <si>
    <t xml:space="preserve">Seg 2</t>
  </si>
  <si>
    <t xml:space="preserve">Seg 3</t>
  </si>
  <si>
    <t xml:space="preserve">Seg 4</t>
  </si>
  <si>
    <t xml:space="preserve">Seg 5</t>
  </si>
  <si>
    <t xml:space="preserve">Weighted (all)</t>
  </si>
  <si>
    <t xml:space="preserve">Night hour?</t>
  </si>
  <si>
    <t xml:space="preserve">Total</t>
  </si>
  <si>
    <t xml:space="preserve">Night-time share of daily energy</t>
  </si>
  <si>
    <t xml:space="preserve">Peak-to-average ratio (peak hour share x 24)</t>
  </si>
  <si>
    <t xml:space="preserve">Segment totals check</t>
  </si>
  <si>
    <t xml:space="preserve">PRODUCTIVE USE OF ENERGY (appliance inventory)</t>
  </si>
  <si>
    <t xml:space="preserve">Inventory of productive appliances expected in the community. Values are illustrative; use your demand survey.</t>
  </si>
  <si>
    <t xml:space="preserve">Appliance / activity</t>
  </si>
  <si>
    <t xml:space="preserve">Units</t>
  </si>
  <si>
    <t xml:space="preserve">Rated kW</t>
  </si>
  <si>
    <t xml:space="preserve">Hours / day</t>
  </si>
  <si>
    <t xml:space="preserve">Days / month</t>
  </si>
  <si>
    <t xml:space="preserve">Load factor</t>
  </si>
  <si>
    <t xml:space="preserve">kWh / month</t>
  </si>
  <si>
    <t xml:space="preserve">Grain mill / huller</t>
  </si>
  <si>
    <t xml:space="preserve">Welding workshop</t>
  </si>
  <si>
    <t xml:space="preserve">Cold room / commercial refrigeration</t>
  </si>
  <si>
    <t xml:space="preserve">Irrigation pump</t>
  </si>
  <si>
    <t xml:space="preserve">Tailoring (electric sewing machines)</t>
  </si>
  <si>
    <t xml:space="preserve">Hair salon / barber</t>
  </si>
  <si>
    <t xml:space="preserve">Carpentry tools</t>
  </si>
  <si>
    <t xml:space="preserve">Total productive demand</t>
  </si>
  <si>
    <t xml:space="preserve">Productive users (from Inputs, segment 2)</t>
  </si>
  <si>
    <t xml:space="preserve">kWh / month per productive user</t>
  </si>
  <si>
    <t xml:space="preserve">Share of total demand from productive use (Year 3)</t>
  </si>
  <si>
    <t xml:space="preserve">Why it matters: daytime productive load uses solar directly, improves the load factor and lowers LCOE. Funders often track it as an impact indicator.</t>
  </si>
  <si>
    <t xml:space="preserve">Chart data (linked from Cash Flow)</t>
  </si>
  <si>
    <t xml:space="preserve">PROJECT ECONOMICS</t>
  </si>
  <si>
    <t xml:space="preserve">FUNDING &amp; BANKABILITY</t>
  </si>
  <si>
    <t xml:space="preserve">Year</t>
  </si>
  <si>
    <t xml:space="preserve">Revenue</t>
  </si>
  <si>
    <t xml:space="preserve">CFADS</t>
  </si>
  <si>
    <t xml:space="preserve">Debt service</t>
  </si>
  <si>
    <t xml:space="preserve">Solar kWh</t>
  </si>
  <si>
    <t xml:space="preserve">Diesel kWh</t>
  </si>
  <si>
    <t xml:space="preserve">Total CAPEX</t>
  </si>
  <si>
    <t xml:space="preserve">Upfront grant</t>
  </si>
  <si>
    <t xml:space="preserve">CAPEX per connection</t>
  </si>
  <si>
    <t xml:space="preserve">RBF received (nominal, life)</t>
  </si>
  <si>
    <t xml:space="preserve">Project IRR - before subsidies</t>
  </si>
  <si>
    <t xml:space="preserve">Senior debt</t>
  </si>
  <si>
    <t xml:space="preserve">Project IRR - after subsidies</t>
  </si>
  <si>
    <t xml:space="preserve">Concessional debt</t>
  </si>
  <si>
    <t xml:space="preserve">Project NPV @ hurdle - before subsidies</t>
  </si>
  <si>
    <t xml:space="preserve">Equity (construction + initial DSRA)</t>
  </si>
  <si>
    <t xml:space="preserve">Project NPV @ hurdle - after subsidies</t>
  </si>
  <si>
    <t xml:space="preserve">Minimum DSCR</t>
  </si>
  <si>
    <t xml:space="preserve">LCOE (per kWh sold)</t>
  </si>
  <si>
    <t xml:space="preserve">Average DSCR</t>
  </si>
  <si>
    <t xml:space="preserve">Levelized collected revenue per kWh</t>
  </si>
  <si>
    <t xml:space="preserve">Equity IRR</t>
  </si>
  <si>
    <t xml:space="preserve">Average tariff billed, Year 1</t>
  </si>
  <si>
    <t xml:space="preserve">Equity NPV at target equity IRR</t>
  </si>
  <si>
    <t xml:space="preserve">Year-1 EBITDA margin</t>
  </si>
  <si>
    <t xml:space="preserve">Equity payback (years)</t>
  </si>
  <si>
    <t xml:space="preserve">Average solar fraction (life)</t>
  </si>
  <si>
    <t xml:space="preserve">Viability gap (PV, before subsidies)</t>
  </si>
  <si>
    <t xml:space="preserve">BANKABILITY VERDICT</t>
  </si>
  <si>
    <t xml:space="preserve">AFFORDABILITY BY SEGMENT (Year 1)</t>
  </si>
  <si>
    <t xml:space="preserve">Commercially viable without subsidy?</t>
  </si>
  <si>
    <t xml:space="preserve">Segment  -&gt;  bill as % of income</t>
  </si>
  <si>
    <t xml:space="preserve">Project viable at hurdle after planned subsidies?</t>
  </si>
  <si>
    <t xml:space="preserve">Debt covenant met (min DSCR &gt;= required)?</t>
  </si>
  <si>
    <t xml:space="preserve">Equity IRR meets target?</t>
  </si>
  <si>
    <t xml:space="preserve">Collected tariff covers LCOE?</t>
  </si>
  <si>
    <t xml:space="preserve">Household bills affordable?</t>
  </si>
  <si>
    <t xml:space="preserve">Equity IRR test uses equity NPV at the target rate (robust when cash flows change sign).</t>
  </si>
  <si>
    <t xml:space="preserve">Sources of funds (construction)</t>
  </si>
  <si>
    <t xml:space="preserve">Grant</t>
  </si>
  <si>
    <t xml:space="preserve">Equity</t>
  </si>
  <si>
    <t xml:space="preserve">FUNDING GAP &amp; RBF CALIBRATION</t>
  </si>
  <si>
    <t xml:space="preserve">Closed-form solutions: project and equity cash flows are linear in the RBF amount, so these results are exact. No Goal Seek is needed.</t>
  </si>
  <si>
    <t xml:space="preserve">1. HOW BIG IS THE GAP?</t>
  </si>
  <si>
    <t xml:space="preserve">Viability gap: PV subsidy needed for project NPV = 0 at the hurdle rate</t>
  </si>
  <si>
    <t xml:space="preserve">Present-value subsidy needed with no grant and no RBF.</t>
  </si>
  <si>
    <t xml:space="preserve">Viability gap per connection</t>
  </si>
  <si>
    <t xml:space="preserve">Planned subsidies, PV at hurdle (grant + RBF)</t>
  </si>
  <si>
    <t xml:space="preserve">Remaining project-level gap</t>
  </si>
  <si>
    <t xml:space="preserve">0 means the planned subsidies close the gap at the hurdle rate.</t>
  </si>
  <si>
    <t xml:space="preserve">2. WHAT GRANT IS NEEDED? (given the planned RBF)</t>
  </si>
  <si>
    <t xml:space="preserve">Upfront grant needed for project NPV = 0</t>
  </si>
  <si>
    <t xml:space="preserve">Compare with the grant entered on Inputs.</t>
  </si>
  <si>
    <t xml:space="preserve">Planned grant (Inputs)</t>
  </si>
  <si>
    <t xml:space="preserve">Grant surplus (+) / shortfall (-)</t>
  </si>
  <si>
    <t xml:space="preserve">3. WHAT RBF IS NEEDED? (given the planned grant)</t>
  </si>
  <si>
    <t xml:space="preserve">Uniform RBF per connection for project NPV = 0 at hurdle</t>
  </si>
  <si>
    <t xml:space="preserve">Same amount for every segment, paid with the verification lag.</t>
  </si>
  <si>
    <t xml:space="preserve">Uniform RBF per connection for equity IRR = target</t>
  </si>
  <si>
    <t xml:space="preserve">Developer's view: RBF needed for equity to earn its target return with the current debt.</t>
  </si>
  <si>
    <t xml:space="preserve">Planned RBF per connection (customer-weighted average)</t>
  </si>
  <si>
    <t xml:space="preserve">Scale factor on planned RBF to reach the equity target</t>
  </si>
  <si>
    <t xml:space="preserve">Multiply every segment's RBF on Inputs by this factor.</t>
  </si>
  <si>
    <t xml:space="preserve">Total RBF budget at the equity-target level (nominal)</t>
  </si>
  <si>
    <t xml:space="preserve">Useful for a programme's budget envelope.</t>
  </si>
  <si>
    <t xml:space="preserve">4. HOW MUCH DEBT CAN THE PROJECT CARRY?</t>
  </si>
  <si>
    <t xml:space="preserve">Maximum senior debt sized on min DSCR (annuity, binding year)</t>
  </si>
  <si>
    <t xml:space="preserve">Largest senior loan whose annuity keeps DSCR &gt;= minimum in every year, given current CFADS and concessional debt service.</t>
  </si>
  <si>
    <t xml:space="preserve">Senior debt planned</t>
  </si>
  <si>
    <t xml:space="preserve">Headroom (+) / excess (-)</t>
  </si>
  <si>
    <t xml:space="preserve">Negative: reduce senior debt, extend tenor or grace, or add RBF/grant.</t>
  </si>
  <si>
    <t xml:space="preserve">Binding year (lowest DSCR)</t>
  </si>
  <si>
    <t xml:space="preserve">Typical cause: RBF ends while principal repayments of both tranches overlap.</t>
  </si>
  <si>
    <t xml:space="preserve">5. RBF CASH TIMING (bridge requirement)</t>
  </si>
  <si>
    <t xml:space="preserve">RBF received in Years 1-3 (nominal)</t>
  </si>
  <si>
    <t xml:space="preserve">RBF arrives after connections are verified. CAPEX is spent in Year 0, so this amount must be bridged.</t>
  </si>
  <si>
    <t xml:space="preserve">RBF as share of total CAPEX</t>
  </si>
  <si>
    <t xml:space="preserve">SENSITIVITY ANALYSIS (live)</t>
  </si>
  <si>
    <t xml:space="preserve">Variable</t>
  </si>
  <si>
    <t xml:space="preserve">NPV after subs. (low)</t>
  </si>
  <si>
    <t xml:space="preserve">NPV after subs. (high)</t>
  </si>
  <si>
    <t xml:space="preserve">Swing</t>
  </si>
  <si>
    <t xml:space="preserve">Viability gap (low)</t>
  </si>
  <si>
    <t xml:space="preserve">Viability gap (high)</t>
  </si>
  <si>
    <t xml:space="preserve">Min DSCR (low)</t>
  </si>
  <si>
    <t xml:space="preserve">Min DSCR (high)</t>
  </si>
  <si>
    <t xml:space="preserve">Equity IRR (low)</t>
  </si>
  <si>
    <t xml:space="preserve">Equity IRR (high)</t>
  </si>
  <si>
    <t xml:space="preserve">TORNADO (chart order)</t>
  </si>
  <si>
    <t xml:space="preserve">Base case</t>
  </si>
  <si>
    <t xml:space="preserve">Low vs base</t>
  </si>
  <si>
    <t xml:space="preserve">High vs base</t>
  </si>
  <si>
    <t xml:space="preserve">Demand</t>
  </si>
  <si>
    <t xml:space="preserve">Interest rates</t>
  </si>
  <si>
    <t xml:space="preserve">Low = variable x (1 - range); High = variable x (1 + range). Collection rate is capped at 100%. Interest rates do not change project NPV (unlevered); see DSCR and equity IRR.</t>
  </si>
  <si>
    <t xml:space="preserve">BREAK-EVEN INDICATORS (approximate, linear interpolation)</t>
  </si>
  <si>
    <t xml:space="preserve">Tariff multiplier for NPV before subsidies = 0</t>
  </si>
  <si>
    <t xml:space="preserve">Implied break-even average tariff (no subsidy), Year 1</t>
  </si>
  <si>
    <t xml:space="preserve">Approximation: tax and the solar/diesel split make NPV slightly non-linear in tariff. Confirm by entering the tariff on Inputs.</t>
  </si>
  <si>
    <t xml:space="preserve">IMPACT &amp; MRV INDICATORS</t>
  </si>
  <si>
    <t xml:space="preserve">Annual indicators for results verification and impact reporting. Adapt definitions to your programme's MRV framework.</t>
  </si>
  <si>
    <t xml:space="preserve">Total / end</t>
  </si>
  <si>
    <t xml:space="preserve">ACCESS</t>
  </si>
  <si>
    <t xml:space="preserve">Customers connected (end of year)</t>
  </si>
  <si>
    <t xml:space="preserve">People with electricity access (households x household size)</t>
  </si>
  <si>
    <t xml:space="preserve">Productive users connected</t>
  </si>
  <si>
    <t xml:space="preserve">Jobs supported (productive users x jobs per user)</t>
  </si>
  <si>
    <t xml:space="preserve">Public institutions connected</t>
  </si>
  <si>
    <t xml:space="preserve">ENERGY &amp; CLIMATE</t>
  </si>
  <si>
    <t xml:space="preserve">Energy delivered (MWh)</t>
  </si>
  <si>
    <t xml:space="preserve">Energy to productive users (MWh)</t>
  </si>
  <si>
    <t xml:space="preserve">Renewable generation delivered (MWh)</t>
  </si>
  <si>
    <t xml:space="preserve">Renewable share of generation</t>
  </si>
  <si>
    <t xml:space="preserve">CO2 avoided vs diesel baseline (tCO2)</t>
  </si>
  <si>
    <t xml:space="preserve">RESULTS-BASED FINANCE</t>
  </si>
  <si>
    <t xml:space="preserve">RBF earned (verified)</t>
  </si>
  <si>
    <t xml:space="preserve">RBF disbursed (after lag)</t>
  </si>
  <si>
    <t xml:space="preserve">COST-EFFECTIVENESS (life of project)</t>
  </si>
  <si>
    <t xml:space="preserve">Public grant funding (grant + RBF, nominal)</t>
  </si>
  <si>
    <t xml:space="preserve">Private capital mobilised (senior debt + equity incl. DSRA)</t>
  </si>
  <si>
    <t xml:space="preserve">Leverage: private capital per $ of public grant</t>
  </si>
  <si>
    <t xml:space="preserve">Public grant per connection</t>
  </si>
  <si>
    <t xml:space="preserve">Public grant per person with access</t>
  </si>
  <si>
    <t xml:space="preserve">Public grant per tCO2 avoided</t>
  </si>
  <si>
    <t xml:space="preserve">People with access (peak)</t>
  </si>
  <si>
    <t xml:space="preserve">Lifetime CO2 avoided (tCO2)</t>
  </si>
  <si>
    <t xml:space="preserve">Jobs supported (peak)</t>
  </si>
  <si>
    <t xml:space="preserve">Auto-generated from the model. Copy the paragraphs into your concept note and edit the wording. Check every figure before submission.</t>
  </si>
  <si>
    <t xml:space="preserve">PROJECT SUMMARY</t>
  </si>
  <si>
    <t xml:space="preserve">TECHNICAL SOLUTION</t>
  </si>
  <si>
    <t xml:space="preserve">INVESTMENT AND FUNDING GAP</t>
  </si>
  <si>
    <t xml:space="preserve">FUNDING REQUEST</t>
  </si>
  <si>
    <t xml:space="preserve">BANKABILITY</t>
  </si>
  <si>
    <t xml:space="preserve">IMPACT</t>
  </si>
  <si>
    <t xml:space="preserve">USES OF FUNDS</t>
  </si>
  <si>
    <t xml:space="preserve">SOURCES OF FUNDS</t>
  </si>
  <si>
    <t xml:space="preserve">Solar PV</t>
  </si>
  <si>
    <t xml:space="preserve">Battery storage</t>
  </si>
  <si>
    <t xml:space="preserve">Distribution network &amp; meters</t>
  </si>
  <si>
    <t xml:space="preserve">Sponsor equity (incl. DSRA)</t>
  </si>
  <si>
    <t xml:space="preserve">Powerhouse, BOS, civil works</t>
  </si>
  <si>
    <t xml:space="preserve">Productive-use equipment</t>
  </si>
  <si>
    <t xml:space="preserve">Development costs</t>
  </si>
  <si>
    <t xml:space="preserve">Initial DSRA funding</t>
  </si>
  <si>
    <t xml:space="preserve">TOTAL USES</t>
  </si>
  <si>
    <t xml:space="preserve">TOTAL SOURCES</t>
  </si>
  <si>
    <t xml:space="preserve">KEY METRICS</t>
  </si>
  <si>
    <t xml:space="preserve">Project IRR before / after subsidies</t>
  </si>
  <si>
    <t xml:space="preserve">LCOE (per kWh)</t>
  </si>
  <si>
    <t xml:space="preserve">Viability gap (PV)</t>
  </si>
  <si>
    <t xml:space="preserve">Uniform RBF needed for equity target (per connection)</t>
  </si>
  <si>
    <t xml:space="preserve">CASH FLOW ENGINE (annual, nominal)</t>
  </si>
  <si>
    <t xml:space="preserve">All cells are formulas. Column B = total, or NPV at the hurdle rate where marked [B = NPV].</t>
  </si>
  <si>
    <t xml:space="preserve">CASE LEVERS (relative to the active scenario)</t>
  </si>
  <si>
    <t xml:space="preserve">Collection</t>
  </si>
  <si>
    <t xml:space="preserve">CASE SUMMARY</t>
  </si>
  <si>
    <t xml:space="preserve">Total CAPEX (case)</t>
  </si>
  <si>
    <t xml:space="preserve">Hard CAPEX (case)</t>
  </si>
  <si>
    <t xml:space="preserve">Equity at construction</t>
  </si>
  <si>
    <t xml:space="preserve">Initial DSRA funding (equity)</t>
  </si>
  <si>
    <t xml:space="preserve">Project NPV before subsidies</t>
  </si>
  <si>
    <t xml:space="preserve">Project NPV after subsidies</t>
  </si>
  <si>
    <t xml:space="preserve">Project IRR before subsidies</t>
  </si>
  <si>
    <t xml:space="preserve">Project IRR after subsidies</t>
  </si>
  <si>
    <t xml:space="preserve">LCOE</t>
  </si>
  <si>
    <t xml:space="preserve">PV of verified connections (hurdle)</t>
  </si>
  <si>
    <t xml:space="preserve">PV of RBF received (hurdle)</t>
  </si>
  <si>
    <t xml:space="preserve">PV of verified connections (equity rate)</t>
  </si>
  <si>
    <t xml:space="preserve">PV of RBF received (equity rate)</t>
  </si>
  <si>
    <t xml:space="preserve">Max senior debt at min DSCR (annuity)</t>
  </si>
  <si>
    <t xml:space="preserve">Project year</t>
  </si>
  <si>
    <t xml:space="preserve">Total / NPV</t>
  </si>
  <si>
    <t xml:space="preserve">Calendar year</t>
  </si>
  <si>
    <t xml:space="preserve">Operating flag</t>
  </si>
  <si>
    <t xml:space="preserve">Connection ramp</t>
  </si>
  <si>
    <t xml:space="preserve">Tariff index</t>
  </si>
  <si>
    <t xml:space="preserve">Cost index</t>
  </si>
  <si>
    <t xml:space="preserve">Consumption index (growth x levers)</t>
  </si>
  <si>
    <t xml:space="preserve">DEMAND &amp; CONNECTIONS</t>
  </si>
  <si>
    <t xml:space="preserve">Total connections</t>
  </si>
  <si>
    <t xml:space="preserve">Total new (verified) connections</t>
  </si>
  <si>
    <t xml:space="preserve">Total energy sold (kWh)</t>
  </si>
  <si>
    <t xml:space="preserve">GENERATION MIX</t>
  </si>
  <si>
    <t xml:space="preserve">Gross generation required (kWh)</t>
  </si>
  <si>
    <t xml:space="preserve">PV energy available (kWh)</t>
  </si>
  <si>
    <t xml:space="preserve">Solar energy delivered (kWh)</t>
  </si>
  <si>
    <t xml:space="preserve">Diesel energy delivered (kWh)</t>
  </si>
  <si>
    <t xml:space="preserve">Actual solar fraction</t>
  </si>
  <si>
    <t xml:space="preserve">Diesel consumed (litres)</t>
  </si>
  <si>
    <t xml:space="preserve">REVENUE</t>
  </si>
  <si>
    <t xml:space="preserve">Total billed energy revenue</t>
  </si>
  <si>
    <t xml:space="preserve">Collected energy revenue</t>
  </si>
  <si>
    <t xml:space="preserve">Connection fees</t>
  </si>
  <si>
    <t xml:space="preserve">TOTAL OPERATING REVENUE</t>
  </si>
  <si>
    <t xml:space="preserve">OPERATING COSTS</t>
  </si>
  <si>
    <t xml:space="preserve">Staff &amp; operator</t>
  </si>
  <si>
    <t xml:space="preserve">Licences &amp; fees</t>
  </si>
  <si>
    <t xml:space="preserve">MRV &amp; reporting</t>
  </si>
  <si>
    <t xml:space="preserve">Customer management</t>
  </si>
  <si>
    <t xml:space="preserve">Diesel O&amp;M</t>
  </si>
  <si>
    <t xml:space="preserve">Diesel fuel</t>
  </si>
  <si>
    <t xml:space="preserve">TOTAL OPEX</t>
  </si>
  <si>
    <t xml:space="preserve">EBITDA</t>
  </si>
  <si>
    <t xml:space="preserve">EBITDA margin</t>
  </si>
  <si>
    <t xml:space="preserve">CAPEX, REPLACEMENTS &amp; SUBSIDIES</t>
  </si>
  <si>
    <t xml:space="preserve">Initial CAPEX  [B = NPV]</t>
  </si>
  <si>
    <t xml:space="preserve">Battery replacement  [B = NPV]</t>
  </si>
  <si>
    <t xml:space="preserve">Maintenance reserve contribution</t>
  </si>
  <si>
    <t xml:space="preserve">Replacement cost charged to CFADS</t>
  </si>
  <si>
    <t xml:space="preserve">RBF earned (new connections x RBF by segment)</t>
  </si>
  <si>
    <t xml:space="preserve">RBF received (after verification lag)</t>
  </si>
  <si>
    <t xml:space="preserve">Verified connections paid (after lag)</t>
  </si>
  <si>
    <t xml:space="preserve">SENIOR DEBT</t>
  </si>
  <si>
    <t xml:space="preserve">Opening balance</t>
  </si>
  <si>
    <t xml:space="preserve">Drawdown</t>
  </si>
  <si>
    <t xml:space="preserve">Interest</t>
  </si>
  <si>
    <t xml:space="preserve">Principal</t>
  </si>
  <si>
    <t xml:space="preserve">Closing balance</t>
  </si>
  <si>
    <t xml:space="preserve">CONCESSIONAL DEBT</t>
  </si>
  <si>
    <t xml:space="preserve">TOTAL DEBT SERVICE</t>
  </si>
  <si>
    <t xml:space="preserve">Senior debt service per $1 of senior debt</t>
  </si>
  <si>
    <t xml:space="preserve">Max senior debt allowed by this year's CFADS at min DSCR</t>
  </si>
  <si>
    <t xml:space="preserve">DSRA target balance</t>
  </si>
  <si>
    <t xml:space="preserve">DSRA funding (+) / release (-)</t>
  </si>
  <si>
    <t xml:space="preserve">TAX (loss carry-forward)</t>
  </si>
  <si>
    <t xml:space="preserve">Tax depreciation</t>
  </si>
  <si>
    <t xml:space="preserve">Taxable result before losses - unlevered (project IRR)</t>
  </si>
  <si>
    <t xml:space="preserve">  Tax losses brought forward</t>
  </si>
  <si>
    <t xml:space="preserve">  Losses used</t>
  </si>
  <si>
    <t xml:space="preserve">  Tax losses carried forward</t>
  </si>
  <si>
    <t xml:space="preserve">Tax paid - unlevered (project IRR)</t>
  </si>
  <si>
    <t xml:space="preserve">Taxable result before losses - levered (after interest)</t>
  </si>
  <si>
    <t xml:space="preserve">Tax paid - levered (after interest)</t>
  </si>
  <si>
    <t xml:space="preserve">CASH FLOWS</t>
  </si>
  <si>
    <t xml:space="preserve">Project cash flow BEFORE subsidies  [B = NPV]</t>
  </si>
  <si>
    <t xml:space="preserve">Project cash flow AFTER subsidies  [B = NPV]</t>
  </si>
  <si>
    <t xml:space="preserve">DSCR</t>
  </si>
  <si>
    <t xml:space="preserve">Equity cash flow  [B = NPV]</t>
  </si>
  <si>
    <t xml:space="preserve">Cumulative equity cash flow</t>
  </si>
  <si>
    <t xml:space="preserve">LEVELIZED METRICS INPUTS (discounted at hurdle)</t>
  </si>
  <si>
    <t xml:space="preserve">Lifecycle cost (CAPEX + OPEX excl. revenue-linked + replacements)  [B = NPV]</t>
  </si>
  <si>
    <t xml:space="preserve">Energy sold (kWh)  [B = NPV]</t>
  </si>
  <si>
    <t xml:space="preserve">Collected energy revenue  [B = NPV]</t>
  </si>
  <si>
    <t xml:space="preserve">INTEGRITY CHECKS</t>
  </si>
  <si>
    <t xml:space="preserve">Sources = uses at construction</t>
  </si>
  <si>
    <t xml:space="preserve">Senior + concessional share &lt;= 100%</t>
  </si>
  <si>
    <t xml:space="preserve">Senior debt repaid by end of tenor</t>
  </si>
  <si>
    <t xml:space="preserve">Concessional debt repaid by end of tenor</t>
  </si>
  <si>
    <t xml:space="preserve">Debt tenors within project life</t>
  </si>
  <si>
    <t xml:space="preserve">Grace periods shorter than tenors</t>
  </si>
  <si>
    <t xml:space="preserve">Project life within modelled horizon</t>
  </si>
  <si>
    <t xml:space="preserve">Load profile: each segment sums to 100%</t>
  </si>
  <si>
    <t xml:space="preserve">Energy balance: solar + diesel = generation</t>
  </si>
  <si>
    <t xml:space="preserve">Maintenance reserve contributions = replacements (when used)</t>
  </si>
  <si>
    <t xml:space="preserve">DSRA fully released at end</t>
  </si>
  <si>
    <t xml:space="preserve">Subsidy identity: NPV after = NPV before + grant + PV(RBF)</t>
  </si>
  <si>
    <t xml:space="preserve">RBF calibration reproduces equity target (identity check)</t>
  </si>
  <si>
    <t xml:space="preserve">Tax losses never negative</t>
  </si>
  <si>
    <t xml:space="preserve">At least one customer</t>
  </si>
  <si>
    <t xml:space="preserve">Sensitivity engines reproduce base at zero range (base row = Cash Flow)</t>
  </si>
  <si>
    <t xml:space="preserve">OVERALL</t>
  </si>
</sst>
</file>

<file path=xl/styles.xml><?xml version="1.0" encoding="utf-8"?>
<styleSheet xmlns="http://schemas.openxmlformats.org/spreadsheetml/2006/main">
  <numFmts count="16">
    <numFmt numFmtId="164" formatCode="General"/>
    <numFmt numFmtId="165" formatCode="@"/>
    <numFmt numFmtId="166" formatCode="0"/>
    <numFmt numFmtId="167" formatCode="0.0%;\(0.0%\);\-"/>
    <numFmt numFmtId="168" formatCode="0.00\x;\(0.00&quot;x)&quot;;\-"/>
    <numFmt numFmtId="169" formatCode="#,##0;\(#,##0\);\-"/>
    <numFmt numFmtId="170" formatCode="#,##0.0;\(#,##0.0\);\-"/>
    <numFmt numFmtId="171" formatCode="\$#,##0.000;&quot;($&quot;#,##0.000\);\-"/>
    <numFmt numFmtId="172" formatCode="\$#,##0;&quot;($&quot;#,##0\);\-"/>
    <numFmt numFmtId="173" formatCode="\$#,##0.00;&quot;($&quot;#,##0.00\);\-"/>
    <numFmt numFmtId="174" formatCode="0.000"/>
    <numFmt numFmtId="175" formatCode="0.00"/>
    <numFmt numFmtId="176" formatCode="00&quot;:00&quot;"/>
    <numFmt numFmtId="177" formatCode="0%"/>
    <numFmt numFmtId="178" formatCode="#,##0"/>
    <numFmt numFmtId="179" formatCode="0.0000"/>
  </numFmts>
  <fonts count="16">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b val="true"/>
      <sz val="10"/>
      <color rgb="FF1F3A5F"/>
      <name val="Arial"/>
      <family val="0"/>
      <charset val="1"/>
    </font>
    <font>
      <b val="true"/>
      <sz val="10"/>
      <color rgb="FF1B7F79"/>
      <name val="Arial"/>
      <family val="0"/>
      <charset val="1"/>
    </font>
    <font>
      <sz val="10"/>
      <name val="Arial"/>
      <family val="0"/>
      <charset val="1"/>
    </font>
    <font>
      <i val="true"/>
      <sz val="9"/>
      <color rgb="FF666666"/>
      <name val="Arial"/>
      <family val="0"/>
      <charset val="1"/>
    </font>
    <font>
      <b val="true"/>
      <sz val="11"/>
      <color rgb="FFFFFFFF"/>
      <name val="Arial"/>
      <family val="0"/>
      <charset val="1"/>
    </font>
    <font>
      <sz val="10"/>
      <color rgb="FF0000FF"/>
      <name val="Arial"/>
      <family val="0"/>
      <charset val="1"/>
    </font>
    <font>
      <b val="true"/>
      <sz val="1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1F3A5F"/>
        <bgColor rgb="FF333333"/>
      </patternFill>
    </fill>
    <fill>
      <patternFill patternType="solid">
        <fgColor rgb="FFFFF2CC"/>
        <bgColor rgb="FFEEF3F8"/>
      </patternFill>
    </fill>
    <fill>
      <patternFill patternType="solid">
        <fgColor rgb="FFEEF3F8"/>
        <bgColor rgb="FFE2F0EE"/>
      </patternFill>
    </fill>
    <fill>
      <patternFill patternType="solid">
        <fgColor rgb="FFE2F0EE"/>
        <bgColor rgb="FFEEF3F8"/>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center" textRotation="0" wrapText="tru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9" fontId="10" fillId="3" borderId="1" xfId="0" applyFont="true" applyBorder="true" applyAlignment="false" applyProtection="false">
      <alignment horizontal="general" vertical="bottom" textRotation="0" wrapText="false" indent="0" shrinkToFit="false"/>
      <protection locked="true" hidden="false"/>
    </xf>
    <xf numFmtId="170" fontId="10" fillId="3" borderId="1" xfId="0" applyFont="true" applyBorder="true" applyAlignment="false" applyProtection="false">
      <alignment horizontal="general" vertical="bottom" textRotation="0" wrapText="false" indent="0" shrinkToFit="false"/>
      <protection locked="true" hidden="false"/>
    </xf>
    <xf numFmtId="171" fontId="10" fillId="3" borderId="1" xfId="0" applyFont="true" applyBorder="true" applyAlignment="false" applyProtection="false">
      <alignment horizontal="general" vertical="bottom" textRotation="0" wrapText="false" indent="0" shrinkToFit="false"/>
      <protection locked="true" hidden="false"/>
    </xf>
    <xf numFmtId="172" fontId="10" fillId="3"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9" fontId="11" fillId="0" borderId="2" xfId="0" applyFont="true" applyBorder="true" applyAlignment="false" applyProtection="false">
      <alignment horizontal="general" vertical="bottom" textRotation="0" wrapText="false" indent="0" shrinkToFit="false"/>
      <protection locked="true" hidden="false"/>
    </xf>
    <xf numFmtId="171" fontId="11" fillId="0" borderId="2" xfId="0" applyFont="true" applyBorder="true" applyAlignment="false" applyProtection="false">
      <alignment horizontal="general" vertical="bottom" textRotation="0" wrapText="false" indent="0" shrinkToFit="false"/>
      <protection locked="true" hidden="false"/>
    </xf>
    <xf numFmtId="172" fontId="11" fillId="0" borderId="2" xfId="0" applyFont="true" applyBorder="true" applyAlignment="false" applyProtection="false">
      <alignment horizontal="general" vertical="bottom" textRotation="0" wrapText="false" indent="0" shrinkToFit="false"/>
      <protection locked="true" hidden="false"/>
    </xf>
    <xf numFmtId="170" fontId="11" fillId="0" borderId="2" xfId="0" applyFont="true" applyBorder="true" applyAlignment="false" applyProtection="false">
      <alignment horizontal="general" vertical="bottom" textRotation="0" wrapText="false" indent="0" shrinkToFit="false"/>
      <protection locked="true" hidden="false"/>
    </xf>
    <xf numFmtId="173" fontId="10" fillId="3"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2" fontId="11" fillId="0" borderId="1" xfId="0" applyFont="true" applyBorder="true" applyAlignment="false" applyProtection="false">
      <alignment horizontal="general" vertical="bottom" textRotation="0" wrapText="false" indent="0" shrinkToFit="false"/>
      <protection locked="true" hidden="false"/>
    </xf>
    <xf numFmtId="175" fontId="10"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5" fillId="4" borderId="0" xfId="0" applyFont="true" applyBorder="false" applyAlignment="true" applyProtection="false">
      <alignment horizontal="center" vertical="bottom" textRotation="0" wrapText="tru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2" fontId="11" fillId="5" borderId="1" xfId="0" applyFont="true" applyBorder="true" applyAlignment="true" applyProtection="false">
      <alignment horizontal="right"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7" fontId="11" fillId="5" borderId="1" xfId="0" applyFont="true" applyBorder="true" applyAlignment="true" applyProtection="false">
      <alignment horizontal="right" vertical="bottom" textRotation="0" wrapText="false" indent="0" shrinkToFit="false"/>
      <protection locked="true" hidden="false"/>
    </xf>
    <xf numFmtId="168" fontId="11" fillId="5" borderId="1" xfId="0" applyFont="true" applyBorder="true" applyAlignment="true" applyProtection="false">
      <alignment horizontal="right" vertical="bottom" textRotation="0" wrapText="false" indent="0" shrinkToFit="false"/>
      <protection locked="true" hidden="false"/>
    </xf>
    <xf numFmtId="171" fontId="11" fillId="5" borderId="1" xfId="0" applyFont="true" applyBorder="true" applyAlignment="true" applyProtection="false">
      <alignment horizontal="right" vertical="bottom" textRotation="0" wrapText="false" indent="0" shrinkToFit="false"/>
      <protection locked="true" hidden="false"/>
    </xf>
    <xf numFmtId="166" fontId="11" fillId="5" borderId="1" xfId="0" applyFont="true" applyBorder="true" applyAlignment="true" applyProtection="false">
      <alignment horizontal="right"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true" applyProtection="false">
      <alignment horizontal="right" vertical="bottom" textRotation="0" wrapText="false" indent="0" shrinkToFit="false"/>
      <protection locked="true" hidden="false"/>
    </xf>
    <xf numFmtId="172" fontId="11" fillId="5" borderId="1" xfId="0" applyFont="true" applyBorder="true" applyAlignment="false" applyProtection="false">
      <alignment horizontal="general" vertical="bottom" textRotation="0" wrapText="false" indent="0" shrinkToFit="false"/>
      <protection locked="true" hidden="false"/>
    </xf>
    <xf numFmtId="168" fontId="11" fillId="5" borderId="1" xfId="0" applyFont="true" applyBorder="true" applyAlignment="false" applyProtection="false">
      <alignment horizontal="general" vertical="bottom" textRotation="0" wrapText="false" indent="0" shrinkToFit="false"/>
      <protection locked="true" hidden="false"/>
    </xf>
    <xf numFmtId="166" fontId="11" fillId="5" borderId="1" xfId="0" applyFont="true" applyBorder="true" applyAlignment="false" applyProtection="false">
      <alignment horizontal="general" vertical="bottom" textRotation="0" wrapText="false" indent="0" shrinkToFit="false"/>
      <protection locked="true" hidden="false"/>
    </xf>
    <xf numFmtId="167" fontId="11" fillId="5" borderId="1" xfId="0" applyFont="true" applyBorder="tru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72" fontId="12" fillId="0" borderId="1" xfId="0" applyFont="true" applyBorder="tru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8" fontId="11" fillId="5" borderId="0" xfId="0" applyFont="true" applyBorder="false" applyAlignment="false" applyProtection="false">
      <alignment horizontal="general" vertical="bottom" textRotation="0" wrapText="false" indent="0" shrinkToFit="false"/>
      <protection locked="true" hidden="false"/>
    </xf>
    <xf numFmtId="171" fontId="11" fillId="5"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6" fontId="11" fillId="4"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72" fontId="12" fillId="0" borderId="0" xfId="0" applyFont="true" applyBorder="false" applyAlignment="false" applyProtection="false">
      <alignment horizontal="general" vertical="bottom" textRotation="0" wrapText="false" indent="0" shrinkToFit="false"/>
      <protection locked="true" hidden="false"/>
    </xf>
    <xf numFmtId="169" fontId="11" fillId="5"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true" applyProtection="false">
      <alignment horizontal="right" vertical="bottom" textRotation="0" wrapText="false" indent="0" shrinkToFit="false"/>
      <protection locked="true" hidden="false"/>
    </xf>
    <xf numFmtId="168" fontId="11" fillId="0" borderId="1" xfId="0" applyFont="true" applyBorder="true" applyAlignment="true" applyProtection="false">
      <alignment horizontal="right" vertical="bottom" textRotation="0" wrapText="false" indent="0" shrinkToFit="false"/>
      <protection locked="true" hidden="false"/>
    </xf>
    <xf numFmtId="171" fontId="11" fillId="0" borderId="1" xfId="0" applyFont="true" applyBorder="true" applyAlignment="true" applyProtection="false">
      <alignment horizontal="right" vertical="bottom" textRotation="0" wrapText="false" indent="0" shrinkToFit="false"/>
      <protection locked="true" hidden="false"/>
    </xf>
    <xf numFmtId="172" fontId="11" fillId="0" borderId="1" xfId="0" applyFont="true" applyBorder="true" applyAlignment="true" applyProtection="false">
      <alignment horizontal="right"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9"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name val="Arial"/>
        <charset val="1"/>
        <family val="0"/>
        <b val="1"/>
        <color rgb="FF155724"/>
      </font>
      <fill>
        <patternFill>
          <bgColor rgb="FFD4EDDA"/>
        </patternFill>
      </fill>
    </dxf>
    <dxf>
      <font>
        <name val="Arial"/>
        <charset val="1"/>
        <family val="0"/>
        <b val="1"/>
        <color rgb="FF721C24"/>
      </font>
      <fill>
        <patternFill>
          <bgColor rgb="FFF8D7DA"/>
        </patternFill>
      </fill>
    </dxf>
    <dxf>
      <fill>
        <patternFill>
          <bgColor rgb="FFF8D7DA"/>
        </patternFill>
      </fill>
    </dxf>
    <dxf>
      <fill>
        <patternFill>
          <bgColor rgb="FFD4EDDA"/>
        </patternFill>
      </fill>
    </dxf>
    <dxf>
      <font>
        <name val="Arial"/>
        <charset val="1"/>
        <family val="0"/>
        <b val="1"/>
        <color rgb="FFC00000"/>
      </font>
      <fill>
        <patternFill>
          <bgColor rgb="FFF8D7DA"/>
        </patternFill>
      </fill>
    </dxf>
    <dxf>
      <font>
        <name val="Arial"/>
        <charset val="1"/>
        <family val="0"/>
        <color rgb="FFC00000"/>
      </font>
    </dxf>
  </dxfs>
  <colors>
    <indexedColors>
      <rgbColor rgb="FF000000"/>
      <rgbColor rgb="FFFFFFFF"/>
      <rgbColor rgb="FFC00000"/>
      <rgbColor rgb="FF00FF00"/>
      <rgbColor rgb="FF0000FF"/>
      <rgbColor rgb="FFFFFF00"/>
      <rgbColor rgb="FFFF00FF"/>
      <rgbColor rgb="FF00FFFF"/>
      <rgbColor rgb="FF721C24"/>
      <rgbColor rgb="FF008000"/>
      <rgbColor rgb="FF000080"/>
      <rgbColor rgb="FF666666"/>
      <rgbColor rgb="FF800080"/>
      <rgbColor rgb="FF1B7F79"/>
      <rgbColor rgb="FFBFBFBF"/>
      <rgbColor rgb="FF7F7F7F"/>
      <rgbColor rgb="FF9999FF"/>
      <rgbColor rgb="FFC0504D"/>
      <rgbColor rgb="FFFFF2CC"/>
      <rgbColor rgb="FFE2F0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EF3F8"/>
      <rgbColor rgb="FFD4EDDA"/>
      <rgbColor rgb="FFFFFF99"/>
      <rgbColor rgb="FF99CCFF"/>
      <rgbColor rgb="FFFF99CC"/>
      <rgbColor rgb="FFCC99FF"/>
      <rgbColor rgb="FFF8D7DA"/>
      <rgbColor rgb="FF4A7EBB"/>
      <rgbColor rgb="FF33CCCC"/>
      <rgbColor rgb="FF9BBB59"/>
      <rgbColor rgb="FFFFC000"/>
      <rgbColor rgb="FFFF9900"/>
      <rgbColor rgb="FFFF6600"/>
      <rgbColor rgb="FF7D5FA0"/>
      <rgbColor rgb="FF878787"/>
      <rgbColor rgb="FF1F3A5F"/>
      <rgbColor rgb="FF4F81BD"/>
      <rgbColor rgb="FF155724"/>
      <rgbColor rgb="FF333300"/>
      <rgbColor rgb="FF993300"/>
      <rgbColor rgb="FF8064A2"/>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Weighted daily load shape</a:t>
            </a:r>
          </a:p>
        </c:rich>
      </c:tx>
      <c:overlay val="0"/>
      <c:spPr>
        <a:noFill/>
        <a:ln w="0">
          <a:noFill/>
        </a:ln>
      </c:spPr>
    </c:title>
    <c:autoTitleDeleted val="0"/>
    <c:plotArea>
      <c:lineChart>
        <c:grouping val="standard"/>
        <c:varyColors val="0"/>
        <c:ser>
          <c:idx val="0"/>
          <c:order val="0"/>
          <c:tx>
            <c:strRef>
              <c:f>'Load Profile'!G7</c:f>
              <c:strCache>
                <c:ptCount val="1"/>
                <c:pt idx="0">
                  <c:v>Weighted (all)</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'Load Profile'!$A$8:$A$31</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'Load Profile'!$G$8:$G$31</c:f>
              <c:numCache>
                <c:formatCode>0.0%;\(0.0%\);\-</c:formatCode>
                <c:ptCount val="24"/>
                <c:pt idx="0">
                  <c:v>0.00968892411106443</c:v>
                </c:pt>
                <c:pt idx="1">
                  <c:v>0.00968892411106443</c:v>
                </c:pt>
                <c:pt idx="2">
                  <c:v>0.00968892411106443</c:v>
                </c:pt>
                <c:pt idx="3">
                  <c:v>0.00968892411106443</c:v>
                </c:pt>
                <c:pt idx="4">
                  <c:v>0.00968892411106443</c:v>
                </c:pt>
                <c:pt idx="5">
                  <c:v>0.0158075108712851</c:v>
                </c:pt>
                <c:pt idx="6">
                  <c:v>0.0337356425379608</c:v>
                </c:pt>
                <c:pt idx="7">
                  <c:v>0.0502045820352355</c:v>
                </c:pt>
                <c:pt idx="8">
                  <c:v>0.0606631254739989</c:v>
                </c:pt>
                <c:pt idx="9">
                  <c:v>0.0606558661290587</c:v>
                </c:pt>
                <c:pt idx="10">
                  <c:v>0.0606558661290587</c:v>
                </c:pt>
                <c:pt idx="11">
                  <c:v>0.0566938105968431</c:v>
                </c:pt>
                <c:pt idx="12">
                  <c:v>0.0507156524680682</c:v>
                </c:pt>
                <c:pt idx="13">
                  <c:v>0.0537047315324556</c:v>
                </c:pt>
                <c:pt idx="14">
                  <c:v>0.0566938105968431</c:v>
                </c:pt>
                <c:pt idx="15">
                  <c:v>0.0527533235850961</c:v>
                </c:pt>
                <c:pt idx="16">
                  <c:v>0.0455752620293429</c:v>
                </c:pt>
                <c:pt idx="17">
                  <c:v>0.0465608944735134</c:v>
                </c:pt>
                <c:pt idx="18">
                  <c:v>0.0684516447422264</c:v>
                </c:pt>
                <c:pt idx="19">
                  <c:v>0.0747607029643007</c:v>
                </c:pt>
                <c:pt idx="20">
                  <c:v>0.0675074961398072</c:v>
                </c:pt>
                <c:pt idx="21">
                  <c:v>0.0487853116253185</c:v>
                </c:pt>
                <c:pt idx="22">
                  <c:v>0.0315406163213863</c:v>
                </c:pt>
                <c:pt idx="23">
                  <c:v>0.0160895291928787</c:v>
                </c:pt>
              </c:numCache>
            </c:numRef>
          </c:val>
          <c:smooth val="1"/>
        </c:ser>
        <c:hiLowLines>
          <c:spPr>
            <a:ln w="0">
              <a:noFill/>
            </a:ln>
          </c:spPr>
        </c:hiLowLines>
        <c:marker val="0"/>
        <c:axId val="44629671"/>
        <c:axId val="45513687"/>
      </c:lineChart>
      <c:catAx>
        <c:axId val="44629671"/>
        <c:scaling>
          <c:orientation val="minMax"/>
        </c:scaling>
        <c:delete val="0"/>
        <c:axPos val="b"/>
        <c:numFmt formatCode="00&quot;:00&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513687"/>
        <c:crosses val="autoZero"/>
        <c:auto val="1"/>
        <c:lblAlgn val="ctr"/>
        <c:lblOffset val="100"/>
        <c:noMultiLvlLbl val="0"/>
      </c:catAx>
      <c:valAx>
        <c:axId val="4551368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Share of daily energy</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62967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OPEX, CFADS, debt service</a:t>
            </a:r>
          </a:p>
        </c:rich>
      </c:tx>
      <c:overlay val="0"/>
      <c:spPr>
        <a:noFill/>
        <a:ln w="0">
          <a:noFill/>
        </a:ln>
      </c:spPr>
    </c:title>
    <c:autoTitleDeleted val="0"/>
    <c:plotArea>
      <c:barChart>
        <c:barDir val="col"/>
        <c:grouping val="clustered"/>
        <c:varyColors val="0"/>
        <c:ser>
          <c:idx val="0"/>
          <c:order val="0"/>
          <c:tx>
            <c:strRef>
              <c:f>Dashboard!I5</c:f>
              <c:strCache>
                <c:ptCount val="1"/>
                <c:pt idx="0">
                  <c:v>Revenue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Dashboard!$H$6:$H$25</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Dashboard!$I$6:$I$25</c:f>
              <c:numCache>
                <c:formatCode>#,##0;\(#,##0\);\-</c:formatCode>
                <c:ptCount val="20"/>
                <c:pt idx="0">
                  <c:v>80517.387264</c:v>
                </c:pt>
                <c:pt idx="1">
                  <c:v>113517.638710202</c:v>
                </c:pt>
                <c:pt idx="2">
                  <c:v>139820.029891356</c:v>
                </c:pt>
                <c:pt idx="3">
                  <c:v>146505.01721174</c:v>
                </c:pt>
                <c:pt idx="4">
                  <c:v>155427.172759935</c:v>
                </c:pt>
                <c:pt idx="5">
                  <c:v>164892.687581015</c:v>
                </c:pt>
                <c:pt idx="6">
                  <c:v>174934.652254699</c:v>
                </c:pt>
                <c:pt idx="7">
                  <c:v>185588.17257701</c:v>
                </c:pt>
                <c:pt idx="8">
                  <c:v>196890.49228695</c:v>
                </c:pt>
                <c:pt idx="9">
                  <c:v>208881.123267225</c:v>
                </c:pt>
                <c:pt idx="10">
                  <c:v>221601.983674199</c:v>
                </c:pt>
                <c:pt idx="11">
                  <c:v>235097.544479958</c:v>
                </c:pt>
                <c:pt idx="12">
                  <c:v>249414.984938787</c:v>
                </c:pt>
                <c:pt idx="13">
                  <c:v>264604.357521559</c:v>
                </c:pt>
                <c:pt idx="14">
                  <c:v>280718.762894623</c:v>
                </c:pt>
                <c:pt idx="15">
                  <c:v>297814.535554905</c:v>
                </c:pt>
                <c:pt idx="16">
                  <c:v>315951.440770199</c:v>
                </c:pt>
                <c:pt idx="17">
                  <c:v>335192.883513104</c:v>
                </c:pt>
                <c:pt idx="18">
                  <c:v>355606.130119052</c:v>
                </c:pt>
                <c:pt idx="19">
                  <c:v>377262.543443302</c:v>
                </c:pt>
              </c:numCache>
            </c:numRef>
          </c:val>
        </c:ser>
        <c:ser>
          <c:idx val="1"/>
          <c:order val="1"/>
          <c:tx>
            <c:strRef>
              <c:f>Dashboard!J5</c:f>
              <c:strCache>
                <c:ptCount val="1"/>
                <c:pt idx="0">
                  <c:v>OPEX</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Dashboard!$H$6:$H$25</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Dashboard!$J$6:$J$25</c:f>
              <c:numCache>
                <c:formatCode>#,##0;\(#,##0\);\-</c:formatCode>
                <c:ptCount val="20"/>
                <c:pt idx="0">
                  <c:v>68823.0757427133</c:v>
                </c:pt>
                <c:pt idx="1">
                  <c:v>76684.6746752868</c:v>
                </c:pt>
                <c:pt idx="2">
                  <c:v>83054.2378517802</c:v>
                </c:pt>
                <c:pt idx="3">
                  <c:v>86218.5912476339</c:v>
                </c:pt>
                <c:pt idx="4">
                  <c:v>89575.3928968655</c:v>
                </c:pt>
                <c:pt idx="5">
                  <c:v>93079.8064498027</c:v>
                </c:pt>
                <c:pt idx="6">
                  <c:v>98617.2636274957</c:v>
                </c:pt>
                <c:pt idx="7">
                  <c:v>110440.065028636</c:v>
                </c:pt>
                <c:pt idx="8">
                  <c:v>123116.769669664</c:v>
                </c:pt>
                <c:pt idx="9">
                  <c:v>136702.387797605</c:v>
                </c:pt>
                <c:pt idx="10">
                  <c:v>151255.344928631</c:v>
                </c:pt>
                <c:pt idx="11">
                  <c:v>166837.691169041</c:v>
                </c:pt>
                <c:pt idx="12">
                  <c:v>183515.323308332</c:v>
                </c:pt>
                <c:pt idx="13">
                  <c:v>201358.220462529</c:v>
                </c:pt>
                <c:pt idx="14">
                  <c:v>220440.694093342</c:v>
                </c:pt>
                <c:pt idx="15">
                  <c:v>240841.653278977</c:v>
                </c:pt>
                <c:pt idx="16">
                  <c:v>262644.886165781</c:v>
                </c:pt>
                <c:pt idx="17">
                  <c:v>285939.358586492</c:v>
                </c:pt>
                <c:pt idx="18">
                  <c:v>310819.530890879</c:v>
                </c:pt>
                <c:pt idx="19">
                  <c:v>337385.694098266</c:v>
                </c:pt>
              </c:numCache>
            </c:numRef>
          </c:val>
        </c:ser>
        <c:ser>
          <c:idx val="2"/>
          <c:order val="2"/>
          <c:tx>
            <c:strRef>
              <c:f>Dashboard!K5</c:f>
              <c:strCache>
                <c:ptCount val="1"/>
                <c:pt idx="0">
                  <c:v>CFADS</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Dashboard!$H$6:$H$25</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Dashboard!$K$6:$K$25</c:f>
              <c:numCache>
                <c:formatCode>#,##0;\(#,##0\);\-</c:formatCode>
                <c:ptCount val="20"/>
                <c:pt idx="0">
                  <c:v>142156.381808199</c:v>
                </c:pt>
                <c:pt idx="1">
                  <c:v>79095.0343218271</c:v>
                </c:pt>
                <c:pt idx="2">
                  <c:v>73827.8623264885</c:v>
                </c:pt>
                <c:pt idx="3">
                  <c:v>39548.4962510184</c:v>
                </c:pt>
                <c:pt idx="4">
                  <c:v>45113.8501499818</c:v>
                </c:pt>
                <c:pt idx="5">
                  <c:v>51074.9514181245</c:v>
                </c:pt>
                <c:pt idx="6">
                  <c:v>55579.4589141154</c:v>
                </c:pt>
                <c:pt idx="7">
                  <c:v>54410.1778352862</c:v>
                </c:pt>
                <c:pt idx="8">
                  <c:v>47503.5337068271</c:v>
                </c:pt>
                <c:pt idx="9">
                  <c:v>45908.5465591614</c:v>
                </c:pt>
                <c:pt idx="10">
                  <c:v>44076.4498351092</c:v>
                </c:pt>
                <c:pt idx="11">
                  <c:v>41989.6644004577</c:v>
                </c:pt>
                <c:pt idx="12">
                  <c:v>39629.4727199965</c:v>
                </c:pt>
                <c:pt idx="13">
                  <c:v>36975.9481485715</c:v>
                </c:pt>
                <c:pt idx="14">
                  <c:v>34007.8798908214</c:v>
                </c:pt>
                <c:pt idx="15">
                  <c:v>30702.6933654697</c:v>
                </c:pt>
                <c:pt idx="16">
                  <c:v>53306.5546044182</c:v>
                </c:pt>
                <c:pt idx="17">
                  <c:v>49253.5249266123</c:v>
                </c:pt>
                <c:pt idx="18">
                  <c:v>44786.599228173</c:v>
                </c:pt>
                <c:pt idx="19">
                  <c:v>39876.8493450363</c:v>
                </c:pt>
              </c:numCache>
            </c:numRef>
          </c:val>
        </c:ser>
        <c:gapWidth val="150"/>
        <c:overlap val="0"/>
        <c:axId val="36874360"/>
        <c:axId val="63365032"/>
      </c:barChart>
      <c:lineChart>
        <c:grouping val="standard"/>
        <c:varyColors val="0"/>
        <c:ser>
          <c:idx val="3"/>
          <c:order val="3"/>
          <c:tx>
            <c:strRef>
              <c:f>Dashboard!L5</c:f>
              <c:strCache>
                <c:ptCount val="1"/>
                <c:pt idx="0">
                  <c:v>Debt service</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Dashboard!$H$6:$H$25</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Dashboard!$L$6:$L$25</c:f>
              <c:numCache>
                <c:formatCode>#,##0;\(#,##0\);\-</c:formatCode>
                <c:ptCount val="20"/>
                <c:pt idx="0">
                  <c:v>14631.0878201464</c:v>
                </c:pt>
                <c:pt idx="1">
                  <c:v>14631.0878201464</c:v>
                </c:pt>
                <c:pt idx="2">
                  <c:v>24472.6347469427</c:v>
                </c:pt>
                <c:pt idx="3">
                  <c:v>24472.6347469427</c:v>
                </c:pt>
                <c:pt idx="4">
                  <c:v>24472.6347469427</c:v>
                </c:pt>
                <c:pt idx="5">
                  <c:v>34290.1516910654</c:v>
                </c:pt>
                <c:pt idx="6">
                  <c:v>34290.1516910654</c:v>
                </c:pt>
                <c:pt idx="7">
                  <c:v>34290.1516910654</c:v>
                </c:pt>
                <c:pt idx="8">
                  <c:v>34290.1516910654</c:v>
                </c:pt>
                <c:pt idx="9">
                  <c:v>34290.1516910654</c:v>
                </c:pt>
                <c:pt idx="10">
                  <c:v>13193.9218256949</c:v>
                </c:pt>
                <c:pt idx="11">
                  <c:v>13193.9218256949</c:v>
                </c:pt>
                <c:pt idx="12">
                  <c:v>13193.9218256949</c:v>
                </c:pt>
                <c:pt idx="13">
                  <c:v>13193.9218256949</c:v>
                </c:pt>
                <c:pt idx="14">
                  <c:v>13193.9218256949</c:v>
                </c:pt>
                <c:pt idx="15">
                  <c:v>0</c:v>
                </c:pt>
                <c:pt idx="16">
                  <c:v>0</c:v>
                </c:pt>
                <c:pt idx="17">
                  <c:v>0</c:v>
                </c:pt>
                <c:pt idx="18">
                  <c:v>0</c:v>
                </c:pt>
                <c:pt idx="19">
                  <c:v>0</c:v>
                </c:pt>
              </c:numCache>
            </c:numRef>
          </c:val>
          <c:smooth val="1"/>
        </c:ser>
        <c:hiLowLines>
          <c:spPr>
            <a:ln w="0">
              <a:noFill/>
            </a:ln>
          </c:spPr>
        </c:hiLowLines>
        <c:marker val="0"/>
        <c:axId val="36874360"/>
        <c:axId val="63365032"/>
      </c:lineChart>
      <c:catAx>
        <c:axId val="36874360"/>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365032"/>
        <c:crosses val="autoZero"/>
        <c:auto val="1"/>
        <c:lblAlgn val="ctr"/>
        <c:lblOffset val="100"/>
        <c:noMultiLvlLbl val="0"/>
      </c:catAx>
      <c:valAx>
        <c:axId val="63365032"/>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87436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Sources of funds</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showLeaderLines val="0"/>
          </c:dLbls>
          <c:cat>
            <c:strRef>
              <c:f>Dashboard!$H$28:$H$31</c:f>
              <c:strCache>
                <c:ptCount val="4"/>
                <c:pt idx="0">
                  <c:v>Grant</c:v>
                </c:pt>
                <c:pt idx="1">
                  <c:v>Senior debt</c:v>
                </c:pt>
                <c:pt idx="2">
                  <c:v>Concessional debt</c:v>
                </c:pt>
                <c:pt idx="3">
                  <c:v>Equity</c:v>
                </c:pt>
              </c:strCache>
            </c:strRef>
          </c:cat>
          <c:val>
            <c:numRef>
              <c:f>Dashboard!$I$28:$I$31</c:f>
              <c:numCache>
                <c:formatCode>#,##0;\(#,##0\);\-</c:formatCode>
                <c:ptCount val="4"/>
                <c:pt idx="0">
                  <c:v>600000</c:v>
                </c:pt>
                <c:pt idx="1">
                  <c:v>112546.829385741</c:v>
                </c:pt>
                <c:pt idx="2">
                  <c:v>112546.829385741</c:v>
                </c:pt>
                <c:pt idx="3">
                  <c:v>337640.488157224</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Generation mix (kWh)</a:t>
            </a:r>
          </a:p>
        </c:rich>
      </c:tx>
      <c:overlay val="0"/>
      <c:spPr>
        <a:noFill/>
        <a:ln w="0">
          <a:noFill/>
        </a:ln>
      </c:spPr>
    </c:title>
    <c:autoTitleDeleted val="0"/>
    <c:plotArea>
      <c:barChart>
        <c:barDir val="col"/>
        <c:grouping val="stacked"/>
        <c:varyColors val="0"/>
        <c:ser>
          <c:idx val="0"/>
          <c:order val="0"/>
          <c:tx>
            <c:strRef>
              <c:f>Dashboard!M5</c:f>
              <c:strCache>
                <c:ptCount val="1"/>
                <c:pt idx="0">
                  <c:v>Solar kWh</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Dashboard!$H$6:$H$25</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Dashboard!$M$6:$M$25</c:f>
              <c:numCache>
                <c:formatCode>#,##0;\(#,##0\);\-</c:formatCode>
                <c:ptCount val="20"/>
                <c:pt idx="0">
                  <c:v>215938.341818182</c:v>
                </c:pt>
                <c:pt idx="1">
                  <c:v>315090.030436364</c:v>
                </c:pt>
                <c:pt idx="2">
                  <c:v>381814.978058182</c:v>
                </c:pt>
                <c:pt idx="3">
                  <c:v>393269.427399927</c:v>
                </c:pt>
                <c:pt idx="4">
                  <c:v>405067.510221925</c:v>
                </c:pt>
                <c:pt idx="5">
                  <c:v>417219.535528583</c:v>
                </c:pt>
                <c:pt idx="6">
                  <c:v>426078.172123344</c:v>
                </c:pt>
                <c:pt idx="7">
                  <c:v>423947.781262727</c:v>
                </c:pt>
                <c:pt idx="8">
                  <c:v>421828.042356414</c:v>
                </c:pt>
                <c:pt idx="9">
                  <c:v>419718.902144632</c:v>
                </c:pt>
                <c:pt idx="10">
                  <c:v>417620.307633909</c:v>
                </c:pt>
                <c:pt idx="11">
                  <c:v>415532.206095739</c:v>
                </c:pt>
                <c:pt idx="12">
                  <c:v>413454.54506526</c:v>
                </c:pt>
                <c:pt idx="13">
                  <c:v>411387.272339934</c:v>
                </c:pt>
                <c:pt idx="14">
                  <c:v>409330.335978234</c:v>
                </c:pt>
                <c:pt idx="15">
                  <c:v>407283.684298343</c:v>
                </c:pt>
                <c:pt idx="16">
                  <c:v>405247.265876851</c:v>
                </c:pt>
                <c:pt idx="17">
                  <c:v>403221.029547467</c:v>
                </c:pt>
                <c:pt idx="18">
                  <c:v>401204.92439973</c:v>
                </c:pt>
                <c:pt idx="19">
                  <c:v>399198.899777731</c:v>
                </c:pt>
              </c:numCache>
            </c:numRef>
          </c:val>
        </c:ser>
        <c:ser>
          <c:idx val="1"/>
          <c:order val="1"/>
          <c:tx>
            <c:strRef>
              <c:f>Dashboard!N5</c:f>
              <c:strCache>
                <c:ptCount val="1"/>
                <c:pt idx="0">
                  <c:v>Diesel kWh</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Dashboard!$H$6:$H$25</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Dashboard!$N$6:$N$25</c:f>
              <c:numCache>
                <c:formatCode>#,##0;\(#,##0\);\-</c:formatCode>
                <c:ptCount val="20"/>
                <c:pt idx="0">
                  <c:v>23993.1490909091</c:v>
                </c:pt>
                <c:pt idx="1">
                  <c:v>35010.0033818182</c:v>
                </c:pt>
                <c:pt idx="2">
                  <c:v>42423.8864509091</c:v>
                </c:pt>
                <c:pt idx="3">
                  <c:v>43696.6030444364</c:v>
                </c:pt>
                <c:pt idx="4">
                  <c:v>45007.5011357695</c:v>
                </c:pt>
                <c:pt idx="5">
                  <c:v>46357.7261698425</c:v>
                </c:pt>
                <c:pt idx="6">
                  <c:v>51406.407426034</c:v>
                </c:pt>
                <c:pt idx="7">
                  <c:v>67861.3356731322</c:v>
                </c:pt>
                <c:pt idx="8">
                  <c:v>84735.3480875216</c:v>
                </c:pt>
                <c:pt idx="9">
                  <c:v>102041.390012622</c:v>
                </c:pt>
                <c:pt idx="10">
                  <c:v>119792.793288062</c:v>
                </c:pt>
                <c:pt idx="11">
                  <c:v>138003.287853891</c:v>
                </c:pt>
                <c:pt idx="12">
                  <c:v>156687.013702859</c:v>
                </c:pt>
                <c:pt idx="13">
                  <c:v>175858.533191229</c:v>
                </c:pt>
                <c:pt idx="14">
                  <c:v>195532.843718863</c:v>
                </c:pt>
                <c:pt idx="15">
                  <c:v>215725.390789667</c:v>
                </c:pt>
                <c:pt idx="16">
                  <c:v>236452.0814638</c:v>
                </c:pt>
                <c:pt idx="17">
                  <c:v>257729.298213403</c:v>
                </c:pt>
                <c:pt idx="18">
                  <c:v>279573.913193967</c:v>
                </c:pt>
                <c:pt idx="19">
                  <c:v>302003.302943776</c:v>
                </c:pt>
              </c:numCache>
            </c:numRef>
          </c:val>
        </c:ser>
        <c:gapWidth val="150"/>
        <c:overlap val="100"/>
        <c:axId val="87535005"/>
        <c:axId val="71385822"/>
      </c:barChart>
      <c:catAx>
        <c:axId val="87535005"/>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385822"/>
        <c:crosses val="autoZero"/>
        <c:auto val="1"/>
        <c:lblAlgn val="ctr"/>
        <c:lblOffset val="100"/>
        <c:noMultiLvlLbl val="0"/>
      </c:catAx>
      <c:valAx>
        <c:axId val="71385822"/>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53500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Change in project NPV after subsidies vs base</a:t>
            </a:r>
          </a:p>
        </c:rich>
      </c:tx>
      <c:overlay val="0"/>
      <c:spPr>
        <a:noFill/>
        <a:ln w="0">
          <a:noFill/>
        </a:ln>
      </c:spPr>
    </c:title>
    <c:autoTitleDeleted val="0"/>
    <c:plotArea>
      <c:barChart>
        <c:barDir val="bar"/>
        <c:grouping val="clustered"/>
        <c:varyColors val="0"/>
        <c:ser>
          <c:idx val="0"/>
          <c:order val="0"/>
          <c:tx>
            <c:strRef>
              <c:f>Sensitivity!N5</c:f>
              <c:strCache>
                <c:ptCount val="1"/>
                <c:pt idx="0">
                  <c:v>Low vs base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Sensitivity!$M$6:$M$12</c:f>
              <c:strCache>
                <c:ptCount val="7"/>
                <c:pt idx="0">
                  <c:v>Interest rates</c:v>
                </c:pt>
                <c:pt idx="1">
                  <c:v>Demand</c:v>
                </c:pt>
                <c:pt idx="2">
                  <c:v>Diesel price</c:v>
                </c:pt>
                <c:pt idx="3">
                  <c:v>OPEX</c:v>
                </c:pt>
                <c:pt idx="4">
                  <c:v>Collection rate</c:v>
                </c:pt>
                <c:pt idx="5">
                  <c:v>Tariff</c:v>
                </c:pt>
                <c:pt idx="6">
                  <c:v>CAPEX</c:v>
                </c:pt>
              </c:strCache>
            </c:strRef>
          </c:cat>
          <c:val>
            <c:numRef>
              <c:f>Sensitivity!$N$6:$N$12</c:f>
              <c:numCache>
                <c:formatCode>\$#,##0;"($"#,##0\);\-</c:formatCode>
                <c:ptCount val="7"/>
                <c:pt idx="0">
                  <c:v>0</c:v>
                </c:pt>
                <c:pt idx="1">
                  <c:v>-77421.0668622735</c:v>
                </c:pt>
                <c:pt idx="2">
                  <c:v>70409.8161773892</c:v>
                </c:pt>
                <c:pt idx="3">
                  <c:v>108688.615623738</c:v>
                </c:pt>
                <c:pt idx="4">
                  <c:v>-301426.087215394</c:v>
                </c:pt>
                <c:pt idx="5">
                  <c:v>-301426.087215394</c:v>
                </c:pt>
                <c:pt idx="6">
                  <c:v>298772.264035828</c:v>
                </c:pt>
              </c:numCache>
            </c:numRef>
          </c:val>
        </c:ser>
        <c:ser>
          <c:idx val="1"/>
          <c:order val="1"/>
          <c:tx>
            <c:strRef>
              <c:f>Sensitivity!O5</c:f>
              <c:strCache>
                <c:ptCount val="1"/>
                <c:pt idx="0">
                  <c:v>High vs base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Sensitivity!$M$6:$M$12</c:f>
              <c:strCache>
                <c:ptCount val="7"/>
                <c:pt idx="0">
                  <c:v>Interest rates</c:v>
                </c:pt>
                <c:pt idx="1">
                  <c:v>Demand</c:v>
                </c:pt>
                <c:pt idx="2">
                  <c:v>Diesel price</c:v>
                </c:pt>
                <c:pt idx="3">
                  <c:v>OPEX</c:v>
                </c:pt>
                <c:pt idx="4">
                  <c:v>Collection rate</c:v>
                </c:pt>
                <c:pt idx="5">
                  <c:v>Tariff</c:v>
                </c:pt>
                <c:pt idx="6">
                  <c:v>CAPEX</c:v>
                </c:pt>
              </c:strCache>
            </c:strRef>
          </c:cat>
          <c:val>
            <c:numRef>
              <c:f>Sensitivity!$O$6:$O$12</c:f>
              <c:numCache>
                <c:formatCode>\$#,##0;"($"#,##0\);\-</c:formatCode>
                <c:ptCount val="7"/>
                <c:pt idx="0">
                  <c:v>0</c:v>
                </c:pt>
                <c:pt idx="1">
                  <c:v>-52483.0558960679</c:v>
                </c:pt>
                <c:pt idx="2">
                  <c:v>-83566.823932455</c:v>
                </c:pt>
                <c:pt idx="3">
                  <c:v>-123152.900017466</c:v>
                </c:pt>
                <c:pt idx="4">
                  <c:v>113805.414104606</c:v>
                </c:pt>
                <c:pt idx="5">
                  <c:v>248868.093950739</c:v>
                </c:pt>
                <c:pt idx="6">
                  <c:v>-321778.042523353</c:v>
                </c:pt>
              </c:numCache>
            </c:numRef>
          </c:val>
        </c:ser>
        <c:gapWidth val="150"/>
        <c:overlap val="100"/>
        <c:axId val="4986414"/>
        <c:axId val="54406149"/>
      </c:barChart>
      <c:catAx>
        <c:axId val="4986414"/>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54406149"/>
        <c:crosses val="autoZero"/>
        <c:auto val="1"/>
        <c:lblAlgn val="ctr"/>
        <c:lblOffset val="100"/>
        <c:noMultiLvlLbl val="0"/>
      </c:catAx>
      <c:valAx>
        <c:axId val="5440614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8641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5</xdr:row>
      <xdr:rowOff>444960</xdr:rowOff>
    </xdr:from>
    <xdr:to>
      <xdr:col>16</xdr:col>
      <xdr:colOff>447840</xdr:colOff>
      <xdr:row>20</xdr:row>
      <xdr:rowOff>153000</xdr:rowOff>
    </xdr:to>
    <xdr:graphicFrame>
      <xdr:nvGraphicFramePr>
        <xdr:cNvPr id="0" name="Chart 1"/>
        <xdr:cNvGraphicFramePr/>
      </xdr:nvGraphicFramePr>
      <xdr:xfrm>
        <a:off x="11557080" y="14572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26</xdr:row>
      <xdr:rowOff>131040</xdr:rowOff>
    </xdr:from>
    <xdr:to>
      <xdr:col>2</xdr:col>
      <xdr:colOff>405720</xdr:colOff>
      <xdr:row>41</xdr:row>
      <xdr:rowOff>153000</xdr:rowOff>
    </xdr:to>
    <xdr:graphicFrame>
      <xdr:nvGraphicFramePr>
        <xdr:cNvPr id="1" name="Chart 1"/>
        <xdr:cNvGraphicFramePr/>
      </xdr:nvGraphicFramePr>
      <xdr:xfrm>
        <a:off x="177840" y="5143680"/>
        <a:ext cx="41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26</xdr:row>
      <xdr:rowOff>131040</xdr:rowOff>
    </xdr:from>
    <xdr:to>
      <xdr:col>5</xdr:col>
      <xdr:colOff>225720</xdr:colOff>
      <xdr:row>41</xdr:row>
      <xdr:rowOff>153000</xdr:rowOff>
    </xdr:to>
    <xdr:graphicFrame>
      <xdr:nvGraphicFramePr>
        <xdr:cNvPr id="2" name="Chart 2"/>
        <xdr:cNvGraphicFramePr/>
      </xdr:nvGraphicFramePr>
      <xdr:xfrm>
        <a:off x="6578640" y="5143680"/>
        <a:ext cx="39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43</xdr:row>
      <xdr:rowOff>130680</xdr:rowOff>
    </xdr:from>
    <xdr:to>
      <xdr:col>2</xdr:col>
      <xdr:colOff>405720</xdr:colOff>
      <xdr:row>58</xdr:row>
      <xdr:rowOff>153000</xdr:rowOff>
    </xdr:to>
    <xdr:graphicFrame>
      <xdr:nvGraphicFramePr>
        <xdr:cNvPr id="3" name="Chart 3"/>
        <xdr:cNvGraphicFramePr/>
      </xdr:nvGraphicFramePr>
      <xdr:xfrm>
        <a:off x="177840" y="8381880"/>
        <a:ext cx="413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14</xdr:row>
      <xdr:rowOff>131040</xdr:rowOff>
    </xdr:from>
    <xdr:to>
      <xdr:col>6</xdr:col>
      <xdr:colOff>265320</xdr:colOff>
      <xdr:row>31</xdr:row>
      <xdr:rowOff>132120</xdr:rowOff>
    </xdr:to>
    <xdr:graphicFrame>
      <xdr:nvGraphicFramePr>
        <xdr:cNvPr id="4" name="Chart 1"/>
        <xdr:cNvGraphicFramePr/>
      </xdr:nvGraphicFramePr>
      <xdr:xfrm>
        <a:off x="177840" y="304812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B2:B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20"/>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t="s">
        <v>2</v>
      </c>
    </row>
    <row r="5" customFormat="false" ht="15" hidden="false" customHeight="false" outlineLevel="0" collapsed="false">
      <c r="B5" s="2" t="s">
        <v>3</v>
      </c>
    </row>
    <row r="6" customFormat="false" ht="15" hidden="false" customHeight="false" outlineLevel="0" collapsed="false">
      <c r="B6" s="4" t="s">
        <v>4</v>
      </c>
    </row>
    <row r="7" customFormat="false" ht="15" hidden="false" customHeight="false" outlineLevel="0" collapsed="false">
      <c r="B7" s="5"/>
    </row>
    <row r="8" customFormat="false" ht="15" hidden="false" customHeight="false" outlineLevel="0" collapsed="false">
      <c r="B8" s="2" t="s">
        <v>5</v>
      </c>
    </row>
    <row r="9" customFormat="false" ht="15" hidden="false" customHeight="false" outlineLevel="0" collapsed="false">
      <c r="B9" s="4" t="s">
        <v>6</v>
      </c>
    </row>
    <row r="10" customFormat="false" ht="15" hidden="false" customHeight="false" outlineLevel="0" collapsed="false">
      <c r="B10" s="4" t="s">
        <v>7</v>
      </c>
    </row>
    <row r="11" customFormat="false" ht="15" hidden="false" customHeight="false" outlineLevel="0" collapsed="false">
      <c r="B11" s="4" t="s">
        <v>8</v>
      </c>
    </row>
    <row r="12" customFormat="false" ht="15" hidden="false" customHeight="false" outlineLevel="0" collapsed="false">
      <c r="B12" s="4" t="s">
        <v>9</v>
      </c>
    </row>
    <row r="13" customFormat="false" ht="15" hidden="false" customHeight="false" outlineLevel="0" collapsed="false">
      <c r="B13" s="4" t="s">
        <v>10</v>
      </c>
    </row>
    <row r="14" customFormat="false" ht="15" hidden="false" customHeight="false" outlineLevel="0" collapsed="false">
      <c r="B14" s="4" t="s">
        <v>11</v>
      </c>
    </row>
    <row r="15" customFormat="false" ht="15" hidden="false" customHeight="false" outlineLevel="0" collapsed="false">
      <c r="B15" s="4" t="s">
        <v>12</v>
      </c>
    </row>
    <row r="16" customFormat="false" ht="15" hidden="false" customHeight="false" outlineLevel="0" collapsed="false">
      <c r="B16" s="4" t="s">
        <v>13</v>
      </c>
    </row>
    <row r="17" customFormat="false" ht="15" hidden="false" customHeight="false" outlineLevel="0" collapsed="false">
      <c r="B17" s="4" t="s">
        <v>14</v>
      </c>
    </row>
    <row r="18" customFormat="false" ht="15" hidden="false" customHeight="false" outlineLevel="0" collapsed="false">
      <c r="B18" s="5"/>
    </row>
    <row r="19" customFormat="false" ht="15" hidden="false" customHeight="false" outlineLevel="0" collapsed="false">
      <c r="B19" s="2" t="s">
        <v>15</v>
      </c>
    </row>
    <row r="20" customFormat="false" ht="15" hidden="false" customHeight="false" outlineLevel="0" collapsed="false">
      <c r="B20" s="4" t="s">
        <v>16</v>
      </c>
    </row>
    <row r="21" customFormat="false" ht="15" hidden="false" customHeight="false" outlineLevel="0" collapsed="false">
      <c r="B21" s="5"/>
    </row>
    <row r="22" customFormat="false" ht="15" hidden="false" customHeight="false" outlineLevel="0" collapsed="false">
      <c r="B22" s="2" t="s">
        <v>17</v>
      </c>
    </row>
    <row r="23" customFormat="false" ht="15" hidden="false" customHeight="false" outlineLevel="0" collapsed="false">
      <c r="B23" s="4" t="s">
        <v>18</v>
      </c>
    </row>
    <row r="24" customFormat="false" ht="15" hidden="false" customHeight="false" outlineLevel="0" collapsed="false">
      <c r="B24" s="4" t="s">
        <v>19</v>
      </c>
    </row>
    <row r="25" customFormat="false" ht="15" hidden="false" customHeight="false" outlineLevel="0" collapsed="false">
      <c r="B25" s="4" t="s">
        <v>20</v>
      </c>
    </row>
    <row r="26" customFormat="false" ht="15" hidden="false" customHeight="false" outlineLevel="0" collapsed="false">
      <c r="B26" s="4" t="s">
        <v>21</v>
      </c>
    </row>
    <row r="27" customFormat="false" ht="15" hidden="false" customHeight="false" outlineLevel="0" collapsed="false">
      <c r="B27" s="4" t="s">
        <v>22</v>
      </c>
    </row>
    <row r="28" customFormat="false" ht="15" hidden="false" customHeight="false" outlineLevel="0" collapsed="false">
      <c r="B28" s="4" t="s">
        <v>23</v>
      </c>
    </row>
    <row r="29" customFormat="false" ht="15" hidden="false" customHeight="false" outlineLevel="0" collapsed="false">
      <c r="B29" s="4" t="s">
        <v>24</v>
      </c>
    </row>
    <row r="30" customFormat="false" ht="15" hidden="false" customHeight="false" outlineLevel="0" collapsed="false">
      <c r="B30" s="4" t="s">
        <v>25</v>
      </c>
    </row>
    <row r="31" customFormat="false" ht="15" hidden="false" customHeight="false" outlineLevel="0" collapsed="false">
      <c r="B31" s="4" t="s">
        <v>26</v>
      </c>
    </row>
    <row r="32" customFormat="false" ht="15" hidden="false" customHeight="false" outlineLevel="0" collapsed="false">
      <c r="B32" s="4" t="s">
        <v>27</v>
      </c>
    </row>
    <row r="33" customFormat="false" ht="15" hidden="false" customHeight="false" outlineLevel="0" collapsed="false">
      <c r="B33" s="5"/>
    </row>
    <row r="34" customFormat="false" ht="15" hidden="false" customHeight="false" outlineLevel="0" collapsed="false">
      <c r="B34" s="2" t="s">
        <v>28</v>
      </c>
    </row>
    <row r="35" customFormat="false" ht="15" hidden="false" customHeight="false" outlineLevel="0" collapsed="false">
      <c r="B35" s="6" t="s">
        <v>29</v>
      </c>
    </row>
    <row r="36" customFormat="false" ht="15" hidden="false" customHeight="false" outlineLevel="0" collapsed="false">
      <c r="B36" s="6" t="s">
        <v>30</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K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11" min="2" style="0" width="13"/>
  </cols>
  <sheetData>
    <row r="1" customFormat="false" ht="19.7" hidden="false" customHeight="false" outlineLevel="0" collapsed="false">
      <c r="A1" s="7" t="s">
        <v>31</v>
      </c>
    </row>
    <row r="2" customFormat="false" ht="15" hidden="false" customHeight="false" outlineLevel="0" collapsed="false">
      <c r="A2" s="8" t="s">
        <v>32</v>
      </c>
    </row>
    <row r="5" customFormat="false" ht="15" hidden="false" customHeight="false" outlineLevel="0" collapsed="false">
      <c r="A5" s="9" t="s">
        <v>33</v>
      </c>
      <c r="B5" s="10"/>
      <c r="C5" s="10"/>
      <c r="D5" s="10"/>
      <c r="E5" s="10"/>
      <c r="F5" s="10"/>
      <c r="G5" s="10"/>
      <c r="H5" s="10"/>
      <c r="I5" s="10"/>
      <c r="J5" s="10"/>
      <c r="K5" s="10"/>
    </row>
    <row r="6" customFormat="false" ht="15" hidden="false" customHeight="false" outlineLevel="0" collapsed="false">
      <c r="A6" s="11" t="s">
        <v>34</v>
      </c>
      <c r="C6" s="12" t="s">
        <v>35</v>
      </c>
    </row>
    <row r="7" customFormat="false" ht="15" hidden="false" customHeight="false" outlineLevel="0" collapsed="false">
      <c r="A7" s="11" t="s">
        <v>36</v>
      </c>
      <c r="C7" s="12" t="s">
        <v>37</v>
      </c>
    </row>
    <row r="8" customFormat="false" ht="15" hidden="false" customHeight="false" outlineLevel="0" collapsed="false">
      <c r="A8" s="11" t="s">
        <v>38</v>
      </c>
      <c r="C8" s="12" t="s">
        <v>39</v>
      </c>
    </row>
    <row r="9" customFormat="false" ht="15" hidden="false" customHeight="false" outlineLevel="0" collapsed="false">
      <c r="A9" s="11" t="s">
        <v>40</v>
      </c>
      <c r="C9" s="12" t="s">
        <v>41</v>
      </c>
      <c r="F9" s="8" t="s">
        <v>42</v>
      </c>
    </row>
    <row r="10" customFormat="false" ht="15" hidden="false" customHeight="false" outlineLevel="0" collapsed="false">
      <c r="A10" s="11" t="s">
        <v>43</v>
      </c>
      <c r="C10" s="13" t="n">
        <v>2027</v>
      </c>
      <c r="D10" s="8" t="s">
        <v>44</v>
      </c>
    </row>
    <row r="11" customFormat="false" ht="15" hidden="false" customHeight="false" outlineLevel="0" collapsed="false">
      <c r="A11" s="11" t="s">
        <v>45</v>
      </c>
      <c r="C11" s="13" t="n">
        <v>20</v>
      </c>
      <c r="D11" s="8" t="s">
        <v>46</v>
      </c>
      <c r="F11" s="8" t="s">
        <v>47</v>
      </c>
    </row>
    <row r="12" customFormat="false" ht="15" hidden="false" customHeight="false" outlineLevel="0" collapsed="false">
      <c r="A12" s="11" t="s">
        <v>48</v>
      </c>
      <c r="C12" s="14" t="n">
        <v>0.1</v>
      </c>
      <c r="F12" s="8" t="s">
        <v>49</v>
      </c>
    </row>
    <row r="13" customFormat="false" ht="15" hidden="false" customHeight="false" outlineLevel="0" collapsed="false">
      <c r="A13" s="11" t="s">
        <v>50</v>
      </c>
      <c r="C13" s="14" t="n">
        <v>0.15</v>
      </c>
    </row>
    <row r="14" customFormat="false" ht="15" hidden="false" customHeight="false" outlineLevel="0" collapsed="false">
      <c r="A14" s="11" t="s">
        <v>51</v>
      </c>
      <c r="C14" s="15" t="n">
        <v>1.3</v>
      </c>
    </row>
    <row r="15" customFormat="false" ht="15" hidden="false" customHeight="false" outlineLevel="0" collapsed="false">
      <c r="A15" s="11" t="s">
        <v>52</v>
      </c>
      <c r="C15" s="14" t="n">
        <v>0.03</v>
      </c>
      <c r="D15" s="8" t="s">
        <v>53</v>
      </c>
    </row>
    <row r="16" customFormat="false" ht="15" hidden="false" customHeight="false" outlineLevel="0" collapsed="false">
      <c r="A16" s="11" t="s">
        <v>54</v>
      </c>
      <c r="C16" s="14" t="n">
        <v>0.03</v>
      </c>
      <c r="D16" s="8" t="s">
        <v>53</v>
      </c>
    </row>
    <row r="17" customFormat="false" ht="15" hidden="false" customHeight="false" outlineLevel="0" collapsed="false">
      <c r="A17" s="11" t="s">
        <v>55</v>
      </c>
      <c r="C17" s="14" t="n">
        <v>0.25</v>
      </c>
    </row>
    <row r="18" customFormat="false" ht="15" hidden="false" customHeight="false" outlineLevel="0" collapsed="false">
      <c r="A18" s="11" t="s">
        <v>56</v>
      </c>
      <c r="C18" s="13" t="n">
        <v>15</v>
      </c>
      <c r="D18" s="8" t="s">
        <v>46</v>
      </c>
      <c r="F18" s="8" t="s">
        <v>57</v>
      </c>
    </row>
    <row r="20" customFormat="false" ht="15" hidden="false" customHeight="false" outlineLevel="0" collapsed="false">
      <c r="A20" s="9" t="s">
        <v>58</v>
      </c>
      <c r="B20" s="10"/>
      <c r="C20" s="10"/>
      <c r="D20" s="10"/>
      <c r="E20" s="10"/>
      <c r="F20" s="10"/>
      <c r="G20" s="10"/>
      <c r="H20" s="10"/>
      <c r="I20" s="10"/>
      <c r="J20" s="10"/>
      <c r="K20" s="10"/>
    </row>
    <row r="21" customFormat="false" ht="15" hidden="false" customHeight="false" outlineLevel="0" collapsed="false">
      <c r="A21" s="16" t="s">
        <v>59</v>
      </c>
      <c r="C21" s="12" t="s">
        <v>60</v>
      </c>
      <c r="F21" s="8" t="s">
        <v>61</v>
      </c>
    </row>
    <row r="23" customFormat="false" ht="27.75" hidden="false" customHeight="true" outlineLevel="0" collapsed="false">
      <c r="A23" s="17" t="s">
        <v>62</v>
      </c>
      <c r="B23" s="17" t="s">
        <v>63</v>
      </c>
      <c r="C23" s="17" t="s">
        <v>60</v>
      </c>
      <c r="D23" s="17" t="s">
        <v>64</v>
      </c>
      <c r="E23" s="17" t="s">
        <v>65</v>
      </c>
      <c r="F23" s="17" t="s">
        <v>66</v>
      </c>
    </row>
    <row r="24" customFormat="false" ht="15" hidden="false" customHeight="false" outlineLevel="0" collapsed="false">
      <c r="A24" s="11" t="s">
        <v>67</v>
      </c>
      <c r="B24" s="18" t="n">
        <f aca="false">INDEX(C24:F24,1,MATCH(ScenarioName,$C$23:$F$23,0))</f>
        <v>1</v>
      </c>
      <c r="C24" s="15" t="n">
        <v>1</v>
      </c>
      <c r="D24" s="15" t="n">
        <v>1</v>
      </c>
      <c r="E24" s="15" t="n">
        <v>1</v>
      </c>
      <c r="F24" s="15" t="n">
        <v>1</v>
      </c>
    </row>
    <row r="25" customFormat="false" ht="15" hidden="false" customHeight="false" outlineLevel="0" collapsed="false">
      <c r="A25" s="11" t="s">
        <v>68</v>
      </c>
      <c r="B25" s="18" t="n">
        <f aca="false">INDEX(C25:F25,1,MATCH(ScenarioName,$C$23:$F$23,0))</f>
        <v>1</v>
      </c>
      <c r="C25" s="15" t="n">
        <v>1</v>
      </c>
      <c r="D25" s="15" t="n">
        <v>0.85</v>
      </c>
      <c r="E25" s="15" t="n">
        <v>1.1</v>
      </c>
      <c r="F25" s="15" t="n">
        <v>1</v>
      </c>
    </row>
    <row r="26" customFormat="false" ht="15" hidden="false" customHeight="false" outlineLevel="0" collapsed="false">
      <c r="A26" s="11" t="s">
        <v>69</v>
      </c>
      <c r="B26" s="18" t="n">
        <f aca="false">INDEX(C26:F26,1,MATCH(ScenarioName,$C$23:$F$23,0))</f>
        <v>1</v>
      </c>
      <c r="C26" s="15" t="n">
        <v>1</v>
      </c>
      <c r="D26" s="15" t="n">
        <v>1.15</v>
      </c>
      <c r="E26" s="15" t="n">
        <v>0.95</v>
      </c>
      <c r="F26" s="15" t="n">
        <v>1</v>
      </c>
    </row>
    <row r="27" customFormat="false" ht="15" hidden="false" customHeight="false" outlineLevel="0" collapsed="false">
      <c r="A27" s="11" t="s">
        <v>70</v>
      </c>
      <c r="B27" s="18" t="n">
        <f aca="false">INDEX(C27:F27,1,MATCH(ScenarioName,$C$23:$F$23,0))</f>
        <v>1</v>
      </c>
      <c r="C27" s="15" t="n">
        <v>1</v>
      </c>
      <c r="D27" s="15" t="n">
        <v>1.1</v>
      </c>
      <c r="E27" s="15" t="n">
        <v>0.95</v>
      </c>
      <c r="F27" s="15" t="n">
        <v>1</v>
      </c>
    </row>
    <row r="28" customFormat="false" ht="15" hidden="false" customHeight="false" outlineLevel="0" collapsed="false">
      <c r="A28" s="11" t="s">
        <v>71</v>
      </c>
      <c r="B28" s="18" t="n">
        <f aca="false">INDEX(C28:F28,1,MATCH(ScenarioName,$C$23:$F$23,0))</f>
        <v>1</v>
      </c>
      <c r="C28" s="15" t="n">
        <v>1</v>
      </c>
      <c r="D28" s="15" t="n">
        <v>0.95</v>
      </c>
      <c r="E28" s="15" t="n">
        <v>1.03</v>
      </c>
      <c r="F28" s="15" t="n">
        <v>1</v>
      </c>
    </row>
    <row r="29" customFormat="false" ht="15" hidden="false" customHeight="false" outlineLevel="0" collapsed="false">
      <c r="A29" s="11" t="s">
        <v>72</v>
      </c>
      <c r="B29" s="18" t="n">
        <f aca="false">INDEX(C29:F29,1,MATCH(ScenarioName,$C$23:$F$23,0))</f>
        <v>1</v>
      </c>
      <c r="C29" s="15" t="n">
        <v>1</v>
      </c>
      <c r="D29" s="15" t="n">
        <v>1.25</v>
      </c>
      <c r="E29" s="15" t="n">
        <v>0.9</v>
      </c>
      <c r="F29" s="15" t="n">
        <v>1</v>
      </c>
    </row>
    <row r="30" customFormat="false" ht="15" hidden="false" customHeight="false" outlineLevel="0" collapsed="false">
      <c r="A30" s="8" t="s">
        <v>73</v>
      </c>
    </row>
    <row r="31" customFormat="false" ht="15" hidden="false" customHeight="false" outlineLevel="0" collapsed="false">
      <c r="A31" s="11" t="s">
        <v>74</v>
      </c>
      <c r="C31" s="14" t="n">
        <v>0.2</v>
      </c>
      <c r="F31" s="8" t="s">
        <v>75</v>
      </c>
    </row>
    <row r="33" customFormat="false" ht="15" hidden="false" customHeight="false" outlineLevel="0" collapsed="false">
      <c r="A33" s="9" t="s">
        <v>76</v>
      </c>
      <c r="B33" s="10"/>
      <c r="C33" s="10"/>
      <c r="D33" s="10"/>
      <c r="E33" s="10"/>
      <c r="F33" s="10"/>
      <c r="G33" s="10"/>
      <c r="H33" s="10"/>
      <c r="I33" s="10"/>
      <c r="J33" s="10"/>
      <c r="K33" s="10"/>
    </row>
    <row r="34" customFormat="false" ht="27.75" hidden="false" customHeight="true" outlineLevel="0" collapsed="false">
      <c r="A34" s="17" t="s">
        <v>77</v>
      </c>
      <c r="B34" s="17" t="s">
        <v>78</v>
      </c>
      <c r="C34" s="17" t="s">
        <v>79</v>
      </c>
      <c r="D34" s="17" t="s">
        <v>80</v>
      </c>
      <c r="E34" s="17" t="s">
        <v>81</v>
      </c>
      <c r="F34" s="17" t="s">
        <v>82</v>
      </c>
      <c r="G34" s="17" t="s">
        <v>83</v>
      </c>
      <c r="H34" s="17" t="s">
        <v>84</v>
      </c>
      <c r="I34" s="17" t="s">
        <v>85</v>
      </c>
      <c r="J34" s="17" t="s">
        <v>86</v>
      </c>
      <c r="K34" s="17" t="s">
        <v>87</v>
      </c>
    </row>
    <row r="35" customFormat="false" ht="15" hidden="false" customHeight="false" outlineLevel="0" collapsed="false">
      <c r="A35" s="19" t="s">
        <v>88</v>
      </c>
      <c r="B35" s="20" t="n">
        <v>800</v>
      </c>
      <c r="C35" s="21" t="n">
        <v>15</v>
      </c>
      <c r="D35" s="22" t="n">
        <v>0.4</v>
      </c>
      <c r="E35" s="23" t="n">
        <v>10</v>
      </c>
      <c r="F35" s="23" t="n">
        <v>250</v>
      </c>
      <c r="G35" s="23" t="n">
        <v>120</v>
      </c>
      <c r="H35" s="24" t="n">
        <f aca="false">C35</f>
        <v>15</v>
      </c>
      <c r="I35" s="25" t="n">
        <f aca="false">H35*D35*LevTariff</f>
        <v>6</v>
      </c>
      <c r="J35" s="26" t="n">
        <f aca="false">IF(G35&gt;0,I35/G35,"")</f>
        <v>0.05</v>
      </c>
      <c r="K35" s="27" t="str">
        <f aca="false">IF(B35=0,"",IF(G35&lt;=0,"n/a",IF(J35&lt;=AffordThreshold,"YES","NO")))</f>
        <v>YES</v>
      </c>
    </row>
    <row r="36" customFormat="false" ht="15" hidden="false" customHeight="false" outlineLevel="0" collapsed="false">
      <c r="A36" s="19" t="s">
        <v>89</v>
      </c>
      <c r="B36" s="20" t="n">
        <v>60</v>
      </c>
      <c r="C36" s="21" t="n">
        <v>250</v>
      </c>
      <c r="D36" s="22" t="n">
        <v>0.35</v>
      </c>
      <c r="E36" s="23" t="n">
        <v>25</v>
      </c>
      <c r="F36" s="23" t="n">
        <v>400</v>
      </c>
      <c r="G36" s="23" t="n">
        <v>1500</v>
      </c>
      <c r="H36" s="24" t="n">
        <f aca="false">IF(AND(UsePUE=1,2=2),PUE_kWhPerUser,C36)</f>
        <v>155.416</v>
      </c>
      <c r="I36" s="25" t="n">
        <f aca="false">H36*D36*LevTariff</f>
        <v>54.3956</v>
      </c>
      <c r="J36" s="26" t="n">
        <f aca="false">IF(G36&gt;0,I36/G36,"")</f>
        <v>0.0362637333333333</v>
      </c>
      <c r="K36" s="27" t="str">
        <f aca="false">IF(B36=0,"",IF(G36&lt;=0,"n/a",IF(J36&lt;=AffordThreshold,"YES","NO")))</f>
        <v>YES</v>
      </c>
    </row>
    <row r="37" customFormat="false" ht="15" hidden="false" customHeight="false" outlineLevel="0" collapsed="false">
      <c r="A37" s="19" t="s">
        <v>90</v>
      </c>
      <c r="B37" s="20" t="n">
        <v>100</v>
      </c>
      <c r="C37" s="21" t="n">
        <v>50</v>
      </c>
      <c r="D37" s="22" t="n">
        <v>0.4</v>
      </c>
      <c r="E37" s="23" t="n">
        <v>15</v>
      </c>
      <c r="F37" s="23" t="n">
        <v>250</v>
      </c>
      <c r="G37" s="23" t="n">
        <v>400</v>
      </c>
      <c r="H37" s="24" t="n">
        <f aca="false">C37</f>
        <v>50</v>
      </c>
      <c r="I37" s="25" t="n">
        <f aca="false">H37*D37*LevTariff</f>
        <v>20</v>
      </c>
      <c r="J37" s="26" t="n">
        <f aca="false">IF(G37&gt;0,I37/G37,"")</f>
        <v>0.05</v>
      </c>
      <c r="K37" s="27" t="str">
        <f aca="false">IF(B37=0,"",IF(G37&lt;=0,"n/a",IF(J37&lt;=AffordThreshold,"YES","NO")))</f>
        <v>YES</v>
      </c>
    </row>
    <row r="38" customFormat="false" ht="15" hidden="false" customHeight="false" outlineLevel="0" collapsed="false">
      <c r="A38" s="19" t="s">
        <v>91</v>
      </c>
      <c r="B38" s="20" t="n">
        <v>10</v>
      </c>
      <c r="C38" s="21" t="n">
        <v>300</v>
      </c>
      <c r="D38" s="22" t="n">
        <v>0.35</v>
      </c>
      <c r="E38" s="23" t="n">
        <v>50</v>
      </c>
      <c r="F38" s="23" t="n">
        <v>300</v>
      </c>
      <c r="G38" s="23" t="n">
        <v>0</v>
      </c>
      <c r="H38" s="24" t="n">
        <f aca="false">C38</f>
        <v>300</v>
      </c>
      <c r="I38" s="25" t="n">
        <f aca="false">H38*D38*LevTariff</f>
        <v>105</v>
      </c>
      <c r="J38" s="26" t="str">
        <f aca="false">IF(G38&gt;0,I38/G38,"")</f>
        <v/>
      </c>
      <c r="K38" s="27" t="str">
        <f aca="false">IF(B38=0,"",IF(G38&lt;=0,"n/a",IF(J38&lt;=AffordThreshold,"YES","NO")))</f>
        <v>n/a</v>
      </c>
    </row>
    <row r="39" customFormat="false" ht="15" hidden="false" customHeight="false" outlineLevel="0" collapsed="false">
      <c r="A39" s="19" t="s">
        <v>92</v>
      </c>
      <c r="B39" s="20" t="n">
        <v>0</v>
      </c>
      <c r="C39" s="21" t="n">
        <v>0</v>
      </c>
      <c r="D39" s="22" t="n">
        <v>0</v>
      </c>
      <c r="E39" s="23" t="n">
        <v>0</v>
      </c>
      <c r="F39" s="23" t="n">
        <v>0</v>
      </c>
      <c r="G39" s="23" t="n">
        <v>0</v>
      </c>
      <c r="H39" s="24" t="n">
        <f aca="false">C39</f>
        <v>0</v>
      </c>
      <c r="I39" s="25" t="n">
        <f aca="false">H39*D39*LevTariff</f>
        <v>0</v>
      </c>
      <c r="J39" s="26" t="str">
        <f aca="false">IF(G39&gt;0,I39/G39,"")</f>
        <v/>
      </c>
      <c r="K39" s="27" t="str">
        <f aca="false">IF(B39=0,"",IF(G39&lt;=0,"n/a",IF(J39&lt;=AffordThreshold,"YES","NO")))</f>
        <v/>
      </c>
    </row>
    <row r="40" customFormat="false" ht="15" hidden="false" customHeight="false" outlineLevel="0" collapsed="false">
      <c r="A40" s="28" t="s">
        <v>93</v>
      </c>
      <c r="B40" s="29" t="n">
        <f aca="false">SUM(B35:B39)</f>
        <v>970</v>
      </c>
      <c r="C40" s="28"/>
      <c r="D40" s="30" t="n">
        <f aca="false">IFERROR(SUMPRODUCT(B35:B39,H35:H39,D35:D39)/SUMPRODUCT(B35:B39,H35:H39),0)</f>
        <v>0.378985546783355</v>
      </c>
      <c r="E40" s="28"/>
      <c r="F40" s="31" t="n">
        <f aca="false">IFERROR(SUMPRODUCT(B35:B39,F35:F39)/B40,0)</f>
        <v>259.79381443299</v>
      </c>
      <c r="G40" s="28"/>
      <c r="H40" s="32" t="n">
        <f aca="false">IFERROR(SUMPRODUCT(B35:B39,H35:H39)/B40,0)</f>
        <v>30.2319175257732</v>
      </c>
      <c r="I40" s="28"/>
      <c r="J40" s="28"/>
      <c r="K40" s="28"/>
    </row>
    <row r="41" customFormat="false" ht="15" hidden="false" customHeight="false" outlineLevel="0" collapsed="false">
      <c r="A41" s="8" t="s">
        <v>94</v>
      </c>
    </row>
    <row r="43" customFormat="false" ht="15" hidden="false" customHeight="false" outlineLevel="0" collapsed="false">
      <c r="A43" s="11" t="s">
        <v>95</v>
      </c>
      <c r="C43" s="13" t="n">
        <v>1</v>
      </c>
      <c r="F43" s="8" t="s">
        <v>96</v>
      </c>
    </row>
    <row r="44" customFormat="false" ht="15" hidden="false" customHeight="false" outlineLevel="0" collapsed="false">
      <c r="A44" s="11" t="s">
        <v>97</v>
      </c>
      <c r="C44" s="14" t="n">
        <v>0.05</v>
      </c>
      <c r="F44" s="8" t="s">
        <v>98</v>
      </c>
    </row>
    <row r="45" customFormat="false" ht="15" hidden="false" customHeight="false" outlineLevel="0" collapsed="false">
      <c r="A45" s="11" t="s">
        <v>99</v>
      </c>
      <c r="C45" s="14" t="n">
        <v>0.6</v>
      </c>
    </row>
    <row r="46" customFormat="false" ht="15" hidden="false" customHeight="false" outlineLevel="0" collapsed="false">
      <c r="A46" s="11" t="s">
        <v>100</v>
      </c>
      <c r="C46" s="14" t="n">
        <v>0.85</v>
      </c>
    </row>
    <row r="47" customFormat="false" ht="15" hidden="false" customHeight="false" outlineLevel="0" collapsed="false">
      <c r="A47" s="11" t="s">
        <v>101</v>
      </c>
      <c r="C47" s="14" t="n">
        <v>1</v>
      </c>
    </row>
    <row r="48" customFormat="false" ht="15" hidden="false" customHeight="false" outlineLevel="0" collapsed="false">
      <c r="A48" s="11" t="s">
        <v>102</v>
      </c>
      <c r="C48" s="14" t="n">
        <v>0.03</v>
      </c>
      <c r="D48" s="8" t="s">
        <v>53</v>
      </c>
    </row>
    <row r="49" customFormat="false" ht="15" hidden="false" customHeight="false" outlineLevel="0" collapsed="false">
      <c r="A49" s="11" t="s">
        <v>103</v>
      </c>
      <c r="C49" s="14" t="n">
        <v>0.92</v>
      </c>
    </row>
    <row r="51" customFormat="false" ht="15" hidden="false" customHeight="false" outlineLevel="0" collapsed="false">
      <c r="A51" s="9" t="s">
        <v>104</v>
      </c>
      <c r="B51" s="10"/>
      <c r="C51" s="10"/>
      <c r="D51" s="10"/>
      <c r="E51" s="10"/>
      <c r="F51" s="10"/>
      <c r="G51" s="10"/>
      <c r="H51" s="10"/>
      <c r="I51" s="10"/>
      <c r="J51" s="10"/>
      <c r="K51" s="10"/>
    </row>
    <row r="52" customFormat="false" ht="15" hidden="false" customHeight="false" outlineLevel="0" collapsed="false">
      <c r="A52" s="11" t="s">
        <v>105</v>
      </c>
      <c r="C52" s="20" t="n">
        <v>1500</v>
      </c>
      <c r="D52" s="8" t="s">
        <v>106</v>
      </c>
      <c r="F52" s="8" t="s">
        <v>107</v>
      </c>
    </row>
    <row r="53" customFormat="false" ht="15" hidden="false" customHeight="false" outlineLevel="0" collapsed="false">
      <c r="A53" s="11" t="s">
        <v>108</v>
      </c>
      <c r="C53" s="14" t="n">
        <v>0.005</v>
      </c>
      <c r="D53" s="8" t="s">
        <v>53</v>
      </c>
    </row>
    <row r="54" customFormat="false" ht="15" hidden="false" customHeight="false" outlineLevel="0" collapsed="false">
      <c r="A54" s="11" t="s">
        <v>109</v>
      </c>
      <c r="C54" s="14" t="n">
        <v>0.12</v>
      </c>
    </row>
    <row r="55" customFormat="false" ht="15" hidden="false" customHeight="false" outlineLevel="0" collapsed="false">
      <c r="A55" s="11" t="s">
        <v>110</v>
      </c>
      <c r="C55" s="14" t="n">
        <v>0.9</v>
      </c>
      <c r="F55" s="8" t="s">
        <v>111</v>
      </c>
    </row>
    <row r="56" customFormat="false" ht="15" hidden="false" customHeight="false" outlineLevel="0" collapsed="false">
      <c r="A56" s="11" t="s">
        <v>112</v>
      </c>
      <c r="C56" s="15" t="n">
        <v>1.15</v>
      </c>
    </row>
    <row r="57" customFormat="false" ht="15" hidden="false" customHeight="false" outlineLevel="0" collapsed="false">
      <c r="A57" s="11" t="s">
        <v>113</v>
      </c>
      <c r="C57" s="14" t="n">
        <v>0.8</v>
      </c>
    </row>
    <row r="58" customFormat="false" ht="15" hidden="false" customHeight="false" outlineLevel="0" collapsed="false">
      <c r="A58" s="11" t="s">
        <v>114</v>
      </c>
      <c r="C58" s="14" t="n">
        <v>0.9</v>
      </c>
      <c r="F58" s="8" t="s">
        <v>115</v>
      </c>
    </row>
    <row r="59" customFormat="false" ht="15" hidden="false" customHeight="false" outlineLevel="0" collapsed="false">
      <c r="A59" s="11" t="s">
        <v>116</v>
      </c>
      <c r="C59" s="21" t="n">
        <v>3</v>
      </c>
      <c r="D59" s="8" t="s">
        <v>117</v>
      </c>
    </row>
    <row r="60" customFormat="false" ht="15" hidden="false" customHeight="false" outlineLevel="0" collapsed="false">
      <c r="A60" s="11" t="s">
        <v>118</v>
      </c>
      <c r="C60" s="33" t="n">
        <v>1.2</v>
      </c>
      <c r="D60" s="8" t="s">
        <v>119</v>
      </c>
    </row>
    <row r="61" customFormat="false" ht="15" hidden="false" customHeight="false" outlineLevel="0" collapsed="false">
      <c r="A61" s="11" t="s">
        <v>120</v>
      </c>
      <c r="C61" s="34" t="n">
        <f aca="false">NightShare</f>
        <v>0.371387432412525</v>
      </c>
    </row>
    <row r="62" customFormat="false" ht="15" hidden="false" customHeight="false" outlineLevel="0" collapsed="false">
      <c r="A62" s="11" t="s">
        <v>121</v>
      </c>
      <c r="C62" s="35" t="n">
        <f aca="false">PeakRatio</f>
        <v>1.79425687114322</v>
      </c>
    </row>
    <row r="63" customFormat="false" ht="15" hidden="false" customHeight="false" outlineLevel="0" collapsed="false">
      <c r="A63" s="11" t="s">
        <v>122</v>
      </c>
      <c r="C63" s="36" t="n">
        <f aca="false">1+NightShareUsed*(1/RTE-1)</f>
        <v>1.04126527026806</v>
      </c>
      <c r="F63" s="8" t="s">
        <v>123</v>
      </c>
    </row>
    <row r="65" customFormat="false" ht="27.75" hidden="false" customHeight="true" outlineLevel="0" collapsed="false">
      <c r="A65" s="17" t="s">
        <v>124</v>
      </c>
      <c r="B65" s="17" t="s">
        <v>125</v>
      </c>
      <c r="C65" s="17" t="s">
        <v>126</v>
      </c>
      <c r="D65" s="17" t="s">
        <v>127</v>
      </c>
      <c r="E65" s="17" t="s">
        <v>128</v>
      </c>
    </row>
    <row r="66" customFormat="false" ht="15" hidden="false" customHeight="false" outlineLevel="0" collapsed="false">
      <c r="A66" s="11" t="s">
        <v>129</v>
      </c>
      <c r="B66" s="37" t="n">
        <f aca="false">(Seg1_N*Seg1_kWh+Seg2_N*Seg2_kWh+Seg3_N*Seg3_kWh+Seg4_N*Seg4_kWh+Seg5_N*Seg5_kWh)*12*Ramp3*(1+DemandGrowth)^2</f>
        <v>373330.200768</v>
      </c>
      <c r="E66" s="8" t="s">
        <v>130</v>
      </c>
    </row>
    <row r="67" customFormat="false" ht="15" hidden="false" customHeight="false" outlineLevel="0" collapsed="false">
      <c r="A67" s="11" t="s">
        <v>131</v>
      </c>
      <c r="B67" s="37" t="n">
        <f aca="false">DesignEnergy/(1-Losses)</f>
        <v>424238.864509091</v>
      </c>
      <c r="E67" s="8" t="s">
        <v>130</v>
      </c>
    </row>
    <row r="68" customFormat="false" ht="15" hidden="false" customHeight="false" outlineLevel="0" collapsed="false">
      <c r="A68" s="11" t="s">
        <v>132</v>
      </c>
      <c r="B68" s="38" t="n">
        <f aca="false">DesignGen*SolarFraction*StorageFactor/SpecYield*PVOversize</f>
        <v>304.804185178778</v>
      </c>
      <c r="C68" s="21"/>
      <c r="D68" s="24" t="n">
        <f aca="false">IF(ISNUMBER(C68),C68,B68)</f>
        <v>304.804185178778</v>
      </c>
      <c r="E68" s="8" t="s">
        <v>133</v>
      </c>
    </row>
    <row r="69" customFormat="false" ht="15" hidden="false" customHeight="false" outlineLevel="0" collapsed="false">
      <c r="A69" s="11" t="s">
        <v>134</v>
      </c>
      <c r="B69" s="38" t="n">
        <f aca="false">DesignGen/365*NightShareUsed/DoD</f>
        <v>539.578707601494</v>
      </c>
      <c r="C69" s="21"/>
      <c r="D69" s="24" t="n">
        <f aca="false">IF(ISNUMBER(C69),C69,B69)</f>
        <v>539.578707601494</v>
      </c>
      <c r="E69" s="8" t="s">
        <v>135</v>
      </c>
    </row>
    <row r="70" customFormat="false" ht="15" hidden="false" customHeight="false" outlineLevel="0" collapsed="false">
      <c r="A70" s="11" t="s">
        <v>136</v>
      </c>
      <c r="B70" s="38" t="n">
        <f aca="false">DesignGen/8760*PeakRatioUsed</f>
        <v>86.8942348917161</v>
      </c>
      <c r="C70" s="21"/>
      <c r="D70" s="24" t="n">
        <f aca="false">IF(ISNUMBER(C70),C70,B70)</f>
        <v>86.8942348917161</v>
      </c>
      <c r="E70" s="8" t="s">
        <v>137</v>
      </c>
    </row>
    <row r="71" customFormat="false" ht="15" hidden="false" customHeight="false" outlineLevel="0" collapsed="false">
      <c r="A71" s="8" t="s">
        <v>138</v>
      </c>
    </row>
    <row r="73" customFormat="false" ht="15" hidden="false" customHeight="false" outlineLevel="0" collapsed="false">
      <c r="A73" s="9" t="s">
        <v>139</v>
      </c>
      <c r="B73" s="10"/>
      <c r="C73" s="10"/>
      <c r="D73" s="10"/>
      <c r="E73" s="10"/>
      <c r="F73" s="10"/>
      <c r="G73" s="10"/>
      <c r="H73" s="10"/>
      <c r="I73" s="10"/>
      <c r="J73" s="10"/>
      <c r="K73" s="10"/>
    </row>
    <row r="74" customFormat="false" ht="15" hidden="false" customHeight="false" outlineLevel="0" collapsed="false">
      <c r="A74" s="11" t="s">
        <v>140</v>
      </c>
      <c r="C74" s="23" t="n">
        <v>700</v>
      </c>
      <c r="D74" s="8" t="s">
        <v>141</v>
      </c>
    </row>
    <row r="75" customFormat="false" ht="15" hidden="false" customHeight="false" outlineLevel="0" collapsed="false">
      <c r="A75" s="11" t="s">
        <v>142</v>
      </c>
      <c r="C75" s="23" t="n">
        <v>350</v>
      </c>
      <c r="D75" s="8" t="s">
        <v>143</v>
      </c>
    </row>
    <row r="76" customFormat="false" ht="15" hidden="false" customHeight="false" outlineLevel="0" collapsed="false">
      <c r="A76" s="11" t="s">
        <v>144</v>
      </c>
      <c r="C76" s="23" t="n">
        <v>400</v>
      </c>
      <c r="D76" s="8" t="s">
        <v>145</v>
      </c>
    </row>
    <row r="77" customFormat="false" ht="15" hidden="false" customHeight="false" outlineLevel="0" collapsed="false">
      <c r="A77" s="11" t="s">
        <v>146</v>
      </c>
      <c r="C77" s="23" t="n">
        <v>450</v>
      </c>
      <c r="D77" s="8" t="s">
        <v>147</v>
      </c>
    </row>
    <row r="78" customFormat="false" ht="15" hidden="false" customHeight="false" outlineLevel="0" collapsed="false">
      <c r="A78" s="11" t="s">
        <v>148</v>
      </c>
      <c r="C78" s="23" t="n">
        <v>80</v>
      </c>
      <c r="D78" s="8" t="s">
        <v>147</v>
      </c>
    </row>
    <row r="79" customFormat="false" ht="15" hidden="false" customHeight="false" outlineLevel="0" collapsed="false">
      <c r="A79" s="11" t="s">
        <v>149</v>
      </c>
      <c r="C79" s="23" t="n">
        <v>60000</v>
      </c>
    </row>
    <row r="80" customFormat="false" ht="15" hidden="false" customHeight="false" outlineLevel="0" collapsed="false">
      <c r="A80" s="11" t="s">
        <v>150</v>
      </c>
      <c r="C80" s="23" t="n">
        <v>0</v>
      </c>
      <c r="F80" s="8" t="s">
        <v>151</v>
      </c>
    </row>
    <row r="81" customFormat="false" ht="15" hidden="false" customHeight="false" outlineLevel="0" collapsed="false">
      <c r="A81" s="11" t="s">
        <v>152</v>
      </c>
      <c r="C81" s="14" t="n">
        <v>0.08</v>
      </c>
      <c r="D81" s="8" t="s">
        <v>153</v>
      </c>
    </row>
    <row r="82" customFormat="false" ht="15" hidden="false" customHeight="false" outlineLevel="0" collapsed="false">
      <c r="A82" s="11" t="s">
        <v>154</v>
      </c>
      <c r="C82" s="14" t="n">
        <v>0.07</v>
      </c>
      <c r="D82" s="8" t="s">
        <v>153</v>
      </c>
    </row>
    <row r="83" customFormat="false" ht="15" hidden="false" customHeight="false" outlineLevel="0" collapsed="false">
      <c r="A83" s="11" t="s">
        <v>155</v>
      </c>
      <c r="C83" s="13" t="n">
        <v>8</v>
      </c>
      <c r="D83" s="8" t="s">
        <v>46</v>
      </c>
    </row>
    <row r="84" customFormat="false" ht="15" hidden="false" customHeight="false" outlineLevel="0" collapsed="false">
      <c r="A84" s="11" t="s">
        <v>156</v>
      </c>
      <c r="C84" s="23" t="n">
        <v>250</v>
      </c>
      <c r="D84" s="8" t="s">
        <v>143</v>
      </c>
    </row>
    <row r="85" customFormat="false" ht="15" hidden="false" customHeight="false" outlineLevel="0" collapsed="false">
      <c r="A85" s="11" t="s">
        <v>157</v>
      </c>
      <c r="C85" s="13" t="n">
        <v>1</v>
      </c>
      <c r="F85" s="8" t="s">
        <v>158</v>
      </c>
    </row>
    <row r="87" customFormat="false" ht="15" hidden="false" customHeight="false" outlineLevel="0" collapsed="false">
      <c r="A87" s="11" t="s">
        <v>159</v>
      </c>
      <c r="C87" s="39" t="n">
        <f aca="false">PV_kWp*C_PV+BESS_kWh*C_BESS+Diesel_kW*C_Diesel+TotalCustomers*(C_Network+C_Meter)+C_BOS+C_PUEquip</f>
        <v>1011073.17124235</v>
      </c>
    </row>
    <row r="88" customFormat="false" ht="15" hidden="false" customHeight="false" outlineLevel="0" collapsed="false">
      <c r="A88" s="16" t="s">
        <v>160</v>
      </c>
      <c r="C88" s="40" t="n">
        <f aca="false">HardCapexBase*(1+C_DevPct+C_ContPct)</f>
        <v>1162734.14692871</v>
      </c>
    </row>
    <row r="90" customFormat="false" ht="15" hidden="false" customHeight="false" outlineLevel="0" collapsed="false">
      <c r="A90" s="9" t="s">
        <v>161</v>
      </c>
      <c r="B90" s="10"/>
      <c r="C90" s="10"/>
      <c r="D90" s="10"/>
      <c r="E90" s="10"/>
      <c r="F90" s="10"/>
      <c r="G90" s="10"/>
      <c r="H90" s="10"/>
      <c r="I90" s="10"/>
      <c r="J90" s="10"/>
      <c r="K90" s="10"/>
    </row>
    <row r="91" customFormat="false" ht="15" hidden="false" customHeight="false" outlineLevel="0" collapsed="false">
      <c r="A91" s="11" t="s">
        <v>162</v>
      </c>
      <c r="C91" s="14" t="n">
        <v>0.025</v>
      </c>
      <c r="D91" s="8" t="s">
        <v>163</v>
      </c>
    </row>
    <row r="92" customFormat="false" ht="15" hidden="false" customHeight="false" outlineLevel="0" collapsed="false">
      <c r="A92" s="11" t="s">
        <v>164</v>
      </c>
      <c r="C92" s="23" t="n">
        <v>18000</v>
      </c>
      <c r="D92" s="8" t="s">
        <v>53</v>
      </c>
    </row>
    <row r="93" customFormat="false" ht="15" hidden="false" customHeight="false" outlineLevel="0" collapsed="false">
      <c r="A93" s="11" t="s">
        <v>165</v>
      </c>
      <c r="C93" s="14" t="n">
        <v>0.005</v>
      </c>
      <c r="D93" s="8" t="s">
        <v>166</v>
      </c>
    </row>
    <row r="94" customFormat="false" ht="15" hidden="false" customHeight="false" outlineLevel="0" collapsed="false">
      <c r="A94" s="11" t="s">
        <v>167</v>
      </c>
      <c r="C94" s="23" t="n">
        <v>3000</v>
      </c>
      <c r="D94" s="8" t="s">
        <v>53</v>
      </c>
    </row>
    <row r="95" customFormat="false" ht="15" hidden="false" customHeight="false" outlineLevel="0" collapsed="false">
      <c r="A95" s="11" t="s">
        <v>168</v>
      </c>
      <c r="C95" s="22" t="n">
        <v>0.03</v>
      </c>
      <c r="D95" s="8" t="s">
        <v>169</v>
      </c>
    </row>
    <row r="96" customFormat="false" ht="15" hidden="false" customHeight="false" outlineLevel="0" collapsed="false">
      <c r="A96" s="11" t="s">
        <v>170</v>
      </c>
      <c r="C96" s="14" t="n">
        <v>0.03</v>
      </c>
      <c r="D96" s="8" t="s">
        <v>171</v>
      </c>
    </row>
    <row r="97" customFormat="false" ht="15" hidden="false" customHeight="false" outlineLevel="0" collapsed="false">
      <c r="A97" s="11" t="s">
        <v>172</v>
      </c>
      <c r="C97" s="23" t="n">
        <v>4000</v>
      </c>
      <c r="D97" s="8" t="s">
        <v>53</v>
      </c>
      <c r="F97" s="8" t="s">
        <v>173</v>
      </c>
    </row>
    <row r="99" customFormat="false" ht="15" hidden="false" customHeight="false" outlineLevel="0" collapsed="false">
      <c r="A99" s="9" t="s">
        <v>174</v>
      </c>
      <c r="B99" s="10"/>
      <c r="C99" s="10"/>
      <c r="D99" s="10"/>
      <c r="E99" s="10"/>
      <c r="F99" s="10"/>
      <c r="G99" s="10"/>
      <c r="H99" s="10"/>
      <c r="I99" s="10"/>
      <c r="J99" s="10"/>
      <c r="K99" s="10"/>
    </row>
    <row r="100" customFormat="false" ht="15" hidden="false" customHeight="false" outlineLevel="0" collapsed="false">
      <c r="A100" s="11" t="s">
        <v>175</v>
      </c>
      <c r="C100" s="23" t="n">
        <v>600000</v>
      </c>
      <c r="F100" s="8" t="s">
        <v>176</v>
      </c>
    </row>
    <row r="101" customFormat="false" ht="15" hidden="false" customHeight="false" outlineLevel="0" collapsed="false">
      <c r="A101" s="11" t="s">
        <v>177</v>
      </c>
      <c r="C101" s="13" t="n">
        <v>0</v>
      </c>
      <c r="D101" s="8" t="s">
        <v>46</v>
      </c>
      <c r="F101" s="8" t="s">
        <v>178</v>
      </c>
    </row>
    <row r="102" customFormat="false" ht="15" hidden="false" customHeight="false" outlineLevel="0" collapsed="false">
      <c r="A102" s="11" t="s">
        <v>179</v>
      </c>
      <c r="C102" s="14" t="n">
        <v>0.2</v>
      </c>
    </row>
    <row r="103" customFormat="false" ht="15" hidden="false" customHeight="false" outlineLevel="0" collapsed="false">
      <c r="A103" s="11" t="s">
        <v>180</v>
      </c>
      <c r="C103" s="14" t="n">
        <v>0.1</v>
      </c>
    </row>
    <row r="104" customFormat="false" ht="15" hidden="false" customHeight="false" outlineLevel="0" collapsed="false">
      <c r="A104" s="11" t="s">
        <v>181</v>
      </c>
      <c r="C104" s="13" t="n">
        <v>10</v>
      </c>
      <c r="D104" s="8" t="s">
        <v>46</v>
      </c>
    </row>
    <row r="105" customFormat="false" ht="15" hidden="false" customHeight="false" outlineLevel="0" collapsed="false">
      <c r="A105" s="11" t="s">
        <v>182</v>
      </c>
      <c r="C105" s="13" t="n">
        <v>2</v>
      </c>
      <c r="D105" s="8" t="s">
        <v>46</v>
      </c>
    </row>
    <row r="106" customFormat="false" ht="15" hidden="false" customHeight="false" outlineLevel="0" collapsed="false">
      <c r="A106" s="11" t="s">
        <v>183</v>
      </c>
      <c r="C106" s="14" t="n">
        <v>0.2</v>
      </c>
      <c r="F106" s="8" t="s">
        <v>184</v>
      </c>
    </row>
    <row r="107" customFormat="false" ht="15" hidden="false" customHeight="false" outlineLevel="0" collapsed="false">
      <c r="A107" s="11" t="s">
        <v>185</v>
      </c>
      <c r="C107" s="14" t="n">
        <v>0.03</v>
      </c>
    </row>
    <row r="108" customFormat="false" ht="15" hidden="false" customHeight="false" outlineLevel="0" collapsed="false">
      <c r="A108" s="11" t="s">
        <v>186</v>
      </c>
      <c r="C108" s="13" t="n">
        <v>15</v>
      </c>
      <c r="D108" s="8" t="s">
        <v>46</v>
      </c>
    </row>
    <row r="109" customFormat="false" ht="15" hidden="false" customHeight="false" outlineLevel="0" collapsed="false">
      <c r="A109" s="11" t="s">
        <v>187</v>
      </c>
      <c r="C109" s="13" t="n">
        <v>5</v>
      </c>
      <c r="D109" s="8" t="s">
        <v>46</v>
      </c>
    </row>
    <row r="110" customFormat="false" ht="15" hidden="false" customHeight="false" outlineLevel="0" collapsed="false">
      <c r="A110" s="11" t="s">
        <v>188</v>
      </c>
      <c r="C110" s="14" t="n">
        <v>0.5</v>
      </c>
      <c r="F110" s="8" t="s">
        <v>189</v>
      </c>
    </row>
    <row r="112" customFormat="false" ht="15" hidden="false" customHeight="false" outlineLevel="0" collapsed="false">
      <c r="A112" s="9" t="s">
        <v>190</v>
      </c>
      <c r="B112" s="10"/>
      <c r="C112" s="10"/>
      <c r="D112" s="10"/>
      <c r="E112" s="10"/>
      <c r="F112" s="10"/>
      <c r="G112" s="10"/>
      <c r="H112" s="10"/>
      <c r="I112" s="10"/>
      <c r="J112" s="10"/>
      <c r="K112" s="10"/>
    </row>
    <row r="113" customFormat="false" ht="15" hidden="false" customHeight="false" outlineLevel="0" collapsed="false">
      <c r="A113" s="11" t="s">
        <v>191</v>
      </c>
      <c r="C113" s="21" t="n">
        <v>5</v>
      </c>
      <c r="D113" s="8" t="s">
        <v>192</v>
      </c>
    </row>
    <row r="114" customFormat="false" ht="15" hidden="false" customHeight="false" outlineLevel="0" collapsed="false">
      <c r="A114" s="11" t="s">
        <v>193</v>
      </c>
      <c r="C114" s="21" t="n">
        <v>1.5</v>
      </c>
      <c r="D114" s="8" t="s">
        <v>194</v>
      </c>
      <c r="F114" s="8" t="s">
        <v>195</v>
      </c>
    </row>
    <row r="115" customFormat="false" ht="15" hidden="false" customHeight="false" outlineLevel="0" collapsed="false">
      <c r="A115" s="11" t="s">
        <v>196</v>
      </c>
      <c r="C115" s="41" t="n">
        <v>2.68</v>
      </c>
      <c r="D115" s="8" t="s">
        <v>197</v>
      </c>
      <c r="F115" s="8" t="s">
        <v>198</v>
      </c>
    </row>
    <row r="116" customFormat="false" ht="15" hidden="false" customHeight="false" outlineLevel="0" collapsed="false">
      <c r="A116" s="11" t="s">
        <v>199</v>
      </c>
      <c r="C116" s="14" t="n">
        <v>1</v>
      </c>
      <c r="F116" s="8" t="s">
        <v>200</v>
      </c>
    </row>
  </sheetData>
  <dataValidations count="4">
    <dataValidation allowBlank="false" errorStyle="stop" operator="between" showDropDown="false" showErrorMessage="false" showInputMessage="false" sqref="C21" type="list">
      <formula1>"Base,Conservative,Optimistic,Custom"</formula1>
      <formula2>0</formula2>
    </dataValidation>
    <dataValidation allowBlank="false" error="Enter a value between 0% and 100%." errorStyle="stop" operator="between" showDropDown="false" showErrorMessage="true" showInputMessage="false" sqref="C17 C44:C47 C49 C54:C55 C57:C58 C102 C106 C116" type="decimal">
      <formula1>0</formula1>
      <formula2>1</formula2>
    </dataValidation>
    <dataValidation allowBlank="false" error="Project life must be 1-20 years." errorStyle="stop" operator="between" showDropDown="false" showErrorMessage="true" showInputMessage="false" sqref="C11" type="whole">
      <formula1>1</formula1>
      <formula2>20</formula2>
    </dataValidation>
    <dataValidation allowBlank="false" errorStyle="stop" operator="between" showDropDown="false" showErrorMessage="false" showInputMessage="false" sqref="C43 C85" type="list">
      <formula1>"0,1"</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9" min="2" style="0" width="15"/>
  </cols>
  <sheetData>
    <row r="1" customFormat="false" ht="19.7" hidden="false" customHeight="false" outlineLevel="0" collapsed="false">
      <c r="A1" s="7" t="s">
        <v>201</v>
      </c>
    </row>
    <row r="2" customFormat="false" ht="15" hidden="false" customHeight="false" outlineLevel="0" collapsed="false">
      <c r="A2" s="8" t="s">
        <v>202</v>
      </c>
    </row>
    <row r="4" customFormat="false" ht="15" hidden="false" customHeight="false" outlineLevel="0" collapsed="false">
      <c r="A4" s="11" t="s">
        <v>203</v>
      </c>
      <c r="D4" s="13" t="n">
        <v>6</v>
      </c>
    </row>
    <row r="5" customFormat="false" ht="15" hidden="false" customHeight="false" outlineLevel="0" collapsed="false">
      <c r="A5" s="11" t="s">
        <v>204</v>
      </c>
      <c r="D5" s="13" t="n">
        <v>18</v>
      </c>
    </row>
    <row r="6" customFormat="false" ht="39.75" hidden="false" customHeight="true" outlineLevel="0" collapsed="false">
      <c r="B6" s="42" t="str">
        <f aca="false">Seg1_Name</f>
        <v>Households</v>
      </c>
      <c r="C6" s="42" t="str">
        <f aca="false">Seg2_Name</f>
        <v>Productive users (mills, welding, cold rooms)</v>
      </c>
      <c r="D6" s="42" t="str">
        <f aca="false">Seg3_Name</f>
        <v>Commercial (shops, bars, kiosks)</v>
      </c>
      <c r="E6" s="42" t="str">
        <f aca="false">Seg4_Name</f>
        <v>Institutions (health centre, school, water)</v>
      </c>
      <c r="F6" s="42" t="str">
        <f aca="false">Seg5_Name</f>
        <v>Other / custom</v>
      </c>
    </row>
    <row r="7" customFormat="false" ht="15" hidden="false" customHeight="false" outlineLevel="0" collapsed="false">
      <c r="A7" s="43" t="s">
        <v>205</v>
      </c>
      <c r="B7" s="43" t="s">
        <v>206</v>
      </c>
      <c r="C7" s="43" t="s">
        <v>207</v>
      </c>
      <c r="D7" s="43" t="s">
        <v>208</v>
      </c>
      <c r="E7" s="43" t="s">
        <v>209</v>
      </c>
      <c r="F7" s="43" t="s">
        <v>210</v>
      </c>
      <c r="G7" s="43" t="s">
        <v>211</v>
      </c>
      <c r="H7" s="43" t="s">
        <v>212</v>
      </c>
    </row>
    <row r="8" customFormat="false" ht="15" hidden="false" customHeight="false" outlineLevel="0" collapsed="false">
      <c r="A8" s="44" t="n">
        <v>0</v>
      </c>
      <c r="B8" s="14" t="n">
        <v>0.0114</v>
      </c>
      <c r="C8" s="14" t="n">
        <v>0.0047</v>
      </c>
      <c r="D8" s="14" t="n">
        <v>0.0096</v>
      </c>
      <c r="E8" s="14" t="n">
        <v>0.0185</v>
      </c>
      <c r="F8" s="14" t="n">
        <v>0.0417</v>
      </c>
      <c r="G8" s="45" t="n">
        <f aca="false">IFERROR((B8*Seg1_N*Seg1_kWh+C8*Seg2_N*Seg2_kWh+D8*Seg3_N*Seg3_kWh+E8*Seg4_N*Seg4_kWh+F8*Seg5_N*Seg5_kWh)/(Seg1_N*Seg1_kWh+Seg2_N*Seg2_kWh+Seg3_N*Seg3_kWh+Seg4_N*Seg4_kWh+Seg5_N*Seg5_kWh),0)</f>
        <v>0.00968892411106443</v>
      </c>
      <c r="H8" s="46" t="n">
        <f aca="false">IF(OR(A8&lt;Sunrise,A8&gt;=Sunset),1,0)</f>
        <v>1</v>
      </c>
    </row>
    <row r="9" customFormat="false" ht="15" hidden="false" customHeight="false" outlineLevel="0" collapsed="false">
      <c r="A9" s="44" t="n">
        <v>1</v>
      </c>
      <c r="B9" s="14" t="n">
        <v>0.0114</v>
      </c>
      <c r="C9" s="14" t="n">
        <v>0.0047</v>
      </c>
      <c r="D9" s="14" t="n">
        <v>0.0096</v>
      </c>
      <c r="E9" s="14" t="n">
        <v>0.0185</v>
      </c>
      <c r="F9" s="14" t="n">
        <v>0.0417</v>
      </c>
      <c r="G9" s="45" t="n">
        <f aca="false">IFERROR((B9*Seg1_N*Seg1_kWh+C9*Seg2_N*Seg2_kWh+D9*Seg3_N*Seg3_kWh+E9*Seg4_N*Seg4_kWh+F9*Seg5_N*Seg5_kWh)/(Seg1_N*Seg1_kWh+Seg2_N*Seg2_kWh+Seg3_N*Seg3_kWh+Seg4_N*Seg4_kWh+Seg5_N*Seg5_kWh),0)</f>
        <v>0.00968892411106443</v>
      </c>
      <c r="H9" s="46" t="n">
        <f aca="false">IF(OR(A9&lt;Sunrise,A9&gt;=Sunset),1,0)</f>
        <v>1</v>
      </c>
    </row>
    <row r="10" customFormat="false" ht="15" hidden="false" customHeight="false" outlineLevel="0" collapsed="false">
      <c r="A10" s="44" t="n">
        <v>2</v>
      </c>
      <c r="B10" s="14" t="n">
        <v>0.0114</v>
      </c>
      <c r="C10" s="14" t="n">
        <v>0.0047</v>
      </c>
      <c r="D10" s="14" t="n">
        <v>0.0096</v>
      </c>
      <c r="E10" s="14" t="n">
        <v>0.0185</v>
      </c>
      <c r="F10" s="14" t="n">
        <v>0.0417</v>
      </c>
      <c r="G10" s="45" t="n">
        <f aca="false">IFERROR((B10*Seg1_N*Seg1_kWh+C10*Seg2_N*Seg2_kWh+D10*Seg3_N*Seg3_kWh+E10*Seg4_N*Seg4_kWh+F10*Seg5_N*Seg5_kWh)/(Seg1_N*Seg1_kWh+Seg2_N*Seg2_kWh+Seg3_N*Seg3_kWh+Seg4_N*Seg4_kWh+Seg5_N*Seg5_kWh),0)</f>
        <v>0.00968892411106443</v>
      </c>
      <c r="H10" s="46" t="n">
        <f aca="false">IF(OR(A10&lt;Sunrise,A10&gt;=Sunset),1,0)</f>
        <v>1</v>
      </c>
    </row>
    <row r="11" customFormat="false" ht="15" hidden="false" customHeight="false" outlineLevel="0" collapsed="false">
      <c r="A11" s="44" t="n">
        <v>3</v>
      </c>
      <c r="B11" s="14" t="n">
        <v>0.0114</v>
      </c>
      <c r="C11" s="14" t="n">
        <v>0.0047</v>
      </c>
      <c r="D11" s="14" t="n">
        <v>0.0096</v>
      </c>
      <c r="E11" s="14" t="n">
        <v>0.0185</v>
      </c>
      <c r="F11" s="14" t="n">
        <v>0.0417</v>
      </c>
      <c r="G11" s="45" t="n">
        <f aca="false">IFERROR((B11*Seg1_N*Seg1_kWh+C11*Seg2_N*Seg2_kWh+D11*Seg3_N*Seg3_kWh+E11*Seg4_N*Seg4_kWh+F11*Seg5_N*Seg5_kWh)/(Seg1_N*Seg1_kWh+Seg2_N*Seg2_kWh+Seg3_N*Seg3_kWh+Seg4_N*Seg4_kWh+Seg5_N*Seg5_kWh),0)</f>
        <v>0.00968892411106443</v>
      </c>
      <c r="H11" s="46" t="n">
        <f aca="false">IF(OR(A11&lt;Sunrise,A11&gt;=Sunset),1,0)</f>
        <v>1</v>
      </c>
    </row>
    <row r="12" customFormat="false" ht="15" hidden="false" customHeight="false" outlineLevel="0" collapsed="false">
      <c r="A12" s="44" t="n">
        <v>4</v>
      </c>
      <c r="B12" s="14" t="n">
        <v>0.0114</v>
      </c>
      <c r="C12" s="14" t="n">
        <v>0.0047</v>
      </c>
      <c r="D12" s="14" t="n">
        <v>0.0096</v>
      </c>
      <c r="E12" s="14" t="n">
        <v>0.0185</v>
      </c>
      <c r="F12" s="14" t="n">
        <v>0.0417</v>
      </c>
      <c r="G12" s="45" t="n">
        <f aca="false">IFERROR((B12*Seg1_N*Seg1_kWh+C12*Seg2_N*Seg2_kWh+D12*Seg3_N*Seg3_kWh+E12*Seg4_N*Seg4_kWh+F12*Seg5_N*Seg5_kWh)/(Seg1_N*Seg1_kWh+Seg2_N*Seg2_kWh+Seg3_N*Seg3_kWh+Seg4_N*Seg4_kWh+Seg5_N*Seg5_kWh),0)</f>
        <v>0.00968892411106443</v>
      </c>
      <c r="H12" s="46" t="n">
        <f aca="false">IF(OR(A12&lt;Sunrise,A12&gt;=Sunset),1,0)</f>
        <v>1</v>
      </c>
    </row>
    <row r="13" customFormat="false" ht="15" hidden="false" customHeight="false" outlineLevel="0" collapsed="false">
      <c r="A13" s="44" t="n">
        <v>5</v>
      </c>
      <c r="B13" s="14" t="n">
        <v>0.0227</v>
      </c>
      <c r="C13" s="14" t="n">
        <v>0.0094</v>
      </c>
      <c r="D13" s="14" t="n">
        <v>0.0096</v>
      </c>
      <c r="E13" s="14" t="n">
        <v>0.0185</v>
      </c>
      <c r="F13" s="14" t="n">
        <v>0.0417</v>
      </c>
      <c r="G13" s="45" t="n">
        <f aca="false">IFERROR((B13*Seg1_N*Seg1_kWh+C13*Seg2_N*Seg2_kWh+D13*Seg3_N*Seg3_kWh+E13*Seg4_N*Seg4_kWh+F13*Seg5_N*Seg5_kWh)/(Seg1_N*Seg1_kWh+Seg2_N*Seg2_kWh+Seg3_N*Seg3_kWh+Seg4_N*Seg4_kWh+Seg5_N*Seg5_kWh),0)</f>
        <v>0.0158075108712851</v>
      </c>
      <c r="H13" s="46" t="n">
        <f aca="false">IF(OR(A13&lt;Sunrise,A13&gt;=Sunset),1,0)</f>
        <v>1</v>
      </c>
    </row>
    <row r="14" customFormat="false" ht="15" hidden="false" customHeight="false" outlineLevel="0" collapsed="false">
      <c r="A14" s="44" t="n">
        <v>6</v>
      </c>
      <c r="B14" s="14" t="n">
        <v>0.0455</v>
      </c>
      <c r="C14" s="14" t="n">
        <v>0.0283</v>
      </c>
      <c r="D14" s="14" t="n">
        <v>0.0192</v>
      </c>
      <c r="E14" s="14" t="n">
        <v>0.0278</v>
      </c>
      <c r="F14" s="14" t="n">
        <v>0.0417</v>
      </c>
      <c r="G14" s="45" t="n">
        <f aca="false">IFERROR((B14*Seg1_N*Seg1_kWh+C14*Seg2_N*Seg2_kWh+D14*Seg3_N*Seg3_kWh+E14*Seg4_N*Seg4_kWh+F14*Seg5_N*Seg5_kWh)/(Seg1_N*Seg1_kWh+Seg2_N*Seg2_kWh+Seg3_N*Seg3_kWh+Seg4_N*Seg4_kWh+Seg5_N*Seg5_kWh),0)</f>
        <v>0.0337356425379608</v>
      </c>
      <c r="H14" s="46" t="n">
        <f aca="false">IF(OR(A14&lt;Sunrise,A14&gt;=Sunset),1,0)</f>
        <v>0</v>
      </c>
    </row>
    <row r="15" customFormat="false" ht="15" hidden="false" customHeight="false" outlineLevel="0" collapsed="false">
      <c r="A15" s="44" t="n">
        <v>7</v>
      </c>
      <c r="B15" s="14" t="n">
        <v>0.0455</v>
      </c>
      <c r="C15" s="14" t="n">
        <v>0.066</v>
      </c>
      <c r="D15" s="14" t="n">
        <v>0.0288</v>
      </c>
      <c r="E15" s="14" t="n">
        <v>0.0556</v>
      </c>
      <c r="F15" s="14" t="n">
        <v>0.0417</v>
      </c>
      <c r="G15" s="45" t="n">
        <f aca="false">IFERROR((B15*Seg1_N*Seg1_kWh+C15*Seg2_N*Seg2_kWh+D15*Seg3_N*Seg3_kWh+E15*Seg4_N*Seg4_kWh+F15*Seg5_N*Seg5_kWh)/(Seg1_N*Seg1_kWh+Seg2_N*Seg2_kWh+Seg3_N*Seg3_kWh+Seg4_N*Seg4_kWh+Seg5_N*Seg5_kWh),0)</f>
        <v>0.0502045820352355</v>
      </c>
      <c r="H15" s="46" t="n">
        <f aca="false">IF(OR(A15&lt;Sunrise,A15&gt;=Sunset),1,0)</f>
        <v>0</v>
      </c>
    </row>
    <row r="16" customFormat="false" ht="15" hidden="false" customHeight="false" outlineLevel="0" collapsed="false">
      <c r="A16" s="44" t="n">
        <v>8</v>
      </c>
      <c r="B16" s="14" t="n">
        <v>0.0341</v>
      </c>
      <c r="C16" s="14" t="n">
        <v>0.0943</v>
      </c>
      <c r="D16" s="14" t="n">
        <v>0.0481</v>
      </c>
      <c r="E16" s="14" t="n">
        <v>0.0833</v>
      </c>
      <c r="F16" s="14" t="n">
        <v>0.0417</v>
      </c>
      <c r="G16" s="45" t="n">
        <f aca="false">IFERROR((B16*Seg1_N*Seg1_kWh+C16*Seg2_N*Seg2_kWh+D16*Seg3_N*Seg3_kWh+E16*Seg4_N*Seg4_kWh+F16*Seg5_N*Seg5_kWh)/(Seg1_N*Seg1_kWh+Seg2_N*Seg2_kWh+Seg3_N*Seg3_kWh+Seg4_N*Seg4_kWh+Seg5_N*Seg5_kWh),0)</f>
        <v>0.0606631254739989</v>
      </c>
      <c r="H16" s="46" t="n">
        <f aca="false">IF(OR(A16&lt;Sunrise,A16&gt;=Sunset),1,0)</f>
        <v>0</v>
      </c>
    </row>
    <row r="17" customFormat="false" ht="15" hidden="false" customHeight="false" outlineLevel="0" collapsed="false">
      <c r="A17" s="44" t="n">
        <v>9</v>
      </c>
      <c r="B17" s="14" t="n">
        <v>0.0227</v>
      </c>
      <c r="C17" s="14" t="n">
        <v>0.1038</v>
      </c>
      <c r="D17" s="14" t="n">
        <v>0.0577</v>
      </c>
      <c r="E17" s="14" t="n">
        <v>0.0833</v>
      </c>
      <c r="F17" s="14" t="n">
        <v>0.0417</v>
      </c>
      <c r="G17" s="45" t="n">
        <f aca="false">IFERROR((B17*Seg1_N*Seg1_kWh+C17*Seg2_N*Seg2_kWh+D17*Seg3_N*Seg3_kWh+E17*Seg4_N*Seg4_kWh+F17*Seg5_N*Seg5_kWh)/(Seg1_N*Seg1_kWh+Seg2_N*Seg2_kWh+Seg3_N*Seg3_kWh+Seg4_N*Seg4_kWh+Seg5_N*Seg5_kWh),0)</f>
        <v>0.0606558661290587</v>
      </c>
      <c r="H17" s="46" t="n">
        <f aca="false">IF(OR(A17&lt;Sunrise,A17&gt;=Sunset),1,0)</f>
        <v>0</v>
      </c>
    </row>
    <row r="18" customFormat="false" ht="15" hidden="false" customHeight="false" outlineLevel="0" collapsed="false">
      <c r="A18" s="44" t="n">
        <v>10</v>
      </c>
      <c r="B18" s="14" t="n">
        <v>0.0227</v>
      </c>
      <c r="C18" s="14" t="n">
        <v>0.1038</v>
      </c>
      <c r="D18" s="14" t="n">
        <v>0.0577</v>
      </c>
      <c r="E18" s="14" t="n">
        <v>0.0833</v>
      </c>
      <c r="F18" s="14" t="n">
        <v>0.0417</v>
      </c>
      <c r="G18" s="45" t="n">
        <f aca="false">IFERROR((B18*Seg1_N*Seg1_kWh+C18*Seg2_N*Seg2_kWh+D18*Seg3_N*Seg3_kWh+E18*Seg4_N*Seg4_kWh+F18*Seg5_N*Seg5_kWh)/(Seg1_N*Seg1_kWh+Seg2_N*Seg2_kWh+Seg3_N*Seg3_kWh+Seg4_N*Seg4_kWh+Seg5_N*Seg5_kWh),0)</f>
        <v>0.0606558661290587</v>
      </c>
      <c r="H18" s="46" t="n">
        <f aca="false">IF(OR(A18&lt;Sunrise,A18&gt;=Sunset),1,0)</f>
        <v>0</v>
      </c>
    </row>
    <row r="19" customFormat="false" ht="15" hidden="false" customHeight="false" outlineLevel="0" collapsed="false">
      <c r="A19" s="44" t="n">
        <v>11</v>
      </c>
      <c r="B19" s="14" t="n">
        <v>0.0227</v>
      </c>
      <c r="C19" s="14" t="n">
        <v>0.0943</v>
      </c>
      <c r="D19" s="14" t="n">
        <v>0.0577</v>
      </c>
      <c r="E19" s="14" t="n">
        <v>0.0741</v>
      </c>
      <c r="F19" s="14" t="n">
        <v>0.0417</v>
      </c>
      <c r="G19" s="45" t="n">
        <f aca="false">IFERROR((B19*Seg1_N*Seg1_kWh+C19*Seg2_N*Seg2_kWh+D19*Seg3_N*Seg3_kWh+E19*Seg4_N*Seg4_kWh+F19*Seg5_N*Seg5_kWh)/(Seg1_N*Seg1_kWh+Seg2_N*Seg2_kWh+Seg3_N*Seg3_kWh+Seg4_N*Seg4_kWh+Seg5_N*Seg5_kWh),0)</f>
        <v>0.0566938105968431</v>
      </c>
      <c r="H19" s="46" t="n">
        <f aca="false">IF(OR(A19&lt;Sunrise,A19&gt;=Sunset),1,0)</f>
        <v>0</v>
      </c>
    </row>
    <row r="20" customFormat="false" ht="15" hidden="false" customHeight="false" outlineLevel="0" collapsed="false">
      <c r="A20" s="44" t="n">
        <v>12</v>
      </c>
      <c r="B20" s="14" t="n">
        <v>0.0227</v>
      </c>
      <c r="C20" s="14" t="n">
        <v>0.0755</v>
      </c>
      <c r="D20" s="14" t="n">
        <v>0.0577</v>
      </c>
      <c r="E20" s="14" t="n">
        <v>0.0741</v>
      </c>
      <c r="F20" s="14" t="n">
        <v>0.0417</v>
      </c>
      <c r="G20" s="45" t="n">
        <f aca="false">IFERROR((B20*Seg1_N*Seg1_kWh+C20*Seg2_N*Seg2_kWh+D20*Seg3_N*Seg3_kWh+E20*Seg4_N*Seg4_kWh+F20*Seg5_N*Seg5_kWh)/(Seg1_N*Seg1_kWh+Seg2_N*Seg2_kWh+Seg3_N*Seg3_kWh+Seg4_N*Seg4_kWh+Seg5_N*Seg5_kWh),0)</f>
        <v>0.0507156524680682</v>
      </c>
      <c r="H20" s="46" t="n">
        <f aca="false">IF(OR(A20&lt;Sunrise,A20&gt;=Sunset),1,0)</f>
        <v>0</v>
      </c>
    </row>
    <row r="21" customFormat="false" ht="15" hidden="false" customHeight="false" outlineLevel="0" collapsed="false">
      <c r="A21" s="44" t="n">
        <v>13</v>
      </c>
      <c r="B21" s="14" t="n">
        <v>0.0227</v>
      </c>
      <c r="C21" s="14" t="n">
        <v>0.0849</v>
      </c>
      <c r="D21" s="14" t="n">
        <v>0.0577</v>
      </c>
      <c r="E21" s="14" t="n">
        <v>0.0741</v>
      </c>
      <c r="F21" s="14" t="n">
        <v>0.0417</v>
      </c>
      <c r="G21" s="45" t="n">
        <f aca="false">IFERROR((B21*Seg1_N*Seg1_kWh+C21*Seg2_N*Seg2_kWh+D21*Seg3_N*Seg3_kWh+E21*Seg4_N*Seg4_kWh+F21*Seg5_N*Seg5_kWh)/(Seg1_N*Seg1_kWh+Seg2_N*Seg2_kWh+Seg3_N*Seg3_kWh+Seg4_N*Seg4_kWh+Seg5_N*Seg5_kWh),0)</f>
        <v>0.0537047315324556</v>
      </c>
      <c r="H21" s="46" t="n">
        <f aca="false">IF(OR(A21&lt;Sunrise,A21&gt;=Sunset),1,0)</f>
        <v>0</v>
      </c>
    </row>
    <row r="22" customFormat="false" ht="15" hidden="false" customHeight="false" outlineLevel="0" collapsed="false">
      <c r="A22" s="44" t="n">
        <v>14</v>
      </c>
      <c r="B22" s="14" t="n">
        <v>0.0227</v>
      </c>
      <c r="C22" s="14" t="n">
        <v>0.0943</v>
      </c>
      <c r="D22" s="14" t="n">
        <v>0.0577</v>
      </c>
      <c r="E22" s="14" t="n">
        <v>0.0741</v>
      </c>
      <c r="F22" s="14" t="n">
        <v>0.0417</v>
      </c>
      <c r="G22" s="45" t="n">
        <f aca="false">IFERROR((B22*Seg1_N*Seg1_kWh+C22*Seg2_N*Seg2_kWh+D22*Seg3_N*Seg3_kWh+E22*Seg4_N*Seg4_kWh+F22*Seg5_N*Seg5_kWh)/(Seg1_N*Seg1_kWh+Seg2_N*Seg2_kWh+Seg3_N*Seg3_kWh+Seg4_N*Seg4_kWh+Seg5_N*Seg5_kWh),0)</f>
        <v>0.0566938105968431</v>
      </c>
      <c r="H22" s="46" t="n">
        <f aca="false">IF(OR(A22&lt;Sunrise,A22&gt;=Sunset),1,0)</f>
        <v>0</v>
      </c>
    </row>
    <row r="23" customFormat="false" ht="15" hidden="false" customHeight="false" outlineLevel="0" collapsed="false">
      <c r="A23" s="44" t="n">
        <v>15</v>
      </c>
      <c r="B23" s="14" t="n">
        <v>0.0227</v>
      </c>
      <c r="C23" s="14" t="n">
        <v>0.0849</v>
      </c>
      <c r="D23" s="14" t="n">
        <v>0.0577</v>
      </c>
      <c r="E23" s="14" t="n">
        <v>0.0648</v>
      </c>
      <c r="F23" s="14" t="n">
        <v>0.0417</v>
      </c>
      <c r="G23" s="45" t="n">
        <f aca="false">IFERROR((B23*Seg1_N*Seg1_kWh+C23*Seg2_N*Seg2_kWh+D23*Seg3_N*Seg3_kWh+E23*Seg4_N*Seg4_kWh+F23*Seg5_N*Seg5_kWh)/(Seg1_N*Seg1_kWh+Seg2_N*Seg2_kWh+Seg3_N*Seg3_kWh+Seg4_N*Seg4_kWh+Seg5_N*Seg5_kWh),0)</f>
        <v>0.0527533235850961</v>
      </c>
      <c r="H23" s="46" t="n">
        <f aca="false">IF(OR(A23&lt;Sunrise,A23&gt;=Sunset),1,0)</f>
        <v>0</v>
      </c>
    </row>
    <row r="24" customFormat="false" ht="15" hidden="false" customHeight="false" outlineLevel="0" collapsed="false">
      <c r="A24" s="44" t="n">
        <v>16</v>
      </c>
      <c r="B24" s="14" t="n">
        <v>0.0341</v>
      </c>
      <c r="C24" s="14" t="n">
        <v>0.0566</v>
      </c>
      <c r="D24" s="14" t="n">
        <v>0.0577</v>
      </c>
      <c r="E24" s="14" t="n">
        <v>0.037</v>
      </c>
      <c r="F24" s="14" t="n">
        <v>0.0417</v>
      </c>
      <c r="G24" s="45" t="n">
        <f aca="false">IFERROR((B24*Seg1_N*Seg1_kWh+C24*Seg2_N*Seg2_kWh+D24*Seg3_N*Seg3_kWh+E24*Seg4_N*Seg4_kWh+F24*Seg5_N*Seg5_kWh)/(Seg1_N*Seg1_kWh+Seg2_N*Seg2_kWh+Seg3_N*Seg3_kWh+Seg4_N*Seg4_kWh+Seg5_N*Seg5_kWh),0)</f>
        <v>0.0455752620293429</v>
      </c>
      <c r="H24" s="46" t="n">
        <f aca="false">IF(OR(A24&lt;Sunrise,A24&gt;=Sunset),1,0)</f>
        <v>0</v>
      </c>
    </row>
    <row r="25" customFormat="false" ht="15" hidden="false" customHeight="false" outlineLevel="0" collapsed="false">
      <c r="A25" s="44" t="n">
        <v>17</v>
      </c>
      <c r="B25" s="14" t="n">
        <v>0.0568</v>
      </c>
      <c r="C25" s="14" t="n">
        <v>0.0283</v>
      </c>
      <c r="D25" s="14" t="n">
        <v>0.0673</v>
      </c>
      <c r="E25" s="14" t="n">
        <v>0.0278</v>
      </c>
      <c r="F25" s="14" t="n">
        <v>0.0417</v>
      </c>
      <c r="G25" s="45" t="n">
        <f aca="false">IFERROR((B25*Seg1_N*Seg1_kWh+C25*Seg2_N*Seg2_kWh+D25*Seg3_N*Seg3_kWh+E25*Seg4_N*Seg4_kWh+F25*Seg5_N*Seg5_kWh)/(Seg1_N*Seg1_kWh+Seg2_N*Seg2_kWh+Seg3_N*Seg3_kWh+Seg4_N*Seg4_kWh+Seg5_N*Seg5_kWh),0)</f>
        <v>0.0465608944735134</v>
      </c>
      <c r="H25" s="46" t="n">
        <f aca="false">IF(OR(A25&lt;Sunrise,A25&gt;=Sunset),1,0)</f>
        <v>0</v>
      </c>
    </row>
    <row r="26" customFormat="false" ht="15" hidden="false" customHeight="false" outlineLevel="0" collapsed="false">
      <c r="A26" s="44" t="n">
        <v>18</v>
      </c>
      <c r="B26" s="14" t="n">
        <v>0.1136</v>
      </c>
      <c r="C26" s="14" t="n">
        <v>0.0189</v>
      </c>
      <c r="D26" s="14" t="n">
        <v>0.0769</v>
      </c>
      <c r="E26" s="14" t="n">
        <v>0.0278</v>
      </c>
      <c r="F26" s="14" t="n">
        <v>0.0417</v>
      </c>
      <c r="G26" s="45" t="n">
        <f aca="false">IFERROR((B26*Seg1_N*Seg1_kWh+C26*Seg2_N*Seg2_kWh+D26*Seg3_N*Seg3_kWh+E26*Seg4_N*Seg4_kWh+F26*Seg5_N*Seg5_kWh)/(Seg1_N*Seg1_kWh+Seg2_N*Seg2_kWh+Seg3_N*Seg3_kWh+Seg4_N*Seg4_kWh+Seg5_N*Seg5_kWh),0)</f>
        <v>0.0684516447422264</v>
      </c>
      <c r="H26" s="46" t="n">
        <f aca="false">IF(OR(A26&lt;Sunrise,A26&gt;=Sunset),1,0)</f>
        <v>1</v>
      </c>
    </row>
    <row r="27" customFormat="false" ht="15" hidden="false" customHeight="false" outlineLevel="0" collapsed="false">
      <c r="A27" s="44" t="n">
        <v>19</v>
      </c>
      <c r="B27" s="14" t="n">
        <v>0.1364</v>
      </c>
      <c r="C27" s="14" t="n">
        <v>0.0094</v>
      </c>
      <c r="D27" s="14" t="n">
        <v>0.0769</v>
      </c>
      <c r="E27" s="14" t="n">
        <v>0.0278</v>
      </c>
      <c r="F27" s="14" t="n">
        <v>0.0417</v>
      </c>
      <c r="G27" s="45" t="n">
        <f aca="false">IFERROR((B27*Seg1_N*Seg1_kWh+C27*Seg2_N*Seg2_kWh+D27*Seg3_N*Seg3_kWh+E27*Seg4_N*Seg4_kWh+F27*Seg5_N*Seg5_kWh)/(Seg1_N*Seg1_kWh+Seg2_N*Seg2_kWh+Seg3_N*Seg3_kWh+Seg4_N*Seg4_kWh+Seg5_N*Seg5_kWh),0)</f>
        <v>0.0747607029643007</v>
      </c>
      <c r="H27" s="46" t="n">
        <f aca="false">IF(OR(A27&lt;Sunrise,A27&gt;=Sunset),1,0)</f>
        <v>1</v>
      </c>
    </row>
    <row r="28" customFormat="false" ht="15" hidden="false" customHeight="false" outlineLevel="0" collapsed="false">
      <c r="A28" s="44" t="n">
        <v>20</v>
      </c>
      <c r="B28" s="14" t="n">
        <v>0.125</v>
      </c>
      <c r="C28" s="14" t="n">
        <v>0.0094</v>
      </c>
      <c r="D28" s="14" t="n">
        <v>0.0673</v>
      </c>
      <c r="E28" s="14" t="n">
        <v>0.0185</v>
      </c>
      <c r="F28" s="14" t="n">
        <v>0.0417</v>
      </c>
      <c r="G28" s="45" t="n">
        <f aca="false">IFERROR((B28*Seg1_N*Seg1_kWh+C28*Seg2_N*Seg2_kWh+D28*Seg3_N*Seg3_kWh+E28*Seg4_N*Seg4_kWh+F28*Seg5_N*Seg5_kWh)/(Seg1_N*Seg1_kWh+Seg2_N*Seg2_kWh+Seg3_N*Seg3_kWh+Seg4_N*Seg4_kWh+Seg5_N*Seg5_kWh),0)</f>
        <v>0.0675074961398072</v>
      </c>
      <c r="H28" s="46" t="n">
        <f aca="false">IF(OR(A28&lt;Sunrise,A28&gt;=Sunset),1,0)</f>
        <v>1</v>
      </c>
    </row>
    <row r="29" customFormat="false" ht="15" hidden="false" customHeight="false" outlineLevel="0" collapsed="false">
      <c r="A29" s="44" t="n">
        <v>21</v>
      </c>
      <c r="B29" s="14" t="n">
        <v>0.0909</v>
      </c>
      <c r="C29" s="14" t="n">
        <v>0.0047</v>
      </c>
      <c r="D29" s="14" t="n">
        <v>0.0481</v>
      </c>
      <c r="E29" s="14" t="n">
        <v>0.0185</v>
      </c>
      <c r="F29" s="14" t="n">
        <v>0.0417</v>
      </c>
      <c r="G29" s="45" t="n">
        <f aca="false">IFERROR((B29*Seg1_N*Seg1_kWh+C29*Seg2_N*Seg2_kWh+D29*Seg3_N*Seg3_kWh+E29*Seg4_N*Seg4_kWh+F29*Seg5_N*Seg5_kWh)/(Seg1_N*Seg1_kWh+Seg2_N*Seg2_kWh+Seg3_N*Seg3_kWh+Seg4_N*Seg4_kWh+Seg5_N*Seg5_kWh),0)</f>
        <v>0.0487853116253185</v>
      </c>
      <c r="H29" s="46" t="n">
        <f aca="false">IF(OR(A29&lt;Sunrise,A29&gt;=Sunset),1,0)</f>
        <v>1</v>
      </c>
    </row>
    <row r="30" customFormat="false" ht="15" hidden="false" customHeight="false" outlineLevel="0" collapsed="false">
      <c r="A30" s="44" t="n">
        <v>22</v>
      </c>
      <c r="B30" s="14" t="n">
        <v>0.0568</v>
      </c>
      <c r="C30" s="14" t="n">
        <v>0.0047</v>
      </c>
      <c r="D30" s="14" t="n">
        <v>0.0288</v>
      </c>
      <c r="E30" s="14" t="n">
        <v>0.0185</v>
      </c>
      <c r="F30" s="14" t="n">
        <v>0.0417</v>
      </c>
      <c r="G30" s="45" t="n">
        <f aca="false">IFERROR((B30*Seg1_N*Seg1_kWh+C30*Seg2_N*Seg2_kWh+D30*Seg3_N*Seg3_kWh+E30*Seg4_N*Seg4_kWh+F30*Seg5_N*Seg5_kWh)/(Seg1_N*Seg1_kWh+Seg2_N*Seg2_kWh+Seg3_N*Seg3_kWh+Seg4_N*Seg4_kWh+Seg5_N*Seg5_kWh),0)</f>
        <v>0.0315406163213863</v>
      </c>
      <c r="H30" s="46" t="n">
        <f aca="false">IF(OR(A30&lt;Sunrise,A30&gt;=Sunset),1,0)</f>
        <v>1</v>
      </c>
    </row>
    <row r="31" customFormat="false" ht="15" hidden="false" customHeight="false" outlineLevel="0" collapsed="false">
      <c r="A31" s="44" t="n">
        <v>23</v>
      </c>
      <c r="B31" s="14" t="n">
        <v>0.0227</v>
      </c>
      <c r="C31" s="14" t="n">
        <v>0.005</v>
      </c>
      <c r="D31" s="14" t="n">
        <v>0.0194</v>
      </c>
      <c r="E31" s="14" t="n">
        <v>0.0186</v>
      </c>
      <c r="F31" s="14" t="n">
        <v>0.0409</v>
      </c>
      <c r="G31" s="45" t="n">
        <f aca="false">IFERROR((B31*Seg1_N*Seg1_kWh+C31*Seg2_N*Seg2_kWh+D31*Seg3_N*Seg3_kWh+E31*Seg4_N*Seg4_kWh+F31*Seg5_N*Seg5_kWh)/(Seg1_N*Seg1_kWh+Seg2_N*Seg2_kWh+Seg3_N*Seg3_kWh+Seg4_N*Seg4_kWh+Seg5_N*Seg5_kWh),0)</f>
        <v>0.0160895291928787</v>
      </c>
      <c r="H31" s="46" t="n">
        <f aca="false">IF(OR(A31&lt;Sunrise,A31&gt;=Sunset),1,0)</f>
        <v>1</v>
      </c>
    </row>
    <row r="32" customFormat="false" ht="15" hidden="false" customHeight="false" outlineLevel="0" collapsed="false">
      <c r="A32" s="16" t="s">
        <v>213</v>
      </c>
      <c r="B32" s="45" t="n">
        <f aca="false">SUM(B8:B31)</f>
        <v>1</v>
      </c>
      <c r="C32" s="45" t="n">
        <f aca="false">SUM(C8:C31)</f>
        <v>1</v>
      </c>
      <c r="D32" s="45" t="n">
        <f aca="false">SUM(D8:D31)</f>
        <v>1</v>
      </c>
      <c r="E32" s="45" t="n">
        <f aca="false">SUM(E8:E31)</f>
        <v>1</v>
      </c>
      <c r="F32" s="45" t="n">
        <f aca="false">SUM(F8:F31)</f>
        <v>1</v>
      </c>
      <c r="G32" s="45" t="n">
        <f aca="false">SUM(G8:G31)</f>
        <v>1</v>
      </c>
    </row>
    <row r="34" customFormat="false" ht="15" hidden="false" customHeight="false" outlineLevel="0" collapsed="false">
      <c r="A34" s="16" t="s">
        <v>214</v>
      </c>
      <c r="D34" s="45" t="n">
        <f aca="false">SUMPRODUCT(G8:G31,H8:H31)</f>
        <v>0.371387432412525</v>
      </c>
    </row>
    <row r="35" customFormat="false" ht="15" hidden="false" customHeight="false" outlineLevel="0" collapsed="false">
      <c r="A35" s="16" t="s">
        <v>215</v>
      </c>
      <c r="D35" s="18" t="n">
        <f aca="false">MAX(G8:G31)*24</f>
        <v>1.79425687114322</v>
      </c>
    </row>
    <row r="36" customFormat="false" ht="15" hidden="false" customHeight="false" outlineLevel="0" collapsed="false">
      <c r="A36" s="16" t="s">
        <v>216</v>
      </c>
      <c r="D36" s="47" t="str">
        <f aca="false">IF(SUMPRODUCT(ABS(B32:F32-1)*(B32:F32&gt;0))&lt;0.001,"OK","CHECK")</f>
        <v>OK</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5" min="2" style="0" width="12"/>
    <col collapsed="false" customWidth="true" hidden="false" outlineLevel="0" max="6" min="6" style="0" width="14"/>
    <col collapsed="false" customWidth="true" hidden="false" outlineLevel="0" max="7" min="7" style="0" width="16"/>
  </cols>
  <sheetData>
    <row r="1" customFormat="false" ht="19.7" hidden="false" customHeight="false" outlineLevel="0" collapsed="false">
      <c r="A1" s="7" t="s">
        <v>217</v>
      </c>
    </row>
    <row r="2" customFormat="false" ht="15" hidden="false" customHeight="false" outlineLevel="0" collapsed="false">
      <c r="A2" s="8" t="s">
        <v>218</v>
      </c>
    </row>
    <row r="4" customFormat="false" ht="15" hidden="false" customHeight="false" outlineLevel="0" collapsed="false">
      <c r="A4" s="43" t="s">
        <v>219</v>
      </c>
      <c r="B4" s="43" t="s">
        <v>220</v>
      </c>
      <c r="C4" s="43" t="s">
        <v>221</v>
      </c>
      <c r="D4" s="43" t="s">
        <v>222</v>
      </c>
      <c r="E4" s="43" t="s">
        <v>223</v>
      </c>
      <c r="F4" s="43" t="s">
        <v>224</v>
      </c>
      <c r="G4" s="43" t="s">
        <v>225</v>
      </c>
    </row>
    <row r="5" customFormat="false" ht="15" hidden="false" customHeight="false" outlineLevel="0" collapsed="false">
      <c r="A5" s="19" t="s">
        <v>226</v>
      </c>
      <c r="B5" s="20" t="n">
        <v>8</v>
      </c>
      <c r="C5" s="21" t="n">
        <v>7.5</v>
      </c>
      <c r="D5" s="21" t="n">
        <v>4</v>
      </c>
      <c r="E5" s="20" t="n">
        <v>26</v>
      </c>
      <c r="F5" s="14" t="n">
        <v>0.7</v>
      </c>
      <c r="G5" s="48" t="n">
        <f aca="false">B5*C5*D5*E5*F5</f>
        <v>4368</v>
      </c>
    </row>
    <row r="6" customFormat="false" ht="15" hidden="false" customHeight="false" outlineLevel="0" collapsed="false">
      <c r="A6" s="19" t="s">
        <v>227</v>
      </c>
      <c r="B6" s="20" t="n">
        <v>4</v>
      </c>
      <c r="C6" s="21" t="n">
        <v>5</v>
      </c>
      <c r="D6" s="21" t="n">
        <v>3</v>
      </c>
      <c r="E6" s="20" t="n">
        <v>22</v>
      </c>
      <c r="F6" s="14" t="n">
        <v>0.5</v>
      </c>
      <c r="G6" s="48" t="n">
        <f aca="false">B6*C6*D6*E6*F6</f>
        <v>660</v>
      </c>
    </row>
    <row r="7" customFormat="false" ht="15" hidden="false" customHeight="false" outlineLevel="0" collapsed="false">
      <c r="A7" s="19" t="s">
        <v>228</v>
      </c>
      <c r="B7" s="20" t="n">
        <v>6</v>
      </c>
      <c r="C7" s="21" t="n">
        <v>1.5</v>
      </c>
      <c r="D7" s="21" t="n">
        <v>24</v>
      </c>
      <c r="E7" s="20" t="n">
        <v>30</v>
      </c>
      <c r="F7" s="14" t="n">
        <v>0.35</v>
      </c>
      <c r="G7" s="48" t="n">
        <f aca="false">B7*C7*D7*E7*F7</f>
        <v>2268</v>
      </c>
    </row>
    <row r="8" customFormat="false" ht="15" hidden="false" customHeight="false" outlineLevel="0" collapsed="false">
      <c r="A8" s="19" t="s">
        <v>229</v>
      </c>
      <c r="B8" s="20" t="n">
        <v>10</v>
      </c>
      <c r="C8" s="21" t="n">
        <v>1.1</v>
      </c>
      <c r="D8" s="21" t="n">
        <v>5</v>
      </c>
      <c r="E8" s="20" t="n">
        <v>20</v>
      </c>
      <c r="F8" s="14" t="n">
        <v>0.8</v>
      </c>
      <c r="G8" s="48" t="n">
        <f aca="false">B8*C8*D8*E8*F8</f>
        <v>880</v>
      </c>
    </row>
    <row r="9" customFormat="false" ht="15" hidden="false" customHeight="false" outlineLevel="0" collapsed="false">
      <c r="A9" s="19" t="s">
        <v>230</v>
      </c>
      <c r="B9" s="20" t="n">
        <v>12</v>
      </c>
      <c r="C9" s="21" t="n">
        <v>0.3</v>
      </c>
      <c r="D9" s="21" t="n">
        <v>6</v>
      </c>
      <c r="E9" s="20" t="n">
        <v>26</v>
      </c>
      <c r="F9" s="14" t="n">
        <v>0.6</v>
      </c>
      <c r="G9" s="48" t="n">
        <f aca="false">B9*C9*D9*E9*F9</f>
        <v>336.96</v>
      </c>
    </row>
    <row r="10" customFormat="false" ht="15" hidden="false" customHeight="false" outlineLevel="0" collapsed="false">
      <c r="A10" s="19" t="s">
        <v>231</v>
      </c>
      <c r="B10" s="20" t="n">
        <v>10</v>
      </c>
      <c r="C10" s="21" t="n">
        <v>1</v>
      </c>
      <c r="D10" s="21" t="n">
        <v>4</v>
      </c>
      <c r="E10" s="20" t="n">
        <v>26</v>
      </c>
      <c r="F10" s="14" t="n">
        <v>0.4</v>
      </c>
      <c r="G10" s="48" t="n">
        <f aca="false">B10*C10*D10*E10*F10</f>
        <v>416</v>
      </c>
    </row>
    <row r="11" customFormat="false" ht="15" hidden="false" customHeight="false" outlineLevel="0" collapsed="false">
      <c r="A11" s="19" t="s">
        <v>232</v>
      </c>
      <c r="B11" s="20" t="n">
        <v>3</v>
      </c>
      <c r="C11" s="21" t="n">
        <v>3</v>
      </c>
      <c r="D11" s="21" t="n">
        <v>4</v>
      </c>
      <c r="E11" s="20" t="n">
        <v>22</v>
      </c>
      <c r="F11" s="14" t="n">
        <v>0.5</v>
      </c>
      <c r="G11" s="48" t="n">
        <f aca="false">B11*C11*D11*E11*F11</f>
        <v>396</v>
      </c>
    </row>
    <row r="12" customFormat="false" ht="15" hidden="false" customHeight="false" outlineLevel="0" collapsed="false">
      <c r="A12" s="19"/>
      <c r="B12" s="20" t="n">
        <v>0</v>
      </c>
      <c r="C12" s="21" t="n">
        <v>0</v>
      </c>
      <c r="D12" s="21" t="n">
        <v>0</v>
      </c>
      <c r="E12" s="20" t="n">
        <v>0</v>
      </c>
      <c r="F12" s="14" t="n">
        <v>0</v>
      </c>
      <c r="G12" s="48" t="n">
        <f aca="false">B12*C12*D12*E12*F12</f>
        <v>0</v>
      </c>
    </row>
    <row r="13" customFormat="false" ht="15" hidden="false" customHeight="false" outlineLevel="0" collapsed="false">
      <c r="A13" s="19"/>
      <c r="B13" s="20" t="n">
        <v>0</v>
      </c>
      <c r="C13" s="21" t="n">
        <v>0</v>
      </c>
      <c r="D13" s="21" t="n">
        <v>0</v>
      </c>
      <c r="E13" s="20" t="n">
        <v>0</v>
      </c>
      <c r="F13" s="14" t="n">
        <v>0</v>
      </c>
      <c r="G13" s="48" t="n">
        <f aca="false">B13*C13*D13*E13*F13</f>
        <v>0</v>
      </c>
    </row>
    <row r="14" customFormat="false" ht="15" hidden="false" customHeight="false" outlineLevel="0" collapsed="false">
      <c r="A14" s="16" t="s">
        <v>233</v>
      </c>
      <c r="G14" s="48" t="n">
        <f aca="false">SUM(G5:G13)</f>
        <v>9324.96</v>
      </c>
    </row>
    <row r="15" customFormat="false" ht="15" hidden="false" customHeight="false" outlineLevel="0" collapsed="false">
      <c r="A15" s="11" t="s">
        <v>234</v>
      </c>
      <c r="G15" s="49" t="n">
        <f aca="false">Seg2_N</f>
        <v>60</v>
      </c>
    </row>
    <row r="16" customFormat="false" ht="15" hidden="false" customHeight="false" outlineLevel="0" collapsed="false">
      <c r="A16" s="16" t="s">
        <v>235</v>
      </c>
      <c r="G16" s="24" t="n">
        <f aca="false">IFERROR(PUE_Total/Seg2_N,0)</f>
        <v>155.416</v>
      </c>
    </row>
    <row r="17" customFormat="false" ht="15" hidden="false" customHeight="false" outlineLevel="0" collapsed="false">
      <c r="A17" s="11" t="s">
        <v>236</v>
      </c>
      <c r="G17" s="26" t="n">
        <f aca="false">IFERROR(Seg2_N*Seg2_kWh*12*Ramp3*(1+DemandGrowth)^2/DesignEnergy,0)</f>
        <v>0.317987134509305</v>
      </c>
    </row>
    <row r="19" customFormat="false" ht="15" hidden="false" customHeight="false" outlineLevel="0" collapsed="false">
      <c r="A19" s="8" t="s">
        <v>237</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79"/>
    <pageSetUpPr fitToPage="true"/>
  </sheetPr>
  <dimension ref="B1:N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2"/>
    <col collapsed="false" customWidth="true" hidden="false" outlineLevel="0" max="3" min="3" style="0" width="28"/>
    <col collapsed="false" customWidth="true" hidden="false" outlineLevel="0" max="4" min="4" style="0" width="2"/>
    <col collapsed="false" customWidth="true" hidden="false" outlineLevel="0" max="5" min="5" style="0" width="42"/>
    <col collapsed="false" customWidth="true" hidden="false" outlineLevel="0" max="6" min="6" style="0" width="16"/>
    <col collapsed="false" customWidth="true" hidden="false" outlineLevel="0" max="7" min="7" style="0" width="2"/>
    <col collapsed="false" customWidth="true" hidden="false" outlineLevel="0" max="14" min="8" style="0" width="12"/>
  </cols>
  <sheetData>
    <row r="1" customFormat="false" ht="19.7" hidden="false" customHeight="false" outlineLevel="0" collapsed="false">
      <c r="B1" s="7" t="str">
        <f aca="false">"DASHBOARD - "&amp;ProjectName</f>
        <v>DASHBOARD - Example village mini-grid</v>
      </c>
    </row>
    <row r="2" customFormat="false" ht="15" hidden="false" customHeight="false" outlineLevel="0" collapsed="false">
      <c r="B2" s="50" t="str">
        <f aca="false">Site&amp;"  |  "&amp;FIXED(TotalCustomers,0)&amp;" customers  |  "&amp;FIXED(PV_kWp,0)&amp;" kWp PV / "&amp;FIXED(BESS_kWh,0)&amp;" kWh battery / "&amp;FIXED(Diesel_kW,0)&amp;" kW diesel  |  scenario: "&amp;ScenarioName&amp;"  |  "&amp;Currency</f>
        <v>Example site  |  970 customers  |  305 kWp PV / 540 kWh battery / 87 kW diesel  |  scenario: Base  |  USD</v>
      </c>
    </row>
    <row r="3" customFormat="false" ht="15" hidden="false" customHeight="false" outlineLevel="0" collapsed="false">
      <c r="E3" s="50" t="str">
        <f aca="false">"Model checks: "&amp;ChecksOverall</f>
        <v>Model checks: ALL OK</v>
      </c>
    </row>
    <row r="4" customFormat="false" ht="15" hidden="false" customHeight="false" outlineLevel="0" collapsed="false">
      <c r="H4" s="8" t="s">
        <v>238</v>
      </c>
    </row>
    <row r="5" customFormat="false" ht="15" hidden="false" customHeight="false" outlineLevel="0" collapsed="false">
      <c r="B5" s="9" t="s">
        <v>239</v>
      </c>
      <c r="C5" s="10"/>
      <c r="E5" s="9" t="s">
        <v>240</v>
      </c>
      <c r="F5" s="10"/>
      <c r="H5" s="50" t="s">
        <v>241</v>
      </c>
      <c r="I5" s="50" t="s">
        <v>242</v>
      </c>
      <c r="J5" s="50" t="s">
        <v>70</v>
      </c>
      <c r="K5" s="50" t="s">
        <v>243</v>
      </c>
      <c r="L5" s="50" t="s">
        <v>244</v>
      </c>
      <c r="M5" s="50" t="s">
        <v>245</v>
      </c>
      <c r="N5" s="50" t="s">
        <v>246</v>
      </c>
    </row>
    <row r="6" customFormat="false" ht="15" hidden="false" customHeight="false" outlineLevel="0" collapsed="false">
      <c r="B6" s="51" t="s">
        <v>247</v>
      </c>
      <c r="C6" s="52" t="n">
        <f aca="false">'Cash Flow'!$B$14</f>
        <v>1162734.14692871</v>
      </c>
      <c r="E6" s="51" t="s">
        <v>248</v>
      </c>
      <c r="F6" s="52" t="n">
        <f aca="false">Grant</f>
        <v>600000</v>
      </c>
      <c r="H6" s="53" t="n">
        <f aca="false">'Cash Flow'!D40</f>
        <v>2027</v>
      </c>
      <c r="I6" s="54" t="n">
        <f aca="false">'Cash Flow'!D85</f>
        <v>80517.387264</v>
      </c>
      <c r="J6" s="54" t="n">
        <f aca="false">'Cash Flow'!D96</f>
        <v>68823.0757427133</v>
      </c>
      <c r="K6" s="54" t="n">
        <f aca="false">'Cash Flow'!D147</f>
        <v>142156.381808199</v>
      </c>
      <c r="L6" s="54" t="n">
        <f aca="false">'Cash Flow'!D125</f>
        <v>14631.0878201464</v>
      </c>
      <c r="M6" s="54" t="n">
        <f aca="false">'Cash Flow'!D71</f>
        <v>215938.341818182</v>
      </c>
      <c r="N6" s="54" t="n">
        <f aca="false">'Cash Flow'!D72</f>
        <v>23993.1490909091</v>
      </c>
    </row>
    <row r="7" customFormat="false" ht="15" hidden="false" customHeight="false" outlineLevel="0" collapsed="false">
      <c r="B7" s="51" t="s">
        <v>249</v>
      </c>
      <c r="C7" s="52" t="n">
        <f aca="false">IFERROR(TotalCapex/TotalCustomers,0)</f>
        <v>1198.69499683372</v>
      </c>
      <c r="E7" s="51" t="s">
        <v>250</v>
      </c>
      <c r="F7" s="52" t="n">
        <f aca="false">'Cash Flow'!$B$108</f>
        <v>252000</v>
      </c>
      <c r="H7" s="53" t="n">
        <f aca="false">'Cash Flow'!E40</f>
        <v>2028</v>
      </c>
      <c r="I7" s="54" t="n">
        <f aca="false">'Cash Flow'!E85</f>
        <v>113517.638710202</v>
      </c>
      <c r="J7" s="54" t="n">
        <f aca="false">'Cash Flow'!E96</f>
        <v>76684.6746752868</v>
      </c>
      <c r="K7" s="54" t="n">
        <f aca="false">'Cash Flow'!E147</f>
        <v>79095.0343218271</v>
      </c>
      <c r="L7" s="54" t="n">
        <f aca="false">'Cash Flow'!E125</f>
        <v>14631.0878201464</v>
      </c>
      <c r="M7" s="54" t="n">
        <f aca="false">'Cash Flow'!E71</f>
        <v>315090.030436364</v>
      </c>
      <c r="N7" s="54" t="n">
        <f aca="false">'Cash Flow'!E72</f>
        <v>35010.0033818182</v>
      </c>
    </row>
    <row r="8" customFormat="false" ht="15" hidden="false" customHeight="false" outlineLevel="0" collapsed="false">
      <c r="B8" s="51" t="s">
        <v>251</v>
      </c>
      <c r="C8" s="55" t="n">
        <f aca="false">'Cash Flow'!$B$22</f>
        <v>-0.036858791966502</v>
      </c>
      <c r="E8" s="51" t="s">
        <v>252</v>
      </c>
      <c r="F8" s="52" t="n">
        <f aca="false">'Cash Flow'!$B$16</f>
        <v>112546.829385741</v>
      </c>
      <c r="H8" s="53" t="n">
        <f aca="false">'Cash Flow'!F40</f>
        <v>2029</v>
      </c>
      <c r="I8" s="54" t="n">
        <f aca="false">'Cash Flow'!F85</f>
        <v>139820.029891356</v>
      </c>
      <c r="J8" s="54" t="n">
        <f aca="false">'Cash Flow'!F96</f>
        <v>83054.2378517802</v>
      </c>
      <c r="K8" s="54" t="n">
        <f aca="false">'Cash Flow'!F147</f>
        <v>73827.8623264885</v>
      </c>
      <c r="L8" s="54" t="n">
        <f aca="false">'Cash Flow'!F125</f>
        <v>24472.6347469427</v>
      </c>
      <c r="M8" s="54" t="n">
        <f aca="false">'Cash Flow'!F71</f>
        <v>381814.978058182</v>
      </c>
      <c r="N8" s="54" t="n">
        <f aca="false">'Cash Flow'!F72</f>
        <v>42423.8864509091</v>
      </c>
    </row>
    <row r="9" customFormat="false" ht="15" hidden="false" customHeight="false" outlineLevel="0" collapsed="false">
      <c r="B9" s="51" t="s">
        <v>253</v>
      </c>
      <c r="C9" s="55" t="n">
        <f aca="false">'Cash Flow'!$B$23</f>
        <v>0.104999799483308</v>
      </c>
      <c r="E9" s="51" t="s">
        <v>254</v>
      </c>
      <c r="F9" s="52" t="n">
        <f aca="false">'Cash Flow'!$B$17</f>
        <v>112546.829385741</v>
      </c>
      <c r="H9" s="53" t="n">
        <f aca="false">'Cash Flow'!G40</f>
        <v>2030</v>
      </c>
      <c r="I9" s="54" t="n">
        <f aca="false">'Cash Flow'!G85</f>
        <v>146505.01721174</v>
      </c>
      <c r="J9" s="54" t="n">
        <f aca="false">'Cash Flow'!G96</f>
        <v>86218.5912476339</v>
      </c>
      <c r="K9" s="54" t="n">
        <f aca="false">'Cash Flow'!G147</f>
        <v>39548.4962510184</v>
      </c>
      <c r="L9" s="54" t="n">
        <f aca="false">'Cash Flow'!G125</f>
        <v>24472.6347469427</v>
      </c>
      <c r="M9" s="54" t="n">
        <f aca="false">'Cash Flow'!G71</f>
        <v>393269.427399927</v>
      </c>
      <c r="N9" s="54" t="n">
        <f aca="false">'Cash Flow'!G72</f>
        <v>43696.6030444364</v>
      </c>
    </row>
    <row r="10" customFormat="false" ht="15" hidden="false" customHeight="false" outlineLevel="0" collapsed="false">
      <c r="B10" s="51" t="s">
        <v>255</v>
      </c>
      <c r="C10" s="52" t="n">
        <f aca="false">'Cash Flow'!$B$20</f>
        <v>-804952.496026467</v>
      </c>
      <c r="E10" s="51" t="s">
        <v>256</v>
      </c>
      <c r="F10" s="52" t="n">
        <f aca="false">'Cash Flow'!$B$18+'Cash Flow'!$B$19</f>
        <v>344956.032067298</v>
      </c>
      <c r="H10" s="53" t="n">
        <f aca="false">'Cash Flow'!H40</f>
        <v>2031</v>
      </c>
      <c r="I10" s="54" t="n">
        <f aca="false">'Cash Flow'!H85</f>
        <v>155427.172759935</v>
      </c>
      <c r="J10" s="54" t="n">
        <f aca="false">'Cash Flow'!H96</f>
        <v>89575.3928968655</v>
      </c>
      <c r="K10" s="54" t="n">
        <f aca="false">'Cash Flow'!H147</f>
        <v>45113.8501499818</v>
      </c>
      <c r="L10" s="54" t="n">
        <f aca="false">'Cash Flow'!H125</f>
        <v>24472.6347469427</v>
      </c>
      <c r="M10" s="54" t="n">
        <f aca="false">'Cash Flow'!H71</f>
        <v>405067.510221925</v>
      </c>
      <c r="N10" s="54" t="n">
        <f aca="false">'Cash Flow'!H72</f>
        <v>45007.5011357695</v>
      </c>
    </row>
    <row r="11" customFormat="false" ht="15" hidden="false" customHeight="false" outlineLevel="0" collapsed="false">
      <c r="B11" s="51" t="s">
        <v>257</v>
      </c>
      <c r="C11" s="52" t="n">
        <f aca="false">'Cash Flow'!$B$21</f>
        <v>12967.8646046378</v>
      </c>
      <c r="E11" s="51" t="s">
        <v>258</v>
      </c>
      <c r="F11" s="56" t="n">
        <f aca="false">'Cash Flow'!$B$27</f>
        <v>1.33882599799415</v>
      </c>
      <c r="H11" s="53" t="n">
        <f aca="false">'Cash Flow'!I40</f>
        <v>2032</v>
      </c>
      <c r="I11" s="54" t="n">
        <f aca="false">'Cash Flow'!I85</f>
        <v>164892.687581015</v>
      </c>
      <c r="J11" s="54" t="n">
        <f aca="false">'Cash Flow'!I96</f>
        <v>93079.8064498027</v>
      </c>
      <c r="K11" s="54" t="n">
        <f aca="false">'Cash Flow'!I147</f>
        <v>51074.9514181245</v>
      </c>
      <c r="L11" s="54" t="n">
        <f aca="false">'Cash Flow'!I125</f>
        <v>34290.1516910654</v>
      </c>
      <c r="M11" s="54" t="n">
        <f aca="false">'Cash Flow'!I71</f>
        <v>417219.535528583</v>
      </c>
      <c r="N11" s="54" t="n">
        <f aca="false">'Cash Flow'!I72</f>
        <v>46357.7261698425</v>
      </c>
    </row>
    <row r="12" customFormat="false" ht="15" hidden="false" customHeight="false" outlineLevel="0" collapsed="false">
      <c r="B12" s="51" t="s">
        <v>259</v>
      </c>
      <c r="C12" s="57" t="n">
        <f aca="false">'Cash Flow'!$B$29</f>
        <v>0.662907446653331</v>
      </c>
      <c r="E12" s="51" t="s">
        <v>260</v>
      </c>
      <c r="F12" s="56" t="n">
        <f aca="false">'Cash Flow'!$B$28</f>
        <v>2.92842162895191</v>
      </c>
      <c r="H12" s="53" t="n">
        <f aca="false">'Cash Flow'!J40</f>
        <v>2033</v>
      </c>
      <c r="I12" s="54" t="n">
        <f aca="false">'Cash Flow'!J85</f>
        <v>174934.652254699</v>
      </c>
      <c r="J12" s="54" t="n">
        <f aca="false">'Cash Flow'!J96</f>
        <v>98617.2636274957</v>
      </c>
      <c r="K12" s="54" t="n">
        <f aca="false">'Cash Flow'!J147</f>
        <v>55579.4589141154</v>
      </c>
      <c r="L12" s="54" t="n">
        <f aca="false">'Cash Flow'!J125</f>
        <v>34290.1516910654</v>
      </c>
      <c r="M12" s="54" t="n">
        <f aca="false">'Cash Flow'!J71</f>
        <v>426078.172123344</v>
      </c>
      <c r="N12" s="54" t="n">
        <f aca="false">'Cash Flow'!J72</f>
        <v>51406.407426034</v>
      </c>
    </row>
    <row r="13" customFormat="false" ht="15" hidden="false" customHeight="false" outlineLevel="0" collapsed="false">
      <c r="B13" s="51" t="s">
        <v>261</v>
      </c>
      <c r="C13" s="57" t="n">
        <f aca="false">'Cash Flow'!$B$30</f>
        <v>0.44389628412399</v>
      </c>
      <c r="E13" s="51" t="s">
        <v>262</v>
      </c>
      <c r="F13" s="55" t="n">
        <f aca="false">'Cash Flow'!$B$25</f>
        <v>0.100606165849542</v>
      </c>
      <c r="H13" s="53" t="n">
        <f aca="false">'Cash Flow'!K40</f>
        <v>2034</v>
      </c>
      <c r="I13" s="54" t="n">
        <f aca="false">'Cash Flow'!K85</f>
        <v>185588.17257701</v>
      </c>
      <c r="J13" s="54" t="n">
        <f aca="false">'Cash Flow'!K96</f>
        <v>110440.065028636</v>
      </c>
      <c r="K13" s="54" t="n">
        <f aca="false">'Cash Flow'!K147</f>
        <v>54410.1778352862</v>
      </c>
      <c r="L13" s="54" t="n">
        <f aca="false">'Cash Flow'!K125</f>
        <v>34290.1516910654</v>
      </c>
      <c r="M13" s="54" t="n">
        <f aca="false">'Cash Flow'!K71</f>
        <v>423947.781262727</v>
      </c>
      <c r="N13" s="54" t="n">
        <f aca="false">'Cash Flow'!K72</f>
        <v>67861.3356731322</v>
      </c>
    </row>
    <row r="14" customFormat="false" ht="15" hidden="false" customHeight="false" outlineLevel="0" collapsed="false">
      <c r="B14" s="51" t="s">
        <v>263</v>
      </c>
      <c r="C14" s="57" t="n">
        <f aca="false">IFERROR('Cash Flow'!D82/'Cash Flow'!D66,0)</f>
        <v>0.378985546783355</v>
      </c>
      <c r="E14" s="51" t="s">
        <v>264</v>
      </c>
      <c r="F14" s="52" t="n">
        <f aca="false">'Cash Flow'!$B$26</f>
        <v>-68231.06528141</v>
      </c>
      <c r="H14" s="53" t="n">
        <f aca="false">'Cash Flow'!L40</f>
        <v>2035</v>
      </c>
      <c r="I14" s="54" t="n">
        <f aca="false">'Cash Flow'!L85</f>
        <v>196890.49228695</v>
      </c>
      <c r="J14" s="54" t="n">
        <f aca="false">'Cash Flow'!L96</f>
        <v>123116.769669664</v>
      </c>
      <c r="K14" s="54" t="n">
        <f aca="false">'Cash Flow'!L147</f>
        <v>47503.5337068271</v>
      </c>
      <c r="L14" s="54" t="n">
        <f aca="false">'Cash Flow'!L125</f>
        <v>34290.1516910654</v>
      </c>
      <c r="M14" s="54" t="n">
        <f aca="false">'Cash Flow'!L71</f>
        <v>421828.042356414</v>
      </c>
      <c r="N14" s="54" t="n">
        <f aca="false">'Cash Flow'!L72</f>
        <v>84735.3480875216</v>
      </c>
    </row>
    <row r="15" customFormat="false" ht="15" hidden="false" customHeight="false" outlineLevel="0" collapsed="false">
      <c r="B15" s="51" t="s">
        <v>265</v>
      </c>
      <c r="C15" s="55" t="n">
        <f aca="false">'Cash Flow'!D99</f>
        <v>0.145239580153582</v>
      </c>
      <c r="E15" s="51" t="s">
        <v>266</v>
      </c>
      <c r="F15" s="58" t="n">
        <f aca="false">'Cash Flow'!$B$36</f>
        <v>10</v>
      </c>
      <c r="H15" s="53" t="n">
        <f aca="false">'Cash Flow'!M40</f>
        <v>2036</v>
      </c>
      <c r="I15" s="54" t="n">
        <f aca="false">'Cash Flow'!M85</f>
        <v>208881.123267225</v>
      </c>
      <c r="J15" s="54" t="n">
        <f aca="false">'Cash Flow'!M96</f>
        <v>136702.387797605</v>
      </c>
      <c r="K15" s="54" t="n">
        <f aca="false">'Cash Flow'!M147</f>
        <v>45908.5465591614</v>
      </c>
      <c r="L15" s="54" t="n">
        <f aca="false">'Cash Flow'!M125</f>
        <v>34290.1516910654</v>
      </c>
      <c r="M15" s="54" t="n">
        <f aca="false">'Cash Flow'!M71</f>
        <v>419718.902144632</v>
      </c>
      <c r="N15" s="54" t="n">
        <f aca="false">'Cash Flow'!M72</f>
        <v>102041.390012622</v>
      </c>
    </row>
    <row r="16" customFormat="false" ht="15" hidden="false" customHeight="false" outlineLevel="0" collapsed="false">
      <c r="B16" s="51" t="s">
        <v>267</v>
      </c>
      <c r="C16" s="55" t="n">
        <f aca="false">IFERROR('Cash Flow'!$B$71/'Cash Flow'!$B$69,0)</f>
        <v>0.75104001545756</v>
      </c>
      <c r="E16" s="51" t="s">
        <v>268</v>
      </c>
      <c r="F16" s="52" t="n">
        <f aca="false">'Cash Flow'!$B$24</f>
        <v>804952.496026467</v>
      </c>
      <c r="H16" s="53" t="n">
        <f aca="false">'Cash Flow'!N40</f>
        <v>2037</v>
      </c>
      <c r="I16" s="54" t="n">
        <f aca="false">'Cash Flow'!N85</f>
        <v>221601.983674199</v>
      </c>
      <c r="J16" s="54" t="n">
        <f aca="false">'Cash Flow'!N96</f>
        <v>151255.344928631</v>
      </c>
      <c r="K16" s="54" t="n">
        <f aca="false">'Cash Flow'!N147</f>
        <v>44076.4498351092</v>
      </c>
      <c r="L16" s="54" t="n">
        <f aca="false">'Cash Flow'!N125</f>
        <v>13193.9218256949</v>
      </c>
      <c r="M16" s="54" t="n">
        <f aca="false">'Cash Flow'!N71</f>
        <v>417620.307633909</v>
      </c>
      <c r="N16" s="54" t="n">
        <f aca="false">'Cash Flow'!N72</f>
        <v>119792.793288062</v>
      </c>
    </row>
    <row r="17" customFormat="false" ht="15" hidden="false" customHeight="false" outlineLevel="0" collapsed="false">
      <c r="H17" s="53" t="n">
        <f aca="false">'Cash Flow'!O40</f>
        <v>2038</v>
      </c>
      <c r="I17" s="54" t="n">
        <f aca="false">'Cash Flow'!O85</f>
        <v>235097.544479958</v>
      </c>
      <c r="J17" s="54" t="n">
        <f aca="false">'Cash Flow'!O96</f>
        <v>166837.691169041</v>
      </c>
      <c r="K17" s="54" t="n">
        <f aca="false">'Cash Flow'!O147</f>
        <v>41989.6644004577</v>
      </c>
      <c r="L17" s="54" t="n">
        <f aca="false">'Cash Flow'!O125</f>
        <v>13193.9218256949</v>
      </c>
      <c r="M17" s="54" t="n">
        <f aca="false">'Cash Flow'!O71</f>
        <v>415532.206095739</v>
      </c>
      <c r="N17" s="54" t="n">
        <f aca="false">'Cash Flow'!O72</f>
        <v>138003.287853891</v>
      </c>
    </row>
    <row r="18" customFormat="false" ht="15" hidden="false" customHeight="false" outlineLevel="0" collapsed="false">
      <c r="B18" s="9" t="s">
        <v>269</v>
      </c>
      <c r="C18" s="10"/>
      <c r="D18" s="10"/>
      <c r="E18" s="9" t="s">
        <v>270</v>
      </c>
      <c r="F18" s="10"/>
      <c r="H18" s="53" t="n">
        <f aca="false">'Cash Flow'!P40</f>
        <v>2039</v>
      </c>
      <c r="I18" s="54" t="n">
        <f aca="false">'Cash Flow'!P85</f>
        <v>249414.984938787</v>
      </c>
      <c r="J18" s="54" t="n">
        <f aca="false">'Cash Flow'!P96</f>
        <v>183515.323308332</v>
      </c>
      <c r="K18" s="54" t="n">
        <f aca="false">'Cash Flow'!P147</f>
        <v>39629.4727199965</v>
      </c>
      <c r="L18" s="54" t="n">
        <f aca="false">'Cash Flow'!P125</f>
        <v>13193.9218256949</v>
      </c>
      <c r="M18" s="54" t="n">
        <f aca="false">'Cash Flow'!P71</f>
        <v>413454.54506526</v>
      </c>
      <c r="N18" s="54" t="n">
        <f aca="false">'Cash Flow'!P72</f>
        <v>156687.013702859</v>
      </c>
    </row>
    <row r="19" customFormat="false" ht="15" hidden="false" customHeight="false" outlineLevel="0" collapsed="false">
      <c r="B19" s="51" t="s">
        <v>271</v>
      </c>
      <c r="C19" s="59" t="str">
        <f aca="false">IF(NPV_Pre&gt;=0,"YES","NO - needs subsidy")</f>
        <v>NO - needs subsidy</v>
      </c>
      <c r="E19" s="50" t="s">
        <v>272</v>
      </c>
      <c r="H19" s="53" t="n">
        <f aca="false">'Cash Flow'!Q40</f>
        <v>2040</v>
      </c>
      <c r="I19" s="54" t="n">
        <f aca="false">'Cash Flow'!Q85</f>
        <v>264604.357521559</v>
      </c>
      <c r="J19" s="54" t="n">
        <f aca="false">'Cash Flow'!Q96</f>
        <v>201358.220462529</v>
      </c>
      <c r="K19" s="54" t="n">
        <f aca="false">'Cash Flow'!Q147</f>
        <v>36975.9481485715</v>
      </c>
      <c r="L19" s="54" t="n">
        <f aca="false">'Cash Flow'!Q125</f>
        <v>13193.9218256949</v>
      </c>
      <c r="M19" s="54" t="n">
        <f aca="false">'Cash Flow'!Q71</f>
        <v>411387.272339934</v>
      </c>
      <c r="N19" s="54" t="n">
        <f aca="false">'Cash Flow'!Q72</f>
        <v>175858.533191229</v>
      </c>
    </row>
    <row r="20" customFormat="false" ht="15" hidden="false" customHeight="false" outlineLevel="0" collapsed="false">
      <c r="B20" s="51" t="s">
        <v>273</v>
      </c>
      <c r="C20" s="59" t="str">
        <f aca="false">IF(NPV_Post&gt;=0,"YES","NO - gap remains")</f>
        <v>YES</v>
      </c>
      <c r="E20" s="60" t="str">
        <f aca="false">Seg1_Name&amp;"  ("&amp;FIXED(Seg1_Bill,2)&amp;"/month)"</f>
        <v>Households  (6.00/month)</v>
      </c>
      <c r="F20" s="61" t="n">
        <f aca="false">IF(ISNUMBER(Seg1_BillPct),Seg1_BillPct,"n/a")</f>
        <v>0.05</v>
      </c>
      <c r="H20" s="53" t="n">
        <f aca="false">'Cash Flow'!R40</f>
        <v>2041</v>
      </c>
      <c r="I20" s="54" t="n">
        <f aca="false">'Cash Flow'!R85</f>
        <v>280718.762894623</v>
      </c>
      <c r="J20" s="54" t="n">
        <f aca="false">'Cash Flow'!R96</f>
        <v>220440.694093342</v>
      </c>
      <c r="K20" s="54" t="n">
        <f aca="false">'Cash Flow'!R147</f>
        <v>34007.8798908214</v>
      </c>
      <c r="L20" s="54" t="n">
        <f aca="false">'Cash Flow'!R125</f>
        <v>13193.9218256949</v>
      </c>
      <c r="M20" s="54" t="n">
        <f aca="false">'Cash Flow'!R71</f>
        <v>409330.335978234</v>
      </c>
      <c r="N20" s="54" t="n">
        <f aca="false">'Cash Flow'!R72</f>
        <v>195532.843718863</v>
      </c>
    </row>
    <row r="21" customFormat="false" ht="15" hidden="false" customHeight="false" outlineLevel="0" collapsed="false">
      <c r="B21" s="51" t="s">
        <v>274</v>
      </c>
      <c r="C21" s="59" t="str">
        <f aca="false">IF(SenAmt+ConAmt=0,"No debt",IF(DSCR_Min&gt;=MinDSCR,"YES","NO - resize debt"))</f>
        <v>YES</v>
      </c>
      <c r="E21" s="60" t="str">
        <f aca="false">Seg2_Name&amp;"  ("&amp;FIXED(Seg2_Bill,2)&amp;"/month)"</f>
        <v>Productive users (mills, welding, cold rooms)  (54.40/month)</v>
      </c>
      <c r="F21" s="61" t="n">
        <f aca="false">IF(ISNUMBER(Seg2_BillPct),Seg2_BillPct,"n/a")</f>
        <v>0.0362637333333333</v>
      </c>
      <c r="H21" s="53" t="n">
        <f aca="false">'Cash Flow'!S40</f>
        <v>2042</v>
      </c>
      <c r="I21" s="54" t="n">
        <f aca="false">'Cash Flow'!S85</f>
        <v>297814.535554905</v>
      </c>
      <c r="J21" s="54" t="n">
        <f aca="false">'Cash Flow'!S96</f>
        <v>240841.653278977</v>
      </c>
      <c r="K21" s="54" t="n">
        <f aca="false">'Cash Flow'!S147</f>
        <v>30702.6933654697</v>
      </c>
      <c r="L21" s="54" t="n">
        <f aca="false">'Cash Flow'!S125</f>
        <v>0</v>
      </c>
      <c r="M21" s="54" t="n">
        <f aca="false">'Cash Flow'!S71</f>
        <v>407283.684298343</v>
      </c>
      <c r="N21" s="54" t="n">
        <f aca="false">'Cash Flow'!S72</f>
        <v>215725.390789667</v>
      </c>
    </row>
    <row r="22" customFormat="false" ht="15" hidden="false" customHeight="false" outlineLevel="0" collapsed="false">
      <c r="B22" s="51" t="s">
        <v>275</v>
      </c>
      <c r="C22" s="59" t="str">
        <f aca="false">IF(EqNPV&gt;=0,"YES","NO - see RBF needed")</f>
        <v>NO - see RBF needed</v>
      </c>
      <c r="E22" s="60" t="str">
        <f aca="false">Seg3_Name&amp;"  ("&amp;FIXED(Seg3_Bill,2)&amp;"/month)"</f>
        <v>Commercial (shops, bars, kiosks)  (20.00/month)</v>
      </c>
      <c r="F22" s="61" t="n">
        <f aca="false">IF(ISNUMBER(Seg3_BillPct),Seg3_BillPct,"n/a")</f>
        <v>0.05</v>
      </c>
      <c r="H22" s="53" t="n">
        <f aca="false">'Cash Flow'!T40</f>
        <v>2043</v>
      </c>
      <c r="I22" s="54" t="n">
        <f aca="false">'Cash Flow'!T85</f>
        <v>315951.440770199</v>
      </c>
      <c r="J22" s="54" t="n">
        <f aca="false">'Cash Flow'!T96</f>
        <v>262644.886165781</v>
      </c>
      <c r="K22" s="54" t="n">
        <f aca="false">'Cash Flow'!T147</f>
        <v>53306.5546044182</v>
      </c>
      <c r="L22" s="54" t="n">
        <f aca="false">'Cash Flow'!T125</f>
        <v>0</v>
      </c>
      <c r="M22" s="54" t="n">
        <f aca="false">'Cash Flow'!T71</f>
        <v>405247.265876851</v>
      </c>
      <c r="N22" s="54" t="n">
        <f aca="false">'Cash Flow'!T72</f>
        <v>236452.0814638</v>
      </c>
    </row>
    <row r="23" customFormat="false" ht="15" hidden="false" customHeight="false" outlineLevel="0" collapsed="false">
      <c r="B23" s="51" t="s">
        <v>276</v>
      </c>
      <c r="C23" s="59" t="str">
        <f aca="false">IF(LevRev&gt;=LCOE,"YES","NO - tariff below cost")</f>
        <v>NO - tariff below cost</v>
      </c>
      <c r="E23" s="60" t="str">
        <f aca="false">Seg4_Name&amp;"  ("&amp;FIXED(Seg4_Bill,2)&amp;"/month)"</f>
        <v>Institutions (health centre, school, water)  (105.00/month)</v>
      </c>
      <c r="F23" s="61" t="str">
        <f aca="false">IF(ISNUMBER(Seg4_BillPct),Seg4_BillPct,"n/a")</f>
        <v>n/a</v>
      </c>
      <c r="H23" s="53" t="n">
        <f aca="false">'Cash Flow'!U40</f>
        <v>2044</v>
      </c>
      <c r="I23" s="54" t="n">
        <f aca="false">'Cash Flow'!U85</f>
        <v>335192.883513104</v>
      </c>
      <c r="J23" s="54" t="n">
        <f aca="false">'Cash Flow'!U96</f>
        <v>285939.358586492</v>
      </c>
      <c r="K23" s="54" t="n">
        <f aca="false">'Cash Flow'!U147</f>
        <v>49253.5249266123</v>
      </c>
      <c r="L23" s="54" t="n">
        <f aca="false">'Cash Flow'!U125</f>
        <v>0</v>
      </c>
      <c r="M23" s="54" t="n">
        <f aca="false">'Cash Flow'!U71</f>
        <v>403221.029547467</v>
      </c>
      <c r="N23" s="54" t="n">
        <f aca="false">'Cash Flow'!U72</f>
        <v>257729.298213403</v>
      </c>
    </row>
    <row r="24" customFormat="false" ht="15" hidden="false" customHeight="false" outlineLevel="0" collapsed="false">
      <c r="B24" s="51" t="s">
        <v>277</v>
      </c>
      <c r="C24" s="59" t="str">
        <f aca="false">IF(Seg1_N=0,"n/a",IF(Seg1_Afford="YES","YES","NO - above threshold"))</f>
        <v>YES</v>
      </c>
      <c r="E24" s="60" t="str">
        <f aca="false">Seg5_Name&amp;"  ("&amp;FIXED(Seg5_Bill,2)&amp;"/month)"</f>
        <v>Other / custom  (0.00/month)</v>
      </c>
      <c r="F24" s="61" t="str">
        <f aca="false">IF(ISNUMBER(Seg5_BillPct),Seg5_BillPct,"n/a")</f>
        <v>n/a</v>
      </c>
      <c r="H24" s="53" t="n">
        <f aca="false">'Cash Flow'!V40</f>
        <v>2045</v>
      </c>
      <c r="I24" s="54" t="n">
        <f aca="false">'Cash Flow'!V85</f>
        <v>355606.130119052</v>
      </c>
      <c r="J24" s="54" t="n">
        <f aca="false">'Cash Flow'!V96</f>
        <v>310819.530890879</v>
      </c>
      <c r="K24" s="54" t="n">
        <f aca="false">'Cash Flow'!V147</f>
        <v>44786.599228173</v>
      </c>
      <c r="L24" s="54" t="n">
        <f aca="false">'Cash Flow'!V125</f>
        <v>0</v>
      </c>
      <c r="M24" s="54" t="n">
        <f aca="false">'Cash Flow'!V71</f>
        <v>401204.92439973</v>
      </c>
      <c r="N24" s="54" t="n">
        <f aca="false">'Cash Flow'!V72</f>
        <v>279573.913193967</v>
      </c>
    </row>
    <row r="25" customFormat="false" ht="15" hidden="false" customHeight="false" outlineLevel="0" collapsed="false">
      <c r="B25" s="8" t="s">
        <v>278</v>
      </c>
      <c r="E25" s="8" t="str">
        <f aca="false">"Threshold: "&amp;FIXED((AffordThreshold)*100,1)&amp;"%"&amp;" of monthly income"</f>
        <v>Threshold: 5.0% of monthly income</v>
      </c>
      <c r="H25" s="53" t="n">
        <f aca="false">'Cash Flow'!W40</f>
        <v>2046</v>
      </c>
      <c r="I25" s="54" t="n">
        <f aca="false">'Cash Flow'!W85</f>
        <v>377262.543443302</v>
      </c>
      <c r="J25" s="54" t="n">
        <f aca="false">'Cash Flow'!W96</f>
        <v>337385.694098266</v>
      </c>
      <c r="K25" s="54" t="n">
        <f aca="false">'Cash Flow'!W147</f>
        <v>39876.8493450363</v>
      </c>
      <c r="L25" s="54" t="n">
        <f aca="false">'Cash Flow'!W125</f>
        <v>0</v>
      </c>
      <c r="M25" s="54" t="n">
        <f aca="false">'Cash Flow'!W71</f>
        <v>399198.899777731</v>
      </c>
      <c r="N25" s="54" t="n">
        <f aca="false">'Cash Flow'!W72</f>
        <v>302003.302943776</v>
      </c>
    </row>
    <row r="27" customFormat="false" ht="15" hidden="false" customHeight="false" outlineLevel="0" collapsed="false">
      <c r="H27" s="50" t="s">
        <v>279</v>
      </c>
    </row>
    <row r="28" customFormat="false" ht="15" hidden="false" customHeight="false" outlineLevel="0" collapsed="false">
      <c r="H28" s="11" t="s">
        <v>280</v>
      </c>
      <c r="I28" s="54" t="n">
        <f aca="false">MIN(Grant,TotalCapex)</f>
        <v>600000</v>
      </c>
    </row>
    <row r="29" customFormat="false" ht="15" hidden="false" customHeight="false" outlineLevel="0" collapsed="false">
      <c r="H29" s="11" t="s">
        <v>252</v>
      </c>
      <c r="I29" s="54" t="n">
        <f aca="false">SenAmt</f>
        <v>112546.829385741</v>
      </c>
    </row>
    <row r="30" customFormat="false" ht="15" hidden="false" customHeight="false" outlineLevel="0" collapsed="false">
      <c r="H30" s="11" t="s">
        <v>254</v>
      </c>
      <c r="I30" s="54" t="n">
        <f aca="false">ConAmt</f>
        <v>112546.829385741</v>
      </c>
    </row>
    <row r="31" customFormat="false" ht="15" hidden="false" customHeight="false" outlineLevel="0" collapsed="false">
      <c r="H31" s="11" t="s">
        <v>281</v>
      </c>
      <c r="I31" s="54" t="n">
        <f aca="false">'Cash Flow'!$B$18</f>
        <v>337640.488157224</v>
      </c>
    </row>
  </sheetData>
  <conditionalFormatting sqref="C19:C24">
    <cfRule type="expression" priority="2" aboveAverage="0" equalAverage="0" bottom="0" percent="0" rank="0" text="" dxfId="0">
      <formula>LEFT(C19,LEN("YES"))="YES"</formula>
    </cfRule>
    <cfRule type="expression" priority="3" aboveAverage="0" equalAverage="0" bottom="0" percent="0" rank="0" text="" dxfId="1">
      <formula>OR(LEFT(C19,LEN("NO - "))="NO - ",C19="NO")</formula>
    </cfRule>
  </conditionalFormatting>
  <conditionalFormatting sqref="F20:F24">
    <cfRule type="expression" priority="4" aboveAverage="0" equalAverage="0" bottom="0" percent="0" rank="0" text="" dxfId="2">
      <formula>AND(ISNUMBER(F20),F20&gt;AffordThreshold)</formula>
    </cfRule>
    <cfRule type="expression" priority="5" aboveAverage="0" equalAverage="0" bottom="0" percent="0" rank="0" text="" dxfId="3">
      <formula>AND(ISNUMBER(F20),F20&lt;=AffordThreshold)</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79"/>
    <pageSetUpPr fitToPage="true"/>
  </sheetPr>
  <dimension ref="B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3" min="3" style="0" width="18"/>
    <col collapsed="false" customWidth="true" hidden="false" outlineLevel="0" max="4" min="4" style="0" width="2"/>
    <col collapsed="false" customWidth="true" hidden="false" outlineLevel="0" max="5" min="5" style="0" width="70"/>
  </cols>
  <sheetData>
    <row r="1" customFormat="false" ht="19.7" hidden="false" customHeight="false" outlineLevel="0" collapsed="false">
      <c r="B1" s="7" t="s">
        <v>282</v>
      </c>
    </row>
    <row r="2" customFormat="false" ht="15" hidden="false" customHeight="false" outlineLevel="0" collapsed="false">
      <c r="B2" s="8" t="s">
        <v>283</v>
      </c>
    </row>
    <row r="4" customFormat="false" ht="15" hidden="false" customHeight="false" outlineLevel="0" collapsed="false">
      <c r="B4" s="9" t="s">
        <v>284</v>
      </c>
      <c r="C4" s="10"/>
    </row>
    <row r="5" customFormat="false" ht="15" hidden="false" customHeight="false" outlineLevel="0" collapsed="false">
      <c r="B5" s="51" t="s">
        <v>285</v>
      </c>
      <c r="C5" s="62" t="n">
        <f aca="false">VGF</f>
        <v>804952.496026467</v>
      </c>
      <c r="E5" s="8" t="s">
        <v>286</v>
      </c>
    </row>
    <row r="6" customFormat="false" ht="15" hidden="false" customHeight="false" outlineLevel="0" collapsed="false">
      <c r="B6" s="51" t="s">
        <v>287</v>
      </c>
      <c r="C6" s="62" t="n">
        <f aca="false">IFERROR(VGF/TotalCustomers,0)</f>
        <v>829.847934047904</v>
      </c>
    </row>
    <row r="7" customFormat="false" ht="15" hidden="false" customHeight="false" outlineLevel="0" collapsed="false">
      <c r="B7" s="51" t="s">
        <v>288</v>
      </c>
      <c r="C7" s="62" t="n">
        <f aca="false">Grant+'Cash Flow'!$B$32</f>
        <v>817920.360631104</v>
      </c>
    </row>
    <row r="8" customFormat="false" ht="15" hidden="false" customHeight="false" outlineLevel="0" collapsed="false">
      <c r="B8" s="51" t="s">
        <v>289</v>
      </c>
      <c r="C8" s="62" t="n">
        <f aca="false">MAX(0,VGF-PlannedSubsidyPV)</f>
        <v>0</v>
      </c>
      <c r="E8" s="8" t="s">
        <v>290</v>
      </c>
    </row>
    <row r="10" customFormat="false" ht="15" hidden="false" customHeight="false" outlineLevel="0" collapsed="false">
      <c r="B10" s="9" t="s">
        <v>291</v>
      </c>
      <c r="C10" s="10"/>
    </row>
    <row r="11" customFormat="false" ht="15" hidden="false" customHeight="false" outlineLevel="0" collapsed="false">
      <c r="B11" s="51" t="s">
        <v>292</v>
      </c>
      <c r="C11" s="62" t="n">
        <f aca="false">MAX(0,VGF-'Cash Flow'!$B$32)</f>
        <v>587032.135395362</v>
      </c>
      <c r="E11" s="8" t="s">
        <v>293</v>
      </c>
    </row>
    <row r="12" customFormat="false" ht="15" hidden="false" customHeight="false" outlineLevel="0" collapsed="false">
      <c r="B12" s="51" t="s">
        <v>294</v>
      </c>
      <c r="C12" s="62" t="n">
        <f aca="false">Grant</f>
        <v>600000</v>
      </c>
    </row>
    <row r="13" customFormat="false" ht="15" hidden="false" customHeight="false" outlineLevel="0" collapsed="false">
      <c r="B13" s="51" t="s">
        <v>295</v>
      </c>
      <c r="C13" s="62" t="n">
        <f aca="false">Grant-GrantNeeded</f>
        <v>12967.8646046377</v>
      </c>
    </row>
    <row r="15" customFormat="false" ht="15" hidden="false" customHeight="false" outlineLevel="0" collapsed="false">
      <c r="B15" s="9" t="s">
        <v>296</v>
      </c>
      <c r="C15" s="10"/>
    </row>
    <row r="16" customFormat="false" ht="15" hidden="false" customHeight="false" outlineLevel="0" collapsed="false">
      <c r="B16" s="51" t="s">
        <v>297</v>
      </c>
      <c r="C16" s="62" t="n">
        <f aca="false">IFERROR(MAX(0,(VGF-Grant)/'Cash Flow'!$B$31),0)</f>
        <v>244.334171282011</v>
      </c>
      <c r="E16" s="8" t="s">
        <v>298</v>
      </c>
    </row>
    <row r="17" customFormat="false" ht="15" hidden="false" customHeight="false" outlineLevel="0" collapsed="false">
      <c r="B17" s="51" t="s">
        <v>299</v>
      </c>
      <c r="C17" s="62" t="n">
        <f aca="false">IFERROR(MAX(0,-(EqNPV-'Cash Flow'!$B$34)/'Cash Flow'!$B$33),0)</f>
        <v>346.699038925578</v>
      </c>
      <c r="E17" s="8" t="s">
        <v>300</v>
      </c>
    </row>
    <row r="18" customFormat="false" ht="15" hidden="false" customHeight="false" outlineLevel="0" collapsed="false">
      <c r="B18" s="51" t="s">
        <v>301</v>
      </c>
      <c r="C18" s="62" t="n">
        <f aca="false">AvgRBFperConn</f>
        <v>259.79381443299</v>
      </c>
    </row>
    <row r="19" customFormat="false" ht="15" hidden="false" customHeight="false" outlineLevel="0" collapsed="false">
      <c r="B19" s="51" t="s">
        <v>302</v>
      </c>
      <c r="C19" s="63" t="n">
        <f aca="false">IFERROR(MAX(0,-(EqNPV-'Cash Flow'!$B$34)/'Cash Flow'!$B$34),"n/a")</f>
        <v>1.33451614189607</v>
      </c>
      <c r="E19" s="8" t="s">
        <v>303</v>
      </c>
    </row>
    <row r="20" customFormat="false" ht="15" hidden="false" customHeight="false" outlineLevel="0" collapsed="false">
      <c r="B20" s="51" t="s">
        <v>304</v>
      </c>
      <c r="C20" s="62" t="n">
        <f aca="false">RBFNeededEq*'Cash Flow'!$B$109</f>
        <v>336298.06775781</v>
      </c>
      <c r="E20" s="8" t="s">
        <v>305</v>
      </c>
    </row>
    <row r="22" customFormat="false" ht="15" hidden="false" customHeight="false" outlineLevel="0" collapsed="false">
      <c r="B22" s="9" t="s">
        <v>306</v>
      </c>
      <c r="C22" s="10"/>
    </row>
    <row r="23" customFormat="false" ht="15" hidden="false" customHeight="false" outlineLevel="0" collapsed="false">
      <c r="B23" s="51" t="s">
        <v>307</v>
      </c>
      <c r="C23" s="62" t="n">
        <f aca="false">'Cash Flow'!$B$35</f>
        <v>118010.406757562</v>
      </c>
      <c r="E23" s="8" t="s">
        <v>308</v>
      </c>
    </row>
    <row r="24" customFormat="false" ht="15" hidden="false" customHeight="false" outlineLevel="0" collapsed="false">
      <c r="B24" s="51" t="s">
        <v>309</v>
      </c>
      <c r="C24" s="62" t="n">
        <f aca="false">SenAmt</f>
        <v>112546.829385741</v>
      </c>
    </row>
    <row r="25" customFormat="false" ht="15" hidden="false" customHeight="false" outlineLevel="0" collapsed="false">
      <c r="B25" s="51" t="s">
        <v>310</v>
      </c>
      <c r="C25" s="62" t="n">
        <f aca="false">DebtCap-SenAmt</f>
        <v>5463.57737182063</v>
      </c>
      <c r="E25" s="8" t="s">
        <v>311</v>
      </c>
    </row>
    <row r="26" customFormat="false" ht="15" hidden="false" customHeight="false" outlineLevel="0" collapsed="false">
      <c r="B26" s="51" t="s">
        <v>312</v>
      </c>
      <c r="C26" s="64" t="n">
        <f aca="false">IF(ISNUMBER(DSCR_Min),INDEX('Cash Flow'!$D$40:$W$40,1,MATCH(DSCR_Min,'Cash Flow'!$D$148:$W$148,0)),"n/a")</f>
        <v>2036</v>
      </c>
      <c r="E26" s="8" t="s">
        <v>313</v>
      </c>
    </row>
    <row r="28" customFormat="false" ht="15" hidden="false" customHeight="false" outlineLevel="0" collapsed="false">
      <c r="B28" s="9" t="s">
        <v>314</v>
      </c>
      <c r="C28" s="10"/>
    </row>
    <row r="29" customFormat="false" ht="15" hidden="false" customHeight="false" outlineLevel="0" collapsed="false">
      <c r="B29" s="51" t="s">
        <v>315</v>
      </c>
      <c r="C29" s="62" t="n">
        <f aca="false">SUM('Cash Flow'!D108:F108)</f>
        <v>252000</v>
      </c>
      <c r="E29" s="8" t="s">
        <v>316</v>
      </c>
    </row>
    <row r="30" customFormat="false" ht="15" hidden="false" customHeight="false" outlineLevel="0" collapsed="false">
      <c r="B30" s="51" t="s">
        <v>317</v>
      </c>
      <c r="C30" s="65" t="n">
        <f aca="false">IFERROR('Cash Flow'!$B$108/TotalCapex,0)</f>
        <v>0.216730540395363</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79"/>
    <pageSetUpPr fitToPage="true"/>
  </sheetPr>
  <dimension ref="B1:O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7" min="3" style="0" width="14"/>
    <col collapsed="false" customWidth="true" hidden="false" outlineLevel="0" max="11" min="8" style="0" width="13"/>
    <col collapsed="false" customWidth="true" hidden="false" outlineLevel="0" max="12" min="12" style="0" width="3"/>
    <col collapsed="false" customWidth="true" hidden="false" outlineLevel="0" max="13" min="13" style="0" width="22"/>
    <col collapsed="false" customWidth="true" hidden="false" outlineLevel="0" max="15" min="14" style="0" width="14"/>
  </cols>
  <sheetData>
    <row r="1" customFormat="false" ht="19.7" hidden="false" customHeight="false" outlineLevel="0" collapsed="false">
      <c r="B1" s="7" t="s">
        <v>318</v>
      </c>
    </row>
    <row r="2" customFormat="false" ht="15" hidden="false" customHeight="false" outlineLevel="0" collapsed="false">
      <c r="B2" s="8" t="str">
        <f aca="false">"Each variable is moved by -/+ "&amp;FIXED((SensDelta)*100,0)&amp;"%"&amp;" around the active scenario ("&amp;ScenarioName&amp;"), one at a time. Computed by hidden copies of the cash-flow engine."</f>
        <v>Each variable is moved by -/+ 20% around the active scenario (Base), one at a time. Computed by hidden copies of the cash-flow engine.</v>
      </c>
    </row>
    <row r="4" customFormat="false" ht="30" hidden="false" customHeight="true" outlineLevel="0" collapsed="false">
      <c r="B4" s="43" t="s">
        <v>319</v>
      </c>
      <c r="C4" s="43" t="s">
        <v>320</v>
      </c>
      <c r="D4" s="43" t="s">
        <v>321</v>
      </c>
      <c r="E4" s="43" t="s">
        <v>322</v>
      </c>
      <c r="F4" s="43" t="s">
        <v>323</v>
      </c>
      <c r="G4" s="43" t="s">
        <v>324</v>
      </c>
      <c r="H4" s="43" t="s">
        <v>325</v>
      </c>
      <c r="I4" s="43" t="s">
        <v>326</v>
      </c>
      <c r="J4" s="43" t="s">
        <v>327</v>
      </c>
      <c r="K4" s="43" t="s">
        <v>328</v>
      </c>
      <c r="M4" s="9" t="s">
        <v>329</v>
      </c>
      <c r="N4" s="10"/>
      <c r="O4" s="10"/>
    </row>
    <row r="5" customFormat="false" ht="15" hidden="false" customHeight="false" outlineLevel="0" collapsed="false">
      <c r="B5" s="16" t="s">
        <v>330</v>
      </c>
      <c r="C5" s="66" t="n">
        <f aca="false">NPV_Post</f>
        <v>12967.8646046378</v>
      </c>
      <c r="D5" s="66" t="n">
        <f aca="false">NPV_Post</f>
        <v>12967.8646046378</v>
      </c>
      <c r="F5" s="66" t="n">
        <f aca="false">VGF</f>
        <v>804952.496026467</v>
      </c>
      <c r="G5" s="66" t="n">
        <f aca="false">VGF</f>
        <v>804952.496026467</v>
      </c>
      <c r="H5" s="67" t="n">
        <f aca="false">DSCR_Min</f>
        <v>1.33882599799415</v>
      </c>
      <c r="I5" s="67" t="n">
        <f aca="false">DSCR_Min</f>
        <v>1.33882599799415</v>
      </c>
      <c r="J5" s="68" t="n">
        <f aca="false">IRR_Eq</f>
        <v>0.100606165849542</v>
      </c>
      <c r="K5" s="68" t="n">
        <f aca="false">IRR_Eq</f>
        <v>0.100606165849542</v>
      </c>
      <c r="M5" s="69" t="s">
        <v>319</v>
      </c>
      <c r="N5" s="69" t="s">
        <v>331</v>
      </c>
      <c r="O5" s="69" t="s">
        <v>332</v>
      </c>
    </row>
    <row r="6" customFormat="false" ht="15" hidden="false" customHeight="false" outlineLevel="0" collapsed="false">
      <c r="B6" s="11" t="s">
        <v>67</v>
      </c>
      <c r="C6" s="70" t="n">
        <f aca="false">S_Tariff_Lo!$B$21</f>
        <v>-288458.222610756</v>
      </c>
      <c r="D6" s="70" t="n">
        <f aca="false">S_Tariff_Hi!$B$21</f>
        <v>261835.958555377</v>
      </c>
      <c r="E6" s="39" t="n">
        <f aca="false">ABS(D6-C6)+ROW()/1000000</f>
        <v>550294.181172133</v>
      </c>
      <c r="F6" s="70" t="n">
        <f aca="false">S_Tariff_Lo!$B$24</f>
        <v>1106378.58324186</v>
      </c>
      <c r="G6" s="70" t="n">
        <f aca="false">S_Tariff_Hi!$B$24</f>
        <v>556084.402075727</v>
      </c>
      <c r="H6" s="35" t="n">
        <f aca="false">S_Tariff_Lo!$B$27</f>
        <v>-1.55007437370944</v>
      </c>
      <c r="I6" s="35" t="n">
        <f aca="false">S_Tariff_Hi!$B$27</f>
        <v>2.39076936463844</v>
      </c>
      <c r="J6" s="34" t="str">
        <f aca="false">S_Tariff_Lo!$B$25</f>
        <v>n/a</v>
      </c>
      <c r="K6" s="34" t="n">
        <f aca="false">S_Tariff_Hi!$B$25</f>
        <v>0.218535050339075</v>
      </c>
      <c r="M6" s="0" t="str">
        <f aca="false">INDEX($B$6:$B$12,MATCH(LARGE($E$6:$E$12,7),$E$6:$E$12,0))</f>
        <v>Interest rates</v>
      </c>
      <c r="N6" s="71" t="n">
        <f aca="false">INDEX($C$6:$C$12,MATCH(LARGE($E$6:$E$12,7),$E$6:$E$12,0))-NPV_Post</f>
        <v>0</v>
      </c>
      <c r="O6" s="71" t="n">
        <f aca="false">INDEX($D$6:$D$12,MATCH(LARGE($E$6:$E$12,7),$E$6:$E$12,0))-NPV_Post</f>
        <v>0</v>
      </c>
    </row>
    <row r="7" customFormat="false" ht="15" hidden="false" customHeight="false" outlineLevel="0" collapsed="false">
      <c r="B7" s="11" t="s">
        <v>333</v>
      </c>
      <c r="C7" s="70" t="n">
        <f aca="false">S_Demand_Lo!$B$21</f>
        <v>-64453.2022576357</v>
      </c>
      <c r="D7" s="70" t="n">
        <f aca="false">S_Demand_Hi!$B$21</f>
        <v>-39515.1912914301</v>
      </c>
      <c r="E7" s="39" t="n">
        <f aca="false">ABS(D7-C7)+ROW()/1000000</f>
        <v>24938.0109732056</v>
      </c>
      <c r="F7" s="70" t="n">
        <f aca="false">S_Demand_Lo!$B$24</f>
        <v>882373.56288874</v>
      </c>
      <c r="G7" s="70" t="n">
        <f aca="false">S_Demand_Hi!$B$24</f>
        <v>857435.551922535</v>
      </c>
      <c r="H7" s="35" t="n">
        <f aca="false">S_Demand_Lo!$B$27</f>
        <v>0.622445864680283</v>
      </c>
      <c r="I7" s="35" t="n">
        <f aca="false">S_Demand_Hi!$B$27</f>
        <v>0.741635019070839</v>
      </c>
      <c r="J7" s="34" t="n">
        <f aca="false">S_Demand_Lo!$B$25</f>
        <v>0.0694259640015164</v>
      </c>
      <c r="K7" s="34" t="n">
        <f aca="false">S_Demand_Hi!$B$25</f>
        <v>0.0504109575533035</v>
      </c>
      <c r="M7" s="0" t="str">
        <f aca="false">INDEX($B$6:$B$12,MATCH(LARGE($E$6:$E$12,6),$E$6:$E$12,0))</f>
        <v>Demand</v>
      </c>
      <c r="N7" s="71" t="n">
        <f aca="false">INDEX($C$6:$C$12,MATCH(LARGE($E$6:$E$12,6),$E$6:$E$12,0))-NPV_Post</f>
        <v>-77421.0668622735</v>
      </c>
      <c r="O7" s="71" t="n">
        <f aca="false">INDEX($D$6:$D$12,MATCH(LARGE($E$6:$E$12,6),$E$6:$E$12,0))-NPV_Post</f>
        <v>-52483.0558960679</v>
      </c>
    </row>
    <row r="8" customFormat="false" ht="15" hidden="false" customHeight="false" outlineLevel="0" collapsed="false">
      <c r="B8" s="11" t="s">
        <v>69</v>
      </c>
      <c r="C8" s="70" t="n">
        <f aca="false">S_Capex_Lo!$B$21</f>
        <v>311740.128640466</v>
      </c>
      <c r="D8" s="70" t="n">
        <f aca="false">S_Capex_Hi!$B$21</f>
        <v>-308810.177918716</v>
      </c>
      <c r="E8" s="39" t="n">
        <f aca="false">ABS(D8-C8)+ROW()/1000000</f>
        <v>620550.306567182</v>
      </c>
      <c r="F8" s="70" t="n">
        <f aca="false">S_Capex_Lo!$B$24</f>
        <v>506180.231990638</v>
      </c>
      <c r="G8" s="70" t="n">
        <f aca="false">S_Capex_Hi!$B$24</f>
        <v>1126730.53854982</v>
      </c>
      <c r="H8" s="35" t="n">
        <f aca="false">S_Capex_Lo!$B$27</f>
        <v>2.94612288966694</v>
      </c>
      <c r="I8" s="35" t="n">
        <f aca="false">S_Capex_Hi!$B$27</f>
        <v>0.671503297008596</v>
      </c>
      <c r="J8" s="34" t="n">
        <f aca="false">S_Capex_Lo!$B$25</f>
        <v>0.408382382957849</v>
      </c>
      <c r="K8" s="34" t="n">
        <f aca="false">S_Capex_Hi!$B$25</f>
        <v>-0.0324328782192742</v>
      </c>
      <c r="M8" s="0" t="str">
        <f aca="false">INDEX($B$6:$B$12,MATCH(LARGE($E$6:$E$12,5),$E$6:$E$12,0))</f>
        <v>Diesel price</v>
      </c>
      <c r="N8" s="71" t="n">
        <f aca="false">INDEX($C$6:$C$12,MATCH(LARGE($E$6:$E$12,5),$E$6:$E$12,0))-NPV_Post</f>
        <v>70409.8161773892</v>
      </c>
      <c r="O8" s="71" t="n">
        <f aca="false">INDEX($D$6:$D$12,MATCH(LARGE($E$6:$E$12,5),$E$6:$E$12,0))-NPV_Post</f>
        <v>-83566.823932455</v>
      </c>
    </row>
    <row r="9" customFormat="false" ht="15" hidden="false" customHeight="false" outlineLevel="0" collapsed="false">
      <c r="B9" s="11" t="s">
        <v>70</v>
      </c>
      <c r="C9" s="70" t="n">
        <f aca="false">S_Opex_Lo!$B$21</f>
        <v>121656.480228376</v>
      </c>
      <c r="D9" s="70" t="n">
        <f aca="false">S_Opex_Hi!$B$21</f>
        <v>-110185.035412828</v>
      </c>
      <c r="E9" s="39" t="n">
        <f aca="false">ABS(D9-C9)+ROW()/1000000</f>
        <v>231841.515650204</v>
      </c>
      <c r="F9" s="70" t="n">
        <f aca="false">S_Opex_Lo!$B$24</f>
        <v>696263.880402729</v>
      </c>
      <c r="G9" s="70" t="n">
        <f aca="false">S_Opex_Hi!$B$24</f>
        <v>928105.396043932</v>
      </c>
      <c r="H9" s="35" t="n">
        <f aca="false">S_Opex_Lo!$B$27</f>
        <v>1.7889821073242</v>
      </c>
      <c r="I9" s="35" t="n">
        <f aca="false">S_Opex_Hi!$B$27</f>
        <v>0.888669888664099</v>
      </c>
      <c r="J9" s="34" t="n">
        <f aca="false">S_Opex_Lo!$B$25</f>
        <v>0.159909459021983</v>
      </c>
      <c r="K9" s="34" t="n">
        <f aca="false">S_Opex_Hi!$B$25</f>
        <v>0.0164375899029265</v>
      </c>
      <c r="M9" s="0" t="str">
        <f aca="false">INDEX($B$6:$B$12,MATCH(LARGE($E$6:$E$12,4),$E$6:$E$12,0))</f>
        <v>OPEX</v>
      </c>
      <c r="N9" s="71" t="n">
        <f aca="false">INDEX($C$6:$C$12,MATCH(LARGE($E$6:$E$12,4),$E$6:$E$12,0))-NPV_Post</f>
        <v>108688.615623738</v>
      </c>
      <c r="O9" s="71" t="n">
        <f aca="false">INDEX($D$6:$D$12,MATCH(LARGE($E$6:$E$12,4),$E$6:$E$12,0))-NPV_Post</f>
        <v>-123152.900017466</v>
      </c>
    </row>
    <row r="10" customFormat="false" ht="15" hidden="false" customHeight="false" outlineLevel="0" collapsed="false">
      <c r="B10" s="11" t="s">
        <v>71</v>
      </c>
      <c r="C10" s="70" t="n">
        <f aca="false">S_Coll_Lo!$B$21</f>
        <v>-288458.222610756</v>
      </c>
      <c r="D10" s="70" t="n">
        <f aca="false">S_Coll_Hi!$B$21</f>
        <v>126773.278709244</v>
      </c>
      <c r="E10" s="39" t="n">
        <f aca="false">ABS(D10-C10)+ROW()/1000000</f>
        <v>415231.50133</v>
      </c>
      <c r="F10" s="70" t="n">
        <f aca="false">S_Coll_Lo!$B$24</f>
        <v>1106378.58324186</v>
      </c>
      <c r="G10" s="70" t="n">
        <f aca="false">S_Coll_Hi!$B$24</f>
        <v>691147.081921861</v>
      </c>
      <c r="H10" s="35" t="n">
        <f aca="false">S_Coll_Lo!$B$27</f>
        <v>-1.55007437370944</v>
      </c>
      <c r="I10" s="35" t="n">
        <f aca="false">S_Coll_Hi!$B$27</f>
        <v>1.85263733417388</v>
      </c>
      <c r="J10" s="34" t="str">
        <f aca="false">S_Coll_Lo!$B$25</f>
        <v>n/a</v>
      </c>
      <c r="K10" s="34" t="n">
        <f aca="false">S_Coll_Hi!$B$25</f>
        <v>0.159593307845574</v>
      </c>
      <c r="M10" s="0" t="str">
        <f aca="false">INDEX($B$6:$B$12,MATCH(LARGE($E$6:$E$12,3),$E$6:$E$12,0))</f>
        <v>Collection rate</v>
      </c>
      <c r="N10" s="71" t="n">
        <f aca="false">INDEX($C$6:$C$12,MATCH(LARGE($E$6:$E$12,3),$E$6:$E$12,0))-NPV_Post</f>
        <v>-301426.087215394</v>
      </c>
      <c r="O10" s="71" t="n">
        <f aca="false">INDEX($D$6:$D$12,MATCH(LARGE($E$6:$E$12,3),$E$6:$E$12,0))-NPV_Post</f>
        <v>113805.414104606</v>
      </c>
    </row>
    <row r="11" customFormat="false" ht="15" hidden="false" customHeight="false" outlineLevel="0" collapsed="false">
      <c r="B11" s="11" t="s">
        <v>72</v>
      </c>
      <c r="C11" s="70" t="n">
        <f aca="false">S_Fuel_Lo!$B$21</f>
        <v>83377.6807820271</v>
      </c>
      <c r="D11" s="70" t="n">
        <f aca="false">S_Fuel_Hi!$B$21</f>
        <v>-70598.9593278171</v>
      </c>
      <c r="E11" s="39" t="n">
        <f aca="false">ABS(D11-C11)+ROW()/1000000</f>
        <v>153976.640120844</v>
      </c>
      <c r="F11" s="70" t="n">
        <f aca="false">S_Fuel_Lo!$B$24</f>
        <v>734542.679849077</v>
      </c>
      <c r="G11" s="70" t="n">
        <f aca="false">S_Fuel_Hi!$B$24</f>
        <v>888519.319958922</v>
      </c>
      <c r="H11" s="35" t="n">
        <f aca="false">S_Fuel_Lo!$B$27</f>
        <v>1.61487346933868</v>
      </c>
      <c r="I11" s="35" t="n">
        <f aca="false">S_Fuel_Hi!$B$27</f>
        <v>0.784224918492585</v>
      </c>
      <c r="J11" s="34" t="n">
        <f aca="false">S_Fuel_Lo!$B$25</f>
        <v>0.136010571911</v>
      </c>
      <c r="K11" s="34" t="n">
        <f aca="false">S_Fuel_Hi!$B$25</f>
        <v>0.0295460934241899</v>
      </c>
      <c r="M11" s="0" t="str">
        <f aca="false">INDEX($B$6:$B$12,MATCH(LARGE($E$6:$E$12,2),$E$6:$E$12,0))</f>
        <v>Tariff</v>
      </c>
      <c r="N11" s="71" t="n">
        <f aca="false">INDEX($C$6:$C$12,MATCH(LARGE($E$6:$E$12,2),$E$6:$E$12,0))-NPV_Post</f>
        <v>-301426.087215394</v>
      </c>
      <c r="O11" s="71" t="n">
        <f aca="false">INDEX($D$6:$D$12,MATCH(LARGE($E$6:$E$12,2),$E$6:$E$12,0))-NPV_Post</f>
        <v>248868.093950739</v>
      </c>
    </row>
    <row r="12" customFormat="false" ht="15" hidden="false" customHeight="false" outlineLevel="0" collapsed="false">
      <c r="B12" s="11" t="s">
        <v>334</v>
      </c>
      <c r="C12" s="70" t="n">
        <f aca="false">S_Rate_Lo!$B$21</f>
        <v>12967.8646046378</v>
      </c>
      <c r="D12" s="70" t="n">
        <f aca="false">S_Rate_Hi!$B$21</f>
        <v>12967.8646046378</v>
      </c>
      <c r="E12" s="39" t="n">
        <f aca="false">ABS(D12-C12)+ROW()/1000000</f>
        <v>1.2E-005</v>
      </c>
      <c r="F12" s="70" t="n">
        <f aca="false">S_Rate_Lo!$B$24</f>
        <v>804952.496026467</v>
      </c>
      <c r="G12" s="70" t="n">
        <f aca="false">S_Rate_Hi!$B$24</f>
        <v>804952.496026467</v>
      </c>
      <c r="H12" s="35" t="n">
        <f aca="false">S_Rate_Lo!$B$27</f>
        <v>1.41789710345006</v>
      </c>
      <c r="I12" s="35" t="n">
        <f aca="false">S_Rate_Hi!$B$27</f>
        <v>1.26619542614103</v>
      </c>
      <c r="J12" s="34" t="n">
        <f aca="false">S_Rate_Lo!$B$25</f>
        <v>0.109356405278428</v>
      </c>
      <c r="K12" s="34" t="n">
        <f aca="false">S_Rate_Hi!$B$25</f>
        <v>0.0920199442116727</v>
      </c>
      <c r="M12" s="0" t="str">
        <f aca="false">INDEX($B$6:$B$12,MATCH(LARGE($E$6:$E$12,1),$E$6:$E$12,0))</f>
        <v>CAPEX</v>
      </c>
      <c r="N12" s="71" t="n">
        <f aca="false">INDEX($C$6:$C$12,MATCH(LARGE($E$6:$E$12,1),$E$6:$E$12,0))-NPV_Post</f>
        <v>298772.264035828</v>
      </c>
      <c r="O12" s="71" t="n">
        <f aca="false">INDEX($D$6:$D$12,MATCH(LARGE($E$6:$E$12,1),$E$6:$E$12,0))-NPV_Post</f>
        <v>-321778.042523353</v>
      </c>
    </row>
    <row r="13" customFormat="false" ht="15" hidden="false" customHeight="false" outlineLevel="0" collapsed="false">
      <c r="B13" s="8" t="s">
        <v>335</v>
      </c>
    </row>
    <row r="35" customFormat="false" ht="15" hidden="false" customHeight="false" outlineLevel="0" collapsed="false">
      <c r="B35" s="9" t="s">
        <v>336</v>
      </c>
      <c r="C35" s="10"/>
      <c r="D35" s="10"/>
    </row>
    <row r="36" customFormat="false" ht="15" hidden="false" customHeight="false" outlineLevel="0" collapsed="false">
      <c r="B36" s="11" t="s">
        <v>337</v>
      </c>
      <c r="D36" s="72" t="n">
        <f aca="false">IFERROR(1+(0-NPV_Pre)/((S_Tariff_Hi!$B$20-S_Tariff_Lo!$B$20)/(2*SensDelta)),"n/a")</f>
        <v>1.58510703807239</v>
      </c>
    </row>
    <row r="37" customFormat="false" ht="15" hidden="false" customHeight="false" outlineLevel="0" collapsed="false">
      <c r="B37" s="11" t="s">
        <v>338</v>
      </c>
      <c r="D37" s="73" t="n">
        <f aca="false">IFERROR(D36*AvgTariff,"n/a")</f>
        <v>0.600732657534008</v>
      </c>
    </row>
    <row r="38" customFormat="false" ht="15" hidden="false" customHeight="false" outlineLevel="0" collapsed="false">
      <c r="B38" s="8" t="s">
        <v>339</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79"/>
    <pageSetUpPr fitToPage="true"/>
  </sheetPr>
  <dimension ref="A1:W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4" style="0" width="11"/>
  </cols>
  <sheetData>
    <row r="1" customFormat="false" ht="19.7" hidden="false" customHeight="false" outlineLevel="0" collapsed="false">
      <c r="A1" s="7" t="s">
        <v>340</v>
      </c>
    </row>
    <row r="2" customFormat="false" ht="15" hidden="false" customHeight="false" outlineLevel="0" collapsed="false">
      <c r="A2" s="8" t="s">
        <v>341</v>
      </c>
    </row>
    <row r="4" customFormat="false" ht="15" hidden="false" customHeight="false" outlineLevel="0" collapsed="false">
      <c r="A4" s="16" t="s">
        <v>241</v>
      </c>
      <c r="B4" s="74" t="s">
        <v>342</v>
      </c>
      <c r="D4" s="75" t="n">
        <f aca="false">'Cash Flow'!D40</f>
        <v>2027</v>
      </c>
      <c r="E4" s="75" t="n">
        <f aca="false">'Cash Flow'!E40</f>
        <v>2028</v>
      </c>
      <c r="F4" s="75" t="n">
        <f aca="false">'Cash Flow'!F40</f>
        <v>2029</v>
      </c>
      <c r="G4" s="75" t="n">
        <f aca="false">'Cash Flow'!G40</f>
        <v>2030</v>
      </c>
      <c r="H4" s="75" t="n">
        <f aca="false">'Cash Flow'!H40</f>
        <v>2031</v>
      </c>
      <c r="I4" s="75" t="n">
        <f aca="false">'Cash Flow'!I40</f>
        <v>2032</v>
      </c>
      <c r="J4" s="75" t="n">
        <f aca="false">'Cash Flow'!J40</f>
        <v>2033</v>
      </c>
      <c r="K4" s="75" t="n">
        <f aca="false">'Cash Flow'!K40</f>
        <v>2034</v>
      </c>
      <c r="L4" s="75" t="n">
        <f aca="false">'Cash Flow'!L40</f>
        <v>2035</v>
      </c>
      <c r="M4" s="75" t="n">
        <f aca="false">'Cash Flow'!M40</f>
        <v>2036</v>
      </c>
      <c r="N4" s="75" t="n">
        <f aca="false">'Cash Flow'!N40</f>
        <v>2037</v>
      </c>
      <c r="O4" s="75" t="n">
        <f aca="false">'Cash Flow'!O40</f>
        <v>2038</v>
      </c>
      <c r="P4" s="75" t="n">
        <f aca="false">'Cash Flow'!P40</f>
        <v>2039</v>
      </c>
      <c r="Q4" s="75" t="n">
        <f aca="false">'Cash Flow'!Q40</f>
        <v>2040</v>
      </c>
      <c r="R4" s="75" t="n">
        <f aca="false">'Cash Flow'!R40</f>
        <v>2041</v>
      </c>
      <c r="S4" s="75" t="n">
        <f aca="false">'Cash Flow'!S40</f>
        <v>2042</v>
      </c>
      <c r="T4" s="75" t="n">
        <f aca="false">'Cash Flow'!T40</f>
        <v>2043</v>
      </c>
      <c r="U4" s="75" t="n">
        <f aca="false">'Cash Flow'!U40</f>
        <v>2044</v>
      </c>
      <c r="V4" s="75" t="n">
        <f aca="false">'Cash Flow'!V40</f>
        <v>2045</v>
      </c>
      <c r="W4" s="75" t="n">
        <f aca="false">'Cash Flow'!W40</f>
        <v>2046</v>
      </c>
    </row>
    <row r="5" customFormat="false" ht="15" hidden="false" customHeight="false" outlineLevel="0" collapsed="false">
      <c r="A5" s="9" t="s">
        <v>343</v>
      </c>
      <c r="B5" s="10"/>
      <c r="C5" s="10"/>
      <c r="D5" s="10"/>
      <c r="E5" s="10"/>
      <c r="F5" s="10"/>
      <c r="G5" s="10"/>
      <c r="H5" s="10"/>
      <c r="I5" s="10"/>
      <c r="J5" s="10"/>
      <c r="K5" s="10"/>
      <c r="L5" s="10"/>
      <c r="M5" s="10"/>
      <c r="N5" s="10"/>
      <c r="O5" s="10"/>
      <c r="P5" s="10"/>
      <c r="Q5" s="10"/>
      <c r="R5" s="10"/>
      <c r="S5" s="10"/>
      <c r="T5" s="10"/>
      <c r="U5" s="10"/>
      <c r="V5" s="10"/>
      <c r="W5" s="10"/>
    </row>
    <row r="6" customFormat="false" ht="15" hidden="false" customHeight="false" outlineLevel="0" collapsed="false">
      <c r="A6" s="11" t="str">
        <f aca="false">"Verified new connections - "&amp;Seg1_Name</f>
        <v>Verified new connections - Households</v>
      </c>
      <c r="B6" s="76" t="n">
        <f aca="false">SUM(D6:W6)</f>
        <v>800</v>
      </c>
      <c r="D6" s="54" t="n">
        <f aca="false">'Cash Flow'!D54</f>
        <v>480</v>
      </c>
      <c r="E6" s="54" t="n">
        <f aca="false">'Cash Flow'!E54</f>
        <v>200</v>
      </c>
      <c r="F6" s="54" t="n">
        <f aca="false">'Cash Flow'!F54</f>
        <v>120</v>
      </c>
      <c r="G6" s="54" t="n">
        <f aca="false">'Cash Flow'!G54</f>
        <v>0</v>
      </c>
      <c r="H6" s="54" t="n">
        <f aca="false">'Cash Flow'!H54</f>
        <v>0</v>
      </c>
      <c r="I6" s="54" t="n">
        <f aca="false">'Cash Flow'!I54</f>
        <v>0</v>
      </c>
      <c r="J6" s="54" t="n">
        <f aca="false">'Cash Flow'!J54</f>
        <v>0</v>
      </c>
      <c r="K6" s="54" t="n">
        <f aca="false">'Cash Flow'!K54</f>
        <v>0</v>
      </c>
      <c r="L6" s="54" t="n">
        <f aca="false">'Cash Flow'!L54</f>
        <v>0</v>
      </c>
      <c r="M6" s="54" t="n">
        <f aca="false">'Cash Flow'!M54</f>
        <v>0</v>
      </c>
      <c r="N6" s="54" t="n">
        <f aca="false">'Cash Flow'!N54</f>
        <v>0</v>
      </c>
      <c r="O6" s="54" t="n">
        <f aca="false">'Cash Flow'!O54</f>
        <v>0</v>
      </c>
      <c r="P6" s="54" t="n">
        <f aca="false">'Cash Flow'!P54</f>
        <v>0</v>
      </c>
      <c r="Q6" s="54" t="n">
        <f aca="false">'Cash Flow'!Q54</f>
        <v>0</v>
      </c>
      <c r="R6" s="54" t="n">
        <f aca="false">'Cash Flow'!R54</f>
        <v>0</v>
      </c>
      <c r="S6" s="54" t="n">
        <f aca="false">'Cash Flow'!S54</f>
        <v>0</v>
      </c>
      <c r="T6" s="54" t="n">
        <f aca="false">'Cash Flow'!T54</f>
        <v>0</v>
      </c>
      <c r="U6" s="54" t="n">
        <f aca="false">'Cash Flow'!U54</f>
        <v>0</v>
      </c>
      <c r="V6" s="54" t="n">
        <f aca="false">'Cash Flow'!V54</f>
        <v>0</v>
      </c>
      <c r="W6" s="54" t="n">
        <f aca="false">'Cash Flow'!W54</f>
        <v>0</v>
      </c>
    </row>
    <row r="7" customFormat="false" ht="15" hidden="false" customHeight="false" outlineLevel="0" collapsed="false">
      <c r="A7" s="11" t="str">
        <f aca="false">"Verified new connections - "&amp;Seg2_Name</f>
        <v>Verified new connections - Productive users (mills, welding, cold rooms)</v>
      </c>
      <c r="B7" s="76" t="n">
        <f aca="false">SUM(D7:W7)</f>
        <v>60</v>
      </c>
      <c r="D7" s="54" t="n">
        <f aca="false">'Cash Flow'!D55</f>
        <v>36</v>
      </c>
      <c r="E7" s="54" t="n">
        <f aca="false">'Cash Flow'!E55</f>
        <v>15</v>
      </c>
      <c r="F7" s="54" t="n">
        <f aca="false">'Cash Flow'!F55</f>
        <v>9</v>
      </c>
      <c r="G7" s="54" t="n">
        <f aca="false">'Cash Flow'!G55</f>
        <v>0</v>
      </c>
      <c r="H7" s="54" t="n">
        <f aca="false">'Cash Flow'!H55</f>
        <v>0</v>
      </c>
      <c r="I7" s="54" t="n">
        <f aca="false">'Cash Flow'!I55</f>
        <v>0</v>
      </c>
      <c r="J7" s="54" t="n">
        <f aca="false">'Cash Flow'!J55</f>
        <v>0</v>
      </c>
      <c r="K7" s="54" t="n">
        <f aca="false">'Cash Flow'!K55</f>
        <v>0</v>
      </c>
      <c r="L7" s="54" t="n">
        <f aca="false">'Cash Flow'!L55</f>
        <v>0</v>
      </c>
      <c r="M7" s="54" t="n">
        <f aca="false">'Cash Flow'!M55</f>
        <v>0</v>
      </c>
      <c r="N7" s="54" t="n">
        <f aca="false">'Cash Flow'!N55</f>
        <v>0</v>
      </c>
      <c r="O7" s="54" t="n">
        <f aca="false">'Cash Flow'!O55</f>
        <v>0</v>
      </c>
      <c r="P7" s="54" t="n">
        <f aca="false">'Cash Flow'!P55</f>
        <v>0</v>
      </c>
      <c r="Q7" s="54" t="n">
        <f aca="false">'Cash Flow'!Q55</f>
        <v>0</v>
      </c>
      <c r="R7" s="54" t="n">
        <f aca="false">'Cash Flow'!R55</f>
        <v>0</v>
      </c>
      <c r="S7" s="54" t="n">
        <f aca="false">'Cash Flow'!S55</f>
        <v>0</v>
      </c>
      <c r="T7" s="54" t="n">
        <f aca="false">'Cash Flow'!T55</f>
        <v>0</v>
      </c>
      <c r="U7" s="54" t="n">
        <f aca="false">'Cash Flow'!U55</f>
        <v>0</v>
      </c>
      <c r="V7" s="54" t="n">
        <f aca="false">'Cash Flow'!V55</f>
        <v>0</v>
      </c>
      <c r="W7" s="54" t="n">
        <f aca="false">'Cash Flow'!W55</f>
        <v>0</v>
      </c>
    </row>
    <row r="8" customFormat="false" ht="15" hidden="false" customHeight="false" outlineLevel="0" collapsed="false">
      <c r="A8" s="11" t="str">
        <f aca="false">"Verified new connections - "&amp;Seg3_Name</f>
        <v>Verified new connections - Commercial (shops, bars, kiosks)</v>
      </c>
      <c r="B8" s="76" t="n">
        <f aca="false">SUM(D8:W8)</f>
        <v>100</v>
      </c>
      <c r="D8" s="54" t="n">
        <f aca="false">'Cash Flow'!D56</f>
        <v>60</v>
      </c>
      <c r="E8" s="54" t="n">
        <f aca="false">'Cash Flow'!E56</f>
        <v>25</v>
      </c>
      <c r="F8" s="54" t="n">
        <f aca="false">'Cash Flow'!F56</f>
        <v>15</v>
      </c>
      <c r="G8" s="54" t="n">
        <f aca="false">'Cash Flow'!G56</f>
        <v>0</v>
      </c>
      <c r="H8" s="54" t="n">
        <f aca="false">'Cash Flow'!H56</f>
        <v>0</v>
      </c>
      <c r="I8" s="54" t="n">
        <f aca="false">'Cash Flow'!I56</f>
        <v>0</v>
      </c>
      <c r="J8" s="54" t="n">
        <f aca="false">'Cash Flow'!J56</f>
        <v>0</v>
      </c>
      <c r="K8" s="54" t="n">
        <f aca="false">'Cash Flow'!K56</f>
        <v>0</v>
      </c>
      <c r="L8" s="54" t="n">
        <f aca="false">'Cash Flow'!L56</f>
        <v>0</v>
      </c>
      <c r="M8" s="54" t="n">
        <f aca="false">'Cash Flow'!M56</f>
        <v>0</v>
      </c>
      <c r="N8" s="54" t="n">
        <f aca="false">'Cash Flow'!N56</f>
        <v>0</v>
      </c>
      <c r="O8" s="54" t="n">
        <f aca="false">'Cash Flow'!O56</f>
        <v>0</v>
      </c>
      <c r="P8" s="54" t="n">
        <f aca="false">'Cash Flow'!P56</f>
        <v>0</v>
      </c>
      <c r="Q8" s="54" t="n">
        <f aca="false">'Cash Flow'!Q56</f>
        <v>0</v>
      </c>
      <c r="R8" s="54" t="n">
        <f aca="false">'Cash Flow'!R56</f>
        <v>0</v>
      </c>
      <c r="S8" s="54" t="n">
        <f aca="false">'Cash Flow'!S56</f>
        <v>0</v>
      </c>
      <c r="T8" s="54" t="n">
        <f aca="false">'Cash Flow'!T56</f>
        <v>0</v>
      </c>
      <c r="U8" s="54" t="n">
        <f aca="false">'Cash Flow'!U56</f>
        <v>0</v>
      </c>
      <c r="V8" s="54" t="n">
        <f aca="false">'Cash Flow'!V56</f>
        <v>0</v>
      </c>
      <c r="W8" s="54" t="n">
        <f aca="false">'Cash Flow'!W56</f>
        <v>0</v>
      </c>
    </row>
    <row r="9" customFormat="false" ht="15" hidden="false" customHeight="false" outlineLevel="0" collapsed="false">
      <c r="A9" s="11" t="str">
        <f aca="false">"Verified new connections - "&amp;Seg4_Name</f>
        <v>Verified new connections - Institutions (health centre, school, water)</v>
      </c>
      <c r="B9" s="76" t="n">
        <f aca="false">SUM(D9:W9)</f>
        <v>10</v>
      </c>
      <c r="D9" s="54" t="n">
        <f aca="false">'Cash Flow'!D57</f>
        <v>6</v>
      </c>
      <c r="E9" s="54" t="n">
        <f aca="false">'Cash Flow'!E57</f>
        <v>2.5</v>
      </c>
      <c r="F9" s="54" t="n">
        <f aca="false">'Cash Flow'!F57</f>
        <v>1.5</v>
      </c>
      <c r="G9" s="54" t="n">
        <f aca="false">'Cash Flow'!G57</f>
        <v>0</v>
      </c>
      <c r="H9" s="54" t="n">
        <f aca="false">'Cash Flow'!H57</f>
        <v>0</v>
      </c>
      <c r="I9" s="54" t="n">
        <f aca="false">'Cash Flow'!I57</f>
        <v>0</v>
      </c>
      <c r="J9" s="54" t="n">
        <f aca="false">'Cash Flow'!J57</f>
        <v>0</v>
      </c>
      <c r="K9" s="54" t="n">
        <f aca="false">'Cash Flow'!K57</f>
        <v>0</v>
      </c>
      <c r="L9" s="54" t="n">
        <f aca="false">'Cash Flow'!L57</f>
        <v>0</v>
      </c>
      <c r="M9" s="54" t="n">
        <f aca="false">'Cash Flow'!M57</f>
        <v>0</v>
      </c>
      <c r="N9" s="54" t="n">
        <f aca="false">'Cash Flow'!N57</f>
        <v>0</v>
      </c>
      <c r="O9" s="54" t="n">
        <f aca="false">'Cash Flow'!O57</f>
        <v>0</v>
      </c>
      <c r="P9" s="54" t="n">
        <f aca="false">'Cash Flow'!P57</f>
        <v>0</v>
      </c>
      <c r="Q9" s="54" t="n">
        <f aca="false">'Cash Flow'!Q57</f>
        <v>0</v>
      </c>
      <c r="R9" s="54" t="n">
        <f aca="false">'Cash Flow'!R57</f>
        <v>0</v>
      </c>
      <c r="S9" s="54" t="n">
        <f aca="false">'Cash Flow'!S57</f>
        <v>0</v>
      </c>
      <c r="T9" s="54" t="n">
        <f aca="false">'Cash Flow'!T57</f>
        <v>0</v>
      </c>
      <c r="U9" s="54" t="n">
        <f aca="false">'Cash Flow'!U57</f>
        <v>0</v>
      </c>
      <c r="V9" s="54" t="n">
        <f aca="false">'Cash Flow'!V57</f>
        <v>0</v>
      </c>
      <c r="W9" s="54" t="n">
        <f aca="false">'Cash Flow'!W57</f>
        <v>0</v>
      </c>
    </row>
    <row r="10" customFormat="false" ht="15" hidden="false" customHeight="false" outlineLevel="0" collapsed="false">
      <c r="A10" s="11" t="str">
        <f aca="false">"Verified new connections - "&amp;Seg5_Name</f>
        <v>Verified new connections - Other / custom</v>
      </c>
      <c r="B10" s="76" t="n">
        <f aca="false">SUM(D10:W10)</f>
        <v>0</v>
      </c>
      <c r="D10" s="54" t="n">
        <f aca="false">'Cash Flow'!D58</f>
        <v>0</v>
      </c>
      <c r="E10" s="54" t="n">
        <f aca="false">'Cash Flow'!E58</f>
        <v>0</v>
      </c>
      <c r="F10" s="54" t="n">
        <f aca="false">'Cash Flow'!F58</f>
        <v>0</v>
      </c>
      <c r="G10" s="54" t="n">
        <f aca="false">'Cash Flow'!G58</f>
        <v>0</v>
      </c>
      <c r="H10" s="54" t="n">
        <f aca="false">'Cash Flow'!H58</f>
        <v>0</v>
      </c>
      <c r="I10" s="54" t="n">
        <f aca="false">'Cash Flow'!I58</f>
        <v>0</v>
      </c>
      <c r="J10" s="54" t="n">
        <f aca="false">'Cash Flow'!J58</f>
        <v>0</v>
      </c>
      <c r="K10" s="54" t="n">
        <f aca="false">'Cash Flow'!K58</f>
        <v>0</v>
      </c>
      <c r="L10" s="54" t="n">
        <f aca="false">'Cash Flow'!L58</f>
        <v>0</v>
      </c>
      <c r="M10" s="54" t="n">
        <f aca="false">'Cash Flow'!M58</f>
        <v>0</v>
      </c>
      <c r="N10" s="54" t="n">
        <f aca="false">'Cash Flow'!N58</f>
        <v>0</v>
      </c>
      <c r="O10" s="54" t="n">
        <f aca="false">'Cash Flow'!O58</f>
        <v>0</v>
      </c>
      <c r="P10" s="54" t="n">
        <f aca="false">'Cash Flow'!P58</f>
        <v>0</v>
      </c>
      <c r="Q10" s="54" t="n">
        <f aca="false">'Cash Flow'!Q58</f>
        <v>0</v>
      </c>
      <c r="R10" s="54" t="n">
        <f aca="false">'Cash Flow'!R58</f>
        <v>0</v>
      </c>
      <c r="S10" s="54" t="n">
        <f aca="false">'Cash Flow'!S58</f>
        <v>0</v>
      </c>
      <c r="T10" s="54" t="n">
        <f aca="false">'Cash Flow'!T58</f>
        <v>0</v>
      </c>
      <c r="U10" s="54" t="n">
        <f aca="false">'Cash Flow'!U58</f>
        <v>0</v>
      </c>
      <c r="V10" s="54" t="n">
        <f aca="false">'Cash Flow'!V58</f>
        <v>0</v>
      </c>
      <c r="W10" s="54" t="n">
        <f aca="false">'Cash Flow'!W58</f>
        <v>0</v>
      </c>
    </row>
    <row r="11" customFormat="false" ht="15" hidden="false" customHeight="false" outlineLevel="0" collapsed="false">
      <c r="A11" s="11" t="s">
        <v>344</v>
      </c>
      <c r="B11" s="76" t="n">
        <f aca="false">MAX(D11:W11)</f>
        <v>970</v>
      </c>
      <c r="D11" s="54" t="n">
        <f aca="false">'Cash Flow'!D53</f>
        <v>582</v>
      </c>
      <c r="E11" s="54" t="n">
        <f aca="false">'Cash Flow'!E53</f>
        <v>824.5</v>
      </c>
      <c r="F11" s="54" t="n">
        <f aca="false">'Cash Flow'!F53</f>
        <v>970</v>
      </c>
      <c r="G11" s="54" t="n">
        <f aca="false">'Cash Flow'!G53</f>
        <v>970</v>
      </c>
      <c r="H11" s="54" t="n">
        <f aca="false">'Cash Flow'!H53</f>
        <v>970</v>
      </c>
      <c r="I11" s="54" t="n">
        <f aca="false">'Cash Flow'!I53</f>
        <v>970</v>
      </c>
      <c r="J11" s="54" t="n">
        <f aca="false">'Cash Flow'!J53</f>
        <v>970</v>
      </c>
      <c r="K11" s="54" t="n">
        <f aca="false">'Cash Flow'!K53</f>
        <v>970</v>
      </c>
      <c r="L11" s="54" t="n">
        <f aca="false">'Cash Flow'!L53</f>
        <v>970</v>
      </c>
      <c r="M11" s="54" t="n">
        <f aca="false">'Cash Flow'!M53</f>
        <v>970</v>
      </c>
      <c r="N11" s="54" t="n">
        <f aca="false">'Cash Flow'!N53</f>
        <v>970</v>
      </c>
      <c r="O11" s="54" t="n">
        <f aca="false">'Cash Flow'!O53</f>
        <v>970</v>
      </c>
      <c r="P11" s="54" t="n">
        <f aca="false">'Cash Flow'!P53</f>
        <v>970</v>
      </c>
      <c r="Q11" s="54" t="n">
        <f aca="false">'Cash Flow'!Q53</f>
        <v>970</v>
      </c>
      <c r="R11" s="54" t="n">
        <f aca="false">'Cash Flow'!R53</f>
        <v>970</v>
      </c>
      <c r="S11" s="54" t="n">
        <f aca="false">'Cash Flow'!S53</f>
        <v>970</v>
      </c>
      <c r="T11" s="54" t="n">
        <f aca="false">'Cash Flow'!T53</f>
        <v>970</v>
      </c>
      <c r="U11" s="54" t="n">
        <f aca="false">'Cash Flow'!U53</f>
        <v>970</v>
      </c>
      <c r="V11" s="54" t="n">
        <f aca="false">'Cash Flow'!V53</f>
        <v>970</v>
      </c>
      <c r="W11" s="54" t="n">
        <f aca="false">'Cash Flow'!W53</f>
        <v>970</v>
      </c>
    </row>
    <row r="12" customFormat="false" ht="15" hidden="false" customHeight="false" outlineLevel="0" collapsed="false">
      <c r="A12" s="11" t="s">
        <v>345</v>
      </c>
      <c r="B12" s="76" t="n">
        <f aca="false">MAX(D12:W12)</f>
        <v>4000</v>
      </c>
      <c r="D12" s="54" t="n">
        <f aca="false">'Cash Flow'!D48*HHSize</f>
        <v>2400</v>
      </c>
      <c r="E12" s="54" t="n">
        <f aca="false">'Cash Flow'!E48*HHSize</f>
        <v>3400</v>
      </c>
      <c r="F12" s="54" t="n">
        <f aca="false">'Cash Flow'!F48*HHSize</f>
        <v>4000</v>
      </c>
      <c r="G12" s="54" t="n">
        <f aca="false">'Cash Flow'!G48*HHSize</f>
        <v>4000</v>
      </c>
      <c r="H12" s="54" t="n">
        <f aca="false">'Cash Flow'!H48*HHSize</f>
        <v>4000</v>
      </c>
      <c r="I12" s="54" t="n">
        <f aca="false">'Cash Flow'!I48*HHSize</f>
        <v>4000</v>
      </c>
      <c r="J12" s="54" t="n">
        <f aca="false">'Cash Flow'!J48*HHSize</f>
        <v>4000</v>
      </c>
      <c r="K12" s="54" t="n">
        <f aca="false">'Cash Flow'!K48*HHSize</f>
        <v>4000</v>
      </c>
      <c r="L12" s="54" t="n">
        <f aca="false">'Cash Flow'!L48*HHSize</f>
        <v>4000</v>
      </c>
      <c r="M12" s="54" t="n">
        <f aca="false">'Cash Flow'!M48*HHSize</f>
        <v>4000</v>
      </c>
      <c r="N12" s="54" t="n">
        <f aca="false">'Cash Flow'!N48*HHSize</f>
        <v>4000</v>
      </c>
      <c r="O12" s="54" t="n">
        <f aca="false">'Cash Flow'!O48*HHSize</f>
        <v>4000</v>
      </c>
      <c r="P12" s="54" t="n">
        <f aca="false">'Cash Flow'!P48*HHSize</f>
        <v>4000</v>
      </c>
      <c r="Q12" s="54" t="n">
        <f aca="false">'Cash Flow'!Q48*HHSize</f>
        <v>4000</v>
      </c>
      <c r="R12" s="54" t="n">
        <f aca="false">'Cash Flow'!R48*HHSize</f>
        <v>4000</v>
      </c>
      <c r="S12" s="54" t="n">
        <f aca="false">'Cash Flow'!S48*HHSize</f>
        <v>4000</v>
      </c>
      <c r="T12" s="54" t="n">
        <f aca="false">'Cash Flow'!T48*HHSize</f>
        <v>4000</v>
      </c>
      <c r="U12" s="54" t="n">
        <f aca="false">'Cash Flow'!U48*HHSize</f>
        <v>4000</v>
      </c>
      <c r="V12" s="54" t="n">
        <f aca="false">'Cash Flow'!V48*HHSize</f>
        <v>4000</v>
      </c>
      <c r="W12" s="54" t="n">
        <f aca="false">'Cash Flow'!W48*HHSize</f>
        <v>4000</v>
      </c>
    </row>
    <row r="13" customFormat="false" ht="15" hidden="false" customHeight="false" outlineLevel="0" collapsed="false">
      <c r="A13" s="11" t="s">
        <v>346</v>
      </c>
      <c r="B13" s="76" t="n">
        <f aca="false">MAX(D13:W13)</f>
        <v>60</v>
      </c>
      <c r="D13" s="54" t="n">
        <f aca="false">'Cash Flow'!D49</f>
        <v>36</v>
      </c>
      <c r="E13" s="54" t="n">
        <f aca="false">'Cash Flow'!E49</f>
        <v>51</v>
      </c>
      <c r="F13" s="54" t="n">
        <f aca="false">'Cash Flow'!F49</f>
        <v>60</v>
      </c>
      <c r="G13" s="54" t="n">
        <f aca="false">'Cash Flow'!G49</f>
        <v>60</v>
      </c>
      <c r="H13" s="54" t="n">
        <f aca="false">'Cash Flow'!H49</f>
        <v>60</v>
      </c>
      <c r="I13" s="54" t="n">
        <f aca="false">'Cash Flow'!I49</f>
        <v>60</v>
      </c>
      <c r="J13" s="54" t="n">
        <f aca="false">'Cash Flow'!J49</f>
        <v>60</v>
      </c>
      <c r="K13" s="54" t="n">
        <f aca="false">'Cash Flow'!K49</f>
        <v>60</v>
      </c>
      <c r="L13" s="54" t="n">
        <f aca="false">'Cash Flow'!L49</f>
        <v>60</v>
      </c>
      <c r="M13" s="54" t="n">
        <f aca="false">'Cash Flow'!M49</f>
        <v>60</v>
      </c>
      <c r="N13" s="54" t="n">
        <f aca="false">'Cash Flow'!N49</f>
        <v>60</v>
      </c>
      <c r="O13" s="54" t="n">
        <f aca="false">'Cash Flow'!O49</f>
        <v>60</v>
      </c>
      <c r="P13" s="54" t="n">
        <f aca="false">'Cash Flow'!P49</f>
        <v>60</v>
      </c>
      <c r="Q13" s="54" t="n">
        <f aca="false">'Cash Flow'!Q49</f>
        <v>60</v>
      </c>
      <c r="R13" s="54" t="n">
        <f aca="false">'Cash Flow'!R49</f>
        <v>60</v>
      </c>
      <c r="S13" s="54" t="n">
        <f aca="false">'Cash Flow'!S49</f>
        <v>60</v>
      </c>
      <c r="T13" s="54" t="n">
        <f aca="false">'Cash Flow'!T49</f>
        <v>60</v>
      </c>
      <c r="U13" s="54" t="n">
        <f aca="false">'Cash Flow'!U49</f>
        <v>60</v>
      </c>
      <c r="V13" s="54" t="n">
        <f aca="false">'Cash Flow'!V49</f>
        <v>60</v>
      </c>
      <c r="W13" s="54" t="n">
        <f aca="false">'Cash Flow'!W49</f>
        <v>60</v>
      </c>
    </row>
    <row r="14" customFormat="false" ht="15" hidden="false" customHeight="false" outlineLevel="0" collapsed="false">
      <c r="A14" s="11" t="s">
        <v>347</v>
      </c>
      <c r="B14" s="76" t="n">
        <f aca="false">MAX(D14:W14)</f>
        <v>90</v>
      </c>
      <c r="D14" s="54" t="n">
        <f aca="false">'Cash Flow'!D49*JobsPerPU</f>
        <v>54</v>
      </c>
      <c r="E14" s="54" t="n">
        <f aca="false">'Cash Flow'!E49*JobsPerPU</f>
        <v>76.5</v>
      </c>
      <c r="F14" s="54" t="n">
        <f aca="false">'Cash Flow'!F49*JobsPerPU</f>
        <v>90</v>
      </c>
      <c r="G14" s="54" t="n">
        <f aca="false">'Cash Flow'!G49*JobsPerPU</f>
        <v>90</v>
      </c>
      <c r="H14" s="54" t="n">
        <f aca="false">'Cash Flow'!H49*JobsPerPU</f>
        <v>90</v>
      </c>
      <c r="I14" s="54" t="n">
        <f aca="false">'Cash Flow'!I49*JobsPerPU</f>
        <v>90</v>
      </c>
      <c r="J14" s="54" t="n">
        <f aca="false">'Cash Flow'!J49*JobsPerPU</f>
        <v>90</v>
      </c>
      <c r="K14" s="54" t="n">
        <f aca="false">'Cash Flow'!K49*JobsPerPU</f>
        <v>90</v>
      </c>
      <c r="L14" s="54" t="n">
        <f aca="false">'Cash Flow'!L49*JobsPerPU</f>
        <v>90</v>
      </c>
      <c r="M14" s="54" t="n">
        <f aca="false">'Cash Flow'!M49*JobsPerPU</f>
        <v>90</v>
      </c>
      <c r="N14" s="54" t="n">
        <f aca="false">'Cash Flow'!N49*JobsPerPU</f>
        <v>90</v>
      </c>
      <c r="O14" s="54" t="n">
        <f aca="false">'Cash Flow'!O49*JobsPerPU</f>
        <v>90</v>
      </c>
      <c r="P14" s="54" t="n">
        <f aca="false">'Cash Flow'!P49*JobsPerPU</f>
        <v>90</v>
      </c>
      <c r="Q14" s="54" t="n">
        <f aca="false">'Cash Flow'!Q49*JobsPerPU</f>
        <v>90</v>
      </c>
      <c r="R14" s="54" t="n">
        <f aca="false">'Cash Flow'!R49*JobsPerPU</f>
        <v>90</v>
      </c>
      <c r="S14" s="54" t="n">
        <f aca="false">'Cash Flow'!S49*JobsPerPU</f>
        <v>90</v>
      </c>
      <c r="T14" s="54" t="n">
        <f aca="false">'Cash Flow'!T49*JobsPerPU</f>
        <v>90</v>
      </c>
      <c r="U14" s="54" t="n">
        <f aca="false">'Cash Flow'!U49*JobsPerPU</f>
        <v>90</v>
      </c>
      <c r="V14" s="54" t="n">
        <f aca="false">'Cash Flow'!V49*JobsPerPU</f>
        <v>90</v>
      </c>
      <c r="W14" s="54" t="n">
        <f aca="false">'Cash Flow'!W49*JobsPerPU</f>
        <v>90</v>
      </c>
    </row>
    <row r="15" customFormat="false" ht="15" hidden="false" customHeight="false" outlineLevel="0" collapsed="false">
      <c r="A15" s="11" t="s">
        <v>348</v>
      </c>
      <c r="B15" s="76" t="n">
        <f aca="false">MAX(D15:W15)</f>
        <v>10</v>
      </c>
      <c r="D15" s="54" t="n">
        <f aca="false">'Cash Flow'!D51</f>
        <v>6</v>
      </c>
      <c r="E15" s="54" t="n">
        <f aca="false">'Cash Flow'!E51</f>
        <v>8.5</v>
      </c>
      <c r="F15" s="54" t="n">
        <f aca="false">'Cash Flow'!F51</f>
        <v>10</v>
      </c>
      <c r="G15" s="54" t="n">
        <f aca="false">'Cash Flow'!G51</f>
        <v>10</v>
      </c>
      <c r="H15" s="54" t="n">
        <f aca="false">'Cash Flow'!H51</f>
        <v>10</v>
      </c>
      <c r="I15" s="54" t="n">
        <f aca="false">'Cash Flow'!I51</f>
        <v>10</v>
      </c>
      <c r="J15" s="54" t="n">
        <f aca="false">'Cash Flow'!J51</f>
        <v>10</v>
      </c>
      <c r="K15" s="54" t="n">
        <f aca="false">'Cash Flow'!K51</f>
        <v>10</v>
      </c>
      <c r="L15" s="54" t="n">
        <f aca="false">'Cash Flow'!L51</f>
        <v>10</v>
      </c>
      <c r="M15" s="54" t="n">
        <f aca="false">'Cash Flow'!M51</f>
        <v>10</v>
      </c>
      <c r="N15" s="54" t="n">
        <f aca="false">'Cash Flow'!N51</f>
        <v>10</v>
      </c>
      <c r="O15" s="54" t="n">
        <f aca="false">'Cash Flow'!O51</f>
        <v>10</v>
      </c>
      <c r="P15" s="54" t="n">
        <f aca="false">'Cash Flow'!P51</f>
        <v>10</v>
      </c>
      <c r="Q15" s="54" t="n">
        <f aca="false">'Cash Flow'!Q51</f>
        <v>10</v>
      </c>
      <c r="R15" s="54" t="n">
        <f aca="false">'Cash Flow'!R51</f>
        <v>10</v>
      </c>
      <c r="S15" s="54" t="n">
        <f aca="false">'Cash Flow'!S51</f>
        <v>10</v>
      </c>
      <c r="T15" s="54" t="n">
        <f aca="false">'Cash Flow'!T51</f>
        <v>10</v>
      </c>
      <c r="U15" s="54" t="n">
        <f aca="false">'Cash Flow'!U51</f>
        <v>10</v>
      </c>
      <c r="V15" s="54" t="n">
        <f aca="false">'Cash Flow'!V51</f>
        <v>10</v>
      </c>
      <c r="W15" s="54" t="n">
        <f aca="false">'Cash Flow'!W51</f>
        <v>10</v>
      </c>
    </row>
    <row r="17" customFormat="false" ht="15" hidden="false" customHeight="false" outlineLevel="0" collapsed="false">
      <c r="A17" s="9" t="s">
        <v>349</v>
      </c>
      <c r="B17" s="10"/>
      <c r="C17" s="10"/>
      <c r="D17" s="10"/>
      <c r="E17" s="10"/>
      <c r="F17" s="10"/>
      <c r="G17" s="10"/>
      <c r="H17" s="10"/>
      <c r="I17" s="10"/>
      <c r="J17" s="10"/>
      <c r="K17" s="10"/>
      <c r="L17" s="10"/>
      <c r="M17" s="10"/>
      <c r="N17" s="10"/>
      <c r="O17" s="10"/>
      <c r="P17" s="10"/>
      <c r="Q17" s="10"/>
      <c r="R17" s="10"/>
      <c r="S17" s="10"/>
      <c r="T17" s="10"/>
      <c r="U17" s="10"/>
      <c r="V17" s="10"/>
      <c r="W17" s="10"/>
    </row>
    <row r="18" customFormat="false" ht="15" hidden="false" customHeight="false" outlineLevel="0" collapsed="false">
      <c r="A18" s="11" t="s">
        <v>350</v>
      </c>
      <c r="B18" s="77" t="n">
        <f aca="false">SUM(D18:W18)</f>
        <v>9260.54360105247</v>
      </c>
      <c r="D18" s="78" t="n">
        <f aca="false">'Cash Flow'!D66/1000</f>
        <v>211.139712</v>
      </c>
      <c r="E18" s="78" t="n">
        <f aca="false">'Cash Flow'!E66/1000</f>
        <v>308.08802976</v>
      </c>
      <c r="F18" s="78" t="n">
        <f aca="false">'Cash Flow'!F66/1000</f>
        <v>373.330200768</v>
      </c>
      <c r="G18" s="78" t="n">
        <f aca="false">'Cash Flow'!G66/1000</f>
        <v>384.53010679104</v>
      </c>
      <c r="H18" s="78" t="n">
        <f aca="false">'Cash Flow'!H66/1000</f>
        <v>396.066009994771</v>
      </c>
      <c r="I18" s="78" t="n">
        <f aca="false">'Cash Flow'!I66/1000</f>
        <v>407.947990294614</v>
      </c>
      <c r="J18" s="78" t="n">
        <f aca="false">'Cash Flow'!J66/1000</f>
        <v>420.186430003453</v>
      </c>
      <c r="K18" s="78" t="n">
        <f aca="false">'Cash Flow'!K66/1000</f>
        <v>432.792022903556</v>
      </c>
      <c r="L18" s="78" t="n">
        <f aca="false">'Cash Flow'!L66/1000</f>
        <v>445.775783590663</v>
      </c>
      <c r="M18" s="78" t="n">
        <f aca="false">'Cash Flow'!M66/1000</f>
        <v>459.149057098383</v>
      </c>
      <c r="N18" s="78" t="n">
        <f aca="false">'Cash Flow'!N66/1000</f>
        <v>472.923528811335</v>
      </c>
      <c r="O18" s="78" t="n">
        <f aca="false">'Cash Flow'!O66/1000</f>
        <v>487.111234675675</v>
      </c>
      <c r="P18" s="78" t="n">
        <f aca="false">'Cash Flow'!P66/1000</f>
        <v>501.724571715945</v>
      </c>
      <c r="Q18" s="78" t="n">
        <f aca="false">'Cash Flow'!Q66/1000</f>
        <v>516.776308867423</v>
      </c>
      <c r="R18" s="78" t="n">
        <f aca="false">'Cash Flow'!R66/1000</f>
        <v>532.279598133446</v>
      </c>
      <c r="S18" s="78" t="n">
        <f aca="false">'Cash Flow'!S66/1000</f>
        <v>548.247986077449</v>
      </c>
      <c r="T18" s="78" t="n">
        <f aca="false">'Cash Flow'!T66/1000</f>
        <v>564.695425659773</v>
      </c>
      <c r="U18" s="78" t="n">
        <f aca="false">'Cash Flow'!U66/1000</f>
        <v>581.636288429566</v>
      </c>
      <c r="V18" s="78" t="n">
        <f aca="false">'Cash Flow'!V66/1000</f>
        <v>599.085377082453</v>
      </c>
      <c r="W18" s="78" t="n">
        <f aca="false">'Cash Flow'!W66/1000</f>
        <v>617.057938394927</v>
      </c>
    </row>
    <row r="19" customFormat="false" ht="15" hidden="false" customHeight="false" outlineLevel="0" collapsed="false">
      <c r="A19" s="11" t="s">
        <v>351</v>
      </c>
      <c r="B19" s="77" t="n">
        <f aca="false">SUM(D19:W19)</f>
        <v>2944.73372369716</v>
      </c>
      <c r="D19" s="78" t="n">
        <f aca="false">'Cash Flow'!D62/1000</f>
        <v>67.139712</v>
      </c>
      <c r="E19" s="78" t="n">
        <f aca="false">'Cash Flow'!E62/1000</f>
        <v>97.96802976</v>
      </c>
      <c r="F19" s="78" t="n">
        <f aca="false">'Cash Flow'!F62/1000</f>
        <v>118.714200768</v>
      </c>
      <c r="G19" s="78" t="n">
        <f aca="false">'Cash Flow'!G62/1000</f>
        <v>122.27562679104</v>
      </c>
      <c r="H19" s="78" t="n">
        <f aca="false">'Cash Flow'!H62/1000</f>
        <v>125.943895594771</v>
      </c>
      <c r="I19" s="78" t="n">
        <f aca="false">'Cash Flow'!I62/1000</f>
        <v>129.722212462614</v>
      </c>
      <c r="J19" s="78" t="n">
        <f aca="false">'Cash Flow'!J62/1000</f>
        <v>133.613878836493</v>
      </c>
      <c r="K19" s="78" t="n">
        <f aca="false">'Cash Flow'!K62/1000</f>
        <v>137.622295201588</v>
      </c>
      <c r="L19" s="78" t="n">
        <f aca="false">'Cash Flow'!L62/1000</f>
        <v>141.750964057635</v>
      </c>
      <c r="M19" s="78" t="n">
        <f aca="false">'Cash Flow'!M62/1000</f>
        <v>146.003492979364</v>
      </c>
      <c r="N19" s="78" t="n">
        <f aca="false">'Cash Flow'!N62/1000</f>
        <v>150.383597768745</v>
      </c>
      <c r="O19" s="78" t="n">
        <f aca="false">'Cash Flow'!O62/1000</f>
        <v>154.895105701808</v>
      </c>
      <c r="P19" s="78" t="n">
        <f aca="false">'Cash Flow'!P62/1000</f>
        <v>159.541958872862</v>
      </c>
      <c r="Q19" s="78" t="n">
        <f aca="false">'Cash Flow'!Q62/1000</f>
        <v>164.328217639048</v>
      </c>
      <c r="R19" s="78" t="n">
        <f aca="false">'Cash Flow'!R62/1000</f>
        <v>169.258064168219</v>
      </c>
      <c r="S19" s="78" t="n">
        <f aca="false">'Cash Flow'!S62/1000</f>
        <v>174.335806093266</v>
      </c>
      <c r="T19" s="78" t="n">
        <f aca="false">'Cash Flow'!T62/1000</f>
        <v>179.565880276064</v>
      </c>
      <c r="U19" s="78" t="n">
        <f aca="false">'Cash Flow'!U62/1000</f>
        <v>184.952856684346</v>
      </c>
      <c r="V19" s="78" t="n">
        <f aca="false">'Cash Flow'!V62/1000</f>
        <v>190.501442384876</v>
      </c>
      <c r="W19" s="78" t="n">
        <f aca="false">'Cash Flow'!W62/1000</f>
        <v>196.216485656422</v>
      </c>
    </row>
    <row r="20" customFormat="false" ht="15" hidden="false" customHeight="false" outlineLevel="0" collapsed="false">
      <c r="A20" s="11" t="s">
        <v>352</v>
      </c>
      <c r="B20" s="77" t="n">
        <f aca="false">SUM(D20:W20)</f>
        <v>7903.45319236348</v>
      </c>
      <c r="D20" s="78" t="n">
        <f aca="false">'Cash Flow'!D71/1000</f>
        <v>215.938341818182</v>
      </c>
      <c r="E20" s="78" t="n">
        <f aca="false">'Cash Flow'!E71/1000</f>
        <v>315.090030436364</v>
      </c>
      <c r="F20" s="78" t="n">
        <f aca="false">'Cash Flow'!F71/1000</f>
        <v>381.814978058182</v>
      </c>
      <c r="G20" s="78" t="n">
        <f aca="false">'Cash Flow'!G71/1000</f>
        <v>393.269427399927</v>
      </c>
      <c r="H20" s="78" t="n">
        <f aca="false">'Cash Flow'!H71/1000</f>
        <v>405.067510221925</v>
      </c>
      <c r="I20" s="78" t="n">
        <f aca="false">'Cash Flow'!I71/1000</f>
        <v>417.219535528583</v>
      </c>
      <c r="J20" s="78" t="n">
        <f aca="false">'Cash Flow'!J71/1000</f>
        <v>426.078172123344</v>
      </c>
      <c r="K20" s="78" t="n">
        <f aca="false">'Cash Flow'!K71/1000</f>
        <v>423.947781262727</v>
      </c>
      <c r="L20" s="78" t="n">
        <f aca="false">'Cash Flow'!L71/1000</f>
        <v>421.828042356414</v>
      </c>
      <c r="M20" s="78" t="n">
        <f aca="false">'Cash Flow'!M71/1000</f>
        <v>419.718902144632</v>
      </c>
      <c r="N20" s="78" t="n">
        <f aca="false">'Cash Flow'!N71/1000</f>
        <v>417.620307633909</v>
      </c>
      <c r="O20" s="78" t="n">
        <f aca="false">'Cash Flow'!O71/1000</f>
        <v>415.532206095739</v>
      </c>
      <c r="P20" s="78" t="n">
        <f aca="false">'Cash Flow'!P71/1000</f>
        <v>413.45454506526</v>
      </c>
      <c r="Q20" s="78" t="n">
        <f aca="false">'Cash Flow'!Q71/1000</f>
        <v>411.387272339934</v>
      </c>
      <c r="R20" s="78" t="n">
        <f aca="false">'Cash Flow'!R71/1000</f>
        <v>409.330335978234</v>
      </c>
      <c r="S20" s="78" t="n">
        <f aca="false">'Cash Flow'!S71/1000</f>
        <v>407.283684298343</v>
      </c>
      <c r="T20" s="78" t="n">
        <f aca="false">'Cash Flow'!T71/1000</f>
        <v>405.247265876851</v>
      </c>
      <c r="U20" s="78" t="n">
        <f aca="false">'Cash Flow'!U71/1000</f>
        <v>403.221029547467</v>
      </c>
      <c r="V20" s="78" t="n">
        <f aca="false">'Cash Flow'!V71/1000</f>
        <v>401.20492439973</v>
      </c>
      <c r="W20" s="78" t="n">
        <f aca="false">'Cash Flow'!W71/1000</f>
        <v>399.198899777731</v>
      </c>
    </row>
    <row r="21" customFormat="false" ht="15" hidden="false" customHeight="false" outlineLevel="0" collapsed="false">
      <c r="A21" s="11" t="s">
        <v>353</v>
      </c>
      <c r="B21" s="68"/>
      <c r="D21" s="79" t="n">
        <f aca="false">'Cash Flow'!D73</f>
        <v>0.9</v>
      </c>
      <c r="E21" s="79" t="n">
        <f aca="false">'Cash Flow'!E73</f>
        <v>0.9</v>
      </c>
      <c r="F21" s="79" t="n">
        <f aca="false">'Cash Flow'!F73</f>
        <v>0.9</v>
      </c>
      <c r="G21" s="79" t="n">
        <f aca="false">'Cash Flow'!G73</f>
        <v>0.9</v>
      </c>
      <c r="H21" s="79" t="n">
        <f aca="false">'Cash Flow'!H73</f>
        <v>0.9</v>
      </c>
      <c r="I21" s="79" t="n">
        <f aca="false">'Cash Flow'!I73</f>
        <v>0.9</v>
      </c>
      <c r="J21" s="79" t="n">
        <f aca="false">'Cash Flow'!J73</f>
        <v>0.892339125434065</v>
      </c>
      <c r="K21" s="79" t="n">
        <f aca="false">'Cash Flow'!K73</f>
        <v>0.862016922142616</v>
      </c>
      <c r="L21" s="79" t="n">
        <f aca="false">'Cash Flow'!L73</f>
        <v>0.83272508498243</v>
      </c>
      <c r="M21" s="79" t="n">
        <f aca="false">'Cash Flow'!M73</f>
        <v>0.804428601512153</v>
      </c>
      <c r="N21" s="79" t="n">
        <f aca="false">'Cash Flow'!N73</f>
        <v>0.777093649033585</v>
      </c>
      <c r="O21" s="79" t="n">
        <f aca="false">'Cash Flow'!O73</f>
        <v>0.750687554163511</v>
      </c>
      <c r="P21" s="79" t="n">
        <f aca="false">'Cash Flow'!P73</f>
        <v>0.725178753779314</v>
      </c>
      <c r="Q21" s="79" t="n">
        <f aca="false">'Cash Flow'!Q73</f>
        <v>0.700536757291668</v>
      </c>
      <c r="R21" s="79" t="n">
        <f aca="false">'Cash Flow'!R73</f>
        <v>0.676732110199232</v>
      </c>
      <c r="S21" s="79" t="n">
        <f aca="false">'Cash Flow'!S73</f>
        <v>0.653736358881783</v>
      </c>
      <c r="T21" s="79" t="n">
        <f aca="false">'Cash Flow'!T73</f>
        <v>0.631522016589683</v>
      </c>
      <c r="U21" s="79" t="n">
        <f aca="false">'Cash Flow'!U73</f>
        <v>0.610062530589063</v>
      </c>
      <c r="V21" s="79" t="n">
        <f aca="false">'Cash Flow'!V73</f>
        <v>0.589332250423415</v>
      </c>
      <c r="W21" s="79" t="n">
        <f aca="false">'Cash Flow'!W73</f>
        <v>0.569306397253687</v>
      </c>
    </row>
    <row r="22" customFormat="false" ht="15" hidden="false" customHeight="false" outlineLevel="0" collapsed="false">
      <c r="A22" s="11" t="s">
        <v>354</v>
      </c>
      <c r="B22" s="77" t="n">
        <f aca="false">SUM(D22:W22)</f>
        <v>7060.41818517804</v>
      </c>
      <c r="D22" s="78" t="n">
        <f aca="false">'Cash Flow'!D71/DieselEff*CO2perL/1000*BaselineShare</f>
        <v>192.904918690909</v>
      </c>
      <c r="E22" s="78" t="n">
        <f aca="false">'Cash Flow'!E71/DieselEff*CO2perL/1000*BaselineShare</f>
        <v>281.480427189818</v>
      </c>
      <c r="F22" s="78" t="n">
        <f aca="false">'Cash Flow'!F71/DieselEff*CO2perL/1000*BaselineShare</f>
        <v>341.088047065309</v>
      </c>
      <c r="G22" s="78" t="n">
        <f aca="false">'Cash Flow'!G71/DieselEff*CO2perL/1000*BaselineShare</f>
        <v>351.320688477268</v>
      </c>
      <c r="H22" s="78" t="n">
        <f aca="false">'Cash Flow'!H71/DieselEff*CO2perL/1000*BaselineShare</f>
        <v>361.860309131586</v>
      </c>
      <c r="I22" s="78" t="n">
        <f aca="false">'Cash Flow'!I71/DieselEff*CO2perL/1000*BaselineShare</f>
        <v>372.716118405534</v>
      </c>
      <c r="J22" s="78" t="n">
        <f aca="false">'Cash Flow'!J71/DieselEff*CO2perL/1000*BaselineShare</f>
        <v>380.629833763521</v>
      </c>
      <c r="K22" s="78" t="n">
        <f aca="false">'Cash Flow'!K71/DieselEff*CO2perL/1000*BaselineShare</f>
        <v>378.726684594703</v>
      </c>
      <c r="L22" s="78" t="n">
        <f aca="false">'Cash Flow'!L71/DieselEff*CO2perL/1000*BaselineShare</f>
        <v>376.83305117173</v>
      </c>
      <c r="M22" s="78" t="n">
        <f aca="false">'Cash Flow'!M71/DieselEff*CO2perL/1000*BaselineShare</f>
        <v>374.948885915871</v>
      </c>
      <c r="N22" s="78" t="n">
        <f aca="false">'Cash Flow'!N71/DieselEff*CO2perL/1000*BaselineShare</f>
        <v>373.074141486292</v>
      </c>
      <c r="O22" s="78" t="n">
        <f aca="false">'Cash Flow'!O71/DieselEff*CO2perL/1000*BaselineShare</f>
        <v>371.20877077886</v>
      </c>
      <c r="P22" s="78" t="n">
        <f aca="false">'Cash Flow'!P71/DieselEff*CO2perL/1000*BaselineShare</f>
        <v>369.352726924966</v>
      </c>
      <c r="Q22" s="78" t="n">
        <f aca="false">'Cash Flow'!Q71/DieselEff*CO2perL/1000*BaselineShare</f>
        <v>367.505963290341</v>
      </c>
      <c r="R22" s="78" t="n">
        <f aca="false">'Cash Flow'!R71/DieselEff*CO2perL/1000*BaselineShare</f>
        <v>365.668433473889</v>
      </c>
      <c r="S22" s="78" t="n">
        <f aca="false">'Cash Flow'!S71/DieselEff*CO2perL/1000*BaselineShare</f>
        <v>363.84009130652</v>
      </c>
      <c r="T22" s="78" t="n">
        <f aca="false">'Cash Flow'!T71/DieselEff*CO2perL/1000*BaselineShare</f>
        <v>362.020890849987</v>
      </c>
      <c r="U22" s="78" t="n">
        <f aca="false">'Cash Flow'!U71/DieselEff*CO2perL/1000*BaselineShare</f>
        <v>360.210786395737</v>
      </c>
      <c r="V22" s="78" t="n">
        <f aca="false">'Cash Flow'!V71/DieselEff*CO2perL/1000*BaselineShare</f>
        <v>358.409732463759</v>
      </c>
      <c r="W22" s="78" t="n">
        <f aca="false">'Cash Flow'!W71/DieselEff*CO2perL/1000*BaselineShare</f>
        <v>356.61768380144</v>
      </c>
    </row>
    <row r="24" customFormat="false" ht="15" hidden="false" customHeight="false" outlineLevel="0" collapsed="false">
      <c r="A24" s="9" t="s">
        <v>355</v>
      </c>
      <c r="B24" s="10"/>
      <c r="C24" s="10"/>
      <c r="D24" s="10"/>
      <c r="E24" s="10"/>
      <c r="F24" s="10"/>
      <c r="G24" s="10"/>
      <c r="H24" s="10"/>
      <c r="I24" s="10"/>
      <c r="J24" s="10"/>
      <c r="K24" s="10"/>
      <c r="L24" s="10"/>
      <c r="M24" s="10"/>
      <c r="N24" s="10"/>
      <c r="O24" s="10"/>
      <c r="P24" s="10"/>
      <c r="Q24" s="10"/>
      <c r="R24" s="10"/>
      <c r="S24" s="10"/>
      <c r="T24" s="10"/>
      <c r="U24" s="10"/>
      <c r="V24" s="10"/>
      <c r="W24" s="10"/>
    </row>
    <row r="25" customFormat="false" ht="15" hidden="false" customHeight="false" outlineLevel="0" collapsed="false">
      <c r="A25" s="11" t="s">
        <v>356</v>
      </c>
      <c r="B25" s="66" t="n">
        <f aca="false">SUM(D25:W25)</f>
        <v>252000</v>
      </c>
      <c r="D25" s="80" t="n">
        <f aca="false">'Cash Flow'!D107</f>
        <v>151200</v>
      </c>
      <c r="E25" s="80" t="n">
        <f aca="false">'Cash Flow'!E107</f>
        <v>63000</v>
      </c>
      <c r="F25" s="80" t="n">
        <f aca="false">'Cash Flow'!F107</f>
        <v>37800</v>
      </c>
      <c r="G25" s="80" t="n">
        <f aca="false">'Cash Flow'!G107</f>
        <v>0</v>
      </c>
      <c r="H25" s="80" t="n">
        <f aca="false">'Cash Flow'!H107</f>
        <v>0</v>
      </c>
      <c r="I25" s="80" t="n">
        <f aca="false">'Cash Flow'!I107</f>
        <v>0</v>
      </c>
      <c r="J25" s="80" t="n">
        <f aca="false">'Cash Flow'!J107</f>
        <v>0</v>
      </c>
      <c r="K25" s="80" t="n">
        <f aca="false">'Cash Flow'!K107</f>
        <v>0</v>
      </c>
      <c r="L25" s="80" t="n">
        <f aca="false">'Cash Flow'!L107</f>
        <v>0</v>
      </c>
      <c r="M25" s="80" t="n">
        <f aca="false">'Cash Flow'!M107</f>
        <v>0</v>
      </c>
      <c r="N25" s="80" t="n">
        <f aca="false">'Cash Flow'!N107</f>
        <v>0</v>
      </c>
      <c r="O25" s="80" t="n">
        <f aca="false">'Cash Flow'!O107</f>
        <v>0</v>
      </c>
      <c r="P25" s="80" t="n">
        <f aca="false">'Cash Flow'!P107</f>
        <v>0</v>
      </c>
      <c r="Q25" s="80" t="n">
        <f aca="false">'Cash Flow'!Q107</f>
        <v>0</v>
      </c>
      <c r="R25" s="80" t="n">
        <f aca="false">'Cash Flow'!R107</f>
        <v>0</v>
      </c>
      <c r="S25" s="80" t="n">
        <f aca="false">'Cash Flow'!S107</f>
        <v>0</v>
      </c>
      <c r="T25" s="80" t="n">
        <f aca="false">'Cash Flow'!T107</f>
        <v>0</v>
      </c>
      <c r="U25" s="80" t="n">
        <f aca="false">'Cash Flow'!U107</f>
        <v>0</v>
      </c>
      <c r="V25" s="80" t="n">
        <f aca="false">'Cash Flow'!V107</f>
        <v>0</v>
      </c>
      <c r="W25" s="80" t="n">
        <f aca="false">'Cash Flow'!W107</f>
        <v>0</v>
      </c>
    </row>
    <row r="26" customFormat="false" ht="15" hidden="false" customHeight="false" outlineLevel="0" collapsed="false">
      <c r="A26" s="11" t="s">
        <v>357</v>
      </c>
      <c r="B26" s="66" t="n">
        <f aca="false">SUM(D26:W26)</f>
        <v>252000</v>
      </c>
      <c r="D26" s="80" t="n">
        <f aca="false">'Cash Flow'!D108</f>
        <v>151200</v>
      </c>
      <c r="E26" s="80" t="n">
        <f aca="false">'Cash Flow'!E108</f>
        <v>63000</v>
      </c>
      <c r="F26" s="80" t="n">
        <f aca="false">'Cash Flow'!F108</f>
        <v>37800</v>
      </c>
      <c r="G26" s="80" t="n">
        <f aca="false">'Cash Flow'!G108</f>
        <v>0</v>
      </c>
      <c r="H26" s="80" t="n">
        <f aca="false">'Cash Flow'!H108</f>
        <v>0</v>
      </c>
      <c r="I26" s="80" t="n">
        <f aca="false">'Cash Flow'!I108</f>
        <v>0</v>
      </c>
      <c r="J26" s="80" t="n">
        <f aca="false">'Cash Flow'!J108</f>
        <v>0</v>
      </c>
      <c r="K26" s="80" t="n">
        <f aca="false">'Cash Flow'!K108</f>
        <v>0</v>
      </c>
      <c r="L26" s="80" t="n">
        <f aca="false">'Cash Flow'!L108</f>
        <v>0</v>
      </c>
      <c r="M26" s="80" t="n">
        <f aca="false">'Cash Flow'!M108</f>
        <v>0</v>
      </c>
      <c r="N26" s="80" t="n">
        <f aca="false">'Cash Flow'!N108</f>
        <v>0</v>
      </c>
      <c r="O26" s="80" t="n">
        <f aca="false">'Cash Flow'!O108</f>
        <v>0</v>
      </c>
      <c r="P26" s="80" t="n">
        <f aca="false">'Cash Flow'!P108</f>
        <v>0</v>
      </c>
      <c r="Q26" s="80" t="n">
        <f aca="false">'Cash Flow'!Q108</f>
        <v>0</v>
      </c>
      <c r="R26" s="80" t="n">
        <f aca="false">'Cash Flow'!R108</f>
        <v>0</v>
      </c>
      <c r="S26" s="80" t="n">
        <f aca="false">'Cash Flow'!S108</f>
        <v>0</v>
      </c>
      <c r="T26" s="80" t="n">
        <f aca="false">'Cash Flow'!T108</f>
        <v>0</v>
      </c>
      <c r="U26" s="80" t="n">
        <f aca="false">'Cash Flow'!U108</f>
        <v>0</v>
      </c>
      <c r="V26" s="80" t="n">
        <f aca="false">'Cash Flow'!V108</f>
        <v>0</v>
      </c>
      <c r="W26" s="80" t="n">
        <f aca="false">'Cash Flow'!W108</f>
        <v>0</v>
      </c>
    </row>
    <row r="28" customFormat="false" ht="15" hidden="false" customHeight="false" outlineLevel="0" collapsed="false">
      <c r="A28" s="9" t="s">
        <v>358</v>
      </c>
      <c r="B28" s="10"/>
    </row>
    <row r="29" customFormat="false" ht="15" hidden="false" customHeight="false" outlineLevel="0" collapsed="false">
      <c r="A29" s="51" t="s">
        <v>359</v>
      </c>
      <c r="B29" s="62" t="n">
        <f aca="false">Grant+'Cash Flow'!$B$108</f>
        <v>852000</v>
      </c>
    </row>
    <row r="30" customFormat="false" ht="15" hidden="false" customHeight="false" outlineLevel="0" collapsed="false">
      <c r="A30" s="51" t="s">
        <v>360</v>
      </c>
      <c r="B30" s="62" t="n">
        <f aca="false">SenAmt+'Cash Flow'!$B$18+'Cash Flow'!$B$19</f>
        <v>457502.861453039</v>
      </c>
    </row>
    <row r="31" customFormat="false" ht="15" hidden="false" customHeight="false" outlineLevel="0" collapsed="false">
      <c r="A31" s="51" t="s">
        <v>254</v>
      </c>
      <c r="B31" s="62" t="n">
        <f aca="false">ConAmt</f>
        <v>112546.829385741</v>
      </c>
    </row>
    <row r="32" customFormat="false" ht="15" hidden="false" customHeight="false" outlineLevel="0" collapsed="false">
      <c r="A32" s="51" t="s">
        <v>361</v>
      </c>
      <c r="B32" s="63" t="n">
        <f aca="false">IFERROR(PrivateCap/PublicGrant,0)</f>
        <v>0.536975189498872</v>
      </c>
    </row>
    <row r="33" customFormat="false" ht="15" hidden="false" customHeight="false" outlineLevel="0" collapsed="false">
      <c r="A33" s="51" t="s">
        <v>362</v>
      </c>
      <c r="B33" s="62" t="n">
        <f aca="false">IFERROR(PublicGrant/TotalCustomers,0)</f>
        <v>878.350515463918</v>
      </c>
    </row>
    <row r="34" customFormat="false" ht="15" hidden="false" customHeight="false" outlineLevel="0" collapsed="false">
      <c r="A34" s="51" t="s">
        <v>363</v>
      </c>
      <c r="B34" s="62" t="n">
        <f aca="false">IFERROR(PublicGrant/$B$12,0)</f>
        <v>213</v>
      </c>
    </row>
    <row r="35" customFormat="false" ht="15" hidden="false" customHeight="false" outlineLevel="0" collapsed="false">
      <c r="A35" s="51" t="s">
        <v>364</v>
      </c>
      <c r="B35" s="62" t="n">
        <f aca="false">IFERROR(PublicGrant/$B$22,0)</f>
        <v>120.672738873826</v>
      </c>
    </row>
    <row r="36" customFormat="false" ht="15" hidden="false" customHeight="false" outlineLevel="0" collapsed="false">
      <c r="A36" s="51" t="s">
        <v>365</v>
      </c>
      <c r="B36" s="81" t="n">
        <f aca="false">$B$12</f>
        <v>4000</v>
      </c>
    </row>
    <row r="37" customFormat="false" ht="15" hidden="false" customHeight="false" outlineLevel="0" collapsed="false">
      <c r="A37" s="51" t="s">
        <v>366</v>
      </c>
      <c r="B37" s="81" t="n">
        <f aca="false">$B$22</f>
        <v>7060.41818517804</v>
      </c>
    </row>
    <row r="38" customFormat="false" ht="15" hidden="false" customHeight="false" outlineLevel="0" collapsed="false">
      <c r="A38" s="51" t="s">
        <v>367</v>
      </c>
      <c r="B38" s="81" t="n">
        <f aca="false">$B$14</f>
        <v>90</v>
      </c>
    </row>
  </sheetData>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79"/>
    <pageSetUpPr fitToPage="true"/>
  </sheetPr>
  <dimension ref="B1:F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18"/>
    <col collapsed="false" customWidth="true" hidden="false" outlineLevel="0" max="4" min="4" style="0" width="12"/>
    <col collapsed="false" customWidth="true" hidden="false" outlineLevel="0" max="5" min="5" style="0" width="50"/>
    <col collapsed="false" customWidth="true" hidden="false" outlineLevel="0" max="6" min="6" style="0" width="18"/>
  </cols>
  <sheetData>
    <row r="1" customFormat="false" ht="19.7" hidden="false" customHeight="false" outlineLevel="0" collapsed="false">
      <c r="B1" s="7" t="str">
        <f aca="false">"FINANCING REQUEST - "&amp;ProjectName</f>
        <v>FINANCING REQUEST - Example village mini-grid</v>
      </c>
    </row>
    <row r="2" customFormat="false" ht="15" hidden="false" customHeight="false" outlineLevel="0" collapsed="false">
      <c r="B2" s="8" t="s">
        <v>368</v>
      </c>
    </row>
    <row r="4" customFormat="false" ht="15" hidden="false" customHeight="false" outlineLevel="0" collapsed="false">
      <c r="B4" s="50" t="s">
        <v>369</v>
      </c>
    </row>
    <row r="5" customFormat="false" ht="43.5" hidden="false" customHeight="true" outlineLevel="0" collapsed="false">
      <c r="B5" s="82" t="str">
        <f aca="false">Sponsor&amp;" will build and operate a solar PV-battery-diesel mini-grid in "&amp;Site&amp;", connecting "&amp;FIXED(TotalCustomers,0)&amp;" customers ("&amp;FIXED(Seg1_N,0)&amp;" households, "&amp;FIXED(Seg2_N,0)&amp;" productive users, "&amp;FIXED(Seg3_N,0)&amp;" businesses and "&amp;FIXED(Seg4_N,0)&amp;" public institutions) and giving about "&amp;FIXED(People,0)&amp;" people access to electricity."</f>
        <v>Example Energy Ltd will build and operate a solar PV-battery-diesel mini-grid in Example site, connecting 970 customers (800 households, 60 productive users, 100 businesses and 10 public institutions) and giving about 4,000 people access to electricity.</v>
      </c>
      <c r="C5" s="82"/>
      <c r="D5" s="82"/>
      <c r="E5" s="82"/>
      <c r="F5" s="82"/>
    </row>
    <row r="7" customFormat="false" ht="15" hidden="false" customHeight="false" outlineLevel="0" collapsed="false">
      <c r="B7" s="50" t="s">
        <v>370</v>
      </c>
    </row>
    <row r="8" customFormat="false" ht="43.5" hidden="false" customHeight="true" outlineLevel="0" collapsed="false">
      <c r="B8" s="82" t="str">
        <f aca="false">"The system combines "&amp;FIXED(PV_kWp,0)&amp;" kWp of solar PV, "&amp;FIXED(BESS_kWh,0)&amp;" kWh of battery storage and "&amp;FIXED(Diesel_kW,0)&amp;" kW of backup diesel capacity. It delivers "&amp;FIXED(SUM('Cash Flow'!$D$66:$W$66)/1000,0)&amp;" MWh over its life with an average renewable share of "&amp;FIXED(('Cash Flow'!$B$71/'Cash Flow'!$B$69)*100,0)&amp;"%"&amp;"."</f>
        <v>The system combines 305 kWp of solar PV, 540 kWh of battery storage and 87 kW of backup diesel capacity. It delivers 9,261 MWh over its life with an average renewable share of 75%.</v>
      </c>
      <c r="C8" s="82"/>
      <c r="D8" s="82"/>
      <c r="E8" s="82"/>
      <c r="F8" s="82"/>
    </row>
    <row r="10" customFormat="false" ht="15" hidden="false" customHeight="false" outlineLevel="0" collapsed="false">
      <c r="B10" s="50" t="s">
        <v>371</v>
      </c>
    </row>
    <row r="11" customFormat="false" ht="43.5" hidden="false" customHeight="true" outlineLevel="0" collapsed="false">
      <c r="B11" s="82" t="str">
        <f aca="false">"Total investment is "&amp;Currency&amp;" "&amp;FIXED(TotalCapex,0)&amp;" ("&amp;Currency&amp;" "&amp;FIXED(CapexPerConn,0)&amp;" per connection). On tariff revenue alone the project NPV at "&amp;FIXED((Hurdle)*100,0)&amp;"%"&amp;" is "&amp;Currency&amp;" "&amp;FIXED(NPV_Pre,0)&amp;", a viability gap of "&amp;Currency&amp;" "&amp;FIXED(VGF,0)&amp;" in present-value terms ("&amp;Currency&amp;" "&amp;FIXED(VGF/TotalCustomers,0)&amp;" per connection). The levelized cost of electricity is "&amp;Currency&amp;" "&amp;FIXED(LCOE,2)&amp;"/kWh against an average tariff of "&amp;Currency&amp;" "&amp;FIXED(AvgTariff,2)&amp;"/kWh."</f>
        <v>Total investment is USD 1,162,734 (USD 1,199 per connection). On tariff revenue alone the project NPV at 10% is USD -804,952, a viability gap of USD 804,952 in present-value terms (USD 830 per connection). The levelized cost of electricity is USD 0.66/kWh against an average tariff of USD 0.38/kWh.</v>
      </c>
      <c r="C11" s="82"/>
      <c r="D11" s="82"/>
      <c r="E11" s="82"/>
      <c r="F11" s="82"/>
    </row>
    <row r="13" customFormat="false" ht="15" hidden="false" customHeight="false" outlineLevel="0" collapsed="false">
      <c r="B13" s="50" t="s">
        <v>372</v>
      </c>
    </row>
    <row r="14" customFormat="false" ht="43.5" hidden="false" customHeight="true" outlineLevel="0" collapsed="false">
      <c r="B14" s="82" t="str">
        <f aca="false">"We request an upfront grant of "&amp;Currency&amp;" "&amp;FIXED(Grant,0)&amp;" and results-based financing averaging "&amp;Currency&amp;" "&amp;FIXED(AvgRBFperConn,0)&amp;" per verified connection ("&amp;Currency&amp;" "&amp;FIXED(RBFTotal,0)&amp;" in total), alongside "&amp;Currency&amp;" "&amp;FIXED(ConAmt,0)&amp;" of concessional debt. These leverage "&amp;Currency&amp;" "&amp;FIXED(SenAmt,0)&amp;" of senior debt and "&amp;Currency&amp;" "&amp;FIXED(EquityTotal,0)&amp;" of sponsor equity."</f>
        <v>We request an upfront grant of USD 600,000 and results-based financing averaging USD 260 per verified connection (USD 252,000 in total), alongside USD 112,547 of concessional debt. These leverage USD 112,547 of senior debt and USD 344,956 of sponsor equity.</v>
      </c>
      <c r="C14" s="82"/>
      <c r="D14" s="82"/>
      <c r="E14" s="82"/>
      <c r="F14" s="82"/>
    </row>
    <row r="16" customFormat="false" ht="15" hidden="false" customHeight="false" outlineLevel="0" collapsed="false">
      <c r="B16" s="50" t="s">
        <v>373</v>
      </c>
    </row>
    <row r="17" customFormat="false" ht="43.5" hidden="false" customHeight="true" outlineLevel="0" collapsed="false">
      <c r="B17" s="82" t="str">
        <f aca="false">"With this structure the project NPV after subsidies is "&amp;Currency&amp;" "&amp;FIXED(NPV_Post,0)&amp;", the minimum DSCR is "&amp;IF(ISNUMBER(DSCR_Min),FIXED(DSCR_Min,2)&amp;"x","n/a")&amp;" (lender requirement "&amp;FIXED(MinDSCR,2)&amp;"x) and the equity IRR is "&amp;IF(ISNUMBER(IRR_Eq),FIXED((IRR_Eq)*100,1)&amp;"%","n/a")&amp;" (target "&amp;FIXED((TargetEqIRR)*100,0)&amp;"%"&amp;")."</f>
        <v>With this structure the project NPV after subsidies is USD 12,968, the minimum DSCR is 1.34x (lender requirement 1.30x) and the equity IRR is 10.1% (target 15%).</v>
      </c>
      <c r="C17" s="82"/>
      <c r="D17" s="82"/>
      <c r="E17" s="82"/>
      <c r="F17" s="82"/>
    </row>
    <row r="19" customFormat="false" ht="15" hidden="false" customHeight="false" outlineLevel="0" collapsed="false">
      <c r="B19" s="50" t="s">
        <v>374</v>
      </c>
    </row>
    <row r="20" customFormat="false" ht="43.5" hidden="false" customHeight="true" outlineLevel="0" collapsed="false">
      <c r="B20" s="82" t="str">
        <f aca="false">"Over its life the project avoids about "&amp;FIXED(CO2Total,0)&amp;" tCO2 relative to diesel supply and supports about "&amp;FIXED(Jobs,0)&amp;" jobs in productive enterprises. Public grant funding amounts to "&amp;Currency&amp;" "&amp;FIXED(GrantPerConn,0)&amp;" per connection."</f>
        <v>Over its life the project avoids about 7,060 tCO2 relative to diesel supply and supports about 90 jobs in productive enterprises. Public grant funding amounts to USD 878 per connection.</v>
      </c>
      <c r="C20" s="82"/>
      <c r="D20" s="82"/>
      <c r="E20" s="82"/>
      <c r="F20" s="82"/>
    </row>
    <row r="23" customFormat="false" ht="15" hidden="false" customHeight="false" outlineLevel="0" collapsed="false">
      <c r="B23" s="9" t="s">
        <v>375</v>
      </c>
      <c r="C23" s="10"/>
      <c r="E23" s="9" t="s">
        <v>376</v>
      </c>
      <c r="F23" s="10"/>
    </row>
    <row r="24" customFormat="false" ht="15" hidden="false" customHeight="false" outlineLevel="0" collapsed="false">
      <c r="B24" s="51" t="s">
        <v>377</v>
      </c>
      <c r="C24" s="39" t="n">
        <f aca="false">PV_kWp*C_PV*LevCapex</f>
        <v>213362.929625145</v>
      </c>
      <c r="E24" s="51" t="s">
        <v>248</v>
      </c>
      <c r="F24" s="39" t="n">
        <f aca="false">MIN(Grant,TotalCapex)</f>
        <v>600000</v>
      </c>
    </row>
    <row r="25" customFormat="false" ht="15" hidden="false" customHeight="false" outlineLevel="0" collapsed="false">
      <c r="B25" s="51" t="s">
        <v>378</v>
      </c>
      <c r="C25" s="39" t="n">
        <f aca="false">BESS_kWh*C_BESS*LevCapex</f>
        <v>188852.547660523</v>
      </c>
      <c r="E25" s="51" t="s">
        <v>252</v>
      </c>
      <c r="F25" s="39" t="n">
        <f aca="false">SenAmt</f>
        <v>112546.829385741</v>
      </c>
    </row>
    <row r="26" customFormat="false" ht="15" hidden="false" customHeight="false" outlineLevel="0" collapsed="false">
      <c r="B26" s="51" t="s">
        <v>144</v>
      </c>
      <c r="C26" s="39" t="n">
        <f aca="false">Diesel_kW*C_Diesel*LevCapex</f>
        <v>34757.6939566864</v>
      </c>
      <c r="E26" s="51" t="s">
        <v>254</v>
      </c>
      <c r="F26" s="39" t="n">
        <f aca="false">ConAmt</f>
        <v>112546.829385741</v>
      </c>
    </row>
    <row r="27" customFormat="false" ht="15" hidden="false" customHeight="false" outlineLevel="0" collapsed="false">
      <c r="B27" s="51" t="s">
        <v>379</v>
      </c>
      <c r="C27" s="39" t="n">
        <f aca="false">TotalCustomers*(C_Network+C_Meter)*LevCapex</f>
        <v>514100</v>
      </c>
      <c r="E27" s="51" t="s">
        <v>380</v>
      </c>
      <c r="F27" s="39" t="n">
        <f aca="false">'Cash Flow'!$B$18+'Cash Flow'!$B$19</f>
        <v>344956.032067298</v>
      </c>
    </row>
    <row r="28" customFormat="false" ht="15" hidden="false" customHeight="false" outlineLevel="0" collapsed="false">
      <c r="B28" s="51" t="s">
        <v>381</v>
      </c>
      <c r="C28" s="39" t="n">
        <f aca="false">C_BOS*LevCapex</f>
        <v>60000</v>
      </c>
    </row>
    <row r="29" customFormat="false" ht="15" hidden="false" customHeight="false" outlineLevel="0" collapsed="false">
      <c r="B29" s="51" t="s">
        <v>382</v>
      </c>
      <c r="C29" s="39" t="n">
        <f aca="false">C_PUEquip*LevCapex</f>
        <v>0</v>
      </c>
      <c r="E29" s="8" t="str">
        <f aca="false">"Plus RBF of "&amp;Currency&amp;" "&amp;FIXED(RBFTotal,0)&amp;" received after verification (bridge required)."</f>
        <v>Plus RBF of USD 252,000 received after verification (bridge required).</v>
      </c>
    </row>
    <row r="30" customFormat="false" ht="15" hidden="false" customHeight="false" outlineLevel="0" collapsed="false">
      <c r="B30" s="51" t="s">
        <v>383</v>
      </c>
      <c r="C30" s="39" t="n">
        <f aca="false">HardCapexBase*C_DevPct*LevCapex</f>
        <v>80885.8536993883</v>
      </c>
    </row>
    <row r="31" customFormat="false" ht="15" hidden="false" customHeight="false" outlineLevel="0" collapsed="false">
      <c r="B31" s="51" t="s">
        <v>154</v>
      </c>
      <c r="C31" s="39" t="n">
        <f aca="false">HardCapexBase*C_ContPct*LevCapex</f>
        <v>70775.1219869648</v>
      </c>
    </row>
    <row r="32" customFormat="false" ht="15" hidden="false" customHeight="false" outlineLevel="0" collapsed="false">
      <c r="B32" s="51" t="s">
        <v>384</v>
      </c>
      <c r="C32" s="39" t="n">
        <f aca="false">'Cash Flow'!$B$19</f>
        <v>7315.5439100732</v>
      </c>
    </row>
    <row r="33" customFormat="false" ht="15" hidden="false" customHeight="false" outlineLevel="0" collapsed="false">
      <c r="B33" s="28" t="s">
        <v>385</v>
      </c>
      <c r="C33" s="31" t="n">
        <f aca="false">SUM(C24:C32)</f>
        <v>1170049.69083878</v>
      </c>
      <c r="E33" s="28" t="s">
        <v>386</v>
      </c>
      <c r="F33" s="31" t="n">
        <f aca="false">SUM(F24:F27)</f>
        <v>1170049.69083878</v>
      </c>
    </row>
    <row r="35" customFormat="false" ht="15" hidden="false" customHeight="false" outlineLevel="0" collapsed="false">
      <c r="B35" s="9" t="s">
        <v>387</v>
      </c>
      <c r="C35" s="10"/>
    </row>
    <row r="36" customFormat="false" ht="15" hidden="false" customHeight="false" outlineLevel="0" collapsed="false">
      <c r="B36" s="51" t="s">
        <v>388</v>
      </c>
      <c r="C36" s="83" t="str">
        <f aca="false">IF(ISNUMBER(IRR_Pre),FIXED((IRR_Pre)*100,1)&amp;"%","n/a")&amp;"  /  "&amp;IF(ISNUMBER(IRR_Post),FIXED((IRR_Post)*100,1)&amp;"%","n/a")</f>
        <v>-3.7%  /  10.5%</v>
      </c>
    </row>
    <row r="37" customFormat="false" ht="15" hidden="false" customHeight="false" outlineLevel="0" collapsed="false">
      <c r="B37" s="51" t="s">
        <v>262</v>
      </c>
      <c r="C37" s="61" t="n">
        <f aca="false">IRR_Eq</f>
        <v>0.100606165849542</v>
      </c>
    </row>
    <row r="38" customFormat="false" ht="15" hidden="false" customHeight="false" outlineLevel="0" collapsed="false">
      <c r="B38" s="51" t="s">
        <v>258</v>
      </c>
      <c r="C38" s="84" t="n">
        <f aca="false">DSCR_Min</f>
        <v>1.33882599799415</v>
      </c>
    </row>
    <row r="39" customFormat="false" ht="15" hidden="false" customHeight="false" outlineLevel="0" collapsed="false">
      <c r="B39" s="51" t="s">
        <v>389</v>
      </c>
      <c r="C39" s="85" t="n">
        <f aca="false">LCOE</f>
        <v>0.662907446653331</v>
      </c>
    </row>
    <row r="40" customFormat="false" ht="15" hidden="false" customHeight="false" outlineLevel="0" collapsed="false">
      <c r="B40" s="51" t="s">
        <v>390</v>
      </c>
      <c r="C40" s="86" t="n">
        <f aca="false">VGF</f>
        <v>804952.496026467</v>
      </c>
    </row>
    <row r="41" customFormat="false" ht="15" hidden="false" customHeight="false" outlineLevel="0" collapsed="false">
      <c r="B41" s="51" t="s">
        <v>391</v>
      </c>
      <c r="C41" s="86" t="n">
        <f aca="false">RBFNeededEq</f>
        <v>346.699038925578</v>
      </c>
    </row>
    <row r="42" customFormat="false" ht="15" hidden="false" customHeight="false" outlineLevel="0" collapsed="false">
      <c r="B42" s="51" t="s">
        <v>361</v>
      </c>
      <c r="C42" s="84" t="n">
        <f aca="false">IFERROR(PrivateCap/PublicGrant,0)</f>
        <v>0.536975189498872</v>
      </c>
    </row>
  </sheetData>
  <mergeCells count="6">
    <mergeCell ref="B5:F5"/>
    <mergeCell ref="B8:F8"/>
    <mergeCell ref="B11:F11"/>
    <mergeCell ref="B14:F14"/>
    <mergeCell ref="B17:F17"/>
    <mergeCell ref="B20:F20"/>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7" t="s">
        <v>392</v>
      </c>
    </row>
    <row r="2" customFormat="false" ht="15" hidden="false" customHeight="false" outlineLevel="0" collapsed="false">
      <c r="A2" s="8" t="s">
        <v>393</v>
      </c>
    </row>
    <row r="4" customFormat="false" ht="15" hidden="false" customHeight="false" outlineLevel="0" collapsed="false">
      <c r="A4" s="9" t="s">
        <v>394</v>
      </c>
      <c r="B4" s="10"/>
    </row>
    <row r="5" customFormat="false" ht="15" hidden="false" customHeight="false" outlineLevel="0" collapsed="false">
      <c r="A5" s="11" t="s">
        <v>67</v>
      </c>
      <c r="B5" s="67" t="n">
        <v>1</v>
      </c>
    </row>
    <row r="6" customFormat="false" ht="15" hidden="false" customHeight="false" outlineLevel="0" collapsed="false">
      <c r="A6" s="11" t="s">
        <v>333</v>
      </c>
      <c r="B6" s="67" t="n">
        <v>1</v>
      </c>
    </row>
    <row r="7" customFormat="false" ht="15" hidden="false" customHeight="false" outlineLevel="0" collapsed="false">
      <c r="A7" s="11" t="s">
        <v>69</v>
      </c>
      <c r="B7" s="67" t="n">
        <v>1</v>
      </c>
    </row>
    <row r="8" customFormat="false" ht="15" hidden="false" customHeight="false" outlineLevel="0" collapsed="false">
      <c r="A8" s="11" t="s">
        <v>70</v>
      </c>
      <c r="B8" s="67" t="n">
        <v>1</v>
      </c>
    </row>
    <row r="9" customFormat="false" ht="15" hidden="false" customHeight="false" outlineLevel="0" collapsed="false">
      <c r="A9" s="11" t="s">
        <v>395</v>
      </c>
      <c r="B9" s="67" t="n">
        <v>1</v>
      </c>
    </row>
    <row r="10" customFormat="false" ht="15" hidden="false" customHeight="false" outlineLevel="0" collapsed="false">
      <c r="A10" s="11" t="s">
        <v>72</v>
      </c>
      <c r="B10" s="67" t="n">
        <v>1</v>
      </c>
    </row>
    <row r="11" customFormat="false" ht="15" hidden="false" customHeight="false" outlineLevel="0" collapsed="false">
      <c r="A11" s="11" t="s">
        <v>334</v>
      </c>
      <c r="B11" s="67" t="n">
        <v>1</v>
      </c>
    </row>
    <row r="13" customFormat="false" ht="15" hidden="false" customHeight="false" outlineLevel="0" collapsed="false">
      <c r="A13" s="9" t="s">
        <v>396</v>
      </c>
      <c r="B13" s="10"/>
    </row>
    <row r="14" customFormat="false" ht="15" hidden="false" customHeight="false" outlineLevel="0" collapsed="false">
      <c r="A14" s="11" t="s">
        <v>397</v>
      </c>
      <c r="B14" s="66" t="n">
        <f aca="false">TotalCapexBase*LevCapex*$B$7</f>
        <v>1162734.14692871</v>
      </c>
    </row>
    <row r="15" customFormat="false" ht="15" hidden="false" customHeight="false" outlineLevel="0" collapsed="false">
      <c r="A15" s="11" t="s">
        <v>398</v>
      </c>
      <c r="B15" s="66" t="n">
        <f aca="false">HardCapexBase*LevCapex*$B$7</f>
        <v>1011073.17124235</v>
      </c>
    </row>
    <row r="16" customFormat="false" ht="15" hidden="false" customHeight="false" outlineLevel="0" collapsed="false">
      <c r="A16" s="11" t="s">
        <v>252</v>
      </c>
      <c r="B16" s="66" t="n">
        <f aca="false">MAX(0,'Cash Flow'!$B$14-Grant)*SenPct</f>
        <v>112546.829385741</v>
      </c>
    </row>
    <row r="17" customFormat="false" ht="15" hidden="false" customHeight="false" outlineLevel="0" collapsed="false">
      <c r="A17" s="11" t="s">
        <v>254</v>
      </c>
      <c r="B17" s="66" t="n">
        <f aca="false">MAX(0,'Cash Flow'!$B$14-Grant)*ConPct</f>
        <v>112546.829385741</v>
      </c>
    </row>
    <row r="18" customFormat="false" ht="15" hidden="false" customHeight="false" outlineLevel="0" collapsed="false">
      <c r="A18" s="11" t="s">
        <v>399</v>
      </c>
      <c r="B18" s="66" t="n">
        <f aca="false">MAX(0,'Cash Flow'!$B$14-Grant-'Cash Flow'!$B$16-'Cash Flow'!$B$17)</f>
        <v>337640.488157224</v>
      </c>
    </row>
    <row r="19" customFormat="false" ht="15" hidden="false" customHeight="false" outlineLevel="0" collapsed="false">
      <c r="A19" s="11" t="s">
        <v>400</v>
      </c>
      <c r="B19" s="66" t="n">
        <f aca="false">C128</f>
        <v>7315.5439100732</v>
      </c>
    </row>
    <row r="20" customFormat="false" ht="15" hidden="false" customHeight="false" outlineLevel="0" collapsed="false">
      <c r="A20" s="11" t="s">
        <v>401</v>
      </c>
      <c r="B20" s="66" t="n">
        <f aca="false">$B$145</f>
        <v>-804952.496026467</v>
      </c>
    </row>
    <row r="21" customFormat="false" ht="15" hidden="false" customHeight="false" outlineLevel="0" collapsed="false">
      <c r="A21" s="11" t="s">
        <v>402</v>
      </c>
      <c r="B21" s="66" t="n">
        <f aca="false">$B$146</f>
        <v>12967.8646046378</v>
      </c>
    </row>
    <row r="22" customFormat="false" ht="15" hidden="false" customHeight="false" outlineLevel="0" collapsed="false">
      <c r="A22" s="11" t="s">
        <v>403</v>
      </c>
      <c r="B22" s="68" t="n">
        <f aca="false">IFERROR(IRR($C$145:$W$145),"n/a")</f>
        <v>-0.036858791966502</v>
      </c>
    </row>
    <row r="23" customFormat="false" ht="15" hidden="false" customHeight="false" outlineLevel="0" collapsed="false">
      <c r="A23" s="11" t="s">
        <v>404</v>
      </c>
      <c r="B23" s="68" t="n">
        <f aca="false">IFERROR(IRR($C$146:$W$146),"n/a")</f>
        <v>0.104999799483308</v>
      </c>
    </row>
    <row r="24" customFormat="false" ht="15" hidden="false" customHeight="false" outlineLevel="0" collapsed="false">
      <c r="A24" s="11" t="s">
        <v>390</v>
      </c>
      <c r="B24" s="66" t="n">
        <f aca="false">MAX(0,-$B$145)</f>
        <v>804952.496026467</v>
      </c>
    </row>
    <row r="25" customFormat="false" ht="15" hidden="false" customHeight="false" outlineLevel="0" collapsed="false">
      <c r="A25" s="11" t="s">
        <v>262</v>
      </c>
      <c r="B25" s="68" t="n">
        <f aca="false">IFERROR(IRR($C$149:$W$149),"n/a")</f>
        <v>0.100606165849542</v>
      </c>
    </row>
    <row r="26" customFormat="false" ht="15" hidden="false" customHeight="false" outlineLevel="0" collapsed="false">
      <c r="A26" s="11" t="s">
        <v>264</v>
      </c>
      <c r="B26" s="66" t="n">
        <f aca="false">C149+NPV(TargetEqIRR,D149:W149)</f>
        <v>-68231.06528141</v>
      </c>
    </row>
    <row r="27" customFormat="false" ht="15" hidden="false" customHeight="false" outlineLevel="0" collapsed="false">
      <c r="A27" s="11" t="s">
        <v>258</v>
      </c>
      <c r="B27" s="67" t="n">
        <f aca="false">IF(('Cash Flow'!$B$16+'Cash Flow'!$B$17)&gt;0,MIN($D$148:$W$148),"no debt")</f>
        <v>1.33882599799415</v>
      </c>
    </row>
    <row r="28" customFormat="false" ht="15" hidden="false" customHeight="false" outlineLevel="0" collapsed="false">
      <c r="A28" s="11" t="s">
        <v>260</v>
      </c>
      <c r="B28" s="67" t="n">
        <f aca="false">IF(('Cash Flow'!$B$16+'Cash Flow'!$B$17)&gt;0,AVERAGE($D$148:$W$148),"no debt")</f>
        <v>2.92842162895191</v>
      </c>
    </row>
    <row r="29" customFormat="false" ht="15" hidden="false" customHeight="false" outlineLevel="0" collapsed="false">
      <c r="A29" s="11" t="s">
        <v>405</v>
      </c>
      <c r="B29" s="87" t="n">
        <f aca="false">IFERROR($B$153/$B$154,0)</f>
        <v>0.662907446653331</v>
      </c>
    </row>
    <row r="30" customFormat="false" ht="15" hidden="false" customHeight="false" outlineLevel="0" collapsed="false">
      <c r="A30" s="11" t="s">
        <v>261</v>
      </c>
      <c r="B30" s="87" t="n">
        <f aca="false">IFERROR($B$155/$B$154,0)</f>
        <v>0.44389628412399</v>
      </c>
    </row>
    <row r="31" customFormat="false" ht="15" hidden="false" customHeight="false" outlineLevel="0" collapsed="false">
      <c r="A31" s="11" t="s">
        <v>406</v>
      </c>
      <c r="B31" s="77" t="n">
        <f aca="false">NPV(Hurdle,D109:W109)</f>
        <v>838.820435762584</v>
      </c>
    </row>
    <row r="32" customFormat="false" ht="15" hidden="false" customHeight="false" outlineLevel="0" collapsed="false">
      <c r="A32" s="11" t="s">
        <v>407</v>
      </c>
      <c r="B32" s="66" t="n">
        <f aca="false">NPV(Hurdle,D108:W108)</f>
        <v>217920.360631104</v>
      </c>
    </row>
    <row r="33" customFormat="false" ht="15" hidden="false" customHeight="false" outlineLevel="0" collapsed="false">
      <c r="A33" s="11" t="s">
        <v>408</v>
      </c>
      <c r="B33" s="77" t="n">
        <f aca="false">NPV(TargetEqIRR,D109:W109)</f>
        <v>785.120407660064</v>
      </c>
    </row>
    <row r="34" customFormat="false" ht="15" hidden="false" customHeight="false" outlineLevel="0" collapsed="false">
      <c r="A34" s="11" t="s">
        <v>409</v>
      </c>
      <c r="B34" s="66" t="n">
        <f aca="false">NPV(TargetEqIRR,D108:W108)</f>
        <v>203969.425495192</v>
      </c>
    </row>
    <row r="35" customFormat="false" ht="15" hidden="false" customHeight="false" outlineLevel="0" collapsed="false">
      <c r="A35" s="11" t="s">
        <v>410</v>
      </c>
      <c r="B35" s="66" t="n">
        <f aca="false">MAX(0,MIN($D$127:$W$127))</f>
        <v>118010.406757562</v>
      </c>
    </row>
    <row r="36" customFormat="false" ht="15" hidden="false" customHeight="false" outlineLevel="0" collapsed="false">
      <c r="A36" s="11" t="s">
        <v>266</v>
      </c>
      <c r="B36" s="88" t="n">
        <f aca="false">IFERROR(MATCH(TRUE(),INDEX($C$150:$W$150&gt;=0,0),0)-1,"&gt; life")</f>
        <v>10</v>
      </c>
    </row>
    <row r="39" customFormat="false" ht="15" hidden="false" customHeight="false" outlineLevel="0" collapsed="false">
      <c r="A39" s="16" t="s">
        <v>411</v>
      </c>
      <c r="B39" s="74" t="s">
        <v>412</v>
      </c>
      <c r="C39" s="89" t="n">
        <v>0</v>
      </c>
      <c r="D39" s="89" t="n">
        <v>1</v>
      </c>
      <c r="E39" s="89" t="n">
        <v>2</v>
      </c>
      <c r="F39" s="89" t="n">
        <v>3</v>
      </c>
      <c r="G39" s="89" t="n">
        <v>4</v>
      </c>
      <c r="H39" s="89" t="n">
        <v>5</v>
      </c>
      <c r="I39" s="89" t="n">
        <v>6</v>
      </c>
      <c r="J39" s="89" t="n">
        <v>7</v>
      </c>
      <c r="K39" s="89" t="n">
        <v>8</v>
      </c>
      <c r="L39" s="89" t="n">
        <v>9</v>
      </c>
      <c r="M39" s="89" t="n">
        <v>10</v>
      </c>
      <c r="N39" s="89" t="n">
        <v>11</v>
      </c>
      <c r="O39" s="89" t="n">
        <v>12</v>
      </c>
      <c r="P39" s="89" t="n">
        <v>13</v>
      </c>
      <c r="Q39" s="89" t="n">
        <v>14</v>
      </c>
      <c r="R39" s="89" t="n">
        <v>15</v>
      </c>
      <c r="S39" s="89" t="n">
        <v>16</v>
      </c>
      <c r="T39" s="89" t="n">
        <v>17</v>
      </c>
      <c r="U39" s="89" t="n">
        <v>18</v>
      </c>
      <c r="V39" s="89" t="n">
        <v>19</v>
      </c>
      <c r="W39" s="89" t="n">
        <v>20</v>
      </c>
    </row>
    <row r="40" customFormat="false" ht="15" hidden="false" customHeight="false" outlineLevel="0" collapsed="false">
      <c r="A40" s="11" t="s">
        <v>413</v>
      </c>
      <c r="C40" s="90" t="n">
        <f aca="false">StartYear-1+C39</f>
        <v>2026</v>
      </c>
      <c r="D40" s="90" t="n">
        <f aca="false">StartYear-1+D39</f>
        <v>2027</v>
      </c>
      <c r="E40" s="90" t="n">
        <f aca="false">StartYear-1+E39</f>
        <v>2028</v>
      </c>
      <c r="F40" s="90" t="n">
        <f aca="false">StartYear-1+F39</f>
        <v>2029</v>
      </c>
      <c r="G40" s="90" t="n">
        <f aca="false">StartYear-1+G39</f>
        <v>2030</v>
      </c>
      <c r="H40" s="90" t="n">
        <f aca="false">StartYear-1+H39</f>
        <v>2031</v>
      </c>
      <c r="I40" s="90" t="n">
        <f aca="false">StartYear-1+I39</f>
        <v>2032</v>
      </c>
      <c r="J40" s="90" t="n">
        <f aca="false">StartYear-1+J39</f>
        <v>2033</v>
      </c>
      <c r="K40" s="90" t="n">
        <f aca="false">StartYear-1+K39</f>
        <v>2034</v>
      </c>
      <c r="L40" s="90" t="n">
        <f aca="false">StartYear-1+L39</f>
        <v>2035</v>
      </c>
      <c r="M40" s="90" t="n">
        <f aca="false">StartYear-1+M39</f>
        <v>2036</v>
      </c>
      <c r="N40" s="90" t="n">
        <f aca="false">StartYear-1+N39</f>
        <v>2037</v>
      </c>
      <c r="O40" s="90" t="n">
        <f aca="false">StartYear-1+O39</f>
        <v>2038</v>
      </c>
      <c r="P40" s="90" t="n">
        <f aca="false">StartYear-1+P39</f>
        <v>2039</v>
      </c>
      <c r="Q40" s="90" t="n">
        <f aca="false">StartYear-1+Q39</f>
        <v>2040</v>
      </c>
      <c r="R40" s="90" t="n">
        <f aca="false">StartYear-1+R39</f>
        <v>2041</v>
      </c>
      <c r="S40" s="90" t="n">
        <f aca="false">StartYear-1+S39</f>
        <v>2042</v>
      </c>
      <c r="T40" s="90" t="n">
        <f aca="false">StartYear-1+T39</f>
        <v>2043</v>
      </c>
      <c r="U40" s="90" t="n">
        <f aca="false">StartYear-1+U39</f>
        <v>2044</v>
      </c>
      <c r="V40" s="90" t="n">
        <f aca="false">StartYear-1+V39</f>
        <v>2045</v>
      </c>
      <c r="W40" s="90" t="n">
        <f aca="false">StartYear-1+W39</f>
        <v>2046</v>
      </c>
    </row>
    <row r="41" customFormat="false" ht="15" hidden="false" customHeight="false" outlineLevel="0" collapsed="false">
      <c r="A41" s="11" t="s">
        <v>414</v>
      </c>
      <c r="C41" s="90" t="n">
        <f aca="false">IF(AND(C39&gt;=1,C39&lt;=Life),1,0)</f>
        <v>0</v>
      </c>
      <c r="D41" s="90" t="n">
        <f aca="false">IF(AND(D39&gt;=1,D39&lt;=Life),1,0)</f>
        <v>1</v>
      </c>
      <c r="E41" s="90" t="n">
        <f aca="false">IF(AND(E39&gt;=1,E39&lt;=Life),1,0)</f>
        <v>1</v>
      </c>
      <c r="F41" s="90" t="n">
        <f aca="false">IF(AND(F39&gt;=1,F39&lt;=Life),1,0)</f>
        <v>1</v>
      </c>
      <c r="G41" s="90" t="n">
        <f aca="false">IF(AND(G39&gt;=1,G39&lt;=Life),1,0)</f>
        <v>1</v>
      </c>
      <c r="H41" s="90" t="n">
        <f aca="false">IF(AND(H39&gt;=1,H39&lt;=Life),1,0)</f>
        <v>1</v>
      </c>
      <c r="I41" s="90" t="n">
        <f aca="false">IF(AND(I39&gt;=1,I39&lt;=Life),1,0)</f>
        <v>1</v>
      </c>
      <c r="J41" s="90" t="n">
        <f aca="false">IF(AND(J39&gt;=1,J39&lt;=Life),1,0)</f>
        <v>1</v>
      </c>
      <c r="K41" s="90" t="n">
        <f aca="false">IF(AND(K39&gt;=1,K39&lt;=Life),1,0)</f>
        <v>1</v>
      </c>
      <c r="L41" s="90" t="n">
        <f aca="false">IF(AND(L39&gt;=1,L39&lt;=Life),1,0)</f>
        <v>1</v>
      </c>
      <c r="M41" s="90" t="n">
        <f aca="false">IF(AND(M39&gt;=1,M39&lt;=Life),1,0)</f>
        <v>1</v>
      </c>
      <c r="N41" s="90" t="n">
        <f aca="false">IF(AND(N39&gt;=1,N39&lt;=Life),1,0)</f>
        <v>1</v>
      </c>
      <c r="O41" s="90" t="n">
        <f aca="false">IF(AND(O39&gt;=1,O39&lt;=Life),1,0)</f>
        <v>1</v>
      </c>
      <c r="P41" s="90" t="n">
        <f aca="false">IF(AND(P39&gt;=1,P39&lt;=Life),1,0)</f>
        <v>1</v>
      </c>
      <c r="Q41" s="90" t="n">
        <f aca="false">IF(AND(Q39&gt;=1,Q39&lt;=Life),1,0)</f>
        <v>1</v>
      </c>
      <c r="R41" s="90" t="n">
        <f aca="false">IF(AND(R39&gt;=1,R39&lt;=Life),1,0)</f>
        <v>1</v>
      </c>
      <c r="S41" s="90" t="n">
        <f aca="false">IF(AND(S39&gt;=1,S39&lt;=Life),1,0)</f>
        <v>1</v>
      </c>
      <c r="T41" s="90" t="n">
        <f aca="false">IF(AND(T39&gt;=1,T39&lt;=Life),1,0)</f>
        <v>1</v>
      </c>
      <c r="U41" s="90" t="n">
        <f aca="false">IF(AND(U39&gt;=1,U39&lt;=Life),1,0)</f>
        <v>1</v>
      </c>
      <c r="V41" s="90" t="n">
        <f aca="false">IF(AND(V39&gt;=1,V39&lt;=Life),1,0)</f>
        <v>1</v>
      </c>
      <c r="W41" s="90" t="n">
        <f aca="false">IF(AND(W39&gt;=1,W39&lt;=Life),1,0)</f>
        <v>1</v>
      </c>
    </row>
    <row r="42" customFormat="false" ht="15" hidden="false" customHeight="false" outlineLevel="0" collapsed="false">
      <c r="A42" s="11" t="s">
        <v>415</v>
      </c>
      <c r="C42" s="91" t="n">
        <v>0</v>
      </c>
      <c r="D42" s="91" t="n">
        <f aca="false">IF(D39=1,Ramp1,IF(D39=2,Ramp2,Ramp3))*D41</f>
        <v>0.6</v>
      </c>
      <c r="E42" s="91" t="n">
        <f aca="false">IF(E39=1,Ramp1,IF(E39=2,Ramp2,Ramp3))*E41</f>
        <v>0.85</v>
      </c>
      <c r="F42" s="91" t="n">
        <f aca="false">IF(F39=1,Ramp1,IF(F39=2,Ramp2,Ramp3))*F41</f>
        <v>1</v>
      </c>
      <c r="G42" s="91" t="n">
        <f aca="false">IF(G39=1,Ramp1,IF(G39=2,Ramp2,Ramp3))*G41</f>
        <v>1</v>
      </c>
      <c r="H42" s="91" t="n">
        <f aca="false">IF(H39=1,Ramp1,IF(H39=2,Ramp2,Ramp3))*H41</f>
        <v>1</v>
      </c>
      <c r="I42" s="91" t="n">
        <f aca="false">IF(I39=1,Ramp1,IF(I39=2,Ramp2,Ramp3))*I41</f>
        <v>1</v>
      </c>
      <c r="J42" s="91" t="n">
        <f aca="false">IF(J39=1,Ramp1,IF(J39=2,Ramp2,Ramp3))*J41</f>
        <v>1</v>
      </c>
      <c r="K42" s="91" t="n">
        <f aca="false">IF(K39=1,Ramp1,IF(K39=2,Ramp2,Ramp3))*K41</f>
        <v>1</v>
      </c>
      <c r="L42" s="91" t="n">
        <f aca="false">IF(L39=1,Ramp1,IF(L39=2,Ramp2,Ramp3))*L41</f>
        <v>1</v>
      </c>
      <c r="M42" s="91" t="n">
        <f aca="false">IF(M39=1,Ramp1,IF(M39=2,Ramp2,Ramp3))*M41</f>
        <v>1</v>
      </c>
      <c r="N42" s="91" t="n">
        <f aca="false">IF(N39=1,Ramp1,IF(N39=2,Ramp2,Ramp3))*N41</f>
        <v>1</v>
      </c>
      <c r="O42" s="91" t="n">
        <f aca="false">IF(O39=1,Ramp1,IF(O39=2,Ramp2,Ramp3))*O41</f>
        <v>1</v>
      </c>
      <c r="P42" s="91" t="n">
        <f aca="false">IF(P39=1,Ramp1,IF(P39=2,Ramp2,Ramp3))*P41</f>
        <v>1</v>
      </c>
      <c r="Q42" s="91" t="n">
        <f aca="false">IF(Q39=1,Ramp1,IF(Q39=2,Ramp2,Ramp3))*Q41</f>
        <v>1</v>
      </c>
      <c r="R42" s="91" t="n">
        <f aca="false">IF(R39=1,Ramp1,IF(R39=2,Ramp2,Ramp3))*R41</f>
        <v>1</v>
      </c>
      <c r="S42" s="91" t="n">
        <f aca="false">IF(S39=1,Ramp1,IF(S39=2,Ramp2,Ramp3))*S41</f>
        <v>1</v>
      </c>
      <c r="T42" s="91" t="n">
        <f aca="false">IF(T39=1,Ramp1,IF(T39=2,Ramp2,Ramp3))*T41</f>
        <v>1</v>
      </c>
      <c r="U42" s="91" t="n">
        <f aca="false">IF(U39=1,Ramp1,IF(U39=2,Ramp2,Ramp3))*U41</f>
        <v>1</v>
      </c>
      <c r="V42" s="91" t="n">
        <f aca="false">IF(V39=1,Ramp1,IF(V39=2,Ramp2,Ramp3))*V41</f>
        <v>1</v>
      </c>
      <c r="W42" s="91" t="n">
        <f aca="false">IF(W39=1,Ramp1,IF(W39=2,Ramp2,Ramp3))*W41</f>
        <v>1</v>
      </c>
    </row>
    <row r="43" customFormat="false" ht="15" hidden="false" customHeight="false" outlineLevel="0" collapsed="false">
      <c r="A43" s="11" t="s">
        <v>416</v>
      </c>
      <c r="C43" s="92" t="n">
        <v>0</v>
      </c>
      <c r="D43" s="92" t="n">
        <f aca="false">(1+TariffEsc)^(D39-1)</f>
        <v>1</v>
      </c>
      <c r="E43" s="92" t="n">
        <f aca="false">(1+TariffEsc)^(E39-1)</f>
        <v>1.03</v>
      </c>
      <c r="F43" s="92" t="n">
        <f aca="false">(1+TariffEsc)^(F39-1)</f>
        <v>1.0609</v>
      </c>
      <c r="G43" s="92" t="n">
        <f aca="false">(1+TariffEsc)^(G39-1)</f>
        <v>1.092727</v>
      </c>
      <c r="H43" s="92" t="n">
        <f aca="false">(1+TariffEsc)^(H39-1)</f>
        <v>1.12550881</v>
      </c>
      <c r="I43" s="92" t="n">
        <f aca="false">(1+TariffEsc)^(I39-1)</f>
        <v>1.1592740743</v>
      </c>
      <c r="J43" s="92" t="n">
        <f aca="false">(1+TariffEsc)^(J39-1)</f>
        <v>1.194052296529</v>
      </c>
      <c r="K43" s="92" t="n">
        <f aca="false">(1+TariffEsc)^(K39-1)</f>
        <v>1.22987386542487</v>
      </c>
      <c r="L43" s="92" t="n">
        <f aca="false">(1+TariffEsc)^(L39-1)</f>
        <v>1.26677008138762</v>
      </c>
      <c r="M43" s="92" t="n">
        <f aca="false">(1+TariffEsc)^(M39-1)</f>
        <v>1.30477318382925</v>
      </c>
      <c r="N43" s="92" t="n">
        <f aca="false">(1+TariffEsc)^(N39-1)</f>
        <v>1.34391637934412</v>
      </c>
      <c r="O43" s="92" t="n">
        <f aca="false">(1+TariffEsc)^(O39-1)</f>
        <v>1.38423387072445</v>
      </c>
      <c r="P43" s="92" t="n">
        <f aca="false">(1+TariffEsc)^(P39-1)</f>
        <v>1.42576088684618</v>
      </c>
      <c r="Q43" s="92" t="n">
        <f aca="false">(1+TariffEsc)^(Q39-1)</f>
        <v>1.46853371345156</v>
      </c>
      <c r="R43" s="92" t="n">
        <f aca="false">(1+TariffEsc)^(R39-1)</f>
        <v>1.51258972485511</v>
      </c>
      <c r="S43" s="92" t="n">
        <f aca="false">(1+TariffEsc)^(S39-1)</f>
        <v>1.55796741660077</v>
      </c>
      <c r="T43" s="92" t="n">
        <f aca="false">(1+TariffEsc)^(T39-1)</f>
        <v>1.60470643909879</v>
      </c>
      <c r="U43" s="92" t="n">
        <f aca="false">(1+TariffEsc)^(U39-1)</f>
        <v>1.65284763227175</v>
      </c>
      <c r="V43" s="92" t="n">
        <f aca="false">(1+TariffEsc)^(V39-1)</f>
        <v>1.7024330612399</v>
      </c>
      <c r="W43" s="92" t="n">
        <f aca="false">(1+TariffEsc)^(W39-1)</f>
        <v>1.7535060530771</v>
      </c>
    </row>
    <row r="44" customFormat="false" ht="15" hidden="false" customHeight="false" outlineLevel="0" collapsed="false">
      <c r="A44" s="11" t="s">
        <v>417</v>
      </c>
      <c r="C44" s="92" t="n">
        <v>0</v>
      </c>
      <c r="D44" s="92" t="n">
        <f aca="false">(1+CostEsc)^(D39-1)</f>
        <v>1</v>
      </c>
      <c r="E44" s="92" t="n">
        <f aca="false">(1+CostEsc)^(E39-1)</f>
        <v>1.03</v>
      </c>
      <c r="F44" s="92" t="n">
        <f aca="false">(1+CostEsc)^(F39-1)</f>
        <v>1.0609</v>
      </c>
      <c r="G44" s="92" t="n">
        <f aca="false">(1+CostEsc)^(G39-1)</f>
        <v>1.092727</v>
      </c>
      <c r="H44" s="92" t="n">
        <f aca="false">(1+CostEsc)^(H39-1)</f>
        <v>1.12550881</v>
      </c>
      <c r="I44" s="92" t="n">
        <f aca="false">(1+CostEsc)^(I39-1)</f>
        <v>1.1592740743</v>
      </c>
      <c r="J44" s="92" t="n">
        <f aca="false">(1+CostEsc)^(J39-1)</f>
        <v>1.194052296529</v>
      </c>
      <c r="K44" s="92" t="n">
        <f aca="false">(1+CostEsc)^(K39-1)</f>
        <v>1.22987386542487</v>
      </c>
      <c r="L44" s="92" t="n">
        <f aca="false">(1+CostEsc)^(L39-1)</f>
        <v>1.26677008138762</v>
      </c>
      <c r="M44" s="92" t="n">
        <f aca="false">(1+CostEsc)^(M39-1)</f>
        <v>1.30477318382925</v>
      </c>
      <c r="N44" s="92" t="n">
        <f aca="false">(1+CostEsc)^(N39-1)</f>
        <v>1.34391637934412</v>
      </c>
      <c r="O44" s="92" t="n">
        <f aca="false">(1+CostEsc)^(O39-1)</f>
        <v>1.38423387072445</v>
      </c>
      <c r="P44" s="92" t="n">
        <f aca="false">(1+CostEsc)^(P39-1)</f>
        <v>1.42576088684618</v>
      </c>
      <c r="Q44" s="92" t="n">
        <f aca="false">(1+CostEsc)^(Q39-1)</f>
        <v>1.46853371345156</v>
      </c>
      <c r="R44" s="92" t="n">
        <f aca="false">(1+CostEsc)^(R39-1)</f>
        <v>1.51258972485511</v>
      </c>
      <c r="S44" s="92" t="n">
        <f aca="false">(1+CostEsc)^(S39-1)</f>
        <v>1.55796741660077</v>
      </c>
      <c r="T44" s="92" t="n">
        <f aca="false">(1+CostEsc)^(T39-1)</f>
        <v>1.60470643909879</v>
      </c>
      <c r="U44" s="92" t="n">
        <f aca="false">(1+CostEsc)^(U39-1)</f>
        <v>1.65284763227175</v>
      </c>
      <c r="V44" s="92" t="n">
        <f aca="false">(1+CostEsc)^(V39-1)</f>
        <v>1.7024330612399</v>
      </c>
      <c r="W44" s="92" t="n">
        <f aca="false">(1+CostEsc)^(W39-1)</f>
        <v>1.7535060530771</v>
      </c>
    </row>
    <row r="45" customFormat="false" ht="15" hidden="false" customHeight="false" outlineLevel="0" collapsed="false">
      <c r="A45" s="11" t="s">
        <v>418</v>
      </c>
      <c r="C45" s="92" t="n">
        <v>0</v>
      </c>
      <c r="D45" s="92" t="n">
        <f aca="false">(1+DemandGrowth)^(D39-1)*LevDemand*$B$6</f>
        <v>1</v>
      </c>
      <c r="E45" s="92" t="n">
        <f aca="false">(1+DemandGrowth)^(E39-1)*LevDemand*$B$6</f>
        <v>1.03</v>
      </c>
      <c r="F45" s="92" t="n">
        <f aca="false">(1+DemandGrowth)^(F39-1)*LevDemand*$B$6</f>
        <v>1.0609</v>
      </c>
      <c r="G45" s="92" t="n">
        <f aca="false">(1+DemandGrowth)^(G39-1)*LevDemand*$B$6</f>
        <v>1.092727</v>
      </c>
      <c r="H45" s="92" t="n">
        <f aca="false">(1+DemandGrowth)^(H39-1)*LevDemand*$B$6</f>
        <v>1.12550881</v>
      </c>
      <c r="I45" s="92" t="n">
        <f aca="false">(1+DemandGrowth)^(I39-1)*LevDemand*$B$6</f>
        <v>1.1592740743</v>
      </c>
      <c r="J45" s="92" t="n">
        <f aca="false">(1+DemandGrowth)^(J39-1)*LevDemand*$B$6</f>
        <v>1.194052296529</v>
      </c>
      <c r="K45" s="92" t="n">
        <f aca="false">(1+DemandGrowth)^(K39-1)*LevDemand*$B$6</f>
        <v>1.22987386542487</v>
      </c>
      <c r="L45" s="92" t="n">
        <f aca="false">(1+DemandGrowth)^(L39-1)*LevDemand*$B$6</f>
        <v>1.26677008138762</v>
      </c>
      <c r="M45" s="92" t="n">
        <f aca="false">(1+DemandGrowth)^(M39-1)*LevDemand*$B$6</f>
        <v>1.30477318382925</v>
      </c>
      <c r="N45" s="92" t="n">
        <f aca="false">(1+DemandGrowth)^(N39-1)*LevDemand*$B$6</f>
        <v>1.34391637934412</v>
      </c>
      <c r="O45" s="92" t="n">
        <f aca="false">(1+DemandGrowth)^(O39-1)*LevDemand*$B$6</f>
        <v>1.38423387072445</v>
      </c>
      <c r="P45" s="92" t="n">
        <f aca="false">(1+DemandGrowth)^(P39-1)*LevDemand*$B$6</f>
        <v>1.42576088684618</v>
      </c>
      <c r="Q45" s="92" t="n">
        <f aca="false">(1+DemandGrowth)^(Q39-1)*LevDemand*$B$6</f>
        <v>1.46853371345156</v>
      </c>
      <c r="R45" s="92" t="n">
        <f aca="false">(1+DemandGrowth)^(R39-1)*LevDemand*$B$6</f>
        <v>1.51258972485511</v>
      </c>
      <c r="S45" s="92" t="n">
        <f aca="false">(1+DemandGrowth)^(S39-1)*LevDemand*$B$6</f>
        <v>1.55796741660077</v>
      </c>
      <c r="T45" s="92" t="n">
        <f aca="false">(1+DemandGrowth)^(T39-1)*LevDemand*$B$6</f>
        <v>1.60470643909879</v>
      </c>
      <c r="U45" s="92" t="n">
        <f aca="false">(1+DemandGrowth)^(U39-1)*LevDemand*$B$6</f>
        <v>1.65284763227175</v>
      </c>
      <c r="V45" s="92" t="n">
        <f aca="false">(1+DemandGrowth)^(V39-1)*LevDemand*$B$6</f>
        <v>1.7024330612399</v>
      </c>
      <c r="W45" s="92" t="n">
        <f aca="false">(1+DemandGrowth)^(W39-1)*LevDemand*$B$6</f>
        <v>1.7535060530771</v>
      </c>
    </row>
    <row r="47" customFormat="false" ht="15" hidden="false" customHeight="false" outlineLevel="0" collapsed="false">
      <c r="A47" s="9" t="s">
        <v>419</v>
      </c>
      <c r="B47" s="10"/>
      <c r="C47" s="10"/>
      <c r="D47" s="10"/>
      <c r="E47" s="10"/>
      <c r="F47" s="10"/>
      <c r="G47" s="10"/>
      <c r="H47" s="10"/>
      <c r="I47" s="10"/>
      <c r="J47" s="10"/>
      <c r="K47" s="10"/>
      <c r="L47" s="10"/>
      <c r="M47" s="10"/>
      <c r="N47" s="10"/>
      <c r="O47" s="10"/>
      <c r="P47" s="10"/>
      <c r="Q47" s="10"/>
      <c r="R47" s="10"/>
      <c r="S47" s="10"/>
      <c r="T47" s="10"/>
      <c r="U47" s="10"/>
      <c r="V47" s="10"/>
      <c r="W47" s="10"/>
    </row>
    <row r="48" customFormat="false" ht="15" hidden="false" customHeight="false" outlineLevel="0" collapsed="false">
      <c r="A48" s="11" t="str">
        <f aca="false">"Connections - "&amp;Seg1_Name</f>
        <v>Connections - Households</v>
      </c>
      <c r="C48" s="93" t="n">
        <v>0</v>
      </c>
      <c r="D48" s="93" t="n">
        <f aca="false">Seg1_N*D42</f>
        <v>480</v>
      </c>
      <c r="E48" s="93" t="n">
        <f aca="false">Seg1_N*E42</f>
        <v>680</v>
      </c>
      <c r="F48" s="93" t="n">
        <f aca="false">Seg1_N*F42</f>
        <v>800</v>
      </c>
      <c r="G48" s="93" t="n">
        <f aca="false">Seg1_N*G42</f>
        <v>800</v>
      </c>
      <c r="H48" s="93" t="n">
        <f aca="false">Seg1_N*H42</f>
        <v>800</v>
      </c>
      <c r="I48" s="93" t="n">
        <f aca="false">Seg1_N*I42</f>
        <v>800</v>
      </c>
      <c r="J48" s="93" t="n">
        <f aca="false">Seg1_N*J42</f>
        <v>800</v>
      </c>
      <c r="K48" s="93" t="n">
        <f aca="false">Seg1_N*K42</f>
        <v>800</v>
      </c>
      <c r="L48" s="93" t="n">
        <f aca="false">Seg1_N*L42</f>
        <v>800</v>
      </c>
      <c r="M48" s="93" t="n">
        <f aca="false">Seg1_N*M42</f>
        <v>800</v>
      </c>
      <c r="N48" s="93" t="n">
        <f aca="false">Seg1_N*N42</f>
        <v>800</v>
      </c>
      <c r="O48" s="93" t="n">
        <f aca="false">Seg1_N*O42</f>
        <v>800</v>
      </c>
      <c r="P48" s="93" t="n">
        <f aca="false">Seg1_N*P42</f>
        <v>800</v>
      </c>
      <c r="Q48" s="93" t="n">
        <f aca="false">Seg1_N*Q42</f>
        <v>800</v>
      </c>
      <c r="R48" s="93" t="n">
        <f aca="false">Seg1_N*R42</f>
        <v>800</v>
      </c>
      <c r="S48" s="93" t="n">
        <f aca="false">Seg1_N*S42</f>
        <v>800</v>
      </c>
      <c r="T48" s="93" t="n">
        <f aca="false">Seg1_N*T42</f>
        <v>800</v>
      </c>
      <c r="U48" s="93" t="n">
        <f aca="false">Seg1_N*U42</f>
        <v>800</v>
      </c>
      <c r="V48" s="93" t="n">
        <f aca="false">Seg1_N*V42</f>
        <v>800</v>
      </c>
      <c r="W48" s="93" t="n">
        <f aca="false">Seg1_N*W42</f>
        <v>800</v>
      </c>
    </row>
    <row r="49" customFormat="false" ht="15" hidden="false" customHeight="false" outlineLevel="0" collapsed="false">
      <c r="A49" s="11" t="str">
        <f aca="false">"Connections - "&amp;Seg2_Name</f>
        <v>Connections - Productive users (mills, welding, cold rooms)</v>
      </c>
      <c r="C49" s="93" t="n">
        <v>0</v>
      </c>
      <c r="D49" s="93" t="n">
        <f aca="false">Seg2_N*D42</f>
        <v>36</v>
      </c>
      <c r="E49" s="93" t="n">
        <f aca="false">Seg2_N*E42</f>
        <v>51</v>
      </c>
      <c r="F49" s="93" t="n">
        <f aca="false">Seg2_N*F42</f>
        <v>60</v>
      </c>
      <c r="G49" s="93" t="n">
        <f aca="false">Seg2_N*G42</f>
        <v>60</v>
      </c>
      <c r="H49" s="93" t="n">
        <f aca="false">Seg2_N*H42</f>
        <v>60</v>
      </c>
      <c r="I49" s="93" t="n">
        <f aca="false">Seg2_N*I42</f>
        <v>60</v>
      </c>
      <c r="J49" s="93" t="n">
        <f aca="false">Seg2_N*J42</f>
        <v>60</v>
      </c>
      <c r="K49" s="93" t="n">
        <f aca="false">Seg2_N*K42</f>
        <v>60</v>
      </c>
      <c r="L49" s="93" t="n">
        <f aca="false">Seg2_N*L42</f>
        <v>60</v>
      </c>
      <c r="M49" s="93" t="n">
        <f aca="false">Seg2_N*M42</f>
        <v>60</v>
      </c>
      <c r="N49" s="93" t="n">
        <f aca="false">Seg2_N*N42</f>
        <v>60</v>
      </c>
      <c r="O49" s="93" t="n">
        <f aca="false">Seg2_N*O42</f>
        <v>60</v>
      </c>
      <c r="P49" s="93" t="n">
        <f aca="false">Seg2_N*P42</f>
        <v>60</v>
      </c>
      <c r="Q49" s="93" t="n">
        <f aca="false">Seg2_N*Q42</f>
        <v>60</v>
      </c>
      <c r="R49" s="93" t="n">
        <f aca="false">Seg2_N*R42</f>
        <v>60</v>
      </c>
      <c r="S49" s="93" t="n">
        <f aca="false">Seg2_N*S42</f>
        <v>60</v>
      </c>
      <c r="T49" s="93" t="n">
        <f aca="false">Seg2_N*T42</f>
        <v>60</v>
      </c>
      <c r="U49" s="93" t="n">
        <f aca="false">Seg2_N*U42</f>
        <v>60</v>
      </c>
      <c r="V49" s="93" t="n">
        <f aca="false">Seg2_N*V42</f>
        <v>60</v>
      </c>
      <c r="W49" s="93" t="n">
        <f aca="false">Seg2_N*W42</f>
        <v>60</v>
      </c>
    </row>
    <row r="50" customFormat="false" ht="15" hidden="false" customHeight="false" outlineLevel="0" collapsed="false">
      <c r="A50" s="11" t="str">
        <f aca="false">"Connections - "&amp;Seg3_Name</f>
        <v>Connections - Commercial (shops, bars, kiosks)</v>
      </c>
      <c r="C50" s="93" t="n">
        <v>0</v>
      </c>
      <c r="D50" s="93" t="n">
        <f aca="false">Seg3_N*D42</f>
        <v>60</v>
      </c>
      <c r="E50" s="93" t="n">
        <f aca="false">Seg3_N*E42</f>
        <v>85</v>
      </c>
      <c r="F50" s="93" t="n">
        <f aca="false">Seg3_N*F42</f>
        <v>100</v>
      </c>
      <c r="G50" s="93" t="n">
        <f aca="false">Seg3_N*G42</f>
        <v>100</v>
      </c>
      <c r="H50" s="93" t="n">
        <f aca="false">Seg3_N*H42</f>
        <v>100</v>
      </c>
      <c r="I50" s="93" t="n">
        <f aca="false">Seg3_N*I42</f>
        <v>100</v>
      </c>
      <c r="J50" s="93" t="n">
        <f aca="false">Seg3_N*J42</f>
        <v>100</v>
      </c>
      <c r="K50" s="93" t="n">
        <f aca="false">Seg3_N*K42</f>
        <v>100</v>
      </c>
      <c r="L50" s="93" t="n">
        <f aca="false">Seg3_N*L42</f>
        <v>100</v>
      </c>
      <c r="M50" s="93" t="n">
        <f aca="false">Seg3_N*M42</f>
        <v>100</v>
      </c>
      <c r="N50" s="93" t="n">
        <f aca="false">Seg3_N*N42</f>
        <v>100</v>
      </c>
      <c r="O50" s="93" t="n">
        <f aca="false">Seg3_N*O42</f>
        <v>100</v>
      </c>
      <c r="P50" s="93" t="n">
        <f aca="false">Seg3_N*P42</f>
        <v>100</v>
      </c>
      <c r="Q50" s="93" t="n">
        <f aca="false">Seg3_N*Q42</f>
        <v>100</v>
      </c>
      <c r="R50" s="93" t="n">
        <f aca="false">Seg3_N*R42</f>
        <v>100</v>
      </c>
      <c r="S50" s="93" t="n">
        <f aca="false">Seg3_N*S42</f>
        <v>100</v>
      </c>
      <c r="T50" s="93" t="n">
        <f aca="false">Seg3_N*T42</f>
        <v>100</v>
      </c>
      <c r="U50" s="93" t="n">
        <f aca="false">Seg3_N*U42</f>
        <v>100</v>
      </c>
      <c r="V50" s="93" t="n">
        <f aca="false">Seg3_N*V42</f>
        <v>100</v>
      </c>
      <c r="W50" s="93" t="n">
        <f aca="false">Seg3_N*W42</f>
        <v>100</v>
      </c>
    </row>
    <row r="51" customFormat="false" ht="15" hidden="false" customHeight="false" outlineLevel="0" collapsed="false">
      <c r="A51" s="11" t="str">
        <f aca="false">"Connections - "&amp;Seg4_Name</f>
        <v>Connections - Institutions (health centre, school, water)</v>
      </c>
      <c r="C51" s="93" t="n">
        <v>0</v>
      </c>
      <c r="D51" s="93" t="n">
        <f aca="false">Seg4_N*D42</f>
        <v>6</v>
      </c>
      <c r="E51" s="93" t="n">
        <f aca="false">Seg4_N*E42</f>
        <v>8.5</v>
      </c>
      <c r="F51" s="93" t="n">
        <f aca="false">Seg4_N*F42</f>
        <v>10</v>
      </c>
      <c r="G51" s="93" t="n">
        <f aca="false">Seg4_N*G42</f>
        <v>10</v>
      </c>
      <c r="H51" s="93" t="n">
        <f aca="false">Seg4_N*H42</f>
        <v>10</v>
      </c>
      <c r="I51" s="93" t="n">
        <f aca="false">Seg4_N*I42</f>
        <v>10</v>
      </c>
      <c r="J51" s="93" t="n">
        <f aca="false">Seg4_N*J42</f>
        <v>10</v>
      </c>
      <c r="K51" s="93" t="n">
        <f aca="false">Seg4_N*K42</f>
        <v>10</v>
      </c>
      <c r="L51" s="93" t="n">
        <f aca="false">Seg4_N*L42</f>
        <v>10</v>
      </c>
      <c r="M51" s="93" t="n">
        <f aca="false">Seg4_N*M42</f>
        <v>10</v>
      </c>
      <c r="N51" s="93" t="n">
        <f aca="false">Seg4_N*N42</f>
        <v>10</v>
      </c>
      <c r="O51" s="93" t="n">
        <f aca="false">Seg4_N*O42</f>
        <v>10</v>
      </c>
      <c r="P51" s="93" t="n">
        <f aca="false">Seg4_N*P42</f>
        <v>10</v>
      </c>
      <c r="Q51" s="93" t="n">
        <f aca="false">Seg4_N*Q42</f>
        <v>10</v>
      </c>
      <c r="R51" s="93" t="n">
        <f aca="false">Seg4_N*R42</f>
        <v>10</v>
      </c>
      <c r="S51" s="93" t="n">
        <f aca="false">Seg4_N*S42</f>
        <v>10</v>
      </c>
      <c r="T51" s="93" t="n">
        <f aca="false">Seg4_N*T42</f>
        <v>10</v>
      </c>
      <c r="U51" s="93" t="n">
        <f aca="false">Seg4_N*U42</f>
        <v>10</v>
      </c>
      <c r="V51" s="93" t="n">
        <f aca="false">Seg4_N*V42</f>
        <v>10</v>
      </c>
      <c r="W51" s="93" t="n">
        <f aca="false">Seg4_N*W42</f>
        <v>10</v>
      </c>
    </row>
    <row r="52" customFormat="false" ht="15" hidden="false" customHeight="false" outlineLevel="0" collapsed="false">
      <c r="A52" s="11" t="str">
        <f aca="false">"Connections - "&amp;Seg5_Name</f>
        <v>Connections - Other / custom</v>
      </c>
      <c r="C52" s="93" t="n">
        <v>0</v>
      </c>
      <c r="D52" s="93" t="n">
        <f aca="false">Seg5_N*D42</f>
        <v>0</v>
      </c>
      <c r="E52" s="93" t="n">
        <f aca="false">Seg5_N*E42</f>
        <v>0</v>
      </c>
      <c r="F52" s="93" t="n">
        <f aca="false">Seg5_N*F42</f>
        <v>0</v>
      </c>
      <c r="G52" s="93" t="n">
        <f aca="false">Seg5_N*G42</f>
        <v>0</v>
      </c>
      <c r="H52" s="93" t="n">
        <f aca="false">Seg5_N*H42</f>
        <v>0</v>
      </c>
      <c r="I52" s="93" t="n">
        <f aca="false">Seg5_N*I42</f>
        <v>0</v>
      </c>
      <c r="J52" s="93" t="n">
        <f aca="false">Seg5_N*J42</f>
        <v>0</v>
      </c>
      <c r="K52" s="93" t="n">
        <f aca="false">Seg5_N*K42</f>
        <v>0</v>
      </c>
      <c r="L52" s="93" t="n">
        <f aca="false">Seg5_N*L42</f>
        <v>0</v>
      </c>
      <c r="M52" s="93" t="n">
        <f aca="false">Seg5_N*M42</f>
        <v>0</v>
      </c>
      <c r="N52" s="93" t="n">
        <f aca="false">Seg5_N*N42</f>
        <v>0</v>
      </c>
      <c r="O52" s="93" t="n">
        <f aca="false">Seg5_N*O42</f>
        <v>0</v>
      </c>
      <c r="P52" s="93" t="n">
        <f aca="false">Seg5_N*P42</f>
        <v>0</v>
      </c>
      <c r="Q52" s="93" t="n">
        <f aca="false">Seg5_N*Q42</f>
        <v>0</v>
      </c>
      <c r="R52" s="93" t="n">
        <f aca="false">Seg5_N*R42</f>
        <v>0</v>
      </c>
      <c r="S52" s="93" t="n">
        <f aca="false">Seg5_N*S42</f>
        <v>0</v>
      </c>
      <c r="T52" s="93" t="n">
        <f aca="false">Seg5_N*T42</f>
        <v>0</v>
      </c>
      <c r="U52" s="93" t="n">
        <f aca="false">Seg5_N*U42</f>
        <v>0</v>
      </c>
      <c r="V52" s="93" t="n">
        <f aca="false">Seg5_N*V42</f>
        <v>0</v>
      </c>
      <c r="W52" s="93" t="n">
        <f aca="false">Seg5_N*W42</f>
        <v>0</v>
      </c>
    </row>
    <row r="53" customFormat="false" ht="15" hidden="false" customHeight="false" outlineLevel="0" collapsed="false">
      <c r="A53" s="16" t="s">
        <v>420</v>
      </c>
      <c r="C53" s="29" t="n">
        <f aca="false">C48+C49+C50+C51+C52</f>
        <v>0</v>
      </c>
      <c r="D53" s="29" t="n">
        <f aca="false">D48+D49+D50+D51+D52</f>
        <v>582</v>
      </c>
      <c r="E53" s="29" t="n">
        <f aca="false">E48+E49+E50+E51+E52</f>
        <v>824.5</v>
      </c>
      <c r="F53" s="29" t="n">
        <f aca="false">F48+F49+F50+F51+F52</f>
        <v>970</v>
      </c>
      <c r="G53" s="29" t="n">
        <f aca="false">G48+G49+G50+G51+G52</f>
        <v>970</v>
      </c>
      <c r="H53" s="29" t="n">
        <f aca="false">H48+H49+H50+H51+H52</f>
        <v>970</v>
      </c>
      <c r="I53" s="29" t="n">
        <f aca="false">I48+I49+I50+I51+I52</f>
        <v>970</v>
      </c>
      <c r="J53" s="29" t="n">
        <f aca="false">J48+J49+J50+J51+J52</f>
        <v>970</v>
      </c>
      <c r="K53" s="29" t="n">
        <f aca="false">K48+K49+K50+K51+K52</f>
        <v>970</v>
      </c>
      <c r="L53" s="29" t="n">
        <f aca="false">L48+L49+L50+L51+L52</f>
        <v>970</v>
      </c>
      <c r="M53" s="29" t="n">
        <f aca="false">M48+M49+M50+M51+M52</f>
        <v>970</v>
      </c>
      <c r="N53" s="29" t="n">
        <f aca="false">N48+N49+N50+N51+N52</f>
        <v>970</v>
      </c>
      <c r="O53" s="29" t="n">
        <f aca="false">O48+O49+O50+O51+O52</f>
        <v>970</v>
      </c>
      <c r="P53" s="29" t="n">
        <f aca="false">P48+P49+P50+P51+P52</f>
        <v>970</v>
      </c>
      <c r="Q53" s="29" t="n">
        <f aca="false">Q48+Q49+Q50+Q51+Q52</f>
        <v>970</v>
      </c>
      <c r="R53" s="29" t="n">
        <f aca="false">R48+R49+R50+R51+R52</f>
        <v>970</v>
      </c>
      <c r="S53" s="29" t="n">
        <f aca="false">S48+S49+S50+S51+S52</f>
        <v>970</v>
      </c>
      <c r="T53" s="29" t="n">
        <f aca="false">T48+T49+T50+T51+T52</f>
        <v>970</v>
      </c>
      <c r="U53" s="29" t="n">
        <f aca="false">U48+U49+U50+U51+U52</f>
        <v>970</v>
      </c>
      <c r="V53" s="29" t="n">
        <f aca="false">V48+V49+V50+V51+V52</f>
        <v>970</v>
      </c>
      <c r="W53" s="29" t="n">
        <f aca="false">W48+W49+W50+W51+W52</f>
        <v>970</v>
      </c>
    </row>
    <row r="54" customFormat="false" ht="15" hidden="false" customHeight="false" outlineLevel="0" collapsed="false">
      <c r="A54" s="11" t="str">
        <f aca="false">"New connections - "&amp;Seg1_Name</f>
        <v>New connections - Households</v>
      </c>
      <c r="B54" s="77" t="n">
        <f aca="false">SUM(C54:W54)</f>
        <v>800</v>
      </c>
      <c r="C54" s="94" t="n">
        <v>0</v>
      </c>
      <c r="D54" s="94" t="n">
        <f aca="false">MAX(0,D48-C48)</f>
        <v>480</v>
      </c>
      <c r="E54" s="94" t="n">
        <f aca="false">MAX(0,E48-D48)</f>
        <v>200</v>
      </c>
      <c r="F54" s="94" t="n">
        <f aca="false">MAX(0,F48-E48)</f>
        <v>120</v>
      </c>
      <c r="G54" s="94" t="n">
        <f aca="false">MAX(0,G48-F48)</f>
        <v>0</v>
      </c>
      <c r="H54" s="94" t="n">
        <f aca="false">MAX(0,H48-G48)</f>
        <v>0</v>
      </c>
      <c r="I54" s="94" t="n">
        <f aca="false">MAX(0,I48-H48)</f>
        <v>0</v>
      </c>
      <c r="J54" s="94" t="n">
        <f aca="false">MAX(0,J48-I48)</f>
        <v>0</v>
      </c>
      <c r="K54" s="94" t="n">
        <f aca="false">MAX(0,K48-J48)</f>
        <v>0</v>
      </c>
      <c r="L54" s="94" t="n">
        <f aca="false">MAX(0,L48-K48)</f>
        <v>0</v>
      </c>
      <c r="M54" s="94" t="n">
        <f aca="false">MAX(0,M48-L48)</f>
        <v>0</v>
      </c>
      <c r="N54" s="94" t="n">
        <f aca="false">MAX(0,N48-M48)</f>
        <v>0</v>
      </c>
      <c r="O54" s="94" t="n">
        <f aca="false">MAX(0,O48-N48)</f>
        <v>0</v>
      </c>
      <c r="P54" s="94" t="n">
        <f aca="false">MAX(0,P48-O48)</f>
        <v>0</v>
      </c>
      <c r="Q54" s="94" t="n">
        <f aca="false">MAX(0,Q48-P48)</f>
        <v>0</v>
      </c>
      <c r="R54" s="94" t="n">
        <f aca="false">MAX(0,R48-Q48)</f>
        <v>0</v>
      </c>
      <c r="S54" s="94" t="n">
        <f aca="false">MAX(0,S48-R48)</f>
        <v>0</v>
      </c>
      <c r="T54" s="94" t="n">
        <f aca="false">MAX(0,T48-S48)</f>
        <v>0</v>
      </c>
      <c r="U54" s="94" t="n">
        <f aca="false">MAX(0,U48-T48)</f>
        <v>0</v>
      </c>
      <c r="V54" s="94" t="n">
        <f aca="false">MAX(0,V48-U48)</f>
        <v>0</v>
      </c>
      <c r="W54" s="94" t="n">
        <f aca="false">MAX(0,W48-V48)</f>
        <v>0</v>
      </c>
    </row>
    <row r="55" customFormat="false" ht="15" hidden="false" customHeight="false" outlineLevel="0" collapsed="false">
      <c r="A55" s="11" t="str">
        <f aca="false">"New connections - "&amp;Seg2_Name</f>
        <v>New connections - Productive users (mills, welding, cold rooms)</v>
      </c>
      <c r="B55" s="77" t="n">
        <f aca="false">SUM(C55:W55)</f>
        <v>60</v>
      </c>
      <c r="C55" s="94" t="n">
        <v>0</v>
      </c>
      <c r="D55" s="94" t="n">
        <f aca="false">MAX(0,D49-C49)</f>
        <v>36</v>
      </c>
      <c r="E55" s="94" t="n">
        <f aca="false">MAX(0,E49-D49)</f>
        <v>15</v>
      </c>
      <c r="F55" s="94" t="n">
        <f aca="false">MAX(0,F49-E49)</f>
        <v>9</v>
      </c>
      <c r="G55" s="94" t="n">
        <f aca="false">MAX(0,G49-F49)</f>
        <v>0</v>
      </c>
      <c r="H55" s="94" t="n">
        <f aca="false">MAX(0,H49-G49)</f>
        <v>0</v>
      </c>
      <c r="I55" s="94" t="n">
        <f aca="false">MAX(0,I49-H49)</f>
        <v>0</v>
      </c>
      <c r="J55" s="94" t="n">
        <f aca="false">MAX(0,J49-I49)</f>
        <v>0</v>
      </c>
      <c r="K55" s="94" t="n">
        <f aca="false">MAX(0,K49-J49)</f>
        <v>0</v>
      </c>
      <c r="L55" s="94" t="n">
        <f aca="false">MAX(0,L49-K49)</f>
        <v>0</v>
      </c>
      <c r="M55" s="94" t="n">
        <f aca="false">MAX(0,M49-L49)</f>
        <v>0</v>
      </c>
      <c r="N55" s="94" t="n">
        <f aca="false">MAX(0,N49-M49)</f>
        <v>0</v>
      </c>
      <c r="O55" s="94" t="n">
        <f aca="false">MAX(0,O49-N49)</f>
        <v>0</v>
      </c>
      <c r="P55" s="94" t="n">
        <f aca="false">MAX(0,P49-O49)</f>
        <v>0</v>
      </c>
      <c r="Q55" s="94" t="n">
        <f aca="false">MAX(0,Q49-P49)</f>
        <v>0</v>
      </c>
      <c r="R55" s="94" t="n">
        <f aca="false">MAX(0,R49-Q49)</f>
        <v>0</v>
      </c>
      <c r="S55" s="94" t="n">
        <f aca="false">MAX(0,S49-R49)</f>
        <v>0</v>
      </c>
      <c r="T55" s="94" t="n">
        <f aca="false">MAX(0,T49-S49)</f>
        <v>0</v>
      </c>
      <c r="U55" s="94" t="n">
        <f aca="false">MAX(0,U49-T49)</f>
        <v>0</v>
      </c>
      <c r="V55" s="94" t="n">
        <f aca="false">MAX(0,V49-U49)</f>
        <v>0</v>
      </c>
      <c r="W55" s="94" t="n">
        <f aca="false">MAX(0,W49-V49)</f>
        <v>0</v>
      </c>
    </row>
    <row r="56" customFormat="false" ht="15" hidden="false" customHeight="false" outlineLevel="0" collapsed="false">
      <c r="A56" s="11" t="str">
        <f aca="false">"New connections - "&amp;Seg3_Name</f>
        <v>New connections - Commercial (shops, bars, kiosks)</v>
      </c>
      <c r="B56" s="77" t="n">
        <f aca="false">SUM(C56:W56)</f>
        <v>100</v>
      </c>
      <c r="C56" s="94" t="n">
        <v>0</v>
      </c>
      <c r="D56" s="94" t="n">
        <f aca="false">MAX(0,D50-C50)</f>
        <v>60</v>
      </c>
      <c r="E56" s="94" t="n">
        <f aca="false">MAX(0,E50-D50)</f>
        <v>25</v>
      </c>
      <c r="F56" s="94" t="n">
        <f aca="false">MAX(0,F50-E50)</f>
        <v>15</v>
      </c>
      <c r="G56" s="94" t="n">
        <f aca="false">MAX(0,G50-F50)</f>
        <v>0</v>
      </c>
      <c r="H56" s="94" t="n">
        <f aca="false">MAX(0,H50-G50)</f>
        <v>0</v>
      </c>
      <c r="I56" s="94" t="n">
        <f aca="false">MAX(0,I50-H50)</f>
        <v>0</v>
      </c>
      <c r="J56" s="94" t="n">
        <f aca="false">MAX(0,J50-I50)</f>
        <v>0</v>
      </c>
      <c r="K56" s="94" t="n">
        <f aca="false">MAX(0,K50-J50)</f>
        <v>0</v>
      </c>
      <c r="L56" s="94" t="n">
        <f aca="false">MAX(0,L50-K50)</f>
        <v>0</v>
      </c>
      <c r="M56" s="94" t="n">
        <f aca="false">MAX(0,M50-L50)</f>
        <v>0</v>
      </c>
      <c r="N56" s="94" t="n">
        <f aca="false">MAX(0,N50-M50)</f>
        <v>0</v>
      </c>
      <c r="O56" s="94" t="n">
        <f aca="false">MAX(0,O50-N50)</f>
        <v>0</v>
      </c>
      <c r="P56" s="94" t="n">
        <f aca="false">MAX(0,P50-O50)</f>
        <v>0</v>
      </c>
      <c r="Q56" s="94" t="n">
        <f aca="false">MAX(0,Q50-P50)</f>
        <v>0</v>
      </c>
      <c r="R56" s="94" t="n">
        <f aca="false">MAX(0,R50-Q50)</f>
        <v>0</v>
      </c>
      <c r="S56" s="94" t="n">
        <f aca="false">MAX(0,S50-R50)</f>
        <v>0</v>
      </c>
      <c r="T56" s="94" t="n">
        <f aca="false">MAX(0,T50-S50)</f>
        <v>0</v>
      </c>
      <c r="U56" s="94" t="n">
        <f aca="false">MAX(0,U50-T50)</f>
        <v>0</v>
      </c>
      <c r="V56" s="94" t="n">
        <f aca="false">MAX(0,V50-U50)</f>
        <v>0</v>
      </c>
      <c r="W56" s="94" t="n">
        <f aca="false">MAX(0,W50-V50)</f>
        <v>0</v>
      </c>
    </row>
    <row r="57" customFormat="false" ht="15" hidden="false" customHeight="false" outlineLevel="0" collapsed="false">
      <c r="A57" s="11" t="str">
        <f aca="false">"New connections - "&amp;Seg4_Name</f>
        <v>New connections - Institutions (health centre, school, water)</v>
      </c>
      <c r="B57" s="77" t="n">
        <f aca="false">SUM(C57:W57)</f>
        <v>10</v>
      </c>
      <c r="C57" s="94" t="n">
        <v>0</v>
      </c>
      <c r="D57" s="94" t="n">
        <f aca="false">MAX(0,D51-C51)</f>
        <v>6</v>
      </c>
      <c r="E57" s="94" t="n">
        <f aca="false">MAX(0,E51-D51)</f>
        <v>2.5</v>
      </c>
      <c r="F57" s="94" t="n">
        <f aca="false">MAX(0,F51-E51)</f>
        <v>1.5</v>
      </c>
      <c r="G57" s="94" t="n">
        <f aca="false">MAX(0,G51-F51)</f>
        <v>0</v>
      </c>
      <c r="H57" s="94" t="n">
        <f aca="false">MAX(0,H51-G51)</f>
        <v>0</v>
      </c>
      <c r="I57" s="94" t="n">
        <f aca="false">MAX(0,I51-H51)</f>
        <v>0</v>
      </c>
      <c r="J57" s="94" t="n">
        <f aca="false">MAX(0,J51-I51)</f>
        <v>0</v>
      </c>
      <c r="K57" s="94" t="n">
        <f aca="false">MAX(0,K51-J51)</f>
        <v>0</v>
      </c>
      <c r="L57" s="94" t="n">
        <f aca="false">MAX(0,L51-K51)</f>
        <v>0</v>
      </c>
      <c r="M57" s="94" t="n">
        <f aca="false">MAX(0,M51-L51)</f>
        <v>0</v>
      </c>
      <c r="N57" s="94" t="n">
        <f aca="false">MAX(0,N51-M51)</f>
        <v>0</v>
      </c>
      <c r="O57" s="94" t="n">
        <f aca="false">MAX(0,O51-N51)</f>
        <v>0</v>
      </c>
      <c r="P57" s="94" t="n">
        <f aca="false">MAX(0,P51-O51)</f>
        <v>0</v>
      </c>
      <c r="Q57" s="94" t="n">
        <f aca="false">MAX(0,Q51-P51)</f>
        <v>0</v>
      </c>
      <c r="R57" s="94" t="n">
        <f aca="false">MAX(0,R51-Q51)</f>
        <v>0</v>
      </c>
      <c r="S57" s="94" t="n">
        <f aca="false">MAX(0,S51-R51)</f>
        <v>0</v>
      </c>
      <c r="T57" s="94" t="n">
        <f aca="false">MAX(0,T51-S51)</f>
        <v>0</v>
      </c>
      <c r="U57" s="94" t="n">
        <f aca="false">MAX(0,U51-T51)</f>
        <v>0</v>
      </c>
      <c r="V57" s="94" t="n">
        <f aca="false">MAX(0,V51-U51)</f>
        <v>0</v>
      </c>
      <c r="W57" s="94" t="n">
        <f aca="false">MAX(0,W51-V51)</f>
        <v>0</v>
      </c>
    </row>
    <row r="58" customFormat="false" ht="15" hidden="false" customHeight="false" outlineLevel="0" collapsed="false">
      <c r="A58" s="11" t="str">
        <f aca="false">"New connections - "&amp;Seg5_Name</f>
        <v>New connections - Other / custom</v>
      </c>
      <c r="B58" s="77" t="n">
        <f aca="false">SUM(C58:W58)</f>
        <v>0</v>
      </c>
      <c r="C58" s="94" t="n">
        <v>0</v>
      </c>
      <c r="D58" s="94" t="n">
        <f aca="false">MAX(0,D52-C52)</f>
        <v>0</v>
      </c>
      <c r="E58" s="94" t="n">
        <f aca="false">MAX(0,E52-D52)</f>
        <v>0</v>
      </c>
      <c r="F58" s="94" t="n">
        <f aca="false">MAX(0,F52-E52)</f>
        <v>0</v>
      </c>
      <c r="G58" s="94" t="n">
        <f aca="false">MAX(0,G52-F52)</f>
        <v>0</v>
      </c>
      <c r="H58" s="94" t="n">
        <f aca="false">MAX(0,H52-G52)</f>
        <v>0</v>
      </c>
      <c r="I58" s="94" t="n">
        <f aca="false">MAX(0,I52-H52)</f>
        <v>0</v>
      </c>
      <c r="J58" s="94" t="n">
        <f aca="false">MAX(0,J52-I52)</f>
        <v>0</v>
      </c>
      <c r="K58" s="94" t="n">
        <f aca="false">MAX(0,K52-J52)</f>
        <v>0</v>
      </c>
      <c r="L58" s="94" t="n">
        <f aca="false">MAX(0,L52-K52)</f>
        <v>0</v>
      </c>
      <c r="M58" s="94" t="n">
        <f aca="false">MAX(0,M52-L52)</f>
        <v>0</v>
      </c>
      <c r="N58" s="94" t="n">
        <f aca="false">MAX(0,N52-M52)</f>
        <v>0</v>
      </c>
      <c r="O58" s="94" t="n">
        <f aca="false">MAX(0,O52-N52)</f>
        <v>0</v>
      </c>
      <c r="P58" s="94" t="n">
        <f aca="false">MAX(0,P52-O52)</f>
        <v>0</v>
      </c>
      <c r="Q58" s="94" t="n">
        <f aca="false">MAX(0,Q52-P52)</f>
        <v>0</v>
      </c>
      <c r="R58" s="94" t="n">
        <f aca="false">MAX(0,R52-Q52)</f>
        <v>0</v>
      </c>
      <c r="S58" s="94" t="n">
        <f aca="false">MAX(0,S52-R52)</f>
        <v>0</v>
      </c>
      <c r="T58" s="94" t="n">
        <f aca="false">MAX(0,T52-S52)</f>
        <v>0</v>
      </c>
      <c r="U58" s="94" t="n">
        <f aca="false">MAX(0,U52-T52)</f>
        <v>0</v>
      </c>
      <c r="V58" s="94" t="n">
        <f aca="false">MAX(0,V52-U52)</f>
        <v>0</v>
      </c>
      <c r="W58" s="94" t="n">
        <f aca="false">MAX(0,W52-V52)</f>
        <v>0</v>
      </c>
    </row>
    <row r="59" customFormat="false" ht="15" hidden="false" customHeight="false" outlineLevel="0" collapsed="false">
      <c r="A59" s="16" t="s">
        <v>421</v>
      </c>
      <c r="B59" s="76" t="n">
        <f aca="false">SUM(C59:W59)</f>
        <v>970</v>
      </c>
      <c r="C59" s="29" t="n">
        <f aca="false">C54+C55+C56+C57+C58</f>
        <v>0</v>
      </c>
      <c r="D59" s="29" t="n">
        <f aca="false">D54+D55+D56+D57+D58</f>
        <v>582</v>
      </c>
      <c r="E59" s="29" t="n">
        <f aca="false">E54+E55+E56+E57+E58</f>
        <v>242.5</v>
      </c>
      <c r="F59" s="29" t="n">
        <f aca="false">F54+F55+F56+F57+F58</f>
        <v>145.5</v>
      </c>
      <c r="G59" s="29" t="n">
        <f aca="false">G54+G55+G56+G57+G58</f>
        <v>0</v>
      </c>
      <c r="H59" s="29" t="n">
        <f aca="false">H54+H55+H56+H57+H58</f>
        <v>0</v>
      </c>
      <c r="I59" s="29" t="n">
        <f aca="false">I54+I55+I56+I57+I58</f>
        <v>0</v>
      </c>
      <c r="J59" s="29" t="n">
        <f aca="false">J54+J55+J56+J57+J58</f>
        <v>0</v>
      </c>
      <c r="K59" s="29" t="n">
        <f aca="false">K54+K55+K56+K57+K58</f>
        <v>0</v>
      </c>
      <c r="L59" s="29" t="n">
        <f aca="false">L54+L55+L56+L57+L58</f>
        <v>0</v>
      </c>
      <c r="M59" s="29" t="n">
        <f aca="false">M54+M55+M56+M57+M58</f>
        <v>0</v>
      </c>
      <c r="N59" s="29" t="n">
        <f aca="false">N54+N55+N56+N57+N58</f>
        <v>0</v>
      </c>
      <c r="O59" s="29" t="n">
        <f aca="false">O54+O55+O56+O57+O58</f>
        <v>0</v>
      </c>
      <c r="P59" s="29" t="n">
        <f aca="false">P54+P55+P56+P57+P58</f>
        <v>0</v>
      </c>
      <c r="Q59" s="29" t="n">
        <f aca="false">Q54+Q55+Q56+Q57+Q58</f>
        <v>0</v>
      </c>
      <c r="R59" s="29" t="n">
        <f aca="false">R54+R55+R56+R57+R58</f>
        <v>0</v>
      </c>
      <c r="S59" s="29" t="n">
        <f aca="false">S54+S55+S56+S57+S58</f>
        <v>0</v>
      </c>
      <c r="T59" s="29" t="n">
        <f aca="false">T54+T55+T56+T57+T58</f>
        <v>0</v>
      </c>
      <c r="U59" s="29" t="n">
        <f aca="false">U54+U55+U56+U57+U58</f>
        <v>0</v>
      </c>
      <c r="V59" s="29" t="n">
        <f aca="false">V54+V55+V56+V57+V58</f>
        <v>0</v>
      </c>
      <c r="W59" s="29" t="n">
        <f aca="false">W54+W55+W56+W57+W58</f>
        <v>0</v>
      </c>
    </row>
    <row r="61" customFormat="false" ht="15" hidden="false" customHeight="false" outlineLevel="0" collapsed="false">
      <c r="A61" s="11" t="str">
        <f aca="false">"Energy sold (kWh) - "&amp;Seg1_Name</f>
        <v>Energy sold (kWh) - Households</v>
      </c>
      <c r="B61" s="76" t="n">
        <f aca="false">SUM(C61:W61)</f>
        <v>3789485.92641319</v>
      </c>
      <c r="C61" s="93" t="n">
        <v>0</v>
      </c>
      <c r="D61" s="93" t="n">
        <f aca="false">D48*Seg1_kWh*12*D45</f>
        <v>86400</v>
      </c>
      <c r="E61" s="93" t="n">
        <f aca="false">E48*Seg1_kWh*12*E45</f>
        <v>126072</v>
      </c>
      <c r="F61" s="93" t="n">
        <f aca="false">F48*Seg1_kWh*12*F45</f>
        <v>152769.6</v>
      </c>
      <c r="G61" s="93" t="n">
        <f aca="false">G48*Seg1_kWh*12*G45</f>
        <v>157352.688</v>
      </c>
      <c r="H61" s="93" t="n">
        <f aca="false">H48*Seg1_kWh*12*H45</f>
        <v>162073.26864</v>
      </c>
      <c r="I61" s="93" t="n">
        <f aca="false">I48*Seg1_kWh*12*I45</f>
        <v>166935.4666992</v>
      </c>
      <c r="J61" s="93" t="n">
        <f aca="false">J48*Seg1_kWh*12*J45</f>
        <v>171943.530700176</v>
      </c>
      <c r="K61" s="93" t="n">
        <f aca="false">K48*Seg1_kWh*12*K45</f>
        <v>177101.836621181</v>
      </c>
      <c r="L61" s="93" t="n">
        <f aca="false">L48*Seg1_kWh*12*L45</f>
        <v>182414.891719817</v>
      </c>
      <c r="M61" s="93" t="n">
        <f aca="false">M48*Seg1_kWh*12*M45</f>
        <v>187887.338471411</v>
      </c>
      <c r="N61" s="93" t="n">
        <f aca="false">N48*Seg1_kWh*12*N45</f>
        <v>193523.958625554</v>
      </c>
      <c r="O61" s="93" t="n">
        <f aca="false">O48*Seg1_kWh*12*O45</f>
        <v>199329.67738432</v>
      </c>
      <c r="P61" s="93" t="n">
        <f aca="false">P48*Seg1_kWh*12*P45</f>
        <v>205309.56770585</v>
      </c>
      <c r="Q61" s="93" t="n">
        <f aca="false">Q48*Seg1_kWh*12*Q45</f>
        <v>211468.854737025</v>
      </c>
      <c r="R61" s="93" t="n">
        <f aca="false">R48*Seg1_kWh*12*R45</f>
        <v>217812.920379136</v>
      </c>
      <c r="S61" s="93" t="n">
        <f aca="false">S48*Seg1_kWh*12*S45</f>
        <v>224347.30799051</v>
      </c>
      <c r="T61" s="93" t="n">
        <f aca="false">T48*Seg1_kWh*12*T45</f>
        <v>231077.727230226</v>
      </c>
      <c r="U61" s="93" t="n">
        <f aca="false">U48*Seg1_kWh*12*U45</f>
        <v>238010.059047132</v>
      </c>
      <c r="V61" s="93" t="n">
        <f aca="false">V48*Seg1_kWh*12*V45</f>
        <v>245150.360818546</v>
      </c>
      <c r="W61" s="93" t="n">
        <f aca="false">W48*Seg1_kWh*12*W45</f>
        <v>252504.871643103</v>
      </c>
    </row>
    <row r="62" customFormat="false" ht="15" hidden="false" customHeight="false" outlineLevel="0" collapsed="false">
      <c r="A62" s="11" t="str">
        <f aca="false">"Energy sold (kWh) - "&amp;Seg2_Name</f>
        <v>Energy sold (kWh) - Productive users (mills, welding, cold rooms)</v>
      </c>
      <c r="B62" s="76" t="n">
        <f aca="false">SUM(C62:W62)</f>
        <v>2944733.72369716</v>
      </c>
      <c r="C62" s="93" t="n">
        <v>0</v>
      </c>
      <c r="D62" s="93" t="n">
        <f aca="false">D49*Seg2_kWh*12*D45</f>
        <v>67139.712</v>
      </c>
      <c r="E62" s="93" t="n">
        <f aca="false">E49*Seg2_kWh*12*E45</f>
        <v>97968.02976</v>
      </c>
      <c r="F62" s="93" t="n">
        <f aca="false">F49*Seg2_kWh*12*F45</f>
        <v>118714.200768</v>
      </c>
      <c r="G62" s="93" t="n">
        <f aca="false">G49*Seg2_kWh*12*G45</f>
        <v>122275.62679104</v>
      </c>
      <c r="H62" s="93" t="n">
        <f aca="false">H49*Seg2_kWh*12*H45</f>
        <v>125943.895594771</v>
      </c>
      <c r="I62" s="93" t="n">
        <f aca="false">I49*Seg2_kWh*12*I45</f>
        <v>129722.212462614</v>
      </c>
      <c r="J62" s="93" t="n">
        <f aca="false">J49*Seg2_kWh*12*J45</f>
        <v>133613.878836493</v>
      </c>
      <c r="K62" s="93" t="n">
        <f aca="false">K49*Seg2_kWh*12*K45</f>
        <v>137622.295201588</v>
      </c>
      <c r="L62" s="93" t="n">
        <f aca="false">L49*Seg2_kWh*12*L45</f>
        <v>141750.964057635</v>
      </c>
      <c r="M62" s="93" t="n">
        <f aca="false">M49*Seg2_kWh*12*M45</f>
        <v>146003.492979364</v>
      </c>
      <c r="N62" s="93" t="n">
        <f aca="false">N49*Seg2_kWh*12*N45</f>
        <v>150383.597768745</v>
      </c>
      <c r="O62" s="93" t="n">
        <f aca="false">O49*Seg2_kWh*12*O45</f>
        <v>154895.105701808</v>
      </c>
      <c r="P62" s="93" t="n">
        <f aca="false">P49*Seg2_kWh*12*P45</f>
        <v>159541.958872862</v>
      </c>
      <c r="Q62" s="93" t="n">
        <f aca="false">Q49*Seg2_kWh*12*Q45</f>
        <v>164328.217639048</v>
      </c>
      <c r="R62" s="93" t="n">
        <f aca="false">R49*Seg2_kWh*12*R45</f>
        <v>169258.064168219</v>
      </c>
      <c r="S62" s="93" t="n">
        <f aca="false">S49*Seg2_kWh*12*S45</f>
        <v>174335.806093266</v>
      </c>
      <c r="T62" s="93" t="n">
        <f aca="false">T49*Seg2_kWh*12*T45</f>
        <v>179565.880276064</v>
      </c>
      <c r="U62" s="93" t="n">
        <f aca="false">U49*Seg2_kWh*12*U45</f>
        <v>184952.856684346</v>
      </c>
      <c r="V62" s="93" t="n">
        <f aca="false">V49*Seg2_kWh*12*V45</f>
        <v>190501.442384876</v>
      </c>
      <c r="W62" s="93" t="n">
        <f aca="false">W49*Seg2_kWh*12*W45</f>
        <v>196216.485656422</v>
      </c>
    </row>
    <row r="63" customFormat="false" ht="15" hidden="false" customHeight="false" outlineLevel="0" collapsed="false">
      <c r="A63" s="11" t="str">
        <f aca="false">"Energy sold (kWh) - "&amp;Seg3_Name</f>
        <v>Energy sold (kWh) - Commercial (shops, bars, kiosks)</v>
      </c>
      <c r="B63" s="76" t="n">
        <f aca="false">SUM(C63:W63)</f>
        <v>1578952.46933883</v>
      </c>
      <c r="C63" s="93" t="n">
        <v>0</v>
      </c>
      <c r="D63" s="93" t="n">
        <f aca="false">D50*Seg3_kWh*12*D45</f>
        <v>36000</v>
      </c>
      <c r="E63" s="93" t="n">
        <f aca="false">E50*Seg3_kWh*12*E45</f>
        <v>52530</v>
      </c>
      <c r="F63" s="93" t="n">
        <f aca="false">F50*Seg3_kWh*12*F45</f>
        <v>63654</v>
      </c>
      <c r="G63" s="93" t="n">
        <f aca="false">G50*Seg3_kWh*12*G45</f>
        <v>65563.62</v>
      </c>
      <c r="H63" s="93" t="n">
        <f aca="false">H50*Seg3_kWh*12*H45</f>
        <v>67530.5286</v>
      </c>
      <c r="I63" s="93" t="n">
        <f aca="false">I50*Seg3_kWh*12*I45</f>
        <v>69556.444458</v>
      </c>
      <c r="J63" s="93" t="n">
        <f aca="false">J50*Seg3_kWh*12*J45</f>
        <v>71643.13779174</v>
      </c>
      <c r="K63" s="93" t="n">
        <f aca="false">K50*Seg3_kWh*12*K45</f>
        <v>73792.4319254922</v>
      </c>
      <c r="L63" s="93" t="n">
        <f aca="false">L50*Seg3_kWh*12*L45</f>
        <v>76006.204883257</v>
      </c>
      <c r="M63" s="93" t="n">
        <f aca="false">M50*Seg3_kWh*12*M45</f>
        <v>78286.3910297547</v>
      </c>
      <c r="N63" s="93" t="n">
        <f aca="false">N50*Seg3_kWh*12*N45</f>
        <v>80634.9827606473</v>
      </c>
      <c r="O63" s="93" t="n">
        <f aca="false">O50*Seg3_kWh*12*O45</f>
        <v>83054.0322434668</v>
      </c>
      <c r="P63" s="93" t="n">
        <f aca="false">P50*Seg3_kWh*12*P45</f>
        <v>85545.6532107708</v>
      </c>
      <c r="Q63" s="93" t="n">
        <f aca="false">Q50*Seg3_kWh*12*Q45</f>
        <v>88112.0228070939</v>
      </c>
      <c r="R63" s="93" t="n">
        <f aca="false">R50*Seg3_kWh*12*R45</f>
        <v>90755.3834913067</v>
      </c>
      <c r="S63" s="93" t="n">
        <f aca="false">S50*Seg3_kWh*12*S45</f>
        <v>93478.0449960459</v>
      </c>
      <c r="T63" s="93" t="n">
        <f aca="false">T50*Seg3_kWh*12*T45</f>
        <v>96282.3863459273</v>
      </c>
      <c r="U63" s="93" t="n">
        <f aca="false">U50*Seg3_kWh*12*U45</f>
        <v>99170.8579363051</v>
      </c>
      <c r="V63" s="93" t="n">
        <f aca="false">V50*Seg3_kWh*12*V45</f>
        <v>102145.983674394</v>
      </c>
      <c r="W63" s="93" t="n">
        <f aca="false">W50*Seg3_kWh*12*W45</f>
        <v>105210.363184626</v>
      </c>
    </row>
    <row r="64" customFormat="false" ht="15" hidden="false" customHeight="false" outlineLevel="0" collapsed="false">
      <c r="A64" s="11" t="str">
        <f aca="false">"Energy sold (kWh) - "&amp;Seg4_Name</f>
        <v>Energy sold (kWh) - Institutions (health centre, school, water)</v>
      </c>
      <c r="B64" s="76" t="n">
        <f aca="false">SUM(C64:W64)</f>
        <v>947371.481603297</v>
      </c>
      <c r="C64" s="93" t="n">
        <v>0</v>
      </c>
      <c r="D64" s="93" t="n">
        <f aca="false">D51*Seg4_kWh*12*D45</f>
        <v>21600</v>
      </c>
      <c r="E64" s="93" t="n">
        <f aca="false">E51*Seg4_kWh*12*E45</f>
        <v>31518</v>
      </c>
      <c r="F64" s="93" t="n">
        <f aca="false">F51*Seg4_kWh*12*F45</f>
        <v>38192.4</v>
      </c>
      <c r="G64" s="93" t="n">
        <f aca="false">G51*Seg4_kWh*12*G45</f>
        <v>39338.172</v>
      </c>
      <c r="H64" s="93" t="n">
        <f aca="false">H51*Seg4_kWh*12*H45</f>
        <v>40518.31716</v>
      </c>
      <c r="I64" s="93" t="n">
        <f aca="false">I51*Seg4_kWh*12*I45</f>
        <v>41733.8666748</v>
      </c>
      <c r="J64" s="93" t="n">
        <f aca="false">J51*Seg4_kWh*12*J45</f>
        <v>42985.882675044</v>
      </c>
      <c r="K64" s="93" t="n">
        <f aca="false">K51*Seg4_kWh*12*K45</f>
        <v>44275.4591552953</v>
      </c>
      <c r="L64" s="93" t="n">
        <f aca="false">L51*Seg4_kWh*12*L45</f>
        <v>45603.7229299542</v>
      </c>
      <c r="M64" s="93" t="n">
        <f aca="false">M51*Seg4_kWh*12*M45</f>
        <v>46971.8346178528</v>
      </c>
      <c r="N64" s="93" t="n">
        <f aca="false">N51*Seg4_kWh*12*N45</f>
        <v>48380.9896563884</v>
      </c>
      <c r="O64" s="93" t="n">
        <f aca="false">O51*Seg4_kWh*12*O45</f>
        <v>49832.4193460801</v>
      </c>
      <c r="P64" s="93" t="n">
        <f aca="false">P51*Seg4_kWh*12*P45</f>
        <v>51327.3919264625</v>
      </c>
      <c r="Q64" s="93" t="n">
        <f aca="false">Q51*Seg4_kWh*12*Q45</f>
        <v>52867.2136842563</v>
      </c>
      <c r="R64" s="93" t="n">
        <f aca="false">R51*Seg4_kWh*12*R45</f>
        <v>54453.230094784</v>
      </c>
      <c r="S64" s="93" t="n">
        <f aca="false">S51*Seg4_kWh*12*S45</f>
        <v>56086.8269976275</v>
      </c>
      <c r="T64" s="93" t="n">
        <f aca="false">T51*Seg4_kWh*12*T45</f>
        <v>57769.4318075564</v>
      </c>
      <c r="U64" s="93" t="n">
        <f aca="false">U51*Seg4_kWh*12*U45</f>
        <v>59502.5147617831</v>
      </c>
      <c r="V64" s="93" t="n">
        <f aca="false">V51*Seg4_kWh*12*V45</f>
        <v>61287.5902046366</v>
      </c>
      <c r="W64" s="93" t="n">
        <f aca="false">W51*Seg4_kWh*12*W45</f>
        <v>63126.2179107757</v>
      </c>
    </row>
    <row r="65" customFormat="false" ht="15" hidden="false" customHeight="false" outlineLevel="0" collapsed="false">
      <c r="A65" s="11" t="str">
        <f aca="false">"Energy sold (kWh) - "&amp;Seg5_Name</f>
        <v>Energy sold (kWh) - Other / custom</v>
      </c>
      <c r="B65" s="76" t="n">
        <f aca="false">SUM(C65:W65)</f>
        <v>0</v>
      </c>
      <c r="C65" s="93" t="n">
        <v>0</v>
      </c>
      <c r="D65" s="93" t="n">
        <f aca="false">D52*Seg5_kWh*12*D45</f>
        <v>0</v>
      </c>
      <c r="E65" s="93" t="n">
        <f aca="false">E52*Seg5_kWh*12*E45</f>
        <v>0</v>
      </c>
      <c r="F65" s="93" t="n">
        <f aca="false">F52*Seg5_kWh*12*F45</f>
        <v>0</v>
      </c>
      <c r="G65" s="93" t="n">
        <f aca="false">G52*Seg5_kWh*12*G45</f>
        <v>0</v>
      </c>
      <c r="H65" s="93" t="n">
        <f aca="false">H52*Seg5_kWh*12*H45</f>
        <v>0</v>
      </c>
      <c r="I65" s="93" t="n">
        <f aca="false">I52*Seg5_kWh*12*I45</f>
        <v>0</v>
      </c>
      <c r="J65" s="93" t="n">
        <f aca="false">J52*Seg5_kWh*12*J45</f>
        <v>0</v>
      </c>
      <c r="K65" s="93" t="n">
        <f aca="false">K52*Seg5_kWh*12*K45</f>
        <v>0</v>
      </c>
      <c r="L65" s="93" t="n">
        <f aca="false">L52*Seg5_kWh*12*L45</f>
        <v>0</v>
      </c>
      <c r="M65" s="93" t="n">
        <f aca="false">M52*Seg5_kWh*12*M45</f>
        <v>0</v>
      </c>
      <c r="N65" s="93" t="n">
        <f aca="false">N52*Seg5_kWh*12*N45</f>
        <v>0</v>
      </c>
      <c r="O65" s="93" t="n">
        <f aca="false">O52*Seg5_kWh*12*O45</f>
        <v>0</v>
      </c>
      <c r="P65" s="93" t="n">
        <f aca="false">P52*Seg5_kWh*12*P45</f>
        <v>0</v>
      </c>
      <c r="Q65" s="93" t="n">
        <f aca="false">Q52*Seg5_kWh*12*Q45</f>
        <v>0</v>
      </c>
      <c r="R65" s="93" t="n">
        <f aca="false">R52*Seg5_kWh*12*R45</f>
        <v>0</v>
      </c>
      <c r="S65" s="93" t="n">
        <f aca="false">S52*Seg5_kWh*12*S45</f>
        <v>0</v>
      </c>
      <c r="T65" s="93" t="n">
        <f aca="false">T52*Seg5_kWh*12*T45</f>
        <v>0</v>
      </c>
      <c r="U65" s="93" t="n">
        <f aca="false">U52*Seg5_kWh*12*U45</f>
        <v>0</v>
      </c>
      <c r="V65" s="93" t="n">
        <f aca="false">V52*Seg5_kWh*12*V45</f>
        <v>0</v>
      </c>
      <c r="W65" s="93" t="n">
        <f aca="false">W52*Seg5_kWh*12*W45</f>
        <v>0</v>
      </c>
    </row>
    <row r="66" customFormat="false" ht="15" hidden="false" customHeight="false" outlineLevel="0" collapsed="false">
      <c r="A66" s="16" t="s">
        <v>422</v>
      </c>
      <c r="B66" s="76" t="n">
        <f aca="false">SUM(C66:W66)</f>
        <v>9260543.60105247</v>
      </c>
      <c r="C66" s="29" t="n">
        <f aca="false">C61+C62+C63+C64+C65</f>
        <v>0</v>
      </c>
      <c r="D66" s="29" t="n">
        <f aca="false">D61+D62+D63+D64+D65</f>
        <v>211139.712</v>
      </c>
      <c r="E66" s="29" t="n">
        <f aca="false">E61+E62+E63+E64+E65</f>
        <v>308088.02976</v>
      </c>
      <c r="F66" s="29" t="n">
        <f aca="false">F61+F62+F63+F64+F65</f>
        <v>373330.200768</v>
      </c>
      <c r="G66" s="29" t="n">
        <f aca="false">G61+G62+G63+G64+G65</f>
        <v>384530.10679104</v>
      </c>
      <c r="H66" s="29" t="n">
        <f aca="false">H61+H62+H63+H64+H65</f>
        <v>396066.009994771</v>
      </c>
      <c r="I66" s="29" t="n">
        <f aca="false">I61+I62+I63+I64+I65</f>
        <v>407947.990294614</v>
      </c>
      <c r="J66" s="29" t="n">
        <f aca="false">J61+J62+J63+J64+J65</f>
        <v>420186.430003453</v>
      </c>
      <c r="K66" s="29" t="n">
        <f aca="false">K61+K62+K63+K64+K65</f>
        <v>432792.022903556</v>
      </c>
      <c r="L66" s="29" t="n">
        <f aca="false">L61+L62+L63+L64+L65</f>
        <v>445775.783590663</v>
      </c>
      <c r="M66" s="29" t="n">
        <f aca="false">M61+M62+M63+M64+M65</f>
        <v>459149.057098383</v>
      </c>
      <c r="N66" s="29" t="n">
        <f aca="false">N61+N62+N63+N64+N65</f>
        <v>472923.528811335</v>
      </c>
      <c r="O66" s="29" t="n">
        <f aca="false">O61+O62+O63+O64+O65</f>
        <v>487111.234675675</v>
      </c>
      <c r="P66" s="29" t="n">
        <f aca="false">P61+P62+P63+P64+P65</f>
        <v>501724.571715945</v>
      </c>
      <c r="Q66" s="29" t="n">
        <f aca="false">Q61+Q62+Q63+Q64+Q65</f>
        <v>516776.308867423</v>
      </c>
      <c r="R66" s="29" t="n">
        <f aca="false">R61+R62+R63+R64+R65</f>
        <v>532279.598133446</v>
      </c>
      <c r="S66" s="29" t="n">
        <f aca="false">S61+S62+S63+S64+S65</f>
        <v>548247.986077449</v>
      </c>
      <c r="T66" s="29" t="n">
        <f aca="false">T61+T62+T63+T64+T65</f>
        <v>564695.425659773</v>
      </c>
      <c r="U66" s="29" t="n">
        <f aca="false">U61+U62+U63+U64+U65</f>
        <v>581636.288429566</v>
      </c>
      <c r="V66" s="29" t="n">
        <f aca="false">V61+V62+V63+V64+V65</f>
        <v>599085.377082453</v>
      </c>
      <c r="W66" s="29" t="n">
        <f aca="false">W61+W62+W63+W64+W65</f>
        <v>617057.938394927</v>
      </c>
    </row>
    <row r="68" customFormat="false" ht="15" hidden="false" customHeight="false" outlineLevel="0" collapsed="false">
      <c r="A68" s="9" t="s">
        <v>423</v>
      </c>
      <c r="B68" s="10"/>
      <c r="C68" s="10"/>
      <c r="D68" s="10"/>
      <c r="E68" s="10"/>
      <c r="F68" s="10"/>
      <c r="G68" s="10"/>
      <c r="H68" s="10"/>
      <c r="I68" s="10"/>
      <c r="J68" s="10"/>
      <c r="K68" s="10"/>
      <c r="L68" s="10"/>
      <c r="M68" s="10"/>
      <c r="N68" s="10"/>
      <c r="O68" s="10"/>
      <c r="P68" s="10"/>
      <c r="Q68" s="10"/>
      <c r="R68" s="10"/>
      <c r="S68" s="10"/>
      <c r="T68" s="10"/>
      <c r="U68" s="10"/>
      <c r="V68" s="10"/>
      <c r="W68" s="10"/>
    </row>
    <row r="69" customFormat="false" ht="15" hidden="false" customHeight="false" outlineLevel="0" collapsed="false">
      <c r="A69" s="11" t="s">
        <v>424</v>
      </c>
      <c r="B69" s="76" t="n">
        <f aca="false">SUM(C69:W69)</f>
        <v>10523345.001196</v>
      </c>
      <c r="C69" s="93" t="n">
        <v>0</v>
      </c>
      <c r="D69" s="93" t="n">
        <f aca="false">D66/(1-Losses)</f>
        <v>239931.490909091</v>
      </c>
      <c r="E69" s="93" t="n">
        <f aca="false">E66/(1-Losses)</f>
        <v>350100.033818182</v>
      </c>
      <c r="F69" s="93" t="n">
        <f aca="false">F66/(1-Losses)</f>
        <v>424238.864509091</v>
      </c>
      <c r="G69" s="93" t="n">
        <f aca="false">G66/(1-Losses)</f>
        <v>436966.030444364</v>
      </c>
      <c r="H69" s="93" t="n">
        <f aca="false">H66/(1-Losses)</f>
        <v>450075.011357695</v>
      </c>
      <c r="I69" s="93" t="n">
        <f aca="false">I66/(1-Losses)</f>
        <v>463577.261698425</v>
      </c>
      <c r="J69" s="93" t="n">
        <f aca="false">J66/(1-Losses)</f>
        <v>477484.579549378</v>
      </c>
      <c r="K69" s="93" t="n">
        <f aca="false">K66/(1-Losses)</f>
        <v>491809.11693586</v>
      </c>
      <c r="L69" s="93" t="n">
        <f aca="false">L66/(1-Losses)</f>
        <v>506563.390443935</v>
      </c>
      <c r="M69" s="93" t="n">
        <f aca="false">M66/(1-Losses)</f>
        <v>521760.292157253</v>
      </c>
      <c r="N69" s="93" t="n">
        <f aca="false">N66/(1-Losses)</f>
        <v>537413.100921971</v>
      </c>
      <c r="O69" s="93" t="n">
        <f aca="false">O66/(1-Losses)</f>
        <v>553535.49394963</v>
      </c>
      <c r="P69" s="93" t="n">
        <f aca="false">P66/(1-Losses)</f>
        <v>570141.558768119</v>
      </c>
      <c r="Q69" s="93" t="n">
        <f aca="false">Q66/(1-Losses)</f>
        <v>587245.805531163</v>
      </c>
      <c r="R69" s="93" t="n">
        <f aca="false">R66/(1-Losses)</f>
        <v>604863.179697098</v>
      </c>
      <c r="S69" s="93" t="n">
        <f aca="false">S66/(1-Losses)</f>
        <v>623009.07508801</v>
      </c>
      <c r="T69" s="93" t="n">
        <f aca="false">T66/(1-Losses)</f>
        <v>641699.347340651</v>
      </c>
      <c r="U69" s="93" t="n">
        <f aca="false">U66/(1-Losses)</f>
        <v>660950.327760871</v>
      </c>
      <c r="V69" s="93" t="n">
        <f aca="false">V66/(1-Losses)</f>
        <v>680778.837593697</v>
      </c>
      <c r="W69" s="93" t="n">
        <f aca="false">W66/(1-Losses)</f>
        <v>701202.202721508</v>
      </c>
    </row>
    <row r="70" customFormat="false" ht="15" hidden="false" customHeight="false" outlineLevel="0" collapsed="false">
      <c r="A70" s="11" t="s">
        <v>425</v>
      </c>
      <c r="B70" s="76" t="n">
        <f aca="false">SUM(C70:W70)</f>
        <v>8722537.45034705</v>
      </c>
      <c r="C70" s="93" t="n">
        <v>0</v>
      </c>
      <c r="D70" s="93" t="n">
        <f aca="false">PV_kWp*SpecYield*(1-Degradation)^(D39-1)*D41</f>
        <v>457206.277768167</v>
      </c>
      <c r="E70" s="93" t="n">
        <f aca="false">PV_kWp*SpecYield*(1-Degradation)^(E39-1)*E41</f>
        <v>454920.246379326</v>
      </c>
      <c r="F70" s="93" t="n">
        <f aca="false">PV_kWp*SpecYield*(1-Degradation)^(F39-1)*F41</f>
        <v>452645.64514743</v>
      </c>
      <c r="G70" s="93" t="n">
        <f aca="false">PV_kWp*SpecYield*(1-Degradation)^(G39-1)*G41</f>
        <v>450382.416921693</v>
      </c>
      <c r="H70" s="93" t="n">
        <f aca="false">PV_kWp*SpecYield*(1-Degradation)^(H39-1)*H41</f>
        <v>448130.504837084</v>
      </c>
      <c r="I70" s="93" t="n">
        <f aca="false">PV_kWp*SpecYield*(1-Degradation)^(I39-1)*I41</f>
        <v>445889.852312899</v>
      </c>
      <c r="J70" s="93" t="n">
        <f aca="false">PV_kWp*SpecYield*(1-Degradation)^(J39-1)*J41</f>
        <v>443660.403051334</v>
      </c>
      <c r="K70" s="93" t="n">
        <f aca="false">PV_kWp*SpecYield*(1-Degradation)^(K39-1)*K41</f>
        <v>441442.101036078</v>
      </c>
      <c r="L70" s="93" t="n">
        <f aca="false">PV_kWp*SpecYield*(1-Degradation)^(L39-1)*L41</f>
        <v>439234.890530897</v>
      </c>
      <c r="M70" s="93" t="n">
        <f aca="false">PV_kWp*SpecYield*(1-Degradation)^(M39-1)*M41</f>
        <v>437038.716078243</v>
      </c>
      <c r="N70" s="93" t="n">
        <f aca="false">PV_kWp*SpecYield*(1-Degradation)^(N39-1)*N41</f>
        <v>434853.522497851</v>
      </c>
      <c r="O70" s="93" t="n">
        <f aca="false">PV_kWp*SpecYield*(1-Degradation)^(O39-1)*O41</f>
        <v>432679.254885362</v>
      </c>
      <c r="P70" s="93" t="n">
        <f aca="false">PV_kWp*SpecYield*(1-Degradation)^(P39-1)*P41</f>
        <v>430515.858610935</v>
      </c>
      <c r="Q70" s="93" t="n">
        <f aca="false">PV_kWp*SpecYield*(1-Degradation)^(Q39-1)*Q41</f>
        <v>428363.279317881</v>
      </c>
      <c r="R70" s="93" t="n">
        <f aca="false">PV_kWp*SpecYield*(1-Degradation)^(R39-1)*R41</f>
        <v>426221.462921291</v>
      </c>
      <c r="S70" s="93" t="n">
        <f aca="false">PV_kWp*SpecYield*(1-Degradation)^(S39-1)*S41</f>
        <v>424090.355606685</v>
      </c>
      <c r="T70" s="93" t="n">
        <f aca="false">PV_kWp*SpecYield*(1-Degradation)^(T39-1)*T41</f>
        <v>421969.903828651</v>
      </c>
      <c r="U70" s="93" t="n">
        <f aca="false">PV_kWp*SpecYield*(1-Degradation)^(U39-1)*U41</f>
        <v>419860.054309508</v>
      </c>
      <c r="V70" s="93" t="n">
        <f aca="false">PV_kWp*SpecYield*(1-Degradation)^(V39-1)*V41</f>
        <v>417760.754037961</v>
      </c>
      <c r="W70" s="93" t="n">
        <f aca="false">PV_kWp*SpecYield*(1-Degradation)^(W39-1)*W41</f>
        <v>415671.950267771</v>
      </c>
    </row>
    <row r="71" customFormat="false" ht="15" hidden="false" customHeight="false" outlineLevel="0" collapsed="false">
      <c r="A71" s="11" t="s">
        <v>426</v>
      </c>
      <c r="B71" s="76" t="n">
        <f aca="false">SUM(C71:W71)</f>
        <v>7903453.19236348</v>
      </c>
      <c r="C71" s="93" t="n">
        <v>0</v>
      </c>
      <c r="D71" s="93" t="n">
        <f aca="false">MIN(D70/StorageFactor,D69*SolarFraction)</f>
        <v>215938.341818182</v>
      </c>
      <c r="E71" s="93" t="n">
        <f aca="false">MIN(E70/StorageFactor,E69*SolarFraction)</f>
        <v>315090.030436364</v>
      </c>
      <c r="F71" s="93" t="n">
        <f aca="false">MIN(F70/StorageFactor,F69*SolarFraction)</f>
        <v>381814.978058182</v>
      </c>
      <c r="G71" s="93" t="n">
        <f aca="false">MIN(G70/StorageFactor,G69*SolarFraction)</f>
        <v>393269.427399927</v>
      </c>
      <c r="H71" s="93" t="n">
        <f aca="false">MIN(H70/StorageFactor,H69*SolarFraction)</f>
        <v>405067.510221925</v>
      </c>
      <c r="I71" s="93" t="n">
        <f aca="false">MIN(I70/StorageFactor,I69*SolarFraction)</f>
        <v>417219.535528583</v>
      </c>
      <c r="J71" s="93" t="n">
        <f aca="false">MIN(J70/StorageFactor,J69*SolarFraction)</f>
        <v>426078.172123344</v>
      </c>
      <c r="K71" s="93" t="n">
        <f aca="false">MIN(K70/StorageFactor,K69*SolarFraction)</f>
        <v>423947.781262727</v>
      </c>
      <c r="L71" s="93" t="n">
        <f aca="false">MIN(L70/StorageFactor,L69*SolarFraction)</f>
        <v>421828.042356414</v>
      </c>
      <c r="M71" s="93" t="n">
        <f aca="false">MIN(M70/StorageFactor,M69*SolarFraction)</f>
        <v>419718.902144632</v>
      </c>
      <c r="N71" s="93" t="n">
        <f aca="false">MIN(N70/StorageFactor,N69*SolarFraction)</f>
        <v>417620.307633909</v>
      </c>
      <c r="O71" s="93" t="n">
        <f aca="false">MIN(O70/StorageFactor,O69*SolarFraction)</f>
        <v>415532.206095739</v>
      </c>
      <c r="P71" s="93" t="n">
        <f aca="false">MIN(P70/StorageFactor,P69*SolarFraction)</f>
        <v>413454.54506526</v>
      </c>
      <c r="Q71" s="93" t="n">
        <f aca="false">MIN(Q70/StorageFactor,Q69*SolarFraction)</f>
        <v>411387.272339934</v>
      </c>
      <c r="R71" s="93" t="n">
        <f aca="false">MIN(R70/StorageFactor,R69*SolarFraction)</f>
        <v>409330.335978234</v>
      </c>
      <c r="S71" s="93" t="n">
        <f aca="false">MIN(S70/StorageFactor,S69*SolarFraction)</f>
        <v>407283.684298343</v>
      </c>
      <c r="T71" s="93" t="n">
        <f aca="false">MIN(T70/StorageFactor,T69*SolarFraction)</f>
        <v>405247.265876851</v>
      </c>
      <c r="U71" s="93" t="n">
        <f aca="false">MIN(U70/StorageFactor,U69*SolarFraction)</f>
        <v>403221.029547467</v>
      </c>
      <c r="V71" s="93" t="n">
        <f aca="false">MIN(V70/StorageFactor,V69*SolarFraction)</f>
        <v>401204.92439973</v>
      </c>
      <c r="W71" s="93" t="n">
        <f aca="false">MIN(W70/StorageFactor,W69*SolarFraction)</f>
        <v>399198.899777731</v>
      </c>
    </row>
    <row r="72" customFormat="false" ht="15" hidden="false" customHeight="false" outlineLevel="0" collapsed="false">
      <c r="A72" s="11" t="s">
        <v>427</v>
      </c>
      <c r="B72" s="76" t="n">
        <f aca="false">SUM(C72:W72)</f>
        <v>2619891.80883251</v>
      </c>
      <c r="C72" s="93" t="n">
        <v>0</v>
      </c>
      <c r="D72" s="93" t="n">
        <f aca="false">D69-D71</f>
        <v>23993.1490909091</v>
      </c>
      <c r="E72" s="93" t="n">
        <f aca="false">E69-E71</f>
        <v>35010.0033818182</v>
      </c>
      <c r="F72" s="93" t="n">
        <f aca="false">F69-F71</f>
        <v>42423.8864509091</v>
      </c>
      <c r="G72" s="93" t="n">
        <f aca="false">G69-G71</f>
        <v>43696.6030444364</v>
      </c>
      <c r="H72" s="93" t="n">
        <f aca="false">H69-H71</f>
        <v>45007.5011357695</v>
      </c>
      <c r="I72" s="93" t="n">
        <f aca="false">I69-I71</f>
        <v>46357.7261698425</v>
      </c>
      <c r="J72" s="93" t="n">
        <f aca="false">J69-J71</f>
        <v>51406.407426034</v>
      </c>
      <c r="K72" s="93" t="n">
        <f aca="false">K69-K71</f>
        <v>67861.3356731322</v>
      </c>
      <c r="L72" s="93" t="n">
        <f aca="false">L69-L71</f>
        <v>84735.3480875216</v>
      </c>
      <c r="M72" s="93" t="n">
        <f aca="false">M69-M71</f>
        <v>102041.390012622</v>
      </c>
      <c r="N72" s="93" t="n">
        <f aca="false">N69-N71</f>
        <v>119792.793288062</v>
      </c>
      <c r="O72" s="93" t="n">
        <f aca="false">O69-O71</f>
        <v>138003.287853891</v>
      </c>
      <c r="P72" s="93" t="n">
        <f aca="false">P69-P71</f>
        <v>156687.013702859</v>
      </c>
      <c r="Q72" s="93" t="n">
        <f aca="false">Q69-Q71</f>
        <v>175858.533191229</v>
      </c>
      <c r="R72" s="93" t="n">
        <f aca="false">R69-R71</f>
        <v>195532.843718863</v>
      </c>
      <c r="S72" s="93" t="n">
        <f aca="false">S69-S71</f>
        <v>215725.390789667</v>
      </c>
      <c r="T72" s="93" t="n">
        <f aca="false">T69-T71</f>
        <v>236452.0814638</v>
      </c>
      <c r="U72" s="93" t="n">
        <f aca="false">U69-U71</f>
        <v>257729.298213403</v>
      </c>
      <c r="V72" s="93" t="n">
        <f aca="false">V69-V71</f>
        <v>279573.913193967</v>
      </c>
      <c r="W72" s="93" t="n">
        <f aca="false">W69-W71</f>
        <v>302003.302943776</v>
      </c>
    </row>
    <row r="73" customFormat="false" ht="15" hidden="false" customHeight="false" outlineLevel="0" collapsed="false">
      <c r="A73" s="11" t="s">
        <v>428</v>
      </c>
      <c r="C73" s="91" t="n">
        <v>0</v>
      </c>
      <c r="D73" s="91" t="n">
        <f aca="false">IFERROR(D71/D69,0)</f>
        <v>0.9</v>
      </c>
      <c r="E73" s="91" t="n">
        <f aca="false">IFERROR(E71/E69,0)</f>
        <v>0.9</v>
      </c>
      <c r="F73" s="91" t="n">
        <f aca="false">IFERROR(F71/F69,0)</f>
        <v>0.9</v>
      </c>
      <c r="G73" s="91" t="n">
        <f aca="false">IFERROR(G71/G69,0)</f>
        <v>0.9</v>
      </c>
      <c r="H73" s="91" t="n">
        <f aca="false">IFERROR(H71/H69,0)</f>
        <v>0.9</v>
      </c>
      <c r="I73" s="91" t="n">
        <f aca="false">IFERROR(I71/I69,0)</f>
        <v>0.9</v>
      </c>
      <c r="J73" s="91" t="n">
        <f aca="false">IFERROR(J71/J69,0)</f>
        <v>0.892339125434065</v>
      </c>
      <c r="K73" s="91" t="n">
        <f aca="false">IFERROR(K71/K69,0)</f>
        <v>0.862016922142616</v>
      </c>
      <c r="L73" s="91" t="n">
        <f aca="false">IFERROR(L71/L69,0)</f>
        <v>0.83272508498243</v>
      </c>
      <c r="M73" s="91" t="n">
        <f aca="false">IFERROR(M71/M69,0)</f>
        <v>0.804428601512153</v>
      </c>
      <c r="N73" s="91" t="n">
        <f aca="false">IFERROR(N71/N69,0)</f>
        <v>0.777093649033585</v>
      </c>
      <c r="O73" s="91" t="n">
        <f aca="false">IFERROR(O71/O69,0)</f>
        <v>0.750687554163511</v>
      </c>
      <c r="P73" s="91" t="n">
        <f aca="false">IFERROR(P71/P69,0)</f>
        <v>0.725178753779314</v>
      </c>
      <c r="Q73" s="91" t="n">
        <f aca="false">IFERROR(Q71/Q69,0)</f>
        <v>0.700536757291668</v>
      </c>
      <c r="R73" s="91" t="n">
        <f aca="false">IFERROR(R71/R69,0)</f>
        <v>0.676732110199232</v>
      </c>
      <c r="S73" s="91" t="n">
        <f aca="false">IFERROR(S71/S69,0)</f>
        <v>0.653736358881783</v>
      </c>
      <c r="T73" s="91" t="n">
        <f aca="false">IFERROR(T71/T69,0)</f>
        <v>0.631522016589683</v>
      </c>
      <c r="U73" s="91" t="n">
        <f aca="false">IFERROR(U71/U69,0)</f>
        <v>0.610062530589063</v>
      </c>
      <c r="V73" s="91" t="n">
        <f aca="false">IFERROR(V71/V69,0)</f>
        <v>0.589332250423415</v>
      </c>
      <c r="W73" s="91" t="n">
        <f aca="false">IFERROR(W71/W69,0)</f>
        <v>0.569306397253687</v>
      </c>
    </row>
    <row r="74" customFormat="false" ht="15" hidden="false" customHeight="false" outlineLevel="0" collapsed="false">
      <c r="A74" s="11" t="s">
        <v>429</v>
      </c>
      <c r="B74" s="76" t="n">
        <f aca="false">SUM(C74:W74)</f>
        <v>873297.269610837</v>
      </c>
      <c r="C74" s="93" t="n">
        <v>0</v>
      </c>
      <c r="D74" s="93" t="n">
        <f aca="false">D72/DieselEff</f>
        <v>7997.71636363636</v>
      </c>
      <c r="E74" s="93" t="n">
        <f aca="false">E72/DieselEff</f>
        <v>11670.0011272727</v>
      </c>
      <c r="F74" s="93" t="n">
        <f aca="false">F72/DieselEff</f>
        <v>14141.2954836364</v>
      </c>
      <c r="G74" s="93" t="n">
        <f aca="false">G72/DieselEff</f>
        <v>14565.5343481455</v>
      </c>
      <c r="H74" s="93" t="n">
        <f aca="false">H72/DieselEff</f>
        <v>15002.5003785898</v>
      </c>
      <c r="I74" s="93" t="n">
        <f aca="false">I72/DieselEff</f>
        <v>15452.5753899475</v>
      </c>
      <c r="J74" s="93" t="n">
        <f aca="false">J72/DieselEff</f>
        <v>17135.4691420114</v>
      </c>
      <c r="K74" s="93" t="n">
        <f aca="false">K72/DieselEff</f>
        <v>22620.4452243774</v>
      </c>
      <c r="L74" s="93" t="n">
        <f aca="false">L72/DieselEff</f>
        <v>28245.1160291739</v>
      </c>
      <c r="M74" s="93" t="n">
        <f aca="false">M72/DieselEff</f>
        <v>34013.7966708739</v>
      </c>
      <c r="N74" s="93" t="n">
        <f aca="false">N72/DieselEff</f>
        <v>39930.9310960208</v>
      </c>
      <c r="O74" s="93" t="n">
        <f aca="false">O72/DieselEff</f>
        <v>46001.0959512971</v>
      </c>
      <c r="P74" s="93" t="n">
        <f aca="false">P72/DieselEff</f>
        <v>52229.0045676196</v>
      </c>
      <c r="Q74" s="93" t="n">
        <f aca="false">Q72/DieselEff</f>
        <v>58619.5110637429</v>
      </c>
      <c r="R74" s="93" t="n">
        <f aca="false">R72/DieselEff</f>
        <v>65177.6145729544</v>
      </c>
      <c r="S74" s="93" t="n">
        <f aca="false">S72/DieselEff</f>
        <v>71908.4635965558</v>
      </c>
      <c r="T74" s="93" t="n">
        <f aca="false">T72/DieselEff</f>
        <v>78817.3604879332</v>
      </c>
      <c r="U74" s="93" t="n">
        <f aca="false">U72/DieselEff</f>
        <v>85909.7660711344</v>
      </c>
      <c r="V74" s="93" t="n">
        <f aca="false">V72/DieselEff</f>
        <v>93191.3043979889</v>
      </c>
      <c r="W74" s="93" t="n">
        <f aca="false">W72/DieselEff</f>
        <v>100667.767647925</v>
      </c>
    </row>
    <row r="76" customFormat="false" ht="15" hidden="false" customHeight="false" outlineLevel="0" collapsed="false">
      <c r="A76" s="9" t="s">
        <v>430</v>
      </c>
      <c r="B76" s="10"/>
      <c r="C76" s="10"/>
      <c r="D76" s="10"/>
      <c r="E76" s="10"/>
      <c r="F76" s="10"/>
      <c r="G76" s="10"/>
      <c r="H76" s="10"/>
      <c r="I76" s="10"/>
      <c r="J76" s="10"/>
      <c r="K76" s="10"/>
      <c r="L76" s="10"/>
      <c r="M76" s="10"/>
      <c r="N76" s="10"/>
      <c r="O76" s="10"/>
      <c r="P76" s="10"/>
      <c r="Q76" s="10"/>
      <c r="R76" s="10"/>
      <c r="S76" s="10"/>
      <c r="T76" s="10"/>
      <c r="U76" s="10"/>
      <c r="V76" s="10"/>
      <c r="W76" s="10"/>
    </row>
    <row r="77" customFormat="false" ht="15" hidden="false" customHeight="false" outlineLevel="0" collapsed="false">
      <c r="A77" s="11" t="str">
        <f aca="false">"Billed revenue - "&amp;Seg1_Name</f>
        <v>Billed revenue - Households</v>
      </c>
      <c r="B77" s="66" t="n">
        <f aca="false">SUM(C77:W77)</f>
        <v>2107258.13958533</v>
      </c>
      <c r="C77" s="95" t="n">
        <v>0</v>
      </c>
      <c r="D77" s="95" t="n">
        <f aca="false">D61*Seg1_Tariff*LevTariff*$B$5*D43</f>
        <v>34560</v>
      </c>
      <c r="E77" s="95" t="n">
        <f aca="false">E61*Seg1_Tariff*LevTariff*$B$5*E43</f>
        <v>51941.664</v>
      </c>
      <c r="F77" s="95" t="n">
        <f aca="false">F61*Seg1_Tariff*LevTariff*$B$5*F43</f>
        <v>64829.307456</v>
      </c>
      <c r="G77" s="95" t="n">
        <f aca="false">G61*Seg1_Tariff*LevTariff*$B$5*G43</f>
        <v>68777.4122800704</v>
      </c>
      <c r="H77" s="95" t="n">
        <f aca="false">H61*Seg1_Tariff*LevTariff*$B$5*H43</f>
        <v>72965.9566879267</v>
      </c>
      <c r="I77" s="95" t="n">
        <f aca="false">I61*Seg1_Tariff*LevTariff*$B$5*I43</f>
        <v>77409.5834502214</v>
      </c>
      <c r="J77" s="95" t="n">
        <f aca="false">J61*Seg1_Tariff*LevTariff*$B$5*J43</f>
        <v>82123.8270823399</v>
      </c>
      <c r="K77" s="95" t="n">
        <f aca="false">K61*Seg1_Tariff*LevTariff*$B$5*K43</f>
        <v>87125.1681516545</v>
      </c>
      <c r="L77" s="95" t="n">
        <f aca="false">L61*Seg1_Tariff*LevTariff*$B$5*L43</f>
        <v>92431.0908920902</v>
      </c>
      <c r="M77" s="95" t="n">
        <f aca="false">M61*Seg1_Tariff*LevTariff*$B$5*M43</f>
        <v>98060.1443274185</v>
      </c>
      <c r="N77" s="95" t="n">
        <f aca="false">N61*Seg1_Tariff*LevTariff*$B$5*N43</f>
        <v>104032.007116958</v>
      </c>
      <c r="O77" s="95" t="n">
        <f aca="false">O61*Seg1_Tariff*LevTariff*$B$5*O43</f>
        <v>110367.556350381</v>
      </c>
      <c r="P77" s="95" t="n">
        <f aca="false">P61*Seg1_Tariff*LevTariff*$B$5*P43</f>
        <v>117088.940532119</v>
      </c>
      <c r="Q77" s="95" t="n">
        <f aca="false">Q61*Seg1_Tariff*LevTariff*$B$5*Q43</f>
        <v>124219.657010525</v>
      </c>
      <c r="R77" s="95" t="n">
        <f aca="false">R61*Seg1_Tariff*LevTariff*$B$5*R43</f>
        <v>131784.634122466</v>
      </c>
      <c r="S77" s="95" t="n">
        <f aca="false">S61*Seg1_Tariff*LevTariff*$B$5*S43</f>
        <v>139810.318340525</v>
      </c>
      <c r="T77" s="95" t="n">
        <f aca="false">T61*Seg1_Tariff*LevTariff*$B$5*T43</f>
        <v>148324.766727463</v>
      </c>
      <c r="U77" s="95" t="n">
        <f aca="false">U61*Seg1_Tariff*LevTariff*$B$5*U43</f>
        <v>157357.745021165</v>
      </c>
      <c r="V77" s="95" t="n">
        <f aca="false">V61*Seg1_Tariff*LevTariff*$B$5*V43</f>
        <v>166940.831692954</v>
      </c>
      <c r="W77" s="95" t="n">
        <f aca="false">W61*Seg1_Tariff*LevTariff*$B$5*W43</f>
        <v>177107.528343055</v>
      </c>
    </row>
    <row r="78" customFormat="false" ht="15" hidden="false" customHeight="false" outlineLevel="0" collapsed="false">
      <c r="A78" s="11" t="str">
        <f aca="false">"Billed revenue - "&amp;Seg2_Name</f>
        <v>Billed revenue - Productive users (mills, welding, cold rooms)</v>
      </c>
      <c r="B78" s="66" t="n">
        <f aca="false">SUM(C78:W78)</f>
        <v>1432819.63572035</v>
      </c>
      <c r="C78" s="95" t="n">
        <v>0</v>
      </c>
      <c r="D78" s="95" t="n">
        <f aca="false">D62*Seg2_Tariff*LevTariff*$B$5*D43</f>
        <v>23498.8992</v>
      </c>
      <c r="E78" s="95" t="n">
        <f aca="false">E62*Seg2_Tariff*LevTariff*$B$5*E43</f>
        <v>35317.47472848</v>
      </c>
      <c r="F78" s="95" t="n">
        <f aca="false">F62*Seg2_Tariff*LevTariff*$B$5*F43</f>
        <v>44080.3634581699</v>
      </c>
      <c r="G78" s="95" t="n">
        <f aca="false">G62*Seg2_Tariff*LevTariff*$B$5*G43</f>
        <v>46764.8575927725</v>
      </c>
      <c r="H78" s="95" t="n">
        <f aca="false">H62*Seg2_Tariff*LevTariff*$B$5*H43</f>
        <v>49612.8374201723</v>
      </c>
      <c r="I78" s="95" t="n">
        <f aca="false">I62*Seg2_Tariff*LevTariff*$B$5*I43</f>
        <v>52634.2592190608</v>
      </c>
      <c r="J78" s="95" t="n">
        <f aca="false">J62*Seg2_Tariff*LevTariff*$B$5*J43</f>
        <v>55839.6856055016</v>
      </c>
      <c r="K78" s="95" t="n">
        <f aca="false">K62*Seg2_Tariff*LevTariff*$B$5*K43</f>
        <v>59240.3224588767</v>
      </c>
      <c r="L78" s="95" t="n">
        <f aca="false">L62*Seg2_Tariff*LevTariff*$B$5*L43</f>
        <v>62848.0580966223</v>
      </c>
      <c r="M78" s="95" t="n">
        <f aca="false">M62*Seg2_Tariff*LevTariff*$B$5*M43</f>
        <v>66675.5048347066</v>
      </c>
      <c r="N78" s="95" t="n">
        <f aca="false">N62*Seg2_Tariff*LevTariff*$B$5*N43</f>
        <v>70736.0430791402</v>
      </c>
      <c r="O78" s="95" t="n">
        <f aca="false">O62*Seg2_Tariff*LevTariff*$B$5*O43</f>
        <v>75043.8681026598</v>
      </c>
      <c r="P78" s="95" t="n">
        <f aca="false">P62*Seg2_Tariff*LevTariff*$B$5*P43</f>
        <v>79614.0396701118</v>
      </c>
      <c r="Q78" s="95" t="n">
        <f aca="false">Q62*Seg2_Tariff*LevTariff*$B$5*Q43</f>
        <v>84462.5346860216</v>
      </c>
      <c r="R78" s="95" t="n">
        <f aca="false">R62*Seg2_Tariff*LevTariff*$B$5*R43</f>
        <v>89606.3030484004</v>
      </c>
      <c r="S78" s="95" t="n">
        <f aca="false">S62*Seg2_Tariff*LevTariff*$B$5*S43</f>
        <v>95063.3269040479</v>
      </c>
      <c r="T78" s="95" t="n">
        <f aca="false">T62*Seg2_Tariff*LevTariff*$B$5*T43</f>
        <v>100852.683512504</v>
      </c>
      <c r="U78" s="95" t="n">
        <f aca="false">U62*Seg2_Tariff*LevTariff*$B$5*U43</f>
        <v>106994.611938416</v>
      </c>
      <c r="V78" s="95" t="n">
        <f aca="false">V62*Seg2_Tariff*LevTariff*$B$5*V43</f>
        <v>113510.583805466</v>
      </c>
      <c r="W78" s="95" t="n">
        <f aca="false">W62*Seg2_Tariff*LevTariff*$B$5*W43</f>
        <v>120423.378359218</v>
      </c>
    </row>
    <row r="79" customFormat="false" ht="15" hidden="false" customHeight="false" outlineLevel="0" collapsed="false">
      <c r="A79" s="11" t="str">
        <f aca="false">"Billed revenue - "&amp;Seg3_Name</f>
        <v>Billed revenue - Commercial (shops, bars, kiosks)</v>
      </c>
      <c r="B79" s="66" t="n">
        <f aca="false">SUM(C79:W79)</f>
        <v>878024.224827222</v>
      </c>
      <c r="C79" s="95" t="n">
        <v>0</v>
      </c>
      <c r="D79" s="95" t="n">
        <f aca="false">D63*Seg3_Tariff*LevTariff*$B$5*D43</f>
        <v>14400</v>
      </c>
      <c r="E79" s="95" t="n">
        <f aca="false">E63*Seg3_Tariff*LevTariff*$B$5*E43</f>
        <v>21642.36</v>
      </c>
      <c r="F79" s="95" t="n">
        <f aca="false">F63*Seg3_Tariff*LevTariff*$B$5*F43</f>
        <v>27012.21144</v>
      </c>
      <c r="G79" s="95" t="n">
        <f aca="false">G63*Seg3_Tariff*LevTariff*$B$5*G43</f>
        <v>28657.255116696</v>
      </c>
      <c r="H79" s="95" t="n">
        <f aca="false">H63*Seg3_Tariff*LevTariff*$B$5*H43</f>
        <v>30402.4819533028</v>
      </c>
      <c r="I79" s="95" t="n">
        <f aca="false">I63*Seg3_Tariff*LevTariff*$B$5*I43</f>
        <v>32253.9931042589</v>
      </c>
      <c r="J79" s="95" t="n">
        <f aca="false">J63*Seg3_Tariff*LevTariff*$B$5*J43</f>
        <v>34218.2612843083</v>
      </c>
      <c r="K79" s="95" t="n">
        <f aca="false">K63*Seg3_Tariff*LevTariff*$B$5*K43</f>
        <v>36302.1533965227</v>
      </c>
      <c r="L79" s="95" t="n">
        <f aca="false">L63*Seg3_Tariff*LevTariff*$B$5*L43</f>
        <v>38512.9545383709</v>
      </c>
      <c r="M79" s="95" t="n">
        <f aca="false">M63*Seg3_Tariff*LevTariff*$B$5*M43</f>
        <v>40858.3934697577</v>
      </c>
      <c r="N79" s="95" t="n">
        <f aca="false">N63*Seg3_Tariff*LevTariff*$B$5*N43</f>
        <v>43346.669632066</v>
      </c>
      <c r="O79" s="95" t="n">
        <f aca="false">O63*Seg3_Tariff*LevTariff*$B$5*O43</f>
        <v>45986.4818126588</v>
      </c>
      <c r="P79" s="95" t="n">
        <f aca="false">P63*Seg3_Tariff*LevTariff*$B$5*P43</f>
        <v>48787.0585550497</v>
      </c>
      <c r="Q79" s="95" t="n">
        <f aca="false">Q63*Seg3_Tariff*LevTariff*$B$5*Q43</f>
        <v>51758.1904210522</v>
      </c>
      <c r="R79" s="95" t="n">
        <f aca="false">R63*Seg3_Tariff*LevTariff*$B$5*R43</f>
        <v>54910.2642176943</v>
      </c>
      <c r="S79" s="95" t="n">
        <f aca="false">S63*Seg3_Tariff*LevTariff*$B$5*S43</f>
        <v>58254.2993085519</v>
      </c>
      <c r="T79" s="95" t="n">
        <f aca="false">T63*Seg3_Tariff*LevTariff*$B$5*T43</f>
        <v>61801.9861364427</v>
      </c>
      <c r="U79" s="95" t="n">
        <f aca="false">U63*Seg3_Tariff*LevTariff*$B$5*U43</f>
        <v>65565.7270921521</v>
      </c>
      <c r="V79" s="95" t="n">
        <f aca="false">V63*Seg3_Tariff*LevTariff*$B$5*V43</f>
        <v>69558.6798720642</v>
      </c>
      <c r="W79" s="95" t="n">
        <f aca="false">W63*Seg3_Tariff*LevTariff*$B$5*W43</f>
        <v>73794.8034762729</v>
      </c>
    </row>
    <row r="80" customFormat="false" ht="15" hidden="false" customHeight="false" outlineLevel="0" collapsed="false">
      <c r="A80" s="11" t="str">
        <f aca="false">"Billed revenue - "&amp;Seg4_Name</f>
        <v>Billed revenue - Institutions (health centre, school, water)</v>
      </c>
      <c r="B80" s="66" t="n">
        <f aca="false">SUM(C80:W80)</f>
        <v>460962.718034292</v>
      </c>
      <c r="C80" s="95" t="n">
        <v>0</v>
      </c>
      <c r="D80" s="95" t="n">
        <f aca="false">D64*Seg4_Tariff*LevTariff*$B$5*D43</f>
        <v>7560</v>
      </c>
      <c r="E80" s="95" t="n">
        <f aca="false">E64*Seg4_Tariff*LevTariff*$B$5*E43</f>
        <v>11362.239</v>
      </c>
      <c r="F80" s="95" t="n">
        <f aca="false">F64*Seg4_Tariff*LevTariff*$B$5*F43</f>
        <v>14181.411006</v>
      </c>
      <c r="G80" s="95" t="n">
        <f aca="false">G64*Seg4_Tariff*LevTariff*$B$5*G43</f>
        <v>15045.0589362654</v>
      </c>
      <c r="H80" s="95" t="n">
        <f aca="false">H64*Seg4_Tariff*LevTariff*$B$5*H43</f>
        <v>15961.303025484</v>
      </c>
      <c r="I80" s="95" t="n">
        <f aca="false">I64*Seg4_Tariff*LevTariff*$B$5*I43</f>
        <v>16933.3463797359</v>
      </c>
      <c r="J80" s="95" t="n">
        <f aca="false">J64*Seg4_Tariff*LevTariff*$B$5*J43</f>
        <v>17964.5871742619</v>
      </c>
      <c r="K80" s="95" t="n">
        <f aca="false">K64*Seg4_Tariff*LevTariff*$B$5*K43</f>
        <v>19058.6305331744</v>
      </c>
      <c r="L80" s="95" t="n">
        <f aca="false">L64*Seg4_Tariff*LevTariff*$B$5*L43</f>
        <v>20219.3011326447</v>
      </c>
      <c r="M80" s="95" t="n">
        <f aca="false">M64*Seg4_Tariff*LevTariff*$B$5*M43</f>
        <v>21450.6565716228</v>
      </c>
      <c r="N80" s="95" t="n">
        <f aca="false">N64*Seg4_Tariff*LevTariff*$B$5*N43</f>
        <v>22757.0015568346</v>
      </c>
      <c r="O80" s="95" t="n">
        <f aca="false">O64*Seg4_Tariff*LevTariff*$B$5*O43</f>
        <v>24142.9029516459</v>
      </c>
      <c r="P80" s="95" t="n">
        <f aca="false">P64*Seg4_Tariff*LevTariff*$B$5*P43</f>
        <v>25613.2057414011</v>
      </c>
      <c r="Q80" s="95" t="n">
        <f aca="false">Q64*Seg4_Tariff*LevTariff*$B$5*Q43</f>
        <v>27173.0499710524</v>
      </c>
      <c r="R80" s="95" t="n">
        <f aca="false">R64*Seg4_Tariff*LevTariff*$B$5*R43</f>
        <v>28827.8887142895</v>
      </c>
      <c r="S80" s="95" t="n">
        <f aca="false">S64*Seg4_Tariff*LevTariff*$B$5*S43</f>
        <v>30583.5071369897</v>
      </c>
      <c r="T80" s="95" t="n">
        <f aca="false">T64*Seg4_Tariff*LevTariff*$B$5*T43</f>
        <v>32446.0427216324</v>
      </c>
      <c r="U80" s="95" t="n">
        <f aca="false">U64*Seg4_Tariff*LevTariff*$B$5*U43</f>
        <v>34422.0067233798</v>
      </c>
      <c r="V80" s="95" t="n">
        <f aca="false">V64*Seg4_Tariff*LevTariff*$B$5*V43</f>
        <v>36518.3069328337</v>
      </c>
      <c r="W80" s="95" t="n">
        <f aca="false">W64*Seg4_Tariff*LevTariff*$B$5*W43</f>
        <v>38742.2718250432</v>
      </c>
    </row>
    <row r="81" customFormat="false" ht="15" hidden="false" customHeight="false" outlineLevel="0" collapsed="false">
      <c r="A81" s="11" t="str">
        <f aca="false">"Billed revenue - "&amp;Seg5_Name</f>
        <v>Billed revenue - Other / custom</v>
      </c>
      <c r="B81" s="66" t="n">
        <f aca="false">SUM(C81:W81)</f>
        <v>0</v>
      </c>
      <c r="C81" s="95" t="n">
        <v>0</v>
      </c>
      <c r="D81" s="95" t="n">
        <f aca="false">D65*Seg5_Tariff*LevTariff*$B$5*D43</f>
        <v>0</v>
      </c>
      <c r="E81" s="95" t="n">
        <f aca="false">E65*Seg5_Tariff*LevTariff*$B$5*E43</f>
        <v>0</v>
      </c>
      <c r="F81" s="95" t="n">
        <f aca="false">F65*Seg5_Tariff*LevTariff*$B$5*F43</f>
        <v>0</v>
      </c>
      <c r="G81" s="95" t="n">
        <f aca="false">G65*Seg5_Tariff*LevTariff*$B$5*G43</f>
        <v>0</v>
      </c>
      <c r="H81" s="95" t="n">
        <f aca="false">H65*Seg5_Tariff*LevTariff*$B$5*H43</f>
        <v>0</v>
      </c>
      <c r="I81" s="95" t="n">
        <f aca="false">I65*Seg5_Tariff*LevTariff*$B$5*I43</f>
        <v>0</v>
      </c>
      <c r="J81" s="95" t="n">
        <f aca="false">J65*Seg5_Tariff*LevTariff*$B$5*J43</f>
        <v>0</v>
      </c>
      <c r="K81" s="95" t="n">
        <f aca="false">K65*Seg5_Tariff*LevTariff*$B$5*K43</f>
        <v>0</v>
      </c>
      <c r="L81" s="95" t="n">
        <f aca="false">L65*Seg5_Tariff*LevTariff*$B$5*L43</f>
        <v>0</v>
      </c>
      <c r="M81" s="95" t="n">
        <f aca="false">M65*Seg5_Tariff*LevTariff*$B$5*M43</f>
        <v>0</v>
      </c>
      <c r="N81" s="95" t="n">
        <f aca="false">N65*Seg5_Tariff*LevTariff*$B$5*N43</f>
        <v>0</v>
      </c>
      <c r="O81" s="95" t="n">
        <f aca="false">O65*Seg5_Tariff*LevTariff*$B$5*O43</f>
        <v>0</v>
      </c>
      <c r="P81" s="95" t="n">
        <f aca="false">P65*Seg5_Tariff*LevTariff*$B$5*P43</f>
        <v>0</v>
      </c>
      <c r="Q81" s="95" t="n">
        <f aca="false">Q65*Seg5_Tariff*LevTariff*$B$5*Q43</f>
        <v>0</v>
      </c>
      <c r="R81" s="95" t="n">
        <f aca="false">R65*Seg5_Tariff*LevTariff*$B$5*R43</f>
        <v>0</v>
      </c>
      <c r="S81" s="95" t="n">
        <f aca="false">S65*Seg5_Tariff*LevTariff*$B$5*S43</f>
        <v>0</v>
      </c>
      <c r="T81" s="95" t="n">
        <f aca="false">T65*Seg5_Tariff*LevTariff*$B$5*T43</f>
        <v>0</v>
      </c>
      <c r="U81" s="95" t="n">
        <f aca="false">U65*Seg5_Tariff*LevTariff*$B$5*U43</f>
        <v>0</v>
      </c>
      <c r="V81" s="95" t="n">
        <f aca="false">V65*Seg5_Tariff*LevTariff*$B$5*V43</f>
        <v>0</v>
      </c>
      <c r="W81" s="95" t="n">
        <f aca="false">W65*Seg5_Tariff*LevTariff*$B$5*W43</f>
        <v>0</v>
      </c>
    </row>
    <row r="82" customFormat="false" ht="15" hidden="false" customHeight="false" outlineLevel="0" collapsed="false">
      <c r="A82" s="16" t="s">
        <v>431</v>
      </c>
      <c r="B82" s="66" t="n">
        <f aca="false">SUM(C82:W82)</f>
        <v>4879064.7181672</v>
      </c>
      <c r="C82" s="31" t="n">
        <f aca="false">C77+C78+C79+C80+C81</f>
        <v>0</v>
      </c>
      <c r="D82" s="31" t="n">
        <f aca="false">D77+D78+D79+D80+D81</f>
        <v>80018.8992</v>
      </c>
      <c r="E82" s="31" t="n">
        <f aca="false">E77+E78+E79+E80+E81</f>
        <v>120263.73772848</v>
      </c>
      <c r="F82" s="31" t="n">
        <f aca="false">F77+F78+F79+F80+F81</f>
        <v>150103.29336017</v>
      </c>
      <c r="G82" s="31" t="n">
        <f aca="false">G77+G78+G79+G80+G81</f>
        <v>159244.583925804</v>
      </c>
      <c r="H82" s="31" t="n">
        <f aca="false">H77+H78+H79+H80+H81</f>
        <v>168942.579086886</v>
      </c>
      <c r="I82" s="31" t="n">
        <f aca="false">I77+I78+I79+I80+I81</f>
        <v>179231.182153277</v>
      </c>
      <c r="J82" s="31" t="n">
        <f aca="false">J77+J78+J79+J80+J81</f>
        <v>190146.361146412</v>
      </c>
      <c r="K82" s="31" t="n">
        <f aca="false">K77+K78+K79+K80+K81</f>
        <v>201726.274540228</v>
      </c>
      <c r="L82" s="31" t="n">
        <f aca="false">L77+L78+L79+L80+L81</f>
        <v>214011.404659728</v>
      </c>
      <c r="M82" s="31" t="n">
        <f aca="false">M77+M78+M79+M80+M81</f>
        <v>227044.699203506</v>
      </c>
      <c r="N82" s="31" t="n">
        <f aca="false">N77+N78+N79+N80+N81</f>
        <v>240871.721384999</v>
      </c>
      <c r="O82" s="31" t="n">
        <f aca="false">O77+O78+O79+O80+O81</f>
        <v>255540.809217346</v>
      </c>
      <c r="P82" s="31" t="n">
        <f aca="false">P77+P78+P79+P80+P81</f>
        <v>271103.244498682</v>
      </c>
      <c r="Q82" s="31" t="n">
        <f aca="false">Q77+Q78+Q79+Q80+Q81</f>
        <v>287613.432088652</v>
      </c>
      <c r="R82" s="31" t="n">
        <f aca="false">R77+R78+R79+R80+R81</f>
        <v>305129.090102851</v>
      </c>
      <c r="S82" s="31" t="n">
        <f aca="false">S77+S78+S79+S80+S81</f>
        <v>323711.451690114</v>
      </c>
      <c r="T82" s="31" t="n">
        <f aca="false">T77+T78+T79+T80+T81</f>
        <v>343425.479098042</v>
      </c>
      <c r="U82" s="31" t="n">
        <f aca="false">U77+U78+U79+U80+U81</f>
        <v>364340.090775113</v>
      </c>
      <c r="V82" s="31" t="n">
        <f aca="false">V77+V78+V79+V80+V81</f>
        <v>386528.402303317</v>
      </c>
      <c r="W82" s="31" t="n">
        <f aca="false">W77+W78+W79+W80+W81</f>
        <v>410067.982003589</v>
      </c>
    </row>
    <row r="83" customFormat="false" ht="15" hidden="false" customHeight="false" outlineLevel="0" collapsed="false">
      <c r="A83" s="11" t="s">
        <v>432</v>
      </c>
      <c r="B83" s="66" t="n">
        <f aca="false">SUM(C83:W83)</f>
        <v>4488739.54071382</v>
      </c>
      <c r="C83" s="95" t="n">
        <v>0</v>
      </c>
      <c r="D83" s="95" t="n">
        <f aca="false">D82*MIN(1,Collection*LevColl*$B$9)</f>
        <v>73617.387264</v>
      </c>
      <c r="E83" s="95" t="n">
        <f aca="false">E82*MIN(1,Collection*LevColl*$B$9)</f>
        <v>110642.638710202</v>
      </c>
      <c r="F83" s="95" t="n">
        <f aca="false">F82*MIN(1,Collection*LevColl*$B$9)</f>
        <v>138095.029891356</v>
      </c>
      <c r="G83" s="95" t="n">
        <f aca="false">G82*MIN(1,Collection*LevColl*$B$9)</f>
        <v>146505.01721174</v>
      </c>
      <c r="H83" s="95" t="n">
        <f aca="false">H82*MIN(1,Collection*LevColl*$B$9)</f>
        <v>155427.172759935</v>
      </c>
      <c r="I83" s="95" t="n">
        <f aca="false">I82*MIN(1,Collection*LevColl*$B$9)</f>
        <v>164892.687581015</v>
      </c>
      <c r="J83" s="95" t="n">
        <f aca="false">J82*MIN(1,Collection*LevColl*$B$9)</f>
        <v>174934.652254699</v>
      </c>
      <c r="K83" s="95" t="n">
        <f aca="false">K82*MIN(1,Collection*LevColl*$B$9)</f>
        <v>185588.17257701</v>
      </c>
      <c r="L83" s="95" t="n">
        <f aca="false">L82*MIN(1,Collection*LevColl*$B$9)</f>
        <v>196890.49228695</v>
      </c>
      <c r="M83" s="95" t="n">
        <f aca="false">M82*MIN(1,Collection*LevColl*$B$9)</f>
        <v>208881.123267225</v>
      </c>
      <c r="N83" s="95" t="n">
        <f aca="false">N82*MIN(1,Collection*LevColl*$B$9)</f>
        <v>221601.983674199</v>
      </c>
      <c r="O83" s="95" t="n">
        <f aca="false">O82*MIN(1,Collection*LevColl*$B$9)</f>
        <v>235097.544479958</v>
      </c>
      <c r="P83" s="95" t="n">
        <f aca="false">P82*MIN(1,Collection*LevColl*$B$9)</f>
        <v>249414.984938787</v>
      </c>
      <c r="Q83" s="95" t="n">
        <f aca="false">Q82*MIN(1,Collection*LevColl*$B$9)</f>
        <v>264604.357521559</v>
      </c>
      <c r="R83" s="95" t="n">
        <f aca="false">R82*MIN(1,Collection*LevColl*$B$9)</f>
        <v>280718.762894623</v>
      </c>
      <c r="S83" s="95" t="n">
        <f aca="false">S82*MIN(1,Collection*LevColl*$B$9)</f>
        <v>297814.535554905</v>
      </c>
      <c r="T83" s="95" t="n">
        <f aca="false">T82*MIN(1,Collection*LevColl*$B$9)</f>
        <v>315951.440770199</v>
      </c>
      <c r="U83" s="95" t="n">
        <f aca="false">U82*MIN(1,Collection*LevColl*$B$9)</f>
        <v>335192.883513104</v>
      </c>
      <c r="V83" s="95" t="n">
        <f aca="false">V82*MIN(1,Collection*LevColl*$B$9)</f>
        <v>355606.130119052</v>
      </c>
      <c r="W83" s="95" t="n">
        <f aca="false">W82*MIN(1,Collection*LevColl*$B$9)</f>
        <v>377262.543443302</v>
      </c>
    </row>
    <row r="84" customFormat="false" ht="15" hidden="false" customHeight="false" outlineLevel="0" collapsed="false">
      <c r="A84" s="11" t="s">
        <v>433</v>
      </c>
      <c r="B84" s="66" t="n">
        <f aca="false">SUM(C84:W84)</f>
        <v>11500</v>
      </c>
      <c r="C84" s="95" t="n">
        <v>0</v>
      </c>
      <c r="D84" s="95" t="n">
        <f aca="false">D54*Seg1_Fee+D55*Seg2_Fee+D56*Seg3_Fee+D57*Seg4_Fee+D58*Seg5_Fee</f>
        <v>6900</v>
      </c>
      <c r="E84" s="95" t="n">
        <f aca="false">E54*Seg1_Fee+E55*Seg2_Fee+E56*Seg3_Fee+E57*Seg4_Fee+E58*Seg5_Fee</f>
        <v>2875</v>
      </c>
      <c r="F84" s="95" t="n">
        <f aca="false">F54*Seg1_Fee+F55*Seg2_Fee+F56*Seg3_Fee+F57*Seg4_Fee+F58*Seg5_Fee</f>
        <v>1725</v>
      </c>
      <c r="G84" s="95" t="n">
        <f aca="false">G54*Seg1_Fee+G55*Seg2_Fee+G56*Seg3_Fee+G57*Seg4_Fee+G58*Seg5_Fee</f>
        <v>0</v>
      </c>
      <c r="H84" s="95" t="n">
        <f aca="false">H54*Seg1_Fee+H55*Seg2_Fee+H56*Seg3_Fee+H57*Seg4_Fee+H58*Seg5_Fee</f>
        <v>0</v>
      </c>
      <c r="I84" s="95" t="n">
        <f aca="false">I54*Seg1_Fee+I55*Seg2_Fee+I56*Seg3_Fee+I57*Seg4_Fee+I58*Seg5_Fee</f>
        <v>0</v>
      </c>
      <c r="J84" s="95" t="n">
        <f aca="false">J54*Seg1_Fee+J55*Seg2_Fee+J56*Seg3_Fee+J57*Seg4_Fee+J58*Seg5_Fee</f>
        <v>0</v>
      </c>
      <c r="K84" s="95" t="n">
        <f aca="false">K54*Seg1_Fee+K55*Seg2_Fee+K56*Seg3_Fee+K57*Seg4_Fee+K58*Seg5_Fee</f>
        <v>0</v>
      </c>
      <c r="L84" s="95" t="n">
        <f aca="false">L54*Seg1_Fee+L55*Seg2_Fee+L56*Seg3_Fee+L57*Seg4_Fee+L58*Seg5_Fee</f>
        <v>0</v>
      </c>
      <c r="M84" s="95" t="n">
        <f aca="false">M54*Seg1_Fee+M55*Seg2_Fee+M56*Seg3_Fee+M57*Seg4_Fee+M58*Seg5_Fee</f>
        <v>0</v>
      </c>
      <c r="N84" s="95" t="n">
        <f aca="false">N54*Seg1_Fee+N55*Seg2_Fee+N56*Seg3_Fee+N57*Seg4_Fee+N58*Seg5_Fee</f>
        <v>0</v>
      </c>
      <c r="O84" s="95" t="n">
        <f aca="false">O54*Seg1_Fee+O55*Seg2_Fee+O56*Seg3_Fee+O57*Seg4_Fee+O58*Seg5_Fee</f>
        <v>0</v>
      </c>
      <c r="P84" s="95" t="n">
        <f aca="false">P54*Seg1_Fee+P55*Seg2_Fee+P56*Seg3_Fee+P57*Seg4_Fee+P58*Seg5_Fee</f>
        <v>0</v>
      </c>
      <c r="Q84" s="95" t="n">
        <f aca="false">Q54*Seg1_Fee+Q55*Seg2_Fee+Q56*Seg3_Fee+Q57*Seg4_Fee+Q58*Seg5_Fee</f>
        <v>0</v>
      </c>
      <c r="R84" s="95" t="n">
        <f aca="false">R54*Seg1_Fee+R55*Seg2_Fee+R56*Seg3_Fee+R57*Seg4_Fee+R58*Seg5_Fee</f>
        <v>0</v>
      </c>
      <c r="S84" s="95" t="n">
        <f aca="false">S54*Seg1_Fee+S55*Seg2_Fee+S56*Seg3_Fee+S57*Seg4_Fee+S58*Seg5_Fee</f>
        <v>0</v>
      </c>
      <c r="T84" s="95" t="n">
        <f aca="false">T54*Seg1_Fee+T55*Seg2_Fee+T56*Seg3_Fee+T57*Seg4_Fee+T58*Seg5_Fee</f>
        <v>0</v>
      </c>
      <c r="U84" s="95" t="n">
        <f aca="false">U54*Seg1_Fee+U55*Seg2_Fee+U56*Seg3_Fee+U57*Seg4_Fee+U58*Seg5_Fee</f>
        <v>0</v>
      </c>
      <c r="V84" s="95" t="n">
        <f aca="false">V54*Seg1_Fee+V55*Seg2_Fee+V56*Seg3_Fee+V57*Seg4_Fee+V58*Seg5_Fee</f>
        <v>0</v>
      </c>
      <c r="W84" s="95" t="n">
        <f aca="false">W54*Seg1_Fee+W55*Seg2_Fee+W56*Seg3_Fee+W57*Seg4_Fee+W58*Seg5_Fee</f>
        <v>0</v>
      </c>
    </row>
    <row r="85" customFormat="false" ht="15" hidden="false" customHeight="false" outlineLevel="0" collapsed="false">
      <c r="A85" s="16" t="s">
        <v>434</v>
      </c>
      <c r="B85" s="66" t="n">
        <f aca="false">SUM(C85:W85)</f>
        <v>4500239.54071382</v>
      </c>
      <c r="C85" s="31" t="n">
        <f aca="false">C83+C84</f>
        <v>0</v>
      </c>
      <c r="D85" s="31" t="n">
        <f aca="false">D83+D84</f>
        <v>80517.387264</v>
      </c>
      <c r="E85" s="31" t="n">
        <f aca="false">E83+E84</f>
        <v>113517.638710202</v>
      </c>
      <c r="F85" s="31" t="n">
        <f aca="false">F83+F84</f>
        <v>139820.029891356</v>
      </c>
      <c r="G85" s="31" t="n">
        <f aca="false">G83+G84</f>
        <v>146505.01721174</v>
      </c>
      <c r="H85" s="31" t="n">
        <f aca="false">H83+H84</f>
        <v>155427.172759935</v>
      </c>
      <c r="I85" s="31" t="n">
        <f aca="false">I83+I84</f>
        <v>164892.687581015</v>
      </c>
      <c r="J85" s="31" t="n">
        <f aca="false">J83+J84</f>
        <v>174934.652254699</v>
      </c>
      <c r="K85" s="31" t="n">
        <f aca="false">K83+K84</f>
        <v>185588.17257701</v>
      </c>
      <c r="L85" s="31" t="n">
        <f aca="false">L83+L84</f>
        <v>196890.49228695</v>
      </c>
      <c r="M85" s="31" t="n">
        <f aca="false">M83+M84</f>
        <v>208881.123267225</v>
      </c>
      <c r="N85" s="31" t="n">
        <f aca="false">N83+N84</f>
        <v>221601.983674199</v>
      </c>
      <c r="O85" s="31" t="n">
        <f aca="false">O83+O84</f>
        <v>235097.544479958</v>
      </c>
      <c r="P85" s="31" t="n">
        <f aca="false">P83+P84</f>
        <v>249414.984938787</v>
      </c>
      <c r="Q85" s="31" t="n">
        <f aca="false">Q83+Q84</f>
        <v>264604.357521559</v>
      </c>
      <c r="R85" s="31" t="n">
        <f aca="false">R83+R84</f>
        <v>280718.762894623</v>
      </c>
      <c r="S85" s="31" t="n">
        <f aca="false">S83+S84</f>
        <v>297814.535554905</v>
      </c>
      <c r="T85" s="31" t="n">
        <f aca="false">T83+T84</f>
        <v>315951.440770199</v>
      </c>
      <c r="U85" s="31" t="n">
        <f aca="false">U83+U84</f>
        <v>335192.883513104</v>
      </c>
      <c r="V85" s="31" t="n">
        <f aca="false">V83+V84</f>
        <v>355606.130119052</v>
      </c>
      <c r="W85" s="31" t="n">
        <f aca="false">W83+W84</f>
        <v>377262.543443302</v>
      </c>
    </row>
    <row r="87" customFormat="false" ht="15" hidden="false" customHeight="false" outlineLevel="0" collapsed="false">
      <c r="A87" s="9" t="s">
        <v>435</v>
      </c>
      <c r="B87" s="10"/>
      <c r="C87" s="10"/>
      <c r="D87" s="10"/>
      <c r="E87" s="10"/>
      <c r="F87" s="10"/>
      <c r="G87" s="10"/>
      <c r="H87" s="10"/>
      <c r="I87" s="10"/>
      <c r="J87" s="10"/>
      <c r="K87" s="10"/>
      <c r="L87" s="10"/>
      <c r="M87" s="10"/>
      <c r="N87" s="10"/>
      <c r="O87" s="10"/>
      <c r="P87" s="10"/>
      <c r="Q87" s="10"/>
      <c r="R87" s="10"/>
      <c r="S87" s="10"/>
      <c r="T87" s="10"/>
      <c r="U87" s="10"/>
      <c r="V87" s="10"/>
      <c r="W87" s="10"/>
    </row>
    <row r="88" customFormat="false" ht="15" hidden="false" customHeight="false" outlineLevel="0" collapsed="false">
      <c r="A88" s="11" t="s">
        <v>162</v>
      </c>
      <c r="B88" s="66" t="n">
        <f aca="false">SUM(C88:W88)</f>
        <v>679197.868676078</v>
      </c>
      <c r="C88" s="95" t="n">
        <v>0</v>
      </c>
      <c r="D88" s="95" t="n">
        <f aca="false">'Cash Flow'!$B$15*O_FixedPct*D44*LevOpex*$B$8*D41</f>
        <v>25276.8292810589</v>
      </c>
      <c r="E88" s="95" t="n">
        <f aca="false">'Cash Flow'!$B$15*O_FixedPct*E44*LevOpex*$B$8*E41</f>
        <v>26035.1341594906</v>
      </c>
      <c r="F88" s="95" t="n">
        <f aca="false">'Cash Flow'!$B$15*O_FixedPct*F44*LevOpex*$B$8*F41</f>
        <v>26816.1881842753</v>
      </c>
      <c r="G88" s="95" t="n">
        <f aca="false">'Cash Flow'!$B$15*O_FixedPct*G44*LevOpex*$B$8*G41</f>
        <v>27620.6738298036</v>
      </c>
      <c r="H88" s="95" t="n">
        <f aca="false">'Cash Flow'!$B$15*O_FixedPct*H44*LevOpex*$B$8*H41</f>
        <v>28449.2940446977</v>
      </c>
      <c r="I88" s="95" t="n">
        <f aca="false">'Cash Flow'!$B$15*O_FixedPct*I44*LevOpex*$B$8*I41</f>
        <v>29302.7728660386</v>
      </c>
      <c r="J88" s="95" t="n">
        <f aca="false">'Cash Flow'!$B$15*O_FixedPct*J44*LevOpex*$B$8*J41</f>
        <v>30181.8560520198</v>
      </c>
      <c r="K88" s="95" t="n">
        <f aca="false">'Cash Flow'!$B$15*O_FixedPct*K44*LevOpex*$B$8*K41</f>
        <v>31087.3117335804</v>
      </c>
      <c r="L88" s="95" t="n">
        <f aca="false">'Cash Flow'!$B$15*O_FixedPct*L44*LevOpex*$B$8*L41</f>
        <v>32019.9310855878</v>
      </c>
      <c r="M88" s="95" t="n">
        <f aca="false">'Cash Flow'!$B$15*O_FixedPct*M44*LevOpex*$B$8*M41</f>
        <v>32980.5290181554</v>
      </c>
      <c r="N88" s="95" t="n">
        <f aca="false">'Cash Flow'!$B$15*O_FixedPct*N44*LevOpex*$B$8*N41</f>
        <v>33969.9448887001</v>
      </c>
      <c r="O88" s="95" t="n">
        <f aca="false">'Cash Flow'!$B$15*O_FixedPct*O44*LevOpex*$B$8*O41</f>
        <v>34989.0432353611</v>
      </c>
      <c r="P88" s="95" t="n">
        <f aca="false">'Cash Flow'!$B$15*O_FixedPct*P44*LevOpex*$B$8*P41</f>
        <v>36038.7145324219</v>
      </c>
      <c r="Q88" s="95" t="n">
        <f aca="false">'Cash Flow'!$B$15*O_FixedPct*Q44*LevOpex*$B$8*Q41</f>
        <v>37119.8759683946</v>
      </c>
      <c r="R88" s="95" t="n">
        <f aca="false">'Cash Flow'!$B$15*O_FixedPct*R44*LevOpex*$B$8*R41</f>
        <v>38233.4722474465</v>
      </c>
      <c r="S88" s="95" t="n">
        <f aca="false">'Cash Flow'!$B$15*O_FixedPct*S44*LevOpex*$B$8*S41</f>
        <v>39380.4764148698</v>
      </c>
      <c r="T88" s="95" t="n">
        <f aca="false">'Cash Flow'!$B$15*O_FixedPct*T44*LevOpex*$B$8*T41</f>
        <v>40561.8907073159</v>
      </c>
      <c r="U88" s="95" t="n">
        <f aca="false">'Cash Flow'!$B$15*O_FixedPct*U44*LevOpex*$B$8*U41</f>
        <v>41778.7474285354</v>
      </c>
      <c r="V88" s="95" t="n">
        <f aca="false">'Cash Flow'!$B$15*O_FixedPct*V44*LevOpex*$B$8*V41</f>
        <v>43032.1098513915</v>
      </c>
      <c r="W88" s="95" t="n">
        <f aca="false">'Cash Flow'!$B$15*O_FixedPct*W44*LevOpex*$B$8*W41</f>
        <v>44323.0731469332</v>
      </c>
    </row>
    <row r="89" customFormat="false" ht="15" hidden="false" customHeight="false" outlineLevel="0" collapsed="false">
      <c r="A89" s="11" t="s">
        <v>436</v>
      </c>
      <c r="B89" s="66" t="n">
        <f aca="false">SUM(C89:W89)</f>
        <v>483666.740801648</v>
      </c>
      <c r="C89" s="95" t="n">
        <v>0</v>
      </c>
      <c r="D89" s="95" t="n">
        <f aca="false">O_Staff*D44*LevOpex*$B$8*D41</f>
        <v>18000</v>
      </c>
      <c r="E89" s="95" t="n">
        <f aca="false">O_Staff*E44*LevOpex*$B$8*E41</f>
        <v>18540</v>
      </c>
      <c r="F89" s="95" t="n">
        <f aca="false">O_Staff*F44*LevOpex*$B$8*F41</f>
        <v>19096.2</v>
      </c>
      <c r="G89" s="95" t="n">
        <f aca="false">O_Staff*G44*LevOpex*$B$8*G41</f>
        <v>19669.086</v>
      </c>
      <c r="H89" s="95" t="n">
        <f aca="false">O_Staff*H44*LevOpex*$B$8*H41</f>
        <v>20259.15858</v>
      </c>
      <c r="I89" s="95" t="n">
        <f aca="false">O_Staff*I44*LevOpex*$B$8*I41</f>
        <v>20866.9333374</v>
      </c>
      <c r="J89" s="95" t="n">
        <f aca="false">O_Staff*J44*LevOpex*$B$8*J41</f>
        <v>21492.941337522</v>
      </c>
      <c r="K89" s="95" t="n">
        <f aca="false">O_Staff*K44*LevOpex*$B$8*K41</f>
        <v>22137.7295776477</v>
      </c>
      <c r="L89" s="95" t="n">
        <f aca="false">O_Staff*L44*LevOpex*$B$8*L41</f>
        <v>22801.8614649771</v>
      </c>
      <c r="M89" s="95" t="n">
        <f aca="false">O_Staff*M44*LevOpex*$B$8*M41</f>
        <v>23485.9173089264</v>
      </c>
      <c r="N89" s="95" t="n">
        <f aca="false">O_Staff*N44*LevOpex*$B$8*N41</f>
        <v>24190.4948281942</v>
      </c>
      <c r="O89" s="95" t="n">
        <f aca="false">O_Staff*O44*LevOpex*$B$8*O41</f>
        <v>24916.20967304</v>
      </c>
      <c r="P89" s="95" t="n">
        <f aca="false">O_Staff*P44*LevOpex*$B$8*P41</f>
        <v>25663.6959632312</v>
      </c>
      <c r="Q89" s="95" t="n">
        <f aca="false">O_Staff*Q44*LevOpex*$B$8*Q41</f>
        <v>26433.6068421282</v>
      </c>
      <c r="R89" s="95" t="n">
        <f aca="false">O_Staff*R44*LevOpex*$B$8*R41</f>
        <v>27226.615047392</v>
      </c>
      <c r="S89" s="95" t="n">
        <f aca="false">O_Staff*S44*LevOpex*$B$8*S41</f>
        <v>28043.4134988138</v>
      </c>
      <c r="T89" s="95" t="n">
        <f aca="false">O_Staff*T44*LevOpex*$B$8*T41</f>
        <v>28884.7159037782</v>
      </c>
      <c r="U89" s="95" t="n">
        <f aca="false">O_Staff*U44*LevOpex*$B$8*U41</f>
        <v>29751.2573808915</v>
      </c>
      <c r="V89" s="95" t="n">
        <f aca="false">O_Staff*V44*LevOpex*$B$8*V41</f>
        <v>30643.7951023183</v>
      </c>
      <c r="W89" s="95" t="n">
        <f aca="false">O_Staff*W44*LevOpex*$B$8*W41</f>
        <v>31563.1089553878</v>
      </c>
    </row>
    <row r="90" customFormat="false" ht="15" hidden="false" customHeight="false" outlineLevel="0" collapsed="false">
      <c r="A90" s="11" t="s">
        <v>165</v>
      </c>
      <c r="B90" s="66" t="n">
        <f aca="false">SUM(C90:W90)</f>
        <v>156215.509795498</v>
      </c>
      <c r="C90" s="95" t="n">
        <v>0</v>
      </c>
      <c r="D90" s="95" t="n">
        <f aca="false">'Cash Flow'!$B$14*O_InsPct*D44*LevOpex*$B$8*D41</f>
        <v>5813.67073464354</v>
      </c>
      <c r="E90" s="95" t="n">
        <f aca="false">'Cash Flow'!$B$14*O_InsPct*E44*LevOpex*$B$8*E41</f>
        <v>5988.08085668284</v>
      </c>
      <c r="F90" s="95" t="n">
        <f aca="false">'Cash Flow'!$B$14*O_InsPct*F44*LevOpex*$B$8*F41</f>
        <v>6167.72328238333</v>
      </c>
      <c r="G90" s="95" t="n">
        <f aca="false">'Cash Flow'!$B$14*O_InsPct*G44*LevOpex*$B$8*G41</f>
        <v>6352.75498085483</v>
      </c>
      <c r="H90" s="95" t="n">
        <f aca="false">'Cash Flow'!$B$14*O_InsPct*H44*LevOpex*$B$8*H41</f>
        <v>6543.33763028047</v>
      </c>
      <c r="I90" s="95" t="n">
        <f aca="false">'Cash Flow'!$B$14*O_InsPct*I44*LevOpex*$B$8*I41</f>
        <v>6739.63775918889</v>
      </c>
      <c r="J90" s="95" t="n">
        <f aca="false">'Cash Flow'!$B$14*O_InsPct*J44*LevOpex*$B$8*J41</f>
        <v>6941.82689196455</v>
      </c>
      <c r="K90" s="95" t="n">
        <f aca="false">'Cash Flow'!$B$14*O_InsPct*K44*LevOpex*$B$8*K41</f>
        <v>7150.08169872349</v>
      </c>
      <c r="L90" s="95" t="n">
        <f aca="false">'Cash Flow'!$B$14*O_InsPct*L44*LevOpex*$B$8*L41</f>
        <v>7364.5841496852</v>
      </c>
      <c r="M90" s="95" t="n">
        <f aca="false">'Cash Flow'!$B$14*O_InsPct*M44*LevOpex*$B$8*M41</f>
        <v>7585.52167417575</v>
      </c>
      <c r="N90" s="95" t="n">
        <f aca="false">'Cash Flow'!$B$14*O_InsPct*N44*LevOpex*$B$8*N41</f>
        <v>7813.08732440103</v>
      </c>
      <c r="O90" s="95" t="n">
        <f aca="false">'Cash Flow'!$B$14*O_InsPct*O44*LevOpex*$B$8*O41</f>
        <v>8047.47994413306</v>
      </c>
      <c r="P90" s="95" t="n">
        <f aca="false">'Cash Flow'!$B$14*O_InsPct*P44*LevOpex*$B$8*P41</f>
        <v>8288.90434245705</v>
      </c>
      <c r="Q90" s="95" t="n">
        <f aca="false">'Cash Flow'!$B$14*O_InsPct*Q44*LevOpex*$B$8*Q41</f>
        <v>8537.57147273076</v>
      </c>
      <c r="R90" s="95" t="n">
        <f aca="false">'Cash Flow'!$B$14*O_InsPct*R44*LevOpex*$B$8*R41</f>
        <v>8793.69861691268</v>
      </c>
      <c r="S90" s="95" t="n">
        <f aca="false">'Cash Flow'!$B$14*O_InsPct*S44*LevOpex*$B$8*S41</f>
        <v>9057.50957542006</v>
      </c>
      <c r="T90" s="95" t="n">
        <f aca="false">'Cash Flow'!$B$14*O_InsPct*T44*LevOpex*$B$8*T41</f>
        <v>9329.23486268267</v>
      </c>
      <c r="U90" s="95" t="n">
        <f aca="false">'Cash Flow'!$B$14*O_InsPct*U44*LevOpex*$B$8*U41</f>
        <v>9609.11190856315</v>
      </c>
      <c r="V90" s="95" t="n">
        <f aca="false">'Cash Flow'!$B$14*O_InsPct*V44*LevOpex*$B$8*V41</f>
        <v>9897.38526582004</v>
      </c>
      <c r="W90" s="95" t="n">
        <f aca="false">'Cash Flow'!$B$14*O_InsPct*W44*LevOpex*$B$8*W41</f>
        <v>10194.3068237946</v>
      </c>
    </row>
    <row r="91" customFormat="false" ht="15" hidden="false" customHeight="false" outlineLevel="0" collapsed="false">
      <c r="A91" s="11" t="s">
        <v>437</v>
      </c>
      <c r="B91" s="66" t="n">
        <f aca="false">SUM(C91:W91)</f>
        <v>80611.1234669414</v>
      </c>
      <c r="C91" s="95" t="n">
        <v>0</v>
      </c>
      <c r="D91" s="95" t="n">
        <f aca="false">O_Fees*D44*LevOpex*$B$8*D41</f>
        <v>3000</v>
      </c>
      <c r="E91" s="95" t="n">
        <f aca="false">O_Fees*E44*LevOpex*$B$8*E41</f>
        <v>3090</v>
      </c>
      <c r="F91" s="95" t="n">
        <f aca="false">O_Fees*F44*LevOpex*$B$8*F41</f>
        <v>3182.7</v>
      </c>
      <c r="G91" s="95" t="n">
        <f aca="false">O_Fees*G44*LevOpex*$B$8*G41</f>
        <v>3278.181</v>
      </c>
      <c r="H91" s="95" t="n">
        <f aca="false">O_Fees*H44*LevOpex*$B$8*H41</f>
        <v>3376.52643</v>
      </c>
      <c r="I91" s="95" t="n">
        <f aca="false">O_Fees*I44*LevOpex*$B$8*I41</f>
        <v>3477.8222229</v>
      </c>
      <c r="J91" s="95" t="n">
        <f aca="false">O_Fees*J44*LevOpex*$B$8*J41</f>
        <v>3582.156889587</v>
      </c>
      <c r="K91" s="95" t="n">
        <f aca="false">O_Fees*K44*LevOpex*$B$8*K41</f>
        <v>3689.62159627461</v>
      </c>
      <c r="L91" s="95" t="n">
        <f aca="false">O_Fees*L44*LevOpex*$B$8*L41</f>
        <v>3800.31024416285</v>
      </c>
      <c r="M91" s="95" t="n">
        <f aca="false">O_Fees*M44*LevOpex*$B$8*M41</f>
        <v>3914.31955148773</v>
      </c>
      <c r="N91" s="95" t="n">
        <f aca="false">O_Fees*N44*LevOpex*$B$8*N41</f>
        <v>4031.74913803237</v>
      </c>
      <c r="O91" s="95" t="n">
        <f aca="false">O_Fees*O44*LevOpex*$B$8*O41</f>
        <v>4152.70161217334</v>
      </c>
      <c r="P91" s="95" t="n">
        <f aca="false">O_Fees*P44*LevOpex*$B$8*P41</f>
        <v>4277.28266053854</v>
      </c>
      <c r="Q91" s="95" t="n">
        <f aca="false">O_Fees*Q44*LevOpex*$B$8*Q41</f>
        <v>4405.60114035469</v>
      </c>
      <c r="R91" s="95" t="n">
        <f aca="false">O_Fees*R44*LevOpex*$B$8*R41</f>
        <v>4537.76917456534</v>
      </c>
      <c r="S91" s="95" t="n">
        <f aca="false">O_Fees*S44*LevOpex*$B$8*S41</f>
        <v>4673.9022498023</v>
      </c>
      <c r="T91" s="95" t="n">
        <f aca="false">O_Fees*T44*LevOpex*$B$8*T41</f>
        <v>4814.11931729637</v>
      </c>
      <c r="U91" s="95" t="n">
        <f aca="false">O_Fees*U44*LevOpex*$B$8*U41</f>
        <v>4958.54289681526</v>
      </c>
      <c r="V91" s="95" t="n">
        <f aca="false">O_Fees*V44*LevOpex*$B$8*V41</f>
        <v>5107.29918371971</v>
      </c>
      <c r="W91" s="95" t="n">
        <f aca="false">O_Fees*W44*LevOpex*$B$8*W41</f>
        <v>5260.51815923131</v>
      </c>
    </row>
    <row r="92" customFormat="false" ht="15" hidden="false" customHeight="false" outlineLevel="0" collapsed="false">
      <c r="A92" s="11" t="s">
        <v>438</v>
      </c>
      <c r="B92" s="66" t="n">
        <f aca="false">SUM(C92:W92)</f>
        <v>107481.497955922</v>
      </c>
      <c r="C92" s="95" t="n">
        <v>0</v>
      </c>
      <c r="D92" s="95" t="n">
        <f aca="false">O_MRV*D44*LevOpex*$B$8*D41</f>
        <v>4000</v>
      </c>
      <c r="E92" s="95" t="n">
        <f aca="false">O_MRV*E44*LevOpex*$B$8*E41</f>
        <v>4120</v>
      </c>
      <c r="F92" s="95" t="n">
        <f aca="false">O_MRV*F44*LevOpex*$B$8*F41</f>
        <v>4243.6</v>
      </c>
      <c r="G92" s="95" t="n">
        <f aca="false">O_MRV*G44*LevOpex*$B$8*G41</f>
        <v>4370.908</v>
      </c>
      <c r="H92" s="95" t="n">
        <f aca="false">O_MRV*H44*LevOpex*$B$8*H41</f>
        <v>4502.03524</v>
      </c>
      <c r="I92" s="95" t="n">
        <f aca="false">O_MRV*I44*LevOpex*$B$8*I41</f>
        <v>4637.0962972</v>
      </c>
      <c r="J92" s="95" t="n">
        <f aca="false">O_MRV*J44*LevOpex*$B$8*J41</f>
        <v>4776.209186116</v>
      </c>
      <c r="K92" s="95" t="n">
        <f aca="false">O_MRV*K44*LevOpex*$B$8*K41</f>
        <v>4919.49546169948</v>
      </c>
      <c r="L92" s="95" t="n">
        <f aca="false">O_MRV*L44*LevOpex*$B$8*L41</f>
        <v>5067.08032555047</v>
      </c>
      <c r="M92" s="95" t="n">
        <f aca="false">O_MRV*M44*LevOpex*$B$8*M41</f>
        <v>5219.09273531698</v>
      </c>
      <c r="N92" s="95" t="n">
        <f aca="false">O_MRV*N44*LevOpex*$B$8*N41</f>
        <v>5375.66551737649</v>
      </c>
      <c r="O92" s="95" t="n">
        <f aca="false">O_MRV*O44*LevOpex*$B$8*O41</f>
        <v>5536.93548289778</v>
      </c>
      <c r="P92" s="95" t="n">
        <f aca="false">O_MRV*P44*LevOpex*$B$8*P41</f>
        <v>5703.04354738472</v>
      </c>
      <c r="Q92" s="95" t="n">
        <f aca="false">O_MRV*Q44*LevOpex*$B$8*Q41</f>
        <v>5874.13485380626</v>
      </c>
      <c r="R92" s="95" t="n">
        <f aca="false">O_MRV*R44*LevOpex*$B$8*R41</f>
        <v>6050.35889942045</v>
      </c>
      <c r="S92" s="95" t="n">
        <f aca="false">O_MRV*S44*LevOpex*$B$8*S41</f>
        <v>6231.86966640306</v>
      </c>
      <c r="T92" s="95" t="n">
        <f aca="false">O_MRV*T44*LevOpex*$B$8*T41</f>
        <v>6418.82575639515</v>
      </c>
      <c r="U92" s="95" t="n">
        <f aca="false">O_MRV*U44*LevOpex*$B$8*U41</f>
        <v>6611.39052908701</v>
      </c>
      <c r="V92" s="95" t="n">
        <f aca="false">O_MRV*V44*LevOpex*$B$8*V41</f>
        <v>6809.73224495962</v>
      </c>
      <c r="W92" s="95" t="n">
        <f aca="false">O_MRV*W44*LevOpex*$B$8*W41</f>
        <v>7014.02421230841</v>
      </c>
    </row>
    <row r="93" customFormat="false" ht="15" hidden="false" customHeight="false" outlineLevel="0" collapsed="false">
      <c r="A93" s="11" t="s">
        <v>439</v>
      </c>
      <c r="B93" s="66" t="n">
        <f aca="false">SUM(C93:W93)</f>
        <v>135007.186221415</v>
      </c>
      <c r="C93" s="95" t="n">
        <v>0</v>
      </c>
      <c r="D93" s="95" t="n">
        <f aca="false">D85*O_CustPct</f>
        <v>2415.52161792</v>
      </c>
      <c r="E93" s="95" t="n">
        <f aca="false">E85*O_CustPct</f>
        <v>3405.52916130605</v>
      </c>
      <c r="F93" s="95" t="n">
        <f aca="false">F85*O_CustPct</f>
        <v>4194.60089674069</v>
      </c>
      <c r="G93" s="95" t="n">
        <f aca="false">G85*O_CustPct</f>
        <v>4395.1505163522</v>
      </c>
      <c r="H93" s="95" t="n">
        <f aca="false">H85*O_CustPct</f>
        <v>4662.81518279805</v>
      </c>
      <c r="I93" s="95" t="n">
        <f aca="false">I85*O_CustPct</f>
        <v>4946.78062743045</v>
      </c>
      <c r="J93" s="95" t="n">
        <f aca="false">J85*O_CustPct</f>
        <v>5248.03956764096</v>
      </c>
      <c r="K93" s="95" t="n">
        <f aca="false">K85*O_CustPct</f>
        <v>5567.6451773103</v>
      </c>
      <c r="L93" s="95" t="n">
        <f aca="false">L85*O_CustPct</f>
        <v>5906.7147686085</v>
      </c>
      <c r="M93" s="95" t="n">
        <f aca="false">M85*O_CustPct</f>
        <v>6266.43369801675</v>
      </c>
      <c r="N93" s="95" t="n">
        <f aca="false">N85*O_CustPct</f>
        <v>6648.05951022597</v>
      </c>
      <c r="O93" s="95" t="n">
        <f aca="false">O85*O_CustPct</f>
        <v>7052.92633439874</v>
      </c>
      <c r="P93" s="95" t="n">
        <f aca="false">P85*O_CustPct</f>
        <v>7482.44954816362</v>
      </c>
      <c r="Q93" s="95" t="n">
        <f aca="false">Q85*O_CustPct</f>
        <v>7938.13072564678</v>
      </c>
      <c r="R93" s="95" t="n">
        <f aca="false">R85*O_CustPct</f>
        <v>8421.56288683868</v>
      </c>
      <c r="S93" s="95" t="n">
        <f aca="false">S85*O_CustPct</f>
        <v>8934.43606664715</v>
      </c>
      <c r="T93" s="95" t="n">
        <f aca="false">T85*O_CustPct</f>
        <v>9478.54322310596</v>
      </c>
      <c r="U93" s="95" t="n">
        <f aca="false">U85*O_CustPct</f>
        <v>10055.7865053931</v>
      </c>
      <c r="V93" s="95" t="n">
        <f aca="false">V85*O_CustPct</f>
        <v>10668.1839035716</v>
      </c>
      <c r="W93" s="95" t="n">
        <f aca="false">W85*O_CustPct</f>
        <v>11317.8763032991</v>
      </c>
    </row>
    <row r="94" customFormat="false" ht="15" hidden="false" customHeight="false" outlineLevel="0" collapsed="false">
      <c r="A94" s="11" t="s">
        <v>440</v>
      </c>
      <c r="B94" s="66" t="n">
        <f aca="false">SUM(C94:W94)</f>
        <v>117570.051282715</v>
      </c>
      <c r="C94" s="95" t="n">
        <v>0</v>
      </c>
      <c r="D94" s="95" t="n">
        <f aca="false">D72*O_DieselOM*D44*LevOpex*$B$8</f>
        <v>719.794472727272</v>
      </c>
      <c r="E94" s="95" t="n">
        <f aca="false">E72*O_DieselOM*E44*LevOpex*$B$8</f>
        <v>1081.80910449818</v>
      </c>
      <c r="F94" s="95" t="n">
        <f aca="false">F72*O_DieselOM*F44*LevOpex*$B$8</f>
        <v>1350.22503407308</v>
      </c>
      <c r="G94" s="95" t="n">
        <f aca="false">G72*O_DieselOM*G44*LevOpex*$B$8</f>
        <v>1432.45373864813</v>
      </c>
      <c r="H94" s="95" t="n">
        <f aca="false">H72*O_DieselOM*H44*LevOpex*$B$8</f>
        <v>1519.69017133181</v>
      </c>
      <c r="I94" s="95" t="n">
        <f aca="false">I72*O_DieselOM*I44*LevOpex*$B$8</f>
        <v>1612.23930276591</v>
      </c>
      <c r="J94" s="95" t="n">
        <f aca="false">J72*O_DieselOM*J44*LevOpex*$B$8</f>
        <v>1841.45816530084</v>
      </c>
      <c r="K94" s="95" t="n">
        <f aca="false">K72*O_DieselOM*K44*LevOpex*$B$8</f>
        <v>2503.82649651629</v>
      </c>
      <c r="L94" s="95" t="n">
        <f aca="false">L72*O_DieselOM*L44*LevOpex*$B$8</f>
        <v>3220.20611379713</v>
      </c>
      <c r="M94" s="95" t="n">
        <f aca="false">M72*O_DieselOM*M44*LevOpex*$B$8</f>
        <v>3994.2260798739</v>
      </c>
      <c r="N94" s="95" t="n">
        <f aca="false">N72*O_DieselOM*N44*LevOpex*$B$8</f>
        <v>4829.74491081635</v>
      </c>
      <c r="O94" s="95" t="n">
        <f aca="false">O72*O_DieselOM*O44*LevOpex*$B$8</f>
        <v>5730.86475956075</v>
      </c>
      <c r="P94" s="95" t="n">
        <f aca="false">P72*O_DieselOM*P44*LevOpex*$B$8</f>
        <v>6701.94646842802</v>
      </c>
      <c r="Q94" s="95" t="n">
        <f aca="false">Q72*O_DieselOM*Q44*LevOpex*$B$8</f>
        <v>7747.62554368381</v>
      </c>
      <c r="R94" s="95" t="n">
        <f aca="false">R72*O_DieselOM*R44*LevOpex*$B$8</f>
        <v>8872.82910842559</v>
      </c>
      <c r="S94" s="95" t="n">
        <f aca="false">S72*O_DieselOM*S44*LevOpex*$B$8</f>
        <v>10082.7938935131</v>
      </c>
      <c r="T94" s="95" t="n">
        <f aca="false">T72*O_DieselOM*T44*LevOpex*$B$8</f>
        <v>11383.0853298981</v>
      </c>
      <c r="U94" s="95" t="n">
        <f aca="false">U72*O_DieselOM*U44*LevOpex*$B$8</f>
        <v>12779.6178095725</v>
      </c>
      <c r="V94" s="95" t="n">
        <f aca="false">V72*O_DieselOM*V44*LevOpex*$B$8</f>
        <v>14278.6761864487</v>
      </c>
      <c r="W94" s="95" t="n">
        <f aca="false">W72*O_DieselOM*W44*LevOpex*$B$8</f>
        <v>15886.9385928357</v>
      </c>
    </row>
    <row r="95" customFormat="false" ht="15" hidden="false" customHeight="false" outlineLevel="0" collapsed="false">
      <c r="A95" s="11" t="s">
        <v>441</v>
      </c>
      <c r="B95" s="66" t="n">
        <f aca="false">SUM(C95:W95)</f>
        <v>1567600.68376954</v>
      </c>
      <c r="C95" s="95" t="n">
        <v>0</v>
      </c>
      <c r="D95" s="95" t="n">
        <f aca="false">D74*FuelPrice*LevFuel*$B$10*D44</f>
        <v>9597.25963636363</v>
      </c>
      <c r="E95" s="95" t="n">
        <f aca="false">E74*FuelPrice*LevFuel*$B$10*E44</f>
        <v>14424.1213933091</v>
      </c>
      <c r="F95" s="95" t="n">
        <f aca="false">F74*FuelPrice*LevFuel*$B$10*F44</f>
        <v>18003.0004543078</v>
      </c>
      <c r="G95" s="95" t="n">
        <f aca="false">G74*FuelPrice*LevFuel*$B$10*G44</f>
        <v>19099.3831819751</v>
      </c>
      <c r="H95" s="95" t="n">
        <f aca="false">H74*FuelPrice*LevFuel*$B$10*H44</f>
        <v>20262.5356177574</v>
      </c>
      <c r="I95" s="95" t="n">
        <f aca="false">I74*FuelPrice*LevFuel*$B$10*I44</f>
        <v>21496.5240368788</v>
      </c>
      <c r="J95" s="95" t="n">
        <f aca="false">J74*FuelPrice*LevFuel*$B$10*J44</f>
        <v>24552.7755373446</v>
      </c>
      <c r="K95" s="95" t="n">
        <f aca="false">K74*FuelPrice*LevFuel*$B$10*K44</f>
        <v>33384.3532868839</v>
      </c>
      <c r="L95" s="95" t="n">
        <f aca="false">L74*FuelPrice*LevFuel*$B$10*L44</f>
        <v>42936.0815172951</v>
      </c>
      <c r="M95" s="95" t="n">
        <f aca="false">M74*FuelPrice*LevFuel*$B$10*M44</f>
        <v>53256.3477316521</v>
      </c>
      <c r="N95" s="95" t="n">
        <f aca="false">N74*FuelPrice*LevFuel*$B$10*N44</f>
        <v>64396.5988108847</v>
      </c>
      <c r="O95" s="95" t="n">
        <f aca="false">O74*FuelPrice*LevFuel*$B$10*O44</f>
        <v>76411.5301274767</v>
      </c>
      <c r="P95" s="95" t="n">
        <f aca="false">P74*FuelPrice*LevFuel*$B$10*P44</f>
        <v>89359.2862457069</v>
      </c>
      <c r="Q95" s="95" t="n">
        <f aca="false">Q74*FuelPrice*LevFuel*$B$10*Q44</f>
        <v>103301.673915784</v>
      </c>
      <c r="R95" s="95" t="n">
        <f aca="false">R74*FuelPrice*LevFuel*$B$10*R44</f>
        <v>118304.388112341</v>
      </c>
      <c r="S95" s="95" t="n">
        <f aca="false">S74*FuelPrice*LevFuel*$B$10*S44</f>
        <v>134437.251913507</v>
      </c>
      <c r="T95" s="95" t="n">
        <f aca="false">T74*FuelPrice*LevFuel*$B$10*T44</f>
        <v>151774.471065308</v>
      </c>
      <c r="U95" s="95" t="n">
        <f aca="false">U74*FuelPrice*LevFuel*$B$10*U44</f>
        <v>170394.904127634</v>
      </c>
      <c r="V95" s="95" t="n">
        <f aca="false">V74*FuelPrice*LevFuel*$B$10*V44</f>
        <v>190382.34915265</v>
      </c>
      <c r="W95" s="95" t="n">
        <f aca="false">W74*FuelPrice*LevFuel*$B$10*W44</f>
        <v>211825.847904476</v>
      </c>
    </row>
    <row r="96" customFormat="false" ht="15" hidden="false" customHeight="false" outlineLevel="0" collapsed="false">
      <c r="A96" s="16" t="s">
        <v>442</v>
      </c>
      <c r="B96" s="66" t="n">
        <f aca="false">SUM(C96:W96)</f>
        <v>3327350.66196975</v>
      </c>
      <c r="C96" s="31" t="n">
        <f aca="false">C88+C89+C90+C91+C92+C93+C94+C95</f>
        <v>0</v>
      </c>
      <c r="D96" s="31" t="n">
        <f aca="false">D88+D89+D90+D91+D92+D93+D94+D95</f>
        <v>68823.0757427133</v>
      </c>
      <c r="E96" s="31" t="n">
        <f aca="false">E88+E89+E90+E91+E92+E93+E94+E95</f>
        <v>76684.6746752868</v>
      </c>
      <c r="F96" s="31" t="n">
        <f aca="false">F88+F89+F90+F91+F92+F93+F94+F95</f>
        <v>83054.2378517802</v>
      </c>
      <c r="G96" s="31" t="n">
        <f aca="false">G88+G89+G90+G91+G92+G93+G94+G95</f>
        <v>86218.5912476339</v>
      </c>
      <c r="H96" s="31" t="n">
        <f aca="false">H88+H89+H90+H91+H92+H93+H94+H95</f>
        <v>89575.3928968655</v>
      </c>
      <c r="I96" s="31" t="n">
        <f aca="false">I88+I89+I90+I91+I92+I93+I94+I95</f>
        <v>93079.8064498027</v>
      </c>
      <c r="J96" s="31" t="n">
        <f aca="false">J88+J89+J90+J91+J92+J93+J94+J95</f>
        <v>98617.2636274957</v>
      </c>
      <c r="K96" s="31" t="n">
        <f aca="false">K88+K89+K90+K91+K92+K93+K94+K95</f>
        <v>110440.065028636</v>
      </c>
      <c r="L96" s="31" t="n">
        <f aca="false">L88+L89+L90+L91+L92+L93+L94+L95</f>
        <v>123116.769669664</v>
      </c>
      <c r="M96" s="31" t="n">
        <f aca="false">M88+M89+M90+M91+M92+M93+M94+M95</f>
        <v>136702.387797605</v>
      </c>
      <c r="N96" s="31" t="n">
        <f aca="false">N88+N89+N90+N91+N92+N93+N94+N95</f>
        <v>151255.344928631</v>
      </c>
      <c r="O96" s="31" t="n">
        <f aca="false">O88+O89+O90+O91+O92+O93+O94+O95</f>
        <v>166837.691169041</v>
      </c>
      <c r="P96" s="31" t="n">
        <f aca="false">P88+P89+P90+P91+P92+P93+P94+P95</f>
        <v>183515.323308332</v>
      </c>
      <c r="Q96" s="31" t="n">
        <f aca="false">Q88+Q89+Q90+Q91+Q92+Q93+Q94+Q95</f>
        <v>201358.220462529</v>
      </c>
      <c r="R96" s="31" t="n">
        <f aca="false">R88+R89+R90+R91+R92+R93+R94+R95</f>
        <v>220440.694093342</v>
      </c>
      <c r="S96" s="31" t="n">
        <f aca="false">S88+S89+S90+S91+S92+S93+S94+S95</f>
        <v>240841.653278977</v>
      </c>
      <c r="T96" s="31" t="n">
        <f aca="false">T88+T89+T90+T91+T92+T93+T94+T95</f>
        <v>262644.886165781</v>
      </c>
      <c r="U96" s="31" t="n">
        <f aca="false">U88+U89+U90+U91+U92+U93+U94+U95</f>
        <v>285939.358586492</v>
      </c>
      <c r="V96" s="31" t="n">
        <f aca="false">V88+V89+V90+V91+V92+V93+V94+V95</f>
        <v>310819.530890879</v>
      </c>
      <c r="W96" s="31" t="n">
        <f aca="false">W88+W89+W90+W91+W92+W93+W94+W95</f>
        <v>337385.694098266</v>
      </c>
    </row>
    <row r="98" customFormat="false" ht="15" hidden="false" customHeight="false" outlineLevel="0" collapsed="false">
      <c r="A98" s="16" t="s">
        <v>443</v>
      </c>
      <c r="B98" s="66" t="n">
        <f aca="false">SUM(C98:W98)</f>
        <v>1172888.87874407</v>
      </c>
      <c r="C98" s="31" t="n">
        <f aca="false">C85-C96</f>
        <v>0</v>
      </c>
      <c r="D98" s="31" t="n">
        <f aca="false">D85-D96</f>
        <v>11694.3115212867</v>
      </c>
      <c r="E98" s="31" t="n">
        <f aca="false">E85-E96</f>
        <v>36832.9640349148</v>
      </c>
      <c r="F98" s="31" t="n">
        <f aca="false">F85-F96</f>
        <v>56765.7920395761</v>
      </c>
      <c r="G98" s="31" t="n">
        <f aca="false">G85-G96</f>
        <v>60286.425964106</v>
      </c>
      <c r="H98" s="31" t="n">
        <f aca="false">H85-H96</f>
        <v>65851.7798630695</v>
      </c>
      <c r="I98" s="31" t="n">
        <f aca="false">I85-I96</f>
        <v>71812.8811312122</v>
      </c>
      <c r="J98" s="31" t="n">
        <f aca="false">J85-J96</f>
        <v>76317.3886272031</v>
      </c>
      <c r="K98" s="31" t="n">
        <f aca="false">K85-K96</f>
        <v>75148.1075483738</v>
      </c>
      <c r="L98" s="31" t="n">
        <f aca="false">L85-L96</f>
        <v>73773.7226172858</v>
      </c>
      <c r="M98" s="31" t="n">
        <f aca="false">M85-M96</f>
        <v>72178.7354696201</v>
      </c>
      <c r="N98" s="31" t="n">
        <f aca="false">N85-N96</f>
        <v>70346.6387455679</v>
      </c>
      <c r="O98" s="31" t="n">
        <f aca="false">O85-O96</f>
        <v>68259.8533109164</v>
      </c>
      <c r="P98" s="31" t="n">
        <f aca="false">P85-P96</f>
        <v>65899.6616304553</v>
      </c>
      <c r="Q98" s="31" t="n">
        <f aca="false">Q85-Q96</f>
        <v>63246.1370590302</v>
      </c>
      <c r="R98" s="31" t="n">
        <f aca="false">R85-R96</f>
        <v>60278.0688012801</v>
      </c>
      <c r="S98" s="31" t="n">
        <f aca="false">S85-S96</f>
        <v>56972.8822759284</v>
      </c>
      <c r="T98" s="31" t="n">
        <f aca="false">T85-T96</f>
        <v>53306.5546044182</v>
      </c>
      <c r="U98" s="31" t="n">
        <f aca="false">U85-U96</f>
        <v>49253.5249266123</v>
      </c>
      <c r="V98" s="31" t="n">
        <f aca="false">V85-V96</f>
        <v>44786.599228173</v>
      </c>
      <c r="W98" s="31" t="n">
        <f aca="false">W85-W96</f>
        <v>39876.8493450363</v>
      </c>
    </row>
    <row r="99" customFormat="false" ht="15" hidden="false" customHeight="false" outlineLevel="0" collapsed="false">
      <c r="A99" s="11" t="s">
        <v>444</v>
      </c>
      <c r="C99" s="91" t="n">
        <v>0</v>
      </c>
      <c r="D99" s="91" t="n">
        <f aca="false">IFERROR(D98/D85,0)</f>
        <v>0.145239580153582</v>
      </c>
      <c r="E99" s="91" t="n">
        <f aca="false">IFERROR(E98/E85,0)</f>
        <v>0.32446908210402</v>
      </c>
      <c r="F99" s="91" t="n">
        <f aca="false">IFERROR(F98/F85,0)</f>
        <v>0.405991845972888</v>
      </c>
      <c r="G99" s="91" t="n">
        <f aca="false">IFERROR(G98/G85,0)</f>
        <v>0.411497347404667</v>
      </c>
      <c r="H99" s="91" t="n">
        <f aca="false">IFERROR(H98/H85,0)</f>
        <v>0.423682543365701</v>
      </c>
      <c r="I99" s="91" t="n">
        <f aca="false">IFERROR(I98/I85,0)</f>
        <v>0.435512830706511</v>
      </c>
      <c r="J99" s="91" t="n">
        <f aca="false">IFERROR(J98/J85,0)</f>
        <v>0.436262270759755</v>
      </c>
      <c r="K99" s="91" t="n">
        <f aca="false">IFERROR(K98/K85,0)</f>
        <v>0.404918624419296</v>
      </c>
      <c r="L99" s="91" t="n">
        <f aca="false">IFERROR(L98/L85,0)</f>
        <v>0.37469418538386</v>
      </c>
      <c r="M99" s="91" t="n">
        <f aca="false">IFERROR(M98/M85,0)</f>
        <v>0.345549345678693</v>
      </c>
      <c r="N99" s="91" t="n">
        <f aca="false">IFERROR(N98/N85,0)</f>
        <v>0.317445889153195</v>
      </c>
      <c r="O99" s="91" t="n">
        <f aca="false">IFERROR(O98/O85,0)</f>
        <v>0.290346942848378</v>
      </c>
      <c r="P99" s="91" t="n">
        <f aca="false">IFERROR(P98/P85,0)</f>
        <v>0.264216930055861</v>
      </c>
      <c r="Q99" s="91" t="n">
        <f aca="false">IFERROR(Q98/Q85,0)</f>
        <v>0.239021525009757</v>
      </c>
      <c r="R99" s="91" t="n">
        <f aca="false">IFERROR(R98/R85,0)</f>
        <v>0.214727609154888</v>
      </c>
      <c r="S99" s="91" t="n">
        <f aca="false">IFERROR(S98/S85,0)</f>
        <v>0.191303228936671</v>
      </c>
      <c r="T99" s="91" t="n">
        <f aca="false">IFERROR(T98/T85,0)</f>
        <v>0.168717555059955</v>
      </c>
      <c r="U99" s="91" t="n">
        <f aca="false">IFERROR(U98/U85,0)</f>
        <v>0.146940843165863</v>
      </c>
      <c r="V99" s="91" t="n">
        <f aca="false">IFERROR(V98/V85,0)</f>
        <v>0.125944395877481</v>
      </c>
      <c r="W99" s="91" t="n">
        <f aca="false">IFERROR(W98/W85,0)</f>
        <v>0.105700526166943</v>
      </c>
    </row>
    <row r="101" customFormat="false" ht="15" hidden="false" customHeight="false" outlineLevel="0" collapsed="false">
      <c r="A101" s="9" t="s">
        <v>445</v>
      </c>
      <c r="B101" s="10"/>
      <c r="C101" s="10"/>
      <c r="D101" s="10"/>
      <c r="E101" s="10"/>
      <c r="F101" s="10"/>
      <c r="G101" s="10"/>
      <c r="H101" s="10"/>
      <c r="I101" s="10"/>
      <c r="J101" s="10"/>
      <c r="K101" s="10"/>
      <c r="L101" s="10"/>
      <c r="M101" s="10"/>
      <c r="N101" s="10"/>
      <c r="O101" s="10"/>
      <c r="P101" s="10"/>
      <c r="Q101" s="10"/>
      <c r="R101" s="10"/>
      <c r="S101" s="10"/>
      <c r="T101" s="10"/>
      <c r="U101" s="10"/>
      <c r="V101" s="10"/>
      <c r="W101" s="10"/>
    </row>
    <row r="102" customFormat="false" ht="15" hidden="false" customHeight="false" outlineLevel="0" collapsed="false">
      <c r="A102" s="11" t="s">
        <v>446</v>
      </c>
      <c r="B102" s="66" t="n">
        <f aca="false">C102+NPV(Hurdle,D102:W102)</f>
        <v>1162734.14692871</v>
      </c>
      <c r="C102" s="95" t="n">
        <f aca="false">'Cash Flow'!$B$14</f>
        <v>1162734.14692871</v>
      </c>
      <c r="D102" s="95" t="n">
        <f aca="false">0</f>
        <v>0</v>
      </c>
      <c r="E102" s="95" t="n">
        <f aca="false">0</f>
        <v>0</v>
      </c>
      <c r="F102" s="95" t="n">
        <f aca="false">0</f>
        <v>0</v>
      </c>
      <c r="G102" s="95" t="n">
        <f aca="false">0</f>
        <v>0</v>
      </c>
      <c r="H102" s="95" t="n">
        <f aca="false">0</f>
        <v>0</v>
      </c>
      <c r="I102" s="95" t="n">
        <f aca="false">0</f>
        <v>0</v>
      </c>
      <c r="J102" s="95" t="n">
        <f aca="false">0</f>
        <v>0</v>
      </c>
      <c r="K102" s="95" t="n">
        <f aca="false">0</f>
        <v>0</v>
      </c>
      <c r="L102" s="95" t="n">
        <f aca="false">0</f>
        <v>0</v>
      </c>
      <c r="M102" s="95" t="n">
        <f aca="false">0</f>
        <v>0</v>
      </c>
      <c r="N102" s="95" t="n">
        <f aca="false">0</f>
        <v>0</v>
      </c>
      <c r="O102" s="95" t="n">
        <f aca="false">0</f>
        <v>0</v>
      </c>
      <c r="P102" s="95" t="n">
        <f aca="false">0</f>
        <v>0</v>
      </c>
      <c r="Q102" s="95" t="n">
        <f aca="false">0</f>
        <v>0</v>
      </c>
      <c r="R102" s="95" t="n">
        <f aca="false">0</f>
        <v>0</v>
      </c>
      <c r="S102" s="95" t="n">
        <f aca="false">0</f>
        <v>0</v>
      </c>
      <c r="T102" s="95" t="n">
        <f aca="false">0</f>
        <v>0</v>
      </c>
      <c r="U102" s="95" t="n">
        <f aca="false">0</f>
        <v>0</v>
      </c>
      <c r="V102" s="95" t="n">
        <f aca="false">0</f>
        <v>0</v>
      </c>
      <c r="W102" s="95" t="n">
        <f aca="false">0</f>
        <v>0</v>
      </c>
    </row>
    <row r="103" customFormat="false" ht="15" hidden="false" customHeight="false" outlineLevel="0" collapsed="false">
      <c r="A103" s="11" t="s">
        <v>447</v>
      </c>
      <c r="B103" s="66" t="n">
        <f aca="false">C103+NPV(Hurdle,D103:W103)</f>
        <v>123132.446168426</v>
      </c>
      <c r="C103" s="95" t="n">
        <v>0</v>
      </c>
      <c r="D103" s="95" t="n">
        <f aca="false">IF(AND(D41=1,MOD(D39,BattLife)=0,D39&lt;Life),BESS_kWh*C_BattRepl*LevCapex*$B$7*D44,0)</f>
        <v>0</v>
      </c>
      <c r="E103" s="95" t="n">
        <f aca="false">IF(AND(E41=1,MOD(E39,BattLife)=0,E39&lt;Life),BESS_kWh*C_BattRepl*LevCapex*$B$7*E44,0)</f>
        <v>0</v>
      </c>
      <c r="F103" s="95" t="n">
        <f aca="false">IF(AND(F41=1,MOD(F39,BattLife)=0,F39&lt;Life),BESS_kWh*C_BattRepl*LevCapex*$B$7*F44,0)</f>
        <v>0</v>
      </c>
      <c r="G103" s="95" t="n">
        <f aca="false">IF(AND(G41=1,MOD(G39,BattLife)=0,G39&lt;Life),BESS_kWh*C_BattRepl*LevCapex*$B$7*G44,0)</f>
        <v>0</v>
      </c>
      <c r="H103" s="95" t="n">
        <f aca="false">IF(AND(H41=1,MOD(H39,BattLife)=0,H39&lt;Life),BESS_kWh*C_BattRepl*LevCapex*$B$7*H44,0)</f>
        <v>0</v>
      </c>
      <c r="I103" s="95" t="n">
        <f aca="false">IF(AND(I41=1,MOD(I39,BattLife)=0,I39&lt;Life),BESS_kWh*C_BattRepl*LevCapex*$B$7*I44,0)</f>
        <v>0</v>
      </c>
      <c r="J103" s="95" t="n">
        <f aca="false">IF(AND(J41=1,MOD(J39,BattLife)=0,J39&lt;Life),BESS_kWh*C_BattRepl*LevCapex*$B$7*J44,0)</f>
        <v>0</v>
      </c>
      <c r="K103" s="95" t="n">
        <f aca="false">IF(AND(K41=1,MOD(K39,BattLife)=0,K39&lt;Life),BESS_kWh*C_BattRepl*LevCapex*$B$7*K44,0)</f>
        <v>165903.437704701</v>
      </c>
      <c r="L103" s="95" t="n">
        <f aca="false">IF(AND(L41=1,MOD(L39,BattLife)=0,L39&lt;Life),BESS_kWh*C_BattRepl*LevCapex*$B$7*L44,0)</f>
        <v>0</v>
      </c>
      <c r="M103" s="95" t="n">
        <f aca="false">IF(AND(M41=1,MOD(M39,BattLife)=0,M39&lt;Life),BESS_kWh*C_BattRepl*LevCapex*$B$7*M44,0)</f>
        <v>0</v>
      </c>
      <c r="N103" s="95" t="n">
        <f aca="false">IF(AND(N41=1,MOD(N39,BattLife)=0,N39&lt;Life),BESS_kWh*C_BattRepl*LevCapex*$B$7*N44,0)</f>
        <v>0</v>
      </c>
      <c r="O103" s="95" t="n">
        <f aca="false">IF(AND(O41=1,MOD(O39,BattLife)=0,O39&lt;Life),BESS_kWh*C_BattRepl*LevCapex*$B$7*O44,0)</f>
        <v>0</v>
      </c>
      <c r="P103" s="95" t="n">
        <f aca="false">IF(AND(P41=1,MOD(P39,BattLife)=0,P39&lt;Life),BESS_kWh*C_BattRepl*LevCapex*$B$7*P44,0)</f>
        <v>0</v>
      </c>
      <c r="Q103" s="95" t="n">
        <f aca="false">IF(AND(Q41=1,MOD(Q39,BattLife)=0,Q39&lt;Life),BESS_kWh*C_BattRepl*LevCapex*$B$7*Q44,0)</f>
        <v>0</v>
      </c>
      <c r="R103" s="95" t="n">
        <f aca="false">IF(AND(R41=1,MOD(R39,BattLife)=0,R39&lt;Life),BESS_kWh*C_BattRepl*LevCapex*$B$7*R44,0)</f>
        <v>0</v>
      </c>
      <c r="S103" s="95" t="n">
        <f aca="false">IF(AND(S41=1,MOD(S39,BattLife)=0,S39&lt;Life),BESS_kWh*C_BattRepl*LevCapex*$B$7*S44,0)</f>
        <v>210161.51128367</v>
      </c>
      <c r="T103" s="95" t="n">
        <f aca="false">IF(AND(T41=1,MOD(T39,BattLife)=0,T39&lt;Life),BESS_kWh*C_BattRepl*LevCapex*$B$7*T44,0)</f>
        <v>0</v>
      </c>
      <c r="U103" s="95" t="n">
        <f aca="false">IF(AND(U41=1,MOD(U39,BattLife)=0,U39&lt;Life),BESS_kWh*C_BattRepl*LevCapex*$B$7*U44,0)</f>
        <v>0</v>
      </c>
      <c r="V103" s="95" t="n">
        <f aca="false">IF(AND(V41=1,MOD(V39,BattLife)=0,V39&lt;Life),BESS_kWh*C_BattRepl*LevCapex*$B$7*V44,0)</f>
        <v>0</v>
      </c>
      <c r="W103" s="95" t="n">
        <f aca="false">IF(AND(W41=1,MOD(W39,BattLife)=0,W39&lt;Life),BESS_kWh*C_BattRepl*LevCapex*$B$7*W44,0)</f>
        <v>0</v>
      </c>
    </row>
    <row r="104" customFormat="false" ht="15" hidden="false" customHeight="false" outlineLevel="0" collapsed="false">
      <c r="A104" s="11" t="s">
        <v>448</v>
      </c>
      <c r="B104" s="66" t="n">
        <f aca="false">SUM(C104:W104)</f>
        <v>376064.948988371</v>
      </c>
      <c r="C104" s="95" t="n">
        <v>0</v>
      </c>
      <c r="D104" s="95" t="n">
        <f aca="false">IF(AND(UseMRA=1,D41=1,CEILING(D39,BattLife)&lt;Life),BESS_kWh*C_BattRepl*LevCapex*$B$7*(1+CostEsc)^(CEILING(D39,BattLife)-1)/BattLife,0)</f>
        <v>20737.9297130877</v>
      </c>
      <c r="E104" s="95" t="n">
        <f aca="false">IF(AND(UseMRA=1,E41=1,CEILING(E39,BattLife)&lt;Life),BESS_kWh*C_BattRepl*LevCapex*$B$7*(1+CostEsc)^(CEILING(E39,BattLife)-1)/BattLife,0)</f>
        <v>20737.9297130877</v>
      </c>
      <c r="F104" s="95" t="n">
        <f aca="false">IF(AND(UseMRA=1,F41=1,CEILING(F39,BattLife)&lt;Life),BESS_kWh*C_BattRepl*LevCapex*$B$7*(1+CostEsc)^(CEILING(F39,BattLife)-1)/BattLife,0)</f>
        <v>20737.9297130877</v>
      </c>
      <c r="G104" s="95" t="n">
        <f aca="false">IF(AND(UseMRA=1,G41=1,CEILING(G39,BattLife)&lt;Life),BESS_kWh*C_BattRepl*LevCapex*$B$7*(1+CostEsc)^(CEILING(G39,BattLife)-1)/BattLife,0)</f>
        <v>20737.9297130877</v>
      </c>
      <c r="H104" s="95" t="n">
        <f aca="false">IF(AND(UseMRA=1,H41=1,CEILING(H39,BattLife)&lt;Life),BESS_kWh*C_BattRepl*LevCapex*$B$7*(1+CostEsc)^(CEILING(H39,BattLife)-1)/BattLife,0)</f>
        <v>20737.9297130877</v>
      </c>
      <c r="I104" s="95" t="n">
        <f aca="false">IF(AND(UseMRA=1,I41=1,CEILING(I39,BattLife)&lt;Life),BESS_kWh*C_BattRepl*LevCapex*$B$7*(1+CostEsc)^(CEILING(I39,BattLife)-1)/BattLife,0)</f>
        <v>20737.9297130877</v>
      </c>
      <c r="J104" s="95" t="n">
        <f aca="false">IF(AND(UseMRA=1,J41=1,CEILING(J39,BattLife)&lt;Life),BESS_kWh*C_BattRepl*LevCapex*$B$7*(1+CostEsc)^(CEILING(J39,BattLife)-1)/BattLife,0)</f>
        <v>20737.9297130877</v>
      </c>
      <c r="K104" s="95" t="n">
        <f aca="false">IF(AND(UseMRA=1,K41=1,CEILING(K39,BattLife)&lt;Life),BESS_kWh*C_BattRepl*LevCapex*$B$7*(1+CostEsc)^(CEILING(K39,BattLife)-1)/BattLife,0)</f>
        <v>20737.9297130877</v>
      </c>
      <c r="L104" s="95" t="n">
        <f aca="false">IF(AND(UseMRA=1,L41=1,CEILING(L39,BattLife)&lt;Life),BESS_kWh*C_BattRepl*LevCapex*$B$7*(1+CostEsc)^(CEILING(L39,BattLife)-1)/BattLife,0)</f>
        <v>26270.1889104587</v>
      </c>
      <c r="M104" s="95" t="n">
        <f aca="false">IF(AND(UseMRA=1,M41=1,CEILING(M39,BattLife)&lt;Life),BESS_kWh*C_BattRepl*LevCapex*$B$7*(1+CostEsc)^(CEILING(M39,BattLife)-1)/BattLife,0)</f>
        <v>26270.1889104587</v>
      </c>
      <c r="N104" s="95" t="n">
        <f aca="false">IF(AND(UseMRA=1,N41=1,CEILING(N39,BattLife)&lt;Life),BESS_kWh*C_BattRepl*LevCapex*$B$7*(1+CostEsc)^(CEILING(N39,BattLife)-1)/BattLife,0)</f>
        <v>26270.1889104587</v>
      </c>
      <c r="O104" s="95" t="n">
        <f aca="false">IF(AND(UseMRA=1,O41=1,CEILING(O39,BattLife)&lt;Life),BESS_kWh*C_BattRepl*LevCapex*$B$7*(1+CostEsc)^(CEILING(O39,BattLife)-1)/BattLife,0)</f>
        <v>26270.1889104587</v>
      </c>
      <c r="P104" s="95" t="n">
        <f aca="false">IF(AND(UseMRA=1,P41=1,CEILING(P39,BattLife)&lt;Life),BESS_kWh*C_BattRepl*LevCapex*$B$7*(1+CostEsc)^(CEILING(P39,BattLife)-1)/BattLife,0)</f>
        <v>26270.1889104587</v>
      </c>
      <c r="Q104" s="95" t="n">
        <f aca="false">IF(AND(UseMRA=1,Q41=1,CEILING(Q39,BattLife)&lt;Life),BESS_kWh*C_BattRepl*LevCapex*$B$7*(1+CostEsc)^(CEILING(Q39,BattLife)-1)/BattLife,0)</f>
        <v>26270.1889104587</v>
      </c>
      <c r="R104" s="95" t="n">
        <f aca="false">IF(AND(UseMRA=1,R41=1,CEILING(R39,BattLife)&lt;Life),BESS_kWh*C_BattRepl*LevCapex*$B$7*(1+CostEsc)^(CEILING(R39,BattLife)-1)/BattLife,0)</f>
        <v>26270.1889104587</v>
      </c>
      <c r="S104" s="95" t="n">
        <f aca="false">IF(AND(UseMRA=1,S41=1,CEILING(S39,BattLife)&lt;Life),BESS_kWh*C_BattRepl*LevCapex*$B$7*(1+CostEsc)^(CEILING(S39,BattLife)-1)/BattLife,0)</f>
        <v>26270.1889104587</v>
      </c>
      <c r="T104" s="95" t="n">
        <f aca="false">IF(AND(UseMRA=1,T41=1,CEILING(T39,BattLife)&lt;Life),BESS_kWh*C_BattRepl*LevCapex*$B$7*(1+CostEsc)^(CEILING(T39,BattLife)-1)/BattLife,0)</f>
        <v>0</v>
      </c>
      <c r="U104" s="95" t="n">
        <f aca="false">IF(AND(UseMRA=1,U41=1,CEILING(U39,BattLife)&lt;Life),BESS_kWh*C_BattRepl*LevCapex*$B$7*(1+CostEsc)^(CEILING(U39,BattLife)-1)/BattLife,0)</f>
        <v>0</v>
      </c>
      <c r="V104" s="95" t="n">
        <f aca="false">IF(AND(UseMRA=1,V41=1,CEILING(V39,BattLife)&lt;Life),BESS_kWh*C_BattRepl*LevCapex*$B$7*(1+CostEsc)^(CEILING(V39,BattLife)-1)/BattLife,0)</f>
        <v>0</v>
      </c>
      <c r="W104" s="95" t="n">
        <f aca="false">IF(AND(UseMRA=1,W41=1,CEILING(W39,BattLife)&lt;Life),BESS_kWh*C_BattRepl*LevCapex*$B$7*(1+CostEsc)^(CEILING(W39,BattLife)-1)/BattLife,0)</f>
        <v>0</v>
      </c>
    </row>
    <row r="105" customFormat="false" ht="15" hidden="false" customHeight="false" outlineLevel="0" collapsed="false">
      <c r="A105" s="11" t="s">
        <v>449</v>
      </c>
      <c r="B105" s="66" t="n">
        <f aca="false">SUM(C105:W105)</f>
        <v>376064.948988371</v>
      </c>
      <c r="C105" s="95" t="n">
        <v>0</v>
      </c>
      <c r="D105" s="95" t="n">
        <f aca="false">IF(UseMRA=1,D104,D103)</f>
        <v>20737.9297130877</v>
      </c>
      <c r="E105" s="95" t="n">
        <f aca="false">IF(UseMRA=1,E104,E103)</f>
        <v>20737.9297130877</v>
      </c>
      <c r="F105" s="95" t="n">
        <f aca="false">IF(UseMRA=1,F104,F103)</f>
        <v>20737.9297130877</v>
      </c>
      <c r="G105" s="95" t="n">
        <f aca="false">IF(UseMRA=1,G104,G103)</f>
        <v>20737.9297130877</v>
      </c>
      <c r="H105" s="95" t="n">
        <f aca="false">IF(UseMRA=1,H104,H103)</f>
        <v>20737.9297130877</v>
      </c>
      <c r="I105" s="95" t="n">
        <f aca="false">IF(UseMRA=1,I104,I103)</f>
        <v>20737.9297130877</v>
      </c>
      <c r="J105" s="95" t="n">
        <f aca="false">IF(UseMRA=1,J104,J103)</f>
        <v>20737.9297130877</v>
      </c>
      <c r="K105" s="95" t="n">
        <f aca="false">IF(UseMRA=1,K104,K103)</f>
        <v>20737.9297130877</v>
      </c>
      <c r="L105" s="95" t="n">
        <f aca="false">IF(UseMRA=1,L104,L103)</f>
        <v>26270.1889104587</v>
      </c>
      <c r="M105" s="95" t="n">
        <f aca="false">IF(UseMRA=1,M104,M103)</f>
        <v>26270.1889104587</v>
      </c>
      <c r="N105" s="95" t="n">
        <f aca="false">IF(UseMRA=1,N104,N103)</f>
        <v>26270.1889104587</v>
      </c>
      <c r="O105" s="95" t="n">
        <f aca="false">IF(UseMRA=1,O104,O103)</f>
        <v>26270.1889104587</v>
      </c>
      <c r="P105" s="95" t="n">
        <f aca="false">IF(UseMRA=1,P104,P103)</f>
        <v>26270.1889104587</v>
      </c>
      <c r="Q105" s="95" t="n">
        <f aca="false">IF(UseMRA=1,Q104,Q103)</f>
        <v>26270.1889104587</v>
      </c>
      <c r="R105" s="95" t="n">
        <f aca="false">IF(UseMRA=1,R104,R103)</f>
        <v>26270.1889104587</v>
      </c>
      <c r="S105" s="95" t="n">
        <f aca="false">IF(UseMRA=1,S104,S103)</f>
        <v>26270.1889104587</v>
      </c>
      <c r="T105" s="95" t="n">
        <f aca="false">IF(UseMRA=1,T104,T103)</f>
        <v>0</v>
      </c>
      <c r="U105" s="95" t="n">
        <f aca="false">IF(UseMRA=1,U104,U103)</f>
        <v>0</v>
      </c>
      <c r="V105" s="95" t="n">
        <f aca="false">IF(UseMRA=1,V104,V103)</f>
        <v>0</v>
      </c>
      <c r="W105" s="95" t="n">
        <f aca="false">IF(UseMRA=1,W104,W103)</f>
        <v>0</v>
      </c>
    </row>
    <row r="106" customFormat="false" ht="15" hidden="false" customHeight="false" outlineLevel="0" collapsed="false">
      <c r="A106" s="11" t="s">
        <v>175</v>
      </c>
      <c r="B106" s="66" t="n">
        <f aca="false">SUM(C106:W106)</f>
        <v>600000</v>
      </c>
      <c r="C106" s="95" t="n">
        <f aca="false">Grant</f>
        <v>600000</v>
      </c>
      <c r="D106" s="95" t="n">
        <f aca="false">0</f>
        <v>0</v>
      </c>
      <c r="E106" s="95" t="n">
        <f aca="false">0</f>
        <v>0</v>
      </c>
      <c r="F106" s="95" t="n">
        <f aca="false">0</f>
        <v>0</v>
      </c>
      <c r="G106" s="95" t="n">
        <f aca="false">0</f>
        <v>0</v>
      </c>
      <c r="H106" s="95" t="n">
        <f aca="false">0</f>
        <v>0</v>
      </c>
      <c r="I106" s="95" t="n">
        <f aca="false">0</f>
        <v>0</v>
      </c>
      <c r="J106" s="95" t="n">
        <f aca="false">0</f>
        <v>0</v>
      </c>
      <c r="K106" s="95" t="n">
        <f aca="false">0</f>
        <v>0</v>
      </c>
      <c r="L106" s="95" t="n">
        <f aca="false">0</f>
        <v>0</v>
      </c>
      <c r="M106" s="95" t="n">
        <f aca="false">0</f>
        <v>0</v>
      </c>
      <c r="N106" s="95" t="n">
        <f aca="false">0</f>
        <v>0</v>
      </c>
      <c r="O106" s="95" t="n">
        <f aca="false">0</f>
        <v>0</v>
      </c>
      <c r="P106" s="95" t="n">
        <f aca="false">0</f>
        <v>0</v>
      </c>
      <c r="Q106" s="95" t="n">
        <f aca="false">0</f>
        <v>0</v>
      </c>
      <c r="R106" s="95" t="n">
        <f aca="false">0</f>
        <v>0</v>
      </c>
      <c r="S106" s="95" t="n">
        <f aca="false">0</f>
        <v>0</v>
      </c>
      <c r="T106" s="95" t="n">
        <f aca="false">0</f>
        <v>0</v>
      </c>
      <c r="U106" s="95" t="n">
        <f aca="false">0</f>
        <v>0</v>
      </c>
      <c r="V106" s="95" t="n">
        <f aca="false">0</f>
        <v>0</v>
      </c>
      <c r="W106" s="95" t="n">
        <f aca="false">0</f>
        <v>0</v>
      </c>
    </row>
    <row r="107" customFormat="false" ht="15" hidden="false" customHeight="false" outlineLevel="0" collapsed="false">
      <c r="A107" s="11" t="s">
        <v>450</v>
      </c>
      <c r="B107" s="66" t="n">
        <f aca="false">SUM(C107:W107)</f>
        <v>252000</v>
      </c>
      <c r="C107" s="95" t="n">
        <v>0</v>
      </c>
      <c r="D107" s="95" t="n">
        <f aca="false">D54*Seg1_RBF+D55*Seg2_RBF+D56*Seg3_RBF+D57*Seg4_RBF+D58*Seg5_RBF</f>
        <v>151200</v>
      </c>
      <c r="E107" s="95" t="n">
        <f aca="false">E54*Seg1_RBF+E55*Seg2_RBF+E56*Seg3_RBF+E57*Seg4_RBF+E58*Seg5_RBF</f>
        <v>63000</v>
      </c>
      <c r="F107" s="95" t="n">
        <f aca="false">F54*Seg1_RBF+F55*Seg2_RBF+F56*Seg3_RBF+F57*Seg4_RBF+F58*Seg5_RBF</f>
        <v>37800</v>
      </c>
      <c r="G107" s="95" t="n">
        <f aca="false">G54*Seg1_RBF+G55*Seg2_RBF+G56*Seg3_RBF+G57*Seg4_RBF+G58*Seg5_RBF</f>
        <v>0</v>
      </c>
      <c r="H107" s="95" t="n">
        <f aca="false">H54*Seg1_RBF+H55*Seg2_RBF+H56*Seg3_RBF+H57*Seg4_RBF+H58*Seg5_RBF</f>
        <v>0</v>
      </c>
      <c r="I107" s="95" t="n">
        <f aca="false">I54*Seg1_RBF+I55*Seg2_RBF+I56*Seg3_RBF+I57*Seg4_RBF+I58*Seg5_RBF</f>
        <v>0</v>
      </c>
      <c r="J107" s="95" t="n">
        <f aca="false">J54*Seg1_RBF+J55*Seg2_RBF+J56*Seg3_RBF+J57*Seg4_RBF+J58*Seg5_RBF</f>
        <v>0</v>
      </c>
      <c r="K107" s="95" t="n">
        <f aca="false">K54*Seg1_RBF+K55*Seg2_RBF+K56*Seg3_RBF+K57*Seg4_RBF+K58*Seg5_RBF</f>
        <v>0</v>
      </c>
      <c r="L107" s="95" t="n">
        <f aca="false">L54*Seg1_RBF+L55*Seg2_RBF+L56*Seg3_RBF+L57*Seg4_RBF+L58*Seg5_RBF</f>
        <v>0</v>
      </c>
      <c r="M107" s="95" t="n">
        <f aca="false">M54*Seg1_RBF+M55*Seg2_RBF+M56*Seg3_RBF+M57*Seg4_RBF+M58*Seg5_RBF</f>
        <v>0</v>
      </c>
      <c r="N107" s="95" t="n">
        <f aca="false">N54*Seg1_RBF+N55*Seg2_RBF+N56*Seg3_RBF+N57*Seg4_RBF+N58*Seg5_RBF</f>
        <v>0</v>
      </c>
      <c r="O107" s="95" t="n">
        <f aca="false">O54*Seg1_RBF+O55*Seg2_RBF+O56*Seg3_RBF+O57*Seg4_RBF+O58*Seg5_RBF</f>
        <v>0</v>
      </c>
      <c r="P107" s="95" t="n">
        <f aca="false">P54*Seg1_RBF+P55*Seg2_RBF+P56*Seg3_RBF+P57*Seg4_RBF+P58*Seg5_RBF</f>
        <v>0</v>
      </c>
      <c r="Q107" s="95" t="n">
        <f aca="false">Q54*Seg1_RBF+Q55*Seg2_RBF+Q56*Seg3_RBF+Q57*Seg4_RBF+Q58*Seg5_RBF</f>
        <v>0</v>
      </c>
      <c r="R107" s="95" t="n">
        <f aca="false">R54*Seg1_RBF+R55*Seg2_RBF+R56*Seg3_RBF+R57*Seg4_RBF+R58*Seg5_RBF</f>
        <v>0</v>
      </c>
      <c r="S107" s="95" t="n">
        <f aca="false">S54*Seg1_RBF+S55*Seg2_RBF+S56*Seg3_RBF+S57*Seg4_RBF+S58*Seg5_RBF</f>
        <v>0</v>
      </c>
      <c r="T107" s="95" t="n">
        <f aca="false">T54*Seg1_RBF+T55*Seg2_RBF+T56*Seg3_RBF+T57*Seg4_RBF+T58*Seg5_RBF</f>
        <v>0</v>
      </c>
      <c r="U107" s="95" t="n">
        <f aca="false">U54*Seg1_RBF+U55*Seg2_RBF+U56*Seg3_RBF+U57*Seg4_RBF+U58*Seg5_RBF</f>
        <v>0</v>
      </c>
      <c r="V107" s="95" t="n">
        <f aca="false">V54*Seg1_RBF+V55*Seg2_RBF+V56*Seg3_RBF+V57*Seg4_RBF+V58*Seg5_RBF</f>
        <v>0</v>
      </c>
      <c r="W107" s="95" t="n">
        <f aca="false">W54*Seg1_RBF+W55*Seg2_RBF+W56*Seg3_RBF+W57*Seg4_RBF+W58*Seg5_RBF</f>
        <v>0</v>
      </c>
    </row>
    <row r="108" customFormat="false" ht="15" hidden="false" customHeight="false" outlineLevel="0" collapsed="false">
      <c r="A108" s="11" t="s">
        <v>451</v>
      </c>
      <c r="B108" s="66" t="n">
        <f aca="false">SUM(C108:W108)</f>
        <v>252000</v>
      </c>
      <c r="C108" s="95" t="n">
        <v>0</v>
      </c>
      <c r="D108" s="95" t="n">
        <f aca="false">IF(D39-RBFLag&gt;=1,INDEX($C$107:$W$107,1,D39-RBFLag+1),0)</f>
        <v>151200</v>
      </c>
      <c r="E108" s="95" t="n">
        <f aca="false">IF(E39-RBFLag&gt;=1,INDEX($C$107:$W$107,1,E39-RBFLag+1),0)</f>
        <v>63000</v>
      </c>
      <c r="F108" s="95" t="n">
        <f aca="false">IF(F39-RBFLag&gt;=1,INDEX($C$107:$W$107,1,F39-RBFLag+1),0)</f>
        <v>37800</v>
      </c>
      <c r="G108" s="95" t="n">
        <f aca="false">IF(G39-RBFLag&gt;=1,INDEX($C$107:$W$107,1,G39-RBFLag+1),0)</f>
        <v>0</v>
      </c>
      <c r="H108" s="95" t="n">
        <f aca="false">IF(H39-RBFLag&gt;=1,INDEX($C$107:$W$107,1,H39-RBFLag+1),0)</f>
        <v>0</v>
      </c>
      <c r="I108" s="95" t="n">
        <f aca="false">IF(I39-RBFLag&gt;=1,INDEX($C$107:$W$107,1,I39-RBFLag+1),0)</f>
        <v>0</v>
      </c>
      <c r="J108" s="95" t="n">
        <f aca="false">IF(J39-RBFLag&gt;=1,INDEX($C$107:$W$107,1,J39-RBFLag+1),0)</f>
        <v>0</v>
      </c>
      <c r="K108" s="95" t="n">
        <f aca="false">IF(K39-RBFLag&gt;=1,INDEX($C$107:$W$107,1,K39-RBFLag+1),0)</f>
        <v>0</v>
      </c>
      <c r="L108" s="95" t="n">
        <f aca="false">IF(L39-RBFLag&gt;=1,INDEX($C$107:$W$107,1,L39-RBFLag+1),0)</f>
        <v>0</v>
      </c>
      <c r="M108" s="95" t="n">
        <f aca="false">IF(M39-RBFLag&gt;=1,INDEX($C$107:$W$107,1,M39-RBFLag+1),0)</f>
        <v>0</v>
      </c>
      <c r="N108" s="95" t="n">
        <f aca="false">IF(N39-RBFLag&gt;=1,INDEX($C$107:$W$107,1,N39-RBFLag+1),0)</f>
        <v>0</v>
      </c>
      <c r="O108" s="95" t="n">
        <f aca="false">IF(O39-RBFLag&gt;=1,INDEX($C$107:$W$107,1,O39-RBFLag+1),0)</f>
        <v>0</v>
      </c>
      <c r="P108" s="95" t="n">
        <f aca="false">IF(P39-RBFLag&gt;=1,INDEX($C$107:$W$107,1,P39-RBFLag+1),0)</f>
        <v>0</v>
      </c>
      <c r="Q108" s="95" t="n">
        <f aca="false">IF(Q39-RBFLag&gt;=1,INDEX($C$107:$W$107,1,Q39-RBFLag+1),0)</f>
        <v>0</v>
      </c>
      <c r="R108" s="95" t="n">
        <f aca="false">IF(R39-RBFLag&gt;=1,INDEX($C$107:$W$107,1,R39-RBFLag+1),0)</f>
        <v>0</v>
      </c>
      <c r="S108" s="95" t="n">
        <f aca="false">IF(S39-RBFLag&gt;=1,INDEX($C$107:$W$107,1,S39-RBFLag+1),0)</f>
        <v>0</v>
      </c>
      <c r="T108" s="95" t="n">
        <f aca="false">IF(T39-RBFLag&gt;=1,INDEX($C$107:$W$107,1,T39-RBFLag+1),0)</f>
        <v>0</v>
      </c>
      <c r="U108" s="95" t="n">
        <f aca="false">IF(U39-RBFLag&gt;=1,INDEX($C$107:$W$107,1,U39-RBFLag+1),0)</f>
        <v>0</v>
      </c>
      <c r="V108" s="95" t="n">
        <f aca="false">IF(V39-RBFLag&gt;=1,INDEX($C$107:$W$107,1,V39-RBFLag+1),0)</f>
        <v>0</v>
      </c>
      <c r="W108" s="95" t="n">
        <f aca="false">IF(W39-RBFLag&gt;=1,INDEX($C$107:$W$107,1,W39-RBFLag+1),0)</f>
        <v>0</v>
      </c>
    </row>
    <row r="109" customFormat="false" ht="15" hidden="false" customHeight="false" outlineLevel="0" collapsed="false">
      <c r="A109" s="11" t="s">
        <v>452</v>
      </c>
      <c r="B109" s="76" t="n">
        <f aca="false">SUM(C109:W109)</f>
        <v>970</v>
      </c>
      <c r="C109" s="93" t="n">
        <v>0</v>
      </c>
      <c r="D109" s="93" t="n">
        <f aca="false">IF(D39-RBFLag&gt;=1,INDEX($C$59:$W$59,1,D39-RBFLag+1),0)</f>
        <v>582</v>
      </c>
      <c r="E109" s="93" t="n">
        <f aca="false">IF(E39-RBFLag&gt;=1,INDEX($C$59:$W$59,1,E39-RBFLag+1),0)</f>
        <v>242.5</v>
      </c>
      <c r="F109" s="93" t="n">
        <f aca="false">IF(F39-RBFLag&gt;=1,INDEX($C$59:$W$59,1,F39-RBFLag+1),0)</f>
        <v>145.5</v>
      </c>
      <c r="G109" s="93" t="n">
        <f aca="false">IF(G39-RBFLag&gt;=1,INDEX($C$59:$W$59,1,G39-RBFLag+1),0)</f>
        <v>0</v>
      </c>
      <c r="H109" s="93" t="n">
        <f aca="false">IF(H39-RBFLag&gt;=1,INDEX($C$59:$W$59,1,H39-RBFLag+1),0)</f>
        <v>0</v>
      </c>
      <c r="I109" s="93" t="n">
        <f aca="false">IF(I39-RBFLag&gt;=1,INDEX($C$59:$W$59,1,I39-RBFLag+1),0)</f>
        <v>0</v>
      </c>
      <c r="J109" s="93" t="n">
        <f aca="false">IF(J39-RBFLag&gt;=1,INDEX($C$59:$W$59,1,J39-RBFLag+1),0)</f>
        <v>0</v>
      </c>
      <c r="K109" s="93" t="n">
        <f aca="false">IF(K39-RBFLag&gt;=1,INDEX($C$59:$W$59,1,K39-RBFLag+1),0)</f>
        <v>0</v>
      </c>
      <c r="L109" s="93" t="n">
        <f aca="false">IF(L39-RBFLag&gt;=1,INDEX($C$59:$W$59,1,L39-RBFLag+1),0)</f>
        <v>0</v>
      </c>
      <c r="M109" s="93" t="n">
        <f aca="false">IF(M39-RBFLag&gt;=1,INDEX($C$59:$W$59,1,M39-RBFLag+1),0)</f>
        <v>0</v>
      </c>
      <c r="N109" s="93" t="n">
        <f aca="false">IF(N39-RBFLag&gt;=1,INDEX($C$59:$W$59,1,N39-RBFLag+1),0)</f>
        <v>0</v>
      </c>
      <c r="O109" s="93" t="n">
        <f aca="false">IF(O39-RBFLag&gt;=1,INDEX($C$59:$W$59,1,O39-RBFLag+1),0)</f>
        <v>0</v>
      </c>
      <c r="P109" s="93" t="n">
        <f aca="false">IF(P39-RBFLag&gt;=1,INDEX($C$59:$W$59,1,P39-RBFLag+1),0)</f>
        <v>0</v>
      </c>
      <c r="Q109" s="93" t="n">
        <f aca="false">IF(Q39-RBFLag&gt;=1,INDEX($C$59:$W$59,1,Q39-RBFLag+1),0)</f>
        <v>0</v>
      </c>
      <c r="R109" s="93" t="n">
        <f aca="false">IF(R39-RBFLag&gt;=1,INDEX($C$59:$W$59,1,R39-RBFLag+1),0)</f>
        <v>0</v>
      </c>
      <c r="S109" s="93" t="n">
        <f aca="false">IF(S39-RBFLag&gt;=1,INDEX($C$59:$W$59,1,S39-RBFLag+1),0)</f>
        <v>0</v>
      </c>
      <c r="T109" s="93" t="n">
        <f aca="false">IF(T39-RBFLag&gt;=1,INDEX($C$59:$W$59,1,T39-RBFLag+1),0)</f>
        <v>0</v>
      </c>
      <c r="U109" s="93" t="n">
        <f aca="false">IF(U39-RBFLag&gt;=1,INDEX($C$59:$W$59,1,U39-RBFLag+1),0)</f>
        <v>0</v>
      </c>
      <c r="V109" s="93" t="n">
        <f aca="false">IF(V39-RBFLag&gt;=1,INDEX($C$59:$W$59,1,V39-RBFLag+1),0)</f>
        <v>0</v>
      </c>
      <c r="W109" s="93" t="n">
        <f aca="false">IF(W39-RBFLag&gt;=1,INDEX($C$59:$W$59,1,W39-RBFLag+1),0)</f>
        <v>0</v>
      </c>
    </row>
    <row r="111" customFormat="false" ht="15" hidden="false" customHeight="false" outlineLevel="0" collapsed="false">
      <c r="A111" s="9" t="s">
        <v>453</v>
      </c>
      <c r="B111" s="10"/>
      <c r="C111" s="10"/>
      <c r="D111" s="10"/>
      <c r="E111" s="10"/>
      <c r="F111" s="10"/>
      <c r="G111" s="10"/>
      <c r="H111" s="10"/>
      <c r="I111" s="10"/>
      <c r="J111" s="10"/>
      <c r="K111" s="10"/>
      <c r="L111" s="10"/>
      <c r="M111" s="10"/>
      <c r="N111" s="10"/>
      <c r="O111" s="10"/>
      <c r="P111" s="10"/>
      <c r="Q111" s="10"/>
      <c r="R111" s="10"/>
      <c r="S111" s="10"/>
      <c r="T111" s="10"/>
      <c r="U111" s="10"/>
      <c r="V111" s="10"/>
      <c r="W111" s="10"/>
    </row>
    <row r="112" customFormat="false" ht="15" hidden="false" customHeight="false" outlineLevel="0" collapsed="false">
      <c r="A112" s="11" t="s">
        <v>454</v>
      </c>
      <c r="C112" s="95" t="n">
        <v>0</v>
      </c>
      <c r="D112" s="95" t="n">
        <f aca="false">C116</f>
        <v>112546.829385741</v>
      </c>
      <c r="E112" s="95" t="n">
        <f aca="false">D116</f>
        <v>112546.829385741</v>
      </c>
      <c r="F112" s="95" t="n">
        <f aca="false">E116</f>
        <v>112546.829385741</v>
      </c>
      <c r="G112" s="95" t="n">
        <f aca="false">F116</f>
        <v>102705.282458945</v>
      </c>
      <c r="H112" s="95" t="n">
        <f aca="false">G116</f>
        <v>91879.5808394692</v>
      </c>
      <c r="I112" s="95" t="n">
        <f aca="false">H116</f>
        <v>79971.3090580457</v>
      </c>
      <c r="J112" s="95" t="n">
        <f aca="false">I116</f>
        <v>66872.2100984798</v>
      </c>
      <c r="K112" s="95" t="n">
        <f aca="false">J116</f>
        <v>52463.2012429573</v>
      </c>
      <c r="L112" s="95" t="n">
        <f aca="false">K116</f>
        <v>36613.2915018826</v>
      </c>
      <c r="M112" s="95" t="n">
        <f aca="false">L116</f>
        <v>19178.3907867004</v>
      </c>
      <c r="N112" s="95" t="n">
        <f aca="false">M116</f>
        <v>0</v>
      </c>
      <c r="O112" s="95" t="n">
        <f aca="false">N116</f>
        <v>0</v>
      </c>
      <c r="P112" s="95" t="n">
        <f aca="false">O116</f>
        <v>0</v>
      </c>
      <c r="Q112" s="95" t="n">
        <f aca="false">P116</f>
        <v>0</v>
      </c>
      <c r="R112" s="95" t="n">
        <f aca="false">Q116</f>
        <v>0</v>
      </c>
      <c r="S112" s="95" t="n">
        <f aca="false">R116</f>
        <v>0</v>
      </c>
      <c r="T112" s="95" t="n">
        <f aca="false">S116</f>
        <v>0</v>
      </c>
      <c r="U112" s="95" t="n">
        <f aca="false">T116</f>
        <v>0</v>
      </c>
      <c r="V112" s="95" t="n">
        <f aca="false">U116</f>
        <v>0</v>
      </c>
      <c r="W112" s="95" t="n">
        <f aca="false">V116</f>
        <v>0</v>
      </c>
    </row>
    <row r="113" customFormat="false" ht="15" hidden="false" customHeight="false" outlineLevel="0" collapsed="false">
      <c r="A113" s="11" t="s">
        <v>455</v>
      </c>
      <c r="B113" s="66" t="n">
        <f aca="false">SUM(C113:W113)</f>
        <v>112546.829385741</v>
      </c>
      <c r="C113" s="95" t="n">
        <f aca="false">'Cash Flow'!$B$16</f>
        <v>112546.829385741</v>
      </c>
      <c r="D113" s="95" t="n">
        <f aca="false">0</f>
        <v>0</v>
      </c>
      <c r="E113" s="95" t="n">
        <f aca="false">0</f>
        <v>0</v>
      </c>
      <c r="F113" s="95" t="n">
        <f aca="false">0</f>
        <v>0</v>
      </c>
      <c r="G113" s="95" t="n">
        <f aca="false">0</f>
        <v>0</v>
      </c>
      <c r="H113" s="95" t="n">
        <f aca="false">0</f>
        <v>0</v>
      </c>
      <c r="I113" s="95" t="n">
        <f aca="false">0</f>
        <v>0</v>
      </c>
      <c r="J113" s="95" t="n">
        <f aca="false">0</f>
        <v>0</v>
      </c>
      <c r="K113" s="95" t="n">
        <f aca="false">0</f>
        <v>0</v>
      </c>
      <c r="L113" s="95" t="n">
        <f aca="false">0</f>
        <v>0</v>
      </c>
      <c r="M113" s="95" t="n">
        <f aca="false">0</f>
        <v>0</v>
      </c>
      <c r="N113" s="95" t="n">
        <f aca="false">0</f>
        <v>0</v>
      </c>
      <c r="O113" s="95" t="n">
        <f aca="false">0</f>
        <v>0</v>
      </c>
      <c r="P113" s="95" t="n">
        <f aca="false">0</f>
        <v>0</v>
      </c>
      <c r="Q113" s="95" t="n">
        <f aca="false">0</f>
        <v>0</v>
      </c>
      <c r="R113" s="95" t="n">
        <f aca="false">0</f>
        <v>0</v>
      </c>
      <c r="S113" s="95" t="n">
        <f aca="false">0</f>
        <v>0</v>
      </c>
      <c r="T113" s="95" t="n">
        <f aca="false">0</f>
        <v>0</v>
      </c>
      <c r="U113" s="95" t="n">
        <f aca="false">0</f>
        <v>0</v>
      </c>
      <c r="V113" s="95" t="n">
        <f aca="false">0</f>
        <v>0</v>
      </c>
      <c r="W113" s="95" t="n">
        <f aca="false">0</f>
        <v>0</v>
      </c>
    </row>
    <row r="114" customFormat="false" ht="15" hidden="false" customHeight="false" outlineLevel="0" collapsed="false">
      <c r="A114" s="11" t="s">
        <v>456</v>
      </c>
      <c r="B114" s="66" t="n">
        <f aca="false">SUM(C114:W114)</f>
        <v>78732.3754143705</v>
      </c>
      <c r="C114" s="95" t="n">
        <v>0</v>
      </c>
      <c r="D114" s="95" t="n">
        <f aca="false">D112*SenRate*$B$11</f>
        <v>11254.6829385742</v>
      </c>
      <c r="E114" s="95" t="n">
        <f aca="false">E112*SenRate*$B$11</f>
        <v>11254.6829385742</v>
      </c>
      <c r="F114" s="95" t="n">
        <f aca="false">F112*SenRate*$B$11</f>
        <v>11254.6829385742</v>
      </c>
      <c r="G114" s="95" t="n">
        <f aca="false">G112*SenRate*$B$11</f>
        <v>10270.5282458945</v>
      </c>
      <c r="H114" s="95" t="n">
        <f aca="false">H112*SenRate*$B$11</f>
        <v>9187.95808394693</v>
      </c>
      <c r="I114" s="95" t="n">
        <f aca="false">I112*SenRate*$B$11</f>
        <v>7997.13090580457</v>
      </c>
      <c r="J114" s="95" t="n">
        <f aca="false">J112*SenRate*$B$11</f>
        <v>6687.22100984798</v>
      </c>
      <c r="K114" s="95" t="n">
        <f aca="false">K112*SenRate*$B$11</f>
        <v>5246.32012429573</v>
      </c>
      <c r="L114" s="95" t="n">
        <f aca="false">L112*SenRate*$B$11</f>
        <v>3661.32915018826</v>
      </c>
      <c r="M114" s="95" t="n">
        <f aca="false">M112*SenRate*$B$11</f>
        <v>1917.83907867004</v>
      </c>
      <c r="N114" s="95" t="n">
        <f aca="false">N112*SenRate*$B$11</f>
        <v>0</v>
      </c>
      <c r="O114" s="95" t="n">
        <f aca="false">O112*SenRate*$B$11</f>
        <v>0</v>
      </c>
      <c r="P114" s="95" t="n">
        <f aca="false">P112*SenRate*$B$11</f>
        <v>0</v>
      </c>
      <c r="Q114" s="95" t="n">
        <f aca="false">Q112*SenRate*$B$11</f>
        <v>0</v>
      </c>
      <c r="R114" s="95" t="n">
        <f aca="false">R112*SenRate*$B$11</f>
        <v>0</v>
      </c>
      <c r="S114" s="95" t="n">
        <f aca="false">S112*SenRate*$B$11</f>
        <v>0</v>
      </c>
      <c r="T114" s="95" t="n">
        <f aca="false">T112*SenRate*$B$11</f>
        <v>0</v>
      </c>
      <c r="U114" s="95" t="n">
        <f aca="false">U112*SenRate*$B$11</f>
        <v>0</v>
      </c>
      <c r="V114" s="95" t="n">
        <f aca="false">V112*SenRate*$B$11</f>
        <v>0</v>
      </c>
      <c r="W114" s="95" t="n">
        <f aca="false">W112*SenRate*$B$11</f>
        <v>0</v>
      </c>
    </row>
    <row r="115" customFormat="false" ht="15" hidden="false" customHeight="false" outlineLevel="0" collapsed="false">
      <c r="A115" s="11" t="s">
        <v>457</v>
      </c>
      <c r="B115" s="66" t="n">
        <f aca="false">SUM(C115:W115)</f>
        <v>112546.829385742</v>
      </c>
      <c r="C115" s="95" t="n">
        <v>0</v>
      </c>
      <c r="D115" s="95" t="n">
        <f aca="false">IF(AND(D39&gt;SenGrace,D39&lt;=SenTenor),PMT(SenRate*$B$11,SenTenor-SenGrace,-'Cash Flow'!$B$16)-D114,0)</f>
        <v>0</v>
      </c>
      <c r="E115" s="95" t="n">
        <f aca="false">IF(AND(E39&gt;SenGrace,E39&lt;=SenTenor),PMT(SenRate*$B$11,SenTenor-SenGrace,-'Cash Flow'!$B$16)-E114,0)</f>
        <v>0</v>
      </c>
      <c r="F115" s="95" t="n">
        <f aca="false">IF(AND(F39&gt;SenGrace,F39&lt;=SenTenor),PMT(SenRate*$B$11,SenTenor-SenGrace,-'Cash Flow'!$B$16)-F114,0)</f>
        <v>9841.54692679631</v>
      </c>
      <c r="G115" s="95" t="n">
        <f aca="false">IF(AND(G39&gt;SenGrace,G39&lt;=SenTenor),PMT(SenRate*$B$11,SenTenor-SenGrace,-'Cash Flow'!$B$16)-G114,0)</f>
        <v>10825.7016194759</v>
      </c>
      <c r="H115" s="95" t="n">
        <f aca="false">IF(AND(H39&gt;SenGrace,H39&lt;=SenTenor),PMT(SenRate*$B$11,SenTenor-SenGrace,-'Cash Flow'!$B$16)-H114,0)</f>
        <v>11908.2717814235</v>
      </c>
      <c r="I115" s="95" t="n">
        <f aca="false">IF(AND(I39&gt;SenGrace,I39&lt;=SenTenor),PMT(SenRate*$B$11,SenTenor-SenGrace,-'Cash Flow'!$B$16)-I114,0)</f>
        <v>13099.0989595659</v>
      </c>
      <c r="J115" s="95" t="n">
        <f aca="false">IF(AND(J39&gt;SenGrace,J39&lt;=SenTenor),PMT(SenRate*$B$11,SenTenor-SenGrace,-'Cash Flow'!$B$16)-J114,0)</f>
        <v>14409.0088555225</v>
      </c>
      <c r="K115" s="95" t="n">
        <f aca="false">IF(AND(K39&gt;SenGrace,K39&lt;=SenTenor),PMT(SenRate*$B$11,SenTenor-SenGrace,-'Cash Flow'!$B$16)-K114,0)</f>
        <v>15849.9097410747</v>
      </c>
      <c r="L115" s="95" t="n">
        <f aca="false">IF(AND(L39&gt;SenGrace,L39&lt;=SenTenor),PMT(SenRate*$B$11,SenTenor-SenGrace,-'Cash Flow'!$B$16)-L114,0)</f>
        <v>17434.9007151822</v>
      </c>
      <c r="M115" s="95" t="n">
        <f aca="false">IF(AND(M39&gt;SenGrace,M39&lt;=SenTenor),PMT(SenRate*$B$11,SenTenor-SenGrace,-'Cash Flow'!$B$16)-M114,0)</f>
        <v>19178.3907867004</v>
      </c>
      <c r="N115" s="95" t="n">
        <f aca="false">IF(AND(N39&gt;SenGrace,N39&lt;=SenTenor),PMT(SenRate*$B$11,SenTenor-SenGrace,-'Cash Flow'!$B$16)-N114,0)</f>
        <v>0</v>
      </c>
      <c r="O115" s="95" t="n">
        <f aca="false">IF(AND(O39&gt;SenGrace,O39&lt;=SenTenor),PMT(SenRate*$B$11,SenTenor-SenGrace,-'Cash Flow'!$B$16)-O114,0)</f>
        <v>0</v>
      </c>
      <c r="P115" s="95" t="n">
        <f aca="false">IF(AND(P39&gt;SenGrace,P39&lt;=SenTenor),PMT(SenRate*$B$11,SenTenor-SenGrace,-'Cash Flow'!$B$16)-P114,0)</f>
        <v>0</v>
      </c>
      <c r="Q115" s="95" t="n">
        <f aca="false">IF(AND(Q39&gt;SenGrace,Q39&lt;=SenTenor),PMT(SenRate*$B$11,SenTenor-SenGrace,-'Cash Flow'!$B$16)-Q114,0)</f>
        <v>0</v>
      </c>
      <c r="R115" s="95" t="n">
        <f aca="false">IF(AND(R39&gt;SenGrace,R39&lt;=SenTenor),PMT(SenRate*$B$11,SenTenor-SenGrace,-'Cash Flow'!$B$16)-R114,0)</f>
        <v>0</v>
      </c>
      <c r="S115" s="95" t="n">
        <f aca="false">IF(AND(S39&gt;SenGrace,S39&lt;=SenTenor),PMT(SenRate*$B$11,SenTenor-SenGrace,-'Cash Flow'!$B$16)-S114,0)</f>
        <v>0</v>
      </c>
      <c r="T115" s="95" t="n">
        <f aca="false">IF(AND(T39&gt;SenGrace,T39&lt;=SenTenor),PMT(SenRate*$B$11,SenTenor-SenGrace,-'Cash Flow'!$B$16)-T114,0)</f>
        <v>0</v>
      </c>
      <c r="U115" s="95" t="n">
        <f aca="false">IF(AND(U39&gt;SenGrace,U39&lt;=SenTenor),PMT(SenRate*$B$11,SenTenor-SenGrace,-'Cash Flow'!$B$16)-U114,0)</f>
        <v>0</v>
      </c>
      <c r="V115" s="95" t="n">
        <f aca="false">IF(AND(V39&gt;SenGrace,V39&lt;=SenTenor),PMT(SenRate*$B$11,SenTenor-SenGrace,-'Cash Flow'!$B$16)-V114,0)</f>
        <v>0</v>
      </c>
      <c r="W115" s="95" t="n">
        <f aca="false">IF(AND(W39&gt;SenGrace,W39&lt;=SenTenor),PMT(SenRate*$B$11,SenTenor-SenGrace,-'Cash Flow'!$B$16)-W114,0)</f>
        <v>0</v>
      </c>
    </row>
    <row r="116" customFormat="false" ht="15" hidden="false" customHeight="false" outlineLevel="0" collapsed="false">
      <c r="A116" s="11" t="s">
        <v>458</v>
      </c>
      <c r="C116" s="95" t="n">
        <f aca="false">0+C113-0</f>
        <v>112546.829385741</v>
      </c>
      <c r="D116" s="95" t="n">
        <f aca="false">D112+D113-D115</f>
        <v>112546.829385741</v>
      </c>
      <c r="E116" s="95" t="n">
        <f aca="false">E112+E113-E115</f>
        <v>112546.829385741</v>
      </c>
      <c r="F116" s="95" t="n">
        <f aca="false">F112+F113-F115</f>
        <v>102705.282458945</v>
      </c>
      <c r="G116" s="95" t="n">
        <f aca="false">G112+G113-G115</f>
        <v>91879.5808394692</v>
      </c>
      <c r="H116" s="95" t="n">
        <f aca="false">H112+H113-H115</f>
        <v>79971.3090580457</v>
      </c>
      <c r="I116" s="95" t="n">
        <f aca="false">I112+I113-I115</f>
        <v>66872.2100984798</v>
      </c>
      <c r="J116" s="95" t="n">
        <f aca="false">J112+J113-J115</f>
        <v>52463.2012429573</v>
      </c>
      <c r="K116" s="95" t="n">
        <f aca="false">K112+K113-K115</f>
        <v>36613.2915018826</v>
      </c>
      <c r="L116" s="95" t="n">
        <f aca="false">L112+L113-L115</f>
        <v>19178.3907867004</v>
      </c>
      <c r="M116" s="95" t="n">
        <f aca="false">M112+M113-M115</f>
        <v>0</v>
      </c>
      <c r="N116" s="95" t="n">
        <f aca="false">N112+N113-N115</f>
        <v>0</v>
      </c>
      <c r="O116" s="95" t="n">
        <f aca="false">O112+O113-O115</f>
        <v>0</v>
      </c>
      <c r="P116" s="95" t="n">
        <f aca="false">P112+P113-P115</f>
        <v>0</v>
      </c>
      <c r="Q116" s="95" t="n">
        <f aca="false">Q112+Q113-Q115</f>
        <v>0</v>
      </c>
      <c r="R116" s="95" t="n">
        <f aca="false">R112+R113-R115</f>
        <v>0</v>
      </c>
      <c r="S116" s="95" t="n">
        <f aca="false">S112+S113-S115</f>
        <v>0</v>
      </c>
      <c r="T116" s="95" t="n">
        <f aca="false">T112+T113-T115</f>
        <v>0</v>
      </c>
      <c r="U116" s="95" t="n">
        <f aca="false">U112+U113-U115</f>
        <v>0</v>
      </c>
      <c r="V116" s="95" t="n">
        <f aca="false">V112+V113-V115</f>
        <v>0</v>
      </c>
      <c r="W116" s="95" t="n">
        <f aca="false">W112+W113-W115</f>
        <v>0</v>
      </c>
    </row>
    <row r="118" customFormat="false" ht="15" hidden="false" customHeight="false" outlineLevel="0" collapsed="false">
      <c r="A118" s="9" t="s">
        <v>459</v>
      </c>
      <c r="B118" s="10"/>
      <c r="C118" s="10"/>
      <c r="D118" s="10"/>
      <c r="E118" s="10"/>
      <c r="F118" s="10"/>
      <c r="G118" s="10"/>
      <c r="H118" s="10"/>
      <c r="I118" s="10"/>
      <c r="J118" s="10"/>
      <c r="K118" s="10"/>
      <c r="L118" s="10"/>
      <c r="M118" s="10"/>
      <c r="N118" s="10"/>
      <c r="O118" s="10"/>
      <c r="P118" s="10"/>
      <c r="Q118" s="10"/>
      <c r="R118" s="10"/>
      <c r="S118" s="10"/>
      <c r="T118" s="10"/>
      <c r="U118" s="10"/>
      <c r="V118" s="10"/>
      <c r="W118" s="10"/>
    </row>
    <row r="119" customFormat="false" ht="15" hidden="false" customHeight="false" outlineLevel="0" collapsed="false">
      <c r="A119" s="11" t="s">
        <v>454</v>
      </c>
      <c r="C119" s="95" t="n">
        <v>0</v>
      </c>
      <c r="D119" s="95" t="n">
        <f aca="false">C123</f>
        <v>112546.829385741</v>
      </c>
      <c r="E119" s="95" t="n">
        <f aca="false">D123</f>
        <v>112546.829385741</v>
      </c>
      <c r="F119" s="95" t="n">
        <f aca="false">E123</f>
        <v>112546.829385741</v>
      </c>
      <c r="G119" s="95" t="n">
        <f aca="false">F123</f>
        <v>112546.829385741</v>
      </c>
      <c r="H119" s="95" t="n">
        <f aca="false">G123</f>
        <v>112546.829385741</v>
      </c>
      <c r="I119" s="95" t="n">
        <f aca="false">H123</f>
        <v>112546.829385741</v>
      </c>
      <c r="J119" s="95" t="n">
        <f aca="false">I123</f>
        <v>102729.312441619</v>
      </c>
      <c r="K119" s="95" t="n">
        <f aca="false">J123</f>
        <v>92617.2699891724</v>
      </c>
      <c r="L119" s="95" t="n">
        <f aca="false">K123</f>
        <v>82201.8662631527</v>
      </c>
      <c r="M119" s="95" t="n">
        <f aca="false">L123</f>
        <v>71474.0004253523</v>
      </c>
      <c r="N119" s="95" t="n">
        <f aca="false">M123</f>
        <v>60424.2986124179</v>
      </c>
      <c r="O119" s="95" t="n">
        <f aca="false">N123</f>
        <v>49043.1057450955</v>
      </c>
      <c r="P119" s="95" t="n">
        <f aca="false">O123</f>
        <v>37320.4770917535</v>
      </c>
      <c r="Q119" s="95" t="n">
        <f aca="false">P123</f>
        <v>25246.1695788111</v>
      </c>
      <c r="R119" s="95" t="n">
        <f aca="false">Q123</f>
        <v>12809.6328404805</v>
      </c>
      <c r="S119" s="95" t="n">
        <f aca="false">R123</f>
        <v>0</v>
      </c>
      <c r="T119" s="95" t="n">
        <f aca="false">S123</f>
        <v>0</v>
      </c>
      <c r="U119" s="95" t="n">
        <f aca="false">T123</f>
        <v>0</v>
      </c>
      <c r="V119" s="95" t="n">
        <f aca="false">U123</f>
        <v>0</v>
      </c>
      <c r="W119" s="95" t="n">
        <f aca="false">V123</f>
        <v>0</v>
      </c>
    </row>
    <row r="120" customFormat="false" ht="15" hidden="false" customHeight="false" outlineLevel="0" collapsed="false">
      <c r="A120" s="11" t="s">
        <v>455</v>
      </c>
      <c r="B120" s="66" t="n">
        <f aca="false">SUM(C120:W120)</f>
        <v>112546.829385741</v>
      </c>
      <c r="C120" s="95" t="n">
        <f aca="false">'Cash Flow'!$B$17</f>
        <v>112546.829385741</v>
      </c>
      <c r="D120" s="95" t="n">
        <f aca="false">0</f>
        <v>0</v>
      </c>
      <c r="E120" s="95" t="n">
        <f aca="false">0</f>
        <v>0</v>
      </c>
      <c r="F120" s="95" t="n">
        <f aca="false">0</f>
        <v>0</v>
      </c>
      <c r="G120" s="95" t="n">
        <f aca="false">0</f>
        <v>0</v>
      </c>
      <c r="H120" s="95" t="n">
        <f aca="false">0</f>
        <v>0</v>
      </c>
      <c r="I120" s="95" t="n">
        <f aca="false">0</f>
        <v>0</v>
      </c>
      <c r="J120" s="95" t="n">
        <f aca="false">0</f>
        <v>0</v>
      </c>
      <c r="K120" s="95" t="n">
        <f aca="false">0</f>
        <v>0</v>
      </c>
      <c r="L120" s="95" t="n">
        <f aca="false">0</f>
        <v>0</v>
      </c>
      <c r="M120" s="95" t="n">
        <f aca="false">0</f>
        <v>0</v>
      </c>
      <c r="N120" s="95" t="n">
        <f aca="false">0</f>
        <v>0</v>
      </c>
      <c r="O120" s="95" t="n">
        <f aca="false">0</f>
        <v>0</v>
      </c>
      <c r="P120" s="95" t="n">
        <f aca="false">0</f>
        <v>0</v>
      </c>
      <c r="Q120" s="95" t="n">
        <f aca="false">0</f>
        <v>0</v>
      </c>
      <c r="R120" s="95" t="n">
        <f aca="false">0</f>
        <v>0</v>
      </c>
      <c r="S120" s="95" t="n">
        <f aca="false">0</f>
        <v>0</v>
      </c>
      <c r="T120" s="95" t="n">
        <f aca="false">0</f>
        <v>0</v>
      </c>
      <c r="U120" s="95" t="n">
        <f aca="false">0</f>
        <v>0</v>
      </c>
      <c r="V120" s="95" t="n">
        <f aca="false">0</f>
        <v>0</v>
      </c>
      <c r="W120" s="95" t="n">
        <f aca="false">0</f>
        <v>0</v>
      </c>
    </row>
    <row r="121" customFormat="false" ht="15" hidden="false" customHeight="false" outlineLevel="0" collapsed="false">
      <c r="A121" s="11" t="s">
        <v>456</v>
      </c>
      <c r="B121" s="66" t="n">
        <f aca="false">SUM(C121:W121)</f>
        <v>36274.4132790691</v>
      </c>
      <c r="C121" s="95" t="n">
        <v>0</v>
      </c>
      <c r="D121" s="95" t="n">
        <f aca="false">D119*ConRate*$B$11</f>
        <v>3376.40488157224</v>
      </c>
      <c r="E121" s="95" t="n">
        <f aca="false">E119*ConRate*$B$11</f>
        <v>3376.40488157224</v>
      </c>
      <c r="F121" s="95" t="n">
        <f aca="false">F119*ConRate*$B$11</f>
        <v>3376.40488157224</v>
      </c>
      <c r="G121" s="95" t="n">
        <f aca="false">G119*ConRate*$B$11</f>
        <v>3376.40488157224</v>
      </c>
      <c r="H121" s="95" t="n">
        <f aca="false">H119*ConRate*$B$11</f>
        <v>3376.40488157224</v>
      </c>
      <c r="I121" s="95" t="n">
        <f aca="false">I119*ConRate*$B$11</f>
        <v>3376.40488157224</v>
      </c>
      <c r="J121" s="95" t="n">
        <f aca="false">J119*ConRate*$B$11</f>
        <v>3081.87937324856</v>
      </c>
      <c r="K121" s="95" t="n">
        <f aca="false">K119*ConRate*$B$11</f>
        <v>2778.51809967517</v>
      </c>
      <c r="L121" s="95" t="n">
        <f aca="false">L119*ConRate*$B$11</f>
        <v>2466.05598789458</v>
      </c>
      <c r="M121" s="95" t="n">
        <f aca="false">M119*ConRate*$B$11</f>
        <v>2144.22001276057</v>
      </c>
      <c r="N121" s="95" t="n">
        <f aca="false">N119*ConRate*$B$11</f>
        <v>1812.72895837254</v>
      </c>
      <c r="O121" s="95" t="n">
        <f aca="false">O119*ConRate*$B$11</f>
        <v>1471.29317235287</v>
      </c>
      <c r="P121" s="95" t="n">
        <f aca="false">P119*ConRate*$B$11</f>
        <v>1119.6143127526</v>
      </c>
      <c r="Q121" s="95" t="n">
        <f aca="false">Q119*ConRate*$B$11</f>
        <v>757.385087364333</v>
      </c>
      <c r="R121" s="95" t="n">
        <f aca="false">R119*ConRate*$B$11</f>
        <v>384.288985214415</v>
      </c>
      <c r="S121" s="95" t="n">
        <f aca="false">S119*ConRate*$B$11</f>
        <v>0</v>
      </c>
      <c r="T121" s="95" t="n">
        <f aca="false">T119*ConRate*$B$11</f>
        <v>0</v>
      </c>
      <c r="U121" s="95" t="n">
        <f aca="false">U119*ConRate*$B$11</f>
        <v>0</v>
      </c>
      <c r="V121" s="95" t="n">
        <f aca="false">V119*ConRate*$B$11</f>
        <v>0</v>
      </c>
      <c r="W121" s="95" t="n">
        <f aca="false">W119*ConRate*$B$11</f>
        <v>0</v>
      </c>
    </row>
    <row r="122" customFormat="false" ht="15" hidden="false" customHeight="false" outlineLevel="0" collapsed="false">
      <c r="A122" s="11" t="s">
        <v>457</v>
      </c>
      <c r="B122" s="66" t="n">
        <f aca="false">SUM(C122:W122)</f>
        <v>112546.829385742</v>
      </c>
      <c r="C122" s="95" t="n">
        <v>0</v>
      </c>
      <c r="D122" s="95" t="n">
        <f aca="false">IF(AND(D39&gt;ConGrace,D39&lt;=ConTenor),PMT(ConRate*$B$11,ConTenor-ConGrace,-'Cash Flow'!$B$17)-D121,0)</f>
        <v>0</v>
      </c>
      <c r="E122" s="95" t="n">
        <f aca="false">IF(AND(E39&gt;ConGrace,E39&lt;=ConTenor),PMT(ConRate*$B$11,ConTenor-ConGrace,-'Cash Flow'!$B$17)-E121,0)</f>
        <v>0</v>
      </c>
      <c r="F122" s="95" t="n">
        <f aca="false">IF(AND(F39&gt;ConGrace,F39&lt;=ConTenor),PMT(ConRate*$B$11,ConTenor-ConGrace,-'Cash Flow'!$B$17)-F121,0)</f>
        <v>0</v>
      </c>
      <c r="G122" s="95" t="n">
        <f aca="false">IF(AND(G39&gt;ConGrace,G39&lt;=ConTenor),PMT(ConRate*$B$11,ConTenor-ConGrace,-'Cash Flow'!$B$17)-G121,0)</f>
        <v>0</v>
      </c>
      <c r="H122" s="95" t="n">
        <f aca="false">IF(AND(H39&gt;ConGrace,H39&lt;=ConTenor),PMT(ConRate*$B$11,ConTenor-ConGrace,-'Cash Flow'!$B$17)-H121,0)</f>
        <v>0</v>
      </c>
      <c r="I122" s="95" t="n">
        <f aca="false">IF(AND(I39&gt;ConGrace,I39&lt;=ConTenor),PMT(ConRate*$B$11,ConTenor-ConGrace,-'Cash Flow'!$B$17)-I121,0)</f>
        <v>9817.51694412269</v>
      </c>
      <c r="J122" s="95" t="n">
        <f aca="false">IF(AND(J39&gt;ConGrace,J39&lt;=ConTenor),PMT(ConRate*$B$11,ConTenor-ConGrace,-'Cash Flow'!$B$17)-J121,0)</f>
        <v>10112.0424524464</v>
      </c>
      <c r="K122" s="95" t="n">
        <f aca="false">IF(AND(K39&gt;ConGrace,K39&lt;=ConTenor),PMT(ConRate*$B$11,ConTenor-ConGrace,-'Cash Flow'!$B$17)-K121,0)</f>
        <v>10415.4037260198</v>
      </c>
      <c r="L122" s="95" t="n">
        <f aca="false">IF(AND(L39&gt;ConGrace,L39&lt;=ConTenor),PMT(ConRate*$B$11,ConTenor-ConGrace,-'Cash Flow'!$B$17)-L121,0)</f>
        <v>10727.8658378004</v>
      </c>
      <c r="M122" s="95" t="n">
        <f aca="false">IF(AND(M39&gt;ConGrace,M39&lt;=ConTenor),PMT(ConRate*$B$11,ConTenor-ConGrace,-'Cash Flow'!$B$17)-M121,0)</f>
        <v>11049.7018129344</v>
      </c>
      <c r="N122" s="95" t="n">
        <f aca="false">IF(AND(N39&gt;ConGrace,N39&lt;=ConTenor),PMT(ConRate*$B$11,ConTenor-ConGrace,-'Cash Flow'!$B$17)-N121,0)</f>
        <v>11381.1928673224</v>
      </c>
      <c r="O122" s="95" t="n">
        <f aca="false">IF(AND(O39&gt;ConGrace,O39&lt;=ConTenor),PMT(ConRate*$B$11,ConTenor-ConGrace,-'Cash Flow'!$B$17)-O121,0)</f>
        <v>11722.6286533421</v>
      </c>
      <c r="P122" s="95" t="n">
        <f aca="false">IF(AND(P39&gt;ConGrace,P39&lt;=ConTenor),PMT(ConRate*$B$11,ConTenor-ConGrace,-'Cash Flow'!$B$17)-P121,0)</f>
        <v>12074.3075129423</v>
      </c>
      <c r="Q122" s="95" t="n">
        <f aca="false">IF(AND(Q39&gt;ConGrace,Q39&lt;=ConTenor),PMT(ConRate*$B$11,ConTenor-ConGrace,-'Cash Flow'!$B$17)-Q121,0)</f>
        <v>12436.5367383306</v>
      </c>
      <c r="R122" s="95" t="n">
        <f aca="false">IF(AND(R39&gt;ConGrace,R39&lt;=ConTenor),PMT(ConRate*$B$11,ConTenor-ConGrace,-'Cash Flow'!$B$17)-R121,0)</f>
        <v>12809.6328404805</v>
      </c>
      <c r="S122" s="95" t="n">
        <f aca="false">IF(AND(S39&gt;ConGrace,S39&lt;=ConTenor),PMT(ConRate*$B$11,ConTenor-ConGrace,-'Cash Flow'!$B$17)-S121,0)</f>
        <v>0</v>
      </c>
      <c r="T122" s="95" t="n">
        <f aca="false">IF(AND(T39&gt;ConGrace,T39&lt;=ConTenor),PMT(ConRate*$B$11,ConTenor-ConGrace,-'Cash Flow'!$B$17)-T121,0)</f>
        <v>0</v>
      </c>
      <c r="U122" s="95" t="n">
        <f aca="false">IF(AND(U39&gt;ConGrace,U39&lt;=ConTenor),PMT(ConRate*$B$11,ConTenor-ConGrace,-'Cash Flow'!$B$17)-U121,0)</f>
        <v>0</v>
      </c>
      <c r="V122" s="95" t="n">
        <f aca="false">IF(AND(V39&gt;ConGrace,V39&lt;=ConTenor),PMT(ConRate*$B$11,ConTenor-ConGrace,-'Cash Flow'!$B$17)-V121,0)</f>
        <v>0</v>
      </c>
      <c r="W122" s="95" t="n">
        <f aca="false">IF(AND(W39&gt;ConGrace,W39&lt;=ConTenor),PMT(ConRate*$B$11,ConTenor-ConGrace,-'Cash Flow'!$B$17)-W121,0)</f>
        <v>0</v>
      </c>
    </row>
    <row r="123" customFormat="false" ht="15" hidden="false" customHeight="false" outlineLevel="0" collapsed="false">
      <c r="A123" s="11" t="s">
        <v>458</v>
      </c>
      <c r="C123" s="95" t="n">
        <f aca="false">0+C120-0</f>
        <v>112546.829385741</v>
      </c>
      <c r="D123" s="95" t="n">
        <f aca="false">D119+D120-D122</f>
        <v>112546.829385741</v>
      </c>
      <c r="E123" s="95" t="n">
        <f aca="false">E119+E120-E122</f>
        <v>112546.829385741</v>
      </c>
      <c r="F123" s="95" t="n">
        <f aca="false">F119+F120-F122</f>
        <v>112546.829385741</v>
      </c>
      <c r="G123" s="95" t="n">
        <f aca="false">G119+G120-G122</f>
        <v>112546.829385741</v>
      </c>
      <c r="H123" s="95" t="n">
        <f aca="false">H119+H120-H122</f>
        <v>112546.829385741</v>
      </c>
      <c r="I123" s="95" t="n">
        <f aca="false">I119+I120-I122</f>
        <v>102729.312441619</v>
      </c>
      <c r="J123" s="95" t="n">
        <f aca="false">J119+J120-J122</f>
        <v>92617.2699891724</v>
      </c>
      <c r="K123" s="95" t="n">
        <f aca="false">K119+K120-K122</f>
        <v>82201.8662631527</v>
      </c>
      <c r="L123" s="95" t="n">
        <f aca="false">L119+L120-L122</f>
        <v>71474.0004253523</v>
      </c>
      <c r="M123" s="95" t="n">
        <f aca="false">M119+M120-M122</f>
        <v>60424.2986124179</v>
      </c>
      <c r="N123" s="95" t="n">
        <f aca="false">N119+N120-N122</f>
        <v>49043.1057450955</v>
      </c>
      <c r="O123" s="95" t="n">
        <f aca="false">O119+O120-O122</f>
        <v>37320.4770917535</v>
      </c>
      <c r="P123" s="95" t="n">
        <f aca="false">P119+P120-P122</f>
        <v>25246.1695788111</v>
      </c>
      <c r="Q123" s="95" t="n">
        <f aca="false">Q119+Q120-Q122</f>
        <v>12809.6328404805</v>
      </c>
      <c r="R123" s="95" t="n">
        <f aca="false">R119+R120-R122</f>
        <v>0</v>
      </c>
      <c r="S123" s="95" t="n">
        <f aca="false">S119+S120-S122</f>
        <v>0</v>
      </c>
      <c r="T123" s="95" t="n">
        <f aca="false">T119+T120-T122</f>
        <v>0</v>
      </c>
      <c r="U123" s="95" t="n">
        <f aca="false">U119+U120-U122</f>
        <v>0</v>
      </c>
      <c r="V123" s="95" t="n">
        <f aca="false">V119+V120-V122</f>
        <v>0</v>
      </c>
      <c r="W123" s="95" t="n">
        <f aca="false">W119+W120-W122</f>
        <v>0</v>
      </c>
    </row>
    <row r="125" customFormat="false" ht="15" hidden="false" customHeight="false" outlineLevel="0" collapsed="false">
      <c r="A125" s="16" t="s">
        <v>460</v>
      </c>
      <c r="B125" s="66" t="n">
        <f aca="false">SUM(C125:W125)</f>
        <v>340100.447464923</v>
      </c>
      <c r="C125" s="31" t="n">
        <v>0</v>
      </c>
      <c r="D125" s="31" t="n">
        <f aca="false">D114+D115+D121+D122</f>
        <v>14631.0878201464</v>
      </c>
      <c r="E125" s="31" t="n">
        <f aca="false">E114+E115+E121+E122</f>
        <v>14631.0878201464</v>
      </c>
      <c r="F125" s="31" t="n">
        <f aca="false">F114+F115+F121+F122</f>
        <v>24472.6347469427</v>
      </c>
      <c r="G125" s="31" t="n">
        <f aca="false">G114+G115+G121+G122</f>
        <v>24472.6347469427</v>
      </c>
      <c r="H125" s="31" t="n">
        <f aca="false">H114+H115+H121+H122</f>
        <v>24472.6347469427</v>
      </c>
      <c r="I125" s="31" t="n">
        <f aca="false">I114+I115+I121+I122</f>
        <v>34290.1516910654</v>
      </c>
      <c r="J125" s="31" t="n">
        <f aca="false">J114+J115+J121+J122</f>
        <v>34290.1516910654</v>
      </c>
      <c r="K125" s="31" t="n">
        <f aca="false">K114+K115+K121+K122</f>
        <v>34290.1516910654</v>
      </c>
      <c r="L125" s="31" t="n">
        <f aca="false">L114+L115+L121+L122</f>
        <v>34290.1516910654</v>
      </c>
      <c r="M125" s="31" t="n">
        <f aca="false">M114+M115+M121+M122</f>
        <v>34290.1516910654</v>
      </c>
      <c r="N125" s="31" t="n">
        <f aca="false">N114+N115+N121+N122</f>
        <v>13193.9218256949</v>
      </c>
      <c r="O125" s="31" t="n">
        <f aca="false">O114+O115+O121+O122</f>
        <v>13193.9218256949</v>
      </c>
      <c r="P125" s="31" t="n">
        <f aca="false">P114+P115+P121+P122</f>
        <v>13193.9218256949</v>
      </c>
      <c r="Q125" s="31" t="n">
        <f aca="false">Q114+Q115+Q121+Q122</f>
        <v>13193.9218256949</v>
      </c>
      <c r="R125" s="31" t="n">
        <f aca="false">R114+R115+R121+R122</f>
        <v>13193.9218256949</v>
      </c>
      <c r="S125" s="31" t="n">
        <f aca="false">S114+S115+S121+S122</f>
        <v>0</v>
      </c>
      <c r="T125" s="31" t="n">
        <f aca="false">T114+T115+T121+T122</f>
        <v>0</v>
      </c>
      <c r="U125" s="31" t="n">
        <f aca="false">U114+U115+U121+U122</f>
        <v>0</v>
      </c>
      <c r="V125" s="31" t="n">
        <f aca="false">V114+V115+V121+V122</f>
        <v>0</v>
      </c>
      <c r="W125" s="31" t="n">
        <f aca="false">W114+W115+W121+W122</f>
        <v>0</v>
      </c>
    </row>
    <row r="126" customFormat="false" ht="15" hidden="false" customHeight="false" outlineLevel="0" collapsed="false">
      <c r="A126" s="11" t="s">
        <v>461</v>
      </c>
      <c r="C126" s="96" t="n">
        <v>0</v>
      </c>
      <c r="D126" s="96" t="n">
        <f aca="false">IF(D39&lt;=SenGrace,SenRate*$B$11,IF(D39&lt;=SenTenor,PMT(SenRate*$B$11,SenTenor-SenGrace,-1),0))</f>
        <v>0.1</v>
      </c>
      <c r="E126" s="96" t="n">
        <f aca="false">IF(E39&lt;=SenGrace,SenRate*$B$11,IF(E39&lt;=SenTenor,PMT(SenRate*$B$11,SenTenor-SenGrace,-1),0))</f>
        <v>0.1</v>
      </c>
      <c r="F126" s="96" t="n">
        <f aca="false">IF(F39&lt;=SenGrace,SenRate*$B$11,IF(F39&lt;=SenTenor,PMT(SenRate*$B$11,SenTenor-SenGrace,-1),0))</f>
        <v>0.187444017574813</v>
      </c>
      <c r="G126" s="96" t="n">
        <f aca="false">IF(G39&lt;=SenGrace,SenRate*$B$11,IF(G39&lt;=SenTenor,PMT(SenRate*$B$11,SenTenor-SenGrace,-1),0))</f>
        <v>0.187444017574813</v>
      </c>
      <c r="H126" s="96" t="n">
        <f aca="false">IF(H39&lt;=SenGrace,SenRate*$B$11,IF(H39&lt;=SenTenor,PMT(SenRate*$B$11,SenTenor-SenGrace,-1),0))</f>
        <v>0.187444017574813</v>
      </c>
      <c r="I126" s="96" t="n">
        <f aca="false">IF(I39&lt;=SenGrace,SenRate*$B$11,IF(I39&lt;=SenTenor,PMT(SenRate*$B$11,SenTenor-SenGrace,-1),0))</f>
        <v>0.187444017574813</v>
      </c>
      <c r="J126" s="96" t="n">
        <f aca="false">IF(J39&lt;=SenGrace,SenRate*$B$11,IF(J39&lt;=SenTenor,PMT(SenRate*$B$11,SenTenor-SenGrace,-1),0))</f>
        <v>0.187444017574813</v>
      </c>
      <c r="K126" s="96" t="n">
        <f aca="false">IF(K39&lt;=SenGrace,SenRate*$B$11,IF(K39&lt;=SenTenor,PMT(SenRate*$B$11,SenTenor-SenGrace,-1),0))</f>
        <v>0.187444017574813</v>
      </c>
      <c r="L126" s="96" t="n">
        <f aca="false">IF(L39&lt;=SenGrace,SenRate*$B$11,IF(L39&lt;=SenTenor,PMT(SenRate*$B$11,SenTenor-SenGrace,-1),0))</f>
        <v>0.187444017574813</v>
      </c>
      <c r="M126" s="96" t="n">
        <f aca="false">IF(M39&lt;=SenGrace,SenRate*$B$11,IF(M39&lt;=SenTenor,PMT(SenRate*$B$11,SenTenor-SenGrace,-1),0))</f>
        <v>0.187444017574813</v>
      </c>
      <c r="N126" s="96" t="n">
        <f aca="false">IF(N39&lt;=SenGrace,SenRate*$B$11,IF(N39&lt;=SenTenor,PMT(SenRate*$B$11,SenTenor-SenGrace,-1),0))</f>
        <v>0</v>
      </c>
      <c r="O126" s="96" t="n">
        <f aca="false">IF(O39&lt;=SenGrace,SenRate*$B$11,IF(O39&lt;=SenTenor,PMT(SenRate*$B$11,SenTenor-SenGrace,-1),0))</f>
        <v>0</v>
      </c>
      <c r="P126" s="96" t="n">
        <f aca="false">IF(P39&lt;=SenGrace,SenRate*$B$11,IF(P39&lt;=SenTenor,PMT(SenRate*$B$11,SenTenor-SenGrace,-1),0))</f>
        <v>0</v>
      </c>
      <c r="Q126" s="96" t="n">
        <f aca="false">IF(Q39&lt;=SenGrace,SenRate*$B$11,IF(Q39&lt;=SenTenor,PMT(SenRate*$B$11,SenTenor-SenGrace,-1),0))</f>
        <v>0</v>
      </c>
      <c r="R126" s="96" t="n">
        <f aca="false">IF(R39&lt;=SenGrace,SenRate*$B$11,IF(R39&lt;=SenTenor,PMT(SenRate*$B$11,SenTenor-SenGrace,-1),0))</f>
        <v>0</v>
      </c>
      <c r="S126" s="96" t="n">
        <f aca="false">IF(S39&lt;=SenGrace,SenRate*$B$11,IF(S39&lt;=SenTenor,PMT(SenRate*$B$11,SenTenor-SenGrace,-1),0))</f>
        <v>0</v>
      </c>
      <c r="T126" s="96" t="n">
        <f aca="false">IF(T39&lt;=SenGrace,SenRate*$B$11,IF(T39&lt;=SenTenor,PMT(SenRate*$B$11,SenTenor-SenGrace,-1),0))</f>
        <v>0</v>
      </c>
      <c r="U126" s="96" t="n">
        <f aca="false">IF(U39&lt;=SenGrace,SenRate*$B$11,IF(U39&lt;=SenTenor,PMT(SenRate*$B$11,SenTenor-SenGrace,-1),0))</f>
        <v>0</v>
      </c>
      <c r="V126" s="96" t="n">
        <f aca="false">IF(V39&lt;=SenGrace,SenRate*$B$11,IF(V39&lt;=SenTenor,PMT(SenRate*$B$11,SenTenor-SenGrace,-1),0))</f>
        <v>0</v>
      </c>
      <c r="W126" s="96" t="n">
        <f aca="false">IF(W39&lt;=SenGrace,SenRate*$B$11,IF(W39&lt;=SenTenor,PMT(SenRate*$B$11,SenTenor-SenGrace,-1),0))</f>
        <v>0</v>
      </c>
    </row>
    <row r="127" customFormat="false" ht="15" hidden="false" customHeight="false" outlineLevel="0" collapsed="false">
      <c r="A127" s="11" t="s">
        <v>462</v>
      </c>
      <c r="C127" s="95" t="n">
        <v>0</v>
      </c>
      <c r="D127" s="95" t="n">
        <f aca="false">IF(D126&gt;0,(D147/MinDSCR-D121-D122)/D126,1000000000000)</f>
        <v>1059746.58047812</v>
      </c>
      <c r="E127" s="95" t="n">
        <f aca="false">IF(E126&gt;0,(E147/MinDSCR-E121-E122)/E126,1000000000000)</f>
        <v>574659.292121409</v>
      </c>
      <c r="F127" s="95" t="n">
        <f aca="false">IF(F126&gt;0,(F147/MinDSCR-F121-F122)/F126,1000000000000)</f>
        <v>284961.126727754</v>
      </c>
      <c r="G127" s="95" t="n">
        <f aca="false">IF(G126&gt;0,(G147/MinDSCR-G121-G122)/G126,1000000000000)</f>
        <v>144285.828171199</v>
      </c>
      <c r="H127" s="95" t="n">
        <f aca="false">IF(H126&gt;0,(H147/MinDSCR-H121-H122)/H126,1000000000000)</f>
        <v>167124.868414415</v>
      </c>
      <c r="I127" s="95" t="n">
        <f aca="false">IF(I126&gt;0,(I147/MinDSCR-I121-I122)/I126,1000000000000)</f>
        <v>139212.244166065</v>
      </c>
      <c r="J127" s="95" t="n">
        <f aca="false">IF(J126&gt;0,(J147/MinDSCR-J121-J122)/J126,1000000000000)</f>
        <v>157697.794203766</v>
      </c>
      <c r="K127" s="95" t="n">
        <f aca="false">IF(K126&gt;0,(K147/MinDSCR-K121-K122)/K126,1000000000000)</f>
        <v>152899.310926721</v>
      </c>
      <c r="L127" s="95" t="n">
        <f aca="false">IF(L126&gt;0,(L147/MinDSCR-L121-L122)/L126,1000000000000)</f>
        <v>124555.898080177</v>
      </c>
      <c r="M127" s="95" t="n">
        <f aca="false">IF(M126&gt;0,(M147/MinDSCR-M121-M122)/M126,1000000000000)</f>
        <v>118010.406757562</v>
      </c>
      <c r="N127" s="95" t="n">
        <f aca="false">IF(N126&gt;0,(N147/MinDSCR-N121-N122)/N126,1000000000000)</f>
        <v>1000000000000</v>
      </c>
      <c r="O127" s="95" t="n">
        <f aca="false">IF(O126&gt;0,(O147/MinDSCR-O121-O122)/O126,1000000000000)</f>
        <v>1000000000000</v>
      </c>
      <c r="P127" s="95" t="n">
        <f aca="false">IF(P126&gt;0,(P147/MinDSCR-P121-P122)/P126,1000000000000)</f>
        <v>1000000000000</v>
      </c>
      <c r="Q127" s="95" t="n">
        <f aca="false">IF(Q126&gt;0,(Q147/MinDSCR-Q121-Q122)/Q126,1000000000000)</f>
        <v>1000000000000</v>
      </c>
      <c r="R127" s="95" t="n">
        <f aca="false">IF(R126&gt;0,(R147/MinDSCR-R121-R122)/R126,1000000000000)</f>
        <v>1000000000000</v>
      </c>
      <c r="S127" s="95" t="n">
        <f aca="false">IF(S126&gt;0,(S147/MinDSCR-S121-S122)/S126,1000000000000)</f>
        <v>1000000000000</v>
      </c>
      <c r="T127" s="95" t="n">
        <f aca="false">IF(T126&gt;0,(T147/MinDSCR-T121-T122)/T126,1000000000000)</f>
        <v>1000000000000</v>
      </c>
      <c r="U127" s="95" t="n">
        <f aca="false">IF(U126&gt;0,(U147/MinDSCR-U121-U122)/U126,1000000000000)</f>
        <v>1000000000000</v>
      </c>
      <c r="V127" s="95" t="n">
        <f aca="false">IF(V126&gt;0,(V147/MinDSCR-V121-V122)/V126,1000000000000)</f>
        <v>1000000000000</v>
      </c>
      <c r="W127" s="95" t="n">
        <f aca="false">IF(W126&gt;0,(W147/MinDSCR-W121-W122)/W126,1000000000000)</f>
        <v>1000000000000</v>
      </c>
    </row>
    <row r="128" customFormat="false" ht="15" hidden="false" customHeight="false" outlineLevel="0" collapsed="false">
      <c r="A128" s="11" t="s">
        <v>463</v>
      </c>
      <c r="C128" s="95" t="n">
        <f aca="false">DSRAPct*D125</f>
        <v>7315.5439100732</v>
      </c>
      <c r="D128" s="95" t="n">
        <f aca="false">DSRAPct*E125</f>
        <v>7315.5439100732</v>
      </c>
      <c r="E128" s="95" t="n">
        <f aca="false">DSRAPct*F125</f>
        <v>12236.3173734714</v>
      </c>
      <c r="F128" s="95" t="n">
        <f aca="false">DSRAPct*G125</f>
        <v>12236.3173734714</v>
      </c>
      <c r="G128" s="95" t="n">
        <f aca="false">DSRAPct*H125</f>
        <v>12236.3173734714</v>
      </c>
      <c r="H128" s="95" t="n">
        <f aca="false">DSRAPct*I125</f>
        <v>17145.0758455327</v>
      </c>
      <c r="I128" s="95" t="n">
        <f aca="false">DSRAPct*J125</f>
        <v>17145.0758455327</v>
      </c>
      <c r="J128" s="95" t="n">
        <f aca="false">DSRAPct*K125</f>
        <v>17145.0758455327</v>
      </c>
      <c r="K128" s="95" t="n">
        <f aca="false">DSRAPct*L125</f>
        <v>17145.0758455327</v>
      </c>
      <c r="L128" s="95" t="n">
        <f aca="false">DSRAPct*M125</f>
        <v>17145.0758455327</v>
      </c>
      <c r="M128" s="95" t="n">
        <f aca="false">DSRAPct*N125</f>
        <v>6596.96091284747</v>
      </c>
      <c r="N128" s="95" t="n">
        <f aca="false">DSRAPct*O125</f>
        <v>6596.96091284747</v>
      </c>
      <c r="O128" s="95" t="n">
        <f aca="false">DSRAPct*P125</f>
        <v>6596.96091284747</v>
      </c>
      <c r="P128" s="95" t="n">
        <f aca="false">DSRAPct*Q125</f>
        <v>6596.96091284747</v>
      </c>
      <c r="Q128" s="95" t="n">
        <f aca="false">DSRAPct*R125</f>
        <v>6596.96091284747</v>
      </c>
      <c r="R128" s="95" t="n">
        <f aca="false">DSRAPct*S125</f>
        <v>0</v>
      </c>
      <c r="S128" s="95" t="n">
        <f aca="false">DSRAPct*T125</f>
        <v>0</v>
      </c>
      <c r="T128" s="95" t="n">
        <f aca="false">DSRAPct*U125</f>
        <v>0</v>
      </c>
      <c r="U128" s="95" t="n">
        <f aca="false">DSRAPct*V125</f>
        <v>0</v>
      </c>
      <c r="V128" s="95" t="n">
        <f aca="false">DSRAPct*W125</f>
        <v>0</v>
      </c>
      <c r="W128" s="95" t="n">
        <f aca="false">0</f>
        <v>0</v>
      </c>
    </row>
    <row r="129" customFormat="false" ht="15" hidden="false" customHeight="false" outlineLevel="0" collapsed="false">
      <c r="A129" s="11" t="s">
        <v>464</v>
      </c>
      <c r="B129" s="66" t="n">
        <f aca="false">SUM(C129:W129)</f>
        <v>0</v>
      </c>
      <c r="C129" s="95" t="n">
        <f aca="false">C128</f>
        <v>7315.5439100732</v>
      </c>
      <c r="D129" s="95" t="n">
        <f aca="false">D128-C128</f>
        <v>0</v>
      </c>
      <c r="E129" s="95" t="n">
        <f aca="false">E128-D128</f>
        <v>4920.77346339816</v>
      </c>
      <c r="F129" s="95" t="n">
        <f aca="false">F128-E128</f>
        <v>0</v>
      </c>
      <c r="G129" s="95" t="n">
        <f aca="false">G128-F128</f>
        <v>0</v>
      </c>
      <c r="H129" s="95" t="n">
        <f aca="false">H128-G128</f>
        <v>4908.75847206135</v>
      </c>
      <c r="I129" s="95" t="n">
        <f aca="false">I128-H128</f>
        <v>0</v>
      </c>
      <c r="J129" s="95" t="n">
        <f aca="false">J128-I128</f>
        <v>0</v>
      </c>
      <c r="K129" s="95" t="n">
        <f aca="false">K128-J128</f>
        <v>0</v>
      </c>
      <c r="L129" s="95" t="n">
        <f aca="false">L128-K128</f>
        <v>0</v>
      </c>
      <c r="M129" s="95" t="n">
        <f aca="false">M128-L128</f>
        <v>-10548.1149326852</v>
      </c>
      <c r="N129" s="95" t="n">
        <f aca="false">N128-M128</f>
        <v>0</v>
      </c>
      <c r="O129" s="95" t="n">
        <f aca="false">O128-N128</f>
        <v>0</v>
      </c>
      <c r="P129" s="95" t="n">
        <f aca="false">P128-O128</f>
        <v>0</v>
      </c>
      <c r="Q129" s="95" t="n">
        <f aca="false">Q128-P128</f>
        <v>0</v>
      </c>
      <c r="R129" s="95" t="n">
        <f aca="false">R128-Q128</f>
        <v>-6596.96091284747</v>
      </c>
      <c r="S129" s="95" t="n">
        <f aca="false">S128-R128</f>
        <v>0</v>
      </c>
      <c r="T129" s="95" t="n">
        <f aca="false">T128-S128</f>
        <v>0</v>
      </c>
      <c r="U129" s="95" t="n">
        <f aca="false">U128-T128</f>
        <v>0</v>
      </c>
      <c r="V129" s="95" t="n">
        <f aca="false">V128-U128</f>
        <v>0</v>
      </c>
      <c r="W129" s="95" t="n">
        <f aca="false">W128-V128</f>
        <v>0</v>
      </c>
    </row>
    <row r="131" customFormat="false" ht="15" hidden="false" customHeight="false" outlineLevel="0" collapsed="false">
      <c r="A131" s="9" t="s">
        <v>465</v>
      </c>
      <c r="B131" s="10"/>
      <c r="C131" s="10"/>
      <c r="D131" s="10"/>
      <c r="E131" s="10"/>
      <c r="F131" s="10"/>
      <c r="G131" s="10"/>
      <c r="H131" s="10"/>
      <c r="I131" s="10"/>
      <c r="J131" s="10"/>
      <c r="K131" s="10"/>
      <c r="L131" s="10"/>
      <c r="M131" s="10"/>
      <c r="N131" s="10"/>
      <c r="O131" s="10"/>
      <c r="P131" s="10"/>
      <c r="Q131" s="10"/>
      <c r="R131" s="10"/>
      <c r="S131" s="10"/>
      <c r="T131" s="10"/>
      <c r="U131" s="10"/>
      <c r="V131" s="10"/>
      <c r="W131" s="10"/>
    </row>
    <row r="132" customFormat="false" ht="15" hidden="false" customHeight="false" outlineLevel="0" collapsed="false">
      <c r="A132" s="11" t="s">
        <v>466</v>
      </c>
      <c r="B132" s="66" t="n">
        <f aca="false">SUM(C132:W132)</f>
        <v>1162734.14692871</v>
      </c>
      <c r="C132" s="95" t="n">
        <v>0</v>
      </c>
      <c r="D132" s="95" t="n">
        <f aca="false">IF(D39&lt;=MIN(DepYears,Life),'Cash Flow'!$B$14/DepYears,0)</f>
        <v>77515.6097952472</v>
      </c>
      <c r="E132" s="95" t="n">
        <f aca="false">IF(E39&lt;=MIN(DepYears,Life),'Cash Flow'!$B$14/DepYears,0)</f>
        <v>77515.6097952472</v>
      </c>
      <c r="F132" s="95" t="n">
        <f aca="false">IF(F39&lt;=MIN(DepYears,Life),'Cash Flow'!$B$14/DepYears,0)</f>
        <v>77515.6097952472</v>
      </c>
      <c r="G132" s="95" t="n">
        <f aca="false">IF(G39&lt;=MIN(DepYears,Life),'Cash Flow'!$B$14/DepYears,0)</f>
        <v>77515.6097952472</v>
      </c>
      <c r="H132" s="95" t="n">
        <f aca="false">IF(H39&lt;=MIN(DepYears,Life),'Cash Flow'!$B$14/DepYears,0)</f>
        <v>77515.6097952472</v>
      </c>
      <c r="I132" s="95" t="n">
        <f aca="false">IF(I39&lt;=MIN(DepYears,Life),'Cash Flow'!$B$14/DepYears,0)</f>
        <v>77515.6097952472</v>
      </c>
      <c r="J132" s="95" t="n">
        <f aca="false">IF(J39&lt;=MIN(DepYears,Life),'Cash Flow'!$B$14/DepYears,0)</f>
        <v>77515.6097952472</v>
      </c>
      <c r="K132" s="95" t="n">
        <f aca="false">IF(K39&lt;=MIN(DepYears,Life),'Cash Flow'!$B$14/DepYears,0)</f>
        <v>77515.6097952472</v>
      </c>
      <c r="L132" s="95" t="n">
        <f aca="false">IF(L39&lt;=MIN(DepYears,Life),'Cash Flow'!$B$14/DepYears,0)</f>
        <v>77515.6097952472</v>
      </c>
      <c r="M132" s="95" t="n">
        <f aca="false">IF(M39&lt;=MIN(DepYears,Life),'Cash Flow'!$B$14/DepYears,0)</f>
        <v>77515.6097952472</v>
      </c>
      <c r="N132" s="95" t="n">
        <f aca="false">IF(N39&lt;=MIN(DepYears,Life),'Cash Flow'!$B$14/DepYears,0)</f>
        <v>77515.6097952472</v>
      </c>
      <c r="O132" s="95" t="n">
        <f aca="false">IF(O39&lt;=MIN(DepYears,Life),'Cash Flow'!$B$14/DepYears,0)</f>
        <v>77515.6097952472</v>
      </c>
      <c r="P132" s="95" t="n">
        <f aca="false">IF(P39&lt;=MIN(DepYears,Life),'Cash Flow'!$B$14/DepYears,0)</f>
        <v>77515.6097952472</v>
      </c>
      <c r="Q132" s="95" t="n">
        <f aca="false">IF(Q39&lt;=MIN(DepYears,Life),'Cash Flow'!$B$14/DepYears,0)</f>
        <v>77515.6097952472</v>
      </c>
      <c r="R132" s="95" t="n">
        <f aca="false">IF(R39&lt;=MIN(DepYears,Life),'Cash Flow'!$B$14/DepYears,0)</f>
        <v>77515.6097952472</v>
      </c>
      <c r="S132" s="95" t="n">
        <f aca="false">IF(S39&lt;=MIN(DepYears,Life),'Cash Flow'!$B$14/DepYears,0)</f>
        <v>0</v>
      </c>
      <c r="T132" s="95" t="n">
        <f aca="false">IF(T39&lt;=MIN(DepYears,Life),'Cash Flow'!$B$14/DepYears,0)</f>
        <v>0</v>
      </c>
      <c r="U132" s="95" t="n">
        <f aca="false">IF(U39&lt;=MIN(DepYears,Life),'Cash Flow'!$B$14/DepYears,0)</f>
        <v>0</v>
      </c>
      <c r="V132" s="95" t="n">
        <f aca="false">IF(V39&lt;=MIN(DepYears,Life),'Cash Flow'!$B$14/DepYears,0)</f>
        <v>0</v>
      </c>
      <c r="W132" s="95" t="n">
        <f aca="false">IF(W39&lt;=MIN(DepYears,Life),'Cash Flow'!$B$14/DepYears,0)</f>
        <v>0</v>
      </c>
    </row>
    <row r="133" customFormat="false" ht="15" hidden="false" customHeight="false" outlineLevel="0" collapsed="false">
      <c r="A133" s="11" t="s">
        <v>467</v>
      </c>
      <c r="B133" s="66" t="n">
        <f aca="false">SUM(C133:W133)</f>
        <v>10154.7318153589</v>
      </c>
      <c r="C133" s="95" t="n">
        <v>0</v>
      </c>
      <c r="D133" s="95" t="n">
        <f aca="false">D98-D132</f>
        <v>-65821.2982739605</v>
      </c>
      <c r="E133" s="95" t="n">
        <f aca="false">E98-E132</f>
        <v>-40682.6457603323</v>
      </c>
      <c r="F133" s="95" t="n">
        <f aca="false">F98-F132</f>
        <v>-20749.817755671</v>
      </c>
      <c r="G133" s="95" t="n">
        <f aca="false">G98-G132</f>
        <v>-17229.1838311411</v>
      </c>
      <c r="H133" s="95" t="n">
        <f aca="false">H98-H132</f>
        <v>-11663.8299321777</v>
      </c>
      <c r="I133" s="95" t="n">
        <f aca="false">I98-I132</f>
        <v>-5702.72866403495</v>
      </c>
      <c r="J133" s="95" t="n">
        <f aca="false">J98-J132</f>
        <v>-1198.2211680441</v>
      </c>
      <c r="K133" s="95" t="n">
        <f aca="false">K98-K132</f>
        <v>-2367.50224687332</v>
      </c>
      <c r="L133" s="95" t="n">
        <f aca="false">L98-L132</f>
        <v>-3741.88717796137</v>
      </c>
      <c r="M133" s="95" t="n">
        <f aca="false">M98-M132</f>
        <v>-5336.87432562704</v>
      </c>
      <c r="N133" s="95" t="n">
        <f aca="false">N98-N132</f>
        <v>-7168.97104967925</v>
      </c>
      <c r="O133" s="95" t="n">
        <f aca="false">O98-O132</f>
        <v>-9255.75648433073</v>
      </c>
      <c r="P133" s="95" t="n">
        <f aca="false">P98-P132</f>
        <v>-11615.9481647919</v>
      </c>
      <c r="Q133" s="95" t="n">
        <f aca="false">Q98-Q132</f>
        <v>-14269.472736217</v>
      </c>
      <c r="R133" s="95" t="n">
        <f aca="false">R98-R132</f>
        <v>-17237.540993967</v>
      </c>
      <c r="S133" s="95" t="n">
        <f aca="false">S98-S132</f>
        <v>56972.8822759284</v>
      </c>
      <c r="T133" s="95" t="n">
        <f aca="false">T98-T132</f>
        <v>53306.5546044182</v>
      </c>
      <c r="U133" s="95" t="n">
        <f aca="false">U98-U132</f>
        <v>49253.5249266123</v>
      </c>
      <c r="V133" s="95" t="n">
        <f aca="false">V98-V132</f>
        <v>44786.599228173</v>
      </c>
      <c r="W133" s="95" t="n">
        <f aca="false">W98-W132</f>
        <v>39876.8493450363</v>
      </c>
    </row>
    <row r="134" customFormat="false" ht="15" hidden="false" customHeight="false" outlineLevel="0" collapsed="false">
      <c r="A134" s="11" t="s">
        <v>468</v>
      </c>
      <c r="C134" s="95" t="n">
        <v>0</v>
      </c>
      <c r="D134" s="95" t="n">
        <f aca="false">0</f>
        <v>0</v>
      </c>
      <c r="E134" s="95" t="n">
        <f aca="false">D136</f>
        <v>65821.2982739605</v>
      </c>
      <c r="F134" s="95" t="n">
        <f aca="false">E136</f>
        <v>106503.944034293</v>
      </c>
      <c r="G134" s="95" t="n">
        <f aca="false">F136</f>
        <v>127253.761789964</v>
      </c>
      <c r="H134" s="95" t="n">
        <f aca="false">G136</f>
        <v>144482.945621105</v>
      </c>
      <c r="I134" s="95" t="n">
        <f aca="false">H136</f>
        <v>156146.775553283</v>
      </c>
      <c r="J134" s="95" t="n">
        <f aca="false">I136</f>
        <v>161849.504217318</v>
      </c>
      <c r="K134" s="95" t="n">
        <f aca="false">J136</f>
        <v>163047.725385362</v>
      </c>
      <c r="L134" s="95" t="n">
        <f aca="false">K136</f>
        <v>165415.227632235</v>
      </c>
      <c r="M134" s="95" t="n">
        <f aca="false">L136</f>
        <v>169157.114810196</v>
      </c>
      <c r="N134" s="95" t="n">
        <f aca="false">M136</f>
        <v>174493.989135823</v>
      </c>
      <c r="O134" s="95" t="n">
        <f aca="false">N136</f>
        <v>181662.960185503</v>
      </c>
      <c r="P134" s="95" t="n">
        <f aca="false">O136</f>
        <v>190918.716669833</v>
      </c>
      <c r="Q134" s="95" t="n">
        <f aca="false">P136</f>
        <v>202534.664834625</v>
      </c>
      <c r="R134" s="95" t="n">
        <f aca="false">Q136</f>
        <v>216804.137570842</v>
      </c>
      <c r="S134" s="95" t="n">
        <f aca="false">R136</f>
        <v>234041.678564809</v>
      </c>
      <c r="T134" s="95" t="n">
        <f aca="false">S136</f>
        <v>177068.796288881</v>
      </c>
      <c r="U134" s="95" t="n">
        <f aca="false">T136</f>
        <v>123762.241684463</v>
      </c>
      <c r="V134" s="95" t="n">
        <f aca="false">U136</f>
        <v>74508.7167578505</v>
      </c>
      <c r="W134" s="95" t="n">
        <f aca="false">V136</f>
        <v>29722.1175296775</v>
      </c>
    </row>
    <row r="135" customFormat="false" ht="15" hidden="false" customHeight="false" outlineLevel="0" collapsed="false">
      <c r="A135" s="11" t="s">
        <v>469</v>
      </c>
      <c r="C135" s="95" t="n">
        <v>0</v>
      </c>
      <c r="D135" s="95" t="n">
        <f aca="false">MIN(D134,MAX(D133,0))</f>
        <v>0</v>
      </c>
      <c r="E135" s="95" t="n">
        <f aca="false">MIN(E134,MAX(E133,0))</f>
        <v>0</v>
      </c>
      <c r="F135" s="95" t="n">
        <f aca="false">MIN(F134,MAX(F133,0))</f>
        <v>0</v>
      </c>
      <c r="G135" s="95" t="n">
        <f aca="false">MIN(G134,MAX(G133,0))</f>
        <v>0</v>
      </c>
      <c r="H135" s="95" t="n">
        <f aca="false">MIN(H134,MAX(H133,0))</f>
        <v>0</v>
      </c>
      <c r="I135" s="95" t="n">
        <f aca="false">MIN(I134,MAX(I133,0))</f>
        <v>0</v>
      </c>
      <c r="J135" s="95" t="n">
        <f aca="false">MIN(J134,MAX(J133,0))</f>
        <v>0</v>
      </c>
      <c r="K135" s="95" t="n">
        <f aca="false">MIN(K134,MAX(K133,0))</f>
        <v>0</v>
      </c>
      <c r="L135" s="95" t="n">
        <f aca="false">MIN(L134,MAX(L133,0))</f>
        <v>0</v>
      </c>
      <c r="M135" s="95" t="n">
        <f aca="false">MIN(M134,MAX(M133,0))</f>
        <v>0</v>
      </c>
      <c r="N135" s="95" t="n">
        <f aca="false">MIN(N134,MAX(N133,0))</f>
        <v>0</v>
      </c>
      <c r="O135" s="95" t="n">
        <f aca="false">MIN(O134,MAX(O133,0))</f>
        <v>0</v>
      </c>
      <c r="P135" s="95" t="n">
        <f aca="false">MIN(P134,MAX(P133,0))</f>
        <v>0</v>
      </c>
      <c r="Q135" s="95" t="n">
        <f aca="false">MIN(Q134,MAX(Q133,0))</f>
        <v>0</v>
      </c>
      <c r="R135" s="95" t="n">
        <f aca="false">MIN(R134,MAX(R133,0))</f>
        <v>0</v>
      </c>
      <c r="S135" s="95" t="n">
        <f aca="false">MIN(S134,MAX(S133,0))</f>
        <v>56972.8822759284</v>
      </c>
      <c r="T135" s="95" t="n">
        <f aca="false">MIN(T134,MAX(T133,0))</f>
        <v>53306.5546044182</v>
      </c>
      <c r="U135" s="95" t="n">
        <f aca="false">MIN(U134,MAX(U133,0))</f>
        <v>49253.5249266123</v>
      </c>
      <c r="V135" s="95" t="n">
        <f aca="false">MIN(V134,MAX(V133,0))</f>
        <v>44786.599228173</v>
      </c>
      <c r="W135" s="95" t="n">
        <f aca="false">MIN(W134,MAX(W133,0))</f>
        <v>29722.1175296775</v>
      </c>
    </row>
    <row r="136" customFormat="false" ht="15" hidden="false" customHeight="false" outlineLevel="0" collapsed="false">
      <c r="A136" s="11" t="s">
        <v>470</v>
      </c>
      <c r="C136" s="95" t="n">
        <v>0</v>
      </c>
      <c r="D136" s="95" t="n">
        <f aca="false">D134-D135+MAX(-D133,0)</f>
        <v>65821.2982739605</v>
      </c>
      <c r="E136" s="95" t="n">
        <f aca="false">E134-E135+MAX(-E133,0)</f>
        <v>106503.944034293</v>
      </c>
      <c r="F136" s="95" t="n">
        <f aca="false">F134-F135+MAX(-F133,0)</f>
        <v>127253.761789964</v>
      </c>
      <c r="G136" s="95" t="n">
        <f aca="false">G134-G135+MAX(-G133,0)</f>
        <v>144482.945621105</v>
      </c>
      <c r="H136" s="95" t="n">
        <f aca="false">H134-H135+MAX(-H133,0)</f>
        <v>156146.775553283</v>
      </c>
      <c r="I136" s="95" t="n">
        <f aca="false">I134-I135+MAX(-I133,0)</f>
        <v>161849.504217318</v>
      </c>
      <c r="J136" s="95" t="n">
        <f aca="false">J134-J135+MAX(-J133,0)</f>
        <v>163047.725385362</v>
      </c>
      <c r="K136" s="95" t="n">
        <f aca="false">K134-K135+MAX(-K133,0)</f>
        <v>165415.227632235</v>
      </c>
      <c r="L136" s="95" t="n">
        <f aca="false">L134-L135+MAX(-L133,0)</f>
        <v>169157.114810196</v>
      </c>
      <c r="M136" s="95" t="n">
        <f aca="false">M134-M135+MAX(-M133,0)</f>
        <v>174493.989135823</v>
      </c>
      <c r="N136" s="95" t="n">
        <f aca="false">N134-N135+MAX(-N133,0)</f>
        <v>181662.960185503</v>
      </c>
      <c r="O136" s="95" t="n">
        <f aca="false">O134-O135+MAX(-O133,0)</f>
        <v>190918.716669833</v>
      </c>
      <c r="P136" s="95" t="n">
        <f aca="false">P134-P135+MAX(-P133,0)</f>
        <v>202534.664834625</v>
      </c>
      <c r="Q136" s="95" t="n">
        <f aca="false">Q134-Q135+MAX(-Q133,0)</f>
        <v>216804.137570842</v>
      </c>
      <c r="R136" s="95" t="n">
        <f aca="false">R134-R135+MAX(-R133,0)</f>
        <v>234041.678564809</v>
      </c>
      <c r="S136" s="95" t="n">
        <f aca="false">S134-S135+MAX(-S133,0)</f>
        <v>177068.796288881</v>
      </c>
      <c r="T136" s="95" t="n">
        <f aca="false">T134-T135+MAX(-T133,0)</f>
        <v>123762.241684463</v>
      </c>
      <c r="U136" s="95" t="n">
        <f aca="false">U134-U135+MAX(-U133,0)</f>
        <v>74508.7167578505</v>
      </c>
      <c r="V136" s="95" t="n">
        <f aca="false">V134-V135+MAX(-V133,0)</f>
        <v>29722.1175296775</v>
      </c>
      <c r="W136" s="95" t="n">
        <f aca="false">W134-W135+MAX(-W133,0)</f>
        <v>0</v>
      </c>
    </row>
    <row r="137" customFormat="false" ht="15" hidden="false" customHeight="false" outlineLevel="0" collapsed="false">
      <c r="A137" s="11" t="s">
        <v>471</v>
      </c>
      <c r="B137" s="66" t="n">
        <f aca="false">SUM(C137:W137)</f>
        <v>2538.6829538397</v>
      </c>
      <c r="C137" s="95" t="n">
        <v>0</v>
      </c>
      <c r="D137" s="95" t="n">
        <f aca="false">(MAX(D133,0)-D135)*TaxRate</f>
        <v>0</v>
      </c>
      <c r="E137" s="95" t="n">
        <f aca="false">(MAX(E133,0)-E135)*TaxRate</f>
        <v>0</v>
      </c>
      <c r="F137" s="95" t="n">
        <f aca="false">(MAX(F133,0)-F135)*TaxRate</f>
        <v>0</v>
      </c>
      <c r="G137" s="95" t="n">
        <f aca="false">(MAX(G133,0)-G135)*TaxRate</f>
        <v>0</v>
      </c>
      <c r="H137" s="95" t="n">
        <f aca="false">(MAX(H133,0)-H135)*TaxRate</f>
        <v>0</v>
      </c>
      <c r="I137" s="95" t="n">
        <f aca="false">(MAX(I133,0)-I135)*TaxRate</f>
        <v>0</v>
      </c>
      <c r="J137" s="95" t="n">
        <f aca="false">(MAX(J133,0)-J135)*TaxRate</f>
        <v>0</v>
      </c>
      <c r="K137" s="95" t="n">
        <f aca="false">(MAX(K133,0)-K135)*TaxRate</f>
        <v>0</v>
      </c>
      <c r="L137" s="95" t="n">
        <f aca="false">(MAX(L133,0)-L135)*TaxRate</f>
        <v>0</v>
      </c>
      <c r="M137" s="95" t="n">
        <f aca="false">(MAX(M133,0)-M135)*TaxRate</f>
        <v>0</v>
      </c>
      <c r="N137" s="95" t="n">
        <f aca="false">(MAX(N133,0)-N135)*TaxRate</f>
        <v>0</v>
      </c>
      <c r="O137" s="95" t="n">
        <f aca="false">(MAX(O133,0)-O135)*TaxRate</f>
        <v>0</v>
      </c>
      <c r="P137" s="95" t="n">
        <f aca="false">(MAX(P133,0)-P135)*TaxRate</f>
        <v>0</v>
      </c>
      <c r="Q137" s="95" t="n">
        <f aca="false">(MAX(Q133,0)-Q135)*TaxRate</f>
        <v>0</v>
      </c>
      <c r="R137" s="95" t="n">
        <f aca="false">(MAX(R133,0)-R135)*TaxRate</f>
        <v>0</v>
      </c>
      <c r="S137" s="95" t="n">
        <f aca="false">(MAX(S133,0)-S135)*TaxRate</f>
        <v>0</v>
      </c>
      <c r="T137" s="95" t="n">
        <f aca="false">(MAX(T133,0)-T135)*TaxRate</f>
        <v>0</v>
      </c>
      <c r="U137" s="95" t="n">
        <f aca="false">(MAX(U133,0)-U135)*TaxRate</f>
        <v>0</v>
      </c>
      <c r="V137" s="95" t="n">
        <f aca="false">(MAX(V133,0)-V135)*TaxRate</f>
        <v>0</v>
      </c>
      <c r="W137" s="95" t="n">
        <f aca="false">(MAX(W133,0)-W135)*TaxRate</f>
        <v>2538.6829538397</v>
      </c>
    </row>
    <row r="138" customFormat="false" ht="15" hidden="false" customHeight="false" outlineLevel="0" collapsed="false">
      <c r="A138" s="11" t="s">
        <v>472</v>
      </c>
      <c r="B138" s="66" t="n">
        <f aca="false">SUM(C138:W138)</f>
        <v>-104852.056878081</v>
      </c>
      <c r="C138" s="95" t="n">
        <v>0</v>
      </c>
      <c r="D138" s="95" t="n">
        <f aca="false">D98-D132-D114-D121</f>
        <v>-80452.3860941068</v>
      </c>
      <c r="E138" s="95" t="n">
        <f aca="false">E98-E132-E114-E121</f>
        <v>-55313.7335804787</v>
      </c>
      <c r="F138" s="95" t="n">
        <f aca="false">F98-F132-F114-F121</f>
        <v>-35380.9055758174</v>
      </c>
      <c r="G138" s="95" t="n">
        <f aca="false">G98-G132-G114-G121</f>
        <v>-30876.1169586079</v>
      </c>
      <c r="H138" s="95" t="n">
        <f aca="false">H98-H132-H114-H121</f>
        <v>-24228.1928976969</v>
      </c>
      <c r="I138" s="95" t="n">
        <f aca="false">I98-I132-I114-I121</f>
        <v>-17076.2644514118</v>
      </c>
      <c r="J138" s="95" t="n">
        <f aca="false">J98-J132-J114-J121</f>
        <v>-10967.3215511406</v>
      </c>
      <c r="K138" s="95" t="n">
        <f aca="false">K98-K132-K114-K121</f>
        <v>-10392.3404708442</v>
      </c>
      <c r="L138" s="95" t="n">
        <f aca="false">L98-L132-L114-L121</f>
        <v>-9869.27231604421</v>
      </c>
      <c r="M138" s="95" t="n">
        <f aca="false">M98-M132-M114-M121</f>
        <v>-9398.93341705765</v>
      </c>
      <c r="N138" s="95" t="n">
        <f aca="false">N98-N132-N114-N121</f>
        <v>-8981.70000805179</v>
      </c>
      <c r="O138" s="95" t="n">
        <f aca="false">O98-O132-O114-O121</f>
        <v>-10727.0496566836</v>
      </c>
      <c r="P138" s="95" t="n">
        <f aca="false">P98-P132-P114-P121</f>
        <v>-12735.5624775445</v>
      </c>
      <c r="Q138" s="95" t="n">
        <f aca="false">Q98-Q132-Q114-Q121</f>
        <v>-15026.8578235813</v>
      </c>
      <c r="R138" s="95" t="n">
        <f aca="false">R98-R132-R114-R121</f>
        <v>-17621.8299791814</v>
      </c>
      <c r="S138" s="95" t="n">
        <f aca="false">S98-S132-S114-S121</f>
        <v>56972.8822759284</v>
      </c>
      <c r="T138" s="95" t="n">
        <f aca="false">T98-T132-T114-T121</f>
        <v>53306.5546044182</v>
      </c>
      <c r="U138" s="95" t="n">
        <f aca="false">U98-U132-U114-U121</f>
        <v>49253.5249266123</v>
      </c>
      <c r="V138" s="95" t="n">
        <f aca="false">V98-V132-V114-V121</f>
        <v>44786.599228173</v>
      </c>
      <c r="W138" s="95" t="n">
        <f aca="false">W98-W132-W114-W121</f>
        <v>39876.8493450363</v>
      </c>
    </row>
    <row r="139" customFormat="false" ht="15" hidden="false" customHeight="false" outlineLevel="0" collapsed="false">
      <c r="A139" s="11" t="s">
        <v>468</v>
      </c>
      <c r="C139" s="95" t="n">
        <v>0</v>
      </c>
      <c r="D139" s="95" t="n">
        <f aca="false">0</f>
        <v>0</v>
      </c>
      <c r="E139" s="95" t="n">
        <f aca="false">D141</f>
        <v>80452.3860941068</v>
      </c>
      <c r="F139" s="95" t="n">
        <f aca="false">E141</f>
        <v>135766.119674586</v>
      </c>
      <c r="G139" s="95" t="n">
        <f aca="false">F141</f>
        <v>171147.025250403</v>
      </c>
      <c r="H139" s="95" t="n">
        <f aca="false">G141</f>
        <v>202023.142209011</v>
      </c>
      <c r="I139" s="95" t="n">
        <f aca="false">H141</f>
        <v>226251.335106708</v>
      </c>
      <c r="J139" s="95" t="n">
        <f aca="false">I141</f>
        <v>243327.59955812</v>
      </c>
      <c r="K139" s="95" t="n">
        <f aca="false">J141</f>
        <v>254294.92110926</v>
      </c>
      <c r="L139" s="95" t="n">
        <f aca="false">K141</f>
        <v>264687.261580104</v>
      </c>
      <c r="M139" s="95" t="n">
        <f aca="false">L141</f>
        <v>274556.533896149</v>
      </c>
      <c r="N139" s="95" t="n">
        <f aca="false">M141</f>
        <v>283955.467313206</v>
      </c>
      <c r="O139" s="95" t="n">
        <f aca="false">N141</f>
        <v>292937.167321258</v>
      </c>
      <c r="P139" s="95" t="n">
        <f aca="false">O141</f>
        <v>303664.216977942</v>
      </c>
      <c r="Q139" s="95" t="n">
        <f aca="false">P141</f>
        <v>316399.779455486</v>
      </c>
      <c r="R139" s="95" t="n">
        <f aca="false">Q141</f>
        <v>331426.637279067</v>
      </c>
      <c r="S139" s="95" t="n">
        <f aca="false">R141</f>
        <v>349048.467258249</v>
      </c>
      <c r="T139" s="95" t="n">
        <f aca="false">S141</f>
        <v>292075.58498232</v>
      </c>
      <c r="U139" s="95" t="n">
        <f aca="false">T141</f>
        <v>238769.030377902</v>
      </c>
      <c r="V139" s="95" t="n">
        <f aca="false">U141</f>
        <v>189515.50545129</v>
      </c>
      <c r="W139" s="95" t="n">
        <f aca="false">V141</f>
        <v>144728.906223117</v>
      </c>
    </row>
    <row r="140" customFormat="false" ht="15" hidden="false" customHeight="false" outlineLevel="0" collapsed="false">
      <c r="A140" s="11" t="s">
        <v>469</v>
      </c>
      <c r="C140" s="95" t="n">
        <v>0</v>
      </c>
      <c r="D140" s="95" t="n">
        <f aca="false">MIN(D139,MAX(D138,0))</f>
        <v>0</v>
      </c>
      <c r="E140" s="95" t="n">
        <f aca="false">MIN(E139,MAX(E138,0))</f>
        <v>0</v>
      </c>
      <c r="F140" s="95" t="n">
        <f aca="false">MIN(F139,MAX(F138,0))</f>
        <v>0</v>
      </c>
      <c r="G140" s="95" t="n">
        <f aca="false">MIN(G139,MAX(G138,0))</f>
        <v>0</v>
      </c>
      <c r="H140" s="95" t="n">
        <f aca="false">MIN(H139,MAX(H138,0))</f>
        <v>0</v>
      </c>
      <c r="I140" s="95" t="n">
        <f aca="false">MIN(I139,MAX(I138,0))</f>
        <v>0</v>
      </c>
      <c r="J140" s="95" t="n">
        <f aca="false">MIN(J139,MAX(J138,0))</f>
        <v>0</v>
      </c>
      <c r="K140" s="95" t="n">
        <f aca="false">MIN(K139,MAX(K138,0))</f>
        <v>0</v>
      </c>
      <c r="L140" s="95" t="n">
        <f aca="false">MIN(L139,MAX(L138,0))</f>
        <v>0</v>
      </c>
      <c r="M140" s="95" t="n">
        <f aca="false">MIN(M139,MAX(M138,0))</f>
        <v>0</v>
      </c>
      <c r="N140" s="95" t="n">
        <f aca="false">MIN(N139,MAX(N138,0))</f>
        <v>0</v>
      </c>
      <c r="O140" s="95" t="n">
        <f aca="false">MIN(O139,MAX(O138,0))</f>
        <v>0</v>
      </c>
      <c r="P140" s="95" t="n">
        <f aca="false">MIN(P139,MAX(P138,0))</f>
        <v>0</v>
      </c>
      <c r="Q140" s="95" t="n">
        <f aca="false">MIN(Q139,MAX(Q138,0))</f>
        <v>0</v>
      </c>
      <c r="R140" s="95" t="n">
        <f aca="false">MIN(R139,MAX(R138,0))</f>
        <v>0</v>
      </c>
      <c r="S140" s="95" t="n">
        <f aca="false">MIN(S139,MAX(S138,0))</f>
        <v>56972.8822759284</v>
      </c>
      <c r="T140" s="95" t="n">
        <f aca="false">MIN(T139,MAX(T138,0))</f>
        <v>53306.5546044182</v>
      </c>
      <c r="U140" s="95" t="n">
        <f aca="false">MIN(U139,MAX(U138,0))</f>
        <v>49253.5249266123</v>
      </c>
      <c r="V140" s="95" t="n">
        <f aca="false">MIN(V139,MAX(V138,0))</f>
        <v>44786.599228173</v>
      </c>
      <c r="W140" s="95" t="n">
        <f aca="false">MIN(W139,MAX(W138,0))</f>
        <v>39876.8493450363</v>
      </c>
    </row>
    <row r="141" customFormat="false" ht="15" hidden="false" customHeight="false" outlineLevel="0" collapsed="false">
      <c r="A141" s="11" t="s">
        <v>470</v>
      </c>
      <c r="C141" s="95" t="n">
        <v>0</v>
      </c>
      <c r="D141" s="95" t="n">
        <f aca="false">D139-D140+MAX(-D138,0)</f>
        <v>80452.3860941068</v>
      </c>
      <c r="E141" s="95" t="n">
        <f aca="false">E139-E140+MAX(-E138,0)</f>
        <v>135766.119674586</v>
      </c>
      <c r="F141" s="95" t="n">
        <f aca="false">F139-F140+MAX(-F138,0)</f>
        <v>171147.025250403</v>
      </c>
      <c r="G141" s="95" t="n">
        <f aca="false">G139-G140+MAX(-G138,0)</f>
        <v>202023.142209011</v>
      </c>
      <c r="H141" s="95" t="n">
        <f aca="false">H139-H140+MAX(-H138,0)</f>
        <v>226251.335106708</v>
      </c>
      <c r="I141" s="95" t="n">
        <f aca="false">I139-I140+MAX(-I138,0)</f>
        <v>243327.59955812</v>
      </c>
      <c r="J141" s="95" t="n">
        <f aca="false">J139-J140+MAX(-J138,0)</f>
        <v>254294.92110926</v>
      </c>
      <c r="K141" s="95" t="n">
        <f aca="false">K139-K140+MAX(-K138,0)</f>
        <v>264687.261580104</v>
      </c>
      <c r="L141" s="95" t="n">
        <f aca="false">L139-L140+MAX(-L138,0)</f>
        <v>274556.533896149</v>
      </c>
      <c r="M141" s="95" t="n">
        <f aca="false">M139-M140+MAX(-M138,0)</f>
        <v>283955.467313206</v>
      </c>
      <c r="N141" s="95" t="n">
        <f aca="false">N139-N140+MAX(-N138,0)</f>
        <v>292937.167321258</v>
      </c>
      <c r="O141" s="95" t="n">
        <f aca="false">O139-O140+MAX(-O138,0)</f>
        <v>303664.216977942</v>
      </c>
      <c r="P141" s="95" t="n">
        <f aca="false">P139-P140+MAX(-P138,0)</f>
        <v>316399.779455486</v>
      </c>
      <c r="Q141" s="95" t="n">
        <f aca="false">Q139-Q140+MAX(-Q138,0)</f>
        <v>331426.637279067</v>
      </c>
      <c r="R141" s="95" t="n">
        <f aca="false">R139-R140+MAX(-R138,0)</f>
        <v>349048.467258249</v>
      </c>
      <c r="S141" s="95" t="n">
        <f aca="false">S139-S140+MAX(-S138,0)</f>
        <v>292075.58498232</v>
      </c>
      <c r="T141" s="95" t="n">
        <f aca="false">T139-T140+MAX(-T138,0)</f>
        <v>238769.030377902</v>
      </c>
      <c r="U141" s="95" t="n">
        <f aca="false">U139-U140+MAX(-U138,0)</f>
        <v>189515.50545129</v>
      </c>
      <c r="V141" s="95" t="n">
        <f aca="false">V139-V140+MAX(-V138,0)</f>
        <v>144728.906223117</v>
      </c>
      <c r="W141" s="95" t="n">
        <f aca="false">W139-W140+MAX(-W138,0)</f>
        <v>104852.056878081</v>
      </c>
    </row>
    <row r="142" customFormat="false" ht="15" hidden="false" customHeight="false" outlineLevel="0" collapsed="false">
      <c r="A142" s="11" t="s">
        <v>473</v>
      </c>
      <c r="B142" s="66" t="n">
        <f aca="false">SUM(C142:W142)</f>
        <v>0</v>
      </c>
      <c r="C142" s="95" t="n">
        <v>0</v>
      </c>
      <c r="D142" s="95" t="n">
        <f aca="false">(MAX(D138,0)-D140)*TaxRate</f>
        <v>0</v>
      </c>
      <c r="E142" s="95" t="n">
        <f aca="false">(MAX(E138,0)-E140)*TaxRate</f>
        <v>0</v>
      </c>
      <c r="F142" s="95" t="n">
        <f aca="false">(MAX(F138,0)-F140)*TaxRate</f>
        <v>0</v>
      </c>
      <c r="G142" s="95" t="n">
        <f aca="false">(MAX(G138,0)-G140)*TaxRate</f>
        <v>0</v>
      </c>
      <c r="H142" s="95" t="n">
        <f aca="false">(MAX(H138,0)-H140)*TaxRate</f>
        <v>0</v>
      </c>
      <c r="I142" s="95" t="n">
        <f aca="false">(MAX(I138,0)-I140)*TaxRate</f>
        <v>0</v>
      </c>
      <c r="J142" s="95" t="n">
        <f aca="false">(MAX(J138,0)-J140)*TaxRate</f>
        <v>0</v>
      </c>
      <c r="K142" s="95" t="n">
        <f aca="false">(MAX(K138,0)-K140)*TaxRate</f>
        <v>0</v>
      </c>
      <c r="L142" s="95" t="n">
        <f aca="false">(MAX(L138,0)-L140)*TaxRate</f>
        <v>0</v>
      </c>
      <c r="M142" s="95" t="n">
        <f aca="false">(MAX(M138,0)-M140)*TaxRate</f>
        <v>0</v>
      </c>
      <c r="N142" s="95" t="n">
        <f aca="false">(MAX(N138,0)-N140)*TaxRate</f>
        <v>0</v>
      </c>
      <c r="O142" s="95" t="n">
        <f aca="false">(MAX(O138,0)-O140)*TaxRate</f>
        <v>0</v>
      </c>
      <c r="P142" s="95" t="n">
        <f aca="false">(MAX(P138,0)-P140)*TaxRate</f>
        <v>0</v>
      </c>
      <c r="Q142" s="95" t="n">
        <f aca="false">(MAX(Q138,0)-Q140)*TaxRate</f>
        <v>0</v>
      </c>
      <c r="R142" s="95" t="n">
        <f aca="false">(MAX(R138,0)-R140)*TaxRate</f>
        <v>0</v>
      </c>
      <c r="S142" s="95" t="n">
        <f aca="false">(MAX(S138,0)-S140)*TaxRate</f>
        <v>0</v>
      </c>
      <c r="T142" s="95" t="n">
        <f aca="false">(MAX(T138,0)-T140)*TaxRate</f>
        <v>0</v>
      </c>
      <c r="U142" s="95" t="n">
        <f aca="false">(MAX(U138,0)-U140)*TaxRate</f>
        <v>0</v>
      </c>
      <c r="V142" s="95" t="n">
        <f aca="false">(MAX(V138,0)-V140)*TaxRate</f>
        <v>0</v>
      </c>
      <c r="W142" s="95" t="n">
        <f aca="false">(MAX(W138,0)-W140)*TaxRate</f>
        <v>0</v>
      </c>
    </row>
    <row r="144" customFormat="false" ht="15" hidden="false" customHeight="false" outlineLevel="0" collapsed="false">
      <c r="A144" s="9" t="s">
        <v>474</v>
      </c>
      <c r="B144" s="10"/>
      <c r="C144" s="10"/>
      <c r="D144" s="10"/>
      <c r="E144" s="10"/>
      <c r="F144" s="10"/>
      <c r="G144" s="10"/>
      <c r="H144" s="10"/>
      <c r="I144" s="10"/>
      <c r="J144" s="10"/>
      <c r="K144" s="10"/>
      <c r="L144" s="10"/>
      <c r="M144" s="10"/>
      <c r="N144" s="10"/>
      <c r="O144" s="10"/>
      <c r="P144" s="10"/>
      <c r="Q144" s="10"/>
      <c r="R144" s="10"/>
      <c r="S144" s="10"/>
      <c r="T144" s="10"/>
      <c r="U144" s="10"/>
      <c r="V144" s="10"/>
      <c r="W144" s="10"/>
    </row>
    <row r="145" customFormat="false" ht="15" hidden="false" customHeight="false" outlineLevel="0" collapsed="false">
      <c r="A145" s="16" t="s">
        <v>475</v>
      </c>
      <c r="B145" s="66" t="n">
        <f aca="false">C145+NPV(Hurdle,D145:W145)</f>
        <v>-804952.496026467</v>
      </c>
      <c r="C145" s="31" t="n">
        <f aca="false">-C102+C98-C103-C137</f>
        <v>-1162734.14692871</v>
      </c>
      <c r="D145" s="31" t="n">
        <f aca="false">-D102+D98-D103-D137</f>
        <v>11694.3115212867</v>
      </c>
      <c r="E145" s="31" t="n">
        <f aca="false">-E102+E98-E103-E137</f>
        <v>36832.9640349148</v>
      </c>
      <c r="F145" s="31" t="n">
        <f aca="false">-F102+F98-F103-F137</f>
        <v>56765.7920395761</v>
      </c>
      <c r="G145" s="31" t="n">
        <f aca="false">-G102+G98-G103-G137</f>
        <v>60286.425964106</v>
      </c>
      <c r="H145" s="31" t="n">
        <f aca="false">-H102+H98-H103-H137</f>
        <v>65851.7798630695</v>
      </c>
      <c r="I145" s="31" t="n">
        <f aca="false">-I102+I98-I103-I137</f>
        <v>71812.8811312122</v>
      </c>
      <c r="J145" s="31" t="n">
        <f aca="false">-J102+J98-J103-J137</f>
        <v>76317.3886272031</v>
      </c>
      <c r="K145" s="31" t="n">
        <f aca="false">-K102+K98-K103-K137</f>
        <v>-90755.3301563276</v>
      </c>
      <c r="L145" s="31" t="n">
        <f aca="false">-L102+L98-L103-L137</f>
        <v>73773.7226172858</v>
      </c>
      <c r="M145" s="31" t="n">
        <f aca="false">-M102+M98-M103-M137</f>
        <v>72178.7354696201</v>
      </c>
      <c r="N145" s="31" t="n">
        <f aca="false">-N102+N98-N103-N137</f>
        <v>70346.6387455679</v>
      </c>
      <c r="O145" s="31" t="n">
        <f aca="false">-O102+O98-O103-O137</f>
        <v>68259.8533109164</v>
      </c>
      <c r="P145" s="31" t="n">
        <f aca="false">-P102+P98-P103-P137</f>
        <v>65899.6616304553</v>
      </c>
      <c r="Q145" s="31" t="n">
        <f aca="false">-Q102+Q98-Q103-Q137</f>
        <v>63246.1370590302</v>
      </c>
      <c r="R145" s="31" t="n">
        <f aca="false">-R102+R98-R103-R137</f>
        <v>60278.0688012801</v>
      </c>
      <c r="S145" s="31" t="n">
        <f aca="false">-S102+S98-S103-S137</f>
        <v>-153188.629007742</v>
      </c>
      <c r="T145" s="31" t="n">
        <f aca="false">-T102+T98-T103-T137</f>
        <v>53306.5546044182</v>
      </c>
      <c r="U145" s="31" t="n">
        <f aca="false">-U102+U98-U103-U137</f>
        <v>49253.5249266123</v>
      </c>
      <c r="V145" s="31" t="n">
        <f aca="false">-V102+V98-V103-V137</f>
        <v>44786.599228173</v>
      </c>
      <c r="W145" s="31" t="n">
        <f aca="false">-W102+W98-W103-W137</f>
        <v>37338.1663911966</v>
      </c>
    </row>
    <row r="146" customFormat="false" ht="15" hidden="false" customHeight="false" outlineLevel="0" collapsed="false">
      <c r="A146" s="16" t="s">
        <v>476</v>
      </c>
      <c r="B146" s="66" t="n">
        <f aca="false">C146+NPV(Hurdle,D146:W146)</f>
        <v>12967.8646046378</v>
      </c>
      <c r="C146" s="31" t="n">
        <f aca="false">C145+C106+C108</f>
        <v>-562734.146928707</v>
      </c>
      <c r="D146" s="31" t="n">
        <f aca="false">D145+D106+D108</f>
        <v>162894.311521287</v>
      </c>
      <c r="E146" s="31" t="n">
        <f aca="false">E145+E106+E108</f>
        <v>99832.9640349148</v>
      </c>
      <c r="F146" s="31" t="n">
        <f aca="false">F145+F106+F108</f>
        <v>94565.7920395761</v>
      </c>
      <c r="G146" s="31" t="n">
        <f aca="false">G145+G106+G108</f>
        <v>60286.425964106</v>
      </c>
      <c r="H146" s="31" t="n">
        <f aca="false">H145+H106+H108</f>
        <v>65851.7798630695</v>
      </c>
      <c r="I146" s="31" t="n">
        <f aca="false">I145+I106+I108</f>
        <v>71812.8811312122</v>
      </c>
      <c r="J146" s="31" t="n">
        <f aca="false">J145+J106+J108</f>
        <v>76317.3886272031</v>
      </c>
      <c r="K146" s="31" t="n">
        <f aca="false">K145+K106+K108</f>
        <v>-90755.3301563276</v>
      </c>
      <c r="L146" s="31" t="n">
        <f aca="false">L145+L106+L108</f>
        <v>73773.7226172858</v>
      </c>
      <c r="M146" s="31" t="n">
        <f aca="false">M145+M106+M108</f>
        <v>72178.7354696201</v>
      </c>
      <c r="N146" s="31" t="n">
        <f aca="false">N145+N106+N108</f>
        <v>70346.6387455679</v>
      </c>
      <c r="O146" s="31" t="n">
        <f aca="false">O145+O106+O108</f>
        <v>68259.8533109164</v>
      </c>
      <c r="P146" s="31" t="n">
        <f aca="false">P145+P106+P108</f>
        <v>65899.6616304553</v>
      </c>
      <c r="Q146" s="31" t="n">
        <f aca="false">Q145+Q106+Q108</f>
        <v>63246.1370590302</v>
      </c>
      <c r="R146" s="31" t="n">
        <f aca="false">R145+R106+R108</f>
        <v>60278.0688012801</v>
      </c>
      <c r="S146" s="31" t="n">
        <f aca="false">S145+S106+S108</f>
        <v>-153188.629007742</v>
      </c>
      <c r="T146" s="31" t="n">
        <f aca="false">T145+T106+T108</f>
        <v>53306.5546044182</v>
      </c>
      <c r="U146" s="31" t="n">
        <f aca="false">U145+U106+U108</f>
        <v>49253.5249266123</v>
      </c>
      <c r="V146" s="31" t="n">
        <f aca="false">V145+V106+V108</f>
        <v>44786.599228173</v>
      </c>
      <c r="W146" s="31" t="n">
        <f aca="false">W145+W106+W108</f>
        <v>37338.1663911966</v>
      </c>
    </row>
    <row r="147" customFormat="false" ht="15" hidden="false" customHeight="false" outlineLevel="0" collapsed="false">
      <c r="A147" s="11" t="s">
        <v>243</v>
      </c>
      <c r="B147" s="66" t="n">
        <f aca="false">SUM(C147:W147)</f>
        <v>1048823.9297557</v>
      </c>
      <c r="C147" s="95" t="n">
        <v>0</v>
      </c>
      <c r="D147" s="95" t="n">
        <f aca="false">D98-D105-D142+D108</f>
        <v>142156.381808199</v>
      </c>
      <c r="E147" s="95" t="n">
        <f aca="false">E98-E105-E142+E108</f>
        <v>79095.0343218271</v>
      </c>
      <c r="F147" s="95" t="n">
        <f aca="false">F98-F105-F142+F108</f>
        <v>73827.8623264885</v>
      </c>
      <c r="G147" s="95" t="n">
        <f aca="false">G98-G105-G142+G108</f>
        <v>39548.4962510184</v>
      </c>
      <c r="H147" s="95" t="n">
        <f aca="false">H98-H105-H142+H108</f>
        <v>45113.8501499818</v>
      </c>
      <c r="I147" s="95" t="n">
        <f aca="false">I98-I105-I142+I108</f>
        <v>51074.9514181245</v>
      </c>
      <c r="J147" s="95" t="n">
        <f aca="false">J98-J105-J142+J108</f>
        <v>55579.4589141154</v>
      </c>
      <c r="K147" s="95" t="n">
        <f aca="false">K98-K105-K142+K108</f>
        <v>54410.1778352862</v>
      </c>
      <c r="L147" s="95" t="n">
        <f aca="false">L98-L105-L142+L108</f>
        <v>47503.5337068271</v>
      </c>
      <c r="M147" s="95" t="n">
        <f aca="false">M98-M105-M142+M108</f>
        <v>45908.5465591614</v>
      </c>
      <c r="N147" s="95" t="n">
        <f aca="false">N98-N105-N142+N108</f>
        <v>44076.4498351092</v>
      </c>
      <c r="O147" s="95" t="n">
        <f aca="false">O98-O105-O142+O108</f>
        <v>41989.6644004577</v>
      </c>
      <c r="P147" s="95" t="n">
        <f aca="false">P98-P105-P142+P108</f>
        <v>39629.4727199965</v>
      </c>
      <c r="Q147" s="95" t="n">
        <f aca="false">Q98-Q105-Q142+Q108</f>
        <v>36975.9481485715</v>
      </c>
      <c r="R147" s="95" t="n">
        <f aca="false">R98-R105-R142+R108</f>
        <v>34007.8798908214</v>
      </c>
      <c r="S147" s="95" t="n">
        <f aca="false">S98-S105-S142+S108</f>
        <v>30702.6933654697</v>
      </c>
      <c r="T147" s="95" t="n">
        <f aca="false">T98-T105-T142+T108</f>
        <v>53306.5546044182</v>
      </c>
      <c r="U147" s="95" t="n">
        <f aca="false">U98-U105-U142+U108</f>
        <v>49253.5249266123</v>
      </c>
      <c r="V147" s="95" t="n">
        <f aca="false">V98-V105-V142+V108</f>
        <v>44786.599228173</v>
      </c>
      <c r="W147" s="95" t="n">
        <f aca="false">W98-W105-W142+W108</f>
        <v>39876.8493450363</v>
      </c>
    </row>
    <row r="148" customFormat="false" ht="15" hidden="false" customHeight="false" outlineLevel="0" collapsed="false">
      <c r="A148" s="11" t="s">
        <v>477</v>
      </c>
      <c r="C148" s="97" t="n">
        <v>0</v>
      </c>
      <c r="D148" s="97" t="n">
        <f aca="false">IF(D125&gt;0,D147/D125,"")</f>
        <v>9.71605006788734</v>
      </c>
      <c r="E148" s="97" t="n">
        <f aca="false">IF(E125&gt;0,E147/E125,"")</f>
        <v>5.40595718473623</v>
      </c>
      <c r="F148" s="97" t="n">
        <f aca="false">IF(F125&gt;0,F147/F125,"")</f>
        <v>3.01675169387765</v>
      </c>
      <c r="G148" s="97" t="n">
        <f aca="false">IF(G125&gt;0,G147/G125,"")</f>
        <v>1.6160293593218</v>
      </c>
      <c r="H148" s="97" t="n">
        <f aca="false">IF(H125&gt;0,H147/H125,"")</f>
        <v>1.84344066817807</v>
      </c>
      <c r="I148" s="97" t="n">
        <f aca="false">IF(I125&gt;0,I147/I125,"")</f>
        <v>1.48949330636623</v>
      </c>
      <c r="J148" s="97" t="n">
        <f aca="false">IF(J125&gt;0,J147/J125,"")</f>
        <v>1.62085777324214</v>
      </c>
      <c r="K148" s="97" t="n">
        <f aca="false">IF(K125&gt;0,K147/K125,"")</f>
        <v>1.58675815509627</v>
      </c>
      <c r="L148" s="97" t="n">
        <f aca="false">IF(L125&gt;0,L147/L125,"")</f>
        <v>1.38534043636805</v>
      </c>
      <c r="M148" s="97" t="n">
        <f aca="false">IF(M125&gt;0,M147/M125,"")</f>
        <v>1.33882599799415</v>
      </c>
      <c r="N148" s="97" t="n">
        <f aca="false">IF(N125&gt;0,N147/N125,"")</f>
        <v>3.34066325520218</v>
      </c>
      <c r="O148" s="97" t="n">
        <f aca="false">IF(O125&gt;0,O147/O125,"")</f>
        <v>3.18250062075429</v>
      </c>
      <c r="P148" s="97" t="n">
        <f aca="false">IF(P125&gt;0,P147/P125,"")</f>
        <v>3.00361585005141</v>
      </c>
      <c r="Q148" s="97" t="n">
        <f aca="false">IF(Q125&gt;0,Q147/Q125,"")</f>
        <v>2.80249865332395</v>
      </c>
      <c r="R148" s="97" t="n">
        <f aca="false">IF(R125&gt;0,R147/R125,"")</f>
        <v>2.57754141187889</v>
      </c>
      <c r="S148" s="97" t="str">
        <f aca="false">IF(S125&gt;0,S147/S125,"")</f>
        <v/>
      </c>
      <c r="T148" s="97" t="str">
        <f aca="false">IF(T125&gt;0,T147/T125,"")</f>
        <v/>
      </c>
      <c r="U148" s="97" t="str">
        <f aca="false">IF(U125&gt;0,U147/U125,"")</f>
        <v/>
      </c>
      <c r="V148" s="97" t="str">
        <f aca="false">IF(V125&gt;0,V147/V125,"")</f>
        <v/>
      </c>
      <c r="W148" s="97" t="str">
        <f aca="false">IF(W125&gt;0,W147/W125,"")</f>
        <v/>
      </c>
    </row>
    <row r="149" customFormat="false" ht="15" hidden="false" customHeight="false" outlineLevel="0" collapsed="false">
      <c r="A149" s="16" t="s">
        <v>478</v>
      </c>
      <c r="B149" s="66" t="n">
        <f aca="false">C149+NPV(Hurdle,D149:W149)</f>
        <v>1086.24793217529</v>
      </c>
      <c r="C149" s="31" t="n">
        <f aca="false">-'Cash Flow'!$B$18-C129</f>
        <v>-344956.032067298</v>
      </c>
      <c r="D149" s="31" t="n">
        <f aca="false">D147-D125-D129</f>
        <v>127525.293988053</v>
      </c>
      <c r="E149" s="31" t="n">
        <f aca="false">E147-E125-E129</f>
        <v>59543.1730382826</v>
      </c>
      <c r="F149" s="31" t="n">
        <f aca="false">F147-F125-F129</f>
        <v>49355.2275795457</v>
      </c>
      <c r="G149" s="31" t="n">
        <f aca="false">G147-G125-G129</f>
        <v>15075.8615040756</v>
      </c>
      <c r="H149" s="31" t="n">
        <f aca="false">H147-H125-H129</f>
        <v>15732.4569309777</v>
      </c>
      <c r="I149" s="31" t="n">
        <f aca="false">I147-I125-I129</f>
        <v>16784.7997270591</v>
      </c>
      <c r="J149" s="31" t="n">
        <f aca="false">J147-J125-J129</f>
        <v>21289.30722305</v>
      </c>
      <c r="K149" s="31" t="n">
        <f aca="false">K147-K125-K129</f>
        <v>20120.0261442208</v>
      </c>
      <c r="L149" s="31" t="n">
        <f aca="false">L147-L125-L129</f>
        <v>13213.3820157617</v>
      </c>
      <c r="M149" s="31" t="n">
        <f aca="false">M147-M125-M129</f>
        <v>22166.5098007812</v>
      </c>
      <c r="N149" s="31" t="n">
        <f aca="false">N147-N125-N129</f>
        <v>30882.5280094142</v>
      </c>
      <c r="O149" s="31" t="n">
        <f aca="false">O147-O125-O129</f>
        <v>28795.7425747628</v>
      </c>
      <c r="P149" s="31" t="n">
        <f aca="false">P147-P125-P129</f>
        <v>26435.5508943016</v>
      </c>
      <c r="Q149" s="31" t="n">
        <f aca="false">Q147-Q125-Q129</f>
        <v>23782.0263228765</v>
      </c>
      <c r="R149" s="31" t="n">
        <f aca="false">R147-R125-R129</f>
        <v>27410.9189779739</v>
      </c>
      <c r="S149" s="31" t="n">
        <f aca="false">S147-S125-S129</f>
        <v>30702.6933654697</v>
      </c>
      <c r="T149" s="31" t="n">
        <f aca="false">T147-T125-T129</f>
        <v>53306.5546044182</v>
      </c>
      <c r="U149" s="31" t="n">
        <f aca="false">U147-U125-U129</f>
        <v>49253.5249266123</v>
      </c>
      <c r="V149" s="31" t="n">
        <f aca="false">V147-V125-V129</f>
        <v>44786.599228173</v>
      </c>
      <c r="W149" s="31" t="n">
        <f aca="false">W147-W125-W129</f>
        <v>39876.8493450363</v>
      </c>
    </row>
    <row r="150" customFormat="false" ht="15" hidden="false" customHeight="false" outlineLevel="0" collapsed="false">
      <c r="A150" s="11" t="s">
        <v>479</v>
      </c>
      <c r="C150" s="95" t="n">
        <f aca="false">C149</f>
        <v>-344956.032067298</v>
      </c>
      <c r="D150" s="95" t="n">
        <f aca="false">C150+D149</f>
        <v>-217430.738079245</v>
      </c>
      <c r="E150" s="95" t="n">
        <f aca="false">D150+E149</f>
        <v>-157887.565040962</v>
      </c>
      <c r="F150" s="95" t="n">
        <f aca="false">E150+F149</f>
        <v>-108532.337461417</v>
      </c>
      <c r="G150" s="95" t="n">
        <f aca="false">F150+G149</f>
        <v>-93456.4759573409</v>
      </c>
      <c r="H150" s="95" t="n">
        <f aca="false">G150+H149</f>
        <v>-77724.0190263632</v>
      </c>
      <c r="I150" s="95" t="n">
        <f aca="false">H150+I149</f>
        <v>-60939.219299304</v>
      </c>
      <c r="J150" s="95" t="n">
        <f aca="false">I150+J149</f>
        <v>-39649.912076254</v>
      </c>
      <c r="K150" s="95" t="n">
        <f aca="false">J150+K149</f>
        <v>-19529.8859320333</v>
      </c>
      <c r="L150" s="95" t="n">
        <f aca="false">K150+L149</f>
        <v>-6316.50391627163</v>
      </c>
      <c r="M150" s="95" t="n">
        <f aca="false">L150+M149</f>
        <v>15850.0058845096</v>
      </c>
      <c r="N150" s="95" t="n">
        <f aca="false">M150+N149</f>
        <v>46732.5338939238</v>
      </c>
      <c r="O150" s="95" t="n">
        <f aca="false">N150+O149</f>
        <v>75528.2764686866</v>
      </c>
      <c r="P150" s="95" t="n">
        <f aca="false">O150+P149</f>
        <v>101963.827362988</v>
      </c>
      <c r="Q150" s="95" t="n">
        <f aca="false">P150+Q149</f>
        <v>125745.853685865</v>
      </c>
      <c r="R150" s="95" t="n">
        <f aca="false">Q150+R149</f>
        <v>153156.772663839</v>
      </c>
      <c r="S150" s="95" t="n">
        <f aca="false">R150+S149</f>
        <v>183859.466029308</v>
      </c>
      <c r="T150" s="95" t="n">
        <f aca="false">S150+T149</f>
        <v>237166.020633726</v>
      </c>
      <c r="U150" s="95" t="n">
        <f aca="false">T150+U149</f>
        <v>286419.545560339</v>
      </c>
      <c r="V150" s="95" t="n">
        <f aca="false">U150+V149</f>
        <v>331206.144788512</v>
      </c>
      <c r="W150" s="95" t="n">
        <f aca="false">V150+W149</f>
        <v>371082.994133548</v>
      </c>
    </row>
    <row r="152" customFormat="false" ht="15" hidden="false" customHeight="false" outlineLevel="0" collapsed="false">
      <c r="A152" s="9" t="s">
        <v>480</v>
      </c>
      <c r="B152" s="10"/>
      <c r="C152" s="10"/>
      <c r="D152" s="10"/>
      <c r="E152" s="10"/>
      <c r="F152" s="10"/>
      <c r="G152" s="10"/>
      <c r="H152" s="10"/>
      <c r="I152" s="10"/>
      <c r="J152" s="10"/>
      <c r="K152" s="10"/>
      <c r="L152" s="10"/>
      <c r="M152" s="10"/>
      <c r="N152" s="10"/>
      <c r="O152" s="10"/>
      <c r="P152" s="10"/>
      <c r="Q152" s="10"/>
      <c r="R152" s="10"/>
      <c r="S152" s="10"/>
      <c r="T152" s="10"/>
      <c r="U152" s="10"/>
      <c r="V152" s="10"/>
      <c r="W152" s="10"/>
    </row>
    <row r="153" customFormat="false" ht="15" hidden="false" customHeight="false" outlineLevel="0" collapsed="false">
      <c r="A153" s="11" t="s">
        <v>481</v>
      </c>
      <c r="B153" s="66" t="n">
        <f aca="false">C153+NPV(Hurdle,D153:W153)</f>
        <v>2323238.80329335</v>
      </c>
      <c r="C153" s="95" t="n">
        <f aca="false">C102+C96-C93+C103</f>
        <v>1162734.14692871</v>
      </c>
      <c r="D153" s="95" t="n">
        <f aca="false">D102+D96-D93+D103</f>
        <v>66407.5541247933</v>
      </c>
      <c r="E153" s="95" t="n">
        <f aca="false">E102+E96-E93+E103</f>
        <v>73279.1455139807</v>
      </c>
      <c r="F153" s="95" t="n">
        <f aca="false">F102+F96-F93+F103</f>
        <v>78859.6369550395</v>
      </c>
      <c r="G153" s="95" t="n">
        <f aca="false">G102+G96-G93+G103</f>
        <v>81823.4407312817</v>
      </c>
      <c r="H153" s="95" t="n">
        <f aca="false">H102+H96-H93+H103</f>
        <v>84912.5777140674</v>
      </c>
      <c r="I153" s="95" t="n">
        <f aca="false">I102+I96-I93+I103</f>
        <v>88133.0258223723</v>
      </c>
      <c r="J153" s="95" t="n">
        <f aca="false">J102+J96-J93+J103</f>
        <v>93369.2240598548</v>
      </c>
      <c r="K153" s="95" t="n">
        <f aca="false">K102+K96-K93+K103</f>
        <v>270775.857556027</v>
      </c>
      <c r="L153" s="95" t="n">
        <f aca="false">L102+L96-L93+L103</f>
        <v>117210.054901056</v>
      </c>
      <c r="M153" s="95" t="n">
        <f aca="false">M102+M96-M93+M103</f>
        <v>130435.954099588</v>
      </c>
      <c r="N153" s="95" t="n">
        <f aca="false">N102+N96-N93+N103</f>
        <v>144607.285418405</v>
      </c>
      <c r="O153" s="95" t="n">
        <f aca="false">O102+O96-O93+O103</f>
        <v>159784.764834643</v>
      </c>
      <c r="P153" s="95" t="n">
        <f aca="false">P102+P96-P93+P103</f>
        <v>176032.873760168</v>
      </c>
      <c r="Q153" s="95" t="n">
        <f aca="false">Q102+Q96-Q93+Q103</f>
        <v>193420.089736882</v>
      </c>
      <c r="R153" s="95" t="n">
        <f aca="false">R102+R96-R93+R103</f>
        <v>212019.131206504</v>
      </c>
      <c r="S153" s="95" t="n">
        <f aca="false">S102+S96-S93+S103</f>
        <v>442068.728495999</v>
      </c>
      <c r="T153" s="95" t="n">
        <f aca="false">T102+T96-T93+T103</f>
        <v>253166.342942675</v>
      </c>
      <c r="U153" s="95" t="n">
        <f aca="false">U102+U96-U93+U103</f>
        <v>275883.572081098</v>
      </c>
      <c r="V153" s="95" t="n">
        <f aca="false">V102+V96-V93+V103</f>
        <v>300151.346987307</v>
      </c>
      <c r="W153" s="95" t="n">
        <f aca="false">W102+W96-W93+W103</f>
        <v>326067.817794967</v>
      </c>
    </row>
    <row r="154" customFormat="false" ht="15" hidden="false" customHeight="false" outlineLevel="0" collapsed="false">
      <c r="A154" s="11" t="s">
        <v>482</v>
      </c>
      <c r="B154" s="76" t="n">
        <f aca="false">C154+NPV(Hurdle,D154:W154)</f>
        <v>3504620.16232003</v>
      </c>
      <c r="C154" s="93" t="n">
        <f aca="false">C66</f>
        <v>0</v>
      </c>
      <c r="D154" s="93" t="n">
        <f aca="false">D66</f>
        <v>211139.712</v>
      </c>
      <c r="E154" s="93" t="n">
        <f aca="false">E66</f>
        <v>308088.02976</v>
      </c>
      <c r="F154" s="93" t="n">
        <f aca="false">F66</f>
        <v>373330.200768</v>
      </c>
      <c r="G154" s="93" t="n">
        <f aca="false">G66</f>
        <v>384530.10679104</v>
      </c>
      <c r="H154" s="93" t="n">
        <f aca="false">H66</f>
        <v>396066.009994771</v>
      </c>
      <c r="I154" s="93" t="n">
        <f aca="false">I66</f>
        <v>407947.990294614</v>
      </c>
      <c r="J154" s="93" t="n">
        <f aca="false">J66</f>
        <v>420186.430003453</v>
      </c>
      <c r="K154" s="93" t="n">
        <f aca="false">K66</f>
        <v>432792.022903556</v>
      </c>
      <c r="L154" s="93" t="n">
        <f aca="false">L66</f>
        <v>445775.783590663</v>
      </c>
      <c r="M154" s="93" t="n">
        <f aca="false">M66</f>
        <v>459149.057098383</v>
      </c>
      <c r="N154" s="93" t="n">
        <f aca="false">N66</f>
        <v>472923.528811335</v>
      </c>
      <c r="O154" s="93" t="n">
        <f aca="false">O66</f>
        <v>487111.234675675</v>
      </c>
      <c r="P154" s="93" t="n">
        <f aca="false">P66</f>
        <v>501724.571715945</v>
      </c>
      <c r="Q154" s="93" t="n">
        <f aca="false">Q66</f>
        <v>516776.308867423</v>
      </c>
      <c r="R154" s="93" t="n">
        <f aca="false">R66</f>
        <v>532279.598133446</v>
      </c>
      <c r="S154" s="93" t="n">
        <f aca="false">S66</f>
        <v>548247.986077449</v>
      </c>
      <c r="T154" s="93" t="n">
        <f aca="false">T66</f>
        <v>564695.425659773</v>
      </c>
      <c r="U154" s="93" t="n">
        <f aca="false">U66</f>
        <v>581636.288429566</v>
      </c>
      <c r="V154" s="93" t="n">
        <f aca="false">V66</f>
        <v>599085.377082453</v>
      </c>
      <c r="W154" s="93" t="n">
        <f aca="false">W66</f>
        <v>617057.938394927</v>
      </c>
    </row>
    <row r="155" customFormat="false" ht="15" hidden="false" customHeight="false" outlineLevel="0" collapsed="false">
      <c r="A155" s="11" t="s">
        <v>483</v>
      </c>
      <c r="B155" s="66" t="n">
        <f aca="false">C155+NPV(Hurdle,D155:W155)</f>
        <v>1555687.86731988</v>
      </c>
      <c r="C155" s="95" t="n">
        <f aca="false">C83</f>
        <v>0</v>
      </c>
      <c r="D155" s="95" t="n">
        <f aca="false">D83</f>
        <v>73617.387264</v>
      </c>
      <c r="E155" s="95" t="n">
        <f aca="false">E83</f>
        <v>110642.638710202</v>
      </c>
      <c r="F155" s="95" t="n">
        <f aca="false">F83</f>
        <v>138095.029891356</v>
      </c>
      <c r="G155" s="95" t="n">
        <f aca="false">G83</f>
        <v>146505.01721174</v>
      </c>
      <c r="H155" s="95" t="n">
        <f aca="false">H83</f>
        <v>155427.172759935</v>
      </c>
      <c r="I155" s="95" t="n">
        <f aca="false">I83</f>
        <v>164892.687581015</v>
      </c>
      <c r="J155" s="95" t="n">
        <f aca="false">J83</f>
        <v>174934.652254699</v>
      </c>
      <c r="K155" s="95" t="n">
        <f aca="false">K83</f>
        <v>185588.17257701</v>
      </c>
      <c r="L155" s="95" t="n">
        <f aca="false">L83</f>
        <v>196890.49228695</v>
      </c>
      <c r="M155" s="95" t="n">
        <f aca="false">M83</f>
        <v>208881.123267225</v>
      </c>
      <c r="N155" s="95" t="n">
        <f aca="false">N83</f>
        <v>221601.983674199</v>
      </c>
      <c r="O155" s="95" t="n">
        <f aca="false">O83</f>
        <v>235097.544479958</v>
      </c>
      <c r="P155" s="95" t="n">
        <f aca="false">P83</f>
        <v>249414.984938787</v>
      </c>
      <c r="Q155" s="95" t="n">
        <f aca="false">Q83</f>
        <v>264604.357521559</v>
      </c>
      <c r="R155" s="95" t="n">
        <f aca="false">R83</f>
        <v>280718.762894623</v>
      </c>
      <c r="S155" s="95" t="n">
        <f aca="false">S83</f>
        <v>297814.535554905</v>
      </c>
      <c r="T155" s="95" t="n">
        <f aca="false">T83</f>
        <v>315951.440770199</v>
      </c>
      <c r="U155" s="95" t="n">
        <f aca="false">U83</f>
        <v>335192.883513104</v>
      </c>
      <c r="V155" s="95" t="n">
        <f aca="false">V83</f>
        <v>355606.130119052</v>
      </c>
      <c r="W155" s="95"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B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80"/>
    <col collapsed="false" customWidth="true" hidden="false" outlineLevel="0" max="2" min="2" style="0" width="12"/>
  </cols>
  <sheetData>
    <row r="1" customFormat="false" ht="19.7" hidden="false" customHeight="false" outlineLevel="0" collapsed="false">
      <c r="A1" s="7" t="s">
        <v>484</v>
      </c>
    </row>
    <row r="3" customFormat="false" ht="15" hidden="false" customHeight="false" outlineLevel="0" collapsed="false">
      <c r="A3" s="98" t="s">
        <v>485</v>
      </c>
      <c r="B3" s="59" t="str">
        <f aca="false">IF(ABS(SourcesTotal-UsesTotal)&lt;1,"OK","CHECK")</f>
        <v>OK</v>
      </c>
    </row>
    <row r="4" customFormat="false" ht="15" hidden="false" customHeight="false" outlineLevel="0" collapsed="false">
      <c r="A4" s="98" t="s">
        <v>486</v>
      </c>
      <c r="B4" s="59" t="str">
        <f aca="false">IF(SenPct+ConPct&lt;=1,"OK","CHECK")</f>
        <v>OK</v>
      </c>
    </row>
    <row r="5" customFormat="false" ht="15" hidden="false" customHeight="false" outlineLevel="0" collapsed="false">
      <c r="A5" s="98" t="s">
        <v>487</v>
      </c>
      <c r="B5" s="59" t="str">
        <f aca="false">IF(ABS(INDEX('Cash Flow'!$C$116:$W$116,1,MIN(SenTenor,20)+1))&lt;1,"OK","CHECK")</f>
        <v>OK</v>
      </c>
    </row>
    <row r="6" customFormat="false" ht="15" hidden="false" customHeight="false" outlineLevel="0" collapsed="false">
      <c r="A6" s="98" t="s">
        <v>488</v>
      </c>
      <c r="B6" s="59" t="str">
        <f aca="false">IF(ABS(INDEX('Cash Flow'!$C$123:$W$123,1,MIN(ConTenor,20)+1))&lt;1,"OK","CHECK")</f>
        <v>OK</v>
      </c>
    </row>
    <row r="7" customFormat="false" ht="15" hidden="false" customHeight="false" outlineLevel="0" collapsed="false">
      <c r="A7" s="98" t="s">
        <v>489</v>
      </c>
      <c r="B7" s="59" t="str">
        <f aca="false">IF(AND(SenTenor&lt;=Life,ConTenor&lt;=Life),"OK","CHECK")</f>
        <v>OK</v>
      </c>
    </row>
    <row r="8" customFormat="false" ht="15" hidden="false" customHeight="false" outlineLevel="0" collapsed="false">
      <c r="A8" s="98" t="s">
        <v>490</v>
      </c>
      <c r="B8" s="59" t="str">
        <f aca="false">IF(AND(SenGrace&lt;SenTenor,ConGrace&lt;ConTenor),"OK","CHECK")</f>
        <v>OK</v>
      </c>
    </row>
    <row r="9" customFormat="false" ht="15" hidden="false" customHeight="false" outlineLevel="0" collapsed="false">
      <c r="A9" s="98" t="s">
        <v>491</v>
      </c>
      <c r="B9" s="59" t="str">
        <f aca="false">IF(AND(Life&gt;=1,Life&lt;=20),"OK","CHECK")</f>
        <v>OK</v>
      </c>
    </row>
    <row r="10" customFormat="false" ht="15" hidden="false" customHeight="false" outlineLevel="0" collapsed="false">
      <c r="A10" s="98" t="s">
        <v>492</v>
      </c>
      <c r="B10" s="59" t="str">
        <f aca="false">IF(LP_Check="OK","OK","CHECK")</f>
        <v>OK</v>
      </c>
    </row>
    <row r="11" customFormat="false" ht="15" hidden="false" customHeight="false" outlineLevel="0" collapsed="false">
      <c r="A11" s="98" t="s">
        <v>493</v>
      </c>
      <c r="B11" s="59" t="str">
        <f aca="false">IF(ABS('Cash Flow'!$B$71+'Cash Flow'!$B$72-'Cash Flow'!$B$69)&lt;1,"OK","CHECK")</f>
        <v>OK</v>
      </c>
    </row>
    <row r="12" customFormat="false" ht="15" hidden="false" customHeight="false" outlineLevel="0" collapsed="false">
      <c r="A12" s="98" t="s">
        <v>494</v>
      </c>
      <c r="B12" s="59" t="str">
        <f aca="false">IF(OR(UseMRA=0,ABS('Cash Flow'!$B$104-SUM('Cash Flow'!$C$103:$W$103))&lt;1),"OK","CHECK")</f>
        <v>OK</v>
      </c>
    </row>
    <row r="13" customFormat="false" ht="15" hidden="false" customHeight="false" outlineLevel="0" collapsed="false">
      <c r="A13" s="98" t="s">
        <v>495</v>
      </c>
      <c r="B13" s="59" t="str">
        <f aca="false">IF(ABS('Cash Flow'!$B$129)&lt;1,"OK","CHECK")</f>
        <v>OK</v>
      </c>
    </row>
    <row r="14" customFormat="false" ht="15" hidden="false" customHeight="false" outlineLevel="0" collapsed="false">
      <c r="A14" s="98" t="s">
        <v>496</v>
      </c>
      <c r="B14" s="59" t="str">
        <f aca="false">IF(ABS(NPV_Post-NPV_Pre-Grant-'Cash Flow'!$B$32)&lt;1,"OK","CHECK")</f>
        <v>OK</v>
      </c>
    </row>
    <row r="15" customFormat="false" ht="15" hidden="false" customHeight="false" outlineLevel="0" collapsed="false">
      <c r="A15" s="98" t="s">
        <v>497</v>
      </c>
      <c r="B15" s="59" t="str">
        <f aca="false">IF(OR(RBFNeededEq=0,ABS(EqNPV-'Cash Flow'!$B$34+RBFNeededEq*'Cash Flow'!$B$33)&lt;1),"OK","CHECK")</f>
        <v>OK</v>
      </c>
    </row>
    <row r="16" customFormat="false" ht="15" hidden="false" customHeight="false" outlineLevel="0" collapsed="false">
      <c r="A16" s="98" t="s">
        <v>498</v>
      </c>
      <c r="B16" s="59" t="str">
        <f aca="false">IF(MIN('Cash Flow'!$C$136:$W$136)&gt;=-0.01,"OK","CHECK")</f>
        <v>OK</v>
      </c>
    </row>
    <row r="17" customFormat="false" ht="15" hidden="false" customHeight="false" outlineLevel="0" collapsed="false">
      <c r="A17" s="98" t="s">
        <v>499</v>
      </c>
      <c r="B17" s="59" t="str">
        <f aca="false">IF(TotalCustomers&gt;0,"OK","CHECK")</f>
        <v>OK</v>
      </c>
    </row>
    <row r="18" customFormat="false" ht="15" hidden="false" customHeight="false" outlineLevel="0" collapsed="false">
      <c r="A18" s="98" t="s">
        <v>500</v>
      </c>
      <c r="B18" s="59" t="str">
        <f aca="false">IF(ABS('Cash Flow'!$B$21-NPV_Post)&lt;1,"OK","CHECK")</f>
        <v>OK</v>
      </c>
    </row>
    <row r="20" customFormat="false" ht="15" hidden="false" customHeight="false" outlineLevel="0" collapsed="false">
      <c r="A20" s="16" t="s">
        <v>501</v>
      </c>
      <c r="B20" s="16" t="str">
        <f aca="false">IF(COUNTIF(B3:B18,"OK")=16,"ALL OK","REVIEW")</f>
        <v>ALL OK</v>
      </c>
    </row>
  </sheetData>
  <conditionalFormatting sqref="B3:B20">
    <cfRule type="expression" priority="2" aboveAverage="0" equalAverage="0" bottom="0" percent="0" rank="0" text="" dxfId="3">
      <formula>OR(B3="OK",B3="ALL OK")</formula>
    </cfRule>
    <cfRule type="expression" priority="3" aboveAverage="0" equalAverage="0" bottom="0" percent="0" rank="0" text="" dxfId="2">
      <formula>OR(B3="CHECK",B3="REVIEW")</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7" t="s">
        <v>392</v>
      </c>
    </row>
    <row r="2" customFormat="false" ht="15" hidden="false" customHeight="false" outlineLevel="0" collapsed="false">
      <c r="A2" s="8" t="s">
        <v>393</v>
      </c>
    </row>
    <row r="4" customFormat="false" ht="15" hidden="false" customHeight="false" outlineLevel="0" collapsed="false">
      <c r="A4" s="9" t="s">
        <v>394</v>
      </c>
      <c r="B4" s="10"/>
    </row>
    <row r="5" customFormat="false" ht="15" hidden="false" customHeight="false" outlineLevel="0" collapsed="false">
      <c r="A5" s="11" t="s">
        <v>67</v>
      </c>
      <c r="B5" s="67" t="n">
        <f aca="false">1-SensDelta</f>
        <v>0.8</v>
      </c>
    </row>
    <row r="6" customFormat="false" ht="15" hidden="false" customHeight="false" outlineLevel="0" collapsed="false">
      <c r="A6" s="11" t="s">
        <v>333</v>
      </c>
      <c r="B6" s="67" t="n">
        <v>1</v>
      </c>
    </row>
    <row r="7" customFormat="false" ht="15" hidden="false" customHeight="false" outlineLevel="0" collapsed="false">
      <c r="A7" s="11" t="s">
        <v>69</v>
      </c>
      <c r="B7" s="67" t="n">
        <v>1</v>
      </c>
    </row>
    <row r="8" customFormat="false" ht="15" hidden="false" customHeight="false" outlineLevel="0" collapsed="false">
      <c r="A8" s="11" t="s">
        <v>70</v>
      </c>
      <c r="B8" s="67" t="n">
        <v>1</v>
      </c>
    </row>
    <row r="9" customFormat="false" ht="15" hidden="false" customHeight="false" outlineLevel="0" collapsed="false">
      <c r="A9" s="11" t="s">
        <v>395</v>
      </c>
      <c r="B9" s="67" t="n">
        <v>1</v>
      </c>
    </row>
    <row r="10" customFormat="false" ht="15" hidden="false" customHeight="false" outlineLevel="0" collapsed="false">
      <c r="A10" s="11" t="s">
        <v>72</v>
      </c>
      <c r="B10" s="67" t="n">
        <v>1</v>
      </c>
    </row>
    <row r="11" customFormat="false" ht="15" hidden="false" customHeight="false" outlineLevel="0" collapsed="false">
      <c r="A11" s="11" t="s">
        <v>334</v>
      </c>
      <c r="B11" s="67" t="n">
        <v>1</v>
      </c>
    </row>
    <row r="13" customFormat="false" ht="15" hidden="false" customHeight="false" outlineLevel="0" collapsed="false">
      <c r="A13" s="9" t="s">
        <v>396</v>
      </c>
      <c r="B13" s="10"/>
    </row>
    <row r="14" customFormat="false" ht="15" hidden="false" customHeight="false" outlineLevel="0" collapsed="false">
      <c r="A14" s="11" t="s">
        <v>397</v>
      </c>
      <c r="B14" s="66" t="n">
        <f aca="false">TotalCapexBase*LevCapex*$B$7</f>
        <v>1162734.14692871</v>
      </c>
    </row>
    <row r="15" customFormat="false" ht="15" hidden="false" customHeight="false" outlineLevel="0" collapsed="false">
      <c r="A15" s="11" t="s">
        <v>398</v>
      </c>
      <c r="B15" s="66" t="n">
        <f aca="false">HardCapexBase*LevCapex*$B$7</f>
        <v>1011073.17124235</v>
      </c>
    </row>
    <row r="16" customFormat="false" ht="15" hidden="false" customHeight="false" outlineLevel="0" collapsed="false">
      <c r="A16" s="11" t="s">
        <v>252</v>
      </c>
      <c r="B16" s="66" t="n">
        <f aca="false">MAX(0,S_Tariff_Lo!$B$14-Grant)*SenPct</f>
        <v>112546.829385741</v>
      </c>
    </row>
    <row r="17" customFormat="false" ht="15" hidden="false" customHeight="false" outlineLevel="0" collapsed="false">
      <c r="A17" s="11" t="s">
        <v>254</v>
      </c>
      <c r="B17" s="66" t="n">
        <f aca="false">MAX(0,S_Tariff_Lo!$B$14-Grant)*ConPct</f>
        <v>112546.829385741</v>
      </c>
    </row>
    <row r="18" customFormat="false" ht="15" hidden="false" customHeight="false" outlineLevel="0" collapsed="false">
      <c r="A18" s="11" t="s">
        <v>399</v>
      </c>
      <c r="B18" s="66" t="n">
        <f aca="false">MAX(0,S_Tariff_Lo!$B$14-Grant-S_Tariff_Lo!$B$16-S_Tariff_Lo!$B$17)</f>
        <v>337640.488157224</v>
      </c>
    </row>
    <row r="19" customFormat="false" ht="15" hidden="false" customHeight="false" outlineLevel="0" collapsed="false">
      <c r="A19" s="11" t="s">
        <v>400</v>
      </c>
      <c r="B19" s="66" t="n">
        <f aca="false">C128</f>
        <v>7315.5439100732</v>
      </c>
    </row>
    <row r="20" customFormat="false" ht="15" hidden="false" customHeight="false" outlineLevel="0" collapsed="false">
      <c r="A20" s="11" t="s">
        <v>401</v>
      </c>
      <c r="B20" s="66" t="n">
        <f aca="false">$B$145</f>
        <v>-1106378.58324186</v>
      </c>
    </row>
    <row r="21" customFormat="false" ht="15" hidden="false" customHeight="false" outlineLevel="0" collapsed="false">
      <c r="A21" s="11" t="s">
        <v>402</v>
      </c>
      <c r="B21" s="66" t="n">
        <f aca="false">$B$146</f>
        <v>-288458.222610756</v>
      </c>
    </row>
    <row r="22" customFormat="false" ht="15" hidden="false" customHeight="false" outlineLevel="0" collapsed="false">
      <c r="A22" s="11" t="s">
        <v>403</v>
      </c>
      <c r="B22" s="68" t="str">
        <f aca="false">IFERROR(IRR($C$145:$W$145),"n/a")</f>
        <v>n/a</v>
      </c>
    </row>
    <row r="23" customFormat="false" ht="15" hidden="false" customHeight="false" outlineLevel="0" collapsed="false">
      <c r="A23" s="11" t="s">
        <v>404</v>
      </c>
      <c r="B23" s="68" t="str">
        <f aca="false">IFERROR(IRR($C$146:$W$146),"n/a")</f>
        <v>n/a</v>
      </c>
    </row>
    <row r="24" customFormat="false" ht="15" hidden="false" customHeight="false" outlineLevel="0" collapsed="false">
      <c r="A24" s="11" t="s">
        <v>390</v>
      </c>
      <c r="B24" s="66" t="n">
        <f aca="false">MAX(0,-$B$145)</f>
        <v>1106378.58324186</v>
      </c>
    </row>
    <row r="25" customFormat="false" ht="15" hidden="false" customHeight="false" outlineLevel="0" collapsed="false">
      <c r="A25" s="11" t="s">
        <v>262</v>
      </c>
      <c r="B25" s="68" t="str">
        <f aca="false">IFERROR(IRR($C$149:$W$149),"n/a")</f>
        <v>n/a</v>
      </c>
    </row>
    <row r="26" customFormat="false" ht="15" hidden="false" customHeight="false" outlineLevel="0" collapsed="false">
      <c r="A26" s="11" t="s">
        <v>264</v>
      </c>
      <c r="B26" s="66" t="n">
        <f aca="false">C149+NPV(TargetEqIRR,D149:W149)</f>
        <v>-270990.560401082</v>
      </c>
    </row>
    <row r="27" customFormat="false" ht="15" hidden="false" customHeight="false" outlineLevel="0" collapsed="false">
      <c r="A27" s="11" t="s">
        <v>258</v>
      </c>
      <c r="B27" s="67" t="n">
        <f aca="false">IF((S_Tariff_Lo!$B$16+S_Tariff_Lo!$B$17)&gt;0,MIN($D$148:$W$148),"no debt")</f>
        <v>-1.55007437370944</v>
      </c>
    </row>
    <row r="28" customFormat="false" ht="15" hidden="false" customHeight="false" outlineLevel="0" collapsed="false">
      <c r="A28" s="11" t="s">
        <v>260</v>
      </c>
      <c r="B28" s="67" t="n">
        <f aca="false">IF((S_Tariff_Lo!$B$16+S_Tariff_Lo!$B$17)&gt;0,AVERAGE($D$148:$W$148),"no debt")</f>
        <v>0.955056498854868</v>
      </c>
    </row>
    <row r="29" customFormat="false" ht="15" hidden="false" customHeight="false" outlineLevel="0" collapsed="false">
      <c r="A29" s="11" t="s">
        <v>405</v>
      </c>
      <c r="B29" s="87" t="n">
        <f aca="false">IFERROR($B$153/$B$154,0)</f>
        <v>0.662907446653331</v>
      </c>
    </row>
    <row r="30" customFormat="false" ht="15" hidden="false" customHeight="false" outlineLevel="0" collapsed="false">
      <c r="A30" s="11" t="s">
        <v>261</v>
      </c>
      <c r="B30" s="87" t="n">
        <f aca="false">IFERROR($B$155/$B$154,0)</f>
        <v>0.355117027299192</v>
      </c>
    </row>
    <row r="31" customFormat="false" ht="15" hidden="false" customHeight="false" outlineLevel="0" collapsed="false">
      <c r="A31" s="11" t="s">
        <v>406</v>
      </c>
      <c r="B31" s="77" t="n">
        <f aca="false">NPV(Hurdle,D109:W109)</f>
        <v>838.820435762584</v>
      </c>
    </row>
    <row r="32" customFormat="false" ht="15" hidden="false" customHeight="false" outlineLevel="0" collapsed="false">
      <c r="A32" s="11" t="s">
        <v>407</v>
      </c>
      <c r="B32" s="66" t="n">
        <f aca="false">NPV(Hurdle,D108:W108)</f>
        <v>217920.360631104</v>
      </c>
    </row>
    <row r="33" customFormat="false" ht="15" hidden="false" customHeight="false" outlineLevel="0" collapsed="false">
      <c r="A33" s="11" t="s">
        <v>408</v>
      </c>
      <c r="B33" s="77" t="n">
        <f aca="false">NPV(TargetEqIRR,D109:W109)</f>
        <v>785.120407660064</v>
      </c>
    </row>
    <row r="34" customFormat="false" ht="15" hidden="false" customHeight="false" outlineLevel="0" collapsed="false">
      <c r="A34" s="11" t="s">
        <v>409</v>
      </c>
      <c r="B34" s="66" t="n">
        <f aca="false">NPV(TargetEqIRR,D108:W108)</f>
        <v>203969.425495192</v>
      </c>
    </row>
    <row r="35" customFormat="false" ht="15" hidden="false" customHeight="false" outlineLevel="0" collapsed="false">
      <c r="A35" s="11" t="s">
        <v>410</v>
      </c>
      <c r="B35" s="66" t="n">
        <f aca="false">MAX(0,MIN($D$127:$W$127))</f>
        <v>0</v>
      </c>
    </row>
    <row r="36" customFormat="false" ht="15" hidden="false" customHeight="false" outlineLevel="0" collapsed="false">
      <c r="A36" s="11" t="s">
        <v>266</v>
      </c>
      <c r="B36" s="88" t="str">
        <f aca="false">IFERROR(MATCH(TRUE(),INDEX($C$150:$W$150&gt;=0,0),0)-1,"&gt; life")</f>
        <v>&gt; life</v>
      </c>
    </row>
    <row r="39" customFormat="false" ht="15" hidden="false" customHeight="false" outlineLevel="0" collapsed="false">
      <c r="A39" s="16" t="s">
        <v>411</v>
      </c>
      <c r="B39" s="74" t="s">
        <v>412</v>
      </c>
      <c r="C39" s="89" t="n">
        <v>0</v>
      </c>
      <c r="D39" s="89" t="n">
        <v>1</v>
      </c>
      <c r="E39" s="89" t="n">
        <v>2</v>
      </c>
      <c r="F39" s="89" t="n">
        <v>3</v>
      </c>
      <c r="G39" s="89" t="n">
        <v>4</v>
      </c>
      <c r="H39" s="89" t="n">
        <v>5</v>
      </c>
      <c r="I39" s="89" t="n">
        <v>6</v>
      </c>
      <c r="J39" s="89" t="n">
        <v>7</v>
      </c>
      <c r="K39" s="89" t="n">
        <v>8</v>
      </c>
      <c r="L39" s="89" t="n">
        <v>9</v>
      </c>
      <c r="M39" s="89" t="n">
        <v>10</v>
      </c>
      <c r="N39" s="89" t="n">
        <v>11</v>
      </c>
      <c r="O39" s="89" t="n">
        <v>12</v>
      </c>
      <c r="P39" s="89" t="n">
        <v>13</v>
      </c>
      <c r="Q39" s="89" t="n">
        <v>14</v>
      </c>
      <c r="R39" s="89" t="n">
        <v>15</v>
      </c>
      <c r="S39" s="89" t="n">
        <v>16</v>
      </c>
      <c r="T39" s="89" t="n">
        <v>17</v>
      </c>
      <c r="U39" s="89" t="n">
        <v>18</v>
      </c>
      <c r="V39" s="89" t="n">
        <v>19</v>
      </c>
      <c r="W39" s="89" t="n">
        <v>20</v>
      </c>
    </row>
    <row r="40" customFormat="false" ht="15" hidden="false" customHeight="false" outlineLevel="0" collapsed="false">
      <c r="A40" s="11" t="s">
        <v>413</v>
      </c>
      <c r="C40" s="90" t="n">
        <f aca="false">StartYear-1+C39</f>
        <v>2026</v>
      </c>
      <c r="D40" s="90" t="n">
        <f aca="false">StartYear-1+D39</f>
        <v>2027</v>
      </c>
      <c r="E40" s="90" t="n">
        <f aca="false">StartYear-1+E39</f>
        <v>2028</v>
      </c>
      <c r="F40" s="90" t="n">
        <f aca="false">StartYear-1+F39</f>
        <v>2029</v>
      </c>
      <c r="G40" s="90" t="n">
        <f aca="false">StartYear-1+G39</f>
        <v>2030</v>
      </c>
      <c r="H40" s="90" t="n">
        <f aca="false">StartYear-1+H39</f>
        <v>2031</v>
      </c>
      <c r="I40" s="90" t="n">
        <f aca="false">StartYear-1+I39</f>
        <v>2032</v>
      </c>
      <c r="J40" s="90" t="n">
        <f aca="false">StartYear-1+J39</f>
        <v>2033</v>
      </c>
      <c r="K40" s="90" t="n">
        <f aca="false">StartYear-1+K39</f>
        <v>2034</v>
      </c>
      <c r="L40" s="90" t="n">
        <f aca="false">StartYear-1+L39</f>
        <v>2035</v>
      </c>
      <c r="M40" s="90" t="n">
        <f aca="false">StartYear-1+M39</f>
        <v>2036</v>
      </c>
      <c r="N40" s="90" t="n">
        <f aca="false">StartYear-1+N39</f>
        <v>2037</v>
      </c>
      <c r="O40" s="90" t="n">
        <f aca="false">StartYear-1+O39</f>
        <v>2038</v>
      </c>
      <c r="P40" s="90" t="n">
        <f aca="false">StartYear-1+P39</f>
        <v>2039</v>
      </c>
      <c r="Q40" s="90" t="n">
        <f aca="false">StartYear-1+Q39</f>
        <v>2040</v>
      </c>
      <c r="R40" s="90" t="n">
        <f aca="false">StartYear-1+R39</f>
        <v>2041</v>
      </c>
      <c r="S40" s="90" t="n">
        <f aca="false">StartYear-1+S39</f>
        <v>2042</v>
      </c>
      <c r="T40" s="90" t="n">
        <f aca="false">StartYear-1+T39</f>
        <v>2043</v>
      </c>
      <c r="U40" s="90" t="n">
        <f aca="false">StartYear-1+U39</f>
        <v>2044</v>
      </c>
      <c r="V40" s="90" t="n">
        <f aca="false">StartYear-1+V39</f>
        <v>2045</v>
      </c>
      <c r="W40" s="90" t="n">
        <f aca="false">StartYear-1+W39</f>
        <v>2046</v>
      </c>
    </row>
    <row r="41" customFormat="false" ht="15" hidden="false" customHeight="false" outlineLevel="0" collapsed="false">
      <c r="A41" s="11" t="s">
        <v>414</v>
      </c>
      <c r="C41" s="90" t="n">
        <f aca="false">IF(AND(C39&gt;=1,C39&lt;=Life),1,0)</f>
        <v>0</v>
      </c>
      <c r="D41" s="90" t="n">
        <f aca="false">IF(AND(D39&gt;=1,D39&lt;=Life),1,0)</f>
        <v>1</v>
      </c>
      <c r="E41" s="90" t="n">
        <f aca="false">IF(AND(E39&gt;=1,E39&lt;=Life),1,0)</f>
        <v>1</v>
      </c>
      <c r="F41" s="90" t="n">
        <f aca="false">IF(AND(F39&gt;=1,F39&lt;=Life),1,0)</f>
        <v>1</v>
      </c>
      <c r="G41" s="90" t="n">
        <f aca="false">IF(AND(G39&gt;=1,G39&lt;=Life),1,0)</f>
        <v>1</v>
      </c>
      <c r="H41" s="90" t="n">
        <f aca="false">IF(AND(H39&gt;=1,H39&lt;=Life),1,0)</f>
        <v>1</v>
      </c>
      <c r="I41" s="90" t="n">
        <f aca="false">IF(AND(I39&gt;=1,I39&lt;=Life),1,0)</f>
        <v>1</v>
      </c>
      <c r="J41" s="90" t="n">
        <f aca="false">IF(AND(J39&gt;=1,J39&lt;=Life),1,0)</f>
        <v>1</v>
      </c>
      <c r="K41" s="90" t="n">
        <f aca="false">IF(AND(K39&gt;=1,K39&lt;=Life),1,0)</f>
        <v>1</v>
      </c>
      <c r="L41" s="90" t="n">
        <f aca="false">IF(AND(L39&gt;=1,L39&lt;=Life),1,0)</f>
        <v>1</v>
      </c>
      <c r="M41" s="90" t="n">
        <f aca="false">IF(AND(M39&gt;=1,M39&lt;=Life),1,0)</f>
        <v>1</v>
      </c>
      <c r="N41" s="90" t="n">
        <f aca="false">IF(AND(N39&gt;=1,N39&lt;=Life),1,0)</f>
        <v>1</v>
      </c>
      <c r="O41" s="90" t="n">
        <f aca="false">IF(AND(O39&gt;=1,O39&lt;=Life),1,0)</f>
        <v>1</v>
      </c>
      <c r="P41" s="90" t="n">
        <f aca="false">IF(AND(P39&gt;=1,P39&lt;=Life),1,0)</f>
        <v>1</v>
      </c>
      <c r="Q41" s="90" t="n">
        <f aca="false">IF(AND(Q39&gt;=1,Q39&lt;=Life),1,0)</f>
        <v>1</v>
      </c>
      <c r="R41" s="90" t="n">
        <f aca="false">IF(AND(R39&gt;=1,R39&lt;=Life),1,0)</f>
        <v>1</v>
      </c>
      <c r="S41" s="90" t="n">
        <f aca="false">IF(AND(S39&gt;=1,S39&lt;=Life),1,0)</f>
        <v>1</v>
      </c>
      <c r="T41" s="90" t="n">
        <f aca="false">IF(AND(T39&gt;=1,T39&lt;=Life),1,0)</f>
        <v>1</v>
      </c>
      <c r="U41" s="90" t="n">
        <f aca="false">IF(AND(U39&gt;=1,U39&lt;=Life),1,0)</f>
        <v>1</v>
      </c>
      <c r="V41" s="90" t="n">
        <f aca="false">IF(AND(V39&gt;=1,V39&lt;=Life),1,0)</f>
        <v>1</v>
      </c>
      <c r="W41" s="90" t="n">
        <f aca="false">IF(AND(W39&gt;=1,W39&lt;=Life),1,0)</f>
        <v>1</v>
      </c>
    </row>
    <row r="42" customFormat="false" ht="15" hidden="false" customHeight="false" outlineLevel="0" collapsed="false">
      <c r="A42" s="11" t="s">
        <v>415</v>
      </c>
      <c r="C42" s="91" t="n">
        <v>0</v>
      </c>
      <c r="D42" s="91" t="n">
        <f aca="false">IF(D39=1,Ramp1,IF(D39=2,Ramp2,Ramp3))*D41</f>
        <v>0.6</v>
      </c>
      <c r="E42" s="91" t="n">
        <f aca="false">IF(E39=1,Ramp1,IF(E39=2,Ramp2,Ramp3))*E41</f>
        <v>0.85</v>
      </c>
      <c r="F42" s="91" t="n">
        <f aca="false">IF(F39=1,Ramp1,IF(F39=2,Ramp2,Ramp3))*F41</f>
        <v>1</v>
      </c>
      <c r="G42" s="91" t="n">
        <f aca="false">IF(G39=1,Ramp1,IF(G39=2,Ramp2,Ramp3))*G41</f>
        <v>1</v>
      </c>
      <c r="H42" s="91" t="n">
        <f aca="false">IF(H39=1,Ramp1,IF(H39=2,Ramp2,Ramp3))*H41</f>
        <v>1</v>
      </c>
      <c r="I42" s="91" t="n">
        <f aca="false">IF(I39=1,Ramp1,IF(I39=2,Ramp2,Ramp3))*I41</f>
        <v>1</v>
      </c>
      <c r="J42" s="91" t="n">
        <f aca="false">IF(J39=1,Ramp1,IF(J39=2,Ramp2,Ramp3))*J41</f>
        <v>1</v>
      </c>
      <c r="K42" s="91" t="n">
        <f aca="false">IF(K39=1,Ramp1,IF(K39=2,Ramp2,Ramp3))*K41</f>
        <v>1</v>
      </c>
      <c r="L42" s="91" t="n">
        <f aca="false">IF(L39=1,Ramp1,IF(L39=2,Ramp2,Ramp3))*L41</f>
        <v>1</v>
      </c>
      <c r="M42" s="91" t="n">
        <f aca="false">IF(M39=1,Ramp1,IF(M39=2,Ramp2,Ramp3))*M41</f>
        <v>1</v>
      </c>
      <c r="N42" s="91" t="n">
        <f aca="false">IF(N39=1,Ramp1,IF(N39=2,Ramp2,Ramp3))*N41</f>
        <v>1</v>
      </c>
      <c r="O42" s="91" t="n">
        <f aca="false">IF(O39=1,Ramp1,IF(O39=2,Ramp2,Ramp3))*O41</f>
        <v>1</v>
      </c>
      <c r="P42" s="91" t="n">
        <f aca="false">IF(P39=1,Ramp1,IF(P39=2,Ramp2,Ramp3))*P41</f>
        <v>1</v>
      </c>
      <c r="Q42" s="91" t="n">
        <f aca="false">IF(Q39=1,Ramp1,IF(Q39=2,Ramp2,Ramp3))*Q41</f>
        <v>1</v>
      </c>
      <c r="R42" s="91" t="n">
        <f aca="false">IF(R39=1,Ramp1,IF(R39=2,Ramp2,Ramp3))*R41</f>
        <v>1</v>
      </c>
      <c r="S42" s="91" t="n">
        <f aca="false">IF(S39=1,Ramp1,IF(S39=2,Ramp2,Ramp3))*S41</f>
        <v>1</v>
      </c>
      <c r="T42" s="91" t="n">
        <f aca="false">IF(T39=1,Ramp1,IF(T39=2,Ramp2,Ramp3))*T41</f>
        <v>1</v>
      </c>
      <c r="U42" s="91" t="n">
        <f aca="false">IF(U39=1,Ramp1,IF(U39=2,Ramp2,Ramp3))*U41</f>
        <v>1</v>
      </c>
      <c r="V42" s="91" t="n">
        <f aca="false">IF(V39=1,Ramp1,IF(V39=2,Ramp2,Ramp3))*V41</f>
        <v>1</v>
      </c>
      <c r="W42" s="91" t="n">
        <f aca="false">IF(W39=1,Ramp1,IF(W39=2,Ramp2,Ramp3))*W41</f>
        <v>1</v>
      </c>
    </row>
    <row r="43" customFormat="false" ht="15" hidden="false" customHeight="false" outlineLevel="0" collapsed="false">
      <c r="A43" s="11" t="s">
        <v>416</v>
      </c>
      <c r="C43" s="92" t="n">
        <v>0</v>
      </c>
      <c r="D43" s="92" t="n">
        <f aca="false">(1+TariffEsc)^(D39-1)</f>
        <v>1</v>
      </c>
      <c r="E43" s="92" t="n">
        <f aca="false">(1+TariffEsc)^(E39-1)</f>
        <v>1.03</v>
      </c>
      <c r="F43" s="92" t="n">
        <f aca="false">(1+TariffEsc)^(F39-1)</f>
        <v>1.0609</v>
      </c>
      <c r="G43" s="92" t="n">
        <f aca="false">(1+TariffEsc)^(G39-1)</f>
        <v>1.092727</v>
      </c>
      <c r="H43" s="92" t="n">
        <f aca="false">(1+TariffEsc)^(H39-1)</f>
        <v>1.12550881</v>
      </c>
      <c r="I43" s="92" t="n">
        <f aca="false">(1+TariffEsc)^(I39-1)</f>
        <v>1.1592740743</v>
      </c>
      <c r="J43" s="92" t="n">
        <f aca="false">(1+TariffEsc)^(J39-1)</f>
        <v>1.194052296529</v>
      </c>
      <c r="K43" s="92" t="n">
        <f aca="false">(1+TariffEsc)^(K39-1)</f>
        <v>1.22987386542487</v>
      </c>
      <c r="L43" s="92" t="n">
        <f aca="false">(1+TariffEsc)^(L39-1)</f>
        <v>1.26677008138762</v>
      </c>
      <c r="M43" s="92" t="n">
        <f aca="false">(1+TariffEsc)^(M39-1)</f>
        <v>1.30477318382925</v>
      </c>
      <c r="N43" s="92" t="n">
        <f aca="false">(1+TariffEsc)^(N39-1)</f>
        <v>1.34391637934412</v>
      </c>
      <c r="O43" s="92" t="n">
        <f aca="false">(1+TariffEsc)^(O39-1)</f>
        <v>1.38423387072445</v>
      </c>
      <c r="P43" s="92" t="n">
        <f aca="false">(1+TariffEsc)^(P39-1)</f>
        <v>1.42576088684618</v>
      </c>
      <c r="Q43" s="92" t="n">
        <f aca="false">(1+TariffEsc)^(Q39-1)</f>
        <v>1.46853371345156</v>
      </c>
      <c r="R43" s="92" t="n">
        <f aca="false">(1+TariffEsc)^(R39-1)</f>
        <v>1.51258972485511</v>
      </c>
      <c r="S43" s="92" t="n">
        <f aca="false">(1+TariffEsc)^(S39-1)</f>
        <v>1.55796741660077</v>
      </c>
      <c r="T43" s="92" t="n">
        <f aca="false">(1+TariffEsc)^(T39-1)</f>
        <v>1.60470643909879</v>
      </c>
      <c r="U43" s="92" t="n">
        <f aca="false">(1+TariffEsc)^(U39-1)</f>
        <v>1.65284763227175</v>
      </c>
      <c r="V43" s="92" t="n">
        <f aca="false">(1+TariffEsc)^(V39-1)</f>
        <v>1.7024330612399</v>
      </c>
      <c r="W43" s="92" t="n">
        <f aca="false">(1+TariffEsc)^(W39-1)</f>
        <v>1.7535060530771</v>
      </c>
    </row>
    <row r="44" customFormat="false" ht="15" hidden="false" customHeight="false" outlineLevel="0" collapsed="false">
      <c r="A44" s="11" t="s">
        <v>417</v>
      </c>
      <c r="C44" s="92" t="n">
        <v>0</v>
      </c>
      <c r="D44" s="92" t="n">
        <f aca="false">(1+CostEsc)^(D39-1)</f>
        <v>1</v>
      </c>
      <c r="E44" s="92" t="n">
        <f aca="false">(1+CostEsc)^(E39-1)</f>
        <v>1.03</v>
      </c>
      <c r="F44" s="92" t="n">
        <f aca="false">(1+CostEsc)^(F39-1)</f>
        <v>1.0609</v>
      </c>
      <c r="G44" s="92" t="n">
        <f aca="false">(1+CostEsc)^(G39-1)</f>
        <v>1.092727</v>
      </c>
      <c r="H44" s="92" t="n">
        <f aca="false">(1+CostEsc)^(H39-1)</f>
        <v>1.12550881</v>
      </c>
      <c r="I44" s="92" t="n">
        <f aca="false">(1+CostEsc)^(I39-1)</f>
        <v>1.1592740743</v>
      </c>
      <c r="J44" s="92" t="n">
        <f aca="false">(1+CostEsc)^(J39-1)</f>
        <v>1.194052296529</v>
      </c>
      <c r="K44" s="92" t="n">
        <f aca="false">(1+CostEsc)^(K39-1)</f>
        <v>1.22987386542487</v>
      </c>
      <c r="L44" s="92" t="n">
        <f aca="false">(1+CostEsc)^(L39-1)</f>
        <v>1.26677008138762</v>
      </c>
      <c r="M44" s="92" t="n">
        <f aca="false">(1+CostEsc)^(M39-1)</f>
        <v>1.30477318382925</v>
      </c>
      <c r="N44" s="92" t="n">
        <f aca="false">(1+CostEsc)^(N39-1)</f>
        <v>1.34391637934412</v>
      </c>
      <c r="O44" s="92" t="n">
        <f aca="false">(1+CostEsc)^(O39-1)</f>
        <v>1.38423387072445</v>
      </c>
      <c r="P44" s="92" t="n">
        <f aca="false">(1+CostEsc)^(P39-1)</f>
        <v>1.42576088684618</v>
      </c>
      <c r="Q44" s="92" t="n">
        <f aca="false">(1+CostEsc)^(Q39-1)</f>
        <v>1.46853371345156</v>
      </c>
      <c r="R44" s="92" t="n">
        <f aca="false">(1+CostEsc)^(R39-1)</f>
        <v>1.51258972485511</v>
      </c>
      <c r="S44" s="92" t="n">
        <f aca="false">(1+CostEsc)^(S39-1)</f>
        <v>1.55796741660077</v>
      </c>
      <c r="T44" s="92" t="n">
        <f aca="false">(1+CostEsc)^(T39-1)</f>
        <v>1.60470643909879</v>
      </c>
      <c r="U44" s="92" t="n">
        <f aca="false">(1+CostEsc)^(U39-1)</f>
        <v>1.65284763227175</v>
      </c>
      <c r="V44" s="92" t="n">
        <f aca="false">(1+CostEsc)^(V39-1)</f>
        <v>1.7024330612399</v>
      </c>
      <c r="W44" s="92" t="n">
        <f aca="false">(1+CostEsc)^(W39-1)</f>
        <v>1.7535060530771</v>
      </c>
    </row>
    <row r="45" customFormat="false" ht="15" hidden="false" customHeight="false" outlineLevel="0" collapsed="false">
      <c r="A45" s="11" t="s">
        <v>418</v>
      </c>
      <c r="C45" s="92" t="n">
        <v>0</v>
      </c>
      <c r="D45" s="92" t="n">
        <f aca="false">(1+DemandGrowth)^(D39-1)*LevDemand*$B$6</f>
        <v>1</v>
      </c>
      <c r="E45" s="92" t="n">
        <f aca="false">(1+DemandGrowth)^(E39-1)*LevDemand*$B$6</f>
        <v>1.03</v>
      </c>
      <c r="F45" s="92" t="n">
        <f aca="false">(1+DemandGrowth)^(F39-1)*LevDemand*$B$6</f>
        <v>1.0609</v>
      </c>
      <c r="G45" s="92" t="n">
        <f aca="false">(1+DemandGrowth)^(G39-1)*LevDemand*$B$6</f>
        <v>1.092727</v>
      </c>
      <c r="H45" s="92" t="n">
        <f aca="false">(1+DemandGrowth)^(H39-1)*LevDemand*$B$6</f>
        <v>1.12550881</v>
      </c>
      <c r="I45" s="92" t="n">
        <f aca="false">(1+DemandGrowth)^(I39-1)*LevDemand*$B$6</f>
        <v>1.1592740743</v>
      </c>
      <c r="J45" s="92" t="n">
        <f aca="false">(1+DemandGrowth)^(J39-1)*LevDemand*$B$6</f>
        <v>1.194052296529</v>
      </c>
      <c r="K45" s="92" t="n">
        <f aca="false">(1+DemandGrowth)^(K39-1)*LevDemand*$B$6</f>
        <v>1.22987386542487</v>
      </c>
      <c r="L45" s="92" t="n">
        <f aca="false">(1+DemandGrowth)^(L39-1)*LevDemand*$B$6</f>
        <v>1.26677008138762</v>
      </c>
      <c r="M45" s="92" t="n">
        <f aca="false">(1+DemandGrowth)^(M39-1)*LevDemand*$B$6</f>
        <v>1.30477318382925</v>
      </c>
      <c r="N45" s="92" t="n">
        <f aca="false">(1+DemandGrowth)^(N39-1)*LevDemand*$B$6</f>
        <v>1.34391637934412</v>
      </c>
      <c r="O45" s="92" t="n">
        <f aca="false">(1+DemandGrowth)^(O39-1)*LevDemand*$B$6</f>
        <v>1.38423387072445</v>
      </c>
      <c r="P45" s="92" t="n">
        <f aca="false">(1+DemandGrowth)^(P39-1)*LevDemand*$B$6</f>
        <v>1.42576088684618</v>
      </c>
      <c r="Q45" s="92" t="n">
        <f aca="false">(1+DemandGrowth)^(Q39-1)*LevDemand*$B$6</f>
        <v>1.46853371345156</v>
      </c>
      <c r="R45" s="92" t="n">
        <f aca="false">(1+DemandGrowth)^(R39-1)*LevDemand*$B$6</f>
        <v>1.51258972485511</v>
      </c>
      <c r="S45" s="92" t="n">
        <f aca="false">(1+DemandGrowth)^(S39-1)*LevDemand*$B$6</f>
        <v>1.55796741660077</v>
      </c>
      <c r="T45" s="92" t="n">
        <f aca="false">(1+DemandGrowth)^(T39-1)*LevDemand*$B$6</f>
        <v>1.60470643909879</v>
      </c>
      <c r="U45" s="92" t="n">
        <f aca="false">(1+DemandGrowth)^(U39-1)*LevDemand*$B$6</f>
        <v>1.65284763227175</v>
      </c>
      <c r="V45" s="92" t="n">
        <f aca="false">(1+DemandGrowth)^(V39-1)*LevDemand*$B$6</f>
        <v>1.7024330612399</v>
      </c>
      <c r="W45" s="92" t="n">
        <f aca="false">(1+DemandGrowth)^(W39-1)*LevDemand*$B$6</f>
        <v>1.7535060530771</v>
      </c>
    </row>
    <row r="47" customFormat="false" ht="15" hidden="false" customHeight="false" outlineLevel="0" collapsed="false">
      <c r="A47" s="9" t="s">
        <v>419</v>
      </c>
      <c r="B47" s="10"/>
      <c r="C47" s="10"/>
      <c r="D47" s="10"/>
      <c r="E47" s="10"/>
      <c r="F47" s="10"/>
      <c r="G47" s="10"/>
      <c r="H47" s="10"/>
      <c r="I47" s="10"/>
      <c r="J47" s="10"/>
      <c r="K47" s="10"/>
      <c r="L47" s="10"/>
      <c r="M47" s="10"/>
      <c r="N47" s="10"/>
      <c r="O47" s="10"/>
      <c r="P47" s="10"/>
      <c r="Q47" s="10"/>
      <c r="R47" s="10"/>
      <c r="S47" s="10"/>
      <c r="T47" s="10"/>
      <c r="U47" s="10"/>
      <c r="V47" s="10"/>
      <c r="W47" s="10"/>
    </row>
    <row r="48" customFormat="false" ht="15" hidden="false" customHeight="false" outlineLevel="0" collapsed="false">
      <c r="A48" s="11" t="str">
        <f aca="false">"Connections - "&amp;Seg1_Name</f>
        <v>Connections - Households</v>
      </c>
      <c r="C48" s="93" t="n">
        <v>0</v>
      </c>
      <c r="D48" s="93" t="n">
        <f aca="false">Seg1_N*D42</f>
        <v>480</v>
      </c>
      <c r="E48" s="93" t="n">
        <f aca="false">Seg1_N*E42</f>
        <v>680</v>
      </c>
      <c r="F48" s="93" t="n">
        <f aca="false">Seg1_N*F42</f>
        <v>800</v>
      </c>
      <c r="G48" s="93" t="n">
        <f aca="false">Seg1_N*G42</f>
        <v>800</v>
      </c>
      <c r="H48" s="93" t="n">
        <f aca="false">Seg1_N*H42</f>
        <v>800</v>
      </c>
      <c r="I48" s="93" t="n">
        <f aca="false">Seg1_N*I42</f>
        <v>800</v>
      </c>
      <c r="J48" s="93" t="n">
        <f aca="false">Seg1_N*J42</f>
        <v>800</v>
      </c>
      <c r="K48" s="93" t="n">
        <f aca="false">Seg1_N*K42</f>
        <v>800</v>
      </c>
      <c r="L48" s="93" t="n">
        <f aca="false">Seg1_N*L42</f>
        <v>800</v>
      </c>
      <c r="M48" s="93" t="n">
        <f aca="false">Seg1_N*M42</f>
        <v>800</v>
      </c>
      <c r="N48" s="93" t="n">
        <f aca="false">Seg1_N*N42</f>
        <v>800</v>
      </c>
      <c r="O48" s="93" t="n">
        <f aca="false">Seg1_N*O42</f>
        <v>800</v>
      </c>
      <c r="P48" s="93" t="n">
        <f aca="false">Seg1_N*P42</f>
        <v>800</v>
      </c>
      <c r="Q48" s="93" t="n">
        <f aca="false">Seg1_N*Q42</f>
        <v>800</v>
      </c>
      <c r="R48" s="93" t="n">
        <f aca="false">Seg1_N*R42</f>
        <v>800</v>
      </c>
      <c r="S48" s="93" t="n">
        <f aca="false">Seg1_N*S42</f>
        <v>800</v>
      </c>
      <c r="T48" s="93" t="n">
        <f aca="false">Seg1_N*T42</f>
        <v>800</v>
      </c>
      <c r="U48" s="93" t="n">
        <f aca="false">Seg1_N*U42</f>
        <v>800</v>
      </c>
      <c r="V48" s="93" t="n">
        <f aca="false">Seg1_N*V42</f>
        <v>800</v>
      </c>
      <c r="W48" s="93" t="n">
        <f aca="false">Seg1_N*W42</f>
        <v>800</v>
      </c>
    </row>
    <row r="49" customFormat="false" ht="15" hidden="false" customHeight="false" outlineLevel="0" collapsed="false">
      <c r="A49" s="11" t="str">
        <f aca="false">"Connections - "&amp;Seg2_Name</f>
        <v>Connections - Productive users (mills, welding, cold rooms)</v>
      </c>
      <c r="C49" s="93" t="n">
        <v>0</v>
      </c>
      <c r="D49" s="93" t="n">
        <f aca="false">Seg2_N*D42</f>
        <v>36</v>
      </c>
      <c r="E49" s="93" t="n">
        <f aca="false">Seg2_N*E42</f>
        <v>51</v>
      </c>
      <c r="F49" s="93" t="n">
        <f aca="false">Seg2_N*F42</f>
        <v>60</v>
      </c>
      <c r="G49" s="93" t="n">
        <f aca="false">Seg2_N*G42</f>
        <v>60</v>
      </c>
      <c r="H49" s="93" t="n">
        <f aca="false">Seg2_N*H42</f>
        <v>60</v>
      </c>
      <c r="I49" s="93" t="n">
        <f aca="false">Seg2_N*I42</f>
        <v>60</v>
      </c>
      <c r="J49" s="93" t="n">
        <f aca="false">Seg2_N*J42</f>
        <v>60</v>
      </c>
      <c r="K49" s="93" t="n">
        <f aca="false">Seg2_N*K42</f>
        <v>60</v>
      </c>
      <c r="L49" s="93" t="n">
        <f aca="false">Seg2_N*L42</f>
        <v>60</v>
      </c>
      <c r="M49" s="93" t="n">
        <f aca="false">Seg2_N*M42</f>
        <v>60</v>
      </c>
      <c r="N49" s="93" t="n">
        <f aca="false">Seg2_N*N42</f>
        <v>60</v>
      </c>
      <c r="O49" s="93" t="n">
        <f aca="false">Seg2_N*O42</f>
        <v>60</v>
      </c>
      <c r="P49" s="93" t="n">
        <f aca="false">Seg2_N*P42</f>
        <v>60</v>
      </c>
      <c r="Q49" s="93" t="n">
        <f aca="false">Seg2_N*Q42</f>
        <v>60</v>
      </c>
      <c r="R49" s="93" t="n">
        <f aca="false">Seg2_N*R42</f>
        <v>60</v>
      </c>
      <c r="S49" s="93" t="n">
        <f aca="false">Seg2_N*S42</f>
        <v>60</v>
      </c>
      <c r="T49" s="93" t="n">
        <f aca="false">Seg2_N*T42</f>
        <v>60</v>
      </c>
      <c r="U49" s="93" t="n">
        <f aca="false">Seg2_N*U42</f>
        <v>60</v>
      </c>
      <c r="V49" s="93" t="n">
        <f aca="false">Seg2_N*V42</f>
        <v>60</v>
      </c>
      <c r="W49" s="93" t="n">
        <f aca="false">Seg2_N*W42</f>
        <v>60</v>
      </c>
    </row>
    <row r="50" customFormat="false" ht="15" hidden="false" customHeight="false" outlineLevel="0" collapsed="false">
      <c r="A50" s="11" t="str">
        <f aca="false">"Connections - "&amp;Seg3_Name</f>
        <v>Connections - Commercial (shops, bars, kiosks)</v>
      </c>
      <c r="C50" s="93" t="n">
        <v>0</v>
      </c>
      <c r="D50" s="93" t="n">
        <f aca="false">Seg3_N*D42</f>
        <v>60</v>
      </c>
      <c r="E50" s="93" t="n">
        <f aca="false">Seg3_N*E42</f>
        <v>85</v>
      </c>
      <c r="F50" s="93" t="n">
        <f aca="false">Seg3_N*F42</f>
        <v>100</v>
      </c>
      <c r="G50" s="93" t="n">
        <f aca="false">Seg3_N*G42</f>
        <v>100</v>
      </c>
      <c r="H50" s="93" t="n">
        <f aca="false">Seg3_N*H42</f>
        <v>100</v>
      </c>
      <c r="I50" s="93" t="n">
        <f aca="false">Seg3_N*I42</f>
        <v>100</v>
      </c>
      <c r="J50" s="93" t="n">
        <f aca="false">Seg3_N*J42</f>
        <v>100</v>
      </c>
      <c r="K50" s="93" t="n">
        <f aca="false">Seg3_N*K42</f>
        <v>100</v>
      </c>
      <c r="L50" s="93" t="n">
        <f aca="false">Seg3_N*L42</f>
        <v>100</v>
      </c>
      <c r="M50" s="93" t="n">
        <f aca="false">Seg3_N*M42</f>
        <v>100</v>
      </c>
      <c r="N50" s="93" t="n">
        <f aca="false">Seg3_N*N42</f>
        <v>100</v>
      </c>
      <c r="O50" s="93" t="n">
        <f aca="false">Seg3_N*O42</f>
        <v>100</v>
      </c>
      <c r="P50" s="93" t="n">
        <f aca="false">Seg3_N*P42</f>
        <v>100</v>
      </c>
      <c r="Q50" s="93" t="n">
        <f aca="false">Seg3_N*Q42</f>
        <v>100</v>
      </c>
      <c r="R50" s="93" t="n">
        <f aca="false">Seg3_N*R42</f>
        <v>100</v>
      </c>
      <c r="S50" s="93" t="n">
        <f aca="false">Seg3_N*S42</f>
        <v>100</v>
      </c>
      <c r="T50" s="93" t="n">
        <f aca="false">Seg3_N*T42</f>
        <v>100</v>
      </c>
      <c r="U50" s="93" t="n">
        <f aca="false">Seg3_N*U42</f>
        <v>100</v>
      </c>
      <c r="V50" s="93" t="n">
        <f aca="false">Seg3_N*V42</f>
        <v>100</v>
      </c>
      <c r="W50" s="93" t="n">
        <f aca="false">Seg3_N*W42</f>
        <v>100</v>
      </c>
    </row>
    <row r="51" customFormat="false" ht="15" hidden="false" customHeight="false" outlineLevel="0" collapsed="false">
      <c r="A51" s="11" t="str">
        <f aca="false">"Connections - "&amp;Seg4_Name</f>
        <v>Connections - Institutions (health centre, school, water)</v>
      </c>
      <c r="C51" s="93" t="n">
        <v>0</v>
      </c>
      <c r="D51" s="93" t="n">
        <f aca="false">Seg4_N*D42</f>
        <v>6</v>
      </c>
      <c r="E51" s="93" t="n">
        <f aca="false">Seg4_N*E42</f>
        <v>8.5</v>
      </c>
      <c r="F51" s="93" t="n">
        <f aca="false">Seg4_N*F42</f>
        <v>10</v>
      </c>
      <c r="G51" s="93" t="n">
        <f aca="false">Seg4_N*G42</f>
        <v>10</v>
      </c>
      <c r="H51" s="93" t="n">
        <f aca="false">Seg4_N*H42</f>
        <v>10</v>
      </c>
      <c r="I51" s="93" t="n">
        <f aca="false">Seg4_N*I42</f>
        <v>10</v>
      </c>
      <c r="J51" s="93" t="n">
        <f aca="false">Seg4_N*J42</f>
        <v>10</v>
      </c>
      <c r="K51" s="93" t="n">
        <f aca="false">Seg4_N*K42</f>
        <v>10</v>
      </c>
      <c r="L51" s="93" t="n">
        <f aca="false">Seg4_N*L42</f>
        <v>10</v>
      </c>
      <c r="M51" s="93" t="n">
        <f aca="false">Seg4_N*M42</f>
        <v>10</v>
      </c>
      <c r="N51" s="93" t="n">
        <f aca="false">Seg4_N*N42</f>
        <v>10</v>
      </c>
      <c r="O51" s="93" t="n">
        <f aca="false">Seg4_N*O42</f>
        <v>10</v>
      </c>
      <c r="P51" s="93" t="n">
        <f aca="false">Seg4_N*P42</f>
        <v>10</v>
      </c>
      <c r="Q51" s="93" t="n">
        <f aca="false">Seg4_N*Q42</f>
        <v>10</v>
      </c>
      <c r="R51" s="93" t="n">
        <f aca="false">Seg4_N*R42</f>
        <v>10</v>
      </c>
      <c r="S51" s="93" t="n">
        <f aca="false">Seg4_N*S42</f>
        <v>10</v>
      </c>
      <c r="T51" s="93" t="n">
        <f aca="false">Seg4_N*T42</f>
        <v>10</v>
      </c>
      <c r="U51" s="93" t="n">
        <f aca="false">Seg4_N*U42</f>
        <v>10</v>
      </c>
      <c r="V51" s="93" t="n">
        <f aca="false">Seg4_N*V42</f>
        <v>10</v>
      </c>
      <c r="W51" s="93" t="n">
        <f aca="false">Seg4_N*W42</f>
        <v>10</v>
      </c>
    </row>
    <row r="52" customFormat="false" ht="15" hidden="false" customHeight="false" outlineLevel="0" collapsed="false">
      <c r="A52" s="11" t="str">
        <f aca="false">"Connections - "&amp;Seg5_Name</f>
        <v>Connections - Other / custom</v>
      </c>
      <c r="C52" s="93" t="n">
        <v>0</v>
      </c>
      <c r="D52" s="93" t="n">
        <f aca="false">Seg5_N*D42</f>
        <v>0</v>
      </c>
      <c r="E52" s="93" t="n">
        <f aca="false">Seg5_N*E42</f>
        <v>0</v>
      </c>
      <c r="F52" s="93" t="n">
        <f aca="false">Seg5_N*F42</f>
        <v>0</v>
      </c>
      <c r="G52" s="93" t="n">
        <f aca="false">Seg5_N*G42</f>
        <v>0</v>
      </c>
      <c r="H52" s="93" t="n">
        <f aca="false">Seg5_N*H42</f>
        <v>0</v>
      </c>
      <c r="I52" s="93" t="n">
        <f aca="false">Seg5_N*I42</f>
        <v>0</v>
      </c>
      <c r="J52" s="93" t="n">
        <f aca="false">Seg5_N*J42</f>
        <v>0</v>
      </c>
      <c r="K52" s="93" t="n">
        <f aca="false">Seg5_N*K42</f>
        <v>0</v>
      </c>
      <c r="L52" s="93" t="n">
        <f aca="false">Seg5_N*L42</f>
        <v>0</v>
      </c>
      <c r="M52" s="93" t="n">
        <f aca="false">Seg5_N*M42</f>
        <v>0</v>
      </c>
      <c r="N52" s="93" t="n">
        <f aca="false">Seg5_N*N42</f>
        <v>0</v>
      </c>
      <c r="O52" s="93" t="n">
        <f aca="false">Seg5_N*O42</f>
        <v>0</v>
      </c>
      <c r="P52" s="93" t="n">
        <f aca="false">Seg5_N*P42</f>
        <v>0</v>
      </c>
      <c r="Q52" s="93" t="n">
        <f aca="false">Seg5_N*Q42</f>
        <v>0</v>
      </c>
      <c r="R52" s="93" t="n">
        <f aca="false">Seg5_N*R42</f>
        <v>0</v>
      </c>
      <c r="S52" s="93" t="n">
        <f aca="false">Seg5_N*S42</f>
        <v>0</v>
      </c>
      <c r="T52" s="93" t="n">
        <f aca="false">Seg5_N*T42</f>
        <v>0</v>
      </c>
      <c r="U52" s="93" t="n">
        <f aca="false">Seg5_N*U42</f>
        <v>0</v>
      </c>
      <c r="V52" s="93" t="n">
        <f aca="false">Seg5_N*V42</f>
        <v>0</v>
      </c>
      <c r="W52" s="93" t="n">
        <f aca="false">Seg5_N*W42</f>
        <v>0</v>
      </c>
    </row>
    <row r="53" customFormat="false" ht="15" hidden="false" customHeight="false" outlineLevel="0" collapsed="false">
      <c r="A53" s="16" t="s">
        <v>420</v>
      </c>
      <c r="C53" s="29" t="n">
        <f aca="false">C48+C49+C50+C51+C52</f>
        <v>0</v>
      </c>
      <c r="D53" s="29" t="n">
        <f aca="false">D48+D49+D50+D51+D52</f>
        <v>582</v>
      </c>
      <c r="E53" s="29" t="n">
        <f aca="false">E48+E49+E50+E51+E52</f>
        <v>824.5</v>
      </c>
      <c r="F53" s="29" t="n">
        <f aca="false">F48+F49+F50+F51+F52</f>
        <v>970</v>
      </c>
      <c r="G53" s="29" t="n">
        <f aca="false">G48+G49+G50+G51+G52</f>
        <v>970</v>
      </c>
      <c r="H53" s="29" t="n">
        <f aca="false">H48+H49+H50+H51+H52</f>
        <v>970</v>
      </c>
      <c r="I53" s="29" t="n">
        <f aca="false">I48+I49+I50+I51+I52</f>
        <v>970</v>
      </c>
      <c r="J53" s="29" t="n">
        <f aca="false">J48+J49+J50+J51+J52</f>
        <v>970</v>
      </c>
      <c r="K53" s="29" t="n">
        <f aca="false">K48+K49+K50+K51+K52</f>
        <v>970</v>
      </c>
      <c r="L53" s="29" t="n">
        <f aca="false">L48+L49+L50+L51+L52</f>
        <v>970</v>
      </c>
      <c r="M53" s="29" t="n">
        <f aca="false">M48+M49+M50+M51+M52</f>
        <v>970</v>
      </c>
      <c r="N53" s="29" t="n">
        <f aca="false">N48+N49+N50+N51+N52</f>
        <v>970</v>
      </c>
      <c r="O53" s="29" t="n">
        <f aca="false">O48+O49+O50+O51+O52</f>
        <v>970</v>
      </c>
      <c r="P53" s="29" t="n">
        <f aca="false">P48+P49+P50+P51+P52</f>
        <v>970</v>
      </c>
      <c r="Q53" s="29" t="n">
        <f aca="false">Q48+Q49+Q50+Q51+Q52</f>
        <v>970</v>
      </c>
      <c r="R53" s="29" t="n">
        <f aca="false">R48+R49+R50+R51+R52</f>
        <v>970</v>
      </c>
      <c r="S53" s="29" t="n">
        <f aca="false">S48+S49+S50+S51+S52</f>
        <v>970</v>
      </c>
      <c r="T53" s="29" t="n">
        <f aca="false">T48+T49+T50+T51+T52</f>
        <v>970</v>
      </c>
      <c r="U53" s="29" t="n">
        <f aca="false">U48+U49+U50+U51+U52</f>
        <v>970</v>
      </c>
      <c r="V53" s="29" t="n">
        <f aca="false">V48+V49+V50+V51+V52</f>
        <v>970</v>
      </c>
      <c r="W53" s="29" t="n">
        <f aca="false">W48+W49+W50+W51+W52</f>
        <v>970</v>
      </c>
    </row>
    <row r="54" customFormat="false" ht="15" hidden="false" customHeight="false" outlineLevel="0" collapsed="false">
      <c r="A54" s="11" t="str">
        <f aca="false">"New connections - "&amp;Seg1_Name</f>
        <v>New connections - Households</v>
      </c>
      <c r="B54" s="77" t="n">
        <f aca="false">SUM(C54:W54)</f>
        <v>800</v>
      </c>
      <c r="C54" s="94" t="n">
        <v>0</v>
      </c>
      <c r="D54" s="94" t="n">
        <f aca="false">MAX(0,D48-C48)</f>
        <v>480</v>
      </c>
      <c r="E54" s="94" t="n">
        <f aca="false">MAX(0,E48-D48)</f>
        <v>200</v>
      </c>
      <c r="F54" s="94" t="n">
        <f aca="false">MAX(0,F48-E48)</f>
        <v>120</v>
      </c>
      <c r="G54" s="94" t="n">
        <f aca="false">MAX(0,G48-F48)</f>
        <v>0</v>
      </c>
      <c r="H54" s="94" t="n">
        <f aca="false">MAX(0,H48-G48)</f>
        <v>0</v>
      </c>
      <c r="I54" s="94" t="n">
        <f aca="false">MAX(0,I48-H48)</f>
        <v>0</v>
      </c>
      <c r="J54" s="94" t="n">
        <f aca="false">MAX(0,J48-I48)</f>
        <v>0</v>
      </c>
      <c r="K54" s="94" t="n">
        <f aca="false">MAX(0,K48-J48)</f>
        <v>0</v>
      </c>
      <c r="L54" s="94" t="n">
        <f aca="false">MAX(0,L48-K48)</f>
        <v>0</v>
      </c>
      <c r="M54" s="94" t="n">
        <f aca="false">MAX(0,M48-L48)</f>
        <v>0</v>
      </c>
      <c r="N54" s="94" t="n">
        <f aca="false">MAX(0,N48-M48)</f>
        <v>0</v>
      </c>
      <c r="O54" s="94" t="n">
        <f aca="false">MAX(0,O48-N48)</f>
        <v>0</v>
      </c>
      <c r="P54" s="94" t="n">
        <f aca="false">MAX(0,P48-O48)</f>
        <v>0</v>
      </c>
      <c r="Q54" s="94" t="n">
        <f aca="false">MAX(0,Q48-P48)</f>
        <v>0</v>
      </c>
      <c r="R54" s="94" t="n">
        <f aca="false">MAX(0,R48-Q48)</f>
        <v>0</v>
      </c>
      <c r="S54" s="94" t="n">
        <f aca="false">MAX(0,S48-R48)</f>
        <v>0</v>
      </c>
      <c r="T54" s="94" t="n">
        <f aca="false">MAX(0,T48-S48)</f>
        <v>0</v>
      </c>
      <c r="U54" s="94" t="n">
        <f aca="false">MAX(0,U48-T48)</f>
        <v>0</v>
      </c>
      <c r="V54" s="94" t="n">
        <f aca="false">MAX(0,V48-U48)</f>
        <v>0</v>
      </c>
      <c r="W54" s="94" t="n">
        <f aca="false">MAX(0,W48-V48)</f>
        <v>0</v>
      </c>
    </row>
    <row r="55" customFormat="false" ht="15" hidden="false" customHeight="false" outlineLevel="0" collapsed="false">
      <c r="A55" s="11" t="str">
        <f aca="false">"New connections - "&amp;Seg2_Name</f>
        <v>New connections - Productive users (mills, welding, cold rooms)</v>
      </c>
      <c r="B55" s="77" t="n">
        <f aca="false">SUM(C55:W55)</f>
        <v>60</v>
      </c>
      <c r="C55" s="94" t="n">
        <v>0</v>
      </c>
      <c r="D55" s="94" t="n">
        <f aca="false">MAX(0,D49-C49)</f>
        <v>36</v>
      </c>
      <c r="E55" s="94" t="n">
        <f aca="false">MAX(0,E49-D49)</f>
        <v>15</v>
      </c>
      <c r="F55" s="94" t="n">
        <f aca="false">MAX(0,F49-E49)</f>
        <v>9</v>
      </c>
      <c r="G55" s="94" t="n">
        <f aca="false">MAX(0,G49-F49)</f>
        <v>0</v>
      </c>
      <c r="H55" s="94" t="n">
        <f aca="false">MAX(0,H49-G49)</f>
        <v>0</v>
      </c>
      <c r="I55" s="94" t="n">
        <f aca="false">MAX(0,I49-H49)</f>
        <v>0</v>
      </c>
      <c r="J55" s="94" t="n">
        <f aca="false">MAX(0,J49-I49)</f>
        <v>0</v>
      </c>
      <c r="K55" s="94" t="n">
        <f aca="false">MAX(0,K49-J49)</f>
        <v>0</v>
      </c>
      <c r="L55" s="94" t="n">
        <f aca="false">MAX(0,L49-K49)</f>
        <v>0</v>
      </c>
      <c r="M55" s="94" t="n">
        <f aca="false">MAX(0,M49-L49)</f>
        <v>0</v>
      </c>
      <c r="N55" s="94" t="n">
        <f aca="false">MAX(0,N49-M49)</f>
        <v>0</v>
      </c>
      <c r="O55" s="94" t="n">
        <f aca="false">MAX(0,O49-N49)</f>
        <v>0</v>
      </c>
      <c r="P55" s="94" t="n">
        <f aca="false">MAX(0,P49-O49)</f>
        <v>0</v>
      </c>
      <c r="Q55" s="94" t="n">
        <f aca="false">MAX(0,Q49-P49)</f>
        <v>0</v>
      </c>
      <c r="R55" s="94" t="n">
        <f aca="false">MAX(0,R49-Q49)</f>
        <v>0</v>
      </c>
      <c r="S55" s="94" t="n">
        <f aca="false">MAX(0,S49-R49)</f>
        <v>0</v>
      </c>
      <c r="T55" s="94" t="n">
        <f aca="false">MAX(0,T49-S49)</f>
        <v>0</v>
      </c>
      <c r="U55" s="94" t="n">
        <f aca="false">MAX(0,U49-T49)</f>
        <v>0</v>
      </c>
      <c r="V55" s="94" t="n">
        <f aca="false">MAX(0,V49-U49)</f>
        <v>0</v>
      </c>
      <c r="W55" s="94" t="n">
        <f aca="false">MAX(0,W49-V49)</f>
        <v>0</v>
      </c>
    </row>
    <row r="56" customFormat="false" ht="15" hidden="false" customHeight="false" outlineLevel="0" collapsed="false">
      <c r="A56" s="11" t="str">
        <f aca="false">"New connections - "&amp;Seg3_Name</f>
        <v>New connections - Commercial (shops, bars, kiosks)</v>
      </c>
      <c r="B56" s="77" t="n">
        <f aca="false">SUM(C56:W56)</f>
        <v>100</v>
      </c>
      <c r="C56" s="94" t="n">
        <v>0</v>
      </c>
      <c r="D56" s="94" t="n">
        <f aca="false">MAX(0,D50-C50)</f>
        <v>60</v>
      </c>
      <c r="E56" s="94" t="n">
        <f aca="false">MAX(0,E50-D50)</f>
        <v>25</v>
      </c>
      <c r="F56" s="94" t="n">
        <f aca="false">MAX(0,F50-E50)</f>
        <v>15</v>
      </c>
      <c r="G56" s="94" t="n">
        <f aca="false">MAX(0,G50-F50)</f>
        <v>0</v>
      </c>
      <c r="H56" s="94" t="n">
        <f aca="false">MAX(0,H50-G50)</f>
        <v>0</v>
      </c>
      <c r="I56" s="94" t="n">
        <f aca="false">MAX(0,I50-H50)</f>
        <v>0</v>
      </c>
      <c r="J56" s="94" t="n">
        <f aca="false">MAX(0,J50-I50)</f>
        <v>0</v>
      </c>
      <c r="K56" s="94" t="n">
        <f aca="false">MAX(0,K50-J50)</f>
        <v>0</v>
      </c>
      <c r="L56" s="94" t="n">
        <f aca="false">MAX(0,L50-K50)</f>
        <v>0</v>
      </c>
      <c r="M56" s="94" t="n">
        <f aca="false">MAX(0,M50-L50)</f>
        <v>0</v>
      </c>
      <c r="N56" s="94" t="n">
        <f aca="false">MAX(0,N50-M50)</f>
        <v>0</v>
      </c>
      <c r="O56" s="94" t="n">
        <f aca="false">MAX(0,O50-N50)</f>
        <v>0</v>
      </c>
      <c r="P56" s="94" t="n">
        <f aca="false">MAX(0,P50-O50)</f>
        <v>0</v>
      </c>
      <c r="Q56" s="94" t="n">
        <f aca="false">MAX(0,Q50-P50)</f>
        <v>0</v>
      </c>
      <c r="R56" s="94" t="n">
        <f aca="false">MAX(0,R50-Q50)</f>
        <v>0</v>
      </c>
      <c r="S56" s="94" t="n">
        <f aca="false">MAX(0,S50-R50)</f>
        <v>0</v>
      </c>
      <c r="T56" s="94" t="n">
        <f aca="false">MAX(0,T50-S50)</f>
        <v>0</v>
      </c>
      <c r="U56" s="94" t="n">
        <f aca="false">MAX(0,U50-T50)</f>
        <v>0</v>
      </c>
      <c r="V56" s="94" t="n">
        <f aca="false">MAX(0,V50-U50)</f>
        <v>0</v>
      </c>
      <c r="W56" s="94" t="n">
        <f aca="false">MAX(0,W50-V50)</f>
        <v>0</v>
      </c>
    </row>
    <row r="57" customFormat="false" ht="15" hidden="false" customHeight="false" outlineLevel="0" collapsed="false">
      <c r="A57" s="11" t="str">
        <f aca="false">"New connections - "&amp;Seg4_Name</f>
        <v>New connections - Institutions (health centre, school, water)</v>
      </c>
      <c r="B57" s="77" t="n">
        <f aca="false">SUM(C57:W57)</f>
        <v>10</v>
      </c>
      <c r="C57" s="94" t="n">
        <v>0</v>
      </c>
      <c r="D57" s="94" t="n">
        <f aca="false">MAX(0,D51-C51)</f>
        <v>6</v>
      </c>
      <c r="E57" s="94" t="n">
        <f aca="false">MAX(0,E51-D51)</f>
        <v>2.5</v>
      </c>
      <c r="F57" s="94" t="n">
        <f aca="false">MAX(0,F51-E51)</f>
        <v>1.5</v>
      </c>
      <c r="G57" s="94" t="n">
        <f aca="false">MAX(0,G51-F51)</f>
        <v>0</v>
      </c>
      <c r="H57" s="94" t="n">
        <f aca="false">MAX(0,H51-G51)</f>
        <v>0</v>
      </c>
      <c r="I57" s="94" t="n">
        <f aca="false">MAX(0,I51-H51)</f>
        <v>0</v>
      </c>
      <c r="J57" s="94" t="n">
        <f aca="false">MAX(0,J51-I51)</f>
        <v>0</v>
      </c>
      <c r="K57" s="94" t="n">
        <f aca="false">MAX(0,K51-J51)</f>
        <v>0</v>
      </c>
      <c r="L57" s="94" t="n">
        <f aca="false">MAX(0,L51-K51)</f>
        <v>0</v>
      </c>
      <c r="M57" s="94" t="n">
        <f aca="false">MAX(0,M51-L51)</f>
        <v>0</v>
      </c>
      <c r="N57" s="94" t="n">
        <f aca="false">MAX(0,N51-M51)</f>
        <v>0</v>
      </c>
      <c r="O57" s="94" t="n">
        <f aca="false">MAX(0,O51-N51)</f>
        <v>0</v>
      </c>
      <c r="P57" s="94" t="n">
        <f aca="false">MAX(0,P51-O51)</f>
        <v>0</v>
      </c>
      <c r="Q57" s="94" t="n">
        <f aca="false">MAX(0,Q51-P51)</f>
        <v>0</v>
      </c>
      <c r="R57" s="94" t="n">
        <f aca="false">MAX(0,R51-Q51)</f>
        <v>0</v>
      </c>
      <c r="S57" s="94" t="n">
        <f aca="false">MAX(0,S51-R51)</f>
        <v>0</v>
      </c>
      <c r="T57" s="94" t="n">
        <f aca="false">MAX(0,T51-S51)</f>
        <v>0</v>
      </c>
      <c r="U57" s="94" t="n">
        <f aca="false">MAX(0,U51-T51)</f>
        <v>0</v>
      </c>
      <c r="V57" s="94" t="n">
        <f aca="false">MAX(0,V51-U51)</f>
        <v>0</v>
      </c>
      <c r="W57" s="94" t="n">
        <f aca="false">MAX(0,W51-V51)</f>
        <v>0</v>
      </c>
    </row>
    <row r="58" customFormat="false" ht="15" hidden="false" customHeight="false" outlineLevel="0" collapsed="false">
      <c r="A58" s="11" t="str">
        <f aca="false">"New connections - "&amp;Seg5_Name</f>
        <v>New connections - Other / custom</v>
      </c>
      <c r="B58" s="77" t="n">
        <f aca="false">SUM(C58:W58)</f>
        <v>0</v>
      </c>
      <c r="C58" s="94" t="n">
        <v>0</v>
      </c>
      <c r="D58" s="94" t="n">
        <f aca="false">MAX(0,D52-C52)</f>
        <v>0</v>
      </c>
      <c r="E58" s="94" t="n">
        <f aca="false">MAX(0,E52-D52)</f>
        <v>0</v>
      </c>
      <c r="F58" s="94" t="n">
        <f aca="false">MAX(0,F52-E52)</f>
        <v>0</v>
      </c>
      <c r="G58" s="94" t="n">
        <f aca="false">MAX(0,G52-F52)</f>
        <v>0</v>
      </c>
      <c r="H58" s="94" t="n">
        <f aca="false">MAX(0,H52-G52)</f>
        <v>0</v>
      </c>
      <c r="I58" s="94" t="n">
        <f aca="false">MAX(0,I52-H52)</f>
        <v>0</v>
      </c>
      <c r="J58" s="94" t="n">
        <f aca="false">MAX(0,J52-I52)</f>
        <v>0</v>
      </c>
      <c r="K58" s="94" t="n">
        <f aca="false">MAX(0,K52-J52)</f>
        <v>0</v>
      </c>
      <c r="L58" s="94" t="n">
        <f aca="false">MAX(0,L52-K52)</f>
        <v>0</v>
      </c>
      <c r="M58" s="94" t="n">
        <f aca="false">MAX(0,M52-L52)</f>
        <v>0</v>
      </c>
      <c r="N58" s="94" t="n">
        <f aca="false">MAX(0,N52-M52)</f>
        <v>0</v>
      </c>
      <c r="O58" s="94" t="n">
        <f aca="false">MAX(0,O52-N52)</f>
        <v>0</v>
      </c>
      <c r="P58" s="94" t="n">
        <f aca="false">MAX(0,P52-O52)</f>
        <v>0</v>
      </c>
      <c r="Q58" s="94" t="n">
        <f aca="false">MAX(0,Q52-P52)</f>
        <v>0</v>
      </c>
      <c r="R58" s="94" t="n">
        <f aca="false">MAX(0,R52-Q52)</f>
        <v>0</v>
      </c>
      <c r="S58" s="94" t="n">
        <f aca="false">MAX(0,S52-R52)</f>
        <v>0</v>
      </c>
      <c r="T58" s="94" t="n">
        <f aca="false">MAX(0,T52-S52)</f>
        <v>0</v>
      </c>
      <c r="U58" s="94" t="n">
        <f aca="false">MAX(0,U52-T52)</f>
        <v>0</v>
      </c>
      <c r="V58" s="94" t="n">
        <f aca="false">MAX(0,V52-U52)</f>
        <v>0</v>
      </c>
      <c r="W58" s="94" t="n">
        <f aca="false">MAX(0,W52-V52)</f>
        <v>0</v>
      </c>
    </row>
    <row r="59" customFormat="false" ht="15" hidden="false" customHeight="false" outlineLevel="0" collapsed="false">
      <c r="A59" s="16" t="s">
        <v>421</v>
      </c>
      <c r="B59" s="76" t="n">
        <f aca="false">SUM(C59:W59)</f>
        <v>970</v>
      </c>
      <c r="C59" s="29" t="n">
        <f aca="false">C54+C55+C56+C57+C58</f>
        <v>0</v>
      </c>
      <c r="D59" s="29" t="n">
        <f aca="false">D54+D55+D56+D57+D58</f>
        <v>582</v>
      </c>
      <c r="E59" s="29" t="n">
        <f aca="false">E54+E55+E56+E57+E58</f>
        <v>242.5</v>
      </c>
      <c r="F59" s="29" t="n">
        <f aca="false">F54+F55+F56+F57+F58</f>
        <v>145.5</v>
      </c>
      <c r="G59" s="29" t="n">
        <f aca="false">G54+G55+G56+G57+G58</f>
        <v>0</v>
      </c>
      <c r="H59" s="29" t="n">
        <f aca="false">H54+H55+H56+H57+H58</f>
        <v>0</v>
      </c>
      <c r="I59" s="29" t="n">
        <f aca="false">I54+I55+I56+I57+I58</f>
        <v>0</v>
      </c>
      <c r="J59" s="29" t="n">
        <f aca="false">J54+J55+J56+J57+J58</f>
        <v>0</v>
      </c>
      <c r="K59" s="29" t="n">
        <f aca="false">K54+K55+K56+K57+K58</f>
        <v>0</v>
      </c>
      <c r="L59" s="29" t="n">
        <f aca="false">L54+L55+L56+L57+L58</f>
        <v>0</v>
      </c>
      <c r="M59" s="29" t="n">
        <f aca="false">M54+M55+M56+M57+M58</f>
        <v>0</v>
      </c>
      <c r="N59" s="29" t="n">
        <f aca="false">N54+N55+N56+N57+N58</f>
        <v>0</v>
      </c>
      <c r="O59" s="29" t="n">
        <f aca="false">O54+O55+O56+O57+O58</f>
        <v>0</v>
      </c>
      <c r="P59" s="29" t="n">
        <f aca="false">P54+P55+P56+P57+P58</f>
        <v>0</v>
      </c>
      <c r="Q59" s="29" t="n">
        <f aca="false">Q54+Q55+Q56+Q57+Q58</f>
        <v>0</v>
      </c>
      <c r="R59" s="29" t="n">
        <f aca="false">R54+R55+R56+R57+R58</f>
        <v>0</v>
      </c>
      <c r="S59" s="29" t="n">
        <f aca="false">S54+S55+S56+S57+S58</f>
        <v>0</v>
      </c>
      <c r="T59" s="29" t="n">
        <f aca="false">T54+T55+T56+T57+T58</f>
        <v>0</v>
      </c>
      <c r="U59" s="29" t="n">
        <f aca="false">U54+U55+U56+U57+U58</f>
        <v>0</v>
      </c>
      <c r="V59" s="29" t="n">
        <f aca="false">V54+V55+V56+V57+V58</f>
        <v>0</v>
      </c>
      <c r="W59" s="29" t="n">
        <f aca="false">W54+W55+W56+W57+W58</f>
        <v>0</v>
      </c>
    </row>
    <row r="61" customFormat="false" ht="15" hidden="false" customHeight="false" outlineLevel="0" collapsed="false">
      <c r="A61" s="11" t="str">
        <f aca="false">"Energy sold (kWh) - "&amp;Seg1_Name</f>
        <v>Energy sold (kWh) - Households</v>
      </c>
      <c r="B61" s="76" t="n">
        <f aca="false">SUM(C61:W61)</f>
        <v>3789485.92641319</v>
      </c>
      <c r="C61" s="93" t="n">
        <v>0</v>
      </c>
      <c r="D61" s="93" t="n">
        <f aca="false">D48*Seg1_kWh*12*D45</f>
        <v>86400</v>
      </c>
      <c r="E61" s="93" t="n">
        <f aca="false">E48*Seg1_kWh*12*E45</f>
        <v>126072</v>
      </c>
      <c r="F61" s="93" t="n">
        <f aca="false">F48*Seg1_kWh*12*F45</f>
        <v>152769.6</v>
      </c>
      <c r="G61" s="93" t="n">
        <f aca="false">G48*Seg1_kWh*12*G45</f>
        <v>157352.688</v>
      </c>
      <c r="H61" s="93" t="n">
        <f aca="false">H48*Seg1_kWh*12*H45</f>
        <v>162073.26864</v>
      </c>
      <c r="I61" s="93" t="n">
        <f aca="false">I48*Seg1_kWh*12*I45</f>
        <v>166935.4666992</v>
      </c>
      <c r="J61" s="93" t="n">
        <f aca="false">J48*Seg1_kWh*12*J45</f>
        <v>171943.530700176</v>
      </c>
      <c r="K61" s="93" t="n">
        <f aca="false">K48*Seg1_kWh*12*K45</f>
        <v>177101.836621181</v>
      </c>
      <c r="L61" s="93" t="n">
        <f aca="false">L48*Seg1_kWh*12*L45</f>
        <v>182414.891719817</v>
      </c>
      <c r="M61" s="93" t="n">
        <f aca="false">M48*Seg1_kWh*12*M45</f>
        <v>187887.338471411</v>
      </c>
      <c r="N61" s="93" t="n">
        <f aca="false">N48*Seg1_kWh*12*N45</f>
        <v>193523.958625554</v>
      </c>
      <c r="O61" s="93" t="n">
        <f aca="false">O48*Seg1_kWh*12*O45</f>
        <v>199329.67738432</v>
      </c>
      <c r="P61" s="93" t="n">
        <f aca="false">P48*Seg1_kWh*12*P45</f>
        <v>205309.56770585</v>
      </c>
      <c r="Q61" s="93" t="n">
        <f aca="false">Q48*Seg1_kWh*12*Q45</f>
        <v>211468.854737025</v>
      </c>
      <c r="R61" s="93" t="n">
        <f aca="false">R48*Seg1_kWh*12*R45</f>
        <v>217812.920379136</v>
      </c>
      <c r="S61" s="93" t="n">
        <f aca="false">S48*Seg1_kWh*12*S45</f>
        <v>224347.30799051</v>
      </c>
      <c r="T61" s="93" t="n">
        <f aca="false">T48*Seg1_kWh*12*T45</f>
        <v>231077.727230226</v>
      </c>
      <c r="U61" s="93" t="n">
        <f aca="false">U48*Seg1_kWh*12*U45</f>
        <v>238010.059047132</v>
      </c>
      <c r="V61" s="93" t="n">
        <f aca="false">V48*Seg1_kWh*12*V45</f>
        <v>245150.360818546</v>
      </c>
      <c r="W61" s="93" t="n">
        <f aca="false">W48*Seg1_kWh*12*W45</f>
        <v>252504.871643103</v>
      </c>
    </row>
    <row r="62" customFormat="false" ht="15" hidden="false" customHeight="false" outlineLevel="0" collapsed="false">
      <c r="A62" s="11" t="str">
        <f aca="false">"Energy sold (kWh) - "&amp;Seg2_Name</f>
        <v>Energy sold (kWh) - Productive users (mills, welding, cold rooms)</v>
      </c>
      <c r="B62" s="76" t="n">
        <f aca="false">SUM(C62:W62)</f>
        <v>2944733.72369716</v>
      </c>
      <c r="C62" s="93" t="n">
        <v>0</v>
      </c>
      <c r="D62" s="93" t="n">
        <f aca="false">D49*Seg2_kWh*12*D45</f>
        <v>67139.712</v>
      </c>
      <c r="E62" s="93" t="n">
        <f aca="false">E49*Seg2_kWh*12*E45</f>
        <v>97968.02976</v>
      </c>
      <c r="F62" s="93" t="n">
        <f aca="false">F49*Seg2_kWh*12*F45</f>
        <v>118714.200768</v>
      </c>
      <c r="G62" s="93" t="n">
        <f aca="false">G49*Seg2_kWh*12*G45</f>
        <v>122275.62679104</v>
      </c>
      <c r="H62" s="93" t="n">
        <f aca="false">H49*Seg2_kWh*12*H45</f>
        <v>125943.895594771</v>
      </c>
      <c r="I62" s="93" t="n">
        <f aca="false">I49*Seg2_kWh*12*I45</f>
        <v>129722.212462614</v>
      </c>
      <c r="J62" s="93" t="n">
        <f aca="false">J49*Seg2_kWh*12*J45</f>
        <v>133613.878836493</v>
      </c>
      <c r="K62" s="93" t="n">
        <f aca="false">K49*Seg2_kWh*12*K45</f>
        <v>137622.295201588</v>
      </c>
      <c r="L62" s="93" t="n">
        <f aca="false">L49*Seg2_kWh*12*L45</f>
        <v>141750.964057635</v>
      </c>
      <c r="M62" s="93" t="n">
        <f aca="false">M49*Seg2_kWh*12*M45</f>
        <v>146003.492979364</v>
      </c>
      <c r="N62" s="93" t="n">
        <f aca="false">N49*Seg2_kWh*12*N45</f>
        <v>150383.597768745</v>
      </c>
      <c r="O62" s="93" t="n">
        <f aca="false">O49*Seg2_kWh*12*O45</f>
        <v>154895.105701808</v>
      </c>
      <c r="P62" s="93" t="n">
        <f aca="false">P49*Seg2_kWh*12*P45</f>
        <v>159541.958872862</v>
      </c>
      <c r="Q62" s="93" t="n">
        <f aca="false">Q49*Seg2_kWh*12*Q45</f>
        <v>164328.217639048</v>
      </c>
      <c r="R62" s="93" t="n">
        <f aca="false">R49*Seg2_kWh*12*R45</f>
        <v>169258.064168219</v>
      </c>
      <c r="S62" s="93" t="n">
        <f aca="false">S49*Seg2_kWh*12*S45</f>
        <v>174335.806093266</v>
      </c>
      <c r="T62" s="93" t="n">
        <f aca="false">T49*Seg2_kWh*12*T45</f>
        <v>179565.880276064</v>
      </c>
      <c r="U62" s="93" t="n">
        <f aca="false">U49*Seg2_kWh*12*U45</f>
        <v>184952.856684346</v>
      </c>
      <c r="V62" s="93" t="n">
        <f aca="false">V49*Seg2_kWh*12*V45</f>
        <v>190501.442384876</v>
      </c>
      <c r="W62" s="93" t="n">
        <f aca="false">W49*Seg2_kWh*12*W45</f>
        <v>196216.485656422</v>
      </c>
    </row>
    <row r="63" customFormat="false" ht="15" hidden="false" customHeight="false" outlineLevel="0" collapsed="false">
      <c r="A63" s="11" t="str">
        <f aca="false">"Energy sold (kWh) - "&amp;Seg3_Name</f>
        <v>Energy sold (kWh) - Commercial (shops, bars, kiosks)</v>
      </c>
      <c r="B63" s="76" t="n">
        <f aca="false">SUM(C63:W63)</f>
        <v>1578952.46933883</v>
      </c>
      <c r="C63" s="93" t="n">
        <v>0</v>
      </c>
      <c r="D63" s="93" t="n">
        <f aca="false">D50*Seg3_kWh*12*D45</f>
        <v>36000</v>
      </c>
      <c r="E63" s="93" t="n">
        <f aca="false">E50*Seg3_kWh*12*E45</f>
        <v>52530</v>
      </c>
      <c r="F63" s="93" t="n">
        <f aca="false">F50*Seg3_kWh*12*F45</f>
        <v>63654</v>
      </c>
      <c r="G63" s="93" t="n">
        <f aca="false">G50*Seg3_kWh*12*G45</f>
        <v>65563.62</v>
      </c>
      <c r="H63" s="93" t="n">
        <f aca="false">H50*Seg3_kWh*12*H45</f>
        <v>67530.5286</v>
      </c>
      <c r="I63" s="93" t="n">
        <f aca="false">I50*Seg3_kWh*12*I45</f>
        <v>69556.444458</v>
      </c>
      <c r="J63" s="93" t="n">
        <f aca="false">J50*Seg3_kWh*12*J45</f>
        <v>71643.13779174</v>
      </c>
      <c r="K63" s="93" t="n">
        <f aca="false">K50*Seg3_kWh*12*K45</f>
        <v>73792.4319254922</v>
      </c>
      <c r="L63" s="93" t="n">
        <f aca="false">L50*Seg3_kWh*12*L45</f>
        <v>76006.204883257</v>
      </c>
      <c r="M63" s="93" t="n">
        <f aca="false">M50*Seg3_kWh*12*M45</f>
        <v>78286.3910297547</v>
      </c>
      <c r="N63" s="93" t="n">
        <f aca="false">N50*Seg3_kWh*12*N45</f>
        <v>80634.9827606473</v>
      </c>
      <c r="O63" s="93" t="n">
        <f aca="false">O50*Seg3_kWh*12*O45</f>
        <v>83054.0322434668</v>
      </c>
      <c r="P63" s="93" t="n">
        <f aca="false">P50*Seg3_kWh*12*P45</f>
        <v>85545.6532107708</v>
      </c>
      <c r="Q63" s="93" t="n">
        <f aca="false">Q50*Seg3_kWh*12*Q45</f>
        <v>88112.0228070939</v>
      </c>
      <c r="R63" s="93" t="n">
        <f aca="false">R50*Seg3_kWh*12*R45</f>
        <v>90755.3834913067</v>
      </c>
      <c r="S63" s="93" t="n">
        <f aca="false">S50*Seg3_kWh*12*S45</f>
        <v>93478.0449960459</v>
      </c>
      <c r="T63" s="93" t="n">
        <f aca="false">T50*Seg3_kWh*12*T45</f>
        <v>96282.3863459273</v>
      </c>
      <c r="U63" s="93" t="n">
        <f aca="false">U50*Seg3_kWh*12*U45</f>
        <v>99170.8579363051</v>
      </c>
      <c r="V63" s="93" t="n">
        <f aca="false">V50*Seg3_kWh*12*V45</f>
        <v>102145.983674394</v>
      </c>
      <c r="W63" s="93" t="n">
        <f aca="false">W50*Seg3_kWh*12*W45</f>
        <v>105210.363184626</v>
      </c>
    </row>
    <row r="64" customFormat="false" ht="15" hidden="false" customHeight="false" outlineLevel="0" collapsed="false">
      <c r="A64" s="11" t="str">
        <f aca="false">"Energy sold (kWh) - "&amp;Seg4_Name</f>
        <v>Energy sold (kWh) - Institutions (health centre, school, water)</v>
      </c>
      <c r="B64" s="76" t="n">
        <f aca="false">SUM(C64:W64)</f>
        <v>947371.481603297</v>
      </c>
      <c r="C64" s="93" t="n">
        <v>0</v>
      </c>
      <c r="D64" s="93" t="n">
        <f aca="false">D51*Seg4_kWh*12*D45</f>
        <v>21600</v>
      </c>
      <c r="E64" s="93" t="n">
        <f aca="false">E51*Seg4_kWh*12*E45</f>
        <v>31518</v>
      </c>
      <c r="F64" s="93" t="n">
        <f aca="false">F51*Seg4_kWh*12*F45</f>
        <v>38192.4</v>
      </c>
      <c r="G64" s="93" t="n">
        <f aca="false">G51*Seg4_kWh*12*G45</f>
        <v>39338.172</v>
      </c>
      <c r="H64" s="93" t="n">
        <f aca="false">H51*Seg4_kWh*12*H45</f>
        <v>40518.31716</v>
      </c>
      <c r="I64" s="93" t="n">
        <f aca="false">I51*Seg4_kWh*12*I45</f>
        <v>41733.8666748</v>
      </c>
      <c r="J64" s="93" t="n">
        <f aca="false">J51*Seg4_kWh*12*J45</f>
        <v>42985.882675044</v>
      </c>
      <c r="K64" s="93" t="n">
        <f aca="false">K51*Seg4_kWh*12*K45</f>
        <v>44275.4591552953</v>
      </c>
      <c r="L64" s="93" t="n">
        <f aca="false">L51*Seg4_kWh*12*L45</f>
        <v>45603.7229299542</v>
      </c>
      <c r="M64" s="93" t="n">
        <f aca="false">M51*Seg4_kWh*12*M45</f>
        <v>46971.8346178528</v>
      </c>
      <c r="N64" s="93" t="n">
        <f aca="false">N51*Seg4_kWh*12*N45</f>
        <v>48380.9896563884</v>
      </c>
      <c r="O64" s="93" t="n">
        <f aca="false">O51*Seg4_kWh*12*O45</f>
        <v>49832.4193460801</v>
      </c>
      <c r="P64" s="93" t="n">
        <f aca="false">P51*Seg4_kWh*12*P45</f>
        <v>51327.3919264625</v>
      </c>
      <c r="Q64" s="93" t="n">
        <f aca="false">Q51*Seg4_kWh*12*Q45</f>
        <v>52867.2136842563</v>
      </c>
      <c r="R64" s="93" t="n">
        <f aca="false">R51*Seg4_kWh*12*R45</f>
        <v>54453.230094784</v>
      </c>
      <c r="S64" s="93" t="n">
        <f aca="false">S51*Seg4_kWh*12*S45</f>
        <v>56086.8269976275</v>
      </c>
      <c r="T64" s="93" t="n">
        <f aca="false">T51*Seg4_kWh*12*T45</f>
        <v>57769.4318075564</v>
      </c>
      <c r="U64" s="93" t="n">
        <f aca="false">U51*Seg4_kWh*12*U45</f>
        <v>59502.5147617831</v>
      </c>
      <c r="V64" s="93" t="n">
        <f aca="false">V51*Seg4_kWh*12*V45</f>
        <v>61287.5902046366</v>
      </c>
      <c r="W64" s="93" t="n">
        <f aca="false">W51*Seg4_kWh*12*W45</f>
        <v>63126.2179107757</v>
      </c>
    </row>
    <row r="65" customFormat="false" ht="15" hidden="false" customHeight="false" outlineLevel="0" collapsed="false">
      <c r="A65" s="11" t="str">
        <f aca="false">"Energy sold (kWh) - "&amp;Seg5_Name</f>
        <v>Energy sold (kWh) - Other / custom</v>
      </c>
      <c r="B65" s="76" t="n">
        <f aca="false">SUM(C65:W65)</f>
        <v>0</v>
      </c>
      <c r="C65" s="93" t="n">
        <v>0</v>
      </c>
      <c r="D65" s="93" t="n">
        <f aca="false">D52*Seg5_kWh*12*D45</f>
        <v>0</v>
      </c>
      <c r="E65" s="93" t="n">
        <f aca="false">E52*Seg5_kWh*12*E45</f>
        <v>0</v>
      </c>
      <c r="F65" s="93" t="n">
        <f aca="false">F52*Seg5_kWh*12*F45</f>
        <v>0</v>
      </c>
      <c r="G65" s="93" t="n">
        <f aca="false">G52*Seg5_kWh*12*G45</f>
        <v>0</v>
      </c>
      <c r="H65" s="93" t="n">
        <f aca="false">H52*Seg5_kWh*12*H45</f>
        <v>0</v>
      </c>
      <c r="I65" s="93" t="n">
        <f aca="false">I52*Seg5_kWh*12*I45</f>
        <v>0</v>
      </c>
      <c r="J65" s="93" t="n">
        <f aca="false">J52*Seg5_kWh*12*J45</f>
        <v>0</v>
      </c>
      <c r="K65" s="93" t="n">
        <f aca="false">K52*Seg5_kWh*12*K45</f>
        <v>0</v>
      </c>
      <c r="L65" s="93" t="n">
        <f aca="false">L52*Seg5_kWh*12*L45</f>
        <v>0</v>
      </c>
      <c r="M65" s="93" t="n">
        <f aca="false">M52*Seg5_kWh*12*M45</f>
        <v>0</v>
      </c>
      <c r="N65" s="93" t="n">
        <f aca="false">N52*Seg5_kWh*12*N45</f>
        <v>0</v>
      </c>
      <c r="O65" s="93" t="n">
        <f aca="false">O52*Seg5_kWh*12*O45</f>
        <v>0</v>
      </c>
      <c r="P65" s="93" t="n">
        <f aca="false">P52*Seg5_kWh*12*P45</f>
        <v>0</v>
      </c>
      <c r="Q65" s="93" t="n">
        <f aca="false">Q52*Seg5_kWh*12*Q45</f>
        <v>0</v>
      </c>
      <c r="R65" s="93" t="n">
        <f aca="false">R52*Seg5_kWh*12*R45</f>
        <v>0</v>
      </c>
      <c r="S65" s="93" t="n">
        <f aca="false">S52*Seg5_kWh*12*S45</f>
        <v>0</v>
      </c>
      <c r="T65" s="93" t="n">
        <f aca="false">T52*Seg5_kWh*12*T45</f>
        <v>0</v>
      </c>
      <c r="U65" s="93" t="n">
        <f aca="false">U52*Seg5_kWh*12*U45</f>
        <v>0</v>
      </c>
      <c r="V65" s="93" t="n">
        <f aca="false">V52*Seg5_kWh*12*V45</f>
        <v>0</v>
      </c>
      <c r="W65" s="93" t="n">
        <f aca="false">W52*Seg5_kWh*12*W45</f>
        <v>0</v>
      </c>
    </row>
    <row r="66" customFormat="false" ht="15" hidden="false" customHeight="false" outlineLevel="0" collapsed="false">
      <c r="A66" s="16" t="s">
        <v>422</v>
      </c>
      <c r="B66" s="76" t="n">
        <f aca="false">SUM(C66:W66)</f>
        <v>9260543.60105247</v>
      </c>
      <c r="C66" s="29" t="n">
        <f aca="false">C61+C62+C63+C64+C65</f>
        <v>0</v>
      </c>
      <c r="D66" s="29" t="n">
        <f aca="false">D61+D62+D63+D64+D65</f>
        <v>211139.712</v>
      </c>
      <c r="E66" s="29" t="n">
        <f aca="false">E61+E62+E63+E64+E65</f>
        <v>308088.02976</v>
      </c>
      <c r="F66" s="29" t="n">
        <f aca="false">F61+F62+F63+F64+F65</f>
        <v>373330.200768</v>
      </c>
      <c r="G66" s="29" t="n">
        <f aca="false">G61+G62+G63+G64+G65</f>
        <v>384530.10679104</v>
      </c>
      <c r="H66" s="29" t="n">
        <f aca="false">H61+H62+H63+H64+H65</f>
        <v>396066.009994771</v>
      </c>
      <c r="I66" s="29" t="n">
        <f aca="false">I61+I62+I63+I64+I65</f>
        <v>407947.990294614</v>
      </c>
      <c r="J66" s="29" t="n">
        <f aca="false">J61+J62+J63+J64+J65</f>
        <v>420186.430003453</v>
      </c>
      <c r="K66" s="29" t="n">
        <f aca="false">K61+K62+K63+K64+K65</f>
        <v>432792.022903556</v>
      </c>
      <c r="L66" s="29" t="n">
        <f aca="false">L61+L62+L63+L64+L65</f>
        <v>445775.783590663</v>
      </c>
      <c r="M66" s="29" t="n">
        <f aca="false">M61+M62+M63+M64+M65</f>
        <v>459149.057098383</v>
      </c>
      <c r="N66" s="29" t="n">
        <f aca="false">N61+N62+N63+N64+N65</f>
        <v>472923.528811335</v>
      </c>
      <c r="O66" s="29" t="n">
        <f aca="false">O61+O62+O63+O64+O65</f>
        <v>487111.234675675</v>
      </c>
      <c r="P66" s="29" t="n">
        <f aca="false">P61+P62+P63+P64+P65</f>
        <v>501724.571715945</v>
      </c>
      <c r="Q66" s="29" t="n">
        <f aca="false">Q61+Q62+Q63+Q64+Q65</f>
        <v>516776.308867423</v>
      </c>
      <c r="R66" s="29" t="n">
        <f aca="false">R61+R62+R63+R64+R65</f>
        <v>532279.598133446</v>
      </c>
      <c r="S66" s="29" t="n">
        <f aca="false">S61+S62+S63+S64+S65</f>
        <v>548247.986077449</v>
      </c>
      <c r="T66" s="29" t="n">
        <f aca="false">T61+T62+T63+T64+T65</f>
        <v>564695.425659773</v>
      </c>
      <c r="U66" s="29" t="n">
        <f aca="false">U61+U62+U63+U64+U65</f>
        <v>581636.288429566</v>
      </c>
      <c r="V66" s="29" t="n">
        <f aca="false">V61+V62+V63+V64+V65</f>
        <v>599085.377082453</v>
      </c>
      <c r="W66" s="29" t="n">
        <f aca="false">W61+W62+W63+W64+W65</f>
        <v>617057.938394927</v>
      </c>
    </row>
    <row r="68" customFormat="false" ht="15" hidden="false" customHeight="false" outlineLevel="0" collapsed="false">
      <c r="A68" s="9" t="s">
        <v>423</v>
      </c>
      <c r="B68" s="10"/>
      <c r="C68" s="10"/>
      <c r="D68" s="10"/>
      <c r="E68" s="10"/>
      <c r="F68" s="10"/>
      <c r="G68" s="10"/>
      <c r="H68" s="10"/>
      <c r="I68" s="10"/>
      <c r="J68" s="10"/>
      <c r="K68" s="10"/>
      <c r="L68" s="10"/>
      <c r="M68" s="10"/>
      <c r="N68" s="10"/>
      <c r="O68" s="10"/>
      <c r="P68" s="10"/>
      <c r="Q68" s="10"/>
      <c r="R68" s="10"/>
      <c r="S68" s="10"/>
      <c r="T68" s="10"/>
      <c r="U68" s="10"/>
      <c r="V68" s="10"/>
      <c r="W68" s="10"/>
    </row>
    <row r="69" customFormat="false" ht="15" hidden="false" customHeight="false" outlineLevel="0" collapsed="false">
      <c r="A69" s="11" t="s">
        <v>424</v>
      </c>
      <c r="B69" s="76" t="n">
        <f aca="false">SUM(C69:W69)</f>
        <v>10523345.001196</v>
      </c>
      <c r="C69" s="93" t="n">
        <v>0</v>
      </c>
      <c r="D69" s="93" t="n">
        <f aca="false">D66/(1-Losses)</f>
        <v>239931.490909091</v>
      </c>
      <c r="E69" s="93" t="n">
        <f aca="false">E66/(1-Losses)</f>
        <v>350100.033818182</v>
      </c>
      <c r="F69" s="93" t="n">
        <f aca="false">F66/(1-Losses)</f>
        <v>424238.864509091</v>
      </c>
      <c r="G69" s="93" t="n">
        <f aca="false">G66/(1-Losses)</f>
        <v>436966.030444364</v>
      </c>
      <c r="H69" s="93" t="n">
        <f aca="false">H66/(1-Losses)</f>
        <v>450075.011357695</v>
      </c>
      <c r="I69" s="93" t="n">
        <f aca="false">I66/(1-Losses)</f>
        <v>463577.261698425</v>
      </c>
      <c r="J69" s="93" t="n">
        <f aca="false">J66/(1-Losses)</f>
        <v>477484.579549378</v>
      </c>
      <c r="K69" s="93" t="n">
        <f aca="false">K66/(1-Losses)</f>
        <v>491809.11693586</v>
      </c>
      <c r="L69" s="93" t="n">
        <f aca="false">L66/(1-Losses)</f>
        <v>506563.390443935</v>
      </c>
      <c r="M69" s="93" t="n">
        <f aca="false">M66/(1-Losses)</f>
        <v>521760.292157253</v>
      </c>
      <c r="N69" s="93" t="n">
        <f aca="false">N66/(1-Losses)</f>
        <v>537413.100921971</v>
      </c>
      <c r="O69" s="93" t="n">
        <f aca="false">O66/(1-Losses)</f>
        <v>553535.49394963</v>
      </c>
      <c r="P69" s="93" t="n">
        <f aca="false">P66/(1-Losses)</f>
        <v>570141.558768119</v>
      </c>
      <c r="Q69" s="93" t="n">
        <f aca="false">Q66/(1-Losses)</f>
        <v>587245.805531163</v>
      </c>
      <c r="R69" s="93" t="n">
        <f aca="false">R66/(1-Losses)</f>
        <v>604863.179697098</v>
      </c>
      <c r="S69" s="93" t="n">
        <f aca="false">S66/(1-Losses)</f>
        <v>623009.07508801</v>
      </c>
      <c r="T69" s="93" t="n">
        <f aca="false">T66/(1-Losses)</f>
        <v>641699.347340651</v>
      </c>
      <c r="U69" s="93" t="n">
        <f aca="false">U66/(1-Losses)</f>
        <v>660950.327760871</v>
      </c>
      <c r="V69" s="93" t="n">
        <f aca="false">V66/(1-Losses)</f>
        <v>680778.837593697</v>
      </c>
      <c r="W69" s="93" t="n">
        <f aca="false">W66/(1-Losses)</f>
        <v>701202.202721508</v>
      </c>
    </row>
    <row r="70" customFormat="false" ht="15" hidden="false" customHeight="false" outlineLevel="0" collapsed="false">
      <c r="A70" s="11" t="s">
        <v>425</v>
      </c>
      <c r="B70" s="76" t="n">
        <f aca="false">SUM(C70:W70)</f>
        <v>8722537.45034705</v>
      </c>
      <c r="C70" s="93" t="n">
        <v>0</v>
      </c>
      <c r="D70" s="93" t="n">
        <f aca="false">PV_kWp*SpecYield*(1-Degradation)^(D39-1)*D41</f>
        <v>457206.277768167</v>
      </c>
      <c r="E70" s="93" t="n">
        <f aca="false">PV_kWp*SpecYield*(1-Degradation)^(E39-1)*E41</f>
        <v>454920.246379326</v>
      </c>
      <c r="F70" s="93" t="n">
        <f aca="false">PV_kWp*SpecYield*(1-Degradation)^(F39-1)*F41</f>
        <v>452645.64514743</v>
      </c>
      <c r="G70" s="93" t="n">
        <f aca="false">PV_kWp*SpecYield*(1-Degradation)^(G39-1)*G41</f>
        <v>450382.416921693</v>
      </c>
      <c r="H70" s="93" t="n">
        <f aca="false">PV_kWp*SpecYield*(1-Degradation)^(H39-1)*H41</f>
        <v>448130.504837084</v>
      </c>
      <c r="I70" s="93" t="n">
        <f aca="false">PV_kWp*SpecYield*(1-Degradation)^(I39-1)*I41</f>
        <v>445889.852312899</v>
      </c>
      <c r="J70" s="93" t="n">
        <f aca="false">PV_kWp*SpecYield*(1-Degradation)^(J39-1)*J41</f>
        <v>443660.403051334</v>
      </c>
      <c r="K70" s="93" t="n">
        <f aca="false">PV_kWp*SpecYield*(1-Degradation)^(K39-1)*K41</f>
        <v>441442.101036078</v>
      </c>
      <c r="L70" s="93" t="n">
        <f aca="false">PV_kWp*SpecYield*(1-Degradation)^(L39-1)*L41</f>
        <v>439234.890530897</v>
      </c>
      <c r="M70" s="93" t="n">
        <f aca="false">PV_kWp*SpecYield*(1-Degradation)^(M39-1)*M41</f>
        <v>437038.716078243</v>
      </c>
      <c r="N70" s="93" t="n">
        <f aca="false">PV_kWp*SpecYield*(1-Degradation)^(N39-1)*N41</f>
        <v>434853.522497851</v>
      </c>
      <c r="O70" s="93" t="n">
        <f aca="false">PV_kWp*SpecYield*(1-Degradation)^(O39-1)*O41</f>
        <v>432679.254885362</v>
      </c>
      <c r="P70" s="93" t="n">
        <f aca="false">PV_kWp*SpecYield*(1-Degradation)^(P39-1)*P41</f>
        <v>430515.858610935</v>
      </c>
      <c r="Q70" s="93" t="n">
        <f aca="false">PV_kWp*SpecYield*(1-Degradation)^(Q39-1)*Q41</f>
        <v>428363.279317881</v>
      </c>
      <c r="R70" s="93" t="n">
        <f aca="false">PV_kWp*SpecYield*(1-Degradation)^(R39-1)*R41</f>
        <v>426221.462921291</v>
      </c>
      <c r="S70" s="93" t="n">
        <f aca="false">PV_kWp*SpecYield*(1-Degradation)^(S39-1)*S41</f>
        <v>424090.355606685</v>
      </c>
      <c r="T70" s="93" t="n">
        <f aca="false">PV_kWp*SpecYield*(1-Degradation)^(T39-1)*T41</f>
        <v>421969.903828651</v>
      </c>
      <c r="U70" s="93" t="n">
        <f aca="false">PV_kWp*SpecYield*(1-Degradation)^(U39-1)*U41</f>
        <v>419860.054309508</v>
      </c>
      <c r="V70" s="93" t="n">
        <f aca="false">PV_kWp*SpecYield*(1-Degradation)^(V39-1)*V41</f>
        <v>417760.754037961</v>
      </c>
      <c r="W70" s="93" t="n">
        <f aca="false">PV_kWp*SpecYield*(1-Degradation)^(W39-1)*W41</f>
        <v>415671.950267771</v>
      </c>
    </row>
    <row r="71" customFormat="false" ht="15" hidden="false" customHeight="false" outlineLevel="0" collapsed="false">
      <c r="A71" s="11" t="s">
        <v>426</v>
      </c>
      <c r="B71" s="76" t="n">
        <f aca="false">SUM(C71:W71)</f>
        <v>7903453.19236348</v>
      </c>
      <c r="C71" s="93" t="n">
        <v>0</v>
      </c>
      <c r="D71" s="93" t="n">
        <f aca="false">MIN(D70/StorageFactor,D69*SolarFraction)</f>
        <v>215938.341818182</v>
      </c>
      <c r="E71" s="93" t="n">
        <f aca="false">MIN(E70/StorageFactor,E69*SolarFraction)</f>
        <v>315090.030436364</v>
      </c>
      <c r="F71" s="93" t="n">
        <f aca="false">MIN(F70/StorageFactor,F69*SolarFraction)</f>
        <v>381814.978058182</v>
      </c>
      <c r="G71" s="93" t="n">
        <f aca="false">MIN(G70/StorageFactor,G69*SolarFraction)</f>
        <v>393269.427399927</v>
      </c>
      <c r="H71" s="93" t="n">
        <f aca="false">MIN(H70/StorageFactor,H69*SolarFraction)</f>
        <v>405067.510221925</v>
      </c>
      <c r="I71" s="93" t="n">
        <f aca="false">MIN(I70/StorageFactor,I69*SolarFraction)</f>
        <v>417219.535528583</v>
      </c>
      <c r="J71" s="93" t="n">
        <f aca="false">MIN(J70/StorageFactor,J69*SolarFraction)</f>
        <v>426078.172123344</v>
      </c>
      <c r="K71" s="93" t="n">
        <f aca="false">MIN(K70/StorageFactor,K69*SolarFraction)</f>
        <v>423947.781262727</v>
      </c>
      <c r="L71" s="93" t="n">
        <f aca="false">MIN(L70/StorageFactor,L69*SolarFraction)</f>
        <v>421828.042356414</v>
      </c>
      <c r="M71" s="93" t="n">
        <f aca="false">MIN(M70/StorageFactor,M69*SolarFraction)</f>
        <v>419718.902144632</v>
      </c>
      <c r="N71" s="93" t="n">
        <f aca="false">MIN(N70/StorageFactor,N69*SolarFraction)</f>
        <v>417620.307633909</v>
      </c>
      <c r="O71" s="93" t="n">
        <f aca="false">MIN(O70/StorageFactor,O69*SolarFraction)</f>
        <v>415532.206095739</v>
      </c>
      <c r="P71" s="93" t="n">
        <f aca="false">MIN(P70/StorageFactor,P69*SolarFraction)</f>
        <v>413454.54506526</v>
      </c>
      <c r="Q71" s="93" t="n">
        <f aca="false">MIN(Q70/StorageFactor,Q69*SolarFraction)</f>
        <v>411387.272339934</v>
      </c>
      <c r="R71" s="93" t="n">
        <f aca="false">MIN(R70/StorageFactor,R69*SolarFraction)</f>
        <v>409330.335978234</v>
      </c>
      <c r="S71" s="93" t="n">
        <f aca="false">MIN(S70/StorageFactor,S69*SolarFraction)</f>
        <v>407283.684298343</v>
      </c>
      <c r="T71" s="93" t="n">
        <f aca="false">MIN(T70/StorageFactor,T69*SolarFraction)</f>
        <v>405247.265876851</v>
      </c>
      <c r="U71" s="93" t="n">
        <f aca="false">MIN(U70/StorageFactor,U69*SolarFraction)</f>
        <v>403221.029547467</v>
      </c>
      <c r="V71" s="93" t="n">
        <f aca="false">MIN(V70/StorageFactor,V69*SolarFraction)</f>
        <v>401204.92439973</v>
      </c>
      <c r="W71" s="93" t="n">
        <f aca="false">MIN(W70/StorageFactor,W69*SolarFraction)</f>
        <v>399198.899777731</v>
      </c>
    </row>
    <row r="72" customFormat="false" ht="15" hidden="false" customHeight="false" outlineLevel="0" collapsed="false">
      <c r="A72" s="11" t="s">
        <v>427</v>
      </c>
      <c r="B72" s="76" t="n">
        <f aca="false">SUM(C72:W72)</f>
        <v>2619891.80883251</v>
      </c>
      <c r="C72" s="93" t="n">
        <v>0</v>
      </c>
      <c r="D72" s="93" t="n">
        <f aca="false">D69-D71</f>
        <v>23993.1490909091</v>
      </c>
      <c r="E72" s="93" t="n">
        <f aca="false">E69-E71</f>
        <v>35010.0033818182</v>
      </c>
      <c r="F72" s="93" t="n">
        <f aca="false">F69-F71</f>
        <v>42423.8864509091</v>
      </c>
      <c r="G72" s="93" t="n">
        <f aca="false">G69-G71</f>
        <v>43696.6030444364</v>
      </c>
      <c r="H72" s="93" t="n">
        <f aca="false">H69-H71</f>
        <v>45007.5011357695</v>
      </c>
      <c r="I72" s="93" t="n">
        <f aca="false">I69-I71</f>
        <v>46357.7261698425</v>
      </c>
      <c r="J72" s="93" t="n">
        <f aca="false">J69-J71</f>
        <v>51406.407426034</v>
      </c>
      <c r="K72" s="93" t="n">
        <f aca="false">K69-K71</f>
        <v>67861.3356731322</v>
      </c>
      <c r="L72" s="93" t="n">
        <f aca="false">L69-L71</f>
        <v>84735.3480875216</v>
      </c>
      <c r="M72" s="93" t="n">
        <f aca="false">M69-M71</f>
        <v>102041.390012622</v>
      </c>
      <c r="N72" s="93" t="n">
        <f aca="false">N69-N71</f>
        <v>119792.793288062</v>
      </c>
      <c r="O72" s="93" t="n">
        <f aca="false">O69-O71</f>
        <v>138003.287853891</v>
      </c>
      <c r="P72" s="93" t="n">
        <f aca="false">P69-P71</f>
        <v>156687.013702859</v>
      </c>
      <c r="Q72" s="93" t="n">
        <f aca="false">Q69-Q71</f>
        <v>175858.533191229</v>
      </c>
      <c r="R72" s="93" t="n">
        <f aca="false">R69-R71</f>
        <v>195532.843718863</v>
      </c>
      <c r="S72" s="93" t="n">
        <f aca="false">S69-S71</f>
        <v>215725.390789667</v>
      </c>
      <c r="T72" s="93" t="n">
        <f aca="false">T69-T71</f>
        <v>236452.0814638</v>
      </c>
      <c r="U72" s="93" t="n">
        <f aca="false">U69-U71</f>
        <v>257729.298213403</v>
      </c>
      <c r="V72" s="93" t="n">
        <f aca="false">V69-V71</f>
        <v>279573.913193967</v>
      </c>
      <c r="W72" s="93" t="n">
        <f aca="false">W69-W71</f>
        <v>302003.302943776</v>
      </c>
    </row>
    <row r="73" customFormat="false" ht="15" hidden="false" customHeight="false" outlineLevel="0" collapsed="false">
      <c r="A73" s="11" t="s">
        <v>428</v>
      </c>
      <c r="C73" s="91" t="n">
        <v>0</v>
      </c>
      <c r="D73" s="91" t="n">
        <f aca="false">IFERROR(D71/D69,0)</f>
        <v>0.9</v>
      </c>
      <c r="E73" s="91" t="n">
        <f aca="false">IFERROR(E71/E69,0)</f>
        <v>0.9</v>
      </c>
      <c r="F73" s="91" t="n">
        <f aca="false">IFERROR(F71/F69,0)</f>
        <v>0.9</v>
      </c>
      <c r="G73" s="91" t="n">
        <f aca="false">IFERROR(G71/G69,0)</f>
        <v>0.9</v>
      </c>
      <c r="H73" s="91" t="n">
        <f aca="false">IFERROR(H71/H69,0)</f>
        <v>0.9</v>
      </c>
      <c r="I73" s="91" t="n">
        <f aca="false">IFERROR(I71/I69,0)</f>
        <v>0.9</v>
      </c>
      <c r="J73" s="91" t="n">
        <f aca="false">IFERROR(J71/J69,0)</f>
        <v>0.892339125434065</v>
      </c>
      <c r="K73" s="91" t="n">
        <f aca="false">IFERROR(K71/K69,0)</f>
        <v>0.862016922142616</v>
      </c>
      <c r="L73" s="91" t="n">
        <f aca="false">IFERROR(L71/L69,0)</f>
        <v>0.83272508498243</v>
      </c>
      <c r="M73" s="91" t="n">
        <f aca="false">IFERROR(M71/M69,0)</f>
        <v>0.804428601512153</v>
      </c>
      <c r="N73" s="91" t="n">
        <f aca="false">IFERROR(N71/N69,0)</f>
        <v>0.777093649033585</v>
      </c>
      <c r="O73" s="91" t="n">
        <f aca="false">IFERROR(O71/O69,0)</f>
        <v>0.750687554163511</v>
      </c>
      <c r="P73" s="91" t="n">
        <f aca="false">IFERROR(P71/P69,0)</f>
        <v>0.725178753779314</v>
      </c>
      <c r="Q73" s="91" t="n">
        <f aca="false">IFERROR(Q71/Q69,0)</f>
        <v>0.700536757291668</v>
      </c>
      <c r="R73" s="91" t="n">
        <f aca="false">IFERROR(R71/R69,0)</f>
        <v>0.676732110199232</v>
      </c>
      <c r="S73" s="91" t="n">
        <f aca="false">IFERROR(S71/S69,0)</f>
        <v>0.653736358881783</v>
      </c>
      <c r="T73" s="91" t="n">
        <f aca="false">IFERROR(T71/T69,0)</f>
        <v>0.631522016589683</v>
      </c>
      <c r="U73" s="91" t="n">
        <f aca="false">IFERROR(U71/U69,0)</f>
        <v>0.610062530589063</v>
      </c>
      <c r="V73" s="91" t="n">
        <f aca="false">IFERROR(V71/V69,0)</f>
        <v>0.589332250423415</v>
      </c>
      <c r="W73" s="91" t="n">
        <f aca="false">IFERROR(W71/W69,0)</f>
        <v>0.569306397253687</v>
      </c>
    </row>
    <row r="74" customFormat="false" ht="15" hidden="false" customHeight="false" outlineLevel="0" collapsed="false">
      <c r="A74" s="11" t="s">
        <v>429</v>
      </c>
      <c r="B74" s="76" t="n">
        <f aca="false">SUM(C74:W74)</f>
        <v>873297.269610837</v>
      </c>
      <c r="C74" s="93" t="n">
        <v>0</v>
      </c>
      <c r="D74" s="93" t="n">
        <f aca="false">D72/DieselEff</f>
        <v>7997.71636363636</v>
      </c>
      <c r="E74" s="93" t="n">
        <f aca="false">E72/DieselEff</f>
        <v>11670.0011272727</v>
      </c>
      <c r="F74" s="93" t="n">
        <f aca="false">F72/DieselEff</f>
        <v>14141.2954836364</v>
      </c>
      <c r="G74" s="93" t="n">
        <f aca="false">G72/DieselEff</f>
        <v>14565.5343481455</v>
      </c>
      <c r="H74" s="93" t="n">
        <f aca="false">H72/DieselEff</f>
        <v>15002.5003785898</v>
      </c>
      <c r="I74" s="93" t="n">
        <f aca="false">I72/DieselEff</f>
        <v>15452.5753899475</v>
      </c>
      <c r="J74" s="93" t="n">
        <f aca="false">J72/DieselEff</f>
        <v>17135.4691420114</v>
      </c>
      <c r="K74" s="93" t="n">
        <f aca="false">K72/DieselEff</f>
        <v>22620.4452243774</v>
      </c>
      <c r="L74" s="93" t="n">
        <f aca="false">L72/DieselEff</f>
        <v>28245.1160291739</v>
      </c>
      <c r="M74" s="93" t="n">
        <f aca="false">M72/DieselEff</f>
        <v>34013.7966708739</v>
      </c>
      <c r="N74" s="93" t="n">
        <f aca="false">N72/DieselEff</f>
        <v>39930.9310960208</v>
      </c>
      <c r="O74" s="93" t="n">
        <f aca="false">O72/DieselEff</f>
        <v>46001.0959512971</v>
      </c>
      <c r="P74" s="93" t="n">
        <f aca="false">P72/DieselEff</f>
        <v>52229.0045676196</v>
      </c>
      <c r="Q74" s="93" t="n">
        <f aca="false">Q72/DieselEff</f>
        <v>58619.5110637429</v>
      </c>
      <c r="R74" s="93" t="n">
        <f aca="false">R72/DieselEff</f>
        <v>65177.6145729544</v>
      </c>
      <c r="S74" s="93" t="n">
        <f aca="false">S72/DieselEff</f>
        <v>71908.4635965558</v>
      </c>
      <c r="T74" s="93" t="n">
        <f aca="false">T72/DieselEff</f>
        <v>78817.3604879332</v>
      </c>
      <c r="U74" s="93" t="n">
        <f aca="false">U72/DieselEff</f>
        <v>85909.7660711344</v>
      </c>
      <c r="V74" s="93" t="n">
        <f aca="false">V72/DieselEff</f>
        <v>93191.3043979889</v>
      </c>
      <c r="W74" s="93" t="n">
        <f aca="false">W72/DieselEff</f>
        <v>100667.767647925</v>
      </c>
    </row>
    <row r="76" customFormat="false" ht="15" hidden="false" customHeight="false" outlineLevel="0" collapsed="false">
      <c r="A76" s="9" t="s">
        <v>430</v>
      </c>
      <c r="B76" s="10"/>
      <c r="C76" s="10"/>
      <c r="D76" s="10"/>
      <c r="E76" s="10"/>
      <c r="F76" s="10"/>
      <c r="G76" s="10"/>
      <c r="H76" s="10"/>
      <c r="I76" s="10"/>
      <c r="J76" s="10"/>
      <c r="K76" s="10"/>
      <c r="L76" s="10"/>
      <c r="M76" s="10"/>
      <c r="N76" s="10"/>
      <c r="O76" s="10"/>
      <c r="P76" s="10"/>
      <c r="Q76" s="10"/>
      <c r="R76" s="10"/>
      <c r="S76" s="10"/>
      <c r="T76" s="10"/>
      <c r="U76" s="10"/>
      <c r="V76" s="10"/>
      <c r="W76" s="10"/>
    </row>
    <row r="77" customFormat="false" ht="15" hidden="false" customHeight="false" outlineLevel="0" collapsed="false">
      <c r="A77" s="11" t="str">
        <f aca="false">"Billed revenue - "&amp;Seg1_Name</f>
        <v>Billed revenue - Households</v>
      </c>
      <c r="B77" s="66" t="n">
        <f aca="false">SUM(C77:W77)</f>
        <v>1685806.51166827</v>
      </c>
      <c r="C77" s="95" t="n">
        <v>0</v>
      </c>
      <c r="D77" s="95" t="n">
        <f aca="false">D61*Seg1_Tariff*LevTariff*$B$5*D43</f>
        <v>27648</v>
      </c>
      <c r="E77" s="95" t="n">
        <f aca="false">E61*Seg1_Tariff*LevTariff*$B$5*E43</f>
        <v>41553.3312</v>
      </c>
      <c r="F77" s="95" t="n">
        <f aca="false">F61*Seg1_Tariff*LevTariff*$B$5*F43</f>
        <v>51863.4459648</v>
      </c>
      <c r="G77" s="95" t="n">
        <f aca="false">G61*Seg1_Tariff*LevTariff*$B$5*G43</f>
        <v>55021.9298240563</v>
      </c>
      <c r="H77" s="95" t="n">
        <f aca="false">H61*Seg1_Tariff*LevTariff*$B$5*H43</f>
        <v>58372.7653503414</v>
      </c>
      <c r="I77" s="95" t="n">
        <f aca="false">I61*Seg1_Tariff*LevTariff*$B$5*I43</f>
        <v>61927.6667601772</v>
      </c>
      <c r="J77" s="95" t="n">
        <f aca="false">J61*Seg1_Tariff*LevTariff*$B$5*J43</f>
        <v>65699.0616658719</v>
      </c>
      <c r="K77" s="95" t="n">
        <f aca="false">K61*Seg1_Tariff*LevTariff*$B$5*K43</f>
        <v>69700.1345213236</v>
      </c>
      <c r="L77" s="95" t="n">
        <f aca="false">L61*Seg1_Tariff*LevTariff*$B$5*L43</f>
        <v>73944.8727136722</v>
      </c>
      <c r="M77" s="95" t="n">
        <f aca="false">M61*Seg1_Tariff*LevTariff*$B$5*M43</f>
        <v>78448.1154619348</v>
      </c>
      <c r="N77" s="95" t="n">
        <f aca="false">N61*Seg1_Tariff*LevTariff*$B$5*N43</f>
        <v>83225.6056935666</v>
      </c>
      <c r="O77" s="95" t="n">
        <f aca="false">O61*Seg1_Tariff*LevTariff*$B$5*O43</f>
        <v>88294.0450803049</v>
      </c>
      <c r="P77" s="95" t="n">
        <f aca="false">P61*Seg1_Tariff*LevTariff*$B$5*P43</f>
        <v>93671.1524256954</v>
      </c>
      <c r="Q77" s="95" t="n">
        <f aca="false">Q61*Seg1_Tariff*LevTariff*$B$5*Q43</f>
        <v>99375.7256084203</v>
      </c>
      <c r="R77" s="95" t="n">
        <f aca="false">R61*Seg1_Tariff*LevTariff*$B$5*R43</f>
        <v>105427.707297973</v>
      </c>
      <c r="S77" s="95" t="n">
        <f aca="false">S61*Seg1_Tariff*LevTariff*$B$5*S43</f>
        <v>111848.25467242</v>
      </c>
      <c r="T77" s="95" t="n">
        <f aca="false">T61*Seg1_Tariff*LevTariff*$B$5*T43</f>
        <v>118659.81338197</v>
      </c>
      <c r="U77" s="95" t="n">
        <f aca="false">U61*Seg1_Tariff*LevTariff*$B$5*U43</f>
        <v>125886.196016932</v>
      </c>
      <c r="V77" s="95" t="n">
        <f aca="false">V61*Seg1_Tariff*LevTariff*$B$5*V43</f>
        <v>133552.665354363</v>
      </c>
      <c r="W77" s="95" t="n">
        <f aca="false">W61*Seg1_Tariff*LevTariff*$B$5*W43</f>
        <v>141686.022674444</v>
      </c>
    </row>
    <row r="78" customFormat="false" ht="15" hidden="false" customHeight="false" outlineLevel="0" collapsed="false">
      <c r="A78" s="11" t="str">
        <f aca="false">"Billed revenue - "&amp;Seg2_Name</f>
        <v>Billed revenue - Productive users (mills, welding, cold rooms)</v>
      </c>
      <c r="B78" s="66" t="n">
        <f aca="false">SUM(C78:W78)</f>
        <v>1146255.70857628</v>
      </c>
      <c r="C78" s="95" t="n">
        <v>0</v>
      </c>
      <c r="D78" s="95" t="n">
        <f aca="false">D62*Seg2_Tariff*LevTariff*$B$5*D43</f>
        <v>18799.11936</v>
      </c>
      <c r="E78" s="95" t="n">
        <f aca="false">E62*Seg2_Tariff*LevTariff*$B$5*E43</f>
        <v>28253.979782784</v>
      </c>
      <c r="F78" s="95" t="n">
        <f aca="false">F62*Seg2_Tariff*LevTariff*$B$5*F43</f>
        <v>35264.2907665359</v>
      </c>
      <c r="G78" s="95" t="n">
        <f aca="false">G62*Seg2_Tariff*LevTariff*$B$5*G43</f>
        <v>37411.886074218</v>
      </c>
      <c r="H78" s="95" t="n">
        <f aca="false">H62*Seg2_Tariff*LevTariff*$B$5*H43</f>
        <v>39690.2699361379</v>
      </c>
      <c r="I78" s="95" t="n">
        <f aca="false">I62*Seg2_Tariff*LevTariff*$B$5*I43</f>
        <v>42107.4073752486</v>
      </c>
      <c r="J78" s="95" t="n">
        <f aca="false">J62*Seg2_Tariff*LevTariff*$B$5*J43</f>
        <v>44671.7484844013</v>
      </c>
      <c r="K78" s="95" t="n">
        <f aca="false">K62*Seg2_Tariff*LevTariff*$B$5*K43</f>
        <v>47392.2579671013</v>
      </c>
      <c r="L78" s="95" t="n">
        <f aca="false">L62*Seg2_Tariff*LevTariff*$B$5*L43</f>
        <v>50278.4464772978</v>
      </c>
      <c r="M78" s="95" t="n">
        <f aca="false">M62*Seg2_Tariff*LevTariff*$B$5*M43</f>
        <v>53340.4038677653</v>
      </c>
      <c r="N78" s="95" t="n">
        <f aca="false">N62*Seg2_Tariff*LevTariff*$B$5*N43</f>
        <v>56588.8344633122</v>
      </c>
      <c r="O78" s="95" t="n">
        <f aca="false">O62*Seg2_Tariff*LevTariff*$B$5*O43</f>
        <v>60035.0944821279</v>
      </c>
      <c r="P78" s="95" t="n">
        <f aca="false">P62*Seg2_Tariff*LevTariff*$B$5*P43</f>
        <v>63691.2317360895</v>
      </c>
      <c r="Q78" s="95" t="n">
        <f aca="false">Q62*Seg2_Tariff*LevTariff*$B$5*Q43</f>
        <v>67570.0277488173</v>
      </c>
      <c r="R78" s="95" t="n">
        <f aca="false">R62*Seg2_Tariff*LevTariff*$B$5*R43</f>
        <v>71685.0424387203</v>
      </c>
      <c r="S78" s="95" t="n">
        <f aca="false">S62*Seg2_Tariff*LevTariff*$B$5*S43</f>
        <v>76050.6615232384</v>
      </c>
      <c r="T78" s="95" t="n">
        <f aca="false">T62*Seg2_Tariff*LevTariff*$B$5*T43</f>
        <v>80682.1468100036</v>
      </c>
      <c r="U78" s="95" t="n">
        <f aca="false">U62*Seg2_Tariff*LevTariff*$B$5*U43</f>
        <v>85595.6895507328</v>
      </c>
      <c r="V78" s="95" t="n">
        <f aca="false">V62*Seg2_Tariff*LevTariff*$B$5*V43</f>
        <v>90808.4670443725</v>
      </c>
      <c r="W78" s="95" t="n">
        <f aca="false">W62*Seg2_Tariff*LevTariff*$B$5*W43</f>
        <v>96338.7026873747</v>
      </c>
    </row>
    <row r="79" customFormat="false" ht="15" hidden="false" customHeight="false" outlineLevel="0" collapsed="false">
      <c r="A79" s="11" t="str">
        <f aca="false">"Billed revenue - "&amp;Seg3_Name</f>
        <v>Billed revenue - Commercial (shops, bars, kiosks)</v>
      </c>
      <c r="B79" s="66" t="n">
        <f aca="false">SUM(C79:W79)</f>
        <v>702419.379861778</v>
      </c>
      <c r="C79" s="95" t="n">
        <v>0</v>
      </c>
      <c r="D79" s="95" t="n">
        <f aca="false">D63*Seg3_Tariff*LevTariff*$B$5*D43</f>
        <v>11520</v>
      </c>
      <c r="E79" s="95" t="n">
        <f aca="false">E63*Seg3_Tariff*LevTariff*$B$5*E43</f>
        <v>17313.888</v>
      </c>
      <c r="F79" s="95" t="n">
        <f aca="false">F63*Seg3_Tariff*LevTariff*$B$5*F43</f>
        <v>21609.769152</v>
      </c>
      <c r="G79" s="95" t="n">
        <f aca="false">G63*Seg3_Tariff*LevTariff*$B$5*G43</f>
        <v>22925.8040933568</v>
      </c>
      <c r="H79" s="95" t="n">
        <f aca="false">H63*Seg3_Tariff*LevTariff*$B$5*H43</f>
        <v>24321.9855626422</v>
      </c>
      <c r="I79" s="95" t="n">
        <f aca="false">I63*Seg3_Tariff*LevTariff*$B$5*I43</f>
        <v>25803.1944834071</v>
      </c>
      <c r="J79" s="95" t="n">
        <f aca="false">J63*Seg3_Tariff*LevTariff*$B$5*J43</f>
        <v>27374.6090274466</v>
      </c>
      <c r="K79" s="95" t="n">
        <f aca="false">K63*Seg3_Tariff*LevTariff*$B$5*K43</f>
        <v>29041.7227172182</v>
      </c>
      <c r="L79" s="95" t="n">
        <f aca="false">L63*Seg3_Tariff*LevTariff*$B$5*L43</f>
        <v>30810.3636306967</v>
      </c>
      <c r="M79" s="95" t="n">
        <f aca="false">M63*Seg3_Tariff*LevTariff*$B$5*M43</f>
        <v>32686.7147758062</v>
      </c>
      <c r="N79" s="95" t="n">
        <f aca="false">N63*Seg3_Tariff*LevTariff*$B$5*N43</f>
        <v>34677.3357056528</v>
      </c>
      <c r="O79" s="95" t="n">
        <f aca="false">O63*Seg3_Tariff*LevTariff*$B$5*O43</f>
        <v>36789.185450127</v>
      </c>
      <c r="P79" s="95" t="n">
        <f aca="false">P63*Seg3_Tariff*LevTariff*$B$5*P43</f>
        <v>39029.6468440398</v>
      </c>
      <c r="Q79" s="95" t="n">
        <f aca="false">Q63*Seg3_Tariff*LevTariff*$B$5*Q43</f>
        <v>41406.5523368418</v>
      </c>
      <c r="R79" s="95" t="n">
        <f aca="false">R63*Seg3_Tariff*LevTariff*$B$5*R43</f>
        <v>43928.2113741555</v>
      </c>
      <c r="S79" s="95" t="n">
        <f aca="false">S63*Seg3_Tariff*LevTariff*$B$5*S43</f>
        <v>46603.4394468415</v>
      </c>
      <c r="T79" s="95" t="n">
        <f aca="false">T63*Seg3_Tariff*LevTariff*$B$5*T43</f>
        <v>49441.5889091542</v>
      </c>
      <c r="U79" s="95" t="n">
        <f aca="false">U63*Seg3_Tariff*LevTariff*$B$5*U43</f>
        <v>52452.5816737217</v>
      </c>
      <c r="V79" s="95" t="n">
        <f aca="false">V63*Seg3_Tariff*LevTariff*$B$5*V43</f>
        <v>55646.9438976513</v>
      </c>
      <c r="W79" s="95" t="n">
        <f aca="false">W63*Seg3_Tariff*LevTariff*$B$5*W43</f>
        <v>59035.8427810183</v>
      </c>
    </row>
    <row r="80" customFormat="false" ht="15" hidden="false" customHeight="false" outlineLevel="0" collapsed="false">
      <c r="A80" s="11" t="str">
        <f aca="false">"Billed revenue - "&amp;Seg4_Name</f>
        <v>Billed revenue - Institutions (health centre, school, water)</v>
      </c>
      <c r="B80" s="66" t="n">
        <f aca="false">SUM(C80:W80)</f>
        <v>368770.174427433</v>
      </c>
      <c r="C80" s="95" t="n">
        <v>0</v>
      </c>
      <c r="D80" s="95" t="n">
        <f aca="false">D64*Seg4_Tariff*LevTariff*$B$5*D43</f>
        <v>6048</v>
      </c>
      <c r="E80" s="95" t="n">
        <f aca="false">E64*Seg4_Tariff*LevTariff*$B$5*E43</f>
        <v>9089.7912</v>
      </c>
      <c r="F80" s="95" t="n">
        <f aca="false">F64*Seg4_Tariff*LevTariff*$B$5*F43</f>
        <v>11345.1288048</v>
      </c>
      <c r="G80" s="95" t="n">
        <f aca="false">G64*Seg4_Tariff*LevTariff*$B$5*G43</f>
        <v>12036.0471490123</v>
      </c>
      <c r="H80" s="95" t="n">
        <f aca="false">H64*Seg4_Tariff*LevTariff*$B$5*H43</f>
        <v>12769.0424203872</v>
      </c>
      <c r="I80" s="95" t="n">
        <f aca="false">I64*Seg4_Tariff*LevTariff*$B$5*I43</f>
        <v>13546.6771037888</v>
      </c>
      <c r="J80" s="95" t="n">
        <f aca="false">J64*Seg4_Tariff*LevTariff*$B$5*J43</f>
        <v>14371.6697394095</v>
      </c>
      <c r="K80" s="95" t="n">
        <f aca="false">K64*Seg4_Tariff*LevTariff*$B$5*K43</f>
        <v>15246.9044265395</v>
      </c>
      <c r="L80" s="95" t="n">
        <f aca="false">L64*Seg4_Tariff*LevTariff*$B$5*L43</f>
        <v>16175.4409061158</v>
      </c>
      <c r="M80" s="95" t="n">
        <f aca="false">M64*Seg4_Tariff*LevTariff*$B$5*M43</f>
        <v>17160.5252572982</v>
      </c>
      <c r="N80" s="95" t="n">
        <f aca="false">N64*Seg4_Tariff*LevTariff*$B$5*N43</f>
        <v>18205.6012454677</v>
      </c>
      <c r="O80" s="95" t="n">
        <f aca="false">O64*Seg4_Tariff*LevTariff*$B$5*O43</f>
        <v>19314.3223613167</v>
      </c>
      <c r="P80" s="95" t="n">
        <f aca="false">P64*Seg4_Tariff*LevTariff*$B$5*P43</f>
        <v>20490.5645931209</v>
      </c>
      <c r="Q80" s="95" t="n">
        <f aca="false">Q64*Seg4_Tariff*LevTariff*$B$5*Q43</f>
        <v>21738.4399768419</v>
      </c>
      <c r="R80" s="95" t="n">
        <f aca="false">R64*Seg4_Tariff*LevTariff*$B$5*R43</f>
        <v>23062.3109714316</v>
      </c>
      <c r="S80" s="95" t="n">
        <f aca="false">S64*Seg4_Tariff*LevTariff*$B$5*S43</f>
        <v>24466.8057095918</v>
      </c>
      <c r="T80" s="95" t="n">
        <f aca="false">T64*Seg4_Tariff*LevTariff*$B$5*T43</f>
        <v>25956.8341773059</v>
      </c>
      <c r="U80" s="95" t="n">
        <f aca="false">U64*Seg4_Tariff*LevTariff*$B$5*U43</f>
        <v>27537.6053787039</v>
      </c>
      <c r="V80" s="95" t="n">
        <f aca="false">V64*Seg4_Tariff*LevTariff*$B$5*V43</f>
        <v>29214.6455462669</v>
      </c>
      <c r="W80" s="95" t="n">
        <f aca="false">W64*Seg4_Tariff*LevTariff*$B$5*W43</f>
        <v>30993.8174600346</v>
      </c>
    </row>
    <row r="81" customFormat="false" ht="15" hidden="false" customHeight="false" outlineLevel="0" collapsed="false">
      <c r="A81" s="11" t="str">
        <f aca="false">"Billed revenue - "&amp;Seg5_Name</f>
        <v>Billed revenue - Other / custom</v>
      </c>
      <c r="B81" s="66" t="n">
        <f aca="false">SUM(C81:W81)</f>
        <v>0</v>
      </c>
      <c r="C81" s="95" t="n">
        <v>0</v>
      </c>
      <c r="D81" s="95" t="n">
        <f aca="false">D65*Seg5_Tariff*LevTariff*$B$5*D43</f>
        <v>0</v>
      </c>
      <c r="E81" s="95" t="n">
        <f aca="false">E65*Seg5_Tariff*LevTariff*$B$5*E43</f>
        <v>0</v>
      </c>
      <c r="F81" s="95" t="n">
        <f aca="false">F65*Seg5_Tariff*LevTariff*$B$5*F43</f>
        <v>0</v>
      </c>
      <c r="G81" s="95" t="n">
        <f aca="false">G65*Seg5_Tariff*LevTariff*$B$5*G43</f>
        <v>0</v>
      </c>
      <c r="H81" s="95" t="n">
        <f aca="false">H65*Seg5_Tariff*LevTariff*$B$5*H43</f>
        <v>0</v>
      </c>
      <c r="I81" s="95" t="n">
        <f aca="false">I65*Seg5_Tariff*LevTariff*$B$5*I43</f>
        <v>0</v>
      </c>
      <c r="J81" s="95" t="n">
        <f aca="false">J65*Seg5_Tariff*LevTariff*$B$5*J43</f>
        <v>0</v>
      </c>
      <c r="K81" s="95" t="n">
        <f aca="false">K65*Seg5_Tariff*LevTariff*$B$5*K43</f>
        <v>0</v>
      </c>
      <c r="L81" s="95" t="n">
        <f aca="false">L65*Seg5_Tariff*LevTariff*$B$5*L43</f>
        <v>0</v>
      </c>
      <c r="M81" s="95" t="n">
        <f aca="false">M65*Seg5_Tariff*LevTariff*$B$5*M43</f>
        <v>0</v>
      </c>
      <c r="N81" s="95" t="n">
        <f aca="false">N65*Seg5_Tariff*LevTariff*$B$5*N43</f>
        <v>0</v>
      </c>
      <c r="O81" s="95" t="n">
        <f aca="false">O65*Seg5_Tariff*LevTariff*$B$5*O43</f>
        <v>0</v>
      </c>
      <c r="P81" s="95" t="n">
        <f aca="false">P65*Seg5_Tariff*LevTariff*$B$5*P43</f>
        <v>0</v>
      </c>
      <c r="Q81" s="95" t="n">
        <f aca="false">Q65*Seg5_Tariff*LevTariff*$B$5*Q43</f>
        <v>0</v>
      </c>
      <c r="R81" s="95" t="n">
        <f aca="false">R65*Seg5_Tariff*LevTariff*$B$5*R43</f>
        <v>0</v>
      </c>
      <c r="S81" s="95" t="n">
        <f aca="false">S65*Seg5_Tariff*LevTariff*$B$5*S43</f>
        <v>0</v>
      </c>
      <c r="T81" s="95" t="n">
        <f aca="false">T65*Seg5_Tariff*LevTariff*$B$5*T43</f>
        <v>0</v>
      </c>
      <c r="U81" s="95" t="n">
        <f aca="false">U65*Seg5_Tariff*LevTariff*$B$5*U43</f>
        <v>0</v>
      </c>
      <c r="V81" s="95" t="n">
        <f aca="false">V65*Seg5_Tariff*LevTariff*$B$5*V43</f>
        <v>0</v>
      </c>
      <c r="W81" s="95" t="n">
        <f aca="false">W65*Seg5_Tariff*LevTariff*$B$5*W43</f>
        <v>0</v>
      </c>
    </row>
    <row r="82" customFormat="false" ht="15" hidden="false" customHeight="false" outlineLevel="0" collapsed="false">
      <c r="A82" s="16" t="s">
        <v>431</v>
      </c>
      <c r="B82" s="66" t="n">
        <f aca="false">SUM(C82:W82)</f>
        <v>3903251.77453376</v>
      </c>
      <c r="C82" s="31" t="n">
        <f aca="false">C77+C78+C79+C80+C81</f>
        <v>0</v>
      </c>
      <c r="D82" s="31" t="n">
        <f aca="false">D77+D78+D79+D80+D81</f>
        <v>64015.11936</v>
      </c>
      <c r="E82" s="31" t="n">
        <f aca="false">E77+E78+E79+E80+E81</f>
        <v>96210.990182784</v>
      </c>
      <c r="F82" s="31" t="n">
        <f aca="false">F77+F78+F79+F80+F81</f>
        <v>120082.634688136</v>
      </c>
      <c r="G82" s="31" t="n">
        <f aca="false">G77+G78+G79+G80+G81</f>
        <v>127395.667140643</v>
      </c>
      <c r="H82" s="31" t="n">
        <f aca="false">H77+H78+H79+H80+H81</f>
        <v>135154.063269509</v>
      </c>
      <c r="I82" s="31" t="n">
        <f aca="false">I77+I78+I79+I80+I81</f>
        <v>143384.945722622</v>
      </c>
      <c r="J82" s="31" t="n">
        <f aca="false">J77+J78+J79+J80+J81</f>
        <v>152117.088917129</v>
      </c>
      <c r="K82" s="31" t="n">
        <f aca="false">K77+K78+K79+K80+K81</f>
        <v>161381.019632183</v>
      </c>
      <c r="L82" s="31" t="n">
        <f aca="false">L77+L78+L79+L80+L81</f>
        <v>171209.123727782</v>
      </c>
      <c r="M82" s="31" t="n">
        <f aca="false">M77+M78+M79+M80+M81</f>
        <v>181635.759362804</v>
      </c>
      <c r="N82" s="31" t="n">
        <f aca="false">N77+N78+N79+N80+N81</f>
        <v>192697.377107999</v>
      </c>
      <c r="O82" s="31" t="n">
        <f aca="false">O77+O78+O79+O80+O81</f>
        <v>204432.647373876</v>
      </c>
      <c r="P82" s="31" t="n">
        <f aca="false">P77+P78+P79+P80+P81</f>
        <v>216882.595598946</v>
      </c>
      <c r="Q82" s="31" t="n">
        <f aca="false">Q77+Q78+Q79+Q80+Q81</f>
        <v>230090.745670921</v>
      </c>
      <c r="R82" s="31" t="n">
        <f aca="false">R77+R78+R79+R80+R81</f>
        <v>244103.27208228</v>
      </c>
      <c r="S82" s="31" t="n">
        <f aca="false">S77+S78+S79+S80+S81</f>
        <v>258969.161352091</v>
      </c>
      <c r="T82" s="31" t="n">
        <f aca="false">T77+T78+T79+T80+T81</f>
        <v>274740.383278434</v>
      </c>
      <c r="U82" s="31" t="n">
        <f aca="false">U77+U78+U79+U80+U81</f>
        <v>291472.07262009</v>
      </c>
      <c r="V82" s="31" t="n">
        <f aca="false">V77+V78+V79+V80+V81</f>
        <v>309222.721842654</v>
      </c>
      <c r="W82" s="31" t="n">
        <f aca="false">W77+W78+W79+W80+W81</f>
        <v>328054.385602872</v>
      </c>
    </row>
    <row r="83" customFormat="false" ht="15" hidden="false" customHeight="false" outlineLevel="0" collapsed="false">
      <c r="A83" s="11" t="s">
        <v>432</v>
      </c>
      <c r="B83" s="66" t="n">
        <f aca="false">SUM(C83:W83)</f>
        <v>3590991.63257106</v>
      </c>
      <c r="C83" s="95" t="n">
        <v>0</v>
      </c>
      <c r="D83" s="95" t="n">
        <f aca="false">D82*MIN(1,Collection*LevColl*$B$9)</f>
        <v>58893.9098112</v>
      </c>
      <c r="E83" s="95" t="n">
        <f aca="false">E82*MIN(1,Collection*LevColl*$B$9)</f>
        <v>88514.1109681613</v>
      </c>
      <c r="F83" s="95" t="n">
        <f aca="false">F82*MIN(1,Collection*LevColl*$B$9)</f>
        <v>110476.023913085</v>
      </c>
      <c r="G83" s="95" t="n">
        <f aca="false">G82*MIN(1,Collection*LevColl*$B$9)</f>
        <v>117204.013769392</v>
      </c>
      <c r="H83" s="95" t="n">
        <f aca="false">H82*MIN(1,Collection*LevColl*$B$9)</f>
        <v>124341.738207948</v>
      </c>
      <c r="I83" s="95" t="n">
        <f aca="false">I82*MIN(1,Collection*LevColl*$B$9)</f>
        <v>131914.150064812</v>
      </c>
      <c r="J83" s="95" t="n">
        <f aca="false">J82*MIN(1,Collection*LevColl*$B$9)</f>
        <v>139947.721803759</v>
      </c>
      <c r="K83" s="95" t="n">
        <f aca="false">K82*MIN(1,Collection*LevColl*$B$9)</f>
        <v>148470.538061608</v>
      </c>
      <c r="L83" s="95" t="n">
        <f aca="false">L82*MIN(1,Collection*LevColl*$B$9)</f>
        <v>157512.39382956</v>
      </c>
      <c r="M83" s="95" t="n">
        <f aca="false">M82*MIN(1,Collection*LevColl*$B$9)</f>
        <v>167104.89861378</v>
      </c>
      <c r="N83" s="95" t="n">
        <f aca="false">N82*MIN(1,Collection*LevColl*$B$9)</f>
        <v>177281.586939359</v>
      </c>
      <c r="O83" s="95" t="n">
        <f aca="false">O82*MIN(1,Collection*LevColl*$B$9)</f>
        <v>188078.035583966</v>
      </c>
      <c r="P83" s="95" t="n">
        <f aca="false">P82*MIN(1,Collection*LevColl*$B$9)</f>
        <v>199531.98795103</v>
      </c>
      <c r="Q83" s="95" t="n">
        <f aca="false">Q82*MIN(1,Collection*LevColl*$B$9)</f>
        <v>211683.486017248</v>
      </c>
      <c r="R83" s="95" t="n">
        <f aca="false">R82*MIN(1,Collection*LevColl*$B$9)</f>
        <v>224575.010315698</v>
      </c>
      <c r="S83" s="95" t="n">
        <f aca="false">S82*MIN(1,Collection*LevColl*$B$9)</f>
        <v>238251.628443924</v>
      </c>
      <c r="T83" s="95" t="n">
        <f aca="false">T82*MIN(1,Collection*LevColl*$B$9)</f>
        <v>252761.152616159</v>
      </c>
      <c r="U83" s="95" t="n">
        <f aca="false">U82*MIN(1,Collection*LevColl*$B$9)</f>
        <v>268154.306810483</v>
      </c>
      <c r="V83" s="95" t="n">
        <f aca="false">V82*MIN(1,Collection*LevColl*$B$9)</f>
        <v>284484.904095242</v>
      </c>
      <c r="W83" s="95" t="n">
        <f aca="false">W82*MIN(1,Collection*LevColl*$B$9)</f>
        <v>301810.034754642</v>
      </c>
    </row>
    <row r="84" customFormat="false" ht="15" hidden="false" customHeight="false" outlineLevel="0" collapsed="false">
      <c r="A84" s="11" t="s">
        <v>433</v>
      </c>
      <c r="B84" s="66" t="n">
        <f aca="false">SUM(C84:W84)</f>
        <v>11500</v>
      </c>
      <c r="C84" s="95" t="n">
        <v>0</v>
      </c>
      <c r="D84" s="95" t="n">
        <f aca="false">D54*Seg1_Fee+D55*Seg2_Fee+D56*Seg3_Fee+D57*Seg4_Fee+D58*Seg5_Fee</f>
        <v>6900</v>
      </c>
      <c r="E84" s="95" t="n">
        <f aca="false">E54*Seg1_Fee+E55*Seg2_Fee+E56*Seg3_Fee+E57*Seg4_Fee+E58*Seg5_Fee</f>
        <v>2875</v>
      </c>
      <c r="F84" s="95" t="n">
        <f aca="false">F54*Seg1_Fee+F55*Seg2_Fee+F56*Seg3_Fee+F57*Seg4_Fee+F58*Seg5_Fee</f>
        <v>1725</v>
      </c>
      <c r="G84" s="95" t="n">
        <f aca="false">G54*Seg1_Fee+G55*Seg2_Fee+G56*Seg3_Fee+G57*Seg4_Fee+G58*Seg5_Fee</f>
        <v>0</v>
      </c>
      <c r="H84" s="95" t="n">
        <f aca="false">H54*Seg1_Fee+H55*Seg2_Fee+H56*Seg3_Fee+H57*Seg4_Fee+H58*Seg5_Fee</f>
        <v>0</v>
      </c>
      <c r="I84" s="95" t="n">
        <f aca="false">I54*Seg1_Fee+I55*Seg2_Fee+I56*Seg3_Fee+I57*Seg4_Fee+I58*Seg5_Fee</f>
        <v>0</v>
      </c>
      <c r="J84" s="95" t="n">
        <f aca="false">J54*Seg1_Fee+J55*Seg2_Fee+J56*Seg3_Fee+J57*Seg4_Fee+J58*Seg5_Fee</f>
        <v>0</v>
      </c>
      <c r="K84" s="95" t="n">
        <f aca="false">K54*Seg1_Fee+K55*Seg2_Fee+K56*Seg3_Fee+K57*Seg4_Fee+K58*Seg5_Fee</f>
        <v>0</v>
      </c>
      <c r="L84" s="95" t="n">
        <f aca="false">L54*Seg1_Fee+L55*Seg2_Fee+L56*Seg3_Fee+L57*Seg4_Fee+L58*Seg5_Fee</f>
        <v>0</v>
      </c>
      <c r="M84" s="95" t="n">
        <f aca="false">M54*Seg1_Fee+M55*Seg2_Fee+M56*Seg3_Fee+M57*Seg4_Fee+M58*Seg5_Fee</f>
        <v>0</v>
      </c>
      <c r="N84" s="95" t="n">
        <f aca="false">N54*Seg1_Fee+N55*Seg2_Fee+N56*Seg3_Fee+N57*Seg4_Fee+N58*Seg5_Fee</f>
        <v>0</v>
      </c>
      <c r="O84" s="95" t="n">
        <f aca="false">O54*Seg1_Fee+O55*Seg2_Fee+O56*Seg3_Fee+O57*Seg4_Fee+O58*Seg5_Fee</f>
        <v>0</v>
      </c>
      <c r="P84" s="95" t="n">
        <f aca="false">P54*Seg1_Fee+P55*Seg2_Fee+P56*Seg3_Fee+P57*Seg4_Fee+P58*Seg5_Fee</f>
        <v>0</v>
      </c>
      <c r="Q84" s="95" t="n">
        <f aca="false">Q54*Seg1_Fee+Q55*Seg2_Fee+Q56*Seg3_Fee+Q57*Seg4_Fee+Q58*Seg5_Fee</f>
        <v>0</v>
      </c>
      <c r="R84" s="95" t="n">
        <f aca="false">R54*Seg1_Fee+R55*Seg2_Fee+R56*Seg3_Fee+R57*Seg4_Fee+R58*Seg5_Fee</f>
        <v>0</v>
      </c>
      <c r="S84" s="95" t="n">
        <f aca="false">S54*Seg1_Fee+S55*Seg2_Fee+S56*Seg3_Fee+S57*Seg4_Fee+S58*Seg5_Fee</f>
        <v>0</v>
      </c>
      <c r="T84" s="95" t="n">
        <f aca="false">T54*Seg1_Fee+T55*Seg2_Fee+T56*Seg3_Fee+T57*Seg4_Fee+T58*Seg5_Fee</f>
        <v>0</v>
      </c>
      <c r="U84" s="95" t="n">
        <f aca="false">U54*Seg1_Fee+U55*Seg2_Fee+U56*Seg3_Fee+U57*Seg4_Fee+U58*Seg5_Fee</f>
        <v>0</v>
      </c>
      <c r="V84" s="95" t="n">
        <f aca="false">V54*Seg1_Fee+V55*Seg2_Fee+V56*Seg3_Fee+V57*Seg4_Fee+V58*Seg5_Fee</f>
        <v>0</v>
      </c>
      <c r="W84" s="95" t="n">
        <f aca="false">W54*Seg1_Fee+W55*Seg2_Fee+W56*Seg3_Fee+W57*Seg4_Fee+W58*Seg5_Fee</f>
        <v>0</v>
      </c>
    </row>
    <row r="85" customFormat="false" ht="15" hidden="false" customHeight="false" outlineLevel="0" collapsed="false">
      <c r="A85" s="16" t="s">
        <v>434</v>
      </c>
      <c r="B85" s="66" t="n">
        <f aca="false">SUM(C85:W85)</f>
        <v>3602491.63257106</v>
      </c>
      <c r="C85" s="31" t="n">
        <f aca="false">C83+C84</f>
        <v>0</v>
      </c>
      <c r="D85" s="31" t="n">
        <f aca="false">D83+D84</f>
        <v>65793.9098112</v>
      </c>
      <c r="E85" s="31" t="n">
        <f aca="false">E83+E84</f>
        <v>91389.1109681613</v>
      </c>
      <c r="F85" s="31" t="n">
        <f aca="false">F83+F84</f>
        <v>112201.023913085</v>
      </c>
      <c r="G85" s="31" t="n">
        <f aca="false">G83+G84</f>
        <v>117204.013769392</v>
      </c>
      <c r="H85" s="31" t="n">
        <f aca="false">H83+H84</f>
        <v>124341.738207948</v>
      </c>
      <c r="I85" s="31" t="n">
        <f aca="false">I83+I84</f>
        <v>131914.150064812</v>
      </c>
      <c r="J85" s="31" t="n">
        <f aca="false">J83+J84</f>
        <v>139947.721803759</v>
      </c>
      <c r="K85" s="31" t="n">
        <f aca="false">K83+K84</f>
        <v>148470.538061608</v>
      </c>
      <c r="L85" s="31" t="n">
        <f aca="false">L83+L84</f>
        <v>157512.39382956</v>
      </c>
      <c r="M85" s="31" t="n">
        <f aca="false">M83+M84</f>
        <v>167104.89861378</v>
      </c>
      <c r="N85" s="31" t="n">
        <f aca="false">N83+N84</f>
        <v>177281.586939359</v>
      </c>
      <c r="O85" s="31" t="n">
        <f aca="false">O83+O84</f>
        <v>188078.035583966</v>
      </c>
      <c r="P85" s="31" t="n">
        <f aca="false">P83+P84</f>
        <v>199531.98795103</v>
      </c>
      <c r="Q85" s="31" t="n">
        <f aca="false">Q83+Q84</f>
        <v>211683.486017248</v>
      </c>
      <c r="R85" s="31" t="n">
        <f aca="false">R83+R84</f>
        <v>224575.010315698</v>
      </c>
      <c r="S85" s="31" t="n">
        <f aca="false">S83+S84</f>
        <v>238251.628443924</v>
      </c>
      <c r="T85" s="31" t="n">
        <f aca="false">T83+T84</f>
        <v>252761.152616159</v>
      </c>
      <c r="U85" s="31" t="n">
        <f aca="false">U83+U84</f>
        <v>268154.306810483</v>
      </c>
      <c r="V85" s="31" t="n">
        <f aca="false">V83+V84</f>
        <v>284484.904095242</v>
      </c>
      <c r="W85" s="31" t="n">
        <f aca="false">W83+W84</f>
        <v>301810.034754642</v>
      </c>
    </row>
    <row r="87" customFormat="false" ht="15" hidden="false" customHeight="false" outlineLevel="0" collapsed="false">
      <c r="A87" s="9" t="s">
        <v>435</v>
      </c>
      <c r="B87" s="10"/>
      <c r="C87" s="10"/>
      <c r="D87" s="10"/>
      <c r="E87" s="10"/>
      <c r="F87" s="10"/>
      <c r="G87" s="10"/>
      <c r="H87" s="10"/>
      <c r="I87" s="10"/>
      <c r="J87" s="10"/>
      <c r="K87" s="10"/>
      <c r="L87" s="10"/>
      <c r="M87" s="10"/>
      <c r="N87" s="10"/>
      <c r="O87" s="10"/>
      <c r="P87" s="10"/>
      <c r="Q87" s="10"/>
      <c r="R87" s="10"/>
      <c r="S87" s="10"/>
      <c r="T87" s="10"/>
      <c r="U87" s="10"/>
      <c r="V87" s="10"/>
      <c r="W87" s="10"/>
    </row>
    <row r="88" customFormat="false" ht="15" hidden="false" customHeight="false" outlineLevel="0" collapsed="false">
      <c r="A88" s="11" t="s">
        <v>162</v>
      </c>
      <c r="B88" s="66" t="n">
        <f aca="false">SUM(C88:W88)</f>
        <v>679197.868676078</v>
      </c>
      <c r="C88" s="95" t="n">
        <v>0</v>
      </c>
      <c r="D88" s="95" t="n">
        <f aca="false">S_Tariff_Lo!$B$15*O_FixedPct*D44*LevOpex*$B$8*D41</f>
        <v>25276.8292810589</v>
      </c>
      <c r="E88" s="95" t="n">
        <f aca="false">S_Tariff_Lo!$B$15*O_FixedPct*E44*LevOpex*$B$8*E41</f>
        <v>26035.1341594906</v>
      </c>
      <c r="F88" s="95" t="n">
        <f aca="false">S_Tariff_Lo!$B$15*O_FixedPct*F44*LevOpex*$B$8*F41</f>
        <v>26816.1881842753</v>
      </c>
      <c r="G88" s="95" t="n">
        <f aca="false">S_Tariff_Lo!$B$15*O_FixedPct*G44*LevOpex*$B$8*G41</f>
        <v>27620.6738298036</v>
      </c>
      <c r="H88" s="95" t="n">
        <f aca="false">S_Tariff_Lo!$B$15*O_FixedPct*H44*LevOpex*$B$8*H41</f>
        <v>28449.2940446977</v>
      </c>
      <c r="I88" s="95" t="n">
        <f aca="false">S_Tariff_Lo!$B$15*O_FixedPct*I44*LevOpex*$B$8*I41</f>
        <v>29302.7728660386</v>
      </c>
      <c r="J88" s="95" t="n">
        <f aca="false">S_Tariff_Lo!$B$15*O_FixedPct*J44*LevOpex*$B$8*J41</f>
        <v>30181.8560520198</v>
      </c>
      <c r="K88" s="95" t="n">
        <f aca="false">S_Tariff_Lo!$B$15*O_FixedPct*K44*LevOpex*$B$8*K41</f>
        <v>31087.3117335804</v>
      </c>
      <c r="L88" s="95" t="n">
        <f aca="false">S_Tariff_Lo!$B$15*O_FixedPct*L44*LevOpex*$B$8*L41</f>
        <v>32019.9310855878</v>
      </c>
      <c r="M88" s="95" t="n">
        <f aca="false">S_Tariff_Lo!$B$15*O_FixedPct*M44*LevOpex*$B$8*M41</f>
        <v>32980.5290181554</v>
      </c>
      <c r="N88" s="95" t="n">
        <f aca="false">S_Tariff_Lo!$B$15*O_FixedPct*N44*LevOpex*$B$8*N41</f>
        <v>33969.9448887001</v>
      </c>
      <c r="O88" s="95" t="n">
        <f aca="false">S_Tariff_Lo!$B$15*O_FixedPct*O44*LevOpex*$B$8*O41</f>
        <v>34989.0432353611</v>
      </c>
      <c r="P88" s="95" t="n">
        <f aca="false">S_Tariff_Lo!$B$15*O_FixedPct*P44*LevOpex*$B$8*P41</f>
        <v>36038.7145324219</v>
      </c>
      <c r="Q88" s="95" t="n">
        <f aca="false">S_Tariff_Lo!$B$15*O_FixedPct*Q44*LevOpex*$B$8*Q41</f>
        <v>37119.8759683946</v>
      </c>
      <c r="R88" s="95" t="n">
        <f aca="false">S_Tariff_Lo!$B$15*O_FixedPct*R44*LevOpex*$B$8*R41</f>
        <v>38233.4722474465</v>
      </c>
      <c r="S88" s="95" t="n">
        <f aca="false">S_Tariff_Lo!$B$15*O_FixedPct*S44*LevOpex*$B$8*S41</f>
        <v>39380.4764148698</v>
      </c>
      <c r="T88" s="95" t="n">
        <f aca="false">S_Tariff_Lo!$B$15*O_FixedPct*T44*LevOpex*$B$8*T41</f>
        <v>40561.8907073159</v>
      </c>
      <c r="U88" s="95" t="n">
        <f aca="false">S_Tariff_Lo!$B$15*O_FixedPct*U44*LevOpex*$B$8*U41</f>
        <v>41778.7474285354</v>
      </c>
      <c r="V88" s="95" t="n">
        <f aca="false">S_Tariff_Lo!$B$15*O_FixedPct*V44*LevOpex*$B$8*V41</f>
        <v>43032.1098513915</v>
      </c>
      <c r="W88" s="95" t="n">
        <f aca="false">S_Tariff_Lo!$B$15*O_FixedPct*W44*LevOpex*$B$8*W41</f>
        <v>44323.0731469332</v>
      </c>
    </row>
    <row r="89" customFormat="false" ht="15" hidden="false" customHeight="false" outlineLevel="0" collapsed="false">
      <c r="A89" s="11" t="s">
        <v>436</v>
      </c>
      <c r="B89" s="66" t="n">
        <f aca="false">SUM(C89:W89)</f>
        <v>483666.740801648</v>
      </c>
      <c r="C89" s="95" t="n">
        <v>0</v>
      </c>
      <c r="D89" s="95" t="n">
        <f aca="false">O_Staff*D44*LevOpex*$B$8*D41</f>
        <v>18000</v>
      </c>
      <c r="E89" s="95" t="n">
        <f aca="false">O_Staff*E44*LevOpex*$B$8*E41</f>
        <v>18540</v>
      </c>
      <c r="F89" s="95" t="n">
        <f aca="false">O_Staff*F44*LevOpex*$B$8*F41</f>
        <v>19096.2</v>
      </c>
      <c r="G89" s="95" t="n">
        <f aca="false">O_Staff*G44*LevOpex*$B$8*G41</f>
        <v>19669.086</v>
      </c>
      <c r="H89" s="95" t="n">
        <f aca="false">O_Staff*H44*LevOpex*$B$8*H41</f>
        <v>20259.15858</v>
      </c>
      <c r="I89" s="95" t="n">
        <f aca="false">O_Staff*I44*LevOpex*$B$8*I41</f>
        <v>20866.9333374</v>
      </c>
      <c r="J89" s="95" t="n">
        <f aca="false">O_Staff*J44*LevOpex*$B$8*J41</f>
        <v>21492.941337522</v>
      </c>
      <c r="K89" s="95" t="n">
        <f aca="false">O_Staff*K44*LevOpex*$B$8*K41</f>
        <v>22137.7295776477</v>
      </c>
      <c r="L89" s="95" t="n">
        <f aca="false">O_Staff*L44*LevOpex*$B$8*L41</f>
        <v>22801.8614649771</v>
      </c>
      <c r="M89" s="95" t="n">
        <f aca="false">O_Staff*M44*LevOpex*$B$8*M41</f>
        <v>23485.9173089264</v>
      </c>
      <c r="N89" s="95" t="n">
        <f aca="false">O_Staff*N44*LevOpex*$B$8*N41</f>
        <v>24190.4948281942</v>
      </c>
      <c r="O89" s="95" t="n">
        <f aca="false">O_Staff*O44*LevOpex*$B$8*O41</f>
        <v>24916.20967304</v>
      </c>
      <c r="P89" s="95" t="n">
        <f aca="false">O_Staff*P44*LevOpex*$B$8*P41</f>
        <v>25663.6959632312</v>
      </c>
      <c r="Q89" s="95" t="n">
        <f aca="false">O_Staff*Q44*LevOpex*$B$8*Q41</f>
        <v>26433.6068421282</v>
      </c>
      <c r="R89" s="95" t="n">
        <f aca="false">O_Staff*R44*LevOpex*$B$8*R41</f>
        <v>27226.615047392</v>
      </c>
      <c r="S89" s="95" t="n">
        <f aca="false">O_Staff*S44*LevOpex*$B$8*S41</f>
        <v>28043.4134988138</v>
      </c>
      <c r="T89" s="95" t="n">
        <f aca="false">O_Staff*T44*LevOpex*$B$8*T41</f>
        <v>28884.7159037782</v>
      </c>
      <c r="U89" s="95" t="n">
        <f aca="false">O_Staff*U44*LevOpex*$B$8*U41</f>
        <v>29751.2573808915</v>
      </c>
      <c r="V89" s="95" t="n">
        <f aca="false">O_Staff*V44*LevOpex*$B$8*V41</f>
        <v>30643.7951023183</v>
      </c>
      <c r="W89" s="95" t="n">
        <f aca="false">O_Staff*W44*LevOpex*$B$8*W41</f>
        <v>31563.1089553878</v>
      </c>
    </row>
    <row r="90" customFormat="false" ht="15" hidden="false" customHeight="false" outlineLevel="0" collapsed="false">
      <c r="A90" s="11" t="s">
        <v>165</v>
      </c>
      <c r="B90" s="66" t="n">
        <f aca="false">SUM(C90:W90)</f>
        <v>156215.509795498</v>
      </c>
      <c r="C90" s="95" t="n">
        <v>0</v>
      </c>
      <c r="D90" s="95" t="n">
        <f aca="false">S_Tariff_Lo!$B$14*O_InsPct*D44*LevOpex*$B$8*D41</f>
        <v>5813.67073464354</v>
      </c>
      <c r="E90" s="95" t="n">
        <f aca="false">S_Tariff_Lo!$B$14*O_InsPct*E44*LevOpex*$B$8*E41</f>
        <v>5988.08085668284</v>
      </c>
      <c r="F90" s="95" t="n">
        <f aca="false">S_Tariff_Lo!$B$14*O_InsPct*F44*LevOpex*$B$8*F41</f>
        <v>6167.72328238333</v>
      </c>
      <c r="G90" s="95" t="n">
        <f aca="false">S_Tariff_Lo!$B$14*O_InsPct*G44*LevOpex*$B$8*G41</f>
        <v>6352.75498085483</v>
      </c>
      <c r="H90" s="95" t="n">
        <f aca="false">S_Tariff_Lo!$B$14*O_InsPct*H44*LevOpex*$B$8*H41</f>
        <v>6543.33763028047</v>
      </c>
      <c r="I90" s="95" t="n">
        <f aca="false">S_Tariff_Lo!$B$14*O_InsPct*I44*LevOpex*$B$8*I41</f>
        <v>6739.63775918889</v>
      </c>
      <c r="J90" s="95" t="n">
        <f aca="false">S_Tariff_Lo!$B$14*O_InsPct*J44*LevOpex*$B$8*J41</f>
        <v>6941.82689196455</v>
      </c>
      <c r="K90" s="95" t="n">
        <f aca="false">S_Tariff_Lo!$B$14*O_InsPct*K44*LevOpex*$B$8*K41</f>
        <v>7150.08169872349</v>
      </c>
      <c r="L90" s="95" t="n">
        <f aca="false">S_Tariff_Lo!$B$14*O_InsPct*L44*LevOpex*$B$8*L41</f>
        <v>7364.5841496852</v>
      </c>
      <c r="M90" s="95" t="n">
        <f aca="false">S_Tariff_Lo!$B$14*O_InsPct*M44*LevOpex*$B$8*M41</f>
        <v>7585.52167417575</v>
      </c>
      <c r="N90" s="95" t="n">
        <f aca="false">S_Tariff_Lo!$B$14*O_InsPct*N44*LevOpex*$B$8*N41</f>
        <v>7813.08732440103</v>
      </c>
      <c r="O90" s="95" t="n">
        <f aca="false">S_Tariff_Lo!$B$14*O_InsPct*O44*LevOpex*$B$8*O41</f>
        <v>8047.47994413306</v>
      </c>
      <c r="P90" s="95" t="n">
        <f aca="false">S_Tariff_Lo!$B$14*O_InsPct*P44*LevOpex*$B$8*P41</f>
        <v>8288.90434245705</v>
      </c>
      <c r="Q90" s="95" t="n">
        <f aca="false">S_Tariff_Lo!$B$14*O_InsPct*Q44*LevOpex*$B$8*Q41</f>
        <v>8537.57147273076</v>
      </c>
      <c r="R90" s="95" t="n">
        <f aca="false">S_Tariff_Lo!$B$14*O_InsPct*R44*LevOpex*$B$8*R41</f>
        <v>8793.69861691268</v>
      </c>
      <c r="S90" s="95" t="n">
        <f aca="false">S_Tariff_Lo!$B$14*O_InsPct*S44*LevOpex*$B$8*S41</f>
        <v>9057.50957542006</v>
      </c>
      <c r="T90" s="95" t="n">
        <f aca="false">S_Tariff_Lo!$B$14*O_InsPct*T44*LevOpex*$B$8*T41</f>
        <v>9329.23486268267</v>
      </c>
      <c r="U90" s="95" t="n">
        <f aca="false">S_Tariff_Lo!$B$14*O_InsPct*U44*LevOpex*$B$8*U41</f>
        <v>9609.11190856315</v>
      </c>
      <c r="V90" s="95" t="n">
        <f aca="false">S_Tariff_Lo!$B$14*O_InsPct*V44*LevOpex*$B$8*V41</f>
        <v>9897.38526582004</v>
      </c>
      <c r="W90" s="95" t="n">
        <f aca="false">S_Tariff_Lo!$B$14*O_InsPct*W44*LevOpex*$B$8*W41</f>
        <v>10194.3068237946</v>
      </c>
    </row>
    <row r="91" customFormat="false" ht="15" hidden="false" customHeight="false" outlineLevel="0" collapsed="false">
      <c r="A91" s="11" t="s">
        <v>437</v>
      </c>
      <c r="B91" s="66" t="n">
        <f aca="false">SUM(C91:W91)</f>
        <v>80611.1234669414</v>
      </c>
      <c r="C91" s="95" t="n">
        <v>0</v>
      </c>
      <c r="D91" s="95" t="n">
        <f aca="false">O_Fees*D44*LevOpex*$B$8*D41</f>
        <v>3000</v>
      </c>
      <c r="E91" s="95" t="n">
        <f aca="false">O_Fees*E44*LevOpex*$B$8*E41</f>
        <v>3090</v>
      </c>
      <c r="F91" s="95" t="n">
        <f aca="false">O_Fees*F44*LevOpex*$B$8*F41</f>
        <v>3182.7</v>
      </c>
      <c r="G91" s="95" t="n">
        <f aca="false">O_Fees*G44*LevOpex*$B$8*G41</f>
        <v>3278.181</v>
      </c>
      <c r="H91" s="95" t="n">
        <f aca="false">O_Fees*H44*LevOpex*$B$8*H41</f>
        <v>3376.52643</v>
      </c>
      <c r="I91" s="95" t="n">
        <f aca="false">O_Fees*I44*LevOpex*$B$8*I41</f>
        <v>3477.8222229</v>
      </c>
      <c r="J91" s="95" t="n">
        <f aca="false">O_Fees*J44*LevOpex*$B$8*J41</f>
        <v>3582.156889587</v>
      </c>
      <c r="K91" s="95" t="n">
        <f aca="false">O_Fees*K44*LevOpex*$B$8*K41</f>
        <v>3689.62159627461</v>
      </c>
      <c r="L91" s="95" t="n">
        <f aca="false">O_Fees*L44*LevOpex*$B$8*L41</f>
        <v>3800.31024416285</v>
      </c>
      <c r="M91" s="95" t="n">
        <f aca="false">O_Fees*M44*LevOpex*$B$8*M41</f>
        <v>3914.31955148773</v>
      </c>
      <c r="N91" s="95" t="n">
        <f aca="false">O_Fees*N44*LevOpex*$B$8*N41</f>
        <v>4031.74913803237</v>
      </c>
      <c r="O91" s="95" t="n">
        <f aca="false">O_Fees*O44*LevOpex*$B$8*O41</f>
        <v>4152.70161217334</v>
      </c>
      <c r="P91" s="95" t="n">
        <f aca="false">O_Fees*P44*LevOpex*$B$8*P41</f>
        <v>4277.28266053854</v>
      </c>
      <c r="Q91" s="95" t="n">
        <f aca="false">O_Fees*Q44*LevOpex*$B$8*Q41</f>
        <v>4405.60114035469</v>
      </c>
      <c r="R91" s="95" t="n">
        <f aca="false">O_Fees*R44*LevOpex*$B$8*R41</f>
        <v>4537.76917456534</v>
      </c>
      <c r="S91" s="95" t="n">
        <f aca="false">O_Fees*S44*LevOpex*$B$8*S41</f>
        <v>4673.9022498023</v>
      </c>
      <c r="T91" s="95" t="n">
        <f aca="false">O_Fees*T44*LevOpex*$B$8*T41</f>
        <v>4814.11931729637</v>
      </c>
      <c r="U91" s="95" t="n">
        <f aca="false">O_Fees*U44*LevOpex*$B$8*U41</f>
        <v>4958.54289681526</v>
      </c>
      <c r="V91" s="95" t="n">
        <f aca="false">O_Fees*V44*LevOpex*$B$8*V41</f>
        <v>5107.29918371971</v>
      </c>
      <c r="W91" s="95" t="n">
        <f aca="false">O_Fees*W44*LevOpex*$B$8*W41</f>
        <v>5260.51815923131</v>
      </c>
    </row>
    <row r="92" customFormat="false" ht="15" hidden="false" customHeight="false" outlineLevel="0" collapsed="false">
      <c r="A92" s="11" t="s">
        <v>438</v>
      </c>
      <c r="B92" s="66" t="n">
        <f aca="false">SUM(C92:W92)</f>
        <v>107481.497955922</v>
      </c>
      <c r="C92" s="95" t="n">
        <v>0</v>
      </c>
      <c r="D92" s="95" t="n">
        <f aca="false">O_MRV*D44*LevOpex*$B$8*D41</f>
        <v>4000</v>
      </c>
      <c r="E92" s="95" t="n">
        <f aca="false">O_MRV*E44*LevOpex*$B$8*E41</f>
        <v>4120</v>
      </c>
      <c r="F92" s="95" t="n">
        <f aca="false">O_MRV*F44*LevOpex*$B$8*F41</f>
        <v>4243.6</v>
      </c>
      <c r="G92" s="95" t="n">
        <f aca="false">O_MRV*G44*LevOpex*$B$8*G41</f>
        <v>4370.908</v>
      </c>
      <c r="H92" s="95" t="n">
        <f aca="false">O_MRV*H44*LevOpex*$B$8*H41</f>
        <v>4502.03524</v>
      </c>
      <c r="I92" s="95" t="n">
        <f aca="false">O_MRV*I44*LevOpex*$B$8*I41</f>
        <v>4637.0962972</v>
      </c>
      <c r="J92" s="95" t="n">
        <f aca="false">O_MRV*J44*LevOpex*$B$8*J41</f>
        <v>4776.209186116</v>
      </c>
      <c r="K92" s="95" t="n">
        <f aca="false">O_MRV*K44*LevOpex*$B$8*K41</f>
        <v>4919.49546169948</v>
      </c>
      <c r="L92" s="95" t="n">
        <f aca="false">O_MRV*L44*LevOpex*$B$8*L41</f>
        <v>5067.08032555047</v>
      </c>
      <c r="M92" s="95" t="n">
        <f aca="false">O_MRV*M44*LevOpex*$B$8*M41</f>
        <v>5219.09273531698</v>
      </c>
      <c r="N92" s="95" t="n">
        <f aca="false">O_MRV*N44*LevOpex*$B$8*N41</f>
        <v>5375.66551737649</v>
      </c>
      <c r="O92" s="95" t="n">
        <f aca="false">O_MRV*O44*LevOpex*$B$8*O41</f>
        <v>5536.93548289778</v>
      </c>
      <c r="P92" s="95" t="n">
        <f aca="false">O_MRV*P44*LevOpex*$B$8*P41</f>
        <v>5703.04354738472</v>
      </c>
      <c r="Q92" s="95" t="n">
        <f aca="false">O_MRV*Q44*LevOpex*$B$8*Q41</f>
        <v>5874.13485380626</v>
      </c>
      <c r="R92" s="95" t="n">
        <f aca="false">O_MRV*R44*LevOpex*$B$8*R41</f>
        <v>6050.35889942045</v>
      </c>
      <c r="S92" s="95" t="n">
        <f aca="false">O_MRV*S44*LevOpex*$B$8*S41</f>
        <v>6231.86966640306</v>
      </c>
      <c r="T92" s="95" t="n">
        <f aca="false">O_MRV*T44*LevOpex*$B$8*T41</f>
        <v>6418.82575639515</v>
      </c>
      <c r="U92" s="95" t="n">
        <f aca="false">O_MRV*U44*LevOpex*$B$8*U41</f>
        <v>6611.39052908701</v>
      </c>
      <c r="V92" s="95" t="n">
        <f aca="false">O_MRV*V44*LevOpex*$B$8*V41</f>
        <v>6809.73224495962</v>
      </c>
      <c r="W92" s="95" t="n">
        <f aca="false">O_MRV*W44*LevOpex*$B$8*W41</f>
        <v>7014.02421230841</v>
      </c>
    </row>
    <row r="93" customFormat="false" ht="15" hidden="false" customHeight="false" outlineLevel="0" collapsed="false">
      <c r="A93" s="11" t="s">
        <v>439</v>
      </c>
      <c r="B93" s="66" t="n">
        <f aca="false">SUM(C93:W93)</f>
        <v>108074.748977132</v>
      </c>
      <c r="C93" s="95" t="n">
        <v>0</v>
      </c>
      <c r="D93" s="95" t="n">
        <f aca="false">D85*O_CustPct</f>
        <v>1973.817294336</v>
      </c>
      <c r="E93" s="95" t="n">
        <f aca="false">E85*O_CustPct</f>
        <v>2741.67332904484</v>
      </c>
      <c r="F93" s="95" t="n">
        <f aca="false">F85*O_CustPct</f>
        <v>3366.03071739255</v>
      </c>
      <c r="G93" s="95" t="n">
        <f aca="false">G85*O_CustPct</f>
        <v>3516.12041308176</v>
      </c>
      <c r="H93" s="95" t="n">
        <f aca="false">H85*O_CustPct</f>
        <v>3730.25214623844</v>
      </c>
      <c r="I93" s="95" t="n">
        <f aca="false">I85*O_CustPct</f>
        <v>3957.42450194436</v>
      </c>
      <c r="J93" s="95" t="n">
        <f aca="false">J85*O_CustPct</f>
        <v>4198.43165411277</v>
      </c>
      <c r="K93" s="95" t="n">
        <f aca="false">K85*O_CustPct</f>
        <v>4454.11614184824</v>
      </c>
      <c r="L93" s="95" t="n">
        <f aca="false">L85*O_CustPct</f>
        <v>4725.3718148868</v>
      </c>
      <c r="M93" s="95" t="n">
        <f aca="false">M85*O_CustPct</f>
        <v>5013.1469584134</v>
      </c>
      <c r="N93" s="95" t="n">
        <f aca="false">N85*O_CustPct</f>
        <v>5318.44760818078</v>
      </c>
      <c r="O93" s="95" t="n">
        <f aca="false">O85*O_CustPct</f>
        <v>5642.34106751899</v>
      </c>
      <c r="P93" s="95" t="n">
        <f aca="false">P85*O_CustPct</f>
        <v>5985.9596385309</v>
      </c>
      <c r="Q93" s="95" t="n">
        <f aca="false">Q85*O_CustPct</f>
        <v>6350.50458051743</v>
      </c>
      <c r="R93" s="95" t="n">
        <f aca="false">R85*O_CustPct</f>
        <v>6737.25030947094</v>
      </c>
      <c r="S93" s="95" t="n">
        <f aca="false">S85*O_CustPct</f>
        <v>7147.54885331772</v>
      </c>
      <c r="T93" s="95" t="n">
        <f aca="false">T85*O_CustPct</f>
        <v>7582.83457848477</v>
      </c>
      <c r="U93" s="95" t="n">
        <f aca="false">U85*O_CustPct</f>
        <v>8044.62920431449</v>
      </c>
      <c r="V93" s="95" t="n">
        <f aca="false">V85*O_CustPct</f>
        <v>8534.54712285725</v>
      </c>
      <c r="W93" s="95" t="n">
        <f aca="false">W85*O_CustPct</f>
        <v>9054.30104263925</v>
      </c>
    </row>
    <row r="94" customFormat="false" ht="15" hidden="false" customHeight="false" outlineLevel="0" collapsed="false">
      <c r="A94" s="11" t="s">
        <v>440</v>
      </c>
      <c r="B94" s="66" t="n">
        <f aca="false">SUM(C94:W94)</f>
        <v>117570.051282715</v>
      </c>
      <c r="C94" s="95" t="n">
        <v>0</v>
      </c>
      <c r="D94" s="95" t="n">
        <f aca="false">D72*O_DieselOM*D44*LevOpex*$B$8</f>
        <v>719.794472727272</v>
      </c>
      <c r="E94" s="95" t="n">
        <f aca="false">E72*O_DieselOM*E44*LevOpex*$B$8</f>
        <v>1081.80910449818</v>
      </c>
      <c r="F94" s="95" t="n">
        <f aca="false">F72*O_DieselOM*F44*LevOpex*$B$8</f>
        <v>1350.22503407308</v>
      </c>
      <c r="G94" s="95" t="n">
        <f aca="false">G72*O_DieselOM*G44*LevOpex*$B$8</f>
        <v>1432.45373864813</v>
      </c>
      <c r="H94" s="95" t="n">
        <f aca="false">H72*O_DieselOM*H44*LevOpex*$B$8</f>
        <v>1519.69017133181</v>
      </c>
      <c r="I94" s="95" t="n">
        <f aca="false">I72*O_DieselOM*I44*LevOpex*$B$8</f>
        <v>1612.23930276591</v>
      </c>
      <c r="J94" s="95" t="n">
        <f aca="false">J72*O_DieselOM*J44*LevOpex*$B$8</f>
        <v>1841.45816530084</v>
      </c>
      <c r="K94" s="95" t="n">
        <f aca="false">K72*O_DieselOM*K44*LevOpex*$B$8</f>
        <v>2503.82649651629</v>
      </c>
      <c r="L94" s="95" t="n">
        <f aca="false">L72*O_DieselOM*L44*LevOpex*$B$8</f>
        <v>3220.20611379713</v>
      </c>
      <c r="M94" s="95" t="n">
        <f aca="false">M72*O_DieselOM*M44*LevOpex*$B$8</f>
        <v>3994.2260798739</v>
      </c>
      <c r="N94" s="95" t="n">
        <f aca="false">N72*O_DieselOM*N44*LevOpex*$B$8</f>
        <v>4829.74491081635</v>
      </c>
      <c r="O94" s="95" t="n">
        <f aca="false">O72*O_DieselOM*O44*LevOpex*$B$8</f>
        <v>5730.86475956075</v>
      </c>
      <c r="P94" s="95" t="n">
        <f aca="false">P72*O_DieselOM*P44*LevOpex*$B$8</f>
        <v>6701.94646842802</v>
      </c>
      <c r="Q94" s="95" t="n">
        <f aca="false">Q72*O_DieselOM*Q44*LevOpex*$B$8</f>
        <v>7747.62554368381</v>
      </c>
      <c r="R94" s="95" t="n">
        <f aca="false">R72*O_DieselOM*R44*LevOpex*$B$8</f>
        <v>8872.82910842559</v>
      </c>
      <c r="S94" s="95" t="n">
        <f aca="false">S72*O_DieselOM*S44*LevOpex*$B$8</f>
        <v>10082.7938935131</v>
      </c>
      <c r="T94" s="95" t="n">
        <f aca="false">T72*O_DieselOM*T44*LevOpex*$B$8</f>
        <v>11383.0853298981</v>
      </c>
      <c r="U94" s="95" t="n">
        <f aca="false">U72*O_DieselOM*U44*LevOpex*$B$8</f>
        <v>12779.6178095725</v>
      </c>
      <c r="V94" s="95" t="n">
        <f aca="false">V72*O_DieselOM*V44*LevOpex*$B$8</f>
        <v>14278.6761864487</v>
      </c>
      <c r="W94" s="95" t="n">
        <f aca="false">W72*O_DieselOM*W44*LevOpex*$B$8</f>
        <v>15886.9385928357</v>
      </c>
    </row>
    <row r="95" customFormat="false" ht="15" hidden="false" customHeight="false" outlineLevel="0" collapsed="false">
      <c r="A95" s="11" t="s">
        <v>441</v>
      </c>
      <c r="B95" s="66" t="n">
        <f aca="false">SUM(C95:W95)</f>
        <v>1567600.68376954</v>
      </c>
      <c r="C95" s="95" t="n">
        <v>0</v>
      </c>
      <c r="D95" s="95" t="n">
        <f aca="false">D74*FuelPrice*LevFuel*$B$10*D44</f>
        <v>9597.25963636363</v>
      </c>
      <c r="E95" s="95" t="n">
        <f aca="false">E74*FuelPrice*LevFuel*$B$10*E44</f>
        <v>14424.1213933091</v>
      </c>
      <c r="F95" s="95" t="n">
        <f aca="false">F74*FuelPrice*LevFuel*$B$10*F44</f>
        <v>18003.0004543078</v>
      </c>
      <c r="G95" s="95" t="n">
        <f aca="false">G74*FuelPrice*LevFuel*$B$10*G44</f>
        <v>19099.3831819751</v>
      </c>
      <c r="H95" s="95" t="n">
        <f aca="false">H74*FuelPrice*LevFuel*$B$10*H44</f>
        <v>20262.5356177574</v>
      </c>
      <c r="I95" s="95" t="n">
        <f aca="false">I74*FuelPrice*LevFuel*$B$10*I44</f>
        <v>21496.5240368788</v>
      </c>
      <c r="J95" s="95" t="n">
        <f aca="false">J74*FuelPrice*LevFuel*$B$10*J44</f>
        <v>24552.7755373446</v>
      </c>
      <c r="K95" s="95" t="n">
        <f aca="false">K74*FuelPrice*LevFuel*$B$10*K44</f>
        <v>33384.3532868839</v>
      </c>
      <c r="L95" s="95" t="n">
        <f aca="false">L74*FuelPrice*LevFuel*$B$10*L44</f>
        <v>42936.0815172951</v>
      </c>
      <c r="M95" s="95" t="n">
        <f aca="false">M74*FuelPrice*LevFuel*$B$10*M44</f>
        <v>53256.3477316521</v>
      </c>
      <c r="N95" s="95" t="n">
        <f aca="false">N74*FuelPrice*LevFuel*$B$10*N44</f>
        <v>64396.5988108847</v>
      </c>
      <c r="O95" s="95" t="n">
        <f aca="false">O74*FuelPrice*LevFuel*$B$10*O44</f>
        <v>76411.5301274767</v>
      </c>
      <c r="P95" s="95" t="n">
        <f aca="false">P74*FuelPrice*LevFuel*$B$10*P44</f>
        <v>89359.2862457069</v>
      </c>
      <c r="Q95" s="95" t="n">
        <f aca="false">Q74*FuelPrice*LevFuel*$B$10*Q44</f>
        <v>103301.673915784</v>
      </c>
      <c r="R95" s="95" t="n">
        <f aca="false">R74*FuelPrice*LevFuel*$B$10*R44</f>
        <v>118304.388112341</v>
      </c>
      <c r="S95" s="95" t="n">
        <f aca="false">S74*FuelPrice*LevFuel*$B$10*S44</f>
        <v>134437.251913507</v>
      </c>
      <c r="T95" s="95" t="n">
        <f aca="false">T74*FuelPrice*LevFuel*$B$10*T44</f>
        <v>151774.471065308</v>
      </c>
      <c r="U95" s="95" t="n">
        <f aca="false">U74*FuelPrice*LevFuel*$B$10*U44</f>
        <v>170394.904127634</v>
      </c>
      <c r="V95" s="95" t="n">
        <f aca="false">V74*FuelPrice*LevFuel*$B$10*V44</f>
        <v>190382.34915265</v>
      </c>
      <c r="W95" s="95" t="n">
        <f aca="false">W74*FuelPrice*LevFuel*$B$10*W44</f>
        <v>211825.847904476</v>
      </c>
    </row>
    <row r="96" customFormat="false" ht="15" hidden="false" customHeight="false" outlineLevel="0" collapsed="false">
      <c r="A96" s="16" t="s">
        <v>442</v>
      </c>
      <c r="B96" s="66" t="n">
        <f aca="false">SUM(C96:W96)</f>
        <v>3300418.22472547</v>
      </c>
      <c r="C96" s="31" t="n">
        <f aca="false">C88+C89+C90+C91+C92+C93+C94+C95</f>
        <v>0</v>
      </c>
      <c r="D96" s="31" t="n">
        <f aca="false">D88+D89+D90+D91+D92+D93+D94+D95</f>
        <v>68381.3714191293</v>
      </c>
      <c r="E96" s="31" t="n">
        <f aca="false">E88+E89+E90+E91+E92+E93+E94+E95</f>
        <v>76020.8188430256</v>
      </c>
      <c r="F96" s="31" t="n">
        <f aca="false">F88+F89+F90+F91+F92+F93+F94+F95</f>
        <v>82225.6676724321</v>
      </c>
      <c r="G96" s="31" t="n">
        <f aca="false">G88+G89+G90+G91+G92+G93+G94+G95</f>
        <v>85339.5611443635</v>
      </c>
      <c r="H96" s="31" t="n">
        <f aca="false">H88+H89+H90+H91+H92+H93+H94+H95</f>
        <v>88642.8298603059</v>
      </c>
      <c r="I96" s="31" t="n">
        <f aca="false">I88+I89+I90+I91+I92+I93+I94+I95</f>
        <v>92090.4503243166</v>
      </c>
      <c r="J96" s="31" t="n">
        <f aca="false">J88+J89+J90+J91+J92+J93+J94+J95</f>
        <v>97567.6557139675</v>
      </c>
      <c r="K96" s="31" t="n">
        <f aca="false">K88+K89+K90+K91+K92+K93+K94+K95</f>
        <v>109326.535993174</v>
      </c>
      <c r="L96" s="31" t="n">
        <f aca="false">L88+L89+L90+L91+L92+L93+L94+L95</f>
        <v>121935.426715942</v>
      </c>
      <c r="M96" s="31" t="n">
        <f aca="false">M88+M89+M90+M91+M92+M93+M94+M95</f>
        <v>135449.101058002</v>
      </c>
      <c r="N96" s="31" t="n">
        <f aca="false">N88+N89+N90+N91+N92+N93+N94+N95</f>
        <v>149925.733026586</v>
      </c>
      <c r="O96" s="31" t="n">
        <f aca="false">O88+O89+O90+O91+O92+O93+O94+O95</f>
        <v>165427.105902162</v>
      </c>
      <c r="P96" s="31" t="n">
        <f aca="false">P88+P89+P90+P91+P92+P93+P94+P95</f>
        <v>182018.833398699</v>
      </c>
      <c r="Q96" s="31" t="n">
        <f aca="false">Q88+Q89+Q90+Q91+Q92+Q93+Q94+Q95</f>
        <v>199770.5943174</v>
      </c>
      <c r="R96" s="31" t="n">
        <f aca="false">R88+R89+R90+R91+R92+R93+R94+R95</f>
        <v>218756.381515975</v>
      </c>
      <c r="S96" s="31" t="n">
        <f aca="false">S88+S89+S90+S91+S92+S93+S94+S95</f>
        <v>239054.766065647</v>
      </c>
      <c r="T96" s="31" t="n">
        <f aca="false">T88+T89+T90+T91+T92+T93+T94+T95</f>
        <v>260749.177521159</v>
      </c>
      <c r="U96" s="31" t="n">
        <f aca="false">U88+U89+U90+U91+U92+U93+U94+U95</f>
        <v>283928.201285413</v>
      </c>
      <c r="V96" s="31" t="n">
        <f aca="false">V88+V89+V90+V91+V92+V93+V94+V95</f>
        <v>308685.894110165</v>
      </c>
      <c r="W96" s="31" t="n">
        <f aca="false">W88+W89+W90+W91+W92+W93+W94+W95</f>
        <v>335122.118837606</v>
      </c>
    </row>
    <row r="98" customFormat="false" ht="15" hidden="false" customHeight="false" outlineLevel="0" collapsed="false">
      <c r="A98" s="16" t="s">
        <v>443</v>
      </c>
      <c r="B98" s="66" t="n">
        <f aca="false">SUM(C98:W98)</f>
        <v>302073.407845585</v>
      </c>
      <c r="C98" s="31" t="n">
        <f aca="false">C85-C96</f>
        <v>0</v>
      </c>
      <c r="D98" s="31" t="n">
        <f aca="false">D85-D96</f>
        <v>-2587.46160792929</v>
      </c>
      <c r="E98" s="31" t="n">
        <f aca="false">E85-E96</f>
        <v>15368.2921251357</v>
      </c>
      <c r="F98" s="31" t="n">
        <f aca="false">F85-F96</f>
        <v>29975.356240653</v>
      </c>
      <c r="G98" s="31" t="n">
        <f aca="false">G85-G96</f>
        <v>31864.4526250285</v>
      </c>
      <c r="H98" s="31" t="n">
        <f aca="false">H85-H96</f>
        <v>35698.9083476421</v>
      </c>
      <c r="I98" s="31" t="n">
        <f aca="false">I85-I96</f>
        <v>39823.6997404953</v>
      </c>
      <c r="J98" s="31" t="n">
        <f aca="false">J85-J96</f>
        <v>42380.0660897915</v>
      </c>
      <c r="K98" s="31" t="n">
        <f aca="false">K85-K96</f>
        <v>39144.0020684339</v>
      </c>
      <c r="L98" s="31" t="n">
        <f aca="false">L85-L96</f>
        <v>35576.9671136175</v>
      </c>
      <c r="M98" s="31" t="n">
        <f aca="false">M85-M96</f>
        <v>31655.7975557784</v>
      </c>
      <c r="N98" s="31" t="n">
        <f aca="false">N85-N96</f>
        <v>27355.8539127733</v>
      </c>
      <c r="O98" s="31" t="n">
        <f aca="false">O85-O96</f>
        <v>22650.9296818046</v>
      </c>
      <c r="P98" s="31" t="n">
        <f aca="false">P85-P96</f>
        <v>17513.1545523305</v>
      </c>
      <c r="Q98" s="31" t="n">
        <f aca="false">Q85-Q96</f>
        <v>11912.8916998477</v>
      </c>
      <c r="R98" s="31" t="n">
        <f aca="false">R85-R96</f>
        <v>5818.62879972337</v>
      </c>
      <c r="S98" s="31" t="n">
        <f aca="false">S85-S96</f>
        <v>-803.137621723145</v>
      </c>
      <c r="T98" s="31" t="n">
        <f aca="false">T85-T96</f>
        <v>-7988.02490500035</v>
      </c>
      <c r="U98" s="31" t="n">
        <f aca="false">U85-U96</f>
        <v>-15773.8944749298</v>
      </c>
      <c r="V98" s="31" t="n">
        <f aca="false">V85-V96</f>
        <v>-24200.9900149232</v>
      </c>
      <c r="W98" s="31" t="n">
        <f aca="false">W85-W96</f>
        <v>-33312.0840829644</v>
      </c>
    </row>
    <row r="99" customFormat="false" ht="15" hidden="false" customHeight="false" outlineLevel="0" collapsed="false">
      <c r="A99" s="11" t="s">
        <v>444</v>
      </c>
      <c r="C99" s="91" t="n">
        <v>0</v>
      </c>
      <c r="D99" s="91" t="n">
        <f aca="false">IFERROR(D98/D85,0)</f>
        <v>-0.0393267646709883</v>
      </c>
      <c r="E99" s="91" t="n">
        <f aca="false">IFERROR(E98/E85,0)</f>
        <v>0.168163274183615</v>
      </c>
      <c r="F99" s="91" t="n">
        <f aca="false">IFERROR(F98/F85,0)</f>
        <v>0.267157599772645</v>
      </c>
      <c r="G99" s="91" t="n">
        <f aca="false">IFERROR(G98/G85,0)</f>
        <v>0.271871684255834</v>
      </c>
      <c r="H99" s="91" t="n">
        <f aca="false">IFERROR(H98/H85,0)</f>
        <v>0.287103179207127</v>
      </c>
      <c r="I99" s="91" t="n">
        <f aca="false">IFERROR(I98/I85,0)</f>
        <v>0.301891038383139</v>
      </c>
      <c r="J99" s="91" t="n">
        <f aca="false">IFERROR(J98/J85,0)</f>
        <v>0.302827838449694</v>
      </c>
      <c r="K99" s="91" t="n">
        <f aca="false">IFERROR(K98/K85,0)</f>
        <v>0.26364828052412</v>
      </c>
      <c r="L99" s="91" t="n">
        <f aca="false">IFERROR(L98/L85,0)</f>
        <v>0.225867731729824</v>
      </c>
      <c r="M99" s="91" t="n">
        <f aca="false">IFERROR(M98/M85,0)</f>
        <v>0.189436682098367</v>
      </c>
      <c r="N99" s="91" t="n">
        <f aca="false">IFERROR(N98/N85,0)</f>
        <v>0.154307361441494</v>
      </c>
      <c r="O99" s="91" t="n">
        <f aca="false">IFERROR(O98/O85,0)</f>
        <v>0.120433678560473</v>
      </c>
      <c r="P99" s="91" t="n">
        <f aca="false">IFERROR(P98/P85,0)</f>
        <v>0.0877711625698266</v>
      </c>
      <c r="Q99" s="91" t="n">
        <f aca="false">IFERROR(Q98/Q85,0)</f>
        <v>0.056276906262197</v>
      </c>
      <c r="R99" s="91" t="n">
        <f aca="false">IFERROR(R98/R85,0)</f>
        <v>0.0259095114436098</v>
      </c>
      <c r="S99" s="91" t="n">
        <f aca="false">IFERROR(S98/S85,0)</f>
        <v>-0.00337096382916088</v>
      </c>
      <c r="T99" s="91" t="n">
        <f aca="false">IFERROR(T98/T85,0)</f>
        <v>-0.0316030561750559</v>
      </c>
      <c r="U99" s="91" t="n">
        <f aca="false">IFERROR(U98/U85,0)</f>
        <v>-0.0588239460426715</v>
      </c>
      <c r="V99" s="91" t="n">
        <f aca="false">IFERROR(V98/V85,0)</f>
        <v>-0.0850695051531487</v>
      </c>
      <c r="W99" s="91" t="n">
        <f aca="false">IFERROR(W98/W85,0)</f>
        <v>-0.110374342291321</v>
      </c>
    </row>
    <row r="101" customFormat="false" ht="15" hidden="false" customHeight="false" outlineLevel="0" collapsed="false">
      <c r="A101" s="9" t="s">
        <v>445</v>
      </c>
      <c r="B101" s="10"/>
      <c r="C101" s="10"/>
      <c r="D101" s="10"/>
      <c r="E101" s="10"/>
      <c r="F101" s="10"/>
      <c r="G101" s="10"/>
      <c r="H101" s="10"/>
      <c r="I101" s="10"/>
      <c r="J101" s="10"/>
      <c r="K101" s="10"/>
      <c r="L101" s="10"/>
      <c r="M101" s="10"/>
      <c r="N101" s="10"/>
      <c r="O101" s="10"/>
      <c r="P101" s="10"/>
      <c r="Q101" s="10"/>
      <c r="R101" s="10"/>
      <c r="S101" s="10"/>
      <c r="T101" s="10"/>
      <c r="U101" s="10"/>
      <c r="V101" s="10"/>
      <c r="W101" s="10"/>
    </row>
    <row r="102" customFormat="false" ht="15" hidden="false" customHeight="false" outlineLevel="0" collapsed="false">
      <c r="A102" s="11" t="s">
        <v>446</v>
      </c>
      <c r="B102" s="66" t="n">
        <f aca="false">C102+NPV(Hurdle,D102:W102)</f>
        <v>1162734.14692871</v>
      </c>
      <c r="C102" s="95" t="n">
        <f aca="false">S_Tariff_Lo!$B$14</f>
        <v>1162734.14692871</v>
      </c>
      <c r="D102" s="95" t="n">
        <f aca="false">0</f>
        <v>0</v>
      </c>
      <c r="E102" s="95" t="n">
        <f aca="false">0</f>
        <v>0</v>
      </c>
      <c r="F102" s="95" t="n">
        <f aca="false">0</f>
        <v>0</v>
      </c>
      <c r="G102" s="95" t="n">
        <f aca="false">0</f>
        <v>0</v>
      </c>
      <c r="H102" s="95" t="n">
        <f aca="false">0</f>
        <v>0</v>
      </c>
      <c r="I102" s="95" t="n">
        <f aca="false">0</f>
        <v>0</v>
      </c>
      <c r="J102" s="95" t="n">
        <f aca="false">0</f>
        <v>0</v>
      </c>
      <c r="K102" s="95" t="n">
        <f aca="false">0</f>
        <v>0</v>
      </c>
      <c r="L102" s="95" t="n">
        <f aca="false">0</f>
        <v>0</v>
      </c>
      <c r="M102" s="95" t="n">
        <f aca="false">0</f>
        <v>0</v>
      </c>
      <c r="N102" s="95" t="n">
        <f aca="false">0</f>
        <v>0</v>
      </c>
      <c r="O102" s="95" t="n">
        <f aca="false">0</f>
        <v>0</v>
      </c>
      <c r="P102" s="95" t="n">
        <f aca="false">0</f>
        <v>0</v>
      </c>
      <c r="Q102" s="95" t="n">
        <f aca="false">0</f>
        <v>0</v>
      </c>
      <c r="R102" s="95" t="n">
        <f aca="false">0</f>
        <v>0</v>
      </c>
      <c r="S102" s="95" t="n">
        <f aca="false">0</f>
        <v>0</v>
      </c>
      <c r="T102" s="95" t="n">
        <f aca="false">0</f>
        <v>0</v>
      </c>
      <c r="U102" s="95" t="n">
        <f aca="false">0</f>
        <v>0</v>
      </c>
      <c r="V102" s="95" t="n">
        <f aca="false">0</f>
        <v>0</v>
      </c>
      <c r="W102" s="95" t="n">
        <f aca="false">0</f>
        <v>0</v>
      </c>
    </row>
    <row r="103" customFormat="false" ht="15" hidden="false" customHeight="false" outlineLevel="0" collapsed="false">
      <c r="A103" s="11" t="s">
        <v>447</v>
      </c>
      <c r="B103" s="66" t="n">
        <f aca="false">C103+NPV(Hurdle,D103:W103)</f>
        <v>123132.446168426</v>
      </c>
      <c r="C103" s="95" t="n">
        <v>0</v>
      </c>
      <c r="D103" s="95" t="n">
        <f aca="false">IF(AND(D41=1,MOD(D39,BattLife)=0,D39&lt;Life),BESS_kWh*C_BattRepl*LevCapex*$B$7*D44,0)</f>
        <v>0</v>
      </c>
      <c r="E103" s="95" t="n">
        <f aca="false">IF(AND(E41=1,MOD(E39,BattLife)=0,E39&lt;Life),BESS_kWh*C_BattRepl*LevCapex*$B$7*E44,0)</f>
        <v>0</v>
      </c>
      <c r="F103" s="95" t="n">
        <f aca="false">IF(AND(F41=1,MOD(F39,BattLife)=0,F39&lt;Life),BESS_kWh*C_BattRepl*LevCapex*$B$7*F44,0)</f>
        <v>0</v>
      </c>
      <c r="G103" s="95" t="n">
        <f aca="false">IF(AND(G41=1,MOD(G39,BattLife)=0,G39&lt;Life),BESS_kWh*C_BattRepl*LevCapex*$B$7*G44,0)</f>
        <v>0</v>
      </c>
      <c r="H103" s="95" t="n">
        <f aca="false">IF(AND(H41=1,MOD(H39,BattLife)=0,H39&lt;Life),BESS_kWh*C_BattRepl*LevCapex*$B$7*H44,0)</f>
        <v>0</v>
      </c>
      <c r="I103" s="95" t="n">
        <f aca="false">IF(AND(I41=1,MOD(I39,BattLife)=0,I39&lt;Life),BESS_kWh*C_BattRepl*LevCapex*$B$7*I44,0)</f>
        <v>0</v>
      </c>
      <c r="J103" s="95" t="n">
        <f aca="false">IF(AND(J41=1,MOD(J39,BattLife)=0,J39&lt;Life),BESS_kWh*C_BattRepl*LevCapex*$B$7*J44,0)</f>
        <v>0</v>
      </c>
      <c r="K103" s="95" t="n">
        <f aca="false">IF(AND(K41=1,MOD(K39,BattLife)=0,K39&lt;Life),BESS_kWh*C_BattRepl*LevCapex*$B$7*K44,0)</f>
        <v>165903.437704701</v>
      </c>
      <c r="L103" s="95" t="n">
        <f aca="false">IF(AND(L41=1,MOD(L39,BattLife)=0,L39&lt;Life),BESS_kWh*C_BattRepl*LevCapex*$B$7*L44,0)</f>
        <v>0</v>
      </c>
      <c r="M103" s="95" t="n">
        <f aca="false">IF(AND(M41=1,MOD(M39,BattLife)=0,M39&lt;Life),BESS_kWh*C_BattRepl*LevCapex*$B$7*M44,0)</f>
        <v>0</v>
      </c>
      <c r="N103" s="95" t="n">
        <f aca="false">IF(AND(N41=1,MOD(N39,BattLife)=0,N39&lt;Life),BESS_kWh*C_BattRepl*LevCapex*$B$7*N44,0)</f>
        <v>0</v>
      </c>
      <c r="O103" s="95" t="n">
        <f aca="false">IF(AND(O41=1,MOD(O39,BattLife)=0,O39&lt;Life),BESS_kWh*C_BattRepl*LevCapex*$B$7*O44,0)</f>
        <v>0</v>
      </c>
      <c r="P103" s="95" t="n">
        <f aca="false">IF(AND(P41=1,MOD(P39,BattLife)=0,P39&lt;Life),BESS_kWh*C_BattRepl*LevCapex*$B$7*P44,0)</f>
        <v>0</v>
      </c>
      <c r="Q103" s="95" t="n">
        <f aca="false">IF(AND(Q41=1,MOD(Q39,BattLife)=0,Q39&lt;Life),BESS_kWh*C_BattRepl*LevCapex*$B$7*Q44,0)</f>
        <v>0</v>
      </c>
      <c r="R103" s="95" t="n">
        <f aca="false">IF(AND(R41=1,MOD(R39,BattLife)=0,R39&lt;Life),BESS_kWh*C_BattRepl*LevCapex*$B$7*R44,0)</f>
        <v>0</v>
      </c>
      <c r="S103" s="95" t="n">
        <f aca="false">IF(AND(S41=1,MOD(S39,BattLife)=0,S39&lt;Life),BESS_kWh*C_BattRepl*LevCapex*$B$7*S44,0)</f>
        <v>210161.51128367</v>
      </c>
      <c r="T103" s="95" t="n">
        <f aca="false">IF(AND(T41=1,MOD(T39,BattLife)=0,T39&lt;Life),BESS_kWh*C_BattRepl*LevCapex*$B$7*T44,0)</f>
        <v>0</v>
      </c>
      <c r="U103" s="95" t="n">
        <f aca="false">IF(AND(U41=1,MOD(U39,BattLife)=0,U39&lt;Life),BESS_kWh*C_BattRepl*LevCapex*$B$7*U44,0)</f>
        <v>0</v>
      </c>
      <c r="V103" s="95" t="n">
        <f aca="false">IF(AND(V41=1,MOD(V39,BattLife)=0,V39&lt;Life),BESS_kWh*C_BattRepl*LevCapex*$B$7*V44,0)</f>
        <v>0</v>
      </c>
      <c r="W103" s="95" t="n">
        <f aca="false">IF(AND(W41=1,MOD(W39,BattLife)=0,W39&lt;Life),BESS_kWh*C_BattRepl*LevCapex*$B$7*W44,0)</f>
        <v>0</v>
      </c>
    </row>
    <row r="104" customFormat="false" ht="15" hidden="false" customHeight="false" outlineLevel="0" collapsed="false">
      <c r="A104" s="11" t="s">
        <v>448</v>
      </c>
      <c r="B104" s="66" t="n">
        <f aca="false">SUM(C104:W104)</f>
        <v>376064.948988371</v>
      </c>
      <c r="C104" s="95" t="n">
        <v>0</v>
      </c>
      <c r="D104" s="95" t="n">
        <f aca="false">IF(AND(UseMRA=1,D41=1,CEILING(D39,BattLife)&lt;Life),BESS_kWh*C_BattRepl*LevCapex*$B$7*(1+CostEsc)^(CEILING(D39,BattLife)-1)/BattLife,0)</f>
        <v>20737.9297130877</v>
      </c>
      <c r="E104" s="95" t="n">
        <f aca="false">IF(AND(UseMRA=1,E41=1,CEILING(E39,BattLife)&lt;Life),BESS_kWh*C_BattRepl*LevCapex*$B$7*(1+CostEsc)^(CEILING(E39,BattLife)-1)/BattLife,0)</f>
        <v>20737.9297130877</v>
      </c>
      <c r="F104" s="95" t="n">
        <f aca="false">IF(AND(UseMRA=1,F41=1,CEILING(F39,BattLife)&lt;Life),BESS_kWh*C_BattRepl*LevCapex*$B$7*(1+CostEsc)^(CEILING(F39,BattLife)-1)/BattLife,0)</f>
        <v>20737.9297130877</v>
      </c>
      <c r="G104" s="95" t="n">
        <f aca="false">IF(AND(UseMRA=1,G41=1,CEILING(G39,BattLife)&lt;Life),BESS_kWh*C_BattRepl*LevCapex*$B$7*(1+CostEsc)^(CEILING(G39,BattLife)-1)/BattLife,0)</f>
        <v>20737.9297130877</v>
      </c>
      <c r="H104" s="95" t="n">
        <f aca="false">IF(AND(UseMRA=1,H41=1,CEILING(H39,BattLife)&lt;Life),BESS_kWh*C_BattRepl*LevCapex*$B$7*(1+CostEsc)^(CEILING(H39,BattLife)-1)/BattLife,0)</f>
        <v>20737.9297130877</v>
      </c>
      <c r="I104" s="95" t="n">
        <f aca="false">IF(AND(UseMRA=1,I41=1,CEILING(I39,BattLife)&lt;Life),BESS_kWh*C_BattRepl*LevCapex*$B$7*(1+CostEsc)^(CEILING(I39,BattLife)-1)/BattLife,0)</f>
        <v>20737.9297130877</v>
      </c>
      <c r="J104" s="95" t="n">
        <f aca="false">IF(AND(UseMRA=1,J41=1,CEILING(J39,BattLife)&lt;Life),BESS_kWh*C_BattRepl*LevCapex*$B$7*(1+CostEsc)^(CEILING(J39,BattLife)-1)/BattLife,0)</f>
        <v>20737.9297130877</v>
      </c>
      <c r="K104" s="95" t="n">
        <f aca="false">IF(AND(UseMRA=1,K41=1,CEILING(K39,BattLife)&lt;Life),BESS_kWh*C_BattRepl*LevCapex*$B$7*(1+CostEsc)^(CEILING(K39,BattLife)-1)/BattLife,0)</f>
        <v>20737.9297130877</v>
      </c>
      <c r="L104" s="95" t="n">
        <f aca="false">IF(AND(UseMRA=1,L41=1,CEILING(L39,BattLife)&lt;Life),BESS_kWh*C_BattRepl*LevCapex*$B$7*(1+CostEsc)^(CEILING(L39,BattLife)-1)/BattLife,0)</f>
        <v>26270.1889104587</v>
      </c>
      <c r="M104" s="95" t="n">
        <f aca="false">IF(AND(UseMRA=1,M41=1,CEILING(M39,BattLife)&lt;Life),BESS_kWh*C_BattRepl*LevCapex*$B$7*(1+CostEsc)^(CEILING(M39,BattLife)-1)/BattLife,0)</f>
        <v>26270.1889104587</v>
      </c>
      <c r="N104" s="95" t="n">
        <f aca="false">IF(AND(UseMRA=1,N41=1,CEILING(N39,BattLife)&lt;Life),BESS_kWh*C_BattRepl*LevCapex*$B$7*(1+CostEsc)^(CEILING(N39,BattLife)-1)/BattLife,0)</f>
        <v>26270.1889104587</v>
      </c>
      <c r="O104" s="95" t="n">
        <f aca="false">IF(AND(UseMRA=1,O41=1,CEILING(O39,BattLife)&lt;Life),BESS_kWh*C_BattRepl*LevCapex*$B$7*(1+CostEsc)^(CEILING(O39,BattLife)-1)/BattLife,0)</f>
        <v>26270.1889104587</v>
      </c>
      <c r="P104" s="95" t="n">
        <f aca="false">IF(AND(UseMRA=1,P41=1,CEILING(P39,BattLife)&lt;Life),BESS_kWh*C_BattRepl*LevCapex*$B$7*(1+CostEsc)^(CEILING(P39,BattLife)-1)/BattLife,0)</f>
        <v>26270.1889104587</v>
      </c>
      <c r="Q104" s="95" t="n">
        <f aca="false">IF(AND(UseMRA=1,Q41=1,CEILING(Q39,BattLife)&lt;Life),BESS_kWh*C_BattRepl*LevCapex*$B$7*(1+CostEsc)^(CEILING(Q39,BattLife)-1)/BattLife,0)</f>
        <v>26270.1889104587</v>
      </c>
      <c r="R104" s="95" t="n">
        <f aca="false">IF(AND(UseMRA=1,R41=1,CEILING(R39,BattLife)&lt;Life),BESS_kWh*C_BattRepl*LevCapex*$B$7*(1+CostEsc)^(CEILING(R39,BattLife)-1)/BattLife,0)</f>
        <v>26270.1889104587</v>
      </c>
      <c r="S104" s="95" t="n">
        <f aca="false">IF(AND(UseMRA=1,S41=1,CEILING(S39,BattLife)&lt;Life),BESS_kWh*C_BattRepl*LevCapex*$B$7*(1+CostEsc)^(CEILING(S39,BattLife)-1)/BattLife,0)</f>
        <v>26270.1889104587</v>
      </c>
      <c r="T104" s="95" t="n">
        <f aca="false">IF(AND(UseMRA=1,T41=1,CEILING(T39,BattLife)&lt;Life),BESS_kWh*C_BattRepl*LevCapex*$B$7*(1+CostEsc)^(CEILING(T39,BattLife)-1)/BattLife,0)</f>
        <v>0</v>
      </c>
      <c r="U104" s="95" t="n">
        <f aca="false">IF(AND(UseMRA=1,U41=1,CEILING(U39,BattLife)&lt;Life),BESS_kWh*C_BattRepl*LevCapex*$B$7*(1+CostEsc)^(CEILING(U39,BattLife)-1)/BattLife,0)</f>
        <v>0</v>
      </c>
      <c r="V104" s="95" t="n">
        <f aca="false">IF(AND(UseMRA=1,V41=1,CEILING(V39,BattLife)&lt;Life),BESS_kWh*C_BattRepl*LevCapex*$B$7*(1+CostEsc)^(CEILING(V39,BattLife)-1)/BattLife,0)</f>
        <v>0</v>
      </c>
      <c r="W104" s="95" t="n">
        <f aca="false">IF(AND(UseMRA=1,W41=1,CEILING(W39,BattLife)&lt;Life),BESS_kWh*C_BattRepl*LevCapex*$B$7*(1+CostEsc)^(CEILING(W39,BattLife)-1)/BattLife,0)</f>
        <v>0</v>
      </c>
    </row>
    <row r="105" customFormat="false" ht="15" hidden="false" customHeight="false" outlineLevel="0" collapsed="false">
      <c r="A105" s="11" t="s">
        <v>449</v>
      </c>
      <c r="B105" s="66" t="n">
        <f aca="false">SUM(C105:W105)</f>
        <v>376064.948988371</v>
      </c>
      <c r="C105" s="95" t="n">
        <v>0</v>
      </c>
      <c r="D105" s="95" t="n">
        <f aca="false">IF(UseMRA=1,D104,D103)</f>
        <v>20737.9297130877</v>
      </c>
      <c r="E105" s="95" t="n">
        <f aca="false">IF(UseMRA=1,E104,E103)</f>
        <v>20737.9297130877</v>
      </c>
      <c r="F105" s="95" t="n">
        <f aca="false">IF(UseMRA=1,F104,F103)</f>
        <v>20737.9297130877</v>
      </c>
      <c r="G105" s="95" t="n">
        <f aca="false">IF(UseMRA=1,G104,G103)</f>
        <v>20737.9297130877</v>
      </c>
      <c r="H105" s="95" t="n">
        <f aca="false">IF(UseMRA=1,H104,H103)</f>
        <v>20737.9297130877</v>
      </c>
      <c r="I105" s="95" t="n">
        <f aca="false">IF(UseMRA=1,I104,I103)</f>
        <v>20737.9297130877</v>
      </c>
      <c r="J105" s="95" t="n">
        <f aca="false">IF(UseMRA=1,J104,J103)</f>
        <v>20737.9297130877</v>
      </c>
      <c r="K105" s="95" t="n">
        <f aca="false">IF(UseMRA=1,K104,K103)</f>
        <v>20737.9297130877</v>
      </c>
      <c r="L105" s="95" t="n">
        <f aca="false">IF(UseMRA=1,L104,L103)</f>
        <v>26270.1889104587</v>
      </c>
      <c r="M105" s="95" t="n">
        <f aca="false">IF(UseMRA=1,M104,M103)</f>
        <v>26270.1889104587</v>
      </c>
      <c r="N105" s="95" t="n">
        <f aca="false">IF(UseMRA=1,N104,N103)</f>
        <v>26270.1889104587</v>
      </c>
      <c r="O105" s="95" t="n">
        <f aca="false">IF(UseMRA=1,O104,O103)</f>
        <v>26270.1889104587</v>
      </c>
      <c r="P105" s="95" t="n">
        <f aca="false">IF(UseMRA=1,P104,P103)</f>
        <v>26270.1889104587</v>
      </c>
      <c r="Q105" s="95" t="n">
        <f aca="false">IF(UseMRA=1,Q104,Q103)</f>
        <v>26270.1889104587</v>
      </c>
      <c r="R105" s="95" t="n">
        <f aca="false">IF(UseMRA=1,R104,R103)</f>
        <v>26270.1889104587</v>
      </c>
      <c r="S105" s="95" t="n">
        <f aca="false">IF(UseMRA=1,S104,S103)</f>
        <v>26270.1889104587</v>
      </c>
      <c r="T105" s="95" t="n">
        <f aca="false">IF(UseMRA=1,T104,T103)</f>
        <v>0</v>
      </c>
      <c r="U105" s="95" t="n">
        <f aca="false">IF(UseMRA=1,U104,U103)</f>
        <v>0</v>
      </c>
      <c r="V105" s="95" t="n">
        <f aca="false">IF(UseMRA=1,V104,V103)</f>
        <v>0</v>
      </c>
      <c r="W105" s="95" t="n">
        <f aca="false">IF(UseMRA=1,W104,W103)</f>
        <v>0</v>
      </c>
    </row>
    <row r="106" customFormat="false" ht="15" hidden="false" customHeight="false" outlineLevel="0" collapsed="false">
      <c r="A106" s="11" t="s">
        <v>175</v>
      </c>
      <c r="B106" s="66" t="n">
        <f aca="false">SUM(C106:W106)</f>
        <v>600000</v>
      </c>
      <c r="C106" s="95" t="n">
        <f aca="false">Grant</f>
        <v>600000</v>
      </c>
      <c r="D106" s="95" t="n">
        <f aca="false">0</f>
        <v>0</v>
      </c>
      <c r="E106" s="95" t="n">
        <f aca="false">0</f>
        <v>0</v>
      </c>
      <c r="F106" s="95" t="n">
        <f aca="false">0</f>
        <v>0</v>
      </c>
      <c r="G106" s="95" t="n">
        <f aca="false">0</f>
        <v>0</v>
      </c>
      <c r="H106" s="95" t="n">
        <f aca="false">0</f>
        <v>0</v>
      </c>
      <c r="I106" s="95" t="n">
        <f aca="false">0</f>
        <v>0</v>
      </c>
      <c r="J106" s="95" t="n">
        <f aca="false">0</f>
        <v>0</v>
      </c>
      <c r="K106" s="95" t="n">
        <f aca="false">0</f>
        <v>0</v>
      </c>
      <c r="L106" s="95" t="n">
        <f aca="false">0</f>
        <v>0</v>
      </c>
      <c r="M106" s="95" t="n">
        <f aca="false">0</f>
        <v>0</v>
      </c>
      <c r="N106" s="95" t="n">
        <f aca="false">0</f>
        <v>0</v>
      </c>
      <c r="O106" s="95" t="n">
        <f aca="false">0</f>
        <v>0</v>
      </c>
      <c r="P106" s="95" t="n">
        <f aca="false">0</f>
        <v>0</v>
      </c>
      <c r="Q106" s="95" t="n">
        <f aca="false">0</f>
        <v>0</v>
      </c>
      <c r="R106" s="95" t="n">
        <f aca="false">0</f>
        <v>0</v>
      </c>
      <c r="S106" s="95" t="n">
        <f aca="false">0</f>
        <v>0</v>
      </c>
      <c r="T106" s="95" t="n">
        <f aca="false">0</f>
        <v>0</v>
      </c>
      <c r="U106" s="95" t="n">
        <f aca="false">0</f>
        <v>0</v>
      </c>
      <c r="V106" s="95" t="n">
        <f aca="false">0</f>
        <v>0</v>
      </c>
      <c r="W106" s="95" t="n">
        <f aca="false">0</f>
        <v>0</v>
      </c>
    </row>
    <row r="107" customFormat="false" ht="15" hidden="false" customHeight="false" outlineLevel="0" collapsed="false">
      <c r="A107" s="11" t="s">
        <v>450</v>
      </c>
      <c r="B107" s="66" t="n">
        <f aca="false">SUM(C107:W107)</f>
        <v>252000</v>
      </c>
      <c r="C107" s="95" t="n">
        <v>0</v>
      </c>
      <c r="D107" s="95" t="n">
        <f aca="false">D54*Seg1_RBF+D55*Seg2_RBF+D56*Seg3_RBF+D57*Seg4_RBF+D58*Seg5_RBF</f>
        <v>151200</v>
      </c>
      <c r="E107" s="95" t="n">
        <f aca="false">E54*Seg1_RBF+E55*Seg2_RBF+E56*Seg3_RBF+E57*Seg4_RBF+E58*Seg5_RBF</f>
        <v>63000</v>
      </c>
      <c r="F107" s="95" t="n">
        <f aca="false">F54*Seg1_RBF+F55*Seg2_RBF+F56*Seg3_RBF+F57*Seg4_RBF+F58*Seg5_RBF</f>
        <v>37800</v>
      </c>
      <c r="G107" s="95" t="n">
        <f aca="false">G54*Seg1_RBF+G55*Seg2_RBF+G56*Seg3_RBF+G57*Seg4_RBF+G58*Seg5_RBF</f>
        <v>0</v>
      </c>
      <c r="H107" s="95" t="n">
        <f aca="false">H54*Seg1_RBF+H55*Seg2_RBF+H56*Seg3_RBF+H57*Seg4_RBF+H58*Seg5_RBF</f>
        <v>0</v>
      </c>
      <c r="I107" s="95" t="n">
        <f aca="false">I54*Seg1_RBF+I55*Seg2_RBF+I56*Seg3_RBF+I57*Seg4_RBF+I58*Seg5_RBF</f>
        <v>0</v>
      </c>
      <c r="J107" s="95" t="n">
        <f aca="false">J54*Seg1_RBF+J55*Seg2_RBF+J56*Seg3_RBF+J57*Seg4_RBF+J58*Seg5_RBF</f>
        <v>0</v>
      </c>
      <c r="K107" s="95" t="n">
        <f aca="false">K54*Seg1_RBF+K55*Seg2_RBF+K56*Seg3_RBF+K57*Seg4_RBF+K58*Seg5_RBF</f>
        <v>0</v>
      </c>
      <c r="L107" s="95" t="n">
        <f aca="false">L54*Seg1_RBF+L55*Seg2_RBF+L56*Seg3_RBF+L57*Seg4_RBF+L58*Seg5_RBF</f>
        <v>0</v>
      </c>
      <c r="M107" s="95" t="n">
        <f aca="false">M54*Seg1_RBF+M55*Seg2_RBF+M56*Seg3_RBF+M57*Seg4_RBF+M58*Seg5_RBF</f>
        <v>0</v>
      </c>
      <c r="N107" s="95" t="n">
        <f aca="false">N54*Seg1_RBF+N55*Seg2_RBF+N56*Seg3_RBF+N57*Seg4_RBF+N58*Seg5_RBF</f>
        <v>0</v>
      </c>
      <c r="O107" s="95" t="n">
        <f aca="false">O54*Seg1_RBF+O55*Seg2_RBF+O56*Seg3_RBF+O57*Seg4_RBF+O58*Seg5_RBF</f>
        <v>0</v>
      </c>
      <c r="P107" s="95" t="n">
        <f aca="false">P54*Seg1_RBF+P55*Seg2_RBF+P56*Seg3_RBF+P57*Seg4_RBF+P58*Seg5_RBF</f>
        <v>0</v>
      </c>
      <c r="Q107" s="95" t="n">
        <f aca="false">Q54*Seg1_RBF+Q55*Seg2_RBF+Q56*Seg3_RBF+Q57*Seg4_RBF+Q58*Seg5_RBF</f>
        <v>0</v>
      </c>
      <c r="R107" s="95" t="n">
        <f aca="false">R54*Seg1_RBF+R55*Seg2_RBF+R56*Seg3_RBF+R57*Seg4_RBF+R58*Seg5_RBF</f>
        <v>0</v>
      </c>
      <c r="S107" s="95" t="n">
        <f aca="false">S54*Seg1_RBF+S55*Seg2_RBF+S56*Seg3_RBF+S57*Seg4_RBF+S58*Seg5_RBF</f>
        <v>0</v>
      </c>
      <c r="T107" s="95" t="n">
        <f aca="false">T54*Seg1_RBF+T55*Seg2_RBF+T56*Seg3_RBF+T57*Seg4_RBF+T58*Seg5_RBF</f>
        <v>0</v>
      </c>
      <c r="U107" s="95" t="n">
        <f aca="false">U54*Seg1_RBF+U55*Seg2_RBF+U56*Seg3_RBF+U57*Seg4_RBF+U58*Seg5_RBF</f>
        <v>0</v>
      </c>
      <c r="V107" s="95" t="n">
        <f aca="false">V54*Seg1_RBF+V55*Seg2_RBF+V56*Seg3_RBF+V57*Seg4_RBF+V58*Seg5_RBF</f>
        <v>0</v>
      </c>
      <c r="W107" s="95" t="n">
        <f aca="false">W54*Seg1_RBF+W55*Seg2_RBF+W56*Seg3_RBF+W57*Seg4_RBF+W58*Seg5_RBF</f>
        <v>0</v>
      </c>
    </row>
    <row r="108" customFormat="false" ht="15" hidden="false" customHeight="false" outlineLevel="0" collapsed="false">
      <c r="A108" s="11" t="s">
        <v>451</v>
      </c>
      <c r="B108" s="66" t="n">
        <f aca="false">SUM(C108:W108)</f>
        <v>252000</v>
      </c>
      <c r="C108" s="95" t="n">
        <v>0</v>
      </c>
      <c r="D108" s="95" t="n">
        <f aca="false">IF(D39-RBFLag&gt;=1,INDEX($C$107:$W$107,1,D39-RBFLag+1),0)</f>
        <v>151200</v>
      </c>
      <c r="E108" s="95" t="n">
        <f aca="false">IF(E39-RBFLag&gt;=1,INDEX($C$107:$W$107,1,E39-RBFLag+1),0)</f>
        <v>63000</v>
      </c>
      <c r="F108" s="95" t="n">
        <f aca="false">IF(F39-RBFLag&gt;=1,INDEX($C$107:$W$107,1,F39-RBFLag+1),0)</f>
        <v>37800</v>
      </c>
      <c r="G108" s="95" t="n">
        <f aca="false">IF(G39-RBFLag&gt;=1,INDEX($C$107:$W$107,1,G39-RBFLag+1),0)</f>
        <v>0</v>
      </c>
      <c r="H108" s="95" t="n">
        <f aca="false">IF(H39-RBFLag&gt;=1,INDEX($C$107:$W$107,1,H39-RBFLag+1),0)</f>
        <v>0</v>
      </c>
      <c r="I108" s="95" t="n">
        <f aca="false">IF(I39-RBFLag&gt;=1,INDEX($C$107:$W$107,1,I39-RBFLag+1),0)</f>
        <v>0</v>
      </c>
      <c r="J108" s="95" t="n">
        <f aca="false">IF(J39-RBFLag&gt;=1,INDEX($C$107:$W$107,1,J39-RBFLag+1),0)</f>
        <v>0</v>
      </c>
      <c r="K108" s="95" t="n">
        <f aca="false">IF(K39-RBFLag&gt;=1,INDEX($C$107:$W$107,1,K39-RBFLag+1),0)</f>
        <v>0</v>
      </c>
      <c r="L108" s="95" t="n">
        <f aca="false">IF(L39-RBFLag&gt;=1,INDEX($C$107:$W$107,1,L39-RBFLag+1),0)</f>
        <v>0</v>
      </c>
      <c r="M108" s="95" t="n">
        <f aca="false">IF(M39-RBFLag&gt;=1,INDEX($C$107:$W$107,1,M39-RBFLag+1),0)</f>
        <v>0</v>
      </c>
      <c r="N108" s="95" t="n">
        <f aca="false">IF(N39-RBFLag&gt;=1,INDEX($C$107:$W$107,1,N39-RBFLag+1),0)</f>
        <v>0</v>
      </c>
      <c r="O108" s="95" t="n">
        <f aca="false">IF(O39-RBFLag&gt;=1,INDEX($C$107:$W$107,1,O39-RBFLag+1),0)</f>
        <v>0</v>
      </c>
      <c r="P108" s="95" t="n">
        <f aca="false">IF(P39-RBFLag&gt;=1,INDEX($C$107:$W$107,1,P39-RBFLag+1),0)</f>
        <v>0</v>
      </c>
      <c r="Q108" s="95" t="n">
        <f aca="false">IF(Q39-RBFLag&gt;=1,INDEX($C$107:$W$107,1,Q39-RBFLag+1),0)</f>
        <v>0</v>
      </c>
      <c r="R108" s="95" t="n">
        <f aca="false">IF(R39-RBFLag&gt;=1,INDEX($C$107:$W$107,1,R39-RBFLag+1),0)</f>
        <v>0</v>
      </c>
      <c r="S108" s="95" t="n">
        <f aca="false">IF(S39-RBFLag&gt;=1,INDEX($C$107:$W$107,1,S39-RBFLag+1),0)</f>
        <v>0</v>
      </c>
      <c r="T108" s="95" t="n">
        <f aca="false">IF(T39-RBFLag&gt;=1,INDEX($C$107:$W$107,1,T39-RBFLag+1),0)</f>
        <v>0</v>
      </c>
      <c r="U108" s="95" t="n">
        <f aca="false">IF(U39-RBFLag&gt;=1,INDEX($C$107:$W$107,1,U39-RBFLag+1),0)</f>
        <v>0</v>
      </c>
      <c r="V108" s="95" t="n">
        <f aca="false">IF(V39-RBFLag&gt;=1,INDEX($C$107:$W$107,1,V39-RBFLag+1),0)</f>
        <v>0</v>
      </c>
      <c r="W108" s="95" t="n">
        <f aca="false">IF(W39-RBFLag&gt;=1,INDEX($C$107:$W$107,1,W39-RBFLag+1),0)</f>
        <v>0</v>
      </c>
    </row>
    <row r="109" customFormat="false" ht="15" hidden="false" customHeight="false" outlineLevel="0" collapsed="false">
      <c r="A109" s="11" t="s">
        <v>452</v>
      </c>
      <c r="B109" s="76" t="n">
        <f aca="false">SUM(C109:W109)</f>
        <v>970</v>
      </c>
      <c r="C109" s="93" t="n">
        <v>0</v>
      </c>
      <c r="D109" s="93" t="n">
        <f aca="false">IF(D39-RBFLag&gt;=1,INDEX($C$59:$W$59,1,D39-RBFLag+1),0)</f>
        <v>582</v>
      </c>
      <c r="E109" s="93" t="n">
        <f aca="false">IF(E39-RBFLag&gt;=1,INDEX($C$59:$W$59,1,E39-RBFLag+1),0)</f>
        <v>242.5</v>
      </c>
      <c r="F109" s="93" t="n">
        <f aca="false">IF(F39-RBFLag&gt;=1,INDEX($C$59:$W$59,1,F39-RBFLag+1),0)</f>
        <v>145.5</v>
      </c>
      <c r="G109" s="93" t="n">
        <f aca="false">IF(G39-RBFLag&gt;=1,INDEX($C$59:$W$59,1,G39-RBFLag+1),0)</f>
        <v>0</v>
      </c>
      <c r="H109" s="93" t="n">
        <f aca="false">IF(H39-RBFLag&gt;=1,INDEX($C$59:$W$59,1,H39-RBFLag+1),0)</f>
        <v>0</v>
      </c>
      <c r="I109" s="93" t="n">
        <f aca="false">IF(I39-RBFLag&gt;=1,INDEX($C$59:$W$59,1,I39-RBFLag+1),0)</f>
        <v>0</v>
      </c>
      <c r="J109" s="93" t="n">
        <f aca="false">IF(J39-RBFLag&gt;=1,INDEX($C$59:$W$59,1,J39-RBFLag+1),0)</f>
        <v>0</v>
      </c>
      <c r="K109" s="93" t="n">
        <f aca="false">IF(K39-RBFLag&gt;=1,INDEX($C$59:$W$59,1,K39-RBFLag+1),0)</f>
        <v>0</v>
      </c>
      <c r="L109" s="93" t="n">
        <f aca="false">IF(L39-RBFLag&gt;=1,INDEX($C$59:$W$59,1,L39-RBFLag+1),0)</f>
        <v>0</v>
      </c>
      <c r="M109" s="93" t="n">
        <f aca="false">IF(M39-RBFLag&gt;=1,INDEX($C$59:$W$59,1,M39-RBFLag+1),0)</f>
        <v>0</v>
      </c>
      <c r="N109" s="93" t="n">
        <f aca="false">IF(N39-RBFLag&gt;=1,INDEX($C$59:$W$59,1,N39-RBFLag+1),0)</f>
        <v>0</v>
      </c>
      <c r="O109" s="93" t="n">
        <f aca="false">IF(O39-RBFLag&gt;=1,INDEX($C$59:$W$59,1,O39-RBFLag+1),0)</f>
        <v>0</v>
      </c>
      <c r="P109" s="93" t="n">
        <f aca="false">IF(P39-RBFLag&gt;=1,INDEX($C$59:$W$59,1,P39-RBFLag+1),0)</f>
        <v>0</v>
      </c>
      <c r="Q109" s="93" t="n">
        <f aca="false">IF(Q39-RBFLag&gt;=1,INDEX($C$59:$W$59,1,Q39-RBFLag+1),0)</f>
        <v>0</v>
      </c>
      <c r="R109" s="93" t="n">
        <f aca="false">IF(R39-RBFLag&gt;=1,INDEX($C$59:$W$59,1,R39-RBFLag+1),0)</f>
        <v>0</v>
      </c>
      <c r="S109" s="93" t="n">
        <f aca="false">IF(S39-RBFLag&gt;=1,INDEX($C$59:$W$59,1,S39-RBFLag+1),0)</f>
        <v>0</v>
      </c>
      <c r="T109" s="93" t="n">
        <f aca="false">IF(T39-RBFLag&gt;=1,INDEX($C$59:$W$59,1,T39-RBFLag+1),0)</f>
        <v>0</v>
      </c>
      <c r="U109" s="93" t="n">
        <f aca="false">IF(U39-RBFLag&gt;=1,INDEX($C$59:$W$59,1,U39-RBFLag+1),0)</f>
        <v>0</v>
      </c>
      <c r="V109" s="93" t="n">
        <f aca="false">IF(V39-RBFLag&gt;=1,INDEX($C$59:$W$59,1,V39-RBFLag+1),0)</f>
        <v>0</v>
      </c>
      <c r="W109" s="93" t="n">
        <f aca="false">IF(W39-RBFLag&gt;=1,INDEX($C$59:$W$59,1,W39-RBFLag+1),0)</f>
        <v>0</v>
      </c>
    </row>
    <row r="111" customFormat="false" ht="15" hidden="false" customHeight="false" outlineLevel="0" collapsed="false">
      <c r="A111" s="9" t="s">
        <v>453</v>
      </c>
      <c r="B111" s="10"/>
      <c r="C111" s="10"/>
      <c r="D111" s="10"/>
      <c r="E111" s="10"/>
      <c r="F111" s="10"/>
      <c r="G111" s="10"/>
      <c r="H111" s="10"/>
      <c r="I111" s="10"/>
      <c r="J111" s="10"/>
      <c r="K111" s="10"/>
      <c r="L111" s="10"/>
      <c r="M111" s="10"/>
      <c r="N111" s="10"/>
      <c r="O111" s="10"/>
      <c r="P111" s="10"/>
      <c r="Q111" s="10"/>
      <c r="R111" s="10"/>
      <c r="S111" s="10"/>
      <c r="T111" s="10"/>
      <c r="U111" s="10"/>
      <c r="V111" s="10"/>
      <c r="W111" s="10"/>
    </row>
    <row r="112" customFormat="false" ht="15" hidden="false" customHeight="false" outlineLevel="0" collapsed="false">
      <c r="A112" s="11" t="s">
        <v>454</v>
      </c>
      <c r="C112" s="95" t="n">
        <v>0</v>
      </c>
      <c r="D112" s="95" t="n">
        <f aca="false">C116</f>
        <v>112546.829385741</v>
      </c>
      <c r="E112" s="95" t="n">
        <f aca="false">D116</f>
        <v>112546.829385741</v>
      </c>
      <c r="F112" s="95" t="n">
        <f aca="false">E116</f>
        <v>112546.829385741</v>
      </c>
      <c r="G112" s="95" t="n">
        <f aca="false">F116</f>
        <v>102705.282458945</v>
      </c>
      <c r="H112" s="95" t="n">
        <f aca="false">G116</f>
        <v>91879.5808394692</v>
      </c>
      <c r="I112" s="95" t="n">
        <f aca="false">H116</f>
        <v>79971.3090580457</v>
      </c>
      <c r="J112" s="95" t="n">
        <f aca="false">I116</f>
        <v>66872.2100984798</v>
      </c>
      <c r="K112" s="95" t="n">
        <f aca="false">J116</f>
        <v>52463.2012429573</v>
      </c>
      <c r="L112" s="95" t="n">
        <f aca="false">K116</f>
        <v>36613.2915018826</v>
      </c>
      <c r="M112" s="95" t="n">
        <f aca="false">L116</f>
        <v>19178.3907867004</v>
      </c>
      <c r="N112" s="95" t="n">
        <f aca="false">M116</f>
        <v>0</v>
      </c>
      <c r="O112" s="95" t="n">
        <f aca="false">N116</f>
        <v>0</v>
      </c>
      <c r="P112" s="95" t="n">
        <f aca="false">O116</f>
        <v>0</v>
      </c>
      <c r="Q112" s="95" t="n">
        <f aca="false">P116</f>
        <v>0</v>
      </c>
      <c r="R112" s="95" t="n">
        <f aca="false">Q116</f>
        <v>0</v>
      </c>
      <c r="S112" s="95" t="n">
        <f aca="false">R116</f>
        <v>0</v>
      </c>
      <c r="T112" s="95" t="n">
        <f aca="false">S116</f>
        <v>0</v>
      </c>
      <c r="U112" s="95" t="n">
        <f aca="false">T116</f>
        <v>0</v>
      </c>
      <c r="V112" s="95" t="n">
        <f aca="false">U116</f>
        <v>0</v>
      </c>
      <c r="W112" s="95" t="n">
        <f aca="false">V116</f>
        <v>0</v>
      </c>
    </row>
    <row r="113" customFormat="false" ht="15" hidden="false" customHeight="false" outlineLevel="0" collapsed="false">
      <c r="A113" s="11" t="s">
        <v>455</v>
      </c>
      <c r="B113" s="66" t="n">
        <f aca="false">SUM(C113:W113)</f>
        <v>112546.829385741</v>
      </c>
      <c r="C113" s="95" t="n">
        <f aca="false">S_Tariff_Lo!$B$16</f>
        <v>112546.829385741</v>
      </c>
      <c r="D113" s="95" t="n">
        <f aca="false">0</f>
        <v>0</v>
      </c>
      <c r="E113" s="95" t="n">
        <f aca="false">0</f>
        <v>0</v>
      </c>
      <c r="F113" s="95" t="n">
        <f aca="false">0</f>
        <v>0</v>
      </c>
      <c r="G113" s="95" t="n">
        <f aca="false">0</f>
        <v>0</v>
      </c>
      <c r="H113" s="95" t="n">
        <f aca="false">0</f>
        <v>0</v>
      </c>
      <c r="I113" s="95" t="n">
        <f aca="false">0</f>
        <v>0</v>
      </c>
      <c r="J113" s="95" t="n">
        <f aca="false">0</f>
        <v>0</v>
      </c>
      <c r="K113" s="95" t="n">
        <f aca="false">0</f>
        <v>0</v>
      </c>
      <c r="L113" s="95" t="n">
        <f aca="false">0</f>
        <v>0</v>
      </c>
      <c r="M113" s="95" t="n">
        <f aca="false">0</f>
        <v>0</v>
      </c>
      <c r="N113" s="95" t="n">
        <f aca="false">0</f>
        <v>0</v>
      </c>
      <c r="O113" s="95" t="n">
        <f aca="false">0</f>
        <v>0</v>
      </c>
      <c r="P113" s="95" t="n">
        <f aca="false">0</f>
        <v>0</v>
      </c>
      <c r="Q113" s="95" t="n">
        <f aca="false">0</f>
        <v>0</v>
      </c>
      <c r="R113" s="95" t="n">
        <f aca="false">0</f>
        <v>0</v>
      </c>
      <c r="S113" s="95" t="n">
        <f aca="false">0</f>
        <v>0</v>
      </c>
      <c r="T113" s="95" t="n">
        <f aca="false">0</f>
        <v>0</v>
      </c>
      <c r="U113" s="95" t="n">
        <f aca="false">0</f>
        <v>0</v>
      </c>
      <c r="V113" s="95" t="n">
        <f aca="false">0</f>
        <v>0</v>
      </c>
      <c r="W113" s="95" t="n">
        <f aca="false">0</f>
        <v>0</v>
      </c>
    </row>
    <row r="114" customFormat="false" ht="15" hidden="false" customHeight="false" outlineLevel="0" collapsed="false">
      <c r="A114" s="11" t="s">
        <v>456</v>
      </c>
      <c r="B114" s="66" t="n">
        <f aca="false">SUM(C114:W114)</f>
        <v>78732.3754143705</v>
      </c>
      <c r="C114" s="95" t="n">
        <v>0</v>
      </c>
      <c r="D114" s="95" t="n">
        <f aca="false">D112*SenRate*$B$11</f>
        <v>11254.6829385742</v>
      </c>
      <c r="E114" s="95" t="n">
        <f aca="false">E112*SenRate*$B$11</f>
        <v>11254.6829385742</v>
      </c>
      <c r="F114" s="95" t="n">
        <f aca="false">F112*SenRate*$B$11</f>
        <v>11254.6829385742</v>
      </c>
      <c r="G114" s="95" t="n">
        <f aca="false">G112*SenRate*$B$11</f>
        <v>10270.5282458945</v>
      </c>
      <c r="H114" s="95" t="n">
        <f aca="false">H112*SenRate*$B$11</f>
        <v>9187.95808394693</v>
      </c>
      <c r="I114" s="95" t="n">
        <f aca="false">I112*SenRate*$B$11</f>
        <v>7997.13090580457</v>
      </c>
      <c r="J114" s="95" t="n">
        <f aca="false">J112*SenRate*$B$11</f>
        <v>6687.22100984798</v>
      </c>
      <c r="K114" s="95" t="n">
        <f aca="false">K112*SenRate*$B$11</f>
        <v>5246.32012429573</v>
      </c>
      <c r="L114" s="95" t="n">
        <f aca="false">L112*SenRate*$B$11</f>
        <v>3661.32915018826</v>
      </c>
      <c r="M114" s="95" t="n">
        <f aca="false">M112*SenRate*$B$11</f>
        <v>1917.83907867004</v>
      </c>
      <c r="N114" s="95" t="n">
        <f aca="false">N112*SenRate*$B$11</f>
        <v>0</v>
      </c>
      <c r="O114" s="95" t="n">
        <f aca="false">O112*SenRate*$B$11</f>
        <v>0</v>
      </c>
      <c r="P114" s="95" t="n">
        <f aca="false">P112*SenRate*$B$11</f>
        <v>0</v>
      </c>
      <c r="Q114" s="95" t="n">
        <f aca="false">Q112*SenRate*$B$11</f>
        <v>0</v>
      </c>
      <c r="R114" s="95" t="n">
        <f aca="false">R112*SenRate*$B$11</f>
        <v>0</v>
      </c>
      <c r="S114" s="95" t="n">
        <f aca="false">S112*SenRate*$B$11</f>
        <v>0</v>
      </c>
      <c r="T114" s="95" t="n">
        <f aca="false">T112*SenRate*$B$11</f>
        <v>0</v>
      </c>
      <c r="U114" s="95" t="n">
        <f aca="false">U112*SenRate*$B$11</f>
        <v>0</v>
      </c>
      <c r="V114" s="95" t="n">
        <f aca="false">V112*SenRate*$B$11</f>
        <v>0</v>
      </c>
      <c r="W114" s="95" t="n">
        <f aca="false">W112*SenRate*$B$11</f>
        <v>0</v>
      </c>
    </row>
    <row r="115" customFormat="false" ht="15" hidden="false" customHeight="false" outlineLevel="0" collapsed="false">
      <c r="A115" s="11" t="s">
        <v>457</v>
      </c>
      <c r="B115" s="66" t="n">
        <f aca="false">SUM(C115:W115)</f>
        <v>112546.829385742</v>
      </c>
      <c r="C115" s="95" t="n">
        <v>0</v>
      </c>
      <c r="D115" s="95" t="n">
        <f aca="false">IF(AND(D39&gt;SenGrace,D39&lt;=SenTenor),PMT(SenRate*$B$11,SenTenor-SenGrace,-S_Tariff_Lo!$B$16)-D114,0)</f>
        <v>0</v>
      </c>
      <c r="E115" s="95" t="n">
        <f aca="false">IF(AND(E39&gt;SenGrace,E39&lt;=SenTenor),PMT(SenRate*$B$11,SenTenor-SenGrace,-S_Tariff_Lo!$B$16)-E114,0)</f>
        <v>0</v>
      </c>
      <c r="F115" s="95" t="n">
        <f aca="false">IF(AND(F39&gt;SenGrace,F39&lt;=SenTenor),PMT(SenRate*$B$11,SenTenor-SenGrace,-S_Tariff_Lo!$B$16)-F114,0)</f>
        <v>9841.54692679631</v>
      </c>
      <c r="G115" s="95" t="n">
        <f aca="false">IF(AND(G39&gt;SenGrace,G39&lt;=SenTenor),PMT(SenRate*$B$11,SenTenor-SenGrace,-S_Tariff_Lo!$B$16)-G114,0)</f>
        <v>10825.7016194759</v>
      </c>
      <c r="H115" s="95" t="n">
        <f aca="false">IF(AND(H39&gt;SenGrace,H39&lt;=SenTenor),PMT(SenRate*$B$11,SenTenor-SenGrace,-S_Tariff_Lo!$B$16)-H114,0)</f>
        <v>11908.2717814235</v>
      </c>
      <c r="I115" s="95" t="n">
        <f aca="false">IF(AND(I39&gt;SenGrace,I39&lt;=SenTenor),PMT(SenRate*$B$11,SenTenor-SenGrace,-S_Tariff_Lo!$B$16)-I114,0)</f>
        <v>13099.0989595659</v>
      </c>
      <c r="J115" s="95" t="n">
        <f aca="false">IF(AND(J39&gt;SenGrace,J39&lt;=SenTenor),PMT(SenRate*$B$11,SenTenor-SenGrace,-S_Tariff_Lo!$B$16)-J114,0)</f>
        <v>14409.0088555225</v>
      </c>
      <c r="K115" s="95" t="n">
        <f aca="false">IF(AND(K39&gt;SenGrace,K39&lt;=SenTenor),PMT(SenRate*$B$11,SenTenor-SenGrace,-S_Tariff_Lo!$B$16)-K114,0)</f>
        <v>15849.9097410747</v>
      </c>
      <c r="L115" s="95" t="n">
        <f aca="false">IF(AND(L39&gt;SenGrace,L39&lt;=SenTenor),PMT(SenRate*$B$11,SenTenor-SenGrace,-S_Tariff_Lo!$B$16)-L114,0)</f>
        <v>17434.9007151822</v>
      </c>
      <c r="M115" s="95" t="n">
        <f aca="false">IF(AND(M39&gt;SenGrace,M39&lt;=SenTenor),PMT(SenRate*$B$11,SenTenor-SenGrace,-S_Tariff_Lo!$B$16)-M114,0)</f>
        <v>19178.3907867004</v>
      </c>
      <c r="N115" s="95" t="n">
        <f aca="false">IF(AND(N39&gt;SenGrace,N39&lt;=SenTenor),PMT(SenRate*$B$11,SenTenor-SenGrace,-S_Tariff_Lo!$B$16)-N114,0)</f>
        <v>0</v>
      </c>
      <c r="O115" s="95" t="n">
        <f aca="false">IF(AND(O39&gt;SenGrace,O39&lt;=SenTenor),PMT(SenRate*$B$11,SenTenor-SenGrace,-S_Tariff_Lo!$B$16)-O114,0)</f>
        <v>0</v>
      </c>
      <c r="P115" s="95" t="n">
        <f aca="false">IF(AND(P39&gt;SenGrace,P39&lt;=SenTenor),PMT(SenRate*$B$11,SenTenor-SenGrace,-S_Tariff_Lo!$B$16)-P114,0)</f>
        <v>0</v>
      </c>
      <c r="Q115" s="95" t="n">
        <f aca="false">IF(AND(Q39&gt;SenGrace,Q39&lt;=SenTenor),PMT(SenRate*$B$11,SenTenor-SenGrace,-S_Tariff_Lo!$B$16)-Q114,0)</f>
        <v>0</v>
      </c>
      <c r="R115" s="95" t="n">
        <f aca="false">IF(AND(R39&gt;SenGrace,R39&lt;=SenTenor),PMT(SenRate*$B$11,SenTenor-SenGrace,-S_Tariff_Lo!$B$16)-R114,0)</f>
        <v>0</v>
      </c>
      <c r="S115" s="95" t="n">
        <f aca="false">IF(AND(S39&gt;SenGrace,S39&lt;=SenTenor),PMT(SenRate*$B$11,SenTenor-SenGrace,-S_Tariff_Lo!$B$16)-S114,0)</f>
        <v>0</v>
      </c>
      <c r="T115" s="95" t="n">
        <f aca="false">IF(AND(T39&gt;SenGrace,T39&lt;=SenTenor),PMT(SenRate*$B$11,SenTenor-SenGrace,-S_Tariff_Lo!$B$16)-T114,0)</f>
        <v>0</v>
      </c>
      <c r="U115" s="95" t="n">
        <f aca="false">IF(AND(U39&gt;SenGrace,U39&lt;=SenTenor),PMT(SenRate*$B$11,SenTenor-SenGrace,-S_Tariff_Lo!$B$16)-U114,0)</f>
        <v>0</v>
      </c>
      <c r="V115" s="95" t="n">
        <f aca="false">IF(AND(V39&gt;SenGrace,V39&lt;=SenTenor),PMT(SenRate*$B$11,SenTenor-SenGrace,-S_Tariff_Lo!$B$16)-V114,0)</f>
        <v>0</v>
      </c>
      <c r="W115" s="95" t="n">
        <f aca="false">IF(AND(W39&gt;SenGrace,W39&lt;=SenTenor),PMT(SenRate*$B$11,SenTenor-SenGrace,-S_Tariff_Lo!$B$16)-W114,0)</f>
        <v>0</v>
      </c>
    </row>
    <row r="116" customFormat="false" ht="15" hidden="false" customHeight="false" outlineLevel="0" collapsed="false">
      <c r="A116" s="11" t="s">
        <v>458</v>
      </c>
      <c r="C116" s="95" t="n">
        <f aca="false">0+C113-0</f>
        <v>112546.829385741</v>
      </c>
      <c r="D116" s="95" t="n">
        <f aca="false">D112+D113-D115</f>
        <v>112546.829385741</v>
      </c>
      <c r="E116" s="95" t="n">
        <f aca="false">E112+E113-E115</f>
        <v>112546.829385741</v>
      </c>
      <c r="F116" s="95" t="n">
        <f aca="false">F112+F113-F115</f>
        <v>102705.282458945</v>
      </c>
      <c r="G116" s="95" t="n">
        <f aca="false">G112+G113-G115</f>
        <v>91879.5808394692</v>
      </c>
      <c r="H116" s="95" t="n">
        <f aca="false">H112+H113-H115</f>
        <v>79971.3090580457</v>
      </c>
      <c r="I116" s="95" t="n">
        <f aca="false">I112+I113-I115</f>
        <v>66872.2100984798</v>
      </c>
      <c r="J116" s="95" t="n">
        <f aca="false">J112+J113-J115</f>
        <v>52463.2012429573</v>
      </c>
      <c r="K116" s="95" t="n">
        <f aca="false">K112+K113-K115</f>
        <v>36613.2915018826</v>
      </c>
      <c r="L116" s="95" t="n">
        <f aca="false">L112+L113-L115</f>
        <v>19178.3907867004</v>
      </c>
      <c r="M116" s="95" t="n">
        <f aca="false">M112+M113-M115</f>
        <v>0</v>
      </c>
      <c r="N116" s="95" t="n">
        <f aca="false">N112+N113-N115</f>
        <v>0</v>
      </c>
      <c r="O116" s="95" t="n">
        <f aca="false">O112+O113-O115</f>
        <v>0</v>
      </c>
      <c r="P116" s="95" t="n">
        <f aca="false">P112+P113-P115</f>
        <v>0</v>
      </c>
      <c r="Q116" s="95" t="n">
        <f aca="false">Q112+Q113-Q115</f>
        <v>0</v>
      </c>
      <c r="R116" s="95" t="n">
        <f aca="false">R112+R113-R115</f>
        <v>0</v>
      </c>
      <c r="S116" s="95" t="n">
        <f aca="false">S112+S113-S115</f>
        <v>0</v>
      </c>
      <c r="T116" s="95" t="n">
        <f aca="false">T112+T113-T115</f>
        <v>0</v>
      </c>
      <c r="U116" s="95" t="n">
        <f aca="false">U112+U113-U115</f>
        <v>0</v>
      </c>
      <c r="V116" s="95" t="n">
        <f aca="false">V112+V113-V115</f>
        <v>0</v>
      </c>
      <c r="W116" s="95" t="n">
        <f aca="false">W112+W113-W115</f>
        <v>0</v>
      </c>
    </row>
    <row r="118" customFormat="false" ht="15" hidden="false" customHeight="false" outlineLevel="0" collapsed="false">
      <c r="A118" s="9" t="s">
        <v>459</v>
      </c>
      <c r="B118" s="10"/>
      <c r="C118" s="10"/>
      <c r="D118" s="10"/>
      <c r="E118" s="10"/>
      <c r="F118" s="10"/>
      <c r="G118" s="10"/>
      <c r="H118" s="10"/>
      <c r="I118" s="10"/>
      <c r="J118" s="10"/>
      <c r="K118" s="10"/>
      <c r="L118" s="10"/>
      <c r="M118" s="10"/>
      <c r="N118" s="10"/>
      <c r="O118" s="10"/>
      <c r="P118" s="10"/>
      <c r="Q118" s="10"/>
      <c r="R118" s="10"/>
      <c r="S118" s="10"/>
      <c r="T118" s="10"/>
      <c r="U118" s="10"/>
      <c r="V118" s="10"/>
      <c r="W118" s="10"/>
    </row>
    <row r="119" customFormat="false" ht="15" hidden="false" customHeight="false" outlineLevel="0" collapsed="false">
      <c r="A119" s="11" t="s">
        <v>454</v>
      </c>
      <c r="C119" s="95" t="n">
        <v>0</v>
      </c>
      <c r="D119" s="95" t="n">
        <f aca="false">C123</f>
        <v>112546.829385741</v>
      </c>
      <c r="E119" s="95" t="n">
        <f aca="false">D123</f>
        <v>112546.829385741</v>
      </c>
      <c r="F119" s="95" t="n">
        <f aca="false">E123</f>
        <v>112546.829385741</v>
      </c>
      <c r="G119" s="95" t="n">
        <f aca="false">F123</f>
        <v>112546.829385741</v>
      </c>
      <c r="H119" s="95" t="n">
        <f aca="false">G123</f>
        <v>112546.829385741</v>
      </c>
      <c r="I119" s="95" t="n">
        <f aca="false">H123</f>
        <v>112546.829385741</v>
      </c>
      <c r="J119" s="95" t="n">
        <f aca="false">I123</f>
        <v>102729.312441619</v>
      </c>
      <c r="K119" s="95" t="n">
        <f aca="false">J123</f>
        <v>92617.2699891724</v>
      </c>
      <c r="L119" s="95" t="n">
        <f aca="false">K123</f>
        <v>82201.8662631527</v>
      </c>
      <c r="M119" s="95" t="n">
        <f aca="false">L123</f>
        <v>71474.0004253523</v>
      </c>
      <c r="N119" s="95" t="n">
        <f aca="false">M123</f>
        <v>60424.2986124179</v>
      </c>
      <c r="O119" s="95" t="n">
        <f aca="false">N123</f>
        <v>49043.1057450955</v>
      </c>
      <c r="P119" s="95" t="n">
        <f aca="false">O123</f>
        <v>37320.4770917535</v>
      </c>
      <c r="Q119" s="95" t="n">
        <f aca="false">P123</f>
        <v>25246.1695788111</v>
      </c>
      <c r="R119" s="95" t="n">
        <f aca="false">Q123</f>
        <v>12809.6328404805</v>
      </c>
      <c r="S119" s="95" t="n">
        <f aca="false">R123</f>
        <v>0</v>
      </c>
      <c r="T119" s="95" t="n">
        <f aca="false">S123</f>
        <v>0</v>
      </c>
      <c r="U119" s="95" t="n">
        <f aca="false">T123</f>
        <v>0</v>
      </c>
      <c r="V119" s="95" t="n">
        <f aca="false">U123</f>
        <v>0</v>
      </c>
      <c r="W119" s="95" t="n">
        <f aca="false">V123</f>
        <v>0</v>
      </c>
    </row>
    <row r="120" customFormat="false" ht="15" hidden="false" customHeight="false" outlineLevel="0" collapsed="false">
      <c r="A120" s="11" t="s">
        <v>455</v>
      </c>
      <c r="B120" s="66" t="n">
        <f aca="false">SUM(C120:W120)</f>
        <v>112546.829385741</v>
      </c>
      <c r="C120" s="95" t="n">
        <f aca="false">S_Tariff_Lo!$B$17</f>
        <v>112546.829385741</v>
      </c>
      <c r="D120" s="95" t="n">
        <f aca="false">0</f>
        <v>0</v>
      </c>
      <c r="E120" s="95" t="n">
        <f aca="false">0</f>
        <v>0</v>
      </c>
      <c r="F120" s="95" t="n">
        <f aca="false">0</f>
        <v>0</v>
      </c>
      <c r="G120" s="95" t="n">
        <f aca="false">0</f>
        <v>0</v>
      </c>
      <c r="H120" s="95" t="n">
        <f aca="false">0</f>
        <v>0</v>
      </c>
      <c r="I120" s="95" t="n">
        <f aca="false">0</f>
        <v>0</v>
      </c>
      <c r="J120" s="95" t="n">
        <f aca="false">0</f>
        <v>0</v>
      </c>
      <c r="K120" s="95" t="n">
        <f aca="false">0</f>
        <v>0</v>
      </c>
      <c r="L120" s="95" t="n">
        <f aca="false">0</f>
        <v>0</v>
      </c>
      <c r="M120" s="95" t="n">
        <f aca="false">0</f>
        <v>0</v>
      </c>
      <c r="N120" s="95" t="n">
        <f aca="false">0</f>
        <v>0</v>
      </c>
      <c r="O120" s="95" t="n">
        <f aca="false">0</f>
        <v>0</v>
      </c>
      <c r="P120" s="95" t="n">
        <f aca="false">0</f>
        <v>0</v>
      </c>
      <c r="Q120" s="95" t="n">
        <f aca="false">0</f>
        <v>0</v>
      </c>
      <c r="R120" s="95" t="n">
        <f aca="false">0</f>
        <v>0</v>
      </c>
      <c r="S120" s="95" t="n">
        <f aca="false">0</f>
        <v>0</v>
      </c>
      <c r="T120" s="95" t="n">
        <f aca="false">0</f>
        <v>0</v>
      </c>
      <c r="U120" s="95" t="n">
        <f aca="false">0</f>
        <v>0</v>
      </c>
      <c r="V120" s="95" t="n">
        <f aca="false">0</f>
        <v>0</v>
      </c>
      <c r="W120" s="95" t="n">
        <f aca="false">0</f>
        <v>0</v>
      </c>
    </row>
    <row r="121" customFormat="false" ht="15" hidden="false" customHeight="false" outlineLevel="0" collapsed="false">
      <c r="A121" s="11" t="s">
        <v>456</v>
      </c>
      <c r="B121" s="66" t="n">
        <f aca="false">SUM(C121:W121)</f>
        <v>36274.4132790691</v>
      </c>
      <c r="C121" s="95" t="n">
        <v>0</v>
      </c>
      <c r="D121" s="95" t="n">
        <f aca="false">D119*ConRate*$B$11</f>
        <v>3376.40488157224</v>
      </c>
      <c r="E121" s="95" t="n">
        <f aca="false">E119*ConRate*$B$11</f>
        <v>3376.40488157224</v>
      </c>
      <c r="F121" s="95" t="n">
        <f aca="false">F119*ConRate*$B$11</f>
        <v>3376.40488157224</v>
      </c>
      <c r="G121" s="95" t="n">
        <f aca="false">G119*ConRate*$B$11</f>
        <v>3376.40488157224</v>
      </c>
      <c r="H121" s="95" t="n">
        <f aca="false">H119*ConRate*$B$11</f>
        <v>3376.40488157224</v>
      </c>
      <c r="I121" s="95" t="n">
        <f aca="false">I119*ConRate*$B$11</f>
        <v>3376.40488157224</v>
      </c>
      <c r="J121" s="95" t="n">
        <f aca="false">J119*ConRate*$B$11</f>
        <v>3081.87937324856</v>
      </c>
      <c r="K121" s="95" t="n">
        <f aca="false">K119*ConRate*$B$11</f>
        <v>2778.51809967517</v>
      </c>
      <c r="L121" s="95" t="n">
        <f aca="false">L119*ConRate*$B$11</f>
        <v>2466.05598789458</v>
      </c>
      <c r="M121" s="95" t="n">
        <f aca="false">M119*ConRate*$B$11</f>
        <v>2144.22001276057</v>
      </c>
      <c r="N121" s="95" t="n">
        <f aca="false">N119*ConRate*$B$11</f>
        <v>1812.72895837254</v>
      </c>
      <c r="O121" s="95" t="n">
        <f aca="false">O119*ConRate*$B$11</f>
        <v>1471.29317235287</v>
      </c>
      <c r="P121" s="95" t="n">
        <f aca="false">P119*ConRate*$B$11</f>
        <v>1119.6143127526</v>
      </c>
      <c r="Q121" s="95" t="n">
        <f aca="false">Q119*ConRate*$B$11</f>
        <v>757.385087364333</v>
      </c>
      <c r="R121" s="95" t="n">
        <f aca="false">R119*ConRate*$B$11</f>
        <v>384.288985214415</v>
      </c>
      <c r="S121" s="95" t="n">
        <f aca="false">S119*ConRate*$B$11</f>
        <v>0</v>
      </c>
      <c r="T121" s="95" t="n">
        <f aca="false">T119*ConRate*$B$11</f>
        <v>0</v>
      </c>
      <c r="U121" s="95" t="n">
        <f aca="false">U119*ConRate*$B$11</f>
        <v>0</v>
      </c>
      <c r="V121" s="95" t="n">
        <f aca="false">V119*ConRate*$B$11</f>
        <v>0</v>
      </c>
      <c r="W121" s="95" t="n">
        <f aca="false">W119*ConRate*$B$11</f>
        <v>0</v>
      </c>
    </row>
    <row r="122" customFormat="false" ht="15" hidden="false" customHeight="false" outlineLevel="0" collapsed="false">
      <c r="A122" s="11" t="s">
        <v>457</v>
      </c>
      <c r="B122" s="66" t="n">
        <f aca="false">SUM(C122:W122)</f>
        <v>112546.829385742</v>
      </c>
      <c r="C122" s="95" t="n">
        <v>0</v>
      </c>
      <c r="D122" s="95" t="n">
        <f aca="false">IF(AND(D39&gt;ConGrace,D39&lt;=ConTenor),PMT(ConRate*$B$11,ConTenor-ConGrace,-S_Tariff_Lo!$B$17)-D121,0)</f>
        <v>0</v>
      </c>
      <c r="E122" s="95" t="n">
        <f aca="false">IF(AND(E39&gt;ConGrace,E39&lt;=ConTenor),PMT(ConRate*$B$11,ConTenor-ConGrace,-S_Tariff_Lo!$B$17)-E121,0)</f>
        <v>0</v>
      </c>
      <c r="F122" s="95" t="n">
        <f aca="false">IF(AND(F39&gt;ConGrace,F39&lt;=ConTenor),PMT(ConRate*$B$11,ConTenor-ConGrace,-S_Tariff_Lo!$B$17)-F121,0)</f>
        <v>0</v>
      </c>
      <c r="G122" s="95" t="n">
        <f aca="false">IF(AND(G39&gt;ConGrace,G39&lt;=ConTenor),PMT(ConRate*$B$11,ConTenor-ConGrace,-S_Tariff_Lo!$B$17)-G121,0)</f>
        <v>0</v>
      </c>
      <c r="H122" s="95" t="n">
        <f aca="false">IF(AND(H39&gt;ConGrace,H39&lt;=ConTenor),PMT(ConRate*$B$11,ConTenor-ConGrace,-S_Tariff_Lo!$B$17)-H121,0)</f>
        <v>0</v>
      </c>
      <c r="I122" s="95" t="n">
        <f aca="false">IF(AND(I39&gt;ConGrace,I39&lt;=ConTenor),PMT(ConRate*$B$11,ConTenor-ConGrace,-S_Tariff_Lo!$B$17)-I121,0)</f>
        <v>9817.51694412269</v>
      </c>
      <c r="J122" s="95" t="n">
        <f aca="false">IF(AND(J39&gt;ConGrace,J39&lt;=ConTenor),PMT(ConRate*$B$11,ConTenor-ConGrace,-S_Tariff_Lo!$B$17)-J121,0)</f>
        <v>10112.0424524464</v>
      </c>
      <c r="K122" s="95" t="n">
        <f aca="false">IF(AND(K39&gt;ConGrace,K39&lt;=ConTenor),PMT(ConRate*$B$11,ConTenor-ConGrace,-S_Tariff_Lo!$B$17)-K121,0)</f>
        <v>10415.4037260198</v>
      </c>
      <c r="L122" s="95" t="n">
        <f aca="false">IF(AND(L39&gt;ConGrace,L39&lt;=ConTenor),PMT(ConRate*$B$11,ConTenor-ConGrace,-S_Tariff_Lo!$B$17)-L121,0)</f>
        <v>10727.8658378004</v>
      </c>
      <c r="M122" s="95" t="n">
        <f aca="false">IF(AND(M39&gt;ConGrace,M39&lt;=ConTenor),PMT(ConRate*$B$11,ConTenor-ConGrace,-S_Tariff_Lo!$B$17)-M121,0)</f>
        <v>11049.7018129344</v>
      </c>
      <c r="N122" s="95" t="n">
        <f aca="false">IF(AND(N39&gt;ConGrace,N39&lt;=ConTenor),PMT(ConRate*$B$11,ConTenor-ConGrace,-S_Tariff_Lo!$B$17)-N121,0)</f>
        <v>11381.1928673224</v>
      </c>
      <c r="O122" s="95" t="n">
        <f aca="false">IF(AND(O39&gt;ConGrace,O39&lt;=ConTenor),PMT(ConRate*$B$11,ConTenor-ConGrace,-S_Tariff_Lo!$B$17)-O121,0)</f>
        <v>11722.6286533421</v>
      </c>
      <c r="P122" s="95" t="n">
        <f aca="false">IF(AND(P39&gt;ConGrace,P39&lt;=ConTenor),PMT(ConRate*$B$11,ConTenor-ConGrace,-S_Tariff_Lo!$B$17)-P121,0)</f>
        <v>12074.3075129423</v>
      </c>
      <c r="Q122" s="95" t="n">
        <f aca="false">IF(AND(Q39&gt;ConGrace,Q39&lt;=ConTenor),PMT(ConRate*$B$11,ConTenor-ConGrace,-S_Tariff_Lo!$B$17)-Q121,0)</f>
        <v>12436.5367383306</v>
      </c>
      <c r="R122" s="95" t="n">
        <f aca="false">IF(AND(R39&gt;ConGrace,R39&lt;=ConTenor),PMT(ConRate*$B$11,ConTenor-ConGrace,-S_Tariff_Lo!$B$17)-R121,0)</f>
        <v>12809.6328404805</v>
      </c>
      <c r="S122" s="95" t="n">
        <f aca="false">IF(AND(S39&gt;ConGrace,S39&lt;=ConTenor),PMT(ConRate*$B$11,ConTenor-ConGrace,-S_Tariff_Lo!$B$17)-S121,0)</f>
        <v>0</v>
      </c>
      <c r="T122" s="95" t="n">
        <f aca="false">IF(AND(T39&gt;ConGrace,T39&lt;=ConTenor),PMT(ConRate*$B$11,ConTenor-ConGrace,-S_Tariff_Lo!$B$17)-T121,0)</f>
        <v>0</v>
      </c>
      <c r="U122" s="95" t="n">
        <f aca="false">IF(AND(U39&gt;ConGrace,U39&lt;=ConTenor),PMT(ConRate*$B$11,ConTenor-ConGrace,-S_Tariff_Lo!$B$17)-U121,0)</f>
        <v>0</v>
      </c>
      <c r="V122" s="95" t="n">
        <f aca="false">IF(AND(V39&gt;ConGrace,V39&lt;=ConTenor),PMT(ConRate*$B$11,ConTenor-ConGrace,-S_Tariff_Lo!$B$17)-V121,0)</f>
        <v>0</v>
      </c>
      <c r="W122" s="95" t="n">
        <f aca="false">IF(AND(W39&gt;ConGrace,W39&lt;=ConTenor),PMT(ConRate*$B$11,ConTenor-ConGrace,-S_Tariff_Lo!$B$17)-W121,0)</f>
        <v>0</v>
      </c>
    </row>
    <row r="123" customFormat="false" ht="15" hidden="false" customHeight="false" outlineLevel="0" collapsed="false">
      <c r="A123" s="11" t="s">
        <v>458</v>
      </c>
      <c r="C123" s="95" t="n">
        <f aca="false">0+C120-0</f>
        <v>112546.829385741</v>
      </c>
      <c r="D123" s="95" t="n">
        <f aca="false">D119+D120-D122</f>
        <v>112546.829385741</v>
      </c>
      <c r="E123" s="95" t="n">
        <f aca="false">E119+E120-E122</f>
        <v>112546.829385741</v>
      </c>
      <c r="F123" s="95" t="n">
        <f aca="false">F119+F120-F122</f>
        <v>112546.829385741</v>
      </c>
      <c r="G123" s="95" t="n">
        <f aca="false">G119+G120-G122</f>
        <v>112546.829385741</v>
      </c>
      <c r="H123" s="95" t="n">
        <f aca="false">H119+H120-H122</f>
        <v>112546.829385741</v>
      </c>
      <c r="I123" s="95" t="n">
        <f aca="false">I119+I120-I122</f>
        <v>102729.312441619</v>
      </c>
      <c r="J123" s="95" t="n">
        <f aca="false">J119+J120-J122</f>
        <v>92617.2699891724</v>
      </c>
      <c r="K123" s="95" t="n">
        <f aca="false">K119+K120-K122</f>
        <v>82201.8662631527</v>
      </c>
      <c r="L123" s="95" t="n">
        <f aca="false">L119+L120-L122</f>
        <v>71474.0004253523</v>
      </c>
      <c r="M123" s="95" t="n">
        <f aca="false">M119+M120-M122</f>
        <v>60424.2986124179</v>
      </c>
      <c r="N123" s="95" t="n">
        <f aca="false">N119+N120-N122</f>
        <v>49043.1057450955</v>
      </c>
      <c r="O123" s="95" t="n">
        <f aca="false">O119+O120-O122</f>
        <v>37320.4770917535</v>
      </c>
      <c r="P123" s="95" t="n">
        <f aca="false">P119+P120-P122</f>
        <v>25246.1695788111</v>
      </c>
      <c r="Q123" s="95" t="n">
        <f aca="false">Q119+Q120-Q122</f>
        <v>12809.6328404805</v>
      </c>
      <c r="R123" s="95" t="n">
        <f aca="false">R119+R120-R122</f>
        <v>0</v>
      </c>
      <c r="S123" s="95" t="n">
        <f aca="false">S119+S120-S122</f>
        <v>0</v>
      </c>
      <c r="T123" s="95" t="n">
        <f aca="false">T119+T120-T122</f>
        <v>0</v>
      </c>
      <c r="U123" s="95" t="n">
        <f aca="false">U119+U120-U122</f>
        <v>0</v>
      </c>
      <c r="V123" s="95" t="n">
        <f aca="false">V119+V120-V122</f>
        <v>0</v>
      </c>
      <c r="W123" s="95" t="n">
        <f aca="false">W119+W120-W122</f>
        <v>0</v>
      </c>
    </row>
    <row r="125" customFormat="false" ht="15" hidden="false" customHeight="false" outlineLevel="0" collapsed="false">
      <c r="A125" s="16" t="s">
        <v>460</v>
      </c>
      <c r="B125" s="66" t="n">
        <f aca="false">SUM(C125:W125)</f>
        <v>340100.447464923</v>
      </c>
      <c r="C125" s="31" t="n">
        <v>0</v>
      </c>
      <c r="D125" s="31" t="n">
        <f aca="false">D114+D115+D121+D122</f>
        <v>14631.0878201464</v>
      </c>
      <c r="E125" s="31" t="n">
        <f aca="false">E114+E115+E121+E122</f>
        <v>14631.0878201464</v>
      </c>
      <c r="F125" s="31" t="n">
        <f aca="false">F114+F115+F121+F122</f>
        <v>24472.6347469427</v>
      </c>
      <c r="G125" s="31" t="n">
        <f aca="false">G114+G115+G121+G122</f>
        <v>24472.6347469427</v>
      </c>
      <c r="H125" s="31" t="n">
        <f aca="false">H114+H115+H121+H122</f>
        <v>24472.6347469427</v>
      </c>
      <c r="I125" s="31" t="n">
        <f aca="false">I114+I115+I121+I122</f>
        <v>34290.1516910654</v>
      </c>
      <c r="J125" s="31" t="n">
        <f aca="false">J114+J115+J121+J122</f>
        <v>34290.1516910654</v>
      </c>
      <c r="K125" s="31" t="n">
        <f aca="false">K114+K115+K121+K122</f>
        <v>34290.1516910654</v>
      </c>
      <c r="L125" s="31" t="n">
        <f aca="false">L114+L115+L121+L122</f>
        <v>34290.1516910654</v>
      </c>
      <c r="M125" s="31" t="n">
        <f aca="false">M114+M115+M121+M122</f>
        <v>34290.1516910654</v>
      </c>
      <c r="N125" s="31" t="n">
        <f aca="false">N114+N115+N121+N122</f>
        <v>13193.9218256949</v>
      </c>
      <c r="O125" s="31" t="n">
        <f aca="false">O114+O115+O121+O122</f>
        <v>13193.9218256949</v>
      </c>
      <c r="P125" s="31" t="n">
        <f aca="false">P114+P115+P121+P122</f>
        <v>13193.9218256949</v>
      </c>
      <c r="Q125" s="31" t="n">
        <f aca="false">Q114+Q115+Q121+Q122</f>
        <v>13193.9218256949</v>
      </c>
      <c r="R125" s="31" t="n">
        <f aca="false">R114+R115+R121+R122</f>
        <v>13193.9218256949</v>
      </c>
      <c r="S125" s="31" t="n">
        <f aca="false">S114+S115+S121+S122</f>
        <v>0</v>
      </c>
      <c r="T125" s="31" t="n">
        <f aca="false">T114+T115+T121+T122</f>
        <v>0</v>
      </c>
      <c r="U125" s="31" t="n">
        <f aca="false">U114+U115+U121+U122</f>
        <v>0</v>
      </c>
      <c r="V125" s="31" t="n">
        <f aca="false">V114+V115+V121+V122</f>
        <v>0</v>
      </c>
      <c r="W125" s="31" t="n">
        <f aca="false">W114+W115+W121+W122</f>
        <v>0</v>
      </c>
    </row>
    <row r="126" customFormat="false" ht="15" hidden="false" customHeight="false" outlineLevel="0" collapsed="false">
      <c r="A126" s="11" t="s">
        <v>461</v>
      </c>
      <c r="C126" s="96" t="n">
        <v>0</v>
      </c>
      <c r="D126" s="96" t="n">
        <f aca="false">IF(D39&lt;=SenGrace,SenRate*$B$11,IF(D39&lt;=SenTenor,PMT(SenRate*$B$11,SenTenor-SenGrace,-1),0))</f>
        <v>0.1</v>
      </c>
      <c r="E126" s="96" t="n">
        <f aca="false">IF(E39&lt;=SenGrace,SenRate*$B$11,IF(E39&lt;=SenTenor,PMT(SenRate*$B$11,SenTenor-SenGrace,-1),0))</f>
        <v>0.1</v>
      </c>
      <c r="F126" s="96" t="n">
        <f aca="false">IF(F39&lt;=SenGrace,SenRate*$B$11,IF(F39&lt;=SenTenor,PMT(SenRate*$B$11,SenTenor-SenGrace,-1),0))</f>
        <v>0.187444017574813</v>
      </c>
      <c r="G126" s="96" t="n">
        <f aca="false">IF(G39&lt;=SenGrace,SenRate*$B$11,IF(G39&lt;=SenTenor,PMT(SenRate*$B$11,SenTenor-SenGrace,-1),0))</f>
        <v>0.187444017574813</v>
      </c>
      <c r="H126" s="96" t="n">
        <f aca="false">IF(H39&lt;=SenGrace,SenRate*$B$11,IF(H39&lt;=SenTenor,PMT(SenRate*$B$11,SenTenor-SenGrace,-1),0))</f>
        <v>0.187444017574813</v>
      </c>
      <c r="I126" s="96" t="n">
        <f aca="false">IF(I39&lt;=SenGrace,SenRate*$B$11,IF(I39&lt;=SenTenor,PMT(SenRate*$B$11,SenTenor-SenGrace,-1),0))</f>
        <v>0.187444017574813</v>
      </c>
      <c r="J126" s="96" t="n">
        <f aca="false">IF(J39&lt;=SenGrace,SenRate*$B$11,IF(J39&lt;=SenTenor,PMT(SenRate*$B$11,SenTenor-SenGrace,-1),0))</f>
        <v>0.187444017574813</v>
      </c>
      <c r="K126" s="96" t="n">
        <f aca="false">IF(K39&lt;=SenGrace,SenRate*$B$11,IF(K39&lt;=SenTenor,PMT(SenRate*$B$11,SenTenor-SenGrace,-1),0))</f>
        <v>0.187444017574813</v>
      </c>
      <c r="L126" s="96" t="n">
        <f aca="false">IF(L39&lt;=SenGrace,SenRate*$B$11,IF(L39&lt;=SenTenor,PMT(SenRate*$B$11,SenTenor-SenGrace,-1),0))</f>
        <v>0.187444017574813</v>
      </c>
      <c r="M126" s="96" t="n">
        <f aca="false">IF(M39&lt;=SenGrace,SenRate*$B$11,IF(M39&lt;=SenTenor,PMT(SenRate*$B$11,SenTenor-SenGrace,-1),0))</f>
        <v>0.187444017574813</v>
      </c>
      <c r="N126" s="96" t="n">
        <f aca="false">IF(N39&lt;=SenGrace,SenRate*$B$11,IF(N39&lt;=SenTenor,PMT(SenRate*$B$11,SenTenor-SenGrace,-1),0))</f>
        <v>0</v>
      </c>
      <c r="O126" s="96" t="n">
        <f aca="false">IF(O39&lt;=SenGrace,SenRate*$B$11,IF(O39&lt;=SenTenor,PMT(SenRate*$B$11,SenTenor-SenGrace,-1),0))</f>
        <v>0</v>
      </c>
      <c r="P126" s="96" t="n">
        <f aca="false">IF(P39&lt;=SenGrace,SenRate*$B$11,IF(P39&lt;=SenTenor,PMT(SenRate*$B$11,SenTenor-SenGrace,-1),0))</f>
        <v>0</v>
      </c>
      <c r="Q126" s="96" t="n">
        <f aca="false">IF(Q39&lt;=SenGrace,SenRate*$B$11,IF(Q39&lt;=SenTenor,PMT(SenRate*$B$11,SenTenor-SenGrace,-1),0))</f>
        <v>0</v>
      </c>
      <c r="R126" s="96" t="n">
        <f aca="false">IF(R39&lt;=SenGrace,SenRate*$B$11,IF(R39&lt;=SenTenor,PMT(SenRate*$B$11,SenTenor-SenGrace,-1),0))</f>
        <v>0</v>
      </c>
      <c r="S126" s="96" t="n">
        <f aca="false">IF(S39&lt;=SenGrace,SenRate*$B$11,IF(S39&lt;=SenTenor,PMT(SenRate*$B$11,SenTenor-SenGrace,-1),0))</f>
        <v>0</v>
      </c>
      <c r="T126" s="96" t="n">
        <f aca="false">IF(T39&lt;=SenGrace,SenRate*$B$11,IF(T39&lt;=SenTenor,PMT(SenRate*$B$11,SenTenor-SenGrace,-1),0))</f>
        <v>0</v>
      </c>
      <c r="U126" s="96" t="n">
        <f aca="false">IF(U39&lt;=SenGrace,SenRate*$B$11,IF(U39&lt;=SenTenor,PMT(SenRate*$B$11,SenTenor-SenGrace,-1),0))</f>
        <v>0</v>
      </c>
      <c r="V126" s="96" t="n">
        <f aca="false">IF(V39&lt;=SenGrace,SenRate*$B$11,IF(V39&lt;=SenTenor,PMT(SenRate*$B$11,SenTenor-SenGrace,-1),0))</f>
        <v>0</v>
      </c>
      <c r="W126" s="96" t="n">
        <f aca="false">IF(W39&lt;=SenGrace,SenRate*$B$11,IF(W39&lt;=SenTenor,PMT(SenRate*$B$11,SenTenor-SenGrace,-1),0))</f>
        <v>0</v>
      </c>
    </row>
    <row r="127" customFormat="false" ht="15" hidden="false" customHeight="false" outlineLevel="0" collapsed="false">
      <c r="A127" s="11" t="s">
        <v>462</v>
      </c>
      <c r="C127" s="95" t="n">
        <v>0</v>
      </c>
      <c r="D127" s="95" t="n">
        <f aca="false">IF(D126&gt;0,(D147/MinDSCR-D121-D122)/D126,1000000000000)</f>
        <v>949886.787176455</v>
      </c>
      <c r="E127" s="95" t="n">
        <f aca="false">IF(E126&gt;0,(E147/MinDSCR-E121-E122)/E126,1000000000000)</f>
        <v>409546.431276955</v>
      </c>
      <c r="F127" s="95" t="n">
        <f aca="false">IF(F126&gt;0,(F147/MinDSCR-F121-F122)/F126,1000000000000)</f>
        <v>175018.820730135</v>
      </c>
      <c r="G127" s="95" t="n">
        <f aca="false">IF(G126&gt;0,(G147/MinDSCR-G121-G122)/G126,1000000000000)</f>
        <v>27648.0357383256</v>
      </c>
      <c r="H127" s="95" t="n">
        <f aca="false">IF(H126&gt;0,(H147/MinDSCR-H121-H122)/H126,1000000000000)</f>
        <v>43383.8344223787</v>
      </c>
      <c r="I127" s="95" t="n">
        <f aca="false">IF(I126&gt;0,(I147/MinDSCR-I121-I122)/I126,1000000000000)</f>
        <v>7935.38120391454</v>
      </c>
      <c r="J127" s="95" t="n">
        <f aca="false">IF(J126&gt;0,(J147/MinDSCR-J121-J122)/J126,1000000000000)</f>
        <v>18426.17028722</v>
      </c>
      <c r="K127" s="95" t="n">
        <f aca="false">IF(K126&gt;0,(K147/MinDSCR-K121-K122)/K126,1000000000000)</f>
        <v>5146.04511365774</v>
      </c>
      <c r="L127" s="95" t="n">
        <f aca="false">IF(L126&gt;0,(L147/MinDSCR-L121-L122)/L126,1000000000000)</f>
        <v>-32195.5416209019</v>
      </c>
      <c r="M127" s="95" t="n">
        <f aca="false">IF(M126&gt;0,(M147/MinDSCR-M121-M122)/M126,1000000000000)</f>
        <v>-48287.1956213127</v>
      </c>
      <c r="N127" s="95" t="n">
        <f aca="false">IF(N126&gt;0,(N147/MinDSCR-N121-N122)/N126,1000000000000)</f>
        <v>1000000000000</v>
      </c>
      <c r="O127" s="95" t="n">
        <f aca="false">IF(O126&gt;0,(O147/MinDSCR-O121-O122)/O126,1000000000000)</f>
        <v>1000000000000</v>
      </c>
      <c r="P127" s="95" t="n">
        <f aca="false">IF(P126&gt;0,(P147/MinDSCR-P121-P122)/P126,1000000000000)</f>
        <v>1000000000000</v>
      </c>
      <c r="Q127" s="95" t="n">
        <f aca="false">IF(Q126&gt;0,(Q147/MinDSCR-Q121-Q122)/Q126,1000000000000)</f>
        <v>1000000000000</v>
      </c>
      <c r="R127" s="95" t="n">
        <f aca="false">IF(R126&gt;0,(R147/MinDSCR-R121-R122)/R126,1000000000000)</f>
        <v>1000000000000</v>
      </c>
      <c r="S127" s="95" t="n">
        <f aca="false">IF(S126&gt;0,(S147/MinDSCR-S121-S122)/S126,1000000000000)</f>
        <v>1000000000000</v>
      </c>
      <c r="T127" s="95" t="n">
        <f aca="false">IF(T126&gt;0,(T147/MinDSCR-T121-T122)/T126,1000000000000)</f>
        <v>1000000000000</v>
      </c>
      <c r="U127" s="95" t="n">
        <f aca="false">IF(U126&gt;0,(U147/MinDSCR-U121-U122)/U126,1000000000000)</f>
        <v>1000000000000</v>
      </c>
      <c r="V127" s="95" t="n">
        <f aca="false">IF(V126&gt;0,(V147/MinDSCR-V121-V122)/V126,1000000000000)</f>
        <v>1000000000000</v>
      </c>
      <c r="W127" s="95" t="n">
        <f aca="false">IF(W126&gt;0,(W147/MinDSCR-W121-W122)/W126,1000000000000)</f>
        <v>1000000000000</v>
      </c>
    </row>
    <row r="128" customFormat="false" ht="15" hidden="false" customHeight="false" outlineLevel="0" collapsed="false">
      <c r="A128" s="11" t="s">
        <v>463</v>
      </c>
      <c r="C128" s="95" t="n">
        <f aca="false">DSRAPct*D125</f>
        <v>7315.5439100732</v>
      </c>
      <c r="D128" s="95" t="n">
        <f aca="false">DSRAPct*E125</f>
        <v>7315.5439100732</v>
      </c>
      <c r="E128" s="95" t="n">
        <f aca="false">DSRAPct*F125</f>
        <v>12236.3173734714</v>
      </c>
      <c r="F128" s="95" t="n">
        <f aca="false">DSRAPct*G125</f>
        <v>12236.3173734714</v>
      </c>
      <c r="G128" s="95" t="n">
        <f aca="false">DSRAPct*H125</f>
        <v>12236.3173734714</v>
      </c>
      <c r="H128" s="95" t="n">
        <f aca="false">DSRAPct*I125</f>
        <v>17145.0758455327</v>
      </c>
      <c r="I128" s="95" t="n">
        <f aca="false">DSRAPct*J125</f>
        <v>17145.0758455327</v>
      </c>
      <c r="J128" s="95" t="n">
        <f aca="false">DSRAPct*K125</f>
        <v>17145.0758455327</v>
      </c>
      <c r="K128" s="95" t="n">
        <f aca="false">DSRAPct*L125</f>
        <v>17145.0758455327</v>
      </c>
      <c r="L128" s="95" t="n">
        <f aca="false">DSRAPct*M125</f>
        <v>17145.0758455327</v>
      </c>
      <c r="M128" s="95" t="n">
        <f aca="false">DSRAPct*N125</f>
        <v>6596.96091284747</v>
      </c>
      <c r="N128" s="95" t="n">
        <f aca="false">DSRAPct*O125</f>
        <v>6596.96091284747</v>
      </c>
      <c r="O128" s="95" t="n">
        <f aca="false">DSRAPct*P125</f>
        <v>6596.96091284747</v>
      </c>
      <c r="P128" s="95" t="n">
        <f aca="false">DSRAPct*Q125</f>
        <v>6596.96091284747</v>
      </c>
      <c r="Q128" s="95" t="n">
        <f aca="false">DSRAPct*R125</f>
        <v>6596.96091284747</v>
      </c>
      <c r="R128" s="95" t="n">
        <f aca="false">DSRAPct*S125</f>
        <v>0</v>
      </c>
      <c r="S128" s="95" t="n">
        <f aca="false">DSRAPct*T125</f>
        <v>0</v>
      </c>
      <c r="T128" s="95" t="n">
        <f aca="false">DSRAPct*U125</f>
        <v>0</v>
      </c>
      <c r="U128" s="95" t="n">
        <f aca="false">DSRAPct*V125</f>
        <v>0</v>
      </c>
      <c r="V128" s="95" t="n">
        <f aca="false">DSRAPct*W125</f>
        <v>0</v>
      </c>
      <c r="W128" s="95" t="n">
        <f aca="false">0</f>
        <v>0</v>
      </c>
    </row>
    <row r="129" customFormat="false" ht="15" hidden="false" customHeight="false" outlineLevel="0" collapsed="false">
      <c r="A129" s="11" t="s">
        <v>464</v>
      </c>
      <c r="B129" s="66" t="n">
        <f aca="false">SUM(C129:W129)</f>
        <v>0</v>
      </c>
      <c r="C129" s="95" t="n">
        <f aca="false">C128</f>
        <v>7315.5439100732</v>
      </c>
      <c r="D129" s="95" t="n">
        <f aca="false">D128-C128</f>
        <v>0</v>
      </c>
      <c r="E129" s="95" t="n">
        <f aca="false">E128-D128</f>
        <v>4920.77346339816</v>
      </c>
      <c r="F129" s="95" t="n">
        <f aca="false">F128-E128</f>
        <v>0</v>
      </c>
      <c r="G129" s="95" t="n">
        <f aca="false">G128-F128</f>
        <v>0</v>
      </c>
      <c r="H129" s="95" t="n">
        <f aca="false">H128-G128</f>
        <v>4908.75847206135</v>
      </c>
      <c r="I129" s="95" t="n">
        <f aca="false">I128-H128</f>
        <v>0</v>
      </c>
      <c r="J129" s="95" t="n">
        <f aca="false">J128-I128</f>
        <v>0</v>
      </c>
      <c r="K129" s="95" t="n">
        <f aca="false">K128-J128</f>
        <v>0</v>
      </c>
      <c r="L129" s="95" t="n">
        <f aca="false">L128-K128</f>
        <v>0</v>
      </c>
      <c r="M129" s="95" t="n">
        <f aca="false">M128-L128</f>
        <v>-10548.1149326852</v>
      </c>
      <c r="N129" s="95" t="n">
        <f aca="false">N128-M128</f>
        <v>0</v>
      </c>
      <c r="O129" s="95" t="n">
        <f aca="false">O128-N128</f>
        <v>0</v>
      </c>
      <c r="P129" s="95" t="n">
        <f aca="false">P128-O128</f>
        <v>0</v>
      </c>
      <c r="Q129" s="95" t="n">
        <f aca="false">Q128-P128</f>
        <v>0</v>
      </c>
      <c r="R129" s="95" t="n">
        <f aca="false">R128-Q128</f>
        <v>-6596.96091284747</v>
      </c>
      <c r="S129" s="95" t="n">
        <f aca="false">S128-R128</f>
        <v>0</v>
      </c>
      <c r="T129" s="95" t="n">
        <f aca="false">T128-S128</f>
        <v>0</v>
      </c>
      <c r="U129" s="95" t="n">
        <f aca="false">U128-T128</f>
        <v>0</v>
      </c>
      <c r="V129" s="95" t="n">
        <f aca="false">V128-U128</f>
        <v>0</v>
      </c>
      <c r="W129" s="95" t="n">
        <f aca="false">W128-V128</f>
        <v>0</v>
      </c>
    </row>
    <row r="131" customFormat="false" ht="15" hidden="false" customHeight="false" outlineLevel="0" collapsed="false">
      <c r="A131" s="9" t="s">
        <v>465</v>
      </c>
      <c r="B131" s="10"/>
      <c r="C131" s="10"/>
      <c r="D131" s="10"/>
      <c r="E131" s="10"/>
      <c r="F131" s="10"/>
      <c r="G131" s="10"/>
      <c r="H131" s="10"/>
      <c r="I131" s="10"/>
      <c r="J131" s="10"/>
      <c r="K131" s="10"/>
      <c r="L131" s="10"/>
      <c r="M131" s="10"/>
      <c r="N131" s="10"/>
      <c r="O131" s="10"/>
      <c r="P131" s="10"/>
      <c r="Q131" s="10"/>
      <c r="R131" s="10"/>
      <c r="S131" s="10"/>
      <c r="T131" s="10"/>
      <c r="U131" s="10"/>
      <c r="V131" s="10"/>
      <c r="W131" s="10"/>
    </row>
    <row r="132" customFormat="false" ht="15" hidden="false" customHeight="false" outlineLevel="0" collapsed="false">
      <c r="A132" s="11" t="s">
        <v>466</v>
      </c>
      <c r="B132" s="66" t="n">
        <f aca="false">SUM(C132:W132)</f>
        <v>1162734.14692871</v>
      </c>
      <c r="C132" s="95" t="n">
        <v>0</v>
      </c>
      <c r="D132" s="95" t="n">
        <f aca="false">IF(D39&lt;=MIN(DepYears,Life),S_Tariff_Lo!$B$14/DepYears,0)</f>
        <v>77515.6097952472</v>
      </c>
      <c r="E132" s="95" t="n">
        <f aca="false">IF(E39&lt;=MIN(DepYears,Life),S_Tariff_Lo!$B$14/DepYears,0)</f>
        <v>77515.6097952472</v>
      </c>
      <c r="F132" s="95" t="n">
        <f aca="false">IF(F39&lt;=MIN(DepYears,Life),S_Tariff_Lo!$B$14/DepYears,0)</f>
        <v>77515.6097952472</v>
      </c>
      <c r="G132" s="95" t="n">
        <f aca="false">IF(G39&lt;=MIN(DepYears,Life),S_Tariff_Lo!$B$14/DepYears,0)</f>
        <v>77515.6097952472</v>
      </c>
      <c r="H132" s="95" t="n">
        <f aca="false">IF(H39&lt;=MIN(DepYears,Life),S_Tariff_Lo!$B$14/DepYears,0)</f>
        <v>77515.6097952472</v>
      </c>
      <c r="I132" s="95" t="n">
        <f aca="false">IF(I39&lt;=MIN(DepYears,Life),S_Tariff_Lo!$B$14/DepYears,0)</f>
        <v>77515.6097952472</v>
      </c>
      <c r="J132" s="95" t="n">
        <f aca="false">IF(J39&lt;=MIN(DepYears,Life),S_Tariff_Lo!$B$14/DepYears,0)</f>
        <v>77515.6097952472</v>
      </c>
      <c r="K132" s="95" t="n">
        <f aca="false">IF(K39&lt;=MIN(DepYears,Life),S_Tariff_Lo!$B$14/DepYears,0)</f>
        <v>77515.6097952472</v>
      </c>
      <c r="L132" s="95" t="n">
        <f aca="false">IF(L39&lt;=MIN(DepYears,Life),S_Tariff_Lo!$B$14/DepYears,0)</f>
        <v>77515.6097952472</v>
      </c>
      <c r="M132" s="95" t="n">
        <f aca="false">IF(M39&lt;=MIN(DepYears,Life),S_Tariff_Lo!$B$14/DepYears,0)</f>
        <v>77515.6097952472</v>
      </c>
      <c r="N132" s="95" t="n">
        <f aca="false">IF(N39&lt;=MIN(DepYears,Life),S_Tariff_Lo!$B$14/DepYears,0)</f>
        <v>77515.6097952472</v>
      </c>
      <c r="O132" s="95" t="n">
        <f aca="false">IF(O39&lt;=MIN(DepYears,Life),S_Tariff_Lo!$B$14/DepYears,0)</f>
        <v>77515.6097952472</v>
      </c>
      <c r="P132" s="95" t="n">
        <f aca="false">IF(P39&lt;=MIN(DepYears,Life),S_Tariff_Lo!$B$14/DepYears,0)</f>
        <v>77515.6097952472</v>
      </c>
      <c r="Q132" s="95" t="n">
        <f aca="false">IF(Q39&lt;=MIN(DepYears,Life),S_Tariff_Lo!$B$14/DepYears,0)</f>
        <v>77515.6097952472</v>
      </c>
      <c r="R132" s="95" t="n">
        <f aca="false">IF(R39&lt;=MIN(DepYears,Life),S_Tariff_Lo!$B$14/DepYears,0)</f>
        <v>77515.6097952472</v>
      </c>
      <c r="S132" s="95" t="n">
        <f aca="false">IF(S39&lt;=MIN(DepYears,Life),S_Tariff_Lo!$B$14/DepYears,0)</f>
        <v>0</v>
      </c>
      <c r="T132" s="95" t="n">
        <f aca="false">IF(T39&lt;=MIN(DepYears,Life),S_Tariff_Lo!$B$14/DepYears,0)</f>
        <v>0</v>
      </c>
      <c r="U132" s="95" t="n">
        <f aca="false">IF(U39&lt;=MIN(DepYears,Life),S_Tariff_Lo!$B$14/DepYears,0)</f>
        <v>0</v>
      </c>
      <c r="V132" s="95" t="n">
        <f aca="false">IF(V39&lt;=MIN(DepYears,Life),S_Tariff_Lo!$B$14/DepYears,0)</f>
        <v>0</v>
      </c>
      <c r="W132" s="95" t="n">
        <f aca="false">IF(W39&lt;=MIN(DepYears,Life),S_Tariff_Lo!$B$14/DepYears,0)</f>
        <v>0</v>
      </c>
    </row>
    <row r="133" customFormat="false" ht="15" hidden="false" customHeight="false" outlineLevel="0" collapsed="false">
      <c r="A133" s="11" t="s">
        <v>467</v>
      </c>
      <c r="B133" s="66" t="n">
        <f aca="false">SUM(C133:W133)</f>
        <v>-860660.739083122</v>
      </c>
      <c r="C133" s="95" t="n">
        <v>0</v>
      </c>
      <c r="D133" s="95" t="n">
        <f aca="false">D98-D132</f>
        <v>-80103.0714031765</v>
      </c>
      <c r="E133" s="95" t="n">
        <f aca="false">E98-E132</f>
        <v>-62147.3176701114</v>
      </c>
      <c r="F133" s="95" t="n">
        <f aca="false">F98-F132</f>
        <v>-47540.2535545942</v>
      </c>
      <c r="G133" s="95" t="n">
        <f aca="false">G98-G132</f>
        <v>-45651.1571702187</v>
      </c>
      <c r="H133" s="95" t="n">
        <f aca="false">H98-H132</f>
        <v>-41816.7014476051</v>
      </c>
      <c r="I133" s="95" t="n">
        <f aca="false">I98-I132</f>
        <v>-37691.9100547519</v>
      </c>
      <c r="J133" s="95" t="n">
        <f aca="false">J98-J132</f>
        <v>-35135.5437054557</v>
      </c>
      <c r="K133" s="95" t="n">
        <f aca="false">K98-K132</f>
        <v>-38371.6077268133</v>
      </c>
      <c r="L133" s="95" t="n">
        <f aca="false">L98-L132</f>
        <v>-41938.6426816297</v>
      </c>
      <c r="M133" s="95" t="n">
        <f aca="false">M98-M132</f>
        <v>-45859.8122394687</v>
      </c>
      <c r="N133" s="95" t="n">
        <f aca="false">N98-N132</f>
        <v>-50159.7558824739</v>
      </c>
      <c r="O133" s="95" t="n">
        <f aca="false">O98-O132</f>
        <v>-54864.6801134425</v>
      </c>
      <c r="P133" s="95" t="n">
        <f aca="false">P98-P132</f>
        <v>-60002.4552429166</v>
      </c>
      <c r="Q133" s="95" t="n">
        <f aca="false">Q98-Q132</f>
        <v>-65602.7180953994</v>
      </c>
      <c r="R133" s="95" t="n">
        <f aca="false">R98-R132</f>
        <v>-71696.9809955238</v>
      </c>
      <c r="S133" s="95" t="n">
        <f aca="false">S98-S132</f>
        <v>-803.137621723145</v>
      </c>
      <c r="T133" s="95" t="n">
        <f aca="false">T98-T132</f>
        <v>-7988.02490500035</v>
      </c>
      <c r="U133" s="95" t="n">
        <f aca="false">U98-U132</f>
        <v>-15773.8944749298</v>
      </c>
      <c r="V133" s="95" t="n">
        <f aca="false">V98-V132</f>
        <v>-24200.9900149232</v>
      </c>
      <c r="W133" s="95" t="n">
        <f aca="false">W98-W132</f>
        <v>-33312.0840829644</v>
      </c>
    </row>
    <row r="134" customFormat="false" ht="15" hidden="false" customHeight="false" outlineLevel="0" collapsed="false">
      <c r="A134" s="11" t="s">
        <v>468</v>
      </c>
      <c r="C134" s="95" t="n">
        <v>0</v>
      </c>
      <c r="D134" s="95" t="n">
        <f aca="false">0</f>
        <v>0</v>
      </c>
      <c r="E134" s="95" t="n">
        <f aca="false">D136</f>
        <v>80103.0714031765</v>
      </c>
      <c r="F134" s="95" t="n">
        <f aca="false">E136</f>
        <v>142250.389073288</v>
      </c>
      <c r="G134" s="95" t="n">
        <f aca="false">F136</f>
        <v>189790.642627882</v>
      </c>
      <c r="H134" s="95" t="n">
        <f aca="false">G136</f>
        <v>235441.799798101</v>
      </c>
      <c r="I134" s="95" t="n">
        <f aca="false">H136</f>
        <v>277258.501245706</v>
      </c>
      <c r="J134" s="95" t="n">
        <f aca="false">I136</f>
        <v>314950.411300458</v>
      </c>
      <c r="K134" s="95" t="n">
        <f aca="false">J136</f>
        <v>350085.955005913</v>
      </c>
      <c r="L134" s="95" t="n">
        <f aca="false">K136</f>
        <v>388457.562732727</v>
      </c>
      <c r="M134" s="95" t="n">
        <f aca="false">L136</f>
        <v>430396.205414356</v>
      </c>
      <c r="N134" s="95" t="n">
        <f aca="false">M136</f>
        <v>476256.017653825</v>
      </c>
      <c r="O134" s="95" t="n">
        <f aca="false">N136</f>
        <v>526415.773536299</v>
      </c>
      <c r="P134" s="95" t="n">
        <f aca="false">O136</f>
        <v>581280.453649741</v>
      </c>
      <c r="Q134" s="95" t="n">
        <f aca="false">P136</f>
        <v>641282.908892658</v>
      </c>
      <c r="R134" s="95" t="n">
        <f aca="false">Q136</f>
        <v>706885.626988057</v>
      </c>
      <c r="S134" s="95" t="n">
        <f aca="false">R136</f>
        <v>778582.607983581</v>
      </c>
      <c r="T134" s="95" t="n">
        <f aca="false">S136</f>
        <v>779385.745605304</v>
      </c>
      <c r="U134" s="95" t="n">
        <f aca="false">T136</f>
        <v>787373.770510305</v>
      </c>
      <c r="V134" s="95" t="n">
        <f aca="false">U136</f>
        <v>803147.664985234</v>
      </c>
      <c r="W134" s="95" t="n">
        <f aca="false">V136</f>
        <v>827348.655000158</v>
      </c>
    </row>
    <row r="135" customFormat="false" ht="15" hidden="false" customHeight="false" outlineLevel="0" collapsed="false">
      <c r="A135" s="11" t="s">
        <v>469</v>
      </c>
      <c r="C135" s="95" t="n">
        <v>0</v>
      </c>
      <c r="D135" s="95" t="n">
        <f aca="false">MIN(D134,MAX(D133,0))</f>
        <v>0</v>
      </c>
      <c r="E135" s="95" t="n">
        <f aca="false">MIN(E134,MAX(E133,0))</f>
        <v>0</v>
      </c>
      <c r="F135" s="95" t="n">
        <f aca="false">MIN(F134,MAX(F133,0))</f>
        <v>0</v>
      </c>
      <c r="G135" s="95" t="n">
        <f aca="false">MIN(G134,MAX(G133,0))</f>
        <v>0</v>
      </c>
      <c r="H135" s="95" t="n">
        <f aca="false">MIN(H134,MAX(H133,0))</f>
        <v>0</v>
      </c>
      <c r="I135" s="95" t="n">
        <f aca="false">MIN(I134,MAX(I133,0))</f>
        <v>0</v>
      </c>
      <c r="J135" s="95" t="n">
        <f aca="false">MIN(J134,MAX(J133,0))</f>
        <v>0</v>
      </c>
      <c r="K135" s="95" t="n">
        <f aca="false">MIN(K134,MAX(K133,0))</f>
        <v>0</v>
      </c>
      <c r="L135" s="95" t="n">
        <f aca="false">MIN(L134,MAX(L133,0))</f>
        <v>0</v>
      </c>
      <c r="M135" s="95" t="n">
        <f aca="false">MIN(M134,MAX(M133,0))</f>
        <v>0</v>
      </c>
      <c r="N135" s="95" t="n">
        <f aca="false">MIN(N134,MAX(N133,0))</f>
        <v>0</v>
      </c>
      <c r="O135" s="95" t="n">
        <f aca="false">MIN(O134,MAX(O133,0))</f>
        <v>0</v>
      </c>
      <c r="P135" s="95" t="n">
        <f aca="false">MIN(P134,MAX(P133,0))</f>
        <v>0</v>
      </c>
      <c r="Q135" s="95" t="n">
        <f aca="false">MIN(Q134,MAX(Q133,0))</f>
        <v>0</v>
      </c>
      <c r="R135" s="95" t="n">
        <f aca="false">MIN(R134,MAX(R133,0))</f>
        <v>0</v>
      </c>
      <c r="S135" s="95" t="n">
        <f aca="false">MIN(S134,MAX(S133,0))</f>
        <v>0</v>
      </c>
      <c r="T135" s="95" t="n">
        <f aca="false">MIN(T134,MAX(T133,0))</f>
        <v>0</v>
      </c>
      <c r="U135" s="95" t="n">
        <f aca="false">MIN(U134,MAX(U133,0))</f>
        <v>0</v>
      </c>
      <c r="V135" s="95" t="n">
        <f aca="false">MIN(V134,MAX(V133,0))</f>
        <v>0</v>
      </c>
      <c r="W135" s="95" t="n">
        <f aca="false">MIN(W134,MAX(W133,0))</f>
        <v>0</v>
      </c>
    </row>
    <row r="136" customFormat="false" ht="15" hidden="false" customHeight="false" outlineLevel="0" collapsed="false">
      <c r="A136" s="11" t="s">
        <v>470</v>
      </c>
      <c r="C136" s="95" t="n">
        <v>0</v>
      </c>
      <c r="D136" s="95" t="n">
        <f aca="false">D134-D135+MAX(-D133,0)</f>
        <v>80103.0714031765</v>
      </c>
      <c r="E136" s="95" t="n">
        <f aca="false">E134-E135+MAX(-E133,0)</f>
        <v>142250.389073288</v>
      </c>
      <c r="F136" s="95" t="n">
        <f aca="false">F134-F135+MAX(-F133,0)</f>
        <v>189790.642627882</v>
      </c>
      <c r="G136" s="95" t="n">
        <f aca="false">G134-G135+MAX(-G133,0)</f>
        <v>235441.799798101</v>
      </c>
      <c r="H136" s="95" t="n">
        <f aca="false">H134-H135+MAX(-H133,0)</f>
        <v>277258.501245706</v>
      </c>
      <c r="I136" s="95" t="n">
        <f aca="false">I134-I135+MAX(-I133,0)</f>
        <v>314950.411300458</v>
      </c>
      <c r="J136" s="95" t="n">
        <f aca="false">J134-J135+MAX(-J133,0)</f>
        <v>350085.955005913</v>
      </c>
      <c r="K136" s="95" t="n">
        <f aca="false">K134-K135+MAX(-K133,0)</f>
        <v>388457.562732727</v>
      </c>
      <c r="L136" s="95" t="n">
        <f aca="false">L134-L135+MAX(-L133,0)</f>
        <v>430396.205414356</v>
      </c>
      <c r="M136" s="95" t="n">
        <f aca="false">M134-M135+MAX(-M133,0)</f>
        <v>476256.017653825</v>
      </c>
      <c r="N136" s="95" t="n">
        <f aca="false">N134-N135+MAX(-N133,0)</f>
        <v>526415.773536299</v>
      </c>
      <c r="O136" s="95" t="n">
        <f aca="false">O134-O135+MAX(-O133,0)</f>
        <v>581280.453649741</v>
      </c>
      <c r="P136" s="95" t="n">
        <f aca="false">P134-P135+MAX(-P133,0)</f>
        <v>641282.908892658</v>
      </c>
      <c r="Q136" s="95" t="n">
        <f aca="false">Q134-Q135+MAX(-Q133,0)</f>
        <v>706885.626988057</v>
      </c>
      <c r="R136" s="95" t="n">
        <f aca="false">R134-R135+MAX(-R133,0)</f>
        <v>778582.607983581</v>
      </c>
      <c r="S136" s="95" t="n">
        <f aca="false">S134-S135+MAX(-S133,0)</f>
        <v>779385.745605304</v>
      </c>
      <c r="T136" s="95" t="n">
        <f aca="false">T134-T135+MAX(-T133,0)</f>
        <v>787373.770510305</v>
      </c>
      <c r="U136" s="95" t="n">
        <f aca="false">U134-U135+MAX(-U133,0)</f>
        <v>803147.664985234</v>
      </c>
      <c r="V136" s="95" t="n">
        <f aca="false">V134-V135+MAX(-V133,0)</f>
        <v>827348.655000158</v>
      </c>
      <c r="W136" s="95" t="n">
        <f aca="false">W134-W135+MAX(-W133,0)</f>
        <v>860660.739083122</v>
      </c>
    </row>
    <row r="137" customFormat="false" ht="15" hidden="false" customHeight="false" outlineLevel="0" collapsed="false">
      <c r="A137" s="11" t="s">
        <v>471</v>
      </c>
      <c r="B137" s="66" t="n">
        <f aca="false">SUM(C137:W137)</f>
        <v>0</v>
      </c>
      <c r="C137" s="95" t="n">
        <v>0</v>
      </c>
      <c r="D137" s="95" t="n">
        <f aca="false">(MAX(D133,0)-D135)*TaxRate</f>
        <v>0</v>
      </c>
      <c r="E137" s="95" t="n">
        <f aca="false">(MAX(E133,0)-E135)*TaxRate</f>
        <v>0</v>
      </c>
      <c r="F137" s="95" t="n">
        <f aca="false">(MAX(F133,0)-F135)*TaxRate</f>
        <v>0</v>
      </c>
      <c r="G137" s="95" t="n">
        <f aca="false">(MAX(G133,0)-G135)*TaxRate</f>
        <v>0</v>
      </c>
      <c r="H137" s="95" t="n">
        <f aca="false">(MAX(H133,0)-H135)*TaxRate</f>
        <v>0</v>
      </c>
      <c r="I137" s="95" t="n">
        <f aca="false">(MAX(I133,0)-I135)*TaxRate</f>
        <v>0</v>
      </c>
      <c r="J137" s="95" t="n">
        <f aca="false">(MAX(J133,0)-J135)*TaxRate</f>
        <v>0</v>
      </c>
      <c r="K137" s="95" t="n">
        <f aca="false">(MAX(K133,0)-K135)*TaxRate</f>
        <v>0</v>
      </c>
      <c r="L137" s="95" t="n">
        <f aca="false">(MAX(L133,0)-L135)*TaxRate</f>
        <v>0</v>
      </c>
      <c r="M137" s="95" t="n">
        <f aca="false">(MAX(M133,0)-M135)*TaxRate</f>
        <v>0</v>
      </c>
      <c r="N137" s="95" t="n">
        <f aca="false">(MAX(N133,0)-N135)*TaxRate</f>
        <v>0</v>
      </c>
      <c r="O137" s="95" t="n">
        <f aca="false">(MAX(O133,0)-O135)*TaxRate</f>
        <v>0</v>
      </c>
      <c r="P137" s="95" t="n">
        <f aca="false">(MAX(P133,0)-P135)*TaxRate</f>
        <v>0</v>
      </c>
      <c r="Q137" s="95" t="n">
        <f aca="false">(MAX(Q133,0)-Q135)*TaxRate</f>
        <v>0</v>
      </c>
      <c r="R137" s="95" t="n">
        <f aca="false">(MAX(R133,0)-R135)*TaxRate</f>
        <v>0</v>
      </c>
      <c r="S137" s="95" t="n">
        <f aca="false">(MAX(S133,0)-S135)*TaxRate</f>
        <v>0</v>
      </c>
      <c r="T137" s="95" t="n">
        <f aca="false">(MAX(T133,0)-T135)*TaxRate</f>
        <v>0</v>
      </c>
      <c r="U137" s="95" t="n">
        <f aca="false">(MAX(U133,0)-U135)*TaxRate</f>
        <v>0</v>
      </c>
      <c r="V137" s="95" t="n">
        <f aca="false">(MAX(V133,0)-V135)*TaxRate</f>
        <v>0</v>
      </c>
      <c r="W137" s="95" t="n">
        <f aca="false">(MAX(W133,0)-W135)*TaxRate</f>
        <v>0</v>
      </c>
    </row>
    <row r="138" customFormat="false" ht="15" hidden="false" customHeight="false" outlineLevel="0" collapsed="false">
      <c r="A138" s="11" t="s">
        <v>472</v>
      </c>
      <c r="B138" s="66" t="n">
        <f aca="false">SUM(C138:W138)</f>
        <v>-975667.527776562</v>
      </c>
      <c r="C138" s="95" t="n">
        <v>0</v>
      </c>
      <c r="D138" s="95" t="n">
        <f aca="false">D98-D132-D114-D121</f>
        <v>-94734.1592233228</v>
      </c>
      <c r="E138" s="95" t="n">
        <f aca="false">E98-E132-E114-E121</f>
        <v>-76778.4054902578</v>
      </c>
      <c r="F138" s="95" t="n">
        <f aca="false">F98-F132-F114-F121</f>
        <v>-62171.3413747406</v>
      </c>
      <c r="G138" s="95" t="n">
        <f aca="false">G98-G132-G114-G121</f>
        <v>-59298.0902976854</v>
      </c>
      <c r="H138" s="95" t="n">
        <f aca="false">H98-H132-H114-H121</f>
        <v>-54381.0644131242</v>
      </c>
      <c r="I138" s="95" t="n">
        <f aca="false">I98-I132-I114-I121</f>
        <v>-49065.4458421287</v>
      </c>
      <c r="J138" s="95" t="n">
        <f aca="false">J98-J132-J114-J121</f>
        <v>-44904.6440885522</v>
      </c>
      <c r="K138" s="95" t="n">
        <f aca="false">K98-K132-K114-K121</f>
        <v>-46396.4459507842</v>
      </c>
      <c r="L138" s="95" t="n">
        <f aca="false">L98-L132-L114-L121</f>
        <v>-48066.0278197125</v>
      </c>
      <c r="M138" s="95" t="n">
        <f aca="false">M98-M132-M114-M121</f>
        <v>-49921.8713308993</v>
      </c>
      <c r="N138" s="95" t="n">
        <f aca="false">N98-N132-N114-N121</f>
        <v>-51972.4848408464</v>
      </c>
      <c r="O138" s="95" t="n">
        <f aca="false">O98-O132-O114-O121</f>
        <v>-56335.9732857954</v>
      </c>
      <c r="P138" s="95" t="n">
        <f aca="false">P98-P132-P114-P121</f>
        <v>-61122.0695556692</v>
      </c>
      <c r="Q138" s="95" t="n">
        <f aca="false">Q98-Q132-Q114-Q121</f>
        <v>-66360.1031827638</v>
      </c>
      <c r="R138" s="95" t="n">
        <f aca="false">R98-R132-R114-R121</f>
        <v>-72081.2699807382</v>
      </c>
      <c r="S138" s="95" t="n">
        <f aca="false">S98-S132-S114-S121</f>
        <v>-803.137621723145</v>
      </c>
      <c r="T138" s="95" t="n">
        <f aca="false">T98-T132-T114-T121</f>
        <v>-7988.02490500035</v>
      </c>
      <c r="U138" s="95" t="n">
        <f aca="false">U98-U132-U114-U121</f>
        <v>-15773.8944749298</v>
      </c>
      <c r="V138" s="95" t="n">
        <f aca="false">V98-V132-V114-V121</f>
        <v>-24200.9900149232</v>
      </c>
      <c r="W138" s="95" t="n">
        <f aca="false">W98-W132-W114-W121</f>
        <v>-33312.0840829644</v>
      </c>
    </row>
    <row r="139" customFormat="false" ht="15" hidden="false" customHeight="false" outlineLevel="0" collapsed="false">
      <c r="A139" s="11" t="s">
        <v>468</v>
      </c>
      <c r="C139" s="95" t="n">
        <v>0</v>
      </c>
      <c r="D139" s="95" t="n">
        <f aca="false">0</f>
        <v>0</v>
      </c>
      <c r="E139" s="95" t="n">
        <f aca="false">D141</f>
        <v>94734.1592233228</v>
      </c>
      <c r="F139" s="95" t="n">
        <f aca="false">E141</f>
        <v>171512.564713581</v>
      </c>
      <c r="G139" s="95" t="n">
        <f aca="false">F141</f>
        <v>233683.906088321</v>
      </c>
      <c r="H139" s="95" t="n">
        <f aca="false">G141</f>
        <v>292981.996386007</v>
      </c>
      <c r="I139" s="95" t="n">
        <f aca="false">H141</f>
        <v>347363.060799131</v>
      </c>
      <c r="J139" s="95" t="n">
        <f aca="false">I141</f>
        <v>396428.50664126</v>
      </c>
      <c r="K139" s="95" t="n">
        <f aca="false">J141</f>
        <v>441333.150729812</v>
      </c>
      <c r="L139" s="95" t="n">
        <f aca="false">K141</f>
        <v>487729.596680596</v>
      </c>
      <c r="M139" s="95" t="n">
        <f aca="false">L141</f>
        <v>535795.624500308</v>
      </c>
      <c r="N139" s="95" t="n">
        <f aca="false">M141</f>
        <v>585717.495831208</v>
      </c>
      <c r="O139" s="95" t="n">
        <f aca="false">N141</f>
        <v>637689.980672054</v>
      </c>
      <c r="P139" s="95" t="n">
        <f aca="false">O141</f>
        <v>694025.95395785</v>
      </c>
      <c r="Q139" s="95" t="n">
        <f aca="false">P141</f>
        <v>755148.023513519</v>
      </c>
      <c r="R139" s="95" t="n">
        <f aca="false">Q141</f>
        <v>821508.126696283</v>
      </c>
      <c r="S139" s="95" t="n">
        <f aca="false">R141</f>
        <v>893589.396677021</v>
      </c>
      <c r="T139" s="95" t="n">
        <f aca="false">S141</f>
        <v>894392.534298744</v>
      </c>
      <c r="U139" s="95" t="n">
        <f aca="false">T141</f>
        <v>902380.559203744</v>
      </c>
      <c r="V139" s="95" t="n">
        <f aca="false">U141</f>
        <v>918154.453678674</v>
      </c>
      <c r="W139" s="95" t="n">
        <f aca="false">V141</f>
        <v>942355.443693597</v>
      </c>
    </row>
    <row r="140" customFormat="false" ht="15" hidden="false" customHeight="false" outlineLevel="0" collapsed="false">
      <c r="A140" s="11" t="s">
        <v>469</v>
      </c>
      <c r="C140" s="95" t="n">
        <v>0</v>
      </c>
      <c r="D140" s="95" t="n">
        <f aca="false">MIN(D139,MAX(D138,0))</f>
        <v>0</v>
      </c>
      <c r="E140" s="95" t="n">
        <f aca="false">MIN(E139,MAX(E138,0))</f>
        <v>0</v>
      </c>
      <c r="F140" s="95" t="n">
        <f aca="false">MIN(F139,MAX(F138,0))</f>
        <v>0</v>
      </c>
      <c r="G140" s="95" t="n">
        <f aca="false">MIN(G139,MAX(G138,0))</f>
        <v>0</v>
      </c>
      <c r="H140" s="95" t="n">
        <f aca="false">MIN(H139,MAX(H138,0))</f>
        <v>0</v>
      </c>
      <c r="I140" s="95" t="n">
        <f aca="false">MIN(I139,MAX(I138,0))</f>
        <v>0</v>
      </c>
      <c r="J140" s="95" t="n">
        <f aca="false">MIN(J139,MAX(J138,0))</f>
        <v>0</v>
      </c>
      <c r="K140" s="95" t="n">
        <f aca="false">MIN(K139,MAX(K138,0))</f>
        <v>0</v>
      </c>
      <c r="L140" s="95" t="n">
        <f aca="false">MIN(L139,MAX(L138,0))</f>
        <v>0</v>
      </c>
      <c r="M140" s="95" t="n">
        <f aca="false">MIN(M139,MAX(M138,0))</f>
        <v>0</v>
      </c>
      <c r="N140" s="95" t="n">
        <f aca="false">MIN(N139,MAX(N138,0))</f>
        <v>0</v>
      </c>
      <c r="O140" s="95" t="n">
        <f aca="false">MIN(O139,MAX(O138,0))</f>
        <v>0</v>
      </c>
      <c r="P140" s="95" t="n">
        <f aca="false">MIN(P139,MAX(P138,0))</f>
        <v>0</v>
      </c>
      <c r="Q140" s="95" t="n">
        <f aca="false">MIN(Q139,MAX(Q138,0))</f>
        <v>0</v>
      </c>
      <c r="R140" s="95" t="n">
        <f aca="false">MIN(R139,MAX(R138,0))</f>
        <v>0</v>
      </c>
      <c r="S140" s="95" t="n">
        <f aca="false">MIN(S139,MAX(S138,0))</f>
        <v>0</v>
      </c>
      <c r="T140" s="95" t="n">
        <f aca="false">MIN(T139,MAX(T138,0))</f>
        <v>0</v>
      </c>
      <c r="U140" s="95" t="n">
        <f aca="false">MIN(U139,MAX(U138,0))</f>
        <v>0</v>
      </c>
      <c r="V140" s="95" t="n">
        <f aca="false">MIN(V139,MAX(V138,0))</f>
        <v>0</v>
      </c>
      <c r="W140" s="95" t="n">
        <f aca="false">MIN(W139,MAX(W138,0))</f>
        <v>0</v>
      </c>
    </row>
    <row r="141" customFormat="false" ht="15" hidden="false" customHeight="false" outlineLevel="0" collapsed="false">
      <c r="A141" s="11" t="s">
        <v>470</v>
      </c>
      <c r="C141" s="95" t="n">
        <v>0</v>
      </c>
      <c r="D141" s="95" t="n">
        <f aca="false">D139-D140+MAX(-D138,0)</f>
        <v>94734.1592233228</v>
      </c>
      <c r="E141" s="95" t="n">
        <f aca="false">E139-E140+MAX(-E138,0)</f>
        <v>171512.564713581</v>
      </c>
      <c r="F141" s="95" t="n">
        <f aca="false">F139-F140+MAX(-F138,0)</f>
        <v>233683.906088321</v>
      </c>
      <c r="G141" s="95" t="n">
        <f aca="false">G139-G140+MAX(-G138,0)</f>
        <v>292981.996386007</v>
      </c>
      <c r="H141" s="95" t="n">
        <f aca="false">H139-H140+MAX(-H138,0)</f>
        <v>347363.060799131</v>
      </c>
      <c r="I141" s="95" t="n">
        <f aca="false">I139-I140+MAX(-I138,0)</f>
        <v>396428.50664126</v>
      </c>
      <c r="J141" s="95" t="n">
        <f aca="false">J139-J140+MAX(-J138,0)</f>
        <v>441333.150729812</v>
      </c>
      <c r="K141" s="95" t="n">
        <f aca="false">K139-K140+MAX(-K138,0)</f>
        <v>487729.596680596</v>
      </c>
      <c r="L141" s="95" t="n">
        <f aca="false">L139-L140+MAX(-L138,0)</f>
        <v>535795.624500308</v>
      </c>
      <c r="M141" s="95" t="n">
        <f aca="false">M139-M140+MAX(-M138,0)</f>
        <v>585717.495831208</v>
      </c>
      <c r="N141" s="95" t="n">
        <f aca="false">N139-N140+MAX(-N138,0)</f>
        <v>637689.980672054</v>
      </c>
      <c r="O141" s="95" t="n">
        <f aca="false">O139-O140+MAX(-O138,0)</f>
        <v>694025.95395785</v>
      </c>
      <c r="P141" s="95" t="n">
        <f aca="false">P139-P140+MAX(-P138,0)</f>
        <v>755148.023513519</v>
      </c>
      <c r="Q141" s="95" t="n">
        <f aca="false">Q139-Q140+MAX(-Q138,0)</f>
        <v>821508.126696283</v>
      </c>
      <c r="R141" s="95" t="n">
        <f aca="false">R139-R140+MAX(-R138,0)</f>
        <v>893589.396677021</v>
      </c>
      <c r="S141" s="95" t="n">
        <f aca="false">S139-S140+MAX(-S138,0)</f>
        <v>894392.534298744</v>
      </c>
      <c r="T141" s="95" t="n">
        <f aca="false">T139-T140+MAX(-T138,0)</f>
        <v>902380.559203744</v>
      </c>
      <c r="U141" s="95" t="n">
        <f aca="false">U139-U140+MAX(-U138,0)</f>
        <v>918154.453678674</v>
      </c>
      <c r="V141" s="95" t="n">
        <f aca="false">V139-V140+MAX(-V138,0)</f>
        <v>942355.443693597</v>
      </c>
      <c r="W141" s="95" t="n">
        <f aca="false">W139-W140+MAX(-W138,0)</f>
        <v>975667.527776562</v>
      </c>
    </row>
    <row r="142" customFormat="false" ht="15" hidden="false" customHeight="false" outlineLevel="0" collapsed="false">
      <c r="A142" s="11" t="s">
        <v>473</v>
      </c>
      <c r="B142" s="66" t="n">
        <f aca="false">SUM(C142:W142)</f>
        <v>0</v>
      </c>
      <c r="C142" s="95" t="n">
        <v>0</v>
      </c>
      <c r="D142" s="95" t="n">
        <f aca="false">(MAX(D138,0)-D140)*TaxRate</f>
        <v>0</v>
      </c>
      <c r="E142" s="95" t="n">
        <f aca="false">(MAX(E138,0)-E140)*TaxRate</f>
        <v>0</v>
      </c>
      <c r="F142" s="95" t="n">
        <f aca="false">(MAX(F138,0)-F140)*TaxRate</f>
        <v>0</v>
      </c>
      <c r="G142" s="95" t="n">
        <f aca="false">(MAX(G138,0)-G140)*TaxRate</f>
        <v>0</v>
      </c>
      <c r="H142" s="95" t="n">
        <f aca="false">(MAX(H138,0)-H140)*TaxRate</f>
        <v>0</v>
      </c>
      <c r="I142" s="95" t="n">
        <f aca="false">(MAX(I138,0)-I140)*TaxRate</f>
        <v>0</v>
      </c>
      <c r="J142" s="95" t="n">
        <f aca="false">(MAX(J138,0)-J140)*TaxRate</f>
        <v>0</v>
      </c>
      <c r="K142" s="95" t="n">
        <f aca="false">(MAX(K138,0)-K140)*TaxRate</f>
        <v>0</v>
      </c>
      <c r="L142" s="95" t="n">
        <f aca="false">(MAX(L138,0)-L140)*TaxRate</f>
        <v>0</v>
      </c>
      <c r="M142" s="95" t="n">
        <f aca="false">(MAX(M138,0)-M140)*TaxRate</f>
        <v>0</v>
      </c>
      <c r="N142" s="95" t="n">
        <f aca="false">(MAX(N138,0)-N140)*TaxRate</f>
        <v>0</v>
      </c>
      <c r="O142" s="95" t="n">
        <f aca="false">(MAX(O138,0)-O140)*TaxRate</f>
        <v>0</v>
      </c>
      <c r="P142" s="95" t="n">
        <f aca="false">(MAX(P138,0)-P140)*TaxRate</f>
        <v>0</v>
      </c>
      <c r="Q142" s="95" t="n">
        <f aca="false">(MAX(Q138,0)-Q140)*TaxRate</f>
        <v>0</v>
      </c>
      <c r="R142" s="95" t="n">
        <f aca="false">(MAX(R138,0)-R140)*TaxRate</f>
        <v>0</v>
      </c>
      <c r="S142" s="95" t="n">
        <f aca="false">(MAX(S138,0)-S140)*TaxRate</f>
        <v>0</v>
      </c>
      <c r="T142" s="95" t="n">
        <f aca="false">(MAX(T138,0)-T140)*TaxRate</f>
        <v>0</v>
      </c>
      <c r="U142" s="95" t="n">
        <f aca="false">(MAX(U138,0)-U140)*TaxRate</f>
        <v>0</v>
      </c>
      <c r="V142" s="95" t="n">
        <f aca="false">(MAX(V138,0)-V140)*TaxRate</f>
        <v>0</v>
      </c>
      <c r="W142" s="95" t="n">
        <f aca="false">(MAX(W138,0)-W140)*TaxRate</f>
        <v>0</v>
      </c>
    </row>
    <row r="144" customFormat="false" ht="15" hidden="false" customHeight="false" outlineLevel="0" collapsed="false">
      <c r="A144" s="9" t="s">
        <v>474</v>
      </c>
      <c r="B144" s="10"/>
      <c r="C144" s="10"/>
      <c r="D144" s="10"/>
      <c r="E144" s="10"/>
      <c r="F144" s="10"/>
      <c r="G144" s="10"/>
      <c r="H144" s="10"/>
      <c r="I144" s="10"/>
      <c r="J144" s="10"/>
      <c r="K144" s="10"/>
      <c r="L144" s="10"/>
      <c r="M144" s="10"/>
      <c r="N144" s="10"/>
      <c r="O144" s="10"/>
      <c r="P144" s="10"/>
      <c r="Q144" s="10"/>
      <c r="R144" s="10"/>
      <c r="S144" s="10"/>
      <c r="T144" s="10"/>
      <c r="U144" s="10"/>
      <c r="V144" s="10"/>
      <c r="W144" s="10"/>
    </row>
    <row r="145" customFormat="false" ht="15" hidden="false" customHeight="false" outlineLevel="0" collapsed="false">
      <c r="A145" s="16" t="s">
        <v>475</v>
      </c>
      <c r="B145" s="66" t="n">
        <f aca="false">C145+NPV(Hurdle,D145:W145)</f>
        <v>-1106378.58324186</v>
      </c>
      <c r="C145" s="31" t="n">
        <f aca="false">-C102+C98-C103-C137</f>
        <v>-1162734.14692871</v>
      </c>
      <c r="D145" s="31" t="n">
        <f aca="false">-D102+D98-D103-D137</f>
        <v>-2587.46160792929</v>
      </c>
      <c r="E145" s="31" t="n">
        <f aca="false">-E102+E98-E103-E137</f>
        <v>15368.2921251357</v>
      </c>
      <c r="F145" s="31" t="n">
        <f aca="false">-F102+F98-F103-F137</f>
        <v>29975.356240653</v>
      </c>
      <c r="G145" s="31" t="n">
        <f aca="false">-G102+G98-G103-G137</f>
        <v>31864.4526250285</v>
      </c>
      <c r="H145" s="31" t="n">
        <f aca="false">-H102+H98-H103-H137</f>
        <v>35698.9083476421</v>
      </c>
      <c r="I145" s="31" t="n">
        <f aca="false">-I102+I98-I103-I137</f>
        <v>39823.6997404953</v>
      </c>
      <c r="J145" s="31" t="n">
        <f aca="false">-J102+J98-J103-J137</f>
        <v>42380.0660897915</v>
      </c>
      <c r="K145" s="31" t="n">
        <f aca="false">-K102+K98-K103-K137</f>
        <v>-126759.435636267</v>
      </c>
      <c r="L145" s="31" t="n">
        <f aca="false">-L102+L98-L103-L137</f>
        <v>35576.9671136175</v>
      </c>
      <c r="M145" s="31" t="n">
        <f aca="false">-M102+M98-M103-M137</f>
        <v>31655.7975557784</v>
      </c>
      <c r="N145" s="31" t="n">
        <f aca="false">-N102+N98-N103-N137</f>
        <v>27355.8539127733</v>
      </c>
      <c r="O145" s="31" t="n">
        <f aca="false">-O102+O98-O103-O137</f>
        <v>22650.9296818046</v>
      </c>
      <c r="P145" s="31" t="n">
        <f aca="false">-P102+P98-P103-P137</f>
        <v>17513.1545523305</v>
      </c>
      <c r="Q145" s="31" t="n">
        <f aca="false">-Q102+Q98-Q103-Q137</f>
        <v>11912.8916998477</v>
      </c>
      <c r="R145" s="31" t="n">
        <f aca="false">-R102+R98-R103-R137</f>
        <v>5818.62879972337</v>
      </c>
      <c r="S145" s="31" t="n">
        <f aca="false">-S102+S98-S103-S137</f>
        <v>-210964.648905393</v>
      </c>
      <c r="T145" s="31" t="n">
        <f aca="false">-T102+T98-T103-T137</f>
        <v>-7988.02490500035</v>
      </c>
      <c r="U145" s="31" t="n">
        <f aca="false">-U102+U98-U103-U137</f>
        <v>-15773.8944749298</v>
      </c>
      <c r="V145" s="31" t="n">
        <f aca="false">-V102+V98-V103-V137</f>
        <v>-24200.9900149232</v>
      </c>
      <c r="W145" s="31" t="n">
        <f aca="false">-W102+W98-W103-W137</f>
        <v>-33312.0840829644</v>
      </c>
    </row>
    <row r="146" customFormat="false" ht="15" hidden="false" customHeight="false" outlineLevel="0" collapsed="false">
      <c r="A146" s="16" t="s">
        <v>476</v>
      </c>
      <c r="B146" s="66" t="n">
        <f aca="false">C146+NPV(Hurdle,D146:W146)</f>
        <v>-288458.222610756</v>
      </c>
      <c r="C146" s="31" t="n">
        <f aca="false">C145+C106+C108</f>
        <v>-562734.146928707</v>
      </c>
      <c r="D146" s="31" t="n">
        <f aca="false">D145+D106+D108</f>
        <v>148612.538392071</v>
      </c>
      <c r="E146" s="31" t="n">
        <f aca="false">E145+E106+E108</f>
        <v>78368.2921251357</v>
      </c>
      <c r="F146" s="31" t="n">
        <f aca="false">F145+F106+F108</f>
        <v>67775.356240653</v>
      </c>
      <c r="G146" s="31" t="n">
        <f aca="false">G145+G106+G108</f>
        <v>31864.4526250285</v>
      </c>
      <c r="H146" s="31" t="n">
        <f aca="false">H145+H106+H108</f>
        <v>35698.9083476421</v>
      </c>
      <c r="I146" s="31" t="n">
        <f aca="false">I145+I106+I108</f>
        <v>39823.6997404953</v>
      </c>
      <c r="J146" s="31" t="n">
        <f aca="false">J145+J106+J108</f>
        <v>42380.0660897915</v>
      </c>
      <c r="K146" s="31" t="n">
        <f aca="false">K145+K106+K108</f>
        <v>-126759.435636267</v>
      </c>
      <c r="L146" s="31" t="n">
        <f aca="false">L145+L106+L108</f>
        <v>35576.9671136175</v>
      </c>
      <c r="M146" s="31" t="n">
        <f aca="false">M145+M106+M108</f>
        <v>31655.7975557784</v>
      </c>
      <c r="N146" s="31" t="n">
        <f aca="false">N145+N106+N108</f>
        <v>27355.8539127733</v>
      </c>
      <c r="O146" s="31" t="n">
        <f aca="false">O145+O106+O108</f>
        <v>22650.9296818046</v>
      </c>
      <c r="P146" s="31" t="n">
        <f aca="false">P145+P106+P108</f>
        <v>17513.1545523305</v>
      </c>
      <c r="Q146" s="31" t="n">
        <f aca="false">Q145+Q106+Q108</f>
        <v>11912.8916998477</v>
      </c>
      <c r="R146" s="31" t="n">
        <f aca="false">R145+R106+R108</f>
        <v>5818.62879972337</v>
      </c>
      <c r="S146" s="31" t="n">
        <f aca="false">S145+S106+S108</f>
        <v>-210964.648905393</v>
      </c>
      <c r="T146" s="31" t="n">
        <f aca="false">T145+T106+T108</f>
        <v>-7988.02490500035</v>
      </c>
      <c r="U146" s="31" t="n">
        <f aca="false">U145+U106+U108</f>
        <v>-15773.8944749298</v>
      </c>
      <c r="V146" s="31" t="n">
        <f aca="false">V145+V106+V108</f>
        <v>-24200.9900149232</v>
      </c>
      <c r="W146" s="31" t="n">
        <f aca="false">W145+W106+W108</f>
        <v>-33312.0840829644</v>
      </c>
    </row>
    <row r="147" customFormat="false" ht="15" hidden="false" customHeight="false" outlineLevel="0" collapsed="false">
      <c r="A147" s="11" t="s">
        <v>243</v>
      </c>
      <c r="B147" s="66" t="n">
        <f aca="false">SUM(C147:W147)</f>
        <v>178008.458857214</v>
      </c>
      <c r="C147" s="95" t="n">
        <v>0</v>
      </c>
      <c r="D147" s="95" t="n">
        <f aca="false">D98-D105-D142+D108</f>
        <v>127874.608678983</v>
      </c>
      <c r="E147" s="95" t="n">
        <f aca="false">E98-E105-E142+E108</f>
        <v>57630.362412048</v>
      </c>
      <c r="F147" s="95" t="n">
        <f aca="false">F98-F105-F142+F108</f>
        <v>47037.4265275653</v>
      </c>
      <c r="G147" s="95" t="n">
        <f aca="false">G98-G105-G142+G108</f>
        <v>11126.5229119408</v>
      </c>
      <c r="H147" s="95" t="n">
        <f aca="false">H98-H105-H142+H108</f>
        <v>14960.9786345544</v>
      </c>
      <c r="I147" s="95" t="n">
        <f aca="false">I98-I105-I142+I108</f>
        <v>19085.7700274076</v>
      </c>
      <c r="J147" s="95" t="n">
        <f aca="false">J98-J105-J142+J108</f>
        <v>21642.1363767038</v>
      </c>
      <c r="K147" s="95" t="n">
        <f aca="false">K98-K105-K142+K108</f>
        <v>18406.0723553462</v>
      </c>
      <c r="L147" s="95" t="n">
        <f aca="false">L98-L105-L142+L108</f>
        <v>9306.77820315875</v>
      </c>
      <c r="M147" s="95" t="n">
        <f aca="false">M98-M105-M142+M108</f>
        <v>5385.6086453197</v>
      </c>
      <c r="N147" s="95" t="n">
        <f aca="false">N98-N105-N142+N108</f>
        <v>1085.66500231457</v>
      </c>
      <c r="O147" s="95" t="n">
        <f aca="false">O98-O105-O142+O108</f>
        <v>-3619.2592286541</v>
      </c>
      <c r="P147" s="95" t="n">
        <f aca="false">P98-P105-P142+P108</f>
        <v>-8757.03435812821</v>
      </c>
      <c r="Q147" s="95" t="n">
        <f aca="false">Q98-Q105-Q142+Q108</f>
        <v>-14357.297210611</v>
      </c>
      <c r="R147" s="95" t="n">
        <f aca="false">R98-R105-R142+R108</f>
        <v>-20451.5601107354</v>
      </c>
      <c r="S147" s="95" t="n">
        <f aca="false">S98-S105-S142+S108</f>
        <v>-27073.3265321819</v>
      </c>
      <c r="T147" s="95" t="n">
        <f aca="false">T98-T105-T142+T108</f>
        <v>-7988.02490500035</v>
      </c>
      <c r="U147" s="95" t="n">
        <f aca="false">U98-U105-U142+U108</f>
        <v>-15773.8944749298</v>
      </c>
      <c r="V147" s="95" t="n">
        <f aca="false">V98-V105-V142+V108</f>
        <v>-24200.9900149232</v>
      </c>
      <c r="W147" s="95" t="n">
        <f aca="false">W98-W105-W142+W108</f>
        <v>-33312.0840829644</v>
      </c>
    </row>
    <row r="148" customFormat="false" ht="15" hidden="false" customHeight="false" outlineLevel="0" collapsed="false">
      <c r="A148" s="11" t="s">
        <v>477</v>
      </c>
      <c r="C148" s="97" t="n">
        <v>0</v>
      </c>
      <c r="D148" s="97" t="n">
        <f aca="false">IF(D125&gt;0,D147/D125,"")</f>
        <v>8.73992489491486</v>
      </c>
      <c r="E148" s="97" t="n">
        <f aca="false">IF(E125&gt;0,E147/E125,"")</f>
        <v>3.93889799039368</v>
      </c>
      <c r="F148" s="97" t="n">
        <f aca="false">IF(F125&gt;0,F147/F125,"")</f>
        <v>1.92204178315707</v>
      </c>
      <c r="G148" s="97" t="n">
        <f aca="false">IF(G125&gt;0,G147/G125,"")</f>
        <v>0.454651615038337</v>
      </c>
      <c r="H148" s="97" t="n">
        <f aca="false">IF(H125&gt;0,H147/H125,"")</f>
        <v>0.611335019267733</v>
      </c>
      <c r="I148" s="97" t="n">
        <f aca="false">IF(I125&gt;0,I147/I125,"")</f>
        <v>0.556596255372664</v>
      </c>
      <c r="J148" s="97" t="n">
        <f aca="false">IF(J125&gt;0,J147/J125,"")</f>
        <v>0.631147291843065</v>
      </c>
      <c r="K148" s="97" t="n">
        <f aca="false">IF(K125&gt;0,K147/K125,"")</f>
        <v>0.536774305379993</v>
      </c>
      <c r="L148" s="97" t="n">
        <f aca="false">IF(L125&gt;0,L147/L125,"")</f>
        <v>0.271412570204048</v>
      </c>
      <c r="M148" s="97" t="n">
        <f aca="false">IF(M125&gt;0,M147/M125,"")</f>
        <v>0.157059924780763</v>
      </c>
      <c r="N148" s="97" t="n">
        <f aca="false">IF(N125&gt;0,N147/N125,"")</f>
        <v>0.0822852383587916</v>
      </c>
      <c r="O148" s="97" t="n">
        <f aca="false">IF(O125&gt;0,O147/O125,"")</f>
        <v>-0.274312617314865</v>
      </c>
      <c r="P148" s="97" t="n">
        <f aca="false">IF(P125&gt;0,P147/P125,"")</f>
        <v>-0.66371731421616</v>
      </c>
      <c r="Q148" s="97" t="n">
        <f aca="false">IF(Q125&gt;0,Q147/Q125,"")</f>
        <v>-1.08817510064751</v>
      </c>
      <c r="R148" s="97" t="n">
        <f aca="false">IF(R125&gt;0,R147/R125,"")</f>
        <v>-1.55007437370944</v>
      </c>
      <c r="S148" s="97" t="str">
        <f aca="false">IF(S125&gt;0,S147/S125,"")</f>
        <v/>
      </c>
      <c r="T148" s="97" t="str">
        <f aca="false">IF(T125&gt;0,T147/T125,"")</f>
        <v/>
      </c>
      <c r="U148" s="97" t="str">
        <f aca="false">IF(U125&gt;0,U147/U125,"")</f>
        <v/>
      </c>
      <c r="V148" s="97" t="str">
        <f aca="false">IF(V125&gt;0,V147/V125,"")</f>
        <v/>
      </c>
      <c r="W148" s="97" t="str">
        <f aca="false">IF(W125&gt;0,W147/W125,"")</f>
        <v/>
      </c>
    </row>
    <row r="149" customFormat="false" ht="15" hidden="false" customHeight="false" outlineLevel="0" collapsed="false">
      <c r="A149" s="16" t="s">
        <v>478</v>
      </c>
      <c r="B149" s="66" t="n">
        <f aca="false">C149+NPV(Hurdle,D149:W149)</f>
        <v>-300717.198327881</v>
      </c>
      <c r="C149" s="31" t="n">
        <f aca="false">-S_Tariff_Lo!$B$18-C129</f>
        <v>-344956.032067298</v>
      </c>
      <c r="D149" s="31" t="n">
        <f aca="false">D147-D125-D129</f>
        <v>113243.520858837</v>
      </c>
      <c r="E149" s="31" t="n">
        <f aca="false">E147-E125-E129</f>
        <v>38078.5011285035</v>
      </c>
      <c r="F149" s="31" t="n">
        <f aca="false">F147-F125-F129</f>
        <v>22564.7917806226</v>
      </c>
      <c r="G149" s="31" t="n">
        <f aca="false">G147-G125-G129</f>
        <v>-13346.1118350019</v>
      </c>
      <c r="H149" s="31" t="n">
        <f aca="false">H147-H125-H129</f>
        <v>-14420.4145844496</v>
      </c>
      <c r="I149" s="31" t="n">
        <f aca="false">I147-I125-I129</f>
        <v>-15204.3816636578</v>
      </c>
      <c r="J149" s="31" t="n">
        <f aca="false">J147-J125-J129</f>
        <v>-12648.0153143616</v>
      </c>
      <c r="K149" s="31" t="n">
        <f aca="false">K147-K125-K129</f>
        <v>-15884.0793357192</v>
      </c>
      <c r="L149" s="31" t="n">
        <f aca="false">L147-L125-L129</f>
        <v>-24983.3734879067</v>
      </c>
      <c r="M149" s="31" t="n">
        <f aca="false">M147-M125-M129</f>
        <v>-18356.4281130605</v>
      </c>
      <c r="N149" s="31" t="n">
        <f aca="false">N147-N125-N129</f>
        <v>-12108.2568233804</v>
      </c>
      <c r="O149" s="31" t="n">
        <f aca="false">O147-O125-O129</f>
        <v>-16813.181054349</v>
      </c>
      <c r="P149" s="31" t="n">
        <f aca="false">P147-P125-P129</f>
        <v>-21950.9561838232</v>
      </c>
      <c r="Q149" s="31" t="n">
        <f aca="false">Q147-Q125-Q129</f>
        <v>-27551.2190363059</v>
      </c>
      <c r="R149" s="31" t="n">
        <f aca="false">R147-R125-R129</f>
        <v>-27048.5210235828</v>
      </c>
      <c r="S149" s="31" t="n">
        <f aca="false">S147-S125-S129</f>
        <v>-27073.3265321819</v>
      </c>
      <c r="T149" s="31" t="n">
        <f aca="false">T147-T125-T129</f>
        <v>-7988.02490500035</v>
      </c>
      <c r="U149" s="31" t="n">
        <f aca="false">U147-U125-U129</f>
        <v>-15773.8944749298</v>
      </c>
      <c r="V149" s="31" t="n">
        <f aca="false">V147-V125-V129</f>
        <v>-24200.9900149232</v>
      </c>
      <c r="W149" s="31" t="n">
        <f aca="false">W147-W125-W129</f>
        <v>-33312.0840829644</v>
      </c>
    </row>
    <row r="150" customFormat="false" ht="15" hidden="false" customHeight="false" outlineLevel="0" collapsed="false">
      <c r="A150" s="11" t="s">
        <v>479</v>
      </c>
      <c r="C150" s="95" t="n">
        <f aca="false">C149</f>
        <v>-344956.032067298</v>
      </c>
      <c r="D150" s="95" t="n">
        <f aca="false">C150+D149</f>
        <v>-231712.511208461</v>
      </c>
      <c r="E150" s="95" t="n">
        <f aca="false">D150+E149</f>
        <v>-193634.010079957</v>
      </c>
      <c r="F150" s="95" t="n">
        <f aca="false">E150+F149</f>
        <v>-171069.218299335</v>
      </c>
      <c r="G150" s="95" t="n">
        <f aca="false">F150+G149</f>
        <v>-184415.330134337</v>
      </c>
      <c r="H150" s="95" t="n">
        <f aca="false">G150+H149</f>
        <v>-198835.744718786</v>
      </c>
      <c r="I150" s="95" t="n">
        <f aca="false">H150+I149</f>
        <v>-214040.126382444</v>
      </c>
      <c r="J150" s="95" t="n">
        <f aca="false">I150+J149</f>
        <v>-226688.141696806</v>
      </c>
      <c r="K150" s="95" t="n">
        <f aca="false">J150+K149</f>
        <v>-242572.221032525</v>
      </c>
      <c r="L150" s="95" t="n">
        <f aca="false">K150+L149</f>
        <v>-267555.594520432</v>
      </c>
      <c r="M150" s="95" t="n">
        <f aca="false">L150+M149</f>
        <v>-285912.022633492</v>
      </c>
      <c r="N150" s="95" t="n">
        <f aca="false">M150+N149</f>
        <v>-298020.279456872</v>
      </c>
      <c r="O150" s="95" t="n">
        <f aca="false">N150+O149</f>
        <v>-314833.460511221</v>
      </c>
      <c r="P150" s="95" t="n">
        <f aca="false">O150+P149</f>
        <v>-336784.416695045</v>
      </c>
      <c r="Q150" s="95" t="n">
        <f aca="false">P150+Q149</f>
        <v>-364335.635731351</v>
      </c>
      <c r="R150" s="95" t="n">
        <f aca="false">Q150+R149</f>
        <v>-391384.156754933</v>
      </c>
      <c r="S150" s="95" t="n">
        <f aca="false">R150+S149</f>
        <v>-418457.483287115</v>
      </c>
      <c r="T150" s="95" t="n">
        <f aca="false">S150+T149</f>
        <v>-426445.508192116</v>
      </c>
      <c r="U150" s="95" t="n">
        <f aca="false">T150+U149</f>
        <v>-442219.402667045</v>
      </c>
      <c r="V150" s="95" t="n">
        <f aca="false">U150+V149</f>
        <v>-466420.392681969</v>
      </c>
      <c r="W150" s="95" t="n">
        <f aca="false">V150+W149</f>
        <v>-499732.476764933</v>
      </c>
    </row>
    <row r="152" customFormat="false" ht="15" hidden="false" customHeight="false" outlineLevel="0" collapsed="false">
      <c r="A152" s="9" t="s">
        <v>480</v>
      </c>
      <c r="B152" s="10"/>
      <c r="C152" s="10"/>
      <c r="D152" s="10"/>
      <c r="E152" s="10"/>
      <c r="F152" s="10"/>
      <c r="G152" s="10"/>
      <c r="H152" s="10"/>
      <c r="I152" s="10"/>
      <c r="J152" s="10"/>
      <c r="K152" s="10"/>
      <c r="L152" s="10"/>
      <c r="M152" s="10"/>
      <c r="N152" s="10"/>
      <c r="O152" s="10"/>
      <c r="P152" s="10"/>
      <c r="Q152" s="10"/>
      <c r="R152" s="10"/>
      <c r="S152" s="10"/>
      <c r="T152" s="10"/>
      <c r="U152" s="10"/>
      <c r="V152" s="10"/>
      <c r="W152" s="10"/>
    </row>
    <row r="153" customFormat="false" ht="15" hidden="false" customHeight="false" outlineLevel="0" collapsed="false">
      <c r="A153" s="11" t="s">
        <v>481</v>
      </c>
      <c r="B153" s="66" t="n">
        <f aca="false">C153+NPV(Hurdle,D153:W153)</f>
        <v>2323238.80329335</v>
      </c>
      <c r="C153" s="95" t="n">
        <f aca="false">C102+C96-C93+C103</f>
        <v>1162734.14692871</v>
      </c>
      <c r="D153" s="95" t="n">
        <f aca="false">D102+D96-D93+D103</f>
        <v>66407.5541247933</v>
      </c>
      <c r="E153" s="95" t="n">
        <f aca="false">E102+E96-E93+E103</f>
        <v>73279.1455139807</v>
      </c>
      <c r="F153" s="95" t="n">
        <f aca="false">F102+F96-F93+F103</f>
        <v>78859.6369550395</v>
      </c>
      <c r="G153" s="95" t="n">
        <f aca="false">G102+G96-G93+G103</f>
        <v>81823.4407312817</v>
      </c>
      <c r="H153" s="95" t="n">
        <f aca="false">H102+H96-H93+H103</f>
        <v>84912.5777140674</v>
      </c>
      <c r="I153" s="95" t="n">
        <f aca="false">I102+I96-I93+I103</f>
        <v>88133.0258223723</v>
      </c>
      <c r="J153" s="95" t="n">
        <f aca="false">J102+J96-J93+J103</f>
        <v>93369.2240598548</v>
      </c>
      <c r="K153" s="95" t="n">
        <f aca="false">K102+K96-K93+K103</f>
        <v>270775.857556027</v>
      </c>
      <c r="L153" s="95" t="n">
        <f aca="false">L102+L96-L93+L103</f>
        <v>117210.054901056</v>
      </c>
      <c r="M153" s="95" t="n">
        <f aca="false">M102+M96-M93+M103</f>
        <v>130435.954099588</v>
      </c>
      <c r="N153" s="95" t="n">
        <f aca="false">N102+N96-N93+N103</f>
        <v>144607.285418405</v>
      </c>
      <c r="O153" s="95" t="n">
        <f aca="false">O102+O96-O93+O103</f>
        <v>159784.764834643</v>
      </c>
      <c r="P153" s="95" t="n">
        <f aca="false">P102+P96-P93+P103</f>
        <v>176032.873760168</v>
      </c>
      <c r="Q153" s="95" t="n">
        <f aca="false">Q102+Q96-Q93+Q103</f>
        <v>193420.089736882</v>
      </c>
      <c r="R153" s="95" t="n">
        <f aca="false">R102+R96-R93+R103</f>
        <v>212019.131206504</v>
      </c>
      <c r="S153" s="95" t="n">
        <f aca="false">S102+S96-S93+S103</f>
        <v>442068.728495999</v>
      </c>
      <c r="T153" s="95" t="n">
        <f aca="false">T102+T96-T93+T103</f>
        <v>253166.342942675</v>
      </c>
      <c r="U153" s="95" t="n">
        <f aca="false">U102+U96-U93+U103</f>
        <v>275883.572081098</v>
      </c>
      <c r="V153" s="95" t="n">
        <f aca="false">V102+V96-V93+V103</f>
        <v>300151.346987308</v>
      </c>
      <c r="W153" s="95" t="n">
        <f aca="false">W102+W96-W93+W103</f>
        <v>326067.817794967</v>
      </c>
    </row>
    <row r="154" customFormat="false" ht="15" hidden="false" customHeight="false" outlineLevel="0" collapsed="false">
      <c r="A154" s="11" t="s">
        <v>482</v>
      </c>
      <c r="B154" s="76" t="n">
        <f aca="false">C154+NPV(Hurdle,D154:W154)</f>
        <v>3504620.16232003</v>
      </c>
      <c r="C154" s="93" t="n">
        <f aca="false">C66</f>
        <v>0</v>
      </c>
      <c r="D154" s="93" t="n">
        <f aca="false">D66</f>
        <v>211139.712</v>
      </c>
      <c r="E154" s="93" t="n">
        <f aca="false">E66</f>
        <v>308088.02976</v>
      </c>
      <c r="F154" s="93" t="n">
        <f aca="false">F66</f>
        <v>373330.200768</v>
      </c>
      <c r="G154" s="93" t="n">
        <f aca="false">G66</f>
        <v>384530.10679104</v>
      </c>
      <c r="H154" s="93" t="n">
        <f aca="false">H66</f>
        <v>396066.009994771</v>
      </c>
      <c r="I154" s="93" t="n">
        <f aca="false">I66</f>
        <v>407947.990294614</v>
      </c>
      <c r="J154" s="93" t="n">
        <f aca="false">J66</f>
        <v>420186.430003453</v>
      </c>
      <c r="K154" s="93" t="n">
        <f aca="false">K66</f>
        <v>432792.022903556</v>
      </c>
      <c r="L154" s="93" t="n">
        <f aca="false">L66</f>
        <v>445775.783590663</v>
      </c>
      <c r="M154" s="93" t="n">
        <f aca="false">M66</f>
        <v>459149.057098383</v>
      </c>
      <c r="N154" s="93" t="n">
        <f aca="false">N66</f>
        <v>472923.528811335</v>
      </c>
      <c r="O154" s="93" t="n">
        <f aca="false">O66</f>
        <v>487111.234675675</v>
      </c>
      <c r="P154" s="93" t="n">
        <f aca="false">P66</f>
        <v>501724.571715945</v>
      </c>
      <c r="Q154" s="93" t="n">
        <f aca="false">Q66</f>
        <v>516776.308867423</v>
      </c>
      <c r="R154" s="93" t="n">
        <f aca="false">R66</f>
        <v>532279.598133446</v>
      </c>
      <c r="S154" s="93" t="n">
        <f aca="false">S66</f>
        <v>548247.986077449</v>
      </c>
      <c r="T154" s="93" t="n">
        <f aca="false">T66</f>
        <v>564695.425659773</v>
      </c>
      <c r="U154" s="93" t="n">
        <f aca="false">U66</f>
        <v>581636.288429566</v>
      </c>
      <c r="V154" s="93" t="n">
        <f aca="false">V66</f>
        <v>599085.377082453</v>
      </c>
      <c r="W154" s="93" t="n">
        <f aca="false">W66</f>
        <v>617057.938394927</v>
      </c>
    </row>
    <row r="155" customFormat="false" ht="15" hidden="false" customHeight="false" outlineLevel="0" collapsed="false">
      <c r="A155" s="11" t="s">
        <v>483</v>
      </c>
      <c r="B155" s="66" t="n">
        <f aca="false">C155+NPV(Hurdle,D155:W155)</f>
        <v>1244550.2938559</v>
      </c>
      <c r="C155" s="95" t="n">
        <f aca="false">C83</f>
        <v>0</v>
      </c>
      <c r="D155" s="95" t="n">
        <f aca="false">D83</f>
        <v>58893.9098112</v>
      </c>
      <c r="E155" s="95" t="n">
        <f aca="false">E83</f>
        <v>88514.1109681613</v>
      </c>
      <c r="F155" s="95" t="n">
        <f aca="false">F83</f>
        <v>110476.023913085</v>
      </c>
      <c r="G155" s="95" t="n">
        <f aca="false">G83</f>
        <v>117204.013769392</v>
      </c>
      <c r="H155" s="95" t="n">
        <f aca="false">H83</f>
        <v>124341.738207948</v>
      </c>
      <c r="I155" s="95" t="n">
        <f aca="false">I83</f>
        <v>131914.150064812</v>
      </c>
      <c r="J155" s="95" t="n">
        <f aca="false">J83</f>
        <v>139947.721803759</v>
      </c>
      <c r="K155" s="95" t="n">
        <f aca="false">K83</f>
        <v>148470.538061608</v>
      </c>
      <c r="L155" s="95" t="n">
        <f aca="false">L83</f>
        <v>157512.39382956</v>
      </c>
      <c r="M155" s="95" t="n">
        <f aca="false">M83</f>
        <v>167104.89861378</v>
      </c>
      <c r="N155" s="95" t="n">
        <f aca="false">N83</f>
        <v>177281.586939359</v>
      </c>
      <c r="O155" s="95" t="n">
        <f aca="false">O83</f>
        <v>188078.035583966</v>
      </c>
      <c r="P155" s="95" t="n">
        <f aca="false">P83</f>
        <v>199531.98795103</v>
      </c>
      <c r="Q155" s="95" t="n">
        <f aca="false">Q83</f>
        <v>211683.486017248</v>
      </c>
      <c r="R155" s="95" t="n">
        <f aca="false">R83</f>
        <v>224575.010315698</v>
      </c>
      <c r="S155" s="95" t="n">
        <f aca="false">S83</f>
        <v>238251.628443924</v>
      </c>
      <c r="T155" s="95" t="n">
        <f aca="false">T83</f>
        <v>252761.152616159</v>
      </c>
      <c r="U155" s="95" t="n">
        <f aca="false">U83</f>
        <v>268154.306810483</v>
      </c>
      <c r="V155" s="95" t="n">
        <f aca="false">V83</f>
        <v>284484.904095242</v>
      </c>
      <c r="W155" s="95" t="n">
        <f aca="false">W83</f>
        <v>301810.034754642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7" t="s">
        <v>392</v>
      </c>
    </row>
    <row r="2" customFormat="false" ht="15" hidden="false" customHeight="false" outlineLevel="0" collapsed="false">
      <c r="A2" s="8" t="s">
        <v>393</v>
      </c>
    </row>
    <row r="4" customFormat="false" ht="15" hidden="false" customHeight="false" outlineLevel="0" collapsed="false">
      <c r="A4" s="9" t="s">
        <v>394</v>
      </c>
      <c r="B4" s="10"/>
    </row>
    <row r="5" customFormat="false" ht="15" hidden="false" customHeight="false" outlineLevel="0" collapsed="false">
      <c r="A5" s="11" t="s">
        <v>67</v>
      </c>
      <c r="B5" s="67" t="n">
        <f aca="false">1+SensDelta</f>
        <v>1.2</v>
      </c>
    </row>
    <row r="6" customFormat="false" ht="15" hidden="false" customHeight="false" outlineLevel="0" collapsed="false">
      <c r="A6" s="11" t="s">
        <v>333</v>
      </c>
      <c r="B6" s="67" t="n">
        <v>1</v>
      </c>
    </row>
    <row r="7" customFormat="false" ht="15" hidden="false" customHeight="false" outlineLevel="0" collapsed="false">
      <c r="A7" s="11" t="s">
        <v>69</v>
      </c>
      <c r="B7" s="67" t="n">
        <v>1</v>
      </c>
    </row>
    <row r="8" customFormat="false" ht="15" hidden="false" customHeight="false" outlineLevel="0" collapsed="false">
      <c r="A8" s="11" t="s">
        <v>70</v>
      </c>
      <c r="B8" s="67" t="n">
        <v>1</v>
      </c>
    </row>
    <row r="9" customFormat="false" ht="15" hidden="false" customHeight="false" outlineLevel="0" collapsed="false">
      <c r="A9" s="11" t="s">
        <v>395</v>
      </c>
      <c r="B9" s="67" t="n">
        <v>1</v>
      </c>
    </row>
    <row r="10" customFormat="false" ht="15" hidden="false" customHeight="false" outlineLevel="0" collapsed="false">
      <c r="A10" s="11" t="s">
        <v>72</v>
      </c>
      <c r="B10" s="67" t="n">
        <v>1</v>
      </c>
    </row>
    <row r="11" customFormat="false" ht="15" hidden="false" customHeight="false" outlineLevel="0" collapsed="false">
      <c r="A11" s="11" t="s">
        <v>334</v>
      </c>
      <c r="B11" s="67" t="n">
        <v>1</v>
      </c>
    </row>
    <row r="13" customFormat="false" ht="15" hidden="false" customHeight="false" outlineLevel="0" collapsed="false">
      <c r="A13" s="9" t="s">
        <v>396</v>
      </c>
      <c r="B13" s="10"/>
    </row>
    <row r="14" customFormat="false" ht="15" hidden="false" customHeight="false" outlineLevel="0" collapsed="false">
      <c r="A14" s="11" t="s">
        <v>397</v>
      </c>
      <c r="B14" s="66" t="n">
        <f aca="false">TotalCapexBase*LevCapex*$B$7</f>
        <v>1162734.14692871</v>
      </c>
    </row>
    <row r="15" customFormat="false" ht="15" hidden="false" customHeight="false" outlineLevel="0" collapsed="false">
      <c r="A15" s="11" t="s">
        <v>398</v>
      </c>
      <c r="B15" s="66" t="n">
        <f aca="false">HardCapexBase*LevCapex*$B$7</f>
        <v>1011073.17124235</v>
      </c>
    </row>
    <row r="16" customFormat="false" ht="15" hidden="false" customHeight="false" outlineLevel="0" collapsed="false">
      <c r="A16" s="11" t="s">
        <v>252</v>
      </c>
      <c r="B16" s="66" t="n">
        <f aca="false">MAX(0,S_Tariff_Hi!$B$14-Grant)*SenPct</f>
        <v>112546.829385741</v>
      </c>
    </row>
    <row r="17" customFormat="false" ht="15" hidden="false" customHeight="false" outlineLevel="0" collapsed="false">
      <c r="A17" s="11" t="s">
        <v>254</v>
      </c>
      <c r="B17" s="66" t="n">
        <f aca="false">MAX(0,S_Tariff_Hi!$B$14-Grant)*ConPct</f>
        <v>112546.829385741</v>
      </c>
    </row>
    <row r="18" customFormat="false" ht="15" hidden="false" customHeight="false" outlineLevel="0" collapsed="false">
      <c r="A18" s="11" t="s">
        <v>399</v>
      </c>
      <c r="B18" s="66" t="n">
        <f aca="false">MAX(0,S_Tariff_Hi!$B$14-Grant-S_Tariff_Hi!$B$16-S_Tariff_Hi!$B$17)</f>
        <v>337640.488157224</v>
      </c>
    </row>
    <row r="19" customFormat="false" ht="15" hidden="false" customHeight="false" outlineLevel="0" collapsed="false">
      <c r="A19" s="11" t="s">
        <v>400</v>
      </c>
      <c r="B19" s="66" t="n">
        <f aca="false">C128</f>
        <v>7315.5439100732</v>
      </c>
    </row>
    <row r="20" customFormat="false" ht="15" hidden="false" customHeight="false" outlineLevel="0" collapsed="false">
      <c r="A20" s="11" t="s">
        <v>401</v>
      </c>
      <c r="B20" s="66" t="n">
        <f aca="false">$B$145</f>
        <v>-556084.402075727</v>
      </c>
    </row>
    <row r="21" customFormat="false" ht="15" hidden="false" customHeight="false" outlineLevel="0" collapsed="false">
      <c r="A21" s="11" t="s">
        <v>402</v>
      </c>
      <c r="B21" s="66" t="n">
        <f aca="false">$B$146</f>
        <v>261835.958555377</v>
      </c>
    </row>
    <row r="22" customFormat="false" ht="15" hidden="false" customHeight="false" outlineLevel="0" collapsed="false">
      <c r="A22" s="11" t="s">
        <v>403</v>
      </c>
      <c r="B22" s="68" t="n">
        <f aca="false">IFERROR(IRR($C$145:$W$145),"n/a")</f>
        <v>0.0217402125359635</v>
      </c>
    </row>
    <row r="23" customFormat="false" ht="15" hidden="false" customHeight="false" outlineLevel="0" collapsed="false">
      <c r="A23" s="11" t="s">
        <v>404</v>
      </c>
      <c r="B23" s="68" t="n">
        <f aca="false">IFERROR(IRR($C$146:$W$146),"n/a")</f>
        <v>0.181732347316516</v>
      </c>
    </row>
    <row r="24" customFormat="false" ht="15" hidden="false" customHeight="false" outlineLevel="0" collapsed="false">
      <c r="A24" s="11" t="s">
        <v>390</v>
      </c>
      <c r="B24" s="66" t="n">
        <f aca="false">MAX(0,-$B$145)</f>
        <v>556084.402075727</v>
      </c>
    </row>
    <row r="25" customFormat="false" ht="15" hidden="false" customHeight="false" outlineLevel="0" collapsed="false">
      <c r="A25" s="11" t="s">
        <v>262</v>
      </c>
      <c r="B25" s="68" t="n">
        <f aca="false">IFERROR(IRR($C$149:$W$149),"n/a")</f>
        <v>0.218535050339075</v>
      </c>
    </row>
    <row r="26" customFormat="false" ht="15" hidden="false" customHeight="false" outlineLevel="0" collapsed="false">
      <c r="A26" s="11" t="s">
        <v>264</v>
      </c>
      <c r="B26" s="66" t="n">
        <f aca="false">C149+NPV(TargetEqIRR,D149:W149)</f>
        <v>114345.181362423</v>
      </c>
    </row>
    <row r="27" customFormat="false" ht="15" hidden="false" customHeight="false" outlineLevel="0" collapsed="false">
      <c r="A27" s="11" t="s">
        <v>258</v>
      </c>
      <c r="B27" s="67" t="n">
        <f aca="false">IF((S_Tariff_Hi!$B$16+S_Tariff_Hi!$B$17)&gt;0,MIN($D$148:$W$148),"no debt")</f>
        <v>2.39076936463844</v>
      </c>
    </row>
    <row r="28" customFormat="false" ht="15" hidden="false" customHeight="false" outlineLevel="0" collapsed="false">
      <c r="A28" s="11" t="s">
        <v>260</v>
      </c>
      <c r="B28" s="67" t="n">
        <f aca="false">IF((S_Tariff_Hi!$B$16+S_Tariff_Hi!$B$17)&gt;0,AVERAGE($D$148:$W$148),"no debt")</f>
        <v>4.66867767296075</v>
      </c>
    </row>
    <row r="29" customFormat="false" ht="15" hidden="false" customHeight="false" outlineLevel="0" collapsed="false">
      <c r="A29" s="11" t="s">
        <v>405</v>
      </c>
      <c r="B29" s="87" t="n">
        <f aca="false">IFERROR($B$153/$B$154,0)</f>
        <v>0.662907446653331</v>
      </c>
    </row>
    <row r="30" customFormat="false" ht="15" hidden="false" customHeight="false" outlineLevel="0" collapsed="false">
      <c r="A30" s="11" t="s">
        <v>261</v>
      </c>
      <c r="B30" s="87" t="n">
        <f aca="false">IFERROR($B$155/$B$154,0)</f>
        <v>0.532675540948788</v>
      </c>
    </row>
    <row r="31" customFormat="false" ht="15" hidden="false" customHeight="false" outlineLevel="0" collapsed="false">
      <c r="A31" s="11" t="s">
        <v>406</v>
      </c>
      <c r="B31" s="77" t="n">
        <f aca="false">NPV(Hurdle,D109:W109)</f>
        <v>838.820435762584</v>
      </c>
    </row>
    <row r="32" customFormat="false" ht="15" hidden="false" customHeight="false" outlineLevel="0" collapsed="false">
      <c r="A32" s="11" t="s">
        <v>407</v>
      </c>
      <c r="B32" s="66" t="n">
        <f aca="false">NPV(Hurdle,D108:W108)</f>
        <v>217920.360631104</v>
      </c>
    </row>
    <row r="33" customFormat="false" ht="15" hidden="false" customHeight="false" outlineLevel="0" collapsed="false">
      <c r="A33" s="11" t="s">
        <v>408</v>
      </c>
      <c r="B33" s="77" t="n">
        <f aca="false">NPV(TargetEqIRR,D109:W109)</f>
        <v>785.120407660064</v>
      </c>
    </row>
    <row r="34" customFormat="false" ht="15" hidden="false" customHeight="false" outlineLevel="0" collapsed="false">
      <c r="A34" s="11" t="s">
        <v>409</v>
      </c>
      <c r="B34" s="66" t="n">
        <f aca="false">NPV(TargetEqIRR,D108:W108)</f>
        <v>203969.425495192</v>
      </c>
    </row>
    <row r="35" customFormat="false" ht="15" hidden="false" customHeight="false" outlineLevel="0" collapsed="false">
      <c r="A35" s="11" t="s">
        <v>410</v>
      </c>
      <c r="B35" s="66" t="n">
        <f aca="false">MAX(0,MIN($D$127:$W$127))</f>
        <v>260923.620604073</v>
      </c>
    </row>
    <row r="36" customFormat="false" ht="15" hidden="false" customHeight="false" outlineLevel="0" collapsed="false">
      <c r="A36" s="11" t="s">
        <v>266</v>
      </c>
      <c r="B36" s="88" t="n">
        <f aca="false">IFERROR(MATCH(TRUE(),INDEX($C$150:$W$150&gt;=0,0),0)-1,"&gt; life")</f>
        <v>5</v>
      </c>
    </row>
    <row r="39" customFormat="false" ht="15" hidden="false" customHeight="false" outlineLevel="0" collapsed="false">
      <c r="A39" s="16" t="s">
        <v>411</v>
      </c>
      <c r="B39" s="74" t="s">
        <v>412</v>
      </c>
      <c r="C39" s="89" t="n">
        <v>0</v>
      </c>
      <c r="D39" s="89" t="n">
        <v>1</v>
      </c>
      <c r="E39" s="89" t="n">
        <v>2</v>
      </c>
      <c r="F39" s="89" t="n">
        <v>3</v>
      </c>
      <c r="G39" s="89" t="n">
        <v>4</v>
      </c>
      <c r="H39" s="89" t="n">
        <v>5</v>
      </c>
      <c r="I39" s="89" t="n">
        <v>6</v>
      </c>
      <c r="J39" s="89" t="n">
        <v>7</v>
      </c>
      <c r="K39" s="89" t="n">
        <v>8</v>
      </c>
      <c r="L39" s="89" t="n">
        <v>9</v>
      </c>
      <c r="M39" s="89" t="n">
        <v>10</v>
      </c>
      <c r="N39" s="89" t="n">
        <v>11</v>
      </c>
      <c r="O39" s="89" t="n">
        <v>12</v>
      </c>
      <c r="P39" s="89" t="n">
        <v>13</v>
      </c>
      <c r="Q39" s="89" t="n">
        <v>14</v>
      </c>
      <c r="R39" s="89" t="n">
        <v>15</v>
      </c>
      <c r="S39" s="89" t="n">
        <v>16</v>
      </c>
      <c r="T39" s="89" t="n">
        <v>17</v>
      </c>
      <c r="U39" s="89" t="n">
        <v>18</v>
      </c>
      <c r="V39" s="89" t="n">
        <v>19</v>
      </c>
      <c r="W39" s="89" t="n">
        <v>20</v>
      </c>
    </row>
    <row r="40" customFormat="false" ht="15" hidden="false" customHeight="false" outlineLevel="0" collapsed="false">
      <c r="A40" s="11" t="s">
        <v>413</v>
      </c>
      <c r="C40" s="90" t="n">
        <f aca="false">StartYear-1+C39</f>
        <v>2026</v>
      </c>
      <c r="D40" s="90" t="n">
        <f aca="false">StartYear-1+D39</f>
        <v>2027</v>
      </c>
      <c r="E40" s="90" t="n">
        <f aca="false">StartYear-1+E39</f>
        <v>2028</v>
      </c>
      <c r="F40" s="90" t="n">
        <f aca="false">StartYear-1+F39</f>
        <v>2029</v>
      </c>
      <c r="G40" s="90" t="n">
        <f aca="false">StartYear-1+G39</f>
        <v>2030</v>
      </c>
      <c r="H40" s="90" t="n">
        <f aca="false">StartYear-1+H39</f>
        <v>2031</v>
      </c>
      <c r="I40" s="90" t="n">
        <f aca="false">StartYear-1+I39</f>
        <v>2032</v>
      </c>
      <c r="J40" s="90" t="n">
        <f aca="false">StartYear-1+J39</f>
        <v>2033</v>
      </c>
      <c r="K40" s="90" t="n">
        <f aca="false">StartYear-1+K39</f>
        <v>2034</v>
      </c>
      <c r="L40" s="90" t="n">
        <f aca="false">StartYear-1+L39</f>
        <v>2035</v>
      </c>
      <c r="M40" s="90" t="n">
        <f aca="false">StartYear-1+M39</f>
        <v>2036</v>
      </c>
      <c r="N40" s="90" t="n">
        <f aca="false">StartYear-1+N39</f>
        <v>2037</v>
      </c>
      <c r="O40" s="90" t="n">
        <f aca="false">StartYear-1+O39</f>
        <v>2038</v>
      </c>
      <c r="P40" s="90" t="n">
        <f aca="false">StartYear-1+P39</f>
        <v>2039</v>
      </c>
      <c r="Q40" s="90" t="n">
        <f aca="false">StartYear-1+Q39</f>
        <v>2040</v>
      </c>
      <c r="R40" s="90" t="n">
        <f aca="false">StartYear-1+R39</f>
        <v>2041</v>
      </c>
      <c r="S40" s="90" t="n">
        <f aca="false">StartYear-1+S39</f>
        <v>2042</v>
      </c>
      <c r="T40" s="90" t="n">
        <f aca="false">StartYear-1+T39</f>
        <v>2043</v>
      </c>
      <c r="U40" s="90" t="n">
        <f aca="false">StartYear-1+U39</f>
        <v>2044</v>
      </c>
      <c r="V40" s="90" t="n">
        <f aca="false">StartYear-1+V39</f>
        <v>2045</v>
      </c>
      <c r="W40" s="90" t="n">
        <f aca="false">StartYear-1+W39</f>
        <v>2046</v>
      </c>
    </row>
    <row r="41" customFormat="false" ht="15" hidden="false" customHeight="false" outlineLevel="0" collapsed="false">
      <c r="A41" s="11" t="s">
        <v>414</v>
      </c>
      <c r="C41" s="90" t="n">
        <f aca="false">IF(AND(C39&gt;=1,C39&lt;=Life),1,0)</f>
        <v>0</v>
      </c>
      <c r="D41" s="90" t="n">
        <f aca="false">IF(AND(D39&gt;=1,D39&lt;=Life),1,0)</f>
        <v>1</v>
      </c>
      <c r="E41" s="90" t="n">
        <f aca="false">IF(AND(E39&gt;=1,E39&lt;=Life),1,0)</f>
        <v>1</v>
      </c>
      <c r="F41" s="90" t="n">
        <f aca="false">IF(AND(F39&gt;=1,F39&lt;=Life),1,0)</f>
        <v>1</v>
      </c>
      <c r="G41" s="90" t="n">
        <f aca="false">IF(AND(G39&gt;=1,G39&lt;=Life),1,0)</f>
        <v>1</v>
      </c>
      <c r="H41" s="90" t="n">
        <f aca="false">IF(AND(H39&gt;=1,H39&lt;=Life),1,0)</f>
        <v>1</v>
      </c>
      <c r="I41" s="90" t="n">
        <f aca="false">IF(AND(I39&gt;=1,I39&lt;=Life),1,0)</f>
        <v>1</v>
      </c>
      <c r="J41" s="90" t="n">
        <f aca="false">IF(AND(J39&gt;=1,J39&lt;=Life),1,0)</f>
        <v>1</v>
      </c>
      <c r="K41" s="90" t="n">
        <f aca="false">IF(AND(K39&gt;=1,K39&lt;=Life),1,0)</f>
        <v>1</v>
      </c>
      <c r="L41" s="90" t="n">
        <f aca="false">IF(AND(L39&gt;=1,L39&lt;=Life),1,0)</f>
        <v>1</v>
      </c>
      <c r="M41" s="90" t="n">
        <f aca="false">IF(AND(M39&gt;=1,M39&lt;=Life),1,0)</f>
        <v>1</v>
      </c>
      <c r="N41" s="90" t="n">
        <f aca="false">IF(AND(N39&gt;=1,N39&lt;=Life),1,0)</f>
        <v>1</v>
      </c>
      <c r="O41" s="90" t="n">
        <f aca="false">IF(AND(O39&gt;=1,O39&lt;=Life),1,0)</f>
        <v>1</v>
      </c>
      <c r="P41" s="90" t="n">
        <f aca="false">IF(AND(P39&gt;=1,P39&lt;=Life),1,0)</f>
        <v>1</v>
      </c>
      <c r="Q41" s="90" t="n">
        <f aca="false">IF(AND(Q39&gt;=1,Q39&lt;=Life),1,0)</f>
        <v>1</v>
      </c>
      <c r="R41" s="90" t="n">
        <f aca="false">IF(AND(R39&gt;=1,R39&lt;=Life),1,0)</f>
        <v>1</v>
      </c>
      <c r="S41" s="90" t="n">
        <f aca="false">IF(AND(S39&gt;=1,S39&lt;=Life),1,0)</f>
        <v>1</v>
      </c>
      <c r="T41" s="90" t="n">
        <f aca="false">IF(AND(T39&gt;=1,T39&lt;=Life),1,0)</f>
        <v>1</v>
      </c>
      <c r="U41" s="90" t="n">
        <f aca="false">IF(AND(U39&gt;=1,U39&lt;=Life),1,0)</f>
        <v>1</v>
      </c>
      <c r="V41" s="90" t="n">
        <f aca="false">IF(AND(V39&gt;=1,V39&lt;=Life),1,0)</f>
        <v>1</v>
      </c>
      <c r="W41" s="90" t="n">
        <f aca="false">IF(AND(W39&gt;=1,W39&lt;=Life),1,0)</f>
        <v>1</v>
      </c>
    </row>
    <row r="42" customFormat="false" ht="15" hidden="false" customHeight="false" outlineLevel="0" collapsed="false">
      <c r="A42" s="11" t="s">
        <v>415</v>
      </c>
      <c r="C42" s="91" t="n">
        <v>0</v>
      </c>
      <c r="D42" s="91" t="n">
        <f aca="false">IF(D39=1,Ramp1,IF(D39=2,Ramp2,Ramp3))*D41</f>
        <v>0.6</v>
      </c>
      <c r="E42" s="91" t="n">
        <f aca="false">IF(E39=1,Ramp1,IF(E39=2,Ramp2,Ramp3))*E41</f>
        <v>0.85</v>
      </c>
      <c r="F42" s="91" t="n">
        <f aca="false">IF(F39=1,Ramp1,IF(F39=2,Ramp2,Ramp3))*F41</f>
        <v>1</v>
      </c>
      <c r="G42" s="91" t="n">
        <f aca="false">IF(G39=1,Ramp1,IF(G39=2,Ramp2,Ramp3))*G41</f>
        <v>1</v>
      </c>
      <c r="H42" s="91" t="n">
        <f aca="false">IF(H39=1,Ramp1,IF(H39=2,Ramp2,Ramp3))*H41</f>
        <v>1</v>
      </c>
      <c r="I42" s="91" t="n">
        <f aca="false">IF(I39=1,Ramp1,IF(I39=2,Ramp2,Ramp3))*I41</f>
        <v>1</v>
      </c>
      <c r="J42" s="91" t="n">
        <f aca="false">IF(J39=1,Ramp1,IF(J39=2,Ramp2,Ramp3))*J41</f>
        <v>1</v>
      </c>
      <c r="K42" s="91" t="n">
        <f aca="false">IF(K39=1,Ramp1,IF(K39=2,Ramp2,Ramp3))*K41</f>
        <v>1</v>
      </c>
      <c r="L42" s="91" t="n">
        <f aca="false">IF(L39=1,Ramp1,IF(L39=2,Ramp2,Ramp3))*L41</f>
        <v>1</v>
      </c>
      <c r="M42" s="91" t="n">
        <f aca="false">IF(M39=1,Ramp1,IF(M39=2,Ramp2,Ramp3))*M41</f>
        <v>1</v>
      </c>
      <c r="N42" s="91" t="n">
        <f aca="false">IF(N39=1,Ramp1,IF(N39=2,Ramp2,Ramp3))*N41</f>
        <v>1</v>
      </c>
      <c r="O42" s="91" t="n">
        <f aca="false">IF(O39=1,Ramp1,IF(O39=2,Ramp2,Ramp3))*O41</f>
        <v>1</v>
      </c>
      <c r="P42" s="91" t="n">
        <f aca="false">IF(P39=1,Ramp1,IF(P39=2,Ramp2,Ramp3))*P41</f>
        <v>1</v>
      </c>
      <c r="Q42" s="91" t="n">
        <f aca="false">IF(Q39=1,Ramp1,IF(Q39=2,Ramp2,Ramp3))*Q41</f>
        <v>1</v>
      </c>
      <c r="R42" s="91" t="n">
        <f aca="false">IF(R39=1,Ramp1,IF(R39=2,Ramp2,Ramp3))*R41</f>
        <v>1</v>
      </c>
      <c r="S42" s="91" t="n">
        <f aca="false">IF(S39=1,Ramp1,IF(S39=2,Ramp2,Ramp3))*S41</f>
        <v>1</v>
      </c>
      <c r="T42" s="91" t="n">
        <f aca="false">IF(T39=1,Ramp1,IF(T39=2,Ramp2,Ramp3))*T41</f>
        <v>1</v>
      </c>
      <c r="U42" s="91" t="n">
        <f aca="false">IF(U39=1,Ramp1,IF(U39=2,Ramp2,Ramp3))*U41</f>
        <v>1</v>
      </c>
      <c r="V42" s="91" t="n">
        <f aca="false">IF(V39=1,Ramp1,IF(V39=2,Ramp2,Ramp3))*V41</f>
        <v>1</v>
      </c>
      <c r="W42" s="91" t="n">
        <f aca="false">IF(W39=1,Ramp1,IF(W39=2,Ramp2,Ramp3))*W41</f>
        <v>1</v>
      </c>
    </row>
    <row r="43" customFormat="false" ht="15" hidden="false" customHeight="false" outlineLevel="0" collapsed="false">
      <c r="A43" s="11" t="s">
        <v>416</v>
      </c>
      <c r="C43" s="92" t="n">
        <v>0</v>
      </c>
      <c r="D43" s="92" t="n">
        <f aca="false">(1+TariffEsc)^(D39-1)</f>
        <v>1</v>
      </c>
      <c r="E43" s="92" t="n">
        <f aca="false">(1+TariffEsc)^(E39-1)</f>
        <v>1.03</v>
      </c>
      <c r="F43" s="92" t="n">
        <f aca="false">(1+TariffEsc)^(F39-1)</f>
        <v>1.0609</v>
      </c>
      <c r="G43" s="92" t="n">
        <f aca="false">(1+TariffEsc)^(G39-1)</f>
        <v>1.092727</v>
      </c>
      <c r="H43" s="92" t="n">
        <f aca="false">(1+TariffEsc)^(H39-1)</f>
        <v>1.12550881</v>
      </c>
      <c r="I43" s="92" t="n">
        <f aca="false">(1+TariffEsc)^(I39-1)</f>
        <v>1.1592740743</v>
      </c>
      <c r="J43" s="92" t="n">
        <f aca="false">(1+TariffEsc)^(J39-1)</f>
        <v>1.194052296529</v>
      </c>
      <c r="K43" s="92" t="n">
        <f aca="false">(1+TariffEsc)^(K39-1)</f>
        <v>1.22987386542487</v>
      </c>
      <c r="L43" s="92" t="n">
        <f aca="false">(1+TariffEsc)^(L39-1)</f>
        <v>1.26677008138762</v>
      </c>
      <c r="M43" s="92" t="n">
        <f aca="false">(1+TariffEsc)^(M39-1)</f>
        <v>1.30477318382925</v>
      </c>
      <c r="N43" s="92" t="n">
        <f aca="false">(1+TariffEsc)^(N39-1)</f>
        <v>1.34391637934412</v>
      </c>
      <c r="O43" s="92" t="n">
        <f aca="false">(1+TariffEsc)^(O39-1)</f>
        <v>1.38423387072445</v>
      </c>
      <c r="P43" s="92" t="n">
        <f aca="false">(1+TariffEsc)^(P39-1)</f>
        <v>1.42576088684618</v>
      </c>
      <c r="Q43" s="92" t="n">
        <f aca="false">(1+TariffEsc)^(Q39-1)</f>
        <v>1.46853371345156</v>
      </c>
      <c r="R43" s="92" t="n">
        <f aca="false">(1+TariffEsc)^(R39-1)</f>
        <v>1.51258972485511</v>
      </c>
      <c r="S43" s="92" t="n">
        <f aca="false">(1+TariffEsc)^(S39-1)</f>
        <v>1.55796741660077</v>
      </c>
      <c r="T43" s="92" t="n">
        <f aca="false">(1+TariffEsc)^(T39-1)</f>
        <v>1.60470643909879</v>
      </c>
      <c r="U43" s="92" t="n">
        <f aca="false">(1+TariffEsc)^(U39-1)</f>
        <v>1.65284763227175</v>
      </c>
      <c r="V43" s="92" t="n">
        <f aca="false">(1+TariffEsc)^(V39-1)</f>
        <v>1.7024330612399</v>
      </c>
      <c r="W43" s="92" t="n">
        <f aca="false">(1+TariffEsc)^(W39-1)</f>
        <v>1.7535060530771</v>
      </c>
    </row>
    <row r="44" customFormat="false" ht="15" hidden="false" customHeight="false" outlineLevel="0" collapsed="false">
      <c r="A44" s="11" t="s">
        <v>417</v>
      </c>
      <c r="C44" s="92" t="n">
        <v>0</v>
      </c>
      <c r="D44" s="92" t="n">
        <f aca="false">(1+CostEsc)^(D39-1)</f>
        <v>1</v>
      </c>
      <c r="E44" s="92" t="n">
        <f aca="false">(1+CostEsc)^(E39-1)</f>
        <v>1.03</v>
      </c>
      <c r="F44" s="92" t="n">
        <f aca="false">(1+CostEsc)^(F39-1)</f>
        <v>1.0609</v>
      </c>
      <c r="G44" s="92" t="n">
        <f aca="false">(1+CostEsc)^(G39-1)</f>
        <v>1.092727</v>
      </c>
      <c r="H44" s="92" t="n">
        <f aca="false">(1+CostEsc)^(H39-1)</f>
        <v>1.12550881</v>
      </c>
      <c r="I44" s="92" t="n">
        <f aca="false">(1+CostEsc)^(I39-1)</f>
        <v>1.1592740743</v>
      </c>
      <c r="J44" s="92" t="n">
        <f aca="false">(1+CostEsc)^(J39-1)</f>
        <v>1.194052296529</v>
      </c>
      <c r="K44" s="92" t="n">
        <f aca="false">(1+CostEsc)^(K39-1)</f>
        <v>1.22987386542487</v>
      </c>
      <c r="L44" s="92" t="n">
        <f aca="false">(1+CostEsc)^(L39-1)</f>
        <v>1.26677008138762</v>
      </c>
      <c r="M44" s="92" t="n">
        <f aca="false">(1+CostEsc)^(M39-1)</f>
        <v>1.30477318382925</v>
      </c>
      <c r="N44" s="92" t="n">
        <f aca="false">(1+CostEsc)^(N39-1)</f>
        <v>1.34391637934412</v>
      </c>
      <c r="O44" s="92" t="n">
        <f aca="false">(1+CostEsc)^(O39-1)</f>
        <v>1.38423387072445</v>
      </c>
      <c r="P44" s="92" t="n">
        <f aca="false">(1+CostEsc)^(P39-1)</f>
        <v>1.42576088684618</v>
      </c>
      <c r="Q44" s="92" t="n">
        <f aca="false">(1+CostEsc)^(Q39-1)</f>
        <v>1.46853371345156</v>
      </c>
      <c r="R44" s="92" t="n">
        <f aca="false">(1+CostEsc)^(R39-1)</f>
        <v>1.51258972485511</v>
      </c>
      <c r="S44" s="92" t="n">
        <f aca="false">(1+CostEsc)^(S39-1)</f>
        <v>1.55796741660077</v>
      </c>
      <c r="T44" s="92" t="n">
        <f aca="false">(1+CostEsc)^(T39-1)</f>
        <v>1.60470643909879</v>
      </c>
      <c r="U44" s="92" t="n">
        <f aca="false">(1+CostEsc)^(U39-1)</f>
        <v>1.65284763227175</v>
      </c>
      <c r="V44" s="92" t="n">
        <f aca="false">(1+CostEsc)^(V39-1)</f>
        <v>1.7024330612399</v>
      </c>
      <c r="W44" s="92" t="n">
        <f aca="false">(1+CostEsc)^(W39-1)</f>
        <v>1.7535060530771</v>
      </c>
    </row>
    <row r="45" customFormat="false" ht="15" hidden="false" customHeight="false" outlineLevel="0" collapsed="false">
      <c r="A45" s="11" t="s">
        <v>418</v>
      </c>
      <c r="C45" s="92" t="n">
        <v>0</v>
      </c>
      <c r="D45" s="92" t="n">
        <f aca="false">(1+DemandGrowth)^(D39-1)*LevDemand*$B$6</f>
        <v>1</v>
      </c>
      <c r="E45" s="92" t="n">
        <f aca="false">(1+DemandGrowth)^(E39-1)*LevDemand*$B$6</f>
        <v>1.03</v>
      </c>
      <c r="F45" s="92" t="n">
        <f aca="false">(1+DemandGrowth)^(F39-1)*LevDemand*$B$6</f>
        <v>1.0609</v>
      </c>
      <c r="G45" s="92" t="n">
        <f aca="false">(1+DemandGrowth)^(G39-1)*LevDemand*$B$6</f>
        <v>1.092727</v>
      </c>
      <c r="H45" s="92" t="n">
        <f aca="false">(1+DemandGrowth)^(H39-1)*LevDemand*$B$6</f>
        <v>1.12550881</v>
      </c>
      <c r="I45" s="92" t="n">
        <f aca="false">(1+DemandGrowth)^(I39-1)*LevDemand*$B$6</f>
        <v>1.1592740743</v>
      </c>
      <c r="J45" s="92" t="n">
        <f aca="false">(1+DemandGrowth)^(J39-1)*LevDemand*$B$6</f>
        <v>1.194052296529</v>
      </c>
      <c r="K45" s="92" t="n">
        <f aca="false">(1+DemandGrowth)^(K39-1)*LevDemand*$B$6</f>
        <v>1.22987386542487</v>
      </c>
      <c r="L45" s="92" t="n">
        <f aca="false">(1+DemandGrowth)^(L39-1)*LevDemand*$B$6</f>
        <v>1.26677008138762</v>
      </c>
      <c r="M45" s="92" t="n">
        <f aca="false">(1+DemandGrowth)^(M39-1)*LevDemand*$B$6</f>
        <v>1.30477318382925</v>
      </c>
      <c r="N45" s="92" t="n">
        <f aca="false">(1+DemandGrowth)^(N39-1)*LevDemand*$B$6</f>
        <v>1.34391637934412</v>
      </c>
      <c r="O45" s="92" t="n">
        <f aca="false">(1+DemandGrowth)^(O39-1)*LevDemand*$B$6</f>
        <v>1.38423387072445</v>
      </c>
      <c r="P45" s="92" t="n">
        <f aca="false">(1+DemandGrowth)^(P39-1)*LevDemand*$B$6</f>
        <v>1.42576088684618</v>
      </c>
      <c r="Q45" s="92" t="n">
        <f aca="false">(1+DemandGrowth)^(Q39-1)*LevDemand*$B$6</f>
        <v>1.46853371345156</v>
      </c>
      <c r="R45" s="92" t="n">
        <f aca="false">(1+DemandGrowth)^(R39-1)*LevDemand*$B$6</f>
        <v>1.51258972485511</v>
      </c>
      <c r="S45" s="92" t="n">
        <f aca="false">(1+DemandGrowth)^(S39-1)*LevDemand*$B$6</f>
        <v>1.55796741660077</v>
      </c>
      <c r="T45" s="92" t="n">
        <f aca="false">(1+DemandGrowth)^(T39-1)*LevDemand*$B$6</f>
        <v>1.60470643909879</v>
      </c>
      <c r="U45" s="92" t="n">
        <f aca="false">(1+DemandGrowth)^(U39-1)*LevDemand*$B$6</f>
        <v>1.65284763227175</v>
      </c>
      <c r="V45" s="92" t="n">
        <f aca="false">(1+DemandGrowth)^(V39-1)*LevDemand*$B$6</f>
        <v>1.7024330612399</v>
      </c>
      <c r="W45" s="92" t="n">
        <f aca="false">(1+DemandGrowth)^(W39-1)*LevDemand*$B$6</f>
        <v>1.7535060530771</v>
      </c>
    </row>
    <row r="47" customFormat="false" ht="15" hidden="false" customHeight="false" outlineLevel="0" collapsed="false">
      <c r="A47" s="9" t="s">
        <v>419</v>
      </c>
      <c r="B47" s="10"/>
      <c r="C47" s="10"/>
      <c r="D47" s="10"/>
      <c r="E47" s="10"/>
      <c r="F47" s="10"/>
      <c r="G47" s="10"/>
      <c r="H47" s="10"/>
      <c r="I47" s="10"/>
      <c r="J47" s="10"/>
      <c r="K47" s="10"/>
      <c r="L47" s="10"/>
      <c r="M47" s="10"/>
      <c r="N47" s="10"/>
      <c r="O47" s="10"/>
      <c r="P47" s="10"/>
      <c r="Q47" s="10"/>
      <c r="R47" s="10"/>
      <c r="S47" s="10"/>
      <c r="T47" s="10"/>
      <c r="U47" s="10"/>
      <c r="V47" s="10"/>
      <c r="W47" s="10"/>
    </row>
    <row r="48" customFormat="false" ht="15" hidden="false" customHeight="false" outlineLevel="0" collapsed="false">
      <c r="A48" s="11" t="str">
        <f aca="false">"Connections - "&amp;Seg1_Name</f>
        <v>Connections - Households</v>
      </c>
      <c r="C48" s="93" t="n">
        <v>0</v>
      </c>
      <c r="D48" s="93" t="n">
        <f aca="false">Seg1_N*D42</f>
        <v>480</v>
      </c>
      <c r="E48" s="93" t="n">
        <f aca="false">Seg1_N*E42</f>
        <v>680</v>
      </c>
      <c r="F48" s="93" t="n">
        <f aca="false">Seg1_N*F42</f>
        <v>800</v>
      </c>
      <c r="G48" s="93" t="n">
        <f aca="false">Seg1_N*G42</f>
        <v>800</v>
      </c>
      <c r="H48" s="93" t="n">
        <f aca="false">Seg1_N*H42</f>
        <v>800</v>
      </c>
      <c r="I48" s="93" t="n">
        <f aca="false">Seg1_N*I42</f>
        <v>800</v>
      </c>
      <c r="J48" s="93" t="n">
        <f aca="false">Seg1_N*J42</f>
        <v>800</v>
      </c>
      <c r="K48" s="93" t="n">
        <f aca="false">Seg1_N*K42</f>
        <v>800</v>
      </c>
      <c r="L48" s="93" t="n">
        <f aca="false">Seg1_N*L42</f>
        <v>800</v>
      </c>
      <c r="M48" s="93" t="n">
        <f aca="false">Seg1_N*M42</f>
        <v>800</v>
      </c>
      <c r="N48" s="93" t="n">
        <f aca="false">Seg1_N*N42</f>
        <v>800</v>
      </c>
      <c r="O48" s="93" t="n">
        <f aca="false">Seg1_N*O42</f>
        <v>800</v>
      </c>
      <c r="P48" s="93" t="n">
        <f aca="false">Seg1_N*P42</f>
        <v>800</v>
      </c>
      <c r="Q48" s="93" t="n">
        <f aca="false">Seg1_N*Q42</f>
        <v>800</v>
      </c>
      <c r="R48" s="93" t="n">
        <f aca="false">Seg1_N*R42</f>
        <v>800</v>
      </c>
      <c r="S48" s="93" t="n">
        <f aca="false">Seg1_N*S42</f>
        <v>800</v>
      </c>
      <c r="T48" s="93" t="n">
        <f aca="false">Seg1_N*T42</f>
        <v>800</v>
      </c>
      <c r="U48" s="93" t="n">
        <f aca="false">Seg1_N*U42</f>
        <v>800</v>
      </c>
      <c r="V48" s="93" t="n">
        <f aca="false">Seg1_N*V42</f>
        <v>800</v>
      </c>
      <c r="W48" s="93" t="n">
        <f aca="false">Seg1_N*W42</f>
        <v>800</v>
      </c>
    </row>
    <row r="49" customFormat="false" ht="15" hidden="false" customHeight="false" outlineLevel="0" collapsed="false">
      <c r="A49" s="11" t="str">
        <f aca="false">"Connections - "&amp;Seg2_Name</f>
        <v>Connections - Productive users (mills, welding, cold rooms)</v>
      </c>
      <c r="C49" s="93" t="n">
        <v>0</v>
      </c>
      <c r="D49" s="93" t="n">
        <f aca="false">Seg2_N*D42</f>
        <v>36</v>
      </c>
      <c r="E49" s="93" t="n">
        <f aca="false">Seg2_N*E42</f>
        <v>51</v>
      </c>
      <c r="F49" s="93" t="n">
        <f aca="false">Seg2_N*F42</f>
        <v>60</v>
      </c>
      <c r="G49" s="93" t="n">
        <f aca="false">Seg2_N*G42</f>
        <v>60</v>
      </c>
      <c r="H49" s="93" t="n">
        <f aca="false">Seg2_N*H42</f>
        <v>60</v>
      </c>
      <c r="I49" s="93" t="n">
        <f aca="false">Seg2_N*I42</f>
        <v>60</v>
      </c>
      <c r="J49" s="93" t="n">
        <f aca="false">Seg2_N*J42</f>
        <v>60</v>
      </c>
      <c r="K49" s="93" t="n">
        <f aca="false">Seg2_N*K42</f>
        <v>60</v>
      </c>
      <c r="L49" s="93" t="n">
        <f aca="false">Seg2_N*L42</f>
        <v>60</v>
      </c>
      <c r="M49" s="93" t="n">
        <f aca="false">Seg2_N*M42</f>
        <v>60</v>
      </c>
      <c r="N49" s="93" t="n">
        <f aca="false">Seg2_N*N42</f>
        <v>60</v>
      </c>
      <c r="O49" s="93" t="n">
        <f aca="false">Seg2_N*O42</f>
        <v>60</v>
      </c>
      <c r="P49" s="93" t="n">
        <f aca="false">Seg2_N*P42</f>
        <v>60</v>
      </c>
      <c r="Q49" s="93" t="n">
        <f aca="false">Seg2_N*Q42</f>
        <v>60</v>
      </c>
      <c r="R49" s="93" t="n">
        <f aca="false">Seg2_N*R42</f>
        <v>60</v>
      </c>
      <c r="S49" s="93" t="n">
        <f aca="false">Seg2_N*S42</f>
        <v>60</v>
      </c>
      <c r="T49" s="93" t="n">
        <f aca="false">Seg2_N*T42</f>
        <v>60</v>
      </c>
      <c r="U49" s="93" t="n">
        <f aca="false">Seg2_N*U42</f>
        <v>60</v>
      </c>
      <c r="V49" s="93" t="n">
        <f aca="false">Seg2_N*V42</f>
        <v>60</v>
      </c>
      <c r="W49" s="93" t="n">
        <f aca="false">Seg2_N*W42</f>
        <v>60</v>
      </c>
    </row>
    <row r="50" customFormat="false" ht="15" hidden="false" customHeight="false" outlineLevel="0" collapsed="false">
      <c r="A50" s="11" t="str">
        <f aca="false">"Connections - "&amp;Seg3_Name</f>
        <v>Connections - Commercial (shops, bars, kiosks)</v>
      </c>
      <c r="C50" s="93" t="n">
        <v>0</v>
      </c>
      <c r="D50" s="93" t="n">
        <f aca="false">Seg3_N*D42</f>
        <v>60</v>
      </c>
      <c r="E50" s="93" t="n">
        <f aca="false">Seg3_N*E42</f>
        <v>85</v>
      </c>
      <c r="F50" s="93" t="n">
        <f aca="false">Seg3_N*F42</f>
        <v>100</v>
      </c>
      <c r="G50" s="93" t="n">
        <f aca="false">Seg3_N*G42</f>
        <v>100</v>
      </c>
      <c r="H50" s="93" t="n">
        <f aca="false">Seg3_N*H42</f>
        <v>100</v>
      </c>
      <c r="I50" s="93" t="n">
        <f aca="false">Seg3_N*I42</f>
        <v>100</v>
      </c>
      <c r="J50" s="93" t="n">
        <f aca="false">Seg3_N*J42</f>
        <v>100</v>
      </c>
      <c r="K50" s="93" t="n">
        <f aca="false">Seg3_N*K42</f>
        <v>100</v>
      </c>
      <c r="L50" s="93" t="n">
        <f aca="false">Seg3_N*L42</f>
        <v>100</v>
      </c>
      <c r="M50" s="93" t="n">
        <f aca="false">Seg3_N*M42</f>
        <v>100</v>
      </c>
      <c r="N50" s="93" t="n">
        <f aca="false">Seg3_N*N42</f>
        <v>100</v>
      </c>
      <c r="O50" s="93" t="n">
        <f aca="false">Seg3_N*O42</f>
        <v>100</v>
      </c>
      <c r="P50" s="93" t="n">
        <f aca="false">Seg3_N*P42</f>
        <v>100</v>
      </c>
      <c r="Q50" s="93" t="n">
        <f aca="false">Seg3_N*Q42</f>
        <v>100</v>
      </c>
      <c r="R50" s="93" t="n">
        <f aca="false">Seg3_N*R42</f>
        <v>100</v>
      </c>
      <c r="S50" s="93" t="n">
        <f aca="false">Seg3_N*S42</f>
        <v>100</v>
      </c>
      <c r="T50" s="93" t="n">
        <f aca="false">Seg3_N*T42</f>
        <v>100</v>
      </c>
      <c r="U50" s="93" t="n">
        <f aca="false">Seg3_N*U42</f>
        <v>100</v>
      </c>
      <c r="V50" s="93" t="n">
        <f aca="false">Seg3_N*V42</f>
        <v>100</v>
      </c>
      <c r="W50" s="93" t="n">
        <f aca="false">Seg3_N*W42</f>
        <v>100</v>
      </c>
    </row>
    <row r="51" customFormat="false" ht="15" hidden="false" customHeight="false" outlineLevel="0" collapsed="false">
      <c r="A51" s="11" t="str">
        <f aca="false">"Connections - "&amp;Seg4_Name</f>
        <v>Connections - Institutions (health centre, school, water)</v>
      </c>
      <c r="C51" s="93" t="n">
        <v>0</v>
      </c>
      <c r="D51" s="93" t="n">
        <f aca="false">Seg4_N*D42</f>
        <v>6</v>
      </c>
      <c r="E51" s="93" t="n">
        <f aca="false">Seg4_N*E42</f>
        <v>8.5</v>
      </c>
      <c r="F51" s="93" t="n">
        <f aca="false">Seg4_N*F42</f>
        <v>10</v>
      </c>
      <c r="G51" s="93" t="n">
        <f aca="false">Seg4_N*G42</f>
        <v>10</v>
      </c>
      <c r="H51" s="93" t="n">
        <f aca="false">Seg4_N*H42</f>
        <v>10</v>
      </c>
      <c r="I51" s="93" t="n">
        <f aca="false">Seg4_N*I42</f>
        <v>10</v>
      </c>
      <c r="J51" s="93" t="n">
        <f aca="false">Seg4_N*J42</f>
        <v>10</v>
      </c>
      <c r="K51" s="93" t="n">
        <f aca="false">Seg4_N*K42</f>
        <v>10</v>
      </c>
      <c r="L51" s="93" t="n">
        <f aca="false">Seg4_N*L42</f>
        <v>10</v>
      </c>
      <c r="M51" s="93" t="n">
        <f aca="false">Seg4_N*M42</f>
        <v>10</v>
      </c>
      <c r="N51" s="93" t="n">
        <f aca="false">Seg4_N*N42</f>
        <v>10</v>
      </c>
      <c r="O51" s="93" t="n">
        <f aca="false">Seg4_N*O42</f>
        <v>10</v>
      </c>
      <c r="P51" s="93" t="n">
        <f aca="false">Seg4_N*P42</f>
        <v>10</v>
      </c>
      <c r="Q51" s="93" t="n">
        <f aca="false">Seg4_N*Q42</f>
        <v>10</v>
      </c>
      <c r="R51" s="93" t="n">
        <f aca="false">Seg4_N*R42</f>
        <v>10</v>
      </c>
      <c r="S51" s="93" t="n">
        <f aca="false">Seg4_N*S42</f>
        <v>10</v>
      </c>
      <c r="T51" s="93" t="n">
        <f aca="false">Seg4_N*T42</f>
        <v>10</v>
      </c>
      <c r="U51" s="93" t="n">
        <f aca="false">Seg4_N*U42</f>
        <v>10</v>
      </c>
      <c r="V51" s="93" t="n">
        <f aca="false">Seg4_N*V42</f>
        <v>10</v>
      </c>
      <c r="W51" s="93" t="n">
        <f aca="false">Seg4_N*W42</f>
        <v>10</v>
      </c>
    </row>
    <row r="52" customFormat="false" ht="15" hidden="false" customHeight="false" outlineLevel="0" collapsed="false">
      <c r="A52" s="11" t="str">
        <f aca="false">"Connections - "&amp;Seg5_Name</f>
        <v>Connections - Other / custom</v>
      </c>
      <c r="C52" s="93" t="n">
        <v>0</v>
      </c>
      <c r="D52" s="93" t="n">
        <f aca="false">Seg5_N*D42</f>
        <v>0</v>
      </c>
      <c r="E52" s="93" t="n">
        <f aca="false">Seg5_N*E42</f>
        <v>0</v>
      </c>
      <c r="F52" s="93" t="n">
        <f aca="false">Seg5_N*F42</f>
        <v>0</v>
      </c>
      <c r="G52" s="93" t="n">
        <f aca="false">Seg5_N*G42</f>
        <v>0</v>
      </c>
      <c r="H52" s="93" t="n">
        <f aca="false">Seg5_N*H42</f>
        <v>0</v>
      </c>
      <c r="I52" s="93" t="n">
        <f aca="false">Seg5_N*I42</f>
        <v>0</v>
      </c>
      <c r="J52" s="93" t="n">
        <f aca="false">Seg5_N*J42</f>
        <v>0</v>
      </c>
      <c r="K52" s="93" t="n">
        <f aca="false">Seg5_N*K42</f>
        <v>0</v>
      </c>
      <c r="L52" s="93" t="n">
        <f aca="false">Seg5_N*L42</f>
        <v>0</v>
      </c>
      <c r="M52" s="93" t="n">
        <f aca="false">Seg5_N*M42</f>
        <v>0</v>
      </c>
      <c r="N52" s="93" t="n">
        <f aca="false">Seg5_N*N42</f>
        <v>0</v>
      </c>
      <c r="O52" s="93" t="n">
        <f aca="false">Seg5_N*O42</f>
        <v>0</v>
      </c>
      <c r="P52" s="93" t="n">
        <f aca="false">Seg5_N*P42</f>
        <v>0</v>
      </c>
      <c r="Q52" s="93" t="n">
        <f aca="false">Seg5_N*Q42</f>
        <v>0</v>
      </c>
      <c r="R52" s="93" t="n">
        <f aca="false">Seg5_N*R42</f>
        <v>0</v>
      </c>
      <c r="S52" s="93" t="n">
        <f aca="false">Seg5_N*S42</f>
        <v>0</v>
      </c>
      <c r="T52" s="93" t="n">
        <f aca="false">Seg5_N*T42</f>
        <v>0</v>
      </c>
      <c r="U52" s="93" t="n">
        <f aca="false">Seg5_N*U42</f>
        <v>0</v>
      </c>
      <c r="V52" s="93" t="n">
        <f aca="false">Seg5_N*V42</f>
        <v>0</v>
      </c>
      <c r="W52" s="93" t="n">
        <f aca="false">Seg5_N*W42</f>
        <v>0</v>
      </c>
    </row>
    <row r="53" customFormat="false" ht="15" hidden="false" customHeight="false" outlineLevel="0" collapsed="false">
      <c r="A53" s="16" t="s">
        <v>420</v>
      </c>
      <c r="C53" s="29" t="n">
        <f aca="false">C48+C49+C50+C51+C52</f>
        <v>0</v>
      </c>
      <c r="D53" s="29" t="n">
        <f aca="false">D48+D49+D50+D51+D52</f>
        <v>582</v>
      </c>
      <c r="E53" s="29" t="n">
        <f aca="false">E48+E49+E50+E51+E52</f>
        <v>824.5</v>
      </c>
      <c r="F53" s="29" t="n">
        <f aca="false">F48+F49+F50+F51+F52</f>
        <v>970</v>
      </c>
      <c r="G53" s="29" t="n">
        <f aca="false">G48+G49+G50+G51+G52</f>
        <v>970</v>
      </c>
      <c r="H53" s="29" t="n">
        <f aca="false">H48+H49+H50+H51+H52</f>
        <v>970</v>
      </c>
      <c r="I53" s="29" t="n">
        <f aca="false">I48+I49+I50+I51+I52</f>
        <v>970</v>
      </c>
      <c r="J53" s="29" t="n">
        <f aca="false">J48+J49+J50+J51+J52</f>
        <v>970</v>
      </c>
      <c r="K53" s="29" t="n">
        <f aca="false">K48+K49+K50+K51+K52</f>
        <v>970</v>
      </c>
      <c r="L53" s="29" t="n">
        <f aca="false">L48+L49+L50+L51+L52</f>
        <v>970</v>
      </c>
      <c r="M53" s="29" t="n">
        <f aca="false">M48+M49+M50+M51+M52</f>
        <v>970</v>
      </c>
      <c r="N53" s="29" t="n">
        <f aca="false">N48+N49+N50+N51+N52</f>
        <v>970</v>
      </c>
      <c r="O53" s="29" t="n">
        <f aca="false">O48+O49+O50+O51+O52</f>
        <v>970</v>
      </c>
      <c r="P53" s="29" t="n">
        <f aca="false">P48+P49+P50+P51+P52</f>
        <v>970</v>
      </c>
      <c r="Q53" s="29" t="n">
        <f aca="false">Q48+Q49+Q50+Q51+Q52</f>
        <v>970</v>
      </c>
      <c r="R53" s="29" t="n">
        <f aca="false">R48+R49+R50+R51+R52</f>
        <v>970</v>
      </c>
      <c r="S53" s="29" t="n">
        <f aca="false">S48+S49+S50+S51+S52</f>
        <v>970</v>
      </c>
      <c r="T53" s="29" t="n">
        <f aca="false">T48+T49+T50+T51+T52</f>
        <v>970</v>
      </c>
      <c r="U53" s="29" t="n">
        <f aca="false">U48+U49+U50+U51+U52</f>
        <v>970</v>
      </c>
      <c r="V53" s="29" t="n">
        <f aca="false">V48+V49+V50+V51+V52</f>
        <v>970</v>
      </c>
      <c r="W53" s="29" t="n">
        <f aca="false">W48+W49+W50+W51+W52</f>
        <v>970</v>
      </c>
    </row>
    <row r="54" customFormat="false" ht="15" hidden="false" customHeight="false" outlineLevel="0" collapsed="false">
      <c r="A54" s="11" t="str">
        <f aca="false">"New connections - "&amp;Seg1_Name</f>
        <v>New connections - Households</v>
      </c>
      <c r="B54" s="77" t="n">
        <f aca="false">SUM(C54:W54)</f>
        <v>800</v>
      </c>
      <c r="C54" s="94" t="n">
        <v>0</v>
      </c>
      <c r="D54" s="94" t="n">
        <f aca="false">MAX(0,D48-C48)</f>
        <v>480</v>
      </c>
      <c r="E54" s="94" t="n">
        <f aca="false">MAX(0,E48-D48)</f>
        <v>200</v>
      </c>
      <c r="F54" s="94" t="n">
        <f aca="false">MAX(0,F48-E48)</f>
        <v>120</v>
      </c>
      <c r="G54" s="94" t="n">
        <f aca="false">MAX(0,G48-F48)</f>
        <v>0</v>
      </c>
      <c r="H54" s="94" t="n">
        <f aca="false">MAX(0,H48-G48)</f>
        <v>0</v>
      </c>
      <c r="I54" s="94" t="n">
        <f aca="false">MAX(0,I48-H48)</f>
        <v>0</v>
      </c>
      <c r="J54" s="94" t="n">
        <f aca="false">MAX(0,J48-I48)</f>
        <v>0</v>
      </c>
      <c r="K54" s="94" t="n">
        <f aca="false">MAX(0,K48-J48)</f>
        <v>0</v>
      </c>
      <c r="L54" s="94" t="n">
        <f aca="false">MAX(0,L48-K48)</f>
        <v>0</v>
      </c>
      <c r="M54" s="94" t="n">
        <f aca="false">MAX(0,M48-L48)</f>
        <v>0</v>
      </c>
      <c r="N54" s="94" t="n">
        <f aca="false">MAX(0,N48-M48)</f>
        <v>0</v>
      </c>
      <c r="O54" s="94" t="n">
        <f aca="false">MAX(0,O48-N48)</f>
        <v>0</v>
      </c>
      <c r="P54" s="94" t="n">
        <f aca="false">MAX(0,P48-O48)</f>
        <v>0</v>
      </c>
      <c r="Q54" s="94" t="n">
        <f aca="false">MAX(0,Q48-P48)</f>
        <v>0</v>
      </c>
      <c r="R54" s="94" t="n">
        <f aca="false">MAX(0,R48-Q48)</f>
        <v>0</v>
      </c>
      <c r="S54" s="94" t="n">
        <f aca="false">MAX(0,S48-R48)</f>
        <v>0</v>
      </c>
      <c r="T54" s="94" t="n">
        <f aca="false">MAX(0,T48-S48)</f>
        <v>0</v>
      </c>
      <c r="U54" s="94" t="n">
        <f aca="false">MAX(0,U48-T48)</f>
        <v>0</v>
      </c>
      <c r="V54" s="94" t="n">
        <f aca="false">MAX(0,V48-U48)</f>
        <v>0</v>
      </c>
      <c r="W54" s="94" t="n">
        <f aca="false">MAX(0,W48-V48)</f>
        <v>0</v>
      </c>
    </row>
    <row r="55" customFormat="false" ht="15" hidden="false" customHeight="false" outlineLevel="0" collapsed="false">
      <c r="A55" s="11" t="str">
        <f aca="false">"New connections - "&amp;Seg2_Name</f>
        <v>New connections - Productive users (mills, welding, cold rooms)</v>
      </c>
      <c r="B55" s="77" t="n">
        <f aca="false">SUM(C55:W55)</f>
        <v>60</v>
      </c>
      <c r="C55" s="94" t="n">
        <v>0</v>
      </c>
      <c r="D55" s="94" t="n">
        <f aca="false">MAX(0,D49-C49)</f>
        <v>36</v>
      </c>
      <c r="E55" s="94" t="n">
        <f aca="false">MAX(0,E49-D49)</f>
        <v>15</v>
      </c>
      <c r="F55" s="94" t="n">
        <f aca="false">MAX(0,F49-E49)</f>
        <v>9</v>
      </c>
      <c r="G55" s="94" t="n">
        <f aca="false">MAX(0,G49-F49)</f>
        <v>0</v>
      </c>
      <c r="H55" s="94" t="n">
        <f aca="false">MAX(0,H49-G49)</f>
        <v>0</v>
      </c>
      <c r="I55" s="94" t="n">
        <f aca="false">MAX(0,I49-H49)</f>
        <v>0</v>
      </c>
      <c r="J55" s="94" t="n">
        <f aca="false">MAX(0,J49-I49)</f>
        <v>0</v>
      </c>
      <c r="K55" s="94" t="n">
        <f aca="false">MAX(0,K49-J49)</f>
        <v>0</v>
      </c>
      <c r="L55" s="94" t="n">
        <f aca="false">MAX(0,L49-K49)</f>
        <v>0</v>
      </c>
      <c r="M55" s="94" t="n">
        <f aca="false">MAX(0,M49-L49)</f>
        <v>0</v>
      </c>
      <c r="N55" s="94" t="n">
        <f aca="false">MAX(0,N49-M49)</f>
        <v>0</v>
      </c>
      <c r="O55" s="94" t="n">
        <f aca="false">MAX(0,O49-N49)</f>
        <v>0</v>
      </c>
      <c r="P55" s="94" t="n">
        <f aca="false">MAX(0,P49-O49)</f>
        <v>0</v>
      </c>
      <c r="Q55" s="94" t="n">
        <f aca="false">MAX(0,Q49-P49)</f>
        <v>0</v>
      </c>
      <c r="R55" s="94" t="n">
        <f aca="false">MAX(0,R49-Q49)</f>
        <v>0</v>
      </c>
      <c r="S55" s="94" t="n">
        <f aca="false">MAX(0,S49-R49)</f>
        <v>0</v>
      </c>
      <c r="T55" s="94" t="n">
        <f aca="false">MAX(0,T49-S49)</f>
        <v>0</v>
      </c>
      <c r="U55" s="94" t="n">
        <f aca="false">MAX(0,U49-T49)</f>
        <v>0</v>
      </c>
      <c r="V55" s="94" t="n">
        <f aca="false">MAX(0,V49-U49)</f>
        <v>0</v>
      </c>
      <c r="W55" s="94" t="n">
        <f aca="false">MAX(0,W49-V49)</f>
        <v>0</v>
      </c>
    </row>
    <row r="56" customFormat="false" ht="15" hidden="false" customHeight="false" outlineLevel="0" collapsed="false">
      <c r="A56" s="11" t="str">
        <f aca="false">"New connections - "&amp;Seg3_Name</f>
        <v>New connections - Commercial (shops, bars, kiosks)</v>
      </c>
      <c r="B56" s="77" t="n">
        <f aca="false">SUM(C56:W56)</f>
        <v>100</v>
      </c>
      <c r="C56" s="94" t="n">
        <v>0</v>
      </c>
      <c r="D56" s="94" t="n">
        <f aca="false">MAX(0,D50-C50)</f>
        <v>60</v>
      </c>
      <c r="E56" s="94" t="n">
        <f aca="false">MAX(0,E50-D50)</f>
        <v>25</v>
      </c>
      <c r="F56" s="94" t="n">
        <f aca="false">MAX(0,F50-E50)</f>
        <v>15</v>
      </c>
      <c r="G56" s="94" t="n">
        <f aca="false">MAX(0,G50-F50)</f>
        <v>0</v>
      </c>
      <c r="H56" s="94" t="n">
        <f aca="false">MAX(0,H50-G50)</f>
        <v>0</v>
      </c>
      <c r="I56" s="94" t="n">
        <f aca="false">MAX(0,I50-H50)</f>
        <v>0</v>
      </c>
      <c r="J56" s="94" t="n">
        <f aca="false">MAX(0,J50-I50)</f>
        <v>0</v>
      </c>
      <c r="K56" s="94" t="n">
        <f aca="false">MAX(0,K50-J50)</f>
        <v>0</v>
      </c>
      <c r="L56" s="94" t="n">
        <f aca="false">MAX(0,L50-K50)</f>
        <v>0</v>
      </c>
      <c r="M56" s="94" t="n">
        <f aca="false">MAX(0,M50-L50)</f>
        <v>0</v>
      </c>
      <c r="N56" s="94" t="n">
        <f aca="false">MAX(0,N50-M50)</f>
        <v>0</v>
      </c>
      <c r="O56" s="94" t="n">
        <f aca="false">MAX(0,O50-N50)</f>
        <v>0</v>
      </c>
      <c r="P56" s="94" t="n">
        <f aca="false">MAX(0,P50-O50)</f>
        <v>0</v>
      </c>
      <c r="Q56" s="94" t="n">
        <f aca="false">MAX(0,Q50-P50)</f>
        <v>0</v>
      </c>
      <c r="R56" s="94" t="n">
        <f aca="false">MAX(0,R50-Q50)</f>
        <v>0</v>
      </c>
      <c r="S56" s="94" t="n">
        <f aca="false">MAX(0,S50-R50)</f>
        <v>0</v>
      </c>
      <c r="T56" s="94" t="n">
        <f aca="false">MAX(0,T50-S50)</f>
        <v>0</v>
      </c>
      <c r="U56" s="94" t="n">
        <f aca="false">MAX(0,U50-T50)</f>
        <v>0</v>
      </c>
      <c r="V56" s="94" t="n">
        <f aca="false">MAX(0,V50-U50)</f>
        <v>0</v>
      </c>
      <c r="W56" s="94" t="n">
        <f aca="false">MAX(0,W50-V50)</f>
        <v>0</v>
      </c>
    </row>
    <row r="57" customFormat="false" ht="15" hidden="false" customHeight="false" outlineLevel="0" collapsed="false">
      <c r="A57" s="11" t="str">
        <f aca="false">"New connections - "&amp;Seg4_Name</f>
        <v>New connections - Institutions (health centre, school, water)</v>
      </c>
      <c r="B57" s="77" t="n">
        <f aca="false">SUM(C57:W57)</f>
        <v>10</v>
      </c>
      <c r="C57" s="94" t="n">
        <v>0</v>
      </c>
      <c r="D57" s="94" t="n">
        <f aca="false">MAX(0,D51-C51)</f>
        <v>6</v>
      </c>
      <c r="E57" s="94" t="n">
        <f aca="false">MAX(0,E51-D51)</f>
        <v>2.5</v>
      </c>
      <c r="F57" s="94" t="n">
        <f aca="false">MAX(0,F51-E51)</f>
        <v>1.5</v>
      </c>
      <c r="G57" s="94" t="n">
        <f aca="false">MAX(0,G51-F51)</f>
        <v>0</v>
      </c>
      <c r="H57" s="94" t="n">
        <f aca="false">MAX(0,H51-G51)</f>
        <v>0</v>
      </c>
      <c r="I57" s="94" t="n">
        <f aca="false">MAX(0,I51-H51)</f>
        <v>0</v>
      </c>
      <c r="J57" s="94" t="n">
        <f aca="false">MAX(0,J51-I51)</f>
        <v>0</v>
      </c>
      <c r="K57" s="94" t="n">
        <f aca="false">MAX(0,K51-J51)</f>
        <v>0</v>
      </c>
      <c r="L57" s="94" t="n">
        <f aca="false">MAX(0,L51-K51)</f>
        <v>0</v>
      </c>
      <c r="M57" s="94" t="n">
        <f aca="false">MAX(0,M51-L51)</f>
        <v>0</v>
      </c>
      <c r="N57" s="94" t="n">
        <f aca="false">MAX(0,N51-M51)</f>
        <v>0</v>
      </c>
      <c r="O57" s="94" t="n">
        <f aca="false">MAX(0,O51-N51)</f>
        <v>0</v>
      </c>
      <c r="P57" s="94" t="n">
        <f aca="false">MAX(0,P51-O51)</f>
        <v>0</v>
      </c>
      <c r="Q57" s="94" t="n">
        <f aca="false">MAX(0,Q51-P51)</f>
        <v>0</v>
      </c>
      <c r="R57" s="94" t="n">
        <f aca="false">MAX(0,R51-Q51)</f>
        <v>0</v>
      </c>
      <c r="S57" s="94" t="n">
        <f aca="false">MAX(0,S51-R51)</f>
        <v>0</v>
      </c>
      <c r="T57" s="94" t="n">
        <f aca="false">MAX(0,T51-S51)</f>
        <v>0</v>
      </c>
      <c r="U57" s="94" t="n">
        <f aca="false">MAX(0,U51-T51)</f>
        <v>0</v>
      </c>
      <c r="V57" s="94" t="n">
        <f aca="false">MAX(0,V51-U51)</f>
        <v>0</v>
      </c>
      <c r="W57" s="94" t="n">
        <f aca="false">MAX(0,W51-V51)</f>
        <v>0</v>
      </c>
    </row>
    <row r="58" customFormat="false" ht="15" hidden="false" customHeight="false" outlineLevel="0" collapsed="false">
      <c r="A58" s="11" t="str">
        <f aca="false">"New connections - "&amp;Seg5_Name</f>
        <v>New connections - Other / custom</v>
      </c>
      <c r="B58" s="77" t="n">
        <f aca="false">SUM(C58:W58)</f>
        <v>0</v>
      </c>
      <c r="C58" s="94" t="n">
        <v>0</v>
      </c>
      <c r="D58" s="94" t="n">
        <f aca="false">MAX(0,D52-C52)</f>
        <v>0</v>
      </c>
      <c r="E58" s="94" t="n">
        <f aca="false">MAX(0,E52-D52)</f>
        <v>0</v>
      </c>
      <c r="F58" s="94" t="n">
        <f aca="false">MAX(0,F52-E52)</f>
        <v>0</v>
      </c>
      <c r="G58" s="94" t="n">
        <f aca="false">MAX(0,G52-F52)</f>
        <v>0</v>
      </c>
      <c r="H58" s="94" t="n">
        <f aca="false">MAX(0,H52-G52)</f>
        <v>0</v>
      </c>
      <c r="I58" s="94" t="n">
        <f aca="false">MAX(0,I52-H52)</f>
        <v>0</v>
      </c>
      <c r="J58" s="94" t="n">
        <f aca="false">MAX(0,J52-I52)</f>
        <v>0</v>
      </c>
      <c r="K58" s="94" t="n">
        <f aca="false">MAX(0,K52-J52)</f>
        <v>0</v>
      </c>
      <c r="L58" s="94" t="n">
        <f aca="false">MAX(0,L52-K52)</f>
        <v>0</v>
      </c>
      <c r="M58" s="94" t="n">
        <f aca="false">MAX(0,M52-L52)</f>
        <v>0</v>
      </c>
      <c r="N58" s="94" t="n">
        <f aca="false">MAX(0,N52-M52)</f>
        <v>0</v>
      </c>
      <c r="O58" s="94" t="n">
        <f aca="false">MAX(0,O52-N52)</f>
        <v>0</v>
      </c>
      <c r="P58" s="94" t="n">
        <f aca="false">MAX(0,P52-O52)</f>
        <v>0</v>
      </c>
      <c r="Q58" s="94" t="n">
        <f aca="false">MAX(0,Q52-P52)</f>
        <v>0</v>
      </c>
      <c r="R58" s="94" t="n">
        <f aca="false">MAX(0,R52-Q52)</f>
        <v>0</v>
      </c>
      <c r="S58" s="94" t="n">
        <f aca="false">MAX(0,S52-R52)</f>
        <v>0</v>
      </c>
      <c r="T58" s="94" t="n">
        <f aca="false">MAX(0,T52-S52)</f>
        <v>0</v>
      </c>
      <c r="U58" s="94" t="n">
        <f aca="false">MAX(0,U52-T52)</f>
        <v>0</v>
      </c>
      <c r="V58" s="94" t="n">
        <f aca="false">MAX(0,V52-U52)</f>
        <v>0</v>
      </c>
      <c r="W58" s="94" t="n">
        <f aca="false">MAX(0,W52-V52)</f>
        <v>0</v>
      </c>
    </row>
    <row r="59" customFormat="false" ht="15" hidden="false" customHeight="false" outlineLevel="0" collapsed="false">
      <c r="A59" s="16" t="s">
        <v>421</v>
      </c>
      <c r="B59" s="76" t="n">
        <f aca="false">SUM(C59:W59)</f>
        <v>970</v>
      </c>
      <c r="C59" s="29" t="n">
        <f aca="false">C54+C55+C56+C57+C58</f>
        <v>0</v>
      </c>
      <c r="D59" s="29" t="n">
        <f aca="false">D54+D55+D56+D57+D58</f>
        <v>582</v>
      </c>
      <c r="E59" s="29" t="n">
        <f aca="false">E54+E55+E56+E57+E58</f>
        <v>242.5</v>
      </c>
      <c r="F59" s="29" t="n">
        <f aca="false">F54+F55+F56+F57+F58</f>
        <v>145.5</v>
      </c>
      <c r="G59" s="29" t="n">
        <f aca="false">G54+G55+G56+G57+G58</f>
        <v>0</v>
      </c>
      <c r="H59" s="29" t="n">
        <f aca="false">H54+H55+H56+H57+H58</f>
        <v>0</v>
      </c>
      <c r="I59" s="29" t="n">
        <f aca="false">I54+I55+I56+I57+I58</f>
        <v>0</v>
      </c>
      <c r="J59" s="29" t="n">
        <f aca="false">J54+J55+J56+J57+J58</f>
        <v>0</v>
      </c>
      <c r="K59" s="29" t="n">
        <f aca="false">K54+K55+K56+K57+K58</f>
        <v>0</v>
      </c>
      <c r="L59" s="29" t="n">
        <f aca="false">L54+L55+L56+L57+L58</f>
        <v>0</v>
      </c>
      <c r="M59" s="29" t="n">
        <f aca="false">M54+M55+M56+M57+M58</f>
        <v>0</v>
      </c>
      <c r="N59" s="29" t="n">
        <f aca="false">N54+N55+N56+N57+N58</f>
        <v>0</v>
      </c>
      <c r="O59" s="29" t="n">
        <f aca="false">O54+O55+O56+O57+O58</f>
        <v>0</v>
      </c>
      <c r="P59" s="29" t="n">
        <f aca="false">P54+P55+P56+P57+P58</f>
        <v>0</v>
      </c>
      <c r="Q59" s="29" t="n">
        <f aca="false">Q54+Q55+Q56+Q57+Q58</f>
        <v>0</v>
      </c>
      <c r="R59" s="29" t="n">
        <f aca="false">R54+R55+R56+R57+R58</f>
        <v>0</v>
      </c>
      <c r="S59" s="29" t="n">
        <f aca="false">S54+S55+S56+S57+S58</f>
        <v>0</v>
      </c>
      <c r="T59" s="29" t="n">
        <f aca="false">T54+T55+T56+T57+T58</f>
        <v>0</v>
      </c>
      <c r="U59" s="29" t="n">
        <f aca="false">U54+U55+U56+U57+U58</f>
        <v>0</v>
      </c>
      <c r="V59" s="29" t="n">
        <f aca="false">V54+V55+V56+V57+V58</f>
        <v>0</v>
      </c>
      <c r="W59" s="29" t="n">
        <f aca="false">W54+W55+W56+W57+W58</f>
        <v>0</v>
      </c>
    </row>
    <row r="61" customFormat="false" ht="15" hidden="false" customHeight="false" outlineLevel="0" collapsed="false">
      <c r="A61" s="11" t="str">
        <f aca="false">"Energy sold (kWh) - "&amp;Seg1_Name</f>
        <v>Energy sold (kWh) - Households</v>
      </c>
      <c r="B61" s="76" t="n">
        <f aca="false">SUM(C61:W61)</f>
        <v>3789485.92641319</v>
      </c>
      <c r="C61" s="93" t="n">
        <v>0</v>
      </c>
      <c r="D61" s="93" t="n">
        <f aca="false">D48*Seg1_kWh*12*D45</f>
        <v>86400</v>
      </c>
      <c r="E61" s="93" t="n">
        <f aca="false">E48*Seg1_kWh*12*E45</f>
        <v>126072</v>
      </c>
      <c r="F61" s="93" t="n">
        <f aca="false">F48*Seg1_kWh*12*F45</f>
        <v>152769.6</v>
      </c>
      <c r="G61" s="93" t="n">
        <f aca="false">G48*Seg1_kWh*12*G45</f>
        <v>157352.688</v>
      </c>
      <c r="H61" s="93" t="n">
        <f aca="false">H48*Seg1_kWh*12*H45</f>
        <v>162073.26864</v>
      </c>
      <c r="I61" s="93" t="n">
        <f aca="false">I48*Seg1_kWh*12*I45</f>
        <v>166935.4666992</v>
      </c>
      <c r="J61" s="93" t="n">
        <f aca="false">J48*Seg1_kWh*12*J45</f>
        <v>171943.530700176</v>
      </c>
      <c r="K61" s="93" t="n">
        <f aca="false">K48*Seg1_kWh*12*K45</f>
        <v>177101.836621181</v>
      </c>
      <c r="L61" s="93" t="n">
        <f aca="false">L48*Seg1_kWh*12*L45</f>
        <v>182414.891719817</v>
      </c>
      <c r="M61" s="93" t="n">
        <f aca="false">M48*Seg1_kWh*12*M45</f>
        <v>187887.338471411</v>
      </c>
      <c r="N61" s="93" t="n">
        <f aca="false">N48*Seg1_kWh*12*N45</f>
        <v>193523.958625554</v>
      </c>
      <c r="O61" s="93" t="n">
        <f aca="false">O48*Seg1_kWh*12*O45</f>
        <v>199329.67738432</v>
      </c>
      <c r="P61" s="93" t="n">
        <f aca="false">P48*Seg1_kWh*12*P45</f>
        <v>205309.56770585</v>
      </c>
      <c r="Q61" s="93" t="n">
        <f aca="false">Q48*Seg1_kWh*12*Q45</f>
        <v>211468.854737025</v>
      </c>
      <c r="R61" s="93" t="n">
        <f aca="false">R48*Seg1_kWh*12*R45</f>
        <v>217812.920379136</v>
      </c>
      <c r="S61" s="93" t="n">
        <f aca="false">S48*Seg1_kWh*12*S45</f>
        <v>224347.30799051</v>
      </c>
      <c r="T61" s="93" t="n">
        <f aca="false">T48*Seg1_kWh*12*T45</f>
        <v>231077.727230226</v>
      </c>
      <c r="U61" s="93" t="n">
        <f aca="false">U48*Seg1_kWh*12*U45</f>
        <v>238010.059047132</v>
      </c>
      <c r="V61" s="93" t="n">
        <f aca="false">V48*Seg1_kWh*12*V45</f>
        <v>245150.360818546</v>
      </c>
      <c r="W61" s="93" t="n">
        <f aca="false">W48*Seg1_kWh*12*W45</f>
        <v>252504.871643103</v>
      </c>
    </row>
    <row r="62" customFormat="false" ht="15" hidden="false" customHeight="false" outlineLevel="0" collapsed="false">
      <c r="A62" s="11" t="str">
        <f aca="false">"Energy sold (kWh) - "&amp;Seg2_Name</f>
        <v>Energy sold (kWh) - Productive users (mills, welding, cold rooms)</v>
      </c>
      <c r="B62" s="76" t="n">
        <f aca="false">SUM(C62:W62)</f>
        <v>2944733.72369716</v>
      </c>
      <c r="C62" s="93" t="n">
        <v>0</v>
      </c>
      <c r="D62" s="93" t="n">
        <f aca="false">D49*Seg2_kWh*12*D45</f>
        <v>67139.712</v>
      </c>
      <c r="E62" s="93" t="n">
        <f aca="false">E49*Seg2_kWh*12*E45</f>
        <v>97968.02976</v>
      </c>
      <c r="F62" s="93" t="n">
        <f aca="false">F49*Seg2_kWh*12*F45</f>
        <v>118714.200768</v>
      </c>
      <c r="G62" s="93" t="n">
        <f aca="false">G49*Seg2_kWh*12*G45</f>
        <v>122275.62679104</v>
      </c>
      <c r="H62" s="93" t="n">
        <f aca="false">H49*Seg2_kWh*12*H45</f>
        <v>125943.895594771</v>
      </c>
      <c r="I62" s="93" t="n">
        <f aca="false">I49*Seg2_kWh*12*I45</f>
        <v>129722.212462614</v>
      </c>
      <c r="J62" s="93" t="n">
        <f aca="false">J49*Seg2_kWh*12*J45</f>
        <v>133613.878836493</v>
      </c>
      <c r="K62" s="93" t="n">
        <f aca="false">K49*Seg2_kWh*12*K45</f>
        <v>137622.295201588</v>
      </c>
      <c r="L62" s="93" t="n">
        <f aca="false">L49*Seg2_kWh*12*L45</f>
        <v>141750.964057635</v>
      </c>
      <c r="M62" s="93" t="n">
        <f aca="false">M49*Seg2_kWh*12*M45</f>
        <v>146003.492979364</v>
      </c>
      <c r="N62" s="93" t="n">
        <f aca="false">N49*Seg2_kWh*12*N45</f>
        <v>150383.597768745</v>
      </c>
      <c r="O62" s="93" t="n">
        <f aca="false">O49*Seg2_kWh*12*O45</f>
        <v>154895.105701808</v>
      </c>
      <c r="P62" s="93" t="n">
        <f aca="false">P49*Seg2_kWh*12*P45</f>
        <v>159541.958872862</v>
      </c>
      <c r="Q62" s="93" t="n">
        <f aca="false">Q49*Seg2_kWh*12*Q45</f>
        <v>164328.217639048</v>
      </c>
      <c r="R62" s="93" t="n">
        <f aca="false">R49*Seg2_kWh*12*R45</f>
        <v>169258.064168219</v>
      </c>
      <c r="S62" s="93" t="n">
        <f aca="false">S49*Seg2_kWh*12*S45</f>
        <v>174335.806093266</v>
      </c>
      <c r="T62" s="93" t="n">
        <f aca="false">T49*Seg2_kWh*12*T45</f>
        <v>179565.880276064</v>
      </c>
      <c r="U62" s="93" t="n">
        <f aca="false">U49*Seg2_kWh*12*U45</f>
        <v>184952.856684346</v>
      </c>
      <c r="V62" s="93" t="n">
        <f aca="false">V49*Seg2_kWh*12*V45</f>
        <v>190501.442384876</v>
      </c>
      <c r="W62" s="93" t="n">
        <f aca="false">W49*Seg2_kWh*12*W45</f>
        <v>196216.485656422</v>
      </c>
    </row>
    <row r="63" customFormat="false" ht="15" hidden="false" customHeight="false" outlineLevel="0" collapsed="false">
      <c r="A63" s="11" t="str">
        <f aca="false">"Energy sold (kWh) - "&amp;Seg3_Name</f>
        <v>Energy sold (kWh) - Commercial (shops, bars, kiosks)</v>
      </c>
      <c r="B63" s="76" t="n">
        <f aca="false">SUM(C63:W63)</f>
        <v>1578952.46933883</v>
      </c>
      <c r="C63" s="93" t="n">
        <v>0</v>
      </c>
      <c r="D63" s="93" t="n">
        <f aca="false">D50*Seg3_kWh*12*D45</f>
        <v>36000</v>
      </c>
      <c r="E63" s="93" t="n">
        <f aca="false">E50*Seg3_kWh*12*E45</f>
        <v>52530</v>
      </c>
      <c r="F63" s="93" t="n">
        <f aca="false">F50*Seg3_kWh*12*F45</f>
        <v>63654</v>
      </c>
      <c r="G63" s="93" t="n">
        <f aca="false">G50*Seg3_kWh*12*G45</f>
        <v>65563.62</v>
      </c>
      <c r="H63" s="93" t="n">
        <f aca="false">H50*Seg3_kWh*12*H45</f>
        <v>67530.5286</v>
      </c>
      <c r="I63" s="93" t="n">
        <f aca="false">I50*Seg3_kWh*12*I45</f>
        <v>69556.444458</v>
      </c>
      <c r="J63" s="93" t="n">
        <f aca="false">J50*Seg3_kWh*12*J45</f>
        <v>71643.13779174</v>
      </c>
      <c r="K63" s="93" t="n">
        <f aca="false">K50*Seg3_kWh*12*K45</f>
        <v>73792.4319254922</v>
      </c>
      <c r="L63" s="93" t="n">
        <f aca="false">L50*Seg3_kWh*12*L45</f>
        <v>76006.204883257</v>
      </c>
      <c r="M63" s="93" t="n">
        <f aca="false">M50*Seg3_kWh*12*M45</f>
        <v>78286.3910297547</v>
      </c>
      <c r="N63" s="93" t="n">
        <f aca="false">N50*Seg3_kWh*12*N45</f>
        <v>80634.9827606473</v>
      </c>
      <c r="O63" s="93" t="n">
        <f aca="false">O50*Seg3_kWh*12*O45</f>
        <v>83054.0322434668</v>
      </c>
      <c r="P63" s="93" t="n">
        <f aca="false">P50*Seg3_kWh*12*P45</f>
        <v>85545.6532107708</v>
      </c>
      <c r="Q63" s="93" t="n">
        <f aca="false">Q50*Seg3_kWh*12*Q45</f>
        <v>88112.0228070939</v>
      </c>
      <c r="R63" s="93" t="n">
        <f aca="false">R50*Seg3_kWh*12*R45</f>
        <v>90755.3834913067</v>
      </c>
      <c r="S63" s="93" t="n">
        <f aca="false">S50*Seg3_kWh*12*S45</f>
        <v>93478.0449960459</v>
      </c>
      <c r="T63" s="93" t="n">
        <f aca="false">T50*Seg3_kWh*12*T45</f>
        <v>96282.3863459273</v>
      </c>
      <c r="U63" s="93" t="n">
        <f aca="false">U50*Seg3_kWh*12*U45</f>
        <v>99170.8579363051</v>
      </c>
      <c r="V63" s="93" t="n">
        <f aca="false">V50*Seg3_kWh*12*V45</f>
        <v>102145.983674394</v>
      </c>
      <c r="W63" s="93" t="n">
        <f aca="false">W50*Seg3_kWh*12*W45</f>
        <v>105210.363184626</v>
      </c>
    </row>
    <row r="64" customFormat="false" ht="15" hidden="false" customHeight="false" outlineLevel="0" collapsed="false">
      <c r="A64" s="11" t="str">
        <f aca="false">"Energy sold (kWh) - "&amp;Seg4_Name</f>
        <v>Energy sold (kWh) - Institutions (health centre, school, water)</v>
      </c>
      <c r="B64" s="76" t="n">
        <f aca="false">SUM(C64:W64)</f>
        <v>947371.481603297</v>
      </c>
      <c r="C64" s="93" t="n">
        <v>0</v>
      </c>
      <c r="D64" s="93" t="n">
        <f aca="false">D51*Seg4_kWh*12*D45</f>
        <v>21600</v>
      </c>
      <c r="E64" s="93" t="n">
        <f aca="false">E51*Seg4_kWh*12*E45</f>
        <v>31518</v>
      </c>
      <c r="F64" s="93" t="n">
        <f aca="false">F51*Seg4_kWh*12*F45</f>
        <v>38192.4</v>
      </c>
      <c r="G64" s="93" t="n">
        <f aca="false">G51*Seg4_kWh*12*G45</f>
        <v>39338.172</v>
      </c>
      <c r="H64" s="93" t="n">
        <f aca="false">H51*Seg4_kWh*12*H45</f>
        <v>40518.31716</v>
      </c>
      <c r="I64" s="93" t="n">
        <f aca="false">I51*Seg4_kWh*12*I45</f>
        <v>41733.8666748</v>
      </c>
      <c r="J64" s="93" t="n">
        <f aca="false">J51*Seg4_kWh*12*J45</f>
        <v>42985.882675044</v>
      </c>
      <c r="K64" s="93" t="n">
        <f aca="false">K51*Seg4_kWh*12*K45</f>
        <v>44275.4591552953</v>
      </c>
      <c r="L64" s="93" t="n">
        <f aca="false">L51*Seg4_kWh*12*L45</f>
        <v>45603.7229299542</v>
      </c>
      <c r="M64" s="93" t="n">
        <f aca="false">M51*Seg4_kWh*12*M45</f>
        <v>46971.8346178528</v>
      </c>
      <c r="N64" s="93" t="n">
        <f aca="false">N51*Seg4_kWh*12*N45</f>
        <v>48380.9896563884</v>
      </c>
      <c r="O64" s="93" t="n">
        <f aca="false">O51*Seg4_kWh*12*O45</f>
        <v>49832.4193460801</v>
      </c>
      <c r="P64" s="93" t="n">
        <f aca="false">P51*Seg4_kWh*12*P45</f>
        <v>51327.3919264625</v>
      </c>
      <c r="Q64" s="93" t="n">
        <f aca="false">Q51*Seg4_kWh*12*Q45</f>
        <v>52867.2136842563</v>
      </c>
      <c r="R64" s="93" t="n">
        <f aca="false">R51*Seg4_kWh*12*R45</f>
        <v>54453.230094784</v>
      </c>
      <c r="S64" s="93" t="n">
        <f aca="false">S51*Seg4_kWh*12*S45</f>
        <v>56086.8269976275</v>
      </c>
      <c r="T64" s="93" t="n">
        <f aca="false">T51*Seg4_kWh*12*T45</f>
        <v>57769.4318075564</v>
      </c>
      <c r="U64" s="93" t="n">
        <f aca="false">U51*Seg4_kWh*12*U45</f>
        <v>59502.5147617831</v>
      </c>
      <c r="V64" s="93" t="n">
        <f aca="false">V51*Seg4_kWh*12*V45</f>
        <v>61287.5902046366</v>
      </c>
      <c r="W64" s="93" t="n">
        <f aca="false">W51*Seg4_kWh*12*W45</f>
        <v>63126.2179107757</v>
      </c>
    </row>
    <row r="65" customFormat="false" ht="15" hidden="false" customHeight="false" outlineLevel="0" collapsed="false">
      <c r="A65" s="11" t="str">
        <f aca="false">"Energy sold (kWh) - "&amp;Seg5_Name</f>
        <v>Energy sold (kWh) - Other / custom</v>
      </c>
      <c r="B65" s="76" t="n">
        <f aca="false">SUM(C65:W65)</f>
        <v>0</v>
      </c>
      <c r="C65" s="93" t="n">
        <v>0</v>
      </c>
      <c r="D65" s="93" t="n">
        <f aca="false">D52*Seg5_kWh*12*D45</f>
        <v>0</v>
      </c>
      <c r="E65" s="93" t="n">
        <f aca="false">E52*Seg5_kWh*12*E45</f>
        <v>0</v>
      </c>
      <c r="F65" s="93" t="n">
        <f aca="false">F52*Seg5_kWh*12*F45</f>
        <v>0</v>
      </c>
      <c r="G65" s="93" t="n">
        <f aca="false">G52*Seg5_kWh*12*G45</f>
        <v>0</v>
      </c>
      <c r="H65" s="93" t="n">
        <f aca="false">H52*Seg5_kWh*12*H45</f>
        <v>0</v>
      </c>
      <c r="I65" s="93" t="n">
        <f aca="false">I52*Seg5_kWh*12*I45</f>
        <v>0</v>
      </c>
      <c r="J65" s="93" t="n">
        <f aca="false">J52*Seg5_kWh*12*J45</f>
        <v>0</v>
      </c>
      <c r="K65" s="93" t="n">
        <f aca="false">K52*Seg5_kWh*12*K45</f>
        <v>0</v>
      </c>
      <c r="L65" s="93" t="n">
        <f aca="false">L52*Seg5_kWh*12*L45</f>
        <v>0</v>
      </c>
      <c r="M65" s="93" t="n">
        <f aca="false">M52*Seg5_kWh*12*M45</f>
        <v>0</v>
      </c>
      <c r="N65" s="93" t="n">
        <f aca="false">N52*Seg5_kWh*12*N45</f>
        <v>0</v>
      </c>
      <c r="O65" s="93" t="n">
        <f aca="false">O52*Seg5_kWh*12*O45</f>
        <v>0</v>
      </c>
      <c r="P65" s="93" t="n">
        <f aca="false">P52*Seg5_kWh*12*P45</f>
        <v>0</v>
      </c>
      <c r="Q65" s="93" t="n">
        <f aca="false">Q52*Seg5_kWh*12*Q45</f>
        <v>0</v>
      </c>
      <c r="R65" s="93" t="n">
        <f aca="false">R52*Seg5_kWh*12*R45</f>
        <v>0</v>
      </c>
      <c r="S65" s="93" t="n">
        <f aca="false">S52*Seg5_kWh*12*S45</f>
        <v>0</v>
      </c>
      <c r="T65" s="93" t="n">
        <f aca="false">T52*Seg5_kWh*12*T45</f>
        <v>0</v>
      </c>
      <c r="U65" s="93" t="n">
        <f aca="false">U52*Seg5_kWh*12*U45</f>
        <v>0</v>
      </c>
      <c r="V65" s="93" t="n">
        <f aca="false">V52*Seg5_kWh*12*V45</f>
        <v>0</v>
      </c>
      <c r="W65" s="93" t="n">
        <f aca="false">W52*Seg5_kWh*12*W45</f>
        <v>0</v>
      </c>
    </row>
    <row r="66" customFormat="false" ht="15" hidden="false" customHeight="false" outlineLevel="0" collapsed="false">
      <c r="A66" s="16" t="s">
        <v>422</v>
      </c>
      <c r="B66" s="76" t="n">
        <f aca="false">SUM(C66:W66)</f>
        <v>9260543.60105247</v>
      </c>
      <c r="C66" s="29" t="n">
        <f aca="false">C61+C62+C63+C64+C65</f>
        <v>0</v>
      </c>
      <c r="D66" s="29" t="n">
        <f aca="false">D61+D62+D63+D64+D65</f>
        <v>211139.712</v>
      </c>
      <c r="E66" s="29" t="n">
        <f aca="false">E61+E62+E63+E64+E65</f>
        <v>308088.02976</v>
      </c>
      <c r="F66" s="29" t="n">
        <f aca="false">F61+F62+F63+F64+F65</f>
        <v>373330.200768</v>
      </c>
      <c r="G66" s="29" t="n">
        <f aca="false">G61+G62+G63+G64+G65</f>
        <v>384530.10679104</v>
      </c>
      <c r="H66" s="29" t="n">
        <f aca="false">H61+H62+H63+H64+H65</f>
        <v>396066.009994771</v>
      </c>
      <c r="I66" s="29" t="n">
        <f aca="false">I61+I62+I63+I64+I65</f>
        <v>407947.990294614</v>
      </c>
      <c r="J66" s="29" t="n">
        <f aca="false">J61+J62+J63+J64+J65</f>
        <v>420186.430003453</v>
      </c>
      <c r="K66" s="29" t="n">
        <f aca="false">K61+K62+K63+K64+K65</f>
        <v>432792.022903556</v>
      </c>
      <c r="L66" s="29" t="n">
        <f aca="false">L61+L62+L63+L64+L65</f>
        <v>445775.783590663</v>
      </c>
      <c r="M66" s="29" t="n">
        <f aca="false">M61+M62+M63+M64+M65</f>
        <v>459149.057098383</v>
      </c>
      <c r="N66" s="29" t="n">
        <f aca="false">N61+N62+N63+N64+N65</f>
        <v>472923.528811335</v>
      </c>
      <c r="O66" s="29" t="n">
        <f aca="false">O61+O62+O63+O64+O65</f>
        <v>487111.234675675</v>
      </c>
      <c r="P66" s="29" t="n">
        <f aca="false">P61+P62+P63+P64+P65</f>
        <v>501724.571715945</v>
      </c>
      <c r="Q66" s="29" t="n">
        <f aca="false">Q61+Q62+Q63+Q64+Q65</f>
        <v>516776.308867423</v>
      </c>
      <c r="R66" s="29" t="n">
        <f aca="false">R61+R62+R63+R64+R65</f>
        <v>532279.598133446</v>
      </c>
      <c r="S66" s="29" t="n">
        <f aca="false">S61+S62+S63+S64+S65</f>
        <v>548247.986077449</v>
      </c>
      <c r="T66" s="29" t="n">
        <f aca="false">T61+T62+T63+T64+T65</f>
        <v>564695.425659773</v>
      </c>
      <c r="U66" s="29" t="n">
        <f aca="false">U61+U62+U63+U64+U65</f>
        <v>581636.288429566</v>
      </c>
      <c r="V66" s="29" t="n">
        <f aca="false">V61+V62+V63+V64+V65</f>
        <v>599085.377082453</v>
      </c>
      <c r="W66" s="29" t="n">
        <f aca="false">W61+W62+W63+W64+W65</f>
        <v>617057.938394927</v>
      </c>
    </row>
    <row r="68" customFormat="false" ht="15" hidden="false" customHeight="false" outlineLevel="0" collapsed="false">
      <c r="A68" s="9" t="s">
        <v>423</v>
      </c>
      <c r="B68" s="10"/>
      <c r="C68" s="10"/>
      <c r="D68" s="10"/>
      <c r="E68" s="10"/>
      <c r="F68" s="10"/>
      <c r="G68" s="10"/>
      <c r="H68" s="10"/>
      <c r="I68" s="10"/>
      <c r="J68" s="10"/>
      <c r="K68" s="10"/>
      <c r="L68" s="10"/>
      <c r="M68" s="10"/>
      <c r="N68" s="10"/>
      <c r="O68" s="10"/>
      <c r="P68" s="10"/>
      <c r="Q68" s="10"/>
      <c r="R68" s="10"/>
      <c r="S68" s="10"/>
      <c r="T68" s="10"/>
      <c r="U68" s="10"/>
      <c r="V68" s="10"/>
      <c r="W68" s="10"/>
    </row>
    <row r="69" customFormat="false" ht="15" hidden="false" customHeight="false" outlineLevel="0" collapsed="false">
      <c r="A69" s="11" t="s">
        <v>424</v>
      </c>
      <c r="B69" s="76" t="n">
        <f aca="false">SUM(C69:W69)</f>
        <v>10523345.001196</v>
      </c>
      <c r="C69" s="93" t="n">
        <v>0</v>
      </c>
      <c r="D69" s="93" t="n">
        <f aca="false">D66/(1-Losses)</f>
        <v>239931.490909091</v>
      </c>
      <c r="E69" s="93" t="n">
        <f aca="false">E66/(1-Losses)</f>
        <v>350100.033818182</v>
      </c>
      <c r="F69" s="93" t="n">
        <f aca="false">F66/(1-Losses)</f>
        <v>424238.864509091</v>
      </c>
      <c r="G69" s="93" t="n">
        <f aca="false">G66/(1-Losses)</f>
        <v>436966.030444364</v>
      </c>
      <c r="H69" s="93" t="n">
        <f aca="false">H66/(1-Losses)</f>
        <v>450075.011357695</v>
      </c>
      <c r="I69" s="93" t="n">
        <f aca="false">I66/(1-Losses)</f>
        <v>463577.261698425</v>
      </c>
      <c r="J69" s="93" t="n">
        <f aca="false">J66/(1-Losses)</f>
        <v>477484.579549378</v>
      </c>
      <c r="K69" s="93" t="n">
        <f aca="false">K66/(1-Losses)</f>
        <v>491809.11693586</v>
      </c>
      <c r="L69" s="93" t="n">
        <f aca="false">L66/(1-Losses)</f>
        <v>506563.390443935</v>
      </c>
      <c r="M69" s="93" t="n">
        <f aca="false">M66/(1-Losses)</f>
        <v>521760.292157253</v>
      </c>
      <c r="N69" s="93" t="n">
        <f aca="false">N66/(1-Losses)</f>
        <v>537413.100921971</v>
      </c>
      <c r="O69" s="93" t="n">
        <f aca="false">O66/(1-Losses)</f>
        <v>553535.49394963</v>
      </c>
      <c r="P69" s="93" t="n">
        <f aca="false">P66/(1-Losses)</f>
        <v>570141.558768119</v>
      </c>
      <c r="Q69" s="93" t="n">
        <f aca="false">Q66/(1-Losses)</f>
        <v>587245.805531163</v>
      </c>
      <c r="R69" s="93" t="n">
        <f aca="false">R66/(1-Losses)</f>
        <v>604863.179697098</v>
      </c>
      <c r="S69" s="93" t="n">
        <f aca="false">S66/(1-Losses)</f>
        <v>623009.07508801</v>
      </c>
      <c r="T69" s="93" t="n">
        <f aca="false">T66/(1-Losses)</f>
        <v>641699.347340651</v>
      </c>
      <c r="U69" s="93" t="n">
        <f aca="false">U66/(1-Losses)</f>
        <v>660950.327760871</v>
      </c>
      <c r="V69" s="93" t="n">
        <f aca="false">V66/(1-Losses)</f>
        <v>680778.837593697</v>
      </c>
      <c r="W69" s="93" t="n">
        <f aca="false">W66/(1-Losses)</f>
        <v>701202.202721508</v>
      </c>
    </row>
    <row r="70" customFormat="false" ht="15" hidden="false" customHeight="false" outlineLevel="0" collapsed="false">
      <c r="A70" s="11" t="s">
        <v>425</v>
      </c>
      <c r="B70" s="76" t="n">
        <f aca="false">SUM(C70:W70)</f>
        <v>8722537.45034705</v>
      </c>
      <c r="C70" s="93" t="n">
        <v>0</v>
      </c>
      <c r="D70" s="93" t="n">
        <f aca="false">PV_kWp*SpecYield*(1-Degradation)^(D39-1)*D41</f>
        <v>457206.277768167</v>
      </c>
      <c r="E70" s="93" t="n">
        <f aca="false">PV_kWp*SpecYield*(1-Degradation)^(E39-1)*E41</f>
        <v>454920.246379326</v>
      </c>
      <c r="F70" s="93" t="n">
        <f aca="false">PV_kWp*SpecYield*(1-Degradation)^(F39-1)*F41</f>
        <v>452645.64514743</v>
      </c>
      <c r="G70" s="93" t="n">
        <f aca="false">PV_kWp*SpecYield*(1-Degradation)^(G39-1)*G41</f>
        <v>450382.416921693</v>
      </c>
      <c r="H70" s="93" t="n">
        <f aca="false">PV_kWp*SpecYield*(1-Degradation)^(H39-1)*H41</f>
        <v>448130.504837084</v>
      </c>
      <c r="I70" s="93" t="n">
        <f aca="false">PV_kWp*SpecYield*(1-Degradation)^(I39-1)*I41</f>
        <v>445889.852312899</v>
      </c>
      <c r="J70" s="93" t="n">
        <f aca="false">PV_kWp*SpecYield*(1-Degradation)^(J39-1)*J41</f>
        <v>443660.403051334</v>
      </c>
      <c r="K70" s="93" t="n">
        <f aca="false">PV_kWp*SpecYield*(1-Degradation)^(K39-1)*K41</f>
        <v>441442.101036078</v>
      </c>
      <c r="L70" s="93" t="n">
        <f aca="false">PV_kWp*SpecYield*(1-Degradation)^(L39-1)*L41</f>
        <v>439234.890530897</v>
      </c>
      <c r="M70" s="93" t="n">
        <f aca="false">PV_kWp*SpecYield*(1-Degradation)^(M39-1)*M41</f>
        <v>437038.716078243</v>
      </c>
      <c r="N70" s="93" t="n">
        <f aca="false">PV_kWp*SpecYield*(1-Degradation)^(N39-1)*N41</f>
        <v>434853.522497851</v>
      </c>
      <c r="O70" s="93" t="n">
        <f aca="false">PV_kWp*SpecYield*(1-Degradation)^(O39-1)*O41</f>
        <v>432679.254885362</v>
      </c>
      <c r="P70" s="93" t="n">
        <f aca="false">PV_kWp*SpecYield*(1-Degradation)^(P39-1)*P41</f>
        <v>430515.858610935</v>
      </c>
      <c r="Q70" s="93" t="n">
        <f aca="false">PV_kWp*SpecYield*(1-Degradation)^(Q39-1)*Q41</f>
        <v>428363.279317881</v>
      </c>
      <c r="R70" s="93" t="n">
        <f aca="false">PV_kWp*SpecYield*(1-Degradation)^(R39-1)*R41</f>
        <v>426221.462921291</v>
      </c>
      <c r="S70" s="93" t="n">
        <f aca="false">PV_kWp*SpecYield*(1-Degradation)^(S39-1)*S41</f>
        <v>424090.355606685</v>
      </c>
      <c r="T70" s="93" t="n">
        <f aca="false">PV_kWp*SpecYield*(1-Degradation)^(T39-1)*T41</f>
        <v>421969.903828651</v>
      </c>
      <c r="U70" s="93" t="n">
        <f aca="false">PV_kWp*SpecYield*(1-Degradation)^(U39-1)*U41</f>
        <v>419860.054309508</v>
      </c>
      <c r="V70" s="93" t="n">
        <f aca="false">PV_kWp*SpecYield*(1-Degradation)^(V39-1)*V41</f>
        <v>417760.754037961</v>
      </c>
      <c r="W70" s="93" t="n">
        <f aca="false">PV_kWp*SpecYield*(1-Degradation)^(W39-1)*W41</f>
        <v>415671.950267771</v>
      </c>
    </row>
    <row r="71" customFormat="false" ht="15" hidden="false" customHeight="false" outlineLevel="0" collapsed="false">
      <c r="A71" s="11" t="s">
        <v>426</v>
      </c>
      <c r="B71" s="76" t="n">
        <f aca="false">SUM(C71:W71)</f>
        <v>7903453.19236348</v>
      </c>
      <c r="C71" s="93" t="n">
        <v>0</v>
      </c>
      <c r="D71" s="93" t="n">
        <f aca="false">MIN(D70/StorageFactor,D69*SolarFraction)</f>
        <v>215938.341818182</v>
      </c>
      <c r="E71" s="93" t="n">
        <f aca="false">MIN(E70/StorageFactor,E69*SolarFraction)</f>
        <v>315090.030436364</v>
      </c>
      <c r="F71" s="93" t="n">
        <f aca="false">MIN(F70/StorageFactor,F69*SolarFraction)</f>
        <v>381814.978058182</v>
      </c>
      <c r="G71" s="93" t="n">
        <f aca="false">MIN(G70/StorageFactor,G69*SolarFraction)</f>
        <v>393269.427399927</v>
      </c>
      <c r="H71" s="93" t="n">
        <f aca="false">MIN(H70/StorageFactor,H69*SolarFraction)</f>
        <v>405067.510221925</v>
      </c>
      <c r="I71" s="93" t="n">
        <f aca="false">MIN(I70/StorageFactor,I69*SolarFraction)</f>
        <v>417219.535528583</v>
      </c>
      <c r="J71" s="93" t="n">
        <f aca="false">MIN(J70/StorageFactor,J69*SolarFraction)</f>
        <v>426078.172123344</v>
      </c>
      <c r="K71" s="93" t="n">
        <f aca="false">MIN(K70/StorageFactor,K69*SolarFraction)</f>
        <v>423947.781262727</v>
      </c>
      <c r="L71" s="93" t="n">
        <f aca="false">MIN(L70/StorageFactor,L69*SolarFraction)</f>
        <v>421828.042356414</v>
      </c>
      <c r="M71" s="93" t="n">
        <f aca="false">MIN(M70/StorageFactor,M69*SolarFraction)</f>
        <v>419718.902144632</v>
      </c>
      <c r="N71" s="93" t="n">
        <f aca="false">MIN(N70/StorageFactor,N69*SolarFraction)</f>
        <v>417620.307633909</v>
      </c>
      <c r="O71" s="93" t="n">
        <f aca="false">MIN(O70/StorageFactor,O69*SolarFraction)</f>
        <v>415532.206095739</v>
      </c>
      <c r="P71" s="93" t="n">
        <f aca="false">MIN(P70/StorageFactor,P69*SolarFraction)</f>
        <v>413454.54506526</v>
      </c>
      <c r="Q71" s="93" t="n">
        <f aca="false">MIN(Q70/StorageFactor,Q69*SolarFraction)</f>
        <v>411387.272339934</v>
      </c>
      <c r="R71" s="93" t="n">
        <f aca="false">MIN(R70/StorageFactor,R69*SolarFraction)</f>
        <v>409330.335978234</v>
      </c>
      <c r="S71" s="93" t="n">
        <f aca="false">MIN(S70/StorageFactor,S69*SolarFraction)</f>
        <v>407283.684298343</v>
      </c>
      <c r="T71" s="93" t="n">
        <f aca="false">MIN(T70/StorageFactor,T69*SolarFraction)</f>
        <v>405247.265876851</v>
      </c>
      <c r="U71" s="93" t="n">
        <f aca="false">MIN(U70/StorageFactor,U69*SolarFraction)</f>
        <v>403221.029547467</v>
      </c>
      <c r="V71" s="93" t="n">
        <f aca="false">MIN(V70/StorageFactor,V69*SolarFraction)</f>
        <v>401204.92439973</v>
      </c>
      <c r="W71" s="93" t="n">
        <f aca="false">MIN(W70/StorageFactor,W69*SolarFraction)</f>
        <v>399198.899777731</v>
      </c>
    </row>
    <row r="72" customFormat="false" ht="15" hidden="false" customHeight="false" outlineLevel="0" collapsed="false">
      <c r="A72" s="11" t="s">
        <v>427</v>
      </c>
      <c r="B72" s="76" t="n">
        <f aca="false">SUM(C72:W72)</f>
        <v>2619891.80883251</v>
      </c>
      <c r="C72" s="93" t="n">
        <v>0</v>
      </c>
      <c r="D72" s="93" t="n">
        <f aca="false">D69-D71</f>
        <v>23993.1490909091</v>
      </c>
      <c r="E72" s="93" t="n">
        <f aca="false">E69-E71</f>
        <v>35010.0033818182</v>
      </c>
      <c r="F72" s="93" t="n">
        <f aca="false">F69-F71</f>
        <v>42423.8864509091</v>
      </c>
      <c r="G72" s="93" t="n">
        <f aca="false">G69-G71</f>
        <v>43696.6030444364</v>
      </c>
      <c r="H72" s="93" t="n">
        <f aca="false">H69-H71</f>
        <v>45007.5011357695</v>
      </c>
      <c r="I72" s="93" t="n">
        <f aca="false">I69-I71</f>
        <v>46357.7261698425</v>
      </c>
      <c r="J72" s="93" t="n">
        <f aca="false">J69-J71</f>
        <v>51406.407426034</v>
      </c>
      <c r="K72" s="93" t="n">
        <f aca="false">K69-K71</f>
        <v>67861.3356731322</v>
      </c>
      <c r="L72" s="93" t="n">
        <f aca="false">L69-L71</f>
        <v>84735.3480875216</v>
      </c>
      <c r="M72" s="93" t="n">
        <f aca="false">M69-M71</f>
        <v>102041.390012622</v>
      </c>
      <c r="N72" s="93" t="n">
        <f aca="false">N69-N71</f>
        <v>119792.793288062</v>
      </c>
      <c r="O72" s="93" t="n">
        <f aca="false">O69-O71</f>
        <v>138003.287853891</v>
      </c>
      <c r="P72" s="93" t="n">
        <f aca="false">P69-P71</f>
        <v>156687.013702859</v>
      </c>
      <c r="Q72" s="93" t="n">
        <f aca="false">Q69-Q71</f>
        <v>175858.533191229</v>
      </c>
      <c r="R72" s="93" t="n">
        <f aca="false">R69-R71</f>
        <v>195532.843718863</v>
      </c>
      <c r="S72" s="93" t="n">
        <f aca="false">S69-S71</f>
        <v>215725.390789667</v>
      </c>
      <c r="T72" s="93" t="n">
        <f aca="false">T69-T71</f>
        <v>236452.0814638</v>
      </c>
      <c r="U72" s="93" t="n">
        <f aca="false">U69-U71</f>
        <v>257729.298213403</v>
      </c>
      <c r="V72" s="93" t="n">
        <f aca="false">V69-V71</f>
        <v>279573.913193967</v>
      </c>
      <c r="W72" s="93" t="n">
        <f aca="false">W69-W71</f>
        <v>302003.302943776</v>
      </c>
    </row>
    <row r="73" customFormat="false" ht="15" hidden="false" customHeight="false" outlineLevel="0" collapsed="false">
      <c r="A73" s="11" t="s">
        <v>428</v>
      </c>
      <c r="C73" s="91" t="n">
        <v>0</v>
      </c>
      <c r="D73" s="91" t="n">
        <f aca="false">IFERROR(D71/D69,0)</f>
        <v>0.9</v>
      </c>
      <c r="E73" s="91" t="n">
        <f aca="false">IFERROR(E71/E69,0)</f>
        <v>0.9</v>
      </c>
      <c r="F73" s="91" t="n">
        <f aca="false">IFERROR(F71/F69,0)</f>
        <v>0.9</v>
      </c>
      <c r="G73" s="91" t="n">
        <f aca="false">IFERROR(G71/G69,0)</f>
        <v>0.9</v>
      </c>
      <c r="H73" s="91" t="n">
        <f aca="false">IFERROR(H71/H69,0)</f>
        <v>0.9</v>
      </c>
      <c r="I73" s="91" t="n">
        <f aca="false">IFERROR(I71/I69,0)</f>
        <v>0.9</v>
      </c>
      <c r="J73" s="91" t="n">
        <f aca="false">IFERROR(J71/J69,0)</f>
        <v>0.892339125434065</v>
      </c>
      <c r="K73" s="91" t="n">
        <f aca="false">IFERROR(K71/K69,0)</f>
        <v>0.862016922142616</v>
      </c>
      <c r="L73" s="91" t="n">
        <f aca="false">IFERROR(L71/L69,0)</f>
        <v>0.83272508498243</v>
      </c>
      <c r="M73" s="91" t="n">
        <f aca="false">IFERROR(M71/M69,0)</f>
        <v>0.804428601512153</v>
      </c>
      <c r="N73" s="91" t="n">
        <f aca="false">IFERROR(N71/N69,0)</f>
        <v>0.777093649033585</v>
      </c>
      <c r="O73" s="91" t="n">
        <f aca="false">IFERROR(O71/O69,0)</f>
        <v>0.750687554163511</v>
      </c>
      <c r="P73" s="91" t="n">
        <f aca="false">IFERROR(P71/P69,0)</f>
        <v>0.725178753779314</v>
      </c>
      <c r="Q73" s="91" t="n">
        <f aca="false">IFERROR(Q71/Q69,0)</f>
        <v>0.700536757291668</v>
      </c>
      <c r="R73" s="91" t="n">
        <f aca="false">IFERROR(R71/R69,0)</f>
        <v>0.676732110199232</v>
      </c>
      <c r="S73" s="91" t="n">
        <f aca="false">IFERROR(S71/S69,0)</f>
        <v>0.653736358881783</v>
      </c>
      <c r="T73" s="91" t="n">
        <f aca="false">IFERROR(T71/T69,0)</f>
        <v>0.631522016589683</v>
      </c>
      <c r="U73" s="91" t="n">
        <f aca="false">IFERROR(U71/U69,0)</f>
        <v>0.610062530589063</v>
      </c>
      <c r="V73" s="91" t="n">
        <f aca="false">IFERROR(V71/V69,0)</f>
        <v>0.589332250423415</v>
      </c>
      <c r="W73" s="91" t="n">
        <f aca="false">IFERROR(W71/W69,0)</f>
        <v>0.569306397253687</v>
      </c>
    </row>
    <row r="74" customFormat="false" ht="15" hidden="false" customHeight="false" outlineLevel="0" collapsed="false">
      <c r="A74" s="11" t="s">
        <v>429</v>
      </c>
      <c r="B74" s="76" t="n">
        <f aca="false">SUM(C74:W74)</f>
        <v>873297.269610837</v>
      </c>
      <c r="C74" s="93" t="n">
        <v>0</v>
      </c>
      <c r="D74" s="93" t="n">
        <f aca="false">D72/DieselEff</f>
        <v>7997.71636363636</v>
      </c>
      <c r="E74" s="93" t="n">
        <f aca="false">E72/DieselEff</f>
        <v>11670.0011272727</v>
      </c>
      <c r="F74" s="93" t="n">
        <f aca="false">F72/DieselEff</f>
        <v>14141.2954836364</v>
      </c>
      <c r="G74" s="93" t="n">
        <f aca="false">G72/DieselEff</f>
        <v>14565.5343481455</v>
      </c>
      <c r="H74" s="93" t="n">
        <f aca="false">H72/DieselEff</f>
        <v>15002.5003785898</v>
      </c>
      <c r="I74" s="93" t="n">
        <f aca="false">I72/DieselEff</f>
        <v>15452.5753899475</v>
      </c>
      <c r="J74" s="93" t="n">
        <f aca="false">J72/DieselEff</f>
        <v>17135.4691420114</v>
      </c>
      <c r="K74" s="93" t="n">
        <f aca="false">K72/DieselEff</f>
        <v>22620.4452243774</v>
      </c>
      <c r="L74" s="93" t="n">
        <f aca="false">L72/DieselEff</f>
        <v>28245.1160291739</v>
      </c>
      <c r="M74" s="93" t="n">
        <f aca="false">M72/DieselEff</f>
        <v>34013.7966708739</v>
      </c>
      <c r="N74" s="93" t="n">
        <f aca="false">N72/DieselEff</f>
        <v>39930.9310960208</v>
      </c>
      <c r="O74" s="93" t="n">
        <f aca="false">O72/DieselEff</f>
        <v>46001.0959512971</v>
      </c>
      <c r="P74" s="93" t="n">
        <f aca="false">P72/DieselEff</f>
        <v>52229.0045676196</v>
      </c>
      <c r="Q74" s="93" t="n">
        <f aca="false">Q72/DieselEff</f>
        <v>58619.5110637429</v>
      </c>
      <c r="R74" s="93" t="n">
        <f aca="false">R72/DieselEff</f>
        <v>65177.6145729544</v>
      </c>
      <c r="S74" s="93" t="n">
        <f aca="false">S72/DieselEff</f>
        <v>71908.4635965558</v>
      </c>
      <c r="T74" s="93" t="n">
        <f aca="false">T72/DieselEff</f>
        <v>78817.3604879332</v>
      </c>
      <c r="U74" s="93" t="n">
        <f aca="false">U72/DieselEff</f>
        <v>85909.7660711344</v>
      </c>
      <c r="V74" s="93" t="n">
        <f aca="false">V72/DieselEff</f>
        <v>93191.3043979889</v>
      </c>
      <c r="W74" s="93" t="n">
        <f aca="false">W72/DieselEff</f>
        <v>100667.767647925</v>
      </c>
    </row>
    <row r="76" customFormat="false" ht="15" hidden="false" customHeight="false" outlineLevel="0" collapsed="false">
      <c r="A76" s="9" t="s">
        <v>430</v>
      </c>
      <c r="B76" s="10"/>
      <c r="C76" s="10"/>
      <c r="D76" s="10"/>
      <c r="E76" s="10"/>
      <c r="F76" s="10"/>
      <c r="G76" s="10"/>
      <c r="H76" s="10"/>
      <c r="I76" s="10"/>
      <c r="J76" s="10"/>
      <c r="K76" s="10"/>
      <c r="L76" s="10"/>
      <c r="M76" s="10"/>
      <c r="N76" s="10"/>
      <c r="O76" s="10"/>
      <c r="P76" s="10"/>
      <c r="Q76" s="10"/>
      <c r="R76" s="10"/>
      <c r="S76" s="10"/>
      <c r="T76" s="10"/>
      <c r="U76" s="10"/>
      <c r="V76" s="10"/>
      <c r="W76" s="10"/>
    </row>
    <row r="77" customFormat="false" ht="15" hidden="false" customHeight="false" outlineLevel="0" collapsed="false">
      <c r="A77" s="11" t="str">
        <f aca="false">"Billed revenue - "&amp;Seg1_Name</f>
        <v>Billed revenue - Households</v>
      </c>
      <c r="B77" s="66" t="n">
        <f aca="false">SUM(C77:W77)</f>
        <v>2528709.7675024</v>
      </c>
      <c r="C77" s="95" t="n">
        <v>0</v>
      </c>
      <c r="D77" s="95" t="n">
        <f aca="false">D61*Seg1_Tariff*LevTariff*$B$5*D43</f>
        <v>41472</v>
      </c>
      <c r="E77" s="95" t="n">
        <f aca="false">E61*Seg1_Tariff*LevTariff*$B$5*E43</f>
        <v>62329.9968</v>
      </c>
      <c r="F77" s="95" t="n">
        <f aca="false">F61*Seg1_Tariff*LevTariff*$B$5*F43</f>
        <v>77795.1689472</v>
      </c>
      <c r="G77" s="95" t="n">
        <f aca="false">G61*Seg1_Tariff*LevTariff*$B$5*G43</f>
        <v>82532.8947360845</v>
      </c>
      <c r="H77" s="95" t="n">
        <f aca="false">H61*Seg1_Tariff*LevTariff*$B$5*H43</f>
        <v>87559.1480255121</v>
      </c>
      <c r="I77" s="95" t="n">
        <f aca="false">I61*Seg1_Tariff*LevTariff*$B$5*I43</f>
        <v>92891.5001402657</v>
      </c>
      <c r="J77" s="95" t="n">
        <f aca="false">J61*Seg1_Tariff*LevTariff*$B$5*J43</f>
        <v>98548.5924988079</v>
      </c>
      <c r="K77" s="95" t="n">
        <f aca="false">K61*Seg1_Tariff*LevTariff*$B$5*K43</f>
        <v>104550.201781985</v>
      </c>
      <c r="L77" s="95" t="n">
        <f aca="false">L61*Seg1_Tariff*LevTariff*$B$5*L43</f>
        <v>110917.309070508</v>
      </c>
      <c r="M77" s="95" t="n">
        <f aca="false">M61*Seg1_Tariff*LevTariff*$B$5*M43</f>
        <v>117672.173192902</v>
      </c>
      <c r="N77" s="95" t="n">
        <f aca="false">N61*Seg1_Tariff*LevTariff*$B$5*N43</f>
        <v>124838.40854035</v>
      </c>
      <c r="O77" s="95" t="n">
        <f aca="false">O61*Seg1_Tariff*LevTariff*$B$5*O43</f>
        <v>132441.067620457</v>
      </c>
      <c r="P77" s="95" t="n">
        <f aca="false">P61*Seg1_Tariff*LevTariff*$B$5*P43</f>
        <v>140506.728638543</v>
      </c>
      <c r="Q77" s="95" t="n">
        <f aca="false">Q61*Seg1_Tariff*LevTariff*$B$5*Q43</f>
        <v>149063.58841263</v>
      </c>
      <c r="R77" s="95" t="n">
        <f aca="false">R61*Seg1_Tariff*LevTariff*$B$5*R43</f>
        <v>158141.56094696</v>
      </c>
      <c r="S77" s="95" t="n">
        <f aca="false">S61*Seg1_Tariff*LevTariff*$B$5*S43</f>
        <v>167772.382008629</v>
      </c>
      <c r="T77" s="95" t="n">
        <f aca="false">T61*Seg1_Tariff*LevTariff*$B$5*T43</f>
        <v>177989.720072955</v>
      </c>
      <c r="U77" s="95" t="n">
        <f aca="false">U61*Seg1_Tariff*LevTariff*$B$5*U43</f>
        <v>188829.294025398</v>
      </c>
      <c r="V77" s="95" t="n">
        <f aca="false">V61*Seg1_Tariff*LevTariff*$B$5*V43</f>
        <v>200328.998031545</v>
      </c>
      <c r="W77" s="95" t="n">
        <f aca="false">W61*Seg1_Tariff*LevTariff*$B$5*W43</f>
        <v>212529.034011666</v>
      </c>
    </row>
    <row r="78" customFormat="false" ht="15" hidden="false" customHeight="false" outlineLevel="0" collapsed="false">
      <c r="A78" s="11" t="str">
        <f aca="false">"Billed revenue - "&amp;Seg2_Name</f>
        <v>Billed revenue - Productive users (mills, welding, cold rooms)</v>
      </c>
      <c r="B78" s="66" t="n">
        <f aca="false">SUM(C78:W78)</f>
        <v>1719383.56286442</v>
      </c>
      <c r="C78" s="95" t="n">
        <v>0</v>
      </c>
      <c r="D78" s="95" t="n">
        <f aca="false">D62*Seg2_Tariff*LevTariff*$B$5*D43</f>
        <v>28198.67904</v>
      </c>
      <c r="E78" s="95" t="n">
        <f aca="false">E62*Seg2_Tariff*LevTariff*$B$5*E43</f>
        <v>42380.969674176</v>
      </c>
      <c r="F78" s="95" t="n">
        <f aca="false">F62*Seg2_Tariff*LevTariff*$B$5*F43</f>
        <v>52896.4361498039</v>
      </c>
      <c r="G78" s="95" t="n">
        <f aca="false">G62*Seg2_Tariff*LevTariff*$B$5*G43</f>
        <v>56117.8291113269</v>
      </c>
      <c r="H78" s="95" t="n">
        <f aca="false">H62*Seg2_Tariff*LevTariff*$B$5*H43</f>
        <v>59535.4049042068</v>
      </c>
      <c r="I78" s="95" t="n">
        <f aca="false">I62*Seg2_Tariff*LevTariff*$B$5*I43</f>
        <v>63161.111062873</v>
      </c>
      <c r="J78" s="95" t="n">
        <f aca="false">J62*Seg2_Tariff*LevTariff*$B$5*J43</f>
        <v>67007.6227266019</v>
      </c>
      <c r="K78" s="95" t="n">
        <f aca="false">K62*Seg2_Tariff*LevTariff*$B$5*K43</f>
        <v>71088.386950652</v>
      </c>
      <c r="L78" s="95" t="n">
        <f aca="false">L62*Seg2_Tariff*LevTariff*$B$5*L43</f>
        <v>75417.6697159467</v>
      </c>
      <c r="M78" s="95" t="n">
        <f aca="false">M62*Seg2_Tariff*LevTariff*$B$5*M43</f>
        <v>80010.6058016479</v>
      </c>
      <c r="N78" s="95" t="n">
        <f aca="false">N62*Seg2_Tariff*LevTariff*$B$5*N43</f>
        <v>84883.2516949682</v>
      </c>
      <c r="O78" s="95" t="n">
        <f aca="false">O62*Seg2_Tariff*LevTariff*$B$5*O43</f>
        <v>90052.6417231918</v>
      </c>
      <c r="P78" s="95" t="n">
        <f aca="false">P62*Seg2_Tariff*LevTariff*$B$5*P43</f>
        <v>95536.8476041342</v>
      </c>
      <c r="Q78" s="95" t="n">
        <f aca="false">Q62*Seg2_Tariff*LevTariff*$B$5*Q43</f>
        <v>101355.041623226</v>
      </c>
      <c r="R78" s="95" t="n">
        <f aca="false">R62*Seg2_Tariff*LevTariff*$B$5*R43</f>
        <v>107527.56365808</v>
      </c>
      <c r="S78" s="95" t="n">
        <f aca="false">S62*Seg2_Tariff*LevTariff*$B$5*S43</f>
        <v>114075.992284858</v>
      </c>
      <c r="T78" s="95" t="n">
        <f aca="false">T62*Seg2_Tariff*LevTariff*$B$5*T43</f>
        <v>121023.220215005</v>
      </c>
      <c r="U78" s="95" t="n">
        <f aca="false">U62*Seg2_Tariff*LevTariff*$B$5*U43</f>
        <v>128393.534326099</v>
      </c>
      <c r="V78" s="95" t="n">
        <f aca="false">V62*Seg2_Tariff*LevTariff*$B$5*V43</f>
        <v>136212.700566559</v>
      </c>
      <c r="W78" s="95" t="n">
        <f aca="false">W62*Seg2_Tariff*LevTariff*$B$5*W43</f>
        <v>144508.054031062</v>
      </c>
    </row>
    <row r="79" customFormat="false" ht="15" hidden="false" customHeight="false" outlineLevel="0" collapsed="false">
      <c r="A79" s="11" t="str">
        <f aca="false">"Billed revenue - "&amp;Seg3_Name</f>
        <v>Billed revenue - Commercial (shops, bars, kiosks)</v>
      </c>
      <c r="B79" s="66" t="n">
        <f aca="false">SUM(C79:W79)</f>
        <v>1053629.06979267</v>
      </c>
      <c r="C79" s="95" t="n">
        <v>0</v>
      </c>
      <c r="D79" s="95" t="n">
        <f aca="false">D63*Seg3_Tariff*LevTariff*$B$5*D43</f>
        <v>17280</v>
      </c>
      <c r="E79" s="95" t="n">
        <f aca="false">E63*Seg3_Tariff*LevTariff*$B$5*E43</f>
        <v>25970.832</v>
      </c>
      <c r="F79" s="95" t="n">
        <f aca="false">F63*Seg3_Tariff*LevTariff*$B$5*F43</f>
        <v>32414.653728</v>
      </c>
      <c r="G79" s="95" t="n">
        <f aca="false">G63*Seg3_Tariff*LevTariff*$B$5*G43</f>
        <v>34388.7061400352</v>
      </c>
      <c r="H79" s="95" t="n">
        <f aca="false">H63*Seg3_Tariff*LevTariff*$B$5*H43</f>
        <v>36482.9783439634</v>
      </c>
      <c r="I79" s="95" t="n">
        <f aca="false">I63*Seg3_Tariff*LevTariff*$B$5*I43</f>
        <v>38704.7917251107</v>
      </c>
      <c r="J79" s="95" t="n">
        <f aca="false">J63*Seg3_Tariff*LevTariff*$B$5*J43</f>
        <v>41061.91354117</v>
      </c>
      <c r="K79" s="95" t="n">
        <f aca="false">K63*Seg3_Tariff*LevTariff*$B$5*K43</f>
        <v>43562.5840758272</v>
      </c>
      <c r="L79" s="95" t="n">
        <f aca="false">L63*Seg3_Tariff*LevTariff*$B$5*L43</f>
        <v>46215.5454460451</v>
      </c>
      <c r="M79" s="95" t="n">
        <f aca="false">M63*Seg3_Tariff*LevTariff*$B$5*M43</f>
        <v>49030.0721637093</v>
      </c>
      <c r="N79" s="95" t="n">
        <f aca="false">N63*Seg3_Tariff*LevTariff*$B$5*N43</f>
        <v>52016.0035584791</v>
      </c>
      <c r="O79" s="95" t="n">
        <f aca="false">O63*Seg3_Tariff*LevTariff*$B$5*O43</f>
        <v>55183.7781751905</v>
      </c>
      <c r="P79" s="95" t="n">
        <f aca="false">P63*Seg3_Tariff*LevTariff*$B$5*P43</f>
        <v>58544.4702660596</v>
      </c>
      <c r="Q79" s="95" t="n">
        <f aca="false">Q63*Seg3_Tariff*LevTariff*$B$5*Q43</f>
        <v>62109.8285052627</v>
      </c>
      <c r="R79" s="95" t="n">
        <f aca="false">R63*Seg3_Tariff*LevTariff*$B$5*R43</f>
        <v>65892.3170612332</v>
      </c>
      <c r="S79" s="95" t="n">
        <f aca="false">S63*Seg3_Tariff*LevTariff*$B$5*S43</f>
        <v>69905.1591702623</v>
      </c>
      <c r="T79" s="95" t="n">
        <f aca="false">T63*Seg3_Tariff*LevTariff*$B$5*T43</f>
        <v>74162.3833637313</v>
      </c>
      <c r="U79" s="95" t="n">
        <f aca="false">U63*Seg3_Tariff*LevTariff*$B$5*U43</f>
        <v>78678.8725105825</v>
      </c>
      <c r="V79" s="95" t="n">
        <f aca="false">V63*Seg3_Tariff*LevTariff*$B$5*V43</f>
        <v>83470.415846477</v>
      </c>
      <c r="W79" s="95" t="n">
        <f aca="false">W63*Seg3_Tariff*LevTariff*$B$5*W43</f>
        <v>88553.7641715274</v>
      </c>
    </row>
    <row r="80" customFormat="false" ht="15" hidden="false" customHeight="false" outlineLevel="0" collapsed="false">
      <c r="A80" s="11" t="str">
        <f aca="false">"Billed revenue - "&amp;Seg4_Name</f>
        <v>Billed revenue - Institutions (health centre, school, water)</v>
      </c>
      <c r="B80" s="66" t="n">
        <f aca="false">SUM(C80:W80)</f>
        <v>553155.26164115</v>
      </c>
      <c r="C80" s="95" t="n">
        <v>0</v>
      </c>
      <c r="D80" s="95" t="n">
        <f aca="false">D64*Seg4_Tariff*LevTariff*$B$5*D43</f>
        <v>9072</v>
      </c>
      <c r="E80" s="95" t="n">
        <f aca="false">E64*Seg4_Tariff*LevTariff*$B$5*E43</f>
        <v>13634.6868</v>
      </c>
      <c r="F80" s="95" t="n">
        <f aca="false">F64*Seg4_Tariff*LevTariff*$B$5*F43</f>
        <v>17017.6932072</v>
      </c>
      <c r="G80" s="95" t="n">
        <f aca="false">G64*Seg4_Tariff*LevTariff*$B$5*G43</f>
        <v>18054.0707235185</v>
      </c>
      <c r="H80" s="95" t="n">
        <f aca="false">H64*Seg4_Tariff*LevTariff*$B$5*H43</f>
        <v>19153.5636305808</v>
      </c>
      <c r="I80" s="95" t="n">
        <f aca="false">I64*Seg4_Tariff*LevTariff*$B$5*I43</f>
        <v>20320.0156556831</v>
      </c>
      <c r="J80" s="95" t="n">
        <f aca="false">J64*Seg4_Tariff*LevTariff*$B$5*J43</f>
        <v>21557.5046091142</v>
      </c>
      <c r="K80" s="95" t="n">
        <f aca="false">K64*Seg4_Tariff*LevTariff*$B$5*K43</f>
        <v>22870.3566398093</v>
      </c>
      <c r="L80" s="95" t="n">
        <f aca="false">L64*Seg4_Tariff*LevTariff*$B$5*L43</f>
        <v>24263.1613591737</v>
      </c>
      <c r="M80" s="95" t="n">
        <f aca="false">M64*Seg4_Tariff*LevTariff*$B$5*M43</f>
        <v>25740.7878859474</v>
      </c>
      <c r="N80" s="95" t="n">
        <f aca="false">N64*Seg4_Tariff*LevTariff*$B$5*N43</f>
        <v>27308.4018682016</v>
      </c>
      <c r="O80" s="95" t="n">
        <f aca="false">O64*Seg4_Tariff*LevTariff*$B$5*O43</f>
        <v>28971.483541975</v>
      </c>
      <c r="P80" s="95" t="n">
        <f aca="false">P64*Seg4_Tariff*LevTariff*$B$5*P43</f>
        <v>30735.8468896813</v>
      </c>
      <c r="Q80" s="95" t="n">
        <f aca="false">Q64*Seg4_Tariff*LevTariff*$B$5*Q43</f>
        <v>32607.6599652629</v>
      </c>
      <c r="R80" s="95" t="n">
        <f aca="false">R64*Seg4_Tariff*LevTariff*$B$5*R43</f>
        <v>34593.4664571474</v>
      </c>
      <c r="S80" s="95" t="n">
        <f aca="false">S64*Seg4_Tariff*LevTariff*$B$5*S43</f>
        <v>36700.2085643877</v>
      </c>
      <c r="T80" s="95" t="n">
        <f aca="false">T64*Seg4_Tariff*LevTariff*$B$5*T43</f>
        <v>38935.2512659589</v>
      </c>
      <c r="U80" s="95" t="n">
        <f aca="false">U64*Seg4_Tariff*LevTariff*$B$5*U43</f>
        <v>41306.4080680558</v>
      </c>
      <c r="V80" s="95" t="n">
        <f aca="false">V64*Seg4_Tariff*LevTariff*$B$5*V43</f>
        <v>43821.9683194004</v>
      </c>
      <c r="W80" s="95" t="n">
        <f aca="false">W64*Seg4_Tariff*LevTariff*$B$5*W43</f>
        <v>46490.7261900519</v>
      </c>
    </row>
    <row r="81" customFormat="false" ht="15" hidden="false" customHeight="false" outlineLevel="0" collapsed="false">
      <c r="A81" s="11" t="str">
        <f aca="false">"Billed revenue - "&amp;Seg5_Name</f>
        <v>Billed revenue - Other / custom</v>
      </c>
      <c r="B81" s="66" t="n">
        <f aca="false">SUM(C81:W81)</f>
        <v>0</v>
      </c>
      <c r="C81" s="95" t="n">
        <v>0</v>
      </c>
      <c r="D81" s="95" t="n">
        <f aca="false">D65*Seg5_Tariff*LevTariff*$B$5*D43</f>
        <v>0</v>
      </c>
      <c r="E81" s="95" t="n">
        <f aca="false">E65*Seg5_Tariff*LevTariff*$B$5*E43</f>
        <v>0</v>
      </c>
      <c r="F81" s="95" t="n">
        <f aca="false">F65*Seg5_Tariff*LevTariff*$B$5*F43</f>
        <v>0</v>
      </c>
      <c r="G81" s="95" t="n">
        <f aca="false">G65*Seg5_Tariff*LevTariff*$B$5*G43</f>
        <v>0</v>
      </c>
      <c r="H81" s="95" t="n">
        <f aca="false">H65*Seg5_Tariff*LevTariff*$B$5*H43</f>
        <v>0</v>
      </c>
      <c r="I81" s="95" t="n">
        <f aca="false">I65*Seg5_Tariff*LevTariff*$B$5*I43</f>
        <v>0</v>
      </c>
      <c r="J81" s="95" t="n">
        <f aca="false">J65*Seg5_Tariff*LevTariff*$B$5*J43</f>
        <v>0</v>
      </c>
      <c r="K81" s="95" t="n">
        <f aca="false">K65*Seg5_Tariff*LevTariff*$B$5*K43</f>
        <v>0</v>
      </c>
      <c r="L81" s="95" t="n">
        <f aca="false">L65*Seg5_Tariff*LevTariff*$B$5*L43</f>
        <v>0</v>
      </c>
      <c r="M81" s="95" t="n">
        <f aca="false">M65*Seg5_Tariff*LevTariff*$B$5*M43</f>
        <v>0</v>
      </c>
      <c r="N81" s="95" t="n">
        <f aca="false">N65*Seg5_Tariff*LevTariff*$B$5*N43</f>
        <v>0</v>
      </c>
      <c r="O81" s="95" t="n">
        <f aca="false">O65*Seg5_Tariff*LevTariff*$B$5*O43</f>
        <v>0</v>
      </c>
      <c r="P81" s="95" t="n">
        <f aca="false">P65*Seg5_Tariff*LevTariff*$B$5*P43</f>
        <v>0</v>
      </c>
      <c r="Q81" s="95" t="n">
        <f aca="false">Q65*Seg5_Tariff*LevTariff*$B$5*Q43</f>
        <v>0</v>
      </c>
      <c r="R81" s="95" t="n">
        <f aca="false">R65*Seg5_Tariff*LevTariff*$B$5*R43</f>
        <v>0</v>
      </c>
      <c r="S81" s="95" t="n">
        <f aca="false">S65*Seg5_Tariff*LevTariff*$B$5*S43</f>
        <v>0</v>
      </c>
      <c r="T81" s="95" t="n">
        <f aca="false">T65*Seg5_Tariff*LevTariff*$B$5*T43</f>
        <v>0</v>
      </c>
      <c r="U81" s="95" t="n">
        <f aca="false">U65*Seg5_Tariff*LevTariff*$B$5*U43</f>
        <v>0</v>
      </c>
      <c r="V81" s="95" t="n">
        <f aca="false">V65*Seg5_Tariff*LevTariff*$B$5*V43</f>
        <v>0</v>
      </c>
      <c r="W81" s="95" t="n">
        <f aca="false">W65*Seg5_Tariff*LevTariff*$B$5*W43</f>
        <v>0</v>
      </c>
    </row>
    <row r="82" customFormat="false" ht="15" hidden="false" customHeight="false" outlineLevel="0" collapsed="false">
      <c r="A82" s="16" t="s">
        <v>431</v>
      </c>
      <c r="B82" s="66" t="n">
        <f aca="false">SUM(C82:W82)</f>
        <v>5854877.66180063</v>
      </c>
      <c r="C82" s="31" t="n">
        <f aca="false">C77+C78+C79+C80+C81</f>
        <v>0</v>
      </c>
      <c r="D82" s="31" t="n">
        <f aca="false">D77+D78+D79+D80+D81</f>
        <v>96022.67904</v>
      </c>
      <c r="E82" s="31" t="n">
        <f aca="false">E77+E78+E79+E80+E81</f>
        <v>144316.485274176</v>
      </c>
      <c r="F82" s="31" t="n">
        <f aca="false">F77+F78+F79+F80+F81</f>
        <v>180123.952032204</v>
      </c>
      <c r="G82" s="31" t="n">
        <f aca="false">G77+G78+G79+G80+G81</f>
        <v>191093.500710965</v>
      </c>
      <c r="H82" s="31" t="n">
        <f aca="false">H77+H78+H79+H80+H81</f>
        <v>202731.094904263</v>
      </c>
      <c r="I82" s="31" t="n">
        <f aca="false">I77+I78+I79+I80+I81</f>
        <v>215077.418583933</v>
      </c>
      <c r="J82" s="31" t="n">
        <f aca="false">J77+J78+J79+J80+J81</f>
        <v>228175.633375694</v>
      </c>
      <c r="K82" s="31" t="n">
        <f aca="false">K77+K78+K79+K80+K81</f>
        <v>242071.529448274</v>
      </c>
      <c r="L82" s="31" t="n">
        <f aca="false">L77+L78+L79+L80+L81</f>
        <v>256813.685591674</v>
      </c>
      <c r="M82" s="31" t="n">
        <f aca="false">M77+M78+M79+M80+M81</f>
        <v>272453.639044207</v>
      </c>
      <c r="N82" s="31" t="n">
        <f aca="false">N77+N78+N79+N80+N81</f>
        <v>289046.065661999</v>
      </c>
      <c r="O82" s="31" t="n">
        <f aca="false">O77+O78+O79+O80+O81</f>
        <v>306648.971060815</v>
      </c>
      <c r="P82" s="31" t="n">
        <f aca="false">P77+P78+P79+P80+P81</f>
        <v>325323.893398418</v>
      </c>
      <c r="Q82" s="31" t="n">
        <f aca="false">Q77+Q78+Q79+Q80+Q81</f>
        <v>345136.118506382</v>
      </c>
      <c r="R82" s="31" t="n">
        <f aca="false">R77+R78+R79+R80+R81</f>
        <v>366154.908123421</v>
      </c>
      <c r="S82" s="31" t="n">
        <f aca="false">S77+S78+S79+S80+S81</f>
        <v>388453.742028137</v>
      </c>
      <c r="T82" s="31" t="n">
        <f aca="false">T77+T78+T79+T80+T81</f>
        <v>412110.574917651</v>
      </c>
      <c r="U82" s="31" t="n">
        <f aca="false">U77+U78+U79+U80+U81</f>
        <v>437208.108930135</v>
      </c>
      <c r="V82" s="31" t="n">
        <f aca="false">V77+V78+V79+V80+V81</f>
        <v>463834.082763981</v>
      </c>
      <c r="W82" s="31" t="n">
        <f aca="false">W77+W78+W79+W80+W81</f>
        <v>492081.578404307</v>
      </c>
    </row>
    <row r="83" customFormat="false" ht="15" hidden="false" customHeight="false" outlineLevel="0" collapsed="false">
      <c r="A83" s="11" t="s">
        <v>432</v>
      </c>
      <c r="B83" s="66" t="n">
        <f aca="false">SUM(C83:W83)</f>
        <v>5386487.44885658</v>
      </c>
      <c r="C83" s="95" t="n">
        <v>0</v>
      </c>
      <c r="D83" s="95" t="n">
        <f aca="false">D82*MIN(1,Collection*LevColl*$B$9)</f>
        <v>88340.8647168</v>
      </c>
      <c r="E83" s="95" t="n">
        <f aca="false">E82*MIN(1,Collection*LevColl*$B$9)</f>
        <v>132771.166452242</v>
      </c>
      <c r="F83" s="95" t="n">
        <f aca="false">F82*MIN(1,Collection*LevColl*$B$9)</f>
        <v>165714.035869628</v>
      </c>
      <c r="G83" s="95" t="n">
        <f aca="false">G82*MIN(1,Collection*LevColl*$B$9)</f>
        <v>175806.020654088</v>
      </c>
      <c r="H83" s="95" t="n">
        <f aca="false">H82*MIN(1,Collection*LevColl*$B$9)</f>
        <v>186512.607311922</v>
      </c>
      <c r="I83" s="95" t="n">
        <f aca="false">I82*MIN(1,Collection*LevColl*$B$9)</f>
        <v>197871.225097218</v>
      </c>
      <c r="J83" s="95" t="n">
        <f aca="false">J82*MIN(1,Collection*LevColl*$B$9)</f>
        <v>209921.582705639</v>
      </c>
      <c r="K83" s="95" t="n">
        <f aca="false">K82*MIN(1,Collection*LevColl*$B$9)</f>
        <v>222705.807092412</v>
      </c>
      <c r="L83" s="95" t="n">
        <f aca="false">L82*MIN(1,Collection*LevColl*$B$9)</f>
        <v>236268.59074434</v>
      </c>
      <c r="M83" s="95" t="n">
        <f aca="false">M82*MIN(1,Collection*LevColl*$B$9)</f>
        <v>250657.34792067</v>
      </c>
      <c r="N83" s="95" t="n">
        <f aca="false">N82*MIN(1,Collection*LevColl*$B$9)</f>
        <v>265922.380409039</v>
      </c>
      <c r="O83" s="95" t="n">
        <f aca="false">O82*MIN(1,Collection*LevColl*$B$9)</f>
        <v>282117.053375949</v>
      </c>
      <c r="P83" s="95" t="n">
        <f aca="false">P82*MIN(1,Collection*LevColl*$B$9)</f>
        <v>299297.981926545</v>
      </c>
      <c r="Q83" s="95" t="n">
        <f aca="false">Q82*MIN(1,Collection*LevColl*$B$9)</f>
        <v>317525.229025871</v>
      </c>
      <c r="R83" s="95" t="n">
        <f aca="false">R82*MIN(1,Collection*LevColl*$B$9)</f>
        <v>336862.515473547</v>
      </c>
      <c r="S83" s="95" t="n">
        <f aca="false">S82*MIN(1,Collection*LevColl*$B$9)</f>
        <v>357377.442665886</v>
      </c>
      <c r="T83" s="95" t="n">
        <f aca="false">T82*MIN(1,Collection*LevColl*$B$9)</f>
        <v>379141.728924239</v>
      </c>
      <c r="U83" s="95" t="n">
        <f aca="false">U82*MIN(1,Collection*LevColl*$B$9)</f>
        <v>402231.460215725</v>
      </c>
      <c r="V83" s="95" t="n">
        <f aca="false">V82*MIN(1,Collection*LevColl*$B$9)</f>
        <v>426727.356142862</v>
      </c>
      <c r="W83" s="95" t="n">
        <f aca="false">W82*MIN(1,Collection*LevColl*$B$9)</f>
        <v>452715.052131963</v>
      </c>
    </row>
    <row r="84" customFormat="false" ht="15" hidden="false" customHeight="false" outlineLevel="0" collapsed="false">
      <c r="A84" s="11" t="s">
        <v>433</v>
      </c>
      <c r="B84" s="66" t="n">
        <f aca="false">SUM(C84:W84)</f>
        <v>11500</v>
      </c>
      <c r="C84" s="95" t="n">
        <v>0</v>
      </c>
      <c r="D84" s="95" t="n">
        <f aca="false">D54*Seg1_Fee+D55*Seg2_Fee+D56*Seg3_Fee+D57*Seg4_Fee+D58*Seg5_Fee</f>
        <v>6900</v>
      </c>
      <c r="E84" s="95" t="n">
        <f aca="false">E54*Seg1_Fee+E55*Seg2_Fee+E56*Seg3_Fee+E57*Seg4_Fee+E58*Seg5_Fee</f>
        <v>2875</v>
      </c>
      <c r="F84" s="95" t="n">
        <f aca="false">F54*Seg1_Fee+F55*Seg2_Fee+F56*Seg3_Fee+F57*Seg4_Fee+F58*Seg5_Fee</f>
        <v>1725</v>
      </c>
      <c r="G84" s="95" t="n">
        <f aca="false">G54*Seg1_Fee+G55*Seg2_Fee+G56*Seg3_Fee+G57*Seg4_Fee+G58*Seg5_Fee</f>
        <v>0</v>
      </c>
      <c r="H84" s="95" t="n">
        <f aca="false">H54*Seg1_Fee+H55*Seg2_Fee+H56*Seg3_Fee+H57*Seg4_Fee+H58*Seg5_Fee</f>
        <v>0</v>
      </c>
      <c r="I84" s="95" t="n">
        <f aca="false">I54*Seg1_Fee+I55*Seg2_Fee+I56*Seg3_Fee+I57*Seg4_Fee+I58*Seg5_Fee</f>
        <v>0</v>
      </c>
      <c r="J84" s="95" t="n">
        <f aca="false">J54*Seg1_Fee+J55*Seg2_Fee+J56*Seg3_Fee+J57*Seg4_Fee+J58*Seg5_Fee</f>
        <v>0</v>
      </c>
      <c r="K84" s="95" t="n">
        <f aca="false">K54*Seg1_Fee+K55*Seg2_Fee+K56*Seg3_Fee+K57*Seg4_Fee+K58*Seg5_Fee</f>
        <v>0</v>
      </c>
      <c r="L84" s="95" t="n">
        <f aca="false">L54*Seg1_Fee+L55*Seg2_Fee+L56*Seg3_Fee+L57*Seg4_Fee+L58*Seg5_Fee</f>
        <v>0</v>
      </c>
      <c r="M84" s="95" t="n">
        <f aca="false">M54*Seg1_Fee+M55*Seg2_Fee+M56*Seg3_Fee+M57*Seg4_Fee+M58*Seg5_Fee</f>
        <v>0</v>
      </c>
      <c r="N84" s="95" t="n">
        <f aca="false">N54*Seg1_Fee+N55*Seg2_Fee+N56*Seg3_Fee+N57*Seg4_Fee+N58*Seg5_Fee</f>
        <v>0</v>
      </c>
      <c r="O84" s="95" t="n">
        <f aca="false">O54*Seg1_Fee+O55*Seg2_Fee+O56*Seg3_Fee+O57*Seg4_Fee+O58*Seg5_Fee</f>
        <v>0</v>
      </c>
      <c r="P84" s="95" t="n">
        <f aca="false">P54*Seg1_Fee+P55*Seg2_Fee+P56*Seg3_Fee+P57*Seg4_Fee+P58*Seg5_Fee</f>
        <v>0</v>
      </c>
      <c r="Q84" s="95" t="n">
        <f aca="false">Q54*Seg1_Fee+Q55*Seg2_Fee+Q56*Seg3_Fee+Q57*Seg4_Fee+Q58*Seg5_Fee</f>
        <v>0</v>
      </c>
      <c r="R84" s="95" t="n">
        <f aca="false">R54*Seg1_Fee+R55*Seg2_Fee+R56*Seg3_Fee+R57*Seg4_Fee+R58*Seg5_Fee</f>
        <v>0</v>
      </c>
      <c r="S84" s="95" t="n">
        <f aca="false">S54*Seg1_Fee+S55*Seg2_Fee+S56*Seg3_Fee+S57*Seg4_Fee+S58*Seg5_Fee</f>
        <v>0</v>
      </c>
      <c r="T84" s="95" t="n">
        <f aca="false">T54*Seg1_Fee+T55*Seg2_Fee+T56*Seg3_Fee+T57*Seg4_Fee+T58*Seg5_Fee</f>
        <v>0</v>
      </c>
      <c r="U84" s="95" t="n">
        <f aca="false">U54*Seg1_Fee+U55*Seg2_Fee+U56*Seg3_Fee+U57*Seg4_Fee+U58*Seg5_Fee</f>
        <v>0</v>
      </c>
      <c r="V84" s="95" t="n">
        <f aca="false">V54*Seg1_Fee+V55*Seg2_Fee+V56*Seg3_Fee+V57*Seg4_Fee+V58*Seg5_Fee</f>
        <v>0</v>
      </c>
      <c r="W84" s="95" t="n">
        <f aca="false">W54*Seg1_Fee+W55*Seg2_Fee+W56*Seg3_Fee+W57*Seg4_Fee+W58*Seg5_Fee</f>
        <v>0</v>
      </c>
    </row>
    <row r="85" customFormat="false" ht="15" hidden="false" customHeight="false" outlineLevel="0" collapsed="false">
      <c r="A85" s="16" t="s">
        <v>434</v>
      </c>
      <c r="B85" s="66" t="n">
        <f aca="false">SUM(C85:W85)</f>
        <v>5397987.44885658</v>
      </c>
      <c r="C85" s="31" t="n">
        <f aca="false">C83+C84</f>
        <v>0</v>
      </c>
      <c r="D85" s="31" t="n">
        <f aca="false">D83+D84</f>
        <v>95240.8647168</v>
      </c>
      <c r="E85" s="31" t="n">
        <f aca="false">E83+E84</f>
        <v>135646.166452242</v>
      </c>
      <c r="F85" s="31" t="n">
        <f aca="false">F83+F84</f>
        <v>167439.035869628</v>
      </c>
      <c r="G85" s="31" t="n">
        <f aca="false">G83+G84</f>
        <v>175806.020654088</v>
      </c>
      <c r="H85" s="31" t="n">
        <f aca="false">H83+H84</f>
        <v>186512.607311922</v>
      </c>
      <c r="I85" s="31" t="n">
        <f aca="false">I83+I84</f>
        <v>197871.225097218</v>
      </c>
      <c r="J85" s="31" t="n">
        <f aca="false">J83+J84</f>
        <v>209921.582705639</v>
      </c>
      <c r="K85" s="31" t="n">
        <f aca="false">K83+K84</f>
        <v>222705.807092412</v>
      </c>
      <c r="L85" s="31" t="n">
        <f aca="false">L83+L84</f>
        <v>236268.59074434</v>
      </c>
      <c r="M85" s="31" t="n">
        <f aca="false">M83+M84</f>
        <v>250657.34792067</v>
      </c>
      <c r="N85" s="31" t="n">
        <f aca="false">N83+N84</f>
        <v>265922.380409039</v>
      </c>
      <c r="O85" s="31" t="n">
        <f aca="false">O83+O84</f>
        <v>282117.053375949</v>
      </c>
      <c r="P85" s="31" t="n">
        <f aca="false">P83+P84</f>
        <v>299297.981926545</v>
      </c>
      <c r="Q85" s="31" t="n">
        <f aca="false">Q83+Q84</f>
        <v>317525.229025871</v>
      </c>
      <c r="R85" s="31" t="n">
        <f aca="false">R83+R84</f>
        <v>336862.515473547</v>
      </c>
      <c r="S85" s="31" t="n">
        <f aca="false">S83+S84</f>
        <v>357377.442665886</v>
      </c>
      <c r="T85" s="31" t="n">
        <f aca="false">T83+T84</f>
        <v>379141.728924239</v>
      </c>
      <c r="U85" s="31" t="n">
        <f aca="false">U83+U84</f>
        <v>402231.460215725</v>
      </c>
      <c r="V85" s="31" t="n">
        <f aca="false">V83+V84</f>
        <v>426727.356142862</v>
      </c>
      <c r="W85" s="31" t="n">
        <f aca="false">W83+W84</f>
        <v>452715.052131963</v>
      </c>
    </row>
    <row r="87" customFormat="false" ht="15" hidden="false" customHeight="false" outlineLevel="0" collapsed="false">
      <c r="A87" s="9" t="s">
        <v>435</v>
      </c>
      <c r="B87" s="10"/>
      <c r="C87" s="10"/>
      <c r="D87" s="10"/>
      <c r="E87" s="10"/>
      <c r="F87" s="10"/>
      <c r="G87" s="10"/>
      <c r="H87" s="10"/>
      <c r="I87" s="10"/>
      <c r="J87" s="10"/>
      <c r="K87" s="10"/>
      <c r="L87" s="10"/>
      <c r="M87" s="10"/>
      <c r="N87" s="10"/>
      <c r="O87" s="10"/>
      <c r="P87" s="10"/>
      <c r="Q87" s="10"/>
      <c r="R87" s="10"/>
      <c r="S87" s="10"/>
      <c r="T87" s="10"/>
      <c r="U87" s="10"/>
      <c r="V87" s="10"/>
      <c r="W87" s="10"/>
    </row>
    <row r="88" customFormat="false" ht="15" hidden="false" customHeight="false" outlineLevel="0" collapsed="false">
      <c r="A88" s="11" t="s">
        <v>162</v>
      </c>
      <c r="B88" s="66" t="n">
        <f aca="false">SUM(C88:W88)</f>
        <v>679197.868676078</v>
      </c>
      <c r="C88" s="95" t="n">
        <v>0</v>
      </c>
      <c r="D88" s="95" t="n">
        <f aca="false">S_Tariff_Hi!$B$15*O_FixedPct*D44*LevOpex*$B$8*D41</f>
        <v>25276.8292810589</v>
      </c>
      <c r="E88" s="95" t="n">
        <f aca="false">S_Tariff_Hi!$B$15*O_FixedPct*E44*LevOpex*$B$8*E41</f>
        <v>26035.1341594906</v>
      </c>
      <c r="F88" s="95" t="n">
        <f aca="false">S_Tariff_Hi!$B$15*O_FixedPct*F44*LevOpex*$B$8*F41</f>
        <v>26816.1881842753</v>
      </c>
      <c r="G88" s="95" t="n">
        <f aca="false">S_Tariff_Hi!$B$15*O_FixedPct*G44*LevOpex*$B$8*G41</f>
        <v>27620.6738298036</v>
      </c>
      <c r="H88" s="95" t="n">
        <f aca="false">S_Tariff_Hi!$B$15*O_FixedPct*H44*LevOpex*$B$8*H41</f>
        <v>28449.2940446977</v>
      </c>
      <c r="I88" s="95" t="n">
        <f aca="false">S_Tariff_Hi!$B$15*O_FixedPct*I44*LevOpex*$B$8*I41</f>
        <v>29302.7728660386</v>
      </c>
      <c r="J88" s="95" t="n">
        <f aca="false">S_Tariff_Hi!$B$15*O_FixedPct*J44*LevOpex*$B$8*J41</f>
        <v>30181.8560520198</v>
      </c>
      <c r="K88" s="95" t="n">
        <f aca="false">S_Tariff_Hi!$B$15*O_FixedPct*K44*LevOpex*$B$8*K41</f>
        <v>31087.3117335804</v>
      </c>
      <c r="L88" s="95" t="n">
        <f aca="false">S_Tariff_Hi!$B$15*O_FixedPct*L44*LevOpex*$B$8*L41</f>
        <v>32019.9310855878</v>
      </c>
      <c r="M88" s="95" t="n">
        <f aca="false">S_Tariff_Hi!$B$15*O_FixedPct*M44*LevOpex*$B$8*M41</f>
        <v>32980.5290181554</v>
      </c>
      <c r="N88" s="95" t="n">
        <f aca="false">S_Tariff_Hi!$B$15*O_FixedPct*N44*LevOpex*$B$8*N41</f>
        <v>33969.9448887001</v>
      </c>
      <c r="O88" s="95" t="n">
        <f aca="false">S_Tariff_Hi!$B$15*O_FixedPct*O44*LevOpex*$B$8*O41</f>
        <v>34989.0432353611</v>
      </c>
      <c r="P88" s="95" t="n">
        <f aca="false">S_Tariff_Hi!$B$15*O_FixedPct*P44*LevOpex*$B$8*P41</f>
        <v>36038.7145324219</v>
      </c>
      <c r="Q88" s="95" t="n">
        <f aca="false">S_Tariff_Hi!$B$15*O_FixedPct*Q44*LevOpex*$B$8*Q41</f>
        <v>37119.8759683946</v>
      </c>
      <c r="R88" s="95" t="n">
        <f aca="false">S_Tariff_Hi!$B$15*O_FixedPct*R44*LevOpex*$B$8*R41</f>
        <v>38233.4722474465</v>
      </c>
      <c r="S88" s="95" t="n">
        <f aca="false">S_Tariff_Hi!$B$15*O_FixedPct*S44*LevOpex*$B$8*S41</f>
        <v>39380.4764148698</v>
      </c>
      <c r="T88" s="95" t="n">
        <f aca="false">S_Tariff_Hi!$B$15*O_FixedPct*T44*LevOpex*$B$8*T41</f>
        <v>40561.8907073159</v>
      </c>
      <c r="U88" s="95" t="n">
        <f aca="false">S_Tariff_Hi!$B$15*O_FixedPct*U44*LevOpex*$B$8*U41</f>
        <v>41778.7474285354</v>
      </c>
      <c r="V88" s="95" t="n">
        <f aca="false">S_Tariff_Hi!$B$15*O_FixedPct*V44*LevOpex*$B$8*V41</f>
        <v>43032.1098513915</v>
      </c>
      <c r="W88" s="95" t="n">
        <f aca="false">S_Tariff_Hi!$B$15*O_FixedPct*W44*LevOpex*$B$8*W41</f>
        <v>44323.0731469332</v>
      </c>
    </row>
    <row r="89" customFormat="false" ht="15" hidden="false" customHeight="false" outlineLevel="0" collapsed="false">
      <c r="A89" s="11" t="s">
        <v>436</v>
      </c>
      <c r="B89" s="66" t="n">
        <f aca="false">SUM(C89:W89)</f>
        <v>483666.740801648</v>
      </c>
      <c r="C89" s="95" t="n">
        <v>0</v>
      </c>
      <c r="D89" s="95" t="n">
        <f aca="false">O_Staff*D44*LevOpex*$B$8*D41</f>
        <v>18000</v>
      </c>
      <c r="E89" s="95" t="n">
        <f aca="false">O_Staff*E44*LevOpex*$B$8*E41</f>
        <v>18540</v>
      </c>
      <c r="F89" s="95" t="n">
        <f aca="false">O_Staff*F44*LevOpex*$B$8*F41</f>
        <v>19096.2</v>
      </c>
      <c r="G89" s="95" t="n">
        <f aca="false">O_Staff*G44*LevOpex*$B$8*G41</f>
        <v>19669.086</v>
      </c>
      <c r="H89" s="95" t="n">
        <f aca="false">O_Staff*H44*LevOpex*$B$8*H41</f>
        <v>20259.15858</v>
      </c>
      <c r="I89" s="95" t="n">
        <f aca="false">O_Staff*I44*LevOpex*$B$8*I41</f>
        <v>20866.9333374</v>
      </c>
      <c r="J89" s="95" t="n">
        <f aca="false">O_Staff*J44*LevOpex*$B$8*J41</f>
        <v>21492.941337522</v>
      </c>
      <c r="K89" s="95" t="n">
        <f aca="false">O_Staff*K44*LevOpex*$B$8*K41</f>
        <v>22137.7295776477</v>
      </c>
      <c r="L89" s="95" t="n">
        <f aca="false">O_Staff*L44*LevOpex*$B$8*L41</f>
        <v>22801.8614649771</v>
      </c>
      <c r="M89" s="95" t="n">
        <f aca="false">O_Staff*M44*LevOpex*$B$8*M41</f>
        <v>23485.9173089264</v>
      </c>
      <c r="N89" s="95" t="n">
        <f aca="false">O_Staff*N44*LevOpex*$B$8*N41</f>
        <v>24190.4948281942</v>
      </c>
      <c r="O89" s="95" t="n">
        <f aca="false">O_Staff*O44*LevOpex*$B$8*O41</f>
        <v>24916.20967304</v>
      </c>
      <c r="P89" s="95" t="n">
        <f aca="false">O_Staff*P44*LevOpex*$B$8*P41</f>
        <v>25663.6959632312</v>
      </c>
      <c r="Q89" s="95" t="n">
        <f aca="false">O_Staff*Q44*LevOpex*$B$8*Q41</f>
        <v>26433.6068421282</v>
      </c>
      <c r="R89" s="95" t="n">
        <f aca="false">O_Staff*R44*LevOpex*$B$8*R41</f>
        <v>27226.615047392</v>
      </c>
      <c r="S89" s="95" t="n">
        <f aca="false">O_Staff*S44*LevOpex*$B$8*S41</f>
        <v>28043.4134988138</v>
      </c>
      <c r="T89" s="95" t="n">
        <f aca="false">O_Staff*T44*LevOpex*$B$8*T41</f>
        <v>28884.7159037782</v>
      </c>
      <c r="U89" s="95" t="n">
        <f aca="false">O_Staff*U44*LevOpex*$B$8*U41</f>
        <v>29751.2573808915</v>
      </c>
      <c r="V89" s="95" t="n">
        <f aca="false">O_Staff*V44*LevOpex*$B$8*V41</f>
        <v>30643.7951023183</v>
      </c>
      <c r="W89" s="95" t="n">
        <f aca="false">O_Staff*W44*LevOpex*$B$8*W41</f>
        <v>31563.1089553878</v>
      </c>
    </row>
    <row r="90" customFormat="false" ht="15" hidden="false" customHeight="false" outlineLevel="0" collapsed="false">
      <c r="A90" s="11" t="s">
        <v>165</v>
      </c>
      <c r="B90" s="66" t="n">
        <f aca="false">SUM(C90:W90)</f>
        <v>156215.509795498</v>
      </c>
      <c r="C90" s="95" t="n">
        <v>0</v>
      </c>
      <c r="D90" s="95" t="n">
        <f aca="false">S_Tariff_Hi!$B$14*O_InsPct*D44*LevOpex*$B$8*D41</f>
        <v>5813.67073464354</v>
      </c>
      <c r="E90" s="95" t="n">
        <f aca="false">S_Tariff_Hi!$B$14*O_InsPct*E44*LevOpex*$B$8*E41</f>
        <v>5988.08085668284</v>
      </c>
      <c r="F90" s="95" t="n">
        <f aca="false">S_Tariff_Hi!$B$14*O_InsPct*F44*LevOpex*$B$8*F41</f>
        <v>6167.72328238333</v>
      </c>
      <c r="G90" s="95" t="n">
        <f aca="false">S_Tariff_Hi!$B$14*O_InsPct*G44*LevOpex*$B$8*G41</f>
        <v>6352.75498085483</v>
      </c>
      <c r="H90" s="95" t="n">
        <f aca="false">S_Tariff_Hi!$B$14*O_InsPct*H44*LevOpex*$B$8*H41</f>
        <v>6543.33763028047</v>
      </c>
      <c r="I90" s="95" t="n">
        <f aca="false">S_Tariff_Hi!$B$14*O_InsPct*I44*LevOpex*$B$8*I41</f>
        <v>6739.63775918889</v>
      </c>
      <c r="J90" s="95" t="n">
        <f aca="false">S_Tariff_Hi!$B$14*O_InsPct*J44*LevOpex*$B$8*J41</f>
        <v>6941.82689196455</v>
      </c>
      <c r="K90" s="95" t="n">
        <f aca="false">S_Tariff_Hi!$B$14*O_InsPct*K44*LevOpex*$B$8*K41</f>
        <v>7150.08169872349</v>
      </c>
      <c r="L90" s="95" t="n">
        <f aca="false">S_Tariff_Hi!$B$14*O_InsPct*L44*LevOpex*$B$8*L41</f>
        <v>7364.5841496852</v>
      </c>
      <c r="M90" s="95" t="n">
        <f aca="false">S_Tariff_Hi!$B$14*O_InsPct*M44*LevOpex*$B$8*M41</f>
        <v>7585.52167417575</v>
      </c>
      <c r="N90" s="95" t="n">
        <f aca="false">S_Tariff_Hi!$B$14*O_InsPct*N44*LevOpex*$B$8*N41</f>
        <v>7813.08732440103</v>
      </c>
      <c r="O90" s="95" t="n">
        <f aca="false">S_Tariff_Hi!$B$14*O_InsPct*O44*LevOpex*$B$8*O41</f>
        <v>8047.47994413306</v>
      </c>
      <c r="P90" s="95" t="n">
        <f aca="false">S_Tariff_Hi!$B$14*O_InsPct*P44*LevOpex*$B$8*P41</f>
        <v>8288.90434245705</v>
      </c>
      <c r="Q90" s="95" t="n">
        <f aca="false">S_Tariff_Hi!$B$14*O_InsPct*Q44*LevOpex*$B$8*Q41</f>
        <v>8537.57147273076</v>
      </c>
      <c r="R90" s="95" t="n">
        <f aca="false">S_Tariff_Hi!$B$14*O_InsPct*R44*LevOpex*$B$8*R41</f>
        <v>8793.69861691268</v>
      </c>
      <c r="S90" s="95" t="n">
        <f aca="false">S_Tariff_Hi!$B$14*O_InsPct*S44*LevOpex*$B$8*S41</f>
        <v>9057.50957542006</v>
      </c>
      <c r="T90" s="95" t="n">
        <f aca="false">S_Tariff_Hi!$B$14*O_InsPct*T44*LevOpex*$B$8*T41</f>
        <v>9329.23486268267</v>
      </c>
      <c r="U90" s="95" t="n">
        <f aca="false">S_Tariff_Hi!$B$14*O_InsPct*U44*LevOpex*$B$8*U41</f>
        <v>9609.11190856315</v>
      </c>
      <c r="V90" s="95" t="n">
        <f aca="false">S_Tariff_Hi!$B$14*O_InsPct*V44*LevOpex*$B$8*V41</f>
        <v>9897.38526582004</v>
      </c>
      <c r="W90" s="95" t="n">
        <f aca="false">S_Tariff_Hi!$B$14*O_InsPct*W44*LevOpex*$B$8*W41</f>
        <v>10194.3068237946</v>
      </c>
    </row>
    <row r="91" customFormat="false" ht="15" hidden="false" customHeight="false" outlineLevel="0" collapsed="false">
      <c r="A91" s="11" t="s">
        <v>437</v>
      </c>
      <c r="B91" s="66" t="n">
        <f aca="false">SUM(C91:W91)</f>
        <v>80611.1234669414</v>
      </c>
      <c r="C91" s="95" t="n">
        <v>0</v>
      </c>
      <c r="D91" s="95" t="n">
        <f aca="false">O_Fees*D44*LevOpex*$B$8*D41</f>
        <v>3000</v>
      </c>
      <c r="E91" s="95" t="n">
        <f aca="false">O_Fees*E44*LevOpex*$B$8*E41</f>
        <v>3090</v>
      </c>
      <c r="F91" s="95" t="n">
        <f aca="false">O_Fees*F44*LevOpex*$B$8*F41</f>
        <v>3182.7</v>
      </c>
      <c r="G91" s="95" t="n">
        <f aca="false">O_Fees*G44*LevOpex*$B$8*G41</f>
        <v>3278.181</v>
      </c>
      <c r="H91" s="95" t="n">
        <f aca="false">O_Fees*H44*LevOpex*$B$8*H41</f>
        <v>3376.52643</v>
      </c>
      <c r="I91" s="95" t="n">
        <f aca="false">O_Fees*I44*LevOpex*$B$8*I41</f>
        <v>3477.8222229</v>
      </c>
      <c r="J91" s="95" t="n">
        <f aca="false">O_Fees*J44*LevOpex*$B$8*J41</f>
        <v>3582.156889587</v>
      </c>
      <c r="K91" s="95" t="n">
        <f aca="false">O_Fees*K44*LevOpex*$B$8*K41</f>
        <v>3689.62159627461</v>
      </c>
      <c r="L91" s="95" t="n">
        <f aca="false">O_Fees*L44*LevOpex*$B$8*L41</f>
        <v>3800.31024416285</v>
      </c>
      <c r="M91" s="95" t="n">
        <f aca="false">O_Fees*M44*LevOpex*$B$8*M41</f>
        <v>3914.31955148773</v>
      </c>
      <c r="N91" s="95" t="n">
        <f aca="false">O_Fees*N44*LevOpex*$B$8*N41</f>
        <v>4031.74913803237</v>
      </c>
      <c r="O91" s="95" t="n">
        <f aca="false">O_Fees*O44*LevOpex*$B$8*O41</f>
        <v>4152.70161217334</v>
      </c>
      <c r="P91" s="95" t="n">
        <f aca="false">O_Fees*P44*LevOpex*$B$8*P41</f>
        <v>4277.28266053854</v>
      </c>
      <c r="Q91" s="95" t="n">
        <f aca="false">O_Fees*Q44*LevOpex*$B$8*Q41</f>
        <v>4405.60114035469</v>
      </c>
      <c r="R91" s="95" t="n">
        <f aca="false">O_Fees*R44*LevOpex*$B$8*R41</f>
        <v>4537.76917456534</v>
      </c>
      <c r="S91" s="95" t="n">
        <f aca="false">O_Fees*S44*LevOpex*$B$8*S41</f>
        <v>4673.9022498023</v>
      </c>
      <c r="T91" s="95" t="n">
        <f aca="false">O_Fees*T44*LevOpex*$B$8*T41</f>
        <v>4814.11931729637</v>
      </c>
      <c r="U91" s="95" t="n">
        <f aca="false">O_Fees*U44*LevOpex*$B$8*U41</f>
        <v>4958.54289681526</v>
      </c>
      <c r="V91" s="95" t="n">
        <f aca="false">O_Fees*V44*LevOpex*$B$8*V41</f>
        <v>5107.29918371971</v>
      </c>
      <c r="W91" s="95" t="n">
        <f aca="false">O_Fees*W44*LevOpex*$B$8*W41</f>
        <v>5260.51815923131</v>
      </c>
    </row>
    <row r="92" customFormat="false" ht="15" hidden="false" customHeight="false" outlineLevel="0" collapsed="false">
      <c r="A92" s="11" t="s">
        <v>438</v>
      </c>
      <c r="B92" s="66" t="n">
        <f aca="false">SUM(C92:W92)</f>
        <v>107481.497955922</v>
      </c>
      <c r="C92" s="95" t="n">
        <v>0</v>
      </c>
      <c r="D92" s="95" t="n">
        <f aca="false">O_MRV*D44*LevOpex*$B$8*D41</f>
        <v>4000</v>
      </c>
      <c r="E92" s="95" t="n">
        <f aca="false">O_MRV*E44*LevOpex*$B$8*E41</f>
        <v>4120</v>
      </c>
      <c r="F92" s="95" t="n">
        <f aca="false">O_MRV*F44*LevOpex*$B$8*F41</f>
        <v>4243.6</v>
      </c>
      <c r="G92" s="95" t="n">
        <f aca="false">O_MRV*G44*LevOpex*$B$8*G41</f>
        <v>4370.908</v>
      </c>
      <c r="H92" s="95" t="n">
        <f aca="false">O_MRV*H44*LevOpex*$B$8*H41</f>
        <v>4502.03524</v>
      </c>
      <c r="I92" s="95" t="n">
        <f aca="false">O_MRV*I44*LevOpex*$B$8*I41</f>
        <v>4637.0962972</v>
      </c>
      <c r="J92" s="95" t="n">
        <f aca="false">O_MRV*J44*LevOpex*$B$8*J41</f>
        <v>4776.209186116</v>
      </c>
      <c r="K92" s="95" t="n">
        <f aca="false">O_MRV*K44*LevOpex*$B$8*K41</f>
        <v>4919.49546169948</v>
      </c>
      <c r="L92" s="95" t="n">
        <f aca="false">O_MRV*L44*LevOpex*$B$8*L41</f>
        <v>5067.08032555047</v>
      </c>
      <c r="M92" s="95" t="n">
        <f aca="false">O_MRV*M44*LevOpex*$B$8*M41</f>
        <v>5219.09273531698</v>
      </c>
      <c r="N92" s="95" t="n">
        <f aca="false">O_MRV*N44*LevOpex*$B$8*N41</f>
        <v>5375.66551737649</v>
      </c>
      <c r="O92" s="95" t="n">
        <f aca="false">O_MRV*O44*LevOpex*$B$8*O41</f>
        <v>5536.93548289778</v>
      </c>
      <c r="P92" s="95" t="n">
        <f aca="false">O_MRV*P44*LevOpex*$B$8*P41</f>
        <v>5703.04354738472</v>
      </c>
      <c r="Q92" s="95" t="n">
        <f aca="false">O_MRV*Q44*LevOpex*$B$8*Q41</f>
        <v>5874.13485380626</v>
      </c>
      <c r="R92" s="95" t="n">
        <f aca="false">O_MRV*R44*LevOpex*$B$8*R41</f>
        <v>6050.35889942045</v>
      </c>
      <c r="S92" s="95" t="n">
        <f aca="false">O_MRV*S44*LevOpex*$B$8*S41</f>
        <v>6231.86966640306</v>
      </c>
      <c r="T92" s="95" t="n">
        <f aca="false">O_MRV*T44*LevOpex*$B$8*T41</f>
        <v>6418.82575639515</v>
      </c>
      <c r="U92" s="95" t="n">
        <f aca="false">O_MRV*U44*LevOpex*$B$8*U41</f>
        <v>6611.39052908701</v>
      </c>
      <c r="V92" s="95" t="n">
        <f aca="false">O_MRV*V44*LevOpex*$B$8*V41</f>
        <v>6809.73224495962</v>
      </c>
      <c r="W92" s="95" t="n">
        <f aca="false">O_MRV*W44*LevOpex*$B$8*W41</f>
        <v>7014.02421230841</v>
      </c>
    </row>
    <row r="93" customFormat="false" ht="15" hidden="false" customHeight="false" outlineLevel="0" collapsed="false">
      <c r="A93" s="11" t="s">
        <v>439</v>
      </c>
      <c r="B93" s="66" t="n">
        <f aca="false">SUM(C93:W93)</f>
        <v>161939.623465697</v>
      </c>
      <c r="C93" s="95" t="n">
        <v>0</v>
      </c>
      <c r="D93" s="95" t="n">
        <f aca="false">D85*O_CustPct</f>
        <v>2857.225941504</v>
      </c>
      <c r="E93" s="95" t="n">
        <f aca="false">E85*O_CustPct</f>
        <v>4069.38499356726</v>
      </c>
      <c r="F93" s="95" t="n">
        <f aca="false">F85*O_CustPct</f>
        <v>5023.17107608883</v>
      </c>
      <c r="G93" s="95" t="n">
        <f aca="false">G85*O_CustPct</f>
        <v>5274.18061962264</v>
      </c>
      <c r="H93" s="95" t="n">
        <f aca="false">H85*O_CustPct</f>
        <v>5595.37821935766</v>
      </c>
      <c r="I93" s="95" t="n">
        <f aca="false">I85*O_CustPct</f>
        <v>5936.13675291654</v>
      </c>
      <c r="J93" s="95" t="n">
        <f aca="false">J85*O_CustPct</f>
        <v>6297.64748116916</v>
      </c>
      <c r="K93" s="95" t="n">
        <f aca="false">K85*O_CustPct</f>
        <v>6681.17421277236</v>
      </c>
      <c r="L93" s="95" t="n">
        <f aca="false">L85*O_CustPct</f>
        <v>7088.0577223302</v>
      </c>
      <c r="M93" s="95" t="n">
        <f aca="false">M85*O_CustPct</f>
        <v>7519.7204376201</v>
      </c>
      <c r="N93" s="95" t="n">
        <f aca="false">N85*O_CustPct</f>
        <v>7977.67141227117</v>
      </c>
      <c r="O93" s="95" t="n">
        <f aca="false">O85*O_CustPct</f>
        <v>8463.51160127848</v>
      </c>
      <c r="P93" s="95" t="n">
        <f aca="false">P85*O_CustPct</f>
        <v>8978.93945779634</v>
      </c>
      <c r="Q93" s="95" t="n">
        <f aca="false">Q85*O_CustPct</f>
        <v>9525.75687077614</v>
      </c>
      <c r="R93" s="95" t="n">
        <f aca="false">R85*O_CustPct</f>
        <v>10105.8754642064</v>
      </c>
      <c r="S93" s="95" t="n">
        <f aca="false">S85*O_CustPct</f>
        <v>10721.3232799766</v>
      </c>
      <c r="T93" s="95" t="n">
        <f aca="false">T85*O_CustPct</f>
        <v>11374.2518677272</v>
      </c>
      <c r="U93" s="95" t="n">
        <f aca="false">U85*O_CustPct</f>
        <v>12066.9438064717</v>
      </c>
      <c r="V93" s="95" t="n">
        <f aca="false">V85*O_CustPct</f>
        <v>12801.8206842859</v>
      </c>
      <c r="W93" s="95" t="n">
        <f aca="false">W85*O_CustPct</f>
        <v>13581.4515639589</v>
      </c>
    </row>
    <row r="94" customFormat="false" ht="15" hidden="false" customHeight="false" outlineLevel="0" collapsed="false">
      <c r="A94" s="11" t="s">
        <v>440</v>
      </c>
      <c r="B94" s="66" t="n">
        <f aca="false">SUM(C94:W94)</f>
        <v>117570.051282715</v>
      </c>
      <c r="C94" s="95" t="n">
        <v>0</v>
      </c>
      <c r="D94" s="95" t="n">
        <f aca="false">D72*O_DieselOM*D44*LevOpex*$B$8</f>
        <v>719.794472727272</v>
      </c>
      <c r="E94" s="95" t="n">
        <f aca="false">E72*O_DieselOM*E44*LevOpex*$B$8</f>
        <v>1081.80910449818</v>
      </c>
      <c r="F94" s="95" t="n">
        <f aca="false">F72*O_DieselOM*F44*LevOpex*$B$8</f>
        <v>1350.22503407308</v>
      </c>
      <c r="G94" s="95" t="n">
        <f aca="false">G72*O_DieselOM*G44*LevOpex*$B$8</f>
        <v>1432.45373864813</v>
      </c>
      <c r="H94" s="95" t="n">
        <f aca="false">H72*O_DieselOM*H44*LevOpex*$B$8</f>
        <v>1519.69017133181</v>
      </c>
      <c r="I94" s="95" t="n">
        <f aca="false">I72*O_DieselOM*I44*LevOpex*$B$8</f>
        <v>1612.23930276591</v>
      </c>
      <c r="J94" s="95" t="n">
        <f aca="false">J72*O_DieselOM*J44*LevOpex*$B$8</f>
        <v>1841.45816530084</v>
      </c>
      <c r="K94" s="95" t="n">
        <f aca="false">K72*O_DieselOM*K44*LevOpex*$B$8</f>
        <v>2503.82649651629</v>
      </c>
      <c r="L94" s="95" t="n">
        <f aca="false">L72*O_DieselOM*L44*LevOpex*$B$8</f>
        <v>3220.20611379713</v>
      </c>
      <c r="M94" s="95" t="n">
        <f aca="false">M72*O_DieselOM*M44*LevOpex*$B$8</f>
        <v>3994.2260798739</v>
      </c>
      <c r="N94" s="95" t="n">
        <f aca="false">N72*O_DieselOM*N44*LevOpex*$B$8</f>
        <v>4829.74491081635</v>
      </c>
      <c r="O94" s="95" t="n">
        <f aca="false">O72*O_DieselOM*O44*LevOpex*$B$8</f>
        <v>5730.86475956075</v>
      </c>
      <c r="P94" s="95" t="n">
        <f aca="false">P72*O_DieselOM*P44*LevOpex*$B$8</f>
        <v>6701.94646842802</v>
      </c>
      <c r="Q94" s="95" t="n">
        <f aca="false">Q72*O_DieselOM*Q44*LevOpex*$B$8</f>
        <v>7747.62554368381</v>
      </c>
      <c r="R94" s="95" t="n">
        <f aca="false">R72*O_DieselOM*R44*LevOpex*$B$8</f>
        <v>8872.82910842559</v>
      </c>
      <c r="S94" s="95" t="n">
        <f aca="false">S72*O_DieselOM*S44*LevOpex*$B$8</f>
        <v>10082.7938935131</v>
      </c>
      <c r="T94" s="95" t="n">
        <f aca="false">T72*O_DieselOM*T44*LevOpex*$B$8</f>
        <v>11383.0853298981</v>
      </c>
      <c r="U94" s="95" t="n">
        <f aca="false">U72*O_DieselOM*U44*LevOpex*$B$8</f>
        <v>12779.6178095725</v>
      </c>
      <c r="V94" s="95" t="n">
        <f aca="false">V72*O_DieselOM*V44*LevOpex*$B$8</f>
        <v>14278.6761864487</v>
      </c>
      <c r="W94" s="95" t="n">
        <f aca="false">W72*O_DieselOM*W44*LevOpex*$B$8</f>
        <v>15886.9385928357</v>
      </c>
    </row>
    <row r="95" customFormat="false" ht="15" hidden="false" customHeight="false" outlineLevel="0" collapsed="false">
      <c r="A95" s="11" t="s">
        <v>441</v>
      </c>
      <c r="B95" s="66" t="n">
        <f aca="false">SUM(C95:W95)</f>
        <v>1567600.68376954</v>
      </c>
      <c r="C95" s="95" t="n">
        <v>0</v>
      </c>
      <c r="D95" s="95" t="n">
        <f aca="false">D74*FuelPrice*LevFuel*$B$10*D44</f>
        <v>9597.25963636363</v>
      </c>
      <c r="E95" s="95" t="n">
        <f aca="false">E74*FuelPrice*LevFuel*$B$10*E44</f>
        <v>14424.1213933091</v>
      </c>
      <c r="F95" s="95" t="n">
        <f aca="false">F74*FuelPrice*LevFuel*$B$10*F44</f>
        <v>18003.0004543078</v>
      </c>
      <c r="G95" s="95" t="n">
        <f aca="false">G74*FuelPrice*LevFuel*$B$10*G44</f>
        <v>19099.3831819751</v>
      </c>
      <c r="H95" s="95" t="n">
        <f aca="false">H74*FuelPrice*LevFuel*$B$10*H44</f>
        <v>20262.5356177574</v>
      </c>
      <c r="I95" s="95" t="n">
        <f aca="false">I74*FuelPrice*LevFuel*$B$10*I44</f>
        <v>21496.5240368788</v>
      </c>
      <c r="J95" s="95" t="n">
        <f aca="false">J74*FuelPrice*LevFuel*$B$10*J44</f>
        <v>24552.7755373446</v>
      </c>
      <c r="K95" s="95" t="n">
        <f aca="false">K74*FuelPrice*LevFuel*$B$10*K44</f>
        <v>33384.3532868839</v>
      </c>
      <c r="L95" s="95" t="n">
        <f aca="false">L74*FuelPrice*LevFuel*$B$10*L44</f>
        <v>42936.0815172951</v>
      </c>
      <c r="M95" s="95" t="n">
        <f aca="false">M74*FuelPrice*LevFuel*$B$10*M44</f>
        <v>53256.3477316521</v>
      </c>
      <c r="N95" s="95" t="n">
        <f aca="false">N74*FuelPrice*LevFuel*$B$10*N44</f>
        <v>64396.5988108847</v>
      </c>
      <c r="O95" s="95" t="n">
        <f aca="false">O74*FuelPrice*LevFuel*$B$10*O44</f>
        <v>76411.5301274767</v>
      </c>
      <c r="P95" s="95" t="n">
        <f aca="false">P74*FuelPrice*LevFuel*$B$10*P44</f>
        <v>89359.2862457069</v>
      </c>
      <c r="Q95" s="95" t="n">
        <f aca="false">Q74*FuelPrice*LevFuel*$B$10*Q44</f>
        <v>103301.673915784</v>
      </c>
      <c r="R95" s="95" t="n">
        <f aca="false">R74*FuelPrice*LevFuel*$B$10*R44</f>
        <v>118304.388112341</v>
      </c>
      <c r="S95" s="95" t="n">
        <f aca="false">S74*FuelPrice*LevFuel*$B$10*S44</f>
        <v>134437.251913507</v>
      </c>
      <c r="T95" s="95" t="n">
        <f aca="false">T74*FuelPrice*LevFuel*$B$10*T44</f>
        <v>151774.471065308</v>
      </c>
      <c r="U95" s="95" t="n">
        <f aca="false">U74*FuelPrice*LevFuel*$B$10*U44</f>
        <v>170394.904127634</v>
      </c>
      <c r="V95" s="95" t="n">
        <f aca="false">V74*FuelPrice*LevFuel*$B$10*V44</f>
        <v>190382.34915265</v>
      </c>
      <c r="W95" s="95" t="n">
        <f aca="false">W74*FuelPrice*LevFuel*$B$10*W44</f>
        <v>211825.847904476</v>
      </c>
    </row>
    <row r="96" customFormat="false" ht="15" hidden="false" customHeight="false" outlineLevel="0" collapsed="false">
      <c r="A96" s="16" t="s">
        <v>442</v>
      </c>
      <c r="B96" s="66" t="n">
        <f aca="false">SUM(C96:W96)</f>
        <v>3354283.09921404</v>
      </c>
      <c r="C96" s="31" t="n">
        <f aca="false">C88+C89+C90+C91+C92+C93+C94+C95</f>
        <v>0</v>
      </c>
      <c r="D96" s="31" t="n">
        <f aca="false">D88+D89+D90+D91+D92+D93+D94+D95</f>
        <v>69264.7800662973</v>
      </c>
      <c r="E96" s="31" t="n">
        <f aca="false">E88+E89+E90+E91+E92+E93+E94+E95</f>
        <v>77348.530507548</v>
      </c>
      <c r="F96" s="31" t="n">
        <f aca="false">F88+F89+F90+F91+F92+F93+F94+F95</f>
        <v>83882.8080311283</v>
      </c>
      <c r="G96" s="31" t="n">
        <f aca="false">G88+G89+G90+G91+G92+G93+G94+G95</f>
        <v>87097.6213509043</v>
      </c>
      <c r="H96" s="31" t="n">
        <f aca="false">H88+H89+H90+H91+H92+H93+H94+H95</f>
        <v>90507.9559334251</v>
      </c>
      <c r="I96" s="31" t="n">
        <f aca="false">I88+I89+I90+I91+I92+I93+I94+I95</f>
        <v>94069.1625752888</v>
      </c>
      <c r="J96" s="31" t="n">
        <f aca="false">J88+J89+J90+J91+J92+J93+J94+J95</f>
        <v>99666.8715410239</v>
      </c>
      <c r="K96" s="31" t="n">
        <f aca="false">K88+K89+K90+K91+K92+K93+K94+K95</f>
        <v>111553.594064098</v>
      </c>
      <c r="L96" s="31" t="n">
        <f aca="false">L88+L89+L90+L91+L92+L93+L94+L95</f>
        <v>124298.112623386</v>
      </c>
      <c r="M96" s="31" t="n">
        <f aca="false">M88+M89+M90+M91+M92+M93+M94+M95</f>
        <v>137955.674537208</v>
      </c>
      <c r="N96" s="31" t="n">
        <f aca="false">N88+N89+N90+N91+N92+N93+N94+N95</f>
        <v>152584.956830676</v>
      </c>
      <c r="O96" s="31" t="n">
        <f aca="false">O88+O89+O90+O91+O92+O93+O94+O95</f>
        <v>168248.276435921</v>
      </c>
      <c r="P96" s="31" t="n">
        <f aca="false">P88+P89+P90+P91+P92+P93+P94+P95</f>
        <v>185011.813217965</v>
      </c>
      <c r="Q96" s="31" t="n">
        <f aca="false">Q88+Q89+Q90+Q91+Q92+Q93+Q94+Q95</f>
        <v>202945.846607659</v>
      </c>
      <c r="R96" s="31" t="n">
        <f aca="false">R88+R89+R90+R91+R92+R93+R94+R95</f>
        <v>222125.00667071</v>
      </c>
      <c r="S96" s="31" t="n">
        <f aca="false">S88+S89+S90+S91+S92+S93+S94+S95</f>
        <v>242628.540492306</v>
      </c>
      <c r="T96" s="31" t="n">
        <f aca="false">T88+T89+T90+T91+T92+T93+T94+T95</f>
        <v>264540.594810402</v>
      </c>
      <c r="U96" s="31" t="n">
        <f aca="false">U88+U89+U90+U91+U92+U93+U94+U95</f>
        <v>287950.51588757</v>
      </c>
      <c r="V96" s="31" t="n">
        <f aca="false">V88+V89+V90+V91+V92+V93+V94+V95</f>
        <v>312953.167671593</v>
      </c>
      <c r="W96" s="31" t="n">
        <f aca="false">W88+W89+W90+W91+W92+W93+W94+W95</f>
        <v>339649.269358926</v>
      </c>
    </row>
    <row r="98" customFormat="false" ht="15" hidden="false" customHeight="false" outlineLevel="0" collapsed="false">
      <c r="A98" s="16" t="s">
        <v>443</v>
      </c>
      <c r="B98" s="66" t="n">
        <f aca="false">SUM(C98:W98)</f>
        <v>2043704.34964255</v>
      </c>
      <c r="C98" s="31" t="n">
        <f aca="false">C85-C96</f>
        <v>0</v>
      </c>
      <c r="D98" s="31" t="n">
        <f aca="false">D85-D96</f>
        <v>25976.0846505027</v>
      </c>
      <c r="E98" s="31" t="n">
        <f aca="false">E85-E96</f>
        <v>58297.6359446939</v>
      </c>
      <c r="F98" s="31" t="n">
        <f aca="false">F85-F96</f>
        <v>83556.2278384992</v>
      </c>
      <c r="G98" s="31" t="n">
        <f aca="false">G85-G96</f>
        <v>88708.3993031836</v>
      </c>
      <c r="H98" s="31" t="n">
        <f aca="false">H85-H96</f>
        <v>96004.6513784968</v>
      </c>
      <c r="I98" s="31" t="n">
        <f aca="false">I85-I96</f>
        <v>103802.062521929</v>
      </c>
      <c r="J98" s="31" t="n">
        <f aca="false">J85-J96</f>
        <v>110254.711164615</v>
      </c>
      <c r="K98" s="31" t="n">
        <f aca="false">K85-K96</f>
        <v>111152.213028314</v>
      </c>
      <c r="L98" s="31" t="n">
        <f aca="false">L85-L96</f>
        <v>111970.478120954</v>
      </c>
      <c r="M98" s="31" t="n">
        <f aca="false">M85-M96</f>
        <v>112701.673383462</v>
      </c>
      <c r="N98" s="31" t="n">
        <f aca="false">N85-N96</f>
        <v>113337.423578363</v>
      </c>
      <c r="O98" s="31" t="n">
        <f aca="false">O85-O96</f>
        <v>113868.776940028</v>
      </c>
      <c r="P98" s="31" t="n">
        <f aca="false">P85-P96</f>
        <v>114286.16870858</v>
      </c>
      <c r="Q98" s="31" t="n">
        <f aca="false">Q85-Q96</f>
        <v>114579.382418213</v>
      </c>
      <c r="R98" s="31" t="n">
        <f aca="false">R85-R96</f>
        <v>114737.508802837</v>
      </c>
      <c r="S98" s="31" t="n">
        <f aca="false">S85-S96</f>
        <v>114748.90217358</v>
      </c>
      <c r="T98" s="31" t="n">
        <f aca="false">T85-T96</f>
        <v>114601.134113837</v>
      </c>
      <c r="U98" s="31" t="n">
        <f aca="false">U85-U96</f>
        <v>114280.944328155</v>
      </c>
      <c r="V98" s="31" t="n">
        <f aca="false">V85-V96</f>
        <v>113774.188471269</v>
      </c>
      <c r="W98" s="31" t="n">
        <f aca="false">W85-W96</f>
        <v>113065.782773037</v>
      </c>
    </row>
    <row r="99" customFormat="false" ht="15" hidden="false" customHeight="false" outlineLevel="0" collapsed="false">
      <c r="A99" s="11" t="s">
        <v>444</v>
      </c>
      <c r="C99" s="91" t="n">
        <v>0</v>
      </c>
      <c r="D99" s="91" t="n">
        <f aca="false">IFERROR(D98/D85,0)</f>
        <v>0.2727409576524</v>
      </c>
      <c r="E99" s="91" t="n">
        <f aca="false">IFERROR(E98/E85,0)</f>
        <v>0.429777246710612</v>
      </c>
      <c r="F99" s="91" t="n">
        <f aca="false">IFERROR(F98/F85,0)</f>
        <v>0.499024778807006</v>
      </c>
      <c r="G99" s="91" t="n">
        <f aca="false">IFERROR(G98/G85,0)</f>
        <v>0.504581122837222</v>
      </c>
      <c r="H99" s="91" t="n">
        <f aca="false">IFERROR(H98/H85,0)</f>
        <v>0.514735452804751</v>
      </c>
      <c r="I99" s="91" t="n">
        <f aca="false">IFERROR(I98/I85,0)</f>
        <v>0.524594025588759</v>
      </c>
      <c r="J99" s="91" t="n">
        <f aca="false">IFERROR(J98/J85,0)</f>
        <v>0.525218558966463</v>
      </c>
      <c r="K99" s="91" t="n">
        <f aca="false">IFERROR(K98/K85,0)</f>
        <v>0.499098853682747</v>
      </c>
      <c r="L99" s="91" t="n">
        <f aca="false">IFERROR(L98/L85,0)</f>
        <v>0.473911821153216</v>
      </c>
      <c r="M99" s="91" t="n">
        <f aca="false">IFERROR(M98/M85,0)</f>
        <v>0.449624454732244</v>
      </c>
      <c r="N99" s="91" t="n">
        <f aca="false">IFERROR(N98/N85,0)</f>
        <v>0.426204907627662</v>
      </c>
      <c r="O99" s="91" t="n">
        <f aca="false">IFERROR(O98/O85,0)</f>
        <v>0.403622452373649</v>
      </c>
      <c r="P99" s="91" t="n">
        <f aca="false">IFERROR(P98/P85,0)</f>
        <v>0.381847441713218</v>
      </c>
      <c r="Q99" s="91" t="n">
        <f aca="false">IFERROR(Q98/Q85,0)</f>
        <v>0.360851270841465</v>
      </c>
      <c r="R99" s="91" t="n">
        <f aca="false">IFERROR(R98/R85,0)</f>
        <v>0.340606340962407</v>
      </c>
      <c r="S99" s="91" t="n">
        <f aca="false">IFERROR(S98/S85,0)</f>
        <v>0.321086024113893</v>
      </c>
      <c r="T99" s="91" t="n">
        <f aca="false">IFERROR(T98/T85,0)</f>
        <v>0.302264629216629</v>
      </c>
      <c r="U99" s="91" t="n">
        <f aca="false">IFERROR(U98/U85,0)</f>
        <v>0.284117369304886</v>
      </c>
      <c r="V99" s="91" t="n">
        <f aca="false">IFERROR(V98/V85,0)</f>
        <v>0.266620329897901</v>
      </c>
      <c r="W99" s="91" t="n">
        <f aca="false">IFERROR(W98/W85,0)</f>
        <v>0.249750438472452</v>
      </c>
    </row>
    <row r="101" customFormat="false" ht="15" hidden="false" customHeight="false" outlineLevel="0" collapsed="false">
      <c r="A101" s="9" t="s">
        <v>445</v>
      </c>
      <c r="B101" s="10"/>
      <c r="C101" s="10"/>
      <c r="D101" s="10"/>
      <c r="E101" s="10"/>
      <c r="F101" s="10"/>
      <c r="G101" s="10"/>
      <c r="H101" s="10"/>
      <c r="I101" s="10"/>
      <c r="J101" s="10"/>
      <c r="K101" s="10"/>
      <c r="L101" s="10"/>
      <c r="M101" s="10"/>
      <c r="N101" s="10"/>
      <c r="O101" s="10"/>
      <c r="P101" s="10"/>
      <c r="Q101" s="10"/>
      <c r="R101" s="10"/>
      <c r="S101" s="10"/>
      <c r="T101" s="10"/>
      <c r="U101" s="10"/>
      <c r="V101" s="10"/>
      <c r="W101" s="10"/>
    </row>
    <row r="102" customFormat="false" ht="15" hidden="false" customHeight="false" outlineLevel="0" collapsed="false">
      <c r="A102" s="11" t="s">
        <v>446</v>
      </c>
      <c r="B102" s="66" t="n">
        <f aca="false">C102+NPV(Hurdle,D102:W102)</f>
        <v>1162734.14692871</v>
      </c>
      <c r="C102" s="95" t="n">
        <f aca="false">S_Tariff_Hi!$B$14</f>
        <v>1162734.14692871</v>
      </c>
      <c r="D102" s="95" t="n">
        <f aca="false">0</f>
        <v>0</v>
      </c>
      <c r="E102" s="95" t="n">
        <f aca="false">0</f>
        <v>0</v>
      </c>
      <c r="F102" s="95" t="n">
        <f aca="false">0</f>
        <v>0</v>
      </c>
      <c r="G102" s="95" t="n">
        <f aca="false">0</f>
        <v>0</v>
      </c>
      <c r="H102" s="95" t="n">
        <f aca="false">0</f>
        <v>0</v>
      </c>
      <c r="I102" s="95" t="n">
        <f aca="false">0</f>
        <v>0</v>
      </c>
      <c r="J102" s="95" t="n">
        <f aca="false">0</f>
        <v>0</v>
      </c>
      <c r="K102" s="95" t="n">
        <f aca="false">0</f>
        <v>0</v>
      </c>
      <c r="L102" s="95" t="n">
        <f aca="false">0</f>
        <v>0</v>
      </c>
      <c r="M102" s="95" t="n">
        <f aca="false">0</f>
        <v>0</v>
      </c>
      <c r="N102" s="95" t="n">
        <f aca="false">0</f>
        <v>0</v>
      </c>
      <c r="O102" s="95" t="n">
        <f aca="false">0</f>
        <v>0</v>
      </c>
      <c r="P102" s="95" t="n">
        <f aca="false">0</f>
        <v>0</v>
      </c>
      <c r="Q102" s="95" t="n">
        <f aca="false">0</f>
        <v>0</v>
      </c>
      <c r="R102" s="95" t="n">
        <f aca="false">0</f>
        <v>0</v>
      </c>
      <c r="S102" s="95" t="n">
        <f aca="false">0</f>
        <v>0</v>
      </c>
      <c r="T102" s="95" t="n">
        <f aca="false">0</f>
        <v>0</v>
      </c>
      <c r="U102" s="95" t="n">
        <f aca="false">0</f>
        <v>0</v>
      </c>
      <c r="V102" s="95" t="n">
        <f aca="false">0</f>
        <v>0</v>
      </c>
      <c r="W102" s="95" t="n">
        <f aca="false">0</f>
        <v>0</v>
      </c>
    </row>
    <row r="103" customFormat="false" ht="15" hidden="false" customHeight="false" outlineLevel="0" collapsed="false">
      <c r="A103" s="11" t="s">
        <v>447</v>
      </c>
      <c r="B103" s="66" t="n">
        <f aca="false">C103+NPV(Hurdle,D103:W103)</f>
        <v>123132.446168426</v>
      </c>
      <c r="C103" s="95" t="n">
        <v>0</v>
      </c>
      <c r="D103" s="95" t="n">
        <f aca="false">IF(AND(D41=1,MOD(D39,BattLife)=0,D39&lt;Life),BESS_kWh*C_BattRepl*LevCapex*$B$7*D44,0)</f>
        <v>0</v>
      </c>
      <c r="E103" s="95" t="n">
        <f aca="false">IF(AND(E41=1,MOD(E39,BattLife)=0,E39&lt;Life),BESS_kWh*C_BattRepl*LevCapex*$B$7*E44,0)</f>
        <v>0</v>
      </c>
      <c r="F103" s="95" t="n">
        <f aca="false">IF(AND(F41=1,MOD(F39,BattLife)=0,F39&lt;Life),BESS_kWh*C_BattRepl*LevCapex*$B$7*F44,0)</f>
        <v>0</v>
      </c>
      <c r="G103" s="95" t="n">
        <f aca="false">IF(AND(G41=1,MOD(G39,BattLife)=0,G39&lt;Life),BESS_kWh*C_BattRepl*LevCapex*$B$7*G44,0)</f>
        <v>0</v>
      </c>
      <c r="H103" s="95" t="n">
        <f aca="false">IF(AND(H41=1,MOD(H39,BattLife)=0,H39&lt;Life),BESS_kWh*C_BattRepl*LevCapex*$B$7*H44,0)</f>
        <v>0</v>
      </c>
      <c r="I103" s="95" t="n">
        <f aca="false">IF(AND(I41=1,MOD(I39,BattLife)=0,I39&lt;Life),BESS_kWh*C_BattRepl*LevCapex*$B$7*I44,0)</f>
        <v>0</v>
      </c>
      <c r="J103" s="95" t="n">
        <f aca="false">IF(AND(J41=1,MOD(J39,BattLife)=0,J39&lt;Life),BESS_kWh*C_BattRepl*LevCapex*$B$7*J44,0)</f>
        <v>0</v>
      </c>
      <c r="K103" s="95" t="n">
        <f aca="false">IF(AND(K41=1,MOD(K39,BattLife)=0,K39&lt;Life),BESS_kWh*C_BattRepl*LevCapex*$B$7*K44,0)</f>
        <v>165903.437704701</v>
      </c>
      <c r="L103" s="95" t="n">
        <f aca="false">IF(AND(L41=1,MOD(L39,BattLife)=0,L39&lt;Life),BESS_kWh*C_BattRepl*LevCapex*$B$7*L44,0)</f>
        <v>0</v>
      </c>
      <c r="M103" s="95" t="n">
        <f aca="false">IF(AND(M41=1,MOD(M39,BattLife)=0,M39&lt;Life),BESS_kWh*C_BattRepl*LevCapex*$B$7*M44,0)</f>
        <v>0</v>
      </c>
      <c r="N103" s="95" t="n">
        <f aca="false">IF(AND(N41=1,MOD(N39,BattLife)=0,N39&lt;Life),BESS_kWh*C_BattRepl*LevCapex*$B$7*N44,0)</f>
        <v>0</v>
      </c>
      <c r="O103" s="95" t="n">
        <f aca="false">IF(AND(O41=1,MOD(O39,BattLife)=0,O39&lt;Life),BESS_kWh*C_BattRepl*LevCapex*$B$7*O44,0)</f>
        <v>0</v>
      </c>
      <c r="P103" s="95" t="n">
        <f aca="false">IF(AND(P41=1,MOD(P39,BattLife)=0,P39&lt;Life),BESS_kWh*C_BattRepl*LevCapex*$B$7*P44,0)</f>
        <v>0</v>
      </c>
      <c r="Q103" s="95" t="n">
        <f aca="false">IF(AND(Q41=1,MOD(Q39,BattLife)=0,Q39&lt;Life),BESS_kWh*C_BattRepl*LevCapex*$B$7*Q44,0)</f>
        <v>0</v>
      </c>
      <c r="R103" s="95" t="n">
        <f aca="false">IF(AND(R41=1,MOD(R39,BattLife)=0,R39&lt;Life),BESS_kWh*C_BattRepl*LevCapex*$B$7*R44,0)</f>
        <v>0</v>
      </c>
      <c r="S103" s="95" t="n">
        <f aca="false">IF(AND(S41=1,MOD(S39,BattLife)=0,S39&lt;Life),BESS_kWh*C_BattRepl*LevCapex*$B$7*S44,0)</f>
        <v>210161.51128367</v>
      </c>
      <c r="T103" s="95" t="n">
        <f aca="false">IF(AND(T41=1,MOD(T39,BattLife)=0,T39&lt;Life),BESS_kWh*C_BattRepl*LevCapex*$B$7*T44,0)</f>
        <v>0</v>
      </c>
      <c r="U103" s="95" t="n">
        <f aca="false">IF(AND(U41=1,MOD(U39,BattLife)=0,U39&lt;Life),BESS_kWh*C_BattRepl*LevCapex*$B$7*U44,0)</f>
        <v>0</v>
      </c>
      <c r="V103" s="95" t="n">
        <f aca="false">IF(AND(V41=1,MOD(V39,BattLife)=0,V39&lt;Life),BESS_kWh*C_BattRepl*LevCapex*$B$7*V44,0)</f>
        <v>0</v>
      </c>
      <c r="W103" s="95" t="n">
        <f aca="false">IF(AND(W41=1,MOD(W39,BattLife)=0,W39&lt;Life),BESS_kWh*C_BattRepl*LevCapex*$B$7*W44,0)</f>
        <v>0</v>
      </c>
    </row>
    <row r="104" customFormat="false" ht="15" hidden="false" customHeight="false" outlineLevel="0" collapsed="false">
      <c r="A104" s="11" t="s">
        <v>448</v>
      </c>
      <c r="B104" s="66" t="n">
        <f aca="false">SUM(C104:W104)</f>
        <v>376064.948988371</v>
      </c>
      <c r="C104" s="95" t="n">
        <v>0</v>
      </c>
      <c r="D104" s="95" t="n">
        <f aca="false">IF(AND(UseMRA=1,D41=1,CEILING(D39,BattLife)&lt;Life),BESS_kWh*C_BattRepl*LevCapex*$B$7*(1+CostEsc)^(CEILING(D39,BattLife)-1)/BattLife,0)</f>
        <v>20737.9297130877</v>
      </c>
      <c r="E104" s="95" t="n">
        <f aca="false">IF(AND(UseMRA=1,E41=1,CEILING(E39,BattLife)&lt;Life),BESS_kWh*C_BattRepl*LevCapex*$B$7*(1+CostEsc)^(CEILING(E39,BattLife)-1)/BattLife,0)</f>
        <v>20737.9297130877</v>
      </c>
      <c r="F104" s="95" t="n">
        <f aca="false">IF(AND(UseMRA=1,F41=1,CEILING(F39,BattLife)&lt;Life),BESS_kWh*C_BattRepl*LevCapex*$B$7*(1+CostEsc)^(CEILING(F39,BattLife)-1)/BattLife,0)</f>
        <v>20737.9297130877</v>
      </c>
      <c r="G104" s="95" t="n">
        <f aca="false">IF(AND(UseMRA=1,G41=1,CEILING(G39,BattLife)&lt;Life),BESS_kWh*C_BattRepl*LevCapex*$B$7*(1+CostEsc)^(CEILING(G39,BattLife)-1)/BattLife,0)</f>
        <v>20737.9297130877</v>
      </c>
      <c r="H104" s="95" t="n">
        <f aca="false">IF(AND(UseMRA=1,H41=1,CEILING(H39,BattLife)&lt;Life),BESS_kWh*C_BattRepl*LevCapex*$B$7*(1+CostEsc)^(CEILING(H39,BattLife)-1)/BattLife,0)</f>
        <v>20737.9297130877</v>
      </c>
      <c r="I104" s="95" t="n">
        <f aca="false">IF(AND(UseMRA=1,I41=1,CEILING(I39,BattLife)&lt;Life),BESS_kWh*C_BattRepl*LevCapex*$B$7*(1+CostEsc)^(CEILING(I39,BattLife)-1)/BattLife,0)</f>
        <v>20737.9297130877</v>
      </c>
      <c r="J104" s="95" t="n">
        <f aca="false">IF(AND(UseMRA=1,J41=1,CEILING(J39,BattLife)&lt;Life),BESS_kWh*C_BattRepl*LevCapex*$B$7*(1+CostEsc)^(CEILING(J39,BattLife)-1)/BattLife,0)</f>
        <v>20737.9297130877</v>
      </c>
      <c r="K104" s="95" t="n">
        <f aca="false">IF(AND(UseMRA=1,K41=1,CEILING(K39,BattLife)&lt;Life),BESS_kWh*C_BattRepl*LevCapex*$B$7*(1+CostEsc)^(CEILING(K39,BattLife)-1)/BattLife,0)</f>
        <v>20737.9297130877</v>
      </c>
      <c r="L104" s="95" t="n">
        <f aca="false">IF(AND(UseMRA=1,L41=1,CEILING(L39,BattLife)&lt;Life),BESS_kWh*C_BattRepl*LevCapex*$B$7*(1+CostEsc)^(CEILING(L39,BattLife)-1)/BattLife,0)</f>
        <v>26270.1889104587</v>
      </c>
      <c r="M104" s="95" t="n">
        <f aca="false">IF(AND(UseMRA=1,M41=1,CEILING(M39,BattLife)&lt;Life),BESS_kWh*C_BattRepl*LevCapex*$B$7*(1+CostEsc)^(CEILING(M39,BattLife)-1)/BattLife,0)</f>
        <v>26270.1889104587</v>
      </c>
      <c r="N104" s="95" t="n">
        <f aca="false">IF(AND(UseMRA=1,N41=1,CEILING(N39,BattLife)&lt;Life),BESS_kWh*C_BattRepl*LevCapex*$B$7*(1+CostEsc)^(CEILING(N39,BattLife)-1)/BattLife,0)</f>
        <v>26270.1889104587</v>
      </c>
      <c r="O104" s="95" t="n">
        <f aca="false">IF(AND(UseMRA=1,O41=1,CEILING(O39,BattLife)&lt;Life),BESS_kWh*C_BattRepl*LevCapex*$B$7*(1+CostEsc)^(CEILING(O39,BattLife)-1)/BattLife,0)</f>
        <v>26270.1889104587</v>
      </c>
      <c r="P104" s="95" t="n">
        <f aca="false">IF(AND(UseMRA=1,P41=1,CEILING(P39,BattLife)&lt;Life),BESS_kWh*C_BattRepl*LevCapex*$B$7*(1+CostEsc)^(CEILING(P39,BattLife)-1)/BattLife,0)</f>
        <v>26270.1889104587</v>
      </c>
      <c r="Q104" s="95" t="n">
        <f aca="false">IF(AND(UseMRA=1,Q41=1,CEILING(Q39,BattLife)&lt;Life),BESS_kWh*C_BattRepl*LevCapex*$B$7*(1+CostEsc)^(CEILING(Q39,BattLife)-1)/BattLife,0)</f>
        <v>26270.1889104587</v>
      </c>
      <c r="R104" s="95" t="n">
        <f aca="false">IF(AND(UseMRA=1,R41=1,CEILING(R39,BattLife)&lt;Life),BESS_kWh*C_BattRepl*LevCapex*$B$7*(1+CostEsc)^(CEILING(R39,BattLife)-1)/BattLife,0)</f>
        <v>26270.1889104587</v>
      </c>
      <c r="S104" s="95" t="n">
        <f aca="false">IF(AND(UseMRA=1,S41=1,CEILING(S39,BattLife)&lt;Life),BESS_kWh*C_BattRepl*LevCapex*$B$7*(1+CostEsc)^(CEILING(S39,BattLife)-1)/BattLife,0)</f>
        <v>26270.1889104587</v>
      </c>
      <c r="T104" s="95" t="n">
        <f aca="false">IF(AND(UseMRA=1,T41=1,CEILING(T39,BattLife)&lt;Life),BESS_kWh*C_BattRepl*LevCapex*$B$7*(1+CostEsc)^(CEILING(T39,BattLife)-1)/BattLife,0)</f>
        <v>0</v>
      </c>
      <c r="U104" s="95" t="n">
        <f aca="false">IF(AND(UseMRA=1,U41=1,CEILING(U39,BattLife)&lt;Life),BESS_kWh*C_BattRepl*LevCapex*$B$7*(1+CostEsc)^(CEILING(U39,BattLife)-1)/BattLife,0)</f>
        <v>0</v>
      </c>
      <c r="V104" s="95" t="n">
        <f aca="false">IF(AND(UseMRA=1,V41=1,CEILING(V39,BattLife)&lt;Life),BESS_kWh*C_BattRepl*LevCapex*$B$7*(1+CostEsc)^(CEILING(V39,BattLife)-1)/BattLife,0)</f>
        <v>0</v>
      </c>
      <c r="W104" s="95" t="n">
        <f aca="false">IF(AND(UseMRA=1,W41=1,CEILING(W39,BattLife)&lt;Life),BESS_kWh*C_BattRepl*LevCapex*$B$7*(1+CostEsc)^(CEILING(W39,BattLife)-1)/BattLife,0)</f>
        <v>0</v>
      </c>
    </row>
    <row r="105" customFormat="false" ht="15" hidden="false" customHeight="false" outlineLevel="0" collapsed="false">
      <c r="A105" s="11" t="s">
        <v>449</v>
      </c>
      <c r="B105" s="66" t="n">
        <f aca="false">SUM(C105:W105)</f>
        <v>376064.948988371</v>
      </c>
      <c r="C105" s="95" t="n">
        <v>0</v>
      </c>
      <c r="D105" s="95" t="n">
        <f aca="false">IF(UseMRA=1,D104,D103)</f>
        <v>20737.9297130877</v>
      </c>
      <c r="E105" s="95" t="n">
        <f aca="false">IF(UseMRA=1,E104,E103)</f>
        <v>20737.9297130877</v>
      </c>
      <c r="F105" s="95" t="n">
        <f aca="false">IF(UseMRA=1,F104,F103)</f>
        <v>20737.9297130877</v>
      </c>
      <c r="G105" s="95" t="n">
        <f aca="false">IF(UseMRA=1,G104,G103)</f>
        <v>20737.9297130877</v>
      </c>
      <c r="H105" s="95" t="n">
        <f aca="false">IF(UseMRA=1,H104,H103)</f>
        <v>20737.9297130877</v>
      </c>
      <c r="I105" s="95" t="n">
        <f aca="false">IF(UseMRA=1,I104,I103)</f>
        <v>20737.9297130877</v>
      </c>
      <c r="J105" s="95" t="n">
        <f aca="false">IF(UseMRA=1,J104,J103)</f>
        <v>20737.9297130877</v>
      </c>
      <c r="K105" s="95" t="n">
        <f aca="false">IF(UseMRA=1,K104,K103)</f>
        <v>20737.9297130877</v>
      </c>
      <c r="L105" s="95" t="n">
        <f aca="false">IF(UseMRA=1,L104,L103)</f>
        <v>26270.1889104587</v>
      </c>
      <c r="M105" s="95" t="n">
        <f aca="false">IF(UseMRA=1,M104,M103)</f>
        <v>26270.1889104587</v>
      </c>
      <c r="N105" s="95" t="n">
        <f aca="false">IF(UseMRA=1,N104,N103)</f>
        <v>26270.1889104587</v>
      </c>
      <c r="O105" s="95" t="n">
        <f aca="false">IF(UseMRA=1,O104,O103)</f>
        <v>26270.1889104587</v>
      </c>
      <c r="P105" s="95" t="n">
        <f aca="false">IF(UseMRA=1,P104,P103)</f>
        <v>26270.1889104587</v>
      </c>
      <c r="Q105" s="95" t="n">
        <f aca="false">IF(UseMRA=1,Q104,Q103)</f>
        <v>26270.1889104587</v>
      </c>
      <c r="R105" s="95" t="n">
        <f aca="false">IF(UseMRA=1,R104,R103)</f>
        <v>26270.1889104587</v>
      </c>
      <c r="S105" s="95" t="n">
        <f aca="false">IF(UseMRA=1,S104,S103)</f>
        <v>26270.1889104587</v>
      </c>
      <c r="T105" s="95" t="n">
        <f aca="false">IF(UseMRA=1,T104,T103)</f>
        <v>0</v>
      </c>
      <c r="U105" s="95" t="n">
        <f aca="false">IF(UseMRA=1,U104,U103)</f>
        <v>0</v>
      </c>
      <c r="V105" s="95" t="n">
        <f aca="false">IF(UseMRA=1,V104,V103)</f>
        <v>0</v>
      </c>
      <c r="W105" s="95" t="n">
        <f aca="false">IF(UseMRA=1,W104,W103)</f>
        <v>0</v>
      </c>
    </row>
    <row r="106" customFormat="false" ht="15" hidden="false" customHeight="false" outlineLevel="0" collapsed="false">
      <c r="A106" s="11" t="s">
        <v>175</v>
      </c>
      <c r="B106" s="66" t="n">
        <f aca="false">SUM(C106:W106)</f>
        <v>600000</v>
      </c>
      <c r="C106" s="95" t="n">
        <f aca="false">Grant</f>
        <v>600000</v>
      </c>
      <c r="D106" s="95" t="n">
        <f aca="false">0</f>
        <v>0</v>
      </c>
      <c r="E106" s="95" t="n">
        <f aca="false">0</f>
        <v>0</v>
      </c>
      <c r="F106" s="95" t="n">
        <f aca="false">0</f>
        <v>0</v>
      </c>
      <c r="G106" s="95" t="n">
        <f aca="false">0</f>
        <v>0</v>
      </c>
      <c r="H106" s="95" t="n">
        <f aca="false">0</f>
        <v>0</v>
      </c>
      <c r="I106" s="95" t="n">
        <f aca="false">0</f>
        <v>0</v>
      </c>
      <c r="J106" s="95" t="n">
        <f aca="false">0</f>
        <v>0</v>
      </c>
      <c r="K106" s="95" t="n">
        <f aca="false">0</f>
        <v>0</v>
      </c>
      <c r="L106" s="95" t="n">
        <f aca="false">0</f>
        <v>0</v>
      </c>
      <c r="M106" s="95" t="n">
        <f aca="false">0</f>
        <v>0</v>
      </c>
      <c r="N106" s="95" t="n">
        <f aca="false">0</f>
        <v>0</v>
      </c>
      <c r="O106" s="95" t="n">
        <f aca="false">0</f>
        <v>0</v>
      </c>
      <c r="P106" s="95" t="n">
        <f aca="false">0</f>
        <v>0</v>
      </c>
      <c r="Q106" s="95" t="n">
        <f aca="false">0</f>
        <v>0</v>
      </c>
      <c r="R106" s="95" t="n">
        <f aca="false">0</f>
        <v>0</v>
      </c>
      <c r="S106" s="95" t="n">
        <f aca="false">0</f>
        <v>0</v>
      </c>
      <c r="T106" s="95" t="n">
        <f aca="false">0</f>
        <v>0</v>
      </c>
      <c r="U106" s="95" t="n">
        <f aca="false">0</f>
        <v>0</v>
      </c>
      <c r="V106" s="95" t="n">
        <f aca="false">0</f>
        <v>0</v>
      </c>
      <c r="W106" s="95" t="n">
        <f aca="false">0</f>
        <v>0</v>
      </c>
    </row>
    <row r="107" customFormat="false" ht="15" hidden="false" customHeight="false" outlineLevel="0" collapsed="false">
      <c r="A107" s="11" t="s">
        <v>450</v>
      </c>
      <c r="B107" s="66" t="n">
        <f aca="false">SUM(C107:W107)</f>
        <v>252000</v>
      </c>
      <c r="C107" s="95" t="n">
        <v>0</v>
      </c>
      <c r="D107" s="95" t="n">
        <f aca="false">D54*Seg1_RBF+D55*Seg2_RBF+D56*Seg3_RBF+D57*Seg4_RBF+D58*Seg5_RBF</f>
        <v>151200</v>
      </c>
      <c r="E107" s="95" t="n">
        <f aca="false">E54*Seg1_RBF+E55*Seg2_RBF+E56*Seg3_RBF+E57*Seg4_RBF+E58*Seg5_RBF</f>
        <v>63000</v>
      </c>
      <c r="F107" s="95" t="n">
        <f aca="false">F54*Seg1_RBF+F55*Seg2_RBF+F56*Seg3_RBF+F57*Seg4_RBF+F58*Seg5_RBF</f>
        <v>37800</v>
      </c>
      <c r="G107" s="95" t="n">
        <f aca="false">G54*Seg1_RBF+G55*Seg2_RBF+G56*Seg3_RBF+G57*Seg4_RBF+G58*Seg5_RBF</f>
        <v>0</v>
      </c>
      <c r="H107" s="95" t="n">
        <f aca="false">H54*Seg1_RBF+H55*Seg2_RBF+H56*Seg3_RBF+H57*Seg4_RBF+H58*Seg5_RBF</f>
        <v>0</v>
      </c>
      <c r="I107" s="95" t="n">
        <f aca="false">I54*Seg1_RBF+I55*Seg2_RBF+I56*Seg3_RBF+I57*Seg4_RBF+I58*Seg5_RBF</f>
        <v>0</v>
      </c>
      <c r="J107" s="95" t="n">
        <f aca="false">J54*Seg1_RBF+J55*Seg2_RBF+J56*Seg3_RBF+J57*Seg4_RBF+J58*Seg5_RBF</f>
        <v>0</v>
      </c>
      <c r="K107" s="95" t="n">
        <f aca="false">K54*Seg1_RBF+K55*Seg2_RBF+K56*Seg3_RBF+K57*Seg4_RBF+K58*Seg5_RBF</f>
        <v>0</v>
      </c>
      <c r="L107" s="95" t="n">
        <f aca="false">L54*Seg1_RBF+L55*Seg2_RBF+L56*Seg3_RBF+L57*Seg4_RBF+L58*Seg5_RBF</f>
        <v>0</v>
      </c>
      <c r="M107" s="95" t="n">
        <f aca="false">M54*Seg1_RBF+M55*Seg2_RBF+M56*Seg3_RBF+M57*Seg4_RBF+M58*Seg5_RBF</f>
        <v>0</v>
      </c>
      <c r="N107" s="95" t="n">
        <f aca="false">N54*Seg1_RBF+N55*Seg2_RBF+N56*Seg3_RBF+N57*Seg4_RBF+N58*Seg5_RBF</f>
        <v>0</v>
      </c>
      <c r="O107" s="95" t="n">
        <f aca="false">O54*Seg1_RBF+O55*Seg2_RBF+O56*Seg3_RBF+O57*Seg4_RBF+O58*Seg5_RBF</f>
        <v>0</v>
      </c>
      <c r="P107" s="95" t="n">
        <f aca="false">P54*Seg1_RBF+P55*Seg2_RBF+P56*Seg3_RBF+P57*Seg4_RBF+P58*Seg5_RBF</f>
        <v>0</v>
      </c>
      <c r="Q107" s="95" t="n">
        <f aca="false">Q54*Seg1_RBF+Q55*Seg2_RBF+Q56*Seg3_RBF+Q57*Seg4_RBF+Q58*Seg5_RBF</f>
        <v>0</v>
      </c>
      <c r="R107" s="95" t="n">
        <f aca="false">R54*Seg1_RBF+R55*Seg2_RBF+R56*Seg3_RBF+R57*Seg4_RBF+R58*Seg5_RBF</f>
        <v>0</v>
      </c>
      <c r="S107" s="95" t="n">
        <f aca="false">S54*Seg1_RBF+S55*Seg2_RBF+S56*Seg3_RBF+S57*Seg4_RBF+S58*Seg5_RBF</f>
        <v>0</v>
      </c>
      <c r="T107" s="95" t="n">
        <f aca="false">T54*Seg1_RBF+T55*Seg2_RBF+T56*Seg3_RBF+T57*Seg4_RBF+T58*Seg5_RBF</f>
        <v>0</v>
      </c>
      <c r="U107" s="95" t="n">
        <f aca="false">U54*Seg1_RBF+U55*Seg2_RBF+U56*Seg3_RBF+U57*Seg4_RBF+U58*Seg5_RBF</f>
        <v>0</v>
      </c>
      <c r="V107" s="95" t="n">
        <f aca="false">V54*Seg1_RBF+V55*Seg2_RBF+V56*Seg3_RBF+V57*Seg4_RBF+V58*Seg5_RBF</f>
        <v>0</v>
      </c>
      <c r="W107" s="95" t="n">
        <f aca="false">W54*Seg1_RBF+W55*Seg2_RBF+W56*Seg3_RBF+W57*Seg4_RBF+W58*Seg5_RBF</f>
        <v>0</v>
      </c>
    </row>
    <row r="108" customFormat="false" ht="15" hidden="false" customHeight="false" outlineLevel="0" collapsed="false">
      <c r="A108" s="11" t="s">
        <v>451</v>
      </c>
      <c r="B108" s="66" t="n">
        <f aca="false">SUM(C108:W108)</f>
        <v>252000</v>
      </c>
      <c r="C108" s="95" t="n">
        <v>0</v>
      </c>
      <c r="D108" s="95" t="n">
        <f aca="false">IF(D39-RBFLag&gt;=1,INDEX($C$107:$W$107,1,D39-RBFLag+1),0)</f>
        <v>151200</v>
      </c>
      <c r="E108" s="95" t="n">
        <f aca="false">IF(E39-RBFLag&gt;=1,INDEX($C$107:$W$107,1,E39-RBFLag+1),0)</f>
        <v>63000</v>
      </c>
      <c r="F108" s="95" t="n">
        <f aca="false">IF(F39-RBFLag&gt;=1,INDEX($C$107:$W$107,1,F39-RBFLag+1),0)</f>
        <v>37800</v>
      </c>
      <c r="G108" s="95" t="n">
        <f aca="false">IF(G39-RBFLag&gt;=1,INDEX($C$107:$W$107,1,G39-RBFLag+1),0)</f>
        <v>0</v>
      </c>
      <c r="H108" s="95" t="n">
        <f aca="false">IF(H39-RBFLag&gt;=1,INDEX($C$107:$W$107,1,H39-RBFLag+1),0)</f>
        <v>0</v>
      </c>
      <c r="I108" s="95" t="n">
        <f aca="false">IF(I39-RBFLag&gt;=1,INDEX($C$107:$W$107,1,I39-RBFLag+1),0)</f>
        <v>0</v>
      </c>
      <c r="J108" s="95" t="n">
        <f aca="false">IF(J39-RBFLag&gt;=1,INDEX($C$107:$W$107,1,J39-RBFLag+1),0)</f>
        <v>0</v>
      </c>
      <c r="K108" s="95" t="n">
        <f aca="false">IF(K39-RBFLag&gt;=1,INDEX($C$107:$W$107,1,K39-RBFLag+1),0)</f>
        <v>0</v>
      </c>
      <c r="L108" s="95" t="n">
        <f aca="false">IF(L39-RBFLag&gt;=1,INDEX($C$107:$W$107,1,L39-RBFLag+1),0)</f>
        <v>0</v>
      </c>
      <c r="M108" s="95" t="n">
        <f aca="false">IF(M39-RBFLag&gt;=1,INDEX($C$107:$W$107,1,M39-RBFLag+1),0)</f>
        <v>0</v>
      </c>
      <c r="N108" s="95" t="n">
        <f aca="false">IF(N39-RBFLag&gt;=1,INDEX($C$107:$W$107,1,N39-RBFLag+1),0)</f>
        <v>0</v>
      </c>
      <c r="O108" s="95" t="n">
        <f aca="false">IF(O39-RBFLag&gt;=1,INDEX($C$107:$W$107,1,O39-RBFLag+1),0)</f>
        <v>0</v>
      </c>
      <c r="P108" s="95" t="n">
        <f aca="false">IF(P39-RBFLag&gt;=1,INDEX($C$107:$W$107,1,P39-RBFLag+1),0)</f>
        <v>0</v>
      </c>
      <c r="Q108" s="95" t="n">
        <f aca="false">IF(Q39-RBFLag&gt;=1,INDEX($C$107:$W$107,1,Q39-RBFLag+1),0)</f>
        <v>0</v>
      </c>
      <c r="R108" s="95" t="n">
        <f aca="false">IF(R39-RBFLag&gt;=1,INDEX($C$107:$W$107,1,R39-RBFLag+1),0)</f>
        <v>0</v>
      </c>
      <c r="S108" s="95" t="n">
        <f aca="false">IF(S39-RBFLag&gt;=1,INDEX($C$107:$W$107,1,S39-RBFLag+1),0)</f>
        <v>0</v>
      </c>
      <c r="T108" s="95" t="n">
        <f aca="false">IF(T39-RBFLag&gt;=1,INDEX($C$107:$W$107,1,T39-RBFLag+1),0)</f>
        <v>0</v>
      </c>
      <c r="U108" s="95" t="n">
        <f aca="false">IF(U39-RBFLag&gt;=1,INDEX($C$107:$W$107,1,U39-RBFLag+1),0)</f>
        <v>0</v>
      </c>
      <c r="V108" s="95" t="n">
        <f aca="false">IF(V39-RBFLag&gt;=1,INDEX($C$107:$W$107,1,V39-RBFLag+1),0)</f>
        <v>0</v>
      </c>
      <c r="W108" s="95" t="n">
        <f aca="false">IF(W39-RBFLag&gt;=1,INDEX($C$107:$W$107,1,W39-RBFLag+1),0)</f>
        <v>0</v>
      </c>
    </row>
    <row r="109" customFormat="false" ht="15" hidden="false" customHeight="false" outlineLevel="0" collapsed="false">
      <c r="A109" s="11" t="s">
        <v>452</v>
      </c>
      <c r="B109" s="76" t="n">
        <f aca="false">SUM(C109:W109)</f>
        <v>970</v>
      </c>
      <c r="C109" s="93" t="n">
        <v>0</v>
      </c>
      <c r="D109" s="93" t="n">
        <f aca="false">IF(D39-RBFLag&gt;=1,INDEX($C$59:$W$59,1,D39-RBFLag+1),0)</f>
        <v>582</v>
      </c>
      <c r="E109" s="93" t="n">
        <f aca="false">IF(E39-RBFLag&gt;=1,INDEX($C$59:$W$59,1,E39-RBFLag+1),0)</f>
        <v>242.5</v>
      </c>
      <c r="F109" s="93" t="n">
        <f aca="false">IF(F39-RBFLag&gt;=1,INDEX($C$59:$W$59,1,F39-RBFLag+1),0)</f>
        <v>145.5</v>
      </c>
      <c r="G109" s="93" t="n">
        <f aca="false">IF(G39-RBFLag&gt;=1,INDEX($C$59:$W$59,1,G39-RBFLag+1),0)</f>
        <v>0</v>
      </c>
      <c r="H109" s="93" t="n">
        <f aca="false">IF(H39-RBFLag&gt;=1,INDEX($C$59:$W$59,1,H39-RBFLag+1),0)</f>
        <v>0</v>
      </c>
      <c r="I109" s="93" t="n">
        <f aca="false">IF(I39-RBFLag&gt;=1,INDEX($C$59:$W$59,1,I39-RBFLag+1),0)</f>
        <v>0</v>
      </c>
      <c r="J109" s="93" t="n">
        <f aca="false">IF(J39-RBFLag&gt;=1,INDEX($C$59:$W$59,1,J39-RBFLag+1),0)</f>
        <v>0</v>
      </c>
      <c r="K109" s="93" t="n">
        <f aca="false">IF(K39-RBFLag&gt;=1,INDEX($C$59:$W$59,1,K39-RBFLag+1),0)</f>
        <v>0</v>
      </c>
      <c r="L109" s="93" t="n">
        <f aca="false">IF(L39-RBFLag&gt;=1,INDEX($C$59:$W$59,1,L39-RBFLag+1),0)</f>
        <v>0</v>
      </c>
      <c r="M109" s="93" t="n">
        <f aca="false">IF(M39-RBFLag&gt;=1,INDEX($C$59:$W$59,1,M39-RBFLag+1),0)</f>
        <v>0</v>
      </c>
      <c r="N109" s="93" t="n">
        <f aca="false">IF(N39-RBFLag&gt;=1,INDEX($C$59:$W$59,1,N39-RBFLag+1),0)</f>
        <v>0</v>
      </c>
      <c r="O109" s="93" t="n">
        <f aca="false">IF(O39-RBFLag&gt;=1,INDEX($C$59:$W$59,1,O39-RBFLag+1),0)</f>
        <v>0</v>
      </c>
      <c r="P109" s="93" t="n">
        <f aca="false">IF(P39-RBFLag&gt;=1,INDEX($C$59:$W$59,1,P39-RBFLag+1),0)</f>
        <v>0</v>
      </c>
      <c r="Q109" s="93" t="n">
        <f aca="false">IF(Q39-RBFLag&gt;=1,INDEX($C$59:$W$59,1,Q39-RBFLag+1),0)</f>
        <v>0</v>
      </c>
      <c r="R109" s="93" t="n">
        <f aca="false">IF(R39-RBFLag&gt;=1,INDEX($C$59:$W$59,1,R39-RBFLag+1),0)</f>
        <v>0</v>
      </c>
      <c r="S109" s="93" t="n">
        <f aca="false">IF(S39-RBFLag&gt;=1,INDEX($C$59:$W$59,1,S39-RBFLag+1),0)</f>
        <v>0</v>
      </c>
      <c r="T109" s="93" t="n">
        <f aca="false">IF(T39-RBFLag&gt;=1,INDEX($C$59:$W$59,1,T39-RBFLag+1),0)</f>
        <v>0</v>
      </c>
      <c r="U109" s="93" t="n">
        <f aca="false">IF(U39-RBFLag&gt;=1,INDEX($C$59:$W$59,1,U39-RBFLag+1),0)</f>
        <v>0</v>
      </c>
      <c r="V109" s="93" t="n">
        <f aca="false">IF(V39-RBFLag&gt;=1,INDEX($C$59:$W$59,1,V39-RBFLag+1),0)</f>
        <v>0</v>
      </c>
      <c r="W109" s="93" t="n">
        <f aca="false">IF(W39-RBFLag&gt;=1,INDEX($C$59:$W$59,1,W39-RBFLag+1),0)</f>
        <v>0</v>
      </c>
    </row>
    <row r="111" customFormat="false" ht="15" hidden="false" customHeight="false" outlineLevel="0" collapsed="false">
      <c r="A111" s="9" t="s">
        <v>453</v>
      </c>
      <c r="B111" s="10"/>
      <c r="C111" s="10"/>
      <c r="D111" s="10"/>
      <c r="E111" s="10"/>
      <c r="F111" s="10"/>
      <c r="G111" s="10"/>
      <c r="H111" s="10"/>
      <c r="I111" s="10"/>
      <c r="J111" s="10"/>
      <c r="K111" s="10"/>
      <c r="L111" s="10"/>
      <c r="M111" s="10"/>
      <c r="N111" s="10"/>
      <c r="O111" s="10"/>
      <c r="P111" s="10"/>
      <c r="Q111" s="10"/>
      <c r="R111" s="10"/>
      <c r="S111" s="10"/>
      <c r="T111" s="10"/>
      <c r="U111" s="10"/>
      <c r="V111" s="10"/>
      <c r="W111" s="10"/>
    </row>
    <row r="112" customFormat="false" ht="15" hidden="false" customHeight="false" outlineLevel="0" collapsed="false">
      <c r="A112" s="11" t="s">
        <v>454</v>
      </c>
      <c r="C112" s="95" t="n">
        <v>0</v>
      </c>
      <c r="D112" s="95" t="n">
        <f aca="false">C116</f>
        <v>112546.829385741</v>
      </c>
      <c r="E112" s="95" t="n">
        <f aca="false">D116</f>
        <v>112546.829385741</v>
      </c>
      <c r="F112" s="95" t="n">
        <f aca="false">E116</f>
        <v>112546.829385741</v>
      </c>
      <c r="G112" s="95" t="n">
        <f aca="false">F116</f>
        <v>102705.282458945</v>
      </c>
      <c r="H112" s="95" t="n">
        <f aca="false">G116</f>
        <v>91879.5808394692</v>
      </c>
      <c r="I112" s="95" t="n">
        <f aca="false">H116</f>
        <v>79971.3090580457</v>
      </c>
      <c r="J112" s="95" t="n">
        <f aca="false">I116</f>
        <v>66872.2100984798</v>
      </c>
      <c r="K112" s="95" t="n">
        <f aca="false">J116</f>
        <v>52463.2012429573</v>
      </c>
      <c r="L112" s="95" t="n">
        <f aca="false">K116</f>
        <v>36613.2915018826</v>
      </c>
      <c r="M112" s="95" t="n">
        <f aca="false">L116</f>
        <v>19178.3907867004</v>
      </c>
      <c r="N112" s="95" t="n">
        <f aca="false">M116</f>
        <v>0</v>
      </c>
      <c r="O112" s="95" t="n">
        <f aca="false">N116</f>
        <v>0</v>
      </c>
      <c r="P112" s="95" t="n">
        <f aca="false">O116</f>
        <v>0</v>
      </c>
      <c r="Q112" s="95" t="n">
        <f aca="false">P116</f>
        <v>0</v>
      </c>
      <c r="R112" s="95" t="n">
        <f aca="false">Q116</f>
        <v>0</v>
      </c>
      <c r="S112" s="95" t="n">
        <f aca="false">R116</f>
        <v>0</v>
      </c>
      <c r="T112" s="95" t="n">
        <f aca="false">S116</f>
        <v>0</v>
      </c>
      <c r="U112" s="95" t="n">
        <f aca="false">T116</f>
        <v>0</v>
      </c>
      <c r="V112" s="95" t="n">
        <f aca="false">U116</f>
        <v>0</v>
      </c>
      <c r="W112" s="95" t="n">
        <f aca="false">V116</f>
        <v>0</v>
      </c>
    </row>
    <row r="113" customFormat="false" ht="15" hidden="false" customHeight="false" outlineLevel="0" collapsed="false">
      <c r="A113" s="11" t="s">
        <v>455</v>
      </c>
      <c r="B113" s="66" t="n">
        <f aca="false">SUM(C113:W113)</f>
        <v>112546.829385741</v>
      </c>
      <c r="C113" s="95" t="n">
        <f aca="false">S_Tariff_Hi!$B$16</f>
        <v>112546.829385741</v>
      </c>
      <c r="D113" s="95" t="n">
        <f aca="false">0</f>
        <v>0</v>
      </c>
      <c r="E113" s="95" t="n">
        <f aca="false">0</f>
        <v>0</v>
      </c>
      <c r="F113" s="95" t="n">
        <f aca="false">0</f>
        <v>0</v>
      </c>
      <c r="G113" s="95" t="n">
        <f aca="false">0</f>
        <v>0</v>
      </c>
      <c r="H113" s="95" t="n">
        <f aca="false">0</f>
        <v>0</v>
      </c>
      <c r="I113" s="95" t="n">
        <f aca="false">0</f>
        <v>0</v>
      </c>
      <c r="J113" s="95" t="n">
        <f aca="false">0</f>
        <v>0</v>
      </c>
      <c r="K113" s="95" t="n">
        <f aca="false">0</f>
        <v>0</v>
      </c>
      <c r="L113" s="95" t="n">
        <f aca="false">0</f>
        <v>0</v>
      </c>
      <c r="M113" s="95" t="n">
        <f aca="false">0</f>
        <v>0</v>
      </c>
      <c r="N113" s="95" t="n">
        <f aca="false">0</f>
        <v>0</v>
      </c>
      <c r="O113" s="95" t="n">
        <f aca="false">0</f>
        <v>0</v>
      </c>
      <c r="P113" s="95" t="n">
        <f aca="false">0</f>
        <v>0</v>
      </c>
      <c r="Q113" s="95" t="n">
        <f aca="false">0</f>
        <v>0</v>
      </c>
      <c r="R113" s="95" t="n">
        <f aca="false">0</f>
        <v>0</v>
      </c>
      <c r="S113" s="95" t="n">
        <f aca="false">0</f>
        <v>0</v>
      </c>
      <c r="T113" s="95" t="n">
        <f aca="false">0</f>
        <v>0</v>
      </c>
      <c r="U113" s="95" t="n">
        <f aca="false">0</f>
        <v>0</v>
      </c>
      <c r="V113" s="95" t="n">
        <f aca="false">0</f>
        <v>0</v>
      </c>
      <c r="W113" s="95" t="n">
        <f aca="false">0</f>
        <v>0</v>
      </c>
    </row>
    <row r="114" customFormat="false" ht="15" hidden="false" customHeight="false" outlineLevel="0" collapsed="false">
      <c r="A114" s="11" t="s">
        <v>456</v>
      </c>
      <c r="B114" s="66" t="n">
        <f aca="false">SUM(C114:W114)</f>
        <v>78732.3754143705</v>
      </c>
      <c r="C114" s="95" t="n">
        <v>0</v>
      </c>
      <c r="D114" s="95" t="n">
        <f aca="false">D112*SenRate*$B$11</f>
        <v>11254.6829385742</v>
      </c>
      <c r="E114" s="95" t="n">
        <f aca="false">E112*SenRate*$B$11</f>
        <v>11254.6829385742</v>
      </c>
      <c r="F114" s="95" t="n">
        <f aca="false">F112*SenRate*$B$11</f>
        <v>11254.6829385742</v>
      </c>
      <c r="G114" s="95" t="n">
        <f aca="false">G112*SenRate*$B$11</f>
        <v>10270.5282458945</v>
      </c>
      <c r="H114" s="95" t="n">
        <f aca="false">H112*SenRate*$B$11</f>
        <v>9187.95808394693</v>
      </c>
      <c r="I114" s="95" t="n">
        <f aca="false">I112*SenRate*$B$11</f>
        <v>7997.13090580457</v>
      </c>
      <c r="J114" s="95" t="n">
        <f aca="false">J112*SenRate*$B$11</f>
        <v>6687.22100984798</v>
      </c>
      <c r="K114" s="95" t="n">
        <f aca="false">K112*SenRate*$B$11</f>
        <v>5246.32012429573</v>
      </c>
      <c r="L114" s="95" t="n">
        <f aca="false">L112*SenRate*$B$11</f>
        <v>3661.32915018826</v>
      </c>
      <c r="M114" s="95" t="n">
        <f aca="false">M112*SenRate*$B$11</f>
        <v>1917.83907867004</v>
      </c>
      <c r="N114" s="95" t="n">
        <f aca="false">N112*SenRate*$B$11</f>
        <v>0</v>
      </c>
      <c r="O114" s="95" t="n">
        <f aca="false">O112*SenRate*$B$11</f>
        <v>0</v>
      </c>
      <c r="P114" s="95" t="n">
        <f aca="false">P112*SenRate*$B$11</f>
        <v>0</v>
      </c>
      <c r="Q114" s="95" t="n">
        <f aca="false">Q112*SenRate*$B$11</f>
        <v>0</v>
      </c>
      <c r="R114" s="95" t="n">
        <f aca="false">R112*SenRate*$B$11</f>
        <v>0</v>
      </c>
      <c r="S114" s="95" t="n">
        <f aca="false">S112*SenRate*$B$11</f>
        <v>0</v>
      </c>
      <c r="T114" s="95" t="n">
        <f aca="false">T112*SenRate*$B$11</f>
        <v>0</v>
      </c>
      <c r="U114" s="95" t="n">
        <f aca="false">U112*SenRate*$B$11</f>
        <v>0</v>
      </c>
      <c r="V114" s="95" t="n">
        <f aca="false">V112*SenRate*$B$11</f>
        <v>0</v>
      </c>
      <c r="W114" s="95" t="n">
        <f aca="false">W112*SenRate*$B$11</f>
        <v>0</v>
      </c>
    </row>
    <row r="115" customFormat="false" ht="15" hidden="false" customHeight="false" outlineLevel="0" collapsed="false">
      <c r="A115" s="11" t="s">
        <v>457</v>
      </c>
      <c r="B115" s="66" t="n">
        <f aca="false">SUM(C115:W115)</f>
        <v>112546.829385742</v>
      </c>
      <c r="C115" s="95" t="n">
        <v>0</v>
      </c>
      <c r="D115" s="95" t="n">
        <f aca="false">IF(AND(D39&gt;SenGrace,D39&lt;=SenTenor),PMT(SenRate*$B$11,SenTenor-SenGrace,-S_Tariff_Hi!$B$16)-D114,0)</f>
        <v>0</v>
      </c>
      <c r="E115" s="95" t="n">
        <f aca="false">IF(AND(E39&gt;SenGrace,E39&lt;=SenTenor),PMT(SenRate*$B$11,SenTenor-SenGrace,-S_Tariff_Hi!$B$16)-E114,0)</f>
        <v>0</v>
      </c>
      <c r="F115" s="95" t="n">
        <f aca="false">IF(AND(F39&gt;SenGrace,F39&lt;=SenTenor),PMT(SenRate*$B$11,SenTenor-SenGrace,-S_Tariff_Hi!$B$16)-F114,0)</f>
        <v>9841.54692679631</v>
      </c>
      <c r="G115" s="95" t="n">
        <f aca="false">IF(AND(G39&gt;SenGrace,G39&lt;=SenTenor),PMT(SenRate*$B$11,SenTenor-SenGrace,-S_Tariff_Hi!$B$16)-G114,0)</f>
        <v>10825.7016194759</v>
      </c>
      <c r="H115" s="95" t="n">
        <f aca="false">IF(AND(H39&gt;SenGrace,H39&lt;=SenTenor),PMT(SenRate*$B$11,SenTenor-SenGrace,-S_Tariff_Hi!$B$16)-H114,0)</f>
        <v>11908.2717814235</v>
      </c>
      <c r="I115" s="95" t="n">
        <f aca="false">IF(AND(I39&gt;SenGrace,I39&lt;=SenTenor),PMT(SenRate*$B$11,SenTenor-SenGrace,-S_Tariff_Hi!$B$16)-I114,0)</f>
        <v>13099.0989595659</v>
      </c>
      <c r="J115" s="95" t="n">
        <f aca="false">IF(AND(J39&gt;SenGrace,J39&lt;=SenTenor),PMT(SenRate*$B$11,SenTenor-SenGrace,-S_Tariff_Hi!$B$16)-J114,0)</f>
        <v>14409.0088555225</v>
      </c>
      <c r="K115" s="95" t="n">
        <f aca="false">IF(AND(K39&gt;SenGrace,K39&lt;=SenTenor),PMT(SenRate*$B$11,SenTenor-SenGrace,-S_Tariff_Hi!$B$16)-K114,0)</f>
        <v>15849.9097410747</v>
      </c>
      <c r="L115" s="95" t="n">
        <f aca="false">IF(AND(L39&gt;SenGrace,L39&lt;=SenTenor),PMT(SenRate*$B$11,SenTenor-SenGrace,-S_Tariff_Hi!$B$16)-L114,0)</f>
        <v>17434.9007151822</v>
      </c>
      <c r="M115" s="95" t="n">
        <f aca="false">IF(AND(M39&gt;SenGrace,M39&lt;=SenTenor),PMT(SenRate*$B$11,SenTenor-SenGrace,-S_Tariff_Hi!$B$16)-M114,0)</f>
        <v>19178.3907867004</v>
      </c>
      <c r="N115" s="95" t="n">
        <f aca="false">IF(AND(N39&gt;SenGrace,N39&lt;=SenTenor),PMT(SenRate*$B$11,SenTenor-SenGrace,-S_Tariff_Hi!$B$16)-N114,0)</f>
        <v>0</v>
      </c>
      <c r="O115" s="95" t="n">
        <f aca="false">IF(AND(O39&gt;SenGrace,O39&lt;=SenTenor),PMT(SenRate*$B$11,SenTenor-SenGrace,-S_Tariff_Hi!$B$16)-O114,0)</f>
        <v>0</v>
      </c>
      <c r="P115" s="95" t="n">
        <f aca="false">IF(AND(P39&gt;SenGrace,P39&lt;=SenTenor),PMT(SenRate*$B$11,SenTenor-SenGrace,-S_Tariff_Hi!$B$16)-P114,0)</f>
        <v>0</v>
      </c>
      <c r="Q115" s="95" t="n">
        <f aca="false">IF(AND(Q39&gt;SenGrace,Q39&lt;=SenTenor),PMT(SenRate*$B$11,SenTenor-SenGrace,-S_Tariff_Hi!$B$16)-Q114,0)</f>
        <v>0</v>
      </c>
      <c r="R115" s="95" t="n">
        <f aca="false">IF(AND(R39&gt;SenGrace,R39&lt;=SenTenor),PMT(SenRate*$B$11,SenTenor-SenGrace,-S_Tariff_Hi!$B$16)-R114,0)</f>
        <v>0</v>
      </c>
      <c r="S115" s="95" t="n">
        <f aca="false">IF(AND(S39&gt;SenGrace,S39&lt;=SenTenor),PMT(SenRate*$B$11,SenTenor-SenGrace,-S_Tariff_Hi!$B$16)-S114,0)</f>
        <v>0</v>
      </c>
      <c r="T115" s="95" t="n">
        <f aca="false">IF(AND(T39&gt;SenGrace,T39&lt;=SenTenor),PMT(SenRate*$B$11,SenTenor-SenGrace,-S_Tariff_Hi!$B$16)-T114,0)</f>
        <v>0</v>
      </c>
      <c r="U115" s="95" t="n">
        <f aca="false">IF(AND(U39&gt;SenGrace,U39&lt;=SenTenor),PMT(SenRate*$B$11,SenTenor-SenGrace,-S_Tariff_Hi!$B$16)-U114,0)</f>
        <v>0</v>
      </c>
      <c r="V115" s="95" t="n">
        <f aca="false">IF(AND(V39&gt;SenGrace,V39&lt;=SenTenor),PMT(SenRate*$B$11,SenTenor-SenGrace,-S_Tariff_Hi!$B$16)-V114,0)</f>
        <v>0</v>
      </c>
      <c r="W115" s="95" t="n">
        <f aca="false">IF(AND(W39&gt;SenGrace,W39&lt;=SenTenor),PMT(SenRate*$B$11,SenTenor-SenGrace,-S_Tariff_Hi!$B$16)-W114,0)</f>
        <v>0</v>
      </c>
    </row>
    <row r="116" customFormat="false" ht="15" hidden="false" customHeight="false" outlineLevel="0" collapsed="false">
      <c r="A116" s="11" t="s">
        <v>458</v>
      </c>
      <c r="C116" s="95" t="n">
        <f aca="false">0+C113-0</f>
        <v>112546.829385741</v>
      </c>
      <c r="D116" s="95" t="n">
        <f aca="false">D112+D113-D115</f>
        <v>112546.829385741</v>
      </c>
      <c r="E116" s="95" t="n">
        <f aca="false">E112+E113-E115</f>
        <v>112546.829385741</v>
      </c>
      <c r="F116" s="95" t="n">
        <f aca="false">F112+F113-F115</f>
        <v>102705.282458945</v>
      </c>
      <c r="G116" s="95" t="n">
        <f aca="false">G112+G113-G115</f>
        <v>91879.5808394692</v>
      </c>
      <c r="H116" s="95" t="n">
        <f aca="false">H112+H113-H115</f>
        <v>79971.3090580457</v>
      </c>
      <c r="I116" s="95" t="n">
        <f aca="false">I112+I113-I115</f>
        <v>66872.2100984798</v>
      </c>
      <c r="J116" s="95" t="n">
        <f aca="false">J112+J113-J115</f>
        <v>52463.2012429573</v>
      </c>
      <c r="K116" s="95" t="n">
        <f aca="false">K112+K113-K115</f>
        <v>36613.2915018826</v>
      </c>
      <c r="L116" s="95" t="n">
        <f aca="false">L112+L113-L115</f>
        <v>19178.3907867004</v>
      </c>
      <c r="M116" s="95" t="n">
        <f aca="false">M112+M113-M115</f>
        <v>0</v>
      </c>
      <c r="N116" s="95" t="n">
        <f aca="false">N112+N113-N115</f>
        <v>0</v>
      </c>
      <c r="O116" s="95" t="n">
        <f aca="false">O112+O113-O115</f>
        <v>0</v>
      </c>
      <c r="P116" s="95" t="n">
        <f aca="false">P112+P113-P115</f>
        <v>0</v>
      </c>
      <c r="Q116" s="95" t="n">
        <f aca="false">Q112+Q113-Q115</f>
        <v>0</v>
      </c>
      <c r="R116" s="95" t="n">
        <f aca="false">R112+R113-R115</f>
        <v>0</v>
      </c>
      <c r="S116" s="95" t="n">
        <f aca="false">S112+S113-S115</f>
        <v>0</v>
      </c>
      <c r="T116" s="95" t="n">
        <f aca="false">T112+T113-T115</f>
        <v>0</v>
      </c>
      <c r="U116" s="95" t="n">
        <f aca="false">U112+U113-U115</f>
        <v>0</v>
      </c>
      <c r="V116" s="95" t="n">
        <f aca="false">V112+V113-V115</f>
        <v>0</v>
      </c>
      <c r="W116" s="95" t="n">
        <f aca="false">W112+W113-W115</f>
        <v>0</v>
      </c>
    </row>
    <row r="118" customFormat="false" ht="15" hidden="false" customHeight="false" outlineLevel="0" collapsed="false">
      <c r="A118" s="9" t="s">
        <v>459</v>
      </c>
      <c r="B118" s="10"/>
      <c r="C118" s="10"/>
      <c r="D118" s="10"/>
      <c r="E118" s="10"/>
      <c r="F118" s="10"/>
      <c r="G118" s="10"/>
      <c r="H118" s="10"/>
      <c r="I118" s="10"/>
      <c r="J118" s="10"/>
      <c r="K118" s="10"/>
      <c r="L118" s="10"/>
      <c r="M118" s="10"/>
      <c r="N118" s="10"/>
      <c r="O118" s="10"/>
      <c r="P118" s="10"/>
      <c r="Q118" s="10"/>
      <c r="R118" s="10"/>
      <c r="S118" s="10"/>
      <c r="T118" s="10"/>
      <c r="U118" s="10"/>
      <c r="V118" s="10"/>
      <c r="W118" s="10"/>
    </row>
    <row r="119" customFormat="false" ht="15" hidden="false" customHeight="false" outlineLevel="0" collapsed="false">
      <c r="A119" s="11" t="s">
        <v>454</v>
      </c>
      <c r="C119" s="95" t="n">
        <v>0</v>
      </c>
      <c r="D119" s="95" t="n">
        <f aca="false">C123</f>
        <v>112546.829385741</v>
      </c>
      <c r="E119" s="95" t="n">
        <f aca="false">D123</f>
        <v>112546.829385741</v>
      </c>
      <c r="F119" s="95" t="n">
        <f aca="false">E123</f>
        <v>112546.829385741</v>
      </c>
      <c r="G119" s="95" t="n">
        <f aca="false">F123</f>
        <v>112546.829385741</v>
      </c>
      <c r="H119" s="95" t="n">
        <f aca="false">G123</f>
        <v>112546.829385741</v>
      </c>
      <c r="I119" s="95" t="n">
        <f aca="false">H123</f>
        <v>112546.829385741</v>
      </c>
      <c r="J119" s="95" t="n">
        <f aca="false">I123</f>
        <v>102729.312441619</v>
      </c>
      <c r="K119" s="95" t="n">
        <f aca="false">J123</f>
        <v>92617.2699891724</v>
      </c>
      <c r="L119" s="95" t="n">
        <f aca="false">K123</f>
        <v>82201.8662631527</v>
      </c>
      <c r="M119" s="95" t="n">
        <f aca="false">L123</f>
        <v>71474.0004253523</v>
      </c>
      <c r="N119" s="95" t="n">
        <f aca="false">M123</f>
        <v>60424.2986124179</v>
      </c>
      <c r="O119" s="95" t="n">
        <f aca="false">N123</f>
        <v>49043.1057450955</v>
      </c>
      <c r="P119" s="95" t="n">
        <f aca="false">O123</f>
        <v>37320.4770917535</v>
      </c>
      <c r="Q119" s="95" t="n">
        <f aca="false">P123</f>
        <v>25246.1695788111</v>
      </c>
      <c r="R119" s="95" t="n">
        <f aca="false">Q123</f>
        <v>12809.6328404805</v>
      </c>
      <c r="S119" s="95" t="n">
        <f aca="false">R123</f>
        <v>0</v>
      </c>
      <c r="T119" s="95" t="n">
        <f aca="false">S123</f>
        <v>0</v>
      </c>
      <c r="U119" s="95" t="n">
        <f aca="false">T123</f>
        <v>0</v>
      </c>
      <c r="V119" s="95" t="n">
        <f aca="false">U123</f>
        <v>0</v>
      </c>
      <c r="W119" s="95" t="n">
        <f aca="false">V123</f>
        <v>0</v>
      </c>
    </row>
    <row r="120" customFormat="false" ht="15" hidden="false" customHeight="false" outlineLevel="0" collapsed="false">
      <c r="A120" s="11" t="s">
        <v>455</v>
      </c>
      <c r="B120" s="66" t="n">
        <f aca="false">SUM(C120:W120)</f>
        <v>112546.829385741</v>
      </c>
      <c r="C120" s="95" t="n">
        <f aca="false">S_Tariff_Hi!$B$17</f>
        <v>112546.829385741</v>
      </c>
      <c r="D120" s="95" t="n">
        <f aca="false">0</f>
        <v>0</v>
      </c>
      <c r="E120" s="95" t="n">
        <f aca="false">0</f>
        <v>0</v>
      </c>
      <c r="F120" s="95" t="n">
        <f aca="false">0</f>
        <v>0</v>
      </c>
      <c r="G120" s="95" t="n">
        <f aca="false">0</f>
        <v>0</v>
      </c>
      <c r="H120" s="95" t="n">
        <f aca="false">0</f>
        <v>0</v>
      </c>
      <c r="I120" s="95" t="n">
        <f aca="false">0</f>
        <v>0</v>
      </c>
      <c r="J120" s="95" t="n">
        <f aca="false">0</f>
        <v>0</v>
      </c>
      <c r="K120" s="95" t="n">
        <f aca="false">0</f>
        <v>0</v>
      </c>
      <c r="L120" s="95" t="n">
        <f aca="false">0</f>
        <v>0</v>
      </c>
      <c r="M120" s="95" t="n">
        <f aca="false">0</f>
        <v>0</v>
      </c>
      <c r="N120" s="95" t="n">
        <f aca="false">0</f>
        <v>0</v>
      </c>
      <c r="O120" s="95" t="n">
        <f aca="false">0</f>
        <v>0</v>
      </c>
      <c r="P120" s="95" t="n">
        <f aca="false">0</f>
        <v>0</v>
      </c>
      <c r="Q120" s="95" t="n">
        <f aca="false">0</f>
        <v>0</v>
      </c>
      <c r="R120" s="95" t="n">
        <f aca="false">0</f>
        <v>0</v>
      </c>
      <c r="S120" s="95" t="n">
        <f aca="false">0</f>
        <v>0</v>
      </c>
      <c r="T120" s="95" t="n">
        <f aca="false">0</f>
        <v>0</v>
      </c>
      <c r="U120" s="95" t="n">
        <f aca="false">0</f>
        <v>0</v>
      </c>
      <c r="V120" s="95" t="n">
        <f aca="false">0</f>
        <v>0</v>
      </c>
      <c r="W120" s="95" t="n">
        <f aca="false">0</f>
        <v>0</v>
      </c>
    </row>
    <row r="121" customFormat="false" ht="15" hidden="false" customHeight="false" outlineLevel="0" collapsed="false">
      <c r="A121" s="11" t="s">
        <v>456</v>
      </c>
      <c r="B121" s="66" t="n">
        <f aca="false">SUM(C121:W121)</f>
        <v>36274.4132790691</v>
      </c>
      <c r="C121" s="95" t="n">
        <v>0</v>
      </c>
      <c r="D121" s="95" t="n">
        <f aca="false">D119*ConRate*$B$11</f>
        <v>3376.40488157224</v>
      </c>
      <c r="E121" s="95" t="n">
        <f aca="false">E119*ConRate*$B$11</f>
        <v>3376.40488157224</v>
      </c>
      <c r="F121" s="95" t="n">
        <f aca="false">F119*ConRate*$B$11</f>
        <v>3376.40488157224</v>
      </c>
      <c r="G121" s="95" t="n">
        <f aca="false">G119*ConRate*$B$11</f>
        <v>3376.40488157224</v>
      </c>
      <c r="H121" s="95" t="n">
        <f aca="false">H119*ConRate*$B$11</f>
        <v>3376.40488157224</v>
      </c>
      <c r="I121" s="95" t="n">
        <f aca="false">I119*ConRate*$B$11</f>
        <v>3376.40488157224</v>
      </c>
      <c r="J121" s="95" t="n">
        <f aca="false">J119*ConRate*$B$11</f>
        <v>3081.87937324856</v>
      </c>
      <c r="K121" s="95" t="n">
        <f aca="false">K119*ConRate*$B$11</f>
        <v>2778.51809967517</v>
      </c>
      <c r="L121" s="95" t="n">
        <f aca="false">L119*ConRate*$B$11</f>
        <v>2466.05598789458</v>
      </c>
      <c r="M121" s="95" t="n">
        <f aca="false">M119*ConRate*$B$11</f>
        <v>2144.22001276057</v>
      </c>
      <c r="N121" s="95" t="n">
        <f aca="false">N119*ConRate*$B$11</f>
        <v>1812.72895837254</v>
      </c>
      <c r="O121" s="95" t="n">
        <f aca="false">O119*ConRate*$B$11</f>
        <v>1471.29317235287</v>
      </c>
      <c r="P121" s="95" t="n">
        <f aca="false">P119*ConRate*$B$11</f>
        <v>1119.6143127526</v>
      </c>
      <c r="Q121" s="95" t="n">
        <f aca="false">Q119*ConRate*$B$11</f>
        <v>757.385087364333</v>
      </c>
      <c r="R121" s="95" t="n">
        <f aca="false">R119*ConRate*$B$11</f>
        <v>384.288985214415</v>
      </c>
      <c r="S121" s="95" t="n">
        <f aca="false">S119*ConRate*$B$11</f>
        <v>0</v>
      </c>
      <c r="T121" s="95" t="n">
        <f aca="false">T119*ConRate*$B$11</f>
        <v>0</v>
      </c>
      <c r="U121" s="95" t="n">
        <f aca="false">U119*ConRate*$B$11</f>
        <v>0</v>
      </c>
      <c r="V121" s="95" t="n">
        <f aca="false">V119*ConRate*$B$11</f>
        <v>0</v>
      </c>
      <c r="W121" s="95" t="n">
        <f aca="false">W119*ConRate*$B$11</f>
        <v>0</v>
      </c>
    </row>
    <row r="122" customFormat="false" ht="15" hidden="false" customHeight="false" outlineLevel="0" collapsed="false">
      <c r="A122" s="11" t="s">
        <v>457</v>
      </c>
      <c r="B122" s="66" t="n">
        <f aca="false">SUM(C122:W122)</f>
        <v>112546.829385742</v>
      </c>
      <c r="C122" s="95" t="n">
        <v>0</v>
      </c>
      <c r="D122" s="95" t="n">
        <f aca="false">IF(AND(D39&gt;ConGrace,D39&lt;=ConTenor),PMT(ConRate*$B$11,ConTenor-ConGrace,-S_Tariff_Hi!$B$17)-D121,0)</f>
        <v>0</v>
      </c>
      <c r="E122" s="95" t="n">
        <f aca="false">IF(AND(E39&gt;ConGrace,E39&lt;=ConTenor),PMT(ConRate*$B$11,ConTenor-ConGrace,-S_Tariff_Hi!$B$17)-E121,0)</f>
        <v>0</v>
      </c>
      <c r="F122" s="95" t="n">
        <f aca="false">IF(AND(F39&gt;ConGrace,F39&lt;=ConTenor),PMT(ConRate*$B$11,ConTenor-ConGrace,-S_Tariff_Hi!$B$17)-F121,0)</f>
        <v>0</v>
      </c>
      <c r="G122" s="95" t="n">
        <f aca="false">IF(AND(G39&gt;ConGrace,G39&lt;=ConTenor),PMT(ConRate*$B$11,ConTenor-ConGrace,-S_Tariff_Hi!$B$17)-G121,0)</f>
        <v>0</v>
      </c>
      <c r="H122" s="95" t="n">
        <f aca="false">IF(AND(H39&gt;ConGrace,H39&lt;=ConTenor),PMT(ConRate*$B$11,ConTenor-ConGrace,-S_Tariff_Hi!$B$17)-H121,0)</f>
        <v>0</v>
      </c>
      <c r="I122" s="95" t="n">
        <f aca="false">IF(AND(I39&gt;ConGrace,I39&lt;=ConTenor),PMT(ConRate*$B$11,ConTenor-ConGrace,-S_Tariff_Hi!$B$17)-I121,0)</f>
        <v>9817.51694412269</v>
      </c>
      <c r="J122" s="95" t="n">
        <f aca="false">IF(AND(J39&gt;ConGrace,J39&lt;=ConTenor),PMT(ConRate*$B$11,ConTenor-ConGrace,-S_Tariff_Hi!$B$17)-J121,0)</f>
        <v>10112.0424524464</v>
      </c>
      <c r="K122" s="95" t="n">
        <f aca="false">IF(AND(K39&gt;ConGrace,K39&lt;=ConTenor),PMT(ConRate*$B$11,ConTenor-ConGrace,-S_Tariff_Hi!$B$17)-K121,0)</f>
        <v>10415.4037260198</v>
      </c>
      <c r="L122" s="95" t="n">
        <f aca="false">IF(AND(L39&gt;ConGrace,L39&lt;=ConTenor),PMT(ConRate*$B$11,ConTenor-ConGrace,-S_Tariff_Hi!$B$17)-L121,0)</f>
        <v>10727.8658378004</v>
      </c>
      <c r="M122" s="95" t="n">
        <f aca="false">IF(AND(M39&gt;ConGrace,M39&lt;=ConTenor),PMT(ConRate*$B$11,ConTenor-ConGrace,-S_Tariff_Hi!$B$17)-M121,0)</f>
        <v>11049.7018129344</v>
      </c>
      <c r="N122" s="95" t="n">
        <f aca="false">IF(AND(N39&gt;ConGrace,N39&lt;=ConTenor),PMT(ConRate*$B$11,ConTenor-ConGrace,-S_Tariff_Hi!$B$17)-N121,0)</f>
        <v>11381.1928673224</v>
      </c>
      <c r="O122" s="95" t="n">
        <f aca="false">IF(AND(O39&gt;ConGrace,O39&lt;=ConTenor),PMT(ConRate*$B$11,ConTenor-ConGrace,-S_Tariff_Hi!$B$17)-O121,0)</f>
        <v>11722.6286533421</v>
      </c>
      <c r="P122" s="95" t="n">
        <f aca="false">IF(AND(P39&gt;ConGrace,P39&lt;=ConTenor),PMT(ConRate*$B$11,ConTenor-ConGrace,-S_Tariff_Hi!$B$17)-P121,0)</f>
        <v>12074.3075129423</v>
      </c>
      <c r="Q122" s="95" t="n">
        <f aca="false">IF(AND(Q39&gt;ConGrace,Q39&lt;=ConTenor),PMT(ConRate*$B$11,ConTenor-ConGrace,-S_Tariff_Hi!$B$17)-Q121,0)</f>
        <v>12436.5367383306</v>
      </c>
      <c r="R122" s="95" t="n">
        <f aca="false">IF(AND(R39&gt;ConGrace,R39&lt;=ConTenor),PMT(ConRate*$B$11,ConTenor-ConGrace,-S_Tariff_Hi!$B$17)-R121,0)</f>
        <v>12809.6328404805</v>
      </c>
      <c r="S122" s="95" t="n">
        <f aca="false">IF(AND(S39&gt;ConGrace,S39&lt;=ConTenor),PMT(ConRate*$B$11,ConTenor-ConGrace,-S_Tariff_Hi!$B$17)-S121,0)</f>
        <v>0</v>
      </c>
      <c r="T122" s="95" t="n">
        <f aca="false">IF(AND(T39&gt;ConGrace,T39&lt;=ConTenor),PMT(ConRate*$B$11,ConTenor-ConGrace,-S_Tariff_Hi!$B$17)-T121,0)</f>
        <v>0</v>
      </c>
      <c r="U122" s="95" t="n">
        <f aca="false">IF(AND(U39&gt;ConGrace,U39&lt;=ConTenor),PMT(ConRate*$B$11,ConTenor-ConGrace,-S_Tariff_Hi!$B$17)-U121,0)</f>
        <v>0</v>
      </c>
      <c r="V122" s="95" t="n">
        <f aca="false">IF(AND(V39&gt;ConGrace,V39&lt;=ConTenor),PMT(ConRate*$B$11,ConTenor-ConGrace,-S_Tariff_Hi!$B$17)-V121,0)</f>
        <v>0</v>
      </c>
      <c r="W122" s="95" t="n">
        <f aca="false">IF(AND(W39&gt;ConGrace,W39&lt;=ConTenor),PMT(ConRate*$B$11,ConTenor-ConGrace,-S_Tariff_Hi!$B$17)-W121,0)</f>
        <v>0</v>
      </c>
    </row>
    <row r="123" customFormat="false" ht="15" hidden="false" customHeight="false" outlineLevel="0" collapsed="false">
      <c r="A123" s="11" t="s">
        <v>458</v>
      </c>
      <c r="C123" s="95" t="n">
        <f aca="false">0+C120-0</f>
        <v>112546.829385741</v>
      </c>
      <c r="D123" s="95" t="n">
        <f aca="false">D119+D120-D122</f>
        <v>112546.829385741</v>
      </c>
      <c r="E123" s="95" t="n">
        <f aca="false">E119+E120-E122</f>
        <v>112546.829385741</v>
      </c>
      <c r="F123" s="95" t="n">
        <f aca="false">F119+F120-F122</f>
        <v>112546.829385741</v>
      </c>
      <c r="G123" s="95" t="n">
        <f aca="false">G119+G120-G122</f>
        <v>112546.829385741</v>
      </c>
      <c r="H123" s="95" t="n">
        <f aca="false">H119+H120-H122</f>
        <v>112546.829385741</v>
      </c>
      <c r="I123" s="95" t="n">
        <f aca="false">I119+I120-I122</f>
        <v>102729.312441619</v>
      </c>
      <c r="J123" s="95" t="n">
        <f aca="false">J119+J120-J122</f>
        <v>92617.2699891724</v>
      </c>
      <c r="K123" s="95" t="n">
        <f aca="false">K119+K120-K122</f>
        <v>82201.8662631527</v>
      </c>
      <c r="L123" s="95" t="n">
        <f aca="false">L119+L120-L122</f>
        <v>71474.0004253523</v>
      </c>
      <c r="M123" s="95" t="n">
        <f aca="false">M119+M120-M122</f>
        <v>60424.2986124179</v>
      </c>
      <c r="N123" s="95" t="n">
        <f aca="false">N119+N120-N122</f>
        <v>49043.1057450955</v>
      </c>
      <c r="O123" s="95" t="n">
        <f aca="false">O119+O120-O122</f>
        <v>37320.4770917535</v>
      </c>
      <c r="P123" s="95" t="n">
        <f aca="false">P119+P120-P122</f>
        <v>25246.1695788111</v>
      </c>
      <c r="Q123" s="95" t="n">
        <f aca="false">Q119+Q120-Q122</f>
        <v>12809.6328404805</v>
      </c>
      <c r="R123" s="95" t="n">
        <f aca="false">R119+R120-R122</f>
        <v>0</v>
      </c>
      <c r="S123" s="95" t="n">
        <f aca="false">S119+S120-S122</f>
        <v>0</v>
      </c>
      <c r="T123" s="95" t="n">
        <f aca="false">T119+T120-T122</f>
        <v>0</v>
      </c>
      <c r="U123" s="95" t="n">
        <f aca="false">U119+U120-U122</f>
        <v>0</v>
      </c>
      <c r="V123" s="95" t="n">
        <f aca="false">V119+V120-V122</f>
        <v>0</v>
      </c>
      <c r="W123" s="95" t="n">
        <f aca="false">W119+W120-W122</f>
        <v>0</v>
      </c>
    </row>
    <row r="125" customFormat="false" ht="15" hidden="false" customHeight="false" outlineLevel="0" collapsed="false">
      <c r="A125" s="16" t="s">
        <v>460</v>
      </c>
      <c r="B125" s="66" t="n">
        <f aca="false">SUM(C125:W125)</f>
        <v>340100.447464923</v>
      </c>
      <c r="C125" s="31" t="n">
        <v>0</v>
      </c>
      <c r="D125" s="31" t="n">
        <f aca="false">D114+D115+D121+D122</f>
        <v>14631.0878201464</v>
      </c>
      <c r="E125" s="31" t="n">
        <f aca="false">E114+E115+E121+E122</f>
        <v>14631.0878201464</v>
      </c>
      <c r="F125" s="31" t="n">
        <f aca="false">F114+F115+F121+F122</f>
        <v>24472.6347469427</v>
      </c>
      <c r="G125" s="31" t="n">
        <f aca="false">G114+G115+G121+G122</f>
        <v>24472.6347469427</v>
      </c>
      <c r="H125" s="31" t="n">
        <f aca="false">H114+H115+H121+H122</f>
        <v>24472.6347469427</v>
      </c>
      <c r="I125" s="31" t="n">
        <f aca="false">I114+I115+I121+I122</f>
        <v>34290.1516910654</v>
      </c>
      <c r="J125" s="31" t="n">
        <f aca="false">J114+J115+J121+J122</f>
        <v>34290.1516910654</v>
      </c>
      <c r="K125" s="31" t="n">
        <f aca="false">K114+K115+K121+K122</f>
        <v>34290.1516910654</v>
      </c>
      <c r="L125" s="31" t="n">
        <f aca="false">L114+L115+L121+L122</f>
        <v>34290.1516910654</v>
      </c>
      <c r="M125" s="31" t="n">
        <f aca="false">M114+M115+M121+M122</f>
        <v>34290.1516910654</v>
      </c>
      <c r="N125" s="31" t="n">
        <f aca="false">N114+N115+N121+N122</f>
        <v>13193.9218256949</v>
      </c>
      <c r="O125" s="31" t="n">
        <f aca="false">O114+O115+O121+O122</f>
        <v>13193.9218256949</v>
      </c>
      <c r="P125" s="31" t="n">
        <f aca="false">P114+P115+P121+P122</f>
        <v>13193.9218256949</v>
      </c>
      <c r="Q125" s="31" t="n">
        <f aca="false">Q114+Q115+Q121+Q122</f>
        <v>13193.9218256949</v>
      </c>
      <c r="R125" s="31" t="n">
        <f aca="false">R114+R115+R121+R122</f>
        <v>13193.9218256949</v>
      </c>
      <c r="S125" s="31" t="n">
        <f aca="false">S114+S115+S121+S122</f>
        <v>0</v>
      </c>
      <c r="T125" s="31" t="n">
        <f aca="false">T114+T115+T121+T122</f>
        <v>0</v>
      </c>
      <c r="U125" s="31" t="n">
        <f aca="false">U114+U115+U121+U122</f>
        <v>0</v>
      </c>
      <c r="V125" s="31" t="n">
        <f aca="false">V114+V115+V121+V122</f>
        <v>0</v>
      </c>
      <c r="W125" s="31" t="n">
        <f aca="false">W114+W115+W121+W122</f>
        <v>0</v>
      </c>
    </row>
    <row r="126" customFormat="false" ht="15" hidden="false" customHeight="false" outlineLevel="0" collapsed="false">
      <c r="A126" s="11" t="s">
        <v>461</v>
      </c>
      <c r="C126" s="96" t="n">
        <v>0</v>
      </c>
      <c r="D126" s="96" t="n">
        <f aca="false">IF(D39&lt;=SenGrace,SenRate*$B$11,IF(D39&lt;=SenTenor,PMT(SenRate*$B$11,SenTenor-SenGrace,-1),0))</f>
        <v>0.1</v>
      </c>
      <c r="E126" s="96" t="n">
        <f aca="false">IF(E39&lt;=SenGrace,SenRate*$B$11,IF(E39&lt;=SenTenor,PMT(SenRate*$B$11,SenTenor-SenGrace,-1),0))</f>
        <v>0.1</v>
      </c>
      <c r="F126" s="96" t="n">
        <f aca="false">IF(F39&lt;=SenGrace,SenRate*$B$11,IF(F39&lt;=SenTenor,PMT(SenRate*$B$11,SenTenor-SenGrace,-1),0))</f>
        <v>0.187444017574813</v>
      </c>
      <c r="G126" s="96" t="n">
        <f aca="false">IF(G39&lt;=SenGrace,SenRate*$B$11,IF(G39&lt;=SenTenor,PMT(SenRate*$B$11,SenTenor-SenGrace,-1),0))</f>
        <v>0.187444017574813</v>
      </c>
      <c r="H126" s="96" t="n">
        <f aca="false">IF(H39&lt;=SenGrace,SenRate*$B$11,IF(H39&lt;=SenTenor,PMT(SenRate*$B$11,SenTenor-SenGrace,-1),0))</f>
        <v>0.187444017574813</v>
      </c>
      <c r="I126" s="96" t="n">
        <f aca="false">IF(I39&lt;=SenGrace,SenRate*$B$11,IF(I39&lt;=SenTenor,PMT(SenRate*$B$11,SenTenor-SenGrace,-1),0))</f>
        <v>0.187444017574813</v>
      </c>
      <c r="J126" s="96" t="n">
        <f aca="false">IF(J39&lt;=SenGrace,SenRate*$B$11,IF(J39&lt;=SenTenor,PMT(SenRate*$B$11,SenTenor-SenGrace,-1),0))</f>
        <v>0.187444017574813</v>
      </c>
      <c r="K126" s="96" t="n">
        <f aca="false">IF(K39&lt;=SenGrace,SenRate*$B$11,IF(K39&lt;=SenTenor,PMT(SenRate*$B$11,SenTenor-SenGrace,-1),0))</f>
        <v>0.187444017574813</v>
      </c>
      <c r="L126" s="96" t="n">
        <f aca="false">IF(L39&lt;=SenGrace,SenRate*$B$11,IF(L39&lt;=SenTenor,PMT(SenRate*$B$11,SenTenor-SenGrace,-1),0))</f>
        <v>0.187444017574813</v>
      </c>
      <c r="M126" s="96" t="n">
        <f aca="false">IF(M39&lt;=SenGrace,SenRate*$B$11,IF(M39&lt;=SenTenor,PMT(SenRate*$B$11,SenTenor-SenGrace,-1),0))</f>
        <v>0.187444017574813</v>
      </c>
      <c r="N126" s="96" t="n">
        <f aca="false">IF(N39&lt;=SenGrace,SenRate*$B$11,IF(N39&lt;=SenTenor,PMT(SenRate*$B$11,SenTenor-SenGrace,-1),0))</f>
        <v>0</v>
      </c>
      <c r="O126" s="96" t="n">
        <f aca="false">IF(O39&lt;=SenGrace,SenRate*$B$11,IF(O39&lt;=SenTenor,PMT(SenRate*$B$11,SenTenor-SenGrace,-1),0))</f>
        <v>0</v>
      </c>
      <c r="P126" s="96" t="n">
        <f aca="false">IF(P39&lt;=SenGrace,SenRate*$B$11,IF(P39&lt;=SenTenor,PMT(SenRate*$B$11,SenTenor-SenGrace,-1),0))</f>
        <v>0</v>
      </c>
      <c r="Q126" s="96" t="n">
        <f aca="false">IF(Q39&lt;=SenGrace,SenRate*$B$11,IF(Q39&lt;=SenTenor,PMT(SenRate*$B$11,SenTenor-SenGrace,-1),0))</f>
        <v>0</v>
      </c>
      <c r="R126" s="96" t="n">
        <f aca="false">IF(R39&lt;=SenGrace,SenRate*$B$11,IF(R39&lt;=SenTenor,PMT(SenRate*$B$11,SenTenor-SenGrace,-1),0))</f>
        <v>0</v>
      </c>
      <c r="S126" s="96" t="n">
        <f aca="false">IF(S39&lt;=SenGrace,SenRate*$B$11,IF(S39&lt;=SenTenor,PMT(SenRate*$B$11,SenTenor-SenGrace,-1),0))</f>
        <v>0</v>
      </c>
      <c r="T126" s="96" t="n">
        <f aca="false">IF(T39&lt;=SenGrace,SenRate*$B$11,IF(T39&lt;=SenTenor,PMT(SenRate*$B$11,SenTenor-SenGrace,-1),0))</f>
        <v>0</v>
      </c>
      <c r="U126" s="96" t="n">
        <f aca="false">IF(U39&lt;=SenGrace,SenRate*$B$11,IF(U39&lt;=SenTenor,PMT(SenRate*$B$11,SenTenor-SenGrace,-1),0))</f>
        <v>0</v>
      </c>
      <c r="V126" s="96" t="n">
        <f aca="false">IF(V39&lt;=SenGrace,SenRate*$B$11,IF(V39&lt;=SenTenor,PMT(SenRate*$B$11,SenTenor-SenGrace,-1),0))</f>
        <v>0</v>
      </c>
      <c r="W126" s="96" t="n">
        <f aca="false">IF(W39&lt;=SenGrace,SenRate*$B$11,IF(W39&lt;=SenTenor,PMT(SenRate*$B$11,SenTenor-SenGrace,-1),0))</f>
        <v>0</v>
      </c>
    </row>
    <row r="127" customFormat="false" ht="15" hidden="false" customHeight="false" outlineLevel="0" collapsed="false">
      <c r="A127" s="11" t="s">
        <v>462</v>
      </c>
      <c r="C127" s="95" t="n">
        <v>0</v>
      </c>
      <c r="D127" s="95" t="n">
        <f aca="false">IF(D126&gt;0,(D147/MinDSCR-D121-D122)/D126,1000000000000)</f>
        <v>1169606.37377978</v>
      </c>
      <c r="E127" s="95" t="n">
        <f aca="false">IF(E126&gt;0,(E147/MinDSCR-E121-E122)/E126,1000000000000)</f>
        <v>739772.152965864</v>
      </c>
      <c r="F127" s="95" t="n">
        <f aca="false">IF(F126&gt;0,(F147/MinDSCR-F121-F122)/F126,1000000000000)</f>
        <v>394903.432725373</v>
      </c>
      <c r="G127" s="95" t="n">
        <f aca="false">IF(G126&gt;0,(G147/MinDSCR-G121-G122)/G126,1000000000000)</f>
        <v>260923.620604073</v>
      </c>
      <c r="H127" s="95" t="n">
        <f aca="false">IF(H126&gt;0,(H147/MinDSCR-H121-H122)/H126,1000000000000)</f>
        <v>290865.90240645</v>
      </c>
      <c r="I127" s="95" t="n">
        <f aca="false">IF(I126&gt;0,(I147/MinDSCR-I121-I122)/I126,1000000000000)</f>
        <v>270489.107128216</v>
      </c>
      <c r="J127" s="95" t="n">
        <f aca="false">IF(J126&gt;0,(J147/MinDSCR-J121-J122)/J126,1000000000000)</f>
        <v>296969.418120311</v>
      </c>
      <c r="K127" s="95" t="n">
        <f aca="false">IF(K126&gt;0,(K147/MinDSCR-K121-K122)/K126,1000000000000)</f>
        <v>300652.576739785</v>
      </c>
      <c r="L127" s="95" t="n">
        <f aca="false">IF(L126&gt;0,(L147/MinDSCR-L121-L122)/L126,1000000000000)</f>
        <v>281307.337781256</v>
      </c>
      <c r="M127" s="95" t="n">
        <f aca="false">IF(M126&gt;0,(M147/MinDSCR-M121-M122)/M126,1000000000000)</f>
        <v>266039.414931433</v>
      </c>
      <c r="N127" s="95" t="n">
        <f aca="false">IF(N126&gt;0,(N147/MinDSCR-N121-N122)/N126,1000000000000)</f>
        <v>1000000000000</v>
      </c>
      <c r="O127" s="95" t="n">
        <f aca="false">IF(O126&gt;0,(O147/MinDSCR-O121-O122)/O126,1000000000000)</f>
        <v>1000000000000</v>
      </c>
      <c r="P127" s="95" t="n">
        <f aca="false">IF(P126&gt;0,(P147/MinDSCR-P121-P122)/P126,1000000000000)</f>
        <v>1000000000000</v>
      </c>
      <c r="Q127" s="95" t="n">
        <f aca="false">IF(Q126&gt;0,(Q147/MinDSCR-Q121-Q122)/Q126,1000000000000)</f>
        <v>1000000000000</v>
      </c>
      <c r="R127" s="95" t="n">
        <f aca="false">IF(R126&gt;0,(R147/MinDSCR-R121-R122)/R126,1000000000000)</f>
        <v>1000000000000</v>
      </c>
      <c r="S127" s="95" t="n">
        <f aca="false">IF(S126&gt;0,(S147/MinDSCR-S121-S122)/S126,1000000000000)</f>
        <v>1000000000000</v>
      </c>
      <c r="T127" s="95" t="n">
        <f aca="false">IF(T126&gt;0,(T147/MinDSCR-T121-T122)/T126,1000000000000)</f>
        <v>1000000000000</v>
      </c>
      <c r="U127" s="95" t="n">
        <f aca="false">IF(U126&gt;0,(U147/MinDSCR-U121-U122)/U126,1000000000000)</f>
        <v>1000000000000</v>
      </c>
      <c r="V127" s="95" t="n">
        <f aca="false">IF(V126&gt;0,(V147/MinDSCR-V121-V122)/V126,1000000000000)</f>
        <v>1000000000000</v>
      </c>
      <c r="W127" s="95" t="n">
        <f aca="false">IF(W126&gt;0,(W147/MinDSCR-W121-W122)/W126,1000000000000)</f>
        <v>1000000000000</v>
      </c>
    </row>
    <row r="128" customFormat="false" ht="15" hidden="false" customHeight="false" outlineLevel="0" collapsed="false">
      <c r="A128" s="11" t="s">
        <v>463</v>
      </c>
      <c r="C128" s="95" t="n">
        <f aca="false">DSRAPct*D125</f>
        <v>7315.5439100732</v>
      </c>
      <c r="D128" s="95" t="n">
        <f aca="false">DSRAPct*E125</f>
        <v>7315.5439100732</v>
      </c>
      <c r="E128" s="95" t="n">
        <f aca="false">DSRAPct*F125</f>
        <v>12236.3173734714</v>
      </c>
      <c r="F128" s="95" t="n">
        <f aca="false">DSRAPct*G125</f>
        <v>12236.3173734714</v>
      </c>
      <c r="G128" s="95" t="n">
        <f aca="false">DSRAPct*H125</f>
        <v>12236.3173734714</v>
      </c>
      <c r="H128" s="95" t="n">
        <f aca="false">DSRAPct*I125</f>
        <v>17145.0758455327</v>
      </c>
      <c r="I128" s="95" t="n">
        <f aca="false">DSRAPct*J125</f>
        <v>17145.0758455327</v>
      </c>
      <c r="J128" s="95" t="n">
        <f aca="false">DSRAPct*K125</f>
        <v>17145.0758455327</v>
      </c>
      <c r="K128" s="95" t="n">
        <f aca="false">DSRAPct*L125</f>
        <v>17145.0758455327</v>
      </c>
      <c r="L128" s="95" t="n">
        <f aca="false">DSRAPct*M125</f>
        <v>17145.0758455327</v>
      </c>
      <c r="M128" s="95" t="n">
        <f aca="false">DSRAPct*N125</f>
        <v>6596.96091284747</v>
      </c>
      <c r="N128" s="95" t="n">
        <f aca="false">DSRAPct*O125</f>
        <v>6596.96091284747</v>
      </c>
      <c r="O128" s="95" t="n">
        <f aca="false">DSRAPct*P125</f>
        <v>6596.96091284747</v>
      </c>
      <c r="P128" s="95" t="n">
        <f aca="false">DSRAPct*Q125</f>
        <v>6596.96091284747</v>
      </c>
      <c r="Q128" s="95" t="n">
        <f aca="false">DSRAPct*R125</f>
        <v>6596.96091284747</v>
      </c>
      <c r="R128" s="95" t="n">
        <f aca="false">DSRAPct*S125</f>
        <v>0</v>
      </c>
      <c r="S128" s="95" t="n">
        <f aca="false">DSRAPct*T125</f>
        <v>0</v>
      </c>
      <c r="T128" s="95" t="n">
        <f aca="false">DSRAPct*U125</f>
        <v>0</v>
      </c>
      <c r="U128" s="95" t="n">
        <f aca="false">DSRAPct*V125</f>
        <v>0</v>
      </c>
      <c r="V128" s="95" t="n">
        <f aca="false">DSRAPct*W125</f>
        <v>0</v>
      </c>
      <c r="W128" s="95" t="n">
        <f aca="false">0</f>
        <v>0</v>
      </c>
    </row>
    <row r="129" customFormat="false" ht="15" hidden="false" customHeight="false" outlineLevel="0" collapsed="false">
      <c r="A129" s="11" t="s">
        <v>464</v>
      </c>
      <c r="B129" s="66" t="n">
        <f aca="false">SUM(C129:W129)</f>
        <v>0</v>
      </c>
      <c r="C129" s="95" t="n">
        <f aca="false">C128</f>
        <v>7315.5439100732</v>
      </c>
      <c r="D129" s="95" t="n">
        <f aca="false">D128-C128</f>
        <v>0</v>
      </c>
      <c r="E129" s="95" t="n">
        <f aca="false">E128-D128</f>
        <v>4920.77346339816</v>
      </c>
      <c r="F129" s="95" t="n">
        <f aca="false">F128-E128</f>
        <v>0</v>
      </c>
      <c r="G129" s="95" t="n">
        <f aca="false">G128-F128</f>
        <v>0</v>
      </c>
      <c r="H129" s="95" t="n">
        <f aca="false">H128-G128</f>
        <v>4908.75847206135</v>
      </c>
      <c r="I129" s="95" t="n">
        <f aca="false">I128-H128</f>
        <v>0</v>
      </c>
      <c r="J129" s="95" t="n">
        <f aca="false">J128-I128</f>
        <v>0</v>
      </c>
      <c r="K129" s="95" t="n">
        <f aca="false">K128-J128</f>
        <v>0</v>
      </c>
      <c r="L129" s="95" t="n">
        <f aca="false">L128-K128</f>
        <v>0</v>
      </c>
      <c r="M129" s="95" t="n">
        <f aca="false">M128-L128</f>
        <v>-10548.1149326852</v>
      </c>
      <c r="N129" s="95" t="n">
        <f aca="false">N128-M128</f>
        <v>0</v>
      </c>
      <c r="O129" s="95" t="n">
        <f aca="false">O128-N128</f>
        <v>0</v>
      </c>
      <c r="P129" s="95" t="n">
        <f aca="false">P128-O128</f>
        <v>0</v>
      </c>
      <c r="Q129" s="95" t="n">
        <f aca="false">Q128-P128</f>
        <v>0</v>
      </c>
      <c r="R129" s="95" t="n">
        <f aca="false">R128-Q128</f>
        <v>-6596.96091284747</v>
      </c>
      <c r="S129" s="95" t="n">
        <f aca="false">S128-R128</f>
        <v>0</v>
      </c>
      <c r="T129" s="95" t="n">
        <f aca="false">T128-S128</f>
        <v>0</v>
      </c>
      <c r="U129" s="95" t="n">
        <f aca="false">U128-T128</f>
        <v>0</v>
      </c>
      <c r="V129" s="95" t="n">
        <f aca="false">V128-U128</f>
        <v>0</v>
      </c>
      <c r="W129" s="95" t="n">
        <f aca="false">W128-V128</f>
        <v>0</v>
      </c>
    </row>
    <row r="131" customFormat="false" ht="15" hidden="false" customHeight="false" outlineLevel="0" collapsed="false">
      <c r="A131" s="9" t="s">
        <v>465</v>
      </c>
      <c r="B131" s="10"/>
      <c r="C131" s="10"/>
      <c r="D131" s="10"/>
      <c r="E131" s="10"/>
      <c r="F131" s="10"/>
      <c r="G131" s="10"/>
      <c r="H131" s="10"/>
      <c r="I131" s="10"/>
      <c r="J131" s="10"/>
      <c r="K131" s="10"/>
      <c r="L131" s="10"/>
      <c r="M131" s="10"/>
      <c r="N131" s="10"/>
      <c r="O131" s="10"/>
      <c r="P131" s="10"/>
      <c r="Q131" s="10"/>
      <c r="R131" s="10"/>
      <c r="S131" s="10"/>
      <c r="T131" s="10"/>
      <c r="U131" s="10"/>
      <c r="V131" s="10"/>
      <c r="W131" s="10"/>
    </row>
    <row r="132" customFormat="false" ht="15" hidden="false" customHeight="false" outlineLevel="0" collapsed="false">
      <c r="A132" s="11" t="s">
        <v>466</v>
      </c>
      <c r="B132" s="66" t="n">
        <f aca="false">SUM(C132:W132)</f>
        <v>1162734.14692871</v>
      </c>
      <c r="C132" s="95" t="n">
        <v>0</v>
      </c>
      <c r="D132" s="95" t="n">
        <f aca="false">IF(D39&lt;=MIN(DepYears,Life),S_Tariff_Hi!$B$14/DepYears,0)</f>
        <v>77515.6097952472</v>
      </c>
      <c r="E132" s="95" t="n">
        <f aca="false">IF(E39&lt;=MIN(DepYears,Life),S_Tariff_Hi!$B$14/DepYears,0)</f>
        <v>77515.6097952472</v>
      </c>
      <c r="F132" s="95" t="n">
        <f aca="false">IF(F39&lt;=MIN(DepYears,Life),S_Tariff_Hi!$B$14/DepYears,0)</f>
        <v>77515.6097952472</v>
      </c>
      <c r="G132" s="95" t="n">
        <f aca="false">IF(G39&lt;=MIN(DepYears,Life),S_Tariff_Hi!$B$14/DepYears,0)</f>
        <v>77515.6097952472</v>
      </c>
      <c r="H132" s="95" t="n">
        <f aca="false">IF(H39&lt;=MIN(DepYears,Life),S_Tariff_Hi!$B$14/DepYears,0)</f>
        <v>77515.6097952472</v>
      </c>
      <c r="I132" s="95" t="n">
        <f aca="false">IF(I39&lt;=MIN(DepYears,Life),S_Tariff_Hi!$B$14/DepYears,0)</f>
        <v>77515.6097952472</v>
      </c>
      <c r="J132" s="95" t="n">
        <f aca="false">IF(J39&lt;=MIN(DepYears,Life),S_Tariff_Hi!$B$14/DepYears,0)</f>
        <v>77515.6097952472</v>
      </c>
      <c r="K132" s="95" t="n">
        <f aca="false">IF(K39&lt;=MIN(DepYears,Life),S_Tariff_Hi!$B$14/DepYears,0)</f>
        <v>77515.6097952472</v>
      </c>
      <c r="L132" s="95" t="n">
        <f aca="false">IF(L39&lt;=MIN(DepYears,Life),S_Tariff_Hi!$B$14/DepYears,0)</f>
        <v>77515.6097952472</v>
      </c>
      <c r="M132" s="95" t="n">
        <f aca="false">IF(M39&lt;=MIN(DepYears,Life),S_Tariff_Hi!$B$14/DepYears,0)</f>
        <v>77515.6097952472</v>
      </c>
      <c r="N132" s="95" t="n">
        <f aca="false">IF(N39&lt;=MIN(DepYears,Life),S_Tariff_Hi!$B$14/DepYears,0)</f>
        <v>77515.6097952472</v>
      </c>
      <c r="O132" s="95" t="n">
        <f aca="false">IF(O39&lt;=MIN(DepYears,Life),S_Tariff_Hi!$B$14/DepYears,0)</f>
        <v>77515.6097952472</v>
      </c>
      <c r="P132" s="95" t="n">
        <f aca="false">IF(P39&lt;=MIN(DepYears,Life),S_Tariff_Hi!$B$14/DepYears,0)</f>
        <v>77515.6097952472</v>
      </c>
      <c r="Q132" s="95" t="n">
        <f aca="false">IF(Q39&lt;=MIN(DepYears,Life),S_Tariff_Hi!$B$14/DepYears,0)</f>
        <v>77515.6097952472</v>
      </c>
      <c r="R132" s="95" t="n">
        <f aca="false">IF(R39&lt;=MIN(DepYears,Life),S_Tariff_Hi!$B$14/DepYears,0)</f>
        <v>77515.6097952472</v>
      </c>
      <c r="S132" s="95" t="n">
        <f aca="false">IF(S39&lt;=MIN(DepYears,Life),S_Tariff_Hi!$B$14/DepYears,0)</f>
        <v>0</v>
      </c>
      <c r="T132" s="95" t="n">
        <f aca="false">IF(T39&lt;=MIN(DepYears,Life),S_Tariff_Hi!$B$14/DepYears,0)</f>
        <v>0</v>
      </c>
      <c r="U132" s="95" t="n">
        <f aca="false">IF(U39&lt;=MIN(DepYears,Life),S_Tariff_Hi!$B$14/DepYears,0)</f>
        <v>0</v>
      </c>
      <c r="V132" s="95" t="n">
        <f aca="false">IF(V39&lt;=MIN(DepYears,Life),S_Tariff_Hi!$B$14/DepYears,0)</f>
        <v>0</v>
      </c>
      <c r="W132" s="95" t="n">
        <f aca="false">IF(W39&lt;=MIN(DepYears,Life),S_Tariff_Hi!$B$14/DepYears,0)</f>
        <v>0</v>
      </c>
    </row>
    <row r="133" customFormat="false" ht="15" hidden="false" customHeight="false" outlineLevel="0" collapsed="false">
      <c r="A133" s="11" t="s">
        <v>467</v>
      </c>
      <c r="B133" s="66" t="n">
        <f aca="false">SUM(C133:W133)</f>
        <v>880970.20271384</v>
      </c>
      <c r="C133" s="95" t="n">
        <v>0</v>
      </c>
      <c r="D133" s="95" t="n">
        <f aca="false">D98-D132</f>
        <v>-51539.5251447444</v>
      </c>
      <c r="E133" s="95" t="n">
        <f aca="false">E98-E132</f>
        <v>-19217.9738505532</v>
      </c>
      <c r="F133" s="95" t="n">
        <f aca="false">F98-F132</f>
        <v>6040.61804325208</v>
      </c>
      <c r="G133" s="95" t="n">
        <f aca="false">G98-G132</f>
        <v>11192.7895079364</v>
      </c>
      <c r="H133" s="95" t="n">
        <f aca="false">H98-H132</f>
        <v>18489.0415832497</v>
      </c>
      <c r="I133" s="95" t="n">
        <f aca="false">I98-I132</f>
        <v>26286.4527266819</v>
      </c>
      <c r="J133" s="95" t="n">
        <f aca="false">J98-J132</f>
        <v>32739.1013693674</v>
      </c>
      <c r="K133" s="95" t="n">
        <f aca="false">K98-K132</f>
        <v>33636.6032330666</v>
      </c>
      <c r="L133" s="95" t="n">
        <f aca="false">L98-L132</f>
        <v>34454.8683257069</v>
      </c>
      <c r="M133" s="95" t="n">
        <f aca="false">M98-M132</f>
        <v>35186.0635882146</v>
      </c>
      <c r="N133" s="95" t="n">
        <f aca="false">N98-N132</f>
        <v>35821.8137831154</v>
      </c>
      <c r="O133" s="95" t="n">
        <f aca="false">O98-O132</f>
        <v>36353.1671447811</v>
      </c>
      <c r="P133" s="95" t="n">
        <f aca="false">P98-P132</f>
        <v>36770.5589133328</v>
      </c>
      <c r="Q133" s="95" t="n">
        <f aca="false">Q98-Q132</f>
        <v>37063.7726229657</v>
      </c>
      <c r="R133" s="95" t="n">
        <f aca="false">R98-R132</f>
        <v>37221.8990075898</v>
      </c>
      <c r="S133" s="95" t="n">
        <f aca="false">S98-S132</f>
        <v>114748.90217358</v>
      </c>
      <c r="T133" s="95" t="n">
        <f aca="false">T98-T132</f>
        <v>114601.134113837</v>
      </c>
      <c r="U133" s="95" t="n">
        <f aca="false">U98-U132</f>
        <v>114280.944328155</v>
      </c>
      <c r="V133" s="95" t="n">
        <f aca="false">V98-V132</f>
        <v>113774.188471269</v>
      </c>
      <c r="W133" s="95" t="n">
        <f aca="false">W98-W132</f>
        <v>113065.782773037</v>
      </c>
    </row>
    <row r="134" customFormat="false" ht="15" hidden="false" customHeight="false" outlineLevel="0" collapsed="false">
      <c r="A134" s="11" t="s">
        <v>468</v>
      </c>
      <c r="C134" s="95" t="n">
        <v>0</v>
      </c>
      <c r="D134" s="95" t="n">
        <f aca="false">0</f>
        <v>0</v>
      </c>
      <c r="E134" s="95" t="n">
        <f aca="false">D136</f>
        <v>51539.5251447444</v>
      </c>
      <c r="F134" s="95" t="n">
        <f aca="false">E136</f>
        <v>70757.4989952977</v>
      </c>
      <c r="G134" s="95" t="n">
        <f aca="false">F136</f>
        <v>64716.8809520456</v>
      </c>
      <c r="H134" s="95" t="n">
        <f aca="false">G136</f>
        <v>53524.0914441092</v>
      </c>
      <c r="I134" s="95" t="n">
        <f aca="false">H136</f>
        <v>35035.0498608595</v>
      </c>
      <c r="J134" s="95" t="n">
        <f aca="false">I136</f>
        <v>8748.59713417757</v>
      </c>
      <c r="K134" s="95" t="n">
        <f aca="false">J136</f>
        <v>0</v>
      </c>
      <c r="L134" s="95" t="n">
        <f aca="false">K136</f>
        <v>0</v>
      </c>
      <c r="M134" s="95" t="n">
        <f aca="false">L136</f>
        <v>0</v>
      </c>
      <c r="N134" s="95" t="n">
        <f aca="false">M136</f>
        <v>0</v>
      </c>
      <c r="O134" s="95" t="n">
        <f aca="false">N136</f>
        <v>0</v>
      </c>
      <c r="P134" s="95" t="n">
        <f aca="false">O136</f>
        <v>0</v>
      </c>
      <c r="Q134" s="95" t="n">
        <f aca="false">P136</f>
        <v>0</v>
      </c>
      <c r="R134" s="95" t="n">
        <f aca="false">Q136</f>
        <v>0</v>
      </c>
      <c r="S134" s="95" t="n">
        <f aca="false">R136</f>
        <v>0</v>
      </c>
      <c r="T134" s="95" t="n">
        <f aca="false">S136</f>
        <v>0</v>
      </c>
      <c r="U134" s="95" t="n">
        <f aca="false">T136</f>
        <v>0</v>
      </c>
      <c r="V134" s="95" t="n">
        <f aca="false">U136</f>
        <v>0</v>
      </c>
      <c r="W134" s="95" t="n">
        <f aca="false">V136</f>
        <v>0</v>
      </c>
    </row>
    <row r="135" customFormat="false" ht="15" hidden="false" customHeight="false" outlineLevel="0" collapsed="false">
      <c r="A135" s="11" t="s">
        <v>469</v>
      </c>
      <c r="C135" s="95" t="n">
        <v>0</v>
      </c>
      <c r="D135" s="95" t="n">
        <f aca="false">MIN(D134,MAX(D133,0))</f>
        <v>0</v>
      </c>
      <c r="E135" s="95" t="n">
        <f aca="false">MIN(E134,MAX(E133,0))</f>
        <v>0</v>
      </c>
      <c r="F135" s="95" t="n">
        <f aca="false">MIN(F134,MAX(F133,0))</f>
        <v>6040.61804325208</v>
      </c>
      <c r="G135" s="95" t="n">
        <f aca="false">MIN(G134,MAX(G133,0))</f>
        <v>11192.7895079364</v>
      </c>
      <c r="H135" s="95" t="n">
        <f aca="false">MIN(H134,MAX(H133,0))</f>
        <v>18489.0415832497</v>
      </c>
      <c r="I135" s="95" t="n">
        <f aca="false">MIN(I134,MAX(I133,0))</f>
        <v>26286.4527266819</v>
      </c>
      <c r="J135" s="95" t="n">
        <f aca="false">MIN(J134,MAX(J133,0))</f>
        <v>8748.59713417757</v>
      </c>
      <c r="K135" s="95" t="n">
        <f aca="false">MIN(K134,MAX(K133,0))</f>
        <v>0</v>
      </c>
      <c r="L135" s="95" t="n">
        <f aca="false">MIN(L134,MAX(L133,0))</f>
        <v>0</v>
      </c>
      <c r="M135" s="95" t="n">
        <f aca="false">MIN(M134,MAX(M133,0))</f>
        <v>0</v>
      </c>
      <c r="N135" s="95" t="n">
        <f aca="false">MIN(N134,MAX(N133,0))</f>
        <v>0</v>
      </c>
      <c r="O135" s="95" t="n">
        <f aca="false">MIN(O134,MAX(O133,0))</f>
        <v>0</v>
      </c>
      <c r="P135" s="95" t="n">
        <f aca="false">MIN(P134,MAX(P133,0))</f>
        <v>0</v>
      </c>
      <c r="Q135" s="95" t="n">
        <f aca="false">MIN(Q134,MAX(Q133,0))</f>
        <v>0</v>
      </c>
      <c r="R135" s="95" t="n">
        <f aca="false">MIN(R134,MAX(R133,0))</f>
        <v>0</v>
      </c>
      <c r="S135" s="95" t="n">
        <f aca="false">MIN(S134,MAX(S133,0))</f>
        <v>0</v>
      </c>
      <c r="T135" s="95" t="n">
        <f aca="false">MIN(T134,MAX(T133,0))</f>
        <v>0</v>
      </c>
      <c r="U135" s="95" t="n">
        <f aca="false">MIN(U134,MAX(U133,0))</f>
        <v>0</v>
      </c>
      <c r="V135" s="95" t="n">
        <f aca="false">MIN(V134,MAX(V133,0))</f>
        <v>0</v>
      </c>
      <c r="W135" s="95" t="n">
        <f aca="false">MIN(W134,MAX(W133,0))</f>
        <v>0</v>
      </c>
    </row>
    <row r="136" customFormat="false" ht="15" hidden="false" customHeight="false" outlineLevel="0" collapsed="false">
      <c r="A136" s="11" t="s">
        <v>470</v>
      </c>
      <c r="C136" s="95" t="n">
        <v>0</v>
      </c>
      <c r="D136" s="95" t="n">
        <f aca="false">D134-D135+MAX(-D133,0)</f>
        <v>51539.5251447444</v>
      </c>
      <c r="E136" s="95" t="n">
        <f aca="false">E134-E135+MAX(-E133,0)</f>
        <v>70757.4989952977</v>
      </c>
      <c r="F136" s="95" t="n">
        <f aca="false">F134-F135+MAX(-F133,0)</f>
        <v>64716.8809520456</v>
      </c>
      <c r="G136" s="95" t="n">
        <f aca="false">G134-G135+MAX(-G133,0)</f>
        <v>53524.0914441092</v>
      </c>
      <c r="H136" s="95" t="n">
        <f aca="false">H134-H135+MAX(-H133,0)</f>
        <v>35035.0498608595</v>
      </c>
      <c r="I136" s="95" t="n">
        <f aca="false">I134-I135+MAX(-I133,0)</f>
        <v>8748.59713417757</v>
      </c>
      <c r="J136" s="95" t="n">
        <f aca="false">J134-J135+MAX(-J133,0)</f>
        <v>0</v>
      </c>
      <c r="K136" s="95" t="n">
        <f aca="false">K134-K135+MAX(-K133,0)</f>
        <v>0</v>
      </c>
      <c r="L136" s="95" t="n">
        <f aca="false">L134-L135+MAX(-L133,0)</f>
        <v>0</v>
      </c>
      <c r="M136" s="95" t="n">
        <f aca="false">M134-M135+MAX(-M133,0)</f>
        <v>0</v>
      </c>
      <c r="N136" s="95" t="n">
        <f aca="false">N134-N135+MAX(-N133,0)</f>
        <v>0</v>
      </c>
      <c r="O136" s="95" t="n">
        <f aca="false">O134-O135+MAX(-O133,0)</f>
        <v>0</v>
      </c>
      <c r="P136" s="95" t="n">
        <f aca="false">P134-P135+MAX(-P133,0)</f>
        <v>0</v>
      </c>
      <c r="Q136" s="95" t="n">
        <f aca="false">Q134-Q135+MAX(-Q133,0)</f>
        <v>0</v>
      </c>
      <c r="R136" s="95" t="n">
        <f aca="false">R134-R135+MAX(-R133,0)</f>
        <v>0</v>
      </c>
      <c r="S136" s="95" t="n">
        <f aca="false">S134-S135+MAX(-S133,0)</f>
        <v>0</v>
      </c>
      <c r="T136" s="95" t="n">
        <f aca="false">T134-T135+MAX(-T133,0)</f>
        <v>0</v>
      </c>
      <c r="U136" s="95" t="n">
        <f aca="false">U134-U135+MAX(-U133,0)</f>
        <v>0</v>
      </c>
      <c r="V136" s="95" t="n">
        <f aca="false">V134-V135+MAX(-V133,0)</f>
        <v>0</v>
      </c>
      <c r="W136" s="95" t="n">
        <f aca="false">W134-W135+MAX(-W133,0)</f>
        <v>0</v>
      </c>
    </row>
    <row r="137" customFormat="false" ht="15" hidden="false" customHeight="false" outlineLevel="0" collapsed="false">
      <c r="A137" s="11" t="s">
        <v>471</v>
      </c>
      <c r="B137" s="66" t="n">
        <f aca="false">SUM(C137:W137)</f>
        <v>220242.55067846</v>
      </c>
      <c r="C137" s="95" t="n">
        <v>0</v>
      </c>
      <c r="D137" s="95" t="n">
        <f aca="false">(MAX(D133,0)-D135)*TaxRate</f>
        <v>0</v>
      </c>
      <c r="E137" s="95" t="n">
        <f aca="false">(MAX(E133,0)-E135)*TaxRate</f>
        <v>0</v>
      </c>
      <c r="F137" s="95" t="n">
        <f aca="false">(MAX(F133,0)-F135)*TaxRate</f>
        <v>0</v>
      </c>
      <c r="G137" s="95" t="n">
        <f aca="false">(MAX(G133,0)-G135)*TaxRate</f>
        <v>0</v>
      </c>
      <c r="H137" s="95" t="n">
        <f aca="false">(MAX(H133,0)-H135)*TaxRate</f>
        <v>0</v>
      </c>
      <c r="I137" s="95" t="n">
        <f aca="false">(MAX(I133,0)-I135)*TaxRate</f>
        <v>0</v>
      </c>
      <c r="J137" s="95" t="n">
        <f aca="false">(MAX(J133,0)-J135)*TaxRate</f>
        <v>5997.62605879747</v>
      </c>
      <c r="K137" s="95" t="n">
        <f aca="false">(MAX(K133,0)-K135)*TaxRate</f>
        <v>8409.15080826666</v>
      </c>
      <c r="L137" s="95" t="n">
        <f aca="false">(MAX(L133,0)-L135)*TaxRate</f>
        <v>8613.71708142673</v>
      </c>
      <c r="M137" s="95" t="n">
        <f aca="false">(MAX(M133,0)-M135)*TaxRate</f>
        <v>8796.51589705365</v>
      </c>
      <c r="N137" s="95" t="n">
        <f aca="false">(MAX(N133,0)-N135)*TaxRate</f>
        <v>8955.45344577885</v>
      </c>
      <c r="O137" s="95" t="n">
        <f aca="false">(MAX(O133,0)-O135)*TaxRate</f>
        <v>9088.29178619527</v>
      </c>
      <c r="P137" s="95" t="n">
        <f aca="false">(MAX(P133,0)-P135)*TaxRate</f>
        <v>9192.6397283332</v>
      </c>
      <c r="Q137" s="95" t="n">
        <f aca="false">(MAX(Q133,0)-Q135)*TaxRate</f>
        <v>9265.94315574142</v>
      </c>
      <c r="R137" s="95" t="n">
        <f aca="false">(MAX(R133,0)-R135)*TaxRate</f>
        <v>9305.47475189744</v>
      </c>
      <c r="S137" s="95" t="n">
        <f aca="false">(MAX(S133,0)-S135)*TaxRate</f>
        <v>28687.225543395</v>
      </c>
      <c r="T137" s="95" t="n">
        <f aca="false">(MAX(T133,0)-T135)*TaxRate</f>
        <v>28650.2835284592</v>
      </c>
      <c r="U137" s="95" t="n">
        <f aca="false">(MAX(U133,0)-U135)*TaxRate</f>
        <v>28570.2360820386</v>
      </c>
      <c r="V137" s="95" t="n">
        <f aca="false">(MAX(V133,0)-V135)*TaxRate</f>
        <v>28443.5471178172</v>
      </c>
      <c r="W137" s="95" t="n">
        <f aca="false">(MAX(W133,0)-W135)*TaxRate</f>
        <v>28266.4456932592</v>
      </c>
    </row>
    <row r="138" customFormat="false" ht="15" hidden="false" customHeight="false" outlineLevel="0" collapsed="false">
      <c r="A138" s="11" t="s">
        <v>472</v>
      </c>
      <c r="B138" s="66" t="n">
        <f aca="false">SUM(C138:W138)</f>
        <v>765963.4140204</v>
      </c>
      <c r="C138" s="95" t="n">
        <v>0</v>
      </c>
      <c r="D138" s="95" t="n">
        <f aca="false">D98-D132-D114-D121</f>
        <v>-66170.6129648908</v>
      </c>
      <c r="E138" s="95" t="n">
        <f aca="false">E98-E132-E114-E121</f>
        <v>-33849.0616706996</v>
      </c>
      <c r="F138" s="95" t="n">
        <f aca="false">F98-F132-F114-F121</f>
        <v>-8590.46977689432</v>
      </c>
      <c r="G138" s="95" t="n">
        <f aca="false">G98-G132-G114-G121</f>
        <v>-2454.14361953035</v>
      </c>
      <c r="H138" s="95" t="n">
        <f aca="false">H98-H132-H114-H121</f>
        <v>5924.67861773051</v>
      </c>
      <c r="I138" s="95" t="n">
        <f aca="false">I98-I132-I114-I121</f>
        <v>14912.9169393051</v>
      </c>
      <c r="J138" s="95" t="n">
        <f aca="false">J98-J132-J114-J121</f>
        <v>22970.0009862709</v>
      </c>
      <c r="K138" s="95" t="n">
        <f aca="false">K98-K132-K114-K121</f>
        <v>25611.7650090957</v>
      </c>
      <c r="L138" s="95" t="n">
        <f aca="false">L98-L132-L114-L121</f>
        <v>28327.4831876241</v>
      </c>
      <c r="M138" s="95" t="n">
        <f aca="false">M98-M132-M114-M121</f>
        <v>31124.004496784</v>
      </c>
      <c r="N138" s="95" t="n">
        <f aca="false">N98-N132-N114-N121</f>
        <v>34009.0848247429</v>
      </c>
      <c r="O138" s="95" t="n">
        <f aca="false">O98-O132-O114-O121</f>
        <v>34881.8739724282</v>
      </c>
      <c r="P138" s="95" t="n">
        <f aca="false">P98-P132-P114-P121</f>
        <v>35650.9446005802</v>
      </c>
      <c r="Q138" s="95" t="n">
        <f aca="false">Q98-Q132-Q114-Q121</f>
        <v>36306.3875356013</v>
      </c>
      <c r="R138" s="95" t="n">
        <f aca="false">R98-R132-R114-R121</f>
        <v>36837.6100223754</v>
      </c>
      <c r="S138" s="95" t="n">
        <f aca="false">S98-S132-S114-S121</f>
        <v>114748.90217358</v>
      </c>
      <c r="T138" s="95" t="n">
        <f aca="false">T98-T132-T114-T121</f>
        <v>114601.134113837</v>
      </c>
      <c r="U138" s="95" t="n">
        <f aca="false">U98-U132-U114-U121</f>
        <v>114280.944328155</v>
      </c>
      <c r="V138" s="95" t="n">
        <f aca="false">V98-V132-V114-V121</f>
        <v>113774.188471269</v>
      </c>
      <c r="W138" s="95" t="n">
        <f aca="false">W98-W132-W114-W121</f>
        <v>113065.782773037</v>
      </c>
    </row>
    <row r="139" customFormat="false" ht="15" hidden="false" customHeight="false" outlineLevel="0" collapsed="false">
      <c r="A139" s="11" t="s">
        <v>468</v>
      </c>
      <c r="C139" s="95" t="n">
        <v>0</v>
      </c>
      <c r="D139" s="95" t="n">
        <f aca="false">0</f>
        <v>0</v>
      </c>
      <c r="E139" s="95" t="n">
        <f aca="false">D141</f>
        <v>66170.6129648908</v>
      </c>
      <c r="F139" s="95" t="n">
        <f aca="false">E141</f>
        <v>100019.67463559</v>
      </c>
      <c r="G139" s="95" t="n">
        <f aca="false">F141</f>
        <v>108610.144412485</v>
      </c>
      <c r="H139" s="95" t="n">
        <f aca="false">G141</f>
        <v>111064.288032015</v>
      </c>
      <c r="I139" s="95" t="n">
        <f aca="false">H141</f>
        <v>105139.609414285</v>
      </c>
      <c r="J139" s="95" t="n">
        <f aca="false">I141</f>
        <v>90226.6924749795</v>
      </c>
      <c r="K139" s="95" t="n">
        <f aca="false">J141</f>
        <v>67256.6914887086</v>
      </c>
      <c r="L139" s="95" t="n">
        <f aca="false">K141</f>
        <v>41644.9264796129</v>
      </c>
      <c r="M139" s="95" t="n">
        <f aca="false">L141</f>
        <v>13317.4432919888</v>
      </c>
      <c r="N139" s="95" t="n">
        <f aca="false">M141</f>
        <v>0</v>
      </c>
      <c r="O139" s="95" t="n">
        <f aca="false">N141</f>
        <v>0</v>
      </c>
      <c r="P139" s="95" t="n">
        <f aca="false">O141</f>
        <v>0</v>
      </c>
      <c r="Q139" s="95" t="n">
        <f aca="false">P141</f>
        <v>0</v>
      </c>
      <c r="R139" s="95" t="n">
        <f aca="false">Q141</f>
        <v>0</v>
      </c>
      <c r="S139" s="95" t="n">
        <f aca="false">R141</f>
        <v>0</v>
      </c>
      <c r="T139" s="95" t="n">
        <f aca="false">S141</f>
        <v>0</v>
      </c>
      <c r="U139" s="95" t="n">
        <f aca="false">T141</f>
        <v>0</v>
      </c>
      <c r="V139" s="95" t="n">
        <f aca="false">U141</f>
        <v>0</v>
      </c>
      <c r="W139" s="95" t="n">
        <f aca="false">V141</f>
        <v>0</v>
      </c>
    </row>
    <row r="140" customFormat="false" ht="15" hidden="false" customHeight="false" outlineLevel="0" collapsed="false">
      <c r="A140" s="11" t="s">
        <v>469</v>
      </c>
      <c r="C140" s="95" t="n">
        <v>0</v>
      </c>
      <c r="D140" s="95" t="n">
        <f aca="false">MIN(D139,MAX(D138,0))</f>
        <v>0</v>
      </c>
      <c r="E140" s="95" t="n">
        <f aca="false">MIN(E139,MAX(E138,0))</f>
        <v>0</v>
      </c>
      <c r="F140" s="95" t="n">
        <f aca="false">MIN(F139,MAX(F138,0))</f>
        <v>0</v>
      </c>
      <c r="G140" s="95" t="n">
        <f aca="false">MIN(G139,MAX(G138,0))</f>
        <v>0</v>
      </c>
      <c r="H140" s="95" t="n">
        <f aca="false">MIN(H139,MAX(H138,0))</f>
        <v>5924.67861773051</v>
      </c>
      <c r="I140" s="95" t="n">
        <f aca="false">MIN(I139,MAX(I138,0))</f>
        <v>14912.9169393051</v>
      </c>
      <c r="J140" s="95" t="n">
        <f aca="false">MIN(J139,MAX(J138,0))</f>
        <v>22970.0009862709</v>
      </c>
      <c r="K140" s="95" t="n">
        <f aca="false">MIN(K139,MAX(K138,0))</f>
        <v>25611.7650090957</v>
      </c>
      <c r="L140" s="95" t="n">
        <f aca="false">MIN(L139,MAX(L138,0))</f>
        <v>28327.4831876241</v>
      </c>
      <c r="M140" s="95" t="n">
        <f aca="false">MIN(M139,MAX(M138,0))</f>
        <v>13317.4432919888</v>
      </c>
      <c r="N140" s="95" t="n">
        <f aca="false">MIN(N139,MAX(N138,0))</f>
        <v>0</v>
      </c>
      <c r="O140" s="95" t="n">
        <f aca="false">MIN(O139,MAX(O138,0))</f>
        <v>0</v>
      </c>
      <c r="P140" s="95" t="n">
        <f aca="false">MIN(P139,MAX(P138,0))</f>
        <v>0</v>
      </c>
      <c r="Q140" s="95" t="n">
        <f aca="false">MIN(Q139,MAX(Q138,0))</f>
        <v>0</v>
      </c>
      <c r="R140" s="95" t="n">
        <f aca="false">MIN(R139,MAX(R138,0))</f>
        <v>0</v>
      </c>
      <c r="S140" s="95" t="n">
        <f aca="false">MIN(S139,MAX(S138,0))</f>
        <v>0</v>
      </c>
      <c r="T140" s="95" t="n">
        <f aca="false">MIN(T139,MAX(T138,0))</f>
        <v>0</v>
      </c>
      <c r="U140" s="95" t="n">
        <f aca="false">MIN(U139,MAX(U138,0))</f>
        <v>0</v>
      </c>
      <c r="V140" s="95" t="n">
        <f aca="false">MIN(V139,MAX(V138,0))</f>
        <v>0</v>
      </c>
      <c r="W140" s="95" t="n">
        <f aca="false">MIN(W139,MAX(W138,0))</f>
        <v>0</v>
      </c>
    </row>
    <row r="141" customFormat="false" ht="15" hidden="false" customHeight="false" outlineLevel="0" collapsed="false">
      <c r="A141" s="11" t="s">
        <v>470</v>
      </c>
      <c r="C141" s="95" t="n">
        <v>0</v>
      </c>
      <c r="D141" s="95" t="n">
        <f aca="false">D139-D140+MAX(-D138,0)</f>
        <v>66170.6129648908</v>
      </c>
      <c r="E141" s="95" t="n">
        <f aca="false">E139-E140+MAX(-E138,0)</f>
        <v>100019.67463559</v>
      </c>
      <c r="F141" s="95" t="n">
        <f aca="false">F139-F140+MAX(-F138,0)</f>
        <v>108610.144412485</v>
      </c>
      <c r="G141" s="95" t="n">
        <f aca="false">G139-G140+MAX(-G138,0)</f>
        <v>111064.288032015</v>
      </c>
      <c r="H141" s="95" t="n">
        <f aca="false">H139-H140+MAX(-H138,0)</f>
        <v>105139.609414285</v>
      </c>
      <c r="I141" s="95" t="n">
        <f aca="false">I139-I140+MAX(-I138,0)</f>
        <v>90226.6924749795</v>
      </c>
      <c r="J141" s="95" t="n">
        <f aca="false">J139-J140+MAX(-J138,0)</f>
        <v>67256.6914887086</v>
      </c>
      <c r="K141" s="95" t="n">
        <f aca="false">K139-K140+MAX(-K138,0)</f>
        <v>41644.9264796129</v>
      </c>
      <c r="L141" s="95" t="n">
        <f aca="false">L139-L140+MAX(-L138,0)</f>
        <v>13317.4432919888</v>
      </c>
      <c r="M141" s="95" t="n">
        <f aca="false">M139-M140+MAX(-M138,0)</f>
        <v>0</v>
      </c>
      <c r="N141" s="95" t="n">
        <f aca="false">N139-N140+MAX(-N138,0)</f>
        <v>0</v>
      </c>
      <c r="O141" s="95" t="n">
        <f aca="false">O139-O140+MAX(-O138,0)</f>
        <v>0</v>
      </c>
      <c r="P141" s="95" t="n">
        <f aca="false">P139-P140+MAX(-P138,0)</f>
        <v>0</v>
      </c>
      <c r="Q141" s="95" t="n">
        <f aca="false">Q139-Q140+MAX(-Q138,0)</f>
        <v>0</v>
      </c>
      <c r="R141" s="95" t="n">
        <f aca="false">R139-R140+MAX(-R138,0)</f>
        <v>0</v>
      </c>
      <c r="S141" s="95" t="n">
        <f aca="false">S139-S140+MAX(-S138,0)</f>
        <v>0</v>
      </c>
      <c r="T141" s="95" t="n">
        <f aca="false">T139-T140+MAX(-T138,0)</f>
        <v>0</v>
      </c>
      <c r="U141" s="95" t="n">
        <f aca="false">U139-U140+MAX(-U138,0)</f>
        <v>0</v>
      </c>
      <c r="V141" s="95" t="n">
        <f aca="false">V139-V140+MAX(-V138,0)</f>
        <v>0</v>
      </c>
      <c r="W141" s="95" t="n">
        <f aca="false">W139-W140+MAX(-W138,0)</f>
        <v>0</v>
      </c>
    </row>
    <row r="142" customFormat="false" ht="15" hidden="false" customHeight="false" outlineLevel="0" collapsed="false">
      <c r="A142" s="11" t="s">
        <v>473</v>
      </c>
      <c r="B142" s="66" t="n">
        <f aca="false">SUM(C142:W142)</f>
        <v>191490.8535051</v>
      </c>
      <c r="C142" s="95" t="n">
        <v>0</v>
      </c>
      <c r="D142" s="95" t="n">
        <f aca="false">(MAX(D138,0)-D140)*TaxRate</f>
        <v>0</v>
      </c>
      <c r="E142" s="95" t="n">
        <f aca="false">(MAX(E138,0)-E140)*TaxRate</f>
        <v>0</v>
      </c>
      <c r="F142" s="95" t="n">
        <f aca="false">(MAX(F138,0)-F140)*TaxRate</f>
        <v>0</v>
      </c>
      <c r="G142" s="95" t="n">
        <f aca="false">(MAX(G138,0)-G140)*TaxRate</f>
        <v>0</v>
      </c>
      <c r="H142" s="95" t="n">
        <f aca="false">(MAX(H138,0)-H140)*TaxRate</f>
        <v>0</v>
      </c>
      <c r="I142" s="95" t="n">
        <f aca="false">(MAX(I138,0)-I140)*TaxRate</f>
        <v>0</v>
      </c>
      <c r="J142" s="95" t="n">
        <f aca="false">(MAX(J138,0)-J140)*TaxRate</f>
        <v>0</v>
      </c>
      <c r="K142" s="95" t="n">
        <f aca="false">(MAX(K138,0)-K140)*TaxRate</f>
        <v>0</v>
      </c>
      <c r="L142" s="95" t="n">
        <f aca="false">(MAX(L138,0)-L140)*TaxRate</f>
        <v>0</v>
      </c>
      <c r="M142" s="95" t="n">
        <f aca="false">(MAX(M138,0)-M140)*TaxRate</f>
        <v>4451.64030119879</v>
      </c>
      <c r="N142" s="95" t="n">
        <f aca="false">(MAX(N138,0)-N140)*TaxRate</f>
        <v>8502.27120618572</v>
      </c>
      <c r="O142" s="95" t="n">
        <f aca="false">(MAX(O138,0)-O140)*TaxRate</f>
        <v>8720.46849310705</v>
      </c>
      <c r="P142" s="95" t="n">
        <f aca="false">(MAX(P138,0)-P140)*TaxRate</f>
        <v>8912.73615014505</v>
      </c>
      <c r="Q142" s="95" t="n">
        <f aca="false">(MAX(Q138,0)-Q140)*TaxRate</f>
        <v>9076.59688390033</v>
      </c>
      <c r="R142" s="95" t="n">
        <f aca="false">(MAX(R138,0)-R140)*TaxRate</f>
        <v>9209.40250559384</v>
      </c>
      <c r="S142" s="95" t="n">
        <f aca="false">(MAX(S138,0)-S140)*TaxRate</f>
        <v>28687.225543395</v>
      </c>
      <c r="T142" s="95" t="n">
        <f aca="false">(MAX(T138,0)-T140)*TaxRate</f>
        <v>28650.2835284592</v>
      </c>
      <c r="U142" s="95" t="n">
        <f aca="false">(MAX(U138,0)-U140)*TaxRate</f>
        <v>28570.2360820386</v>
      </c>
      <c r="V142" s="95" t="n">
        <f aca="false">(MAX(V138,0)-V140)*TaxRate</f>
        <v>28443.5471178172</v>
      </c>
      <c r="W142" s="95" t="n">
        <f aca="false">(MAX(W138,0)-W140)*TaxRate</f>
        <v>28266.4456932592</v>
      </c>
    </row>
    <row r="144" customFormat="false" ht="15" hidden="false" customHeight="false" outlineLevel="0" collapsed="false">
      <c r="A144" s="9" t="s">
        <v>474</v>
      </c>
      <c r="B144" s="10"/>
      <c r="C144" s="10"/>
      <c r="D144" s="10"/>
      <c r="E144" s="10"/>
      <c r="F144" s="10"/>
      <c r="G144" s="10"/>
      <c r="H144" s="10"/>
      <c r="I144" s="10"/>
      <c r="J144" s="10"/>
      <c r="K144" s="10"/>
      <c r="L144" s="10"/>
      <c r="M144" s="10"/>
      <c r="N144" s="10"/>
      <c r="O144" s="10"/>
      <c r="P144" s="10"/>
      <c r="Q144" s="10"/>
      <c r="R144" s="10"/>
      <c r="S144" s="10"/>
      <c r="T144" s="10"/>
      <c r="U144" s="10"/>
      <c r="V144" s="10"/>
      <c r="W144" s="10"/>
    </row>
    <row r="145" customFormat="false" ht="15" hidden="false" customHeight="false" outlineLevel="0" collapsed="false">
      <c r="A145" s="16" t="s">
        <v>475</v>
      </c>
      <c r="B145" s="66" t="n">
        <f aca="false">C145+NPV(Hurdle,D145:W145)</f>
        <v>-556084.402075727</v>
      </c>
      <c r="C145" s="31" t="n">
        <f aca="false">-C102+C98-C103-C137</f>
        <v>-1162734.14692871</v>
      </c>
      <c r="D145" s="31" t="n">
        <f aca="false">-D102+D98-D103-D137</f>
        <v>25976.0846505027</v>
      </c>
      <c r="E145" s="31" t="n">
        <f aca="false">-E102+E98-E103-E137</f>
        <v>58297.6359446939</v>
      </c>
      <c r="F145" s="31" t="n">
        <f aca="false">-F102+F98-F103-F137</f>
        <v>83556.2278384992</v>
      </c>
      <c r="G145" s="31" t="n">
        <f aca="false">-G102+G98-G103-G137</f>
        <v>88708.3993031836</v>
      </c>
      <c r="H145" s="31" t="n">
        <f aca="false">-H102+H98-H103-H137</f>
        <v>96004.6513784968</v>
      </c>
      <c r="I145" s="31" t="n">
        <f aca="false">-I102+I98-I103-I137</f>
        <v>103802.062521929</v>
      </c>
      <c r="J145" s="31" t="n">
        <f aca="false">-J102+J98-J103-J137</f>
        <v>104257.085105817</v>
      </c>
      <c r="K145" s="31" t="n">
        <f aca="false">-K102+K98-K103-K137</f>
        <v>-63160.3754846542</v>
      </c>
      <c r="L145" s="31" t="n">
        <f aca="false">-L102+L98-L103-L137</f>
        <v>103356.761039527</v>
      </c>
      <c r="M145" s="31" t="n">
        <f aca="false">-M102+M98-M103-M137</f>
        <v>103905.157486408</v>
      </c>
      <c r="N145" s="31" t="n">
        <f aca="false">-N102+N98-N103-N137</f>
        <v>104381.970132584</v>
      </c>
      <c r="O145" s="31" t="n">
        <f aca="false">-O102+O98-O103-O137</f>
        <v>104780.485153833</v>
      </c>
      <c r="P145" s="31" t="n">
        <f aca="false">-P102+P98-P103-P137</f>
        <v>105093.528980247</v>
      </c>
      <c r="Q145" s="31" t="n">
        <f aca="false">-Q102+Q98-Q103-Q137</f>
        <v>105313.439262471</v>
      </c>
      <c r="R145" s="31" t="n">
        <f aca="false">-R102+R98-R103-R137</f>
        <v>105432.034050939</v>
      </c>
      <c r="S145" s="31" t="n">
        <f aca="false">-S102+S98-S103-S137</f>
        <v>-124099.834653485</v>
      </c>
      <c r="T145" s="31" t="n">
        <f aca="false">-T102+T98-T103-T137</f>
        <v>85950.8505853776</v>
      </c>
      <c r="U145" s="31" t="n">
        <f aca="false">-U102+U98-U103-U137</f>
        <v>85710.7082461159</v>
      </c>
      <c r="V145" s="31" t="n">
        <f aca="false">-V102+V98-V103-V137</f>
        <v>85330.6413534517</v>
      </c>
      <c r="W145" s="31" t="n">
        <f aca="false">-W102+W98-W103-W137</f>
        <v>84799.3370797776</v>
      </c>
    </row>
    <row r="146" customFormat="false" ht="15" hidden="false" customHeight="false" outlineLevel="0" collapsed="false">
      <c r="A146" s="16" t="s">
        <v>476</v>
      </c>
      <c r="B146" s="66" t="n">
        <f aca="false">C146+NPV(Hurdle,D146:W146)</f>
        <v>261835.958555377</v>
      </c>
      <c r="C146" s="31" t="n">
        <f aca="false">C145+C106+C108</f>
        <v>-562734.146928707</v>
      </c>
      <c r="D146" s="31" t="n">
        <f aca="false">D145+D106+D108</f>
        <v>177176.084650503</v>
      </c>
      <c r="E146" s="31" t="n">
        <f aca="false">E145+E106+E108</f>
        <v>121297.635944694</v>
      </c>
      <c r="F146" s="31" t="n">
        <f aca="false">F145+F106+F108</f>
        <v>121356.227838499</v>
      </c>
      <c r="G146" s="31" t="n">
        <f aca="false">G145+G106+G108</f>
        <v>88708.3993031836</v>
      </c>
      <c r="H146" s="31" t="n">
        <f aca="false">H145+H106+H108</f>
        <v>96004.6513784968</v>
      </c>
      <c r="I146" s="31" t="n">
        <f aca="false">I145+I106+I108</f>
        <v>103802.062521929</v>
      </c>
      <c r="J146" s="31" t="n">
        <f aca="false">J145+J106+J108</f>
        <v>104257.085105817</v>
      </c>
      <c r="K146" s="31" t="n">
        <f aca="false">K145+K106+K108</f>
        <v>-63160.3754846542</v>
      </c>
      <c r="L146" s="31" t="n">
        <f aca="false">L145+L106+L108</f>
        <v>103356.761039527</v>
      </c>
      <c r="M146" s="31" t="n">
        <f aca="false">M145+M106+M108</f>
        <v>103905.157486408</v>
      </c>
      <c r="N146" s="31" t="n">
        <f aca="false">N145+N106+N108</f>
        <v>104381.970132584</v>
      </c>
      <c r="O146" s="31" t="n">
        <f aca="false">O145+O106+O108</f>
        <v>104780.485153833</v>
      </c>
      <c r="P146" s="31" t="n">
        <f aca="false">P145+P106+P108</f>
        <v>105093.528980247</v>
      </c>
      <c r="Q146" s="31" t="n">
        <f aca="false">Q145+Q106+Q108</f>
        <v>105313.439262471</v>
      </c>
      <c r="R146" s="31" t="n">
        <f aca="false">R145+R106+R108</f>
        <v>105432.034050939</v>
      </c>
      <c r="S146" s="31" t="n">
        <f aca="false">S145+S106+S108</f>
        <v>-124099.834653485</v>
      </c>
      <c r="T146" s="31" t="n">
        <f aca="false">T145+T106+T108</f>
        <v>85950.8505853776</v>
      </c>
      <c r="U146" s="31" t="n">
        <f aca="false">U145+U106+U108</f>
        <v>85710.7082461159</v>
      </c>
      <c r="V146" s="31" t="n">
        <f aca="false">V145+V106+V108</f>
        <v>85330.6413534517</v>
      </c>
      <c r="W146" s="31" t="n">
        <f aca="false">W145+W106+W108</f>
        <v>84799.3370797776</v>
      </c>
    </row>
    <row r="147" customFormat="false" ht="15" hidden="false" customHeight="false" outlineLevel="0" collapsed="false">
      <c r="A147" s="11" t="s">
        <v>243</v>
      </c>
      <c r="B147" s="66" t="n">
        <f aca="false">SUM(C147:W147)</f>
        <v>1728148.54714908</v>
      </c>
      <c r="C147" s="95" t="n">
        <v>0</v>
      </c>
      <c r="D147" s="95" t="n">
        <f aca="false">D98-D105-D142+D108</f>
        <v>156438.154937415</v>
      </c>
      <c r="E147" s="95" t="n">
        <f aca="false">E98-E105-E142+E108</f>
        <v>100559.706231606</v>
      </c>
      <c r="F147" s="95" t="n">
        <f aca="false">F98-F105-F142+F108</f>
        <v>100618.298125412</v>
      </c>
      <c r="G147" s="95" t="n">
        <f aca="false">G98-G105-G142+G108</f>
        <v>67970.4695900959</v>
      </c>
      <c r="H147" s="95" t="n">
        <f aca="false">H98-H105-H142+H108</f>
        <v>75266.7216654092</v>
      </c>
      <c r="I147" s="95" t="n">
        <f aca="false">I98-I105-I142+I108</f>
        <v>83064.1328088414</v>
      </c>
      <c r="J147" s="95" t="n">
        <f aca="false">J98-J105-J142+J108</f>
        <v>89516.7814515269</v>
      </c>
      <c r="K147" s="95" t="n">
        <f aca="false">K98-K105-K142+K108</f>
        <v>90414.2833152261</v>
      </c>
      <c r="L147" s="95" t="n">
        <f aca="false">L98-L105-L142+L108</f>
        <v>85700.2892104953</v>
      </c>
      <c r="M147" s="95" t="n">
        <f aca="false">M98-M105-M142+M108</f>
        <v>81979.8441718042</v>
      </c>
      <c r="N147" s="95" t="n">
        <f aca="false">N98-N105-N142+N108</f>
        <v>78564.9634617181</v>
      </c>
      <c r="O147" s="95" t="n">
        <f aca="false">O98-O105-O142+O108</f>
        <v>78878.1195364625</v>
      </c>
      <c r="P147" s="95" t="n">
        <f aca="false">P98-P105-P142+P108</f>
        <v>79103.2436479762</v>
      </c>
      <c r="Q147" s="95" t="n">
        <f aca="false">Q98-Q105-Q142+Q108</f>
        <v>79232.5966238538</v>
      </c>
      <c r="R147" s="95" t="n">
        <f aca="false">R98-R105-R142+R108</f>
        <v>79257.9173867844</v>
      </c>
      <c r="S147" s="95" t="n">
        <f aca="false">S98-S105-S142+S108</f>
        <v>59791.4877197262</v>
      </c>
      <c r="T147" s="95" t="n">
        <f aca="false">T98-T105-T142+T108</f>
        <v>85950.8505853776</v>
      </c>
      <c r="U147" s="95" t="n">
        <f aca="false">U98-U105-U142+U108</f>
        <v>85710.7082461159</v>
      </c>
      <c r="V147" s="95" t="n">
        <f aca="false">V98-V105-V142+V108</f>
        <v>85330.6413534517</v>
      </c>
      <c r="W147" s="95" t="n">
        <f aca="false">W98-W105-W142+W108</f>
        <v>84799.3370797776</v>
      </c>
    </row>
    <row r="148" customFormat="false" ht="15" hidden="false" customHeight="false" outlineLevel="0" collapsed="false">
      <c r="A148" s="11" t="s">
        <v>477</v>
      </c>
      <c r="C148" s="97" t="n">
        <v>0</v>
      </c>
      <c r="D148" s="97" t="n">
        <f aca="false">IF(D125&gt;0,D147/D125,"")</f>
        <v>10.6921752408598</v>
      </c>
      <c r="E148" s="97" t="n">
        <f aca="false">IF(E125&gt;0,E147/E125,"")</f>
        <v>6.87301637907878</v>
      </c>
      <c r="F148" s="97" t="n">
        <f aca="false">IF(F125&gt;0,F147/F125,"")</f>
        <v>4.11146160459823</v>
      </c>
      <c r="G148" s="97" t="n">
        <f aca="false">IF(G125&gt;0,G147/G125,"")</f>
        <v>2.77740710360527</v>
      </c>
      <c r="H148" s="97" t="n">
        <f aca="false">IF(H125&gt;0,H147/H125,"")</f>
        <v>3.0755463170884</v>
      </c>
      <c r="I148" s="97" t="n">
        <f aca="false">IF(I125&gt;0,I147/I125,"")</f>
        <v>2.42239035735979</v>
      </c>
      <c r="J148" s="97" t="n">
        <f aca="false">IF(J125&gt;0,J147/J125,"")</f>
        <v>2.61056825464121</v>
      </c>
      <c r="K148" s="97" t="n">
        <f aca="false">IF(K125&gt;0,K147/K125,"")</f>
        <v>2.63674200481255</v>
      </c>
      <c r="L148" s="97" t="n">
        <f aca="false">IF(L125&gt;0,L147/L125,"")</f>
        <v>2.49926830253204</v>
      </c>
      <c r="M148" s="97" t="n">
        <f aca="false">IF(M125&gt;0,M147/M125,"")</f>
        <v>2.39076936463844</v>
      </c>
      <c r="N148" s="97" t="n">
        <f aca="false">IF(N125&gt;0,N147/N125,"")</f>
        <v>5.9546330878446</v>
      </c>
      <c r="O148" s="97" t="n">
        <f aca="false">IF(O125&gt;0,O147/O125,"")</f>
        <v>5.97836796204512</v>
      </c>
      <c r="P148" s="97" t="n">
        <f aca="false">IF(P125&gt;0,P147/P125,"")</f>
        <v>5.9954306758074</v>
      </c>
      <c r="Q148" s="97" t="n">
        <f aca="false">IF(Q125&gt;0,Q147/Q125,"")</f>
        <v>6.00523465809458</v>
      </c>
      <c r="R148" s="97" t="n">
        <f aca="false">IF(R125&gt;0,R147/R125,"")</f>
        <v>6.00715378140493</v>
      </c>
      <c r="S148" s="97" t="str">
        <f aca="false">IF(S125&gt;0,S147/S125,"")</f>
        <v/>
      </c>
      <c r="T148" s="97" t="str">
        <f aca="false">IF(T125&gt;0,T147/T125,"")</f>
        <v/>
      </c>
      <c r="U148" s="97" t="str">
        <f aca="false">IF(U125&gt;0,U147/U125,"")</f>
        <v/>
      </c>
      <c r="V148" s="97" t="str">
        <f aca="false">IF(V125&gt;0,V147/V125,"")</f>
        <v/>
      </c>
      <c r="W148" s="97" t="str">
        <f aca="false">IF(W125&gt;0,W147/W125,"")</f>
        <v/>
      </c>
    </row>
    <row r="149" customFormat="false" ht="15" hidden="false" customHeight="false" outlineLevel="0" collapsed="false">
      <c r="A149" s="16" t="s">
        <v>478</v>
      </c>
      <c r="B149" s="66" t="n">
        <f aca="false">C149+NPV(Hurdle,D149:W149)</f>
        <v>262335.81404928</v>
      </c>
      <c r="C149" s="31" t="n">
        <f aca="false">-S_Tariff_Hi!$B$18-C129</f>
        <v>-344956.032067298</v>
      </c>
      <c r="D149" s="31" t="n">
        <f aca="false">D147-D125-D129</f>
        <v>141807.067117269</v>
      </c>
      <c r="E149" s="31" t="n">
        <f aca="false">E147-E125-E129</f>
        <v>81007.8449480617</v>
      </c>
      <c r="F149" s="31" t="n">
        <f aca="false">F147-F125-F129</f>
        <v>76145.6633784689</v>
      </c>
      <c r="G149" s="31" t="n">
        <f aca="false">G147-G125-G129</f>
        <v>43497.8348431532</v>
      </c>
      <c r="H149" s="31" t="n">
        <f aca="false">H147-H125-H129</f>
        <v>45885.3284464051</v>
      </c>
      <c r="I149" s="31" t="n">
        <f aca="false">I147-I125-I129</f>
        <v>48773.981117776</v>
      </c>
      <c r="J149" s="31" t="n">
        <f aca="false">J147-J125-J129</f>
        <v>55226.6297604615</v>
      </c>
      <c r="K149" s="31" t="n">
        <f aca="false">K147-K125-K129</f>
        <v>56124.1316241607</v>
      </c>
      <c r="L149" s="31" t="n">
        <f aca="false">L147-L125-L129</f>
        <v>51410.1375194299</v>
      </c>
      <c r="M149" s="31" t="n">
        <f aca="false">M147-M125-M129</f>
        <v>58237.8074134241</v>
      </c>
      <c r="N149" s="31" t="n">
        <f aca="false">N147-N125-N129</f>
        <v>65371.0416360232</v>
      </c>
      <c r="O149" s="31" t="n">
        <f aca="false">O147-O125-O129</f>
        <v>65684.1977107675</v>
      </c>
      <c r="P149" s="31" t="n">
        <f aca="false">P147-P125-P129</f>
        <v>65909.3218222812</v>
      </c>
      <c r="Q149" s="31" t="n">
        <f aca="false">Q147-Q125-Q129</f>
        <v>66038.6747981588</v>
      </c>
      <c r="R149" s="31" t="n">
        <f aca="false">R147-R125-R129</f>
        <v>72660.9564739369</v>
      </c>
      <c r="S149" s="31" t="n">
        <f aca="false">S147-S125-S129</f>
        <v>59791.4877197262</v>
      </c>
      <c r="T149" s="31" t="n">
        <f aca="false">T147-T125-T129</f>
        <v>85950.8505853776</v>
      </c>
      <c r="U149" s="31" t="n">
        <f aca="false">U147-U125-U129</f>
        <v>85710.7082461159</v>
      </c>
      <c r="V149" s="31" t="n">
        <f aca="false">V147-V125-V129</f>
        <v>85330.6413534517</v>
      </c>
      <c r="W149" s="31" t="n">
        <f aca="false">W147-W125-W129</f>
        <v>84799.3370797776</v>
      </c>
    </row>
    <row r="150" customFormat="false" ht="15" hidden="false" customHeight="false" outlineLevel="0" collapsed="false">
      <c r="A150" s="11" t="s">
        <v>479</v>
      </c>
      <c r="C150" s="95" t="n">
        <f aca="false">C149</f>
        <v>-344956.032067298</v>
      </c>
      <c r="D150" s="95" t="n">
        <f aca="false">C150+D149</f>
        <v>-203148.964950029</v>
      </c>
      <c r="E150" s="95" t="n">
        <f aca="false">D150+E149</f>
        <v>-122141.120001967</v>
      </c>
      <c r="F150" s="95" t="n">
        <f aca="false">E150+F149</f>
        <v>-45995.4566234984</v>
      </c>
      <c r="G150" s="95" t="n">
        <f aca="false">F150+G149</f>
        <v>-2497.62178034518</v>
      </c>
      <c r="H150" s="95" t="n">
        <f aca="false">G150+H149</f>
        <v>43387.7066660599</v>
      </c>
      <c r="I150" s="95" t="n">
        <f aca="false">H150+I149</f>
        <v>92161.687783836</v>
      </c>
      <c r="J150" s="95" t="n">
        <f aca="false">I150+J149</f>
        <v>147388.317544297</v>
      </c>
      <c r="K150" s="95" t="n">
        <f aca="false">J150+K149</f>
        <v>203512.449168458</v>
      </c>
      <c r="L150" s="95" t="n">
        <f aca="false">K150+L149</f>
        <v>254922.586687888</v>
      </c>
      <c r="M150" s="95" t="n">
        <f aca="false">L150+M149</f>
        <v>313160.394101312</v>
      </c>
      <c r="N150" s="95" t="n">
        <f aca="false">M150+N149</f>
        <v>378531.435737335</v>
      </c>
      <c r="O150" s="95" t="n">
        <f aca="false">N150+O149</f>
        <v>444215.633448103</v>
      </c>
      <c r="P150" s="95" t="n">
        <f aca="false">O150+P149</f>
        <v>510124.955270384</v>
      </c>
      <c r="Q150" s="95" t="n">
        <f aca="false">P150+Q149</f>
        <v>576163.630068543</v>
      </c>
      <c r="R150" s="95" t="n">
        <f aca="false">Q150+R149</f>
        <v>648824.58654248</v>
      </c>
      <c r="S150" s="95" t="n">
        <f aca="false">R150+S149</f>
        <v>708616.074262206</v>
      </c>
      <c r="T150" s="95" t="n">
        <f aca="false">S150+T149</f>
        <v>794566.924847584</v>
      </c>
      <c r="U150" s="95" t="n">
        <f aca="false">T150+U149</f>
        <v>880277.6330937</v>
      </c>
      <c r="V150" s="95" t="n">
        <f aca="false">U150+V149</f>
        <v>965608.274447151</v>
      </c>
      <c r="W150" s="95" t="n">
        <f aca="false">V150+W149</f>
        <v>1050407.61152693</v>
      </c>
    </row>
    <row r="152" customFormat="false" ht="15" hidden="false" customHeight="false" outlineLevel="0" collapsed="false">
      <c r="A152" s="9" t="s">
        <v>480</v>
      </c>
      <c r="B152" s="10"/>
      <c r="C152" s="10"/>
      <c r="D152" s="10"/>
      <c r="E152" s="10"/>
      <c r="F152" s="10"/>
      <c r="G152" s="10"/>
      <c r="H152" s="10"/>
      <c r="I152" s="10"/>
      <c r="J152" s="10"/>
      <c r="K152" s="10"/>
      <c r="L152" s="10"/>
      <c r="M152" s="10"/>
      <c r="N152" s="10"/>
      <c r="O152" s="10"/>
      <c r="P152" s="10"/>
      <c r="Q152" s="10"/>
      <c r="R152" s="10"/>
      <c r="S152" s="10"/>
      <c r="T152" s="10"/>
      <c r="U152" s="10"/>
      <c r="V152" s="10"/>
      <c r="W152" s="10"/>
    </row>
    <row r="153" customFormat="false" ht="15" hidden="false" customHeight="false" outlineLevel="0" collapsed="false">
      <c r="A153" s="11" t="s">
        <v>481</v>
      </c>
      <c r="B153" s="66" t="n">
        <f aca="false">C153+NPV(Hurdle,D153:W153)</f>
        <v>2323238.80329335</v>
      </c>
      <c r="C153" s="95" t="n">
        <f aca="false">C102+C96-C93+C103</f>
        <v>1162734.14692871</v>
      </c>
      <c r="D153" s="95" t="n">
        <f aca="false">D102+D96-D93+D103</f>
        <v>66407.5541247933</v>
      </c>
      <c r="E153" s="95" t="n">
        <f aca="false">E102+E96-E93+E103</f>
        <v>73279.1455139807</v>
      </c>
      <c r="F153" s="95" t="n">
        <f aca="false">F102+F96-F93+F103</f>
        <v>78859.6369550395</v>
      </c>
      <c r="G153" s="95" t="n">
        <f aca="false">G102+G96-G93+G103</f>
        <v>81823.4407312817</v>
      </c>
      <c r="H153" s="95" t="n">
        <f aca="false">H102+H96-H93+H103</f>
        <v>84912.5777140674</v>
      </c>
      <c r="I153" s="95" t="n">
        <f aca="false">I102+I96-I93+I103</f>
        <v>88133.0258223723</v>
      </c>
      <c r="J153" s="95" t="n">
        <f aca="false">J102+J96-J93+J103</f>
        <v>93369.2240598548</v>
      </c>
      <c r="K153" s="95" t="n">
        <f aca="false">K102+K96-K93+K103</f>
        <v>270775.857556027</v>
      </c>
      <c r="L153" s="95" t="n">
        <f aca="false">L102+L96-L93+L103</f>
        <v>117210.054901056</v>
      </c>
      <c r="M153" s="95" t="n">
        <f aca="false">M102+M96-M93+M103</f>
        <v>130435.954099588</v>
      </c>
      <c r="N153" s="95" t="n">
        <f aca="false">N102+N96-N93+N103</f>
        <v>144607.285418405</v>
      </c>
      <c r="O153" s="95" t="n">
        <f aca="false">O102+O96-O93+O103</f>
        <v>159784.764834643</v>
      </c>
      <c r="P153" s="95" t="n">
        <f aca="false">P102+P96-P93+P103</f>
        <v>176032.873760168</v>
      </c>
      <c r="Q153" s="95" t="n">
        <f aca="false">Q102+Q96-Q93+Q103</f>
        <v>193420.089736882</v>
      </c>
      <c r="R153" s="95" t="n">
        <f aca="false">R102+R96-R93+R103</f>
        <v>212019.131206504</v>
      </c>
      <c r="S153" s="95" t="n">
        <f aca="false">S102+S96-S93+S103</f>
        <v>442068.728495999</v>
      </c>
      <c r="T153" s="95" t="n">
        <f aca="false">T102+T96-T93+T103</f>
        <v>253166.342942675</v>
      </c>
      <c r="U153" s="95" t="n">
        <f aca="false">U102+U96-U93+U103</f>
        <v>275883.572081098</v>
      </c>
      <c r="V153" s="95" t="n">
        <f aca="false">V102+V96-V93+V103</f>
        <v>300151.346987307</v>
      </c>
      <c r="W153" s="95" t="n">
        <f aca="false">W102+W96-W93+W103</f>
        <v>326067.817794967</v>
      </c>
    </row>
    <row r="154" customFormat="false" ht="15" hidden="false" customHeight="false" outlineLevel="0" collapsed="false">
      <c r="A154" s="11" t="s">
        <v>482</v>
      </c>
      <c r="B154" s="76" t="n">
        <f aca="false">C154+NPV(Hurdle,D154:W154)</f>
        <v>3504620.16232003</v>
      </c>
      <c r="C154" s="93" t="n">
        <f aca="false">C66</f>
        <v>0</v>
      </c>
      <c r="D154" s="93" t="n">
        <f aca="false">D66</f>
        <v>211139.712</v>
      </c>
      <c r="E154" s="93" t="n">
        <f aca="false">E66</f>
        <v>308088.02976</v>
      </c>
      <c r="F154" s="93" t="n">
        <f aca="false">F66</f>
        <v>373330.200768</v>
      </c>
      <c r="G154" s="93" t="n">
        <f aca="false">G66</f>
        <v>384530.10679104</v>
      </c>
      <c r="H154" s="93" t="n">
        <f aca="false">H66</f>
        <v>396066.009994771</v>
      </c>
      <c r="I154" s="93" t="n">
        <f aca="false">I66</f>
        <v>407947.990294614</v>
      </c>
      <c r="J154" s="93" t="n">
        <f aca="false">J66</f>
        <v>420186.430003453</v>
      </c>
      <c r="K154" s="93" t="n">
        <f aca="false">K66</f>
        <v>432792.022903556</v>
      </c>
      <c r="L154" s="93" t="n">
        <f aca="false">L66</f>
        <v>445775.783590663</v>
      </c>
      <c r="M154" s="93" t="n">
        <f aca="false">M66</f>
        <v>459149.057098383</v>
      </c>
      <c r="N154" s="93" t="n">
        <f aca="false">N66</f>
        <v>472923.528811335</v>
      </c>
      <c r="O154" s="93" t="n">
        <f aca="false">O66</f>
        <v>487111.234675675</v>
      </c>
      <c r="P154" s="93" t="n">
        <f aca="false">P66</f>
        <v>501724.571715945</v>
      </c>
      <c r="Q154" s="93" t="n">
        <f aca="false">Q66</f>
        <v>516776.308867423</v>
      </c>
      <c r="R154" s="93" t="n">
        <f aca="false">R66</f>
        <v>532279.598133446</v>
      </c>
      <c r="S154" s="93" t="n">
        <f aca="false">S66</f>
        <v>548247.986077449</v>
      </c>
      <c r="T154" s="93" t="n">
        <f aca="false">T66</f>
        <v>564695.425659773</v>
      </c>
      <c r="U154" s="93" t="n">
        <f aca="false">U66</f>
        <v>581636.288429566</v>
      </c>
      <c r="V154" s="93" t="n">
        <f aca="false">V66</f>
        <v>599085.377082453</v>
      </c>
      <c r="W154" s="93" t="n">
        <f aca="false">W66</f>
        <v>617057.938394927</v>
      </c>
    </row>
    <row r="155" customFormat="false" ht="15" hidden="false" customHeight="false" outlineLevel="0" collapsed="false">
      <c r="A155" s="11" t="s">
        <v>483</v>
      </c>
      <c r="B155" s="66" t="n">
        <f aca="false">C155+NPV(Hurdle,D155:W155)</f>
        <v>1866825.44078385</v>
      </c>
      <c r="C155" s="95" t="n">
        <f aca="false">C83</f>
        <v>0</v>
      </c>
      <c r="D155" s="95" t="n">
        <f aca="false">D83</f>
        <v>88340.8647168</v>
      </c>
      <c r="E155" s="95" t="n">
        <f aca="false">E83</f>
        <v>132771.166452242</v>
      </c>
      <c r="F155" s="95" t="n">
        <f aca="false">F83</f>
        <v>165714.035869628</v>
      </c>
      <c r="G155" s="95" t="n">
        <f aca="false">G83</f>
        <v>175806.020654088</v>
      </c>
      <c r="H155" s="95" t="n">
        <f aca="false">H83</f>
        <v>186512.607311922</v>
      </c>
      <c r="I155" s="95" t="n">
        <f aca="false">I83</f>
        <v>197871.225097218</v>
      </c>
      <c r="J155" s="95" t="n">
        <f aca="false">J83</f>
        <v>209921.582705639</v>
      </c>
      <c r="K155" s="95" t="n">
        <f aca="false">K83</f>
        <v>222705.807092412</v>
      </c>
      <c r="L155" s="95" t="n">
        <f aca="false">L83</f>
        <v>236268.59074434</v>
      </c>
      <c r="M155" s="95" t="n">
        <f aca="false">M83</f>
        <v>250657.34792067</v>
      </c>
      <c r="N155" s="95" t="n">
        <f aca="false">N83</f>
        <v>265922.380409039</v>
      </c>
      <c r="O155" s="95" t="n">
        <f aca="false">O83</f>
        <v>282117.053375949</v>
      </c>
      <c r="P155" s="95" t="n">
        <f aca="false">P83</f>
        <v>299297.981926545</v>
      </c>
      <c r="Q155" s="95" t="n">
        <f aca="false">Q83</f>
        <v>317525.229025871</v>
      </c>
      <c r="R155" s="95" t="n">
        <f aca="false">R83</f>
        <v>336862.515473547</v>
      </c>
      <c r="S155" s="95" t="n">
        <f aca="false">S83</f>
        <v>357377.442665886</v>
      </c>
      <c r="T155" s="95" t="n">
        <f aca="false">T83</f>
        <v>379141.728924239</v>
      </c>
      <c r="U155" s="95" t="n">
        <f aca="false">U83</f>
        <v>402231.460215725</v>
      </c>
      <c r="V155" s="95" t="n">
        <f aca="false">V83</f>
        <v>426727.356142862</v>
      </c>
      <c r="W155" s="95" t="n">
        <f aca="false">W83</f>
        <v>452715.052131963</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7" t="s">
        <v>392</v>
      </c>
    </row>
    <row r="2" customFormat="false" ht="15" hidden="false" customHeight="false" outlineLevel="0" collapsed="false">
      <c r="A2" s="8" t="s">
        <v>393</v>
      </c>
    </row>
    <row r="4" customFormat="false" ht="15" hidden="false" customHeight="false" outlineLevel="0" collapsed="false">
      <c r="A4" s="9" t="s">
        <v>394</v>
      </c>
      <c r="B4" s="10"/>
    </row>
    <row r="5" customFormat="false" ht="15" hidden="false" customHeight="false" outlineLevel="0" collapsed="false">
      <c r="A5" s="11" t="s">
        <v>67</v>
      </c>
      <c r="B5" s="67" t="n">
        <v>1</v>
      </c>
    </row>
    <row r="6" customFormat="false" ht="15" hidden="false" customHeight="false" outlineLevel="0" collapsed="false">
      <c r="A6" s="11" t="s">
        <v>333</v>
      </c>
      <c r="B6" s="67" t="n">
        <f aca="false">1-SensDelta</f>
        <v>0.8</v>
      </c>
    </row>
    <row r="7" customFormat="false" ht="15" hidden="false" customHeight="false" outlineLevel="0" collapsed="false">
      <c r="A7" s="11" t="s">
        <v>69</v>
      </c>
      <c r="B7" s="67" t="n">
        <v>1</v>
      </c>
    </row>
    <row r="8" customFormat="false" ht="15" hidden="false" customHeight="false" outlineLevel="0" collapsed="false">
      <c r="A8" s="11" t="s">
        <v>70</v>
      </c>
      <c r="B8" s="67" t="n">
        <v>1</v>
      </c>
    </row>
    <row r="9" customFormat="false" ht="15" hidden="false" customHeight="false" outlineLevel="0" collapsed="false">
      <c r="A9" s="11" t="s">
        <v>395</v>
      </c>
      <c r="B9" s="67" t="n">
        <v>1</v>
      </c>
    </row>
    <row r="10" customFormat="false" ht="15" hidden="false" customHeight="false" outlineLevel="0" collapsed="false">
      <c r="A10" s="11" t="s">
        <v>72</v>
      </c>
      <c r="B10" s="67" t="n">
        <v>1</v>
      </c>
    </row>
    <row r="11" customFormat="false" ht="15" hidden="false" customHeight="false" outlineLevel="0" collapsed="false">
      <c r="A11" s="11" t="s">
        <v>334</v>
      </c>
      <c r="B11" s="67" t="n">
        <v>1</v>
      </c>
    </row>
    <row r="13" customFormat="false" ht="15" hidden="false" customHeight="false" outlineLevel="0" collapsed="false">
      <c r="A13" s="9" t="s">
        <v>396</v>
      </c>
      <c r="B13" s="10"/>
    </row>
    <row r="14" customFormat="false" ht="15" hidden="false" customHeight="false" outlineLevel="0" collapsed="false">
      <c r="A14" s="11" t="s">
        <v>397</v>
      </c>
      <c r="B14" s="66" t="n">
        <f aca="false">TotalCapexBase*LevCapex*$B$7</f>
        <v>1162734.14692871</v>
      </c>
    </row>
    <row r="15" customFormat="false" ht="15" hidden="false" customHeight="false" outlineLevel="0" collapsed="false">
      <c r="A15" s="11" t="s">
        <v>398</v>
      </c>
      <c r="B15" s="66" t="n">
        <f aca="false">HardCapexBase*LevCapex*$B$7</f>
        <v>1011073.17124235</v>
      </c>
    </row>
    <row r="16" customFormat="false" ht="15" hidden="false" customHeight="false" outlineLevel="0" collapsed="false">
      <c r="A16" s="11" t="s">
        <v>252</v>
      </c>
      <c r="B16" s="66" t="n">
        <f aca="false">MAX(0,S_Demand_Lo!$B$14-Grant)*SenPct</f>
        <v>112546.829385741</v>
      </c>
    </row>
    <row r="17" customFormat="false" ht="15" hidden="false" customHeight="false" outlineLevel="0" collapsed="false">
      <c r="A17" s="11" t="s">
        <v>254</v>
      </c>
      <c r="B17" s="66" t="n">
        <f aca="false">MAX(0,S_Demand_Lo!$B$14-Grant)*ConPct</f>
        <v>112546.829385741</v>
      </c>
    </row>
    <row r="18" customFormat="false" ht="15" hidden="false" customHeight="false" outlineLevel="0" collapsed="false">
      <c r="A18" s="11" t="s">
        <v>399</v>
      </c>
      <c r="B18" s="66" t="n">
        <f aca="false">MAX(0,S_Demand_Lo!$B$14-Grant-S_Demand_Lo!$B$16-S_Demand_Lo!$B$17)</f>
        <v>337640.488157224</v>
      </c>
    </row>
    <row r="19" customFormat="false" ht="15" hidden="false" customHeight="false" outlineLevel="0" collapsed="false">
      <c r="A19" s="11" t="s">
        <v>400</v>
      </c>
      <c r="B19" s="66" t="n">
        <f aca="false">C128</f>
        <v>7315.5439100732</v>
      </c>
    </row>
    <row r="20" customFormat="false" ht="15" hidden="false" customHeight="false" outlineLevel="0" collapsed="false">
      <c r="A20" s="11" t="s">
        <v>401</v>
      </c>
      <c r="B20" s="66" t="n">
        <f aca="false">$B$145</f>
        <v>-882373.56288874</v>
      </c>
    </row>
    <row r="21" customFormat="false" ht="15" hidden="false" customHeight="false" outlineLevel="0" collapsed="false">
      <c r="A21" s="11" t="s">
        <v>402</v>
      </c>
      <c r="B21" s="66" t="n">
        <f aca="false">$B$146</f>
        <v>-64453.2022576357</v>
      </c>
    </row>
    <row r="22" customFormat="false" ht="15" hidden="false" customHeight="false" outlineLevel="0" collapsed="false">
      <c r="A22" s="11" t="s">
        <v>403</v>
      </c>
      <c r="B22" s="68" t="n">
        <f aca="false">IFERROR(IRR($C$145:$W$145),"n/a")</f>
        <v>-0.0274805475396107</v>
      </c>
    </row>
    <row r="23" customFormat="false" ht="15" hidden="false" customHeight="false" outlineLevel="0" collapsed="false">
      <c r="A23" s="11" t="s">
        <v>404</v>
      </c>
      <c r="B23" s="68" t="n">
        <f aca="false">IFERROR(IRR($C$146:$W$146),"n/a")</f>
        <v>0.0795537098296517</v>
      </c>
    </row>
    <row r="24" customFormat="false" ht="15" hidden="false" customHeight="false" outlineLevel="0" collapsed="false">
      <c r="A24" s="11" t="s">
        <v>390</v>
      </c>
      <c r="B24" s="66" t="n">
        <f aca="false">MAX(0,-$B$145)</f>
        <v>882373.56288874</v>
      </c>
    </row>
    <row r="25" customFormat="false" ht="15" hidden="false" customHeight="false" outlineLevel="0" collapsed="false">
      <c r="A25" s="11" t="s">
        <v>262</v>
      </c>
      <c r="B25" s="68" t="n">
        <f aca="false">IFERROR(IRR($C$149:$W$149),"n/a")</f>
        <v>0.0694259640015164</v>
      </c>
    </row>
    <row r="26" customFormat="false" ht="15" hidden="false" customHeight="false" outlineLevel="0" collapsed="false">
      <c r="A26" s="11" t="s">
        <v>264</v>
      </c>
      <c r="B26" s="66" t="n">
        <f aca="false">C149+NPV(TargetEqIRR,D149:W149)</f>
        <v>-145715.948584991</v>
      </c>
    </row>
    <row r="27" customFormat="false" ht="15" hidden="false" customHeight="false" outlineLevel="0" collapsed="false">
      <c r="A27" s="11" t="s">
        <v>258</v>
      </c>
      <c r="B27" s="67" t="n">
        <f aca="false">IF((S_Demand_Lo!$B$16+S_Demand_Lo!$B$17)&gt;0,MIN($D$148:$W$148),"no debt")</f>
        <v>0.622445864680283</v>
      </c>
    </row>
    <row r="28" customFormat="false" ht="15" hidden="false" customHeight="false" outlineLevel="0" collapsed="false">
      <c r="A28" s="11" t="s">
        <v>260</v>
      </c>
      <c r="B28" s="67" t="n">
        <f aca="false">IF((S_Demand_Lo!$B$16+S_Demand_Lo!$B$17)&gt;0,AVERAGE($D$148:$W$148),"no debt")</f>
        <v>2.7987944076245</v>
      </c>
    </row>
    <row r="29" customFormat="false" ht="15" hidden="false" customHeight="false" outlineLevel="0" collapsed="false">
      <c r="A29" s="11" t="s">
        <v>405</v>
      </c>
      <c r="B29" s="87" t="n">
        <f aca="false">IFERROR($B$153/$B$154,0)</f>
        <v>0.748290739344817</v>
      </c>
    </row>
    <row r="30" customFormat="false" ht="15" hidden="false" customHeight="false" outlineLevel="0" collapsed="false">
      <c r="A30" s="11" t="s">
        <v>261</v>
      </c>
      <c r="B30" s="87" t="n">
        <f aca="false">IFERROR($B$155/$B$154,0)</f>
        <v>0.44389628412399</v>
      </c>
    </row>
    <row r="31" customFormat="false" ht="15" hidden="false" customHeight="false" outlineLevel="0" collapsed="false">
      <c r="A31" s="11" t="s">
        <v>406</v>
      </c>
      <c r="B31" s="77" t="n">
        <f aca="false">NPV(Hurdle,D109:W109)</f>
        <v>838.820435762584</v>
      </c>
    </row>
    <row r="32" customFormat="false" ht="15" hidden="false" customHeight="false" outlineLevel="0" collapsed="false">
      <c r="A32" s="11" t="s">
        <v>407</v>
      </c>
      <c r="B32" s="66" t="n">
        <f aca="false">NPV(Hurdle,D108:W108)</f>
        <v>217920.360631104</v>
      </c>
    </row>
    <row r="33" customFormat="false" ht="15" hidden="false" customHeight="false" outlineLevel="0" collapsed="false">
      <c r="A33" s="11" t="s">
        <v>408</v>
      </c>
      <c r="B33" s="77" t="n">
        <f aca="false">NPV(TargetEqIRR,D109:W109)</f>
        <v>785.120407660064</v>
      </c>
    </row>
    <row r="34" customFormat="false" ht="15" hidden="false" customHeight="false" outlineLevel="0" collapsed="false">
      <c r="A34" s="11" t="s">
        <v>409</v>
      </c>
      <c r="B34" s="66" t="n">
        <f aca="false">NPV(TargetEqIRR,D108:W108)</f>
        <v>203969.425495192</v>
      </c>
    </row>
    <row r="35" customFormat="false" ht="15" hidden="false" customHeight="false" outlineLevel="0" collapsed="false">
      <c r="A35" s="11" t="s">
        <v>410</v>
      </c>
      <c r="B35" s="66" t="n">
        <f aca="false">MAX(0,MIN($D$127:$W$127))</f>
        <v>26902.0807334227</v>
      </c>
    </row>
    <row r="36" customFormat="false" ht="15" hidden="false" customHeight="false" outlineLevel="0" collapsed="false">
      <c r="A36" s="11" t="s">
        <v>266</v>
      </c>
      <c r="B36" s="88" t="n">
        <f aca="false">IFERROR(MATCH(TRUE(),INDEX($C$150:$W$150&gt;=0,0),0)-1,"&gt; life")</f>
        <v>15</v>
      </c>
    </row>
    <row r="39" customFormat="false" ht="15" hidden="false" customHeight="false" outlineLevel="0" collapsed="false">
      <c r="A39" s="16" t="s">
        <v>411</v>
      </c>
      <c r="B39" s="74" t="s">
        <v>412</v>
      </c>
      <c r="C39" s="89" t="n">
        <v>0</v>
      </c>
      <c r="D39" s="89" t="n">
        <v>1</v>
      </c>
      <c r="E39" s="89" t="n">
        <v>2</v>
      </c>
      <c r="F39" s="89" t="n">
        <v>3</v>
      </c>
      <c r="G39" s="89" t="n">
        <v>4</v>
      </c>
      <c r="H39" s="89" t="n">
        <v>5</v>
      </c>
      <c r="I39" s="89" t="n">
        <v>6</v>
      </c>
      <c r="J39" s="89" t="n">
        <v>7</v>
      </c>
      <c r="K39" s="89" t="n">
        <v>8</v>
      </c>
      <c r="L39" s="89" t="n">
        <v>9</v>
      </c>
      <c r="M39" s="89" t="n">
        <v>10</v>
      </c>
      <c r="N39" s="89" t="n">
        <v>11</v>
      </c>
      <c r="O39" s="89" t="n">
        <v>12</v>
      </c>
      <c r="P39" s="89" t="n">
        <v>13</v>
      </c>
      <c r="Q39" s="89" t="n">
        <v>14</v>
      </c>
      <c r="R39" s="89" t="n">
        <v>15</v>
      </c>
      <c r="S39" s="89" t="n">
        <v>16</v>
      </c>
      <c r="T39" s="89" t="n">
        <v>17</v>
      </c>
      <c r="U39" s="89" t="n">
        <v>18</v>
      </c>
      <c r="V39" s="89" t="n">
        <v>19</v>
      </c>
      <c r="W39" s="89" t="n">
        <v>20</v>
      </c>
    </row>
    <row r="40" customFormat="false" ht="15" hidden="false" customHeight="false" outlineLevel="0" collapsed="false">
      <c r="A40" s="11" t="s">
        <v>413</v>
      </c>
      <c r="C40" s="90" t="n">
        <f aca="false">StartYear-1+C39</f>
        <v>2026</v>
      </c>
      <c r="D40" s="90" t="n">
        <f aca="false">StartYear-1+D39</f>
        <v>2027</v>
      </c>
      <c r="E40" s="90" t="n">
        <f aca="false">StartYear-1+E39</f>
        <v>2028</v>
      </c>
      <c r="F40" s="90" t="n">
        <f aca="false">StartYear-1+F39</f>
        <v>2029</v>
      </c>
      <c r="G40" s="90" t="n">
        <f aca="false">StartYear-1+G39</f>
        <v>2030</v>
      </c>
      <c r="H40" s="90" t="n">
        <f aca="false">StartYear-1+H39</f>
        <v>2031</v>
      </c>
      <c r="I40" s="90" t="n">
        <f aca="false">StartYear-1+I39</f>
        <v>2032</v>
      </c>
      <c r="J40" s="90" t="n">
        <f aca="false">StartYear-1+J39</f>
        <v>2033</v>
      </c>
      <c r="K40" s="90" t="n">
        <f aca="false">StartYear-1+K39</f>
        <v>2034</v>
      </c>
      <c r="L40" s="90" t="n">
        <f aca="false">StartYear-1+L39</f>
        <v>2035</v>
      </c>
      <c r="M40" s="90" t="n">
        <f aca="false">StartYear-1+M39</f>
        <v>2036</v>
      </c>
      <c r="N40" s="90" t="n">
        <f aca="false">StartYear-1+N39</f>
        <v>2037</v>
      </c>
      <c r="O40" s="90" t="n">
        <f aca="false">StartYear-1+O39</f>
        <v>2038</v>
      </c>
      <c r="P40" s="90" t="n">
        <f aca="false">StartYear-1+P39</f>
        <v>2039</v>
      </c>
      <c r="Q40" s="90" t="n">
        <f aca="false">StartYear-1+Q39</f>
        <v>2040</v>
      </c>
      <c r="R40" s="90" t="n">
        <f aca="false">StartYear-1+R39</f>
        <v>2041</v>
      </c>
      <c r="S40" s="90" t="n">
        <f aca="false">StartYear-1+S39</f>
        <v>2042</v>
      </c>
      <c r="T40" s="90" t="n">
        <f aca="false">StartYear-1+T39</f>
        <v>2043</v>
      </c>
      <c r="U40" s="90" t="n">
        <f aca="false">StartYear-1+U39</f>
        <v>2044</v>
      </c>
      <c r="V40" s="90" t="n">
        <f aca="false">StartYear-1+V39</f>
        <v>2045</v>
      </c>
      <c r="W40" s="90" t="n">
        <f aca="false">StartYear-1+W39</f>
        <v>2046</v>
      </c>
    </row>
    <row r="41" customFormat="false" ht="15" hidden="false" customHeight="false" outlineLevel="0" collapsed="false">
      <c r="A41" s="11" t="s">
        <v>414</v>
      </c>
      <c r="C41" s="90" t="n">
        <f aca="false">IF(AND(C39&gt;=1,C39&lt;=Life),1,0)</f>
        <v>0</v>
      </c>
      <c r="D41" s="90" t="n">
        <f aca="false">IF(AND(D39&gt;=1,D39&lt;=Life),1,0)</f>
        <v>1</v>
      </c>
      <c r="E41" s="90" t="n">
        <f aca="false">IF(AND(E39&gt;=1,E39&lt;=Life),1,0)</f>
        <v>1</v>
      </c>
      <c r="F41" s="90" t="n">
        <f aca="false">IF(AND(F39&gt;=1,F39&lt;=Life),1,0)</f>
        <v>1</v>
      </c>
      <c r="G41" s="90" t="n">
        <f aca="false">IF(AND(G39&gt;=1,G39&lt;=Life),1,0)</f>
        <v>1</v>
      </c>
      <c r="H41" s="90" t="n">
        <f aca="false">IF(AND(H39&gt;=1,H39&lt;=Life),1,0)</f>
        <v>1</v>
      </c>
      <c r="I41" s="90" t="n">
        <f aca="false">IF(AND(I39&gt;=1,I39&lt;=Life),1,0)</f>
        <v>1</v>
      </c>
      <c r="J41" s="90" t="n">
        <f aca="false">IF(AND(J39&gt;=1,J39&lt;=Life),1,0)</f>
        <v>1</v>
      </c>
      <c r="K41" s="90" t="n">
        <f aca="false">IF(AND(K39&gt;=1,K39&lt;=Life),1,0)</f>
        <v>1</v>
      </c>
      <c r="L41" s="90" t="n">
        <f aca="false">IF(AND(L39&gt;=1,L39&lt;=Life),1,0)</f>
        <v>1</v>
      </c>
      <c r="M41" s="90" t="n">
        <f aca="false">IF(AND(M39&gt;=1,M39&lt;=Life),1,0)</f>
        <v>1</v>
      </c>
      <c r="N41" s="90" t="n">
        <f aca="false">IF(AND(N39&gt;=1,N39&lt;=Life),1,0)</f>
        <v>1</v>
      </c>
      <c r="O41" s="90" t="n">
        <f aca="false">IF(AND(O39&gt;=1,O39&lt;=Life),1,0)</f>
        <v>1</v>
      </c>
      <c r="P41" s="90" t="n">
        <f aca="false">IF(AND(P39&gt;=1,P39&lt;=Life),1,0)</f>
        <v>1</v>
      </c>
      <c r="Q41" s="90" t="n">
        <f aca="false">IF(AND(Q39&gt;=1,Q39&lt;=Life),1,0)</f>
        <v>1</v>
      </c>
      <c r="R41" s="90" t="n">
        <f aca="false">IF(AND(R39&gt;=1,R39&lt;=Life),1,0)</f>
        <v>1</v>
      </c>
      <c r="S41" s="90" t="n">
        <f aca="false">IF(AND(S39&gt;=1,S39&lt;=Life),1,0)</f>
        <v>1</v>
      </c>
      <c r="T41" s="90" t="n">
        <f aca="false">IF(AND(T39&gt;=1,T39&lt;=Life),1,0)</f>
        <v>1</v>
      </c>
      <c r="U41" s="90" t="n">
        <f aca="false">IF(AND(U39&gt;=1,U39&lt;=Life),1,0)</f>
        <v>1</v>
      </c>
      <c r="V41" s="90" t="n">
        <f aca="false">IF(AND(V39&gt;=1,V39&lt;=Life),1,0)</f>
        <v>1</v>
      </c>
      <c r="W41" s="90" t="n">
        <f aca="false">IF(AND(W39&gt;=1,W39&lt;=Life),1,0)</f>
        <v>1</v>
      </c>
    </row>
    <row r="42" customFormat="false" ht="15" hidden="false" customHeight="false" outlineLevel="0" collapsed="false">
      <c r="A42" s="11" t="s">
        <v>415</v>
      </c>
      <c r="C42" s="91" t="n">
        <v>0</v>
      </c>
      <c r="D42" s="91" t="n">
        <f aca="false">IF(D39=1,Ramp1,IF(D39=2,Ramp2,Ramp3))*D41</f>
        <v>0.6</v>
      </c>
      <c r="E42" s="91" t="n">
        <f aca="false">IF(E39=1,Ramp1,IF(E39=2,Ramp2,Ramp3))*E41</f>
        <v>0.85</v>
      </c>
      <c r="F42" s="91" t="n">
        <f aca="false">IF(F39=1,Ramp1,IF(F39=2,Ramp2,Ramp3))*F41</f>
        <v>1</v>
      </c>
      <c r="G42" s="91" t="n">
        <f aca="false">IF(G39=1,Ramp1,IF(G39=2,Ramp2,Ramp3))*G41</f>
        <v>1</v>
      </c>
      <c r="H42" s="91" t="n">
        <f aca="false">IF(H39=1,Ramp1,IF(H39=2,Ramp2,Ramp3))*H41</f>
        <v>1</v>
      </c>
      <c r="I42" s="91" t="n">
        <f aca="false">IF(I39=1,Ramp1,IF(I39=2,Ramp2,Ramp3))*I41</f>
        <v>1</v>
      </c>
      <c r="J42" s="91" t="n">
        <f aca="false">IF(J39=1,Ramp1,IF(J39=2,Ramp2,Ramp3))*J41</f>
        <v>1</v>
      </c>
      <c r="K42" s="91" t="n">
        <f aca="false">IF(K39=1,Ramp1,IF(K39=2,Ramp2,Ramp3))*K41</f>
        <v>1</v>
      </c>
      <c r="L42" s="91" t="n">
        <f aca="false">IF(L39=1,Ramp1,IF(L39=2,Ramp2,Ramp3))*L41</f>
        <v>1</v>
      </c>
      <c r="M42" s="91" t="n">
        <f aca="false">IF(M39=1,Ramp1,IF(M39=2,Ramp2,Ramp3))*M41</f>
        <v>1</v>
      </c>
      <c r="N42" s="91" t="n">
        <f aca="false">IF(N39=1,Ramp1,IF(N39=2,Ramp2,Ramp3))*N41</f>
        <v>1</v>
      </c>
      <c r="O42" s="91" t="n">
        <f aca="false">IF(O39=1,Ramp1,IF(O39=2,Ramp2,Ramp3))*O41</f>
        <v>1</v>
      </c>
      <c r="P42" s="91" t="n">
        <f aca="false">IF(P39=1,Ramp1,IF(P39=2,Ramp2,Ramp3))*P41</f>
        <v>1</v>
      </c>
      <c r="Q42" s="91" t="n">
        <f aca="false">IF(Q39=1,Ramp1,IF(Q39=2,Ramp2,Ramp3))*Q41</f>
        <v>1</v>
      </c>
      <c r="R42" s="91" t="n">
        <f aca="false">IF(R39=1,Ramp1,IF(R39=2,Ramp2,Ramp3))*R41</f>
        <v>1</v>
      </c>
      <c r="S42" s="91" t="n">
        <f aca="false">IF(S39=1,Ramp1,IF(S39=2,Ramp2,Ramp3))*S41</f>
        <v>1</v>
      </c>
      <c r="T42" s="91" t="n">
        <f aca="false">IF(T39=1,Ramp1,IF(T39=2,Ramp2,Ramp3))*T41</f>
        <v>1</v>
      </c>
      <c r="U42" s="91" t="n">
        <f aca="false">IF(U39=1,Ramp1,IF(U39=2,Ramp2,Ramp3))*U41</f>
        <v>1</v>
      </c>
      <c r="V42" s="91" t="n">
        <f aca="false">IF(V39=1,Ramp1,IF(V39=2,Ramp2,Ramp3))*V41</f>
        <v>1</v>
      </c>
      <c r="W42" s="91" t="n">
        <f aca="false">IF(W39=1,Ramp1,IF(W39=2,Ramp2,Ramp3))*W41</f>
        <v>1</v>
      </c>
    </row>
    <row r="43" customFormat="false" ht="15" hidden="false" customHeight="false" outlineLevel="0" collapsed="false">
      <c r="A43" s="11" t="s">
        <v>416</v>
      </c>
      <c r="C43" s="92" t="n">
        <v>0</v>
      </c>
      <c r="D43" s="92" t="n">
        <f aca="false">(1+TariffEsc)^(D39-1)</f>
        <v>1</v>
      </c>
      <c r="E43" s="92" t="n">
        <f aca="false">(1+TariffEsc)^(E39-1)</f>
        <v>1.03</v>
      </c>
      <c r="F43" s="92" t="n">
        <f aca="false">(1+TariffEsc)^(F39-1)</f>
        <v>1.0609</v>
      </c>
      <c r="G43" s="92" t="n">
        <f aca="false">(1+TariffEsc)^(G39-1)</f>
        <v>1.092727</v>
      </c>
      <c r="H43" s="92" t="n">
        <f aca="false">(1+TariffEsc)^(H39-1)</f>
        <v>1.12550881</v>
      </c>
      <c r="I43" s="92" t="n">
        <f aca="false">(1+TariffEsc)^(I39-1)</f>
        <v>1.1592740743</v>
      </c>
      <c r="J43" s="92" t="n">
        <f aca="false">(1+TariffEsc)^(J39-1)</f>
        <v>1.194052296529</v>
      </c>
      <c r="K43" s="92" t="n">
        <f aca="false">(1+TariffEsc)^(K39-1)</f>
        <v>1.22987386542487</v>
      </c>
      <c r="L43" s="92" t="n">
        <f aca="false">(1+TariffEsc)^(L39-1)</f>
        <v>1.26677008138762</v>
      </c>
      <c r="M43" s="92" t="n">
        <f aca="false">(1+TariffEsc)^(M39-1)</f>
        <v>1.30477318382925</v>
      </c>
      <c r="N43" s="92" t="n">
        <f aca="false">(1+TariffEsc)^(N39-1)</f>
        <v>1.34391637934412</v>
      </c>
      <c r="O43" s="92" t="n">
        <f aca="false">(1+TariffEsc)^(O39-1)</f>
        <v>1.38423387072445</v>
      </c>
      <c r="P43" s="92" t="n">
        <f aca="false">(1+TariffEsc)^(P39-1)</f>
        <v>1.42576088684618</v>
      </c>
      <c r="Q43" s="92" t="n">
        <f aca="false">(1+TariffEsc)^(Q39-1)</f>
        <v>1.46853371345156</v>
      </c>
      <c r="R43" s="92" t="n">
        <f aca="false">(1+TariffEsc)^(R39-1)</f>
        <v>1.51258972485511</v>
      </c>
      <c r="S43" s="92" t="n">
        <f aca="false">(1+TariffEsc)^(S39-1)</f>
        <v>1.55796741660077</v>
      </c>
      <c r="T43" s="92" t="n">
        <f aca="false">(1+TariffEsc)^(T39-1)</f>
        <v>1.60470643909879</v>
      </c>
      <c r="U43" s="92" t="n">
        <f aca="false">(1+TariffEsc)^(U39-1)</f>
        <v>1.65284763227175</v>
      </c>
      <c r="V43" s="92" t="n">
        <f aca="false">(1+TariffEsc)^(V39-1)</f>
        <v>1.7024330612399</v>
      </c>
      <c r="W43" s="92" t="n">
        <f aca="false">(1+TariffEsc)^(W39-1)</f>
        <v>1.7535060530771</v>
      </c>
    </row>
    <row r="44" customFormat="false" ht="15" hidden="false" customHeight="false" outlineLevel="0" collapsed="false">
      <c r="A44" s="11" t="s">
        <v>417</v>
      </c>
      <c r="C44" s="92" t="n">
        <v>0</v>
      </c>
      <c r="D44" s="92" t="n">
        <f aca="false">(1+CostEsc)^(D39-1)</f>
        <v>1</v>
      </c>
      <c r="E44" s="92" t="n">
        <f aca="false">(1+CostEsc)^(E39-1)</f>
        <v>1.03</v>
      </c>
      <c r="F44" s="92" t="n">
        <f aca="false">(1+CostEsc)^(F39-1)</f>
        <v>1.0609</v>
      </c>
      <c r="G44" s="92" t="n">
        <f aca="false">(1+CostEsc)^(G39-1)</f>
        <v>1.092727</v>
      </c>
      <c r="H44" s="92" t="n">
        <f aca="false">(1+CostEsc)^(H39-1)</f>
        <v>1.12550881</v>
      </c>
      <c r="I44" s="92" t="n">
        <f aca="false">(1+CostEsc)^(I39-1)</f>
        <v>1.1592740743</v>
      </c>
      <c r="J44" s="92" t="n">
        <f aca="false">(1+CostEsc)^(J39-1)</f>
        <v>1.194052296529</v>
      </c>
      <c r="K44" s="92" t="n">
        <f aca="false">(1+CostEsc)^(K39-1)</f>
        <v>1.22987386542487</v>
      </c>
      <c r="L44" s="92" t="n">
        <f aca="false">(1+CostEsc)^(L39-1)</f>
        <v>1.26677008138762</v>
      </c>
      <c r="M44" s="92" t="n">
        <f aca="false">(1+CostEsc)^(M39-1)</f>
        <v>1.30477318382925</v>
      </c>
      <c r="N44" s="92" t="n">
        <f aca="false">(1+CostEsc)^(N39-1)</f>
        <v>1.34391637934412</v>
      </c>
      <c r="O44" s="92" t="n">
        <f aca="false">(1+CostEsc)^(O39-1)</f>
        <v>1.38423387072445</v>
      </c>
      <c r="P44" s="92" t="n">
        <f aca="false">(1+CostEsc)^(P39-1)</f>
        <v>1.42576088684618</v>
      </c>
      <c r="Q44" s="92" t="n">
        <f aca="false">(1+CostEsc)^(Q39-1)</f>
        <v>1.46853371345156</v>
      </c>
      <c r="R44" s="92" t="n">
        <f aca="false">(1+CostEsc)^(R39-1)</f>
        <v>1.51258972485511</v>
      </c>
      <c r="S44" s="92" t="n">
        <f aca="false">(1+CostEsc)^(S39-1)</f>
        <v>1.55796741660077</v>
      </c>
      <c r="T44" s="92" t="n">
        <f aca="false">(1+CostEsc)^(T39-1)</f>
        <v>1.60470643909879</v>
      </c>
      <c r="U44" s="92" t="n">
        <f aca="false">(1+CostEsc)^(U39-1)</f>
        <v>1.65284763227175</v>
      </c>
      <c r="V44" s="92" t="n">
        <f aca="false">(1+CostEsc)^(V39-1)</f>
        <v>1.7024330612399</v>
      </c>
      <c r="W44" s="92" t="n">
        <f aca="false">(1+CostEsc)^(W39-1)</f>
        <v>1.7535060530771</v>
      </c>
    </row>
    <row r="45" customFormat="false" ht="15" hidden="false" customHeight="false" outlineLevel="0" collapsed="false">
      <c r="A45" s="11" t="s">
        <v>418</v>
      </c>
      <c r="C45" s="92" t="n">
        <v>0</v>
      </c>
      <c r="D45" s="92" t="n">
        <f aca="false">(1+DemandGrowth)^(D39-1)*LevDemand*$B$6</f>
        <v>0.8</v>
      </c>
      <c r="E45" s="92" t="n">
        <f aca="false">(1+DemandGrowth)^(E39-1)*LevDemand*$B$6</f>
        <v>0.824</v>
      </c>
      <c r="F45" s="92" t="n">
        <f aca="false">(1+DemandGrowth)^(F39-1)*LevDemand*$B$6</f>
        <v>0.84872</v>
      </c>
      <c r="G45" s="92" t="n">
        <f aca="false">(1+DemandGrowth)^(G39-1)*LevDemand*$B$6</f>
        <v>0.8741816</v>
      </c>
      <c r="H45" s="92" t="n">
        <f aca="false">(1+DemandGrowth)^(H39-1)*LevDemand*$B$6</f>
        <v>0.900407048</v>
      </c>
      <c r="I45" s="92" t="n">
        <f aca="false">(1+DemandGrowth)^(I39-1)*LevDemand*$B$6</f>
        <v>0.92741925944</v>
      </c>
      <c r="J45" s="92" t="n">
        <f aca="false">(1+DemandGrowth)^(J39-1)*LevDemand*$B$6</f>
        <v>0.9552418372232</v>
      </c>
      <c r="K45" s="92" t="n">
        <f aca="false">(1+DemandGrowth)^(K39-1)*LevDemand*$B$6</f>
        <v>0.983899092339896</v>
      </c>
      <c r="L45" s="92" t="n">
        <f aca="false">(1+DemandGrowth)^(L39-1)*LevDemand*$B$6</f>
        <v>1.01341606511009</v>
      </c>
      <c r="M45" s="92" t="n">
        <f aca="false">(1+DemandGrowth)^(M39-1)*LevDemand*$B$6</f>
        <v>1.0438185470634</v>
      </c>
      <c r="N45" s="92" t="n">
        <f aca="false">(1+DemandGrowth)^(N39-1)*LevDemand*$B$6</f>
        <v>1.0751331034753</v>
      </c>
      <c r="O45" s="92" t="n">
        <f aca="false">(1+DemandGrowth)^(O39-1)*LevDemand*$B$6</f>
        <v>1.10738709657956</v>
      </c>
      <c r="P45" s="92" t="n">
        <f aca="false">(1+DemandGrowth)^(P39-1)*LevDemand*$B$6</f>
        <v>1.14060870947694</v>
      </c>
      <c r="Q45" s="92" t="n">
        <f aca="false">(1+DemandGrowth)^(Q39-1)*LevDemand*$B$6</f>
        <v>1.17482697076125</v>
      </c>
      <c r="R45" s="92" t="n">
        <f aca="false">(1+DemandGrowth)^(R39-1)*LevDemand*$B$6</f>
        <v>1.21007177988409</v>
      </c>
      <c r="S45" s="92" t="n">
        <f aca="false">(1+DemandGrowth)^(S39-1)*LevDemand*$B$6</f>
        <v>1.24637393328061</v>
      </c>
      <c r="T45" s="92" t="n">
        <f aca="false">(1+DemandGrowth)^(T39-1)*LevDemand*$B$6</f>
        <v>1.28376515127903</v>
      </c>
      <c r="U45" s="92" t="n">
        <f aca="false">(1+DemandGrowth)^(U39-1)*LevDemand*$B$6</f>
        <v>1.3222781058174</v>
      </c>
      <c r="V45" s="92" t="n">
        <f aca="false">(1+DemandGrowth)^(V39-1)*LevDemand*$B$6</f>
        <v>1.36194644899192</v>
      </c>
      <c r="W45" s="92" t="n">
        <f aca="false">(1+DemandGrowth)^(W39-1)*LevDemand*$B$6</f>
        <v>1.40280484246168</v>
      </c>
    </row>
    <row r="47" customFormat="false" ht="15" hidden="false" customHeight="false" outlineLevel="0" collapsed="false">
      <c r="A47" s="9" t="s">
        <v>419</v>
      </c>
      <c r="B47" s="10"/>
      <c r="C47" s="10"/>
      <c r="D47" s="10"/>
      <c r="E47" s="10"/>
      <c r="F47" s="10"/>
      <c r="G47" s="10"/>
      <c r="H47" s="10"/>
      <c r="I47" s="10"/>
      <c r="J47" s="10"/>
      <c r="K47" s="10"/>
      <c r="L47" s="10"/>
      <c r="M47" s="10"/>
      <c r="N47" s="10"/>
      <c r="O47" s="10"/>
      <c r="P47" s="10"/>
      <c r="Q47" s="10"/>
      <c r="R47" s="10"/>
      <c r="S47" s="10"/>
      <c r="T47" s="10"/>
      <c r="U47" s="10"/>
      <c r="V47" s="10"/>
      <c r="W47" s="10"/>
    </row>
    <row r="48" customFormat="false" ht="15" hidden="false" customHeight="false" outlineLevel="0" collapsed="false">
      <c r="A48" s="11" t="str">
        <f aca="false">"Connections - "&amp;Seg1_Name</f>
        <v>Connections - Households</v>
      </c>
      <c r="C48" s="93" t="n">
        <v>0</v>
      </c>
      <c r="D48" s="93" t="n">
        <f aca="false">Seg1_N*D42</f>
        <v>480</v>
      </c>
      <c r="E48" s="93" t="n">
        <f aca="false">Seg1_N*E42</f>
        <v>680</v>
      </c>
      <c r="F48" s="93" t="n">
        <f aca="false">Seg1_N*F42</f>
        <v>800</v>
      </c>
      <c r="G48" s="93" t="n">
        <f aca="false">Seg1_N*G42</f>
        <v>800</v>
      </c>
      <c r="H48" s="93" t="n">
        <f aca="false">Seg1_N*H42</f>
        <v>800</v>
      </c>
      <c r="I48" s="93" t="n">
        <f aca="false">Seg1_N*I42</f>
        <v>800</v>
      </c>
      <c r="J48" s="93" t="n">
        <f aca="false">Seg1_N*J42</f>
        <v>800</v>
      </c>
      <c r="K48" s="93" t="n">
        <f aca="false">Seg1_N*K42</f>
        <v>800</v>
      </c>
      <c r="L48" s="93" t="n">
        <f aca="false">Seg1_N*L42</f>
        <v>800</v>
      </c>
      <c r="M48" s="93" t="n">
        <f aca="false">Seg1_N*M42</f>
        <v>800</v>
      </c>
      <c r="N48" s="93" t="n">
        <f aca="false">Seg1_N*N42</f>
        <v>800</v>
      </c>
      <c r="O48" s="93" t="n">
        <f aca="false">Seg1_N*O42</f>
        <v>800</v>
      </c>
      <c r="P48" s="93" t="n">
        <f aca="false">Seg1_N*P42</f>
        <v>800</v>
      </c>
      <c r="Q48" s="93" t="n">
        <f aca="false">Seg1_N*Q42</f>
        <v>800</v>
      </c>
      <c r="R48" s="93" t="n">
        <f aca="false">Seg1_N*R42</f>
        <v>800</v>
      </c>
      <c r="S48" s="93" t="n">
        <f aca="false">Seg1_N*S42</f>
        <v>800</v>
      </c>
      <c r="T48" s="93" t="n">
        <f aca="false">Seg1_N*T42</f>
        <v>800</v>
      </c>
      <c r="U48" s="93" t="n">
        <f aca="false">Seg1_N*U42</f>
        <v>800</v>
      </c>
      <c r="V48" s="93" t="n">
        <f aca="false">Seg1_N*V42</f>
        <v>800</v>
      </c>
      <c r="W48" s="93" t="n">
        <f aca="false">Seg1_N*W42</f>
        <v>800</v>
      </c>
    </row>
    <row r="49" customFormat="false" ht="15" hidden="false" customHeight="false" outlineLevel="0" collapsed="false">
      <c r="A49" s="11" t="str">
        <f aca="false">"Connections - "&amp;Seg2_Name</f>
        <v>Connections - Productive users (mills, welding, cold rooms)</v>
      </c>
      <c r="C49" s="93" t="n">
        <v>0</v>
      </c>
      <c r="D49" s="93" t="n">
        <f aca="false">Seg2_N*D42</f>
        <v>36</v>
      </c>
      <c r="E49" s="93" t="n">
        <f aca="false">Seg2_N*E42</f>
        <v>51</v>
      </c>
      <c r="F49" s="93" t="n">
        <f aca="false">Seg2_N*F42</f>
        <v>60</v>
      </c>
      <c r="G49" s="93" t="n">
        <f aca="false">Seg2_N*G42</f>
        <v>60</v>
      </c>
      <c r="H49" s="93" t="n">
        <f aca="false">Seg2_N*H42</f>
        <v>60</v>
      </c>
      <c r="I49" s="93" t="n">
        <f aca="false">Seg2_N*I42</f>
        <v>60</v>
      </c>
      <c r="J49" s="93" t="n">
        <f aca="false">Seg2_N*J42</f>
        <v>60</v>
      </c>
      <c r="K49" s="93" t="n">
        <f aca="false">Seg2_N*K42</f>
        <v>60</v>
      </c>
      <c r="L49" s="93" t="n">
        <f aca="false">Seg2_N*L42</f>
        <v>60</v>
      </c>
      <c r="M49" s="93" t="n">
        <f aca="false">Seg2_N*M42</f>
        <v>60</v>
      </c>
      <c r="N49" s="93" t="n">
        <f aca="false">Seg2_N*N42</f>
        <v>60</v>
      </c>
      <c r="O49" s="93" t="n">
        <f aca="false">Seg2_N*O42</f>
        <v>60</v>
      </c>
      <c r="P49" s="93" t="n">
        <f aca="false">Seg2_N*P42</f>
        <v>60</v>
      </c>
      <c r="Q49" s="93" t="n">
        <f aca="false">Seg2_N*Q42</f>
        <v>60</v>
      </c>
      <c r="R49" s="93" t="n">
        <f aca="false">Seg2_N*R42</f>
        <v>60</v>
      </c>
      <c r="S49" s="93" t="n">
        <f aca="false">Seg2_N*S42</f>
        <v>60</v>
      </c>
      <c r="T49" s="93" t="n">
        <f aca="false">Seg2_N*T42</f>
        <v>60</v>
      </c>
      <c r="U49" s="93" t="n">
        <f aca="false">Seg2_N*U42</f>
        <v>60</v>
      </c>
      <c r="V49" s="93" t="n">
        <f aca="false">Seg2_N*V42</f>
        <v>60</v>
      </c>
      <c r="W49" s="93" t="n">
        <f aca="false">Seg2_N*W42</f>
        <v>60</v>
      </c>
    </row>
    <row r="50" customFormat="false" ht="15" hidden="false" customHeight="false" outlineLevel="0" collapsed="false">
      <c r="A50" s="11" t="str">
        <f aca="false">"Connections - "&amp;Seg3_Name</f>
        <v>Connections - Commercial (shops, bars, kiosks)</v>
      </c>
      <c r="C50" s="93" t="n">
        <v>0</v>
      </c>
      <c r="D50" s="93" t="n">
        <f aca="false">Seg3_N*D42</f>
        <v>60</v>
      </c>
      <c r="E50" s="93" t="n">
        <f aca="false">Seg3_N*E42</f>
        <v>85</v>
      </c>
      <c r="F50" s="93" t="n">
        <f aca="false">Seg3_N*F42</f>
        <v>100</v>
      </c>
      <c r="G50" s="93" t="n">
        <f aca="false">Seg3_N*G42</f>
        <v>100</v>
      </c>
      <c r="H50" s="93" t="n">
        <f aca="false">Seg3_N*H42</f>
        <v>100</v>
      </c>
      <c r="I50" s="93" t="n">
        <f aca="false">Seg3_N*I42</f>
        <v>100</v>
      </c>
      <c r="J50" s="93" t="n">
        <f aca="false">Seg3_N*J42</f>
        <v>100</v>
      </c>
      <c r="K50" s="93" t="n">
        <f aca="false">Seg3_N*K42</f>
        <v>100</v>
      </c>
      <c r="L50" s="93" t="n">
        <f aca="false">Seg3_N*L42</f>
        <v>100</v>
      </c>
      <c r="M50" s="93" t="n">
        <f aca="false">Seg3_N*M42</f>
        <v>100</v>
      </c>
      <c r="N50" s="93" t="n">
        <f aca="false">Seg3_N*N42</f>
        <v>100</v>
      </c>
      <c r="O50" s="93" t="n">
        <f aca="false">Seg3_N*O42</f>
        <v>100</v>
      </c>
      <c r="P50" s="93" t="n">
        <f aca="false">Seg3_N*P42</f>
        <v>100</v>
      </c>
      <c r="Q50" s="93" t="n">
        <f aca="false">Seg3_N*Q42</f>
        <v>100</v>
      </c>
      <c r="R50" s="93" t="n">
        <f aca="false">Seg3_N*R42</f>
        <v>100</v>
      </c>
      <c r="S50" s="93" t="n">
        <f aca="false">Seg3_N*S42</f>
        <v>100</v>
      </c>
      <c r="T50" s="93" t="n">
        <f aca="false">Seg3_N*T42</f>
        <v>100</v>
      </c>
      <c r="U50" s="93" t="n">
        <f aca="false">Seg3_N*U42</f>
        <v>100</v>
      </c>
      <c r="V50" s="93" t="n">
        <f aca="false">Seg3_N*V42</f>
        <v>100</v>
      </c>
      <c r="W50" s="93" t="n">
        <f aca="false">Seg3_N*W42</f>
        <v>100</v>
      </c>
    </row>
    <row r="51" customFormat="false" ht="15" hidden="false" customHeight="false" outlineLevel="0" collapsed="false">
      <c r="A51" s="11" t="str">
        <f aca="false">"Connections - "&amp;Seg4_Name</f>
        <v>Connections - Institutions (health centre, school, water)</v>
      </c>
      <c r="C51" s="93" t="n">
        <v>0</v>
      </c>
      <c r="D51" s="93" t="n">
        <f aca="false">Seg4_N*D42</f>
        <v>6</v>
      </c>
      <c r="E51" s="93" t="n">
        <f aca="false">Seg4_N*E42</f>
        <v>8.5</v>
      </c>
      <c r="F51" s="93" t="n">
        <f aca="false">Seg4_N*F42</f>
        <v>10</v>
      </c>
      <c r="G51" s="93" t="n">
        <f aca="false">Seg4_N*G42</f>
        <v>10</v>
      </c>
      <c r="H51" s="93" t="n">
        <f aca="false">Seg4_N*H42</f>
        <v>10</v>
      </c>
      <c r="I51" s="93" t="n">
        <f aca="false">Seg4_N*I42</f>
        <v>10</v>
      </c>
      <c r="J51" s="93" t="n">
        <f aca="false">Seg4_N*J42</f>
        <v>10</v>
      </c>
      <c r="K51" s="93" t="n">
        <f aca="false">Seg4_N*K42</f>
        <v>10</v>
      </c>
      <c r="L51" s="93" t="n">
        <f aca="false">Seg4_N*L42</f>
        <v>10</v>
      </c>
      <c r="M51" s="93" t="n">
        <f aca="false">Seg4_N*M42</f>
        <v>10</v>
      </c>
      <c r="N51" s="93" t="n">
        <f aca="false">Seg4_N*N42</f>
        <v>10</v>
      </c>
      <c r="O51" s="93" t="n">
        <f aca="false">Seg4_N*O42</f>
        <v>10</v>
      </c>
      <c r="P51" s="93" t="n">
        <f aca="false">Seg4_N*P42</f>
        <v>10</v>
      </c>
      <c r="Q51" s="93" t="n">
        <f aca="false">Seg4_N*Q42</f>
        <v>10</v>
      </c>
      <c r="R51" s="93" t="n">
        <f aca="false">Seg4_N*R42</f>
        <v>10</v>
      </c>
      <c r="S51" s="93" t="n">
        <f aca="false">Seg4_N*S42</f>
        <v>10</v>
      </c>
      <c r="T51" s="93" t="n">
        <f aca="false">Seg4_N*T42</f>
        <v>10</v>
      </c>
      <c r="U51" s="93" t="n">
        <f aca="false">Seg4_N*U42</f>
        <v>10</v>
      </c>
      <c r="V51" s="93" t="n">
        <f aca="false">Seg4_N*V42</f>
        <v>10</v>
      </c>
      <c r="W51" s="93" t="n">
        <f aca="false">Seg4_N*W42</f>
        <v>10</v>
      </c>
    </row>
    <row r="52" customFormat="false" ht="15" hidden="false" customHeight="false" outlineLevel="0" collapsed="false">
      <c r="A52" s="11" t="str">
        <f aca="false">"Connections - "&amp;Seg5_Name</f>
        <v>Connections - Other / custom</v>
      </c>
      <c r="C52" s="93" t="n">
        <v>0</v>
      </c>
      <c r="D52" s="93" t="n">
        <f aca="false">Seg5_N*D42</f>
        <v>0</v>
      </c>
      <c r="E52" s="93" t="n">
        <f aca="false">Seg5_N*E42</f>
        <v>0</v>
      </c>
      <c r="F52" s="93" t="n">
        <f aca="false">Seg5_N*F42</f>
        <v>0</v>
      </c>
      <c r="G52" s="93" t="n">
        <f aca="false">Seg5_N*G42</f>
        <v>0</v>
      </c>
      <c r="H52" s="93" t="n">
        <f aca="false">Seg5_N*H42</f>
        <v>0</v>
      </c>
      <c r="I52" s="93" t="n">
        <f aca="false">Seg5_N*I42</f>
        <v>0</v>
      </c>
      <c r="J52" s="93" t="n">
        <f aca="false">Seg5_N*J42</f>
        <v>0</v>
      </c>
      <c r="K52" s="93" t="n">
        <f aca="false">Seg5_N*K42</f>
        <v>0</v>
      </c>
      <c r="L52" s="93" t="n">
        <f aca="false">Seg5_N*L42</f>
        <v>0</v>
      </c>
      <c r="M52" s="93" t="n">
        <f aca="false">Seg5_N*M42</f>
        <v>0</v>
      </c>
      <c r="N52" s="93" t="n">
        <f aca="false">Seg5_N*N42</f>
        <v>0</v>
      </c>
      <c r="O52" s="93" t="n">
        <f aca="false">Seg5_N*O42</f>
        <v>0</v>
      </c>
      <c r="P52" s="93" t="n">
        <f aca="false">Seg5_N*P42</f>
        <v>0</v>
      </c>
      <c r="Q52" s="93" t="n">
        <f aca="false">Seg5_N*Q42</f>
        <v>0</v>
      </c>
      <c r="R52" s="93" t="n">
        <f aca="false">Seg5_N*R42</f>
        <v>0</v>
      </c>
      <c r="S52" s="93" t="n">
        <f aca="false">Seg5_N*S42</f>
        <v>0</v>
      </c>
      <c r="T52" s="93" t="n">
        <f aca="false">Seg5_N*T42</f>
        <v>0</v>
      </c>
      <c r="U52" s="93" t="n">
        <f aca="false">Seg5_N*U42</f>
        <v>0</v>
      </c>
      <c r="V52" s="93" t="n">
        <f aca="false">Seg5_N*V42</f>
        <v>0</v>
      </c>
      <c r="W52" s="93" t="n">
        <f aca="false">Seg5_N*W42</f>
        <v>0</v>
      </c>
    </row>
    <row r="53" customFormat="false" ht="15" hidden="false" customHeight="false" outlineLevel="0" collapsed="false">
      <c r="A53" s="16" t="s">
        <v>420</v>
      </c>
      <c r="C53" s="29" t="n">
        <f aca="false">C48+C49+C50+C51+C52</f>
        <v>0</v>
      </c>
      <c r="D53" s="29" t="n">
        <f aca="false">D48+D49+D50+D51+D52</f>
        <v>582</v>
      </c>
      <c r="E53" s="29" t="n">
        <f aca="false">E48+E49+E50+E51+E52</f>
        <v>824.5</v>
      </c>
      <c r="F53" s="29" t="n">
        <f aca="false">F48+F49+F50+F51+F52</f>
        <v>970</v>
      </c>
      <c r="G53" s="29" t="n">
        <f aca="false">G48+G49+G50+G51+G52</f>
        <v>970</v>
      </c>
      <c r="H53" s="29" t="n">
        <f aca="false">H48+H49+H50+H51+H52</f>
        <v>970</v>
      </c>
      <c r="I53" s="29" t="n">
        <f aca="false">I48+I49+I50+I51+I52</f>
        <v>970</v>
      </c>
      <c r="J53" s="29" t="n">
        <f aca="false">J48+J49+J50+J51+J52</f>
        <v>970</v>
      </c>
      <c r="K53" s="29" t="n">
        <f aca="false">K48+K49+K50+K51+K52</f>
        <v>970</v>
      </c>
      <c r="L53" s="29" t="n">
        <f aca="false">L48+L49+L50+L51+L52</f>
        <v>970</v>
      </c>
      <c r="M53" s="29" t="n">
        <f aca="false">M48+M49+M50+M51+M52</f>
        <v>970</v>
      </c>
      <c r="N53" s="29" t="n">
        <f aca="false">N48+N49+N50+N51+N52</f>
        <v>970</v>
      </c>
      <c r="O53" s="29" t="n">
        <f aca="false">O48+O49+O50+O51+O52</f>
        <v>970</v>
      </c>
      <c r="P53" s="29" t="n">
        <f aca="false">P48+P49+P50+P51+P52</f>
        <v>970</v>
      </c>
      <c r="Q53" s="29" t="n">
        <f aca="false">Q48+Q49+Q50+Q51+Q52</f>
        <v>970</v>
      </c>
      <c r="R53" s="29" t="n">
        <f aca="false">R48+R49+R50+R51+R52</f>
        <v>970</v>
      </c>
      <c r="S53" s="29" t="n">
        <f aca="false">S48+S49+S50+S51+S52</f>
        <v>970</v>
      </c>
      <c r="T53" s="29" t="n">
        <f aca="false">T48+T49+T50+T51+T52</f>
        <v>970</v>
      </c>
      <c r="U53" s="29" t="n">
        <f aca="false">U48+U49+U50+U51+U52</f>
        <v>970</v>
      </c>
      <c r="V53" s="29" t="n">
        <f aca="false">V48+V49+V50+V51+V52</f>
        <v>970</v>
      </c>
      <c r="W53" s="29" t="n">
        <f aca="false">W48+W49+W50+W51+W52</f>
        <v>970</v>
      </c>
    </row>
    <row r="54" customFormat="false" ht="15" hidden="false" customHeight="false" outlineLevel="0" collapsed="false">
      <c r="A54" s="11" t="str">
        <f aca="false">"New connections - "&amp;Seg1_Name</f>
        <v>New connections - Households</v>
      </c>
      <c r="B54" s="77" t="n">
        <f aca="false">SUM(C54:W54)</f>
        <v>800</v>
      </c>
      <c r="C54" s="94" t="n">
        <v>0</v>
      </c>
      <c r="D54" s="94" t="n">
        <f aca="false">MAX(0,D48-C48)</f>
        <v>480</v>
      </c>
      <c r="E54" s="94" t="n">
        <f aca="false">MAX(0,E48-D48)</f>
        <v>200</v>
      </c>
      <c r="F54" s="94" t="n">
        <f aca="false">MAX(0,F48-E48)</f>
        <v>120</v>
      </c>
      <c r="G54" s="94" t="n">
        <f aca="false">MAX(0,G48-F48)</f>
        <v>0</v>
      </c>
      <c r="H54" s="94" t="n">
        <f aca="false">MAX(0,H48-G48)</f>
        <v>0</v>
      </c>
      <c r="I54" s="94" t="n">
        <f aca="false">MAX(0,I48-H48)</f>
        <v>0</v>
      </c>
      <c r="J54" s="94" t="n">
        <f aca="false">MAX(0,J48-I48)</f>
        <v>0</v>
      </c>
      <c r="K54" s="94" t="n">
        <f aca="false">MAX(0,K48-J48)</f>
        <v>0</v>
      </c>
      <c r="L54" s="94" t="n">
        <f aca="false">MAX(0,L48-K48)</f>
        <v>0</v>
      </c>
      <c r="M54" s="94" t="n">
        <f aca="false">MAX(0,M48-L48)</f>
        <v>0</v>
      </c>
      <c r="N54" s="94" t="n">
        <f aca="false">MAX(0,N48-M48)</f>
        <v>0</v>
      </c>
      <c r="O54" s="94" t="n">
        <f aca="false">MAX(0,O48-N48)</f>
        <v>0</v>
      </c>
      <c r="P54" s="94" t="n">
        <f aca="false">MAX(0,P48-O48)</f>
        <v>0</v>
      </c>
      <c r="Q54" s="94" t="n">
        <f aca="false">MAX(0,Q48-P48)</f>
        <v>0</v>
      </c>
      <c r="R54" s="94" t="n">
        <f aca="false">MAX(0,R48-Q48)</f>
        <v>0</v>
      </c>
      <c r="S54" s="94" t="n">
        <f aca="false">MAX(0,S48-R48)</f>
        <v>0</v>
      </c>
      <c r="T54" s="94" t="n">
        <f aca="false">MAX(0,T48-S48)</f>
        <v>0</v>
      </c>
      <c r="U54" s="94" t="n">
        <f aca="false">MAX(0,U48-T48)</f>
        <v>0</v>
      </c>
      <c r="V54" s="94" t="n">
        <f aca="false">MAX(0,V48-U48)</f>
        <v>0</v>
      </c>
      <c r="W54" s="94" t="n">
        <f aca="false">MAX(0,W48-V48)</f>
        <v>0</v>
      </c>
    </row>
    <row r="55" customFormat="false" ht="15" hidden="false" customHeight="false" outlineLevel="0" collapsed="false">
      <c r="A55" s="11" t="str">
        <f aca="false">"New connections - "&amp;Seg2_Name</f>
        <v>New connections - Productive users (mills, welding, cold rooms)</v>
      </c>
      <c r="B55" s="77" t="n">
        <f aca="false">SUM(C55:W55)</f>
        <v>60</v>
      </c>
      <c r="C55" s="94" t="n">
        <v>0</v>
      </c>
      <c r="D55" s="94" t="n">
        <f aca="false">MAX(0,D49-C49)</f>
        <v>36</v>
      </c>
      <c r="E55" s="94" t="n">
        <f aca="false">MAX(0,E49-D49)</f>
        <v>15</v>
      </c>
      <c r="F55" s="94" t="n">
        <f aca="false">MAX(0,F49-E49)</f>
        <v>9</v>
      </c>
      <c r="G55" s="94" t="n">
        <f aca="false">MAX(0,G49-F49)</f>
        <v>0</v>
      </c>
      <c r="H55" s="94" t="n">
        <f aca="false">MAX(0,H49-G49)</f>
        <v>0</v>
      </c>
      <c r="I55" s="94" t="n">
        <f aca="false">MAX(0,I49-H49)</f>
        <v>0</v>
      </c>
      <c r="J55" s="94" t="n">
        <f aca="false">MAX(0,J49-I49)</f>
        <v>0</v>
      </c>
      <c r="K55" s="94" t="n">
        <f aca="false">MAX(0,K49-J49)</f>
        <v>0</v>
      </c>
      <c r="L55" s="94" t="n">
        <f aca="false">MAX(0,L49-K49)</f>
        <v>0</v>
      </c>
      <c r="M55" s="94" t="n">
        <f aca="false">MAX(0,M49-L49)</f>
        <v>0</v>
      </c>
      <c r="N55" s="94" t="n">
        <f aca="false">MAX(0,N49-M49)</f>
        <v>0</v>
      </c>
      <c r="O55" s="94" t="n">
        <f aca="false">MAX(0,O49-N49)</f>
        <v>0</v>
      </c>
      <c r="P55" s="94" t="n">
        <f aca="false">MAX(0,P49-O49)</f>
        <v>0</v>
      </c>
      <c r="Q55" s="94" t="n">
        <f aca="false">MAX(0,Q49-P49)</f>
        <v>0</v>
      </c>
      <c r="R55" s="94" t="n">
        <f aca="false">MAX(0,R49-Q49)</f>
        <v>0</v>
      </c>
      <c r="S55" s="94" t="n">
        <f aca="false">MAX(0,S49-R49)</f>
        <v>0</v>
      </c>
      <c r="T55" s="94" t="n">
        <f aca="false">MAX(0,T49-S49)</f>
        <v>0</v>
      </c>
      <c r="U55" s="94" t="n">
        <f aca="false">MAX(0,U49-T49)</f>
        <v>0</v>
      </c>
      <c r="V55" s="94" t="n">
        <f aca="false">MAX(0,V49-U49)</f>
        <v>0</v>
      </c>
      <c r="W55" s="94" t="n">
        <f aca="false">MAX(0,W49-V49)</f>
        <v>0</v>
      </c>
    </row>
    <row r="56" customFormat="false" ht="15" hidden="false" customHeight="false" outlineLevel="0" collapsed="false">
      <c r="A56" s="11" t="str">
        <f aca="false">"New connections - "&amp;Seg3_Name</f>
        <v>New connections - Commercial (shops, bars, kiosks)</v>
      </c>
      <c r="B56" s="77" t="n">
        <f aca="false">SUM(C56:W56)</f>
        <v>100</v>
      </c>
      <c r="C56" s="94" t="n">
        <v>0</v>
      </c>
      <c r="D56" s="94" t="n">
        <f aca="false">MAX(0,D50-C50)</f>
        <v>60</v>
      </c>
      <c r="E56" s="94" t="n">
        <f aca="false">MAX(0,E50-D50)</f>
        <v>25</v>
      </c>
      <c r="F56" s="94" t="n">
        <f aca="false">MAX(0,F50-E50)</f>
        <v>15</v>
      </c>
      <c r="G56" s="94" t="n">
        <f aca="false">MAX(0,G50-F50)</f>
        <v>0</v>
      </c>
      <c r="H56" s="94" t="n">
        <f aca="false">MAX(0,H50-G50)</f>
        <v>0</v>
      </c>
      <c r="I56" s="94" t="n">
        <f aca="false">MAX(0,I50-H50)</f>
        <v>0</v>
      </c>
      <c r="J56" s="94" t="n">
        <f aca="false">MAX(0,J50-I50)</f>
        <v>0</v>
      </c>
      <c r="K56" s="94" t="n">
        <f aca="false">MAX(0,K50-J50)</f>
        <v>0</v>
      </c>
      <c r="L56" s="94" t="n">
        <f aca="false">MAX(0,L50-K50)</f>
        <v>0</v>
      </c>
      <c r="M56" s="94" t="n">
        <f aca="false">MAX(0,M50-L50)</f>
        <v>0</v>
      </c>
      <c r="N56" s="94" t="n">
        <f aca="false">MAX(0,N50-M50)</f>
        <v>0</v>
      </c>
      <c r="O56" s="94" t="n">
        <f aca="false">MAX(0,O50-N50)</f>
        <v>0</v>
      </c>
      <c r="P56" s="94" t="n">
        <f aca="false">MAX(0,P50-O50)</f>
        <v>0</v>
      </c>
      <c r="Q56" s="94" t="n">
        <f aca="false">MAX(0,Q50-P50)</f>
        <v>0</v>
      </c>
      <c r="R56" s="94" t="n">
        <f aca="false">MAX(0,R50-Q50)</f>
        <v>0</v>
      </c>
      <c r="S56" s="94" t="n">
        <f aca="false">MAX(0,S50-R50)</f>
        <v>0</v>
      </c>
      <c r="T56" s="94" t="n">
        <f aca="false">MAX(0,T50-S50)</f>
        <v>0</v>
      </c>
      <c r="U56" s="94" t="n">
        <f aca="false">MAX(0,U50-T50)</f>
        <v>0</v>
      </c>
      <c r="V56" s="94" t="n">
        <f aca="false">MAX(0,V50-U50)</f>
        <v>0</v>
      </c>
      <c r="W56" s="94" t="n">
        <f aca="false">MAX(0,W50-V50)</f>
        <v>0</v>
      </c>
    </row>
    <row r="57" customFormat="false" ht="15" hidden="false" customHeight="false" outlineLevel="0" collapsed="false">
      <c r="A57" s="11" t="str">
        <f aca="false">"New connections - "&amp;Seg4_Name</f>
        <v>New connections - Institutions (health centre, school, water)</v>
      </c>
      <c r="B57" s="77" t="n">
        <f aca="false">SUM(C57:W57)</f>
        <v>10</v>
      </c>
      <c r="C57" s="94" t="n">
        <v>0</v>
      </c>
      <c r="D57" s="94" t="n">
        <f aca="false">MAX(0,D51-C51)</f>
        <v>6</v>
      </c>
      <c r="E57" s="94" t="n">
        <f aca="false">MAX(0,E51-D51)</f>
        <v>2.5</v>
      </c>
      <c r="F57" s="94" t="n">
        <f aca="false">MAX(0,F51-E51)</f>
        <v>1.5</v>
      </c>
      <c r="G57" s="94" t="n">
        <f aca="false">MAX(0,G51-F51)</f>
        <v>0</v>
      </c>
      <c r="H57" s="94" t="n">
        <f aca="false">MAX(0,H51-G51)</f>
        <v>0</v>
      </c>
      <c r="I57" s="94" t="n">
        <f aca="false">MAX(0,I51-H51)</f>
        <v>0</v>
      </c>
      <c r="J57" s="94" t="n">
        <f aca="false">MAX(0,J51-I51)</f>
        <v>0</v>
      </c>
      <c r="K57" s="94" t="n">
        <f aca="false">MAX(0,K51-J51)</f>
        <v>0</v>
      </c>
      <c r="L57" s="94" t="n">
        <f aca="false">MAX(0,L51-K51)</f>
        <v>0</v>
      </c>
      <c r="M57" s="94" t="n">
        <f aca="false">MAX(0,M51-L51)</f>
        <v>0</v>
      </c>
      <c r="N57" s="94" t="n">
        <f aca="false">MAX(0,N51-M51)</f>
        <v>0</v>
      </c>
      <c r="O57" s="94" t="n">
        <f aca="false">MAX(0,O51-N51)</f>
        <v>0</v>
      </c>
      <c r="P57" s="94" t="n">
        <f aca="false">MAX(0,P51-O51)</f>
        <v>0</v>
      </c>
      <c r="Q57" s="94" t="n">
        <f aca="false">MAX(0,Q51-P51)</f>
        <v>0</v>
      </c>
      <c r="R57" s="94" t="n">
        <f aca="false">MAX(0,R51-Q51)</f>
        <v>0</v>
      </c>
      <c r="S57" s="94" t="n">
        <f aca="false">MAX(0,S51-R51)</f>
        <v>0</v>
      </c>
      <c r="T57" s="94" t="n">
        <f aca="false">MAX(0,T51-S51)</f>
        <v>0</v>
      </c>
      <c r="U57" s="94" t="n">
        <f aca="false">MAX(0,U51-T51)</f>
        <v>0</v>
      </c>
      <c r="V57" s="94" t="n">
        <f aca="false">MAX(0,V51-U51)</f>
        <v>0</v>
      </c>
      <c r="W57" s="94" t="n">
        <f aca="false">MAX(0,W51-V51)</f>
        <v>0</v>
      </c>
    </row>
    <row r="58" customFormat="false" ht="15" hidden="false" customHeight="false" outlineLevel="0" collapsed="false">
      <c r="A58" s="11" t="str">
        <f aca="false">"New connections - "&amp;Seg5_Name</f>
        <v>New connections - Other / custom</v>
      </c>
      <c r="B58" s="77" t="n">
        <f aca="false">SUM(C58:W58)</f>
        <v>0</v>
      </c>
      <c r="C58" s="94" t="n">
        <v>0</v>
      </c>
      <c r="D58" s="94" t="n">
        <f aca="false">MAX(0,D52-C52)</f>
        <v>0</v>
      </c>
      <c r="E58" s="94" t="n">
        <f aca="false">MAX(0,E52-D52)</f>
        <v>0</v>
      </c>
      <c r="F58" s="94" t="n">
        <f aca="false">MAX(0,F52-E52)</f>
        <v>0</v>
      </c>
      <c r="G58" s="94" t="n">
        <f aca="false">MAX(0,G52-F52)</f>
        <v>0</v>
      </c>
      <c r="H58" s="94" t="n">
        <f aca="false">MAX(0,H52-G52)</f>
        <v>0</v>
      </c>
      <c r="I58" s="94" t="n">
        <f aca="false">MAX(0,I52-H52)</f>
        <v>0</v>
      </c>
      <c r="J58" s="94" t="n">
        <f aca="false">MAX(0,J52-I52)</f>
        <v>0</v>
      </c>
      <c r="K58" s="94" t="n">
        <f aca="false">MAX(0,K52-J52)</f>
        <v>0</v>
      </c>
      <c r="L58" s="94" t="n">
        <f aca="false">MAX(0,L52-K52)</f>
        <v>0</v>
      </c>
      <c r="M58" s="94" t="n">
        <f aca="false">MAX(0,M52-L52)</f>
        <v>0</v>
      </c>
      <c r="N58" s="94" t="n">
        <f aca="false">MAX(0,N52-M52)</f>
        <v>0</v>
      </c>
      <c r="O58" s="94" t="n">
        <f aca="false">MAX(0,O52-N52)</f>
        <v>0</v>
      </c>
      <c r="P58" s="94" t="n">
        <f aca="false">MAX(0,P52-O52)</f>
        <v>0</v>
      </c>
      <c r="Q58" s="94" t="n">
        <f aca="false">MAX(0,Q52-P52)</f>
        <v>0</v>
      </c>
      <c r="R58" s="94" t="n">
        <f aca="false">MAX(0,R52-Q52)</f>
        <v>0</v>
      </c>
      <c r="S58" s="94" t="n">
        <f aca="false">MAX(0,S52-R52)</f>
        <v>0</v>
      </c>
      <c r="T58" s="94" t="n">
        <f aca="false">MAX(0,T52-S52)</f>
        <v>0</v>
      </c>
      <c r="U58" s="94" t="n">
        <f aca="false">MAX(0,U52-T52)</f>
        <v>0</v>
      </c>
      <c r="V58" s="94" t="n">
        <f aca="false">MAX(0,V52-U52)</f>
        <v>0</v>
      </c>
      <c r="W58" s="94" t="n">
        <f aca="false">MAX(0,W52-V52)</f>
        <v>0</v>
      </c>
    </row>
    <row r="59" customFormat="false" ht="15" hidden="false" customHeight="false" outlineLevel="0" collapsed="false">
      <c r="A59" s="16" t="s">
        <v>421</v>
      </c>
      <c r="B59" s="76" t="n">
        <f aca="false">SUM(C59:W59)</f>
        <v>970</v>
      </c>
      <c r="C59" s="29" t="n">
        <f aca="false">C54+C55+C56+C57+C58</f>
        <v>0</v>
      </c>
      <c r="D59" s="29" t="n">
        <f aca="false">D54+D55+D56+D57+D58</f>
        <v>582</v>
      </c>
      <c r="E59" s="29" t="n">
        <f aca="false">E54+E55+E56+E57+E58</f>
        <v>242.5</v>
      </c>
      <c r="F59" s="29" t="n">
        <f aca="false">F54+F55+F56+F57+F58</f>
        <v>145.5</v>
      </c>
      <c r="G59" s="29" t="n">
        <f aca="false">G54+G55+G56+G57+G58</f>
        <v>0</v>
      </c>
      <c r="H59" s="29" t="n">
        <f aca="false">H54+H55+H56+H57+H58</f>
        <v>0</v>
      </c>
      <c r="I59" s="29" t="n">
        <f aca="false">I54+I55+I56+I57+I58</f>
        <v>0</v>
      </c>
      <c r="J59" s="29" t="n">
        <f aca="false">J54+J55+J56+J57+J58</f>
        <v>0</v>
      </c>
      <c r="K59" s="29" t="n">
        <f aca="false">K54+K55+K56+K57+K58</f>
        <v>0</v>
      </c>
      <c r="L59" s="29" t="n">
        <f aca="false">L54+L55+L56+L57+L58</f>
        <v>0</v>
      </c>
      <c r="M59" s="29" t="n">
        <f aca="false">M54+M55+M56+M57+M58</f>
        <v>0</v>
      </c>
      <c r="N59" s="29" t="n">
        <f aca="false">N54+N55+N56+N57+N58</f>
        <v>0</v>
      </c>
      <c r="O59" s="29" t="n">
        <f aca="false">O54+O55+O56+O57+O58</f>
        <v>0</v>
      </c>
      <c r="P59" s="29" t="n">
        <f aca="false">P54+P55+P56+P57+P58</f>
        <v>0</v>
      </c>
      <c r="Q59" s="29" t="n">
        <f aca="false">Q54+Q55+Q56+Q57+Q58</f>
        <v>0</v>
      </c>
      <c r="R59" s="29" t="n">
        <f aca="false">R54+R55+R56+R57+R58</f>
        <v>0</v>
      </c>
      <c r="S59" s="29" t="n">
        <f aca="false">S54+S55+S56+S57+S58</f>
        <v>0</v>
      </c>
      <c r="T59" s="29" t="n">
        <f aca="false">T54+T55+T56+T57+T58</f>
        <v>0</v>
      </c>
      <c r="U59" s="29" t="n">
        <f aca="false">U54+U55+U56+U57+U58</f>
        <v>0</v>
      </c>
      <c r="V59" s="29" t="n">
        <f aca="false">V54+V55+V56+V57+V58</f>
        <v>0</v>
      </c>
      <c r="W59" s="29" t="n">
        <f aca="false">W54+W55+W56+W57+W58</f>
        <v>0</v>
      </c>
    </row>
    <row r="61" customFormat="false" ht="15" hidden="false" customHeight="false" outlineLevel="0" collapsed="false">
      <c r="A61" s="11" t="str">
        <f aca="false">"Energy sold (kWh) - "&amp;Seg1_Name</f>
        <v>Energy sold (kWh) - Households</v>
      </c>
      <c r="B61" s="76" t="n">
        <f aca="false">SUM(C61:W61)</f>
        <v>3031588.74113055</v>
      </c>
      <c r="C61" s="93" t="n">
        <v>0</v>
      </c>
      <c r="D61" s="93" t="n">
        <f aca="false">D48*Seg1_kWh*12*D45</f>
        <v>69120</v>
      </c>
      <c r="E61" s="93" t="n">
        <f aca="false">E48*Seg1_kWh*12*E45</f>
        <v>100857.6</v>
      </c>
      <c r="F61" s="93" t="n">
        <f aca="false">F48*Seg1_kWh*12*F45</f>
        <v>122215.68</v>
      </c>
      <c r="G61" s="93" t="n">
        <f aca="false">G48*Seg1_kWh*12*G45</f>
        <v>125882.1504</v>
      </c>
      <c r="H61" s="93" t="n">
        <f aca="false">H48*Seg1_kWh*12*H45</f>
        <v>129658.614912</v>
      </c>
      <c r="I61" s="93" t="n">
        <f aca="false">I48*Seg1_kWh*12*I45</f>
        <v>133548.37335936</v>
      </c>
      <c r="J61" s="93" t="n">
        <f aca="false">J48*Seg1_kWh*12*J45</f>
        <v>137554.824560141</v>
      </c>
      <c r="K61" s="93" t="n">
        <f aca="false">K48*Seg1_kWh*12*K45</f>
        <v>141681.469296945</v>
      </c>
      <c r="L61" s="93" t="n">
        <f aca="false">L48*Seg1_kWh*12*L45</f>
        <v>145931.913375853</v>
      </c>
      <c r="M61" s="93" t="n">
        <f aca="false">M48*Seg1_kWh*12*M45</f>
        <v>150309.870777129</v>
      </c>
      <c r="N61" s="93" t="n">
        <f aca="false">N48*Seg1_kWh*12*N45</f>
        <v>154819.166900443</v>
      </c>
      <c r="O61" s="93" t="n">
        <f aca="false">O48*Seg1_kWh*12*O45</f>
        <v>159463.741907456</v>
      </c>
      <c r="P61" s="93" t="n">
        <f aca="false">P48*Seg1_kWh*12*P45</f>
        <v>164247.65416468</v>
      </c>
      <c r="Q61" s="93" t="n">
        <f aca="false">Q48*Seg1_kWh*12*Q45</f>
        <v>169175.08378962</v>
      </c>
      <c r="R61" s="93" t="n">
        <f aca="false">R48*Seg1_kWh*12*R45</f>
        <v>174250.336303309</v>
      </c>
      <c r="S61" s="93" t="n">
        <f aca="false">S48*Seg1_kWh*12*S45</f>
        <v>179477.846392408</v>
      </c>
      <c r="T61" s="93" t="n">
        <f aca="false">T48*Seg1_kWh*12*T45</f>
        <v>184862.18178418</v>
      </c>
      <c r="U61" s="93" t="n">
        <f aca="false">U48*Seg1_kWh*12*U45</f>
        <v>190408.047237706</v>
      </c>
      <c r="V61" s="93" t="n">
        <f aca="false">V48*Seg1_kWh*12*V45</f>
        <v>196120.288654837</v>
      </c>
      <c r="W61" s="93" t="n">
        <f aca="false">W48*Seg1_kWh*12*W45</f>
        <v>202003.897314482</v>
      </c>
    </row>
    <row r="62" customFormat="false" ht="15" hidden="false" customHeight="false" outlineLevel="0" collapsed="false">
      <c r="A62" s="11" t="str">
        <f aca="false">"Energy sold (kWh) - "&amp;Seg2_Name</f>
        <v>Energy sold (kWh) - Productive users (mills, welding, cold rooms)</v>
      </c>
      <c r="B62" s="76" t="n">
        <f aca="false">SUM(C62:W62)</f>
        <v>2355786.97895773</v>
      </c>
      <c r="C62" s="93" t="n">
        <v>0</v>
      </c>
      <c r="D62" s="93" t="n">
        <f aca="false">D49*Seg2_kWh*12*D45</f>
        <v>53711.7696</v>
      </c>
      <c r="E62" s="93" t="n">
        <f aca="false">E49*Seg2_kWh*12*E45</f>
        <v>78374.423808</v>
      </c>
      <c r="F62" s="93" t="n">
        <f aca="false">F49*Seg2_kWh*12*F45</f>
        <v>94971.3606144</v>
      </c>
      <c r="G62" s="93" t="n">
        <f aca="false">G49*Seg2_kWh*12*G45</f>
        <v>97820.501432832</v>
      </c>
      <c r="H62" s="93" t="n">
        <f aca="false">H49*Seg2_kWh*12*H45</f>
        <v>100755.116475817</v>
      </c>
      <c r="I62" s="93" t="n">
        <f aca="false">I49*Seg2_kWh*12*I45</f>
        <v>103777.769970091</v>
      </c>
      <c r="J62" s="93" t="n">
        <f aca="false">J49*Seg2_kWh*12*J45</f>
        <v>106891.103069194</v>
      </c>
      <c r="K62" s="93" t="n">
        <f aca="false">K49*Seg2_kWh*12*K45</f>
        <v>110097.83616127</v>
      </c>
      <c r="L62" s="93" t="n">
        <f aca="false">L49*Seg2_kWh*12*L45</f>
        <v>113400.771246108</v>
      </c>
      <c r="M62" s="93" t="n">
        <f aca="false">M49*Seg2_kWh*12*M45</f>
        <v>116802.794383491</v>
      </c>
      <c r="N62" s="93" t="n">
        <f aca="false">N49*Seg2_kWh*12*N45</f>
        <v>120306.878214996</v>
      </c>
      <c r="O62" s="93" t="n">
        <f aca="false">O49*Seg2_kWh*12*O45</f>
        <v>123916.084561446</v>
      </c>
      <c r="P62" s="93" t="n">
        <f aca="false">P49*Seg2_kWh*12*P45</f>
        <v>127633.567098289</v>
      </c>
      <c r="Q62" s="93" t="n">
        <f aca="false">Q49*Seg2_kWh*12*Q45</f>
        <v>131462.574111238</v>
      </c>
      <c r="R62" s="93" t="n">
        <f aca="false">R49*Seg2_kWh*12*R45</f>
        <v>135406.451334575</v>
      </c>
      <c r="S62" s="93" t="n">
        <f aca="false">S49*Seg2_kWh*12*S45</f>
        <v>139468.644874613</v>
      </c>
      <c r="T62" s="93" t="n">
        <f aca="false">T49*Seg2_kWh*12*T45</f>
        <v>143652.704220851</v>
      </c>
      <c r="U62" s="93" t="n">
        <f aca="false">U49*Seg2_kWh*12*U45</f>
        <v>147962.285347476</v>
      </c>
      <c r="V62" s="93" t="n">
        <f aca="false">V49*Seg2_kWh*12*V45</f>
        <v>152401.153907901</v>
      </c>
      <c r="W62" s="93" t="n">
        <f aca="false">W49*Seg2_kWh*12*W45</f>
        <v>156973.188525138</v>
      </c>
    </row>
    <row r="63" customFormat="false" ht="15" hidden="false" customHeight="false" outlineLevel="0" collapsed="false">
      <c r="A63" s="11" t="str">
        <f aca="false">"Energy sold (kWh) - "&amp;Seg3_Name</f>
        <v>Energy sold (kWh) - Commercial (shops, bars, kiosks)</v>
      </c>
      <c r="B63" s="76" t="n">
        <f aca="false">SUM(C63:W63)</f>
        <v>1263161.97547106</v>
      </c>
      <c r="C63" s="93" t="n">
        <v>0</v>
      </c>
      <c r="D63" s="93" t="n">
        <f aca="false">D50*Seg3_kWh*12*D45</f>
        <v>28800</v>
      </c>
      <c r="E63" s="93" t="n">
        <f aca="false">E50*Seg3_kWh*12*E45</f>
        <v>42024</v>
      </c>
      <c r="F63" s="93" t="n">
        <f aca="false">F50*Seg3_kWh*12*F45</f>
        <v>50923.2</v>
      </c>
      <c r="G63" s="93" t="n">
        <f aca="false">G50*Seg3_kWh*12*G45</f>
        <v>52450.896</v>
      </c>
      <c r="H63" s="93" t="n">
        <f aca="false">H50*Seg3_kWh*12*H45</f>
        <v>54024.42288</v>
      </c>
      <c r="I63" s="93" t="n">
        <f aca="false">I50*Seg3_kWh*12*I45</f>
        <v>55645.1555664</v>
      </c>
      <c r="J63" s="93" t="n">
        <f aca="false">J50*Seg3_kWh*12*J45</f>
        <v>57314.510233392</v>
      </c>
      <c r="K63" s="93" t="n">
        <f aca="false">K50*Seg3_kWh*12*K45</f>
        <v>59033.9455403938</v>
      </c>
      <c r="L63" s="93" t="n">
        <f aca="false">L50*Seg3_kWh*12*L45</f>
        <v>60804.9639066056</v>
      </c>
      <c r="M63" s="93" t="n">
        <f aca="false">M50*Seg3_kWh*12*M45</f>
        <v>62629.1128238038</v>
      </c>
      <c r="N63" s="93" t="n">
        <f aca="false">N50*Seg3_kWh*12*N45</f>
        <v>64507.9862085179</v>
      </c>
      <c r="O63" s="93" t="n">
        <f aca="false">O50*Seg3_kWh*12*O45</f>
        <v>66443.2257947734</v>
      </c>
      <c r="P63" s="93" t="n">
        <f aca="false">P50*Seg3_kWh*12*P45</f>
        <v>68436.5225686166</v>
      </c>
      <c r="Q63" s="93" t="n">
        <f aca="false">Q50*Seg3_kWh*12*Q45</f>
        <v>70489.6182456751</v>
      </c>
      <c r="R63" s="93" t="n">
        <f aca="false">R50*Seg3_kWh*12*R45</f>
        <v>72604.3067930454</v>
      </c>
      <c r="S63" s="93" t="n">
        <f aca="false">S50*Seg3_kWh*12*S45</f>
        <v>74782.4359968367</v>
      </c>
      <c r="T63" s="93" t="n">
        <f aca="false">T50*Seg3_kWh*12*T45</f>
        <v>77025.9090767418</v>
      </c>
      <c r="U63" s="93" t="n">
        <f aca="false">U50*Seg3_kWh*12*U45</f>
        <v>79336.6863490441</v>
      </c>
      <c r="V63" s="93" t="n">
        <f aca="false">V50*Seg3_kWh*12*V45</f>
        <v>81716.7869395154</v>
      </c>
      <c r="W63" s="93" t="n">
        <f aca="false">W50*Seg3_kWh*12*W45</f>
        <v>84168.2905477009</v>
      </c>
    </row>
    <row r="64" customFormat="false" ht="15" hidden="false" customHeight="false" outlineLevel="0" collapsed="false">
      <c r="A64" s="11" t="str">
        <f aca="false">"Energy sold (kWh) - "&amp;Seg4_Name</f>
        <v>Energy sold (kWh) - Institutions (health centre, school, water)</v>
      </c>
      <c r="B64" s="76" t="n">
        <f aca="false">SUM(C64:W64)</f>
        <v>757897.185282638</v>
      </c>
      <c r="C64" s="93" t="n">
        <v>0</v>
      </c>
      <c r="D64" s="93" t="n">
        <f aca="false">D51*Seg4_kWh*12*D45</f>
        <v>17280</v>
      </c>
      <c r="E64" s="93" t="n">
        <f aca="false">E51*Seg4_kWh*12*E45</f>
        <v>25214.4</v>
      </c>
      <c r="F64" s="93" t="n">
        <f aca="false">F51*Seg4_kWh*12*F45</f>
        <v>30553.92</v>
      </c>
      <c r="G64" s="93" t="n">
        <f aca="false">G51*Seg4_kWh*12*G45</f>
        <v>31470.5376</v>
      </c>
      <c r="H64" s="93" t="n">
        <f aca="false">H51*Seg4_kWh*12*H45</f>
        <v>32414.653728</v>
      </c>
      <c r="I64" s="93" t="n">
        <f aca="false">I51*Seg4_kWh*12*I45</f>
        <v>33387.09333984</v>
      </c>
      <c r="J64" s="93" t="n">
        <f aca="false">J51*Seg4_kWh*12*J45</f>
        <v>34388.7061400352</v>
      </c>
      <c r="K64" s="93" t="n">
        <f aca="false">K51*Seg4_kWh*12*K45</f>
        <v>35420.3673242363</v>
      </c>
      <c r="L64" s="93" t="n">
        <f aca="false">L51*Seg4_kWh*12*L45</f>
        <v>36482.9783439634</v>
      </c>
      <c r="M64" s="93" t="n">
        <f aca="false">M51*Seg4_kWh*12*M45</f>
        <v>37577.4676942823</v>
      </c>
      <c r="N64" s="93" t="n">
        <f aca="false">N51*Seg4_kWh*12*N45</f>
        <v>38704.7917251107</v>
      </c>
      <c r="O64" s="93" t="n">
        <f aca="false">O51*Seg4_kWh*12*O45</f>
        <v>39865.935476864</v>
      </c>
      <c r="P64" s="93" t="n">
        <f aca="false">P51*Seg4_kWh*12*P45</f>
        <v>41061.91354117</v>
      </c>
      <c r="Q64" s="93" t="n">
        <f aca="false">Q51*Seg4_kWh*12*Q45</f>
        <v>42293.7709474051</v>
      </c>
      <c r="R64" s="93" t="n">
        <f aca="false">R51*Seg4_kWh*12*R45</f>
        <v>43562.5840758272</v>
      </c>
      <c r="S64" s="93" t="n">
        <f aca="false">S51*Seg4_kWh*12*S45</f>
        <v>44869.461598102</v>
      </c>
      <c r="T64" s="93" t="n">
        <f aca="false">T51*Seg4_kWh*12*T45</f>
        <v>46215.5454460451</v>
      </c>
      <c r="U64" s="93" t="n">
        <f aca="false">U51*Seg4_kWh*12*U45</f>
        <v>47602.0118094265</v>
      </c>
      <c r="V64" s="93" t="n">
        <f aca="false">V51*Seg4_kWh*12*V45</f>
        <v>49030.0721637093</v>
      </c>
      <c r="W64" s="93" t="n">
        <f aca="false">W51*Seg4_kWh*12*W45</f>
        <v>50500.9743286205</v>
      </c>
    </row>
    <row r="65" customFormat="false" ht="15" hidden="false" customHeight="false" outlineLevel="0" collapsed="false">
      <c r="A65" s="11" t="str">
        <f aca="false">"Energy sold (kWh) - "&amp;Seg5_Name</f>
        <v>Energy sold (kWh) - Other / custom</v>
      </c>
      <c r="B65" s="76" t="n">
        <f aca="false">SUM(C65:W65)</f>
        <v>0</v>
      </c>
      <c r="C65" s="93" t="n">
        <v>0</v>
      </c>
      <c r="D65" s="93" t="n">
        <f aca="false">D52*Seg5_kWh*12*D45</f>
        <v>0</v>
      </c>
      <c r="E65" s="93" t="n">
        <f aca="false">E52*Seg5_kWh*12*E45</f>
        <v>0</v>
      </c>
      <c r="F65" s="93" t="n">
        <f aca="false">F52*Seg5_kWh*12*F45</f>
        <v>0</v>
      </c>
      <c r="G65" s="93" t="n">
        <f aca="false">G52*Seg5_kWh*12*G45</f>
        <v>0</v>
      </c>
      <c r="H65" s="93" t="n">
        <f aca="false">H52*Seg5_kWh*12*H45</f>
        <v>0</v>
      </c>
      <c r="I65" s="93" t="n">
        <f aca="false">I52*Seg5_kWh*12*I45</f>
        <v>0</v>
      </c>
      <c r="J65" s="93" t="n">
        <f aca="false">J52*Seg5_kWh*12*J45</f>
        <v>0</v>
      </c>
      <c r="K65" s="93" t="n">
        <f aca="false">K52*Seg5_kWh*12*K45</f>
        <v>0</v>
      </c>
      <c r="L65" s="93" t="n">
        <f aca="false">L52*Seg5_kWh*12*L45</f>
        <v>0</v>
      </c>
      <c r="M65" s="93" t="n">
        <f aca="false">M52*Seg5_kWh*12*M45</f>
        <v>0</v>
      </c>
      <c r="N65" s="93" t="n">
        <f aca="false">N52*Seg5_kWh*12*N45</f>
        <v>0</v>
      </c>
      <c r="O65" s="93" t="n">
        <f aca="false">O52*Seg5_kWh*12*O45</f>
        <v>0</v>
      </c>
      <c r="P65" s="93" t="n">
        <f aca="false">P52*Seg5_kWh*12*P45</f>
        <v>0</v>
      </c>
      <c r="Q65" s="93" t="n">
        <f aca="false">Q52*Seg5_kWh*12*Q45</f>
        <v>0</v>
      </c>
      <c r="R65" s="93" t="n">
        <f aca="false">R52*Seg5_kWh*12*R45</f>
        <v>0</v>
      </c>
      <c r="S65" s="93" t="n">
        <f aca="false">S52*Seg5_kWh*12*S45</f>
        <v>0</v>
      </c>
      <c r="T65" s="93" t="n">
        <f aca="false">T52*Seg5_kWh*12*T45</f>
        <v>0</v>
      </c>
      <c r="U65" s="93" t="n">
        <f aca="false">U52*Seg5_kWh*12*U45</f>
        <v>0</v>
      </c>
      <c r="V65" s="93" t="n">
        <f aca="false">V52*Seg5_kWh*12*V45</f>
        <v>0</v>
      </c>
      <c r="W65" s="93" t="n">
        <f aca="false">W52*Seg5_kWh*12*W45</f>
        <v>0</v>
      </c>
    </row>
    <row r="66" customFormat="false" ht="15" hidden="false" customHeight="false" outlineLevel="0" collapsed="false">
      <c r="A66" s="16" t="s">
        <v>422</v>
      </c>
      <c r="B66" s="76" t="n">
        <f aca="false">SUM(C66:W66)</f>
        <v>7408434.88084198</v>
      </c>
      <c r="C66" s="29" t="n">
        <f aca="false">C61+C62+C63+C64+C65</f>
        <v>0</v>
      </c>
      <c r="D66" s="29" t="n">
        <f aca="false">D61+D62+D63+D64+D65</f>
        <v>168911.7696</v>
      </c>
      <c r="E66" s="29" t="n">
        <f aca="false">E61+E62+E63+E64+E65</f>
        <v>246470.423808</v>
      </c>
      <c r="F66" s="29" t="n">
        <f aca="false">F61+F62+F63+F64+F65</f>
        <v>298664.1606144</v>
      </c>
      <c r="G66" s="29" t="n">
        <f aca="false">G61+G62+G63+G64+G65</f>
        <v>307624.085432832</v>
      </c>
      <c r="H66" s="29" t="n">
        <f aca="false">H61+H62+H63+H64+H65</f>
        <v>316852.807995817</v>
      </c>
      <c r="I66" s="29" t="n">
        <f aca="false">I61+I62+I63+I64+I65</f>
        <v>326358.392235692</v>
      </c>
      <c r="J66" s="29" t="n">
        <f aca="false">J61+J62+J63+J64+J65</f>
        <v>336149.144002762</v>
      </c>
      <c r="K66" s="29" t="n">
        <f aca="false">K61+K62+K63+K64+K65</f>
        <v>346233.618322845</v>
      </c>
      <c r="L66" s="29" t="n">
        <f aca="false">L61+L62+L63+L64+L65</f>
        <v>356620.626872531</v>
      </c>
      <c r="M66" s="29" t="n">
        <f aca="false">M61+M62+M63+M64+M65</f>
        <v>367319.245678707</v>
      </c>
      <c r="N66" s="29" t="n">
        <f aca="false">N61+N62+N63+N64+N65</f>
        <v>378338.823049068</v>
      </c>
      <c r="O66" s="29" t="n">
        <f aca="false">O61+O62+O63+O64+O65</f>
        <v>389688.98774054</v>
      </c>
      <c r="P66" s="29" t="n">
        <f aca="false">P61+P62+P63+P64+P65</f>
        <v>401379.657372756</v>
      </c>
      <c r="Q66" s="29" t="n">
        <f aca="false">Q61+Q62+Q63+Q64+Q65</f>
        <v>413421.047093939</v>
      </c>
      <c r="R66" s="29" t="n">
        <f aca="false">R61+R62+R63+R64+R65</f>
        <v>425823.678506757</v>
      </c>
      <c r="S66" s="29" t="n">
        <f aca="false">S61+S62+S63+S64+S65</f>
        <v>438598.388861959</v>
      </c>
      <c r="T66" s="29" t="n">
        <f aca="false">T61+T62+T63+T64+T65</f>
        <v>451756.340527818</v>
      </c>
      <c r="U66" s="29" t="n">
        <f aca="false">U61+U62+U63+U64+U65</f>
        <v>465309.030743653</v>
      </c>
      <c r="V66" s="29" t="n">
        <f aca="false">V61+V62+V63+V64+V65</f>
        <v>479268.301665962</v>
      </c>
      <c r="W66" s="29" t="n">
        <f aca="false">W61+W62+W63+W64+W65</f>
        <v>493646.350715941</v>
      </c>
    </row>
    <row r="68" customFormat="false" ht="15" hidden="false" customHeight="false" outlineLevel="0" collapsed="false">
      <c r="A68" s="9" t="s">
        <v>423</v>
      </c>
      <c r="B68" s="10"/>
      <c r="C68" s="10"/>
      <c r="D68" s="10"/>
      <c r="E68" s="10"/>
      <c r="F68" s="10"/>
      <c r="G68" s="10"/>
      <c r="H68" s="10"/>
      <c r="I68" s="10"/>
      <c r="J68" s="10"/>
      <c r="K68" s="10"/>
      <c r="L68" s="10"/>
      <c r="M68" s="10"/>
      <c r="N68" s="10"/>
      <c r="O68" s="10"/>
      <c r="P68" s="10"/>
      <c r="Q68" s="10"/>
      <c r="R68" s="10"/>
      <c r="S68" s="10"/>
      <c r="T68" s="10"/>
      <c r="U68" s="10"/>
      <c r="V68" s="10"/>
      <c r="W68" s="10"/>
    </row>
    <row r="69" customFormat="false" ht="15" hidden="false" customHeight="false" outlineLevel="0" collapsed="false">
      <c r="A69" s="11" t="s">
        <v>424</v>
      </c>
      <c r="B69" s="76" t="n">
        <f aca="false">SUM(C69:W69)</f>
        <v>8418676.00095679</v>
      </c>
      <c r="C69" s="93" t="n">
        <v>0</v>
      </c>
      <c r="D69" s="93" t="n">
        <f aca="false">D66/(1-Losses)</f>
        <v>191945.192727273</v>
      </c>
      <c r="E69" s="93" t="n">
        <f aca="false">E66/(1-Losses)</f>
        <v>280080.027054545</v>
      </c>
      <c r="F69" s="93" t="n">
        <f aca="false">F66/(1-Losses)</f>
        <v>339391.091607273</v>
      </c>
      <c r="G69" s="93" t="n">
        <f aca="false">G66/(1-Losses)</f>
        <v>349572.824355491</v>
      </c>
      <c r="H69" s="93" t="n">
        <f aca="false">H66/(1-Losses)</f>
        <v>360060.009086156</v>
      </c>
      <c r="I69" s="93" t="n">
        <f aca="false">I66/(1-Losses)</f>
        <v>370861.80935874</v>
      </c>
      <c r="J69" s="93" t="n">
        <f aca="false">J66/(1-Losses)</f>
        <v>381987.663639503</v>
      </c>
      <c r="K69" s="93" t="n">
        <f aca="false">K66/(1-Losses)</f>
        <v>393447.293548688</v>
      </c>
      <c r="L69" s="93" t="n">
        <f aca="false">L66/(1-Losses)</f>
        <v>405250.712355148</v>
      </c>
      <c r="M69" s="93" t="n">
        <f aca="false">M66/(1-Losses)</f>
        <v>417408.233725803</v>
      </c>
      <c r="N69" s="93" t="n">
        <f aca="false">N66/(1-Losses)</f>
        <v>429930.480737577</v>
      </c>
      <c r="O69" s="93" t="n">
        <f aca="false">O66/(1-Losses)</f>
        <v>442828.395159704</v>
      </c>
      <c r="P69" s="93" t="n">
        <f aca="false">P66/(1-Losses)</f>
        <v>456113.247014495</v>
      </c>
      <c r="Q69" s="93" t="n">
        <f aca="false">Q66/(1-Losses)</f>
        <v>469796.64442493</v>
      </c>
      <c r="R69" s="93" t="n">
        <f aca="false">R66/(1-Losses)</f>
        <v>483890.543757678</v>
      </c>
      <c r="S69" s="93" t="n">
        <f aca="false">S66/(1-Losses)</f>
        <v>498407.260070408</v>
      </c>
      <c r="T69" s="93" t="n">
        <f aca="false">T66/(1-Losses)</f>
        <v>513359.477872521</v>
      </c>
      <c r="U69" s="93" t="n">
        <f aca="false">U66/(1-Losses)</f>
        <v>528760.262208697</v>
      </c>
      <c r="V69" s="93" t="n">
        <f aca="false">V66/(1-Losses)</f>
        <v>544623.070074957</v>
      </c>
      <c r="W69" s="93" t="n">
        <f aca="false">W66/(1-Losses)</f>
        <v>560961.762177206</v>
      </c>
    </row>
    <row r="70" customFormat="false" ht="15" hidden="false" customHeight="false" outlineLevel="0" collapsed="false">
      <c r="A70" s="11" t="s">
        <v>425</v>
      </c>
      <c r="B70" s="76" t="n">
        <f aca="false">SUM(C70:W70)</f>
        <v>8722537.45034705</v>
      </c>
      <c r="C70" s="93" t="n">
        <v>0</v>
      </c>
      <c r="D70" s="93" t="n">
        <f aca="false">PV_kWp*SpecYield*(1-Degradation)^(D39-1)*D41</f>
        <v>457206.277768167</v>
      </c>
      <c r="E70" s="93" t="n">
        <f aca="false">PV_kWp*SpecYield*(1-Degradation)^(E39-1)*E41</f>
        <v>454920.246379326</v>
      </c>
      <c r="F70" s="93" t="n">
        <f aca="false">PV_kWp*SpecYield*(1-Degradation)^(F39-1)*F41</f>
        <v>452645.64514743</v>
      </c>
      <c r="G70" s="93" t="n">
        <f aca="false">PV_kWp*SpecYield*(1-Degradation)^(G39-1)*G41</f>
        <v>450382.416921693</v>
      </c>
      <c r="H70" s="93" t="n">
        <f aca="false">PV_kWp*SpecYield*(1-Degradation)^(H39-1)*H41</f>
        <v>448130.504837084</v>
      </c>
      <c r="I70" s="93" t="n">
        <f aca="false">PV_kWp*SpecYield*(1-Degradation)^(I39-1)*I41</f>
        <v>445889.852312899</v>
      </c>
      <c r="J70" s="93" t="n">
        <f aca="false">PV_kWp*SpecYield*(1-Degradation)^(J39-1)*J41</f>
        <v>443660.403051334</v>
      </c>
      <c r="K70" s="93" t="n">
        <f aca="false">PV_kWp*SpecYield*(1-Degradation)^(K39-1)*K41</f>
        <v>441442.101036078</v>
      </c>
      <c r="L70" s="93" t="n">
        <f aca="false">PV_kWp*SpecYield*(1-Degradation)^(L39-1)*L41</f>
        <v>439234.890530897</v>
      </c>
      <c r="M70" s="93" t="n">
        <f aca="false">PV_kWp*SpecYield*(1-Degradation)^(M39-1)*M41</f>
        <v>437038.716078243</v>
      </c>
      <c r="N70" s="93" t="n">
        <f aca="false">PV_kWp*SpecYield*(1-Degradation)^(N39-1)*N41</f>
        <v>434853.522497851</v>
      </c>
      <c r="O70" s="93" t="n">
        <f aca="false">PV_kWp*SpecYield*(1-Degradation)^(O39-1)*O41</f>
        <v>432679.254885362</v>
      </c>
      <c r="P70" s="93" t="n">
        <f aca="false">PV_kWp*SpecYield*(1-Degradation)^(P39-1)*P41</f>
        <v>430515.858610935</v>
      </c>
      <c r="Q70" s="93" t="n">
        <f aca="false">PV_kWp*SpecYield*(1-Degradation)^(Q39-1)*Q41</f>
        <v>428363.279317881</v>
      </c>
      <c r="R70" s="93" t="n">
        <f aca="false">PV_kWp*SpecYield*(1-Degradation)^(R39-1)*R41</f>
        <v>426221.462921291</v>
      </c>
      <c r="S70" s="93" t="n">
        <f aca="false">PV_kWp*SpecYield*(1-Degradation)^(S39-1)*S41</f>
        <v>424090.355606685</v>
      </c>
      <c r="T70" s="93" t="n">
        <f aca="false">PV_kWp*SpecYield*(1-Degradation)^(T39-1)*T41</f>
        <v>421969.903828651</v>
      </c>
      <c r="U70" s="93" t="n">
        <f aca="false">PV_kWp*SpecYield*(1-Degradation)^(U39-1)*U41</f>
        <v>419860.054309508</v>
      </c>
      <c r="V70" s="93" t="n">
        <f aca="false">PV_kWp*SpecYield*(1-Degradation)^(V39-1)*V41</f>
        <v>417760.754037961</v>
      </c>
      <c r="W70" s="93" t="n">
        <f aca="false">PV_kWp*SpecYield*(1-Degradation)^(W39-1)*W41</f>
        <v>415671.950267771</v>
      </c>
    </row>
    <row r="71" customFormat="false" ht="15" hidden="false" customHeight="false" outlineLevel="0" collapsed="false">
      <c r="A71" s="11" t="s">
        <v>426</v>
      </c>
      <c r="B71" s="76" t="n">
        <f aca="false">SUM(C71:W71)</f>
        <v>7173862.69455165</v>
      </c>
      <c r="C71" s="93" t="n">
        <v>0</v>
      </c>
      <c r="D71" s="93" t="n">
        <f aca="false">MIN(D70/StorageFactor,D69*SolarFraction)</f>
        <v>172750.673454545</v>
      </c>
      <c r="E71" s="93" t="n">
        <f aca="false">MIN(E70/StorageFactor,E69*SolarFraction)</f>
        <v>252072.024349091</v>
      </c>
      <c r="F71" s="93" t="n">
        <f aca="false">MIN(F70/StorageFactor,F69*SolarFraction)</f>
        <v>305451.982446546</v>
      </c>
      <c r="G71" s="93" t="n">
        <f aca="false">MIN(G70/StorageFactor,G69*SolarFraction)</f>
        <v>314615.541919942</v>
      </c>
      <c r="H71" s="93" t="n">
        <f aca="false">MIN(H70/StorageFactor,H69*SolarFraction)</f>
        <v>324054.00817754</v>
      </c>
      <c r="I71" s="93" t="n">
        <f aca="false">MIN(I70/StorageFactor,I69*SolarFraction)</f>
        <v>333775.628422866</v>
      </c>
      <c r="J71" s="93" t="n">
        <f aca="false">MIN(J70/StorageFactor,J69*SolarFraction)</f>
        <v>343788.897275552</v>
      </c>
      <c r="K71" s="93" t="n">
        <f aca="false">MIN(K70/StorageFactor,K69*SolarFraction)</f>
        <v>354102.564193819</v>
      </c>
      <c r="L71" s="93" t="n">
        <f aca="false">MIN(L70/StorageFactor,L69*SolarFraction)</f>
        <v>364725.641119633</v>
      </c>
      <c r="M71" s="93" t="n">
        <f aca="false">MIN(M70/StorageFactor,M69*SolarFraction)</f>
        <v>375667.410353223</v>
      </c>
      <c r="N71" s="93" t="n">
        <f aca="false">MIN(N70/StorageFactor,N69*SolarFraction)</f>
        <v>386937.432663819</v>
      </c>
      <c r="O71" s="93" t="n">
        <f aca="false">MIN(O70/StorageFactor,O69*SolarFraction)</f>
        <v>398545.555643734</v>
      </c>
      <c r="P71" s="93" t="n">
        <f aca="false">MIN(P70/StorageFactor,P69*SolarFraction)</f>
        <v>410501.922313046</v>
      </c>
      <c r="Q71" s="93" t="n">
        <f aca="false">MIN(Q70/StorageFactor,Q69*SolarFraction)</f>
        <v>411387.272339934</v>
      </c>
      <c r="R71" s="93" t="n">
        <f aca="false">MIN(R70/StorageFactor,R69*SolarFraction)</f>
        <v>409330.335978234</v>
      </c>
      <c r="S71" s="93" t="n">
        <f aca="false">MIN(S70/StorageFactor,S69*SolarFraction)</f>
        <v>407283.684298343</v>
      </c>
      <c r="T71" s="93" t="n">
        <f aca="false">MIN(T70/StorageFactor,T69*SolarFraction)</f>
        <v>405247.265876851</v>
      </c>
      <c r="U71" s="93" t="n">
        <f aca="false">MIN(U70/StorageFactor,U69*SolarFraction)</f>
        <v>403221.029547467</v>
      </c>
      <c r="V71" s="93" t="n">
        <f aca="false">MIN(V70/StorageFactor,V69*SolarFraction)</f>
        <v>401204.92439973</v>
      </c>
      <c r="W71" s="93" t="n">
        <f aca="false">MIN(W70/StorageFactor,W69*SolarFraction)</f>
        <v>399198.899777731</v>
      </c>
    </row>
    <row r="72" customFormat="false" ht="15" hidden="false" customHeight="false" outlineLevel="0" collapsed="false">
      <c r="A72" s="11" t="s">
        <v>427</v>
      </c>
      <c r="B72" s="76" t="n">
        <f aca="false">SUM(C72:W72)</f>
        <v>1244813.30640515</v>
      </c>
      <c r="C72" s="93" t="n">
        <v>0</v>
      </c>
      <c r="D72" s="93" t="n">
        <f aca="false">D69-D71</f>
        <v>19194.5192727273</v>
      </c>
      <c r="E72" s="93" t="n">
        <f aca="false">E69-E71</f>
        <v>28008.0027054545</v>
      </c>
      <c r="F72" s="93" t="n">
        <f aca="false">F69-F71</f>
        <v>33939.1091607272</v>
      </c>
      <c r="G72" s="93" t="n">
        <f aca="false">G69-G71</f>
        <v>34957.2824355491</v>
      </c>
      <c r="H72" s="93" t="n">
        <f aca="false">H69-H71</f>
        <v>36006.0009086155</v>
      </c>
      <c r="I72" s="93" t="n">
        <f aca="false">I69-I71</f>
        <v>37086.1809358741</v>
      </c>
      <c r="J72" s="93" t="n">
        <f aca="false">J69-J71</f>
        <v>38198.7663639503</v>
      </c>
      <c r="K72" s="93" t="n">
        <f aca="false">K69-K71</f>
        <v>39344.7293548688</v>
      </c>
      <c r="L72" s="93" t="n">
        <f aca="false">L69-L71</f>
        <v>40525.0712355148</v>
      </c>
      <c r="M72" s="93" t="n">
        <f aca="false">M69-M71</f>
        <v>41740.8233725803</v>
      </c>
      <c r="N72" s="93" t="n">
        <f aca="false">N69-N71</f>
        <v>42993.0480737577</v>
      </c>
      <c r="O72" s="93" t="n">
        <f aca="false">O69-O71</f>
        <v>44282.8395159704</v>
      </c>
      <c r="P72" s="93" t="n">
        <f aca="false">P69-P71</f>
        <v>45611.3247014495</v>
      </c>
      <c r="Q72" s="93" t="n">
        <f aca="false">Q69-Q71</f>
        <v>58409.3720849963</v>
      </c>
      <c r="R72" s="93" t="n">
        <f aca="false">R69-R71</f>
        <v>74560.2077794437</v>
      </c>
      <c r="S72" s="93" t="n">
        <f aca="false">S69-S71</f>
        <v>91123.5757720652</v>
      </c>
      <c r="T72" s="93" t="n">
        <f aca="false">T69-T71</f>
        <v>108112.211995669</v>
      </c>
      <c r="U72" s="93" t="n">
        <f aca="false">U69-U71</f>
        <v>125539.232661229</v>
      </c>
      <c r="V72" s="93" t="n">
        <f aca="false">V69-V71</f>
        <v>143418.145675227</v>
      </c>
      <c r="W72" s="93" t="n">
        <f aca="false">W69-W71</f>
        <v>161762.862399475</v>
      </c>
    </row>
    <row r="73" customFormat="false" ht="15" hidden="false" customHeight="false" outlineLevel="0" collapsed="false">
      <c r="A73" s="11" t="s">
        <v>428</v>
      </c>
      <c r="C73" s="91" t="n">
        <v>0</v>
      </c>
      <c r="D73" s="91" t="n">
        <f aca="false">IFERROR(D71/D69,0)</f>
        <v>0.9</v>
      </c>
      <c r="E73" s="91" t="n">
        <f aca="false">IFERROR(E71/E69,0)</f>
        <v>0.9</v>
      </c>
      <c r="F73" s="91" t="n">
        <f aca="false">IFERROR(F71/F69,0)</f>
        <v>0.9</v>
      </c>
      <c r="G73" s="91" t="n">
        <f aca="false">IFERROR(G71/G69,0)</f>
        <v>0.9</v>
      </c>
      <c r="H73" s="91" t="n">
        <f aca="false">IFERROR(H71/H69,0)</f>
        <v>0.9</v>
      </c>
      <c r="I73" s="91" t="n">
        <f aca="false">IFERROR(I71/I69,0)</f>
        <v>0.9</v>
      </c>
      <c r="J73" s="91" t="n">
        <f aca="false">IFERROR(J71/J69,0)</f>
        <v>0.9</v>
      </c>
      <c r="K73" s="91" t="n">
        <f aca="false">IFERROR(K71/K69,0)</f>
        <v>0.9</v>
      </c>
      <c r="L73" s="91" t="n">
        <f aca="false">IFERROR(L71/L69,0)</f>
        <v>0.9</v>
      </c>
      <c r="M73" s="91" t="n">
        <f aca="false">IFERROR(M71/M69,0)</f>
        <v>0.9</v>
      </c>
      <c r="N73" s="91" t="n">
        <f aca="false">IFERROR(N71/N69,0)</f>
        <v>0.9</v>
      </c>
      <c r="O73" s="91" t="n">
        <f aca="false">IFERROR(O71/O69,0)</f>
        <v>0.9</v>
      </c>
      <c r="P73" s="91" t="n">
        <f aca="false">IFERROR(P71/P69,0)</f>
        <v>0.9</v>
      </c>
      <c r="Q73" s="91" t="n">
        <f aca="false">IFERROR(Q71/Q69,0)</f>
        <v>0.875670946614584</v>
      </c>
      <c r="R73" s="91" t="n">
        <f aca="false">IFERROR(R71/R69,0)</f>
        <v>0.845915137749041</v>
      </c>
      <c r="S73" s="91" t="n">
        <f aca="false">IFERROR(S71/S69,0)</f>
        <v>0.817170448602228</v>
      </c>
      <c r="T73" s="91" t="n">
        <f aca="false">IFERROR(T71/T69,0)</f>
        <v>0.789402520737104</v>
      </c>
      <c r="U73" s="91" t="n">
        <f aca="false">IFERROR(U71/U69,0)</f>
        <v>0.762578163236329</v>
      </c>
      <c r="V73" s="91" t="n">
        <f aca="false">IFERROR(V71/V69,0)</f>
        <v>0.736665313029269</v>
      </c>
      <c r="W73" s="91" t="n">
        <f aca="false">IFERROR(W71/W69,0)</f>
        <v>0.711632996567109</v>
      </c>
    </row>
    <row r="74" customFormat="false" ht="15" hidden="false" customHeight="false" outlineLevel="0" collapsed="false">
      <c r="A74" s="11" t="s">
        <v>429</v>
      </c>
      <c r="B74" s="76" t="n">
        <f aca="false">SUM(C74:W74)</f>
        <v>414937.768801715</v>
      </c>
      <c r="C74" s="93" t="n">
        <v>0</v>
      </c>
      <c r="D74" s="93" t="n">
        <f aca="false">D72/DieselEff</f>
        <v>6398.17309090909</v>
      </c>
      <c r="E74" s="93" t="n">
        <f aca="false">E72/DieselEff</f>
        <v>9336.00090181818</v>
      </c>
      <c r="F74" s="93" t="n">
        <f aca="false">F72/DieselEff</f>
        <v>11313.0363869091</v>
      </c>
      <c r="G74" s="93" t="n">
        <f aca="false">G72/DieselEff</f>
        <v>11652.4274785164</v>
      </c>
      <c r="H74" s="93" t="n">
        <f aca="false">H72/DieselEff</f>
        <v>12002.0003028718</v>
      </c>
      <c r="I74" s="93" t="n">
        <f aca="false">I72/DieselEff</f>
        <v>12362.060311958</v>
      </c>
      <c r="J74" s="93" t="n">
        <f aca="false">J72/DieselEff</f>
        <v>12732.9221213168</v>
      </c>
      <c r="K74" s="93" t="n">
        <f aca="false">K72/DieselEff</f>
        <v>13114.9097849563</v>
      </c>
      <c r="L74" s="93" t="n">
        <f aca="false">L72/DieselEff</f>
        <v>13508.3570785049</v>
      </c>
      <c r="M74" s="93" t="n">
        <f aca="false">M72/DieselEff</f>
        <v>13913.6077908601</v>
      </c>
      <c r="N74" s="93" t="n">
        <f aca="false">N72/DieselEff</f>
        <v>14331.0160245859</v>
      </c>
      <c r="O74" s="93" t="n">
        <f aca="false">O72/DieselEff</f>
        <v>14760.9465053235</v>
      </c>
      <c r="P74" s="93" t="n">
        <f aca="false">P72/DieselEff</f>
        <v>15203.7749004832</v>
      </c>
      <c r="Q74" s="93" t="n">
        <f aca="false">Q72/DieselEff</f>
        <v>19469.7906949988</v>
      </c>
      <c r="R74" s="93" t="n">
        <f aca="false">R72/DieselEff</f>
        <v>24853.4025931479</v>
      </c>
      <c r="S74" s="93" t="n">
        <f aca="false">S72/DieselEff</f>
        <v>30374.5252573551</v>
      </c>
      <c r="T74" s="93" t="n">
        <f aca="false">T72/DieselEff</f>
        <v>36037.4039985565</v>
      </c>
      <c r="U74" s="93" t="n">
        <f aca="false">U72/DieselEff</f>
        <v>41846.4108870764</v>
      </c>
      <c r="V74" s="93" t="n">
        <f aca="false">V72/DieselEff</f>
        <v>47806.0485584092</v>
      </c>
      <c r="W74" s="93" t="n">
        <f aca="false">W72/DieselEff</f>
        <v>53920.9541331583</v>
      </c>
    </row>
    <row r="76" customFormat="false" ht="15" hidden="false" customHeight="false" outlineLevel="0" collapsed="false">
      <c r="A76" s="9" t="s">
        <v>430</v>
      </c>
      <c r="B76" s="10"/>
      <c r="C76" s="10"/>
      <c r="D76" s="10"/>
      <c r="E76" s="10"/>
      <c r="F76" s="10"/>
      <c r="G76" s="10"/>
      <c r="H76" s="10"/>
      <c r="I76" s="10"/>
      <c r="J76" s="10"/>
      <c r="K76" s="10"/>
      <c r="L76" s="10"/>
      <c r="M76" s="10"/>
      <c r="N76" s="10"/>
      <c r="O76" s="10"/>
      <c r="P76" s="10"/>
      <c r="Q76" s="10"/>
      <c r="R76" s="10"/>
      <c r="S76" s="10"/>
      <c r="T76" s="10"/>
      <c r="U76" s="10"/>
      <c r="V76" s="10"/>
      <c r="W76" s="10"/>
    </row>
    <row r="77" customFormat="false" ht="15" hidden="false" customHeight="false" outlineLevel="0" collapsed="false">
      <c r="A77" s="11" t="str">
        <f aca="false">"Billed revenue - "&amp;Seg1_Name</f>
        <v>Billed revenue - Households</v>
      </c>
      <c r="B77" s="66" t="n">
        <f aca="false">SUM(C77:W77)</f>
        <v>1685806.51166827</v>
      </c>
      <c r="C77" s="95" t="n">
        <v>0</v>
      </c>
      <c r="D77" s="95" t="n">
        <f aca="false">D61*Seg1_Tariff*LevTariff*$B$5*D43</f>
        <v>27648</v>
      </c>
      <c r="E77" s="95" t="n">
        <f aca="false">E61*Seg1_Tariff*LevTariff*$B$5*E43</f>
        <v>41553.3312</v>
      </c>
      <c r="F77" s="95" t="n">
        <f aca="false">F61*Seg1_Tariff*LevTariff*$B$5*F43</f>
        <v>51863.4459648</v>
      </c>
      <c r="G77" s="95" t="n">
        <f aca="false">G61*Seg1_Tariff*LevTariff*$B$5*G43</f>
        <v>55021.9298240563</v>
      </c>
      <c r="H77" s="95" t="n">
        <f aca="false">H61*Seg1_Tariff*LevTariff*$B$5*H43</f>
        <v>58372.7653503414</v>
      </c>
      <c r="I77" s="95" t="n">
        <f aca="false">I61*Seg1_Tariff*LevTariff*$B$5*I43</f>
        <v>61927.6667601772</v>
      </c>
      <c r="J77" s="95" t="n">
        <f aca="false">J61*Seg1_Tariff*LevTariff*$B$5*J43</f>
        <v>65699.0616658719</v>
      </c>
      <c r="K77" s="95" t="n">
        <f aca="false">K61*Seg1_Tariff*LevTariff*$B$5*K43</f>
        <v>69700.1345213236</v>
      </c>
      <c r="L77" s="95" t="n">
        <f aca="false">L61*Seg1_Tariff*LevTariff*$B$5*L43</f>
        <v>73944.8727136722</v>
      </c>
      <c r="M77" s="95" t="n">
        <f aca="false">M61*Seg1_Tariff*LevTariff*$B$5*M43</f>
        <v>78448.1154619348</v>
      </c>
      <c r="N77" s="95" t="n">
        <f aca="false">N61*Seg1_Tariff*LevTariff*$B$5*N43</f>
        <v>83225.6056935666</v>
      </c>
      <c r="O77" s="95" t="n">
        <f aca="false">O61*Seg1_Tariff*LevTariff*$B$5*O43</f>
        <v>88294.0450803048</v>
      </c>
      <c r="P77" s="95" t="n">
        <f aca="false">P61*Seg1_Tariff*LevTariff*$B$5*P43</f>
        <v>93671.1524256954</v>
      </c>
      <c r="Q77" s="95" t="n">
        <f aca="false">Q61*Seg1_Tariff*LevTariff*$B$5*Q43</f>
        <v>99375.7256084203</v>
      </c>
      <c r="R77" s="95" t="n">
        <f aca="false">R61*Seg1_Tariff*LevTariff*$B$5*R43</f>
        <v>105427.707297973</v>
      </c>
      <c r="S77" s="95" t="n">
        <f aca="false">S61*Seg1_Tariff*LevTariff*$B$5*S43</f>
        <v>111848.25467242</v>
      </c>
      <c r="T77" s="95" t="n">
        <f aca="false">T61*Seg1_Tariff*LevTariff*$B$5*T43</f>
        <v>118659.81338197</v>
      </c>
      <c r="U77" s="95" t="n">
        <f aca="false">U61*Seg1_Tariff*LevTariff*$B$5*U43</f>
        <v>125886.196016932</v>
      </c>
      <c r="V77" s="95" t="n">
        <f aca="false">V61*Seg1_Tariff*LevTariff*$B$5*V43</f>
        <v>133552.665354363</v>
      </c>
      <c r="W77" s="95" t="n">
        <f aca="false">W61*Seg1_Tariff*LevTariff*$B$5*W43</f>
        <v>141686.022674444</v>
      </c>
    </row>
    <row r="78" customFormat="false" ht="15" hidden="false" customHeight="false" outlineLevel="0" collapsed="false">
      <c r="A78" s="11" t="str">
        <f aca="false">"Billed revenue - "&amp;Seg2_Name</f>
        <v>Billed revenue - Productive users (mills, welding, cold rooms)</v>
      </c>
      <c r="B78" s="66" t="n">
        <f aca="false">SUM(C78:W78)</f>
        <v>1146255.70857628</v>
      </c>
      <c r="C78" s="95" t="n">
        <v>0</v>
      </c>
      <c r="D78" s="95" t="n">
        <f aca="false">D62*Seg2_Tariff*LevTariff*$B$5*D43</f>
        <v>18799.11936</v>
      </c>
      <c r="E78" s="95" t="n">
        <f aca="false">E62*Seg2_Tariff*LevTariff*$B$5*E43</f>
        <v>28253.979782784</v>
      </c>
      <c r="F78" s="95" t="n">
        <f aca="false">F62*Seg2_Tariff*LevTariff*$B$5*F43</f>
        <v>35264.2907665359</v>
      </c>
      <c r="G78" s="95" t="n">
        <f aca="false">G62*Seg2_Tariff*LevTariff*$B$5*G43</f>
        <v>37411.886074218</v>
      </c>
      <c r="H78" s="95" t="n">
        <f aca="false">H62*Seg2_Tariff*LevTariff*$B$5*H43</f>
        <v>39690.2699361379</v>
      </c>
      <c r="I78" s="95" t="n">
        <f aca="false">I62*Seg2_Tariff*LevTariff*$B$5*I43</f>
        <v>42107.4073752486</v>
      </c>
      <c r="J78" s="95" t="n">
        <f aca="false">J62*Seg2_Tariff*LevTariff*$B$5*J43</f>
        <v>44671.7484844013</v>
      </c>
      <c r="K78" s="95" t="n">
        <f aca="false">K62*Seg2_Tariff*LevTariff*$B$5*K43</f>
        <v>47392.2579671013</v>
      </c>
      <c r="L78" s="95" t="n">
        <f aca="false">L62*Seg2_Tariff*LevTariff*$B$5*L43</f>
        <v>50278.4464772978</v>
      </c>
      <c r="M78" s="95" t="n">
        <f aca="false">M62*Seg2_Tariff*LevTariff*$B$5*M43</f>
        <v>53340.4038677653</v>
      </c>
      <c r="N78" s="95" t="n">
        <f aca="false">N62*Seg2_Tariff*LevTariff*$B$5*N43</f>
        <v>56588.8344633122</v>
      </c>
      <c r="O78" s="95" t="n">
        <f aca="false">O62*Seg2_Tariff*LevTariff*$B$5*O43</f>
        <v>60035.0944821279</v>
      </c>
      <c r="P78" s="95" t="n">
        <f aca="false">P62*Seg2_Tariff*LevTariff*$B$5*P43</f>
        <v>63691.2317360894</v>
      </c>
      <c r="Q78" s="95" t="n">
        <f aca="false">Q62*Seg2_Tariff*LevTariff*$B$5*Q43</f>
        <v>67570.0277488173</v>
      </c>
      <c r="R78" s="95" t="n">
        <f aca="false">R62*Seg2_Tariff*LevTariff*$B$5*R43</f>
        <v>71685.0424387203</v>
      </c>
      <c r="S78" s="95" t="n">
        <f aca="false">S62*Seg2_Tariff*LevTariff*$B$5*S43</f>
        <v>76050.6615232384</v>
      </c>
      <c r="T78" s="95" t="n">
        <f aca="false">T62*Seg2_Tariff*LevTariff*$B$5*T43</f>
        <v>80682.1468100036</v>
      </c>
      <c r="U78" s="95" t="n">
        <f aca="false">U62*Seg2_Tariff*LevTariff*$B$5*U43</f>
        <v>85595.6895507328</v>
      </c>
      <c r="V78" s="95" t="n">
        <f aca="false">V62*Seg2_Tariff*LevTariff*$B$5*V43</f>
        <v>90808.4670443725</v>
      </c>
      <c r="W78" s="95" t="n">
        <f aca="false">W62*Seg2_Tariff*LevTariff*$B$5*W43</f>
        <v>96338.7026873747</v>
      </c>
    </row>
    <row r="79" customFormat="false" ht="15" hidden="false" customHeight="false" outlineLevel="0" collapsed="false">
      <c r="A79" s="11" t="str">
        <f aca="false">"Billed revenue - "&amp;Seg3_Name</f>
        <v>Billed revenue - Commercial (shops, bars, kiosks)</v>
      </c>
      <c r="B79" s="66" t="n">
        <f aca="false">SUM(C79:W79)</f>
        <v>702419.379861778</v>
      </c>
      <c r="C79" s="95" t="n">
        <v>0</v>
      </c>
      <c r="D79" s="95" t="n">
        <f aca="false">D63*Seg3_Tariff*LevTariff*$B$5*D43</f>
        <v>11520</v>
      </c>
      <c r="E79" s="95" t="n">
        <f aca="false">E63*Seg3_Tariff*LevTariff*$B$5*E43</f>
        <v>17313.888</v>
      </c>
      <c r="F79" s="95" t="n">
        <f aca="false">F63*Seg3_Tariff*LevTariff*$B$5*F43</f>
        <v>21609.769152</v>
      </c>
      <c r="G79" s="95" t="n">
        <f aca="false">G63*Seg3_Tariff*LevTariff*$B$5*G43</f>
        <v>22925.8040933568</v>
      </c>
      <c r="H79" s="95" t="n">
        <f aca="false">H63*Seg3_Tariff*LevTariff*$B$5*H43</f>
        <v>24321.9855626422</v>
      </c>
      <c r="I79" s="95" t="n">
        <f aca="false">I63*Seg3_Tariff*LevTariff*$B$5*I43</f>
        <v>25803.1944834072</v>
      </c>
      <c r="J79" s="95" t="n">
        <f aca="false">J63*Seg3_Tariff*LevTariff*$B$5*J43</f>
        <v>27374.6090274466</v>
      </c>
      <c r="K79" s="95" t="n">
        <f aca="false">K63*Seg3_Tariff*LevTariff*$B$5*K43</f>
        <v>29041.7227172182</v>
      </c>
      <c r="L79" s="95" t="n">
        <f aca="false">L63*Seg3_Tariff*LevTariff*$B$5*L43</f>
        <v>30810.3636306967</v>
      </c>
      <c r="M79" s="95" t="n">
        <f aca="false">M63*Seg3_Tariff*LevTariff*$B$5*M43</f>
        <v>32686.7147758062</v>
      </c>
      <c r="N79" s="95" t="n">
        <f aca="false">N63*Seg3_Tariff*LevTariff*$B$5*N43</f>
        <v>34677.3357056528</v>
      </c>
      <c r="O79" s="95" t="n">
        <f aca="false">O63*Seg3_Tariff*LevTariff*$B$5*O43</f>
        <v>36789.185450127</v>
      </c>
      <c r="P79" s="95" t="n">
        <f aca="false">P63*Seg3_Tariff*LevTariff*$B$5*P43</f>
        <v>39029.6468440398</v>
      </c>
      <c r="Q79" s="95" t="n">
        <f aca="false">Q63*Seg3_Tariff*LevTariff*$B$5*Q43</f>
        <v>41406.5523368418</v>
      </c>
      <c r="R79" s="95" t="n">
        <f aca="false">R63*Seg3_Tariff*LevTariff*$B$5*R43</f>
        <v>43928.2113741555</v>
      </c>
      <c r="S79" s="95" t="n">
        <f aca="false">S63*Seg3_Tariff*LevTariff*$B$5*S43</f>
        <v>46603.4394468415</v>
      </c>
      <c r="T79" s="95" t="n">
        <f aca="false">T63*Seg3_Tariff*LevTariff*$B$5*T43</f>
        <v>49441.5889091542</v>
      </c>
      <c r="U79" s="95" t="n">
        <f aca="false">U63*Seg3_Tariff*LevTariff*$B$5*U43</f>
        <v>52452.5816737217</v>
      </c>
      <c r="V79" s="95" t="n">
        <f aca="false">V63*Seg3_Tariff*LevTariff*$B$5*V43</f>
        <v>55646.9438976513</v>
      </c>
      <c r="W79" s="95" t="n">
        <f aca="false">W63*Seg3_Tariff*LevTariff*$B$5*W43</f>
        <v>59035.8427810183</v>
      </c>
    </row>
    <row r="80" customFormat="false" ht="15" hidden="false" customHeight="false" outlineLevel="0" collapsed="false">
      <c r="A80" s="11" t="str">
        <f aca="false">"Billed revenue - "&amp;Seg4_Name</f>
        <v>Billed revenue - Institutions (health centre, school, water)</v>
      </c>
      <c r="B80" s="66" t="n">
        <f aca="false">SUM(C80:W80)</f>
        <v>368770.174427433</v>
      </c>
      <c r="C80" s="95" t="n">
        <v>0</v>
      </c>
      <c r="D80" s="95" t="n">
        <f aca="false">D64*Seg4_Tariff*LevTariff*$B$5*D43</f>
        <v>6048</v>
      </c>
      <c r="E80" s="95" t="n">
        <f aca="false">E64*Seg4_Tariff*LevTariff*$B$5*E43</f>
        <v>9089.7912</v>
      </c>
      <c r="F80" s="95" t="n">
        <f aca="false">F64*Seg4_Tariff*LevTariff*$B$5*F43</f>
        <v>11345.1288048</v>
      </c>
      <c r="G80" s="95" t="n">
        <f aca="false">G64*Seg4_Tariff*LevTariff*$B$5*G43</f>
        <v>12036.0471490123</v>
      </c>
      <c r="H80" s="95" t="n">
        <f aca="false">H64*Seg4_Tariff*LevTariff*$B$5*H43</f>
        <v>12769.0424203872</v>
      </c>
      <c r="I80" s="95" t="n">
        <f aca="false">I64*Seg4_Tariff*LevTariff*$B$5*I43</f>
        <v>13546.6771037888</v>
      </c>
      <c r="J80" s="95" t="n">
        <f aca="false">J64*Seg4_Tariff*LevTariff*$B$5*J43</f>
        <v>14371.6697394095</v>
      </c>
      <c r="K80" s="95" t="n">
        <f aca="false">K64*Seg4_Tariff*LevTariff*$B$5*K43</f>
        <v>15246.9044265395</v>
      </c>
      <c r="L80" s="95" t="n">
        <f aca="false">L64*Seg4_Tariff*LevTariff*$B$5*L43</f>
        <v>16175.4409061158</v>
      </c>
      <c r="M80" s="95" t="n">
        <f aca="false">M64*Seg4_Tariff*LevTariff*$B$5*M43</f>
        <v>17160.5252572982</v>
      </c>
      <c r="N80" s="95" t="n">
        <f aca="false">N64*Seg4_Tariff*LevTariff*$B$5*N43</f>
        <v>18205.6012454677</v>
      </c>
      <c r="O80" s="95" t="n">
        <f aca="false">O64*Seg4_Tariff*LevTariff*$B$5*O43</f>
        <v>19314.3223613167</v>
      </c>
      <c r="P80" s="95" t="n">
        <f aca="false">P64*Seg4_Tariff*LevTariff*$B$5*P43</f>
        <v>20490.5645931209</v>
      </c>
      <c r="Q80" s="95" t="n">
        <f aca="false">Q64*Seg4_Tariff*LevTariff*$B$5*Q43</f>
        <v>21738.4399768419</v>
      </c>
      <c r="R80" s="95" t="n">
        <f aca="false">R64*Seg4_Tariff*LevTariff*$B$5*R43</f>
        <v>23062.3109714316</v>
      </c>
      <c r="S80" s="95" t="n">
        <f aca="false">S64*Seg4_Tariff*LevTariff*$B$5*S43</f>
        <v>24466.8057095918</v>
      </c>
      <c r="T80" s="95" t="n">
        <f aca="false">T64*Seg4_Tariff*LevTariff*$B$5*T43</f>
        <v>25956.8341773059</v>
      </c>
      <c r="U80" s="95" t="n">
        <f aca="false">U64*Seg4_Tariff*LevTariff*$B$5*U43</f>
        <v>27537.6053787039</v>
      </c>
      <c r="V80" s="95" t="n">
        <f aca="false">V64*Seg4_Tariff*LevTariff*$B$5*V43</f>
        <v>29214.6455462669</v>
      </c>
      <c r="W80" s="95" t="n">
        <f aca="false">W64*Seg4_Tariff*LevTariff*$B$5*W43</f>
        <v>30993.8174600346</v>
      </c>
    </row>
    <row r="81" customFormat="false" ht="15" hidden="false" customHeight="false" outlineLevel="0" collapsed="false">
      <c r="A81" s="11" t="str">
        <f aca="false">"Billed revenue - "&amp;Seg5_Name</f>
        <v>Billed revenue - Other / custom</v>
      </c>
      <c r="B81" s="66" t="n">
        <f aca="false">SUM(C81:W81)</f>
        <v>0</v>
      </c>
      <c r="C81" s="95" t="n">
        <v>0</v>
      </c>
      <c r="D81" s="95" t="n">
        <f aca="false">D65*Seg5_Tariff*LevTariff*$B$5*D43</f>
        <v>0</v>
      </c>
      <c r="E81" s="95" t="n">
        <f aca="false">E65*Seg5_Tariff*LevTariff*$B$5*E43</f>
        <v>0</v>
      </c>
      <c r="F81" s="95" t="n">
        <f aca="false">F65*Seg5_Tariff*LevTariff*$B$5*F43</f>
        <v>0</v>
      </c>
      <c r="G81" s="95" t="n">
        <f aca="false">G65*Seg5_Tariff*LevTariff*$B$5*G43</f>
        <v>0</v>
      </c>
      <c r="H81" s="95" t="n">
        <f aca="false">H65*Seg5_Tariff*LevTariff*$B$5*H43</f>
        <v>0</v>
      </c>
      <c r="I81" s="95" t="n">
        <f aca="false">I65*Seg5_Tariff*LevTariff*$B$5*I43</f>
        <v>0</v>
      </c>
      <c r="J81" s="95" t="n">
        <f aca="false">J65*Seg5_Tariff*LevTariff*$B$5*J43</f>
        <v>0</v>
      </c>
      <c r="K81" s="95" t="n">
        <f aca="false">K65*Seg5_Tariff*LevTariff*$B$5*K43</f>
        <v>0</v>
      </c>
      <c r="L81" s="95" t="n">
        <f aca="false">L65*Seg5_Tariff*LevTariff*$B$5*L43</f>
        <v>0</v>
      </c>
      <c r="M81" s="95" t="n">
        <f aca="false">M65*Seg5_Tariff*LevTariff*$B$5*M43</f>
        <v>0</v>
      </c>
      <c r="N81" s="95" t="n">
        <f aca="false">N65*Seg5_Tariff*LevTariff*$B$5*N43</f>
        <v>0</v>
      </c>
      <c r="O81" s="95" t="n">
        <f aca="false">O65*Seg5_Tariff*LevTariff*$B$5*O43</f>
        <v>0</v>
      </c>
      <c r="P81" s="95" t="n">
        <f aca="false">P65*Seg5_Tariff*LevTariff*$B$5*P43</f>
        <v>0</v>
      </c>
      <c r="Q81" s="95" t="n">
        <f aca="false">Q65*Seg5_Tariff*LevTariff*$B$5*Q43</f>
        <v>0</v>
      </c>
      <c r="R81" s="95" t="n">
        <f aca="false">R65*Seg5_Tariff*LevTariff*$B$5*R43</f>
        <v>0</v>
      </c>
      <c r="S81" s="95" t="n">
        <f aca="false">S65*Seg5_Tariff*LevTariff*$B$5*S43</f>
        <v>0</v>
      </c>
      <c r="T81" s="95" t="n">
        <f aca="false">T65*Seg5_Tariff*LevTariff*$B$5*T43</f>
        <v>0</v>
      </c>
      <c r="U81" s="95" t="n">
        <f aca="false">U65*Seg5_Tariff*LevTariff*$B$5*U43</f>
        <v>0</v>
      </c>
      <c r="V81" s="95" t="n">
        <f aca="false">V65*Seg5_Tariff*LevTariff*$B$5*V43</f>
        <v>0</v>
      </c>
      <c r="W81" s="95" t="n">
        <f aca="false">W65*Seg5_Tariff*LevTariff*$B$5*W43</f>
        <v>0</v>
      </c>
    </row>
    <row r="82" customFormat="false" ht="15" hidden="false" customHeight="false" outlineLevel="0" collapsed="false">
      <c r="A82" s="16" t="s">
        <v>431</v>
      </c>
      <c r="B82" s="66" t="n">
        <f aca="false">SUM(C82:W82)</f>
        <v>3903251.77453376</v>
      </c>
      <c r="C82" s="31" t="n">
        <f aca="false">C77+C78+C79+C80+C81</f>
        <v>0</v>
      </c>
      <c r="D82" s="31" t="n">
        <f aca="false">D77+D78+D79+D80+D81</f>
        <v>64015.11936</v>
      </c>
      <c r="E82" s="31" t="n">
        <f aca="false">E77+E78+E79+E80+E81</f>
        <v>96210.990182784</v>
      </c>
      <c r="F82" s="31" t="n">
        <f aca="false">F77+F78+F79+F80+F81</f>
        <v>120082.634688136</v>
      </c>
      <c r="G82" s="31" t="n">
        <f aca="false">G77+G78+G79+G80+G81</f>
        <v>127395.667140643</v>
      </c>
      <c r="H82" s="31" t="n">
        <f aca="false">H77+H78+H79+H80+H81</f>
        <v>135154.063269509</v>
      </c>
      <c r="I82" s="31" t="n">
        <f aca="false">I77+I78+I79+I80+I81</f>
        <v>143384.945722622</v>
      </c>
      <c r="J82" s="31" t="n">
        <f aca="false">J77+J78+J79+J80+J81</f>
        <v>152117.088917129</v>
      </c>
      <c r="K82" s="31" t="n">
        <f aca="false">K77+K78+K79+K80+K81</f>
        <v>161381.019632183</v>
      </c>
      <c r="L82" s="31" t="n">
        <f aca="false">L77+L78+L79+L80+L81</f>
        <v>171209.123727782</v>
      </c>
      <c r="M82" s="31" t="n">
        <f aca="false">M77+M78+M79+M80+M81</f>
        <v>181635.759362804</v>
      </c>
      <c r="N82" s="31" t="n">
        <f aca="false">N77+N78+N79+N80+N81</f>
        <v>192697.377107999</v>
      </c>
      <c r="O82" s="31" t="n">
        <f aca="false">O77+O78+O79+O80+O81</f>
        <v>204432.647373876</v>
      </c>
      <c r="P82" s="31" t="n">
        <f aca="false">P77+P78+P79+P80+P81</f>
        <v>216882.595598946</v>
      </c>
      <c r="Q82" s="31" t="n">
        <f aca="false">Q77+Q78+Q79+Q80+Q81</f>
        <v>230090.745670921</v>
      </c>
      <c r="R82" s="31" t="n">
        <f aca="false">R77+R78+R79+R80+R81</f>
        <v>244103.27208228</v>
      </c>
      <c r="S82" s="31" t="n">
        <f aca="false">S77+S78+S79+S80+S81</f>
        <v>258969.161352091</v>
      </c>
      <c r="T82" s="31" t="n">
        <f aca="false">T77+T78+T79+T80+T81</f>
        <v>274740.383278434</v>
      </c>
      <c r="U82" s="31" t="n">
        <f aca="false">U77+U78+U79+U80+U81</f>
        <v>291472.07262009</v>
      </c>
      <c r="V82" s="31" t="n">
        <f aca="false">V77+V78+V79+V80+V81</f>
        <v>309222.721842654</v>
      </c>
      <c r="W82" s="31" t="n">
        <f aca="false">W77+W78+W79+W80+W81</f>
        <v>328054.385602872</v>
      </c>
    </row>
    <row r="83" customFormat="false" ht="15" hidden="false" customHeight="false" outlineLevel="0" collapsed="false">
      <c r="A83" s="11" t="s">
        <v>432</v>
      </c>
      <c r="B83" s="66" t="n">
        <f aca="false">SUM(C83:W83)</f>
        <v>3590991.63257106</v>
      </c>
      <c r="C83" s="95" t="n">
        <v>0</v>
      </c>
      <c r="D83" s="95" t="n">
        <f aca="false">D82*MIN(1,Collection*LevColl*$B$9)</f>
        <v>58893.9098112</v>
      </c>
      <c r="E83" s="95" t="n">
        <f aca="false">E82*MIN(1,Collection*LevColl*$B$9)</f>
        <v>88514.1109681613</v>
      </c>
      <c r="F83" s="95" t="n">
        <f aca="false">F82*MIN(1,Collection*LevColl*$B$9)</f>
        <v>110476.023913085</v>
      </c>
      <c r="G83" s="95" t="n">
        <f aca="false">G82*MIN(1,Collection*LevColl*$B$9)</f>
        <v>117204.013769392</v>
      </c>
      <c r="H83" s="95" t="n">
        <f aca="false">H82*MIN(1,Collection*LevColl*$B$9)</f>
        <v>124341.738207948</v>
      </c>
      <c r="I83" s="95" t="n">
        <f aca="false">I82*MIN(1,Collection*LevColl*$B$9)</f>
        <v>131914.150064812</v>
      </c>
      <c r="J83" s="95" t="n">
        <f aca="false">J82*MIN(1,Collection*LevColl*$B$9)</f>
        <v>139947.721803759</v>
      </c>
      <c r="K83" s="95" t="n">
        <f aca="false">K82*MIN(1,Collection*LevColl*$B$9)</f>
        <v>148470.538061608</v>
      </c>
      <c r="L83" s="95" t="n">
        <f aca="false">L82*MIN(1,Collection*LevColl*$B$9)</f>
        <v>157512.39382956</v>
      </c>
      <c r="M83" s="95" t="n">
        <f aca="false">M82*MIN(1,Collection*LevColl*$B$9)</f>
        <v>167104.89861378</v>
      </c>
      <c r="N83" s="95" t="n">
        <f aca="false">N82*MIN(1,Collection*LevColl*$B$9)</f>
        <v>177281.586939359</v>
      </c>
      <c r="O83" s="95" t="n">
        <f aca="false">O82*MIN(1,Collection*LevColl*$B$9)</f>
        <v>188078.035583966</v>
      </c>
      <c r="P83" s="95" t="n">
        <f aca="false">P82*MIN(1,Collection*LevColl*$B$9)</f>
        <v>199531.98795103</v>
      </c>
      <c r="Q83" s="95" t="n">
        <f aca="false">Q82*MIN(1,Collection*LevColl*$B$9)</f>
        <v>211683.486017248</v>
      </c>
      <c r="R83" s="95" t="n">
        <f aca="false">R82*MIN(1,Collection*LevColl*$B$9)</f>
        <v>224575.010315698</v>
      </c>
      <c r="S83" s="95" t="n">
        <f aca="false">S82*MIN(1,Collection*LevColl*$B$9)</f>
        <v>238251.628443924</v>
      </c>
      <c r="T83" s="95" t="n">
        <f aca="false">T82*MIN(1,Collection*LevColl*$B$9)</f>
        <v>252761.152616159</v>
      </c>
      <c r="U83" s="95" t="n">
        <f aca="false">U82*MIN(1,Collection*LevColl*$B$9)</f>
        <v>268154.306810483</v>
      </c>
      <c r="V83" s="95" t="n">
        <f aca="false">V82*MIN(1,Collection*LevColl*$B$9)</f>
        <v>284484.904095242</v>
      </c>
      <c r="W83" s="95" t="n">
        <f aca="false">W82*MIN(1,Collection*LevColl*$B$9)</f>
        <v>301810.034754642</v>
      </c>
    </row>
    <row r="84" customFormat="false" ht="15" hidden="false" customHeight="false" outlineLevel="0" collapsed="false">
      <c r="A84" s="11" t="s">
        <v>433</v>
      </c>
      <c r="B84" s="66" t="n">
        <f aca="false">SUM(C84:W84)</f>
        <v>11500</v>
      </c>
      <c r="C84" s="95" t="n">
        <v>0</v>
      </c>
      <c r="D84" s="95" t="n">
        <f aca="false">D54*Seg1_Fee+D55*Seg2_Fee+D56*Seg3_Fee+D57*Seg4_Fee+D58*Seg5_Fee</f>
        <v>6900</v>
      </c>
      <c r="E84" s="95" t="n">
        <f aca="false">E54*Seg1_Fee+E55*Seg2_Fee+E56*Seg3_Fee+E57*Seg4_Fee+E58*Seg5_Fee</f>
        <v>2875</v>
      </c>
      <c r="F84" s="95" t="n">
        <f aca="false">F54*Seg1_Fee+F55*Seg2_Fee+F56*Seg3_Fee+F57*Seg4_Fee+F58*Seg5_Fee</f>
        <v>1725</v>
      </c>
      <c r="G84" s="95" t="n">
        <f aca="false">G54*Seg1_Fee+G55*Seg2_Fee+G56*Seg3_Fee+G57*Seg4_Fee+G58*Seg5_Fee</f>
        <v>0</v>
      </c>
      <c r="H84" s="95" t="n">
        <f aca="false">H54*Seg1_Fee+H55*Seg2_Fee+H56*Seg3_Fee+H57*Seg4_Fee+H58*Seg5_Fee</f>
        <v>0</v>
      </c>
      <c r="I84" s="95" t="n">
        <f aca="false">I54*Seg1_Fee+I55*Seg2_Fee+I56*Seg3_Fee+I57*Seg4_Fee+I58*Seg5_Fee</f>
        <v>0</v>
      </c>
      <c r="J84" s="95" t="n">
        <f aca="false">J54*Seg1_Fee+J55*Seg2_Fee+J56*Seg3_Fee+J57*Seg4_Fee+J58*Seg5_Fee</f>
        <v>0</v>
      </c>
      <c r="K84" s="95" t="n">
        <f aca="false">K54*Seg1_Fee+K55*Seg2_Fee+K56*Seg3_Fee+K57*Seg4_Fee+K58*Seg5_Fee</f>
        <v>0</v>
      </c>
      <c r="L84" s="95" t="n">
        <f aca="false">L54*Seg1_Fee+L55*Seg2_Fee+L56*Seg3_Fee+L57*Seg4_Fee+L58*Seg5_Fee</f>
        <v>0</v>
      </c>
      <c r="M84" s="95" t="n">
        <f aca="false">M54*Seg1_Fee+M55*Seg2_Fee+M56*Seg3_Fee+M57*Seg4_Fee+M58*Seg5_Fee</f>
        <v>0</v>
      </c>
      <c r="N84" s="95" t="n">
        <f aca="false">N54*Seg1_Fee+N55*Seg2_Fee+N56*Seg3_Fee+N57*Seg4_Fee+N58*Seg5_Fee</f>
        <v>0</v>
      </c>
      <c r="O84" s="95" t="n">
        <f aca="false">O54*Seg1_Fee+O55*Seg2_Fee+O56*Seg3_Fee+O57*Seg4_Fee+O58*Seg5_Fee</f>
        <v>0</v>
      </c>
      <c r="P84" s="95" t="n">
        <f aca="false">P54*Seg1_Fee+P55*Seg2_Fee+P56*Seg3_Fee+P57*Seg4_Fee+P58*Seg5_Fee</f>
        <v>0</v>
      </c>
      <c r="Q84" s="95" t="n">
        <f aca="false">Q54*Seg1_Fee+Q55*Seg2_Fee+Q56*Seg3_Fee+Q57*Seg4_Fee+Q58*Seg5_Fee</f>
        <v>0</v>
      </c>
      <c r="R84" s="95" t="n">
        <f aca="false">R54*Seg1_Fee+R55*Seg2_Fee+R56*Seg3_Fee+R57*Seg4_Fee+R58*Seg5_Fee</f>
        <v>0</v>
      </c>
      <c r="S84" s="95" t="n">
        <f aca="false">S54*Seg1_Fee+S55*Seg2_Fee+S56*Seg3_Fee+S57*Seg4_Fee+S58*Seg5_Fee</f>
        <v>0</v>
      </c>
      <c r="T84" s="95" t="n">
        <f aca="false">T54*Seg1_Fee+T55*Seg2_Fee+T56*Seg3_Fee+T57*Seg4_Fee+T58*Seg5_Fee</f>
        <v>0</v>
      </c>
      <c r="U84" s="95" t="n">
        <f aca="false">U54*Seg1_Fee+U55*Seg2_Fee+U56*Seg3_Fee+U57*Seg4_Fee+U58*Seg5_Fee</f>
        <v>0</v>
      </c>
      <c r="V84" s="95" t="n">
        <f aca="false">V54*Seg1_Fee+V55*Seg2_Fee+V56*Seg3_Fee+V57*Seg4_Fee+V58*Seg5_Fee</f>
        <v>0</v>
      </c>
      <c r="W84" s="95" t="n">
        <f aca="false">W54*Seg1_Fee+W55*Seg2_Fee+W56*Seg3_Fee+W57*Seg4_Fee+W58*Seg5_Fee</f>
        <v>0</v>
      </c>
    </row>
    <row r="85" customFormat="false" ht="15" hidden="false" customHeight="false" outlineLevel="0" collapsed="false">
      <c r="A85" s="16" t="s">
        <v>434</v>
      </c>
      <c r="B85" s="66" t="n">
        <f aca="false">SUM(C85:W85)</f>
        <v>3602491.63257106</v>
      </c>
      <c r="C85" s="31" t="n">
        <f aca="false">C83+C84</f>
        <v>0</v>
      </c>
      <c r="D85" s="31" t="n">
        <f aca="false">D83+D84</f>
        <v>65793.9098112</v>
      </c>
      <c r="E85" s="31" t="n">
        <f aca="false">E83+E84</f>
        <v>91389.1109681613</v>
      </c>
      <c r="F85" s="31" t="n">
        <f aca="false">F83+F84</f>
        <v>112201.023913085</v>
      </c>
      <c r="G85" s="31" t="n">
        <f aca="false">G83+G84</f>
        <v>117204.013769392</v>
      </c>
      <c r="H85" s="31" t="n">
        <f aca="false">H83+H84</f>
        <v>124341.738207948</v>
      </c>
      <c r="I85" s="31" t="n">
        <f aca="false">I83+I84</f>
        <v>131914.150064812</v>
      </c>
      <c r="J85" s="31" t="n">
        <f aca="false">J83+J84</f>
        <v>139947.721803759</v>
      </c>
      <c r="K85" s="31" t="n">
        <f aca="false">K83+K84</f>
        <v>148470.538061608</v>
      </c>
      <c r="L85" s="31" t="n">
        <f aca="false">L83+L84</f>
        <v>157512.39382956</v>
      </c>
      <c r="M85" s="31" t="n">
        <f aca="false">M83+M84</f>
        <v>167104.89861378</v>
      </c>
      <c r="N85" s="31" t="n">
        <f aca="false">N83+N84</f>
        <v>177281.586939359</v>
      </c>
      <c r="O85" s="31" t="n">
        <f aca="false">O83+O84</f>
        <v>188078.035583966</v>
      </c>
      <c r="P85" s="31" t="n">
        <f aca="false">P83+P84</f>
        <v>199531.98795103</v>
      </c>
      <c r="Q85" s="31" t="n">
        <f aca="false">Q83+Q84</f>
        <v>211683.486017248</v>
      </c>
      <c r="R85" s="31" t="n">
        <f aca="false">R83+R84</f>
        <v>224575.010315698</v>
      </c>
      <c r="S85" s="31" t="n">
        <f aca="false">S83+S84</f>
        <v>238251.628443924</v>
      </c>
      <c r="T85" s="31" t="n">
        <f aca="false">T83+T84</f>
        <v>252761.152616159</v>
      </c>
      <c r="U85" s="31" t="n">
        <f aca="false">U83+U84</f>
        <v>268154.306810483</v>
      </c>
      <c r="V85" s="31" t="n">
        <f aca="false">V83+V84</f>
        <v>284484.904095242</v>
      </c>
      <c r="W85" s="31" t="n">
        <f aca="false">W83+W84</f>
        <v>301810.034754642</v>
      </c>
    </row>
    <row r="87" customFormat="false" ht="15" hidden="false" customHeight="false" outlineLevel="0" collapsed="false">
      <c r="A87" s="9" t="s">
        <v>435</v>
      </c>
      <c r="B87" s="10"/>
      <c r="C87" s="10"/>
      <c r="D87" s="10"/>
      <c r="E87" s="10"/>
      <c r="F87" s="10"/>
      <c r="G87" s="10"/>
      <c r="H87" s="10"/>
      <c r="I87" s="10"/>
      <c r="J87" s="10"/>
      <c r="K87" s="10"/>
      <c r="L87" s="10"/>
      <c r="M87" s="10"/>
      <c r="N87" s="10"/>
      <c r="O87" s="10"/>
      <c r="P87" s="10"/>
      <c r="Q87" s="10"/>
      <c r="R87" s="10"/>
      <c r="S87" s="10"/>
      <c r="T87" s="10"/>
      <c r="U87" s="10"/>
      <c r="V87" s="10"/>
      <c r="W87" s="10"/>
    </row>
    <row r="88" customFormat="false" ht="15" hidden="false" customHeight="false" outlineLevel="0" collapsed="false">
      <c r="A88" s="11" t="s">
        <v>162</v>
      </c>
      <c r="B88" s="66" t="n">
        <f aca="false">SUM(C88:W88)</f>
        <v>679197.868676078</v>
      </c>
      <c r="C88" s="95" t="n">
        <v>0</v>
      </c>
      <c r="D88" s="95" t="n">
        <f aca="false">S_Demand_Lo!$B$15*O_FixedPct*D44*LevOpex*$B$8*D41</f>
        <v>25276.8292810589</v>
      </c>
      <c r="E88" s="95" t="n">
        <f aca="false">S_Demand_Lo!$B$15*O_FixedPct*E44*LevOpex*$B$8*E41</f>
        <v>26035.1341594906</v>
      </c>
      <c r="F88" s="95" t="n">
        <f aca="false">S_Demand_Lo!$B$15*O_FixedPct*F44*LevOpex*$B$8*F41</f>
        <v>26816.1881842753</v>
      </c>
      <c r="G88" s="95" t="n">
        <f aca="false">S_Demand_Lo!$B$15*O_FixedPct*G44*LevOpex*$B$8*G41</f>
        <v>27620.6738298036</v>
      </c>
      <c r="H88" s="95" t="n">
        <f aca="false">S_Demand_Lo!$B$15*O_FixedPct*H44*LevOpex*$B$8*H41</f>
        <v>28449.2940446977</v>
      </c>
      <c r="I88" s="95" t="n">
        <f aca="false">S_Demand_Lo!$B$15*O_FixedPct*I44*LevOpex*$B$8*I41</f>
        <v>29302.7728660386</v>
      </c>
      <c r="J88" s="95" t="n">
        <f aca="false">S_Demand_Lo!$B$15*O_FixedPct*J44*LevOpex*$B$8*J41</f>
        <v>30181.8560520198</v>
      </c>
      <c r="K88" s="95" t="n">
        <f aca="false">S_Demand_Lo!$B$15*O_FixedPct*K44*LevOpex*$B$8*K41</f>
        <v>31087.3117335804</v>
      </c>
      <c r="L88" s="95" t="n">
        <f aca="false">S_Demand_Lo!$B$15*O_FixedPct*L44*LevOpex*$B$8*L41</f>
        <v>32019.9310855878</v>
      </c>
      <c r="M88" s="95" t="n">
        <f aca="false">S_Demand_Lo!$B$15*O_FixedPct*M44*LevOpex*$B$8*M41</f>
        <v>32980.5290181554</v>
      </c>
      <c r="N88" s="95" t="n">
        <f aca="false">S_Demand_Lo!$B$15*O_FixedPct*N44*LevOpex*$B$8*N41</f>
        <v>33969.9448887001</v>
      </c>
      <c r="O88" s="95" t="n">
        <f aca="false">S_Demand_Lo!$B$15*O_FixedPct*O44*LevOpex*$B$8*O41</f>
        <v>34989.0432353611</v>
      </c>
      <c r="P88" s="95" t="n">
        <f aca="false">S_Demand_Lo!$B$15*O_FixedPct*P44*LevOpex*$B$8*P41</f>
        <v>36038.7145324219</v>
      </c>
      <c r="Q88" s="95" t="n">
        <f aca="false">S_Demand_Lo!$B$15*O_FixedPct*Q44*LevOpex*$B$8*Q41</f>
        <v>37119.8759683946</v>
      </c>
      <c r="R88" s="95" t="n">
        <f aca="false">S_Demand_Lo!$B$15*O_FixedPct*R44*LevOpex*$B$8*R41</f>
        <v>38233.4722474465</v>
      </c>
      <c r="S88" s="95" t="n">
        <f aca="false">S_Demand_Lo!$B$15*O_FixedPct*S44*LevOpex*$B$8*S41</f>
        <v>39380.4764148698</v>
      </c>
      <c r="T88" s="95" t="n">
        <f aca="false">S_Demand_Lo!$B$15*O_FixedPct*T44*LevOpex*$B$8*T41</f>
        <v>40561.8907073159</v>
      </c>
      <c r="U88" s="95" t="n">
        <f aca="false">S_Demand_Lo!$B$15*O_FixedPct*U44*LevOpex*$B$8*U41</f>
        <v>41778.7474285354</v>
      </c>
      <c r="V88" s="95" t="n">
        <f aca="false">S_Demand_Lo!$B$15*O_FixedPct*V44*LevOpex*$B$8*V41</f>
        <v>43032.1098513915</v>
      </c>
      <c r="W88" s="95" t="n">
        <f aca="false">S_Demand_Lo!$B$15*O_FixedPct*W44*LevOpex*$B$8*W41</f>
        <v>44323.0731469332</v>
      </c>
    </row>
    <row r="89" customFormat="false" ht="15" hidden="false" customHeight="false" outlineLevel="0" collapsed="false">
      <c r="A89" s="11" t="s">
        <v>436</v>
      </c>
      <c r="B89" s="66" t="n">
        <f aca="false">SUM(C89:W89)</f>
        <v>483666.740801648</v>
      </c>
      <c r="C89" s="95" t="n">
        <v>0</v>
      </c>
      <c r="D89" s="95" t="n">
        <f aca="false">O_Staff*D44*LevOpex*$B$8*D41</f>
        <v>18000</v>
      </c>
      <c r="E89" s="95" t="n">
        <f aca="false">O_Staff*E44*LevOpex*$B$8*E41</f>
        <v>18540</v>
      </c>
      <c r="F89" s="95" t="n">
        <f aca="false">O_Staff*F44*LevOpex*$B$8*F41</f>
        <v>19096.2</v>
      </c>
      <c r="G89" s="95" t="n">
        <f aca="false">O_Staff*G44*LevOpex*$B$8*G41</f>
        <v>19669.086</v>
      </c>
      <c r="H89" s="95" t="n">
        <f aca="false">O_Staff*H44*LevOpex*$B$8*H41</f>
        <v>20259.15858</v>
      </c>
      <c r="I89" s="95" t="n">
        <f aca="false">O_Staff*I44*LevOpex*$B$8*I41</f>
        <v>20866.9333374</v>
      </c>
      <c r="J89" s="95" t="n">
        <f aca="false">O_Staff*J44*LevOpex*$B$8*J41</f>
        <v>21492.941337522</v>
      </c>
      <c r="K89" s="95" t="n">
        <f aca="false">O_Staff*K44*LevOpex*$B$8*K41</f>
        <v>22137.7295776477</v>
      </c>
      <c r="L89" s="95" t="n">
        <f aca="false">O_Staff*L44*LevOpex*$B$8*L41</f>
        <v>22801.8614649771</v>
      </c>
      <c r="M89" s="95" t="n">
        <f aca="false">O_Staff*M44*LevOpex*$B$8*M41</f>
        <v>23485.9173089264</v>
      </c>
      <c r="N89" s="95" t="n">
        <f aca="false">O_Staff*N44*LevOpex*$B$8*N41</f>
        <v>24190.4948281942</v>
      </c>
      <c r="O89" s="95" t="n">
        <f aca="false">O_Staff*O44*LevOpex*$B$8*O41</f>
        <v>24916.20967304</v>
      </c>
      <c r="P89" s="95" t="n">
        <f aca="false">O_Staff*P44*LevOpex*$B$8*P41</f>
        <v>25663.6959632312</v>
      </c>
      <c r="Q89" s="95" t="n">
        <f aca="false">O_Staff*Q44*LevOpex*$B$8*Q41</f>
        <v>26433.6068421282</v>
      </c>
      <c r="R89" s="95" t="n">
        <f aca="false">O_Staff*R44*LevOpex*$B$8*R41</f>
        <v>27226.615047392</v>
      </c>
      <c r="S89" s="95" t="n">
        <f aca="false">O_Staff*S44*LevOpex*$B$8*S41</f>
        <v>28043.4134988138</v>
      </c>
      <c r="T89" s="95" t="n">
        <f aca="false">O_Staff*T44*LevOpex*$B$8*T41</f>
        <v>28884.7159037782</v>
      </c>
      <c r="U89" s="95" t="n">
        <f aca="false">O_Staff*U44*LevOpex*$B$8*U41</f>
        <v>29751.2573808915</v>
      </c>
      <c r="V89" s="95" t="n">
        <f aca="false">O_Staff*V44*LevOpex*$B$8*V41</f>
        <v>30643.7951023183</v>
      </c>
      <c r="W89" s="95" t="n">
        <f aca="false">O_Staff*W44*LevOpex*$B$8*W41</f>
        <v>31563.1089553878</v>
      </c>
    </row>
    <row r="90" customFormat="false" ht="15" hidden="false" customHeight="false" outlineLevel="0" collapsed="false">
      <c r="A90" s="11" t="s">
        <v>165</v>
      </c>
      <c r="B90" s="66" t="n">
        <f aca="false">SUM(C90:W90)</f>
        <v>156215.509795498</v>
      </c>
      <c r="C90" s="95" t="n">
        <v>0</v>
      </c>
      <c r="D90" s="95" t="n">
        <f aca="false">S_Demand_Lo!$B$14*O_InsPct*D44*LevOpex*$B$8*D41</f>
        <v>5813.67073464354</v>
      </c>
      <c r="E90" s="95" t="n">
        <f aca="false">S_Demand_Lo!$B$14*O_InsPct*E44*LevOpex*$B$8*E41</f>
        <v>5988.08085668284</v>
      </c>
      <c r="F90" s="95" t="n">
        <f aca="false">S_Demand_Lo!$B$14*O_InsPct*F44*LevOpex*$B$8*F41</f>
        <v>6167.72328238333</v>
      </c>
      <c r="G90" s="95" t="n">
        <f aca="false">S_Demand_Lo!$B$14*O_InsPct*G44*LevOpex*$B$8*G41</f>
        <v>6352.75498085483</v>
      </c>
      <c r="H90" s="95" t="n">
        <f aca="false">S_Demand_Lo!$B$14*O_InsPct*H44*LevOpex*$B$8*H41</f>
        <v>6543.33763028047</v>
      </c>
      <c r="I90" s="95" t="n">
        <f aca="false">S_Demand_Lo!$B$14*O_InsPct*I44*LevOpex*$B$8*I41</f>
        <v>6739.63775918889</v>
      </c>
      <c r="J90" s="95" t="n">
        <f aca="false">S_Demand_Lo!$B$14*O_InsPct*J44*LevOpex*$B$8*J41</f>
        <v>6941.82689196455</v>
      </c>
      <c r="K90" s="95" t="n">
        <f aca="false">S_Demand_Lo!$B$14*O_InsPct*K44*LevOpex*$B$8*K41</f>
        <v>7150.08169872349</v>
      </c>
      <c r="L90" s="95" t="n">
        <f aca="false">S_Demand_Lo!$B$14*O_InsPct*L44*LevOpex*$B$8*L41</f>
        <v>7364.5841496852</v>
      </c>
      <c r="M90" s="95" t="n">
        <f aca="false">S_Demand_Lo!$B$14*O_InsPct*M44*LevOpex*$B$8*M41</f>
        <v>7585.52167417575</v>
      </c>
      <c r="N90" s="95" t="n">
        <f aca="false">S_Demand_Lo!$B$14*O_InsPct*N44*LevOpex*$B$8*N41</f>
        <v>7813.08732440103</v>
      </c>
      <c r="O90" s="95" t="n">
        <f aca="false">S_Demand_Lo!$B$14*O_InsPct*O44*LevOpex*$B$8*O41</f>
        <v>8047.47994413306</v>
      </c>
      <c r="P90" s="95" t="n">
        <f aca="false">S_Demand_Lo!$B$14*O_InsPct*P44*LevOpex*$B$8*P41</f>
        <v>8288.90434245705</v>
      </c>
      <c r="Q90" s="95" t="n">
        <f aca="false">S_Demand_Lo!$B$14*O_InsPct*Q44*LevOpex*$B$8*Q41</f>
        <v>8537.57147273076</v>
      </c>
      <c r="R90" s="95" t="n">
        <f aca="false">S_Demand_Lo!$B$14*O_InsPct*R44*LevOpex*$B$8*R41</f>
        <v>8793.69861691268</v>
      </c>
      <c r="S90" s="95" t="n">
        <f aca="false">S_Demand_Lo!$B$14*O_InsPct*S44*LevOpex*$B$8*S41</f>
        <v>9057.50957542006</v>
      </c>
      <c r="T90" s="95" t="n">
        <f aca="false">S_Demand_Lo!$B$14*O_InsPct*T44*LevOpex*$B$8*T41</f>
        <v>9329.23486268267</v>
      </c>
      <c r="U90" s="95" t="n">
        <f aca="false">S_Demand_Lo!$B$14*O_InsPct*U44*LevOpex*$B$8*U41</f>
        <v>9609.11190856315</v>
      </c>
      <c r="V90" s="95" t="n">
        <f aca="false">S_Demand_Lo!$B$14*O_InsPct*V44*LevOpex*$B$8*V41</f>
        <v>9897.38526582004</v>
      </c>
      <c r="W90" s="95" t="n">
        <f aca="false">S_Demand_Lo!$B$14*O_InsPct*W44*LevOpex*$B$8*W41</f>
        <v>10194.3068237946</v>
      </c>
    </row>
    <row r="91" customFormat="false" ht="15" hidden="false" customHeight="false" outlineLevel="0" collapsed="false">
      <c r="A91" s="11" t="s">
        <v>437</v>
      </c>
      <c r="B91" s="66" t="n">
        <f aca="false">SUM(C91:W91)</f>
        <v>80611.1234669414</v>
      </c>
      <c r="C91" s="95" t="n">
        <v>0</v>
      </c>
      <c r="D91" s="95" t="n">
        <f aca="false">O_Fees*D44*LevOpex*$B$8*D41</f>
        <v>3000</v>
      </c>
      <c r="E91" s="95" t="n">
        <f aca="false">O_Fees*E44*LevOpex*$B$8*E41</f>
        <v>3090</v>
      </c>
      <c r="F91" s="95" t="n">
        <f aca="false">O_Fees*F44*LevOpex*$B$8*F41</f>
        <v>3182.7</v>
      </c>
      <c r="G91" s="95" t="n">
        <f aca="false">O_Fees*G44*LevOpex*$B$8*G41</f>
        <v>3278.181</v>
      </c>
      <c r="H91" s="95" t="n">
        <f aca="false">O_Fees*H44*LevOpex*$B$8*H41</f>
        <v>3376.52643</v>
      </c>
      <c r="I91" s="95" t="n">
        <f aca="false">O_Fees*I44*LevOpex*$B$8*I41</f>
        <v>3477.8222229</v>
      </c>
      <c r="J91" s="95" t="n">
        <f aca="false">O_Fees*J44*LevOpex*$B$8*J41</f>
        <v>3582.156889587</v>
      </c>
      <c r="K91" s="95" t="n">
        <f aca="false">O_Fees*K44*LevOpex*$B$8*K41</f>
        <v>3689.62159627461</v>
      </c>
      <c r="L91" s="95" t="n">
        <f aca="false">O_Fees*L44*LevOpex*$B$8*L41</f>
        <v>3800.31024416285</v>
      </c>
      <c r="M91" s="95" t="n">
        <f aca="false">O_Fees*M44*LevOpex*$B$8*M41</f>
        <v>3914.31955148773</v>
      </c>
      <c r="N91" s="95" t="n">
        <f aca="false">O_Fees*N44*LevOpex*$B$8*N41</f>
        <v>4031.74913803237</v>
      </c>
      <c r="O91" s="95" t="n">
        <f aca="false">O_Fees*O44*LevOpex*$B$8*O41</f>
        <v>4152.70161217334</v>
      </c>
      <c r="P91" s="95" t="n">
        <f aca="false">O_Fees*P44*LevOpex*$B$8*P41</f>
        <v>4277.28266053854</v>
      </c>
      <c r="Q91" s="95" t="n">
        <f aca="false">O_Fees*Q44*LevOpex*$B$8*Q41</f>
        <v>4405.60114035469</v>
      </c>
      <c r="R91" s="95" t="n">
        <f aca="false">O_Fees*R44*LevOpex*$B$8*R41</f>
        <v>4537.76917456534</v>
      </c>
      <c r="S91" s="95" t="n">
        <f aca="false">O_Fees*S44*LevOpex*$B$8*S41</f>
        <v>4673.9022498023</v>
      </c>
      <c r="T91" s="95" t="n">
        <f aca="false">O_Fees*T44*LevOpex*$B$8*T41</f>
        <v>4814.11931729637</v>
      </c>
      <c r="U91" s="95" t="n">
        <f aca="false">O_Fees*U44*LevOpex*$B$8*U41</f>
        <v>4958.54289681526</v>
      </c>
      <c r="V91" s="95" t="n">
        <f aca="false">O_Fees*V44*LevOpex*$B$8*V41</f>
        <v>5107.29918371971</v>
      </c>
      <c r="W91" s="95" t="n">
        <f aca="false">O_Fees*W44*LevOpex*$B$8*W41</f>
        <v>5260.51815923131</v>
      </c>
    </row>
    <row r="92" customFormat="false" ht="15" hidden="false" customHeight="false" outlineLevel="0" collapsed="false">
      <c r="A92" s="11" t="s">
        <v>438</v>
      </c>
      <c r="B92" s="66" t="n">
        <f aca="false">SUM(C92:W92)</f>
        <v>107481.497955922</v>
      </c>
      <c r="C92" s="95" t="n">
        <v>0</v>
      </c>
      <c r="D92" s="95" t="n">
        <f aca="false">O_MRV*D44*LevOpex*$B$8*D41</f>
        <v>4000</v>
      </c>
      <c r="E92" s="95" t="n">
        <f aca="false">O_MRV*E44*LevOpex*$B$8*E41</f>
        <v>4120</v>
      </c>
      <c r="F92" s="95" t="n">
        <f aca="false">O_MRV*F44*LevOpex*$B$8*F41</f>
        <v>4243.6</v>
      </c>
      <c r="G92" s="95" t="n">
        <f aca="false">O_MRV*G44*LevOpex*$B$8*G41</f>
        <v>4370.908</v>
      </c>
      <c r="H92" s="95" t="n">
        <f aca="false">O_MRV*H44*LevOpex*$B$8*H41</f>
        <v>4502.03524</v>
      </c>
      <c r="I92" s="95" t="n">
        <f aca="false">O_MRV*I44*LevOpex*$B$8*I41</f>
        <v>4637.0962972</v>
      </c>
      <c r="J92" s="95" t="n">
        <f aca="false">O_MRV*J44*LevOpex*$B$8*J41</f>
        <v>4776.209186116</v>
      </c>
      <c r="K92" s="95" t="n">
        <f aca="false">O_MRV*K44*LevOpex*$B$8*K41</f>
        <v>4919.49546169948</v>
      </c>
      <c r="L92" s="95" t="n">
        <f aca="false">O_MRV*L44*LevOpex*$B$8*L41</f>
        <v>5067.08032555047</v>
      </c>
      <c r="M92" s="95" t="n">
        <f aca="false">O_MRV*M44*LevOpex*$B$8*M41</f>
        <v>5219.09273531698</v>
      </c>
      <c r="N92" s="95" t="n">
        <f aca="false">O_MRV*N44*LevOpex*$B$8*N41</f>
        <v>5375.66551737649</v>
      </c>
      <c r="O92" s="95" t="n">
        <f aca="false">O_MRV*O44*LevOpex*$B$8*O41</f>
        <v>5536.93548289778</v>
      </c>
      <c r="P92" s="95" t="n">
        <f aca="false">O_MRV*P44*LevOpex*$B$8*P41</f>
        <v>5703.04354738472</v>
      </c>
      <c r="Q92" s="95" t="n">
        <f aca="false">O_MRV*Q44*LevOpex*$B$8*Q41</f>
        <v>5874.13485380626</v>
      </c>
      <c r="R92" s="95" t="n">
        <f aca="false">O_MRV*R44*LevOpex*$B$8*R41</f>
        <v>6050.35889942045</v>
      </c>
      <c r="S92" s="95" t="n">
        <f aca="false">O_MRV*S44*LevOpex*$B$8*S41</f>
        <v>6231.86966640306</v>
      </c>
      <c r="T92" s="95" t="n">
        <f aca="false">O_MRV*T44*LevOpex*$B$8*T41</f>
        <v>6418.82575639515</v>
      </c>
      <c r="U92" s="95" t="n">
        <f aca="false">O_MRV*U44*LevOpex*$B$8*U41</f>
        <v>6611.39052908701</v>
      </c>
      <c r="V92" s="95" t="n">
        <f aca="false">O_MRV*V44*LevOpex*$B$8*V41</f>
        <v>6809.73224495962</v>
      </c>
      <c r="W92" s="95" t="n">
        <f aca="false">O_MRV*W44*LevOpex*$B$8*W41</f>
        <v>7014.02421230841</v>
      </c>
    </row>
    <row r="93" customFormat="false" ht="15" hidden="false" customHeight="false" outlineLevel="0" collapsed="false">
      <c r="A93" s="11" t="s">
        <v>439</v>
      </c>
      <c r="B93" s="66" t="n">
        <f aca="false">SUM(C93:W93)</f>
        <v>108074.748977132</v>
      </c>
      <c r="C93" s="95" t="n">
        <v>0</v>
      </c>
      <c r="D93" s="95" t="n">
        <f aca="false">D85*O_CustPct</f>
        <v>1973.817294336</v>
      </c>
      <c r="E93" s="95" t="n">
        <f aca="false">E85*O_CustPct</f>
        <v>2741.67332904484</v>
      </c>
      <c r="F93" s="95" t="n">
        <f aca="false">F85*O_CustPct</f>
        <v>3366.03071739255</v>
      </c>
      <c r="G93" s="95" t="n">
        <f aca="false">G85*O_CustPct</f>
        <v>3516.12041308176</v>
      </c>
      <c r="H93" s="95" t="n">
        <f aca="false">H85*O_CustPct</f>
        <v>3730.25214623844</v>
      </c>
      <c r="I93" s="95" t="n">
        <f aca="false">I85*O_CustPct</f>
        <v>3957.42450194436</v>
      </c>
      <c r="J93" s="95" t="n">
        <f aca="false">J85*O_CustPct</f>
        <v>4198.43165411277</v>
      </c>
      <c r="K93" s="95" t="n">
        <f aca="false">K85*O_CustPct</f>
        <v>4454.11614184824</v>
      </c>
      <c r="L93" s="95" t="n">
        <f aca="false">L85*O_CustPct</f>
        <v>4725.3718148868</v>
      </c>
      <c r="M93" s="95" t="n">
        <f aca="false">M85*O_CustPct</f>
        <v>5013.1469584134</v>
      </c>
      <c r="N93" s="95" t="n">
        <f aca="false">N85*O_CustPct</f>
        <v>5318.44760818078</v>
      </c>
      <c r="O93" s="95" t="n">
        <f aca="false">O85*O_CustPct</f>
        <v>5642.34106751899</v>
      </c>
      <c r="P93" s="95" t="n">
        <f aca="false">P85*O_CustPct</f>
        <v>5985.9596385309</v>
      </c>
      <c r="Q93" s="95" t="n">
        <f aca="false">Q85*O_CustPct</f>
        <v>6350.50458051743</v>
      </c>
      <c r="R93" s="95" t="n">
        <f aca="false">R85*O_CustPct</f>
        <v>6737.25030947094</v>
      </c>
      <c r="S93" s="95" t="n">
        <f aca="false">S85*O_CustPct</f>
        <v>7147.54885331772</v>
      </c>
      <c r="T93" s="95" t="n">
        <f aca="false">T85*O_CustPct</f>
        <v>7582.83457848477</v>
      </c>
      <c r="U93" s="95" t="n">
        <f aca="false">U85*O_CustPct</f>
        <v>8044.62920431449</v>
      </c>
      <c r="V93" s="95" t="n">
        <f aca="false">V85*O_CustPct</f>
        <v>8534.54712285725</v>
      </c>
      <c r="W93" s="95" t="n">
        <f aca="false">W85*O_CustPct</f>
        <v>9054.30104263925</v>
      </c>
    </row>
    <row r="94" customFormat="false" ht="15" hidden="false" customHeight="false" outlineLevel="0" collapsed="false">
      <c r="A94" s="11" t="s">
        <v>440</v>
      </c>
      <c r="B94" s="66" t="n">
        <f aca="false">SUM(C94:W94)</f>
        <v>55169.7668602571</v>
      </c>
      <c r="C94" s="95" t="n">
        <v>0</v>
      </c>
      <c r="D94" s="95" t="n">
        <f aca="false">D72*O_DieselOM*D44*LevOpex*$B$8</f>
        <v>575.835578181818</v>
      </c>
      <c r="E94" s="95" t="n">
        <f aca="false">E72*O_DieselOM*E44*LevOpex*$B$8</f>
        <v>865.447283598545</v>
      </c>
      <c r="F94" s="95" t="n">
        <f aca="false">F72*O_DieselOM*F44*LevOpex*$B$8</f>
        <v>1080.18002725847</v>
      </c>
      <c r="G94" s="95" t="n">
        <f aca="false">G72*O_DieselOM*G44*LevOpex*$B$8</f>
        <v>1145.96299091851</v>
      </c>
      <c r="H94" s="95" t="n">
        <f aca="false">H72*O_DieselOM*H44*LevOpex*$B$8</f>
        <v>1215.75213706544</v>
      </c>
      <c r="I94" s="95" t="n">
        <f aca="false">I72*O_DieselOM*I44*LevOpex*$B$8</f>
        <v>1289.79144221273</v>
      </c>
      <c r="J94" s="95" t="n">
        <f aca="false">J72*O_DieselOM*J44*LevOpex*$B$8</f>
        <v>1368.33974104349</v>
      </c>
      <c r="K94" s="95" t="n">
        <f aca="false">K72*O_DieselOM*K44*LevOpex*$B$8</f>
        <v>1451.67163127303</v>
      </c>
      <c r="L94" s="95" t="n">
        <f aca="false">L72*O_DieselOM*L44*LevOpex*$B$8</f>
        <v>1540.07843361756</v>
      </c>
      <c r="M94" s="95" t="n">
        <f aca="false">M72*O_DieselOM*M44*LevOpex*$B$8</f>
        <v>1633.86921022487</v>
      </c>
      <c r="N94" s="95" t="n">
        <f aca="false">N72*O_DieselOM*N44*LevOpex*$B$8</f>
        <v>1733.37184512757</v>
      </c>
      <c r="O94" s="95" t="n">
        <f aca="false">O72*O_DieselOM*O44*LevOpex*$B$8</f>
        <v>1838.93419049583</v>
      </c>
      <c r="P94" s="95" t="n">
        <f aca="false">P72*O_DieselOM*P44*LevOpex*$B$8</f>
        <v>1950.92528269703</v>
      </c>
      <c r="Q94" s="95" t="n">
        <f aca="false">Q72*O_DieselOM*Q44*LevOpex*$B$8</f>
        <v>2573.28396265061</v>
      </c>
      <c r="R94" s="95" t="n">
        <f aca="false">R72*O_DieselOM*R44*LevOpex*$B$8</f>
        <v>3383.37012510746</v>
      </c>
      <c r="S94" s="95" t="n">
        <f aca="false">S72*O_DieselOM*S44*LevOpex*$B$8</f>
        <v>4259.02685811086</v>
      </c>
      <c r="T94" s="95" t="n">
        <f aca="false">T72*O_DieselOM*T44*LevOpex*$B$8</f>
        <v>5204.65088203992</v>
      </c>
      <c r="U94" s="95" t="n">
        <f aca="false">U72*O_DieselOM*U44*LevOpex*$B$8</f>
        <v>6224.91670383976</v>
      </c>
      <c r="V94" s="95" t="n">
        <f aca="false">V72*O_DieselOM*V44*LevOpex*$B$8</f>
        <v>7324.79378337684</v>
      </c>
      <c r="W94" s="95" t="n">
        <f aca="false">W72*O_DieselOM*W44*LevOpex*$B$8</f>
        <v>8509.56475141672</v>
      </c>
    </row>
    <row r="95" customFormat="false" ht="15" hidden="false" customHeight="false" outlineLevel="0" collapsed="false">
      <c r="A95" s="11" t="s">
        <v>441</v>
      </c>
      <c r="B95" s="66" t="n">
        <f aca="false">SUM(C95:W95)</f>
        <v>735596.891470094</v>
      </c>
      <c r="C95" s="95" t="n">
        <v>0</v>
      </c>
      <c r="D95" s="95" t="n">
        <f aca="false">D74*FuelPrice*LevFuel*$B$10*D44</f>
        <v>7677.80770909091</v>
      </c>
      <c r="E95" s="95" t="n">
        <f aca="false">E74*FuelPrice*LevFuel*$B$10*E44</f>
        <v>11539.2971146473</v>
      </c>
      <c r="F95" s="95" t="n">
        <f aca="false">F74*FuelPrice*LevFuel*$B$10*F44</f>
        <v>14402.4003634462</v>
      </c>
      <c r="G95" s="95" t="n">
        <f aca="false">G74*FuelPrice*LevFuel*$B$10*G44</f>
        <v>15279.5065455801</v>
      </c>
      <c r="H95" s="95" t="n">
        <f aca="false">H74*FuelPrice*LevFuel*$B$10*H44</f>
        <v>16210.0284942059</v>
      </c>
      <c r="I95" s="95" t="n">
        <f aca="false">I74*FuelPrice*LevFuel*$B$10*I44</f>
        <v>17197.2192295031</v>
      </c>
      <c r="J95" s="95" t="n">
        <f aca="false">J74*FuelPrice*LevFuel*$B$10*J44</f>
        <v>18244.5298805798</v>
      </c>
      <c r="K95" s="95" t="n">
        <f aca="false">K74*FuelPrice*LevFuel*$B$10*K44</f>
        <v>19355.6217503071</v>
      </c>
      <c r="L95" s="95" t="n">
        <f aca="false">L74*FuelPrice*LevFuel*$B$10*L44</f>
        <v>20534.3791149008</v>
      </c>
      <c r="M95" s="95" t="n">
        <f aca="false">M74*FuelPrice*LevFuel*$B$10*M44</f>
        <v>21784.9228029983</v>
      </c>
      <c r="N95" s="95" t="n">
        <f aca="false">N74*FuelPrice*LevFuel*$B$10*N44</f>
        <v>23111.6246017009</v>
      </c>
      <c r="O95" s="95" t="n">
        <f aca="false">O74*FuelPrice*LevFuel*$B$10*O44</f>
        <v>24519.1225399445</v>
      </c>
      <c r="P95" s="95" t="n">
        <f aca="false">P74*FuelPrice*LevFuel*$B$10*P44</f>
        <v>26012.3371026271</v>
      </c>
      <c r="Q95" s="95" t="n">
        <f aca="false">Q74*FuelPrice*LevFuel*$B$10*Q44</f>
        <v>34310.4528353415</v>
      </c>
      <c r="R95" s="95" t="n">
        <f aca="false">R74*FuelPrice*LevFuel*$B$10*R44</f>
        <v>45111.6016680995</v>
      </c>
      <c r="S95" s="95" t="n">
        <f aca="false">S74*FuelPrice*LevFuel*$B$10*S44</f>
        <v>56787.0247748114</v>
      </c>
      <c r="T95" s="95" t="n">
        <f aca="false">T74*FuelPrice*LevFuel*$B$10*T44</f>
        <v>69395.3450938655</v>
      </c>
      <c r="U95" s="95" t="n">
        <f aca="false">U74*FuelPrice*LevFuel*$B$10*U44</f>
        <v>82998.8893845302</v>
      </c>
      <c r="V95" s="95" t="n">
        <f aca="false">V74*FuelPrice*LevFuel*$B$10*V44</f>
        <v>97663.9171116912</v>
      </c>
      <c r="W95" s="95" t="n">
        <f aca="false">W74*FuelPrice*LevFuel*$B$10*W44</f>
        <v>113460.863352223</v>
      </c>
    </row>
    <row r="96" customFormat="false" ht="15" hidden="false" customHeight="false" outlineLevel="0" collapsed="false">
      <c r="A96" s="16" t="s">
        <v>442</v>
      </c>
      <c r="B96" s="66" t="n">
        <f aca="false">SUM(C96:W96)</f>
        <v>2406014.14800357</v>
      </c>
      <c r="C96" s="31" t="n">
        <f aca="false">C88+C89+C90+C91+C92+C93+C94+C95</f>
        <v>0</v>
      </c>
      <c r="D96" s="31" t="n">
        <f aca="false">D88+D89+D90+D91+D92+D93+D94+D95</f>
        <v>66317.9605973111</v>
      </c>
      <c r="E96" s="31" t="n">
        <f aca="false">E88+E89+E90+E91+E92+E93+E94+E95</f>
        <v>72919.6327434641</v>
      </c>
      <c r="F96" s="31" t="n">
        <f aca="false">F88+F89+F90+F91+F92+F93+F94+F95</f>
        <v>78355.0225747559</v>
      </c>
      <c r="G96" s="31" t="n">
        <f aca="false">G88+G89+G90+G91+G92+G93+G94+G95</f>
        <v>81233.1937602388</v>
      </c>
      <c r="H96" s="31" t="n">
        <f aca="false">H88+H89+H90+H91+H92+H93+H94+H95</f>
        <v>84286.384702488</v>
      </c>
      <c r="I96" s="31" t="n">
        <f aca="false">I88+I89+I90+I91+I92+I93+I94+I95</f>
        <v>87468.6976563877</v>
      </c>
      <c r="J96" s="31" t="n">
        <f aca="false">J88+J89+J90+J91+J92+J93+J94+J95</f>
        <v>90786.2916329455</v>
      </c>
      <c r="K96" s="31" t="n">
        <f aca="false">K88+K89+K90+K91+K92+K93+K94+K95</f>
        <v>94245.649591354</v>
      </c>
      <c r="L96" s="31" t="n">
        <f aca="false">L88+L89+L90+L91+L92+L93+L94+L95</f>
        <v>97853.5966333686</v>
      </c>
      <c r="M96" s="31" t="n">
        <f aca="false">M88+M89+M90+M91+M92+M93+M94+M95</f>
        <v>101617.319259699</v>
      </c>
      <c r="N96" s="31" t="n">
        <f aca="false">N88+N89+N90+N91+N92+N93+N94+N95</f>
        <v>105544.385751713</v>
      </c>
      <c r="O96" s="31" t="n">
        <f aca="false">O88+O89+O90+O91+O92+O93+O94+O95</f>
        <v>109642.767745565</v>
      </c>
      <c r="P96" s="31" t="n">
        <f aca="false">P88+P89+P90+P91+P92+P93+P94+P95</f>
        <v>113920.863069889</v>
      </c>
      <c r="Q96" s="31" t="n">
        <f aca="false">Q88+Q89+Q90+Q91+Q92+Q93+Q94+Q95</f>
        <v>125605.031655924</v>
      </c>
      <c r="R96" s="31" t="n">
        <f aca="false">R88+R89+R90+R91+R92+R93+R94+R95</f>
        <v>140074.136088415</v>
      </c>
      <c r="S96" s="31" t="n">
        <f aca="false">S88+S89+S90+S91+S92+S93+S94+S95</f>
        <v>155580.771891549</v>
      </c>
      <c r="T96" s="31" t="n">
        <f aca="false">T88+T89+T90+T91+T92+T93+T94+T95</f>
        <v>172191.617101859</v>
      </c>
      <c r="U96" s="31" t="n">
        <f aca="false">U88+U89+U90+U91+U92+U93+U94+U95</f>
        <v>189977.485436577</v>
      </c>
      <c r="V96" s="31" t="n">
        <f aca="false">V88+V89+V90+V91+V92+V93+V94+V95</f>
        <v>209013.579666134</v>
      </c>
      <c r="W96" s="31" t="n">
        <f aca="false">W88+W89+W90+W91+W92+W93+W94+W95</f>
        <v>229379.760443934</v>
      </c>
    </row>
    <row r="98" customFormat="false" ht="15" hidden="false" customHeight="false" outlineLevel="0" collapsed="false">
      <c r="A98" s="16" t="s">
        <v>443</v>
      </c>
      <c r="B98" s="66" t="n">
        <f aca="false">SUM(C98:W98)</f>
        <v>1196477.48456748</v>
      </c>
      <c r="C98" s="31" t="n">
        <f aca="false">C85-C96</f>
        <v>0</v>
      </c>
      <c r="D98" s="31" t="n">
        <f aca="false">D85-D96</f>
        <v>-524.050786111126</v>
      </c>
      <c r="E98" s="31" t="n">
        <f aca="false">E85-E96</f>
        <v>18469.4782246972</v>
      </c>
      <c r="F98" s="31" t="n">
        <f aca="false">F85-F96</f>
        <v>33846.0013383292</v>
      </c>
      <c r="G98" s="31" t="n">
        <f aca="false">G85-G96</f>
        <v>35970.8200091532</v>
      </c>
      <c r="H98" s="31" t="n">
        <f aca="false">H85-H96</f>
        <v>40055.35350546</v>
      </c>
      <c r="I98" s="31" t="n">
        <f aca="false">I85-I96</f>
        <v>44445.4524084242</v>
      </c>
      <c r="J98" s="31" t="n">
        <f aca="false">J85-J96</f>
        <v>49161.4301708136</v>
      </c>
      <c r="K98" s="31" t="n">
        <f aca="false">K85-K96</f>
        <v>54224.8884702539</v>
      </c>
      <c r="L98" s="31" t="n">
        <f aca="false">L85-L96</f>
        <v>59658.7971961913</v>
      </c>
      <c r="M98" s="31" t="n">
        <f aca="false">M85-M96</f>
        <v>65487.5793540812</v>
      </c>
      <c r="N98" s="31" t="n">
        <f aca="false">N85-N96</f>
        <v>71737.2011876459</v>
      </c>
      <c r="O98" s="31" t="n">
        <f aca="false">O85-O96</f>
        <v>78435.2678384017</v>
      </c>
      <c r="P98" s="31" t="n">
        <f aca="false">P85-P96</f>
        <v>85611.1248811414</v>
      </c>
      <c r="Q98" s="31" t="n">
        <f aca="false">Q85-Q96</f>
        <v>86078.4543613236</v>
      </c>
      <c r="R98" s="31" t="n">
        <f aca="false">R85-R96</f>
        <v>84500.8742272832</v>
      </c>
      <c r="S98" s="31" t="n">
        <f aca="false">S85-S96</f>
        <v>82670.856552375</v>
      </c>
      <c r="T98" s="31" t="n">
        <f aca="false">T85-T96</f>
        <v>80569.5355143005</v>
      </c>
      <c r="U98" s="31" t="n">
        <f aca="false">U85-U96</f>
        <v>78176.8213739063</v>
      </c>
      <c r="V98" s="31" t="n">
        <f aca="false">V85-V96</f>
        <v>75471.3244291071</v>
      </c>
      <c r="W98" s="31" t="n">
        <f aca="false">W85-W96</f>
        <v>72430.2743107074</v>
      </c>
    </row>
    <row r="99" customFormat="false" ht="15" hidden="false" customHeight="false" outlineLevel="0" collapsed="false">
      <c r="A99" s="11" t="s">
        <v>444</v>
      </c>
      <c r="C99" s="91" t="n">
        <v>0</v>
      </c>
      <c r="D99" s="91" t="n">
        <f aca="false">IFERROR(D98/D85,0)</f>
        <v>-0.00796503487351526</v>
      </c>
      <c r="E99" s="91" t="n">
        <f aca="false">IFERROR(E98/E85,0)</f>
        <v>0.202097142964129</v>
      </c>
      <c r="F99" s="91" t="n">
        <f aca="false">IFERROR(F98/F85,0)</f>
        <v>0.301655013099947</v>
      </c>
      <c r="G99" s="91" t="n">
        <f aca="false">IFERROR(G98/G85,0)</f>
        <v>0.306907748739122</v>
      </c>
      <c r="H99" s="91" t="n">
        <f aca="false">IFERROR(H98/H85,0)</f>
        <v>0.322139243690415</v>
      </c>
      <c r="I99" s="91" t="n">
        <f aca="false">IFERROR(I98/I85,0)</f>
        <v>0.336927102866427</v>
      </c>
      <c r="J99" s="91" t="n">
        <f aca="false">IFERROR(J98/J85,0)</f>
        <v>0.351284247697508</v>
      </c>
      <c r="K99" s="91" t="n">
        <f aca="false">IFERROR(K98/K85,0)</f>
        <v>0.365223223261663</v>
      </c>
      <c r="L99" s="91" t="n">
        <f aca="false">IFERROR(L98/L85,0)</f>
        <v>0.37875620924628</v>
      </c>
      <c r="M99" s="91" t="n">
        <f aca="false">IFERROR(M98/M85,0)</f>
        <v>0.391895030590569</v>
      </c>
      <c r="N99" s="91" t="n">
        <f aca="false">IFERROR(N98/N85,0)</f>
        <v>0.404651167818033</v>
      </c>
      <c r="O99" s="91" t="n">
        <f aca="false">IFERROR(O98/O85,0)</f>
        <v>0.417035767067999</v>
      </c>
      <c r="P99" s="91" t="n">
        <f aca="false">IFERROR(P98/P85,0)</f>
        <v>0.429059649834955</v>
      </c>
      <c r="Q99" s="91" t="n">
        <f aca="false">IFERROR(Q98/Q85,0)</f>
        <v>0.406637551095082</v>
      </c>
      <c r="R99" s="91" t="n">
        <f aca="false">IFERROR(R98/R85,0)</f>
        <v>0.376270156276495</v>
      </c>
      <c r="S99" s="91" t="n">
        <f aca="false">IFERROR(S98/S85,0)</f>
        <v>0.346989681003724</v>
      </c>
      <c r="T99" s="91" t="n">
        <f aca="false">IFERROR(T98/T85,0)</f>
        <v>0.318757588657829</v>
      </c>
      <c r="U99" s="91" t="n">
        <f aca="false">IFERROR(U98/U85,0)</f>
        <v>0.291536698790213</v>
      </c>
      <c r="V99" s="91" t="n">
        <f aca="false">IFERROR(V98/V85,0)</f>
        <v>0.265291139679736</v>
      </c>
      <c r="W99" s="91" t="n">
        <f aca="false">IFERROR(W98/W85,0)</f>
        <v>0.239986302541564</v>
      </c>
    </row>
    <row r="101" customFormat="false" ht="15" hidden="false" customHeight="false" outlineLevel="0" collapsed="false">
      <c r="A101" s="9" t="s">
        <v>445</v>
      </c>
      <c r="B101" s="10"/>
      <c r="C101" s="10"/>
      <c r="D101" s="10"/>
      <c r="E101" s="10"/>
      <c r="F101" s="10"/>
      <c r="G101" s="10"/>
      <c r="H101" s="10"/>
      <c r="I101" s="10"/>
      <c r="J101" s="10"/>
      <c r="K101" s="10"/>
      <c r="L101" s="10"/>
      <c r="M101" s="10"/>
      <c r="N101" s="10"/>
      <c r="O101" s="10"/>
      <c r="P101" s="10"/>
      <c r="Q101" s="10"/>
      <c r="R101" s="10"/>
      <c r="S101" s="10"/>
      <c r="T101" s="10"/>
      <c r="U101" s="10"/>
      <c r="V101" s="10"/>
      <c r="W101" s="10"/>
    </row>
    <row r="102" customFormat="false" ht="15" hidden="false" customHeight="false" outlineLevel="0" collapsed="false">
      <c r="A102" s="11" t="s">
        <v>446</v>
      </c>
      <c r="B102" s="66" t="n">
        <f aca="false">C102+NPV(Hurdle,D102:W102)</f>
        <v>1162734.14692871</v>
      </c>
      <c r="C102" s="95" t="n">
        <f aca="false">S_Demand_Lo!$B$14</f>
        <v>1162734.14692871</v>
      </c>
      <c r="D102" s="95" t="n">
        <f aca="false">0</f>
        <v>0</v>
      </c>
      <c r="E102" s="95" t="n">
        <f aca="false">0</f>
        <v>0</v>
      </c>
      <c r="F102" s="95" t="n">
        <f aca="false">0</f>
        <v>0</v>
      </c>
      <c r="G102" s="95" t="n">
        <f aca="false">0</f>
        <v>0</v>
      </c>
      <c r="H102" s="95" t="n">
        <f aca="false">0</f>
        <v>0</v>
      </c>
      <c r="I102" s="95" t="n">
        <f aca="false">0</f>
        <v>0</v>
      </c>
      <c r="J102" s="95" t="n">
        <f aca="false">0</f>
        <v>0</v>
      </c>
      <c r="K102" s="95" t="n">
        <f aca="false">0</f>
        <v>0</v>
      </c>
      <c r="L102" s="95" t="n">
        <f aca="false">0</f>
        <v>0</v>
      </c>
      <c r="M102" s="95" t="n">
        <f aca="false">0</f>
        <v>0</v>
      </c>
      <c r="N102" s="95" t="n">
        <f aca="false">0</f>
        <v>0</v>
      </c>
      <c r="O102" s="95" t="n">
        <f aca="false">0</f>
        <v>0</v>
      </c>
      <c r="P102" s="95" t="n">
        <f aca="false">0</f>
        <v>0</v>
      </c>
      <c r="Q102" s="95" t="n">
        <f aca="false">0</f>
        <v>0</v>
      </c>
      <c r="R102" s="95" t="n">
        <f aca="false">0</f>
        <v>0</v>
      </c>
      <c r="S102" s="95" t="n">
        <f aca="false">0</f>
        <v>0</v>
      </c>
      <c r="T102" s="95" t="n">
        <f aca="false">0</f>
        <v>0</v>
      </c>
      <c r="U102" s="95" t="n">
        <f aca="false">0</f>
        <v>0</v>
      </c>
      <c r="V102" s="95" t="n">
        <f aca="false">0</f>
        <v>0</v>
      </c>
      <c r="W102" s="95" t="n">
        <f aca="false">0</f>
        <v>0</v>
      </c>
    </row>
    <row r="103" customFormat="false" ht="15" hidden="false" customHeight="false" outlineLevel="0" collapsed="false">
      <c r="A103" s="11" t="s">
        <v>447</v>
      </c>
      <c r="B103" s="66" t="n">
        <f aca="false">C103+NPV(Hurdle,D103:W103)</f>
        <v>123132.446168426</v>
      </c>
      <c r="C103" s="95" t="n">
        <v>0</v>
      </c>
      <c r="D103" s="95" t="n">
        <f aca="false">IF(AND(D41=1,MOD(D39,BattLife)=0,D39&lt;Life),BESS_kWh*C_BattRepl*LevCapex*$B$7*D44,0)</f>
        <v>0</v>
      </c>
      <c r="E103" s="95" t="n">
        <f aca="false">IF(AND(E41=1,MOD(E39,BattLife)=0,E39&lt;Life),BESS_kWh*C_BattRepl*LevCapex*$B$7*E44,0)</f>
        <v>0</v>
      </c>
      <c r="F103" s="95" t="n">
        <f aca="false">IF(AND(F41=1,MOD(F39,BattLife)=0,F39&lt;Life),BESS_kWh*C_BattRepl*LevCapex*$B$7*F44,0)</f>
        <v>0</v>
      </c>
      <c r="G103" s="95" t="n">
        <f aca="false">IF(AND(G41=1,MOD(G39,BattLife)=0,G39&lt;Life),BESS_kWh*C_BattRepl*LevCapex*$B$7*G44,0)</f>
        <v>0</v>
      </c>
      <c r="H103" s="95" t="n">
        <f aca="false">IF(AND(H41=1,MOD(H39,BattLife)=0,H39&lt;Life),BESS_kWh*C_BattRepl*LevCapex*$B$7*H44,0)</f>
        <v>0</v>
      </c>
      <c r="I103" s="95" t="n">
        <f aca="false">IF(AND(I41=1,MOD(I39,BattLife)=0,I39&lt;Life),BESS_kWh*C_BattRepl*LevCapex*$B$7*I44,0)</f>
        <v>0</v>
      </c>
      <c r="J103" s="95" t="n">
        <f aca="false">IF(AND(J41=1,MOD(J39,BattLife)=0,J39&lt;Life),BESS_kWh*C_BattRepl*LevCapex*$B$7*J44,0)</f>
        <v>0</v>
      </c>
      <c r="K103" s="95" t="n">
        <f aca="false">IF(AND(K41=1,MOD(K39,BattLife)=0,K39&lt;Life),BESS_kWh*C_BattRepl*LevCapex*$B$7*K44,0)</f>
        <v>165903.437704701</v>
      </c>
      <c r="L103" s="95" t="n">
        <f aca="false">IF(AND(L41=1,MOD(L39,BattLife)=0,L39&lt;Life),BESS_kWh*C_BattRepl*LevCapex*$B$7*L44,0)</f>
        <v>0</v>
      </c>
      <c r="M103" s="95" t="n">
        <f aca="false">IF(AND(M41=1,MOD(M39,BattLife)=0,M39&lt;Life),BESS_kWh*C_BattRepl*LevCapex*$B$7*M44,0)</f>
        <v>0</v>
      </c>
      <c r="N103" s="95" t="n">
        <f aca="false">IF(AND(N41=1,MOD(N39,BattLife)=0,N39&lt;Life),BESS_kWh*C_BattRepl*LevCapex*$B$7*N44,0)</f>
        <v>0</v>
      </c>
      <c r="O103" s="95" t="n">
        <f aca="false">IF(AND(O41=1,MOD(O39,BattLife)=0,O39&lt;Life),BESS_kWh*C_BattRepl*LevCapex*$B$7*O44,0)</f>
        <v>0</v>
      </c>
      <c r="P103" s="95" t="n">
        <f aca="false">IF(AND(P41=1,MOD(P39,BattLife)=0,P39&lt;Life),BESS_kWh*C_BattRepl*LevCapex*$B$7*P44,0)</f>
        <v>0</v>
      </c>
      <c r="Q103" s="95" t="n">
        <f aca="false">IF(AND(Q41=1,MOD(Q39,BattLife)=0,Q39&lt;Life),BESS_kWh*C_BattRepl*LevCapex*$B$7*Q44,0)</f>
        <v>0</v>
      </c>
      <c r="R103" s="95" t="n">
        <f aca="false">IF(AND(R41=1,MOD(R39,BattLife)=0,R39&lt;Life),BESS_kWh*C_BattRepl*LevCapex*$B$7*R44,0)</f>
        <v>0</v>
      </c>
      <c r="S103" s="95" t="n">
        <f aca="false">IF(AND(S41=1,MOD(S39,BattLife)=0,S39&lt;Life),BESS_kWh*C_BattRepl*LevCapex*$B$7*S44,0)</f>
        <v>210161.51128367</v>
      </c>
      <c r="T103" s="95" t="n">
        <f aca="false">IF(AND(T41=1,MOD(T39,BattLife)=0,T39&lt;Life),BESS_kWh*C_BattRepl*LevCapex*$B$7*T44,0)</f>
        <v>0</v>
      </c>
      <c r="U103" s="95" t="n">
        <f aca="false">IF(AND(U41=1,MOD(U39,BattLife)=0,U39&lt;Life),BESS_kWh*C_BattRepl*LevCapex*$B$7*U44,0)</f>
        <v>0</v>
      </c>
      <c r="V103" s="95" t="n">
        <f aca="false">IF(AND(V41=1,MOD(V39,BattLife)=0,V39&lt;Life),BESS_kWh*C_BattRepl*LevCapex*$B$7*V44,0)</f>
        <v>0</v>
      </c>
      <c r="W103" s="95" t="n">
        <f aca="false">IF(AND(W41=1,MOD(W39,BattLife)=0,W39&lt;Life),BESS_kWh*C_BattRepl*LevCapex*$B$7*W44,0)</f>
        <v>0</v>
      </c>
    </row>
    <row r="104" customFormat="false" ht="15" hidden="false" customHeight="false" outlineLevel="0" collapsed="false">
      <c r="A104" s="11" t="s">
        <v>448</v>
      </c>
      <c r="B104" s="66" t="n">
        <f aca="false">SUM(C104:W104)</f>
        <v>376064.948988371</v>
      </c>
      <c r="C104" s="95" t="n">
        <v>0</v>
      </c>
      <c r="D104" s="95" t="n">
        <f aca="false">IF(AND(UseMRA=1,D41=1,CEILING(D39,BattLife)&lt;Life),BESS_kWh*C_BattRepl*LevCapex*$B$7*(1+CostEsc)^(CEILING(D39,BattLife)-1)/BattLife,0)</f>
        <v>20737.9297130877</v>
      </c>
      <c r="E104" s="95" t="n">
        <f aca="false">IF(AND(UseMRA=1,E41=1,CEILING(E39,BattLife)&lt;Life),BESS_kWh*C_BattRepl*LevCapex*$B$7*(1+CostEsc)^(CEILING(E39,BattLife)-1)/BattLife,0)</f>
        <v>20737.9297130877</v>
      </c>
      <c r="F104" s="95" t="n">
        <f aca="false">IF(AND(UseMRA=1,F41=1,CEILING(F39,BattLife)&lt;Life),BESS_kWh*C_BattRepl*LevCapex*$B$7*(1+CostEsc)^(CEILING(F39,BattLife)-1)/BattLife,0)</f>
        <v>20737.9297130877</v>
      </c>
      <c r="G104" s="95" t="n">
        <f aca="false">IF(AND(UseMRA=1,G41=1,CEILING(G39,BattLife)&lt;Life),BESS_kWh*C_BattRepl*LevCapex*$B$7*(1+CostEsc)^(CEILING(G39,BattLife)-1)/BattLife,0)</f>
        <v>20737.9297130877</v>
      </c>
      <c r="H104" s="95" t="n">
        <f aca="false">IF(AND(UseMRA=1,H41=1,CEILING(H39,BattLife)&lt;Life),BESS_kWh*C_BattRepl*LevCapex*$B$7*(1+CostEsc)^(CEILING(H39,BattLife)-1)/BattLife,0)</f>
        <v>20737.9297130877</v>
      </c>
      <c r="I104" s="95" t="n">
        <f aca="false">IF(AND(UseMRA=1,I41=1,CEILING(I39,BattLife)&lt;Life),BESS_kWh*C_BattRepl*LevCapex*$B$7*(1+CostEsc)^(CEILING(I39,BattLife)-1)/BattLife,0)</f>
        <v>20737.9297130877</v>
      </c>
      <c r="J104" s="95" t="n">
        <f aca="false">IF(AND(UseMRA=1,J41=1,CEILING(J39,BattLife)&lt;Life),BESS_kWh*C_BattRepl*LevCapex*$B$7*(1+CostEsc)^(CEILING(J39,BattLife)-1)/BattLife,0)</f>
        <v>20737.9297130877</v>
      </c>
      <c r="K104" s="95" t="n">
        <f aca="false">IF(AND(UseMRA=1,K41=1,CEILING(K39,BattLife)&lt;Life),BESS_kWh*C_BattRepl*LevCapex*$B$7*(1+CostEsc)^(CEILING(K39,BattLife)-1)/BattLife,0)</f>
        <v>20737.9297130877</v>
      </c>
      <c r="L104" s="95" t="n">
        <f aca="false">IF(AND(UseMRA=1,L41=1,CEILING(L39,BattLife)&lt;Life),BESS_kWh*C_BattRepl*LevCapex*$B$7*(1+CostEsc)^(CEILING(L39,BattLife)-1)/BattLife,0)</f>
        <v>26270.1889104587</v>
      </c>
      <c r="M104" s="95" t="n">
        <f aca="false">IF(AND(UseMRA=1,M41=1,CEILING(M39,BattLife)&lt;Life),BESS_kWh*C_BattRepl*LevCapex*$B$7*(1+CostEsc)^(CEILING(M39,BattLife)-1)/BattLife,0)</f>
        <v>26270.1889104587</v>
      </c>
      <c r="N104" s="95" t="n">
        <f aca="false">IF(AND(UseMRA=1,N41=1,CEILING(N39,BattLife)&lt;Life),BESS_kWh*C_BattRepl*LevCapex*$B$7*(1+CostEsc)^(CEILING(N39,BattLife)-1)/BattLife,0)</f>
        <v>26270.1889104587</v>
      </c>
      <c r="O104" s="95" t="n">
        <f aca="false">IF(AND(UseMRA=1,O41=1,CEILING(O39,BattLife)&lt;Life),BESS_kWh*C_BattRepl*LevCapex*$B$7*(1+CostEsc)^(CEILING(O39,BattLife)-1)/BattLife,0)</f>
        <v>26270.1889104587</v>
      </c>
      <c r="P104" s="95" t="n">
        <f aca="false">IF(AND(UseMRA=1,P41=1,CEILING(P39,BattLife)&lt;Life),BESS_kWh*C_BattRepl*LevCapex*$B$7*(1+CostEsc)^(CEILING(P39,BattLife)-1)/BattLife,0)</f>
        <v>26270.1889104587</v>
      </c>
      <c r="Q104" s="95" t="n">
        <f aca="false">IF(AND(UseMRA=1,Q41=1,CEILING(Q39,BattLife)&lt;Life),BESS_kWh*C_BattRepl*LevCapex*$B$7*(1+CostEsc)^(CEILING(Q39,BattLife)-1)/BattLife,0)</f>
        <v>26270.1889104587</v>
      </c>
      <c r="R104" s="95" t="n">
        <f aca="false">IF(AND(UseMRA=1,R41=1,CEILING(R39,BattLife)&lt;Life),BESS_kWh*C_BattRepl*LevCapex*$B$7*(1+CostEsc)^(CEILING(R39,BattLife)-1)/BattLife,0)</f>
        <v>26270.1889104587</v>
      </c>
      <c r="S104" s="95" t="n">
        <f aca="false">IF(AND(UseMRA=1,S41=1,CEILING(S39,BattLife)&lt;Life),BESS_kWh*C_BattRepl*LevCapex*$B$7*(1+CostEsc)^(CEILING(S39,BattLife)-1)/BattLife,0)</f>
        <v>26270.1889104587</v>
      </c>
      <c r="T104" s="95" t="n">
        <f aca="false">IF(AND(UseMRA=1,T41=1,CEILING(T39,BattLife)&lt;Life),BESS_kWh*C_BattRepl*LevCapex*$B$7*(1+CostEsc)^(CEILING(T39,BattLife)-1)/BattLife,0)</f>
        <v>0</v>
      </c>
      <c r="U104" s="95" t="n">
        <f aca="false">IF(AND(UseMRA=1,U41=1,CEILING(U39,BattLife)&lt;Life),BESS_kWh*C_BattRepl*LevCapex*$B$7*(1+CostEsc)^(CEILING(U39,BattLife)-1)/BattLife,0)</f>
        <v>0</v>
      </c>
      <c r="V104" s="95" t="n">
        <f aca="false">IF(AND(UseMRA=1,V41=1,CEILING(V39,BattLife)&lt;Life),BESS_kWh*C_BattRepl*LevCapex*$B$7*(1+CostEsc)^(CEILING(V39,BattLife)-1)/BattLife,0)</f>
        <v>0</v>
      </c>
      <c r="W104" s="95" t="n">
        <f aca="false">IF(AND(UseMRA=1,W41=1,CEILING(W39,BattLife)&lt;Life),BESS_kWh*C_BattRepl*LevCapex*$B$7*(1+CostEsc)^(CEILING(W39,BattLife)-1)/BattLife,0)</f>
        <v>0</v>
      </c>
    </row>
    <row r="105" customFormat="false" ht="15" hidden="false" customHeight="false" outlineLevel="0" collapsed="false">
      <c r="A105" s="11" t="s">
        <v>449</v>
      </c>
      <c r="B105" s="66" t="n">
        <f aca="false">SUM(C105:W105)</f>
        <v>376064.948988371</v>
      </c>
      <c r="C105" s="95" t="n">
        <v>0</v>
      </c>
      <c r="D105" s="95" t="n">
        <f aca="false">IF(UseMRA=1,D104,D103)</f>
        <v>20737.9297130877</v>
      </c>
      <c r="E105" s="95" t="n">
        <f aca="false">IF(UseMRA=1,E104,E103)</f>
        <v>20737.9297130877</v>
      </c>
      <c r="F105" s="95" t="n">
        <f aca="false">IF(UseMRA=1,F104,F103)</f>
        <v>20737.9297130877</v>
      </c>
      <c r="G105" s="95" t="n">
        <f aca="false">IF(UseMRA=1,G104,G103)</f>
        <v>20737.9297130877</v>
      </c>
      <c r="H105" s="95" t="n">
        <f aca="false">IF(UseMRA=1,H104,H103)</f>
        <v>20737.9297130877</v>
      </c>
      <c r="I105" s="95" t="n">
        <f aca="false">IF(UseMRA=1,I104,I103)</f>
        <v>20737.9297130877</v>
      </c>
      <c r="J105" s="95" t="n">
        <f aca="false">IF(UseMRA=1,J104,J103)</f>
        <v>20737.9297130877</v>
      </c>
      <c r="K105" s="95" t="n">
        <f aca="false">IF(UseMRA=1,K104,K103)</f>
        <v>20737.9297130877</v>
      </c>
      <c r="L105" s="95" t="n">
        <f aca="false">IF(UseMRA=1,L104,L103)</f>
        <v>26270.1889104587</v>
      </c>
      <c r="M105" s="95" t="n">
        <f aca="false">IF(UseMRA=1,M104,M103)</f>
        <v>26270.1889104587</v>
      </c>
      <c r="N105" s="95" t="n">
        <f aca="false">IF(UseMRA=1,N104,N103)</f>
        <v>26270.1889104587</v>
      </c>
      <c r="O105" s="95" t="n">
        <f aca="false">IF(UseMRA=1,O104,O103)</f>
        <v>26270.1889104587</v>
      </c>
      <c r="P105" s="95" t="n">
        <f aca="false">IF(UseMRA=1,P104,P103)</f>
        <v>26270.1889104587</v>
      </c>
      <c r="Q105" s="95" t="n">
        <f aca="false">IF(UseMRA=1,Q104,Q103)</f>
        <v>26270.1889104587</v>
      </c>
      <c r="R105" s="95" t="n">
        <f aca="false">IF(UseMRA=1,R104,R103)</f>
        <v>26270.1889104587</v>
      </c>
      <c r="S105" s="95" t="n">
        <f aca="false">IF(UseMRA=1,S104,S103)</f>
        <v>26270.1889104587</v>
      </c>
      <c r="T105" s="95" t="n">
        <f aca="false">IF(UseMRA=1,T104,T103)</f>
        <v>0</v>
      </c>
      <c r="U105" s="95" t="n">
        <f aca="false">IF(UseMRA=1,U104,U103)</f>
        <v>0</v>
      </c>
      <c r="V105" s="95" t="n">
        <f aca="false">IF(UseMRA=1,V104,V103)</f>
        <v>0</v>
      </c>
      <c r="W105" s="95" t="n">
        <f aca="false">IF(UseMRA=1,W104,W103)</f>
        <v>0</v>
      </c>
    </row>
    <row r="106" customFormat="false" ht="15" hidden="false" customHeight="false" outlineLevel="0" collapsed="false">
      <c r="A106" s="11" t="s">
        <v>175</v>
      </c>
      <c r="B106" s="66" t="n">
        <f aca="false">SUM(C106:W106)</f>
        <v>600000</v>
      </c>
      <c r="C106" s="95" t="n">
        <f aca="false">Grant</f>
        <v>600000</v>
      </c>
      <c r="D106" s="95" t="n">
        <f aca="false">0</f>
        <v>0</v>
      </c>
      <c r="E106" s="95" t="n">
        <f aca="false">0</f>
        <v>0</v>
      </c>
      <c r="F106" s="95" t="n">
        <f aca="false">0</f>
        <v>0</v>
      </c>
      <c r="G106" s="95" t="n">
        <f aca="false">0</f>
        <v>0</v>
      </c>
      <c r="H106" s="95" t="n">
        <f aca="false">0</f>
        <v>0</v>
      </c>
      <c r="I106" s="95" t="n">
        <f aca="false">0</f>
        <v>0</v>
      </c>
      <c r="J106" s="95" t="n">
        <f aca="false">0</f>
        <v>0</v>
      </c>
      <c r="K106" s="95" t="n">
        <f aca="false">0</f>
        <v>0</v>
      </c>
      <c r="L106" s="95" t="n">
        <f aca="false">0</f>
        <v>0</v>
      </c>
      <c r="M106" s="95" t="n">
        <f aca="false">0</f>
        <v>0</v>
      </c>
      <c r="N106" s="95" t="n">
        <f aca="false">0</f>
        <v>0</v>
      </c>
      <c r="O106" s="95" t="n">
        <f aca="false">0</f>
        <v>0</v>
      </c>
      <c r="P106" s="95" t="n">
        <f aca="false">0</f>
        <v>0</v>
      </c>
      <c r="Q106" s="95" t="n">
        <f aca="false">0</f>
        <v>0</v>
      </c>
      <c r="R106" s="95" t="n">
        <f aca="false">0</f>
        <v>0</v>
      </c>
      <c r="S106" s="95" t="n">
        <f aca="false">0</f>
        <v>0</v>
      </c>
      <c r="T106" s="95" t="n">
        <f aca="false">0</f>
        <v>0</v>
      </c>
      <c r="U106" s="95" t="n">
        <f aca="false">0</f>
        <v>0</v>
      </c>
      <c r="V106" s="95" t="n">
        <f aca="false">0</f>
        <v>0</v>
      </c>
      <c r="W106" s="95" t="n">
        <f aca="false">0</f>
        <v>0</v>
      </c>
    </row>
    <row r="107" customFormat="false" ht="15" hidden="false" customHeight="false" outlineLevel="0" collapsed="false">
      <c r="A107" s="11" t="s">
        <v>450</v>
      </c>
      <c r="B107" s="66" t="n">
        <f aca="false">SUM(C107:W107)</f>
        <v>252000</v>
      </c>
      <c r="C107" s="95" t="n">
        <v>0</v>
      </c>
      <c r="D107" s="95" t="n">
        <f aca="false">D54*Seg1_RBF+D55*Seg2_RBF+D56*Seg3_RBF+D57*Seg4_RBF+D58*Seg5_RBF</f>
        <v>151200</v>
      </c>
      <c r="E107" s="95" t="n">
        <f aca="false">E54*Seg1_RBF+E55*Seg2_RBF+E56*Seg3_RBF+E57*Seg4_RBF+E58*Seg5_RBF</f>
        <v>63000</v>
      </c>
      <c r="F107" s="95" t="n">
        <f aca="false">F54*Seg1_RBF+F55*Seg2_RBF+F56*Seg3_RBF+F57*Seg4_RBF+F58*Seg5_RBF</f>
        <v>37800</v>
      </c>
      <c r="G107" s="95" t="n">
        <f aca="false">G54*Seg1_RBF+G55*Seg2_RBF+G56*Seg3_RBF+G57*Seg4_RBF+G58*Seg5_RBF</f>
        <v>0</v>
      </c>
      <c r="H107" s="95" t="n">
        <f aca="false">H54*Seg1_RBF+H55*Seg2_RBF+H56*Seg3_RBF+H57*Seg4_RBF+H58*Seg5_RBF</f>
        <v>0</v>
      </c>
      <c r="I107" s="95" t="n">
        <f aca="false">I54*Seg1_RBF+I55*Seg2_RBF+I56*Seg3_RBF+I57*Seg4_RBF+I58*Seg5_RBF</f>
        <v>0</v>
      </c>
      <c r="J107" s="95" t="n">
        <f aca="false">J54*Seg1_RBF+J55*Seg2_RBF+J56*Seg3_RBF+J57*Seg4_RBF+J58*Seg5_RBF</f>
        <v>0</v>
      </c>
      <c r="K107" s="95" t="n">
        <f aca="false">K54*Seg1_RBF+K55*Seg2_RBF+K56*Seg3_RBF+K57*Seg4_RBF+K58*Seg5_RBF</f>
        <v>0</v>
      </c>
      <c r="L107" s="95" t="n">
        <f aca="false">L54*Seg1_RBF+L55*Seg2_RBF+L56*Seg3_RBF+L57*Seg4_RBF+L58*Seg5_RBF</f>
        <v>0</v>
      </c>
      <c r="M107" s="95" t="n">
        <f aca="false">M54*Seg1_RBF+M55*Seg2_RBF+M56*Seg3_RBF+M57*Seg4_RBF+M58*Seg5_RBF</f>
        <v>0</v>
      </c>
      <c r="N107" s="95" t="n">
        <f aca="false">N54*Seg1_RBF+N55*Seg2_RBF+N56*Seg3_RBF+N57*Seg4_RBF+N58*Seg5_RBF</f>
        <v>0</v>
      </c>
      <c r="O107" s="95" t="n">
        <f aca="false">O54*Seg1_RBF+O55*Seg2_RBF+O56*Seg3_RBF+O57*Seg4_RBF+O58*Seg5_RBF</f>
        <v>0</v>
      </c>
      <c r="P107" s="95" t="n">
        <f aca="false">P54*Seg1_RBF+P55*Seg2_RBF+P56*Seg3_RBF+P57*Seg4_RBF+P58*Seg5_RBF</f>
        <v>0</v>
      </c>
      <c r="Q107" s="95" t="n">
        <f aca="false">Q54*Seg1_RBF+Q55*Seg2_RBF+Q56*Seg3_RBF+Q57*Seg4_RBF+Q58*Seg5_RBF</f>
        <v>0</v>
      </c>
      <c r="R107" s="95" t="n">
        <f aca="false">R54*Seg1_RBF+R55*Seg2_RBF+R56*Seg3_RBF+R57*Seg4_RBF+R58*Seg5_RBF</f>
        <v>0</v>
      </c>
      <c r="S107" s="95" t="n">
        <f aca="false">S54*Seg1_RBF+S55*Seg2_RBF+S56*Seg3_RBF+S57*Seg4_RBF+S58*Seg5_RBF</f>
        <v>0</v>
      </c>
      <c r="T107" s="95" t="n">
        <f aca="false">T54*Seg1_RBF+T55*Seg2_RBF+T56*Seg3_RBF+T57*Seg4_RBF+T58*Seg5_RBF</f>
        <v>0</v>
      </c>
      <c r="U107" s="95" t="n">
        <f aca="false">U54*Seg1_RBF+U55*Seg2_RBF+U56*Seg3_RBF+U57*Seg4_RBF+U58*Seg5_RBF</f>
        <v>0</v>
      </c>
      <c r="V107" s="95" t="n">
        <f aca="false">V54*Seg1_RBF+V55*Seg2_RBF+V56*Seg3_RBF+V57*Seg4_RBF+V58*Seg5_RBF</f>
        <v>0</v>
      </c>
      <c r="W107" s="95" t="n">
        <f aca="false">W54*Seg1_RBF+W55*Seg2_RBF+W56*Seg3_RBF+W57*Seg4_RBF+W58*Seg5_RBF</f>
        <v>0</v>
      </c>
    </row>
    <row r="108" customFormat="false" ht="15" hidden="false" customHeight="false" outlineLevel="0" collapsed="false">
      <c r="A108" s="11" t="s">
        <v>451</v>
      </c>
      <c r="B108" s="66" t="n">
        <f aca="false">SUM(C108:W108)</f>
        <v>252000</v>
      </c>
      <c r="C108" s="95" t="n">
        <v>0</v>
      </c>
      <c r="D108" s="95" t="n">
        <f aca="false">IF(D39-RBFLag&gt;=1,INDEX($C$107:$W$107,1,D39-RBFLag+1),0)</f>
        <v>151200</v>
      </c>
      <c r="E108" s="95" t="n">
        <f aca="false">IF(E39-RBFLag&gt;=1,INDEX($C$107:$W$107,1,E39-RBFLag+1),0)</f>
        <v>63000</v>
      </c>
      <c r="F108" s="95" t="n">
        <f aca="false">IF(F39-RBFLag&gt;=1,INDEX($C$107:$W$107,1,F39-RBFLag+1),0)</f>
        <v>37800</v>
      </c>
      <c r="G108" s="95" t="n">
        <f aca="false">IF(G39-RBFLag&gt;=1,INDEX($C$107:$W$107,1,G39-RBFLag+1),0)</f>
        <v>0</v>
      </c>
      <c r="H108" s="95" t="n">
        <f aca="false">IF(H39-RBFLag&gt;=1,INDEX($C$107:$W$107,1,H39-RBFLag+1),0)</f>
        <v>0</v>
      </c>
      <c r="I108" s="95" t="n">
        <f aca="false">IF(I39-RBFLag&gt;=1,INDEX($C$107:$W$107,1,I39-RBFLag+1),0)</f>
        <v>0</v>
      </c>
      <c r="J108" s="95" t="n">
        <f aca="false">IF(J39-RBFLag&gt;=1,INDEX($C$107:$W$107,1,J39-RBFLag+1),0)</f>
        <v>0</v>
      </c>
      <c r="K108" s="95" t="n">
        <f aca="false">IF(K39-RBFLag&gt;=1,INDEX($C$107:$W$107,1,K39-RBFLag+1),0)</f>
        <v>0</v>
      </c>
      <c r="L108" s="95" t="n">
        <f aca="false">IF(L39-RBFLag&gt;=1,INDEX($C$107:$W$107,1,L39-RBFLag+1),0)</f>
        <v>0</v>
      </c>
      <c r="M108" s="95" t="n">
        <f aca="false">IF(M39-RBFLag&gt;=1,INDEX($C$107:$W$107,1,M39-RBFLag+1),0)</f>
        <v>0</v>
      </c>
      <c r="N108" s="95" t="n">
        <f aca="false">IF(N39-RBFLag&gt;=1,INDEX($C$107:$W$107,1,N39-RBFLag+1),0)</f>
        <v>0</v>
      </c>
      <c r="O108" s="95" t="n">
        <f aca="false">IF(O39-RBFLag&gt;=1,INDEX($C$107:$W$107,1,O39-RBFLag+1),0)</f>
        <v>0</v>
      </c>
      <c r="P108" s="95" t="n">
        <f aca="false">IF(P39-RBFLag&gt;=1,INDEX($C$107:$W$107,1,P39-RBFLag+1),0)</f>
        <v>0</v>
      </c>
      <c r="Q108" s="95" t="n">
        <f aca="false">IF(Q39-RBFLag&gt;=1,INDEX($C$107:$W$107,1,Q39-RBFLag+1),0)</f>
        <v>0</v>
      </c>
      <c r="R108" s="95" t="n">
        <f aca="false">IF(R39-RBFLag&gt;=1,INDEX($C$107:$W$107,1,R39-RBFLag+1),0)</f>
        <v>0</v>
      </c>
      <c r="S108" s="95" t="n">
        <f aca="false">IF(S39-RBFLag&gt;=1,INDEX($C$107:$W$107,1,S39-RBFLag+1),0)</f>
        <v>0</v>
      </c>
      <c r="T108" s="95" t="n">
        <f aca="false">IF(T39-RBFLag&gt;=1,INDEX($C$107:$W$107,1,T39-RBFLag+1),0)</f>
        <v>0</v>
      </c>
      <c r="U108" s="95" t="n">
        <f aca="false">IF(U39-RBFLag&gt;=1,INDEX($C$107:$W$107,1,U39-RBFLag+1),0)</f>
        <v>0</v>
      </c>
      <c r="V108" s="95" t="n">
        <f aca="false">IF(V39-RBFLag&gt;=1,INDEX($C$107:$W$107,1,V39-RBFLag+1),0)</f>
        <v>0</v>
      </c>
      <c r="W108" s="95" t="n">
        <f aca="false">IF(W39-RBFLag&gt;=1,INDEX($C$107:$W$107,1,W39-RBFLag+1),0)</f>
        <v>0</v>
      </c>
    </row>
    <row r="109" customFormat="false" ht="15" hidden="false" customHeight="false" outlineLevel="0" collapsed="false">
      <c r="A109" s="11" t="s">
        <v>452</v>
      </c>
      <c r="B109" s="76" t="n">
        <f aca="false">SUM(C109:W109)</f>
        <v>970</v>
      </c>
      <c r="C109" s="93" t="n">
        <v>0</v>
      </c>
      <c r="D109" s="93" t="n">
        <f aca="false">IF(D39-RBFLag&gt;=1,INDEX($C$59:$W$59,1,D39-RBFLag+1),0)</f>
        <v>582</v>
      </c>
      <c r="E109" s="93" t="n">
        <f aca="false">IF(E39-RBFLag&gt;=1,INDEX($C$59:$W$59,1,E39-RBFLag+1),0)</f>
        <v>242.5</v>
      </c>
      <c r="F109" s="93" t="n">
        <f aca="false">IF(F39-RBFLag&gt;=1,INDEX($C$59:$W$59,1,F39-RBFLag+1),0)</f>
        <v>145.5</v>
      </c>
      <c r="G109" s="93" t="n">
        <f aca="false">IF(G39-RBFLag&gt;=1,INDEX($C$59:$W$59,1,G39-RBFLag+1),0)</f>
        <v>0</v>
      </c>
      <c r="H109" s="93" t="n">
        <f aca="false">IF(H39-RBFLag&gt;=1,INDEX($C$59:$W$59,1,H39-RBFLag+1),0)</f>
        <v>0</v>
      </c>
      <c r="I109" s="93" t="n">
        <f aca="false">IF(I39-RBFLag&gt;=1,INDEX($C$59:$W$59,1,I39-RBFLag+1),0)</f>
        <v>0</v>
      </c>
      <c r="J109" s="93" t="n">
        <f aca="false">IF(J39-RBFLag&gt;=1,INDEX($C$59:$W$59,1,J39-RBFLag+1),0)</f>
        <v>0</v>
      </c>
      <c r="K109" s="93" t="n">
        <f aca="false">IF(K39-RBFLag&gt;=1,INDEX($C$59:$W$59,1,K39-RBFLag+1),0)</f>
        <v>0</v>
      </c>
      <c r="L109" s="93" t="n">
        <f aca="false">IF(L39-RBFLag&gt;=1,INDEX($C$59:$W$59,1,L39-RBFLag+1),0)</f>
        <v>0</v>
      </c>
      <c r="M109" s="93" t="n">
        <f aca="false">IF(M39-RBFLag&gt;=1,INDEX($C$59:$W$59,1,M39-RBFLag+1),0)</f>
        <v>0</v>
      </c>
      <c r="N109" s="93" t="n">
        <f aca="false">IF(N39-RBFLag&gt;=1,INDEX($C$59:$W$59,1,N39-RBFLag+1),0)</f>
        <v>0</v>
      </c>
      <c r="O109" s="93" t="n">
        <f aca="false">IF(O39-RBFLag&gt;=1,INDEX($C$59:$W$59,1,O39-RBFLag+1),0)</f>
        <v>0</v>
      </c>
      <c r="P109" s="93" t="n">
        <f aca="false">IF(P39-RBFLag&gt;=1,INDEX($C$59:$W$59,1,P39-RBFLag+1),0)</f>
        <v>0</v>
      </c>
      <c r="Q109" s="93" t="n">
        <f aca="false">IF(Q39-RBFLag&gt;=1,INDEX($C$59:$W$59,1,Q39-RBFLag+1),0)</f>
        <v>0</v>
      </c>
      <c r="R109" s="93" t="n">
        <f aca="false">IF(R39-RBFLag&gt;=1,INDEX($C$59:$W$59,1,R39-RBFLag+1),0)</f>
        <v>0</v>
      </c>
      <c r="S109" s="93" t="n">
        <f aca="false">IF(S39-RBFLag&gt;=1,INDEX($C$59:$W$59,1,S39-RBFLag+1),0)</f>
        <v>0</v>
      </c>
      <c r="T109" s="93" t="n">
        <f aca="false">IF(T39-RBFLag&gt;=1,INDEX($C$59:$W$59,1,T39-RBFLag+1),0)</f>
        <v>0</v>
      </c>
      <c r="U109" s="93" t="n">
        <f aca="false">IF(U39-RBFLag&gt;=1,INDEX($C$59:$W$59,1,U39-RBFLag+1),0)</f>
        <v>0</v>
      </c>
      <c r="V109" s="93" t="n">
        <f aca="false">IF(V39-RBFLag&gt;=1,INDEX($C$59:$W$59,1,V39-RBFLag+1),0)</f>
        <v>0</v>
      </c>
      <c r="W109" s="93" t="n">
        <f aca="false">IF(W39-RBFLag&gt;=1,INDEX($C$59:$W$59,1,W39-RBFLag+1),0)</f>
        <v>0</v>
      </c>
    </row>
    <row r="111" customFormat="false" ht="15" hidden="false" customHeight="false" outlineLevel="0" collapsed="false">
      <c r="A111" s="9" t="s">
        <v>453</v>
      </c>
      <c r="B111" s="10"/>
      <c r="C111" s="10"/>
      <c r="D111" s="10"/>
      <c r="E111" s="10"/>
      <c r="F111" s="10"/>
      <c r="G111" s="10"/>
      <c r="H111" s="10"/>
      <c r="I111" s="10"/>
      <c r="J111" s="10"/>
      <c r="K111" s="10"/>
      <c r="L111" s="10"/>
      <c r="M111" s="10"/>
      <c r="N111" s="10"/>
      <c r="O111" s="10"/>
      <c r="P111" s="10"/>
      <c r="Q111" s="10"/>
      <c r="R111" s="10"/>
      <c r="S111" s="10"/>
      <c r="T111" s="10"/>
      <c r="U111" s="10"/>
      <c r="V111" s="10"/>
      <c r="W111" s="10"/>
    </row>
    <row r="112" customFormat="false" ht="15" hidden="false" customHeight="false" outlineLevel="0" collapsed="false">
      <c r="A112" s="11" t="s">
        <v>454</v>
      </c>
      <c r="C112" s="95" t="n">
        <v>0</v>
      </c>
      <c r="D112" s="95" t="n">
        <f aca="false">C116</f>
        <v>112546.829385741</v>
      </c>
      <c r="E112" s="95" t="n">
        <f aca="false">D116</f>
        <v>112546.829385741</v>
      </c>
      <c r="F112" s="95" t="n">
        <f aca="false">E116</f>
        <v>112546.829385741</v>
      </c>
      <c r="G112" s="95" t="n">
        <f aca="false">F116</f>
        <v>102705.282458945</v>
      </c>
      <c r="H112" s="95" t="n">
        <f aca="false">G116</f>
        <v>91879.5808394692</v>
      </c>
      <c r="I112" s="95" t="n">
        <f aca="false">H116</f>
        <v>79971.3090580457</v>
      </c>
      <c r="J112" s="95" t="n">
        <f aca="false">I116</f>
        <v>66872.2100984798</v>
      </c>
      <c r="K112" s="95" t="n">
        <f aca="false">J116</f>
        <v>52463.2012429573</v>
      </c>
      <c r="L112" s="95" t="n">
        <f aca="false">K116</f>
        <v>36613.2915018826</v>
      </c>
      <c r="M112" s="95" t="n">
        <f aca="false">L116</f>
        <v>19178.3907867004</v>
      </c>
      <c r="N112" s="95" t="n">
        <f aca="false">M116</f>
        <v>0</v>
      </c>
      <c r="O112" s="95" t="n">
        <f aca="false">N116</f>
        <v>0</v>
      </c>
      <c r="P112" s="95" t="n">
        <f aca="false">O116</f>
        <v>0</v>
      </c>
      <c r="Q112" s="95" t="n">
        <f aca="false">P116</f>
        <v>0</v>
      </c>
      <c r="R112" s="95" t="n">
        <f aca="false">Q116</f>
        <v>0</v>
      </c>
      <c r="S112" s="95" t="n">
        <f aca="false">R116</f>
        <v>0</v>
      </c>
      <c r="T112" s="95" t="n">
        <f aca="false">S116</f>
        <v>0</v>
      </c>
      <c r="U112" s="95" t="n">
        <f aca="false">T116</f>
        <v>0</v>
      </c>
      <c r="V112" s="95" t="n">
        <f aca="false">U116</f>
        <v>0</v>
      </c>
      <c r="W112" s="95" t="n">
        <f aca="false">V116</f>
        <v>0</v>
      </c>
    </row>
    <row r="113" customFormat="false" ht="15" hidden="false" customHeight="false" outlineLevel="0" collapsed="false">
      <c r="A113" s="11" t="s">
        <v>455</v>
      </c>
      <c r="B113" s="66" t="n">
        <f aca="false">SUM(C113:W113)</f>
        <v>112546.829385741</v>
      </c>
      <c r="C113" s="95" t="n">
        <f aca="false">S_Demand_Lo!$B$16</f>
        <v>112546.829385741</v>
      </c>
      <c r="D113" s="95" t="n">
        <f aca="false">0</f>
        <v>0</v>
      </c>
      <c r="E113" s="95" t="n">
        <f aca="false">0</f>
        <v>0</v>
      </c>
      <c r="F113" s="95" t="n">
        <f aca="false">0</f>
        <v>0</v>
      </c>
      <c r="G113" s="95" t="n">
        <f aca="false">0</f>
        <v>0</v>
      </c>
      <c r="H113" s="95" t="n">
        <f aca="false">0</f>
        <v>0</v>
      </c>
      <c r="I113" s="95" t="n">
        <f aca="false">0</f>
        <v>0</v>
      </c>
      <c r="J113" s="95" t="n">
        <f aca="false">0</f>
        <v>0</v>
      </c>
      <c r="K113" s="95" t="n">
        <f aca="false">0</f>
        <v>0</v>
      </c>
      <c r="L113" s="95" t="n">
        <f aca="false">0</f>
        <v>0</v>
      </c>
      <c r="M113" s="95" t="n">
        <f aca="false">0</f>
        <v>0</v>
      </c>
      <c r="N113" s="95" t="n">
        <f aca="false">0</f>
        <v>0</v>
      </c>
      <c r="O113" s="95" t="n">
        <f aca="false">0</f>
        <v>0</v>
      </c>
      <c r="P113" s="95" t="n">
        <f aca="false">0</f>
        <v>0</v>
      </c>
      <c r="Q113" s="95" t="n">
        <f aca="false">0</f>
        <v>0</v>
      </c>
      <c r="R113" s="95" t="n">
        <f aca="false">0</f>
        <v>0</v>
      </c>
      <c r="S113" s="95" t="n">
        <f aca="false">0</f>
        <v>0</v>
      </c>
      <c r="T113" s="95" t="n">
        <f aca="false">0</f>
        <v>0</v>
      </c>
      <c r="U113" s="95" t="n">
        <f aca="false">0</f>
        <v>0</v>
      </c>
      <c r="V113" s="95" t="n">
        <f aca="false">0</f>
        <v>0</v>
      </c>
      <c r="W113" s="95" t="n">
        <f aca="false">0</f>
        <v>0</v>
      </c>
    </row>
    <row r="114" customFormat="false" ht="15" hidden="false" customHeight="false" outlineLevel="0" collapsed="false">
      <c r="A114" s="11" t="s">
        <v>456</v>
      </c>
      <c r="B114" s="66" t="n">
        <f aca="false">SUM(C114:W114)</f>
        <v>78732.3754143705</v>
      </c>
      <c r="C114" s="95" t="n">
        <v>0</v>
      </c>
      <c r="D114" s="95" t="n">
        <f aca="false">D112*SenRate*$B$11</f>
        <v>11254.6829385742</v>
      </c>
      <c r="E114" s="95" t="n">
        <f aca="false">E112*SenRate*$B$11</f>
        <v>11254.6829385742</v>
      </c>
      <c r="F114" s="95" t="n">
        <f aca="false">F112*SenRate*$B$11</f>
        <v>11254.6829385742</v>
      </c>
      <c r="G114" s="95" t="n">
        <f aca="false">G112*SenRate*$B$11</f>
        <v>10270.5282458945</v>
      </c>
      <c r="H114" s="95" t="n">
        <f aca="false">H112*SenRate*$B$11</f>
        <v>9187.95808394693</v>
      </c>
      <c r="I114" s="95" t="n">
        <f aca="false">I112*SenRate*$B$11</f>
        <v>7997.13090580457</v>
      </c>
      <c r="J114" s="95" t="n">
        <f aca="false">J112*SenRate*$B$11</f>
        <v>6687.22100984798</v>
      </c>
      <c r="K114" s="95" t="n">
        <f aca="false">K112*SenRate*$B$11</f>
        <v>5246.32012429573</v>
      </c>
      <c r="L114" s="95" t="n">
        <f aca="false">L112*SenRate*$B$11</f>
        <v>3661.32915018826</v>
      </c>
      <c r="M114" s="95" t="n">
        <f aca="false">M112*SenRate*$B$11</f>
        <v>1917.83907867004</v>
      </c>
      <c r="N114" s="95" t="n">
        <f aca="false">N112*SenRate*$B$11</f>
        <v>0</v>
      </c>
      <c r="O114" s="95" t="n">
        <f aca="false">O112*SenRate*$B$11</f>
        <v>0</v>
      </c>
      <c r="P114" s="95" t="n">
        <f aca="false">P112*SenRate*$B$11</f>
        <v>0</v>
      </c>
      <c r="Q114" s="95" t="n">
        <f aca="false">Q112*SenRate*$B$11</f>
        <v>0</v>
      </c>
      <c r="R114" s="95" t="n">
        <f aca="false">R112*SenRate*$B$11</f>
        <v>0</v>
      </c>
      <c r="S114" s="95" t="n">
        <f aca="false">S112*SenRate*$B$11</f>
        <v>0</v>
      </c>
      <c r="T114" s="95" t="n">
        <f aca="false">T112*SenRate*$B$11</f>
        <v>0</v>
      </c>
      <c r="U114" s="95" t="n">
        <f aca="false">U112*SenRate*$B$11</f>
        <v>0</v>
      </c>
      <c r="V114" s="95" t="n">
        <f aca="false">V112*SenRate*$B$11</f>
        <v>0</v>
      </c>
      <c r="W114" s="95" t="n">
        <f aca="false">W112*SenRate*$B$11</f>
        <v>0</v>
      </c>
    </row>
    <row r="115" customFormat="false" ht="15" hidden="false" customHeight="false" outlineLevel="0" collapsed="false">
      <c r="A115" s="11" t="s">
        <v>457</v>
      </c>
      <c r="B115" s="66" t="n">
        <f aca="false">SUM(C115:W115)</f>
        <v>112546.829385742</v>
      </c>
      <c r="C115" s="95" t="n">
        <v>0</v>
      </c>
      <c r="D115" s="95" t="n">
        <f aca="false">IF(AND(D39&gt;SenGrace,D39&lt;=SenTenor),PMT(SenRate*$B$11,SenTenor-SenGrace,-S_Demand_Lo!$B$16)-D114,0)</f>
        <v>0</v>
      </c>
      <c r="E115" s="95" t="n">
        <f aca="false">IF(AND(E39&gt;SenGrace,E39&lt;=SenTenor),PMT(SenRate*$B$11,SenTenor-SenGrace,-S_Demand_Lo!$B$16)-E114,0)</f>
        <v>0</v>
      </c>
      <c r="F115" s="95" t="n">
        <f aca="false">IF(AND(F39&gt;SenGrace,F39&lt;=SenTenor),PMT(SenRate*$B$11,SenTenor-SenGrace,-S_Demand_Lo!$B$16)-F114,0)</f>
        <v>9841.54692679631</v>
      </c>
      <c r="G115" s="95" t="n">
        <f aca="false">IF(AND(G39&gt;SenGrace,G39&lt;=SenTenor),PMT(SenRate*$B$11,SenTenor-SenGrace,-S_Demand_Lo!$B$16)-G114,0)</f>
        <v>10825.7016194759</v>
      </c>
      <c r="H115" s="95" t="n">
        <f aca="false">IF(AND(H39&gt;SenGrace,H39&lt;=SenTenor),PMT(SenRate*$B$11,SenTenor-SenGrace,-S_Demand_Lo!$B$16)-H114,0)</f>
        <v>11908.2717814235</v>
      </c>
      <c r="I115" s="95" t="n">
        <f aca="false">IF(AND(I39&gt;SenGrace,I39&lt;=SenTenor),PMT(SenRate*$B$11,SenTenor-SenGrace,-S_Demand_Lo!$B$16)-I114,0)</f>
        <v>13099.0989595659</v>
      </c>
      <c r="J115" s="95" t="n">
        <f aca="false">IF(AND(J39&gt;SenGrace,J39&lt;=SenTenor),PMT(SenRate*$B$11,SenTenor-SenGrace,-S_Demand_Lo!$B$16)-J114,0)</f>
        <v>14409.0088555225</v>
      </c>
      <c r="K115" s="95" t="n">
        <f aca="false">IF(AND(K39&gt;SenGrace,K39&lt;=SenTenor),PMT(SenRate*$B$11,SenTenor-SenGrace,-S_Demand_Lo!$B$16)-K114,0)</f>
        <v>15849.9097410747</v>
      </c>
      <c r="L115" s="95" t="n">
        <f aca="false">IF(AND(L39&gt;SenGrace,L39&lt;=SenTenor),PMT(SenRate*$B$11,SenTenor-SenGrace,-S_Demand_Lo!$B$16)-L114,0)</f>
        <v>17434.9007151822</v>
      </c>
      <c r="M115" s="95" t="n">
        <f aca="false">IF(AND(M39&gt;SenGrace,M39&lt;=SenTenor),PMT(SenRate*$B$11,SenTenor-SenGrace,-S_Demand_Lo!$B$16)-M114,0)</f>
        <v>19178.3907867004</v>
      </c>
      <c r="N115" s="95" t="n">
        <f aca="false">IF(AND(N39&gt;SenGrace,N39&lt;=SenTenor),PMT(SenRate*$B$11,SenTenor-SenGrace,-S_Demand_Lo!$B$16)-N114,0)</f>
        <v>0</v>
      </c>
      <c r="O115" s="95" t="n">
        <f aca="false">IF(AND(O39&gt;SenGrace,O39&lt;=SenTenor),PMT(SenRate*$B$11,SenTenor-SenGrace,-S_Demand_Lo!$B$16)-O114,0)</f>
        <v>0</v>
      </c>
      <c r="P115" s="95" t="n">
        <f aca="false">IF(AND(P39&gt;SenGrace,P39&lt;=SenTenor),PMT(SenRate*$B$11,SenTenor-SenGrace,-S_Demand_Lo!$B$16)-P114,0)</f>
        <v>0</v>
      </c>
      <c r="Q115" s="95" t="n">
        <f aca="false">IF(AND(Q39&gt;SenGrace,Q39&lt;=SenTenor),PMT(SenRate*$B$11,SenTenor-SenGrace,-S_Demand_Lo!$B$16)-Q114,0)</f>
        <v>0</v>
      </c>
      <c r="R115" s="95" t="n">
        <f aca="false">IF(AND(R39&gt;SenGrace,R39&lt;=SenTenor),PMT(SenRate*$B$11,SenTenor-SenGrace,-S_Demand_Lo!$B$16)-R114,0)</f>
        <v>0</v>
      </c>
      <c r="S115" s="95" t="n">
        <f aca="false">IF(AND(S39&gt;SenGrace,S39&lt;=SenTenor),PMT(SenRate*$B$11,SenTenor-SenGrace,-S_Demand_Lo!$B$16)-S114,0)</f>
        <v>0</v>
      </c>
      <c r="T115" s="95" t="n">
        <f aca="false">IF(AND(T39&gt;SenGrace,T39&lt;=SenTenor),PMT(SenRate*$B$11,SenTenor-SenGrace,-S_Demand_Lo!$B$16)-T114,0)</f>
        <v>0</v>
      </c>
      <c r="U115" s="95" t="n">
        <f aca="false">IF(AND(U39&gt;SenGrace,U39&lt;=SenTenor),PMT(SenRate*$B$11,SenTenor-SenGrace,-S_Demand_Lo!$B$16)-U114,0)</f>
        <v>0</v>
      </c>
      <c r="V115" s="95" t="n">
        <f aca="false">IF(AND(V39&gt;SenGrace,V39&lt;=SenTenor),PMT(SenRate*$B$11,SenTenor-SenGrace,-S_Demand_Lo!$B$16)-V114,0)</f>
        <v>0</v>
      </c>
      <c r="W115" s="95" t="n">
        <f aca="false">IF(AND(W39&gt;SenGrace,W39&lt;=SenTenor),PMT(SenRate*$B$11,SenTenor-SenGrace,-S_Demand_Lo!$B$16)-W114,0)</f>
        <v>0</v>
      </c>
    </row>
    <row r="116" customFormat="false" ht="15" hidden="false" customHeight="false" outlineLevel="0" collapsed="false">
      <c r="A116" s="11" t="s">
        <v>458</v>
      </c>
      <c r="C116" s="95" t="n">
        <f aca="false">0+C113-0</f>
        <v>112546.829385741</v>
      </c>
      <c r="D116" s="95" t="n">
        <f aca="false">D112+D113-D115</f>
        <v>112546.829385741</v>
      </c>
      <c r="E116" s="95" t="n">
        <f aca="false">E112+E113-E115</f>
        <v>112546.829385741</v>
      </c>
      <c r="F116" s="95" t="n">
        <f aca="false">F112+F113-F115</f>
        <v>102705.282458945</v>
      </c>
      <c r="G116" s="95" t="n">
        <f aca="false">G112+G113-G115</f>
        <v>91879.5808394692</v>
      </c>
      <c r="H116" s="95" t="n">
        <f aca="false">H112+H113-H115</f>
        <v>79971.3090580457</v>
      </c>
      <c r="I116" s="95" t="n">
        <f aca="false">I112+I113-I115</f>
        <v>66872.2100984798</v>
      </c>
      <c r="J116" s="95" t="n">
        <f aca="false">J112+J113-J115</f>
        <v>52463.2012429573</v>
      </c>
      <c r="K116" s="95" t="n">
        <f aca="false">K112+K113-K115</f>
        <v>36613.2915018826</v>
      </c>
      <c r="L116" s="95" t="n">
        <f aca="false">L112+L113-L115</f>
        <v>19178.3907867004</v>
      </c>
      <c r="M116" s="95" t="n">
        <f aca="false">M112+M113-M115</f>
        <v>0</v>
      </c>
      <c r="N116" s="95" t="n">
        <f aca="false">N112+N113-N115</f>
        <v>0</v>
      </c>
      <c r="O116" s="95" t="n">
        <f aca="false">O112+O113-O115</f>
        <v>0</v>
      </c>
      <c r="P116" s="95" t="n">
        <f aca="false">P112+P113-P115</f>
        <v>0</v>
      </c>
      <c r="Q116" s="95" t="n">
        <f aca="false">Q112+Q113-Q115</f>
        <v>0</v>
      </c>
      <c r="R116" s="95" t="n">
        <f aca="false">R112+R113-R115</f>
        <v>0</v>
      </c>
      <c r="S116" s="95" t="n">
        <f aca="false">S112+S113-S115</f>
        <v>0</v>
      </c>
      <c r="T116" s="95" t="n">
        <f aca="false">T112+T113-T115</f>
        <v>0</v>
      </c>
      <c r="U116" s="95" t="n">
        <f aca="false">U112+U113-U115</f>
        <v>0</v>
      </c>
      <c r="V116" s="95" t="n">
        <f aca="false">V112+V113-V115</f>
        <v>0</v>
      </c>
      <c r="W116" s="95" t="n">
        <f aca="false">W112+W113-W115</f>
        <v>0</v>
      </c>
    </row>
    <row r="118" customFormat="false" ht="15" hidden="false" customHeight="false" outlineLevel="0" collapsed="false">
      <c r="A118" s="9" t="s">
        <v>459</v>
      </c>
      <c r="B118" s="10"/>
      <c r="C118" s="10"/>
      <c r="D118" s="10"/>
      <c r="E118" s="10"/>
      <c r="F118" s="10"/>
      <c r="G118" s="10"/>
      <c r="H118" s="10"/>
      <c r="I118" s="10"/>
      <c r="J118" s="10"/>
      <c r="K118" s="10"/>
      <c r="L118" s="10"/>
      <c r="M118" s="10"/>
      <c r="N118" s="10"/>
      <c r="O118" s="10"/>
      <c r="P118" s="10"/>
      <c r="Q118" s="10"/>
      <c r="R118" s="10"/>
      <c r="S118" s="10"/>
      <c r="T118" s="10"/>
      <c r="U118" s="10"/>
      <c r="V118" s="10"/>
      <c r="W118" s="10"/>
    </row>
    <row r="119" customFormat="false" ht="15" hidden="false" customHeight="false" outlineLevel="0" collapsed="false">
      <c r="A119" s="11" t="s">
        <v>454</v>
      </c>
      <c r="C119" s="95" t="n">
        <v>0</v>
      </c>
      <c r="D119" s="95" t="n">
        <f aca="false">C123</f>
        <v>112546.829385741</v>
      </c>
      <c r="E119" s="95" t="n">
        <f aca="false">D123</f>
        <v>112546.829385741</v>
      </c>
      <c r="F119" s="95" t="n">
        <f aca="false">E123</f>
        <v>112546.829385741</v>
      </c>
      <c r="G119" s="95" t="n">
        <f aca="false">F123</f>
        <v>112546.829385741</v>
      </c>
      <c r="H119" s="95" t="n">
        <f aca="false">G123</f>
        <v>112546.829385741</v>
      </c>
      <c r="I119" s="95" t="n">
        <f aca="false">H123</f>
        <v>112546.829385741</v>
      </c>
      <c r="J119" s="95" t="n">
        <f aca="false">I123</f>
        <v>102729.312441619</v>
      </c>
      <c r="K119" s="95" t="n">
        <f aca="false">J123</f>
        <v>92617.2699891724</v>
      </c>
      <c r="L119" s="95" t="n">
        <f aca="false">K123</f>
        <v>82201.8662631527</v>
      </c>
      <c r="M119" s="95" t="n">
        <f aca="false">L123</f>
        <v>71474.0004253523</v>
      </c>
      <c r="N119" s="95" t="n">
        <f aca="false">M123</f>
        <v>60424.2986124179</v>
      </c>
      <c r="O119" s="95" t="n">
        <f aca="false">N123</f>
        <v>49043.1057450955</v>
      </c>
      <c r="P119" s="95" t="n">
        <f aca="false">O123</f>
        <v>37320.4770917535</v>
      </c>
      <c r="Q119" s="95" t="n">
        <f aca="false">P123</f>
        <v>25246.1695788111</v>
      </c>
      <c r="R119" s="95" t="n">
        <f aca="false">Q123</f>
        <v>12809.6328404805</v>
      </c>
      <c r="S119" s="95" t="n">
        <f aca="false">R123</f>
        <v>0</v>
      </c>
      <c r="T119" s="95" t="n">
        <f aca="false">S123</f>
        <v>0</v>
      </c>
      <c r="U119" s="95" t="n">
        <f aca="false">T123</f>
        <v>0</v>
      </c>
      <c r="V119" s="95" t="n">
        <f aca="false">U123</f>
        <v>0</v>
      </c>
      <c r="W119" s="95" t="n">
        <f aca="false">V123</f>
        <v>0</v>
      </c>
    </row>
    <row r="120" customFormat="false" ht="15" hidden="false" customHeight="false" outlineLevel="0" collapsed="false">
      <c r="A120" s="11" t="s">
        <v>455</v>
      </c>
      <c r="B120" s="66" t="n">
        <f aca="false">SUM(C120:W120)</f>
        <v>112546.829385741</v>
      </c>
      <c r="C120" s="95" t="n">
        <f aca="false">S_Demand_Lo!$B$17</f>
        <v>112546.829385741</v>
      </c>
      <c r="D120" s="95" t="n">
        <f aca="false">0</f>
        <v>0</v>
      </c>
      <c r="E120" s="95" t="n">
        <f aca="false">0</f>
        <v>0</v>
      </c>
      <c r="F120" s="95" t="n">
        <f aca="false">0</f>
        <v>0</v>
      </c>
      <c r="G120" s="95" t="n">
        <f aca="false">0</f>
        <v>0</v>
      </c>
      <c r="H120" s="95" t="n">
        <f aca="false">0</f>
        <v>0</v>
      </c>
      <c r="I120" s="95" t="n">
        <f aca="false">0</f>
        <v>0</v>
      </c>
      <c r="J120" s="95" t="n">
        <f aca="false">0</f>
        <v>0</v>
      </c>
      <c r="K120" s="95" t="n">
        <f aca="false">0</f>
        <v>0</v>
      </c>
      <c r="L120" s="95" t="n">
        <f aca="false">0</f>
        <v>0</v>
      </c>
      <c r="M120" s="95" t="n">
        <f aca="false">0</f>
        <v>0</v>
      </c>
      <c r="N120" s="95" t="n">
        <f aca="false">0</f>
        <v>0</v>
      </c>
      <c r="O120" s="95" t="n">
        <f aca="false">0</f>
        <v>0</v>
      </c>
      <c r="P120" s="95" t="n">
        <f aca="false">0</f>
        <v>0</v>
      </c>
      <c r="Q120" s="95" t="n">
        <f aca="false">0</f>
        <v>0</v>
      </c>
      <c r="R120" s="95" t="n">
        <f aca="false">0</f>
        <v>0</v>
      </c>
      <c r="S120" s="95" t="n">
        <f aca="false">0</f>
        <v>0</v>
      </c>
      <c r="T120" s="95" t="n">
        <f aca="false">0</f>
        <v>0</v>
      </c>
      <c r="U120" s="95" t="n">
        <f aca="false">0</f>
        <v>0</v>
      </c>
      <c r="V120" s="95" t="n">
        <f aca="false">0</f>
        <v>0</v>
      </c>
      <c r="W120" s="95" t="n">
        <f aca="false">0</f>
        <v>0</v>
      </c>
    </row>
    <row r="121" customFormat="false" ht="15" hidden="false" customHeight="false" outlineLevel="0" collapsed="false">
      <c r="A121" s="11" t="s">
        <v>456</v>
      </c>
      <c r="B121" s="66" t="n">
        <f aca="false">SUM(C121:W121)</f>
        <v>36274.4132790691</v>
      </c>
      <c r="C121" s="95" t="n">
        <v>0</v>
      </c>
      <c r="D121" s="95" t="n">
        <f aca="false">D119*ConRate*$B$11</f>
        <v>3376.40488157224</v>
      </c>
      <c r="E121" s="95" t="n">
        <f aca="false">E119*ConRate*$B$11</f>
        <v>3376.40488157224</v>
      </c>
      <c r="F121" s="95" t="n">
        <f aca="false">F119*ConRate*$B$11</f>
        <v>3376.40488157224</v>
      </c>
      <c r="G121" s="95" t="n">
        <f aca="false">G119*ConRate*$B$11</f>
        <v>3376.40488157224</v>
      </c>
      <c r="H121" s="95" t="n">
        <f aca="false">H119*ConRate*$B$11</f>
        <v>3376.40488157224</v>
      </c>
      <c r="I121" s="95" t="n">
        <f aca="false">I119*ConRate*$B$11</f>
        <v>3376.40488157224</v>
      </c>
      <c r="J121" s="95" t="n">
        <f aca="false">J119*ConRate*$B$11</f>
        <v>3081.87937324856</v>
      </c>
      <c r="K121" s="95" t="n">
        <f aca="false">K119*ConRate*$B$11</f>
        <v>2778.51809967517</v>
      </c>
      <c r="L121" s="95" t="n">
        <f aca="false">L119*ConRate*$B$11</f>
        <v>2466.05598789458</v>
      </c>
      <c r="M121" s="95" t="n">
        <f aca="false">M119*ConRate*$B$11</f>
        <v>2144.22001276057</v>
      </c>
      <c r="N121" s="95" t="n">
        <f aca="false">N119*ConRate*$B$11</f>
        <v>1812.72895837254</v>
      </c>
      <c r="O121" s="95" t="n">
        <f aca="false">O119*ConRate*$B$11</f>
        <v>1471.29317235287</v>
      </c>
      <c r="P121" s="95" t="n">
        <f aca="false">P119*ConRate*$B$11</f>
        <v>1119.6143127526</v>
      </c>
      <c r="Q121" s="95" t="n">
        <f aca="false">Q119*ConRate*$B$11</f>
        <v>757.385087364333</v>
      </c>
      <c r="R121" s="95" t="n">
        <f aca="false">R119*ConRate*$B$11</f>
        <v>384.288985214415</v>
      </c>
      <c r="S121" s="95" t="n">
        <f aca="false">S119*ConRate*$B$11</f>
        <v>0</v>
      </c>
      <c r="T121" s="95" t="n">
        <f aca="false">T119*ConRate*$B$11</f>
        <v>0</v>
      </c>
      <c r="U121" s="95" t="n">
        <f aca="false">U119*ConRate*$B$11</f>
        <v>0</v>
      </c>
      <c r="V121" s="95" t="n">
        <f aca="false">V119*ConRate*$B$11</f>
        <v>0</v>
      </c>
      <c r="W121" s="95" t="n">
        <f aca="false">W119*ConRate*$B$11</f>
        <v>0</v>
      </c>
    </row>
    <row r="122" customFormat="false" ht="15" hidden="false" customHeight="false" outlineLevel="0" collapsed="false">
      <c r="A122" s="11" t="s">
        <v>457</v>
      </c>
      <c r="B122" s="66" t="n">
        <f aca="false">SUM(C122:W122)</f>
        <v>112546.829385742</v>
      </c>
      <c r="C122" s="95" t="n">
        <v>0</v>
      </c>
      <c r="D122" s="95" t="n">
        <f aca="false">IF(AND(D39&gt;ConGrace,D39&lt;=ConTenor),PMT(ConRate*$B$11,ConTenor-ConGrace,-S_Demand_Lo!$B$17)-D121,0)</f>
        <v>0</v>
      </c>
      <c r="E122" s="95" t="n">
        <f aca="false">IF(AND(E39&gt;ConGrace,E39&lt;=ConTenor),PMT(ConRate*$B$11,ConTenor-ConGrace,-S_Demand_Lo!$B$17)-E121,0)</f>
        <v>0</v>
      </c>
      <c r="F122" s="95" t="n">
        <f aca="false">IF(AND(F39&gt;ConGrace,F39&lt;=ConTenor),PMT(ConRate*$B$11,ConTenor-ConGrace,-S_Demand_Lo!$B$17)-F121,0)</f>
        <v>0</v>
      </c>
      <c r="G122" s="95" t="n">
        <f aca="false">IF(AND(G39&gt;ConGrace,G39&lt;=ConTenor),PMT(ConRate*$B$11,ConTenor-ConGrace,-S_Demand_Lo!$B$17)-G121,0)</f>
        <v>0</v>
      </c>
      <c r="H122" s="95" t="n">
        <f aca="false">IF(AND(H39&gt;ConGrace,H39&lt;=ConTenor),PMT(ConRate*$B$11,ConTenor-ConGrace,-S_Demand_Lo!$B$17)-H121,0)</f>
        <v>0</v>
      </c>
      <c r="I122" s="95" t="n">
        <f aca="false">IF(AND(I39&gt;ConGrace,I39&lt;=ConTenor),PMT(ConRate*$B$11,ConTenor-ConGrace,-S_Demand_Lo!$B$17)-I121,0)</f>
        <v>9817.51694412269</v>
      </c>
      <c r="J122" s="95" t="n">
        <f aca="false">IF(AND(J39&gt;ConGrace,J39&lt;=ConTenor),PMT(ConRate*$B$11,ConTenor-ConGrace,-S_Demand_Lo!$B$17)-J121,0)</f>
        <v>10112.0424524464</v>
      </c>
      <c r="K122" s="95" t="n">
        <f aca="false">IF(AND(K39&gt;ConGrace,K39&lt;=ConTenor),PMT(ConRate*$B$11,ConTenor-ConGrace,-S_Demand_Lo!$B$17)-K121,0)</f>
        <v>10415.4037260198</v>
      </c>
      <c r="L122" s="95" t="n">
        <f aca="false">IF(AND(L39&gt;ConGrace,L39&lt;=ConTenor),PMT(ConRate*$B$11,ConTenor-ConGrace,-S_Demand_Lo!$B$17)-L121,0)</f>
        <v>10727.8658378004</v>
      </c>
      <c r="M122" s="95" t="n">
        <f aca="false">IF(AND(M39&gt;ConGrace,M39&lt;=ConTenor),PMT(ConRate*$B$11,ConTenor-ConGrace,-S_Demand_Lo!$B$17)-M121,0)</f>
        <v>11049.7018129344</v>
      </c>
      <c r="N122" s="95" t="n">
        <f aca="false">IF(AND(N39&gt;ConGrace,N39&lt;=ConTenor),PMT(ConRate*$B$11,ConTenor-ConGrace,-S_Demand_Lo!$B$17)-N121,0)</f>
        <v>11381.1928673224</v>
      </c>
      <c r="O122" s="95" t="n">
        <f aca="false">IF(AND(O39&gt;ConGrace,O39&lt;=ConTenor),PMT(ConRate*$B$11,ConTenor-ConGrace,-S_Demand_Lo!$B$17)-O121,0)</f>
        <v>11722.6286533421</v>
      </c>
      <c r="P122" s="95" t="n">
        <f aca="false">IF(AND(P39&gt;ConGrace,P39&lt;=ConTenor),PMT(ConRate*$B$11,ConTenor-ConGrace,-S_Demand_Lo!$B$17)-P121,0)</f>
        <v>12074.3075129423</v>
      </c>
      <c r="Q122" s="95" t="n">
        <f aca="false">IF(AND(Q39&gt;ConGrace,Q39&lt;=ConTenor),PMT(ConRate*$B$11,ConTenor-ConGrace,-S_Demand_Lo!$B$17)-Q121,0)</f>
        <v>12436.5367383306</v>
      </c>
      <c r="R122" s="95" t="n">
        <f aca="false">IF(AND(R39&gt;ConGrace,R39&lt;=ConTenor),PMT(ConRate*$B$11,ConTenor-ConGrace,-S_Demand_Lo!$B$17)-R121,0)</f>
        <v>12809.6328404805</v>
      </c>
      <c r="S122" s="95" t="n">
        <f aca="false">IF(AND(S39&gt;ConGrace,S39&lt;=ConTenor),PMT(ConRate*$B$11,ConTenor-ConGrace,-S_Demand_Lo!$B$17)-S121,0)</f>
        <v>0</v>
      </c>
      <c r="T122" s="95" t="n">
        <f aca="false">IF(AND(T39&gt;ConGrace,T39&lt;=ConTenor),PMT(ConRate*$B$11,ConTenor-ConGrace,-S_Demand_Lo!$B$17)-T121,0)</f>
        <v>0</v>
      </c>
      <c r="U122" s="95" t="n">
        <f aca="false">IF(AND(U39&gt;ConGrace,U39&lt;=ConTenor),PMT(ConRate*$B$11,ConTenor-ConGrace,-S_Demand_Lo!$B$17)-U121,0)</f>
        <v>0</v>
      </c>
      <c r="V122" s="95" t="n">
        <f aca="false">IF(AND(V39&gt;ConGrace,V39&lt;=ConTenor),PMT(ConRate*$B$11,ConTenor-ConGrace,-S_Demand_Lo!$B$17)-V121,0)</f>
        <v>0</v>
      </c>
      <c r="W122" s="95" t="n">
        <f aca="false">IF(AND(W39&gt;ConGrace,W39&lt;=ConTenor),PMT(ConRate*$B$11,ConTenor-ConGrace,-S_Demand_Lo!$B$17)-W121,0)</f>
        <v>0</v>
      </c>
    </row>
    <row r="123" customFormat="false" ht="15" hidden="false" customHeight="false" outlineLevel="0" collapsed="false">
      <c r="A123" s="11" t="s">
        <v>458</v>
      </c>
      <c r="C123" s="95" t="n">
        <f aca="false">0+C120-0</f>
        <v>112546.829385741</v>
      </c>
      <c r="D123" s="95" t="n">
        <f aca="false">D119+D120-D122</f>
        <v>112546.829385741</v>
      </c>
      <c r="E123" s="95" t="n">
        <f aca="false">E119+E120-E122</f>
        <v>112546.829385741</v>
      </c>
      <c r="F123" s="95" t="n">
        <f aca="false">F119+F120-F122</f>
        <v>112546.829385741</v>
      </c>
      <c r="G123" s="95" t="n">
        <f aca="false">G119+G120-G122</f>
        <v>112546.829385741</v>
      </c>
      <c r="H123" s="95" t="n">
        <f aca="false">H119+H120-H122</f>
        <v>112546.829385741</v>
      </c>
      <c r="I123" s="95" t="n">
        <f aca="false">I119+I120-I122</f>
        <v>102729.312441619</v>
      </c>
      <c r="J123" s="95" t="n">
        <f aca="false">J119+J120-J122</f>
        <v>92617.2699891724</v>
      </c>
      <c r="K123" s="95" t="n">
        <f aca="false">K119+K120-K122</f>
        <v>82201.8662631527</v>
      </c>
      <c r="L123" s="95" t="n">
        <f aca="false">L119+L120-L122</f>
        <v>71474.0004253523</v>
      </c>
      <c r="M123" s="95" t="n">
        <f aca="false">M119+M120-M122</f>
        <v>60424.2986124179</v>
      </c>
      <c r="N123" s="95" t="n">
        <f aca="false">N119+N120-N122</f>
        <v>49043.1057450955</v>
      </c>
      <c r="O123" s="95" t="n">
        <f aca="false">O119+O120-O122</f>
        <v>37320.4770917535</v>
      </c>
      <c r="P123" s="95" t="n">
        <f aca="false">P119+P120-P122</f>
        <v>25246.1695788111</v>
      </c>
      <c r="Q123" s="95" t="n">
        <f aca="false">Q119+Q120-Q122</f>
        <v>12809.6328404805</v>
      </c>
      <c r="R123" s="95" t="n">
        <f aca="false">R119+R120-R122</f>
        <v>0</v>
      </c>
      <c r="S123" s="95" t="n">
        <f aca="false">S119+S120-S122</f>
        <v>0</v>
      </c>
      <c r="T123" s="95" t="n">
        <f aca="false">T119+T120-T122</f>
        <v>0</v>
      </c>
      <c r="U123" s="95" t="n">
        <f aca="false">U119+U120-U122</f>
        <v>0</v>
      </c>
      <c r="V123" s="95" t="n">
        <f aca="false">V119+V120-V122</f>
        <v>0</v>
      </c>
      <c r="W123" s="95" t="n">
        <f aca="false">W119+W120-W122</f>
        <v>0</v>
      </c>
    </row>
    <row r="125" customFormat="false" ht="15" hidden="false" customHeight="false" outlineLevel="0" collapsed="false">
      <c r="A125" s="16" t="s">
        <v>460</v>
      </c>
      <c r="B125" s="66" t="n">
        <f aca="false">SUM(C125:W125)</f>
        <v>340100.447464923</v>
      </c>
      <c r="C125" s="31" t="n">
        <v>0</v>
      </c>
      <c r="D125" s="31" t="n">
        <f aca="false">D114+D115+D121+D122</f>
        <v>14631.0878201464</v>
      </c>
      <c r="E125" s="31" t="n">
        <f aca="false">E114+E115+E121+E122</f>
        <v>14631.0878201464</v>
      </c>
      <c r="F125" s="31" t="n">
        <f aca="false">F114+F115+F121+F122</f>
        <v>24472.6347469427</v>
      </c>
      <c r="G125" s="31" t="n">
        <f aca="false">G114+G115+G121+G122</f>
        <v>24472.6347469427</v>
      </c>
      <c r="H125" s="31" t="n">
        <f aca="false">H114+H115+H121+H122</f>
        <v>24472.6347469427</v>
      </c>
      <c r="I125" s="31" t="n">
        <f aca="false">I114+I115+I121+I122</f>
        <v>34290.1516910654</v>
      </c>
      <c r="J125" s="31" t="n">
        <f aca="false">J114+J115+J121+J122</f>
        <v>34290.1516910654</v>
      </c>
      <c r="K125" s="31" t="n">
        <f aca="false">K114+K115+K121+K122</f>
        <v>34290.1516910654</v>
      </c>
      <c r="L125" s="31" t="n">
        <f aca="false">L114+L115+L121+L122</f>
        <v>34290.1516910654</v>
      </c>
      <c r="M125" s="31" t="n">
        <f aca="false">M114+M115+M121+M122</f>
        <v>34290.1516910654</v>
      </c>
      <c r="N125" s="31" t="n">
        <f aca="false">N114+N115+N121+N122</f>
        <v>13193.9218256949</v>
      </c>
      <c r="O125" s="31" t="n">
        <f aca="false">O114+O115+O121+O122</f>
        <v>13193.9218256949</v>
      </c>
      <c r="P125" s="31" t="n">
        <f aca="false">P114+P115+P121+P122</f>
        <v>13193.9218256949</v>
      </c>
      <c r="Q125" s="31" t="n">
        <f aca="false">Q114+Q115+Q121+Q122</f>
        <v>13193.9218256949</v>
      </c>
      <c r="R125" s="31" t="n">
        <f aca="false">R114+R115+R121+R122</f>
        <v>13193.9218256949</v>
      </c>
      <c r="S125" s="31" t="n">
        <f aca="false">S114+S115+S121+S122</f>
        <v>0</v>
      </c>
      <c r="T125" s="31" t="n">
        <f aca="false">T114+T115+T121+T122</f>
        <v>0</v>
      </c>
      <c r="U125" s="31" t="n">
        <f aca="false">U114+U115+U121+U122</f>
        <v>0</v>
      </c>
      <c r="V125" s="31" t="n">
        <f aca="false">V114+V115+V121+V122</f>
        <v>0</v>
      </c>
      <c r="W125" s="31" t="n">
        <f aca="false">W114+W115+W121+W122</f>
        <v>0</v>
      </c>
    </row>
    <row r="126" customFormat="false" ht="15" hidden="false" customHeight="false" outlineLevel="0" collapsed="false">
      <c r="A126" s="11" t="s">
        <v>461</v>
      </c>
      <c r="C126" s="96" t="n">
        <v>0</v>
      </c>
      <c r="D126" s="96" t="n">
        <f aca="false">IF(D39&lt;=SenGrace,SenRate*$B$11,IF(D39&lt;=SenTenor,PMT(SenRate*$B$11,SenTenor-SenGrace,-1),0))</f>
        <v>0.1</v>
      </c>
      <c r="E126" s="96" t="n">
        <f aca="false">IF(E39&lt;=SenGrace,SenRate*$B$11,IF(E39&lt;=SenTenor,PMT(SenRate*$B$11,SenTenor-SenGrace,-1),0))</f>
        <v>0.1</v>
      </c>
      <c r="F126" s="96" t="n">
        <f aca="false">IF(F39&lt;=SenGrace,SenRate*$B$11,IF(F39&lt;=SenTenor,PMT(SenRate*$B$11,SenTenor-SenGrace,-1),0))</f>
        <v>0.187444017574813</v>
      </c>
      <c r="G126" s="96" t="n">
        <f aca="false">IF(G39&lt;=SenGrace,SenRate*$B$11,IF(G39&lt;=SenTenor,PMT(SenRate*$B$11,SenTenor-SenGrace,-1),0))</f>
        <v>0.187444017574813</v>
      </c>
      <c r="H126" s="96" t="n">
        <f aca="false">IF(H39&lt;=SenGrace,SenRate*$B$11,IF(H39&lt;=SenTenor,PMT(SenRate*$B$11,SenTenor-SenGrace,-1),0))</f>
        <v>0.187444017574813</v>
      </c>
      <c r="I126" s="96" t="n">
        <f aca="false">IF(I39&lt;=SenGrace,SenRate*$B$11,IF(I39&lt;=SenTenor,PMT(SenRate*$B$11,SenTenor-SenGrace,-1),0))</f>
        <v>0.187444017574813</v>
      </c>
      <c r="J126" s="96" t="n">
        <f aca="false">IF(J39&lt;=SenGrace,SenRate*$B$11,IF(J39&lt;=SenTenor,PMT(SenRate*$B$11,SenTenor-SenGrace,-1),0))</f>
        <v>0.187444017574813</v>
      </c>
      <c r="K126" s="96" t="n">
        <f aca="false">IF(K39&lt;=SenGrace,SenRate*$B$11,IF(K39&lt;=SenTenor,PMT(SenRate*$B$11,SenTenor-SenGrace,-1),0))</f>
        <v>0.187444017574813</v>
      </c>
      <c r="L126" s="96" t="n">
        <f aca="false">IF(L39&lt;=SenGrace,SenRate*$B$11,IF(L39&lt;=SenTenor,PMT(SenRate*$B$11,SenTenor-SenGrace,-1),0))</f>
        <v>0.187444017574813</v>
      </c>
      <c r="M126" s="96" t="n">
        <f aca="false">IF(M39&lt;=SenGrace,SenRate*$B$11,IF(M39&lt;=SenTenor,PMT(SenRate*$B$11,SenTenor-SenGrace,-1),0))</f>
        <v>0.187444017574813</v>
      </c>
      <c r="N126" s="96" t="n">
        <f aca="false">IF(N39&lt;=SenGrace,SenRate*$B$11,IF(N39&lt;=SenTenor,PMT(SenRate*$B$11,SenTenor-SenGrace,-1),0))</f>
        <v>0</v>
      </c>
      <c r="O126" s="96" t="n">
        <f aca="false">IF(O39&lt;=SenGrace,SenRate*$B$11,IF(O39&lt;=SenTenor,PMT(SenRate*$B$11,SenTenor-SenGrace,-1),0))</f>
        <v>0</v>
      </c>
      <c r="P126" s="96" t="n">
        <f aca="false">IF(P39&lt;=SenGrace,SenRate*$B$11,IF(P39&lt;=SenTenor,PMT(SenRate*$B$11,SenTenor-SenGrace,-1),0))</f>
        <v>0</v>
      </c>
      <c r="Q126" s="96" t="n">
        <f aca="false">IF(Q39&lt;=SenGrace,SenRate*$B$11,IF(Q39&lt;=SenTenor,PMT(SenRate*$B$11,SenTenor-SenGrace,-1),0))</f>
        <v>0</v>
      </c>
      <c r="R126" s="96" t="n">
        <f aca="false">IF(R39&lt;=SenGrace,SenRate*$B$11,IF(R39&lt;=SenTenor,PMT(SenRate*$B$11,SenTenor-SenGrace,-1),0))</f>
        <v>0</v>
      </c>
      <c r="S126" s="96" t="n">
        <f aca="false">IF(S39&lt;=SenGrace,SenRate*$B$11,IF(S39&lt;=SenTenor,PMT(SenRate*$B$11,SenTenor-SenGrace,-1),0))</f>
        <v>0</v>
      </c>
      <c r="T126" s="96" t="n">
        <f aca="false">IF(T39&lt;=SenGrace,SenRate*$B$11,IF(T39&lt;=SenTenor,PMT(SenRate*$B$11,SenTenor-SenGrace,-1),0))</f>
        <v>0</v>
      </c>
      <c r="U126" s="96" t="n">
        <f aca="false">IF(U39&lt;=SenGrace,SenRate*$B$11,IF(U39&lt;=SenTenor,PMT(SenRate*$B$11,SenTenor-SenGrace,-1),0))</f>
        <v>0</v>
      </c>
      <c r="V126" s="96" t="n">
        <f aca="false">IF(V39&lt;=SenGrace,SenRate*$B$11,IF(V39&lt;=SenTenor,PMT(SenRate*$B$11,SenTenor-SenGrace,-1),0))</f>
        <v>0</v>
      </c>
      <c r="W126" s="96" t="n">
        <f aca="false">IF(W39&lt;=SenGrace,SenRate*$B$11,IF(W39&lt;=SenTenor,PMT(SenRate*$B$11,SenTenor-SenGrace,-1),0))</f>
        <v>0</v>
      </c>
    </row>
    <row r="127" customFormat="false" ht="15" hidden="false" customHeight="false" outlineLevel="0" collapsed="false">
      <c r="A127" s="11" t="s">
        <v>462</v>
      </c>
      <c r="C127" s="95" t="n">
        <v>0</v>
      </c>
      <c r="D127" s="95" t="n">
        <f aca="false">IF(D126&gt;0,(D147/MinDSCR-D121-D122)/D126,1000000000000)</f>
        <v>965759.178113517</v>
      </c>
      <c r="E127" s="95" t="n">
        <f aca="false">IF(E126&gt;0,(E147/MinDSCR-E121-E122)/E126,1000000000000)</f>
        <v>433401.708965889</v>
      </c>
      <c r="F127" s="95" t="n">
        <f aca="false">IF(F126&gt;0,(F147/MinDSCR-F121-F122)/F126,1000000000000)</f>
        <v>190903.132987348</v>
      </c>
      <c r="G127" s="95" t="n">
        <f aca="false">IF(G126&gt;0,(G147/MinDSCR-G121-G122)/G126,1000000000000)</f>
        <v>44499.7026120023</v>
      </c>
      <c r="H127" s="95" t="n">
        <f aca="false">IF(H126&gt;0,(H147/MinDSCR-H121-H122)/H126,1000000000000)</f>
        <v>61261.7678086624</v>
      </c>
      <c r="I127" s="95" t="n">
        <f aca="false">IF(I126&gt;0,(I147/MinDSCR-I121-I122)/I126,1000000000000)</f>
        <v>26902.0807334227</v>
      </c>
      <c r="J127" s="95" t="n">
        <f aca="false">IF(J126&gt;0,(J147/MinDSCR-J121-J122)/J126,1000000000000)</f>
        <v>46255.4602051899</v>
      </c>
      <c r="K127" s="95" t="n">
        <f aca="false">IF(K126&gt;0,(K147/MinDSCR-K121-K122)/K126,1000000000000)</f>
        <v>67034.8266157067</v>
      </c>
      <c r="L127" s="95" t="n">
        <f aca="false">IF(L126&gt;0,(L147/MinDSCR-L121-L122)/L126,1000000000000)</f>
        <v>66631.2169952239</v>
      </c>
      <c r="M127" s="95" t="n">
        <f aca="false">IF(M126&gt;0,(M147/MinDSCR-M121-M122)/M126,1000000000000)</f>
        <v>90551.3113306044</v>
      </c>
      <c r="N127" s="95" t="n">
        <f aca="false">IF(N126&gt;0,(N147/MinDSCR-N121-N122)/N126,1000000000000)</f>
        <v>1000000000000</v>
      </c>
      <c r="O127" s="95" t="n">
        <f aca="false">IF(O126&gt;0,(O147/MinDSCR-O121-O122)/O126,1000000000000)</f>
        <v>1000000000000</v>
      </c>
      <c r="P127" s="95" t="n">
        <f aca="false">IF(P126&gt;0,(P147/MinDSCR-P121-P122)/P126,1000000000000)</f>
        <v>1000000000000</v>
      </c>
      <c r="Q127" s="95" t="n">
        <f aca="false">IF(Q126&gt;0,(Q147/MinDSCR-Q121-Q122)/Q126,1000000000000)</f>
        <v>1000000000000</v>
      </c>
      <c r="R127" s="95" t="n">
        <f aca="false">IF(R126&gt;0,(R147/MinDSCR-R121-R122)/R126,1000000000000)</f>
        <v>1000000000000</v>
      </c>
      <c r="S127" s="95" t="n">
        <f aca="false">IF(S126&gt;0,(S147/MinDSCR-S121-S122)/S126,1000000000000)</f>
        <v>1000000000000</v>
      </c>
      <c r="T127" s="95" t="n">
        <f aca="false">IF(T126&gt;0,(T147/MinDSCR-T121-T122)/T126,1000000000000)</f>
        <v>1000000000000</v>
      </c>
      <c r="U127" s="95" t="n">
        <f aca="false">IF(U126&gt;0,(U147/MinDSCR-U121-U122)/U126,1000000000000)</f>
        <v>1000000000000</v>
      </c>
      <c r="V127" s="95" t="n">
        <f aca="false">IF(V126&gt;0,(V147/MinDSCR-V121-V122)/V126,1000000000000)</f>
        <v>1000000000000</v>
      </c>
      <c r="W127" s="95" t="n">
        <f aca="false">IF(W126&gt;0,(W147/MinDSCR-W121-W122)/W126,1000000000000)</f>
        <v>1000000000000</v>
      </c>
    </row>
    <row r="128" customFormat="false" ht="15" hidden="false" customHeight="false" outlineLevel="0" collapsed="false">
      <c r="A128" s="11" t="s">
        <v>463</v>
      </c>
      <c r="C128" s="95" t="n">
        <f aca="false">DSRAPct*D125</f>
        <v>7315.5439100732</v>
      </c>
      <c r="D128" s="95" t="n">
        <f aca="false">DSRAPct*E125</f>
        <v>7315.5439100732</v>
      </c>
      <c r="E128" s="95" t="n">
        <f aca="false">DSRAPct*F125</f>
        <v>12236.3173734714</v>
      </c>
      <c r="F128" s="95" t="n">
        <f aca="false">DSRAPct*G125</f>
        <v>12236.3173734714</v>
      </c>
      <c r="G128" s="95" t="n">
        <f aca="false">DSRAPct*H125</f>
        <v>12236.3173734714</v>
      </c>
      <c r="H128" s="95" t="n">
        <f aca="false">DSRAPct*I125</f>
        <v>17145.0758455327</v>
      </c>
      <c r="I128" s="95" t="n">
        <f aca="false">DSRAPct*J125</f>
        <v>17145.0758455327</v>
      </c>
      <c r="J128" s="95" t="n">
        <f aca="false">DSRAPct*K125</f>
        <v>17145.0758455327</v>
      </c>
      <c r="K128" s="95" t="n">
        <f aca="false">DSRAPct*L125</f>
        <v>17145.0758455327</v>
      </c>
      <c r="L128" s="95" t="n">
        <f aca="false">DSRAPct*M125</f>
        <v>17145.0758455327</v>
      </c>
      <c r="M128" s="95" t="n">
        <f aca="false">DSRAPct*N125</f>
        <v>6596.96091284747</v>
      </c>
      <c r="N128" s="95" t="n">
        <f aca="false">DSRAPct*O125</f>
        <v>6596.96091284747</v>
      </c>
      <c r="O128" s="95" t="n">
        <f aca="false">DSRAPct*P125</f>
        <v>6596.96091284747</v>
      </c>
      <c r="P128" s="95" t="n">
        <f aca="false">DSRAPct*Q125</f>
        <v>6596.96091284747</v>
      </c>
      <c r="Q128" s="95" t="n">
        <f aca="false">DSRAPct*R125</f>
        <v>6596.96091284747</v>
      </c>
      <c r="R128" s="95" t="n">
        <f aca="false">DSRAPct*S125</f>
        <v>0</v>
      </c>
      <c r="S128" s="95" t="n">
        <f aca="false">DSRAPct*T125</f>
        <v>0</v>
      </c>
      <c r="T128" s="95" t="n">
        <f aca="false">DSRAPct*U125</f>
        <v>0</v>
      </c>
      <c r="U128" s="95" t="n">
        <f aca="false">DSRAPct*V125</f>
        <v>0</v>
      </c>
      <c r="V128" s="95" t="n">
        <f aca="false">DSRAPct*W125</f>
        <v>0</v>
      </c>
      <c r="W128" s="95" t="n">
        <f aca="false">0</f>
        <v>0</v>
      </c>
    </row>
    <row r="129" customFormat="false" ht="15" hidden="false" customHeight="false" outlineLevel="0" collapsed="false">
      <c r="A129" s="11" t="s">
        <v>464</v>
      </c>
      <c r="B129" s="66" t="n">
        <f aca="false">SUM(C129:W129)</f>
        <v>0</v>
      </c>
      <c r="C129" s="95" t="n">
        <f aca="false">C128</f>
        <v>7315.5439100732</v>
      </c>
      <c r="D129" s="95" t="n">
        <f aca="false">D128-C128</f>
        <v>0</v>
      </c>
      <c r="E129" s="95" t="n">
        <f aca="false">E128-D128</f>
        <v>4920.77346339816</v>
      </c>
      <c r="F129" s="95" t="n">
        <f aca="false">F128-E128</f>
        <v>0</v>
      </c>
      <c r="G129" s="95" t="n">
        <f aca="false">G128-F128</f>
        <v>0</v>
      </c>
      <c r="H129" s="95" t="n">
        <f aca="false">H128-G128</f>
        <v>4908.75847206135</v>
      </c>
      <c r="I129" s="95" t="n">
        <f aca="false">I128-H128</f>
        <v>0</v>
      </c>
      <c r="J129" s="95" t="n">
        <f aca="false">J128-I128</f>
        <v>0</v>
      </c>
      <c r="K129" s="95" t="n">
        <f aca="false">K128-J128</f>
        <v>0</v>
      </c>
      <c r="L129" s="95" t="n">
        <f aca="false">L128-K128</f>
        <v>0</v>
      </c>
      <c r="M129" s="95" t="n">
        <f aca="false">M128-L128</f>
        <v>-10548.1149326852</v>
      </c>
      <c r="N129" s="95" t="n">
        <f aca="false">N128-M128</f>
        <v>0</v>
      </c>
      <c r="O129" s="95" t="n">
        <f aca="false">O128-N128</f>
        <v>0</v>
      </c>
      <c r="P129" s="95" t="n">
        <f aca="false">P128-O128</f>
        <v>0</v>
      </c>
      <c r="Q129" s="95" t="n">
        <f aca="false">Q128-P128</f>
        <v>0</v>
      </c>
      <c r="R129" s="95" t="n">
        <f aca="false">R128-Q128</f>
        <v>-6596.96091284747</v>
      </c>
      <c r="S129" s="95" t="n">
        <f aca="false">S128-R128</f>
        <v>0</v>
      </c>
      <c r="T129" s="95" t="n">
        <f aca="false">T128-S128</f>
        <v>0</v>
      </c>
      <c r="U129" s="95" t="n">
        <f aca="false">U128-T128</f>
        <v>0</v>
      </c>
      <c r="V129" s="95" t="n">
        <f aca="false">V128-U128</f>
        <v>0</v>
      </c>
      <c r="W129" s="95" t="n">
        <f aca="false">W128-V128</f>
        <v>0</v>
      </c>
    </row>
    <row r="131" customFormat="false" ht="15" hidden="false" customHeight="false" outlineLevel="0" collapsed="false">
      <c r="A131" s="9" t="s">
        <v>465</v>
      </c>
      <c r="B131" s="10"/>
      <c r="C131" s="10"/>
      <c r="D131" s="10"/>
      <c r="E131" s="10"/>
      <c r="F131" s="10"/>
      <c r="G131" s="10"/>
      <c r="H131" s="10"/>
      <c r="I131" s="10"/>
      <c r="J131" s="10"/>
      <c r="K131" s="10"/>
      <c r="L131" s="10"/>
      <c r="M131" s="10"/>
      <c r="N131" s="10"/>
      <c r="O131" s="10"/>
      <c r="P131" s="10"/>
      <c r="Q131" s="10"/>
      <c r="R131" s="10"/>
      <c r="S131" s="10"/>
      <c r="T131" s="10"/>
      <c r="U131" s="10"/>
      <c r="V131" s="10"/>
      <c r="W131" s="10"/>
    </row>
    <row r="132" customFormat="false" ht="15" hidden="false" customHeight="false" outlineLevel="0" collapsed="false">
      <c r="A132" s="11" t="s">
        <v>466</v>
      </c>
      <c r="B132" s="66" t="n">
        <f aca="false">SUM(C132:W132)</f>
        <v>1162734.14692871</v>
      </c>
      <c r="C132" s="95" t="n">
        <v>0</v>
      </c>
      <c r="D132" s="95" t="n">
        <f aca="false">IF(D39&lt;=MIN(DepYears,Life),S_Demand_Lo!$B$14/DepYears,0)</f>
        <v>77515.6097952472</v>
      </c>
      <c r="E132" s="95" t="n">
        <f aca="false">IF(E39&lt;=MIN(DepYears,Life),S_Demand_Lo!$B$14/DepYears,0)</f>
        <v>77515.6097952472</v>
      </c>
      <c r="F132" s="95" t="n">
        <f aca="false">IF(F39&lt;=MIN(DepYears,Life),S_Demand_Lo!$B$14/DepYears,0)</f>
        <v>77515.6097952472</v>
      </c>
      <c r="G132" s="95" t="n">
        <f aca="false">IF(G39&lt;=MIN(DepYears,Life),S_Demand_Lo!$B$14/DepYears,0)</f>
        <v>77515.6097952472</v>
      </c>
      <c r="H132" s="95" t="n">
        <f aca="false">IF(H39&lt;=MIN(DepYears,Life),S_Demand_Lo!$B$14/DepYears,0)</f>
        <v>77515.6097952472</v>
      </c>
      <c r="I132" s="95" t="n">
        <f aca="false">IF(I39&lt;=MIN(DepYears,Life),S_Demand_Lo!$B$14/DepYears,0)</f>
        <v>77515.6097952472</v>
      </c>
      <c r="J132" s="95" t="n">
        <f aca="false">IF(J39&lt;=MIN(DepYears,Life),S_Demand_Lo!$B$14/DepYears,0)</f>
        <v>77515.6097952472</v>
      </c>
      <c r="K132" s="95" t="n">
        <f aca="false">IF(K39&lt;=MIN(DepYears,Life),S_Demand_Lo!$B$14/DepYears,0)</f>
        <v>77515.6097952472</v>
      </c>
      <c r="L132" s="95" t="n">
        <f aca="false">IF(L39&lt;=MIN(DepYears,Life),S_Demand_Lo!$B$14/DepYears,0)</f>
        <v>77515.6097952472</v>
      </c>
      <c r="M132" s="95" t="n">
        <f aca="false">IF(M39&lt;=MIN(DepYears,Life),S_Demand_Lo!$B$14/DepYears,0)</f>
        <v>77515.6097952472</v>
      </c>
      <c r="N132" s="95" t="n">
        <f aca="false">IF(N39&lt;=MIN(DepYears,Life),S_Demand_Lo!$B$14/DepYears,0)</f>
        <v>77515.6097952472</v>
      </c>
      <c r="O132" s="95" t="n">
        <f aca="false">IF(O39&lt;=MIN(DepYears,Life),S_Demand_Lo!$B$14/DepYears,0)</f>
        <v>77515.6097952472</v>
      </c>
      <c r="P132" s="95" t="n">
        <f aca="false">IF(P39&lt;=MIN(DepYears,Life),S_Demand_Lo!$B$14/DepYears,0)</f>
        <v>77515.6097952472</v>
      </c>
      <c r="Q132" s="95" t="n">
        <f aca="false">IF(Q39&lt;=MIN(DepYears,Life),S_Demand_Lo!$B$14/DepYears,0)</f>
        <v>77515.6097952472</v>
      </c>
      <c r="R132" s="95" t="n">
        <f aca="false">IF(R39&lt;=MIN(DepYears,Life),S_Demand_Lo!$B$14/DepYears,0)</f>
        <v>77515.6097952472</v>
      </c>
      <c r="S132" s="95" t="n">
        <f aca="false">IF(S39&lt;=MIN(DepYears,Life),S_Demand_Lo!$B$14/DepYears,0)</f>
        <v>0</v>
      </c>
      <c r="T132" s="95" t="n">
        <f aca="false">IF(T39&lt;=MIN(DepYears,Life),S_Demand_Lo!$B$14/DepYears,0)</f>
        <v>0</v>
      </c>
      <c r="U132" s="95" t="n">
        <f aca="false">IF(U39&lt;=MIN(DepYears,Life),S_Demand_Lo!$B$14/DepYears,0)</f>
        <v>0</v>
      </c>
      <c r="V132" s="95" t="n">
        <f aca="false">IF(V39&lt;=MIN(DepYears,Life),S_Demand_Lo!$B$14/DepYears,0)</f>
        <v>0</v>
      </c>
      <c r="W132" s="95" t="n">
        <f aca="false">IF(W39&lt;=MIN(DepYears,Life),S_Demand_Lo!$B$14/DepYears,0)</f>
        <v>0</v>
      </c>
    </row>
    <row r="133" customFormat="false" ht="15" hidden="false" customHeight="false" outlineLevel="0" collapsed="false">
      <c r="A133" s="11" t="s">
        <v>467</v>
      </c>
      <c r="B133" s="66" t="n">
        <f aca="false">SUM(C133:W133)</f>
        <v>33743.3376387774</v>
      </c>
      <c r="C133" s="95" t="n">
        <v>0</v>
      </c>
      <c r="D133" s="95" t="n">
        <f aca="false">D98-D132</f>
        <v>-78039.6605813583</v>
      </c>
      <c r="E133" s="95" t="n">
        <f aca="false">E98-E132</f>
        <v>-59046.13157055</v>
      </c>
      <c r="F133" s="95" t="n">
        <f aca="false">F98-F132</f>
        <v>-43669.608456918</v>
      </c>
      <c r="G133" s="95" t="n">
        <f aca="false">G98-G132</f>
        <v>-41544.789786094</v>
      </c>
      <c r="H133" s="95" t="n">
        <f aca="false">H98-H132</f>
        <v>-37460.2562897872</v>
      </c>
      <c r="I133" s="95" t="n">
        <f aca="false">I98-I132</f>
        <v>-33070.1573868229</v>
      </c>
      <c r="J133" s="95" t="n">
        <f aca="false">J98-J132</f>
        <v>-28354.1796244336</v>
      </c>
      <c r="K133" s="95" t="n">
        <f aca="false">K98-K132</f>
        <v>-23290.7213249932</v>
      </c>
      <c r="L133" s="95" t="n">
        <f aca="false">L98-L132</f>
        <v>-17856.8125990559</v>
      </c>
      <c r="M133" s="95" t="n">
        <f aca="false">M98-M132</f>
        <v>-12028.0304411659</v>
      </c>
      <c r="N133" s="95" t="n">
        <f aca="false">N98-N132</f>
        <v>-5778.40860760126</v>
      </c>
      <c r="O133" s="95" t="n">
        <f aca="false">O98-O132</f>
        <v>919.658043154559</v>
      </c>
      <c r="P133" s="95" t="n">
        <f aca="false">P98-P132</f>
        <v>8095.51508589422</v>
      </c>
      <c r="Q133" s="95" t="n">
        <f aca="false">Q98-Q132</f>
        <v>8562.84456607646</v>
      </c>
      <c r="R133" s="95" t="n">
        <f aca="false">R98-R132</f>
        <v>6985.26443203607</v>
      </c>
      <c r="S133" s="95" t="n">
        <f aca="false">S98-S132</f>
        <v>82670.856552375</v>
      </c>
      <c r="T133" s="95" t="n">
        <f aca="false">T98-T132</f>
        <v>80569.5355143005</v>
      </c>
      <c r="U133" s="95" t="n">
        <f aca="false">U98-U132</f>
        <v>78176.8213739063</v>
      </c>
      <c r="V133" s="95" t="n">
        <f aca="false">V98-V132</f>
        <v>75471.3244291071</v>
      </c>
      <c r="W133" s="95" t="n">
        <f aca="false">W98-W132</f>
        <v>72430.2743107074</v>
      </c>
    </row>
    <row r="134" customFormat="false" ht="15" hidden="false" customHeight="false" outlineLevel="0" collapsed="false">
      <c r="A134" s="11" t="s">
        <v>468</v>
      </c>
      <c r="C134" s="95" t="n">
        <v>0</v>
      </c>
      <c r="D134" s="95" t="n">
        <f aca="false">0</f>
        <v>0</v>
      </c>
      <c r="E134" s="95" t="n">
        <f aca="false">D136</f>
        <v>78039.6605813583</v>
      </c>
      <c r="F134" s="95" t="n">
        <f aca="false">E136</f>
        <v>137085.792151908</v>
      </c>
      <c r="G134" s="95" t="n">
        <f aca="false">F136</f>
        <v>180755.400608826</v>
      </c>
      <c r="H134" s="95" t="n">
        <f aca="false">G136</f>
        <v>222300.19039492</v>
      </c>
      <c r="I134" s="95" t="n">
        <f aca="false">H136</f>
        <v>259760.446684707</v>
      </c>
      <c r="J134" s="95" t="n">
        <f aca="false">I136</f>
        <v>292830.60407153</v>
      </c>
      <c r="K134" s="95" t="n">
        <f aca="false">J136</f>
        <v>321184.783695964</v>
      </c>
      <c r="L134" s="95" t="n">
        <f aca="false">K136</f>
        <v>344475.505020957</v>
      </c>
      <c r="M134" s="95" t="n">
        <f aca="false">L136</f>
        <v>362332.317620013</v>
      </c>
      <c r="N134" s="95" t="n">
        <f aca="false">M136</f>
        <v>374360.348061179</v>
      </c>
      <c r="O134" s="95" t="n">
        <f aca="false">N136</f>
        <v>380138.75666878</v>
      </c>
      <c r="P134" s="95" t="n">
        <f aca="false">O136</f>
        <v>379219.098625626</v>
      </c>
      <c r="Q134" s="95" t="n">
        <f aca="false">P136</f>
        <v>371123.583539731</v>
      </c>
      <c r="R134" s="95" t="n">
        <f aca="false">Q136</f>
        <v>362560.738973655</v>
      </c>
      <c r="S134" s="95" t="n">
        <f aca="false">R136</f>
        <v>355575.474541619</v>
      </c>
      <c r="T134" s="95" t="n">
        <f aca="false">S136</f>
        <v>272904.617989244</v>
      </c>
      <c r="U134" s="95" t="n">
        <f aca="false">T136</f>
        <v>192335.082474943</v>
      </c>
      <c r="V134" s="95" t="n">
        <f aca="false">U136</f>
        <v>114158.261101037</v>
      </c>
      <c r="W134" s="95" t="n">
        <f aca="false">V136</f>
        <v>38686.93667193</v>
      </c>
    </row>
    <row r="135" customFormat="false" ht="15" hidden="false" customHeight="false" outlineLevel="0" collapsed="false">
      <c r="A135" s="11" t="s">
        <v>469</v>
      </c>
      <c r="C135" s="95" t="n">
        <v>0</v>
      </c>
      <c r="D135" s="95" t="n">
        <f aca="false">MIN(D134,MAX(D133,0))</f>
        <v>0</v>
      </c>
      <c r="E135" s="95" t="n">
        <f aca="false">MIN(E134,MAX(E133,0))</f>
        <v>0</v>
      </c>
      <c r="F135" s="95" t="n">
        <f aca="false">MIN(F134,MAX(F133,0))</f>
        <v>0</v>
      </c>
      <c r="G135" s="95" t="n">
        <f aca="false">MIN(G134,MAX(G133,0))</f>
        <v>0</v>
      </c>
      <c r="H135" s="95" t="n">
        <f aca="false">MIN(H134,MAX(H133,0))</f>
        <v>0</v>
      </c>
      <c r="I135" s="95" t="n">
        <f aca="false">MIN(I134,MAX(I133,0))</f>
        <v>0</v>
      </c>
      <c r="J135" s="95" t="n">
        <f aca="false">MIN(J134,MAX(J133,0))</f>
        <v>0</v>
      </c>
      <c r="K135" s="95" t="n">
        <f aca="false">MIN(K134,MAX(K133,0))</f>
        <v>0</v>
      </c>
      <c r="L135" s="95" t="n">
        <f aca="false">MIN(L134,MAX(L133,0))</f>
        <v>0</v>
      </c>
      <c r="M135" s="95" t="n">
        <f aca="false">MIN(M134,MAX(M133,0))</f>
        <v>0</v>
      </c>
      <c r="N135" s="95" t="n">
        <f aca="false">MIN(N134,MAX(N133,0))</f>
        <v>0</v>
      </c>
      <c r="O135" s="95" t="n">
        <f aca="false">MIN(O134,MAX(O133,0))</f>
        <v>919.658043154559</v>
      </c>
      <c r="P135" s="95" t="n">
        <f aca="false">MIN(P134,MAX(P133,0))</f>
        <v>8095.51508589422</v>
      </c>
      <c r="Q135" s="95" t="n">
        <f aca="false">MIN(Q134,MAX(Q133,0))</f>
        <v>8562.84456607646</v>
      </c>
      <c r="R135" s="95" t="n">
        <f aca="false">MIN(R134,MAX(R133,0))</f>
        <v>6985.26443203607</v>
      </c>
      <c r="S135" s="95" t="n">
        <f aca="false">MIN(S134,MAX(S133,0))</f>
        <v>82670.856552375</v>
      </c>
      <c r="T135" s="95" t="n">
        <f aca="false">MIN(T134,MAX(T133,0))</f>
        <v>80569.5355143005</v>
      </c>
      <c r="U135" s="95" t="n">
        <f aca="false">MIN(U134,MAX(U133,0))</f>
        <v>78176.8213739063</v>
      </c>
      <c r="V135" s="95" t="n">
        <f aca="false">MIN(V134,MAX(V133,0))</f>
        <v>75471.3244291071</v>
      </c>
      <c r="W135" s="95" t="n">
        <f aca="false">MIN(W134,MAX(W133,0))</f>
        <v>38686.93667193</v>
      </c>
    </row>
    <row r="136" customFormat="false" ht="15" hidden="false" customHeight="false" outlineLevel="0" collapsed="false">
      <c r="A136" s="11" t="s">
        <v>470</v>
      </c>
      <c r="C136" s="95" t="n">
        <v>0</v>
      </c>
      <c r="D136" s="95" t="n">
        <f aca="false">D134-D135+MAX(-D133,0)</f>
        <v>78039.6605813583</v>
      </c>
      <c r="E136" s="95" t="n">
        <f aca="false">E134-E135+MAX(-E133,0)</f>
        <v>137085.792151908</v>
      </c>
      <c r="F136" s="95" t="n">
        <f aca="false">F134-F135+MAX(-F133,0)</f>
        <v>180755.400608826</v>
      </c>
      <c r="G136" s="95" t="n">
        <f aca="false">G134-G135+MAX(-G133,0)</f>
        <v>222300.19039492</v>
      </c>
      <c r="H136" s="95" t="n">
        <f aca="false">H134-H135+MAX(-H133,0)</f>
        <v>259760.446684707</v>
      </c>
      <c r="I136" s="95" t="n">
        <f aca="false">I134-I135+MAX(-I133,0)</f>
        <v>292830.60407153</v>
      </c>
      <c r="J136" s="95" t="n">
        <f aca="false">J134-J135+MAX(-J133,0)</f>
        <v>321184.783695964</v>
      </c>
      <c r="K136" s="95" t="n">
        <f aca="false">K134-K135+MAX(-K133,0)</f>
        <v>344475.505020957</v>
      </c>
      <c r="L136" s="95" t="n">
        <f aca="false">L134-L135+MAX(-L133,0)</f>
        <v>362332.317620013</v>
      </c>
      <c r="M136" s="95" t="n">
        <f aca="false">M134-M135+MAX(-M133,0)</f>
        <v>374360.348061179</v>
      </c>
      <c r="N136" s="95" t="n">
        <f aca="false">N134-N135+MAX(-N133,0)</f>
        <v>380138.75666878</v>
      </c>
      <c r="O136" s="95" t="n">
        <f aca="false">O134-O135+MAX(-O133,0)</f>
        <v>379219.098625626</v>
      </c>
      <c r="P136" s="95" t="n">
        <f aca="false">P134-P135+MAX(-P133,0)</f>
        <v>371123.583539731</v>
      </c>
      <c r="Q136" s="95" t="n">
        <f aca="false">Q134-Q135+MAX(-Q133,0)</f>
        <v>362560.738973655</v>
      </c>
      <c r="R136" s="95" t="n">
        <f aca="false">R134-R135+MAX(-R133,0)</f>
        <v>355575.474541619</v>
      </c>
      <c r="S136" s="95" t="n">
        <f aca="false">S134-S135+MAX(-S133,0)</f>
        <v>272904.617989244</v>
      </c>
      <c r="T136" s="95" t="n">
        <f aca="false">T134-T135+MAX(-T133,0)</f>
        <v>192335.082474943</v>
      </c>
      <c r="U136" s="95" t="n">
        <f aca="false">U134-U135+MAX(-U133,0)</f>
        <v>114158.261101037</v>
      </c>
      <c r="V136" s="95" t="n">
        <f aca="false">V134-V135+MAX(-V133,0)</f>
        <v>38686.93667193</v>
      </c>
      <c r="W136" s="95" t="n">
        <f aca="false">W134-W135+MAX(-W133,0)</f>
        <v>0</v>
      </c>
    </row>
    <row r="137" customFormat="false" ht="15" hidden="false" customHeight="false" outlineLevel="0" collapsed="false">
      <c r="A137" s="11" t="s">
        <v>471</v>
      </c>
      <c r="B137" s="66" t="n">
        <f aca="false">SUM(C137:W137)</f>
        <v>8435.83440969436</v>
      </c>
      <c r="C137" s="95" t="n">
        <v>0</v>
      </c>
      <c r="D137" s="95" t="n">
        <f aca="false">(MAX(D133,0)-D135)*TaxRate</f>
        <v>0</v>
      </c>
      <c r="E137" s="95" t="n">
        <f aca="false">(MAX(E133,0)-E135)*TaxRate</f>
        <v>0</v>
      </c>
      <c r="F137" s="95" t="n">
        <f aca="false">(MAX(F133,0)-F135)*TaxRate</f>
        <v>0</v>
      </c>
      <c r="G137" s="95" t="n">
        <f aca="false">(MAX(G133,0)-G135)*TaxRate</f>
        <v>0</v>
      </c>
      <c r="H137" s="95" t="n">
        <f aca="false">(MAX(H133,0)-H135)*TaxRate</f>
        <v>0</v>
      </c>
      <c r="I137" s="95" t="n">
        <f aca="false">(MAX(I133,0)-I135)*TaxRate</f>
        <v>0</v>
      </c>
      <c r="J137" s="95" t="n">
        <f aca="false">(MAX(J133,0)-J135)*TaxRate</f>
        <v>0</v>
      </c>
      <c r="K137" s="95" t="n">
        <f aca="false">(MAX(K133,0)-K135)*TaxRate</f>
        <v>0</v>
      </c>
      <c r="L137" s="95" t="n">
        <f aca="false">(MAX(L133,0)-L135)*TaxRate</f>
        <v>0</v>
      </c>
      <c r="M137" s="95" t="n">
        <f aca="false">(MAX(M133,0)-M135)*TaxRate</f>
        <v>0</v>
      </c>
      <c r="N137" s="95" t="n">
        <f aca="false">(MAX(N133,0)-N135)*TaxRate</f>
        <v>0</v>
      </c>
      <c r="O137" s="95" t="n">
        <f aca="false">(MAX(O133,0)-O135)*TaxRate</f>
        <v>0</v>
      </c>
      <c r="P137" s="95" t="n">
        <f aca="false">(MAX(P133,0)-P135)*TaxRate</f>
        <v>0</v>
      </c>
      <c r="Q137" s="95" t="n">
        <f aca="false">(MAX(Q133,0)-Q135)*TaxRate</f>
        <v>0</v>
      </c>
      <c r="R137" s="95" t="n">
        <f aca="false">(MAX(R133,0)-R135)*TaxRate</f>
        <v>0</v>
      </c>
      <c r="S137" s="95" t="n">
        <f aca="false">(MAX(S133,0)-S135)*TaxRate</f>
        <v>0</v>
      </c>
      <c r="T137" s="95" t="n">
        <f aca="false">(MAX(T133,0)-T135)*TaxRate</f>
        <v>0</v>
      </c>
      <c r="U137" s="95" t="n">
        <f aca="false">(MAX(U133,0)-U135)*TaxRate</f>
        <v>0</v>
      </c>
      <c r="V137" s="95" t="n">
        <f aca="false">(MAX(V133,0)-V135)*TaxRate</f>
        <v>0</v>
      </c>
      <c r="W137" s="95" t="n">
        <f aca="false">(MAX(W133,0)-W135)*TaxRate</f>
        <v>8435.83440969436</v>
      </c>
    </row>
    <row r="138" customFormat="false" ht="15" hidden="false" customHeight="false" outlineLevel="0" collapsed="false">
      <c r="A138" s="11" t="s">
        <v>472</v>
      </c>
      <c r="B138" s="66" t="n">
        <f aca="false">SUM(C138:W138)</f>
        <v>-81263.4510546622</v>
      </c>
      <c r="C138" s="95" t="n">
        <v>0</v>
      </c>
      <c r="D138" s="95" t="n">
        <f aca="false">D98-D132-D114-D121</f>
        <v>-92670.7484015047</v>
      </c>
      <c r="E138" s="95" t="n">
        <f aca="false">E98-E132-E114-E121</f>
        <v>-73677.2193906964</v>
      </c>
      <c r="F138" s="95" t="n">
        <f aca="false">F98-F132-F114-F121</f>
        <v>-58300.6962770644</v>
      </c>
      <c r="G138" s="95" t="n">
        <f aca="false">G98-G132-G114-G121</f>
        <v>-55191.7229135608</v>
      </c>
      <c r="H138" s="95" t="n">
        <f aca="false">H98-H132-H114-H121</f>
        <v>-50024.6192553064</v>
      </c>
      <c r="I138" s="95" t="n">
        <f aca="false">I98-I132-I114-I121</f>
        <v>-44443.6931741997</v>
      </c>
      <c r="J138" s="95" t="n">
        <f aca="false">J98-J132-J114-J121</f>
        <v>-38123.2800075301</v>
      </c>
      <c r="K138" s="95" t="n">
        <f aca="false">K98-K132-K114-K121</f>
        <v>-31315.5595489641</v>
      </c>
      <c r="L138" s="95" t="n">
        <f aca="false">L98-L132-L114-L121</f>
        <v>-23984.1977371387</v>
      </c>
      <c r="M138" s="95" t="n">
        <f aca="false">M98-M132-M114-M121</f>
        <v>-16090.0895325965</v>
      </c>
      <c r="N138" s="95" t="n">
        <f aca="false">N98-N132-N114-N121</f>
        <v>-7591.1375659738</v>
      </c>
      <c r="O138" s="95" t="n">
        <f aca="false">O98-O132-O114-O121</f>
        <v>-551.635129198307</v>
      </c>
      <c r="P138" s="95" t="n">
        <f aca="false">P98-P132-P114-P121</f>
        <v>6975.90077314162</v>
      </c>
      <c r="Q138" s="95" t="n">
        <f aca="false">Q98-Q132-Q114-Q121</f>
        <v>7805.45947871212</v>
      </c>
      <c r="R138" s="95" t="n">
        <f aca="false">R98-R132-R114-R121</f>
        <v>6600.97544682166</v>
      </c>
      <c r="S138" s="95" t="n">
        <f aca="false">S98-S132-S114-S121</f>
        <v>82670.856552375</v>
      </c>
      <c r="T138" s="95" t="n">
        <f aca="false">T98-T132-T114-T121</f>
        <v>80569.5355143005</v>
      </c>
      <c r="U138" s="95" t="n">
        <f aca="false">U98-U132-U114-U121</f>
        <v>78176.8213739063</v>
      </c>
      <c r="V138" s="95" t="n">
        <f aca="false">V98-V132-V114-V121</f>
        <v>75471.3244291071</v>
      </c>
      <c r="W138" s="95" t="n">
        <f aca="false">W98-W132-W114-W121</f>
        <v>72430.2743107074</v>
      </c>
    </row>
    <row r="139" customFormat="false" ht="15" hidden="false" customHeight="false" outlineLevel="0" collapsed="false">
      <c r="A139" s="11" t="s">
        <v>468</v>
      </c>
      <c r="C139" s="95" t="n">
        <v>0</v>
      </c>
      <c r="D139" s="95" t="n">
        <f aca="false">0</f>
        <v>0</v>
      </c>
      <c r="E139" s="95" t="n">
        <f aca="false">D141</f>
        <v>92670.7484015047</v>
      </c>
      <c r="F139" s="95" t="n">
        <f aca="false">E141</f>
        <v>166347.967792201</v>
      </c>
      <c r="G139" s="95" t="n">
        <f aca="false">F141</f>
        <v>224648.664069265</v>
      </c>
      <c r="H139" s="95" t="n">
        <f aca="false">G141</f>
        <v>279840.386982826</v>
      </c>
      <c r="I139" s="95" t="n">
        <f aca="false">H141</f>
        <v>329865.006238133</v>
      </c>
      <c r="J139" s="95" t="n">
        <f aca="false">I141</f>
        <v>374308.699412332</v>
      </c>
      <c r="K139" s="95" t="n">
        <f aca="false">J141</f>
        <v>412431.979419862</v>
      </c>
      <c r="L139" s="95" t="n">
        <f aca="false">K141</f>
        <v>443747.538968827</v>
      </c>
      <c r="M139" s="95" t="n">
        <f aca="false">L141</f>
        <v>467731.736705965</v>
      </c>
      <c r="N139" s="95" t="n">
        <f aca="false">M141</f>
        <v>483821.826238562</v>
      </c>
      <c r="O139" s="95" t="n">
        <f aca="false">N141</f>
        <v>491412.963804536</v>
      </c>
      <c r="P139" s="95" t="n">
        <f aca="false">O141</f>
        <v>491964.598933734</v>
      </c>
      <c r="Q139" s="95" t="n">
        <f aca="false">P141</f>
        <v>484988.698160592</v>
      </c>
      <c r="R139" s="95" t="n">
        <f aca="false">Q141</f>
        <v>477183.23868188</v>
      </c>
      <c r="S139" s="95" t="n">
        <f aca="false">R141</f>
        <v>470582.263235059</v>
      </c>
      <c r="T139" s="95" t="n">
        <f aca="false">S141</f>
        <v>387911.406682684</v>
      </c>
      <c r="U139" s="95" t="n">
        <f aca="false">T141</f>
        <v>307341.871168383</v>
      </c>
      <c r="V139" s="95" t="n">
        <f aca="false">U141</f>
        <v>229165.049794477</v>
      </c>
      <c r="W139" s="95" t="n">
        <f aca="false">V141</f>
        <v>153693.72536537</v>
      </c>
    </row>
    <row r="140" customFormat="false" ht="15" hidden="false" customHeight="false" outlineLevel="0" collapsed="false">
      <c r="A140" s="11" t="s">
        <v>469</v>
      </c>
      <c r="C140" s="95" t="n">
        <v>0</v>
      </c>
      <c r="D140" s="95" t="n">
        <f aca="false">MIN(D139,MAX(D138,0))</f>
        <v>0</v>
      </c>
      <c r="E140" s="95" t="n">
        <f aca="false">MIN(E139,MAX(E138,0))</f>
        <v>0</v>
      </c>
      <c r="F140" s="95" t="n">
        <f aca="false">MIN(F139,MAX(F138,0))</f>
        <v>0</v>
      </c>
      <c r="G140" s="95" t="n">
        <f aca="false">MIN(G139,MAX(G138,0))</f>
        <v>0</v>
      </c>
      <c r="H140" s="95" t="n">
        <f aca="false">MIN(H139,MAX(H138,0))</f>
        <v>0</v>
      </c>
      <c r="I140" s="95" t="n">
        <f aca="false">MIN(I139,MAX(I138,0))</f>
        <v>0</v>
      </c>
      <c r="J140" s="95" t="n">
        <f aca="false">MIN(J139,MAX(J138,0))</f>
        <v>0</v>
      </c>
      <c r="K140" s="95" t="n">
        <f aca="false">MIN(K139,MAX(K138,0))</f>
        <v>0</v>
      </c>
      <c r="L140" s="95" t="n">
        <f aca="false">MIN(L139,MAX(L138,0))</f>
        <v>0</v>
      </c>
      <c r="M140" s="95" t="n">
        <f aca="false">MIN(M139,MAX(M138,0))</f>
        <v>0</v>
      </c>
      <c r="N140" s="95" t="n">
        <f aca="false">MIN(N139,MAX(N138,0))</f>
        <v>0</v>
      </c>
      <c r="O140" s="95" t="n">
        <f aca="false">MIN(O139,MAX(O138,0))</f>
        <v>0</v>
      </c>
      <c r="P140" s="95" t="n">
        <f aca="false">MIN(P139,MAX(P138,0))</f>
        <v>6975.90077314162</v>
      </c>
      <c r="Q140" s="95" t="n">
        <f aca="false">MIN(Q139,MAX(Q138,0))</f>
        <v>7805.45947871212</v>
      </c>
      <c r="R140" s="95" t="n">
        <f aca="false">MIN(R139,MAX(R138,0))</f>
        <v>6600.97544682166</v>
      </c>
      <c r="S140" s="95" t="n">
        <f aca="false">MIN(S139,MAX(S138,0))</f>
        <v>82670.856552375</v>
      </c>
      <c r="T140" s="95" t="n">
        <f aca="false">MIN(T139,MAX(T138,0))</f>
        <v>80569.5355143005</v>
      </c>
      <c r="U140" s="95" t="n">
        <f aca="false">MIN(U139,MAX(U138,0))</f>
        <v>78176.8213739063</v>
      </c>
      <c r="V140" s="95" t="n">
        <f aca="false">MIN(V139,MAX(V138,0))</f>
        <v>75471.3244291071</v>
      </c>
      <c r="W140" s="95" t="n">
        <f aca="false">MIN(W139,MAX(W138,0))</f>
        <v>72430.2743107074</v>
      </c>
    </row>
    <row r="141" customFormat="false" ht="15" hidden="false" customHeight="false" outlineLevel="0" collapsed="false">
      <c r="A141" s="11" t="s">
        <v>470</v>
      </c>
      <c r="C141" s="95" t="n">
        <v>0</v>
      </c>
      <c r="D141" s="95" t="n">
        <f aca="false">D139-D140+MAX(-D138,0)</f>
        <v>92670.7484015047</v>
      </c>
      <c r="E141" s="95" t="n">
        <f aca="false">E139-E140+MAX(-E138,0)</f>
        <v>166347.967792201</v>
      </c>
      <c r="F141" s="95" t="n">
        <f aca="false">F139-F140+MAX(-F138,0)</f>
        <v>224648.664069265</v>
      </c>
      <c r="G141" s="95" t="n">
        <f aca="false">G139-G140+MAX(-G138,0)</f>
        <v>279840.386982826</v>
      </c>
      <c r="H141" s="95" t="n">
        <f aca="false">H139-H140+MAX(-H138,0)</f>
        <v>329865.006238133</v>
      </c>
      <c r="I141" s="95" t="n">
        <f aca="false">I139-I140+MAX(-I138,0)</f>
        <v>374308.699412332</v>
      </c>
      <c r="J141" s="95" t="n">
        <f aca="false">J139-J140+MAX(-J138,0)</f>
        <v>412431.979419862</v>
      </c>
      <c r="K141" s="95" t="n">
        <f aca="false">K139-K140+MAX(-K138,0)</f>
        <v>443747.538968827</v>
      </c>
      <c r="L141" s="95" t="n">
        <f aca="false">L139-L140+MAX(-L138,0)</f>
        <v>467731.736705965</v>
      </c>
      <c r="M141" s="95" t="n">
        <f aca="false">M139-M140+MAX(-M138,0)</f>
        <v>483821.826238562</v>
      </c>
      <c r="N141" s="95" t="n">
        <f aca="false">N139-N140+MAX(-N138,0)</f>
        <v>491412.963804536</v>
      </c>
      <c r="O141" s="95" t="n">
        <f aca="false">O139-O140+MAX(-O138,0)</f>
        <v>491964.598933734</v>
      </c>
      <c r="P141" s="95" t="n">
        <f aca="false">P139-P140+MAX(-P138,0)</f>
        <v>484988.698160592</v>
      </c>
      <c r="Q141" s="95" t="n">
        <f aca="false">Q139-Q140+MAX(-Q138,0)</f>
        <v>477183.23868188</v>
      </c>
      <c r="R141" s="95" t="n">
        <f aca="false">R139-R140+MAX(-R138,0)</f>
        <v>470582.263235059</v>
      </c>
      <c r="S141" s="95" t="n">
        <f aca="false">S139-S140+MAX(-S138,0)</f>
        <v>387911.406682684</v>
      </c>
      <c r="T141" s="95" t="n">
        <f aca="false">T139-T140+MAX(-T138,0)</f>
        <v>307341.871168383</v>
      </c>
      <c r="U141" s="95" t="n">
        <f aca="false">U139-U140+MAX(-U138,0)</f>
        <v>229165.049794477</v>
      </c>
      <c r="V141" s="95" t="n">
        <f aca="false">V139-V140+MAX(-V138,0)</f>
        <v>153693.72536537</v>
      </c>
      <c r="W141" s="95" t="n">
        <f aca="false">W139-W140+MAX(-W138,0)</f>
        <v>81263.4510546623</v>
      </c>
    </row>
    <row r="142" customFormat="false" ht="15" hidden="false" customHeight="false" outlineLevel="0" collapsed="false">
      <c r="A142" s="11" t="s">
        <v>473</v>
      </c>
      <c r="B142" s="66" t="n">
        <f aca="false">SUM(C142:W142)</f>
        <v>0</v>
      </c>
      <c r="C142" s="95" t="n">
        <v>0</v>
      </c>
      <c r="D142" s="95" t="n">
        <f aca="false">(MAX(D138,0)-D140)*TaxRate</f>
        <v>0</v>
      </c>
      <c r="E142" s="95" t="n">
        <f aca="false">(MAX(E138,0)-E140)*TaxRate</f>
        <v>0</v>
      </c>
      <c r="F142" s="95" t="n">
        <f aca="false">(MAX(F138,0)-F140)*TaxRate</f>
        <v>0</v>
      </c>
      <c r="G142" s="95" t="n">
        <f aca="false">(MAX(G138,0)-G140)*TaxRate</f>
        <v>0</v>
      </c>
      <c r="H142" s="95" t="n">
        <f aca="false">(MAX(H138,0)-H140)*TaxRate</f>
        <v>0</v>
      </c>
      <c r="I142" s="95" t="n">
        <f aca="false">(MAX(I138,0)-I140)*TaxRate</f>
        <v>0</v>
      </c>
      <c r="J142" s="95" t="n">
        <f aca="false">(MAX(J138,0)-J140)*TaxRate</f>
        <v>0</v>
      </c>
      <c r="K142" s="95" t="n">
        <f aca="false">(MAX(K138,0)-K140)*TaxRate</f>
        <v>0</v>
      </c>
      <c r="L142" s="95" t="n">
        <f aca="false">(MAX(L138,0)-L140)*TaxRate</f>
        <v>0</v>
      </c>
      <c r="M142" s="95" t="n">
        <f aca="false">(MAX(M138,0)-M140)*TaxRate</f>
        <v>0</v>
      </c>
      <c r="N142" s="95" t="n">
        <f aca="false">(MAX(N138,0)-N140)*TaxRate</f>
        <v>0</v>
      </c>
      <c r="O142" s="95" t="n">
        <f aca="false">(MAX(O138,0)-O140)*TaxRate</f>
        <v>0</v>
      </c>
      <c r="P142" s="95" t="n">
        <f aca="false">(MAX(P138,0)-P140)*TaxRate</f>
        <v>0</v>
      </c>
      <c r="Q142" s="95" t="n">
        <f aca="false">(MAX(Q138,0)-Q140)*TaxRate</f>
        <v>0</v>
      </c>
      <c r="R142" s="95" t="n">
        <f aca="false">(MAX(R138,0)-R140)*TaxRate</f>
        <v>0</v>
      </c>
      <c r="S142" s="95" t="n">
        <f aca="false">(MAX(S138,0)-S140)*TaxRate</f>
        <v>0</v>
      </c>
      <c r="T142" s="95" t="n">
        <f aca="false">(MAX(T138,0)-T140)*TaxRate</f>
        <v>0</v>
      </c>
      <c r="U142" s="95" t="n">
        <f aca="false">(MAX(U138,0)-U140)*TaxRate</f>
        <v>0</v>
      </c>
      <c r="V142" s="95" t="n">
        <f aca="false">(MAX(V138,0)-V140)*TaxRate</f>
        <v>0</v>
      </c>
      <c r="W142" s="95" t="n">
        <f aca="false">(MAX(W138,0)-W140)*TaxRate</f>
        <v>0</v>
      </c>
    </row>
    <row r="144" customFormat="false" ht="15" hidden="false" customHeight="false" outlineLevel="0" collapsed="false">
      <c r="A144" s="9" t="s">
        <v>474</v>
      </c>
      <c r="B144" s="10"/>
      <c r="C144" s="10"/>
      <c r="D144" s="10"/>
      <c r="E144" s="10"/>
      <c r="F144" s="10"/>
      <c r="G144" s="10"/>
      <c r="H144" s="10"/>
      <c r="I144" s="10"/>
      <c r="J144" s="10"/>
      <c r="K144" s="10"/>
      <c r="L144" s="10"/>
      <c r="M144" s="10"/>
      <c r="N144" s="10"/>
      <c r="O144" s="10"/>
      <c r="P144" s="10"/>
      <c r="Q144" s="10"/>
      <c r="R144" s="10"/>
      <c r="S144" s="10"/>
      <c r="T144" s="10"/>
      <c r="U144" s="10"/>
      <c r="V144" s="10"/>
      <c r="W144" s="10"/>
    </row>
    <row r="145" customFormat="false" ht="15" hidden="false" customHeight="false" outlineLevel="0" collapsed="false">
      <c r="A145" s="16" t="s">
        <v>475</v>
      </c>
      <c r="B145" s="66" t="n">
        <f aca="false">C145+NPV(Hurdle,D145:W145)</f>
        <v>-882373.56288874</v>
      </c>
      <c r="C145" s="31" t="n">
        <f aca="false">-C102+C98-C103-C137</f>
        <v>-1162734.14692871</v>
      </c>
      <c r="D145" s="31" t="n">
        <f aca="false">-D102+D98-D103-D137</f>
        <v>-524.050786111126</v>
      </c>
      <c r="E145" s="31" t="n">
        <f aca="false">-E102+E98-E103-E137</f>
        <v>18469.4782246972</v>
      </c>
      <c r="F145" s="31" t="n">
        <f aca="false">-F102+F98-F103-F137</f>
        <v>33846.0013383292</v>
      </c>
      <c r="G145" s="31" t="n">
        <f aca="false">-G102+G98-G103-G137</f>
        <v>35970.8200091532</v>
      </c>
      <c r="H145" s="31" t="n">
        <f aca="false">-H102+H98-H103-H137</f>
        <v>40055.35350546</v>
      </c>
      <c r="I145" s="31" t="n">
        <f aca="false">-I102+I98-I103-I137</f>
        <v>44445.4524084242</v>
      </c>
      <c r="J145" s="31" t="n">
        <f aca="false">-J102+J98-J103-J137</f>
        <v>49161.4301708136</v>
      </c>
      <c r="K145" s="31" t="n">
        <f aca="false">-K102+K98-K103-K137</f>
        <v>-111678.549234447</v>
      </c>
      <c r="L145" s="31" t="n">
        <f aca="false">-L102+L98-L103-L137</f>
        <v>59658.7971961913</v>
      </c>
      <c r="M145" s="31" t="n">
        <f aca="false">-M102+M98-M103-M137</f>
        <v>65487.5793540812</v>
      </c>
      <c r="N145" s="31" t="n">
        <f aca="false">-N102+N98-N103-N137</f>
        <v>71737.2011876459</v>
      </c>
      <c r="O145" s="31" t="n">
        <f aca="false">-O102+O98-O103-O137</f>
        <v>78435.2678384017</v>
      </c>
      <c r="P145" s="31" t="n">
        <f aca="false">-P102+P98-P103-P137</f>
        <v>85611.1248811414</v>
      </c>
      <c r="Q145" s="31" t="n">
        <f aca="false">-Q102+Q98-Q103-Q137</f>
        <v>86078.4543613236</v>
      </c>
      <c r="R145" s="31" t="n">
        <f aca="false">-R102+R98-R103-R137</f>
        <v>84500.8742272832</v>
      </c>
      <c r="S145" s="31" t="n">
        <f aca="false">-S102+S98-S103-S137</f>
        <v>-127490.654731295</v>
      </c>
      <c r="T145" s="31" t="n">
        <f aca="false">-T102+T98-T103-T137</f>
        <v>80569.5355143005</v>
      </c>
      <c r="U145" s="31" t="n">
        <f aca="false">-U102+U98-U103-U137</f>
        <v>78176.8213739063</v>
      </c>
      <c r="V145" s="31" t="n">
        <f aca="false">-V102+V98-V103-V137</f>
        <v>75471.3244291071</v>
      </c>
      <c r="W145" s="31" t="n">
        <f aca="false">-W102+W98-W103-W137</f>
        <v>63994.439901013</v>
      </c>
    </row>
    <row r="146" customFormat="false" ht="15" hidden="false" customHeight="false" outlineLevel="0" collapsed="false">
      <c r="A146" s="16" t="s">
        <v>476</v>
      </c>
      <c r="B146" s="66" t="n">
        <f aca="false">C146+NPV(Hurdle,D146:W146)</f>
        <v>-64453.2022576357</v>
      </c>
      <c r="C146" s="31" t="n">
        <f aca="false">C145+C106+C108</f>
        <v>-562734.146928707</v>
      </c>
      <c r="D146" s="31" t="n">
        <f aca="false">D145+D106+D108</f>
        <v>150675.949213889</v>
      </c>
      <c r="E146" s="31" t="n">
        <f aca="false">E145+E106+E108</f>
        <v>81469.4782246972</v>
      </c>
      <c r="F146" s="31" t="n">
        <f aca="false">F145+F106+F108</f>
        <v>71646.0013383292</v>
      </c>
      <c r="G146" s="31" t="n">
        <f aca="false">G145+G106+G108</f>
        <v>35970.8200091532</v>
      </c>
      <c r="H146" s="31" t="n">
        <f aca="false">H145+H106+H108</f>
        <v>40055.35350546</v>
      </c>
      <c r="I146" s="31" t="n">
        <f aca="false">I145+I106+I108</f>
        <v>44445.4524084242</v>
      </c>
      <c r="J146" s="31" t="n">
        <f aca="false">J145+J106+J108</f>
        <v>49161.4301708136</v>
      </c>
      <c r="K146" s="31" t="n">
        <f aca="false">K145+K106+K108</f>
        <v>-111678.549234447</v>
      </c>
      <c r="L146" s="31" t="n">
        <f aca="false">L145+L106+L108</f>
        <v>59658.7971961913</v>
      </c>
      <c r="M146" s="31" t="n">
        <f aca="false">M145+M106+M108</f>
        <v>65487.5793540812</v>
      </c>
      <c r="N146" s="31" t="n">
        <f aca="false">N145+N106+N108</f>
        <v>71737.2011876459</v>
      </c>
      <c r="O146" s="31" t="n">
        <f aca="false">O145+O106+O108</f>
        <v>78435.2678384017</v>
      </c>
      <c r="P146" s="31" t="n">
        <f aca="false">P145+P106+P108</f>
        <v>85611.1248811414</v>
      </c>
      <c r="Q146" s="31" t="n">
        <f aca="false">Q145+Q106+Q108</f>
        <v>86078.4543613236</v>
      </c>
      <c r="R146" s="31" t="n">
        <f aca="false">R145+R106+R108</f>
        <v>84500.8742272832</v>
      </c>
      <c r="S146" s="31" t="n">
        <f aca="false">S145+S106+S108</f>
        <v>-127490.654731295</v>
      </c>
      <c r="T146" s="31" t="n">
        <f aca="false">T145+T106+T108</f>
        <v>80569.5355143005</v>
      </c>
      <c r="U146" s="31" t="n">
        <f aca="false">U145+U106+U108</f>
        <v>78176.8213739063</v>
      </c>
      <c r="V146" s="31" t="n">
        <f aca="false">V145+V106+V108</f>
        <v>75471.3244291071</v>
      </c>
      <c r="W146" s="31" t="n">
        <f aca="false">W145+W106+W108</f>
        <v>63994.439901013</v>
      </c>
    </row>
    <row r="147" customFormat="false" ht="15" hidden="false" customHeight="false" outlineLevel="0" collapsed="false">
      <c r="A147" s="11" t="s">
        <v>243</v>
      </c>
      <c r="B147" s="66" t="n">
        <f aca="false">SUM(C147:W147)</f>
        <v>1072412.53557911</v>
      </c>
      <c r="C147" s="95" t="n">
        <v>0</v>
      </c>
      <c r="D147" s="95" t="n">
        <f aca="false">D98-D105-D142+D108</f>
        <v>129938.019500801</v>
      </c>
      <c r="E147" s="95" t="n">
        <f aca="false">E98-E105-E142+E108</f>
        <v>60731.5485116095</v>
      </c>
      <c r="F147" s="95" t="n">
        <f aca="false">F98-F105-F142+F108</f>
        <v>50908.0716252415</v>
      </c>
      <c r="G147" s="95" t="n">
        <f aca="false">G98-G105-G142+G108</f>
        <v>15232.8902960655</v>
      </c>
      <c r="H147" s="95" t="n">
        <f aca="false">H98-H105-H142+H108</f>
        <v>19317.4237923723</v>
      </c>
      <c r="I147" s="95" t="n">
        <f aca="false">I98-I105-I142+I108</f>
        <v>23707.5226953366</v>
      </c>
      <c r="J147" s="95" t="n">
        <f aca="false">J98-J105-J142+J108</f>
        <v>28423.5004577259</v>
      </c>
      <c r="K147" s="95" t="n">
        <f aca="false">K98-K105-K142+K108</f>
        <v>33486.9587571663</v>
      </c>
      <c r="L147" s="95" t="n">
        <f aca="false">L98-L105-L142+L108</f>
        <v>33388.6082857326</v>
      </c>
      <c r="M147" s="95" t="n">
        <f aca="false">M98-M105-M142+M108</f>
        <v>39217.3904436225</v>
      </c>
      <c r="N147" s="95" t="n">
        <f aca="false">N98-N105-N142+N108</f>
        <v>45467.0122771872</v>
      </c>
      <c r="O147" s="95" t="n">
        <f aca="false">O98-O105-O142+O108</f>
        <v>52165.078927943</v>
      </c>
      <c r="P147" s="95" t="n">
        <f aca="false">P98-P105-P142+P108</f>
        <v>59340.9359706826</v>
      </c>
      <c r="Q147" s="95" t="n">
        <f aca="false">Q98-Q105-Q142+Q108</f>
        <v>59808.2654508649</v>
      </c>
      <c r="R147" s="95" t="n">
        <f aca="false">R98-R105-R142+R108</f>
        <v>58230.6853168245</v>
      </c>
      <c r="S147" s="95" t="n">
        <f aca="false">S98-S105-S142+S108</f>
        <v>56400.6676419163</v>
      </c>
      <c r="T147" s="95" t="n">
        <f aca="false">T98-T105-T142+T108</f>
        <v>80569.5355143005</v>
      </c>
      <c r="U147" s="95" t="n">
        <f aca="false">U98-U105-U142+U108</f>
        <v>78176.8213739063</v>
      </c>
      <c r="V147" s="95" t="n">
        <f aca="false">V98-V105-V142+V108</f>
        <v>75471.3244291071</v>
      </c>
      <c r="W147" s="95" t="n">
        <f aca="false">W98-W105-W142+W108</f>
        <v>72430.2743107074</v>
      </c>
    </row>
    <row r="148" customFormat="false" ht="15" hidden="false" customHeight="false" outlineLevel="0" collapsed="false">
      <c r="A148" s="11" t="s">
        <v>477</v>
      </c>
      <c r="C148" s="97" t="n">
        <v>0</v>
      </c>
      <c r="D148" s="97" t="n">
        <f aca="false">IF(D125&gt;0,D147/D125,"")</f>
        <v>8.88095410936445</v>
      </c>
      <c r="E148" s="97" t="n">
        <f aca="false">IF(E125&gt;0,E147/E125,"")</f>
        <v>4.15085667300723</v>
      </c>
      <c r="F148" s="97" t="n">
        <f aca="false">IF(F125&gt;0,F147/F125,"")</f>
        <v>2.08020395644573</v>
      </c>
      <c r="G148" s="97" t="n">
        <f aca="false">IF(G125&gt;0,G147/G125,"")</f>
        <v>0.622445864680283</v>
      </c>
      <c r="H148" s="97" t="n">
        <f aca="false">IF(H125&gt;0,H147/H125,"")</f>
        <v>0.789347938712875</v>
      </c>
      <c r="I148" s="97" t="n">
        <f aca="false">IF(I125&gt;0,I147/I125,"")</f>
        <v>0.691379930568046</v>
      </c>
      <c r="J148" s="97" t="n">
        <f aca="false">IF(J125&gt;0,J147/J125,"")</f>
        <v>0.828911482043164</v>
      </c>
      <c r="K148" s="97" t="n">
        <f aca="false">IF(K125&gt;0,K147/K125,"")</f>
        <v>0.976576570989378</v>
      </c>
      <c r="L148" s="97" t="n">
        <f aca="false">IF(L125&gt;0,L147/L125,"")</f>
        <v>0.97370838678536</v>
      </c>
      <c r="M148" s="97" t="n">
        <f aca="false">IF(M125&gt;0,M147/M125,"")</f>
        <v>1.14369253297415</v>
      </c>
      <c r="N148" s="97" t="n">
        <f aca="false">IF(N125&gt;0,N147/N125,"")</f>
        <v>3.44605742536999</v>
      </c>
      <c r="O148" s="97" t="n">
        <f aca="false">IF(O125&gt;0,O147/O125,"")</f>
        <v>3.95372047955843</v>
      </c>
      <c r="P148" s="97" t="n">
        <f aca="false">IF(P125&gt;0,P147/P125,"")</f>
        <v>4.49759645044411</v>
      </c>
      <c r="Q148" s="97" t="n">
        <f aca="false">IF(Q125&gt;0,Q147/Q125,"")</f>
        <v>4.53301650873733</v>
      </c>
      <c r="R148" s="97" t="n">
        <f aca="false">IF(R125&gt;0,R147/R125,"")</f>
        <v>4.41344780468694</v>
      </c>
      <c r="S148" s="97" t="str">
        <f aca="false">IF(S125&gt;0,S147/S125,"")</f>
        <v/>
      </c>
      <c r="T148" s="97" t="str">
        <f aca="false">IF(T125&gt;0,T147/T125,"")</f>
        <v/>
      </c>
      <c r="U148" s="97" t="str">
        <f aca="false">IF(U125&gt;0,U147/U125,"")</f>
        <v/>
      </c>
      <c r="V148" s="97" t="str">
        <f aca="false">IF(V125&gt;0,V147/V125,"")</f>
        <v/>
      </c>
      <c r="W148" s="97" t="str">
        <f aca="false">IF(W125&gt;0,W147/W125,"")</f>
        <v/>
      </c>
    </row>
    <row r="149" customFormat="false" ht="15" hidden="false" customHeight="false" outlineLevel="0" collapsed="false">
      <c r="A149" s="16" t="s">
        <v>478</v>
      </c>
      <c r="B149" s="66" t="n">
        <f aca="false">C149+NPV(Hurdle,D149:W149)</f>
        <v>-75458.2449426921</v>
      </c>
      <c r="C149" s="31" t="n">
        <f aca="false">-S_Demand_Lo!$B$18-C129</f>
        <v>-344956.032067298</v>
      </c>
      <c r="D149" s="31" t="n">
        <f aca="false">D147-D125-D129</f>
        <v>115306.931680655</v>
      </c>
      <c r="E149" s="31" t="n">
        <f aca="false">E147-E125-E129</f>
        <v>41179.687228065</v>
      </c>
      <c r="F149" s="31" t="n">
        <f aca="false">F147-F125-F129</f>
        <v>26435.4368782988</v>
      </c>
      <c r="G149" s="31" t="n">
        <f aca="false">G147-G125-G129</f>
        <v>-9239.74445087722</v>
      </c>
      <c r="H149" s="31" t="n">
        <f aca="false">H147-H125-H129</f>
        <v>-10063.9694266318</v>
      </c>
      <c r="I149" s="31" t="n">
        <f aca="false">I147-I125-I129</f>
        <v>-10582.6289957288</v>
      </c>
      <c r="J149" s="31" t="n">
        <f aca="false">J147-J125-J129</f>
        <v>-5866.65123333947</v>
      </c>
      <c r="K149" s="31" t="n">
        <f aca="false">K147-K125-K129</f>
        <v>-803.19293389914</v>
      </c>
      <c r="L149" s="31" t="n">
        <f aca="false">L147-L125-L129</f>
        <v>-901.543405332843</v>
      </c>
      <c r="M149" s="31" t="n">
        <f aca="false">M147-M125-M129</f>
        <v>15475.3536852423</v>
      </c>
      <c r="N149" s="31" t="n">
        <f aca="false">N147-N125-N129</f>
        <v>32273.0904514922</v>
      </c>
      <c r="O149" s="31" t="n">
        <f aca="false">O147-O125-O129</f>
        <v>38971.157102248</v>
      </c>
      <c r="P149" s="31" t="n">
        <f aca="false">P147-P125-P129</f>
        <v>46147.0141449877</v>
      </c>
      <c r="Q149" s="31" t="n">
        <f aca="false">Q147-Q125-Q129</f>
        <v>46614.3436251699</v>
      </c>
      <c r="R149" s="31" t="n">
        <f aca="false">R147-R125-R129</f>
        <v>51633.724403977</v>
      </c>
      <c r="S149" s="31" t="n">
        <f aca="false">S147-S125-S129</f>
        <v>56400.6676419163</v>
      </c>
      <c r="T149" s="31" t="n">
        <f aca="false">T147-T125-T129</f>
        <v>80569.5355143005</v>
      </c>
      <c r="U149" s="31" t="n">
        <f aca="false">U147-U125-U129</f>
        <v>78176.8213739063</v>
      </c>
      <c r="V149" s="31" t="n">
        <f aca="false">V147-V125-V129</f>
        <v>75471.3244291071</v>
      </c>
      <c r="W149" s="31" t="n">
        <f aca="false">W147-W125-W129</f>
        <v>72430.2743107074</v>
      </c>
    </row>
    <row r="150" customFormat="false" ht="15" hidden="false" customHeight="false" outlineLevel="0" collapsed="false">
      <c r="A150" s="11" t="s">
        <v>479</v>
      </c>
      <c r="C150" s="95" t="n">
        <f aca="false">C149</f>
        <v>-344956.032067298</v>
      </c>
      <c r="D150" s="95" t="n">
        <f aca="false">C150+D149</f>
        <v>-229649.100386643</v>
      </c>
      <c r="E150" s="95" t="n">
        <f aca="false">D150+E149</f>
        <v>-188469.413158578</v>
      </c>
      <c r="F150" s="95" t="n">
        <f aca="false">E150+F149</f>
        <v>-162033.976280279</v>
      </c>
      <c r="G150" s="95" t="n">
        <f aca="false">F150+G149</f>
        <v>-171273.720731156</v>
      </c>
      <c r="H150" s="95" t="n">
        <f aca="false">G150+H149</f>
        <v>-181337.690157788</v>
      </c>
      <c r="I150" s="95" t="n">
        <f aca="false">H150+I149</f>
        <v>-191920.319153517</v>
      </c>
      <c r="J150" s="95" t="n">
        <f aca="false">I150+J149</f>
        <v>-197786.970386856</v>
      </c>
      <c r="K150" s="95" t="n">
        <f aca="false">J150+K149</f>
        <v>-198590.163320755</v>
      </c>
      <c r="L150" s="95" t="n">
        <f aca="false">K150+L149</f>
        <v>-199491.706726088</v>
      </c>
      <c r="M150" s="95" t="n">
        <f aca="false">L150+M149</f>
        <v>-184016.353040846</v>
      </c>
      <c r="N150" s="95" t="n">
        <f aca="false">M150+N149</f>
        <v>-151743.262589354</v>
      </c>
      <c r="O150" s="95" t="n">
        <f aca="false">N150+O149</f>
        <v>-112772.105487106</v>
      </c>
      <c r="P150" s="95" t="n">
        <f aca="false">O150+P149</f>
        <v>-66625.0913421179</v>
      </c>
      <c r="Q150" s="95" t="n">
        <f aca="false">P150+Q149</f>
        <v>-20010.747716948</v>
      </c>
      <c r="R150" s="95" t="n">
        <f aca="false">Q150+R149</f>
        <v>31622.976687029</v>
      </c>
      <c r="S150" s="95" t="n">
        <f aca="false">R150+S149</f>
        <v>88023.6443289453</v>
      </c>
      <c r="T150" s="95" t="n">
        <f aca="false">S150+T149</f>
        <v>168593.179843246</v>
      </c>
      <c r="U150" s="95" t="n">
        <f aca="false">T150+U149</f>
        <v>246770.001217152</v>
      </c>
      <c r="V150" s="95" t="n">
        <f aca="false">U150+V149</f>
        <v>322241.325646259</v>
      </c>
      <c r="W150" s="95" t="n">
        <f aca="false">V150+W149</f>
        <v>394671.599956967</v>
      </c>
    </row>
    <row r="152" customFormat="false" ht="15" hidden="false" customHeight="false" outlineLevel="0" collapsed="false">
      <c r="A152" s="9" t="s">
        <v>480</v>
      </c>
      <c r="B152" s="10"/>
      <c r="C152" s="10"/>
      <c r="D152" s="10"/>
      <c r="E152" s="10"/>
      <c r="F152" s="10"/>
      <c r="G152" s="10"/>
      <c r="H152" s="10"/>
      <c r="I152" s="10"/>
      <c r="J152" s="10"/>
      <c r="K152" s="10"/>
      <c r="L152" s="10"/>
      <c r="M152" s="10"/>
      <c r="N152" s="10"/>
      <c r="O152" s="10"/>
      <c r="P152" s="10"/>
      <c r="Q152" s="10"/>
      <c r="R152" s="10"/>
      <c r="S152" s="10"/>
      <c r="T152" s="10"/>
      <c r="U152" s="10"/>
      <c r="V152" s="10"/>
      <c r="W152" s="10"/>
    </row>
    <row r="153" customFormat="false" ht="15" hidden="false" customHeight="false" outlineLevel="0" collapsed="false">
      <c r="A153" s="11" t="s">
        <v>481</v>
      </c>
      <c r="B153" s="66" t="n">
        <f aca="false">C153+NPV(Hurdle,D153:W153)</f>
        <v>2097979.84990817</v>
      </c>
      <c r="C153" s="95" t="n">
        <f aca="false">C102+C96-C93+C103</f>
        <v>1162734.14692871</v>
      </c>
      <c r="D153" s="95" t="n">
        <f aca="false">D102+D96-D93+D103</f>
        <v>64344.1433029751</v>
      </c>
      <c r="E153" s="95" t="n">
        <f aca="false">E102+E96-E93+E103</f>
        <v>70177.9594144193</v>
      </c>
      <c r="F153" s="95" t="n">
        <f aca="false">F102+F96-F93+F103</f>
        <v>74988.9918573633</v>
      </c>
      <c r="G153" s="95" t="n">
        <f aca="false">G102+G96-G93+G103</f>
        <v>77717.073347157</v>
      </c>
      <c r="H153" s="95" t="n">
        <f aca="false">H102+H96-H93+H103</f>
        <v>80556.1325562495</v>
      </c>
      <c r="I153" s="95" t="n">
        <f aca="false">I102+I96-I93+I103</f>
        <v>83511.2731544434</v>
      </c>
      <c r="J153" s="95" t="n">
        <f aca="false">J102+J96-J93+J103</f>
        <v>86587.8599788327</v>
      </c>
      <c r="K153" s="95" t="n">
        <f aca="false">K102+K96-K93+K103</f>
        <v>255694.971154207</v>
      </c>
      <c r="L153" s="95" t="n">
        <f aca="false">L102+L96-L93+L103</f>
        <v>93128.2248184818</v>
      </c>
      <c r="M153" s="95" t="n">
        <f aca="false">M102+M96-M93+M103</f>
        <v>96604.1723012855</v>
      </c>
      <c r="N153" s="95" t="n">
        <f aca="false">N102+N96-N93+N103</f>
        <v>100225.938143533</v>
      </c>
      <c r="O153" s="95" t="n">
        <f aca="false">O102+O96-O93+O103</f>
        <v>104000.426678046</v>
      </c>
      <c r="P153" s="95" t="n">
        <f aca="false">P102+P96-P93+P103</f>
        <v>107934.903431358</v>
      </c>
      <c r="Q153" s="95" t="n">
        <f aca="false">Q102+Q96-Q93+Q103</f>
        <v>119254.527075407</v>
      </c>
      <c r="R153" s="95" t="n">
        <f aca="false">R102+R96-R93+R103</f>
        <v>133336.885778944</v>
      </c>
      <c r="S153" s="95" t="n">
        <f aca="false">S102+S96-S93+S103</f>
        <v>358594.734321901</v>
      </c>
      <c r="T153" s="95" t="n">
        <f aca="false">T102+T96-T93+T103</f>
        <v>164608.782523374</v>
      </c>
      <c r="U153" s="95" t="n">
        <f aca="false">U102+U96-U93+U103</f>
        <v>181932.856232262</v>
      </c>
      <c r="V153" s="95" t="n">
        <f aca="false">V102+V96-V93+V103</f>
        <v>200479.032543277</v>
      </c>
      <c r="W153" s="95" t="n">
        <f aca="false">W102+W96-W93+W103</f>
        <v>220325.459401295</v>
      </c>
    </row>
    <row r="154" customFormat="false" ht="15" hidden="false" customHeight="false" outlineLevel="0" collapsed="false">
      <c r="A154" s="11" t="s">
        <v>482</v>
      </c>
      <c r="B154" s="76" t="n">
        <f aca="false">C154+NPV(Hurdle,D154:W154)</f>
        <v>2803696.12985602</v>
      </c>
      <c r="C154" s="93" t="n">
        <f aca="false">C66</f>
        <v>0</v>
      </c>
      <c r="D154" s="93" t="n">
        <f aca="false">D66</f>
        <v>168911.7696</v>
      </c>
      <c r="E154" s="93" t="n">
        <f aca="false">E66</f>
        <v>246470.423808</v>
      </c>
      <c r="F154" s="93" t="n">
        <f aca="false">F66</f>
        <v>298664.1606144</v>
      </c>
      <c r="G154" s="93" t="n">
        <f aca="false">G66</f>
        <v>307624.085432832</v>
      </c>
      <c r="H154" s="93" t="n">
        <f aca="false">H66</f>
        <v>316852.807995817</v>
      </c>
      <c r="I154" s="93" t="n">
        <f aca="false">I66</f>
        <v>326358.392235692</v>
      </c>
      <c r="J154" s="93" t="n">
        <f aca="false">J66</f>
        <v>336149.144002762</v>
      </c>
      <c r="K154" s="93" t="n">
        <f aca="false">K66</f>
        <v>346233.618322845</v>
      </c>
      <c r="L154" s="93" t="n">
        <f aca="false">L66</f>
        <v>356620.626872531</v>
      </c>
      <c r="M154" s="93" t="n">
        <f aca="false">M66</f>
        <v>367319.245678707</v>
      </c>
      <c r="N154" s="93" t="n">
        <f aca="false">N66</f>
        <v>378338.823049068</v>
      </c>
      <c r="O154" s="93" t="n">
        <f aca="false">O66</f>
        <v>389688.98774054</v>
      </c>
      <c r="P154" s="93" t="n">
        <f aca="false">P66</f>
        <v>401379.657372756</v>
      </c>
      <c r="Q154" s="93" t="n">
        <f aca="false">Q66</f>
        <v>413421.047093939</v>
      </c>
      <c r="R154" s="93" t="n">
        <f aca="false">R66</f>
        <v>425823.678506757</v>
      </c>
      <c r="S154" s="93" t="n">
        <f aca="false">S66</f>
        <v>438598.388861959</v>
      </c>
      <c r="T154" s="93" t="n">
        <f aca="false">T66</f>
        <v>451756.340527818</v>
      </c>
      <c r="U154" s="93" t="n">
        <f aca="false">U66</f>
        <v>465309.030743653</v>
      </c>
      <c r="V154" s="93" t="n">
        <f aca="false">V66</f>
        <v>479268.301665962</v>
      </c>
      <c r="W154" s="93" t="n">
        <f aca="false">W66</f>
        <v>493646.350715941</v>
      </c>
    </row>
    <row r="155" customFormat="false" ht="15" hidden="false" customHeight="false" outlineLevel="0" collapsed="false">
      <c r="A155" s="11" t="s">
        <v>483</v>
      </c>
      <c r="B155" s="66" t="n">
        <f aca="false">C155+NPV(Hurdle,D155:W155)</f>
        <v>1244550.2938559</v>
      </c>
      <c r="C155" s="95" t="n">
        <f aca="false">C83</f>
        <v>0</v>
      </c>
      <c r="D155" s="95" t="n">
        <f aca="false">D83</f>
        <v>58893.9098112</v>
      </c>
      <c r="E155" s="95" t="n">
        <f aca="false">E83</f>
        <v>88514.1109681613</v>
      </c>
      <c r="F155" s="95" t="n">
        <f aca="false">F83</f>
        <v>110476.023913085</v>
      </c>
      <c r="G155" s="95" t="n">
        <f aca="false">G83</f>
        <v>117204.013769392</v>
      </c>
      <c r="H155" s="95" t="n">
        <f aca="false">H83</f>
        <v>124341.738207948</v>
      </c>
      <c r="I155" s="95" t="n">
        <f aca="false">I83</f>
        <v>131914.150064812</v>
      </c>
      <c r="J155" s="95" t="n">
        <f aca="false">J83</f>
        <v>139947.721803759</v>
      </c>
      <c r="K155" s="95" t="n">
        <f aca="false">K83</f>
        <v>148470.538061608</v>
      </c>
      <c r="L155" s="95" t="n">
        <f aca="false">L83</f>
        <v>157512.39382956</v>
      </c>
      <c r="M155" s="95" t="n">
        <f aca="false">M83</f>
        <v>167104.89861378</v>
      </c>
      <c r="N155" s="95" t="n">
        <f aca="false">N83</f>
        <v>177281.586939359</v>
      </c>
      <c r="O155" s="95" t="n">
        <f aca="false">O83</f>
        <v>188078.035583966</v>
      </c>
      <c r="P155" s="95" t="n">
        <f aca="false">P83</f>
        <v>199531.98795103</v>
      </c>
      <c r="Q155" s="95" t="n">
        <f aca="false">Q83</f>
        <v>211683.486017248</v>
      </c>
      <c r="R155" s="95" t="n">
        <f aca="false">R83</f>
        <v>224575.010315698</v>
      </c>
      <c r="S155" s="95" t="n">
        <f aca="false">S83</f>
        <v>238251.628443924</v>
      </c>
      <c r="T155" s="95" t="n">
        <f aca="false">T83</f>
        <v>252761.152616159</v>
      </c>
      <c r="U155" s="95" t="n">
        <f aca="false">U83</f>
        <v>268154.306810483</v>
      </c>
      <c r="V155" s="95" t="n">
        <f aca="false">V83</f>
        <v>284484.904095242</v>
      </c>
      <c r="W155" s="95" t="n">
        <f aca="false">W83</f>
        <v>301810.034754642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7" t="s">
        <v>392</v>
      </c>
    </row>
    <row r="2" customFormat="false" ht="15" hidden="false" customHeight="false" outlineLevel="0" collapsed="false">
      <c r="A2" s="8" t="s">
        <v>393</v>
      </c>
    </row>
    <row r="4" customFormat="false" ht="15" hidden="false" customHeight="false" outlineLevel="0" collapsed="false">
      <c r="A4" s="9" t="s">
        <v>394</v>
      </c>
      <c r="B4" s="10"/>
    </row>
    <row r="5" customFormat="false" ht="15" hidden="false" customHeight="false" outlineLevel="0" collapsed="false">
      <c r="A5" s="11" t="s">
        <v>67</v>
      </c>
      <c r="B5" s="67" t="n">
        <v>1</v>
      </c>
    </row>
    <row r="6" customFormat="false" ht="15" hidden="false" customHeight="false" outlineLevel="0" collapsed="false">
      <c r="A6" s="11" t="s">
        <v>333</v>
      </c>
      <c r="B6" s="67" t="n">
        <f aca="false">1+SensDelta</f>
        <v>1.2</v>
      </c>
    </row>
    <row r="7" customFormat="false" ht="15" hidden="false" customHeight="false" outlineLevel="0" collapsed="false">
      <c r="A7" s="11" t="s">
        <v>69</v>
      </c>
      <c r="B7" s="67" t="n">
        <v>1</v>
      </c>
    </row>
    <row r="8" customFormat="false" ht="15" hidden="false" customHeight="false" outlineLevel="0" collapsed="false">
      <c r="A8" s="11" t="s">
        <v>70</v>
      </c>
      <c r="B8" s="67" t="n">
        <v>1</v>
      </c>
    </row>
    <row r="9" customFormat="false" ht="15" hidden="false" customHeight="false" outlineLevel="0" collapsed="false">
      <c r="A9" s="11" t="s">
        <v>395</v>
      </c>
      <c r="B9" s="67" t="n">
        <v>1</v>
      </c>
    </row>
    <row r="10" customFormat="false" ht="15" hidden="false" customHeight="false" outlineLevel="0" collapsed="false">
      <c r="A10" s="11" t="s">
        <v>72</v>
      </c>
      <c r="B10" s="67" t="n">
        <v>1</v>
      </c>
    </row>
    <row r="11" customFormat="false" ht="15" hidden="false" customHeight="false" outlineLevel="0" collapsed="false">
      <c r="A11" s="11" t="s">
        <v>334</v>
      </c>
      <c r="B11" s="67" t="n">
        <v>1</v>
      </c>
    </row>
    <row r="13" customFormat="false" ht="15" hidden="false" customHeight="false" outlineLevel="0" collapsed="false">
      <c r="A13" s="9" t="s">
        <v>396</v>
      </c>
      <c r="B13" s="10"/>
    </row>
    <row r="14" customFormat="false" ht="15" hidden="false" customHeight="false" outlineLevel="0" collapsed="false">
      <c r="A14" s="11" t="s">
        <v>397</v>
      </c>
      <c r="B14" s="66" t="n">
        <f aca="false">TotalCapexBase*LevCapex*$B$7</f>
        <v>1162734.14692871</v>
      </c>
    </row>
    <row r="15" customFormat="false" ht="15" hidden="false" customHeight="false" outlineLevel="0" collapsed="false">
      <c r="A15" s="11" t="s">
        <v>398</v>
      </c>
      <c r="B15" s="66" t="n">
        <f aca="false">HardCapexBase*LevCapex*$B$7</f>
        <v>1011073.17124235</v>
      </c>
    </row>
    <row r="16" customFormat="false" ht="15" hidden="false" customHeight="false" outlineLevel="0" collapsed="false">
      <c r="A16" s="11" t="s">
        <v>252</v>
      </c>
      <c r="B16" s="66" t="n">
        <f aca="false">MAX(0,S_Demand_Hi!$B$14-Grant)*SenPct</f>
        <v>112546.829385741</v>
      </c>
    </row>
    <row r="17" customFormat="false" ht="15" hidden="false" customHeight="false" outlineLevel="0" collapsed="false">
      <c r="A17" s="11" t="s">
        <v>254</v>
      </c>
      <c r="B17" s="66" t="n">
        <f aca="false">MAX(0,S_Demand_Hi!$B$14-Grant)*ConPct</f>
        <v>112546.829385741</v>
      </c>
    </row>
    <row r="18" customFormat="false" ht="15" hidden="false" customHeight="false" outlineLevel="0" collapsed="false">
      <c r="A18" s="11" t="s">
        <v>399</v>
      </c>
      <c r="B18" s="66" t="n">
        <f aca="false">MAX(0,S_Demand_Hi!$B$14-Grant-S_Demand_Hi!$B$16-S_Demand_Hi!$B$17)</f>
        <v>337640.488157224</v>
      </c>
    </row>
    <row r="19" customFormat="false" ht="15" hidden="false" customHeight="false" outlineLevel="0" collapsed="false">
      <c r="A19" s="11" t="s">
        <v>400</v>
      </c>
      <c r="B19" s="66" t="n">
        <f aca="false">C128</f>
        <v>7315.5439100732</v>
      </c>
    </row>
    <row r="20" customFormat="false" ht="15" hidden="false" customHeight="false" outlineLevel="0" collapsed="false">
      <c r="A20" s="11" t="s">
        <v>401</v>
      </c>
      <c r="B20" s="66" t="n">
        <f aca="false">$B$145</f>
        <v>-857435.551922535</v>
      </c>
    </row>
    <row r="21" customFormat="false" ht="15" hidden="false" customHeight="false" outlineLevel="0" collapsed="false">
      <c r="A21" s="11" t="s">
        <v>402</v>
      </c>
      <c r="B21" s="66" t="n">
        <f aca="false">$B$146</f>
        <v>-39515.1912914301</v>
      </c>
    </row>
    <row r="22" customFormat="false" ht="15" hidden="false" customHeight="false" outlineLevel="0" collapsed="false">
      <c r="A22" s="11" t="s">
        <v>403</v>
      </c>
      <c r="B22" s="68" t="n">
        <f aca="false">IFERROR(IRR($C$145:$W$145),"n/a")</f>
        <v>-0.111829039299177</v>
      </c>
    </row>
    <row r="23" customFormat="false" ht="15" hidden="false" customHeight="false" outlineLevel="0" collapsed="false">
      <c r="A23" s="11" t="s">
        <v>404</v>
      </c>
      <c r="B23" s="68" t="n">
        <f aca="false">IFERROR(IRR($C$146:$W$146),"n/a")</f>
        <v>0.0782452484106919</v>
      </c>
    </row>
    <row r="24" customFormat="false" ht="15" hidden="false" customHeight="false" outlineLevel="0" collapsed="false">
      <c r="A24" s="11" t="s">
        <v>390</v>
      </c>
      <c r="B24" s="66" t="n">
        <f aca="false">MAX(0,-$B$145)</f>
        <v>857435.551922535</v>
      </c>
    </row>
    <row r="25" customFormat="false" ht="15" hidden="false" customHeight="false" outlineLevel="0" collapsed="false">
      <c r="A25" s="11" t="s">
        <v>262</v>
      </c>
      <c r="B25" s="68" t="n">
        <f aca="false">IFERROR(IRR($C$149:$W$149),"n/a")</f>
        <v>0.0504109575533035</v>
      </c>
    </row>
    <row r="26" customFormat="false" ht="15" hidden="false" customHeight="false" outlineLevel="0" collapsed="false">
      <c r="A26" s="11" t="s">
        <v>264</v>
      </c>
      <c r="B26" s="66" t="n">
        <f aca="false">C149+NPV(TargetEqIRR,D149:W149)</f>
        <v>-86290.2138906328</v>
      </c>
    </row>
    <row r="27" customFormat="false" ht="15" hidden="false" customHeight="false" outlineLevel="0" collapsed="false">
      <c r="A27" s="11" t="s">
        <v>258</v>
      </c>
      <c r="B27" s="67" t="n">
        <f aca="false">IF((S_Demand_Hi!$B$16+S_Demand_Hi!$B$17)&gt;0,MIN($D$148:$W$148),"no debt")</f>
        <v>0.741635019070839</v>
      </c>
    </row>
    <row r="28" customFormat="false" ht="15" hidden="false" customHeight="false" outlineLevel="0" collapsed="false">
      <c r="A28" s="11" t="s">
        <v>260</v>
      </c>
      <c r="B28" s="67" t="n">
        <f aca="false">IF((S_Demand_Hi!$B$16+S_Demand_Hi!$B$17)&gt;0,AVERAGE($D$148:$W$148),"no debt")</f>
        <v>2.42249766817628</v>
      </c>
    </row>
    <row r="29" customFormat="false" ht="15" hidden="false" customHeight="false" outlineLevel="0" collapsed="false">
      <c r="A29" s="11" t="s">
        <v>405</v>
      </c>
      <c r="B29" s="87" t="n">
        <f aca="false">IFERROR($B$153/$B$154,0)</f>
        <v>0.636755325937469</v>
      </c>
    </row>
    <row r="30" customFormat="false" ht="15" hidden="false" customHeight="false" outlineLevel="0" collapsed="false">
      <c r="A30" s="11" t="s">
        <v>261</v>
      </c>
      <c r="B30" s="87" t="n">
        <f aca="false">IFERROR($B$155/$B$154,0)</f>
        <v>0.44389628412399</v>
      </c>
    </row>
    <row r="31" customFormat="false" ht="15" hidden="false" customHeight="false" outlineLevel="0" collapsed="false">
      <c r="A31" s="11" t="s">
        <v>406</v>
      </c>
      <c r="B31" s="77" t="n">
        <f aca="false">NPV(Hurdle,D109:W109)</f>
        <v>838.820435762584</v>
      </c>
    </row>
    <row r="32" customFormat="false" ht="15" hidden="false" customHeight="false" outlineLevel="0" collapsed="false">
      <c r="A32" s="11" t="s">
        <v>407</v>
      </c>
      <c r="B32" s="66" t="n">
        <f aca="false">NPV(Hurdle,D108:W108)</f>
        <v>217920.360631104</v>
      </c>
    </row>
    <row r="33" customFormat="false" ht="15" hidden="false" customHeight="false" outlineLevel="0" collapsed="false">
      <c r="A33" s="11" t="s">
        <v>408</v>
      </c>
      <c r="B33" s="77" t="n">
        <f aca="false">NPV(TargetEqIRR,D109:W109)</f>
        <v>785.120407660064</v>
      </c>
    </row>
    <row r="34" customFormat="false" ht="15" hidden="false" customHeight="false" outlineLevel="0" collapsed="false">
      <c r="A34" s="11" t="s">
        <v>409</v>
      </c>
      <c r="B34" s="66" t="n">
        <f aca="false">NPV(TargetEqIRR,D108:W108)</f>
        <v>203969.425495192</v>
      </c>
    </row>
    <row r="35" customFormat="false" ht="15" hidden="false" customHeight="false" outlineLevel="0" collapsed="false">
      <c r="A35" s="11" t="s">
        <v>410</v>
      </c>
      <c r="B35" s="66" t="n">
        <f aca="false">MAX(0,MIN($D$127:$W$127))</f>
        <v>44043.5340699405</v>
      </c>
    </row>
    <row r="36" customFormat="false" ht="15" hidden="false" customHeight="false" outlineLevel="0" collapsed="false">
      <c r="A36" s="11" t="s">
        <v>266</v>
      </c>
      <c r="B36" s="88" t="n">
        <f aca="false">IFERROR(MATCH(TRUE(),INDEX($C$150:$W$150&gt;=0,0),0)-1,"&gt; life")</f>
        <v>11</v>
      </c>
    </row>
    <row r="39" customFormat="false" ht="15" hidden="false" customHeight="false" outlineLevel="0" collapsed="false">
      <c r="A39" s="16" t="s">
        <v>411</v>
      </c>
      <c r="B39" s="74" t="s">
        <v>412</v>
      </c>
      <c r="C39" s="89" t="n">
        <v>0</v>
      </c>
      <c r="D39" s="89" t="n">
        <v>1</v>
      </c>
      <c r="E39" s="89" t="n">
        <v>2</v>
      </c>
      <c r="F39" s="89" t="n">
        <v>3</v>
      </c>
      <c r="G39" s="89" t="n">
        <v>4</v>
      </c>
      <c r="H39" s="89" t="n">
        <v>5</v>
      </c>
      <c r="I39" s="89" t="n">
        <v>6</v>
      </c>
      <c r="J39" s="89" t="n">
        <v>7</v>
      </c>
      <c r="K39" s="89" t="n">
        <v>8</v>
      </c>
      <c r="L39" s="89" t="n">
        <v>9</v>
      </c>
      <c r="M39" s="89" t="n">
        <v>10</v>
      </c>
      <c r="N39" s="89" t="n">
        <v>11</v>
      </c>
      <c r="O39" s="89" t="n">
        <v>12</v>
      </c>
      <c r="P39" s="89" t="n">
        <v>13</v>
      </c>
      <c r="Q39" s="89" t="n">
        <v>14</v>
      </c>
      <c r="R39" s="89" t="n">
        <v>15</v>
      </c>
      <c r="S39" s="89" t="n">
        <v>16</v>
      </c>
      <c r="T39" s="89" t="n">
        <v>17</v>
      </c>
      <c r="U39" s="89" t="n">
        <v>18</v>
      </c>
      <c r="V39" s="89" t="n">
        <v>19</v>
      </c>
      <c r="W39" s="89" t="n">
        <v>20</v>
      </c>
    </row>
    <row r="40" customFormat="false" ht="15" hidden="false" customHeight="false" outlineLevel="0" collapsed="false">
      <c r="A40" s="11" t="s">
        <v>413</v>
      </c>
      <c r="C40" s="90" t="n">
        <f aca="false">StartYear-1+C39</f>
        <v>2026</v>
      </c>
      <c r="D40" s="90" t="n">
        <f aca="false">StartYear-1+D39</f>
        <v>2027</v>
      </c>
      <c r="E40" s="90" t="n">
        <f aca="false">StartYear-1+E39</f>
        <v>2028</v>
      </c>
      <c r="F40" s="90" t="n">
        <f aca="false">StartYear-1+F39</f>
        <v>2029</v>
      </c>
      <c r="G40" s="90" t="n">
        <f aca="false">StartYear-1+G39</f>
        <v>2030</v>
      </c>
      <c r="H40" s="90" t="n">
        <f aca="false">StartYear-1+H39</f>
        <v>2031</v>
      </c>
      <c r="I40" s="90" t="n">
        <f aca="false">StartYear-1+I39</f>
        <v>2032</v>
      </c>
      <c r="J40" s="90" t="n">
        <f aca="false">StartYear-1+J39</f>
        <v>2033</v>
      </c>
      <c r="K40" s="90" t="n">
        <f aca="false">StartYear-1+K39</f>
        <v>2034</v>
      </c>
      <c r="L40" s="90" t="n">
        <f aca="false">StartYear-1+L39</f>
        <v>2035</v>
      </c>
      <c r="M40" s="90" t="n">
        <f aca="false">StartYear-1+M39</f>
        <v>2036</v>
      </c>
      <c r="N40" s="90" t="n">
        <f aca="false">StartYear-1+N39</f>
        <v>2037</v>
      </c>
      <c r="O40" s="90" t="n">
        <f aca="false">StartYear-1+O39</f>
        <v>2038</v>
      </c>
      <c r="P40" s="90" t="n">
        <f aca="false">StartYear-1+P39</f>
        <v>2039</v>
      </c>
      <c r="Q40" s="90" t="n">
        <f aca="false">StartYear-1+Q39</f>
        <v>2040</v>
      </c>
      <c r="R40" s="90" t="n">
        <f aca="false">StartYear-1+R39</f>
        <v>2041</v>
      </c>
      <c r="S40" s="90" t="n">
        <f aca="false">StartYear-1+S39</f>
        <v>2042</v>
      </c>
      <c r="T40" s="90" t="n">
        <f aca="false">StartYear-1+T39</f>
        <v>2043</v>
      </c>
      <c r="U40" s="90" t="n">
        <f aca="false">StartYear-1+U39</f>
        <v>2044</v>
      </c>
      <c r="V40" s="90" t="n">
        <f aca="false">StartYear-1+V39</f>
        <v>2045</v>
      </c>
      <c r="W40" s="90" t="n">
        <f aca="false">StartYear-1+W39</f>
        <v>2046</v>
      </c>
    </row>
    <row r="41" customFormat="false" ht="15" hidden="false" customHeight="false" outlineLevel="0" collapsed="false">
      <c r="A41" s="11" t="s">
        <v>414</v>
      </c>
      <c r="C41" s="90" t="n">
        <f aca="false">IF(AND(C39&gt;=1,C39&lt;=Life),1,0)</f>
        <v>0</v>
      </c>
      <c r="D41" s="90" t="n">
        <f aca="false">IF(AND(D39&gt;=1,D39&lt;=Life),1,0)</f>
        <v>1</v>
      </c>
      <c r="E41" s="90" t="n">
        <f aca="false">IF(AND(E39&gt;=1,E39&lt;=Life),1,0)</f>
        <v>1</v>
      </c>
      <c r="F41" s="90" t="n">
        <f aca="false">IF(AND(F39&gt;=1,F39&lt;=Life),1,0)</f>
        <v>1</v>
      </c>
      <c r="G41" s="90" t="n">
        <f aca="false">IF(AND(G39&gt;=1,G39&lt;=Life),1,0)</f>
        <v>1</v>
      </c>
      <c r="H41" s="90" t="n">
        <f aca="false">IF(AND(H39&gt;=1,H39&lt;=Life),1,0)</f>
        <v>1</v>
      </c>
      <c r="I41" s="90" t="n">
        <f aca="false">IF(AND(I39&gt;=1,I39&lt;=Life),1,0)</f>
        <v>1</v>
      </c>
      <c r="J41" s="90" t="n">
        <f aca="false">IF(AND(J39&gt;=1,J39&lt;=Life),1,0)</f>
        <v>1</v>
      </c>
      <c r="K41" s="90" t="n">
        <f aca="false">IF(AND(K39&gt;=1,K39&lt;=Life),1,0)</f>
        <v>1</v>
      </c>
      <c r="L41" s="90" t="n">
        <f aca="false">IF(AND(L39&gt;=1,L39&lt;=Life),1,0)</f>
        <v>1</v>
      </c>
      <c r="M41" s="90" t="n">
        <f aca="false">IF(AND(M39&gt;=1,M39&lt;=Life),1,0)</f>
        <v>1</v>
      </c>
      <c r="N41" s="90" t="n">
        <f aca="false">IF(AND(N39&gt;=1,N39&lt;=Life),1,0)</f>
        <v>1</v>
      </c>
      <c r="O41" s="90" t="n">
        <f aca="false">IF(AND(O39&gt;=1,O39&lt;=Life),1,0)</f>
        <v>1</v>
      </c>
      <c r="P41" s="90" t="n">
        <f aca="false">IF(AND(P39&gt;=1,P39&lt;=Life),1,0)</f>
        <v>1</v>
      </c>
      <c r="Q41" s="90" t="n">
        <f aca="false">IF(AND(Q39&gt;=1,Q39&lt;=Life),1,0)</f>
        <v>1</v>
      </c>
      <c r="R41" s="90" t="n">
        <f aca="false">IF(AND(R39&gt;=1,R39&lt;=Life),1,0)</f>
        <v>1</v>
      </c>
      <c r="S41" s="90" t="n">
        <f aca="false">IF(AND(S39&gt;=1,S39&lt;=Life),1,0)</f>
        <v>1</v>
      </c>
      <c r="T41" s="90" t="n">
        <f aca="false">IF(AND(T39&gt;=1,T39&lt;=Life),1,0)</f>
        <v>1</v>
      </c>
      <c r="U41" s="90" t="n">
        <f aca="false">IF(AND(U39&gt;=1,U39&lt;=Life),1,0)</f>
        <v>1</v>
      </c>
      <c r="V41" s="90" t="n">
        <f aca="false">IF(AND(V39&gt;=1,V39&lt;=Life),1,0)</f>
        <v>1</v>
      </c>
      <c r="W41" s="90" t="n">
        <f aca="false">IF(AND(W39&gt;=1,W39&lt;=Life),1,0)</f>
        <v>1</v>
      </c>
    </row>
    <row r="42" customFormat="false" ht="15" hidden="false" customHeight="false" outlineLevel="0" collapsed="false">
      <c r="A42" s="11" t="s">
        <v>415</v>
      </c>
      <c r="C42" s="91" t="n">
        <v>0</v>
      </c>
      <c r="D42" s="91" t="n">
        <f aca="false">IF(D39=1,Ramp1,IF(D39=2,Ramp2,Ramp3))*D41</f>
        <v>0.6</v>
      </c>
      <c r="E42" s="91" t="n">
        <f aca="false">IF(E39=1,Ramp1,IF(E39=2,Ramp2,Ramp3))*E41</f>
        <v>0.85</v>
      </c>
      <c r="F42" s="91" t="n">
        <f aca="false">IF(F39=1,Ramp1,IF(F39=2,Ramp2,Ramp3))*F41</f>
        <v>1</v>
      </c>
      <c r="G42" s="91" t="n">
        <f aca="false">IF(G39=1,Ramp1,IF(G39=2,Ramp2,Ramp3))*G41</f>
        <v>1</v>
      </c>
      <c r="H42" s="91" t="n">
        <f aca="false">IF(H39=1,Ramp1,IF(H39=2,Ramp2,Ramp3))*H41</f>
        <v>1</v>
      </c>
      <c r="I42" s="91" t="n">
        <f aca="false">IF(I39=1,Ramp1,IF(I39=2,Ramp2,Ramp3))*I41</f>
        <v>1</v>
      </c>
      <c r="J42" s="91" t="n">
        <f aca="false">IF(J39=1,Ramp1,IF(J39=2,Ramp2,Ramp3))*J41</f>
        <v>1</v>
      </c>
      <c r="K42" s="91" t="n">
        <f aca="false">IF(K39=1,Ramp1,IF(K39=2,Ramp2,Ramp3))*K41</f>
        <v>1</v>
      </c>
      <c r="L42" s="91" t="n">
        <f aca="false">IF(L39=1,Ramp1,IF(L39=2,Ramp2,Ramp3))*L41</f>
        <v>1</v>
      </c>
      <c r="M42" s="91" t="n">
        <f aca="false">IF(M39=1,Ramp1,IF(M39=2,Ramp2,Ramp3))*M41</f>
        <v>1</v>
      </c>
      <c r="N42" s="91" t="n">
        <f aca="false">IF(N39=1,Ramp1,IF(N39=2,Ramp2,Ramp3))*N41</f>
        <v>1</v>
      </c>
      <c r="O42" s="91" t="n">
        <f aca="false">IF(O39=1,Ramp1,IF(O39=2,Ramp2,Ramp3))*O41</f>
        <v>1</v>
      </c>
      <c r="P42" s="91" t="n">
        <f aca="false">IF(P39=1,Ramp1,IF(P39=2,Ramp2,Ramp3))*P41</f>
        <v>1</v>
      </c>
      <c r="Q42" s="91" t="n">
        <f aca="false">IF(Q39=1,Ramp1,IF(Q39=2,Ramp2,Ramp3))*Q41</f>
        <v>1</v>
      </c>
      <c r="R42" s="91" t="n">
        <f aca="false">IF(R39=1,Ramp1,IF(R39=2,Ramp2,Ramp3))*R41</f>
        <v>1</v>
      </c>
      <c r="S42" s="91" t="n">
        <f aca="false">IF(S39=1,Ramp1,IF(S39=2,Ramp2,Ramp3))*S41</f>
        <v>1</v>
      </c>
      <c r="T42" s="91" t="n">
        <f aca="false">IF(T39=1,Ramp1,IF(T39=2,Ramp2,Ramp3))*T41</f>
        <v>1</v>
      </c>
      <c r="U42" s="91" t="n">
        <f aca="false">IF(U39=1,Ramp1,IF(U39=2,Ramp2,Ramp3))*U41</f>
        <v>1</v>
      </c>
      <c r="V42" s="91" t="n">
        <f aca="false">IF(V39=1,Ramp1,IF(V39=2,Ramp2,Ramp3))*V41</f>
        <v>1</v>
      </c>
      <c r="W42" s="91" t="n">
        <f aca="false">IF(W39=1,Ramp1,IF(W39=2,Ramp2,Ramp3))*W41</f>
        <v>1</v>
      </c>
    </row>
    <row r="43" customFormat="false" ht="15" hidden="false" customHeight="false" outlineLevel="0" collapsed="false">
      <c r="A43" s="11" t="s">
        <v>416</v>
      </c>
      <c r="C43" s="92" t="n">
        <v>0</v>
      </c>
      <c r="D43" s="92" t="n">
        <f aca="false">(1+TariffEsc)^(D39-1)</f>
        <v>1</v>
      </c>
      <c r="E43" s="92" t="n">
        <f aca="false">(1+TariffEsc)^(E39-1)</f>
        <v>1.03</v>
      </c>
      <c r="F43" s="92" t="n">
        <f aca="false">(1+TariffEsc)^(F39-1)</f>
        <v>1.0609</v>
      </c>
      <c r="G43" s="92" t="n">
        <f aca="false">(1+TariffEsc)^(G39-1)</f>
        <v>1.092727</v>
      </c>
      <c r="H43" s="92" t="n">
        <f aca="false">(1+TariffEsc)^(H39-1)</f>
        <v>1.12550881</v>
      </c>
      <c r="I43" s="92" t="n">
        <f aca="false">(1+TariffEsc)^(I39-1)</f>
        <v>1.1592740743</v>
      </c>
      <c r="J43" s="92" t="n">
        <f aca="false">(1+TariffEsc)^(J39-1)</f>
        <v>1.194052296529</v>
      </c>
      <c r="K43" s="92" t="n">
        <f aca="false">(1+TariffEsc)^(K39-1)</f>
        <v>1.22987386542487</v>
      </c>
      <c r="L43" s="92" t="n">
        <f aca="false">(1+TariffEsc)^(L39-1)</f>
        <v>1.26677008138762</v>
      </c>
      <c r="M43" s="92" t="n">
        <f aca="false">(1+TariffEsc)^(M39-1)</f>
        <v>1.30477318382925</v>
      </c>
      <c r="N43" s="92" t="n">
        <f aca="false">(1+TariffEsc)^(N39-1)</f>
        <v>1.34391637934412</v>
      </c>
      <c r="O43" s="92" t="n">
        <f aca="false">(1+TariffEsc)^(O39-1)</f>
        <v>1.38423387072445</v>
      </c>
      <c r="P43" s="92" t="n">
        <f aca="false">(1+TariffEsc)^(P39-1)</f>
        <v>1.42576088684618</v>
      </c>
      <c r="Q43" s="92" t="n">
        <f aca="false">(1+TariffEsc)^(Q39-1)</f>
        <v>1.46853371345156</v>
      </c>
      <c r="R43" s="92" t="n">
        <f aca="false">(1+TariffEsc)^(R39-1)</f>
        <v>1.51258972485511</v>
      </c>
      <c r="S43" s="92" t="n">
        <f aca="false">(1+TariffEsc)^(S39-1)</f>
        <v>1.55796741660077</v>
      </c>
      <c r="T43" s="92" t="n">
        <f aca="false">(1+TariffEsc)^(T39-1)</f>
        <v>1.60470643909879</v>
      </c>
      <c r="U43" s="92" t="n">
        <f aca="false">(1+TariffEsc)^(U39-1)</f>
        <v>1.65284763227175</v>
      </c>
      <c r="V43" s="92" t="n">
        <f aca="false">(1+TariffEsc)^(V39-1)</f>
        <v>1.7024330612399</v>
      </c>
      <c r="W43" s="92" t="n">
        <f aca="false">(1+TariffEsc)^(W39-1)</f>
        <v>1.7535060530771</v>
      </c>
    </row>
    <row r="44" customFormat="false" ht="15" hidden="false" customHeight="false" outlineLevel="0" collapsed="false">
      <c r="A44" s="11" t="s">
        <v>417</v>
      </c>
      <c r="C44" s="92" t="n">
        <v>0</v>
      </c>
      <c r="D44" s="92" t="n">
        <f aca="false">(1+CostEsc)^(D39-1)</f>
        <v>1</v>
      </c>
      <c r="E44" s="92" t="n">
        <f aca="false">(1+CostEsc)^(E39-1)</f>
        <v>1.03</v>
      </c>
      <c r="F44" s="92" t="n">
        <f aca="false">(1+CostEsc)^(F39-1)</f>
        <v>1.0609</v>
      </c>
      <c r="G44" s="92" t="n">
        <f aca="false">(1+CostEsc)^(G39-1)</f>
        <v>1.092727</v>
      </c>
      <c r="H44" s="92" t="n">
        <f aca="false">(1+CostEsc)^(H39-1)</f>
        <v>1.12550881</v>
      </c>
      <c r="I44" s="92" t="n">
        <f aca="false">(1+CostEsc)^(I39-1)</f>
        <v>1.1592740743</v>
      </c>
      <c r="J44" s="92" t="n">
        <f aca="false">(1+CostEsc)^(J39-1)</f>
        <v>1.194052296529</v>
      </c>
      <c r="K44" s="92" t="n">
        <f aca="false">(1+CostEsc)^(K39-1)</f>
        <v>1.22987386542487</v>
      </c>
      <c r="L44" s="92" t="n">
        <f aca="false">(1+CostEsc)^(L39-1)</f>
        <v>1.26677008138762</v>
      </c>
      <c r="M44" s="92" t="n">
        <f aca="false">(1+CostEsc)^(M39-1)</f>
        <v>1.30477318382925</v>
      </c>
      <c r="N44" s="92" t="n">
        <f aca="false">(1+CostEsc)^(N39-1)</f>
        <v>1.34391637934412</v>
      </c>
      <c r="O44" s="92" t="n">
        <f aca="false">(1+CostEsc)^(O39-1)</f>
        <v>1.38423387072445</v>
      </c>
      <c r="P44" s="92" t="n">
        <f aca="false">(1+CostEsc)^(P39-1)</f>
        <v>1.42576088684618</v>
      </c>
      <c r="Q44" s="92" t="n">
        <f aca="false">(1+CostEsc)^(Q39-1)</f>
        <v>1.46853371345156</v>
      </c>
      <c r="R44" s="92" t="n">
        <f aca="false">(1+CostEsc)^(R39-1)</f>
        <v>1.51258972485511</v>
      </c>
      <c r="S44" s="92" t="n">
        <f aca="false">(1+CostEsc)^(S39-1)</f>
        <v>1.55796741660077</v>
      </c>
      <c r="T44" s="92" t="n">
        <f aca="false">(1+CostEsc)^(T39-1)</f>
        <v>1.60470643909879</v>
      </c>
      <c r="U44" s="92" t="n">
        <f aca="false">(1+CostEsc)^(U39-1)</f>
        <v>1.65284763227175</v>
      </c>
      <c r="V44" s="92" t="n">
        <f aca="false">(1+CostEsc)^(V39-1)</f>
        <v>1.7024330612399</v>
      </c>
      <c r="W44" s="92" t="n">
        <f aca="false">(1+CostEsc)^(W39-1)</f>
        <v>1.7535060530771</v>
      </c>
    </row>
    <row r="45" customFormat="false" ht="15" hidden="false" customHeight="false" outlineLevel="0" collapsed="false">
      <c r="A45" s="11" t="s">
        <v>418</v>
      </c>
      <c r="C45" s="92" t="n">
        <v>0</v>
      </c>
      <c r="D45" s="92" t="n">
        <f aca="false">(1+DemandGrowth)^(D39-1)*LevDemand*$B$6</f>
        <v>1.2</v>
      </c>
      <c r="E45" s="92" t="n">
        <f aca="false">(1+DemandGrowth)^(E39-1)*LevDemand*$B$6</f>
        <v>1.236</v>
      </c>
      <c r="F45" s="92" t="n">
        <f aca="false">(1+DemandGrowth)^(F39-1)*LevDemand*$B$6</f>
        <v>1.27308</v>
      </c>
      <c r="G45" s="92" t="n">
        <f aca="false">(1+DemandGrowth)^(G39-1)*LevDemand*$B$6</f>
        <v>1.3112724</v>
      </c>
      <c r="H45" s="92" t="n">
        <f aca="false">(1+DemandGrowth)^(H39-1)*LevDemand*$B$6</f>
        <v>1.350610572</v>
      </c>
      <c r="I45" s="92" t="n">
        <f aca="false">(1+DemandGrowth)^(I39-1)*LevDemand*$B$6</f>
        <v>1.39112888916</v>
      </c>
      <c r="J45" s="92" t="n">
        <f aca="false">(1+DemandGrowth)^(J39-1)*LevDemand*$B$6</f>
        <v>1.4328627558348</v>
      </c>
      <c r="K45" s="92" t="n">
        <f aca="false">(1+DemandGrowth)^(K39-1)*LevDemand*$B$6</f>
        <v>1.47584863850984</v>
      </c>
      <c r="L45" s="92" t="n">
        <f aca="false">(1+DemandGrowth)^(L39-1)*LevDemand*$B$6</f>
        <v>1.52012409766514</v>
      </c>
      <c r="M45" s="92" t="n">
        <f aca="false">(1+DemandGrowth)^(M39-1)*LevDemand*$B$6</f>
        <v>1.56572782059509</v>
      </c>
      <c r="N45" s="92" t="n">
        <f aca="false">(1+DemandGrowth)^(N39-1)*LevDemand*$B$6</f>
        <v>1.61269965521295</v>
      </c>
      <c r="O45" s="92" t="n">
        <f aca="false">(1+DemandGrowth)^(O39-1)*LevDemand*$B$6</f>
        <v>1.66108064486934</v>
      </c>
      <c r="P45" s="92" t="n">
        <f aca="false">(1+DemandGrowth)^(P39-1)*LevDemand*$B$6</f>
        <v>1.71091306421542</v>
      </c>
      <c r="Q45" s="92" t="n">
        <f aca="false">(1+DemandGrowth)^(Q39-1)*LevDemand*$B$6</f>
        <v>1.76224045614188</v>
      </c>
      <c r="R45" s="92" t="n">
        <f aca="false">(1+DemandGrowth)^(R39-1)*LevDemand*$B$6</f>
        <v>1.81510766982613</v>
      </c>
      <c r="S45" s="92" t="n">
        <f aca="false">(1+DemandGrowth)^(S39-1)*LevDemand*$B$6</f>
        <v>1.86956089992092</v>
      </c>
      <c r="T45" s="92" t="n">
        <f aca="false">(1+DemandGrowth)^(T39-1)*LevDemand*$B$6</f>
        <v>1.92564772691855</v>
      </c>
      <c r="U45" s="92" t="n">
        <f aca="false">(1+DemandGrowth)^(U39-1)*LevDemand*$B$6</f>
        <v>1.9834171587261</v>
      </c>
      <c r="V45" s="92" t="n">
        <f aca="false">(1+DemandGrowth)^(V39-1)*LevDemand*$B$6</f>
        <v>2.04291967348789</v>
      </c>
      <c r="W45" s="92" t="n">
        <f aca="false">(1+DemandGrowth)^(W39-1)*LevDemand*$B$6</f>
        <v>2.10420726369252</v>
      </c>
    </row>
    <row r="47" customFormat="false" ht="15" hidden="false" customHeight="false" outlineLevel="0" collapsed="false">
      <c r="A47" s="9" t="s">
        <v>419</v>
      </c>
      <c r="B47" s="10"/>
      <c r="C47" s="10"/>
      <c r="D47" s="10"/>
      <c r="E47" s="10"/>
      <c r="F47" s="10"/>
      <c r="G47" s="10"/>
      <c r="H47" s="10"/>
      <c r="I47" s="10"/>
      <c r="J47" s="10"/>
      <c r="K47" s="10"/>
      <c r="L47" s="10"/>
      <c r="M47" s="10"/>
      <c r="N47" s="10"/>
      <c r="O47" s="10"/>
      <c r="P47" s="10"/>
      <c r="Q47" s="10"/>
      <c r="R47" s="10"/>
      <c r="S47" s="10"/>
      <c r="T47" s="10"/>
      <c r="U47" s="10"/>
      <c r="V47" s="10"/>
      <c r="W47" s="10"/>
    </row>
    <row r="48" customFormat="false" ht="15" hidden="false" customHeight="false" outlineLevel="0" collapsed="false">
      <c r="A48" s="11" t="str">
        <f aca="false">"Connections - "&amp;Seg1_Name</f>
        <v>Connections - Households</v>
      </c>
      <c r="C48" s="93" t="n">
        <v>0</v>
      </c>
      <c r="D48" s="93" t="n">
        <f aca="false">Seg1_N*D42</f>
        <v>480</v>
      </c>
      <c r="E48" s="93" t="n">
        <f aca="false">Seg1_N*E42</f>
        <v>680</v>
      </c>
      <c r="F48" s="93" t="n">
        <f aca="false">Seg1_N*F42</f>
        <v>800</v>
      </c>
      <c r="G48" s="93" t="n">
        <f aca="false">Seg1_N*G42</f>
        <v>800</v>
      </c>
      <c r="H48" s="93" t="n">
        <f aca="false">Seg1_N*H42</f>
        <v>800</v>
      </c>
      <c r="I48" s="93" t="n">
        <f aca="false">Seg1_N*I42</f>
        <v>800</v>
      </c>
      <c r="J48" s="93" t="n">
        <f aca="false">Seg1_N*J42</f>
        <v>800</v>
      </c>
      <c r="K48" s="93" t="n">
        <f aca="false">Seg1_N*K42</f>
        <v>800</v>
      </c>
      <c r="L48" s="93" t="n">
        <f aca="false">Seg1_N*L42</f>
        <v>800</v>
      </c>
      <c r="M48" s="93" t="n">
        <f aca="false">Seg1_N*M42</f>
        <v>800</v>
      </c>
      <c r="N48" s="93" t="n">
        <f aca="false">Seg1_N*N42</f>
        <v>800</v>
      </c>
      <c r="O48" s="93" t="n">
        <f aca="false">Seg1_N*O42</f>
        <v>800</v>
      </c>
      <c r="P48" s="93" t="n">
        <f aca="false">Seg1_N*P42</f>
        <v>800</v>
      </c>
      <c r="Q48" s="93" t="n">
        <f aca="false">Seg1_N*Q42</f>
        <v>800</v>
      </c>
      <c r="R48" s="93" t="n">
        <f aca="false">Seg1_N*R42</f>
        <v>800</v>
      </c>
      <c r="S48" s="93" t="n">
        <f aca="false">Seg1_N*S42</f>
        <v>800</v>
      </c>
      <c r="T48" s="93" t="n">
        <f aca="false">Seg1_N*T42</f>
        <v>800</v>
      </c>
      <c r="U48" s="93" t="n">
        <f aca="false">Seg1_N*U42</f>
        <v>800</v>
      </c>
      <c r="V48" s="93" t="n">
        <f aca="false">Seg1_N*V42</f>
        <v>800</v>
      </c>
      <c r="W48" s="93" t="n">
        <f aca="false">Seg1_N*W42</f>
        <v>800</v>
      </c>
    </row>
    <row r="49" customFormat="false" ht="15" hidden="false" customHeight="false" outlineLevel="0" collapsed="false">
      <c r="A49" s="11" t="str">
        <f aca="false">"Connections - "&amp;Seg2_Name</f>
        <v>Connections - Productive users (mills, welding, cold rooms)</v>
      </c>
      <c r="C49" s="93" t="n">
        <v>0</v>
      </c>
      <c r="D49" s="93" t="n">
        <f aca="false">Seg2_N*D42</f>
        <v>36</v>
      </c>
      <c r="E49" s="93" t="n">
        <f aca="false">Seg2_N*E42</f>
        <v>51</v>
      </c>
      <c r="F49" s="93" t="n">
        <f aca="false">Seg2_N*F42</f>
        <v>60</v>
      </c>
      <c r="G49" s="93" t="n">
        <f aca="false">Seg2_N*G42</f>
        <v>60</v>
      </c>
      <c r="H49" s="93" t="n">
        <f aca="false">Seg2_N*H42</f>
        <v>60</v>
      </c>
      <c r="I49" s="93" t="n">
        <f aca="false">Seg2_N*I42</f>
        <v>60</v>
      </c>
      <c r="J49" s="93" t="n">
        <f aca="false">Seg2_N*J42</f>
        <v>60</v>
      </c>
      <c r="K49" s="93" t="n">
        <f aca="false">Seg2_N*K42</f>
        <v>60</v>
      </c>
      <c r="L49" s="93" t="n">
        <f aca="false">Seg2_N*L42</f>
        <v>60</v>
      </c>
      <c r="M49" s="93" t="n">
        <f aca="false">Seg2_N*M42</f>
        <v>60</v>
      </c>
      <c r="N49" s="93" t="n">
        <f aca="false">Seg2_N*N42</f>
        <v>60</v>
      </c>
      <c r="O49" s="93" t="n">
        <f aca="false">Seg2_N*O42</f>
        <v>60</v>
      </c>
      <c r="P49" s="93" t="n">
        <f aca="false">Seg2_N*P42</f>
        <v>60</v>
      </c>
      <c r="Q49" s="93" t="n">
        <f aca="false">Seg2_N*Q42</f>
        <v>60</v>
      </c>
      <c r="R49" s="93" t="n">
        <f aca="false">Seg2_N*R42</f>
        <v>60</v>
      </c>
      <c r="S49" s="93" t="n">
        <f aca="false">Seg2_N*S42</f>
        <v>60</v>
      </c>
      <c r="T49" s="93" t="n">
        <f aca="false">Seg2_N*T42</f>
        <v>60</v>
      </c>
      <c r="U49" s="93" t="n">
        <f aca="false">Seg2_N*U42</f>
        <v>60</v>
      </c>
      <c r="V49" s="93" t="n">
        <f aca="false">Seg2_N*V42</f>
        <v>60</v>
      </c>
      <c r="W49" s="93" t="n">
        <f aca="false">Seg2_N*W42</f>
        <v>60</v>
      </c>
    </row>
    <row r="50" customFormat="false" ht="15" hidden="false" customHeight="false" outlineLevel="0" collapsed="false">
      <c r="A50" s="11" t="str">
        <f aca="false">"Connections - "&amp;Seg3_Name</f>
        <v>Connections - Commercial (shops, bars, kiosks)</v>
      </c>
      <c r="C50" s="93" t="n">
        <v>0</v>
      </c>
      <c r="D50" s="93" t="n">
        <f aca="false">Seg3_N*D42</f>
        <v>60</v>
      </c>
      <c r="E50" s="93" t="n">
        <f aca="false">Seg3_N*E42</f>
        <v>85</v>
      </c>
      <c r="F50" s="93" t="n">
        <f aca="false">Seg3_N*F42</f>
        <v>100</v>
      </c>
      <c r="G50" s="93" t="n">
        <f aca="false">Seg3_N*G42</f>
        <v>100</v>
      </c>
      <c r="H50" s="93" t="n">
        <f aca="false">Seg3_N*H42</f>
        <v>100</v>
      </c>
      <c r="I50" s="93" t="n">
        <f aca="false">Seg3_N*I42</f>
        <v>100</v>
      </c>
      <c r="J50" s="93" t="n">
        <f aca="false">Seg3_N*J42</f>
        <v>100</v>
      </c>
      <c r="K50" s="93" t="n">
        <f aca="false">Seg3_N*K42</f>
        <v>100</v>
      </c>
      <c r="L50" s="93" t="n">
        <f aca="false">Seg3_N*L42</f>
        <v>100</v>
      </c>
      <c r="M50" s="93" t="n">
        <f aca="false">Seg3_N*M42</f>
        <v>100</v>
      </c>
      <c r="N50" s="93" t="n">
        <f aca="false">Seg3_N*N42</f>
        <v>100</v>
      </c>
      <c r="O50" s="93" t="n">
        <f aca="false">Seg3_N*O42</f>
        <v>100</v>
      </c>
      <c r="P50" s="93" t="n">
        <f aca="false">Seg3_N*P42</f>
        <v>100</v>
      </c>
      <c r="Q50" s="93" t="n">
        <f aca="false">Seg3_N*Q42</f>
        <v>100</v>
      </c>
      <c r="R50" s="93" t="n">
        <f aca="false">Seg3_N*R42</f>
        <v>100</v>
      </c>
      <c r="S50" s="93" t="n">
        <f aca="false">Seg3_N*S42</f>
        <v>100</v>
      </c>
      <c r="T50" s="93" t="n">
        <f aca="false">Seg3_N*T42</f>
        <v>100</v>
      </c>
      <c r="U50" s="93" t="n">
        <f aca="false">Seg3_N*U42</f>
        <v>100</v>
      </c>
      <c r="V50" s="93" t="n">
        <f aca="false">Seg3_N*V42</f>
        <v>100</v>
      </c>
      <c r="W50" s="93" t="n">
        <f aca="false">Seg3_N*W42</f>
        <v>100</v>
      </c>
    </row>
    <row r="51" customFormat="false" ht="15" hidden="false" customHeight="false" outlineLevel="0" collapsed="false">
      <c r="A51" s="11" t="str">
        <f aca="false">"Connections - "&amp;Seg4_Name</f>
        <v>Connections - Institutions (health centre, school, water)</v>
      </c>
      <c r="C51" s="93" t="n">
        <v>0</v>
      </c>
      <c r="D51" s="93" t="n">
        <f aca="false">Seg4_N*D42</f>
        <v>6</v>
      </c>
      <c r="E51" s="93" t="n">
        <f aca="false">Seg4_N*E42</f>
        <v>8.5</v>
      </c>
      <c r="F51" s="93" t="n">
        <f aca="false">Seg4_N*F42</f>
        <v>10</v>
      </c>
      <c r="G51" s="93" t="n">
        <f aca="false">Seg4_N*G42</f>
        <v>10</v>
      </c>
      <c r="H51" s="93" t="n">
        <f aca="false">Seg4_N*H42</f>
        <v>10</v>
      </c>
      <c r="I51" s="93" t="n">
        <f aca="false">Seg4_N*I42</f>
        <v>10</v>
      </c>
      <c r="J51" s="93" t="n">
        <f aca="false">Seg4_N*J42</f>
        <v>10</v>
      </c>
      <c r="K51" s="93" t="n">
        <f aca="false">Seg4_N*K42</f>
        <v>10</v>
      </c>
      <c r="L51" s="93" t="n">
        <f aca="false">Seg4_N*L42</f>
        <v>10</v>
      </c>
      <c r="M51" s="93" t="n">
        <f aca="false">Seg4_N*M42</f>
        <v>10</v>
      </c>
      <c r="N51" s="93" t="n">
        <f aca="false">Seg4_N*N42</f>
        <v>10</v>
      </c>
      <c r="O51" s="93" t="n">
        <f aca="false">Seg4_N*O42</f>
        <v>10</v>
      </c>
      <c r="P51" s="93" t="n">
        <f aca="false">Seg4_N*P42</f>
        <v>10</v>
      </c>
      <c r="Q51" s="93" t="n">
        <f aca="false">Seg4_N*Q42</f>
        <v>10</v>
      </c>
      <c r="R51" s="93" t="n">
        <f aca="false">Seg4_N*R42</f>
        <v>10</v>
      </c>
      <c r="S51" s="93" t="n">
        <f aca="false">Seg4_N*S42</f>
        <v>10</v>
      </c>
      <c r="T51" s="93" t="n">
        <f aca="false">Seg4_N*T42</f>
        <v>10</v>
      </c>
      <c r="U51" s="93" t="n">
        <f aca="false">Seg4_N*U42</f>
        <v>10</v>
      </c>
      <c r="V51" s="93" t="n">
        <f aca="false">Seg4_N*V42</f>
        <v>10</v>
      </c>
      <c r="W51" s="93" t="n">
        <f aca="false">Seg4_N*W42</f>
        <v>10</v>
      </c>
    </row>
    <row r="52" customFormat="false" ht="15" hidden="false" customHeight="false" outlineLevel="0" collapsed="false">
      <c r="A52" s="11" t="str">
        <f aca="false">"Connections - "&amp;Seg5_Name</f>
        <v>Connections - Other / custom</v>
      </c>
      <c r="C52" s="93" t="n">
        <v>0</v>
      </c>
      <c r="D52" s="93" t="n">
        <f aca="false">Seg5_N*D42</f>
        <v>0</v>
      </c>
      <c r="E52" s="93" t="n">
        <f aca="false">Seg5_N*E42</f>
        <v>0</v>
      </c>
      <c r="F52" s="93" t="n">
        <f aca="false">Seg5_N*F42</f>
        <v>0</v>
      </c>
      <c r="G52" s="93" t="n">
        <f aca="false">Seg5_N*G42</f>
        <v>0</v>
      </c>
      <c r="H52" s="93" t="n">
        <f aca="false">Seg5_N*H42</f>
        <v>0</v>
      </c>
      <c r="I52" s="93" t="n">
        <f aca="false">Seg5_N*I42</f>
        <v>0</v>
      </c>
      <c r="J52" s="93" t="n">
        <f aca="false">Seg5_N*J42</f>
        <v>0</v>
      </c>
      <c r="K52" s="93" t="n">
        <f aca="false">Seg5_N*K42</f>
        <v>0</v>
      </c>
      <c r="L52" s="93" t="n">
        <f aca="false">Seg5_N*L42</f>
        <v>0</v>
      </c>
      <c r="M52" s="93" t="n">
        <f aca="false">Seg5_N*M42</f>
        <v>0</v>
      </c>
      <c r="N52" s="93" t="n">
        <f aca="false">Seg5_N*N42</f>
        <v>0</v>
      </c>
      <c r="O52" s="93" t="n">
        <f aca="false">Seg5_N*O42</f>
        <v>0</v>
      </c>
      <c r="P52" s="93" t="n">
        <f aca="false">Seg5_N*P42</f>
        <v>0</v>
      </c>
      <c r="Q52" s="93" t="n">
        <f aca="false">Seg5_N*Q42</f>
        <v>0</v>
      </c>
      <c r="R52" s="93" t="n">
        <f aca="false">Seg5_N*R42</f>
        <v>0</v>
      </c>
      <c r="S52" s="93" t="n">
        <f aca="false">Seg5_N*S42</f>
        <v>0</v>
      </c>
      <c r="T52" s="93" t="n">
        <f aca="false">Seg5_N*T42</f>
        <v>0</v>
      </c>
      <c r="U52" s="93" t="n">
        <f aca="false">Seg5_N*U42</f>
        <v>0</v>
      </c>
      <c r="V52" s="93" t="n">
        <f aca="false">Seg5_N*V42</f>
        <v>0</v>
      </c>
      <c r="W52" s="93" t="n">
        <f aca="false">Seg5_N*W42</f>
        <v>0</v>
      </c>
    </row>
    <row r="53" customFormat="false" ht="15" hidden="false" customHeight="false" outlineLevel="0" collapsed="false">
      <c r="A53" s="16" t="s">
        <v>420</v>
      </c>
      <c r="C53" s="29" t="n">
        <f aca="false">C48+C49+C50+C51+C52</f>
        <v>0</v>
      </c>
      <c r="D53" s="29" t="n">
        <f aca="false">D48+D49+D50+D51+D52</f>
        <v>582</v>
      </c>
      <c r="E53" s="29" t="n">
        <f aca="false">E48+E49+E50+E51+E52</f>
        <v>824.5</v>
      </c>
      <c r="F53" s="29" t="n">
        <f aca="false">F48+F49+F50+F51+F52</f>
        <v>970</v>
      </c>
      <c r="G53" s="29" t="n">
        <f aca="false">G48+G49+G50+G51+G52</f>
        <v>970</v>
      </c>
      <c r="H53" s="29" t="n">
        <f aca="false">H48+H49+H50+H51+H52</f>
        <v>970</v>
      </c>
      <c r="I53" s="29" t="n">
        <f aca="false">I48+I49+I50+I51+I52</f>
        <v>970</v>
      </c>
      <c r="J53" s="29" t="n">
        <f aca="false">J48+J49+J50+J51+J52</f>
        <v>970</v>
      </c>
      <c r="K53" s="29" t="n">
        <f aca="false">K48+K49+K50+K51+K52</f>
        <v>970</v>
      </c>
      <c r="L53" s="29" t="n">
        <f aca="false">L48+L49+L50+L51+L52</f>
        <v>970</v>
      </c>
      <c r="M53" s="29" t="n">
        <f aca="false">M48+M49+M50+M51+M52</f>
        <v>970</v>
      </c>
      <c r="N53" s="29" t="n">
        <f aca="false">N48+N49+N50+N51+N52</f>
        <v>970</v>
      </c>
      <c r="O53" s="29" t="n">
        <f aca="false">O48+O49+O50+O51+O52</f>
        <v>970</v>
      </c>
      <c r="P53" s="29" t="n">
        <f aca="false">P48+P49+P50+P51+P52</f>
        <v>970</v>
      </c>
      <c r="Q53" s="29" t="n">
        <f aca="false">Q48+Q49+Q50+Q51+Q52</f>
        <v>970</v>
      </c>
      <c r="R53" s="29" t="n">
        <f aca="false">R48+R49+R50+R51+R52</f>
        <v>970</v>
      </c>
      <c r="S53" s="29" t="n">
        <f aca="false">S48+S49+S50+S51+S52</f>
        <v>970</v>
      </c>
      <c r="T53" s="29" t="n">
        <f aca="false">T48+T49+T50+T51+T52</f>
        <v>970</v>
      </c>
      <c r="U53" s="29" t="n">
        <f aca="false">U48+U49+U50+U51+U52</f>
        <v>970</v>
      </c>
      <c r="V53" s="29" t="n">
        <f aca="false">V48+V49+V50+V51+V52</f>
        <v>970</v>
      </c>
      <c r="W53" s="29" t="n">
        <f aca="false">W48+W49+W50+W51+W52</f>
        <v>970</v>
      </c>
    </row>
    <row r="54" customFormat="false" ht="15" hidden="false" customHeight="false" outlineLevel="0" collapsed="false">
      <c r="A54" s="11" t="str">
        <f aca="false">"New connections - "&amp;Seg1_Name</f>
        <v>New connections - Households</v>
      </c>
      <c r="B54" s="77" t="n">
        <f aca="false">SUM(C54:W54)</f>
        <v>800</v>
      </c>
      <c r="C54" s="94" t="n">
        <v>0</v>
      </c>
      <c r="D54" s="94" t="n">
        <f aca="false">MAX(0,D48-C48)</f>
        <v>480</v>
      </c>
      <c r="E54" s="94" t="n">
        <f aca="false">MAX(0,E48-D48)</f>
        <v>200</v>
      </c>
      <c r="F54" s="94" t="n">
        <f aca="false">MAX(0,F48-E48)</f>
        <v>120</v>
      </c>
      <c r="G54" s="94" t="n">
        <f aca="false">MAX(0,G48-F48)</f>
        <v>0</v>
      </c>
      <c r="H54" s="94" t="n">
        <f aca="false">MAX(0,H48-G48)</f>
        <v>0</v>
      </c>
      <c r="I54" s="94" t="n">
        <f aca="false">MAX(0,I48-H48)</f>
        <v>0</v>
      </c>
      <c r="J54" s="94" t="n">
        <f aca="false">MAX(0,J48-I48)</f>
        <v>0</v>
      </c>
      <c r="K54" s="94" t="n">
        <f aca="false">MAX(0,K48-J48)</f>
        <v>0</v>
      </c>
      <c r="L54" s="94" t="n">
        <f aca="false">MAX(0,L48-K48)</f>
        <v>0</v>
      </c>
      <c r="M54" s="94" t="n">
        <f aca="false">MAX(0,M48-L48)</f>
        <v>0</v>
      </c>
      <c r="N54" s="94" t="n">
        <f aca="false">MAX(0,N48-M48)</f>
        <v>0</v>
      </c>
      <c r="O54" s="94" t="n">
        <f aca="false">MAX(0,O48-N48)</f>
        <v>0</v>
      </c>
      <c r="P54" s="94" t="n">
        <f aca="false">MAX(0,P48-O48)</f>
        <v>0</v>
      </c>
      <c r="Q54" s="94" t="n">
        <f aca="false">MAX(0,Q48-P48)</f>
        <v>0</v>
      </c>
      <c r="R54" s="94" t="n">
        <f aca="false">MAX(0,R48-Q48)</f>
        <v>0</v>
      </c>
      <c r="S54" s="94" t="n">
        <f aca="false">MAX(0,S48-R48)</f>
        <v>0</v>
      </c>
      <c r="T54" s="94" t="n">
        <f aca="false">MAX(0,T48-S48)</f>
        <v>0</v>
      </c>
      <c r="U54" s="94" t="n">
        <f aca="false">MAX(0,U48-T48)</f>
        <v>0</v>
      </c>
      <c r="V54" s="94" t="n">
        <f aca="false">MAX(0,V48-U48)</f>
        <v>0</v>
      </c>
      <c r="W54" s="94" t="n">
        <f aca="false">MAX(0,W48-V48)</f>
        <v>0</v>
      </c>
    </row>
    <row r="55" customFormat="false" ht="15" hidden="false" customHeight="false" outlineLevel="0" collapsed="false">
      <c r="A55" s="11" t="str">
        <f aca="false">"New connections - "&amp;Seg2_Name</f>
        <v>New connections - Productive users (mills, welding, cold rooms)</v>
      </c>
      <c r="B55" s="77" t="n">
        <f aca="false">SUM(C55:W55)</f>
        <v>60</v>
      </c>
      <c r="C55" s="94" t="n">
        <v>0</v>
      </c>
      <c r="D55" s="94" t="n">
        <f aca="false">MAX(0,D49-C49)</f>
        <v>36</v>
      </c>
      <c r="E55" s="94" t="n">
        <f aca="false">MAX(0,E49-D49)</f>
        <v>15</v>
      </c>
      <c r="F55" s="94" t="n">
        <f aca="false">MAX(0,F49-E49)</f>
        <v>9</v>
      </c>
      <c r="G55" s="94" t="n">
        <f aca="false">MAX(0,G49-F49)</f>
        <v>0</v>
      </c>
      <c r="H55" s="94" t="n">
        <f aca="false">MAX(0,H49-G49)</f>
        <v>0</v>
      </c>
      <c r="I55" s="94" t="n">
        <f aca="false">MAX(0,I49-H49)</f>
        <v>0</v>
      </c>
      <c r="J55" s="94" t="n">
        <f aca="false">MAX(0,J49-I49)</f>
        <v>0</v>
      </c>
      <c r="K55" s="94" t="n">
        <f aca="false">MAX(0,K49-J49)</f>
        <v>0</v>
      </c>
      <c r="L55" s="94" t="n">
        <f aca="false">MAX(0,L49-K49)</f>
        <v>0</v>
      </c>
      <c r="M55" s="94" t="n">
        <f aca="false">MAX(0,M49-L49)</f>
        <v>0</v>
      </c>
      <c r="N55" s="94" t="n">
        <f aca="false">MAX(0,N49-M49)</f>
        <v>0</v>
      </c>
      <c r="O55" s="94" t="n">
        <f aca="false">MAX(0,O49-N49)</f>
        <v>0</v>
      </c>
      <c r="P55" s="94" t="n">
        <f aca="false">MAX(0,P49-O49)</f>
        <v>0</v>
      </c>
      <c r="Q55" s="94" t="n">
        <f aca="false">MAX(0,Q49-P49)</f>
        <v>0</v>
      </c>
      <c r="R55" s="94" t="n">
        <f aca="false">MAX(0,R49-Q49)</f>
        <v>0</v>
      </c>
      <c r="S55" s="94" t="n">
        <f aca="false">MAX(0,S49-R49)</f>
        <v>0</v>
      </c>
      <c r="T55" s="94" t="n">
        <f aca="false">MAX(0,T49-S49)</f>
        <v>0</v>
      </c>
      <c r="U55" s="94" t="n">
        <f aca="false">MAX(0,U49-T49)</f>
        <v>0</v>
      </c>
      <c r="V55" s="94" t="n">
        <f aca="false">MAX(0,V49-U49)</f>
        <v>0</v>
      </c>
      <c r="W55" s="94" t="n">
        <f aca="false">MAX(0,W49-V49)</f>
        <v>0</v>
      </c>
    </row>
    <row r="56" customFormat="false" ht="15" hidden="false" customHeight="false" outlineLevel="0" collapsed="false">
      <c r="A56" s="11" t="str">
        <f aca="false">"New connections - "&amp;Seg3_Name</f>
        <v>New connections - Commercial (shops, bars, kiosks)</v>
      </c>
      <c r="B56" s="77" t="n">
        <f aca="false">SUM(C56:W56)</f>
        <v>100</v>
      </c>
      <c r="C56" s="94" t="n">
        <v>0</v>
      </c>
      <c r="D56" s="94" t="n">
        <f aca="false">MAX(0,D50-C50)</f>
        <v>60</v>
      </c>
      <c r="E56" s="94" t="n">
        <f aca="false">MAX(0,E50-D50)</f>
        <v>25</v>
      </c>
      <c r="F56" s="94" t="n">
        <f aca="false">MAX(0,F50-E50)</f>
        <v>15</v>
      </c>
      <c r="G56" s="94" t="n">
        <f aca="false">MAX(0,G50-F50)</f>
        <v>0</v>
      </c>
      <c r="H56" s="94" t="n">
        <f aca="false">MAX(0,H50-G50)</f>
        <v>0</v>
      </c>
      <c r="I56" s="94" t="n">
        <f aca="false">MAX(0,I50-H50)</f>
        <v>0</v>
      </c>
      <c r="J56" s="94" t="n">
        <f aca="false">MAX(0,J50-I50)</f>
        <v>0</v>
      </c>
      <c r="K56" s="94" t="n">
        <f aca="false">MAX(0,K50-J50)</f>
        <v>0</v>
      </c>
      <c r="L56" s="94" t="n">
        <f aca="false">MAX(0,L50-K50)</f>
        <v>0</v>
      </c>
      <c r="M56" s="94" t="n">
        <f aca="false">MAX(0,M50-L50)</f>
        <v>0</v>
      </c>
      <c r="N56" s="94" t="n">
        <f aca="false">MAX(0,N50-M50)</f>
        <v>0</v>
      </c>
      <c r="O56" s="94" t="n">
        <f aca="false">MAX(0,O50-N50)</f>
        <v>0</v>
      </c>
      <c r="P56" s="94" t="n">
        <f aca="false">MAX(0,P50-O50)</f>
        <v>0</v>
      </c>
      <c r="Q56" s="94" t="n">
        <f aca="false">MAX(0,Q50-P50)</f>
        <v>0</v>
      </c>
      <c r="R56" s="94" t="n">
        <f aca="false">MAX(0,R50-Q50)</f>
        <v>0</v>
      </c>
      <c r="S56" s="94" t="n">
        <f aca="false">MAX(0,S50-R50)</f>
        <v>0</v>
      </c>
      <c r="T56" s="94" t="n">
        <f aca="false">MAX(0,T50-S50)</f>
        <v>0</v>
      </c>
      <c r="U56" s="94" t="n">
        <f aca="false">MAX(0,U50-T50)</f>
        <v>0</v>
      </c>
      <c r="V56" s="94" t="n">
        <f aca="false">MAX(0,V50-U50)</f>
        <v>0</v>
      </c>
      <c r="W56" s="94" t="n">
        <f aca="false">MAX(0,W50-V50)</f>
        <v>0</v>
      </c>
    </row>
    <row r="57" customFormat="false" ht="15" hidden="false" customHeight="false" outlineLevel="0" collapsed="false">
      <c r="A57" s="11" t="str">
        <f aca="false">"New connections - "&amp;Seg4_Name</f>
        <v>New connections - Institutions (health centre, school, water)</v>
      </c>
      <c r="B57" s="77" t="n">
        <f aca="false">SUM(C57:W57)</f>
        <v>10</v>
      </c>
      <c r="C57" s="94" t="n">
        <v>0</v>
      </c>
      <c r="D57" s="94" t="n">
        <f aca="false">MAX(0,D51-C51)</f>
        <v>6</v>
      </c>
      <c r="E57" s="94" t="n">
        <f aca="false">MAX(0,E51-D51)</f>
        <v>2.5</v>
      </c>
      <c r="F57" s="94" t="n">
        <f aca="false">MAX(0,F51-E51)</f>
        <v>1.5</v>
      </c>
      <c r="G57" s="94" t="n">
        <f aca="false">MAX(0,G51-F51)</f>
        <v>0</v>
      </c>
      <c r="H57" s="94" t="n">
        <f aca="false">MAX(0,H51-G51)</f>
        <v>0</v>
      </c>
      <c r="I57" s="94" t="n">
        <f aca="false">MAX(0,I51-H51)</f>
        <v>0</v>
      </c>
      <c r="J57" s="94" t="n">
        <f aca="false">MAX(0,J51-I51)</f>
        <v>0</v>
      </c>
      <c r="K57" s="94" t="n">
        <f aca="false">MAX(0,K51-J51)</f>
        <v>0</v>
      </c>
      <c r="L57" s="94" t="n">
        <f aca="false">MAX(0,L51-K51)</f>
        <v>0</v>
      </c>
      <c r="M57" s="94" t="n">
        <f aca="false">MAX(0,M51-L51)</f>
        <v>0</v>
      </c>
      <c r="N57" s="94" t="n">
        <f aca="false">MAX(0,N51-M51)</f>
        <v>0</v>
      </c>
      <c r="O57" s="94" t="n">
        <f aca="false">MAX(0,O51-N51)</f>
        <v>0</v>
      </c>
      <c r="P57" s="94" t="n">
        <f aca="false">MAX(0,P51-O51)</f>
        <v>0</v>
      </c>
      <c r="Q57" s="94" t="n">
        <f aca="false">MAX(0,Q51-P51)</f>
        <v>0</v>
      </c>
      <c r="R57" s="94" t="n">
        <f aca="false">MAX(0,R51-Q51)</f>
        <v>0</v>
      </c>
      <c r="S57" s="94" t="n">
        <f aca="false">MAX(0,S51-R51)</f>
        <v>0</v>
      </c>
      <c r="T57" s="94" t="n">
        <f aca="false">MAX(0,T51-S51)</f>
        <v>0</v>
      </c>
      <c r="U57" s="94" t="n">
        <f aca="false">MAX(0,U51-T51)</f>
        <v>0</v>
      </c>
      <c r="V57" s="94" t="n">
        <f aca="false">MAX(0,V51-U51)</f>
        <v>0</v>
      </c>
      <c r="W57" s="94" t="n">
        <f aca="false">MAX(0,W51-V51)</f>
        <v>0</v>
      </c>
    </row>
    <row r="58" customFormat="false" ht="15" hidden="false" customHeight="false" outlineLevel="0" collapsed="false">
      <c r="A58" s="11" t="str">
        <f aca="false">"New connections - "&amp;Seg5_Name</f>
        <v>New connections - Other / custom</v>
      </c>
      <c r="B58" s="77" t="n">
        <f aca="false">SUM(C58:W58)</f>
        <v>0</v>
      </c>
      <c r="C58" s="94" t="n">
        <v>0</v>
      </c>
      <c r="D58" s="94" t="n">
        <f aca="false">MAX(0,D52-C52)</f>
        <v>0</v>
      </c>
      <c r="E58" s="94" t="n">
        <f aca="false">MAX(0,E52-D52)</f>
        <v>0</v>
      </c>
      <c r="F58" s="94" t="n">
        <f aca="false">MAX(0,F52-E52)</f>
        <v>0</v>
      </c>
      <c r="G58" s="94" t="n">
        <f aca="false">MAX(0,G52-F52)</f>
        <v>0</v>
      </c>
      <c r="H58" s="94" t="n">
        <f aca="false">MAX(0,H52-G52)</f>
        <v>0</v>
      </c>
      <c r="I58" s="94" t="n">
        <f aca="false">MAX(0,I52-H52)</f>
        <v>0</v>
      </c>
      <c r="J58" s="94" t="n">
        <f aca="false">MAX(0,J52-I52)</f>
        <v>0</v>
      </c>
      <c r="K58" s="94" t="n">
        <f aca="false">MAX(0,K52-J52)</f>
        <v>0</v>
      </c>
      <c r="L58" s="94" t="n">
        <f aca="false">MAX(0,L52-K52)</f>
        <v>0</v>
      </c>
      <c r="M58" s="94" t="n">
        <f aca="false">MAX(0,M52-L52)</f>
        <v>0</v>
      </c>
      <c r="N58" s="94" t="n">
        <f aca="false">MAX(0,N52-M52)</f>
        <v>0</v>
      </c>
      <c r="O58" s="94" t="n">
        <f aca="false">MAX(0,O52-N52)</f>
        <v>0</v>
      </c>
      <c r="P58" s="94" t="n">
        <f aca="false">MAX(0,P52-O52)</f>
        <v>0</v>
      </c>
      <c r="Q58" s="94" t="n">
        <f aca="false">MAX(0,Q52-P52)</f>
        <v>0</v>
      </c>
      <c r="R58" s="94" t="n">
        <f aca="false">MAX(0,R52-Q52)</f>
        <v>0</v>
      </c>
      <c r="S58" s="94" t="n">
        <f aca="false">MAX(0,S52-R52)</f>
        <v>0</v>
      </c>
      <c r="T58" s="94" t="n">
        <f aca="false">MAX(0,T52-S52)</f>
        <v>0</v>
      </c>
      <c r="U58" s="94" t="n">
        <f aca="false">MAX(0,U52-T52)</f>
        <v>0</v>
      </c>
      <c r="V58" s="94" t="n">
        <f aca="false">MAX(0,V52-U52)</f>
        <v>0</v>
      </c>
      <c r="W58" s="94" t="n">
        <f aca="false">MAX(0,W52-V52)</f>
        <v>0</v>
      </c>
    </row>
    <row r="59" customFormat="false" ht="15" hidden="false" customHeight="false" outlineLevel="0" collapsed="false">
      <c r="A59" s="16" t="s">
        <v>421</v>
      </c>
      <c r="B59" s="76" t="n">
        <f aca="false">SUM(C59:W59)</f>
        <v>970</v>
      </c>
      <c r="C59" s="29" t="n">
        <f aca="false">C54+C55+C56+C57+C58</f>
        <v>0</v>
      </c>
      <c r="D59" s="29" t="n">
        <f aca="false">D54+D55+D56+D57+D58</f>
        <v>582</v>
      </c>
      <c r="E59" s="29" t="n">
        <f aca="false">E54+E55+E56+E57+E58</f>
        <v>242.5</v>
      </c>
      <c r="F59" s="29" t="n">
        <f aca="false">F54+F55+F56+F57+F58</f>
        <v>145.5</v>
      </c>
      <c r="G59" s="29" t="n">
        <f aca="false">G54+G55+G56+G57+G58</f>
        <v>0</v>
      </c>
      <c r="H59" s="29" t="n">
        <f aca="false">H54+H55+H56+H57+H58</f>
        <v>0</v>
      </c>
      <c r="I59" s="29" t="n">
        <f aca="false">I54+I55+I56+I57+I58</f>
        <v>0</v>
      </c>
      <c r="J59" s="29" t="n">
        <f aca="false">J54+J55+J56+J57+J58</f>
        <v>0</v>
      </c>
      <c r="K59" s="29" t="n">
        <f aca="false">K54+K55+K56+K57+K58</f>
        <v>0</v>
      </c>
      <c r="L59" s="29" t="n">
        <f aca="false">L54+L55+L56+L57+L58</f>
        <v>0</v>
      </c>
      <c r="M59" s="29" t="n">
        <f aca="false">M54+M55+M56+M57+M58</f>
        <v>0</v>
      </c>
      <c r="N59" s="29" t="n">
        <f aca="false">N54+N55+N56+N57+N58</f>
        <v>0</v>
      </c>
      <c r="O59" s="29" t="n">
        <f aca="false">O54+O55+O56+O57+O58</f>
        <v>0</v>
      </c>
      <c r="P59" s="29" t="n">
        <f aca="false">P54+P55+P56+P57+P58</f>
        <v>0</v>
      </c>
      <c r="Q59" s="29" t="n">
        <f aca="false">Q54+Q55+Q56+Q57+Q58</f>
        <v>0</v>
      </c>
      <c r="R59" s="29" t="n">
        <f aca="false">R54+R55+R56+R57+R58</f>
        <v>0</v>
      </c>
      <c r="S59" s="29" t="n">
        <f aca="false">S54+S55+S56+S57+S58</f>
        <v>0</v>
      </c>
      <c r="T59" s="29" t="n">
        <f aca="false">T54+T55+T56+T57+T58</f>
        <v>0</v>
      </c>
      <c r="U59" s="29" t="n">
        <f aca="false">U54+U55+U56+U57+U58</f>
        <v>0</v>
      </c>
      <c r="V59" s="29" t="n">
        <f aca="false">V54+V55+V56+V57+V58</f>
        <v>0</v>
      </c>
      <c r="W59" s="29" t="n">
        <f aca="false">W54+W55+W56+W57+W58</f>
        <v>0</v>
      </c>
    </row>
    <row r="61" customFormat="false" ht="15" hidden="false" customHeight="false" outlineLevel="0" collapsed="false">
      <c r="A61" s="11" t="str">
        <f aca="false">"Energy sold (kWh) - "&amp;Seg1_Name</f>
        <v>Energy sold (kWh) - Households</v>
      </c>
      <c r="B61" s="76" t="n">
        <f aca="false">SUM(C61:W61)</f>
        <v>4547383.11169582</v>
      </c>
      <c r="C61" s="93" t="n">
        <v>0</v>
      </c>
      <c r="D61" s="93" t="n">
        <f aca="false">D48*Seg1_kWh*12*D45</f>
        <v>103680</v>
      </c>
      <c r="E61" s="93" t="n">
        <f aca="false">E48*Seg1_kWh*12*E45</f>
        <v>151286.4</v>
      </c>
      <c r="F61" s="93" t="n">
        <f aca="false">F48*Seg1_kWh*12*F45</f>
        <v>183323.52</v>
      </c>
      <c r="G61" s="93" t="n">
        <f aca="false">G48*Seg1_kWh*12*G45</f>
        <v>188823.2256</v>
      </c>
      <c r="H61" s="93" t="n">
        <f aca="false">H48*Seg1_kWh*12*H45</f>
        <v>194487.922368</v>
      </c>
      <c r="I61" s="93" t="n">
        <f aca="false">I48*Seg1_kWh*12*I45</f>
        <v>200322.56003904</v>
      </c>
      <c r="J61" s="93" t="n">
        <f aca="false">J48*Seg1_kWh*12*J45</f>
        <v>206332.236840211</v>
      </c>
      <c r="K61" s="93" t="n">
        <f aca="false">K48*Seg1_kWh*12*K45</f>
        <v>212522.203945418</v>
      </c>
      <c r="L61" s="93" t="n">
        <f aca="false">L48*Seg1_kWh*12*L45</f>
        <v>218897.87006378</v>
      </c>
      <c r="M61" s="93" t="n">
        <f aca="false">M48*Seg1_kWh*12*M45</f>
        <v>225464.806165694</v>
      </c>
      <c r="N61" s="93" t="n">
        <f aca="false">N48*Seg1_kWh*12*N45</f>
        <v>232228.750350664</v>
      </c>
      <c r="O61" s="93" t="n">
        <f aca="false">O48*Seg1_kWh*12*O45</f>
        <v>239195.612861184</v>
      </c>
      <c r="P61" s="93" t="n">
        <f aca="false">P48*Seg1_kWh*12*P45</f>
        <v>246371.48124702</v>
      </c>
      <c r="Q61" s="93" t="n">
        <f aca="false">Q48*Seg1_kWh*12*Q45</f>
        <v>253762.62568443</v>
      </c>
      <c r="R61" s="93" t="n">
        <f aca="false">R48*Seg1_kWh*12*R45</f>
        <v>261375.504454963</v>
      </c>
      <c r="S61" s="93" t="n">
        <f aca="false">S48*Seg1_kWh*12*S45</f>
        <v>269216.769588612</v>
      </c>
      <c r="T61" s="93" t="n">
        <f aca="false">T48*Seg1_kWh*12*T45</f>
        <v>277293.272676271</v>
      </c>
      <c r="U61" s="93" t="n">
        <f aca="false">U48*Seg1_kWh*12*U45</f>
        <v>285612.070856559</v>
      </c>
      <c r="V61" s="93" t="n">
        <f aca="false">V48*Seg1_kWh*12*V45</f>
        <v>294180.432982256</v>
      </c>
      <c r="W61" s="93" t="n">
        <f aca="false">W48*Seg1_kWh*12*W45</f>
        <v>303005.845971723</v>
      </c>
    </row>
    <row r="62" customFormat="false" ht="15" hidden="false" customHeight="false" outlineLevel="0" collapsed="false">
      <c r="A62" s="11" t="str">
        <f aca="false">"Energy sold (kWh) - "&amp;Seg2_Name</f>
        <v>Energy sold (kWh) - Productive users (mills, welding, cold rooms)</v>
      </c>
      <c r="B62" s="76" t="n">
        <f aca="false">SUM(C62:W62)</f>
        <v>3533680.46843659</v>
      </c>
      <c r="C62" s="93" t="n">
        <v>0</v>
      </c>
      <c r="D62" s="93" t="n">
        <f aca="false">D49*Seg2_kWh*12*D45</f>
        <v>80567.6544</v>
      </c>
      <c r="E62" s="93" t="n">
        <f aca="false">E49*Seg2_kWh*12*E45</f>
        <v>117561.635712</v>
      </c>
      <c r="F62" s="93" t="n">
        <f aca="false">F49*Seg2_kWh*12*F45</f>
        <v>142457.0409216</v>
      </c>
      <c r="G62" s="93" t="n">
        <f aca="false">G49*Seg2_kWh*12*G45</f>
        <v>146730.752149248</v>
      </c>
      <c r="H62" s="93" t="n">
        <f aca="false">H49*Seg2_kWh*12*H45</f>
        <v>151132.674713725</v>
      </c>
      <c r="I62" s="93" t="n">
        <f aca="false">I49*Seg2_kWh*12*I45</f>
        <v>155666.654955137</v>
      </c>
      <c r="J62" s="93" t="n">
        <f aca="false">J49*Seg2_kWh*12*J45</f>
        <v>160336.654603791</v>
      </c>
      <c r="K62" s="93" t="n">
        <f aca="false">K49*Seg2_kWh*12*K45</f>
        <v>165146.754241905</v>
      </c>
      <c r="L62" s="93" t="n">
        <f aca="false">L49*Seg2_kWh*12*L45</f>
        <v>170101.156869162</v>
      </c>
      <c r="M62" s="93" t="n">
        <f aca="false">M49*Seg2_kWh*12*M45</f>
        <v>175204.191575237</v>
      </c>
      <c r="N62" s="93" t="n">
        <f aca="false">N49*Seg2_kWh*12*N45</f>
        <v>180460.317322494</v>
      </c>
      <c r="O62" s="93" t="n">
        <f aca="false">O49*Seg2_kWh*12*O45</f>
        <v>185874.126842169</v>
      </c>
      <c r="P62" s="93" t="n">
        <f aca="false">P49*Seg2_kWh*12*P45</f>
        <v>191450.350647434</v>
      </c>
      <c r="Q62" s="93" t="n">
        <f aca="false">Q49*Seg2_kWh*12*Q45</f>
        <v>197193.861166857</v>
      </c>
      <c r="R62" s="93" t="n">
        <f aca="false">R49*Seg2_kWh*12*R45</f>
        <v>203109.677001863</v>
      </c>
      <c r="S62" s="93" t="n">
        <f aca="false">S49*Seg2_kWh*12*S45</f>
        <v>209202.967311919</v>
      </c>
      <c r="T62" s="93" t="n">
        <f aca="false">T49*Seg2_kWh*12*T45</f>
        <v>215479.056331276</v>
      </c>
      <c r="U62" s="93" t="n">
        <f aca="false">U49*Seg2_kWh*12*U45</f>
        <v>221943.428021215</v>
      </c>
      <c r="V62" s="93" t="n">
        <f aca="false">V49*Seg2_kWh*12*V45</f>
        <v>228601.730861851</v>
      </c>
      <c r="W62" s="93" t="n">
        <f aca="false">W49*Seg2_kWh*12*W45</f>
        <v>235459.782787707</v>
      </c>
    </row>
    <row r="63" customFormat="false" ht="15" hidden="false" customHeight="false" outlineLevel="0" collapsed="false">
      <c r="A63" s="11" t="str">
        <f aca="false">"Energy sold (kWh) - "&amp;Seg3_Name</f>
        <v>Energy sold (kWh) - Commercial (shops, bars, kiosks)</v>
      </c>
      <c r="B63" s="76" t="n">
        <f aca="false">SUM(C63:W63)</f>
        <v>1894742.96320659</v>
      </c>
      <c r="C63" s="93" t="n">
        <v>0</v>
      </c>
      <c r="D63" s="93" t="n">
        <f aca="false">D50*Seg3_kWh*12*D45</f>
        <v>43200</v>
      </c>
      <c r="E63" s="93" t="n">
        <f aca="false">E50*Seg3_kWh*12*E45</f>
        <v>63036</v>
      </c>
      <c r="F63" s="93" t="n">
        <f aca="false">F50*Seg3_kWh*12*F45</f>
        <v>76384.8</v>
      </c>
      <c r="G63" s="93" t="n">
        <f aca="false">G50*Seg3_kWh*12*G45</f>
        <v>78676.344</v>
      </c>
      <c r="H63" s="93" t="n">
        <f aca="false">H50*Seg3_kWh*12*H45</f>
        <v>81036.63432</v>
      </c>
      <c r="I63" s="93" t="n">
        <f aca="false">I50*Seg3_kWh*12*I45</f>
        <v>83467.7333496</v>
      </c>
      <c r="J63" s="93" t="n">
        <f aca="false">J50*Seg3_kWh*12*J45</f>
        <v>85971.765350088</v>
      </c>
      <c r="K63" s="93" t="n">
        <f aca="false">K50*Seg3_kWh*12*K45</f>
        <v>88550.9183105907</v>
      </c>
      <c r="L63" s="93" t="n">
        <f aca="false">L50*Seg3_kWh*12*L45</f>
        <v>91207.4458599084</v>
      </c>
      <c r="M63" s="93" t="n">
        <f aca="false">M50*Seg3_kWh*12*M45</f>
        <v>93943.6692357056</v>
      </c>
      <c r="N63" s="93" t="n">
        <f aca="false">N50*Seg3_kWh*12*N45</f>
        <v>96761.9793127768</v>
      </c>
      <c r="O63" s="93" t="n">
        <f aca="false">O50*Seg3_kWh*12*O45</f>
        <v>99664.8386921601</v>
      </c>
      <c r="P63" s="93" t="n">
        <f aca="false">P50*Seg3_kWh*12*P45</f>
        <v>102654.783852925</v>
      </c>
      <c r="Q63" s="93" t="n">
        <f aca="false">Q50*Seg3_kWh*12*Q45</f>
        <v>105734.427368513</v>
      </c>
      <c r="R63" s="93" t="n">
        <f aca="false">R50*Seg3_kWh*12*R45</f>
        <v>108906.460189568</v>
      </c>
      <c r="S63" s="93" t="n">
        <f aca="false">S50*Seg3_kWh*12*S45</f>
        <v>112173.653995255</v>
      </c>
      <c r="T63" s="93" t="n">
        <f aca="false">T50*Seg3_kWh*12*T45</f>
        <v>115538.863615113</v>
      </c>
      <c r="U63" s="93" t="n">
        <f aca="false">U50*Seg3_kWh*12*U45</f>
        <v>119005.029523566</v>
      </c>
      <c r="V63" s="93" t="n">
        <f aca="false">V50*Seg3_kWh*12*V45</f>
        <v>122575.180409273</v>
      </c>
      <c r="W63" s="93" t="n">
        <f aca="false">W50*Seg3_kWh*12*W45</f>
        <v>126252.435821551</v>
      </c>
    </row>
    <row r="64" customFormat="false" ht="15" hidden="false" customHeight="false" outlineLevel="0" collapsed="false">
      <c r="A64" s="11" t="str">
        <f aca="false">"Energy sold (kWh) - "&amp;Seg4_Name</f>
        <v>Energy sold (kWh) - Institutions (health centre, school, water)</v>
      </c>
      <c r="B64" s="76" t="n">
        <f aca="false">SUM(C64:W64)</f>
        <v>1136845.77792396</v>
      </c>
      <c r="C64" s="93" t="n">
        <v>0</v>
      </c>
      <c r="D64" s="93" t="n">
        <f aca="false">D51*Seg4_kWh*12*D45</f>
        <v>25920</v>
      </c>
      <c r="E64" s="93" t="n">
        <f aca="false">E51*Seg4_kWh*12*E45</f>
        <v>37821.6</v>
      </c>
      <c r="F64" s="93" t="n">
        <f aca="false">F51*Seg4_kWh*12*F45</f>
        <v>45830.88</v>
      </c>
      <c r="G64" s="93" t="n">
        <f aca="false">G51*Seg4_kWh*12*G45</f>
        <v>47205.8064</v>
      </c>
      <c r="H64" s="93" t="n">
        <f aca="false">H51*Seg4_kWh*12*H45</f>
        <v>48621.980592</v>
      </c>
      <c r="I64" s="93" t="n">
        <f aca="false">I51*Seg4_kWh*12*I45</f>
        <v>50080.64000976</v>
      </c>
      <c r="J64" s="93" t="n">
        <f aca="false">J51*Seg4_kWh*12*J45</f>
        <v>51583.0592100528</v>
      </c>
      <c r="K64" s="93" t="n">
        <f aca="false">K51*Seg4_kWh*12*K45</f>
        <v>53130.5509863544</v>
      </c>
      <c r="L64" s="93" t="n">
        <f aca="false">L51*Seg4_kWh*12*L45</f>
        <v>54724.467515945</v>
      </c>
      <c r="M64" s="93" t="n">
        <f aca="false">M51*Seg4_kWh*12*M45</f>
        <v>56366.2015414234</v>
      </c>
      <c r="N64" s="93" t="n">
        <f aca="false">N51*Seg4_kWh*12*N45</f>
        <v>58057.1875876661</v>
      </c>
      <c r="O64" s="93" t="n">
        <f aca="false">O51*Seg4_kWh*12*O45</f>
        <v>59798.9032152961</v>
      </c>
      <c r="P64" s="93" t="n">
        <f aca="false">P51*Seg4_kWh*12*P45</f>
        <v>61592.8703117549</v>
      </c>
      <c r="Q64" s="93" t="n">
        <f aca="false">Q51*Seg4_kWh*12*Q45</f>
        <v>63440.6564211076</v>
      </c>
      <c r="R64" s="93" t="n">
        <f aca="false">R51*Seg4_kWh*12*R45</f>
        <v>65343.8761137408</v>
      </c>
      <c r="S64" s="93" t="n">
        <f aca="false">S51*Seg4_kWh*12*S45</f>
        <v>67304.1923971531</v>
      </c>
      <c r="T64" s="93" t="n">
        <f aca="false">T51*Seg4_kWh*12*T45</f>
        <v>69323.3181690676</v>
      </c>
      <c r="U64" s="93" t="n">
        <f aca="false">U51*Seg4_kWh*12*U45</f>
        <v>71403.0177141397</v>
      </c>
      <c r="V64" s="93" t="n">
        <f aca="false">V51*Seg4_kWh*12*V45</f>
        <v>73545.1082455639</v>
      </c>
      <c r="W64" s="93" t="n">
        <f aca="false">W51*Seg4_kWh*12*W45</f>
        <v>75751.4614929308</v>
      </c>
    </row>
    <row r="65" customFormat="false" ht="15" hidden="false" customHeight="false" outlineLevel="0" collapsed="false">
      <c r="A65" s="11" t="str">
        <f aca="false">"Energy sold (kWh) - "&amp;Seg5_Name</f>
        <v>Energy sold (kWh) - Other / custom</v>
      </c>
      <c r="B65" s="76" t="n">
        <f aca="false">SUM(C65:W65)</f>
        <v>0</v>
      </c>
      <c r="C65" s="93" t="n">
        <v>0</v>
      </c>
      <c r="D65" s="93" t="n">
        <f aca="false">D52*Seg5_kWh*12*D45</f>
        <v>0</v>
      </c>
      <c r="E65" s="93" t="n">
        <f aca="false">E52*Seg5_kWh*12*E45</f>
        <v>0</v>
      </c>
      <c r="F65" s="93" t="n">
        <f aca="false">F52*Seg5_kWh*12*F45</f>
        <v>0</v>
      </c>
      <c r="G65" s="93" t="n">
        <f aca="false">G52*Seg5_kWh*12*G45</f>
        <v>0</v>
      </c>
      <c r="H65" s="93" t="n">
        <f aca="false">H52*Seg5_kWh*12*H45</f>
        <v>0</v>
      </c>
      <c r="I65" s="93" t="n">
        <f aca="false">I52*Seg5_kWh*12*I45</f>
        <v>0</v>
      </c>
      <c r="J65" s="93" t="n">
        <f aca="false">J52*Seg5_kWh*12*J45</f>
        <v>0</v>
      </c>
      <c r="K65" s="93" t="n">
        <f aca="false">K52*Seg5_kWh*12*K45</f>
        <v>0</v>
      </c>
      <c r="L65" s="93" t="n">
        <f aca="false">L52*Seg5_kWh*12*L45</f>
        <v>0</v>
      </c>
      <c r="M65" s="93" t="n">
        <f aca="false">M52*Seg5_kWh*12*M45</f>
        <v>0</v>
      </c>
      <c r="N65" s="93" t="n">
        <f aca="false">N52*Seg5_kWh*12*N45</f>
        <v>0</v>
      </c>
      <c r="O65" s="93" t="n">
        <f aca="false">O52*Seg5_kWh*12*O45</f>
        <v>0</v>
      </c>
      <c r="P65" s="93" t="n">
        <f aca="false">P52*Seg5_kWh*12*P45</f>
        <v>0</v>
      </c>
      <c r="Q65" s="93" t="n">
        <f aca="false">Q52*Seg5_kWh*12*Q45</f>
        <v>0</v>
      </c>
      <c r="R65" s="93" t="n">
        <f aca="false">R52*Seg5_kWh*12*R45</f>
        <v>0</v>
      </c>
      <c r="S65" s="93" t="n">
        <f aca="false">S52*Seg5_kWh*12*S45</f>
        <v>0</v>
      </c>
      <c r="T65" s="93" t="n">
        <f aca="false">T52*Seg5_kWh*12*T45</f>
        <v>0</v>
      </c>
      <c r="U65" s="93" t="n">
        <f aca="false">U52*Seg5_kWh*12*U45</f>
        <v>0</v>
      </c>
      <c r="V65" s="93" t="n">
        <f aca="false">V52*Seg5_kWh*12*V45</f>
        <v>0</v>
      </c>
      <c r="W65" s="93" t="n">
        <f aca="false">W52*Seg5_kWh*12*W45</f>
        <v>0</v>
      </c>
    </row>
    <row r="66" customFormat="false" ht="15" hidden="false" customHeight="false" outlineLevel="0" collapsed="false">
      <c r="A66" s="16" t="s">
        <v>422</v>
      </c>
      <c r="B66" s="76" t="n">
        <f aca="false">SUM(C66:W66)</f>
        <v>11112652.321263</v>
      </c>
      <c r="C66" s="29" t="n">
        <f aca="false">C61+C62+C63+C64+C65</f>
        <v>0</v>
      </c>
      <c r="D66" s="29" t="n">
        <f aca="false">D61+D62+D63+D64+D65</f>
        <v>253367.6544</v>
      </c>
      <c r="E66" s="29" t="n">
        <f aca="false">E61+E62+E63+E64+E65</f>
        <v>369705.635712</v>
      </c>
      <c r="F66" s="29" t="n">
        <f aca="false">F61+F62+F63+F64+F65</f>
        <v>447996.2409216</v>
      </c>
      <c r="G66" s="29" t="n">
        <f aca="false">G61+G62+G63+G64+G65</f>
        <v>461436.128149248</v>
      </c>
      <c r="H66" s="29" t="n">
        <f aca="false">H61+H62+H63+H64+H65</f>
        <v>475279.211993726</v>
      </c>
      <c r="I66" s="29" t="n">
        <f aca="false">I61+I62+I63+I64+I65</f>
        <v>489537.588353537</v>
      </c>
      <c r="J66" s="29" t="n">
        <f aca="false">J61+J62+J63+J64+J65</f>
        <v>504223.716004143</v>
      </c>
      <c r="K66" s="29" t="n">
        <f aca="false">K61+K62+K63+K64+K65</f>
        <v>519350.427484268</v>
      </c>
      <c r="L66" s="29" t="n">
        <f aca="false">L61+L62+L63+L64+L65</f>
        <v>534930.940308796</v>
      </c>
      <c r="M66" s="29" t="n">
        <f aca="false">M61+M62+M63+M64+M65</f>
        <v>550978.86851806</v>
      </c>
      <c r="N66" s="29" t="n">
        <f aca="false">N61+N62+N63+N64+N65</f>
        <v>567508.234573601</v>
      </c>
      <c r="O66" s="29" t="n">
        <f aca="false">O61+O62+O63+O64+O65</f>
        <v>584533.48161081</v>
      </c>
      <c r="P66" s="29" t="n">
        <f aca="false">P61+P62+P63+P64+P65</f>
        <v>602069.486059134</v>
      </c>
      <c r="Q66" s="29" t="n">
        <f aca="false">Q61+Q62+Q63+Q64+Q65</f>
        <v>620131.570640908</v>
      </c>
      <c r="R66" s="29" t="n">
        <f aca="false">R61+R62+R63+R64+R65</f>
        <v>638735.517760135</v>
      </c>
      <c r="S66" s="29" t="n">
        <f aca="false">S61+S62+S63+S64+S65</f>
        <v>657897.583292939</v>
      </c>
      <c r="T66" s="29" t="n">
        <f aca="false">T61+T62+T63+T64+T65</f>
        <v>677634.510791727</v>
      </c>
      <c r="U66" s="29" t="n">
        <f aca="false">U61+U62+U63+U64+U65</f>
        <v>697963.546115479</v>
      </c>
      <c r="V66" s="29" t="n">
        <f aca="false">V61+V62+V63+V64+V65</f>
        <v>718902.452498944</v>
      </c>
      <c r="W66" s="29" t="n">
        <f aca="false">W61+W62+W63+W64+W65</f>
        <v>740469.526073912</v>
      </c>
    </row>
    <row r="68" customFormat="false" ht="15" hidden="false" customHeight="false" outlineLevel="0" collapsed="false">
      <c r="A68" s="9" t="s">
        <v>423</v>
      </c>
      <c r="B68" s="10"/>
      <c r="C68" s="10"/>
      <c r="D68" s="10"/>
      <c r="E68" s="10"/>
      <c r="F68" s="10"/>
      <c r="G68" s="10"/>
      <c r="H68" s="10"/>
      <c r="I68" s="10"/>
      <c r="J68" s="10"/>
      <c r="K68" s="10"/>
      <c r="L68" s="10"/>
      <c r="M68" s="10"/>
      <c r="N68" s="10"/>
      <c r="O68" s="10"/>
      <c r="P68" s="10"/>
      <c r="Q68" s="10"/>
      <c r="R68" s="10"/>
      <c r="S68" s="10"/>
      <c r="T68" s="10"/>
      <c r="U68" s="10"/>
      <c r="V68" s="10"/>
      <c r="W68" s="10"/>
    </row>
    <row r="69" customFormat="false" ht="15" hidden="false" customHeight="false" outlineLevel="0" collapsed="false">
      <c r="A69" s="11" t="s">
        <v>424</v>
      </c>
      <c r="B69" s="76" t="n">
        <f aca="false">SUM(C69:W69)</f>
        <v>12628014.0014352</v>
      </c>
      <c r="C69" s="93" t="n">
        <v>0</v>
      </c>
      <c r="D69" s="93" t="n">
        <f aca="false">D66/(1-Losses)</f>
        <v>287917.789090909</v>
      </c>
      <c r="E69" s="93" t="n">
        <f aca="false">E66/(1-Losses)</f>
        <v>420120.040581818</v>
      </c>
      <c r="F69" s="93" t="n">
        <f aca="false">F66/(1-Losses)</f>
        <v>509086.637410909</v>
      </c>
      <c r="G69" s="93" t="n">
        <f aca="false">G66/(1-Losses)</f>
        <v>524359.236533236</v>
      </c>
      <c r="H69" s="93" t="n">
        <f aca="false">H66/(1-Losses)</f>
        <v>540090.013629234</v>
      </c>
      <c r="I69" s="93" t="n">
        <f aca="false">I66/(1-Losses)</f>
        <v>556292.714038111</v>
      </c>
      <c r="J69" s="93" t="n">
        <f aca="false">J66/(1-Losses)</f>
        <v>572981.495459254</v>
      </c>
      <c r="K69" s="93" t="n">
        <f aca="false">K66/(1-Losses)</f>
        <v>590170.940323032</v>
      </c>
      <c r="L69" s="93" t="n">
        <f aca="false">L66/(1-Losses)</f>
        <v>607876.068532722</v>
      </c>
      <c r="M69" s="93" t="n">
        <f aca="false">M66/(1-Losses)</f>
        <v>626112.350588704</v>
      </c>
      <c r="N69" s="93" t="n">
        <f aca="false">N66/(1-Losses)</f>
        <v>644895.721106365</v>
      </c>
      <c r="O69" s="93" t="n">
        <f aca="false">O66/(1-Losses)</f>
        <v>664242.592739556</v>
      </c>
      <c r="P69" s="93" t="n">
        <f aca="false">P66/(1-Losses)</f>
        <v>684169.870521743</v>
      </c>
      <c r="Q69" s="93" t="n">
        <f aca="false">Q66/(1-Losses)</f>
        <v>704694.966637395</v>
      </c>
      <c r="R69" s="93" t="n">
        <f aca="false">R66/(1-Losses)</f>
        <v>725835.815636517</v>
      </c>
      <c r="S69" s="93" t="n">
        <f aca="false">S66/(1-Losses)</f>
        <v>747610.890105613</v>
      </c>
      <c r="T69" s="93" t="n">
        <f aca="false">T66/(1-Losses)</f>
        <v>770039.216808781</v>
      </c>
      <c r="U69" s="93" t="n">
        <f aca="false">U66/(1-Losses)</f>
        <v>793140.393313044</v>
      </c>
      <c r="V69" s="93" t="n">
        <f aca="false">V66/(1-Losses)</f>
        <v>816934.605112436</v>
      </c>
      <c r="W69" s="93" t="n">
        <f aca="false">W66/(1-Losses)</f>
        <v>841442.643265809</v>
      </c>
    </row>
    <row r="70" customFormat="false" ht="15" hidden="false" customHeight="false" outlineLevel="0" collapsed="false">
      <c r="A70" s="11" t="s">
        <v>425</v>
      </c>
      <c r="B70" s="76" t="n">
        <f aca="false">SUM(C70:W70)</f>
        <v>8722537.45034705</v>
      </c>
      <c r="C70" s="93" t="n">
        <v>0</v>
      </c>
      <c r="D70" s="93" t="n">
        <f aca="false">PV_kWp*SpecYield*(1-Degradation)^(D39-1)*D41</f>
        <v>457206.277768167</v>
      </c>
      <c r="E70" s="93" t="n">
        <f aca="false">PV_kWp*SpecYield*(1-Degradation)^(E39-1)*E41</f>
        <v>454920.246379326</v>
      </c>
      <c r="F70" s="93" t="n">
        <f aca="false">PV_kWp*SpecYield*(1-Degradation)^(F39-1)*F41</f>
        <v>452645.64514743</v>
      </c>
      <c r="G70" s="93" t="n">
        <f aca="false">PV_kWp*SpecYield*(1-Degradation)^(G39-1)*G41</f>
        <v>450382.416921693</v>
      </c>
      <c r="H70" s="93" t="n">
        <f aca="false">PV_kWp*SpecYield*(1-Degradation)^(H39-1)*H41</f>
        <v>448130.504837084</v>
      </c>
      <c r="I70" s="93" t="n">
        <f aca="false">PV_kWp*SpecYield*(1-Degradation)^(I39-1)*I41</f>
        <v>445889.852312899</v>
      </c>
      <c r="J70" s="93" t="n">
        <f aca="false">PV_kWp*SpecYield*(1-Degradation)^(J39-1)*J41</f>
        <v>443660.403051334</v>
      </c>
      <c r="K70" s="93" t="n">
        <f aca="false">PV_kWp*SpecYield*(1-Degradation)^(K39-1)*K41</f>
        <v>441442.101036078</v>
      </c>
      <c r="L70" s="93" t="n">
        <f aca="false">PV_kWp*SpecYield*(1-Degradation)^(L39-1)*L41</f>
        <v>439234.890530897</v>
      </c>
      <c r="M70" s="93" t="n">
        <f aca="false">PV_kWp*SpecYield*(1-Degradation)^(M39-1)*M41</f>
        <v>437038.716078243</v>
      </c>
      <c r="N70" s="93" t="n">
        <f aca="false">PV_kWp*SpecYield*(1-Degradation)^(N39-1)*N41</f>
        <v>434853.522497851</v>
      </c>
      <c r="O70" s="93" t="n">
        <f aca="false">PV_kWp*SpecYield*(1-Degradation)^(O39-1)*O41</f>
        <v>432679.254885362</v>
      </c>
      <c r="P70" s="93" t="n">
        <f aca="false">PV_kWp*SpecYield*(1-Degradation)^(P39-1)*P41</f>
        <v>430515.858610935</v>
      </c>
      <c r="Q70" s="93" t="n">
        <f aca="false">PV_kWp*SpecYield*(1-Degradation)^(Q39-1)*Q41</f>
        <v>428363.279317881</v>
      </c>
      <c r="R70" s="93" t="n">
        <f aca="false">PV_kWp*SpecYield*(1-Degradation)^(R39-1)*R41</f>
        <v>426221.462921291</v>
      </c>
      <c r="S70" s="93" t="n">
        <f aca="false">PV_kWp*SpecYield*(1-Degradation)^(S39-1)*S41</f>
        <v>424090.355606685</v>
      </c>
      <c r="T70" s="93" t="n">
        <f aca="false">PV_kWp*SpecYield*(1-Degradation)^(T39-1)*T41</f>
        <v>421969.903828651</v>
      </c>
      <c r="U70" s="93" t="n">
        <f aca="false">PV_kWp*SpecYield*(1-Degradation)^(U39-1)*U41</f>
        <v>419860.054309508</v>
      </c>
      <c r="V70" s="93" t="n">
        <f aca="false">PV_kWp*SpecYield*(1-Degradation)^(V39-1)*V41</f>
        <v>417760.754037961</v>
      </c>
      <c r="W70" s="93" t="n">
        <f aca="false">PV_kWp*SpecYield*(1-Degradation)^(W39-1)*W41</f>
        <v>415671.950267771</v>
      </c>
    </row>
    <row r="71" customFormat="false" ht="15" hidden="false" customHeight="false" outlineLevel="0" collapsed="false">
      <c r="A71" s="11" t="s">
        <v>426</v>
      </c>
      <c r="B71" s="76" t="n">
        <f aca="false">SUM(C71:W71)</f>
        <v>8138118.93090877</v>
      </c>
      <c r="C71" s="93" t="n">
        <v>0</v>
      </c>
      <c r="D71" s="93" t="n">
        <f aca="false">MIN(D70/StorageFactor,D69*SolarFraction)</f>
        <v>259126.010181818</v>
      </c>
      <c r="E71" s="93" t="n">
        <f aca="false">MIN(E70/StorageFactor,E69*SolarFraction)</f>
        <v>378108.036523636</v>
      </c>
      <c r="F71" s="93" t="n">
        <f aca="false">MIN(F70/StorageFactor,F69*SolarFraction)</f>
        <v>434707.329699859</v>
      </c>
      <c r="G71" s="93" t="n">
        <f aca="false">MIN(G70/StorageFactor,G69*SolarFraction)</f>
        <v>432533.79305136</v>
      </c>
      <c r="H71" s="93" t="n">
        <f aca="false">MIN(H70/StorageFactor,H69*SolarFraction)</f>
        <v>430371.124086103</v>
      </c>
      <c r="I71" s="93" t="n">
        <f aca="false">MIN(I70/StorageFactor,I69*SolarFraction)</f>
        <v>428219.268465673</v>
      </c>
      <c r="J71" s="93" t="n">
        <f aca="false">MIN(J70/StorageFactor,J69*SolarFraction)</f>
        <v>426078.172123344</v>
      </c>
      <c r="K71" s="93" t="n">
        <f aca="false">MIN(K70/StorageFactor,K69*SolarFraction)</f>
        <v>423947.781262727</v>
      </c>
      <c r="L71" s="93" t="n">
        <f aca="false">MIN(L70/StorageFactor,L69*SolarFraction)</f>
        <v>421828.042356414</v>
      </c>
      <c r="M71" s="93" t="n">
        <f aca="false">MIN(M70/StorageFactor,M69*SolarFraction)</f>
        <v>419718.902144632</v>
      </c>
      <c r="N71" s="93" t="n">
        <f aca="false">MIN(N70/StorageFactor,N69*SolarFraction)</f>
        <v>417620.307633909</v>
      </c>
      <c r="O71" s="93" t="n">
        <f aca="false">MIN(O70/StorageFactor,O69*SolarFraction)</f>
        <v>415532.206095739</v>
      </c>
      <c r="P71" s="93" t="n">
        <f aca="false">MIN(P70/StorageFactor,P69*SolarFraction)</f>
        <v>413454.54506526</v>
      </c>
      <c r="Q71" s="93" t="n">
        <f aca="false">MIN(Q70/StorageFactor,Q69*SolarFraction)</f>
        <v>411387.272339934</v>
      </c>
      <c r="R71" s="93" t="n">
        <f aca="false">MIN(R70/StorageFactor,R69*SolarFraction)</f>
        <v>409330.335978234</v>
      </c>
      <c r="S71" s="93" t="n">
        <f aca="false">MIN(S70/StorageFactor,S69*SolarFraction)</f>
        <v>407283.684298343</v>
      </c>
      <c r="T71" s="93" t="n">
        <f aca="false">MIN(T70/StorageFactor,T69*SolarFraction)</f>
        <v>405247.265876851</v>
      </c>
      <c r="U71" s="93" t="n">
        <f aca="false">MIN(U70/StorageFactor,U69*SolarFraction)</f>
        <v>403221.029547467</v>
      </c>
      <c r="V71" s="93" t="n">
        <f aca="false">MIN(V70/StorageFactor,V69*SolarFraction)</f>
        <v>401204.92439973</v>
      </c>
      <c r="W71" s="93" t="n">
        <f aca="false">MIN(W70/StorageFactor,W69*SolarFraction)</f>
        <v>399198.899777731</v>
      </c>
    </row>
    <row r="72" customFormat="false" ht="15" hidden="false" customHeight="false" outlineLevel="0" collapsed="false">
      <c r="A72" s="11" t="s">
        <v>427</v>
      </c>
      <c r="B72" s="76" t="n">
        <f aca="false">SUM(C72:W72)</f>
        <v>4489895.07052642</v>
      </c>
      <c r="C72" s="93" t="n">
        <v>0</v>
      </c>
      <c r="D72" s="93" t="n">
        <f aca="false">D69-D71</f>
        <v>28791.7789090909</v>
      </c>
      <c r="E72" s="93" t="n">
        <f aca="false">E69-E71</f>
        <v>42012.0040581818</v>
      </c>
      <c r="F72" s="93" t="n">
        <f aca="false">F69-F71</f>
        <v>74379.3077110499</v>
      </c>
      <c r="G72" s="93" t="n">
        <f aca="false">G69-G71</f>
        <v>91825.4434818765</v>
      </c>
      <c r="H72" s="93" t="n">
        <f aca="false">H69-H71</f>
        <v>109718.889543131</v>
      </c>
      <c r="I72" s="93" t="n">
        <f aca="false">I69-I71</f>
        <v>128073.445572438</v>
      </c>
      <c r="J72" s="93" t="n">
        <f aca="false">J69-J71</f>
        <v>146903.32333591</v>
      </c>
      <c r="K72" s="93" t="n">
        <f aca="false">K69-K71</f>
        <v>166223.159060304</v>
      </c>
      <c r="L72" s="93" t="n">
        <f aca="false">L69-L71</f>
        <v>186048.026176309</v>
      </c>
      <c r="M72" s="93" t="n">
        <f aca="false">M69-M71</f>
        <v>206393.448444072</v>
      </c>
      <c r="N72" s="93" t="n">
        <f aca="false">N69-N71</f>
        <v>227275.413472457</v>
      </c>
      <c r="O72" s="93" t="n">
        <f aca="false">O69-O71</f>
        <v>248710.386643817</v>
      </c>
      <c r="P72" s="93" t="n">
        <f aca="false">P69-P71</f>
        <v>270715.325456483</v>
      </c>
      <c r="Q72" s="93" t="n">
        <f aca="false">Q69-Q71</f>
        <v>293307.694297461</v>
      </c>
      <c r="R72" s="93" t="n">
        <f aca="false">R69-R71</f>
        <v>316505.479658283</v>
      </c>
      <c r="S72" s="93" t="n">
        <f aca="false">S69-S71</f>
        <v>340327.205807269</v>
      </c>
      <c r="T72" s="93" t="n">
        <f aca="false">T69-T71</f>
        <v>364791.95093193</v>
      </c>
      <c r="U72" s="93" t="n">
        <f aca="false">U69-U71</f>
        <v>389919.363765577</v>
      </c>
      <c r="V72" s="93" t="n">
        <f aca="false">V69-V71</f>
        <v>415729.680712706</v>
      </c>
      <c r="W72" s="93" t="n">
        <f aca="false">W69-W71</f>
        <v>442243.743488078</v>
      </c>
    </row>
    <row r="73" customFormat="false" ht="15" hidden="false" customHeight="false" outlineLevel="0" collapsed="false">
      <c r="A73" s="11" t="s">
        <v>428</v>
      </c>
      <c r="C73" s="91" t="n">
        <v>0</v>
      </c>
      <c r="D73" s="91" t="n">
        <f aca="false">IFERROR(D71/D69,0)</f>
        <v>0.9</v>
      </c>
      <c r="E73" s="91" t="n">
        <f aca="false">IFERROR(E71/E69,0)</f>
        <v>0.9</v>
      </c>
      <c r="F73" s="91" t="n">
        <f aca="false">IFERROR(F71/F69,0)</f>
        <v>0.8538965625</v>
      </c>
      <c r="G73" s="91" t="n">
        <f aca="false">IFERROR(G71/G69,0)</f>
        <v>0.824880659890777</v>
      </c>
      <c r="H73" s="91" t="n">
        <f aca="false">IFERROR(H71/H69,0)</f>
        <v>0.796850734554682</v>
      </c>
      <c r="I73" s="91" t="n">
        <f aca="false">IFERROR(I71/I69,0)</f>
        <v>0.76977328240962</v>
      </c>
      <c r="J73" s="91" t="n">
        <f aca="false">IFERROR(J71/J69,0)</f>
        <v>0.74361593786172</v>
      </c>
      <c r="K73" s="91" t="n">
        <f aca="false">IFERROR(K71/K69,0)</f>
        <v>0.718347435118846</v>
      </c>
      <c r="L73" s="91" t="n">
        <f aca="false">IFERROR(L71/L69,0)</f>
        <v>0.693937570818692</v>
      </c>
      <c r="M73" s="91" t="n">
        <f aca="false">IFERROR(M71/M69,0)</f>
        <v>0.670357167926794</v>
      </c>
      <c r="N73" s="91" t="n">
        <f aca="false">IFERROR(N71/N69,0)</f>
        <v>0.647578040861321</v>
      </c>
      <c r="O73" s="91" t="n">
        <f aca="false">IFERROR(O71/O69,0)</f>
        <v>0.625572961802926</v>
      </c>
      <c r="P73" s="91" t="n">
        <f aca="false">IFERROR(P71/P69,0)</f>
        <v>0.604315628149429</v>
      </c>
      <c r="Q73" s="91" t="n">
        <f aca="false">IFERROR(Q71/Q69,0)</f>
        <v>0.58378063107639</v>
      </c>
      <c r="R73" s="91" t="n">
        <f aca="false">IFERROR(R71/R69,0)</f>
        <v>0.563943425166027</v>
      </c>
      <c r="S73" s="91" t="n">
        <f aca="false">IFERROR(S71/S69,0)</f>
        <v>0.544780299068152</v>
      </c>
      <c r="T73" s="91" t="n">
        <f aca="false">IFERROR(T71/T69,0)</f>
        <v>0.526268347158069</v>
      </c>
      <c r="U73" s="91" t="n">
        <f aca="false">IFERROR(U71/U69,0)</f>
        <v>0.508385442157552</v>
      </c>
      <c r="V73" s="91" t="n">
        <f aca="false">IFERROR(V71/V69,0)</f>
        <v>0.491110208686179</v>
      </c>
      <c r="W73" s="91" t="n">
        <f aca="false">IFERROR(W71/W69,0)</f>
        <v>0.474421997711406</v>
      </c>
    </row>
    <row r="74" customFormat="false" ht="15" hidden="false" customHeight="false" outlineLevel="0" collapsed="false">
      <c r="A74" s="11" t="s">
        <v>429</v>
      </c>
      <c r="B74" s="76" t="n">
        <f aca="false">SUM(C74:W74)</f>
        <v>1496631.69017547</v>
      </c>
      <c r="C74" s="93" t="n">
        <v>0</v>
      </c>
      <c r="D74" s="93" t="n">
        <f aca="false">D72/DieselEff</f>
        <v>9597.25963636364</v>
      </c>
      <c r="E74" s="93" t="n">
        <f aca="false">E72/DieselEff</f>
        <v>14004.0013527273</v>
      </c>
      <c r="F74" s="93" t="n">
        <f aca="false">F72/DieselEff</f>
        <v>24793.10257035</v>
      </c>
      <c r="G74" s="93" t="n">
        <f aca="false">G72/DieselEff</f>
        <v>30608.4811606255</v>
      </c>
      <c r="H74" s="93" t="n">
        <f aca="false">H72/DieselEff</f>
        <v>36572.9631810435</v>
      </c>
      <c r="I74" s="93" t="n">
        <f aca="false">I72/DieselEff</f>
        <v>42691.148524146</v>
      </c>
      <c r="J74" s="93" t="n">
        <f aca="false">J72/DieselEff</f>
        <v>48967.7744453033</v>
      </c>
      <c r="K74" s="93" t="n">
        <f aca="false">K72/DieselEff</f>
        <v>55407.719686768</v>
      </c>
      <c r="L74" s="93" t="n">
        <f aca="false">L72/DieselEff</f>
        <v>62016.0087254362</v>
      </c>
      <c r="M74" s="93" t="n">
        <f aca="false">M72/DieselEff</f>
        <v>68797.8161480241</v>
      </c>
      <c r="N74" s="93" t="n">
        <f aca="false">N72/DieselEff</f>
        <v>75758.4711574856</v>
      </c>
      <c r="O74" s="93" t="n">
        <f aca="false">O72/DieselEff</f>
        <v>82903.4622146058</v>
      </c>
      <c r="P74" s="93" t="n">
        <f aca="false">P72/DieselEff</f>
        <v>90238.4418188275</v>
      </c>
      <c r="Q74" s="93" t="n">
        <f aca="false">Q72/DieselEff</f>
        <v>97769.2314324871</v>
      </c>
      <c r="R74" s="93" t="n">
        <f aca="false">R72/DieselEff</f>
        <v>105501.826552761</v>
      </c>
      <c r="S74" s="93" t="n">
        <f aca="false">S72/DieselEff</f>
        <v>113442.401935756</v>
      </c>
      <c r="T74" s="93" t="n">
        <f aca="false">T72/DieselEff</f>
        <v>121597.31697731</v>
      </c>
      <c r="U74" s="93" t="n">
        <f aca="false">U72/DieselEff</f>
        <v>129973.121255192</v>
      </c>
      <c r="V74" s="93" t="n">
        <f aca="false">V72/DieselEff</f>
        <v>138576.560237569</v>
      </c>
      <c r="W74" s="93" t="n">
        <f aca="false">W72/DieselEff</f>
        <v>147414.581162693</v>
      </c>
    </row>
    <row r="76" customFormat="false" ht="15" hidden="false" customHeight="false" outlineLevel="0" collapsed="false">
      <c r="A76" s="9" t="s">
        <v>430</v>
      </c>
      <c r="B76" s="10"/>
      <c r="C76" s="10"/>
      <c r="D76" s="10"/>
      <c r="E76" s="10"/>
      <c r="F76" s="10"/>
      <c r="G76" s="10"/>
      <c r="H76" s="10"/>
      <c r="I76" s="10"/>
      <c r="J76" s="10"/>
      <c r="K76" s="10"/>
      <c r="L76" s="10"/>
      <c r="M76" s="10"/>
      <c r="N76" s="10"/>
      <c r="O76" s="10"/>
      <c r="P76" s="10"/>
      <c r="Q76" s="10"/>
      <c r="R76" s="10"/>
      <c r="S76" s="10"/>
      <c r="T76" s="10"/>
      <c r="U76" s="10"/>
      <c r="V76" s="10"/>
      <c r="W76" s="10"/>
    </row>
    <row r="77" customFormat="false" ht="15" hidden="false" customHeight="false" outlineLevel="0" collapsed="false">
      <c r="A77" s="11" t="str">
        <f aca="false">"Billed revenue - "&amp;Seg1_Name</f>
        <v>Billed revenue - Households</v>
      </c>
      <c r="B77" s="66" t="n">
        <f aca="false">SUM(C77:W77)</f>
        <v>2528709.7675024</v>
      </c>
      <c r="C77" s="95" t="n">
        <v>0</v>
      </c>
      <c r="D77" s="95" t="n">
        <f aca="false">D61*Seg1_Tariff*LevTariff*$B$5*D43</f>
        <v>41472</v>
      </c>
      <c r="E77" s="95" t="n">
        <f aca="false">E61*Seg1_Tariff*LevTariff*$B$5*E43</f>
        <v>62329.9968</v>
      </c>
      <c r="F77" s="95" t="n">
        <f aca="false">F61*Seg1_Tariff*LevTariff*$B$5*F43</f>
        <v>77795.1689472</v>
      </c>
      <c r="G77" s="95" t="n">
        <f aca="false">G61*Seg1_Tariff*LevTariff*$B$5*G43</f>
        <v>82532.8947360845</v>
      </c>
      <c r="H77" s="95" t="n">
        <f aca="false">H61*Seg1_Tariff*LevTariff*$B$5*H43</f>
        <v>87559.1480255121</v>
      </c>
      <c r="I77" s="95" t="n">
        <f aca="false">I61*Seg1_Tariff*LevTariff*$B$5*I43</f>
        <v>92891.5001402657</v>
      </c>
      <c r="J77" s="95" t="n">
        <f aca="false">J61*Seg1_Tariff*LevTariff*$B$5*J43</f>
        <v>98548.5924988079</v>
      </c>
      <c r="K77" s="95" t="n">
        <f aca="false">K61*Seg1_Tariff*LevTariff*$B$5*K43</f>
        <v>104550.201781985</v>
      </c>
      <c r="L77" s="95" t="n">
        <f aca="false">L61*Seg1_Tariff*LevTariff*$B$5*L43</f>
        <v>110917.309070508</v>
      </c>
      <c r="M77" s="95" t="n">
        <f aca="false">M61*Seg1_Tariff*LevTariff*$B$5*M43</f>
        <v>117672.173192902</v>
      </c>
      <c r="N77" s="95" t="n">
        <f aca="false">N61*Seg1_Tariff*LevTariff*$B$5*N43</f>
        <v>124838.40854035</v>
      </c>
      <c r="O77" s="95" t="n">
        <f aca="false">O61*Seg1_Tariff*LevTariff*$B$5*O43</f>
        <v>132441.067620457</v>
      </c>
      <c r="P77" s="95" t="n">
        <f aca="false">P61*Seg1_Tariff*LevTariff*$B$5*P43</f>
        <v>140506.728638543</v>
      </c>
      <c r="Q77" s="95" t="n">
        <f aca="false">Q61*Seg1_Tariff*LevTariff*$B$5*Q43</f>
        <v>149063.58841263</v>
      </c>
      <c r="R77" s="95" t="n">
        <f aca="false">R61*Seg1_Tariff*LevTariff*$B$5*R43</f>
        <v>158141.56094696</v>
      </c>
      <c r="S77" s="95" t="n">
        <f aca="false">S61*Seg1_Tariff*LevTariff*$B$5*S43</f>
        <v>167772.382008629</v>
      </c>
      <c r="T77" s="95" t="n">
        <f aca="false">T61*Seg1_Tariff*LevTariff*$B$5*T43</f>
        <v>177989.720072955</v>
      </c>
      <c r="U77" s="95" t="n">
        <f aca="false">U61*Seg1_Tariff*LevTariff*$B$5*U43</f>
        <v>188829.294025398</v>
      </c>
      <c r="V77" s="95" t="n">
        <f aca="false">V61*Seg1_Tariff*LevTariff*$B$5*V43</f>
        <v>200328.998031545</v>
      </c>
      <c r="W77" s="95" t="n">
        <f aca="false">W61*Seg1_Tariff*LevTariff*$B$5*W43</f>
        <v>212529.034011666</v>
      </c>
    </row>
    <row r="78" customFormat="false" ht="15" hidden="false" customHeight="false" outlineLevel="0" collapsed="false">
      <c r="A78" s="11" t="str">
        <f aca="false">"Billed revenue - "&amp;Seg2_Name</f>
        <v>Billed revenue - Productive users (mills, welding, cold rooms)</v>
      </c>
      <c r="B78" s="66" t="n">
        <f aca="false">SUM(C78:W78)</f>
        <v>1719383.56286442</v>
      </c>
      <c r="C78" s="95" t="n">
        <v>0</v>
      </c>
      <c r="D78" s="95" t="n">
        <f aca="false">D62*Seg2_Tariff*LevTariff*$B$5*D43</f>
        <v>28198.67904</v>
      </c>
      <c r="E78" s="95" t="n">
        <f aca="false">E62*Seg2_Tariff*LevTariff*$B$5*E43</f>
        <v>42380.969674176</v>
      </c>
      <c r="F78" s="95" t="n">
        <f aca="false">F62*Seg2_Tariff*LevTariff*$B$5*F43</f>
        <v>52896.4361498039</v>
      </c>
      <c r="G78" s="95" t="n">
        <f aca="false">G62*Seg2_Tariff*LevTariff*$B$5*G43</f>
        <v>56117.829111327</v>
      </c>
      <c r="H78" s="95" t="n">
        <f aca="false">H62*Seg2_Tariff*LevTariff*$B$5*H43</f>
        <v>59535.4049042068</v>
      </c>
      <c r="I78" s="95" t="n">
        <f aca="false">I62*Seg2_Tariff*LevTariff*$B$5*I43</f>
        <v>63161.111062873</v>
      </c>
      <c r="J78" s="95" t="n">
        <f aca="false">J62*Seg2_Tariff*LevTariff*$B$5*J43</f>
        <v>67007.6227266019</v>
      </c>
      <c r="K78" s="95" t="n">
        <f aca="false">K62*Seg2_Tariff*LevTariff*$B$5*K43</f>
        <v>71088.386950652</v>
      </c>
      <c r="L78" s="95" t="n">
        <f aca="false">L62*Seg2_Tariff*LevTariff*$B$5*L43</f>
        <v>75417.6697159467</v>
      </c>
      <c r="M78" s="95" t="n">
        <f aca="false">M62*Seg2_Tariff*LevTariff*$B$5*M43</f>
        <v>80010.6058016479</v>
      </c>
      <c r="N78" s="95" t="n">
        <f aca="false">N62*Seg2_Tariff*LevTariff*$B$5*N43</f>
        <v>84883.2516949682</v>
      </c>
      <c r="O78" s="95" t="n">
        <f aca="false">O62*Seg2_Tariff*LevTariff*$B$5*O43</f>
        <v>90052.6417231918</v>
      </c>
      <c r="P78" s="95" t="n">
        <f aca="false">P62*Seg2_Tariff*LevTariff*$B$5*P43</f>
        <v>95536.8476041342</v>
      </c>
      <c r="Q78" s="95" t="n">
        <f aca="false">Q62*Seg2_Tariff*LevTariff*$B$5*Q43</f>
        <v>101355.041623226</v>
      </c>
      <c r="R78" s="95" t="n">
        <f aca="false">R62*Seg2_Tariff*LevTariff*$B$5*R43</f>
        <v>107527.56365808</v>
      </c>
      <c r="S78" s="95" t="n">
        <f aca="false">S62*Seg2_Tariff*LevTariff*$B$5*S43</f>
        <v>114075.992284858</v>
      </c>
      <c r="T78" s="95" t="n">
        <f aca="false">T62*Seg2_Tariff*LevTariff*$B$5*T43</f>
        <v>121023.220215005</v>
      </c>
      <c r="U78" s="95" t="n">
        <f aca="false">U62*Seg2_Tariff*LevTariff*$B$5*U43</f>
        <v>128393.534326099</v>
      </c>
      <c r="V78" s="95" t="n">
        <f aca="false">V62*Seg2_Tariff*LevTariff*$B$5*V43</f>
        <v>136212.700566559</v>
      </c>
      <c r="W78" s="95" t="n">
        <f aca="false">W62*Seg2_Tariff*LevTariff*$B$5*W43</f>
        <v>144508.054031062</v>
      </c>
    </row>
    <row r="79" customFormat="false" ht="15" hidden="false" customHeight="false" outlineLevel="0" collapsed="false">
      <c r="A79" s="11" t="str">
        <f aca="false">"Billed revenue - "&amp;Seg3_Name</f>
        <v>Billed revenue - Commercial (shops, bars, kiosks)</v>
      </c>
      <c r="B79" s="66" t="n">
        <f aca="false">SUM(C79:W79)</f>
        <v>1053629.06979267</v>
      </c>
      <c r="C79" s="95" t="n">
        <v>0</v>
      </c>
      <c r="D79" s="95" t="n">
        <f aca="false">D63*Seg3_Tariff*LevTariff*$B$5*D43</f>
        <v>17280</v>
      </c>
      <c r="E79" s="95" t="n">
        <f aca="false">E63*Seg3_Tariff*LevTariff*$B$5*E43</f>
        <v>25970.832</v>
      </c>
      <c r="F79" s="95" t="n">
        <f aca="false">F63*Seg3_Tariff*LevTariff*$B$5*F43</f>
        <v>32414.653728</v>
      </c>
      <c r="G79" s="95" t="n">
        <f aca="false">G63*Seg3_Tariff*LevTariff*$B$5*G43</f>
        <v>34388.7061400352</v>
      </c>
      <c r="H79" s="95" t="n">
        <f aca="false">H63*Seg3_Tariff*LevTariff*$B$5*H43</f>
        <v>36482.9783439634</v>
      </c>
      <c r="I79" s="95" t="n">
        <f aca="false">I63*Seg3_Tariff*LevTariff*$B$5*I43</f>
        <v>38704.7917251107</v>
      </c>
      <c r="J79" s="95" t="n">
        <f aca="false">J63*Seg3_Tariff*LevTariff*$B$5*J43</f>
        <v>41061.91354117</v>
      </c>
      <c r="K79" s="95" t="n">
        <f aca="false">K63*Seg3_Tariff*LevTariff*$B$5*K43</f>
        <v>43562.5840758272</v>
      </c>
      <c r="L79" s="95" t="n">
        <f aca="false">L63*Seg3_Tariff*LevTariff*$B$5*L43</f>
        <v>46215.5454460451</v>
      </c>
      <c r="M79" s="95" t="n">
        <f aca="false">M63*Seg3_Tariff*LevTariff*$B$5*M43</f>
        <v>49030.0721637093</v>
      </c>
      <c r="N79" s="95" t="n">
        <f aca="false">N63*Seg3_Tariff*LevTariff*$B$5*N43</f>
        <v>52016.0035584791</v>
      </c>
      <c r="O79" s="95" t="n">
        <f aca="false">O63*Seg3_Tariff*LevTariff*$B$5*O43</f>
        <v>55183.7781751905</v>
      </c>
      <c r="P79" s="95" t="n">
        <f aca="false">P63*Seg3_Tariff*LevTariff*$B$5*P43</f>
        <v>58544.4702660596</v>
      </c>
      <c r="Q79" s="95" t="n">
        <f aca="false">Q63*Seg3_Tariff*LevTariff*$B$5*Q43</f>
        <v>62109.8285052627</v>
      </c>
      <c r="R79" s="95" t="n">
        <f aca="false">R63*Seg3_Tariff*LevTariff*$B$5*R43</f>
        <v>65892.3170612332</v>
      </c>
      <c r="S79" s="95" t="n">
        <f aca="false">S63*Seg3_Tariff*LevTariff*$B$5*S43</f>
        <v>69905.1591702623</v>
      </c>
      <c r="T79" s="95" t="n">
        <f aca="false">T63*Seg3_Tariff*LevTariff*$B$5*T43</f>
        <v>74162.3833637313</v>
      </c>
      <c r="U79" s="95" t="n">
        <f aca="false">U63*Seg3_Tariff*LevTariff*$B$5*U43</f>
        <v>78678.8725105825</v>
      </c>
      <c r="V79" s="95" t="n">
        <f aca="false">V63*Seg3_Tariff*LevTariff*$B$5*V43</f>
        <v>83470.415846477</v>
      </c>
      <c r="W79" s="95" t="n">
        <f aca="false">W63*Seg3_Tariff*LevTariff*$B$5*W43</f>
        <v>88553.7641715274</v>
      </c>
    </row>
    <row r="80" customFormat="false" ht="15" hidden="false" customHeight="false" outlineLevel="0" collapsed="false">
      <c r="A80" s="11" t="str">
        <f aca="false">"Billed revenue - "&amp;Seg4_Name</f>
        <v>Billed revenue - Institutions (health centre, school, water)</v>
      </c>
      <c r="B80" s="66" t="n">
        <f aca="false">SUM(C80:W80)</f>
        <v>553155.26164115</v>
      </c>
      <c r="C80" s="95" t="n">
        <v>0</v>
      </c>
      <c r="D80" s="95" t="n">
        <f aca="false">D64*Seg4_Tariff*LevTariff*$B$5*D43</f>
        <v>9072</v>
      </c>
      <c r="E80" s="95" t="n">
        <f aca="false">E64*Seg4_Tariff*LevTariff*$B$5*E43</f>
        <v>13634.6868</v>
      </c>
      <c r="F80" s="95" t="n">
        <f aca="false">F64*Seg4_Tariff*LevTariff*$B$5*F43</f>
        <v>17017.6932072</v>
      </c>
      <c r="G80" s="95" t="n">
        <f aca="false">G64*Seg4_Tariff*LevTariff*$B$5*G43</f>
        <v>18054.0707235185</v>
      </c>
      <c r="H80" s="95" t="n">
        <f aca="false">H64*Seg4_Tariff*LevTariff*$B$5*H43</f>
        <v>19153.5636305808</v>
      </c>
      <c r="I80" s="95" t="n">
        <f aca="false">I64*Seg4_Tariff*LevTariff*$B$5*I43</f>
        <v>20320.0156556831</v>
      </c>
      <c r="J80" s="95" t="n">
        <f aca="false">J64*Seg4_Tariff*LevTariff*$B$5*J43</f>
        <v>21557.5046091142</v>
      </c>
      <c r="K80" s="95" t="n">
        <f aca="false">K64*Seg4_Tariff*LevTariff*$B$5*K43</f>
        <v>22870.3566398093</v>
      </c>
      <c r="L80" s="95" t="n">
        <f aca="false">L64*Seg4_Tariff*LevTariff*$B$5*L43</f>
        <v>24263.1613591737</v>
      </c>
      <c r="M80" s="95" t="n">
        <f aca="false">M64*Seg4_Tariff*LevTariff*$B$5*M43</f>
        <v>25740.7878859474</v>
      </c>
      <c r="N80" s="95" t="n">
        <f aca="false">N64*Seg4_Tariff*LevTariff*$B$5*N43</f>
        <v>27308.4018682015</v>
      </c>
      <c r="O80" s="95" t="n">
        <f aca="false">O64*Seg4_Tariff*LevTariff*$B$5*O43</f>
        <v>28971.483541975</v>
      </c>
      <c r="P80" s="95" t="n">
        <f aca="false">P64*Seg4_Tariff*LevTariff*$B$5*P43</f>
        <v>30735.8468896813</v>
      </c>
      <c r="Q80" s="95" t="n">
        <f aca="false">Q64*Seg4_Tariff*LevTariff*$B$5*Q43</f>
        <v>32607.6599652629</v>
      </c>
      <c r="R80" s="95" t="n">
        <f aca="false">R64*Seg4_Tariff*LevTariff*$B$5*R43</f>
        <v>34593.4664571474</v>
      </c>
      <c r="S80" s="95" t="n">
        <f aca="false">S64*Seg4_Tariff*LevTariff*$B$5*S43</f>
        <v>36700.2085643877</v>
      </c>
      <c r="T80" s="95" t="n">
        <f aca="false">T64*Seg4_Tariff*LevTariff*$B$5*T43</f>
        <v>38935.2512659589</v>
      </c>
      <c r="U80" s="95" t="n">
        <f aca="false">U64*Seg4_Tariff*LevTariff*$B$5*U43</f>
        <v>41306.4080680558</v>
      </c>
      <c r="V80" s="95" t="n">
        <f aca="false">V64*Seg4_Tariff*LevTariff*$B$5*V43</f>
        <v>43821.9683194004</v>
      </c>
      <c r="W80" s="95" t="n">
        <f aca="false">W64*Seg4_Tariff*LevTariff*$B$5*W43</f>
        <v>46490.7261900519</v>
      </c>
    </row>
    <row r="81" customFormat="false" ht="15" hidden="false" customHeight="false" outlineLevel="0" collapsed="false">
      <c r="A81" s="11" t="str">
        <f aca="false">"Billed revenue - "&amp;Seg5_Name</f>
        <v>Billed revenue - Other / custom</v>
      </c>
      <c r="B81" s="66" t="n">
        <f aca="false">SUM(C81:W81)</f>
        <v>0</v>
      </c>
      <c r="C81" s="95" t="n">
        <v>0</v>
      </c>
      <c r="D81" s="95" t="n">
        <f aca="false">D65*Seg5_Tariff*LevTariff*$B$5*D43</f>
        <v>0</v>
      </c>
      <c r="E81" s="95" t="n">
        <f aca="false">E65*Seg5_Tariff*LevTariff*$B$5*E43</f>
        <v>0</v>
      </c>
      <c r="F81" s="95" t="n">
        <f aca="false">F65*Seg5_Tariff*LevTariff*$B$5*F43</f>
        <v>0</v>
      </c>
      <c r="G81" s="95" t="n">
        <f aca="false">G65*Seg5_Tariff*LevTariff*$B$5*G43</f>
        <v>0</v>
      </c>
      <c r="H81" s="95" t="n">
        <f aca="false">H65*Seg5_Tariff*LevTariff*$B$5*H43</f>
        <v>0</v>
      </c>
      <c r="I81" s="95" t="n">
        <f aca="false">I65*Seg5_Tariff*LevTariff*$B$5*I43</f>
        <v>0</v>
      </c>
      <c r="J81" s="95" t="n">
        <f aca="false">J65*Seg5_Tariff*LevTariff*$B$5*J43</f>
        <v>0</v>
      </c>
      <c r="K81" s="95" t="n">
        <f aca="false">K65*Seg5_Tariff*LevTariff*$B$5*K43</f>
        <v>0</v>
      </c>
      <c r="L81" s="95" t="n">
        <f aca="false">L65*Seg5_Tariff*LevTariff*$B$5*L43</f>
        <v>0</v>
      </c>
      <c r="M81" s="95" t="n">
        <f aca="false">M65*Seg5_Tariff*LevTariff*$B$5*M43</f>
        <v>0</v>
      </c>
      <c r="N81" s="95" t="n">
        <f aca="false">N65*Seg5_Tariff*LevTariff*$B$5*N43</f>
        <v>0</v>
      </c>
      <c r="O81" s="95" t="n">
        <f aca="false">O65*Seg5_Tariff*LevTariff*$B$5*O43</f>
        <v>0</v>
      </c>
      <c r="P81" s="95" t="n">
        <f aca="false">P65*Seg5_Tariff*LevTariff*$B$5*P43</f>
        <v>0</v>
      </c>
      <c r="Q81" s="95" t="n">
        <f aca="false">Q65*Seg5_Tariff*LevTariff*$B$5*Q43</f>
        <v>0</v>
      </c>
      <c r="R81" s="95" t="n">
        <f aca="false">R65*Seg5_Tariff*LevTariff*$B$5*R43</f>
        <v>0</v>
      </c>
      <c r="S81" s="95" t="n">
        <f aca="false">S65*Seg5_Tariff*LevTariff*$B$5*S43</f>
        <v>0</v>
      </c>
      <c r="T81" s="95" t="n">
        <f aca="false">T65*Seg5_Tariff*LevTariff*$B$5*T43</f>
        <v>0</v>
      </c>
      <c r="U81" s="95" t="n">
        <f aca="false">U65*Seg5_Tariff*LevTariff*$B$5*U43</f>
        <v>0</v>
      </c>
      <c r="V81" s="95" t="n">
        <f aca="false">V65*Seg5_Tariff*LevTariff*$B$5*V43</f>
        <v>0</v>
      </c>
      <c r="W81" s="95" t="n">
        <f aca="false">W65*Seg5_Tariff*LevTariff*$B$5*W43</f>
        <v>0</v>
      </c>
    </row>
    <row r="82" customFormat="false" ht="15" hidden="false" customHeight="false" outlineLevel="0" collapsed="false">
      <c r="A82" s="16" t="s">
        <v>431</v>
      </c>
      <c r="B82" s="66" t="n">
        <f aca="false">SUM(C82:W82)</f>
        <v>5854877.66180063</v>
      </c>
      <c r="C82" s="31" t="n">
        <f aca="false">C77+C78+C79+C80+C81</f>
        <v>0</v>
      </c>
      <c r="D82" s="31" t="n">
        <f aca="false">D77+D78+D79+D80+D81</f>
        <v>96022.67904</v>
      </c>
      <c r="E82" s="31" t="n">
        <f aca="false">E77+E78+E79+E80+E81</f>
        <v>144316.485274176</v>
      </c>
      <c r="F82" s="31" t="n">
        <f aca="false">F77+F78+F79+F80+F81</f>
        <v>180123.952032204</v>
      </c>
      <c r="G82" s="31" t="n">
        <f aca="false">G77+G78+G79+G80+G81</f>
        <v>191093.500710965</v>
      </c>
      <c r="H82" s="31" t="n">
        <f aca="false">H77+H78+H79+H80+H81</f>
        <v>202731.094904263</v>
      </c>
      <c r="I82" s="31" t="n">
        <f aca="false">I77+I78+I79+I80+I81</f>
        <v>215077.418583933</v>
      </c>
      <c r="J82" s="31" t="n">
        <f aca="false">J77+J78+J79+J80+J81</f>
        <v>228175.633375694</v>
      </c>
      <c r="K82" s="31" t="n">
        <f aca="false">K77+K78+K79+K80+K81</f>
        <v>242071.529448274</v>
      </c>
      <c r="L82" s="31" t="n">
        <f aca="false">L77+L78+L79+L80+L81</f>
        <v>256813.685591674</v>
      </c>
      <c r="M82" s="31" t="n">
        <f aca="false">M77+M78+M79+M80+M81</f>
        <v>272453.639044207</v>
      </c>
      <c r="N82" s="31" t="n">
        <f aca="false">N77+N78+N79+N80+N81</f>
        <v>289046.065661999</v>
      </c>
      <c r="O82" s="31" t="n">
        <f aca="false">O77+O78+O79+O80+O81</f>
        <v>306648.971060815</v>
      </c>
      <c r="P82" s="31" t="n">
        <f aca="false">P77+P78+P79+P80+P81</f>
        <v>325323.893398418</v>
      </c>
      <c r="Q82" s="31" t="n">
        <f aca="false">Q77+Q78+Q79+Q80+Q81</f>
        <v>345136.118506382</v>
      </c>
      <c r="R82" s="31" t="n">
        <f aca="false">R77+R78+R79+R80+R81</f>
        <v>366154.908123421</v>
      </c>
      <c r="S82" s="31" t="n">
        <f aca="false">S77+S78+S79+S80+S81</f>
        <v>388453.742028137</v>
      </c>
      <c r="T82" s="31" t="n">
        <f aca="false">T77+T78+T79+T80+T81</f>
        <v>412110.574917651</v>
      </c>
      <c r="U82" s="31" t="n">
        <f aca="false">U77+U78+U79+U80+U81</f>
        <v>437208.108930135</v>
      </c>
      <c r="V82" s="31" t="n">
        <f aca="false">V77+V78+V79+V80+V81</f>
        <v>463834.082763981</v>
      </c>
      <c r="W82" s="31" t="n">
        <f aca="false">W77+W78+W79+W80+W81</f>
        <v>492081.578404307</v>
      </c>
    </row>
    <row r="83" customFormat="false" ht="15" hidden="false" customHeight="false" outlineLevel="0" collapsed="false">
      <c r="A83" s="11" t="s">
        <v>432</v>
      </c>
      <c r="B83" s="66" t="n">
        <f aca="false">SUM(C83:W83)</f>
        <v>5386487.44885658</v>
      </c>
      <c r="C83" s="95" t="n">
        <v>0</v>
      </c>
      <c r="D83" s="95" t="n">
        <f aca="false">D82*MIN(1,Collection*LevColl*$B$9)</f>
        <v>88340.8647168</v>
      </c>
      <c r="E83" s="95" t="n">
        <f aca="false">E82*MIN(1,Collection*LevColl*$B$9)</f>
        <v>132771.166452242</v>
      </c>
      <c r="F83" s="95" t="n">
        <f aca="false">F82*MIN(1,Collection*LevColl*$B$9)</f>
        <v>165714.035869628</v>
      </c>
      <c r="G83" s="95" t="n">
        <f aca="false">G82*MIN(1,Collection*LevColl*$B$9)</f>
        <v>175806.020654088</v>
      </c>
      <c r="H83" s="95" t="n">
        <f aca="false">H82*MIN(1,Collection*LevColl*$B$9)</f>
        <v>186512.607311922</v>
      </c>
      <c r="I83" s="95" t="n">
        <f aca="false">I82*MIN(1,Collection*LevColl*$B$9)</f>
        <v>197871.225097218</v>
      </c>
      <c r="J83" s="95" t="n">
        <f aca="false">J82*MIN(1,Collection*LevColl*$B$9)</f>
        <v>209921.582705639</v>
      </c>
      <c r="K83" s="95" t="n">
        <f aca="false">K82*MIN(1,Collection*LevColl*$B$9)</f>
        <v>222705.807092412</v>
      </c>
      <c r="L83" s="95" t="n">
        <f aca="false">L82*MIN(1,Collection*LevColl*$B$9)</f>
        <v>236268.59074434</v>
      </c>
      <c r="M83" s="95" t="n">
        <f aca="false">M82*MIN(1,Collection*LevColl*$B$9)</f>
        <v>250657.34792067</v>
      </c>
      <c r="N83" s="95" t="n">
        <f aca="false">N82*MIN(1,Collection*LevColl*$B$9)</f>
        <v>265922.380409039</v>
      </c>
      <c r="O83" s="95" t="n">
        <f aca="false">O82*MIN(1,Collection*LevColl*$B$9)</f>
        <v>282117.053375949</v>
      </c>
      <c r="P83" s="95" t="n">
        <f aca="false">P82*MIN(1,Collection*LevColl*$B$9)</f>
        <v>299297.981926545</v>
      </c>
      <c r="Q83" s="95" t="n">
        <f aca="false">Q82*MIN(1,Collection*LevColl*$B$9)</f>
        <v>317525.229025871</v>
      </c>
      <c r="R83" s="95" t="n">
        <f aca="false">R82*MIN(1,Collection*LevColl*$B$9)</f>
        <v>336862.515473547</v>
      </c>
      <c r="S83" s="95" t="n">
        <f aca="false">S82*MIN(1,Collection*LevColl*$B$9)</f>
        <v>357377.442665886</v>
      </c>
      <c r="T83" s="95" t="n">
        <f aca="false">T82*MIN(1,Collection*LevColl*$B$9)</f>
        <v>379141.728924239</v>
      </c>
      <c r="U83" s="95" t="n">
        <f aca="false">U82*MIN(1,Collection*LevColl*$B$9)</f>
        <v>402231.460215725</v>
      </c>
      <c r="V83" s="95" t="n">
        <f aca="false">V82*MIN(1,Collection*LevColl*$B$9)</f>
        <v>426727.356142862</v>
      </c>
      <c r="W83" s="95" t="n">
        <f aca="false">W82*MIN(1,Collection*LevColl*$B$9)</f>
        <v>452715.052131963</v>
      </c>
    </row>
    <row r="84" customFormat="false" ht="15" hidden="false" customHeight="false" outlineLevel="0" collapsed="false">
      <c r="A84" s="11" t="s">
        <v>433</v>
      </c>
      <c r="B84" s="66" t="n">
        <f aca="false">SUM(C84:W84)</f>
        <v>11500</v>
      </c>
      <c r="C84" s="95" t="n">
        <v>0</v>
      </c>
      <c r="D84" s="95" t="n">
        <f aca="false">D54*Seg1_Fee+D55*Seg2_Fee+D56*Seg3_Fee+D57*Seg4_Fee+D58*Seg5_Fee</f>
        <v>6900</v>
      </c>
      <c r="E84" s="95" t="n">
        <f aca="false">E54*Seg1_Fee+E55*Seg2_Fee+E56*Seg3_Fee+E57*Seg4_Fee+E58*Seg5_Fee</f>
        <v>2875</v>
      </c>
      <c r="F84" s="95" t="n">
        <f aca="false">F54*Seg1_Fee+F55*Seg2_Fee+F56*Seg3_Fee+F57*Seg4_Fee+F58*Seg5_Fee</f>
        <v>1725</v>
      </c>
      <c r="G84" s="95" t="n">
        <f aca="false">G54*Seg1_Fee+G55*Seg2_Fee+G56*Seg3_Fee+G57*Seg4_Fee+G58*Seg5_Fee</f>
        <v>0</v>
      </c>
      <c r="H84" s="95" t="n">
        <f aca="false">H54*Seg1_Fee+H55*Seg2_Fee+H56*Seg3_Fee+H57*Seg4_Fee+H58*Seg5_Fee</f>
        <v>0</v>
      </c>
      <c r="I84" s="95" t="n">
        <f aca="false">I54*Seg1_Fee+I55*Seg2_Fee+I56*Seg3_Fee+I57*Seg4_Fee+I58*Seg5_Fee</f>
        <v>0</v>
      </c>
      <c r="J84" s="95" t="n">
        <f aca="false">J54*Seg1_Fee+J55*Seg2_Fee+J56*Seg3_Fee+J57*Seg4_Fee+J58*Seg5_Fee</f>
        <v>0</v>
      </c>
      <c r="K84" s="95" t="n">
        <f aca="false">K54*Seg1_Fee+K55*Seg2_Fee+K56*Seg3_Fee+K57*Seg4_Fee+K58*Seg5_Fee</f>
        <v>0</v>
      </c>
      <c r="L84" s="95" t="n">
        <f aca="false">L54*Seg1_Fee+L55*Seg2_Fee+L56*Seg3_Fee+L57*Seg4_Fee+L58*Seg5_Fee</f>
        <v>0</v>
      </c>
      <c r="M84" s="95" t="n">
        <f aca="false">M54*Seg1_Fee+M55*Seg2_Fee+M56*Seg3_Fee+M57*Seg4_Fee+M58*Seg5_Fee</f>
        <v>0</v>
      </c>
      <c r="N84" s="95" t="n">
        <f aca="false">N54*Seg1_Fee+N55*Seg2_Fee+N56*Seg3_Fee+N57*Seg4_Fee+N58*Seg5_Fee</f>
        <v>0</v>
      </c>
      <c r="O84" s="95" t="n">
        <f aca="false">O54*Seg1_Fee+O55*Seg2_Fee+O56*Seg3_Fee+O57*Seg4_Fee+O58*Seg5_Fee</f>
        <v>0</v>
      </c>
      <c r="P84" s="95" t="n">
        <f aca="false">P54*Seg1_Fee+P55*Seg2_Fee+P56*Seg3_Fee+P57*Seg4_Fee+P58*Seg5_Fee</f>
        <v>0</v>
      </c>
      <c r="Q84" s="95" t="n">
        <f aca="false">Q54*Seg1_Fee+Q55*Seg2_Fee+Q56*Seg3_Fee+Q57*Seg4_Fee+Q58*Seg5_Fee</f>
        <v>0</v>
      </c>
      <c r="R84" s="95" t="n">
        <f aca="false">R54*Seg1_Fee+R55*Seg2_Fee+R56*Seg3_Fee+R57*Seg4_Fee+R58*Seg5_Fee</f>
        <v>0</v>
      </c>
      <c r="S84" s="95" t="n">
        <f aca="false">S54*Seg1_Fee+S55*Seg2_Fee+S56*Seg3_Fee+S57*Seg4_Fee+S58*Seg5_Fee</f>
        <v>0</v>
      </c>
      <c r="T84" s="95" t="n">
        <f aca="false">T54*Seg1_Fee+T55*Seg2_Fee+T56*Seg3_Fee+T57*Seg4_Fee+T58*Seg5_Fee</f>
        <v>0</v>
      </c>
      <c r="U84" s="95" t="n">
        <f aca="false">U54*Seg1_Fee+U55*Seg2_Fee+U56*Seg3_Fee+U57*Seg4_Fee+U58*Seg5_Fee</f>
        <v>0</v>
      </c>
      <c r="V84" s="95" t="n">
        <f aca="false">V54*Seg1_Fee+V55*Seg2_Fee+V56*Seg3_Fee+V57*Seg4_Fee+V58*Seg5_Fee</f>
        <v>0</v>
      </c>
      <c r="W84" s="95" t="n">
        <f aca="false">W54*Seg1_Fee+W55*Seg2_Fee+W56*Seg3_Fee+W57*Seg4_Fee+W58*Seg5_Fee</f>
        <v>0</v>
      </c>
    </row>
    <row r="85" customFormat="false" ht="15" hidden="false" customHeight="false" outlineLevel="0" collapsed="false">
      <c r="A85" s="16" t="s">
        <v>434</v>
      </c>
      <c r="B85" s="66" t="n">
        <f aca="false">SUM(C85:W85)</f>
        <v>5397987.44885658</v>
      </c>
      <c r="C85" s="31" t="n">
        <f aca="false">C83+C84</f>
        <v>0</v>
      </c>
      <c r="D85" s="31" t="n">
        <f aca="false">D83+D84</f>
        <v>95240.8647168</v>
      </c>
      <c r="E85" s="31" t="n">
        <f aca="false">E83+E84</f>
        <v>135646.166452242</v>
      </c>
      <c r="F85" s="31" t="n">
        <f aca="false">F83+F84</f>
        <v>167439.035869628</v>
      </c>
      <c r="G85" s="31" t="n">
        <f aca="false">G83+G84</f>
        <v>175806.020654088</v>
      </c>
      <c r="H85" s="31" t="n">
        <f aca="false">H83+H84</f>
        <v>186512.607311922</v>
      </c>
      <c r="I85" s="31" t="n">
        <f aca="false">I83+I84</f>
        <v>197871.225097218</v>
      </c>
      <c r="J85" s="31" t="n">
        <f aca="false">J83+J84</f>
        <v>209921.582705639</v>
      </c>
      <c r="K85" s="31" t="n">
        <f aca="false">K83+K84</f>
        <v>222705.807092412</v>
      </c>
      <c r="L85" s="31" t="n">
        <f aca="false">L83+L84</f>
        <v>236268.59074434</v>
      </c>
      <c r="M85" s="31" t="n">
        <f aca="false">M83+M84</f>
        <v>250657.34792067</v>
      </c>
      <c r="N85" s="31" t="n">
        <f aca="false">N83+N84</f>
        <v>265922.380409039</v>
      </c>
      <c r="O85" s="31" t="n">
        <f aca="false">O83+O84</f>
        <v>282117.053375949</v>
      </c>
      <c r="P85" s="31" t="n">
        <f aca="false">P83+P84</f>
        <v>299297.981926545</v>
      </c>
      <c r="Q85" s="31" t="n">
        <f aca="false">Q83+Q84</f>
        <v>317525.229025871</v>
      </c>
      <c r="R85" s="31" t="n">
        <f aca="false">R83+R84</f>
        <v>336862.515473547</v>
      </c>
      <c r="S85" s="31" t="n">
        <f aca="false">S83+S84</f>
        <v>357377.442665886</v>
      </c>
      <c r="T85" s="31" t="n">
        <f aca="false">T83+T84</f>
        <v>379141.728924239</v>
      </c>
      <c r="U85" s="31" t="n">
        <f aca="false">U83+U84</f>
        <v>402231.460215725</v>
      </c>
      <c r="V85" s="31" t="n">
        <f aca="false">V83+V84</f>
        <v>426727.356142862</v>
      </c>
      <c r="W85" s="31" t="n">
        <f aca="false">W83+W84</f>
        <v>452715.052131963</v>
      </c>
    </row>
    <row r="87" customFormat="false" ht="15" hidden="false" customHeight="false" outlineLevel="0" collapsed="false">
      <c r="A87" s="9" t="s">
        <v>435</v>
      </c>
      <c r="B87" s="10"/>
      <c r="C87" s="10"/>
      <c r="D87" s="10"/>
      <c r="E87" s="10"/>
      <c r="F87" s="10"/>
      <c r="G87" s="10"/>
      <c r="H87" s="10"/>
      <c r="I87" s="10"/>
      <c r="J87" s="10"/>
      <c r="K87" s="10"/>
      <c r="L87" s="10"/>
      <c r="M87" s="10"/>
      <c r="N87" s="10"/>
      <c r="O87" s="10"/>
      <c r="P87" s="10"/>
      <c r="Q87" s="10"/>
      <c r="R87" s="10"/>
      <c r="S87" s="10"/>
      <c r="T87" s="10"/>
      <c r="U87" s="10"/>
      <c r="V87" s="10"/>
      <c r="W87" s="10"/>
    </row>
    <row r="88" customFormat="false" ht="15" hidden="false" customHeight="false" outlineLevel="0" collapsed="false">
      <c r="A88" s="11" t="s">
        <v>162</v>
      </c>
      <c r="B88" s="66" t="n">
        <f aca="false">SUM(C88:W88)</f>
        <v>679197.868676078</v>
      </c>
      <c r="C88" s="95" t="n">
        <v>0</v>
      </c>
      <c r="D88" s="95" t="n">
        <f aca="false">S_Demand_Hi!$B$15*O_FixedPct*D44*LevOpex*$B$8*D41</f>
        <v>25276.8292810589</v>
      </c>
      <c r="E88" s="95" t="n">
        <f aca="false">S_Demand_Hi!$B$15*O_FixedPct*E44*LevOpex*$B$8*E41</f>
        <v>26035.1341594906</v>
      </c>
      <c r="F88" s="95" t="n">
        <f aca="false">S_Demand_Hi!$B$15*O_FixedPct*F44*LevOpex*$B$8*F41</f>
        <v>26816.1881842753</v>
      </c>
      <c r="G88" s="95" t="n">
        <f aca="false">S_Demand_Hi!$B$15*O_FixedPct*G44*LevOpex*$B$8*G41</f>
        <v>27620.6738298036</v>
      </c>
      <c r="H88" s="95" t="n">
        <f aca="false">S_Demand_Hi!$B$15*O_FixedPct*H44*LevOpex*$B$8*H41</f>
        <v>28449.2940446977</v>
      </c>
      <c r="I88" s="95" t="n">
        <f aca="false">S_Demand_Hi!$B$15*O_FixedPct*I44*LevOpex*$B$8*I41</f>
        <v>29302.7728660386</v>
      </c>
      <c r="J88" s="95" t="n">
        <f aca="false">S_Demand_Hi!$B$15*O_FixedPct*J44*LevOpex*$B$8*J41</f>
        <v>30181.8560520198</v>
      </c>
      <c r="K88" s="95" t="n">
        <f aca="false">S_Demand_Hi!$B$15*O_FixedPct*K44*LevOpex*$B$8*K41</f>
        <v>31087.3117335804</v>
      </c>
      <c r="L88" s="95" t="n">
        <f aca="false">S_Demand_Hi!$B$15*O_FixedPct*L44*LevOpex*$B$8*L41</f>
        <v>32019.9310855878</v>
      </c>
      <c r="M88" s="95" t="n">
        <f aca="false">S_Demand_Hi!$B$15*O_FixedPct*M44*LevOpex*$B$8*M41</f>
        <v>32980.5290181554</v>
      </c>
      <c r="N88" s="95" t="n">
        <f aca="false">S_Demand_Hi!$B$15*O_FixedPct*N44*LevOpex*$B$8*N41</f>
        <v>33969.9448887001</v>
      </c>
      <c r="O88" s="95" t="n">
        <f aca="false">S_Demand_Hi!$B$15*O_FixedPct*O44*LevOpex*$B$8*O41</f>
        <v>34989.0432353611</v>
      </c>
      <c r="P88" s="95" t="n">
        <f aca="false">S_Demand_Hi!$B$15*O_FixedPct*P44*LevOpex*$B$8*P41</f>
        <v>36038.7145324219</v>
      </c>
      <c r="Q88" s="95" t="n">
        <f aca="false">S_Demand_Hi!$B$15*O_FixedPct*Q44*LevOpex*$B$8*Q41</f>
        <v>37119.8759683946</v>
      </c>
      <c r="R88" s="95" t="n">
        <f aca="false">S_Demand_Hi!$B$15*O_FixedPct*R44*LevOpex*$B$8*R41</f>
        <v>38233.4722474465</v>
      </c>
      <c r="S88" s="95" t="n">
        <f aca="false">S_Demand_Hi!$B$15*O_FixedPct*S44*LevOpex*$B$8*S41</f>
        <v>39380.4764148698</v>
      </c>
      <c r="T88" s="95" t="n">
        <f aca="false">S_Demand_Hi!$B$15*O_FixedPct*T44*LevOpex*$B$8*T41</f>
        <v>40561.8907073159</v>
      </c>
      <c r="U88" s="95" t="n">
        <f aca="false">S_Demand_Hi!$B$15*O_FixedPct*U44*LevOpex*$B$8*U41</f>
        <v>41778.7474285354</v>
      </c>
      <c r="V88" s="95" t="n">
        <f aca="false">S_Demand_Hi!$B$15*O_FixedPct*V44*LevOpex*$B$8*V41</f>
        <v>43032.1098513915</v>
      </c>
      <c r="W88" s="95" t="n">
        <f aca="false">S_Demand_Hi!$B$15*O_FixedPct*W44*LevOpex*$B$8*W41</f>
        <v>44323.0731469332</v>
      </c>
    </row>
    <row r="89" customFormat="false" ht="15" hidden="false" customHeight="false" outlineLevel="0" collapsed="false">
      <c r="A89" s="11" t="s">
        <v>436</v>
      </c>
      <c r="B89" s="66" t="n">
        <f aca="false">SUM(C89:W89)</f>
        <v>483666.740801648</v>
      </c>
      <c r="C89" s="95" t="n">
        <v>0</v>
      </c>
      <c r="D89" s="95" t="n">
        <f aca="false">O_Staff*D44*LevOpex*$B$8*D41</f>
        <v>18000</v>
      </c>
      <c r="E89" s="95" t="n">
        <f aca="false">O_Staff*E44*LevOpex*$B$8*E41</f>
        <v>18540</v>
      </c>
      <c r="F89" s="95" t="n">
        <f aca="false">O_Staff*F44*LevOpex*$B$8*F41</f>
        <v>19096.2</v>
      </c>
      <c r="G89" s="95" t="n">
        <f aca="false">O_Staff*G44*LevOpex*$B$8*G41</f>
        <v>19669.086</v>
      </c>
      <c r="H89" s="95" t="n">
        <f aca="false">O_Staff*H44*LevOpex*$B$8*H41</f>
        <v>20259.15858</v>
      </c>
      <c r="I89" s="95" t="n">
        <f aca="false">O_Staff*I44*LevOpex*$B$8*I41</f>
        <v>20866.9333374</v>
      </c>
      <c r="J89" s="95" t="n">
        <f aca="false">O_Staff*J44*LevOpex*$B$8*J41</f>
        <v>21492.941337522</v>
      </c>
      <c r="K89" s="95" t="n">
        <f aca="false">O_Staff*K44*LevOpex*$B$8*K41</f>
        <v>22137.7295776477</v>
      </c>
      <c r="L89" s="95" t="n">
        <f aca="false">O_Staff*L44*LevOpex*$B$8*L41</f>
        <v>22801.8614649771</v>
      </c>
      <c r="M89" s="95" t="n">
        <f aca="false">O_Staff*M44*LevOpex*$B$8*M41</f>
        <v>23485.9173089264</v>
      </c>
      <c r="N89" s="95" t="n">
        <f aca="false">O_Staff*N44*LevOpex*$B$8*N41</f>
        <v>24190.4948281942</v>
      </c>
      <c r="O89" s="95" t="n">
        <f aca="false">O_Staff*O44*LevOpex*$B$8*O41</f>
        <v>24916.20967304</v>
      </c>
      <c r="P89" s="95" t="n">
        <f aca="false">O_Staff*P44*LevOpex*$B$8*P41</f>
        <v>25663.6959632312</v>
      </c>
      <c r="Q89" s="95" t="n">
        <f aca="false">O_Staff*Q44*LevOpex*$B$8*Q41</f>
        <v>26433.6068421282</v>
      </c>
      <c r="R89" s="95" t="n">
        <f aca="false">O_Staff*R44*LevOpex*$B$8*R41</f>
        <v>27226.615047392</v>
      </c>
      <c r="S89" s="95" t="n">
        <f aca="false">O_Staff*S44*LevOpex*$B$8*S41</f>
        <v>28043.4134988138</v>
      </c>
      <c r="T89" s="95" t="n">
        <f aca="false">O_Staff*T44*LevOpex*$B$8*T41</f>
        <v>28884.7159037782</v>
      </c>
      <c r="U89" s="95" t="n">
        <f aca="false">O_Staff*U44*LevOpex*$B$8*U41</f>
        <v>29751.2573808915</v>
      </c>
      <c r="V89" s="95" t="n">
        <f aca="false">O_Staff*V44*LevOpex*$B$8*V41</f>
        <v>30643.7951023183</v>
      </c>
      <c r="W89" s="95" t="n">
        <f aca="false">O_Staff*W44*LevOpex*$B$8*W41</f>
        <v>31563.1089553878</v>
      </c>
    </row>
    <row r="90" customFormat="false" ht="15" hidden="false" customHeight="false" outlineLevel="0" collapsed="false">
      <c r="A90" s="11" t="s">
        <v>165</v>
      </c>
      <c r="B90" s="66" t="n">
        <f aca="false">SUM(C90:W90)</f>
        <v>156215.509795498</v>
      </c>
      <c r="C90" s="95" t="n">
        <v>0</v>
      </c>
      <c r="D90" s="95" t="n">
        <f aca="false">S_Demand_Hi!$B$14*O_InsPct*D44*LevOpex*$B$8*D41</f>
        <v>5813.67073464354</v>
      </c>
      <c r="E90" s="95" t="n">
        <f aca="false">S_Demand_Hi!$B$14*O_InsPct*E44*LevOpex*$B$8*E41</f>
        <v>5988.08085668284</v>
      </c>
      <c r="F90" s="95" t="n">
        <f aca="false">S_Demand_Hi!$B$14*O_InsPct*F44*LevOpex*$B$8*F41</f>
        <v>6167.72328238333</v>
      </c>
      <c r="G90" s="95" t="n">
        <f aca="false">S_Demand_Hi!$B$14*O_InsPct*G44*LevOpex*$B$8*G41</f>
        <v>6352.75498085483</v>
      </c>
      <c r="H90" s="95" t="n">
        <f aca="false">S_Demand_Hi!$B$14*O_InsPct*H44*LevOpex*$B$8*H41</f>
        <v>6543.33763028047</v>
      </c>
      <c r="I90" s="95" t="n">
        <f aca="false">S_Demand_Hi!$B$14*O_InsPct*I44*LevOpex*$B$8*I41</f>
        <v>6739.63775918889</v>
      </c>
      <c r="J90" s="95" t="n">
        <f aca="false">S_Demand_Hi!$B$14*O_InsPct*J44*LevOpex*$B$8*J41</f>
        <v>6941.82689196455</v>
      </c>
      <c r="K90" s="95" t="n">
        <f aca="false">S_Demand_Hi!$B$14*O_InsPct*K44*LevOpex*$B$8*K41</f>
        <v>7150.08169872349</v>
      </c>
      <c r="L90" s="95" t="n">
        <f aca="false">S_Demand_Hi!$B$14*O_InsPct*L44*LevOpex*$B$8*L41</f>
        <v>7364.5841496852</v>
      </c>
      <c r="M90" s="95" t="n">
        <f aca="false">S_Demand_Hi!$B$14*O_InsPct*M44*LevOpex*$B$8*M41</f>
        <v>7585.52167417575</v>
      </c>
      <c r="N90" s="95" t="n">
        <f aca="false">S_Demand_Hi!$B$14*O_InsPct*N44*LevOpex*$B$8*N41</f>
        <v>7813.08732440103</v>
      </c>
      <c r="O90" s="95" t="n">
        <f aca="false">S_Demand_Hi!$B$14*O_InsPct*O44*LevOpex*$B$8*O41</f>
        <v>8047.47994413306</v>
      </c>
      <c r="P90" s="95" t="n">
        <f aca="false">S_Demand_Hi!$B$14*O_InsPct*P44*LevOpex*$B$8*P41</f>
        <v>8288.90434245705</v>
      </c>
      <c r="Q90" s="95" t="n">
        <f aca="false">S_Demand_Hi!$B$14*O_InsPct*Q44*LevOpex*$B$8*Q41</f>
        <v>8537.57147273076</v>
      </c>
      <c r="R90" s="95" t="n">
        <f aca="false">S_Demand_Hi!$B$14*O_InsPct*R44*LevOpex*$B$8*R41</f>
        <v>8793.69861691268</v>
      </c>
      <c r="S90" s="95" t="n">
        <f aca="false">S_Demand_Hi!$B$14*O_InsPct*S44*LevOpex*$B$8*S41</f>
        <v>9057.50957542006</v>
      </c>
      <c r="T90" s="95" t="n">
        <f aca="false">S_Demand_Hi!$B$14*O_InsPct*T44*LevOpex*$B$8*T41</f>
        <v>9329.23486268267</v>
      </c>
      <c r="U90" s="95" t="n">
        <f aca="false">S_Demand_Hi!$B$14*O_InsPct*U44*LevOpex*$B$8*U41</f>
        <v>9609.11190856315</v>
      </c>
      <c r="V90" s="95" t="n">
        <f aca="false">S_Demand_Hi!$B$14*O_InsPct*V44*LevOpex*$B$8*V41</f>
        <v>9897.38526582004</v>
      </c>
      <c r="W90" s="95" t="n">
        <f aca="false">S_Demand_Hi!$B$14*O_InsPct*W44*LevOpex*$B$8*W41</f>
        <v>10194.3068237946</v>
      </c>
    </row>
    <row r="91" customFormat="false" ht="15" hidden="false" customHeight="false" outlineLevel="0" collapsed="false">
      <c r="A91" s="11" t="s">
        <v>437</v>
      </c>
      <c r="B91" s="66" t="n">
        <f aca="false">SUM(C91:W91)</f>
        <v>80611.1234669414</v>
      </c>
      <c r="C91" s="95" t="n">
        <v>0</v>
      </c>
      <c r="D91" s="95" t="n">
        <f aca="false">O_Fees*D44*LevOpex*$B$8*D41</f>
        <v>3000</v>
      </c>
      <c r="E91" s="95" t="n">
        <f aca="false">O_Fees*E44*LevOpex*$B$8*E41</f>
        <v>3090</v>
      </c>
      <c r="F91" s="95" t="n">
        <f aca="false">O_Fees*F44*LevOpex*$B$8*F41</f>
        <v>3182.7</v>
      </c>
      <c r="G91" s="95" t="n">
        <f aca="false">O_Fees*G44*LevOpex*$B$8*G41</f>
        <v>3278.181</v>
      </c>
      <c r="H91" s="95" t="n">
        <f aca="false">O_Fees*H44*LevOpex*$B$8*H41</f>
        <v>3376.52643</v>
      </c>
      <c r="I91" s="95" t="n">
        <f aca="false">O_Fees*I44*LevOpex*$B$8*I41</f>
        <v>3477.8222229</v>
      </c>
      <c r="J91" s="95" t="n">
        <f aca="false">O_Fees*J44*LevOpex*$B$8*J41</f>
        <v>3582.156889587</v>
      </c>
      <c r="K91" s="95" t="n">
        <f aca="false">O_Fees*K44*LevOpex*$B$8*K41</f>
        <v>3689.62159627461</v>
      </c>
      <c r="L91" s="95" t="n">
        <f aca="false">O_Fees*L44*LevOpex*$B$8*L41</f>
        <v>3800.31024416285</v>
      </c>
      <c r="M91" s="95" t="n">
        <f aca="false">O_Fees*M44*LevOpex*$B$8*M41</f>
        <v>3914.31955148773</v>
      </c>
      <c r="N91" s="95" t="n">
        <f aca="false">O_Fees*N44*LevOpex*$B$8*N41</f>
        <v>4031.74913803237</v>
      </c>
      <c r="O91" s="95" t="n">
        <f aca="false">O_Fees*O44*LevOpex*$B$8*O41</f>
        <v>4152.70161217334</v>
      </c>
      <c r="P91" s="95" t="n">
        <f aca="false">O_Fees*P44*LevOpex*$B$8*P41</f>
        <v>4277.28266053854</v>
      </c>
      <c r="Q91" s="95" t="n">
        <f aca="false">O_Fees*Q44*LevOpex*$B$8*Q41</f>
        <v>4405.60114035469</v>
      </c>
      <c r="R91" s="95" t="n">
        <f aca="false">O_Fees*R44*LevOpex*$B$8*R41</f>
        <v>4537.76917456534</v>
      </c>
      <c r="S91" s="95" t="n">
        <f aca="false">O_Fees*S44*LevOpex*$B$8*S41</f>
        <v>4673.9022498023</v>
      </c>
      <c r="T91" s="95" t="n">
        <f aca="false">O_Fees*T44*LevOpex*$B$8*T41</f>
        <v>4814.11931729637</v>
      </c>
      <c r="U91" s="95" t="n">
        <f aca="false">O_Fees*U44*LevOpex*$B$8*U41</f>
        <v>4958.54289681526</v>
      </c>
      <c r="V91" s="95" t="n">
        <f aca="false">O_Fees*V44*LevOpex*$B$8*V41</f>
        <v>5107.29918371971</v>
      </c>
      <c r="W91" s="95" t="n">
        <f aca="false">O_Fees*W44*LevOpex*$B$8*W41</f>
        <v>5260.51815923131</v>
      </c>
    </row>
    <row r="92" customFormat="false" ht="15" hidden="false" customHeight="false" outlineLevel="0" collapsed="false">
      <c r="A92" s="11" t="s">
        <v>438</v>
      </c>
      <c r="B92" s="66" t="n">
        <f aca="false">SUM(C92:W92)</f>
        <v>107481.497955922</v>
      </c>
      <c r="C92" s="95" t="n">
        <v>0</v>
      </c>
      <c r="D92" s="95" t="n">
        <f aca="false">O_MRV*D44*LevOpex*$B$8*D41</f>
        <v>4000</v>
      </c>
      <c r="E92" s="95" t="n">
        <f aca="false">O_MRV*E44*LevOpex*$B$8*E41</f>
        <v>4120</v>
      </c>
      <c r="F92" s="95" t="n">
        <f aca="false">O_MRV*F44*LevOpex*$B$8*F41</f>
        <v>4243.6</v>
      </c>
      <c r="G92" s="95" t="n">
        <f aca="false">O_MRV*G44*LevOpex*$B$8*G41</f>
        <v>4370.908</v>
      </c>
      <c r="H92" s="95" t="n">
        <f aca="false">O_MRV*H44*LevOpex*$B$8*H41</f>
        <v>4502.03524</v>
      </c>
      <c r="I92" s="95" t="n">
        <f aca="false">O_MRV*I44*LevOpex*$B$8*I41</f>
        <v>4637.0962972</v>
      </c>
      <c r="J92" s="95" t="n">
        <f aca="false">O_MRV*J44*LevOpex*$B$8*J41</f>
        <v>4776.209186116</v>
      </c>
      <c r="K92" s="95" t="n">
        <f aca="false">O_MRV*K44*LevOpex*$B$8*K41</f>
        <v>4919.49546169948</v>
      </c>
      <c r="L92" s="95" t="n">
        <f aca="false">O_MRV*L44*LevOpex*$B$8*L41</f>
        <v>5067.08032555047</v>
      </c>
      <c r="M92" s="95" t="n">
        <f aca="false">O_MRV*M44*LevOpex*$B$8*M41</f>
        <v>5219.09273531698</v>
      </c>
      <c r="N92" s="95" t="n">
        <f aca="false">O_MRV*N44*LevOpex*$B$8*N41</f>
        <v>5375.66551737649</v>
      </c>
      <c r="O92" s="95" t="n">
        <f aca="false">O_MRV*O44*LevOpex*$B$8*O41</f>
        <v>5536.93548289778</v>
      </c>
      <c r="P92" s="95" t="n">
        <f aca="false">O_MRV*P44*LevOpex*$B$8*P41</f>
        <v>5703.04354738472</v>
      </c>
      <c r="Q92" s="95" t="n">
        <f aca="false">O_MRV*Q44*LevOpex*$B$8*Q41</f>
        <v>5874.13485380626</v>
      </c>
      <c r="R92" s="95" t="n">
        <f aca="false">O_MRV*R44*LevOpex*$B$8*R41</f>
        <v>6050.35889942045</v>
      </c>
      <c r="S92" s="95" t="n">
        <f aca="false">O_MRV*S44*LevOpex*$B$8*S41</f>
        <v>6231.86966640306</v>
      </c>
      <c r="T92" s="95" t="n">
        <f aca="false">O_MRV*T44*LevOpex*$B$8*T41</f>
        <v>6418.82575639515</v>
      </c>
      <c r="U92" s="95" t="n">
        <f aca="false">O_MRV*U44*LevOpex*$B$8*U41</f>
        <v>6611.39052908701</v>
      </c>
      <c r="V92" s="95" t="n">
        <f aca="false">O_MRV*V44*LevOpex*$B$8*V41</f>
        <v>6809.73224495962</v>
      </c>
      <c r="W92" s="95" t="n">
        <f aca="false">O_MRV*W44*LevOpex*$B$8*W41</f>
        <v>7014.02421230841</v>
      </c>
    </row>
    <row r="93" customFormat="false" ht="15" hidden="false" customHeight="false" outlineLevel="0" collapsed="false">
      <c r="A93" s="11" t="s">
        <v>439</v>
      </c>
      <c r="B93" s="66" t="n">
        <f aca="false">SUM(C93:W93)</f>
        <v>161939.623465697</v>
      </c>
      <c r="C93" s="95" t="n">
        <v>0</v>
      </c>
      <c r="D93" s="95" t="n">
        <f aca="false">D85*O_CustPct</f>
        <v>2857.225941504</v>
      </c>
      <c r="E93" s="95" t="n">
        <f aca="false">E85*O_CustPct</f>
        <v>4069.38499356726</v>
      </c>
      <c r="F93" s="95" t="n">
        <f aca="false">F85*O_CustPct</f>
        <v>5023.17107608883</v>
      </c>
      <c r="G93" s="95" t="n">
        <f aca="false">G85*O_CustPct</f>
        <v>5274.18061962264</v>
      </c>
      <c r="H93" s="95" t="n">
        <f aca="false">H85*O_CustPct</f>
        <v>5595.37821935766</v>
      </c>
      <c r="I93" s="95" t="n">
        <f aca="false">I85*O_CustPct</f>
        <v>5936.13675291654</v>
      </c>
      <c r="J93" s="95" t="n">
        <f aca="false">J85*O_CustPct</f>
        <v>6297.64748116916</v>
      </c>
      <c r="K93" s="95" t="n">
        <f aca="false">K85*O_CustPct</f>
        <v>6681.17421277236</v>
      </c>
      <c r="L93" s="95" t="n">
        <f aca="false">L85*O_CustPct</f>
        <v>7088.0577223302</v>
      </c>
      <c r="M93" s="95" t="n">
        <f aca="false">M85*O_CustPct</f>
        <v>7519.7204376201</v>
      </c>
      <c r="N93" s="95" t="n">
        <f aca="false">N85*O_CustPct</f>
        <v>7977.67141227117</v>
      </c>
      <c r="O93" s="95" t="n">
        <f aca="false">O85*O_CustPct</f>
        <v>8463.51160127848</v>
      </c>
      <c r="P93" s="95" t="n">
        <f aca="false">P85*O_CustPct</f>
        <v>8978.93945779634</v>
      </c>
      <c r="Q93" s="95" t="n">
        <f aca="false">Q85*O_CustPct</f>
        <v>9525.75687077614</v>
      </c>
      <c r="R93" s="95" t="n">
        <f aca="false">R85*O_CustPct</f>
        <v>10105.8754642064</v>
      </c>
      <c r="S93" s="95" t="n">
        <f aca="false">S85*O_CustPct</f>
        <v>10721.3232799766</v>
      </c>
      <c r="T93" s="95" t="n">
        <f aca="false">T85*O_CustPct</f>
        <v>11374.2518677272</v>
      </c>
      <c r="U93" s="95" t="n">
        <f aca="false">U85*O_CustPct</f>
        <v>12066.9438064717</v>
      </c>
      <c r="V93" s="95" t="n">
        <f aca="false">V85*O_CustPct</f>
        <v>12801.8206842859</v>
      </c>
      <c r="W93" s="95" t="n">
        <f aca="false">W85*O_CustPct</f>
        <v>13581.4515639589</v>
      </c>
    </row>
    <row r="94" customFormat="false" ht="15" hidden="false" customHeight="false" outlineLevel="0" collapsed="false">
      <c r="A94" s="11" t="s">
        <v>440</v>
      </c>
      <c r="B94" s="66" t="n">
        <f aca="false">SUM(C94:W94)</f>
        <v>197897.027509162</v>
      </c>
      <c r="C94" s="95" t="n">
        <v>0</v>
      </c>
      <c r="D94" s="95" t="n">
        <f aca="false">D72*O_DieselOM*D44*LevOpex*$B$8</f>
        <v>863.753367272727</v>
      </c>
      <c r="E94" s="95" t="n">
        <f aca="false">E72*O_DieselOM*E44*LevOpex*$B$8</f>
        <v>1298.17092539782</v>
      </c>
      <c r="F94" s="95" t="n">
        <f aca="false">F72*O_DieselOM*F44*LevOpex*$B$8</f>
        <v>2367.27022651958</v>
      </c>
      <c r="G94" s="95" t="n">
        <f aca="false">G72*O_DieselOM*G44*LevOpex*$B$8</f>
        <v>3010.20424138861</v>
      </c>
      <c r="H94" s="95" t="n">
        <f aca="false">H72*O_DieselOM*H44*LevOpex*$B$8</f>
        <v>3704.68730412631</v>
      </c>
      <c r="I94" s="95" t="n">
        <f aca="false">I72*O_DieselOM*I44*LevOpex*$B$8</f>
        <v>4454.16675175198</v>
      </c>
      <c r="J94" s="95" t="n">
        <f aca="false">J72*O_DieselOM*J44*LevOpex*$B$8</f>
        <v>5262.30751790956</v>
      </c>
      <c r="K94" s="95" t="n">
        <f aca="false">K72*O_DieselOM*K44*LevOpex*$B$8</f>
        <v>6133.00557469888</v>
      </c>
      <c r="L94" s="95" t="n">
        <f aca="false">L72*O_DieselOM*L44*LevOpex*$B$8</f>
        <v>7070.40219784104</v>
      </c>
      <c r="M94" s="95" t="n">
        <f aca="false">M72*O_DieselOM*M44*LevOpex*$B$8</f>
        <v>8078.89910543608</v>
      </c>
      <c r="N94" s="95" t="n">
        <f aca="false">N72*O_DieselOM*N44*LevOpex*$B$8</f>
        <v>9163.17452363527</v>
      </c>
      <c r="O94" s="95" t="n">
        <f aca="false">O72*O_DieselOM*O44*LevOpex*$B$8</f>
        <v>10328.2002358003</v>
      </c>
      <c r="P94" s="95" t="n">
        <f aca="false">P72*O_DieselOM*P44*LevOpex*$B$8</f>
        <v>11579.2596751706</v>
      </c>
      <c r="Q94" s="95" t="n">
        <f aca="false">Q72*O_DieselOM*Q44*LevOpex*$B$8</f>
        <v>12921.967124717</v>
      </c>
      <c r="R94" s="95" t="n">
        <f aca="false">R72*O_DieselOM*R44*LevOpex*$B$8</f>
        <v>14362.2880917437</v>
      </c>
      <c r="S94" s="95" t="n">
        <f aca="false">S72*O_DieselOM*S44*LevOpex*$B$8</f>
        <v>15906.5609289153</v>
      </c>
      <c r="T94" s="95" t="n">
        <f aca="false">T72*O_DieselOM*T44*LevOpex*$B$8</f>
        <v>17561.5197777563</v>
      </c>
      <c r="U94" s="95" t="n">
        <f aca="false">U72*O_DieselOM*U44*LevOpex*$B$8</f>
        <v>19334.3189153053</v>
      </c>
      <c r="V94" s="95" t="n">
        <f aca="false">V72*O_DieselOM*V44*LevOpex*$B$8</f>
        <v>21232.5585895206</v>
      </c>
      <c r="W94" s="95" t="n">
        <f aca="false">W72*O_DieselOM*W44*LevOpex*$B$8</f>
        <v>23264.3124342547</v>
      </c>
    </row>
    <row r="95" customFormat="false" ht="15" hidden="false" customHeight="false" outlineLevel="0" collapsed="false">
      <c r="A95" s="11" t="s">
        <v>441</v>
      </c>
      <c r="B95" s="66" t="n">
        <f aca="false">SUM(C95:W95)</f>
        <v>2638627.03345549</v>
      </c>
      <c r="C95" s="95" t="n">
        <v>0</v>
      </c>
      <c r="D95" s="95" t="n">
        <f aca="false">D74*FuelPrice*LevFuel*$B$10*D44</f>
        <v>11516.7115636364</v>
      </c>
      <c r="E95" s="95" t="n">
        <f aca="false">E74*FuelPrice*LevFuel*$B$10*E44</f>
        <v>17308.9456719709</v>
      </c>
      <c r="F95" s="95" t="n">
        <f aca="false">F74*FuelPrice*LevFuel*$B$10*F44</f>
        <v>31563.6030202611</v>
      </c>
      <c r="G95" s="95" t="n">
        <f aca="false">G74*FuelPrice*LevFuel*$B$10*G44</f>
        <v>40136.0565518482</v>
      </c>
      <c r="H95" s="95" t="n">
        <f aca="false">H74*FuelPrice*LevFuel*$B$10*H44</f>
        <v>49395.8307216842</v>
      </c>
      <c r="I95" s="95" t="n">
        <f aca="false">I74*FuelPrice*LevFuel*$B$10*I44</f>
        <v>59388.8900233598</v>
      </c>
      <c r="J95" s="95" t="n">
        <f aca="false">J74*FuelPrice*LevFuel*$B$10*J44</f>
        <v>70164.1002387941</v>
      </c>
      <c r="K95" s="95" t="n">
        <f aca="false">K74*FuelPrice*LevFuel*$B$10*K44</f>
        <v>81773.4076626517</v>
      </c>
      <c r="L95" s="95" t="n">
        <f aca="false">L74*FuelPrice*LevFuel*$B$10*L44</f>
        <v>94272.0293045472</v>
      </c>
      <c r="M95" s="95" t="n">
        <f aca="false">M74*FuelPrice*LevFuel*$B$10*M44</f>
        <v>107718.654739148</v>
      </c>
      <c r="N95" s="95" t="n">
        <f aca="false">N74*FuelPrice*LevFuel*$B$10*N44</f>
        <v>122175.660315137</v>
      </c>
      <c r="O95" s="95" t="n">
        <f aca="false">O74*FuelPrice*LevFuel*$B$10*O44</f>
        <v>137709.336477338</v>
      </c>
      <c r="P95" s="95" t="n">
        <f aca="false">P74*FuelPrice*LevFuel*$B$10*P44</f>
        <v>154390.129002275</v>
      </c>
      <c r="Q95" s="95" t="n">
        <f aca="false">Q74*FuelPrice*LevFuel*$B$10*Q44</f>
        <v>172292.894996227</v>
      </c>
      <c r="R95" s="95" t="n">
        <f aca="false">R74*FuelPrice*LevFuel*$B$10*R44</f>
        <v>191497.174556583</v>
      </c>
      <c r="S95" s="95" t="n">
        <f aca="false">S74*FuelPrice*LevFuel*$B$10*S44</f>
        <v>212087.479052203</v>
      </c>
      <c r="T95" s="95" t="n">
        <f aca="false">T74*FuelPrice*LevFuel*$B$10*T44</f>
        <v>234153.597036751</v>
      </c>
      <c r="U95" s="95" t="n">
        <f aca="false">U74*FuelPrice*LevFuel*$B$10*U44</f>
        <v>257790.918870737</v>
      </c>
      <c r="V95" s="95" t="n">
        <f aca="false">V74*FuelPrice*LevFuel*$B$10*V44</f>
        <v>283100.781193608</v>
      </c>
      <c r="W95" s="95" t="n">
        <f aca="false">W74*FuelPrice*LevFuel*$B$10*W44</f>
        <v>310190.832456729</v>
      </c>
    </row>
    <row r="96" customFormat="false" ht="15" hidden="false" customHeight="false" outlineLevel="0" collapsed="false">
      <c r="A96" s="16" t="s">
        <v>442</v>
      </c>
      <c r="B96" s="66" t="n">
        <f aca="false">SUM(C96:W96)</f>
        <v>4505636.42512644</v>
      </c>
      <c r="C96" s="31" t="n">
        <f aca="false">C88+C89+C90+C91+C92+C93+C94+C95</f>
        <v>0</v>
      </c>
      <c r="D96" s="31" t="n">
        <f aca="false">D88+D89+D90+D91+D92+D93+D94+D95</f>
        <v>71328.1908881155</v>
      </c>
      <c r="E96" s="31" t="n">
        <f aca="false">E88+E89+E90+E91+E92+E93+E94+E95</f>
        <v>80449.7166071094</v>
      </c>
      <c r="F96" s="31" t="n">
        <f aca="false">F88+F89+F90+F91+F92+F93+F94+F95</f>
        <v>98460.4557895282</v>
      </c>
      <c r="G96" s="31" t="n">
        <f aca="false">G88+G89+G90+G91+G92+G93+G94+G95</f>
        <v>109712.045223518</v>
      </c>
      <c r="H96" s="31" t="n">
        <f aca="false">H88+H89+H90+H91+H92+H93+H94+H95</f>
        <v>121826.248170146</v>
      </c>
      <c r="I96" s="31" t="n">
        <f aca="false">I88+I89+I90+I91+I92+I93+I94+I95</f>
        <v>134803.456010756</v>
      </c>
      <c r="J96" s="31" t="n">
        <f aca="false">J88+J89+J90+J91+J92+J93+J94+J95</f>
        <v>148699.045595082</v>
      </c>
      <c r="K96" s="31" t="n">
        <f aca="false">K88+K89+K90+K91+K92+K93+K94+K95</f>
        <v>163571.827518049</v>
      </c>
      <c r="L96" s="31" t="n">
        <f aca="false">L88+L89+L90+L91+L92+L93+L94+L95</f>
        <v>179484.256494682</v>
      </c>
      <c r="M96" s="31" t="n">
        <f aca="false">M88+M89+M90+M91+M92+M93+M94+M95</f>
        <v>196502.654570266</v>
      </c>
      <c r="N96" s="31" t="n">
        <f aca="false">N88+N89+N90+N91+N92+N93+N94+N95</f>
        <v>214697.447947748</v>
      </c>
      <c r="O96" s="31" t="n">
        <f aca="false">O88+O89+O90+O91+O92+O93+O94+O95</f>
        <v>234143.418262022</v>
      </c>
      <c r="P96" s="31" t="n">
        <f aca="false">P88+P89+P90+P91+P92+P93+P94+P95</f>
        <v>254919.969181275</v>
      </c>
      <c r="Q96" s="31" t="n">
        <f aca="false">Q88+Q89+Q90+Q91+Q92+Q93+Q94+Q95</f>
        <v>277111.409269134</v>
      </c>
      <c r="R96" s="31" t="n">
        <f aca="false">R88+R89+R90+R91+R92+R93+R94+R95</f>
        <v>300807.25209827</v>
      </c>
      <c r="S96" s="31" t="n">
        <f aca="false">S88+S89+S90+S91+S92+S93+S94+S95</f>
        <v>326102.534666404</v>
      </c>
      <c r="T96" s="31" t="n">
        <f aca="false">T88+T89+T90+T91+T92+T93+T94+T95</f>
        <v>353098.155229702</v>
      </c>
      <c r="U96" s="31" t="n">
        <f aca="false">U88+U89+U90+U91+U92+U93+U94+U95</f>
        <v>381901.231736406</v>
      </c>
      <c r="V96" s="31" t="n">
        <f aca="false">V88+V89+V90+V91+V92+V93+V94+V95</f>
        <v>412625.482115624</v>
      </c>
      <c r="W96" s="31" t="n">
        <f aca="false">W88+W89+W90+W91+W92+W93+W94+W95</f>
        <v>445391.627752598</v>
      </c>
    </row>
    <row r="98" customFormat="false" ht="15" hidden="false" customHeight="false" outlineLevel="0" collapsed="false">
      <c r="A98" s="16" t="s">
        <v>443</v>
      </c>
      <c r="B98" s="66" t="n">
        <f aca="false">SUM(C98:W98)</f>
        <v>892351.023730148</v>
      </c>
      <c r="C98" s="31" t="n">
        <f aca="false">C85-C96</f>
        <v>0</v>
      </c>
      <c r="D98" s="31" t="n">
        <f aca="false">D85-D96</f>
        <v>23912.6738286845</v>
      </c>
      <c r="E98" s="31" t="n">
        <f aca="false">E85-E96</f>
        <v>55196.4498451325</v>
      </c>
      <c r="F98" s="31" t="n">
        <f aca="false">F85-F96</f>
        <v>68978.5800800994</v>
      </c>
      <c r="G98" s="31" t="n">
        <f aca="false">G85-G96</f>
        <v>66093.9754305701</v>
      </c>
      <c r="H98" s="31" t="n">
        <f aca="false">H85-H96</f>
        <v>64686.3591417756</v>
      </c>
      <c r="I98" s="31" t="n">
        <f aca="false">I85-I96</f>
        <v>63067.7690864621</v>
      </c>
      <c r="J98" s="31" t="n">
        <f aca="false">J85-J96</f>
        <v>61222.5371105563</v>
      </c>
      <c r="K98" s="31" t="n">
        <f aca="false">K85-K96</f>
        <v>59133.9795743634</v>
      </c>
      <c r="L98" s="31" t="n">
        <f aca="false">L85-L96</f>
        <v>56784.3342496581</v>
      </c>
      <c r="M98" s="31" t="n">
        <f aca="false">M85-M96</f>
        <v>54154.6933504038</v>
      </c>
      <c r="N98" s="31" t="n">
        <f aca="false">N85-N96</f>
        <v>51224.9324612914</v>
      </c>
      <c r="O98" s="31" t="n">
        <f aca="false">O85-O96</f>
        <v>47973.6351139274</v>
      </c>
      <c r="P98" s="31" t="n">
        <f aca="false">P85-P96</f>
        <v>44378.0127452696</v>
      </c>
      <c r="Q98" s="31" t="n">
        <f aca="false">Q85-Q96</f>
        <v>40413.819756737</v>
      </c>
      <c r="R98" s="31" t="n">
        <f aca="false">R85-R96</f>
        <v>36055.2633752772</v>
      </c>
      <c r="S98" s="31" t="n">
        <f aca="false">S85-S96</f>
        <v>31274.9079994817</v>
      </c>
      <c r="T98" s="31" t="n">
        <f aca="false">T85-T96</f>
        <v>26043.5736945362</v>
      </c>
      <c r="U98" s="31" t="n">
        <f aca="false">U85-U96</f>
        <v>20330.2284793183</v>
      </c>
      <c r="V98" s="31" t="n">
        <f aca="false">V85-V96</f>
        <v>14101.8740272386</v>
      </c>
      <c r="W98" s="31" t="n">
        <f aca="false">W85-W96</f>
        <v>7323.424379365</v>
      </c>
    </row>
    <row r="99" customFormat="false" ht="15" hidden="false" customHeight="false" outlineLevel="0" collapsed="false">
      <c r="A99" s="11" t="s">
        <v>444</v>
      </c>
      <c r="C99" s="91" t="n">
        <v>0</v>
      </c>
      <c r="D99" s="91" t="n">
        <f aca="false">IFERROR(D98/D85,0)</f>
        <v>0.251075774036588</v>
      </c>
      <c r="E99" s="91" t="n">
        <f aca="false">IFERROR(E98/E85,0)</f>
        <v>0.406914926449956</v>
      </c>
      <c r="F99" s="91" t="n">
        <f aca="false">IFERROR(F98/F85,0)</f>
        <v>0.411962358250844</v>
      </c>
      <c r="G99" s="91" t="n">
        <f aca="false">IFERROR(G98/G85,0)</f>
        <v>0.375948304754677</v>
      </c>
      <c r="H99" s="91" t="n">
        <f aca="false">IFERROR(H98/H85,0)</f>
        <v>0.346820303860718</v>
      </c>
      <c r="I99" s="91" t="n">
        <f aca="false">IFERROR(I98/I85,0)</f>
        <v>0.318731382268825</v>
      </c>
      <c r="J99" s="91" t="n">
        <f aca="false">IFERROR(J98/J85,0)</f>
        <v>0.291644795744539</v>
      </c>
      <c r="K99" s="91" t="n">
        <f aca="false">IFERROR(K98/K85,0)</f>
        <v>0.265525090460823</v>
      </c>
      <c r="L99" s="91" t="n">
        <f aca="false">IFERROR(L98/L85,0)</f>
        <v>0.240338057931293</v>
      </c>
      <c r="M99" s="91" t="n">
        <f aca="false">IFERROR(M98/M85,0)</f>
        <v>0.216050691510321</v>
      </c>
      <c r="N99" s="91" t="n">
        <f aca="false">IFERROR(N98/N85,0)</f>
        <v>0.192631144405739</v>
      </c>
      <c r="O99" s="91" t="n">
        <f aca="false">IFERROR(O98/O85,0)</f>
        <v>0.170048689151725</v>
      </c>
      <c r="P99" s="91" t="n">
        <f aca="false">IFERROR(P98/P85,0)</f>
        <v>0.148273678491294</v>
      </c>
      <c r="Q99" s="91" t="n">
        <f aca="false">IFERROR(Q98/Q85,0)</f>
        <v>0.127277507619541</v>
      </c>
      <c r="R99" s="91" t="n">
        <f aca="false">IFERROR(R98/R85,0)</f>
        <v>0.107032577740483</v>
      </c>
      <c r="S99" s="91" t="n">
        <f aca="false">IFERROR(S98/S85,0)</f>
        <v>0.087512260891969</v>
      </c>
      <c r="T99" s="91" t="n">
        <f aca="false">IFERROR(T98/T85,0)</f>
        <v>0.0686908659947064</v>
      </c>
      <c r="U99" s="91" t="n">
        <f aca="false">IFERROR(U98/U85,0)</f>
        <v>0.0505436060829623</v>
      </c>
      <c r="V99" s="91" t="n">
        <f aca="false">IFERROR(V98/V85,0)</f>
        <v>0.0330465666759774</v>
      </c>
      <c r="W99" s="91" t="n">
        <f aca="false">IFERROR(W98/W85,0)</f>
        <v>0.0161766752505288</v>
      </c>
    </row>
    <row r="101" customFormat="false" ht="15" hidden="false" customHeight="false" outlineLevel="0" collapsed="false">
      <c r="A101" s="9" t="s">
        <v>445</v>
      </c>
      <c r="B101" s="10"/>
      <c r="C101" s="10"/>
      <c r="D101" s="10"/>
      <c r="E101" s="10"/>
      <c r="F101" s="10"/>
      <c r="G101" s="10"/>
      <c r="H101" s="10"/>
      <c r="I101" s="10"/>
      <c r="J101" s="10"/>
      <c r="K101" s="10"/>
      <c r="L101" s="10"/>
      <c r="M101" s="10"/>
      <c r="N101" s="10"/>
      <c r="O101" s="10"/>
      <c r="P101" s="10"/>
      <c r="Q101" s="10"/>
      <c r="R101" s="10"/>
      <c r="S101" s="10"/>
      <c r="T101" s="10"/>
      <c r="U101" s="10"/>
      <c r="V101" s="10"/>
      <c r="W101" s="10"/>
    </row>
    <row r="102" customFormat="false" ht="15" hidden="false" customHeight="false" outlineLevel="0" collapsed="false">
      <c r="A102" s="11" t="s">
        <v>446</v>
      </c>
      <c r="B102" s="66" t="n">
        <f aca="false">C102+NPV(Hurdle,D102:W102)</f>
        <v>1162734.14692871</v>
      </c>
      <c r="C102" s="95" t="n">
        <f aca="false">S_Demand_Hi!$B$14</f>
        <v>1162734.14692871</v>
      </c>
      <c r="D102" s="95" t="n">
        <f aca="false">0</f>
        <v>0</v>
      </c>
      <c r="E102" s="95" t="n">
        <f aca="false">0</f>
        <v>0</v>
      </c>
      <c r="F102" s="95" t="n">
        <f aca="false">0</f>
        <v>0</v>
      </c>
      <c r="G102" s="95" t="n">
        <f aca="false">0</f>
        <v>0</v>
      </c>
      <c r="H102" s="95" t="n">
        <f aca="false">0</f>
        <v>0</v>
      </c>
      <c r="I102" s="95" t="n">
        <f aca="false">0</f>
        <v>0</v>
      </c>
      <c r="J102" s="95" t="n">
        <f aca="false">0</f>
        <v>0</v>
      </c>
      <c r="K102" s="95" t="n">
        <f aca="false">0</f>
        <v>0</v>
      </c>
      <c r="L102" s="95" t="n">
        <f aca="false">0</f>
        <v>0</v>
      </c>
      <c r="M102" s="95" t="n">
        <f aca="false">0</f>
        <v>0</v>
      </c>
      <c r="N102" s="95" t="n">
        <f aca="false">0</f>
        <v>0</v>
      </c>
      <c r="O102" s="95" t="n">
        <f aca="false">0</f>
        <v>0</v>
      </c>
      <c r="P102" s="95" t="n">
        <f aca="false">0</f>
        <v>0</v>
      </c>
      <c r="Q102" s="95" t="n">
        <f aca="false">0</f>
        <v>0</v>
      </c>
      <c r="R102" s="95" t="n">
        <f aca="false">0</f>
        <v>0</v>
      </c>
      <c r="S102" s="95" t="n">
        <f aca="false">0</f>
        <v>0</v>
      </c>
      <c r="T102" s="95" t="n">
        <f aca="false">0</f>
        <v>0</v>
      </c>
      <c r="U102" s="95" t="n">
        <f aca="false">0</f>
        <v>0</v>
      </c>
      <c r="V102" s="95" t="n">
        <f aca="false">0</f>
        <v>0</v>
      </c>
      <c r="W102" s="95" t="n">
        <f aca="false">0</f>
        <v>0</v>
      </c>
    </row>
    <row r="103" customFormat="false" ht="15" hidden="false" customHeight="false" outlineLevel="0" collapsed="false">
      <c r="A103" s="11" t="s">
        <v>447</v>
      </c>
      <c r="B103" s="66" t="n">
        <f aca="false">C103+NPV(Hurdle,D103:W103)</f>
        <v>123132.446168426</v>
      </c>
      <c r="C103" s="95" t="n">
        <v>0</v>
      </c>
      <c r="D103" s="95" t="n">
        <f aca="false">IF(AND(D41=1,MOD(D39,BattLife)=0,D39&lt;Life),BESS_kWh*C_BattRepl*LevCapex*$B$7*D44,0)</f>
        <v>0</v>
      </c>
      <c r="E103" s="95" t="n">
        <f aca="false">IF(AND(E41=1,MOD(E39,BattLife)=0,E39&lt;Life),BESS_kWh*C_BattRepl*LevCapex*$B$7*E44,0)</f>
        <v>0</v>
      </c>
      <c r="F103" s="95" t="n">
        <f aca="false">IF(AND(F41=1,MOD(F39,BattLife)=0,F39&lt;Life),BESS_kWh*C_BattRepl*LevCapex*$B$7*F44,0)</f>
        <v>0</v>
      </c>
      <c r="G103" s="95" t="n">
        <f aca="false">IF(AND(G41=1,MOD(G39,BattLife)=0,G39&lt;Life),BESS_kWh*C_BattRepl*LevCapex*$B$7*G44,0)</f>
        <v>0</v>
      </c>
      <c r="H103" s="95" t="n">
        <f aca="false">IF(AND(H41=1,MOD(H39,BattLife)=0,H39&lt;Life),BESS_kWh*C_BattRepl*LevCapex*$B$7*H44,0)</f>
        <v>0</v>
      </c>
      <c r="I103" s="95" t="n">
        <f aca="false">IF(AND(I41=1,MOD(I39,BattLife)=0,I39&lt;Life),BESS_kWh*C_BattRepl*LevCapex*$B$7*I44,0)</f>
        <v>0</v>
      </c>
      <c r="J103" s="95" t="n">
        <f aca="false">IF(AND(J41=1,MOD(J39,BattLife)=0,J39&lt;Life),BESS_kWh*C_BattRepl*LevCapex*$B$7*J44,0)</f>
        <v>0</v>
      </c>
      <c r="K103" s="95" t="n">
        <f aca="false">IF(AND(K41=1,MOD(K39,BattLife)=0,K39&lt;Life),BESS_kWh*C_BattRepl*LevCapex*$B$7*K44,0)</f>
        <v>165903.437704701</v>
      </c>
      <c r="L103" s="95" t="n">
        <f aca="false">IF(AND(L41=1,MOD(L39,BattLife)=0,L39&lt;Life),BESS_kWh*C_BattRepl*LevCapex*$B$7*L44,0)</f>
        <v>0</v>
      </c>
      <c r="M103" s="95" t="n">
        <f aca="false">IF(AND(M41=1,MOD(M39,BattLife)=0,M39&lt;Life),BESS_kWh*C_BattRepl*LevCapex*$B$7*M44,0)</f>
        <v>0</v>
      </c>
      <c r="N103" s="95" t="n">
        <f aca="false">IF(AND(N41=1,MOD(N39,BattLife)=0,N39&lt;Life),BESS_kWh*C_BattRepl*LevCapex*$B$7*N44,0)</f>
        <v>0</v>
      </c>
      <c r="O103" s="95" t="n">
        <f aca="false">IF(AND(O41=1,MOD(O39,BattLife)=0,O39&lt;Life),BESS_kWh*C_BattRepl*LevCapex*$B$7*O44,0)</f>
        <v>0</v>
      </c>
      <c r="P103" s="95" t="n">
        <f aca="false">IF(AND(P41=1,MOD(P39,BattLife)=0,P39&lt;Life),BESS_kWh*C_BattRepl*LevCapex*$B$7*P44,0)</f>
        <v>0</v>
      </c>
      <c r="Q103" s="95" t="n">
        <f aca="false">IF(AND(Q41=1,MOD(Q39,BattLife)=0,Q39&lt;Life),BESS_kWh*C_BattRepl*LevCapex*$B$7*Q44,0)</f>
        <v>0</v>
      </c>
      <c r="R103" s="95" t="n">
        <f aca="false">IF(AND(R41=1,MOD(R39,BattLife)=0,R39&lt;Life),BESS_kWh*C_BattRepl*LevCapex*$B$7*R44,0)</f>
        <v>0</v>
      </c>
      <c r="S103" s="95" t="n">
        <f aca="false">IF(AND(S41=1,MOD(S39,BattLife)=0,S39&lt;Life),BESS_kWh*C_BattRepl*LevCapex*$B$7*S44,0)</f>
        <v>210161.51128367</v>
      </c>
      <c r="T103" s="95" t="n">
        <f aca="false">IF(AND(T41=1,MOD(T39,BattLife)=0,T39&lt;Life),BESS_kWh*C_BattRepl*LevCapex*$B$7*T44,0)</f>
        <v>0</v>
      </c>
      <c r="U103" s="95" t="n">
        <f aca="false">IF(AND(U41=1,MOD(U39,BattLife)=0,U39&lt;Life),BESS_kWh*C_BattRepl*LevCapex*$B$7*U44,0)</f>
        <v>0</v>
      </c>
      <c r="V103" s="95" t="n">
        <f aca="false">IF(AND(V41=1,MOD(V39,BattLife)=0,V39&lt;Life),BESS_kWh*C_BattRepl*LevCapex*$B$7*V44,0)</f>
        <v>0</v>
      </c>
      <c r="W103" s="95" t="n">
        <f aca="false">IF(AND(W41=1,MOD(W39,BattLife)=0,W39&lt;Life),BESS_kWh*C_BattRepl*LevCapex*$B$7*W44,0)</f>
        <v>0</v>
      </c>
    </row>
    <row r="104" customFormat="false" ht="15" hidden="false" customHeight="false" outlineLevel="0" collapsed="false">
      <c r="A104" s="11" t="s">
        <v>448</v>
      </c>
      <c r="B104" s="66" t="n">
        <f aca="false">SUM(C104:W104)</f>
        <v>376064.948988371</v>
      </c>
      <c r="C104" s="95" t="n">
        <v>0</v>
      </c>
      <c r="D104" s="95" t="n">
        <f aca="false">IF(AND(UseMRA=1,D41=1,CEILING(D39,BattLife)&lt;Life),BESS_kWh*C_BattRepl*LevCapex*$B$7*(1+CostEsc)^(CEILING(D39,BattLife)-1)/BattLife,0)</f>
        <v>20737.9297130877</v>
      </c>
      <c r="E104" s="95" t="n">
        <f aca="false">IF(AND(UseMRA=1,E41=1,CEILING(E39,BattLife)&lt;Life),BESS_kWh*C_BattRepl*LevCapex*$B$7*(1+CostEsc)^(CEILING(E39,BattLife)-1)/BattLife,0)</f>
        <v>20737.9297130877</v>
      </c>
      <c r="F104" s="95" t="n">
        <f aca="false">IF(AND(UseMRA=1,F41=1,CEILING(F39,BattLife)&lt;Life),BESS_kWh*C_BattRepl*LevCapex*$B$7*(1+CostEsc)^(CEILING(F39,BattLife)-1)/BattLife,0)</f>
        <v>20737.9297130877</v>
      </c>
      <c r="G104" s="95" t="n">
        <f aca="false">IF(AND(UseMRA=1,G41=1,CEILING(G39,BattLife)&lt;Life),BESS_kWh*C_BattRepl*LevCapex*$B$7*(1+CostEsc)^(CEILING(G39,BattLife)-1)/BattLife,0)</f>
        <v>20737.9297130877</v>
      </c>
      <c r="H104" s="95" t="n">
        <f aca="false">IF(AND(UseMRA=1,H41=1,CEILING(H39,BattLife)&lt;Life),BESS_kWh*C_BattRepl*LevCapex*$B$7*(1+CostEsc)^(CEILING(H39,BattLife)-1)/BattLife,0)</f>
        <v>20737.9297130877</v>
      </c>
      <c r="I104" s="95" t="n">
        <f aca="false">IF(AND(UseMRA=1,I41=1,CEILING(I39,BattLife)&lt;Life),BESS_kWh*C_BattRepl*LevCapex*$B$7*(1+CostEsc)^(CEILING(I39,BattLife)-1)/BattLife,0)</f>
        <v>20737.9297130877</v>
      </c>
      <c r="J104" s="95" t="n">
        <f aca="false">IF(AND(UseMRA=1,J41=1,CEILING(J39,BattLife)&lt;Life),BESS_kWh*C_BattRepl*LevCapex*$B$7*(1+CostEsc)^(CEILING(J39,BattLife)-1)/BattLife,0)</f>
        <v>20737.9297130877</v>
      </c>
      <c r="K104" s="95" t="n">
        <f aca="false">IF(AND(UseMRA=1,K41=1,CEILING(K39,BattLife)&lt;Life),BESS_kWh*C_BattRepl*LevCapex*$B$7*(1+CostEsc)^(CEILING(K39,BattLife)-1)/BattLife,0)</f>
        <v>20737.9297130877</v>
      </c>
      <c r="L104" s="95" t="n">
        <f aca="false">IF(AND(UseMRA=1,L41=1,CEILING(L39,BattLife)&lt;Life),BESS_kWh*C_BattRepl*LevCapex*$B$7*(1+CostEsc)^(CEILING(L39,BattLife)-1)/BattLife,0)</f>
        <v>26270.1889104587</v>
      </c>
      <c r="M104" s="95" t="n">
        <f aca="false">IF(AND(UseMRA=1,M41=1,CEILING(M39,BattLife)&lt;Life),BESS_kWh*C_BattRepl*LevCapex*$B$7*(1+CostEsc)^(CEILING(M39,BattLife)-1)/BattLife,0)</f>
        <v>26270.1889104587</v>
      </c>
      <c r="N104" s="95" t="n">
        <f aca="false">IF(AND(UseMRA=1,N41=1,CEILING(N39,BattLife)&lt;Life),BESS_kWh*C_BattRepl*LevCapex*$B$7*(1+CostEsc)^(CEILING(N39,BattLife)-1)/BattLife,0)</f>
        <v>26270.1889104587</v>
      </c>
      <c r="O104" s="95" t="n">
        <f aca="false">IF(AND(UseMRA=1,O41=1,CEILING(O39,BattLife)&lt;Life),BESS_kWh*C_BattRepl*LevCapex*$B$7*(1+CostEsc)^(CEILING(O39,BattLife)-1)/BattLife,0)</f>
        <v>26270.1889104587</v>
      </c>
      <c r="P104" s="95" t="n">
        <f aca="false">IF(AND(UseMRA=1,P41=1,CEILING(P39,BattLife)&lt;Life),BESS_kWh*C_BattRepl*LevCapex*$B$7*(1+CostEsc)^(CEILING(P39,BattLife)-1)/BattLife,0)</f>
        <v>26270.1889104587</v>
      </c>
      <c r="Q104" s="95" t="n">
        <f aca="false">IF(AND(UseMRA=1,Q41=1,CEILING(Q39,BattLife)&lt;Life),BESS_kWh*C_BattRepl*LevCapex*$B$7*(1+CostEsc)^(CEILING(Q39,BattLife)-1)/BattLife,0)</f>
        <v>26270.1889104587</v>
      </c>
      <c r="R104" s="95" t="n">
        <f aca="false">IF(AND(UseMRA=1,R41=1,CEILING(R39,BattLife)&lt;Life),BESS_kWh*C_BattRepl*LevCapex*$B$7*(1+CostEsc)^(CEILING(R39,BattLife)-1)/BattLife,0)</f>
        <v>26270.1889104587</v>
      </c>
      <c r="S104" s="95" t="n">
        <f aca="false">IF(AND(UseMRA=1,S41=1,CEILING(S39,BattLife)&lt;Life),BESS_kWh*C_BattRepl*LevCapex*$B$7*(1+CostEsc)^(CEILING(S39,BattLife)-1)/BattLife,0)</f>
        <v>26270.1889104587</v>
      </c>
      <c r="T104" s="95" t="n">
        <f aca="false">IF(AND(UseMRA=1,T41=1,CEILING(T39,BattLife)&lt;Life),BESS_kWh*C_BattRepl*LevCapex*$B$7*(1+CostEsc)^(CEILING(T39,BattLife)-1)/BattLife,0)</f>
        <v>0</v>
      </c>
      <c r="U104" s="95" t="n">
        <f aca="false">IF(AND(UseMRA=1,U41=1,CEILING(U39,BattLife)&lt;Life),BESS_kWh*C_BattRepl*LevCapex*$B$7*(1+CostEsc)^(CEILING(U39,BattLife)-1)/BattLife,0)</f>
        <v>0</v>
      </c>
      <c r="V104" s="95" t="n">
        <f aca="false">IF(AND(UseMRA=1,V41=1,CEILING(V39,BattLife)&lt;Life),BESS_kWh*C_BattRepl*LevCapex*$B$7*(1+CostEsc)^(CEILING(V39,BattLife)-1)/BattLife,0)</f>
        <v>0</v>
      </c>
      <c r="W104" s="95" t="n">
        <f aca="false">IF(AND(UseMRA=1,W41=1,CEILING(W39,BattLife)&lt;Life),BESS_kWh*C_BattRepl*LevCapex*$B$7*(1+CostEsc)^(CEILING(W39,BattLife)-1)/BattLife,0)</f>
        <v>0</v>
      </c>
    </row>
    <row r="105" customFormat="false" ht="15" hidden="false" customHeight="false" outlineLevel="0" collapsed="false">
      <c r="A105" s="11" t="s">
        <v>449</v>
      </c>
      <c r="B105" s="66" t="n">
        <f aca="false">SUM(C105:W105)</f>
        <v>376064.948988371</v>
      </c>
      <c r="C105" s="95" t="n">
        <v>0</v>
      </c>
      <c r="D105" s="95" t="n">
        <f aca="false">IF(UseMRA=1,D104,D103)</f>
        <v>20737.9297130877</v>
      </c>
      <c r="E105" s="95" t="n">
        <f aca="false">IF(UseMRA=1,E104,E103)</f>
        <v>20737.9297130877</v>
      </c>
      <c r="F105" s="95" t="n">
        <f aca="false">IF(UseMRA=1,F104,F103)</f>
        <v>20737.9297130877</v>
      </c>
      <c r="G105" s="95" t="n">
        <f aca="false">IF(UseMRA=1,G104,G103)</f>
        <v>20737.9297130877</v>
      </c>
      <c r="H105" s="95" t="n">
        <f aca="false">IF(UseMRA=1,H104,H103)</f>
        <v>20737.9297130877</v>
      </c>
      <c r="I105" s="95" t="n">
        <f aca="false">IF(UseMRA=1,I104,I103)</f>
        <v>20737.9297130877</v>
      </c>
      <c r="J105" s="95" t="n">
        <f aca="false">IF(UseMRA=1,J104,J103)</f>
        <v>20737.9297130877</v>
      </c>
      <c r="K105" s="95" t="n">
        <f aca="false">IF(UseMRA=1,K104,K103)</f>
        <v>20737.9297130877</v>
      </c>
      <c r="L105" s="95" t="n">
        <f aca="false">IF(UseMRA=1,L104,L103)</f>
        <v>26270.1889104587</v>
      </c>
      <c r="M105" s="95" t="n">
        <f aca="false">IF(UseMRA=1,M104,M103)</f>
        <v>26270.1889104587</v>
      </c>
      <c r="N105" s="95" t="n">
        <f aca="false">IF(UseMRA=1,N104,N103)</f>
        <v>26270.1889104587</v>
      </c>
      <c r="O105" s="95" t="n">
        <f aca="false">IF(UseMRA=1,O104,O103)</f>
        <v>26270.1889104587</v>
      </c>
      <c r="P105" s="95" t="n">
        <f aca="false">IF(UseMRA=1,P104,P103)</f>
        <v>26270.1889104587</v>
      </c>
      <c r="Q105" s="95" t="n">
        <f aca="false">IF(UseMRA=1,Q104,Q103)</f>
        <v>26270.1889104587</v>
      </c>
      <c r="R105" s="95" t="n">
        <f aca="false">IF(UseMRA=1,R104,R103)</f>
        <v>26270.1889104587</v>
      </c>
      <c r="S105" s="95" t="n">
        <f aca="false">IF(UseMRA=1,S104,S103)</f>
        <v>26270.1889104587</v>
      </c>
      <c r="T105" s="95" t="n">
        <f aca="false">IF(UseMRA=1,T104,T103)</f>
        <v>0</v>
      </c>
      <c r="U105" s="95" t="n">
        <f aca="false">IF(UseMRA=1,U104,U103)</f>
        <v>0</v>
      </c>
      <c r="V105" s="95" t="n">
        <f aca="false">IF(UseMRA=1,V104,V103)</f>
        <v>0</v>
      </c>
      <c r="W105" s="95" t="n">
        <f aca="false">IF(UseMRA=1,W104,W103)</f>
        <v>0</v>
      </c>
    </row>
    <row r="106" customFormat="false" ht="15" hidden="false" customHeight="false" outlineLevel="0" collapsed="false">
      <c r="A106" s="11" t="s">
        <v>175</v>
      </c>
      <c r="B106" s="66" t="n">
        <f aca="false">SUM(C106:W106)</f>
        <v>600000</v>
      </c>
      <c r="C106" s="95" t="n">
        <f aca="false">Grant</f>
        <v>600000</v>
      </c>
      <c r="D106" s="95" t="n">
        <f aca="false">0</f>
        <v>0</v>
      </c>
      <c r="E106" s="95" t="n">
        <f aca="false">0</f>
        <v>0</v>
      </c>
      <c r="F106" s="95" t="n">
        <f aca="false">0</f>
        <v>0</v>
      </c>
      <c r="G106" s="95" t="n">
        <f aca="false">0</f>
        <v>0</v>
      </c>
      <c r="H106" s="95" t="n">
        <f aca="false">0</f>
        <v>0</v>
      </c>
      <c r="I106" s="95" t="n">
        <f aca="false">0</f>
        <v>0</v>
      </c>
      <c r="J106" s="95" t="n">
        <f aca="false">0</f>
        <v>0</v>
      </c>
      <c r="K106" s="95" t="n">
        <f aca="false">0</f>
        <v>0</v>
      </c>
      <c r="L106" s="95" t="n">
        <f aca="false">0</f>
        <v>0</v>
      </c>
      <c r="M106" s="95" t="n">
        <f aca="false">0</f>
        <v>0</v>
      </c>
      <c r="N106" s="95" t="n">
        <f aca="false">0</f>
        <v>0</v>
      </c>
      <c r="O106" s="95" t="n">
        <f aca="false">0</f>
        <v>0</v>
      </c>
      <c r="P106" s="95" t="n">
        <f aca="false">0</f>
        <v>0</v>
      </c>
      <c r="Q106" s="95" t="n">
        <f aca="false">0</f>
        <v>0</v>
      </c>
      <c r="R106" s="95" t="n">
        <f aca="false">0</f>
        <v>0</v>
      </c>
      <c r="S106" s="95" t="n">
        <f aca="false">0</f>
        <v>0</v>
      </c>
      <c r="T106" s="95" t="n">
        <f aca="false">0</f>
        <v>0</v>
      </c>
      <c r="U106" s="95" t="n">
        <f aca="false">0</f>
        <v>0</v>
      </c>
      <c r="V106" s="95" t="n">
        <f aca="false">0</f>
        <v>0</v>
      </c>
      <c r="W106" s="95" t="n">
        <f aca="false">0</f>
        <v>0</v>
      </c>
    </row>
    <row r="107" customFormat="false" ht="15" hidden="false" customHeight="false" outlineLevel="0" collapsed="false">
      <c r="A107" s="11" t="s">
        <v>450</v>
      </c>
      <c r="B107" s="66" t="n">
        <f aca="false">SUM(C107:W107)</f>
        <v>252000</v>
      </c>
      <c r="C107" s="95" t="n">
        <v>0</v>
      </c>
      <c r="D107" s="95" t="n">
        <f aca="false">D54*Seg1_RBF+D55*Seg2_RBF+D56*Seg3_RBF+D57*Seg4_RBF+D58*Seg5_RBF</f>
        <v>151200</v>
      </c>
      <c r="E107" s="95" t="n">
        <f aca="false">E54*Seg1_RBF+E55*Seg2_RBF+E56*Seg3_RBF+E57*Seg4_RBF+E58*Seg5_RBF</f>
        <v>63000</v>
      </c>
      <c r="F107" s="95" t="n">
        <f aca="false">F54*Seg1_RBF+F55*Seg2_RBF+F56*Seg3_RBF+F57*Seg4_RBF+F58*Seg5_RBF</f>
        <v>37800</v>
      </c>
      <c r="G107" s="95" t="n">
        <f aca="false">G54*Seg1_RBF+G55*Seg2_RBF+G56*Seg3_RBF+G57*Seg4_RBF+G58*Seg5_RBF</f>
        <v>0</v>
      </c>
      <c r="H107" s="95" t="n">
        <f aca="false">H54*Seg1_RBF+H55*Seg2_RBF+H56*Seg3_RBF+H57*Seg4_RBF+H58*Seg5_RBF</f>
        <v>0</v>
      </c>
      <c r="I107" s="95" t="n">
        <f aca="false">I54*Seg1_RBF+I55*Seg2_RBF+I56*Seg3_RBF+I57*Seg4_RBF+I58*Seg5_RBF</f>
        <v>0</v>
      </c>
      <c r="J107" s="95" t="n">
        <f aca="false">J54*Seg1_RBF+J55*Seg2_RBF+J56*Seg3_RBF+J57*Seg4_RBF+J58*Seg5_RBF</f>
        <v>0</v>
      </c>
      <c r="K107" s="95" t="n">
        <f aca="false">K54*Seg1_RBF+K55*Seg2_RBF+K56*Seg3_RBF+K57*Seg4_RBF+K58*Seg5_RBF</f>
        <v>0</v>
      </c>
      <c r="L107" s="95" t="n">
        <f aca="false">L54*Seg1_RBF+L55*Seg2_RBF+L56*Seg3_RBF+L57*Seg4_RBF+L58*Seg5_RBF</f>
        <v>0</v>
      </c>
      <c r="M107" s="95" t="n">
        <f aca="false">M54*Seg1_RBF+M55*Seg2_RBF+M56*Seg3_RBF+M57*Seg4_RBF+M58*Seg5_RBF</f>
        <v>0</v>
      </c>
      <c r="N107" s="95" t="n">
        <f aca="false">N54*Seg1_RBF+N55*Seg2_RBF+N56*Seg3_RBF+N57*Seg4_RBF+N58*Seg5_RBF</f>
        <v>0</v>
      </c>
      <c r="O107" s="95" t="n">
        <f aca="false">O54*Seg1_RBF+O55*Seg2_RBF+O56*Seg3_RBF+O57*Seg4_RBF+O58*Seg5_RBF</f>
        <v>0</v>
      </c>
      <c r="P107" s="95" t="n">
        <f aca="false">P54*Seg1_RBF+P55*Seg2_RBF+P56*Seg3_RBF+P57*Seg4_RBF+P58*Seg5_RBF</f>
        <v>0</v>
      </c>
      <c r="Q107" s="95" t="n">
        <f aca="false">Q54*Seg1_RBF+Q55*Seg2_RBF+Q56*Seg3_RBF+Q57*Seg4_RBF+Q58*Seg5_RBF</f>
        <v>0</v>
      </c>
      <c r="R107" s="95" t="n">
        <f aca="false">R54*Seg1_RBF+R55*Seg2_RBF+R56*Seg3_RBF+R57*Seg4_RBF+R58*Seg5_RBF</f>
        <v>0</v>
      </c>
      <c r="S107" s="95" t="n">
        <f aca="false">S54*Seg1_RBF+S55*Seg2_RBF+S56*Seg3_RBF+S57*Seg4_RBF+S58*Seg5_RBF</f>
        <v>0</v>
      </c>
      <c r="T107" s="95" t="n">
        <f aca="false">T54*Seg1_RBF+T55*Seg2_RBF+T56*Seg3_RBF+T57*Seg4_RBF+T58*Seg5_RBF</f>
        <v>0</v>
      </c>
      <c r="U107" s="95" t="n">
        <f aca="false">U54*Seg1_RBF+U55*Seg2_RBF+U56*Seg3_RBF+U57*Seg4_RBF+U58*Seg5_RBF</f>
        <v>0</v>
      </c>
      <c r="V107" s="95" t="n">
        <f aca="false">V54*Seg1_RBF+V55*Seg2_RBF+V56*Seg3_RBF+V57*Seg4_RBF+V58*Seg5_RBF</f>
        <v>0</v>
      </c>
      <c r="W107" s="95" t="n">
        <f aca="false">W54*Seg1_RBF+W55*Seg2_RBF+W56*Seg3_RBF+W57*Seg4_RBF+W58*Seg5_RBF</f>
        <v>0</v>
      </c>
    </row>
    <row r="108" customFormat="false" ht="15" hidden="false" customHeight="false" outlineLevel="0" collapsed="false">
      <c r="A108" s="11" t="s">
        <v>451</v>
      </c>
      <c r="B108" s="66" t="n">
        <f aca="false">SUM(C108:W108)</f>
        <v>252000</v>
      </c>
      <c r="C108" s="95" t="n">
        <v>0</v>
      </c>
      <c r="D108" s="95" t="n">
        <f aca="false">IF(D39-RBFLag&gt;=1,INDEX($C$107:$W$107,1,D39-RBFLag+1),0)</f>
        <v>151200</v>
      </c>
      <c r="E108" s="95" t="n">
        <f aca="false">IF(E39-RBFLag&gt;=1,INDEX($C$107:$W$107,1,E39-RBFLag+1),0)</f>
        <v>63000</v>
      </c>
      <c r="F108" s="95" t="n">
        <f aca="false">IF(F39-RBFLag&gt;=1,INDEX($C$107:$W$107,1,F39-RBFLag+1),0)</f>
        <v>37800</v>
      </c>
      <c r="G108" s="95" t="n">
        <f aca="false">IF(G39-RBFLag&gt;=1,INDEX($C$107:$W$107,1,G39-RBFLag+1),0)</f>
        <v>0</v>
      </c>
      <c r="H108" s="95" t="n">
        <f aca="false">IF(H39-RBFLag&gt;=1,INDEX($C$107:$W$107,1,H39-RBFLag+1),0)</f>
        <v>0</v>
      </c>
      <c r="I108" s="95" t="n">
        <f aca="false">IF(I39-RBFLag&gt;=1,INDEX($C$107:$W$107,1,I39-RBFLag+1),0)</f>
        <v>0</v>
      </c>
      <c r="J108" s="95" t="n">
        <f aca="false">IF(J39-RBFLag&gt;=1,INDEX($C$107:$W$107,1,J39-RBFLag+1),0)</f>
        <v>0</v>
      </c>
      <c r="K108" s="95" t="n">
        <f aca="false">IF(K39-RBFLag&gt;=1,INDEX($C$107:$W$107,1,K39-RBFLag+1),0)</f>
        <v>0</v>
      </c>
      <c r="L108" s="95" t="n">
        <f aca="false">IF(L39-RBFLag&gt;=1,INDEX($C$107:$W$107,1,L39-RBFLag+1),0)</f>
        <v>0</v>
      </c>
      <c r="M108" s="95" t="n">
        <f aca="false">IF(M39-RBFLag&gt;=1,INDEX($C$107:$W$107,1,M39-RBFLag+1),0)</f>
        <v>0</v>
      </c>
      <c r="N108" s="95" t="n">
        <f aca="false">IF(N39-RBFLag&gt;=1,INDEX($C$107:$W$107,1,N39-RBFLag+1),0)</f>
        <v>0</v>
      </c>
      <c r="O108" s="95" t="n">
        <f aca="false">IF(O39-RBFLag&gt;=1,INDEX($C$107:$W$107,1,O39-RBFLag+1),0)</f>
        <v>0</v>
      </c>
      <c r="P108" s="95" t="n">
        <f aca="false">IF(P39-RBFLag&gt;=1,INDEX($C$107:$W$107,1,P39-RBFLag+1),0)</f>
        <v>0</v>
      </c>
      <c r="Q108" s="95" t="n">
        <f aca="false">IF(Q39-RBFLag&gt;=1,INDEX($C$107:$W$107,1,Q39-RBFLag+1),0)</f>
        <v>0</v>
      </c>
      <c r="R108" s="95" t="n">
        <f aca="false">IF(R39-RBFLag&gt;=1,INDEX($C$107:$W$107,1,R39-RBFLag+1),0)</f>
        <v>0</v>
      </c>
      <c r="S108" s="95" t="n">
        <f aca="false">IF(S39-RBFLag&gt;=1,INDEX($C$107:$W$107,1,S39-RBFLag+1),0)</f>
        <v>0</v>
      </c>
      <c r="T108" s="95" t="n">
        <f aca="false">IF(T39-RBFLag&gt;=1,INDEX($C$107:$W$107,1,T39-RBFLag+1),0)</f>
        <v>0</v>
      </c>
      <c r="U108" s="95" t="n">
        <f aca="false">IF(U39-RBFLag&gt;=1,INDEX($C$107:$W$107,1,U39-RBFLag+1),0)</f>
        <v>0</v>
      </c>
      <c r="V108" s="95" t="n">
        <f aca="false">IF(V39-RBFLag&gt;=1,INDEX($C$107:$W$107,1,V39-RBFLag+1),0)</f>
        <v>0</v>
      </c>
      <c r="W108" s="95" t="n">
        <f aca="false">IF(W39-RBFLag&gt;=1,INDEX($C$107:$W$107,1,W39-RBFLag+1),0)</f>
        <v>0</v>
      </c>
    </row>
    <row r="109" customFormat="false" ht="15" hidden="false" customHeight="false" outlineLevel="0" collapsed="false">
      <c r="A109" s="11" t="s">
        <v>452</v>
      </c>
      <c r="B109" s="76" t="n">
        <f aca="false">SUM(C109:W109)</f>
        <v>970</v>
      </c>
      <c r="C109" s="93" t="n">
        <v>0</v>
      </c>
      <c r="D109" s="93" t="n">
        <f aca="false">IF(D39-RBFLag&gt;=1,INDEX($C$59:$W$59,1,D39-RBFLag+1),0)</f>
        <v>582</v>
      </c>
      <c r="E109" s="93" t="n">
        <f aca="false">IF(E39-RBFLag&gt;=1,INDEX($C$59:$W$59,1,E39-RBFLag+1),0)</f>
        <v>242.5</v>
      </c>
      <c r="F109" s="93" t="n">
        <f aca="false">IF(F39-RBFLag&gt;=1,INDEX($C$59:$W$59,1,F39-RBFLag+1),0)</f>
        <v>145.5</v>
      </c>
      <c r="G109" s="93" t="n">
        <f aca="false">IF(G39-RBFLag&gt;=1,INDEX($C$59:$W$59,1,G39-RBFLag+1),0)</f>
        <v>0</v>
      </c>
      <c r="H109" s="93" t="n">
        <f aca="false">IF(H39-RBFLag&gt;=1,INDEX($C$59:$W$59,1,H39-RBFLag+1),0)</f>
        <v>0</v>
      </c>
      <c r="I109" s="93" t="n">
        <f aca="false">IF(I39-RBFLag&gt;=1,INDEX($C$59:$W$59,1,I39-RBFLag+1),0)</f>
        <v>0</v>
      </c>
      <c r="J109" s="93" t="n">
        <f aca="false">IF(J39-RBFLag&gt;=1,INDEX($C$59:$W$59,1,J39-RBFLag+1),0)</f>
        <v>0</v>
      </c>
      <c r="K109" s="93" t="n">
        <f aca="false">IF(K39-RBFLag&gt;=1,INDEX($C$59:$W$59,1,K39-RBFLag+1),0)</f>
        <v>0</v>
      </c>
      <c r="L109" s="93" t="n">
        <f aca="false">IF(L39-RBFLag&gt;=1,INDEX($C$59:$W$59,1,L39-RBFLag+1),0)</f>
        <v>0</v>
      </c>
      <c r="M109" s="93" t="n">
        <f aca="false">IF(M39-RBFLag&gt;=1,INDEX($C$59:$W$59,1,M39-RBFLag+1),0)</f>
        <v>0</v>
      </c>
      <c r="N109" s="93" t="n">
        <f aca="false">IF(N39-RBFLag&gt;=1,INDEX($C$59:$W$59,1,N39-RBFLag+1),0)</f>
        <v>0</v>
      </c>
      <c r="O109" s="93" t="n">
        <f aca="false">IF(O39-RBFLag&gt;=1,INDEX($C$59:$W$59,1,O39-RBFLag+1),0)</f>
        <v>0</v>
      </c>
      <c r="P109" s="93" t="n">
        <f aca="false">IF(P39-RBFLag&gt;=1,INDEX($C$59:$W$59,1,P39-RBFLag+1),0)</f>
        <v>0</v>
      </c>
      <c r="Q109" s="93" t="n">
        <f aca="false">IF(Q39-RBFLag&gt;=1,INDEX($C$59:$W$59,1,Q39-RBFLag+1),0)</f>
        <v>0</v>
      </c>
      <c r="R109" s="93" t="n">
        <f aca="false">IF(R39-RBFLag&gt;=1,INDEX($C$59:$W$59,1,R39-RBFLag+1),0)</f>
        <v>0</v>
      </c>
      <c r="S109" s="93" t="n">
        <f aca="false">IF(S39-RBFLag&gt;=1,INDEX($C$59:$W$59,1,S39-RBFLag+1),0)</f>
        <v>0</v>
      </c>
      <c r="T109" s="93" t="n">
        <f aca="false">IF(T39-RBFLag&gt;=1,INDEX($C$59:$W$59,1,T39-RBFLag+1),0)</f>
        <v>0</v>
      </c>
      <c r="U109" s="93" t="n">
        <f aca="false">IF(U39-RBFLag&gt;=1,INDEX($C$59:$W$59,1,U39-RBFLag+1),0)</f>
        <v>0</v>
      </c>
      <c r="V109" s="93" t="n">
        <f aca="false">IF(V39-RBFLag&gt;=1,INDEX($C$59:$W$59,1,V39-RBFLag+1),0)</f>
        <v>0</v>
      </c>
      <c r="W109" s="93" t="n">
        <f aca="false">IF(W39-RBFLag&gt;=1,INDEX($C$59:$W$59,1,W39-RBFLag+1),0)</f>
        <v>0</v>
      </c>
    </row>
    <row r="111" customFormat="false" ht="15" hidden="false" customHeight="false" outlineLevel="0" collapsed="false">
      <c r="A111" s="9" t="s">
        <v>453</v>
      </c>
      <c r="B111" s="10"/>
      <c r="C111" s="10"/>
      <c r="D111" s="10"/>
      <c r="E111" s="10"/>
      <c r="F111" s="10"/>
      <c r="G111" s="10"/>
      <c r="H111" s="10"/>
      <c r="I111" s="10"/>
      <c r="J111" s="10"/>
      <c r="K111" s="10"/>
      <c r="L111" s="10"/>
      <c r="M111" s="10"/>
      <c r="N111" s="10"/>
      <c r="O111" s="10"/>
      <c r="P111" s="10"/>
      <c r="Q111" s="10"/>
      <c r="R111" s="10"/>
      <c r="S111" s="10"/>
      <c r="T111" s="10"/>
      <c r="U111" s="10"/>
      <c r="V111" s="10"/>
      <c r="W111" s="10"/>
    </row>
    <row r="112" customFormat="false" ht="15" hidden="false" customHeight="false" outlineLevel="0" collapsed="false">
      <c r="A112" s="11" t="s">
        <v>454</v>
      </c>
      <c r="C112" s="95" t="n">
        <v>0</v>
      </c>
      <c r="D112" s="95" t="n">
        <f aca="false">C116</f>
        <v>112546.829385741</v>
      </c>
      <c r="E112" s="95" t="n">
        <f aca="false">D116</f>
        <v>112546.829385741</v>
      </c>
      <c r="F112" s="95" t="n">
        <f aca="false">E116</f>
        <v>112546.829385741</v>
      </c>
      <c r="G112" s="95" t="n">
        <f aca="false">F116</f>
        <v>102705.282458945</v>
      </c>
      <c r="H112" s="95" t="n">
        <f aca="false">G116</f>
        <v>91879.5808394692</v>
      </c>
      <c r="I112" s="95" t="n">
        <f aca="false">H116</f>
        <v>79971.3090580457</v>
      </c>
      <c r="J112" s="95" t="n">
        <f aca="false">I116</f>
        <v>66872.2100984798</v>
      </c>
      <c r="K112" s="95" t="n">
        <f aca="false">J116</f>
        <v>52463.2012429573</v>
      </c>
      <c r="L112" s="95" t="n">
        <f aca="false">K116</f>
        <v>36613.2915018826</v>
      </c>
      <c r="M112" s="95" t="n">
        <f aca="false">L116</f>
        <v>19178.3907867004</v>
      </c>
      <c r="N112" s="95" t="n">
        <f aca="false">M116</f>
        <v>0</v>
      </c>
      <c r="O112" s="95" t="n">
        <f aca="false">N116</f>
        <v>0</v>
      </c>
      <c r="P112" s="95" t="n">
        <f aca="false">O116</f>
        <v>0</v>
      </c>
      <c r="Q112" s="95" t="n">
        <f aca="false">P116</f>
        <v>0</v>
      </c>
      <c r="R112" s="95" t="n">
        <f aca="false">Q116</f>
        <v>0</v>
      </c>
      <c r="S112" s="95" t="n">
        <f aca="false">R116</f>
        <v>0</v>
      </c>
      <c r="T112" s="95" t="n">
        <f aca="false">S116</f>
        <v>0</v>
      </c>
      <c r="U112" s="95" t="n">
        <f aca="false">T116</f>
        <v>0</v>
      </c>
      <c r="V112" s="95" t="n">
        <f aca="false">U116</f>
        <v>0</v>
      </c>
      <c r="W112" s="95" t="n">
        <f aca="false">V116</f>
        <v>0</v>
      </c>
    </row>
    <row r="113" customFormat="false" ht="15" hidden="false" customHeight="false" outlineLevel="0" collapsed="false">
      <c r="A113" s="11" t="s">
        <v>455</v>
      </c>
      <c r="B113" s="66" t="n">
        <f aca="false">SUM(C113:W113)</f>
        <v>112546.829385741</v>
      </c>
      <c r="C113" s="95" t="n">
        <f aca="false">S_Demand_Hi!$B$16</f>
        <v>112546.829385741</v>
      </c>
      <c r="D113" s="95" t="n">
        <f aca="false">0</f>
        <v>0</v>
      </c>
      <c r="E113" s="95" t="n">
        <f aca="false">0</f>
        <v>0</v>
      </c>
      <c r="F113" s="95" t="n">
        <f aca="false">0</f>
        <v>0</v>
      </c>
      <c r="G113" s="95" t="n">
        <f aca="false">0</f>
        <v>0</v>
      </c>
      <c r="H113" s="95" t="n">
        <f aca="false">0</f>
        <v>0</v>
      </c>
      <c r="I113" s="95" t="n">
        <f aca="false">0</f>
        <v>0</v>
      </c>
      <c r="J113" s="95" t="n">
        <f aca="false">0</f>
        <v>0</v>
      </c>
      <c r="K113" s="95" t="n">
        <f aca="false">0</f>
        <v>0</v>
      </c>
      <c r="L113" s="95" t="n">
        <f aca="false">0</f>
        <v>0</v>
      </c>
      <c r="M113" s="95" t="n">
        <f aca="false">0</f>
        <v>0</v>
      </c>
      <c r="N113" s="95" t="n">
        <f aca="false">0</f>
        <v>0</v>
      </c>
      <c r="O113" s="95" t="n">
        <f aca="false">0</f>
        <v>0</v>
      </c>
      <c r="P113" s="95" t="n">
        <f aca="false">0</f>
        <v>0</v>
      </c>
      <c r="Q113" s="95" t="n">
        <f aca="false">0</f>
        <v>0</v>
      </c>
      <c r="R113" s="95" t="n">
        <f aca="false">0</f>
        <v>0</v>
      </c>
      <c r="S113" s="95" t="n">
        <f aca="false">0</f>
        <v>0</v>
      </c>
      <c r="T113" s="95" t="n">
        <f aca="false">0</f>
        <v>0</v>
      </c>
      <c r="U113" s="95" t="n">
        <f aca="false">0</f>
        <v>0</v>
      </c>
      <c r="V113" s="95" t="n">
        <f aca="false">0</f>
        <v>0</v>
      </c>
      <c r="W113" s="95" t="n">
        <f aca="false">0</f>
        <v>0</v>
      </c>
    </row>
    <row r="114" customFormat="false" ht="15" hidden="false" customHeight="false" outlineLevel="0" collapsed="false">
      <c r="A114" s="11" t="s">
        <v>456</v>
      </c>
      <c r="B114" s="66" t="n">
        <f aca="false">SUM(C114:W114)</f>
        <v>78732.3754143705</v>
      </c>
      <c r="C114" s="95" t="n">
        <v>0</v>
      </c>
      <c r="D114" s="95" t="n">
        <f aca="false">D112*SenRate*$B$11</f>
        <v>11254.6829385742</v>
      </c>
      <c r="E114" s="95" t="n">
        <f aca="false">E112*SenRate*$B$11</f>
        <v>11254.6829385742</v>
      </c>
      <c r="F114" s="95" t="n">
        <f aca="false">F112*SenRate*$B$11</f>
        <v>11254.6829385742</v>
      </c>
      <c r="G114" s="95" t="n">
        <f aca="false">G112*SenRate*$B$11</f>
        <v>10270.5282458945</v>
      </c>
      <c r="H114" s="95" t="n">
        <f aca="false">H112*SenRate*$B$11</f>
        <v>9187.95808394693</v>
      </c>
      <c r="I114" s="95" t="n">
        <f aca="false">I112*SenRate*$B$11</f>
        <v>7997.13090580457</v>
      </c>
      <c r="J114" s="95" t="n">
        <f aca="false">J112*SenRate*$B$11</f>
        <v>6687.22100984798</v>
      </c>
      <c r="K114" s="95" t="n">
        <f aca="false">K112*SenRate*$B$11</f>
        <v>5246.32012429573</v>
      </c>
      <c r="L114" s="95" t="n">
        <f aca="false">L112*SenRate*$B$11</f>
        <v>3661.32915018826</v>
      </c>
      <c r="M114" s="95" t="n">
        <f aca="false">M112*SenRate*$B$11</f>
        <v>1917.83907867004</v>
      </c>
      <c r="N114" s="95" t="n">
        <f aca="false">N112*SenRate*$B$11</f>
        <v>0</v>
      </c>
      <c r="O114" s="95" t="n">
        <f aca="false">O112*SenRate*$B$11</f>
        <v>0</v>
      </c>
      <c r="P114" s="95" t="n">
        <f aca="false">P112*SenRate*$B$11</f>
        <v>0</v>
      </c>
      <c r="Q114" s="95" t="n">
        <f aca="false">Q112*SenRate*$B$11</f>
        <v>0</v>
      </c>
      <c r="R114" s="95" t="n">
        <f aca="false">R112*SenRate*$B$11</f>
        <v>0</v>
      </c>
      <c r="S114" s="95" t="n">
        <f aca="false">S112*SenRate*$B$11</f>
        <v>0</v>
      </c>
      <c r="T114" s="95" t="n">
        <f aca="false">T112*SenRate*$B$11</f>
        <v>0</v>
      </c>
      <c r="U114" s="95" t="n">
        <f aca="false">U112*SenRate*$B$11</f>
        <v>0</v>
      </c>
      <c r="V114" s="95" t="n">
        <f aca="false">V112*SenRate*$B$11</f>
        <v>0</v>
      </c>
      <c r="W114" s="95" t="n">
        <f aca="false">W112*SenRate*$B$11</f>
        <v>0</v>
      </c>
    </row>
    <row r="115" customFormat="false" ht="15" hidden="false" customHeight="false" outlineLevel="0" collapsed="false">
      <c r="A115" s="11" t="s">
        <v>457</v>
      </c>
      <c r="B115" s="66" t="n">
        <f aca="false">SUM(C115:W115)</f>
        <v>112546.829385742</v>
      </c>
      <c r="C115" s="95" t="n">
        <v>0</v>
      </c>
      <c r="D115" s="95" t="n">
        <f aca="false">IF(AND(D39&gt;SenGrace,D39&lt;=SenTenor),PMT(SenRate*$B$11,SenTenor-SenGrace,-S_Demand_Hi!$B$16)-D114,0)</f>
        <v>0</v>
      </c>
      <c r="E115" s="95" t="n">
        <f aca="false">IF(AND(E39&gt;SenGrace,E39&lt;=SenTenor),PMT(SenRate*$B$11,SenTenor-SenGrace,-S_Demand_Hi!$B$16)-E114,0)</f>
        <v>0</v>
      </c>
      <c r="F115" s="95" t="n">
        <f aca="false">IF(AND(F39&gt;SenGrace,F39&lt;=SenTenor),PMT(SenRate*$B$11,SenTenor-SenGrace,-S_Demand_Hi!$B$16)-F114,0)</f>
        <v>9841.54692679631</v>
      </c>
      <c r="G115" s="95" t="n">
        <f aca="false">IF(AND(G39&gt;SenGrace,G39&lt;=SenTenor),PMT(SenRate*$B$11,SenTenor-SenGrace,-S_Demand_Hi!$B$16)-G114,0)</f>
        <v>10825.7016194759</v>
      </c>
      <c r="H115" s="95" t="n">
        <f aca="false">IF(AND(H39&gt;SenGrace,H39&lt;=SenTenor),PMT(SenRate*$B$11,SenTenor-SenGrace,-S_Demand_Hi!$B$16)-H114,0)</f>
        <v>11908.2717814235</v>
      </c>
      <c r="I115" s="95" t="n">
        <f aca="false">IF(AND(I39&gt;SenGrace,I39&lt;=SenTenor),PMT(SenRate*$B$11,SenTenor-SenGrace,-S_Demand_Hi!$B$16)-I114,0)</f>
        <v>13099.0989595659</v>
      </c>
      <c r="J115" s="95" t="n">
        <f aca="false">IF(AND(J39&gt;SenGrace,J39&lt;=SenTenor),PMT(SenRate*$B$11,SenTenor-SenGrace,-S_Demand_Hi!$B$16)-J114,0)</f>
        <v>14409.0088555225</v>
      </c>
      <c r="K115" s="95" t="n">
        <f aca="false">IF(AND(K39&gt;SenGrace,K39&lt;=SenTenor),PMT(SenRate*$B$11,SenTenor-SenGrace,-S_Demand_Hi!$B$16)-K114,0)</f>
        <v>15849.9097410747</v>
      </c>
      <c r="L115" s="95" t="n">
        <f aca="false">IF(AND(L39&gt;SenGrace,L39&lt;=SenTenor),PMT(SenRate*$B$11,SenTenor-SenGrace,-S_Demand_Hi!$B$16)-L114,0)</f>
        <v>17434.9007151822</v>
      </c>
      <c r="M115" s="95" t="n">
        <f aca="false">IF(AND(M39&gt;SenGrace,M39&lt;=SenTenor),PMT(SenRate*$B$11,SenTenor-SenGrace,-S_Demand_Hi!$B$16)-M114,0)</f>
        <v>19178.3907867004</v>
      </c>
      <c r="N115" s="95" t="n">
        <f aca="false">IF(AND(N39&gt;SenGrace,N39&lt;=SenTenor),PMT(SenRate*$B$11,SenTenor-SenGrace,-S_Demand_Hi!$B$16)-N114,0)</f>
        <v>0</v>
      </c>
      <c r="O115" s="95" t="n">
        <f aca="false">IF(AND(O39&gt;SenGrace,O39&lt;=SenTenor),PMT(SenRate*$B$11,SenTenor-SenGrace,-S_Demand_Hi!$B$16)-O114,0)</f>
        <v>0</v>
      </c>
      <c r="P115" s="95" t="n">
        <f aca="false">IF(AND(P39&gt;SenGrace,P39&lt;=SenTenor),PMT(SenRate*$B$11,SenTenor-SenGrace,-S_Demand_Hi!$B$16)-P114,0)</f>
        <v>0</v>
      </c>
      <c r="Q115" s="95" t="n">
        <f aca="false">IF(AND(Q39&gt;SenGrace,Q39&lt;=SenTenor),PMT(SenRate*$B$11,SenTenor-SenGrace,-S_Demand_Hi!$B$16)-Q114,0)</f>
        <v>0</v>
      </c>
      <c r="R115" s="95" t="n">
        <f aca="false">IF(AND(R39&gt;SenGrace,R39&lt;=SenTenor),PMT(SenRate*$B$11,SenTenor-SenGrace,-S_Demand_Hi!$B$16)-R114,0)</f>
        <v>0</v>
      </c>
      <c r="S115" s="95" t="n">
        <f aca="false">IF(AND(S39&gt;SenGrace,S39&lt;=SenTenor),PMT(SenRate*$B$11,SenTenor-SenGrace,-S_Demand_Hi!$B$16)-S114,0)</f>
        <v>0</v>
      </c>
      <c r="T115" s="95" t="n">
        <f aca="false">IF(AND(T39&gt;SenGrace,T39&lt;=SenTenor),PMT(SenRate*$B$11,SenTenor-SenGrace,-S_Demand_Hi!$B$16)-T114,0)</f>
        <v>0</v>
      </c>
      <c r="U115" s="95" t="n">
        <f aca="false">IF(AND(U39&gt;SenGrace,U39&lt;=SenTenor),PMT(SenRate*$B$11,SenTenor-SenGrace,-S_Demand_Hi!$B$16)-U114,0)</f>
        <v>0</v>
      </c>
      <c r="V115" s="95" t="n">
        <f aca="false">IF(AND(V39&gt;SenGrace,V39&lt;=SenTenor),PMT(SenRate*$B$11,SenTenor-SenGrace,-S_Demand_Hi!$B$16)-V114,0)</f>
        <v>0</v>
      </c>
      <c r="W115" s="95" t="n">
        <f aca="false">IF(AND(W39&gt;SenGrace,W39&lt;=SenTenor),PMT(SenRate*$B$11,SenTenor-SenGrace,-S_Demand_Hi!$B$16)-W114,0)</f>
        <v>0</v>
      </c>
    </row>
    <row r="116" customFormat="false" ht="15" hidden="false" customHeight="false" outlineLevel="0" collapsed="false">
      <c r="A116" s="11" t="s">
        <v>458</v>
      </c>
      <c r="C116" s="95" t="n">
        <f aca="false">0+C113-0</f>
        <v>112546.829385741</v>
      </c>
      <c r="D116" s="95" t="n">
        <f aca="false">D112+D113-D115</f>
        <v>112546.829385741</v>
      </c>
      <c r="E116" s="95" t="n">
        <f aca="false">E112+E113-E115</f>
        <v>112546.829385741</v>
      </c>
      <c r="F116" s="95" t="n">
        <f aca="false">F112+F113-F115</f>
        <v>102705.282458945</v>
      </c>
      <c r="G116" s="95" t="n">
        <f aca="false">G112+G113-G115</f>
        <v>91879.5808394692</v>
      </c>
      <c r="H116" s="95" t="n">
        <f aca="false">H112+H113-H115</f>
        <v>79971.3090580457</v>
      </c>
      <c r="I116" s="95" t="n">
        <f aca="false">I112+I113-I115</f>
        <v>66872.2100984798</v>
      </c>
      <c r="J116" s="95" t="n">
        <f aca="false">J112+J113-J115</f>
        <v>52463.2012429573</v>
      </c>
      <c r="K116" s="95" t="n">
        <f aca="false">K112+K113-K115</f>
        <v>36613.2915018826</v>
      </c>
      <c r="L116" s="95" t="n">
        <f aca="false">L112+L113-L115</f>
        <v>19178.3907867004</v>
      </c>
      <c r="M116" s="95" t="n">
        <f aca="false">M112+M113-M115</f>
        <v>0</v>
      </c>
      <c r="N116" s="95" t="n">
        <f aca="false">N112+N113-N115</f>
        <v>0</v>
      </c>
      <c r="O116" s="95" t="n">
        <f aca="false">O112+O113-O115</f>
        <v>0</v>
      </c>
      <c r="P116" s="95" t="n">
        <f aca="false">P112+P113-P115</f>
        <v>0</v>
      </c>
      <c r="Q116" s="95" t="n">
        <f aca="false">Q112+Q113-Q115</f>
        <v>0</v>
      </c>
      <c r="R116" s="95" t="n">
        <f aca="false">R112+R113-R115</f>
        <v>0</v>
      </c>
      <c r="S116" s="95" t="n">
        <f aca="false">S112+S113-S115</f>
        <v>0</v>
      </c>
      <c r="T116" s="95" t="n">
        <f aca="false">T112+T113-T115</f>
        <v>0</v>
      </c>
      <c r="U116" s="95" t="n">
        <f aca="false">U112+U113-U115</f>
        <v>0</v>
      </c>
      <c r="V116" s="95" t="n">
        <f aca="false">V112+V113-V115</f>
        <v>0</v>
      </c>
      <c r="W116" s="95" t="n">
        <f aca="false">W112+W113-W115</f>
        <v>0</v>
      </c>
    </row>
    <row r="118" customFormat="false" ht="15" hidden="false" customHeight="false" outlineLevel="0" collapsed="false">
      <c r="A118" s="9" t="s">
        <v>459</v>
      </c>
      <c r="B118" s="10"/>
      <c r="C118" s="10"/>
      <c r="D118" s="10"/>
      <c r="E118" s="10"/>
      <c r="F118" s="10"/>
      <c r="G118" s="10"/>
      <c r="H118" s="10"/>
      <c r="I118" s="10"/>
      <c r="J118" s="10"/>
      <c r="K118" s="10"/>
      <c r="L118" s="10"/>
      <c r="M118" s="10"/>
      <c r="N118" s="10"/>
      <c r="O118" s="10"/>
      <c r="P118" s="10"/>
      <c r="Q118" s="10"/>
      <c r="R118" s="10"/>
      <c r="S118" s="10"/>
      <c r="T118" s="10"/>
      <c r="U118" s="10"/>
      <c r="V118" s="10"/>
      <c r="W118" s="10"/>
    </row>
    <row r="119" customFormat="false" ht="15" hidden="false" customHeight="false" outlineLevel="0" collapsed="false">
      <c r="A119" s="11" t="s">
        <v>454</v>
      </c>
      <c r="C119" s="95" t="n">
        <v>0</v>
      </c>
      <c r="D119" s="95" t="n">
        <f aca="false">C123</f>
        <v>112546.829385741</v>
      </c>
      <c r="E119" s="95" t="n">
        <f aca="false">D123</f>
        <v>112546.829385741</v>
      </c>
      <c r="F119" s="95" t="n">
        <f aca="false">E123</f>
        <v>112546.829385741</v>
      </c>
      <c r="G119" s="95" t="n">
        <f aca="false">F123</f>
        <v>112546.829385741</v>
      </c>
      <c r="H119" s="95" t="n">
        <f aca="false">G123</f>
        <v>112546.829385741</v>
      </c>
      <c r="I119" s="95" t="n">
        <f aca="false">H123</f>
        <v>112546.829385741</v>
      </c>
      <c r="J119" s="95" t="n">
        <f aca="false">I123</f>
        <v>102729.312441619</v>
      </c>
      <c r="K119" s="95" t="n">
        <f aca="false">J123</f>
        <v>92617.2699891724</v>
      </c>
      <c r="L119" s="95" t="n">
        <f aca="false">K123</f>
        <v>82201.8662631527</v>
      </c>
      <c r="M119" s="95" t="n">
        <f aca="false">L123</f>
        <v>71474.0004253523</v>
      </c>
      <c r="N119" s="95" t="n">
        <f aca="false">M123</f>
        <v>60424.2986124179</v>
      </c>
      <c r="O119" s="95" t="n">
        <f aca="false">N123</f>
        <v>49043.1057450955</v>
      </c>
      <c r="P119" s="95" t="n">
        <f aca="false">O123</f>
        <v>37320.4770917535</v>
      </c>
      <c r="Q119" s="95" t="n">
        <f aca="false">P123</f>
        <v>25246.1695788111</v>
      </c>
      <c r="R119" s="95" t="n">
        <f aca="false">Q123</f>
        <v>12809.6328404805</v>
      </c>
      <c r="S119" s="95" t="n">
        <f aca="false">R123</f>
        <v>0</v>
      </c>
      <c r="T119" s="95" t="n">
        <f aca="false">S123</f>
        <v>0</v>
      </c>
      <c r="U119" s="95" t="n">
        <f aca="false">T123</f>
        <v>0</v>
      </c>
      <c r="V119" s="95" t="n">
        <f aca="false">U123</f>
        <v>0</v>
      </c>
      <c r="W119" s="95" t="n">
        <f aca="false">V123</f>
        <v>0</v>
      </c>
    </row>
    <row r="120" customFormat="false" ht="15" hidden="false" customHeight="false" outlineLevel="0" collapsed="false">
      <c r="A120" s="11" t="s">
        <v>455</v>
      </c>
      <c r="B120" s="66" t="n">
        <f aca="false">SUM(C120:W120)</f>
        <v>112546.829385741</v>
      </c>
      <c r="C120" s="95" t="n">
        <f aca="false">S_Demand_Hi!$B$17</f>
        <v>112546.829385741</v>
      </c>
      <c r="D120" s="95" t="n">
        <f aca="false">0</f>
        <v>0</v>
      </c>
      <c r="E120" s="95" t="n">
        <f aca="false">0</f>
        <v>0</v>
      </c>
      <c r="F120" s="95" t="n">
        <f aca="false">0</f>
        <v>0</v>
      </c>
      <c r="G120" s="95" t="n">
        <f aca="false">0</f>
        <v>0</v>
      </c>
      <c r="H120" s="95" t="n">
        <f aca="false">0</f>
        <v>0</v>
      </c>
      <c r="I120" s="95" t="n">
        <f aca="false">0</f>
        <v>0</v>
      </c>
      <c r="J120" s="95" t="n">
        <f aca="false">0</f>
        <v>0</v>
      </c>
      <c r="K120" s="95" t="n">
        <f aca="false">0</f>
        <v>0</v>
      </c>
      <c r="L120" s="95" t="n">
        <f aca="false">0</f>
        <v>0</v>
      </c>
      <c r="M120" s="95" t="n">
        <f aca="false">0</f>
        <v>0</v>
      </c>
      <c r="N120" s="95" t="n">
        <f aca="false">0</f>
        <v>0</v>
      </c>
      <c r="O120" s="95" t="n">
        <f aca="false">0</f>
        <v>0</v>
      </c>
      <c r="P120" s="95" t="n">
        <f aca="false">0</f>
        <v>0</v>
      </c>
      <c r="Q120" s="95" t="n">
        <f aca="false">0</f>
        <v>0</v>
      </c>
      <c r="R120" s="95" t="n">
        <f aca="false">0</f>
        <v>0</v>
      </c>
      <c r="S120" s="95" t="n">
        <f aca="false">0</f>
        <v>0</v>
      </c>
      <c r="T120" s="95" t="n">
        <f aca="false">0</f>
        <v>0</v>
      </c>
      <c r="U120" s="95" t="n">
        <f aca="false">0</f>
        <v>0</v>
      </c>
      <c r="V120" s="95" t="n">
        <f aca="false">0</f>
        <v>0</v>
      </c>
      <c r="W120" s="95" t="n">
        <f aca="false">0</f>
        <v>0</v>
      </c>
    </row>
    <row r="121" customFormat="false" ht="15" hidden="false" customHeight="false" outlineLevel="0" collapsed="false">
      <c r="A121" s="11" t="s">
        <v>456</v>
      </c>
      <c r="B121" s="66" t="n">
        <f aca="false">SUM(C121:W121)</f>
        <v>36274.4132790691</v>
      </c>
      <c r="C121" s="95" t="n">
        <v>0</v>
      </c>
      <c r="D121" s="95" t="n">
        <f aca="false">D119*ConRate*$B$11</f>
        <v>3376.40488157224</v>
      </c>
      <c r="E121" s="95" t="n">
        <f aca="false">E119*ConRate*$B$11</f>
        <v>3376.40488157224</v>
      </c>
      <c r="F121" s="95" t="n">
        <f aca="false">F119*ConRate*$B$11</f>
        <v>3376.40488157224</v>
      </c>
      <c r="G121" s="95" t="n">
        <f aca="false">G119*ConRate*$B$11</f>
        <v>3376.40488157224</v>
      </c>
      <c r="H121" s="95" t="n">
        <f aca="false">H119*ConRate*$B$11</f>
        <v>3376.40488157224</v>
      </c>
      <c r="I121" s="95" t="n">
        <f aca="false">I119*ConRate*$B$11</f>
        <v>3376.40488157224</v>
      </c>
      <c r="J121" s="95" t="n">
        <f aca="false">J119*ConRate*$B$11</f>
        <v>3081.87937324856</v>
      </c>
      <c r="K121" s="95" t="n">
        <f aca="false">K119*ConRate*$B$11</f>
        <v>2778.51809967517</v>
      </c>
      <c r="L121" s="95" t="n">
        <f aca="false">L119*ConRate*$B$11</f>
        <v>2466.05598789458</v>
      </c>
      <c r="M121" s="95" t="n">
        <f aca="false">M119*ConRate*$B$11</f>
        <v>2144.22001276057</v>
      </c>
      <c r="N121" s="95" t="n">
        <f aca="false">N119*ConRate*$B$11</f>
        <v>1812.72895837254</v>
      </c>
      <c r="O121" s="95" t="n">
        <f aca="false">O119*ConRate*$B$11</f>
        <v>1471.29317235287</v>
      </c>
      <c r="P121" s="95" t="n">
        <f aca="false">P119*ConRate*$B$11</f>
        <v>1119.6143127526</v>
      </c>
      <c r="Q121" s="95" t="n">
        <f aca="false">Q119*ConRate*$B$11</f>
        <v>757.385087364333</v>
      </c>
      <c r="R121" s="95" t="n">
        <f aca="false">R119*ConRate*$B$11</f>
        <v>384.288985214415</v>
      </c>
      <c r="S121" s="95" t="n">
        <f aca="false">S119*ConRate*$B$11</f>
        <v>0</v>
      </c>
      <c r="T121" s="95" t="n">
        <f aca="false">T119*ConRate*$B$11</f>
        <v>0</v>
      </c>
      <c r="U121" s="95" t="n">
        <f aca="false">U119*ConRate*$B$11</f>
        <v>0</v>
      </c>
      <c r="V121" s="95" t="n">
        <f aca="false">V119*ConRate*$B$11</f>
        <v>0</v>
      </c>
      <c r="W121" s="95" t="n">
        <f aca="false">W119*ConRate*$B$11</f>
        <v>0</v>
      </c>
    </row>
    <row r="122" customFormat="false" ht="15" hidden="false" customHeight="false" outlineLevel="0" collapsed="false">
      <c r="A122" s="11" t="s">
        <v>457</v>
      </c>
      <c r="B122" s="66" t="n">
        <f aca="false">SUM(C122:W122)</f>
        <v>112546.829385742</v>
      </c>
      <c r="C122" s="95" t="n">
        <v>0</v>
      </c>
      <c r="D122" s="95" t="n">
        <f aca="false">IF(AND(D39&gt;ConGrace,D39&lt;=ConTenor),PMT(ConRate*$B$11,ConTenor-ConGrace,-S_Demand_Hi!$B$17)-D121,0)</f>
        <v>0</v>
      </c>
      <c r="E122" s="95" t="n">
        <f aca="false">IF(AND(E39&gt;ConGrace,E39&lt;=ConTenor),PMT(ConRate*$B$11,ConTenor-ConGrace,-S_Demand_Hi!$B$17)-E121,0)</f>
        <v>0</v>
      </c>
      <c r="F122" s="95" t="n">
        <f aca="false">IF(AND(F39&gt;ConGrace,F39&lt;=ConTenor),PMT(ConRate*$B$11,ConTenor-ConGrace,-S_Demand_Hi!$B$17)-F121,0)</f>
        <v>0</v>
      </c>
      <c r="G122" s="95" t="n">
        <f aca="false">IF(AND(G39&gt;ConGrace,G39&lt;=ConTenor),PMT(ConRate*$B$11,ConTenor-ConGrace,-S_Demand_Hi!$B$17)-G121,0)</f>
        <v>0</v>
      </c>
      <c r="H122" s="95" t="n">
        <f aca="false">IF(AND(H39&gt;ConGrace,H39&lt;=ConTenor),PMT(ConRate*$B$11,ConTenor-ConGrace,-S_Demand_Hi!$B$17)-H121,0)</f>
        <v>0</v>
      </c>
      <c r="I122" s="95" t="n">
        <f aca="false">IF(AND(I39&gt;ConGrace,I39&lt;=ConTenor),PMT(ConRate*$B$11,ConTenor-ConGrace,-S_Demand_Hi!$B$17)-I121,0)</f>
        <v>9817.51694412269</v>
      </c>
      <c r="J122" s="95" t="n">
        <f aca="false">IF(AND(J39&gt;ConGrace,J39&lt;=ConTenor),PMT(ConRate*$B$11,ConTenor-ConGrace,-S_Demand_Hi!$B$17)-J121,0)</f>
        <v>10112.0424524464</v>
      </c>
      <c r="K122" s="95" t="n">
        <f aca="false">IF(AND(K39&gt;ConGrace,K39&lt;=ConTenor),PMT(ConRate*$B$11,ConTenor-ConGrace,-S_Demand_Hi!$B$17)-K121,0)</f>
        <v>10415.4037260198</v>
      </c>
      <c r="L122" s="95" t="n">
        <f aca="false">IF(AND(L39&gt;ConGrace,L39&lt;=ConTenor),PMT(ConRate*$B$11,ConTenor-ConGrace,-S_Demand_Hi!$B$17)-L121,0)</f>
        <v>10727.8658378004</v>
      </c>
      <c r="M122" s="95" t="n">
        <f aca="false">IF(AND(M39&gt;ConGrace,M39&lt;=ConTenor),PMT(ConRate*$B$11,ConTenor-ConGrace,-S_Demand_Hi!$B$17)-M121,0)</f>
        <v>11049.7018129344</v>
      </c>
      <c r="N122" s="95" t="n">
        <f aca="false">IF(AND(N39&gt;ConGrace,N39&lt;=ConTenor),PMT(ConRate*$B$11,ConTenor-ConGrace,-S_Demand_Hi!$B$17)-N121,0)</f>
        <v>11381.1928673224</v>
      </c>
      <c r="O122" s="95" t="n">
        <f aca="false">IF(AND(O39&gt;ConGrace,O39&lt;=ConTenor),PMT(ConRate*$B$11,ConTenor-ConGrace,-S_Demand_Hi!$B$17)-O121,0)</f>
        <v>11722.6286533421</v>
      </c>
      <c r="P122" s="95" t="n">
        <f aca="false">IF(AND(P39&gt;ConGrace,P39&lt;=ConTenor),PMT(ConRate*$B$11,ConTenor-ConGrace,-S_Demand_Hi!$B$17)-P121,0)</f>
        <v>12074.3075129423</v>
      </c>
      <c r="Q122" s="95" t="n">
        <f aca="false">IF(AND(Q39&gt;ConGrace,Q39&lt;=ConTenor),PMT(ConRate*$B$11,ConTenor-ConGrace,-S_Demand_Hi!$B$17)-Q121,0)</f>
        <v>12436.5367383306</v>
      </c>
      <c r="R122" s="95" t="n">
        <f aca="false">IF(AND(R39&gt;ConGrace,R39&lt;=ConTenor),PMT(ConRate*$B$11,ConTenor-ConGrace,-S_Demand_Hi!$B$17)-R121,0)</f>
        <v>12809.6328404805</v>
      </c>
      <c r="S122" s="95" t="n">
        <f aca="false">IF(AND(S39&gt;ConGrace,S39&lt;=ConTenor),PMT(ConRate*$B$11,ConTenor-ConGrace,-S_Demand_Hi!$B$17)-S121,0)</f>
        <v>0</v>
      </c>
      <c r="T122" s="95" t="n">
        <f aca="false">IF(AND(T39&gt;ConGrace,T39&lt;=ConTenor),PMT(ConRate*$B$11,ConTenor-ConGrace,-S_Demand_Hi!$B$17)-T121,0)</f>
        <v>0</v>
      </c>
      <c r="U122" s="95" t="n">
        <f aca="false">IF(AND(U39&gt;ConGrace,U39&lt;=ConTenor),PMT(ConRate*$B$11,ConTenor-ConGrace,-S_Demand_Hi!$B$17)-U121,0)</f>
        <v>0</v>
      </c>
      <c r="V122" s="95" t="n">
        <f aca="false">IF(AND(V39&gt;ConGrace,V39&lt;=ConTenor),PMT(ConRate*$B$11,ConTenor-ConGrace,-S_Demand_Hi!$B$17)-V121,0)</f>
        <v>0</v>
      </c>
      <c r="W122" s="95" t="n">
        <f aca="false">IF(AND(W39&gt;ConGrace,W39&lt;=ConTenor),PMT(ConRate*$B$11,ConTenor-ConGrace,-S_Demand_Hi!$B$17)-W121,0)</f>
        <v>0</v>
      </c>
    </row>
    <row r="123" customFormat="false" ht="15" hidden="false" customHeight="false" outlineLevel="0" collapsed="false">
      <c r="A123" s="11" t="s">
        <v>458</v>
      </c>
      <c r="C123" s="95" t="n">
        <f aca="false">0+C120-0</f>
        <v>112546.829385741</v>
      </c>
      <c r="D123" s="95" t="n">
        <f aca="false">D119+D120-D122</f>
        <v>112546.829385741</v>
      </c>
      <c r="E123" s="95" t="n">
        <f aca="false">E119+E120-E122</f>
        <v>112546.829385741</v>
      </c>
      <c r="F123" s="95" t="n">
        <f aca="false">F119+F120-F122</f>
        <v>112546.829385741</v>
      </c>
      <c r="G123" s="95" t="n">
        <f aca="false">G119+G120-G122</f>
        <v>112546.829385741</v>
      </c>
      <c r="H123" s="95" t="n">
        <f aca="false">H119+H120-H122</f>
        <v>112546.829385741</v>
      </c>
      <c r="I123" s="95" t="n">
        <f aca="false">I119+I120-I122</f>
        <v>102729.312441619</v>
      </c>
      <c r="J123" s="95" t="n">
        <f aca="false">J119+J120-J122</f>
        <v>92617.2699891724</v>
      </c>
      <c r="K123" s="95" t="n">
        <f aca="false">K119+K120-K122</f>
        <v>82201.8662631527</v>
      </c>
      <c r="L123" s="95" t="n">
        <f aca="false">L119+L120-L122</f>
        <v>71474.0004253523</v>
      </c>
      <c r="M123" s="95" t="n">
        <f aca="false">M119+M120-M122</f>
        <v>60424.2986124179</v>
      </c>
      <c r="N123" s="95" t="n">
        <f aca="false">N119+N120-N122</f>
        <v>49043.1057450955</v>
      </c>
      <c r="O123" s="95" t="n">
        <f aca="false">O119+O120-O122</f>
        <v>37320.4770917535</v>
      </c>
      <c r="P123" s="95" t="n">
        <f aca="false">P119+P120-P122</f>
        <v>25246.1695788111</v>
      </c>
      <c r="Q123" s="95" t="n">
        <f aca="false">Q119+Q120-Q122</f>
        <v>12809.6328404805</v>
      </c>
      <c r="R123" s="95" t="n">
        <f aca="false">R119+R120-R122</f>
        <v>0</v>
      </c>
      <c r="S123" s="95" t="n">
        <f aca="false">S119+S120-S122</f>
        <v>0</v>
      </c>
      <c r="T123" s="95" t="n">
        <f aca="false">T119+T120-T122</f>
        <v>0</v>
      </c>
      <c r="U123" s="95" t="n">
        <f aca="false">U119+U120-U122</f>
        <v>0</v>
      </c>
      <c r="V123" s="95" t="n">
        <f aca="false">V119+V120-V122</f>
        <v>0</v>
      </c>
      <c r="W123" s="95" t="n">
        <f aca="false">W119+W120-W122</f>
        <v>0</v>
      </c>
    </row>
    <row r="125" customFormat="false" ht="15" hidden="false" customHeight="false" outlineLevel="0" collapsed="false">
      <c r="A125" s="16" t="s">
        <v>460</v>
      </c>
      <c r="B125" s="66" t="n">
        <f aca="false">SUM(C125:W125)</f>
        <v>340100.447464923</v>
      </c>
      <c r="C125" s="31" t="n">
        <v>0</v>
      </c>
      <c r="D125" s="31" t="n">
        <f aca="false">D114+D115+D121+D122</f>
        <v>14631.0878201464</v>
      </c>
      <c r="E125" s="31" t="n">
        <f aca="false">E114+E115+E121+E122</f>
        <v>14631.0878201464</v>
      </c>
      <c r="F125" s="31" t="n">
        <f aca="false">F114+F115+F121+F122</f>
        <v>24472.6347469427</v>
      </c>
      <c r="G125" s="31" t="n">
        <f aca="false">G114+G115+G121+G122</f>
        <v>24472.6347469427</v>
      </c>
      <c r="H125" s="31" t="n">
        <f aca="false">H114+H115+H121+H122</f>
        <v>24472.6347469427</v>
      </c>
      <c r="I125" s="31" t="n">
        <f aca="false">I114+I115+I121+I122</f>
        <v>34290.1516910654</v>
      </c>
      <c r="J125" s="31" t="n">
        <f aca="false">J114+J115+J121+J122</f>
        <v>34290.1516910654</v>
      </c>
      <c r="K125" s="31" t="n">
        <f aca="false">K114+K115+K121+K122</f>
        <v>34290.1516910654</v>
      </c>
      <c r="L125" s="31" t="n">
        <f aca="false">L114+L115+L121+L122</f>
        <v>34290.1516910654</v>
      </c>
      <c r="M125" s="31" t="n">
        <f aca="false">M114+M115+M121+M122</f>
        <v>34290.1516910654</v>
      </c>
      <c r="N125" s="31" t="n">
        <f aca="false">N114+N115+N121+N122</f>
        <v>13193.9218256949</v>
      </c>
      <c r="O125" s="31" t="n">
        <f aca="false">O114+O115+O121+O122</f>
        <v>13193.9218256949</v>
      </c>
      <c r="P125" s="31" t="n">
        <f aca="false">P114+P115+P121+P122</f>
        <v>13193.9218256949</v>
      </c>
      <c r="Q125" s="31" t="n">
        <f aca="false">Q114+Q115+Q121+Q122</f>
        <v>13193.9218256949</v>
      </c>
      <c r="R125" s="31" t="n">
        <f aca="false">R114+R115+R121+R122</f>
        <v>13193.9218256949</v>
      </c>
      <c r="S125" s="31" t="n">
        <f aca="false">S114+S115+S121+S122</f>
        <v>0</v>
      </c>
      <c r="T125" s="31" t="n">
        <f aca="false">T114+T115+T121+T122</f>
        <v>0</v>
      </c>
      <c r="U125" s="31" t="n">
        <f aca="false">U114+U115+U121+U122</f>
        <v>0</v>
      </c>
      <c r="V125" s="31" t="n">
        <f aca="false">V114+V115+V121+V122</f>
        <v>0</v>
      </c>
      <c r="W125" s="31" t="n">
        <f aca="false">W114+W115+W121+W122</f>
        <v>0</v>
      </c>
    </row>
    <row r="126" customFormat="false" ht="15" hidden="false" customHeight="false" outlineLevel="0" collapsed="false">
      <c r="A126" s="11" t="s">
        <v>461</v>
      </c>
      <c r="C126" s="96" t="n">
        <v>0</v>
      </c>
      <c r="D126" s="96" t="n">
        <f aca="false">IF(D39&lt;=SenGrace,SenRate*$B$11,IF(D39&lt;=SenTenor,PMT(SenRate*$B$11,SenTenor-SenGrace,-1),0))</f>
        <v>0.1</v>
      </c>
      <c r="E126" s="96" t="n">
        <f aca="false">IF(E39&lt;=SenGrace,SenRate*$B$11,IF(E39&lt;=SenTenor,PMT(SenRate*$B$11,SenTenor-SenGrace,-1),0))</f>
        <v>0.1</v>
      </c>
      <c r="F126" s="96" t="n">
        <f aca="false">IF(F39&lt;=SenGrace,SenRate*$B$11,IF(F39&lt;=SenTenor,PMT(SenRate*$B$11,SenTenor-SenGrace,-1),0))</f>
        <v>0.187444017574813</v>
      </c>
      <c r="G126" s="96" t="n">
        <f aca="false">IF(G39&lt;=SenGrace,SenRate*$B$11,IF(G39&lt;=SenTenor,PMT(SenRate*$B$11,SenTenor-SenGrace,-1),0))</f>
        <v>0.187444017574813</v>
      </c>
      <c r="H126" s="96" t="n">
        <f aca="false">IF(H39&lt;=SenGrace,SenRate*$B$11,IF(H39&lt;=SenTenor,PMT(SenRate*$B$11,SenTenor-SenGrace,-1),0))</f>
        <v>0.187444017574813</v>
      </c>
      <c r="I126" s="96" t="n">
        <f aca="false">IF(I39&lt;=SenGrace,SenRate*$B$11,IF(I39&lt;=SenTenor,PMT(SenRate*$B$11,SenTenor-SenGrace,-1),0))</f>
        <v>0.187444017574813</v>
      </c>
      <c r="J126" s="96" t="n">
        <f aca="false">IF(J39&lt;=SenGrace,SenRate*$B$11,IF(J39&lt;=SenTenor,PMT(SenRate*$B$11,SenTenor-SenGrace,-1),0))</f>
        <v>0.187444017574813</v>
      </c>
      <c r="K126" s="96" t="n">
        <f aca="false">IF(K39&lt;=SenGrace,SenRate*$B$11,IF(K39&lt;=SenTenor,PMT(SenRate*$B$11,SenTenor-SenGrace,-1),0))</f>
        <v>0.187444017574813</v>
      </c>
      <c r="L126" s="96" t="n">
        <f aca="false">IF(L39&lt;=SenGrace,SenRate*$B$11,IF(L39&lt;=SenTenor,PMT(SenRate*$B$11,SenTenor-SenGrace,-1),0))</f>
        <v>0.187444017574813</v>
      </c>
      <c r="M126" s="96" t="n">
        <f aca="false">IF(M39&lt;=SenGrace,SenRate*$B$11,IF(M39&lt;=SenTenor,PMT(SenRate*$B$11,SenTenor-SenGrace,-1),0))</f>
        <v>0.187444017574813</v>
      </c>
      <c r="N126" s="96" t="n">
        <f aca="false">IF(N39&lt;=SenGrace,SenRate*$B$11,IF(N39&lt;=SenTenor,PMT(SenRate*$B$11,SenTenor-SenGrace,-1),0))</f>
        <v>0</v>
      </c>
      <c r="O126" s="96" t="n">
        <f aca="false">IF(O39&lt;=SenGrace,SenRate*$B$11,IF(O39&lt;=SenTenor,PMT(SenRate*$B$11,SenTenor-SenGrace,-1),0))</f>
        <v>0</v>
      </c>
      <c r="P126" s="96" t="n">
        <f aca="false">IF(P39&lt;=SenGrace,SenRate*$B$11,IF(P39&lt;=SenTenor,PMT(SenRate*$B$11,SenTenor-SenGrace,-1),0))</f>
        <v>0</v>
      </c>
      <c r="Q126" s="96" t="n">
        <f aca="false">IF(Q39&lt;=SenGrace,SenRate*$B$11,IF(Q39&lt;=SenTenor,PMT(SenRate*$B$11,SenTenor-SenGrace,-1),0))</f>
        <v>0</v>
      </c>
      <c r="R126" s="96" t="n">
        <f aca="false">IF(R39&lt;=SenGrace,SenRate*$B$11,IF(R39&lt;=SenTenor,PMT(SenRate*$B$11,SenTenor-SenGrace,-1),0))</f>
        <v>0</v>
      </c>
      <c r="S126" s="96" t="n">
        <f aca="false">IF(S39&lt;=SenGrace,SenRate*$B$11,IF(S39&lt;=SenTenor,PMT(SenRate*$B$11,SenTenor-SenGrace,-1),0))</f>
        <v>0</v>
      </c>
      <c r="T126" s="96" t="n">
        <f aca="false">IF(T39&lt;=SenGrace,SenRate*$B$11,IF(T39&lt;=SenTenor,PMT(SenRate*$B$11,SenTenor-SenGrace,-1),0))</f>
        <v>0</v>
      </c>
      <c r="U126" s="96" t="n">
        <f aca="false">IF(U39&lt;=SenGrace,SenRate*$B$11,IF(U39&lt;=SenTenor,PMT(SenRate*$B$11,SenTenor-SenGrace,-1),0))</f>
        <v>0</v>
      </c>
      <c r="V126" s="96" t="n">
        <f aca="false">IF(V39&lt;=SenGrace,SenRate*$B$11,IF(V39&lt;=SenTenor,PMT(SenRate*$B$11,SenTenor-SenGrace,-1),0))</f>
        <v>0</v>
      </c>
      <c r="W126" s="96" t="n">
        <f aca="false">IF(W39&lt;=SenGrace,SenRate*$B$11,IF(W39&lt;=SenTenor,PMT(SenRate*$B$11,SenTenor-SenGrace,-1),0))</f>
        <v>0</v>
      </c>
    </row>
    <row r="127" customFormat="false" ht="15" hidden="false" customHeight="false" outlineLevel="0" collapsed="false">
      <c r="A127" s="11" t="s">
        <v>462</v>
      </c>
      <c r="C127" s="95" t="n">
        <v>0</v>
      </c>
      <c r="D127" s="95" t="n">
        <f aca="false">IF(D126&gt;0,(D147/MinDSCR-D121-D122)/D126,1000000000000)</f>
        <v>1153733.98284271</v>
      </c>
      <c r="E127" s="95" t="n">
        <f aca="false">IF(E126&gt;0,(E147/MinDSCR-E121-E122)/E126,1000000000000)</f>
        <v>715916.87527693</v>
      </c>
      <c r="F127" s="95" t="n">
        <f aca="false">IF(F126&gt;0,(F147/MinDSCR-F121-F122)/F126,1000000000000)</f>
        <v>335079.836625308</v>
      </c>
      <c r="G127" s="95" t="n">
        <f aca="false">IF(G126&gt;0,(G147/MinDSCR-G121-G122)/G126,1000000000000)</f>
        <v>168118.788012934</v>
      </c>
      <c r="H127" s="95" t="n">
        <f aca="false">IF(H126&gt;0,(H147/MinDSCR-H121-H122)/H126,1000000000000)</f>
        <v>162342.227231638</v>
      </c>
      <c r="I127" s="95" t="n">
        <f aca="false">IF(I126&gt;0,(I147/MinDSCR-I121-I122)/I126,1000000000000)</f>
        <v>103324.146203656</v>
      </c>
      <c r="J127" s="95" t="n">
        <f aca="false">IF(J126&gt;0,(J147/MinDSCR-J121-J122)/J126,1000000000000)</f>
        <v>95751.7028117584</v>
      </c>
      <c r="K127" s="95" t="n">
        <f aca="false">IF(K126&gt;0,(K147/MinDSCR-K121-K122)/K126,1000000000000)</f>
        <v>87180.7025689409</v>
      </c>
      <c r="L127" s="95" t="n">
        <f aca="false">IF(L126&gt;0,(L147/MinDSCR-L121-L122)/L126,1000000000000)</f>
        <v>54835.0264734081</v>
      </c>
      <c r="M127" s="95" t="n">
        <f aca="false">IF(M126&gt;0,(M147/MinDSCR-M121-M122)/M126,1000000000000)</f>
        <v>44043.5340699405</v>
      </c>
      <c r="N127" s="95" t="n">
        <f aca="false">IF(N126&gt;0,(N147/MinDSCR-N121-N122)/N126,1000000000000)</f>
        <v>1000000000000</v>
      </c>
      <c r="O127" s="95" t="n">
        <f aca="false">IF(O126&gt;0,(O147/MinDSCR-O121-O122)/O126,1000000000000)</f>
        <v>1000000000000</v>
      </c>
      <c r="P127" s="95" t="n">
        <f aca="false">IF(P126&gt;0,(P147/MinDSCR-P121-P122)/P126,1000000000000)</f>
        <v>1000000000000</v>
      </c>
      <c r="Q127" s="95" t="n">
        <f aca="false">IF(Q126&gt;0,(Q147/MinDSCR-Q121-Q122)/Q126,1000000000000)</f>
        <v>1000000000000</v>
      </c>
      <c r="R127" s="95" t="n">
        <f aca="false">IF(R126&gt;0,(R147/MinDSCR-R121-R122)/R126,1000000000000)</f>
        <v>1000000000000</v>
      </c>
      <c r="S127" s="95" t="n">
        <f aca="false">IF(S126&gt;0,(S147/MinDSCR-S121-S122)/S126,1000000000000)</f>
        <v>1000000000000</v>
      </c>
      <c r="T127" s="95" t="n">
        <f aca="false">IF(T126&gt;0,(T147/MinDSCR-T121-T122)/T126,1000000000000)</f>
        <v>1000000000000</v>
      </c>
      <c r="U127" s="95" t="n">
        <f aca="false">IF(U126&gt;0,(U147/MinDSCR-U121-U122)/U126,1000000000000)</f>
        <v>1000000000000</v>
      </c>
      <c r="V127" s="95" t="n">
        <f aca="false">IF(V126&gt;0,(V147/MinDSCR-V121-V122)/V126,1000000000000)</f>
        <v>1000000000000</v>
      </c>
      <c r="W127" s="95" t="n">
        <f aca="false">IF(W126&gt;0,(W147/MinDSCR-W121-W122)/W126,1000000000000)</f>
        <v>1000000000000</v>
      </c>
    </row>
    <row r="128" customFormat="false" ht="15" hidden="false" customHeight="false" outlineLevel="0" collapsed="false">
      <c r="A128" s="11" t="s">
        <v>463</v>
      </c>
      <c r="C128" s="95" t="n">
        <f aca="false">DSRAPct*D125</f>
        <v>7315.5439100732</v>
      </c>
      <c r="D128" s="95" t="n">
        <f aca="false">DSRAPct*E125</f>
        <v>7315.5439100732</v>
      </c>
      <c r="E128" s="95" t="n">
        <f aca="false">DSRAPct*F125</f>
        <v>12236.3173734714</v>
      </c>
      <c r="F128" s="95" t="n">
        <f aca="false">DSRAPct*G125</f>
        <v>12236.3173734714</v>
      </c>
      <c r="G128" s="95" t="n">
        <f aca="false">DSRAPct*H125</f>
        <v>12236.3173734714</v>
      </c>
      <c r="H128" s="95" t="n">
        <f aca="false">DSRAPct*I125</f>
        <v>17145.0758455327</v>
      </c>
      <c r="I128" s="95" t="n">
        <f aca="false">DSRAPct*J125</f>
        <v>17145.0758455327</v>
      </c>
      <c r="J128" s="95" t="n">
        <f aca="false">DSRAPct*K125</f>
        <v>17145.0758455327</v>
      </c>
      <c r="K128" s="95" t="n">
        <f aca="false">DSRAPct*L125</f>
        <v>17145.0758455327</v>
      </c>
      <c r="L128" s="95" t="n">
        <f aca="false">DSRAPct*M125</f>
        <v>17145.0758455327</v>
      </c>
      <c r="M128" s="95" t="n">
        <f aca="false">DSRAPct*N125</f>
        <v>6596.96091284747</v>
      </c>
      <c r="N128" s="95" t="n">
        <f aca="false">DSRAPct*O125</f>
        <v>6596.96091284747</v>
      </c>
      <c r="O128" s="95" t="n">
        <f aca="false">DSRAPct*P125</f>
        <v>6596.96091284747</v>
      </c>
      <c r="P128" s="95" t="n">
        <f aca="false">DSRAPct*Q125</f>
        <v>6596.96091284747</v>
      </c>
      <c r="Q128" s="95" t="n">
        <f aca="false">DSRAPct*R125</f>
        <v>6596.96091284747</v>
      </c>
      <c r="R128" s="95" t="n">
        <f aca="false">DSRAPct*S125</f>
        <v>0</v>
      </c>
      <c r="S128" s="95" t="n">
        <f aca="false">DSRAPct*T125</f>
        <v>0</v>
      </c>
      <c r="T128" s="95" t="n">
        <f aca="false">DSRAPct*U125</f>
        <v>0</v>
      </c>
      <c r="U128" s="95" t="n">
        <f aca="false">DSRAPct*V125</f>
        <v>0</v>
      </c>
      <c r="V128" s="95" t="n">
        <f aca="false">DSRAPct*W125</f>
        <v>0</v>
      </c>
      <c r="W128" s="95" t="n">
        <f aca="false">0</f>
        <v>0</v>
      </c>
    </row>
    <row r="129" customFormat="false" ht="15" hidden="false" customHeight="false" outlineLevel="0" collapsed="false">
      <c r="A129" s="11" t="s">
        <v>464</v>
      </c>
      <c r="B129" s="66" t="n">
        <f aca="false">SUM(C129:W129)</f>
        <v>0</v>
      </c>
      <c r="C129" s="95" t="n">
        <f aca="false">C128</f>
        <v>7315.5439100732</v>
      </c>
      <c r="D129" s="95" t="n">
        <f aca="false">D128-C128</f>
        <v>0</v>
      </c>
      <c r="E129" s="95" t="n">
        <f aca="false">E128-D128</f>
        <v>4920.77346339816</v>
      </c>
      <c r="F129" s="95" t="n">
        <f aca="false">F128-E128</f>
        <v>0</v>
      </c>
      <c r="G129" s="95" t="n">
        <f aca="false">G128-F128</f>
        <v>0</v>
      </c>
      <c r="H129" s="95" t="n">
        <f aca="false">H128-G128</f>
        <v>4908.75847206135</v>
      </c>
      <c r="I129" s="95" t="n">
        <f aca="false">I128-H128</f>
        <v>0</v>
      </c>
      <c r="J129" s="95" t="n">
        <f aca="false">J128-I128</f>
        <v>0</v>
      </c>
      <c r="K129" s="95" t="n">
        <f aca="false">K128-J128</f>
        <v>0</v>
      </c>
      <c r="L129" s="95" t="n">
        <f aca="false">L128-K128</f>
        <v>0</v>
      </c>
      <c r="M129" s="95" t="n">
        <f aca="false">M128-L128</f>
        <v>-10548.1149326852</v>
      </c>
      <c r="N129" s="95" t="n">
        <f aca="false">N128-M128</f>
        <v>0</v>
      </c>
      <c r="O129" s="95" t="n">
        <f aca="false">O128-N128</f>
        <v>0</v>
      </c>
      <c r="P129" s="95" t="n">
        <f aca="false">P128-O128</f>
        <v>0</v>
      </c>
      <c r="Q129" s="95" t="n">
        <f aca="false">Q128-P128</f>
        <v>0</v>
      </c>
      <c r="R129" s="95" t="n">
        <f aca="false">R128-Q128</f>
        <v>-6596.96091284747</v>
      </c>
      <c r="S129" s="95" t="n">
        <f aca="false">S128-R128</f>
        <v>0</v>
      </c>
      <c r="T129" s="95" t="n">
        <f aca="false">T128-S128</f>
        <v>0</v>
      </c>
      <c r="U129" s="95" t="n">
        <f aca="false">U128-T128</f>
        <v>0</v>
      </c>
      <c r="V129" s="95" t="n">
        <f aca="false">V128-U128</f>
        <v>0</v>
      </c>
      <c r="W129" s="95" t="n">
        <f aca="false">W128-V128</f>
        <v>0</v>
      </c>
    </row>
    <row r="131" customFormat="false" ht="15" hidden="false" customHeight="false" outlineLevel="0" collapsed="false">
      <c r="A131" s="9" t="s">
        <v>465</v>
      </c>
      <c r="B131" s="10"/>
      <c r="C131" s="10"/>
      <c r="D131" s="10"/>
      <c r="E131" s="10"/>
      <c r="F131" s="10"/>
      <c r="G131" s="10"/>
      <c r="H131" s="10"/>
      <c r="I131" s="10"/>
      <c r="J131" s="10"/>
      <c r="K131" s="10"/>
      <c r="L131" s="10"/>
      <c r="M131" s="10"/>
      <c r="N131" s="10"/>
      <c r="O131" s="10"/>
      <c r="P131" s="10"/>
      <c r="Q131" s="10"/>
      <c r="R131" s="10"/>
      <c r="S131" s="10"/>
      <c r="T131" s="10"/>
      <c r="U131" s="10"/>
      <c r="V131" s="10"/>
      <c r="W131" s="10"/>
    </row>
    <row r="132" customFormat="false" ht="15" hidden="false" customHeight="false" outlineLevel="0" collapsed="false">
      <c r="A132" s="11" t="s">
        <v>466</v>
      </c>
      <c r="B132" s="66" t="n">
        <f aca="false">SUM(C132:W132)</f>
        <v>1162734.14692871</v>
      </c>
      <c r="C132" s="95" t="n">
        <v>0</v>
      </c>
      <c r="D132" s="95" t="n">
        <f aca="false">IF(D39&lt;=MIN(DepYears,Life),S_Demand_Hi!$B$14/DepYears,0)</f>
        <v>77515.6097952472</v>
      </c>
      <c r="E132" s="95" t="n">
        <f aca="false">IF(E39&lt;=MIN(DepYears,Life),S_Demand_Hi!$B$14/DepYears,0)</f>
        <v>77515.6097952472</v>
      </c>
      <c r="F132" s="95" t="n">
        <f aca="false">IF(F39&lt;=MIN(DepYears,Life),S_Demand_Hi!$B$14/DepYears,0)</f>
        <v>77515.6097952472</v>
      </c>
      <c r="G132" s="95" t="n">
        <f aca="false">IF(G39&lt;=MIN(DepYears,Life),S_Demand_Hi!$B$14/DepYears,0)</f>
        <v>77515.6097952472</v>
      </c>
      <c r="H132" s="95" t="n">
        <f aca="false">IF(H39&lt;=MIN(DepYears,Life),S_Demand_Hi!$B$14/DepYears,0)</f>
        <v>77515.6097952472</v>
      </c>
      <c r="I132" s="95" t="n">
        <f aca="false">IF(I39&lt;=MIN(DepYears,Life),S_Demand_Hi!$B$14/DepYears,0)</f>
        <v>77515.6097952472</v>
      </c>
      <c r="J132" s="95" t="n">
        <f aca="false">IF(J39&lt;=MIN(DepYears,Life),S_Demand_Hi!$B$14/DepYears,0)</f>
        <v>77515.6097952472</v>
      </c>
      <c r="K132" s="95" t="n">
        <f aca="false">IF(K39&lt;=MIN(DepYears,Life),S_Demand_Hi!$B$14/DepYears,0)</f>
        <v>77515.6097952472</v>
      </c>
      <c r="L132" s="95" t="n">
        <f aca="false">IF(L39&lt;=MIN(DepYears,Life),S_Demand_Hi!$B$14/DepYears,0)</f>
        <v>77515.6097952472</v>
      </c>
      <c r="M132" s="95" t="n">
        <f aca="false">IF(M39&lt;=MIN(DepYears,Life),S_Demand_Hi!$B$14/DepYears,0)</f>
        <v>77515.6097952472</v>
      </c>
      <c r="N132" s="95" t="n">
        <f aca="false">IF(N39&lt;=MIN(DepYears,Life),S_Demand_Hi!$B$14/DepYears,0)</f>
        <v>77515.6097952472</v>
      </c>
      <c r="O132" s="95" t="n">
        <f aca="false">IF(O39&lt;=MIN(DepYears,Life),S_Demand_Hi!$B$14/DepYears,0)</f>
        <v>77515.6097952472</v>
      </c>
      <c r="P132" s="95" t="n">
        <f aca="false">IF(P39&lt;=MIN(DepYears,Life),S_Demand_Hi!$B$14/DepYears,0)</f>
        <v>77515.6097952472</v>
      </c>
      <c r="Q132" s="95" t="n">
        <f aca="false">IF(Q39&lt;=MIN(DepYears,Life),S_Demand_Hi!$B$14/DepYears,0)</f>
        <v>77515.6097952472</v>
      </c>
      <c r="R132" s="95" t="n">
        <f aca="false">IF(R39&lt;=MIN(DepYears,Life),S_Demand_Hi!$B$14/DepYears,0)</f>
        <v>77515.6097952472</v>
      </c>
      <c r="S132" s="95" t="n">
        <f aca="false">IF(S39&lt;=MIN(DepYears,Life),S_Demand_Hi!$B$14/DepYears,0)</f>
        <v>0</v>
      </c>
      <c r="T132" s="95" t="n">
        <f aca="false">IF(T39&lt;=MIN(DepYears,Life),S_Demand_Hi!$B$14/DepYears,0)</f>
        <v>0</v>
      </c>
      <c r="U132" s="95" t="n">
        <f aca="false">IF(U39&lt;=MIN(DepYears,Life),S_Demand_Hi!$B$14/DepYears,0)</f>
        <v>0</v>
      </c>
      <c r="V132" s="95" t="n">
        <f aca="false">IF(V39&lt;=MIN(DepYears,Life),S_Demand_Hi!$B$14/DepYears,0)</f>
        <v>0</v>
      </c>
      <c r="W132" s="95" t="n">
        <f aca="false">IF(W39&lt;=MIN(DepYears,Life),S_Demand_Hi!$B$14/DepYears,0)</f>
        <v>0</v>
      </c>
    </row>
    <row r="133" customFormat="false" ht="15" hidden="false" customHeight="false" outlineLevel="0" collapsed="false">
      <c r="A133" s="11" t="s">
        <v>467</v>
      </c>
      <c r="B133" s="66" t="n">
        <f aca="false">SUM(C133:W133)</f>
        <v>-270383.123198559</v>
      </c>
      <c r="C133" s="95" t="n">
        <v>0</v>
      </c>
      <c r="D133" s="95" t="n">
        <f aca="false">D98-D132</f>
        <v>-53602.9359665626</v>
      </c>
      <c r="E133" s="95" t="n">
        <f aca="false">E98-E132</f>
        <v>-22319.1599501147</v>
      </c>
      <c r="F133" s="95" t="n">
        <f aca="false">F98-F132</f>
        <v>-8537.02971514776</v>
      </c>
      <c r="G133" s="95" t="n">
        <f aca="false">G98-G132</f>
        <v>-11421.6343646771</v>
      </c>
      <c r="H133" s="95" t="n">
        <f aca="false">H98-H132</f>
        <v>-12829.2506534716</v>
      </c>
      <c r="I133" s="95" t="n">
        <f aca="false">I98-I132</f>
        <v>-14447.8407087851</v>
      </c>
      <c r="J133" s="95" t="n">
        <f aca="false">J98-J132</f>
        <v>-16293.0726846908</v>
      </c>
      <c r="K133" s="95" t="n">
        <f aca="false">K98-K132</f>
        <v>-18381.6302208838</v>
      </c>
      <c r="L133" s="95" t="n">
        <f aca="false">L98-L132</f>
        <v>-20731.2755455891</v>
      </c>
      <c r="M133" s="95" t="n">
        <f aca="false">M98-M132</f>
        <v>-23360.9164448433</v>
      </c>
      <c r="N133" s="95" t="n">
        <f aca="false">N98-N132</f>
        <v>-26290.6773339557</v>
      </c>
      <c r="O133" s="95" t="n">
        <f aca="false">O98-O132</f>
        <v>-29541.9746813197</v>
      </c>
      <c r="P133" s="95" t="n">
        <f aca="false">P98-P132</f>
        <v>-33137.5970499775</v>
      </c>
      <c r="Q133" s="95" t="n">
        <f aca="false">Q98-Q132</f>
        <v>-37101.7900385102</v>
      </c>
      <c r="R133" s="95" t="n">
        <f aca="false">R98-R132</f>
        <v>-41460.34641997</v>
      </c>
      <c r="S133" s="95" t="n">
        <f aca="false">S98-S132</f>
        <v>31274.9079994817</v>
      </c>
      <c r="T133" s="95" t="n">
        <f aca="false">T98-T132</f>
        <v>26043.5736945362</v>
      </c>
      <c r="U133" s="95" t="n">
        <f aca="false">U98-U132</f>
        <v>20330.2284793183</v>
      </c>
      <c r="V133" s="95" t="n">
        <f aca="false">V98-V132</f>
        <v>14101.8740272386</v>
      </c>
      <c r="W133" s="95" t="n">
        <f aca="false">W98-W132</f>
        <v>7323.424379365</v>
      </c>
    </row>
    <row r="134" customFormat="false" ht="15" hidden="false" customHeight="false" outlineLevel="0" collapsed="false">
      <c r="A134" s="11" t="s">
        <v>468</v>
      </c>
      <c r="C134" s="95" t="n">
        <v>0</v>
      </c>
      <c r="D134" s="95" t="n">
        <f aca="false">0</f>
        <v>0</v>
      </c>
      <c r="E134" s="95" t="n">
        <f aca="false">D136</f>
        <v>53602.9359665626</v>
      </c>
      <c r="F134" s="95" t="n">
        <f aca="false">E136</f>
        <v>75922.0959166773</v>
      </c>
      <c r="G134" s="95" t="n">
        <f aca="false">F136</f>
        <v>84459.1256318251</v>
      </c>
      <c r="H134" s="95" t="n">
        <f aca="false">G136</f>
        <v>95880.7599965021</v>
      </c>
      <c r="I134" s="95" t="n">
        <f aca="false">H136</f>
        <v>108710.010649974</v>
      </c>
      <c r="J134" s="95" t="n">
        <f aca="false">I136</f>
        <v>123157.851358759</v>
      </c>
      <c r="K134" s="95" t="n">
        <f aca="false">J136</f>
        <v>139450.92404345</v>
      </c>
      <c r="L134" s="95" t="n">
        <f aca="false">K136</f>
        <v>157832.554264333</v>
      </c>
      <c r="M134" s="95" t="n">
        <f aca="false">L136</f>
        <v>178563.829809922</v>
      </c>
      <c r="N134" s="95" t="n">
        <f aca="false">M136</f>
        <v>201924.746254766</v>
      </c>
      <c r="O134" s="95" t="n">
        <f aca="false">N136</f>
        <v>228215.423588721</v>
      </c>
      <c r="P134" s="95" t="n">
        <f aca="false">O136</f>
        <v>257757.398270041</v>
      </c>
      <c r="Q134" s="95" t="n">
        <f aca="false">P136</f>
        <v>290894.995320019</v>
      </c>
      <c r="R134" s="95" t="n">
        <f aca="false">Q136</f>
        <v>327996.785358529</v>
      </c>
      <c r="S134" s="95" t="n">
        <f aca="false">R136</f>
        <v>369457.131778499</v>
      </c>
      <c r="T134" s="95" t="n">
        <f aca="false">S136</f>
        <v>338182.223779017</v>
      </c>
      <c r="U134" s="95" t="n">
        <f aca="false">T136</f>
        <v>312138.650084481</v>
      </c>
      <c r="V134" s="95" t="n">
        <f aca="false">U136</f>
        <v>291808.421605163</v>
      </c>
      <c r="W134" s="95" t="n">
        <f aca="false">V136</f>
        <v>277706.547577924</v>
      </c>
    </row>
    <row r="135" customFormat="false" ht="15" hidden="false" customHeight="false" outlineLevel="0" collapsed="false">
      <c r="A135" s="11" t="s">
        <v>469</v>
      </c>
      <c r="C135" s="95" t="n">
        <v>0</v>
      </c>
      <c r="D135" s="95" t="n">
        <f aca="false">MIN(D134,MAX(D133,0))</f>
        <v>0</v>
      </c>
      <c r="E135" s="95" t="n">
        <f aca="false">MIN(E134,MAX(E133,0))</f>
        <v>0</v>
      </c>
      <c r="F135" s="95" t="n">
        <f aca="false">MIN(F134,MAX(F133,0))</f>
        <v>0</v>
      </c>
      <c r="G135" s="95" t="n">
        <f aca="false">MIN(G134,MAX(G133,0))</f>
        <v>0</v>
      </c>
      <c r="H135" s="95" t="n">
        <f aca="false">MIN(H134,MAX(H133,0))</f>
        <v>0</v>
      </c>
      <c r="I135" s="95" t="n">
        <f aca="false">MIN(I134,MAX(I133,0))</f>
        <v>0</v>
      </c>
      <c r="J135" s="95" t="n">
        <f aca="false">MIN(J134,MAX(J133,0))</f>
        <v>0</v>
      </c>
      <c r="K135" s="95" t="n">
        <f aca="false">MIN(K134,MAX(K133,0))</f>
        <v>0</v>
      </c>
      <c r="L135" s="95" t="n">
        <f aca="false">MIN(L134,MAX(L133,0))</f>
        <v>0</v>
      </c>
      <c r="M135" s="95" t="n">
        <f aca="false">MIN(M134,MAX(M133,0))</f>
        <v>0</v>
      </c>
      <c r="N135" s="95" t="n">
        <f aca="false">MIN(N134,MAX(N133,0))</f>
        <v>0</v>
      </c>
      <c r="O135" s="95" t="n">
        <f aca="false">MIN(O134,MAX(O133,0))</f>
        <v>0</v>
      </c>
      <c r="P135" s="95" t="n">
        <f aca="false">MIN(P134,MAX(P133,0))</f>
        <v>0</v>
      </c>
      <c r="Q135" s="95" t="n">
        <f aca="false">MIN(Q134,MAX(Q133,0))</f>
        <v>0</v>
      </c>
      <c r="R135" s="95" t="n">
        <f aca="false">MIN(R134,MAX(R133,0))</f>
        <v>0</v>
      </c>
      <c r="S135" s="95" t="n">
        <f aca="false">MIN(S134,MAX(S133,0))</f>
        <v>31274.9079994817</v>
      </c>
      <c r="T135" s="95" t="n">
        <f aca="false">MIN(T134,MAX(T133,0))</f>
        <v>26043.5736945362</v>
      </c>
      <c r="U135" s="95" t="n">
        <f aca="false">MIN(U134,MAX(U133,0))</f>
        <v>20330.2284793183</v>
      </c>
      <c r="V135" s="95" t="n">
        <f aca="false">MIN(V134,MAX(V133,0))</f>
        <v>14101.8740272386</v>
      </c>
      <c r="W135" s="95" t="n">
        <f aca="false">MIN(W134,MAX(W133,0))</f>
        <v>7323.424379365</v>
      </c>
    </row>
    <row r="136" customFormat="false" ht="15" hidden="false" customHeight="false" outlineLevel="0" collapsed="false">
      <c r="A136" s="11" t="s">
        <v>470</v>
      </c>
      <c r="C136" s="95" t="n">
        <v>0</v>
      </c>
      <c r="D136" s="95" t="n">
        <f aca="false">D134-D135+MAX(-D133,0)</f>
        <v>53602.9359665626</v>
      </c>
      <c r="E136" s="95" t="n">
        <f aca="false">E134-E135+MAX(-E133,0)</f>
        <v>75922.0959166773</v>
      </c>
      <c r="F136" s="95" t="n">
        <f aca="false">F134-F135+MAX(-F133,0)</f>
        <v>84459.1256318251</v>
      </c>
      <c r="G136" s="95" t="n">
        <f aca="false">G134-G135+MAX(-G133,0)</f>
        <v>95880.7599965021</v>
      </c>
      <c r="H136" s="95" t="n">
        <f aca="false">H134-H135+MAX(-H133,0)</f>
        <v>108710.010649974</v>
      </c>
      <c r="I136" s="95" t="n">
        <f aca="false">I134-I135+MAX(-I133,0)</f>
        <v>123157.851358759</v>
      </c>
      <c r="J136" s="95" t="n">
        <f aca="false">J134-J135+MAX(-J133,0)</f>
        <v>139450.92404345</v>
      </c>
      <c r="K136" s="95" t="n">
        <f aca="false">K134-K135+MAX(-K133,0)</f>
        <v>157832.554264333</v>
      </c>
      <c r="L136" s="95" t="n">
        <f aca="false">L134-L135+MAX(-L133,0)</f>
        <v>178563.829809922</v>
      </c>
      <c r="M136" s="95" t="n">
        <f aca="false">M134-M135+MAX(-M133,0)</f>
        <v>201924.746254766</v>
      </c>
      <c r="N136" s="95" t="n">
        <f aca="false">N134-N135+MAX(-N133,0)</f>
        <v>228215.423588721</v>
      </c>
      <c r="O136" s="95" t="n">
        <f aca="false">O134-O135+MAX(-O133,0)</f>
        <v>257757.398270041</v>
      </c>
      <c r="P136" s="95" t="n">
        <f aca="false">P134-P135+MAX(-P133,0)</f>
        <v>290894.995320019</v>
      </c>
      <c r="Q136" s="95" t="n">
        <f aca="false">Q134-Q135+MAX(-Q133,0)</f>
        <v>327996.785358529</v>
      </c>
      <c r="R136" s="95" t="n">
        <f aca="false">R134-R135+MAX(-R133,0)</f>
        <v>369457.131778499</v>
      </c>
      <c r="S136" s="95" t="n">
        <f aca="false">S134-S135+MAX(-S133,0)</f>
        <v>338182.223779017</v>
      </c>
      <c r="T136" s="95" t="n">
        <f aca="false">T134-T135+MAX(-T133,0)</f>
        <v>312138.650084481</v>
      </c>
      <c r="U136" s="95" t="n">
        <f aca="false">U134-U135+MAX(-U133,0)</f>
        <v>291808.421605163</v>
      </c>
      <c r="V136" s="95" t="n">
        <f aca="false">V134-V135+MAX(-V133,0)</f>
        <v>277706.547577924</v>
      </c>
      <c r="W136" s="95" t="n">
        <f aca="false">W134-W135+MAX(-W133,0)</f>
        <v>270383.123198559</v>
      </c>
    </row>
    <row r="137" customFormat="false" ht="15" hidden="false" customHeight="false" outlineLevel="0" collapsed="false">
      <c r="A137" s="11" t="s">
        <v>471</v>
      </c>
      <c r="B137" s="66" t="n">
        <f aca="false">SUM(C137:W137)</f>
        <v>0</v>
      </c>
      <c r="C137" s="95" t="n">
        <v>0</v>
      </c>
      <c r="D137" s="95" t="n">
        <f aca="false">(MAX(D133,0)-D135)*TaxRate</f>
        <v>0</v>
      </c>
      <c r="E137" s="95" t="n">
        <f aca="false">(MAX(E133,0)-E135)*TaxRate</f>
        <v>0</v>
      </c>
      <c r="F137" s="95" t="n">
        <f aca="false">(MAX(F133,0)-F135)*TaxRate</f>
        <v>0</v>
      </c>
      <c r="G137" s="95" t="n">
        <f aca="false">(MAX(G133,0)-G135)*TaxRate</f>
        <v>0</v>
      </c>
      <c r="H137" s="95" t="n">
        <f aca="false">(MAX(H133,0)-H135)*TaxRate</f>
        <v>0</v>
      </c>
      <c r="I137" s="95" t="n">
        <f aca="false">(MAX(I133,0)-I135)*TaxRate</f>
        <v>0</v>
      </c>
      <c r="J137" s="95" t="n">
        <f aca="false">(MAX(J133,0)-J135)*TaxRate</f>
        <v>0</v>
      </c>
      <c r="K137" s="95" t="n">
        <f aca="false">(MAX(K133,0)-K135)*TaxRate</f>
        <v>0</v>
      </c>
      <c r="L137" s="95" t="n">
        <f aca="false">(MAX(L133,0)-L135)*TaxRate</f>
        <v>0</v>
      </c>
      <c r="M137" s="95" t="n">
        <f aca="false">(MAX(M133,0)-M135)*TaxRate</f>
        <v>0</v>
      </c>
      <c r="N137" s="95" t="n">
        <f aca="false">(MAX(N133,0)-N135)*TaxRate</f>
        <v>0</v>
      </c>
      <c r="O137" s="95" t="n">
        <f aca="false">(MAX(O133,0)-O135)*TaxRate</f>
        <v>0</v>
      </c>
      <c r="P137" s="95" t="n">
        <f aca="false">(MAX(P133,0)-P135)*TaxRate</f>
        <v>0</v>
      </c>
      <c r="Q137" s="95" t="n">
        <f aca="false">(MAX(Q133,0)-Q135)*TaxRate</f>
        <v>0</v>
      </c>
      <c r="R137" s="95" t="n">
        <f aca="false">(MAX(R133,0)-R135)*TaxRate</f>
        <v>0</v>
      </c>
      <c r="S137" s="95" t="n">
        <f aca="false">(MAX(S133,0)-S135)*TaxRate</f>
        <v>0</v>
      </c>
      <c r="T137" s="95" t="n">
        <f aca="false">(MAX(T133,0)-T135)*TaxRate</f>
        <v>0</v>
      </c>
      <c r="U137" s="95" t="n">
        <f aca="false">(MAX(U133,0)-U135)*TaxRate</f>
        <v>0</v>
      </c>
      <c r="V137" s="95" t="n">
        <f aca="false">(MAX(V133,0)-V135)*TaxRate</f>
        <v>0</v>
      </c>
      <c r="W137" s="95" t="n">
        <f aca="false">(MAX(W133,0)-W135)*TaxRate</f>
        <v>0</v>
      </c>
    </row>
    <row r="138" customFormat="false" ht="15" hidden="false" customHeight="false" outlineLevel="0" collapsed="false">
      <c r="A138" s="11" t="s">
        <v>472</v>
      </c>
      <c r="B138" s="66" t="n">
        <f aca="false">SUM(C138:W138)</f>
        <v>-385389.911891999</v>
      </c>
      <c r="C138" s="95" t="n">
        <v>0</v>
      </c>
      <c r="D138" s="95" t="n">
        <f aca="false">D98-D132-D114-D121</f>
        <v>-68234.023786709</v>
      </c>
      <c r="E138" s="95" t="n">
        <f aca="false">E98-E132-E114-E121</f>
        <v>-36950.2477702611</v>
      </c>
      <c r="F138" s="95" t="n">
        <f aca="false">F98-F132-F114-F121</f>
        <v>-23168.1175352942</v>
      </c>
      <c r="G138" s="95" t="n">
        <f aca="false">G98-G132-G114-G121</f>
        <v>-25068.5674921438</v>
      </c>
      <c r="H138" s="95" t="n">
        <f aca="false">H98-H132-H114-H121</f>
        <v>-25393.6136189907</v>
      </c>
      <c r="I138" s="95" t="n">
        <f aca="false">I98-I132-I114-I121</f>
        <v>-25821.3764961619</v>
      </c>
      <c r="J138" s="95" t="n">
        <f aca="false">J98-J132-J114-J121</f>
        <v>-26062.1730677874</v>
      </c>
      <c r="K138" s="95" t="n">
        <f aca="false">K98-K132-K114-K121</f>
        <v>-26406.4684448547</v>
      </c>
      <c r="L138" s="95" t="n">
        <f aca="false">L98-L132-L114-L121</f>
        <v>-26858.6606836719</v>
      </c>
      <c r="M138" s="95" t="n">
        <f aca="false">M98-M132-M114-M121</f>
        <v>-27422.9755362739</v>
      </c>
      <c r="N138" s="95" t="n">
        <f aca="false">N98-N132-N114-N121</f>
        <v>-28103.4062923283</v>
      </c>
      <c r="O138" s="95" t="n">
        <f aca="false">O98-O132-O114-O121</f>
        <v>-31013.2678536726</v>
      </c>
      <c r="P138" s="95" t="n">
        <f aca="false">P98-P132-P114-P121</f>
        <v>-34257.2113627301</v>
      </c>
      <c r="Q138" s="95" t="n">
        <f aca="false">Q98-Q132-Q114-Q121</f>
        <v>-37859.1751258745</v>
      </c>
      <c r="R138" s="95" t="n">
        <f aca="false">R98-R132-R114-R121</f>
        <v>-41844.6354051844</v>
      </c>
      <c r="S138" s="95" t="n">
        <f aca="false">S98-S132-S114-S121</f>
        <v>31274.9079994817</v>
      </c>
      <c r="T138" s="95" t="n">
        <f aca="false">T98-T132-T114-T121</f>
        <v>26043.5736945362</v>
      </c>
      <c r="U138" s="95" t="n">
        <f aca="false">U98-U132-U114-U121</f>
        <v>20330.2284793183</v>
      </c>
      <c r="V138" s="95" t="n">
        <f aca="false">V98-V132-V114-V121</f>
        <v>14101.8740272386</v>
      </c>
      <c r="W138" s="95" t="n">
        <f aca="false">W98-W132-W114-W121</f>
        <v>7323.424379365</v>
      </c>
    </row>
    <row r="139" customFormat="false" ht="15" hidden="false" customHeight="false" outlineLevel="0" collapsed="false">
      <c r="A139" s="11" t="s">
        <v>468</v>
      </c>
      <c r="C139" s="95" t="n">
        <v>0</v>
      </c>
      <c r="D139" s="95" t="n">
        <f aca="false">0</f>
        <v>0</v>
      </c>
      <c r="E139" s="95" t="n">
        <f aca="false">D141</f>
        <v>68234.023786709</v>
      </c>
      <c r="F139" s="95" t="n">
        <f aca="false">E141</f>
        <v>105184.27155697</v>
      </c>
      <c r="G139" s="95" t="n">
        <f aca="false">F141</f>
        <v>128352.389092264</v>
      </c>
      <c r="H139" s="95" t="n">
        <f aca="false">G141</f>
        <v>153420.956584408</v>
      </c>
      <c r="I139" s="95" t="n">
        <f aca="false">H141</f>
        <v>178814.570203399</v>
      </c>
      <c r="J139" s="95" t="n">
        <f aca="false">I141</f>
        <v>204635.946699561</v>
      </c>
      <c r="K139" s="95" t="n">
        <f aca="false">J141</f>
        <v>230698.119767348</v>
      </c>
      <c r="L139" s="95" t="n">
        <f aca="false">K141</f>
        <v>257104.588212203</v>
      </c>
      <c r="M139" s="95" t="n">
        <f aca="false">L141</f>
        <v>283963.248895875</v>
      </c>
      <c r="N139" s="95" t="n">
        <f aca="false">M141</f>
        <v>311386.224432149</v>
      </c>
      <c r="O139" s="95" t="n">
        <f aca="false">N141</f>
        <v>339489.630724477</v>
      </c>
      <c r="P139" s="95" t="n">
        <f aca="false">O141</f>
        <v>370502.89857815</v>
      </c>
      <c r="Q139" s="95" t="n">
        <f aca="false">P141</f>
        <v>404760.10994088</v>
      </c>
      <c r="R139" s="95" t="n">
        <f aca="false">Q141</f>
        <v>442619.285066754</v>
      </c>
      <c r="S139" s="95" t="n">
        <f aca="false">R141</f>
        <v>484463.920471939</v>
      </c>
      <c r="T139" s="95" t="n">
        <f aca="false">S141</f>
        <v>453189.012472457</v>
      </c>
      <c r="U139" s="95" t="n">
        <f aca="false">T141</f>
        <v>427145.438777921</v>
      </c>
      <c r="V139" s="95" t="n">
        <f aca="false">U141</f>
        <v>406815.210298602</v>
      </c>
      <c r="W139" s="95" t="n">
        <f aca="false">V141</f>
        <v>392713.336271364</v>
      </c>
    </row>
    <row r="140" customFormat="false" ht="15" hidden="false" customHeight="false" outlineLevel="0" collapsed="false">
      <c r="A140" s="11" t="s">
        <v>469</v>
      </c>
      <c r="C140" s="95" t="n">
        <v>0</v>
      </c>
      <c r="D140" s="95" t="n">
        <f aca="false">MIN(D139,MAX(D138,0))</f>
        <v>0</v>
      </c>
      <c r="E140" s="95" t="n">
        <f aca="false">MIN(E139,MAX(E138,0))</f>
        <v>0</v>
      </c>
      <c r="F140" s="95" t="n">
        <f aca="false">MIN(F139,MAX(F138,0))</f>
        <v>0</v>
      </c>
      <c r="G140" s="95" t="n">
        <f aca="false">MIN(G139,MAX(G138,0))</f>
        <v>0</v>
      </c>
      <c r="H140" s="95" t="n">
        <f aca="false">MIN(H139,MAX(H138,0))</f>
        <v>0</v>
      </c>
      <c r="I140" s="95" t="n">
        <f aca="false">MIN(I139,MAX(I138,0))</f>
        <v>0</v>
      </c>
      <c r="J140" s="95" t="n">
        <f aca="false">MIN(J139,MAX(J138,0))</f>
        <v>0</v>
      </c>
      <c r="K140" s="95" t="n">
        <f aca="false">MIN(K139,MAX(K138,0))</f>
        <v>0</v>
      </c>
      <c r="L140" s="95" t="n">
        <f aca="false">MIN(L139,MAX(L138,0))</f>
        <v>0</v>
      </c>
      <c r="M140" s="95" t="n">
        <f aca="false">MIN(M139,MAX(M138,0))</f>
        <v>0</v>
      </c>
      <c r="N140" s="95" t="n">
        <f aca="false">MIN(N139,MAX(N138,0))</f>
        <v>0</v>
      </c>
      <c r="O140" s="95" t="n">
        <f aca="false">MIN(O139,MAX(O138,0))</f>
        <v>0</v>
      </c>
      <c r="P140" s="95" t="n">
        <f aca="false">MIN(P139,MAX(P138,0))</f>
        <v>0</v>
      </c>
      <c r="Q140" s="95" t="n">
        <f aca="false">MIN(Q139,MAX(Q138,0))</f>
        <v>0</v>
      </c>
      <c r="R140" s="95" t="n">
        <f aca="false">MIN(R139,MAX(R138,0))</f>
        <v>0</v>
      </c>
      <c r="S140" s="95" t="n">
        <f aca="false">MIN(S139,MAX(S138,0))</f>
        <v>31274.9079994817</v>
      </c>
      <c r="T140" s="95" t="n">
        <f aca="false">MIN(T139,MAX(T138,0))</f>
        <v>26043.5736945362</v>
      </c>
      <c r="U140" s="95" t="n">
        <f aca="false">MIN(U139,MAX(U138,0))</f>
        <v>20330.2284793183</v>
      </c>
      <c r="V140" s="95" t="n">
        <f aca="false">MIN(V139,MAX(V138,0))</f>
        <v>14101.8740272386</v>
      </c>
      <c r="W140" s="95" t="n">
        <f aca="false">MIN(W139,MAX(W138,0))</f>
        <v>7323.424379365</v>
      </c>
    </row>
    <row r="141" customFormat="false" ht="15" hidden="false" customHeight="false" outlineLevel="0" collapsed="false">
      <c r="A141" s="11" t="s">
        <v>470</v>
      </c>
      <c r="C141" s="95" t="n">
        <v>0</v>
      </c>
      <c r="D141" s="95" t="n">
        <f aca="false">D139-D140+MAX(-D138,0)</f>
        <v>68234.023786709</v>
      </c>
      <c r="E141" s="95" t="n">
        <f aca="false">E139-E140+MAX(-E138,0)</f>
        <v>105184.27155697</v>
      </c>
      <c r="F141" s="95" t="n">
        <f aca="false">F139-F140+MAX(-F138,0)</f>
        <v>128352.389092264</v>
      </c>
      <c r="G141" s="95" t="n">
        <f aca="false">G139-G140+MAX(-G138,0)</f>
        <v>153420.956584408</v>
      </c>
      <c r="H141" s="95" t="n">
        <f aca="false">H139-H140+MAX(-H138,0)</f>
        <v>178814.570203399</v>
      </c>
      <c r="I141" s="95" t="n">
        <f aca="false">I139-I140+MAX(-I138,0)</f>
        <v>204635.946699561</v>
      </c>
      <c r="J141" s="95" t="n">
        <f aca="false">J139-J140+MAX(-J138,0)</f>
        <v>230698.119767348</v>
      </c>
      <c r="K141" s="95" t="n">
        <f aca="false">K139-K140+MAX(-K138,0)</f>
        <v>257104.588212203</v>
      </c>
      <c r="L141" s="95" t="n">
        <f aca="false">L139-L140+MAX(-L138,0)</f>
        <v>283963.248895875</v>
      </c>
      <c r="M141" s="95" t="n">
        <f aca="false">M139-M140+MAX(-M138,0)</f>
        <v>311386.224432149</v>
      </c>
      <c r="N141" s="95" t="n">
        <f aca="false">N139-N140+MAX(-N138,0)</f>
        <v>339489.630724477</v>
      </c>
      <c r="O141" s="95" t="n">
        <f aca="false">O139-O140+MAX(-O138,0)</f>
        <v>370502.89857815</v>
      </c>
      <c r="P141" s="95" t="n">
        <f aca="false">P139-P140+MAX(-P138,0)</f>
        <v>404760.10994088</v>
      </c>
      <c r="Q141" s="95" t="n">
        <f aca="false">Q139-Q140+MAX(-Q138,0)</f>
        <v>442619.285066754</v>
      </c>
      <c r="R141" s="95" t="n">
        <f aca="false">R139-R140+MAX(-R138,0)</f>
        <v>484463.920471939</v>
      </c>
      <c r="S141" s="95" t="n">
        <f aca="false">S139-S140+MAX(-S138,0)</f>
        <v>453189.012472457</v>
      </c>
      <c r="T141" s="95" t="n">
        <f aca="false">T139-T140+MAX(-T138,0)</f>
        <v>427145.438777921</v>
      </c>
      <c r="U141" s="95" t="n">
        <f aca="false">U139-U140+MAX(-U138,0)</f>
        <v>406815.210298602</v>
      </c>
      <c r="V141" s="95" t="n">
        <f aca="false">V139-V140+MAX(-V138,0)</f>
        <v>392713.336271364</v>
      </c>
      <c r="W141" s="95" t="n">
        <f aca="false">W139-W140+MAX(-W138,0)</f>
        <v>385389.911891999</v>
      </c>
    </row>
    <row r="142" customFormat="false" ht="15" hidden="false" customHeight="false" outlineLevel="0" collapsed="false">
      <c r="A142" s="11" t="s">
        <v>473</v>
      </c>
      <c r="B142" s="66" t="n">
        <f aca="false">SUM(C142:W142)</f>
        <v>0</v>
      </c>
      <c r="C142" s="95" t="n">
        <v>0</v>
      </c>
      <c r="D142" s="95" t="n">
        <f aca="false">(MAX(D138,0)-D140)*TaxRate</f>
        <v>0</v>
      </c>
      <c r="E142" s="95" t="n">
        <f aca="false">(MAX(E138,0)-E140)*TaxRate</f>
        <v>0</v>
      </c>
      <c r="F142" s="95" t="n">
        <f aca="false">(MAX(F138,0)-F140)*TaxRate</f>
        <v>0</v>
      </c>
      <c r="G142" s="95" t="n">
        <f aca="false">(MAX(G138,0)-G140)*TaxRate</f>
        <v>0</v>
      </c>
      <c r="H142" s="95" t="n">
        <f aca="false">(MAX(H138,0)-H140)*TaxRate</f>
        <v>0</v>
      </c>
      <c r="I142" s="95" t="n">
        <f aca="false">(MAX(I138,0)-I140)*TaxRate</f>
        <v>0</v>
      </c>
      <c r="J142" s="95" t="n">
        <f aca="false">(MAX(J138,0)-J140)*TaxRate</f>
        <v>0</v>
      </c>
      <c r="K142" s="95" t="n">
        <f aca="false">(MAX(K138,0)-K140)*TaxRate</f>
        <v>0</v>
      </c>
      <c r="L142" s="95" t="n">
        <f aca="false">(MAX(L138,0)-L140)*TaxRate</f>
        <v>0</v>
      </c>
      <c r="M142" s="95" t="n">
        <f aca="false">(MAX(M138,0)-M140)*TaxRate</f>
        <v>0</v>
      </c>
      <c r="N142" s="95" t="n">
        <f aca="false">(MAX(N138,0)-N140)*TaxRate</f>
        <v>0</v>
      </c>
      <c r="O142" s="95" t="n">
        <f aca="false">(MAX(O138,0)-O140)*TaxRate</f>
        <v>0</v>
      </c>
      <c r="P142" s="95" t="n">
        <f aca="false">(MAX(P138,0)-P140)*TaxRate</f>
        <v>0</v>
      </c>
      <c r="Q142" s="95" t="n">
        <f aca="false">(MAX(Q138,0)-Q140)*TaxRate</f>
        <v>0</v>
      </c>
      <c r="R142" s="95" t="n">
        <f aca="false">(MAX(R138,0)-R140)*TaxRate</f>
        <v>0</v>
      </c>
      <c r="S142" s="95" t="n">
        <f aca="false">(MAX(S138,0)-S140)*TaxRate</f>
        <v>0</v>
      </c>
      <c r="T142" s="95" t="n">
        <f aca="false">(MAX(T138,0)-T140)*TaxRate</f>
        <v>0</v>
      </c>
      <c r="U142" s="95" t="n">
        <f aca="false">(MAX(U138,0)-U140)*TaxRate</f>
        <v>0</v>
      </c>
      <c r="V142" s="95" t="n">
        <f aca="false">(MAX(V138,0)-V140)*TaxRate</f>
        <v>0</v>
      </c>
      <c r="W142" s="95" t="n">
        <f aca="false">(MAX(W138,0)-W140)*TaxRate</f>
        <v>0</v>
      </c>
    </row>
    <row r="144" customFormat="false" ht="15" hidden="false" customHeight="false" outlineLevel="0" collapsed="false">
      <c r="A144" s="9" t="s">
        <v>474</v>
      </c>
      <c r="B144" s="10"/>
      <c r="C144" s="10"/>
      <c r="D144" s="10"/>
      <c r="E144" s="10"/>
      <c r="F144" s="10"/>
      <c r="G144" s="10"/>
      <c r="H144" s="10"/>
      <c r="I144" s="10"/>
      <c r="J144" s="10"/>
      <c r="K144" s="10"/>
      <c r="L144" s="10"/>
      <c r="M144" s="10"/>
      <c r="N144" s="10"/>
      <c r="O144" s="10"/>
      <c r="P144" s="10"/>
      <c r="Q144" s="10"/>
      <c r="R144" s="10"/>
      <c r="S144" s="10"/>
      <c r="T144" s="10"/>
      <c r="U144" s="10"/>
      <c r="V144" s="10"/>
      <c r="W144" s="10"/>
    </row>
    <row r="145" customFormat="false" ht="15" hidden="false" customHeight="false" outlineLevel="0" collapsed="false">
      <c r="A145" s="16" t="s">
        <v>475</v>
      </c>
      <c r="B145" s="66" t="n">
        <f aca="false">C145+NPV(Hurdle,D145:W145)</f>
        <v>-857435.551922535</v>
      </c>
      <c r="C145" s="31" t="n">
        <f aca="false">-C102+C98-C103-C137</f>
        <v>-1162734.14692871</v>
      </c>
      <c r="D145" s="31" t="n">
        <f aca="false">-D102+D98-D103-D137</f>
        <v>23912.6738286845</v>
      </c>
      <c r="E145" s="31" t="n">
        <f aca="false">-E102+E98-E103-E137</f>
        <v>55196.4498451325</v>
      </c>
      <c r="F145" s="31" t="n">
        <f aca="false">-F102+F98-F103-F137</f>
        <v>68978.5800800994</v>
      </c>
      <c r="G145" s="31" t="n">
        <f aca="false">-G102+G98-G103-G137</f>
        <v>66093.9754305701</v>
      </c>
      <c r="H145" s="31" t="n">
        <f aca="false">-H102+H98-H103-H137</f>
        <v>64686.3591417756</v>
      </c>
      <c r="I145" s="31" t="n">
        <f aca="false">-I102+I98-I103-I137</f>
        <v>63067.7690864621</v>
      </c>
      <c r="J145" s="31" t="n">
        <f aca="false">-J102+J98-J103-J137</f>
        <v>61222.5371105563</v>
      </c>
      <c r="K145" s="31" t="n">
        <f aca="false">-K102+K98-K103-K137</f>
        <v>-106769.458130338</v>
      </c>
      <c r="L145" s="31" t="n">
        <f aca="false">-L102+L98-L103-L137</f>
        <v>56784.3342496581</v>
      </c>
      <c r="M145" s="31" t="n">
        <f aca="false">-M102+M98-M103-M137</f>
        <v>54154.6933504038</v>
      </c>
      <c r="N145" s="31" t="n">
        <f aca="false">-N102+N98-N103-N137</f>
        <v>51224.9324612914</v>
      </c>
      <c r="O145" s="31" t="n">
        <f aca="false">-O102+O98-O103-O137</f>
        <v>47973.6351139274</v>
      </c>
      <c r="P145" s="31" t="n">
        <f aca="false">-P102+P98-P103-P137</f>
        <v>44378.0127452696</v>
      </c>
      <c r="Q145" s="31" t="n">
        <f aca="false">-Q102+Q98-Q103-Q137</f>
        <v>40413.819756737</v>
      </c>
      <c r="R145" s="31" t="n">
        <f aca="false">-R102+R98-R103-R137</f>
        <v>36055.2633752772</v>
      </c>
      <c r="S145" s="31" t="n">
        <f aca="false">-S102+S98-S103-S137</f>
        <v>-178886.603284188</v>
      </c>
      <c r="T145" s="31" t="n">
        <f aca="false">-T102+T98-T103-T137</f>
        <v>26043.5736945362</v>
      </c>
      <c r="U145" s="31" t="n">
        <f aca="false">-U102+U98-U103-U137</f>
        <v>20330.2284793183</v>
      </c>
      <c r="V145" s="31" t="n">
        <f aca="false">-V102+V98-V103-V137</f>
        <v>14101.8740272386</v>
      </c>
      <c r="W145" s="31" t="n">
        <f aca="false">-W102+W98-W103-W137</f>
        <v>7323.424379365</v>
      </c>
    </row>
    <row r="146" customFormat="false" ht="15" hidden="false" customHeight="false" outlineLevel="0" collapsed="false">
      <c r="A146" s="16" t="s">
        <v>476</v>
      </c>
      <c r="B146" s="66" t="n">
        <f aca="false">C146+NPV(Hurdle,D146:W146)</f>
        <v>-39515.1912914301</v>
      </c>
      <c r="C146" s="31" t="n">
        <f aca="false">C145+C106+C108</f>
        <v>-562734.146928707</v>
      </c>
      <c r="D146" s="31" t="n">
        <f aca="false">D145+D106+D108</f>
        <v>175112.673828685</v>
      </c>
      <c r="E146" s="31" t="n">
        <f aca="false">E145+E106+E108</f>
        <v>118196.449845132</v>
      </c>
      <c r="F146" s="31" t="n">
        <f aca="false">F145+F106+F108</f>
        <v>106778.580080099</v>
      </c>
      <c r="G146" s="31" t="n">
        <f aca="false">G145+G106+G108</f>
        <v>66093.9754305701</v>
      </c>
      <c r="H146" s="31" t="n">
        <f aca="false">H145+H106+H108</f>
        <v>64686.3591417756</v>
      </c>
      <c r="I146" s="31" t="n">
        <f aca="false">I145+I106+I108</f>
        <v>63067.7690864621</v>
      </c>
      <c r="J146" s="31" t="n">
        <f aca="false">J145+J106+J108</f>
        <v>61222.5371105563</v>
      </c>
      <c r="K146" s="31" t="n">
        <f aca="false">K145+K106+K108</f>
        <v>-106769.458130338</v>
      </c>
      <c r="L146" s="31" t="n">
        <f aca="false">L145+L106+L108</f>
        <v>56784.3342496581</v>
      </c>
      <c r="M146" s="31" t="n">
        <f aca="false">M145+M106+M108</f>
        <v>54154.6933504038</v>
      </c>
      <c r="N146" s="31" t="n">
        <f aca="false">N145+N106+N108</f>
        <v>51224.9324612914</v>
      </c>
      <c r="O146" s="31" t="n">
        <f aca="false">O145+O106+O108</f>
        <v>47973.6351139274</v>
      </c>
      <c r="P146" s="31" t="n">
        <f aca="false">P145+P106+P108</f>
        <v>44378.0127452696</v>
      </c>
      <c r="Q146" s="31" t="n">
        <f aca="false">Q145+Q106+Q108</f>
        <v>40413.819756737</v>
      </c>
      <c r="R146" s="31" t="n">
        <f aca="false">R145+R106+R108</f>
        <v>36055.2633752772</v>
      </c>
      <c r="S146" s="31" t="n">
        <f aca="false">S145+S106+S108</f>
        <v>-178886.603284188</v>
      </c>
      <c r="T146" s="31" t="n">
        <f aca="false">T145+T106+T108</f>
        <v>26043.5736945362</v>
      </c>
      <c r="U146" s="31" t="n">
        <f aca="false">U145+U106+U108</f>
        <v>20330.2284793183</v>
      </c>
      <c r="V146" s="31" t="n">
        <f aca="false">V145+V106+V108</f>
        <v>14101.8740272386</v>
      </c>
      <c r="W146" s="31" t="n">
        <f aca="false">W145+W106+W108</f>
        <v>7323.424379365</v>
      </c>
    </row>
    <row r="147" customFormat="false" ht="15" hidden="false" customHeight="false" outlineLevel="0" collapsed="false">
      <c r="A147" s="11" t="s">
        <v>243</v>
      </c>
      <c r="B147" s="66" t="n">
        <f aca="false">SUM(C147:W147)</f>
        <v>768286.074741777</v>
      </c>
      <c r="C147" s="95" t="n">
        <v>0</v>
      </c>
      <c r="D147" s="95" t="n">
        <f aca="false">D98-D105-D142+D108</f>
        <v>154374.744115597</v>
      </c>
      <c r="E147" s="95" t="n">
        <f aca="false">E98-E105-E142+E108</f>
        <v>97458.5201320448</v>
      </c>
      <c r="F147" s="95" t="n">
        <f aca="false">F98-F105-F142+F108</f>
        <v>86040.6503670117</v>
      </c>
      <c r="G147" s="95" t="n">
        <f aca="false">G98-G105-G142+G108</f>
        <v>45356.0457174824</v>
      </c>
      <c r="H147" s="95" t="n">
        <f aca="false">H98-H105-H142+H108</f>
        <v>43948.4294286879</v>
      </c>
      <c r="I147" s="95" t="n">
        <f aca="false">I98-I105-I142+I108</f>
        <v>42329.8393733744</v>
      </c>
      <c r="J147" s="95" t="n">
        <f aca="false">J98-J105-J142+J108</f>
        <v>40484.6073974687</v>
      </c>
      <c r="K147" s="95" t="n">
        <f aca="false">K98-K105-K142+K108</f>
        <v>38396.0498612757</v>
      </c>
      <c r="L147" s="95" t="n">
        <f aca="false">L98-L105-L142+L108</f>
        <v>30514.1453391994</v>
      </c>
      <c r="M147" s="95" t="n">
        <f aca="false">M98-M105-M142+M108</f>
        <v>27884.5044399451</v>
      </c>
      <c r="N147" s="95" t="n">
        <f aca="false">N98-N105-N142+N108</f>
        <v>24954.7435508327</v>
      </c>
      <c r="O147" s="95" t="n">
        <f aca="false">O98-O105-O142+O108</f>
        <v>21703.4462034687</v>
      </c>
      <c r="P147" s="95" t="n">
        <f aca="false">P98-P105-P142+P108</f>
        <v>18107.8238348109</v>
      </c>
      <c r="Q147" s="95" t="n">
        <f aca="false">Q98-Q105-Q142+Q108</f>
        <v>14143.6308462782</v>
      </c>
      <c r="R147" s="95" t="n">
        <f aca="false">R98-R105-R142+R108</f>
        <v>9785.07446481843</v>
      </c>
      <c r="S147" s="95" t="n">
        <f aca="false">S98-S105-S142+S108</f>
        <v>5004.71908902298</v>
      </c>
      <c r="T147" s="95" t="n">
        <f aca="false">T98-T105-T142+T108</f>
        <v>26043.5736945362</v>
      </c>
      <c r="U147" s="95" t="n">
        <f aca="false">U98-U105-U142+U108</f>
        <v>20330.2284793183</v>
      </c>
      <c r="V147" s="95" t="n">
        <f aca="false">V98-V105-V142+V108</f>
        <v>14101.8740272386</v>
      </c>
      <c r="W147" s="95" t="n">
        <f aca="false">W98-W105-W142+W108</f>
        <v>7323.424379365</v>
      </c>
    </row>
    <row r="148" customFormat="false" ht="15" hidden="false" customHeight="false" outlineLevel="0" collapsed="false">
      <c r="A148" s="11" t="s">
        <v>477</v>
      </c>
      <c r="C148" s="97" t="n">
        <v>0</v>
      </c>
      <c r="D148" s="97" t="n">
        <f aca="false">IF(D125&gt;0,D147/D125,"")</f>
        <v>10.5511460264102</v>
      </c>
      <c r="E148" s="97" t="n">
        <f aca="false">IF(E125&gt;0,E147/E125,"")</f>
        <v>6.66105769646523</v>
      </c>
      <c r="F148" s="97" t="n">
        <f aca="false">IF(F125&gt;0,F147/F125,"")</f>
        <v>3.51579023904488</v>
      </c>
      <c r="G148" s="97" t="n">
        <f aca="false">IF(G125&gt;0,G147/G125,"")</f>
        <v>1.85333725552982</v>
      </c>
      <c r="H148" s="97" t="n">
        <f aca="false">IF(H125&gt;0,H147/H125,"")</f>
        <v>1.79581928481069</v>
      </c>
      <c r="I148" s="97" t="n">
        <f aca="false">IF(I125&gt;0,I147/I125,"")</f>
        <v>1.23446054583666</v>
      </c>
      <c r="J148" s="97" t="n">
        <f aca="false">IF(J125&gt;0,J147/J125,"")</f>
        <v>1.1806482444934</v>
      </c>
      <c r="K148" s="97" t="n">
        <f aca="false">IF(K125&gt;0,K147/K125,"")</f>
        <v>1.11973986604673</v>
      </c>
      <c r="L148" s="97" t="n">
        <f aca="false">IF(L125&gt;0,L147/L125,"")</f>
        <v>0.889880733515393</v>
      </c>
      <c r="M148" s="97" t="n">
        <f aca="false">IF(M125&gt;0,M147/M125,"")</f>
        <v>0.813192799237766</v>
      </c>
      <c r="N148" s="97" t="n">
        <f aca="false">IF(N125&gt;0,N147/N125,"")</f>
        <v>1.89138179538352</v>
      </c>
      <c r="O148" s="97" t="n">
        <f aca="false">IF(O125&gt;0,O147/O125,"")</f>
        <v>1.64495792003266</v>
      </c>
      <c r="P148" s="97" t="n">
        <f aca="false">IF(P125&gt;0,P147/P125,"")</f>
        <v>1.37243679885583</v>
      </c>
      <c r="Q148" s="97" t="n">
        <f aca="false">IF(Q125&gt;0,Q147/Q125,"")</f>
        <v>1.07198079791058</v>
      </c>
      <c r="R148" s="97" t="n">
        <f aca="false">IF(R125&gt;0,R147/R125,"")</f>
        <v>0.741635019070839</v>
      </c>
      <c r="S148" s="97" t="str">
        <f aca="false">IF(S125&gt;0,S147/S125,"")</f>
        <v/>
      </c>
      <c r="T148" s="97" t="str">
        <f aca="false">IF(T125&gt;0,T147/T125,"")</f>
        <v/>
      </c>
      <c r="U148" s="97" t="str">
        <f aca="false">IF(U125&gt;0,U147/U125,"")</f>
        <v/>
      </c>
      <c r="V148" s="97" t="str">
        <f aca="false">IF(V125&gt;0,V147/V125,"")</f>
        <v/>
      </c>
      <c r="W148" s="97" t="str">
        <f aca="false">IF(W125&gt;0,W147/W125,"")</f>
        <v/>
      </c>
    </row>
    <row r="149" customFormat="false" ht="15" hidden="false" customHeight="false" outlineLevel="0" collapsed="false">
      <c r="A149" s="16" t="s">
        <v>478</v>
      </c>
      <c r="B149" s="66" t="n">
        <f aca="false">C149+NPV(Hurdle,D149:W149)</f>
        <v>-51774.1670085545</v>
      </c>
      <c r="C149" s="31" t="n">
        <f aca="false">-S_Demand_Hi!$B$18-C129</f>
        <v>-344956.032067298</v>
      </c>
      <c r="D149" s="31" t="n">
        <f aca="false">D147-D125-D129</f>
        <v>139743.65629545</v>
      </c>
      <c r="E149" s="31" t="n">
        <f aca="false">E147-E125-E129</f>
        <v>77906.6588485002</v>
      </c>
      <c r="F149" s="31" t="n">
        <f aca="false">F147-F125-F129</f>
        <v>61568.015620069</v>
      </c>
      <c r="G149" s="31" t="n">
        <f aca="false">G147-G125-G129</f>
        <v>20883.4109705397</v>
      </c>
      <c r="H149" s="31" t="n">
        <f aca="false">H147-H125-H129</f>
        <v>14567.0362096839</v>
      </c>
      <c r="I149" s="31" t="n">
        <f aca="false">I147-I125-I129</f>
        <v>8039.68768230902</v>
      </c>
      <c r="J149" s="31" t="n">
        <f aca="false">J147-J125-J129</f>
        <v>6194.45570640325</v>
      </c>
      <c r="K149" s="31" t="n">
        <f aca="false">K147-K125-K129</f>
        <v>4105.89817021031</v>
      </c>
      <c r="L149" s="31" t="n">
        <f aca="false">L147-L125-L129</f>
        <v>-3776.00635186604</v>
      </c>
      <c r="M149" s="31" t="n">
        <f aca="false">M147-M125-M129</f>
        <v>4142.46768156492</v>
      </c>
      <c r="N149" s="31" t="n">
        <f aca="false">N147-N125-N129</f>
        <v>11760.8217251378</v>
      </c>
      <c r="O149" s="31" t="n">
        <f aca="false">O147-O125-O129</f>
        <v>8509.52437777374</v>
      </c>
      <c r="P149" s="31" t="n">
        <f aca="false">P147-P125-P129</f>
        <v>4913.90200911596</v>
      </c>
      <c r="Q149" s="31" t="n">
        <f aca="false">Q147-Q125-Q129</f>
        <v>949.709020583301</v>
      </c>
      <c r="R149" s="31" t="n">
        <f aca="false">R147-R125-R129</f>
        <v>3188.11355197096</v>
      </c>
      <c r="S149" s="31" t="n">
        <f aca="false">S147-S125-S129</f>
        <v>5004.71908902298</v>
      </c>
      <c r="T149" s="31" t="n">
        <f aca="false">T147-T125-T129</f>
        <v>26043.5736945362</v>
      </c>
      <c r="U149" s="31" t="n">
        <f aca="false">U147-U125-U129</f>
        <v>20330.2284793183</v>
      </c>
      <c r="V149" s="31" t="n">
        <f aca="false">V147-V125-V129</f>
        <v>14101.8740272386</v>
      </c>
      <c r="W149" s="31" t="n">
        <f aca="false">W147-W125-W129</f>
        <v>7323.424379365</v>
      </c>
    </row>
    <row r="150" customFormat="false" ht="15" hidden="false" customHeight="false" outlineLevel="0" collapsed="false">
      <c r="A150" s="11" t="s">
        <v>479</v>
      </c>
      <c r="C150" s="95" t="n">
        <f aca="false">C149</f>
        <v>-344956.032067298</v>
      </c>
      <c r="D150" s="95" t="n">
        <f aca="false">C150+D149</f>
        <v>-205212.375771847</v>
      </c>
      <c r="E150" s="95" t="n">
        <f aca="false">D150+E149</f>
        <v>-127305.716923347</v>
      </c>
      <c r="F150" s="95" t="n">
        <f aca="false">E150+F149</f>
        <v>-65737.7013032778</v>
      </c>
      <c r="G150" s="95" t="n">
        <f aca="false">F150+G149</f>
        <v>-44854.2903327381</v>
      </c>
      <c r="H150" s="95" t="n">
        <f aca="false">G150+H149</f>
        <v>-30287.2541230542</v>
      </c>
      <c r="I150" s="95" t="n">
        <f aca="false">H150+I149</f>
        <v>-22247.5664407452</v>
      </c>
      <c r="J150" s="95" t="n">
        <f aca="false">I150+J149</f>
        <v>-16053.110734342</v>
      </c>
      <c r="K150" s="95" t="n">
        <f aca="false">J150+K149</f>
        <v>-11947.2125641316</v>
      </c>
      <c r="L150" s="95" t="n">
        <f aca="false">K150+L149</f>
        <v>-15723.2189159977</v>
      </c>
      <c r="M150" s="95" t="n">
        <f aca="false">L150+M149</f>
        <v>-11580.7512344328</v>
      </c>
      <c r="N150" s="95" t="n">
        <f aca="false">M150+N149</f>
        <v>180.070490704999</v>
      </c>
      <c r="O150" s="95" t="n">
        <f aca="false">N150+O149</f>
        <v>8689.59486847874</v>
      </c>
      <c r="P150" s="95" t="n">
        <f aca="false">O150+P149</f>
        <v>13603.4968775947</v>
      </c>
      <c r="Q150" s="95" t="n">
        <f aca="false">P150+Q149</f>
        <v>14553.205898178</v>
      </c>
      <c r="R150" s="95" t="n">
        <f aca="false">Q150+R149</f>
        <v>17741.319450149</v>
      </c>
      <c r="S150" s="95" t="n">
        <f aca="false">R150+S149</f>
        <v>22746.0385391719</v>
      </c>
      <c r="T150" s="95" t="n">
        <f aca="false">S150+T149</f>
        <v>48789.6122337081</v>
      </c>
      <c r="U150" s="95" t="n">
        <f aca="false">T150+U149</f>
        <v>69119.8407130264</v>
      </c>
      <c r="V150" s="95" t="n">
        <f aca="false">U150+V149</f>
        <v>83221.7147402651</v>
      </c>
      <c r="W150" s="95" t="n">
        <f aca="false">V150+W149</f>
        <v>90545.1391196301</v>
      </c>
    </row>
    <row r="152" customFormat="false" ht="15" hidden="false" customHeight="false" outlineLevel="0" collapsed="false">
      <c r="A152" s="9" t="s">
        <v>480</v>
      </c>
      <c r="B152" s="10"/>
      <c r="C152" s="10"/>
      <c r="D152" s="10"/>
      <c r="E152" s="10"/>
      <c r="F152" s="10"/>
      <c r="G152" s="10"/>
      <c r="H152" s="10"/>
      <c r="I152" s="10"/>
      <c r="J152" s="10"/>
      <c r="K152" s="10"/>
      <c r="L152" s="10"/>
      <c r="M152" s="10"/>
      <c r="N152" s="10"/>
      <c r="O152" s="10"/>
      <c r="P152" s="10"/>
      <c r="Q152" s="10"/>
      <c r="R152" s="10"/>
      <c r="S152" s="10"/>
      <c r="T152" s="10"/>
      <c r="U152" s="10"/>
      <c r="V152" s="10"/>
      <c r="W152" s="10"/>
    </row>
    <row r="153" customFormat="false" ht="15" hidden="false" customHeight="false" outlineLevel="0" collapsed="false">
      <c r="A153" s="11" t="s">
        <v>481</v>
      </c>
      <c r="B153" s="66" t="n">
        <f aca="false">C153+NPV(Hurdle,D153:W153)</f>
        <v>2677902.66449414</v>
      </c>
      <c r="C153" s="95" t="n">
        <f aca="false">C102+C96-C93+C103</f>
        <v>1162734.14692871</v>
      </c>
      <c r="D153" s="95" t="n">
        <f aca="false">D102+D96-D93+D103</f>
        <v>68470.9649466115</v>
      </c>
      <c r="E153" s="95" t="n">
        <f aca="false">E102+E96-E93+E103</f>
        <v>76380.3316135422</v>
      </c>
      <c r="F153" s="95" t="n">
        <f aca="false">F102+F96-F93+F103</f>
        <v>93437.2847134394</v>
      </c>
      <c r="G153" s="95" t="n">
        <f aca="false">G102+G96-G93+G103</f>
        <v>104437.864603895</v>
      </c>
      <c r="H153" s="95" t="n">
        <f aca="false">H102+H96-H93+H103</f>
        <v>116230.869950789</v>
      </c>
      <c r="I153" s="95" t="n">
        <f aca="false">I102+I96-I93+I103</f>
        <v>128867.319257839</v>
      </c>
      <c r="J153" s="95" t="n">
        <f aca="false">J102+J96-J93+J103</f>
        <v>142401.398113913</v>
      </c>
      <c r="K153" s="95" t="n">
        <f aca="false">K102+K96-K93+K103</f>
        <v>322794.091009978</v>
      </c>
      <c r="L153" s="95" t="n">
        <f aca="false">L102+L96-L93+L103</f>
        <v>172396.198772352</v>
      </c>
      <c r="M153" s="95" t="n">
        <f aca="false">M102+M96-M93+M103</f>
        <v>188982.934132646</v>
      </c>
      <c r="N153" s="95" t="n">
        <f aca="false">N102+N96-N93+N103</f>
        <v>206719.776535476</v>
      </c>
      <c r="O153" s="95" t="n">
        <f aca="false">O102+O96-O93+O103</f>
        <v>225679.906660744</v>
      </c>
      <c r="P153" s="95" t="n">
        <f aca="false">P102+P96-P93+P103</f>
        <v>245941.029723479</v>
      </c>
      <c r="Q153" s="95" t="n">
        <f aca="false">Q102+Q96-Q93+Q103</f>
        <v>267585.652398358</v>
      </c>
      <c r="R153" s="95" t="n">
        <f aca="false">R102+R96-R93+R103</f>
        <v>290701.376634064</v>
      </c>
      <c r="S153" s="95" t="n">
        <f aca="false">S102+S96-S93+S103</f>
        <v>525542.722670098</v>
      </c>
      <c r="T153" s="95" t="n">
        <f aca="false">T102+T96-T93+T103</f>
        <v>341723.903361975</v>
      </c>
      <c r="U153" s="95" t="n">
        <f aca="false">U102+U96-U93+U103</f>
        <v>369834.287929935</v>
      </c>
      <c r="V153" s="95" t="n">
        <f aca="false">V102+V96-V93+V103</f>
        <v>399823.661431338</v>
      </c>
      <c r="W153" s="95" t="n">
        <f aca="false">W102+W96-W93+W103</f>
        <v>431810.176188639</v>
      </c>
    </row>
    <row r="154" customFormat="false" ht="15" hidden="false" customHeight="false" outlineLevel="0" collapsed="false">
      <c r="A154" s="11" t="s">
        <v>482</v>
      </c>
      <c r="B154" s="76" t="n">
        <f aca="false">C154+NPV(Hurdle,D154:W154)</f>
        <v>4205544.19478404</v>
      </c>
      <c r="C154" s="93" t="n">
        <f aca="false">C66</f>
        <v>0</v>
      </c>
      <c r="D154" s="93" t="n">
        <f aca="false">D66</f>
        <v>253367.6544</v>
      </c>
      <c r="E154" s="93" t="n">
        <f aca="false">E66</f>
        <v>369705.635712</v>
      </c>
      <c r="F154" s="93" t="n">
        <f aca="false">F66</f>
        <v>447996.2409216</v>
      </c>
      <c r="G154" s="93" t="n">
        <f aca="false">G66</f>
        <v>461436.128149248</v>
      </c>
      <c r="H154" s="93" t="n">
        <f aca="false">H66</f>
        <v>475279.211993726</v>
      </c>
      <c r="I154" s="93" t="n">
        <f aca="false">I66</f>
        <v>489537.588353537</v>
      </c>
      <c r="J154" s="93" t="n">
        <f aca="false">J66</f>
        <v>504223.716004143</v>
      </c>
      <c r="K154" s="93" t="n">
        <f aca="false">K66</f>
        <v>519350.427484268</v>
      </c>
      <c r="L154" s="93" t="n">
        <f aca="false">L66</f>
        <v>534930.940308796</v>
      </c>
      <c r="M154" s="93" t="n">
        <f aca="false">M66</f>
        <v>550978.86851806</v>
      </c>
      <c r="N154" s="93" t="n">
        <f aca="false">N66</f>
        <v>567508.234573601</v>
      </c>
      <c r="O154" s="93" t="n">
        <f aca="false">O66</f>
        <v>584533.48161081</v>
      </c>
      <c r="P154" s="93" t="n">
        <f aca="false">P66</f>
        <v>602069.486059134</v>
      </c>
      <c r="Q154" s="93" t="n">
        <f aca="false">Q66</f>
        <v>620131.570640908</v>
      </c>
      <c r="R154" s="93" t="n">
        <f aca="false">R66</f>
        <v>638735.517760135</v>
      </c>
      <c r="S154" s="93" t="n">
        <f aca="false">S66</f>
        <v>657897.583292939</v>
      </c>
      <c r="T154" s="93" t="n">
        <f aca="false">T66</f>
        <v>677634.510791727</v>
      </c>
      <c r="U154" s="93" t="n">
        <f aca="false">U66</f>
        <v>697963.546115479</v>
      </c>
      <c r="V154" s="93" t="n">
        <f aca="false">V66</f>
        <v>718902.452498944</v>
      </c>
      <c r="W154" s="93" t="n">
        <f aca="false">W66</f>
        <v>740469.526073912</v>
      </c>
    </row>
    <row r="155" customFormat="false" ht="15" hidden="false" customHeight="false" outlineLevel="0" collapsed="false">
      <c r="A155" s="11" t="s">
        <v>483</v>
      </c>
      <c r="B155" s="66" t="n">
        <f aca="false">C155+NPV(Hurdle,D155:W155)</f>
        <v>1866825.44078385</v>
      </c>
      <c r="C155" s="95" t="n">
        <f aca="false">C83</f>
        <v>0</v>
      </c>
      <c r="D155" s="95" t="n">
        <f aca="false">D83</f>
        <v>88340.8647168</v>
      </c>
      <c r="E155" s="95" t="n">
        <f aca="false">E83</f>
        <v>132771.166452242</v>
      </c>
      <c r="F155" s="95" t="n">
        <f aca="false">F83</f>
        <v>165714.035869628</v>
      </c>
      <c r="G155" s="95" t="n">
        <f aca="false">G83</f>
        <v>175806.020654088</v>
      </c>
      <c r="H155" s="95" t="n">
        <f aca="false">H83</f>
        <v>186512.607311922</v>
      </c>
      <c r="I155" s="95" t="n">
        <f aca="false">I83</f>
        <v>197871.225097218</v>
      </c>
      <c r="J155" s="95" t="n">
        <f aca="false">J83</f>
        <v>209921.582705639</v>
      </c>
      <c r="K155" s="95" t="n">
        <f aca="false">K83</f>
        <v>222705.807092412</v>
      </c>
      <c r="L155" s="95" t="n">
        <f aca="false">L83</f>
        <v>236268.59074434</v>
      </c>
      <c r="M155" s="95" t="n">
        <f aca="false">M83</f>
        <v>250657.34792067</v>
      </c>
      <c r="N155" s="95" t="n">
        <f aca="false">N83</f>
        <v>265922.380409039</v>
      </c>
      <c r="O155" s="95" t="n">
        <f aca="false">O83</f>
        <v>282117.053375949</v>
      </c>
      <c r="P155" s="95" t="n">
        <f aca="false">P83</f>
        <v>299297.981926545</v>
      </c>
      <c r="Q155" s="95" t="n">
        <f aca="false">Q83</f>
        <v>317525.229025871</v>
      </c>
      <c r="R155" s="95" t="n">
        <f aca="false">R83</f>
        <v>336862.515473547</v>
      </c>
      <c r="S155" s="95" t="n">
        <f aca="false">S83</f>
        <v>357377.442665886</v>
      </c>
      <c r="T155" s="95" t="n">
        <f aca="false">T83</f>
        <v>379141.728924239</v>
      </c>
      <c r="U155" s="95" t="n">
        <f aca="false">U83</f>
        <v>402231.460215725</v>
      </c>
      <c r="V155" s="95" t="n">
        <f aca="false">V83</f>
        <v>426727.356142862</v>
      </c>
      <c r="W155" s="95" t="n">
        <f aca="false">W83</f>
        <v>452715.052131963</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7" t="s">
        <v>392</v>
      </c>
    </row>
    <row r="2" customFormat="false" ht="15" hidden="false" customHeight="false" outlineLevel="0" collapsed="false">
      <c r="A2" s="8" t="s">
        <v>393</v>
      </c>
    </row>
    <row r="4" customFormat="false" ht="15" hidden="false" customHeight="false" outlineLevel="0" collapsed="false">
      <c r="A4" s="9" t="s">
        <v>394</v>
      </c>
      <c r="B4" s="10"/>
    </row>
    <row r="5" customFormat="false" ht="15" hidden="false" customHeight="false" outlineLevel="0" collapsed="false">
      <c r="A5" s="11" t="s">
        <v>67</v>
      </c>
      <c r="B5" s="67" t="n">
        <v>1</v>
      </c>
    </row>
    <row r="6" customFormat="false" ht="15" hidden="false" customHeight="false" outlineLevel="0" collapsed="false">
      <c r="A6" s="11" t="s">
        <v>333</v>
      </c>
      <c r="B6" s="67" t="n">
        <v>1</v>
      </c>
    </row>
    <row r="7" customFormat="false" ht="15" hidden="false" customHeight="false" outlineLevel="0" collapsed="false">
      <c r="A7" s="11" t="s">
        <v>69</v>
      </c>
      <c r="B7" s="67" t="n">
        <f aca="false">1-SensDelta</f>
        <v>0.8</v>
      </c>
    </row>
    <row r="8" customFormat="false" ht="15" hidden="false" customHeight="false" outlineLevel="0" collapsed="false">
      <c r="A8" s="11" t="s">
        <v>70</v>
      </c>
      <c r="B8" s="67" t="n">
        <v>1</v>
      </c>
    </row>
    <row r="9" customFormat="false" ht="15" hidden="false" customHeight="false" outlineLevel="0" collapsed="false">
      <c r="A9" s="11" t="s">
        <v>395</v>
      </c>
      <c r="B9" s="67" t="n">
        <v>1</v>
      </c>
    </row>
    <row r="10" customFormat="false" ht="15" hidden="false" customHeight="false" outlineLevel="0" collapsed="false">
      <c r="A10" s="11" t="s">
        <v>72</v>
      </c>
      <c r="B10" s="67" t="n">
        <v>1</v>
      </c>
    </row>
    <row r="11" customFormat="false" ht="15" hidden="false" customHeight="false" outlineLevel="0" collapsed="false">
      <c r="A11" s="11" t="s">
        <v>334</v>
      </c>
      <c r="B11" s="67" t="n">
        <v>1</v>
      </c>
    </row>
    <row r="13" customFormat="false" ht="15" hidden="false" customHeight="false" outlineLevel="0" collapsed="false">
      <c r="A13" s="9" t="s">
        <v>396</v>
      </c>
      <c r="B13" s="10"/>
    </row>
    <row r="14" customFormat="false" ht="15" hidden="false" customHeight="false" outlineLevel="0" collapsed="false">
      <c r="A14" s="11" t="s">
        <v>397</v>
      </c>
      <c r="B14" s="66" t="n">
        <f aca="false">TotalCapexBase*LevCapex*$B$7</f>
        <v>930187.317542966</v>
      </c>
    </row>
    <row r="15" customFormat="false" ht="15" hidden="false" customHeight="false" outlineLevel="0" collapsed="false">
      <c r="A15" s="11" t="s">
        <v>398</v>
      </c>
      <c r="B15" s="66" t="n">
        <f aca="false">HardCapexBase*LevCapex*$B$7</f>
        <v>808858.536993883</v>
      </c>
    </row>
    <row r="16" customFormat="false" ht="15" hidden="false" customHeight="false" outlineLevel="0" collapsed="false">
      <c r="A16" s="11" t="s">
        <v>252</v>
      </c>
      <c r="B16" s="66" t="n">
        <f aca="false">MAX(0,S_Capex_Lo!$B$14-Grant)*SenPct</f>
        <v>66037.4635085932</v>
      </c>
    </row>
    <row r="17" customFormat="false" ht="15" hidden="false" customHeight="false" outlineLevel="0" collapsed="false">
      <c r="A17" s="11" t="s">
        <v>254</v>
      </c>
      <c r="B17" s="66" t="n">
        <f aca="false">MAX(0,S_Capex_Lo!$B$14-Grant)*ConPct</f>
        <v>66037.4635085932</v>
      </c>
    </row>
    <row r="18" customFormat="false" ht="15" hidden="false" customHeight="false" outlineLevel="0" collapsed="false">
      <c r="A18" s="11" t="s">
        <v>399</v>
      </c>
      <c r="B18" s="66" t="n">
        <f aca="false">MAX(0,S_Capex_Lo!$B$14-Grant-S_Capex_Lo!$B$16-S_Capex_Lo!$B$17)</f>
        <v>198112.39052578</v>
      </c>
    </row>
    <row r="19" customFormat="false" ht="15" hidden="false" customHeight="false" outlineLevel="0" collapsed="false">
      <c r="A19" s="11" t="s">
        <v>400</v>
      </c>
      <c r="B19" s="66" t="n">
        <f aca="false">C128</f>
        <v>4292.43512805856</v>
      </c>
    </row>
    <row r="20" customFormat="false" ht="15" hidden="false" customHeight="false" outlineLevel="0" collapsed="false">
      <c r="A20" s="11" t="s">
        <v>401</v>
      </c>
      <c r="B20" s="66" t="n">
        <f aca="false">$B$145</f>
        <v>-506180.231990638</v>
      </c>
    </row>
    <row r="21" customFormat="false" ht="15" hidden="false" customHeight="false" outlineLevel="0" collapsed="false">
      <c r="A21" s="11" t="s">
        <v>402</v>
      </c>
      <c r="B21" s="66" t="n">
        <f aca="false">$B$146</f>
        <v>311740.128640466</v>
      </c>
    </row>
    <row r="22" customFormat="false" ht="15" hidden="false" customHeight="false" outlineLevel="0" collapsed="false">
      <c r="A22" s="11" t="s">
        <v>403</v>
      </c>
      <c r="B22" s="68" t="n">
        <f aca="false">IFERROR(IRR($C$145:$W$145),"n/a")</f>
        <v>0.000732274854117524</v>
      </c>
    </row>
    <row r="23" customFormat="false" ht="15" hidden="false" customHeight="false" outlineLevel="0" collapsed="false">
      <c r="A23" s="11" t="s">
        <v>404</v>
      </c>
      <c r="B23" s="68" t="n">
        <f aca="false">IFERROR(IRR($C$146:$W$146),"n/a")</f>
        <v>0.300295982621977</v>
      </c>
    </row>
    <row r="24" customFormat="false" ht="15" hidden="false" customHeight="false" outlineLevel="0" collapsed="false">
      <c r="A24" s="11" t="s">
        <v>390</v>
      </c>
      <c r="B24" s="66" t="n">
        <f aca="false">MAX(0,-$B$145)</f>
        <v>506180.231990638</v>
      </c>
    </row>
    <row r="25" customFormat="false" ht="15" hidden="false" customHeight="false" outlineLevel="0" collapsed="false">
      <c r="A25" s="11" t="s">
        <v>262</v>
      </c>
      <c r="B25" s="68" t="n">
        <f aca="false">IFERROR(IRR($C$149:$W$149),"n/a")</f>
        <v>0.408382382957849</v>
      </c>
    </row>
    <row r="26" customFormat="false" ht="15" hidden="false" customHeight="false" outlineLevel="0" collapsed="false">
      <c r="A26" s="11" t="s">
        <v>264</v>
      </c>
      <c r="B26" s="66" t="n">
        <f aca="false">C149+NPV(TargetEqIRR,D149:W149)</f>
        <v>195195.446411746</v>
      </c>
    </row>
    <row r="27" customFormat="false" ht="15" hidden="false" customHeight="false" outlineLevel="0" collapsed="false">
      <c r="A27" s="11" t="s">
        <v>258</v>
      </c>
      <c r="B27" s="67" t="n">
        <f aca="false">IF((S_Capex_Lo!$B$16+S_Capex_Lo!$B$17)&gt;0,MIN($D$148:$W$148),"no debt")</f>
        <v>2.94612288966694</v>
      </c>
    </row>
    <row r="28" customFormat="false" ht="15" hidden="false" customHeight="false" outlineLevel="0" collapsed="false">
      <c r="A28" s="11" t="s">
        <v>260</v>
      </c>
      <c r="B28" s="67" t="n">
        <f aca="false">IF((S_Capex_Lo!$B$16+S_Capex_Lo!$B$17)&gt;0,AVERAGE($D$148:$W$148),"no debt")</f>
        <v>6.01640283427533</v>
      </c>
    </row>
    <row r="29" customFormat="false" ht="15" hidden="false" customHeight="false" outlineLevel="0" collapsed="false">
      <c r="A29" s="11" t="s">
        <v>405</v>
      </c>
      <c r="B29" s="87" t="n">
        <f aca="false">IFERROR($B$153/$B$154,0)</f>
        <v>0.570984388904685</v>
      </c>
    </row>
    <row r="30" customFormat="false" ht="15" hidden="false" customHeight="false" outlineLevel="0" collapsed="false">
      <c r="A30" s="11" t="s">
        <v>261</v>
      </c>
      <c r="B30" s="87" t="n">
        <f aca="false">IFERROR($B$155/$B$154,0)</f>
        <v>0.44389628412399</v>
      </c>
    </row>
    <row r="31" customFormat="false" ht="15" hidden="false" customHeight="false" outlineLevel="0" collapsed="false">
      <c r="A31" s="11" t="s">
        <v>406</v>
      </c>
      <c r="B31" s="77" t="n">
        <f aca="false">NPV(Hurdle,D109:W109)</f>
        <v>838.820435762584</v>
      </c>
    </row>
    <row r="32" customFormat="false" ht="15" hidden="false" customHeight="false" outlineLevel="0" collapsed="false">
      <c r="A32" s="11" t="s">
        <v>407</v>
      </c>
      <c r="B32" s="66" t="n">
        <f aca="false">NPV(Hurdle,D108:W108)</f>
        <v>217920.360631104</v>
      </c>
    </row>
    <row r="33" customFormat="false" ht="15" hidden="false" customHeight="false" outlineLevel="0" collapsed="false">
      <c r="A33" s="11" t="s">
        <v>408</v>
      </c>
      <c r="B33" s="77" t="n">
        <f aca="false">NPV(TargetEqIRR,D109:W109)</f>
        <v>785.120407660064</v>
      </c>
    </row>
    <row r="34" customFormat="false" ht="15" hidden="false" customHeight="false" outlineLevel="0" collapsed="false">
      <c r="A34" s="11" t="s">
        <v>409</v>
      </c>
      <c r="B34" s="66" t="n">
        <f aca="false">NPV(TargetEqIRR,D108:W108)</f>
        <v>203969.425495192</v>
      </c>
    </row>
    <row r="35" customFormat="false" ht="15" hidden="false" customHeight="false" outlineLevel="0" collapsed="false">
      <c r="A35" s="11" t="s">
        <v>410</v>
      </c>
      <c r="B35" s="66" t="n">
        <f aca="false">MAX(0,MIN($D$127:$W$127))</f>
        <v>196634.327653048</v>
      </c>
    </row>
    <row r="36" customFormat="false" ht="15" hidden="false" customHeight="false" outlineLevel="0" collapsed="false">
      <c r="A36" s="11" t="s">
        <v>266</v>
      </c>
      <c r="B36" s="88" t="n">
        <f aca="false">IFERROR(MATCH(TRUE(),INDEX($C$150:$W$150&gt;=0,0),0)-1,"&gt; life")</f>
        <v>2</v>
      </c>
    </row>
    <row r="39" customFormat="false" ht="15" hidden="false" customHeight="false" outlineLevel="0" collapsed="false">
      <c r="A39" s="16" t="s">
        <v>411</v>
      </c>
      <c r="B39" s="74" t="s">
        <v>412</v>
      </c>
      <c r="C39" s="89" t="n">
        <v>0</v>
      </c>
      <c r="D39" s="89" t="n">
        <v>1</v>
      </c>
      <c r="E39" s="89" t="n">
        <v>2</v>
      </c>
      <c r="F39" s="89" t="n">
        <v>3</v>
      </c>
      <c r="G39" s="89" t="n">
        <v>4</v>
      </c>
      <c r="H39" s="89" t="n">
        <v>5</v>
      </c>
      <c r="I39" s="89" t="n">
        <v>6</v>
      </c>
      <c r="J39" s="89" t="n">
        <v>7</v>
      </c>
      <c r="K39" s="89" t="n">
        <v>8</v>
      </c>
      <c r="L39" s="89" t="n">
        <v>9</v>
      </c>
      <c r="M39" s="89" t="n">
        <v>10</v>
      </c>
      <c r="N39" s="89" t="n">
        <v>11</v>
      </c>
      <c r="O39" s="89" t="n">
        <v>12</v>
      </c>
      <c r="P39" s="89" t="n">
        <v>13</v>
      </c>
      <c r="Q39" s="89" t="n">
        <v>14</v>
      </c>
      <c r="R39" s="89" t="n">
        <v>15</v>
      </c>
      <c r="S39" s="89" t="n">
        <v>16</v>
      </c>
      <c r="T39" s="89" t="n">
        <v>17</v>
      </c>
      <c r="U39" s="89" t="n">
        <v>18</v>
      </c>
      <c r="V39" s="89" t="n">
        <v>19</v>
      </c>
      <c r="W39" s="89" t="n">
        <v>20</v>
      </c>
    </row>
    <row r="40" customFormat="false" ht="15" hidden="false" customHeight="false" outlineLevel="0" collapsed="false">
      <c r="A40" s="11" t="s">
        <v>413</v>
      </c>
      <c r="C40" s="90" t="n">
        <f aca="false">StartYear-1+C39</f>
        <v>2026</v>
      </c>
      <c r="D40" s="90" t="n">
        <f aca="false">StartYear-1+D39</f>
        <v>2027</v>
      </c>
      <c r="E40" s="90" t="n">
        <f aca="false">StartYear-1+E39</f>
        <v>2028</v>
      </c>
      <c r="F40" s="90" t="n">
        <f aca="false">StartYear-1+F39</f>
        <v>2029</v>
      </c>
      <c r="G40" s="90" t="n">
        <f aca="false">StartYear-1+G39</f>
        <v>2030</v>
      </c>
      <c r="H40" s="90" t="n">
        <f aca="false">StartYear-1+H39</f>
        <v>2031</v>
      </c>
      <c r="I40" s="90" t="n">
        <f aca="false">StartYear-1+I39</f>
        <v>2032</v>
      </c>
      <c r="J40" s="90" t="n">
        <f aca="false">StartYear-1+J39</f>
        <v>2033</v>
      </c>
      <c r="K40" s="90" t="n">
        <f aca="false">StartYear-1+K39</f>
        <v>2034</v>
      </c>
      <c r="L40" s="90" t="n">
        <f aca="false">StartYear-1+L39</f>
        <v>2035</v>
      </c>
      <c r="M40" s="90" t="n">
        <f aca="false">StartYear-1+M39</f>
        <v>2036</v>
      </c>
      <c r="N40" s="90" t="n">
        <f aca="false">StartYear-1+N39</f>
        <v>2037</v>
      </c>
      <c r="O40" s="90" t="n">
        <f aca="false">StartYear-1+O39</f>
        <v>2038</v>
      </c>
      <c r="P40" s="90" t="n">
        <f aca="false">StartYear-1+P39</f>
        <v>2039</v>
      </c>
      <c r="Q40" s="90" t="n">
        <f aca="false">StartYear-1+Q39</f>
        <v>2040</v>
      </c>
      <c r="R40" s="90" t="n">
        <f aca="false">StartYear-1+R39</f>
        <v>2041</v>
      </c>
      <c r="S40" s="90" t="n">
        <f aca="false">StartYear-1+S39</f>
        <v>2042</v>
      </c>
      <c r="T40" s="90" t="n">
        <f aca="false">StartYear-1+T39</f>
        <v>2043</v>
      </c>
      <c r="U40" s="90" t="n">
        <f aca="false">StartYear-1+U39</f>
        <v>2044</v>
      </c>
      <c r="V40" s="90" t="n">
        <f aca="false">StartYear-1+V39</f>
        <v>2045</v>
      </c>
      <c r="W40" s="90" t="n">
        <f aca="false">StartYear-1+W39</f>
        <v>2046</v>
      </c>
    </row>
    <row r="41" customFormat="false" ht="15" hidden="false" customHeight="false" outlineLevel="0" collapsed="false">
      <c r="A41" s="11" t="s">
        <v>414</v>
      </c>
      <c r="C41" s="90" t="n">
        <f aca="false">IF(AND(C39&gt;=1,C39&lt;=Life),1,0)</f>
        <v>0</v>
      </c>
      <c r="D41" s="90" t="n">
        <f aca="false">IF(AND(D39&gt;=1,D39&lt;=Life),1,0)</f>
        <v>1</v>
      </c>
      <c r="E41" s="90" t="n">
        <f aca="false">IF(AND(E39&gt;=1,E39&lt;=Life),1,0)</f>
        <v>1</v>
      </c>
      <c r="F41" s="90" t="n">
        <f aca="false">IF(AND(F39&gt;=1,F39&lt;=Life),1,0)</f>
        <v>1</v>
      </c>
      <c r="G41" s="90" t="n">
        <f aca="false">IF(AND(G39&gt;=1,G39&lt;=Life),1,0)</f>
        <v>1</v>
      </c>
      <c r="H41" s="90" t="n">
        <f aca="false">IF(AND(H39&gt;=1,H39&lt;=Life),1,0)</f>
        <v>1</v>
      </c>
      <c r="I41" s="90" t="n">
        <f aca="false">IF(AND(I39&gt;=1,I39&lt;=Life),1,0)</f>
        <v>1</v>
      </c>
      <c r="J41" s="90" t="n">
        <f aca="false">IF(AND(J39&gt;=1,J39&lt;=Life),1,0)</f>
        <v>1</v>
      </c>
      <c r="K41" s="90" t="n">
        <f aca="false">IF(AND(K39&gt;=1,K39&lt;=Life),1,0)</f>
        <v>1</v>
      </c>
      <c r="L41" s="90" t="n">
        <f aca="false">IF(AND(L39&gt;=1,L39&lt;=Life),1,0)</f>
        <v>1</v>
      </c>
      <c r="M41" s="90" t="n">
        <f aca="false">IF(AND(M39&gt;=1,M39&lt;=Life),1,0)</f>
        <v>1</v>
      </c>
      <c r="N41" s="90" t="n">
        <f aca="false">IF(AND(N39&gt;=1,N39&lt;=Life),1,0)</f>
        <v>1</v>
      </c>
      <c r="O41" s="90" t="n">
        <f aca="false">IF(AND(O39&gt;=1,O39&lt;=Life),1,0)</f>
        <v>1</v>
      </c>
      <c r="P41" s="90" t="n">
        <f aca="false">IF(AND(P39&gt;=1,P39&lt;=Life),1,0)</f>
        <v>1</v>
      </c>
      <c r="Q41" s="90" t="n">
        <f aca="false">IF(AND(Q39&gt;=1,Q39&lt;=Life),1,0)</f>
        <v>1</v>
      </c>
      <c r="R41" s="90" t="n">
        <f aca="false">IF(AND(R39&gt;=1,R39&lt;=Life),1,0)</f>
        <v>1</v>
      </c>
      <c r="S41" s="90" t="n">
        <f aca="false">IF(AND(S39&gt;=1,S39&lt;=Life),1,0)</f>
        <v>1</v>
      </c>
      <c r="T41" s="90" t="n">
        <f aca="false">IF(AND(T39&gt;=1,T39&lt;=Life),1,0)</f>
        <v>1</v>
      </c>
      <c r="U41" s="90" t="n">
        <f aca="false">IF(AND(U39&gt;=1,U39&lt;=Life),1,0)</f>
        <v>1</v>
      </c>
      <c r="V41" s="90" t="n">
        <f aca="false">IF(AND(V39&gt;=1,V39&lt;=Life),1,0)</f>
        <v>1</v>
      </c>
      <c r="W41" s="90" t="n">
        <f aca="false">IF(AND(W39&gt;=1,W39&lt;=Life),1,0)</f>
        <v>1</v>
      </c>
    </row>
    <row r="42" customFormat="false" ht="15" hidden="false" customHeight="false" outlineLevel="0" collapsed="false">
      <c r="A42" s="11" t="s">
        <v>415</v>
      </c>
      <c r="C42" s="91" t="n">
        <v>0</v>
      </c>
      <c r="D42" s="91" t="n">
        <f aca="false">IF(D39=1,Ramp1,IF(D39=2,Ramp2,Ramp3))*D41</f>
        <v>0.6</v>
      </c>
      <c r="E42" s="91" t="n">
        <f aca="false">IF(E39=1,Ramp1,IF(E39=2,Ramp2,Ramp3))*E41</f>
        <v>0.85</v>
      </c>
      <c r="F42" s="91" t="n">
        <f aca="false">IF(F39=1,Ramp1,IF(F39=2,Ramp2,Ramp3))*F41</f>
        <v>1</v>
      </c>
      <c r="G42" s="91" t="n">
        <f aca="false">IF(G39=1,Ramp1,IF(G39=2,Ramp2,Ramp3))*G41</f>
        <v>1</v>
      </c>
      <c r="H42" s="91" t="n">
        <f aca="false">IF(H39=1,Ramp1,IF(H39=2,Ramp2,Ramp3))*H41</f>
        <v>1</v>
      </c>
      <c r="I42" s="91" t="n">
        <f aca="false">IF(I39=1,Ramp1,IF(I39=2,Ramp2,Ramp3))*I41</f>
        <v>1</v>
      </c>
      <c r="J42" s="91" t="n">
        <f aca="false">IF(J39=1,Ramp1,IF(J39=2,Ramp2,Ramp3))*J41</f>
        <v>1</v>
      </c>
      <c r="K42" s="91" t="n">
        <f aca="false">IF(K39=1,Ramp1,IF(K39=2,Ramp2,Ramp3))*K41</f>
        <v>1</v>
      </c>
      <c r="L42" s="91" t="n">
        <f aca="false">IF(L39=1,Ramp1,IF(L39=2,Ramp2,Ramp3))*L41</f>
        <v>1</v>
      </c>
      <c r="M42" s="91" t="n">
        <f aca="false">IF(M39=1,Ramp1,IF(M39=2,Ramp2,Ramp3))*M41</f>
        <v>1</v>
      </c>
      <c r="N42" s="91" t="n">
        <f aca="false">IF(N39=1,Ramp1,IF(N39=2,Ramp2,Ramp3))*N41</f>
        <v>1</v>
      </c>
      <c r="O42" s="91" t="n">
        <f aca="false">IF(O39=1,Ramp1,IF(O39=2,Ramp2,Ramp3))*O41</f>
        <v>1</v>
      </c>
      <c r="P42" s="91" t="n">
        <f aca="false">IF(P39=1,Ramp1,IF(P39=2,Ramp2,Ramp3))*P41</f>
        <v>1</v>
      </c>
      <c r="Q42" s="91" t="n">
        <f aca="false">IF(Q39=1,Ramp1,IF(Q39=2,Ramp2,Ramp3))*Q41</f>
        <v>1</v>
      </c>
      <c r="R42" s="91" t="n">
        <f aca="false">IF(R39=1,Ramp1,IF(R39=2,Ramp2,Ramp3))*R41</f>
        <v>1</v>
      </c>
      <c r="S42" s="91" t="n">
        <f aca="false">IF(S39=1,Ramp1,IF(S39=2,Ramp2,Ramp3))*S41</f>
        <v>1</v>
      </c>
      <c r="T42" s="91" t="n">
        <f aca="false">IF(T39=1,Ramp1,IF(T39=2,Ramp2,Ramp3))*T41</f>
        <v>1</v>
      </c>
      <c r="U42" s="91" t="n">
        <f aca="false">IF(U39=1,Ramp1,IF(U39=2,Ramp2,Ramp3))*U41</f>
        <v>1</v>
      </c>
      <c r="V42" s="91" t="n">
        <f aca="false">IF(V39=1,Ramp1,IF(V39=2,Ramp2,Ramp3))*V41</f>
        <v>1</v>
      </c>
      <c r="W42" s="91" t="n">
        <f aca="false">IF(W39=1,Ramp1,IF(W39=2,Ramp2,Ramp3))*W41</f>
        <v>1</v>
      </c>
    </row>
    <row r="43" customFormat="false" ht="15" hidden="false" customHeight="false" outlineLevel="0" collapsed="false">
      <c r="A43" s="11" t="s">
        <v>416</v>
      </c>
      <c r="C43" s="92" t="n">
        <v>0</v>
      </c>
      <c r="D43" s="92" t="n">
        <f aca="false">(1+TariffEsc)^(D39-1)</f>
        <v>1</v>
      </c>
      <c r="E43" s="92" t="n">
        <f aca="false">(1+TariffEsc)^(E39-1)</f>
        <v>1.03</v>
      </c>
      <c r="F43" s="92" t="n">
        <f aca="false">(1+TariffEsc)^(F39-1)</f>
        <v>1.0609</v>
      </c>
      <c r="G43" s="92" t="n">
        <f aca="false">(1+TariffEsc)^(G39-1)</f>
        <v>1.092727</v>
      </c>
      <c r="H43" s="92" t="n">
        <f aca="false">(1+TariffEsc)^(H39-1)</f>
        <v>1.12550881</v>
      </c>
      <c r="I43" s="92" t="n">
        <f aca="false">(1+TariffEsc)^(I39-1)</f>
        <v>1.1592740743</v>
      </c>
      <c r="J43" s="92" t="n">
        <f aca="false">(1+TariffEsc)^(J39-1)</f>
        <v>1.194052296529</v>
      </c>
      <c r="K43" s="92" t="n">
        <f aca="false">(1+TariffEsc)^(K39-1)</f>
        <v>1.22987386542487</v>
      </c>
      <c r="L43" s="92" t="n">
        <f aca="false">(1+TariffEsc)^(L39-1)</f>
        <v>1.26677008138762</v>
      </c>
      <c r="M43" s="92" t="n">
        <f aca="false">(1+TariffEsc)^(M39-1)</f>
        <v>1.30477318382925</v>
      </c>
      <c r="N43" s="92" t="n">
        <f aca="false">(1+TariffEsc)^(N39-1)</f>
        <v>1.34391637934412</v>
      </c>
      <c r="O43" s="92" t="n">
        <f aca="false">(1+TariffEsc)^(O39-1)</f>
        <v>1.38423387072445</v>
      </c>
      <c r="P43" s="92" t="n">
        <f aca="false">(1+TariffEsc)^(P39-1)</f>
        <v>1.42576088684618</v>
      </c>
      <c r="Q43" s="92" t="n">
        <f aca="false">(1+TariffEsc)^(Q39-1)</f>
        <v>1.46853371345156</v>
      </c>
      <c r="R43" s="92" t="n">
        <f aca="false">(1+TariffEsc)^(R39-1)</f>
        <v>1.51258972485511</v>
      </c>
      <c r="S43" s="92" t="n">
        <f aca="false">(1+TariffEsc)^(S39-1)</f>
        <v>1.55796741660077</v>
      </c>
      <c r="T43" s="92" t="n">
        <f aca="false">(1+TariffEsc)^(T39-1)</f>
        <v>1.60470643909879</v>
      </c>
      <c r="U43" s="92" t="n">
        <f aca="false">(1+TariffEsc)^(U39-1)</f>
        <v>1.65284763227175</v>
      </c>
      <c r="V43" s="92" t="n">
        <f aca="false">(1+TariffEsc)^(V39-1)</f>
        <v>1.7024330612399</v>
      </c>
      <c r="W43" s="92" t="n">
        <f aca="false">(1+TariffEsc)^(W39-1)</f>
        <v>1.7535060530771</v>
      </c>
    </row>
    <row r="44" customFormat="false" ht="15" hidden="false" customHeight="false" outlineLevel="0" collapsed="false">
      <c r="A44" s="11" t="s">
        <v>417</v>
      </c>
      <c r="C44" s="92" t="n">
        <v>0</v>
      </c>
      <c r="D44" s="92" t="n">
        <f aca="false">(1+CostEsc)^(D39-1)</f>
        <v>1</v>
      </c>
      <c r="E44" s="92" t="n">
        <f aca="false">(1+CostEsc)^(E39-1)</f>
        <v>1.03</v>
      </c>
      <c r="F44" s="92" t="n">
        <f aca="false">(1+CostEsc)^(F39-1)</f>
        <v>1.0609</v>
      </c>
      <c r="G44" s="92" t="n">
        <f aca="false">(1+CostEsc)^(G39-1)</f>
        <v>1.092727</v>
      </c>
      <c r="H44" s="92" t="n">
        <f aca="false">(1+CostEsc)^(H39-1)</f>
        <v>1.12550881</v>
      </c>
      <c r="I44" s="92" t="n">
        <f aca="false">(1+CostEsc)^(I39-1)</f>
        <v>1.1592740743</v>
      </c>
      <c r="J44" s="92" t="n">
        <f aca="false">(1+CostEsc)^(J39-1)</f>
        <v>1.194052296529</v>
      </c>
      <c r="K44" s="92" t="n">
        <f aca="false">(1+CostEsc)^(K39-1)</f>
        <v>1.22987386542487</v>
      </c>
      <c r="L44" s="92" t="n">
        <f aca="false">(1+CostEsc)^(L39-1)</f>
        <v>1.26677008138762</v>
      </c>
      <c r="M44" s="92" t="n">
        <f aca="false">(1+CostEsc)^(M39-1)</f>
        <v>1.30477318382925</v>
      </c>
      <c r="N44" s="92" t="n">
        <f aca="false">(1+CostEsc)^(N39-1)</f>
        <v>1.34391637934412</v>
      </c>
      <c r="O44" s="92" t="n">
        <f aca="false">(1+CostEsc)^(O39-1)</f>
        <v>1.38423387072445</v>
      </c>
      <c r="P44" s="92" t="n">
        <f aca="false">(1+CostEsc)^(P39-1)</f>
        <v>1.42576088684618</v>
      </c>
      <c r="Q44" s="92" t="n">
        <f aca="false">(1+CostEsc)^(Q39-1)</f>
        <v>1.46853371345156</v>
      </c>
      <c r="R44" s="92" t="n">
        <f aca="false">(1+CostEsc)^(R39-1)</f>
        <v>1.51258972485511</v>
      </c>
      <c r="S44" s="92" t="n">
        <f aca="false">(1+CostEsc)^(S39-1)</f>
        <v>1.55796741660077</v>
      </c>
      <c r="T44" s="92" t="n">
        <f aca="false">(1+CostEsc)^(T39-1)</f>
        <v>1.60470643909879</v>
      </c>
      <c r="U44" s="92" t="n">
        <f aca="false">(1+CostEsc)^(U39-1)</f>
        <v>1.65284763227175</v>
      </c>
      <c r="V44" s="92" t="n">
        <f aca="false">(1+CostEsc)^(V39-1)</f>
        <v>1.7024330612399</v>
      </c>
      <c r="W44" s="92" t="n">
        <f aca="false">(1+CostEsc)^(W39-1)</f>
        <v>1.7535060530771</v>
      </c>
    </row>
    <row r="45" customFormat="false" ht="15" hidden="false" customHeight="false" outlineLevel="0" collapsed="false">
      <c r="A45" s="11" t="s">
        <v>418</v>
      </c>
      <c r="C45" s="92" t="n">
        <v>0</v>
      </c>
      <c r="D45" s="92" t="n">
        <f aca="false">(1+DemandGrowth)^(D39-1)*LevDemand*$B$6</f>
        <v>1</v>
      </c>
      <c r="E45" s="92" t="n">
        <f aca="false">(1+DemandGrowth)^(E39-1)*LevDemand*$B$6</f>
        <v>1.03</v>
      </c>
      <c r="F45" s="92" t="n">
        <f aca="false">(1+DemandGrowth)^(F39-1)*LevDemand*$B$6</f>
        <v>1.0609</v>
      </c>
      <c r="G45" s="92" t="n">
        <f aca="false">(1+DemandGrowth)^(G39-1)*LevDemand*$B$6</f>
        <v>1.092727</v>
      </c>
      <c r="H45" s="92" t="n">
        <f aca="false">(1+DemandGrowth)^(H39-1)*LevDemand*$B$6</f>
        <v>1.12550881</v>
      </c>
      <c r="I45" s="92" t="n">
        <f aca="false">(1+DemandGrowth)^(I39-1)*LevDemand*$B$6</f>
        <v>1.1592740743</v>
      </c>
      <c r="J45" s="92" t="n">
        <f aca="false">(1+DemandGrowth)^(J39-1)*LevDemand*$B$6</f>
        <v>1.194052296529</v>
      </c>
      <c r="K45" s="92" t="n">
        <f aca="false">(1+DemandGrowth)^(K39-1)*LevDemand*$B$6</f>
        <v>1.22987386542487</v>
      </c>
      <c r="L45" s="92" t="n">
        <f aca="false">(1+DemandGrowth)^(L39-1)*LevDemand*$B$6</f>
        <v>1.26677008138762</v>
      </c>
      <c r="M45" s="92" t="n">
        <f aca="false">(1+DemandGrowth)^(M39-1)*LevDemand*$B$6</f>
        <v>1.30477318382925</v>
      </c>
      <c r="N45" s="92" t="n">
        <f aca="false">(1+DemandGrowth)^(N39-1)*LevDemand*$B$6</f>
        <v>1.34391637934412</v>
      </c>
      <c r="O45" s="92" t="n">
        <f aca="false">(1+DemandGrowth)^(O39-1)*LevDemand*$B$6</f>
        <v>1.38423387072445</v>
      </c>
      <c r="P45" s="92" t="n">
        <f aca="false">(1+DemandGrowth)^(P39-1)*LevDemand*$B$6</f>
        <v>1.42576088684618</v>
      </c>
      <c r="Q45" s="92" t="n">
        <f aca="false">(1+DemandGrowth)^(Q39-1)*LevDemand*$B$6</f>
        <v>1.46853371345156</v>
      </c>
      <c r="R45" s="92" t="n">
        <f aca="false">(1+DemandGrowth)^(R39-1)*LevDemand*$B$6</f>
        <v>1.51258972485511</v>
      </c>
      <c r="S45" s="92" t="n">
        <f aca="false">(1+DemandGrowth)^(S39-1)*LevDemand*$B$6</f>
        <v>1.55796741660077</v>
      </c>
      <c r="T45" s="92" t="n">
        <f aca="false">(1+DemandGrowth)^(T39-1)*LevDemand*$B$6</f>
        <v>1.60470643909879</v>
      </c>
      <c r="U45" s="92" t="n">
        <f aca="false">(1+DemandGrowth)^(U39-1)*LevDemand*$B$6</f>
        <v>1.65284763227175</v>
      </c>
      <c r="V45" s="92" t="n">
        <f aca="false">(1+DemandGrowth)^(V39-1)*LevDemand*$B$6</f>
        <v>1.7024330612399</v>
      </c>
      <c r="W45" s="92" t="n">
        <f aca="false">(1+DemandGrowth)^(W39-1)*LevDemand*$B$6</f>
        <v>1.7535060530771</v>
      </c>
    </row>
    <row r="47" customFormat="false" ht="15" hidden="false" customHeight="false" outlineLevel="0" collapsed="false">
      <c r="A47" s="9" t="s">
        <v>419</v>
      </c>
      <c r="B47" s="10"/>
      <c r="C47" s="10"/>
      <c r="D47" s="10"/>
      <c r="E47" s="10"/>
      <c r="F47" s="10"/>
      <c r="G47" s="10"/>
      <c r="H47" s="10"/>
      <c r="I47" s="10"/>
      <c r="J47" s="10"/>
      <c r="K47" s="10"/>
      <c r="L47" s="10"/>
      <c r="M47" s="10"/>
      <c r="N47" s="10"/>
      <c r="O47" s="10"/>
      <c r="P47" s="10"/>
      <c r="Q47" s="10"/>
      <c r="R47" s="10"/>
      <c r="S47" s="10"/>
      <c r="T47" s="10"/>
      <c r="U47" s="10"/>
      <c r="V47" s="10"/>
      <c r="W47" s="10"/>
    </row>
    <row r="48" customFormat="false" ht="15" hidden="false" customHeight="false" outlineLevel="0" collapsed="false">
      <c r="A48" s="11" t="str">
        <f aca="false">"Connections - "&amp;Seg1_Name</f>
        <v>Connections - Households</v>
      </c>
      <c r="C48" s="93" t="n">
        <v>0</v>
      </c>
      <c r="D48" s="93" t="n">
        <f aca="false">Seg1_N*D42</f>
        <v>480</v>
      </c>
      <c r="E48" s="93" t="n">
        <f aca="false">Seg1_N*E42</f>
        <v>680</v>
      </c>
      <c r="F48" s="93" t="n">
        <f aca="false">Seg1_N*F42</f>
        <v>800</v>
      </c>
      <c r="G48" s="93" t="n">
        <f aca="false">Seg1_N*G42</f>
        <v>800</v>
      </c>
      <c r="H48" s="93" t="n">
        <f aca="false">Seg1_N*H42</f>
        <v>800</v>
      </c>
      <c r="I48" s="93" t="n">
        <f aca="false">Seg1_N*I42</f>
        <v>800</v>
      </c>
      <c r="J48" s="93" t="n">
        <f aca="false">Seg1_N*J42</f>
        <v>800</v>
      </c>
      <c r="K48" s="93" t="n">
        <f aca="false">Seg1_N*K42</f>
        <v>800</v>
      </c>
      <c r="L48" s="93" t="n">
        <f aca="false">Seg1_N*L42</f>
        <v>800</v>
      </c>
      <c r="M48" s="93" t="n">
        <f aca="false">Seg1_N*M42</f>
        <v>800</v>
      </c>
      <c r="N48" s="93" t="n">
        <f aca="false">Seg1_N*N42</f>
        <v>800</v>
      </c>
      <c r="O48" s="93" t="n">
        <f aca="false">Seg1_N*O42</f>
        <v>800</v>
      </c>
      <c r="P48" s="93" t="n">
        <f aca="false">Seg1_N*P42</f>
        <v>800</v>
      </c>
      <c r="Q48" s="93" t="n">
        <f aca="false">Seg1_N*Q42</f>
        <v>800</v>
      </c>
      <c r="R48" s="93" t="n">
        <f aca="false">Seg1_N*R42</f>
        <v>800</v>
      </c>
      <c r="S48" s="93" t="n">
        <f aca="false">Seg1_N*S42</f>
        <v>800</v>
      </c>
      <c r="T48" s="93" t="n">
        <f aca="false">Seg1_N*T42</f>
        <v>800</v>
      </c>
      <c r="U48" s="93" t="n">
        <f aca="false">Seg1_N*U42</f>
        <v>800</v>
      </c>
      <c r="V48" s="93" t="n">
        <f aca="false">Seg1_N*V42</f>
        <v>800</v>
      </c>
      <c r="W48" s="93" t="n">
        <f aca="false">Seg1_N*W42</f>
        <v>800</v>
      </c>
    </row>
    <row r="49" customFormat="false" ht="15" hidden="false" customHeight="false" outlineLevel="0" collapsed="false">
      <c r="A49" s="11" t="str">
        <f aca="false">"Connections - "&amp;Seg2_Name</f>
        <v>Connections - Productive users (mills, welding, cold rooms)</v>
      </c>
      <c r="C49" s="93" t="n">
        <v>0</v>
      </c>
      <c r="D49" s="93" t="n">
        <f aca="false">Seg2_N*D42</f>
        <v>36</v>
      </c>
      <c r="E49" s="93" t="n">
        <f aca="false">Seg2_N*E42</f>
        <v>51</v>
      </c>
      <c r="F49" s="93" t="n">
        <f aca="false">Seg2_N*F42</f>
        <v>60</v>
      </c>
      <c r="G49" s="93" t="n">
        <f aca="false">Seg2_N*G42</f>
        <v>60</v>
      </c>
      <c r="H49" s="93" t="n">
        <f aca="false">Seg2_N*H42</f>
        <v>60</v>
      </c>
      <c r="I49" s="93" t="n">
        <f aca="false">Seg2_N*I42</f>
        <v>60</v>
      </c>
      <c r="J49" s="93" t="n">
        <f aca="false">Seg2_N*J42</f>
        <v>60</v>
      </c>
      <c r="K49" s="93" t="n">
        <f aca="false">Seg2_N*K42</f>
        <v>60</v>
      </c>
      <c r="L49" s="93" t="n">
        <f aca="false">Seg2_N*L42</f>
        <v>60</v>
      </c>
      <c r="M49" s="93" t="n">
        <f aca="false">Seg2_N*M42</f>
        <v>60</v>
      </c>
      <c r="N49" s="93" t="n">
        <f aca="false">Seg2_N*N42</f>
        <v>60</v>
      </c>
      <c r="O49" s="93" t="n">
        <f aca="false">Seg2_N*O42</f>
        <v>60</v>
      </c>
      <c r="P49" s="93" t="n">
        <f aca="false">Seg2_N*P42</f>
        <v>60</v>
      </c>
      <c r="Q49" s="93" t="n">
        <f aca="false">Seg2_N*Q42</f>
        <v>60</v>
      </c>
      <c r="R49" s="93" t="n">
        <f aca="false">Seg2_N*R42</f>
        <v>60</v>
      </c>
      <c r="S49" s="93" t="n">
        <f aca="false">Seg2_N*S42</f>
        <v>60</v>
      </c>
      <c r="T49" s="93" t="n">
        <f aca="false">Seg2_N*T42</f>
        <v>60</v>
      </c>
      <c r="U49" s="93" t="n">
        <f aca="false">Seg2_N*U42</f>
        <v>60</v>
      </c>
      <c r="V49" s="93" t="n">
        <f aca="false">Seg2_N*V42</f>
        <v>60</v>
      </c>
      <c r="W49" s="93" t="n">
        <f aca="false">Seg2_N*W42</f>
        <v>60</v>
      </c>
    </row>
    <row r="50" customFormat="false" ht="15" hidden="false" customHeight="false" outlineLevel="0" collapsed="false">
      <c r="A50" s="11" t="str">
        <f aca="false">"Connections - "&amp;Seg3_Name</f>
        <v>Connections - Commercial (shops, bars, kiosks)</v>
      </c>
      <c r="C50" s="93" t="n">
        <v>0</v>
      </c>
      <c r="D50" s="93" t="n">
        <f aca="false">Seg3_N*D42</f>
        <v>60</v>
      </c>
      <c r="E50" s="93" t="n">
        <f aca="false">Seg3_N*E42</f>
        <v>85</v>
      </c>
      <c r="F50" s="93" t="n">
        <f aca="false">Seg3_N*F42</f>
        <v>100</v>
      </c>
      <c r="G50" s="93" t="n">
        <f aca="false">Seg3_N*G42</f>
        <v>100</v>
      </c>
      <c r="H50" s="93" t="n">
        <f aca="false">Seg3_N*H42</f>
        <v>100</v>
      </c>
      <c r="I50" s="93" t="n">
        <f aca="false">Seg3_N*I42</f>
        <v>100</v>
      </c>
      <c r="J50" s="93" t="n">
        <f aca="false">Seg3_N*J42</f>
        <v>100</v>
      </c>
      <c r="K50" s="93" t="n">
        <f aca="false">Seg3_N*K42</f>
        <v>100</v>
      </c>
      <c r="L50" s="93" t="n">
        <f aca="false">Seg3_N*L42</f>
        <v>100</v>
      </c>
      <c r="M50" s="93" t="n">
        <f aca="false">Seg3_N*M42</f>
        <v>100</v>
      </c>
      <c r="N50" s="93" t="n">
        <f aca="false">Seg3_N*N42</f>
        <v>100</v>
      </c>
      <c r="O50" s="93" t="n">
        <f aca="false">Seg3_N*O42</f>
        <v>100</v>
      </c>
      <c r="P50" s="93" t="n">
        <f aca="false">Seg3_N*P42</f>
        <v>100</v>
      </c>
      <c r="Q50" s="93" t="n">
        <f aca="false">Seg3_N*Q42</f>
        <v>100</v>
      </c>
      <c r="R50" s="93" t="n">
        <f aca="false">Seg3_N*R42</f>
        <v>100</v>
      </c>
      <c r="S50" s="93" t="n">
        <f aca="false">Seg3_N*S42</f>
        <v>100</v>
      </c>
      <c r="T50" s="93" t="n">
        <f aca="false">Seg3_N*T42</f>
        <v>100</v>
      </c>
      <c r="U50" s="93" t="n">
        <f aca="false">Seg3_N*U42</f>
        <v>100</v>
      </c>
      <c r="V50" s="93" t="n">
        <f aca="false">Seg3_N*V42</f>
        <v>100</v>
      </c>
      <c r="W50" s="93" t="n">
        <f aca="false">Seg3_N*W42</f>
        <v>100</v>
      </c>
    </row>
    <row r="51" customFormat="false" ht="15" hidden="false" customHeight="false" outlineLevel="0" collapsed="false">
      <c r="A51" s="11" t="str">
        <f aca="false">"Connections - "&amp;Seg4_Name</f>
        <v>Connections - Institutions (health centre, school, water)</v>
      </c>
      <c r="C51" s="93" t="n">
        <v>0</v>
      </c>
      <c r="D51" s="93" t="n">
        <f aca="false">Seg4_N*D42</f>
        <v>6</v>
      </c>
      <c r="E51" s="93" t="n">
        <f aca="false">Seg4_N*E42</f>
        <v>8.5</v>
      </c>
      <c r="F51" s="93" t="n">
        <f aca="false">Seg4_N*F42</f>
        <v>10</v>
      </c>
      <c r="G51" s="93" t="n">
        <f aca="false">Seg4_N*G42</f>
        <v>10</v>
      </c>
      <c r="H51" s="93" t="n">
        <f aca="false">Seg4_N*H42</f>
        <v>10</v>
      </c>
      <c r="I51" s="93" t="n">
        <f aca="false">Seg4_N*I42</f>
        <v>10</v>
      </c>
      <c r="J51" s="93" t="n">
        <f aca="false">Seg4_N*J42</f>
        <v>10</v>
      </c>
      <c r="K51" s="93" t="n">
        <f aca="false">Seg4_N*K42</f>
        <v>10</v>
      </c>
      <c r="L51" s="93" t="n">
        <f aca="false">Seg4_N*L42</f>
        <v>10</v>
      </c>
      <c r="M51" s="93" t="n">
        <f aca="false">Seg4_N*M42</f>
        <v>10</v>
      </c>
      <c r="N51" s="93" t="n">
        <f aca="false">Seg4_N*N42</f>
        <v>10</v>
      </c>
      <c r="O51" s="93" t="n">
        <f aca="false">Seg4_N*O42</f>
        <v>10</v>
      </c>
      <c r="P51" s="93" t="n">
        <f aca="false">Seg4_N*P42</f>
        <v>10</v>
      </c>
      <c r="Q51" s="93" t="n">
        <f aca="false">Seg4_N*Q42</f>
        <v>10</v>
      </c>
      <c r="R51" s="93" t="n">
        <f aca="false">Seg4_N*R42</f>
        <v>10</v>
      </c>
      <c r="S51" s="93" t="n">
        <f aca="false">Seg4_N*S42</f>
        <v>10</v>
      </c>
      <c r="T51" s="93" t="n">
        <f aca="false">Seg4_N*T42</f>
        <v>10</v>
      </c>
      <c r="U51" s="93" t="n">
        <f aca="false">Seg4_N*U42</f>
        <v>10</v>
      </c>
      <c r="V51" s="93" t="n">
        <f aca="false">Seg4_N*V42</f>
        <v>10</v>
      </c>
      <c r="W51" s="93" t="n">
        <f aca="false">Seg4_N*W42</f>
        <v>10</v>
      </c>
    </row>
    <row r="52" customFormat="false" ht="15" hidden="false" customHeight="false" outlineLevel="0" collapsed="false">
      <c r="A52" s="11" t="str">
        <f aca="false">"Connections - "&amp;Seg5_Name</f>
        <v>Connections - Other / custom</v>
      </c>
      <c r="C52" s="93" t="n">
        <v>0</v>
      </c>
      <c r="D52" s="93" t="n">
        <f aca="false">Seg5_N*D42</f>
        <v>0</v>
      </c>
      <c r="E52" s="93" t="n">
        <f aca="false">Seg5_N*E42</f>
        <v>0</v>
      </c>
      <c r="F52" s="93" t="n">
        <f aca="false">Seg5_N*F42</f>
        <v>0</v>
      </c>
      <c r="G52" s="93" t="n">
        <f aca="false">Seg5_N*G42</f>
        <v>0</v>
      </c>
      <c r="H52" s="93" t="n">
        <f aca="false">Seg5_N*H42</f>
        <v>0</v>
      </c>
      <c r="I52" s="93" t="n">
        <f aca="false">Seg5_N*I42</f>
        <v>0</v>
      </c>
      <c r="J52" s="93" t="n">
        <f aca="false">Seg5_N*J42</f>
        <v>0</v>
      </c>
      <c r="K52" s="93" t="n">
        <f aca="false">Seg5_N*K42</f>
        <v>0</v>
      </c>
      <c r="L52" s="93" t="n">
        <f aca="false">Seg5_N*L42</f>
        <v>0</v>
      </c>
      <c r="M52" s="93" t="n">
        <f aca="false">Seg5_N*M42</f>
        <v>0</v>
      </c>
      <c r="N52" s="93" t="n">
        <f aca="false">Seg5_N*N42</f>
        <v>0</v>
      </c>
      <c r="O52" s="93" t="n">
        <f aca="false">Seg5_N*O42</f>
        <v>0</v>
      </c>
      <c r="P52" s="93" t="n">
        <f aca="false">Seg5_N*P42</f>
        <v>0</v>
      </c>
      <c r="Q52" s="93" t="n">
        <f aca="false">Seg5_N*Q42</f>
        <v>0</v>
      </c>
      <c r="R52" s="93" t="n">
        <f aca="false">Seg5_N*R42</f>
        <v>0</v>
      </c>
      <c r="S52" s="93" t="n">
        <f aca="false">Seg5_N*S42</f>
        <v>0</v>
      </c>
      <c r="T52" s="93" t="n">
        <f aca="false">Seg5_N*T42</f>
        <v>0</v>
      </c>
      <c r="U52" s="93" t="n">
        <f aca="false">Seg5_N*U42</f>
        <v>0</v>
      </c>
      <c r="V52" s="93" t="n">
        <f aca="false">Seg5_N*V42</f>
        <v>0</v>
      </c>
      <c r="W52" s="93" t="n">
        <f aca="false">Seg5_N*W42</f>
        <v>0</v>
      </c>
    </row>
    <row r="53" customFormat="false" ht="15" hidden="false" customHeight="false" outlineLevel="0" collapsed="false">
      <c r="A53" s="16" t="s">
        <v>420</v>
      </c>
      <c r="C53" s="29" t="n">
        <f aca="false">C48+C49+C50+C51+C52</f>
        <v>0</v>
      </c>
      <c r="D53" s="29" t="n">
        <f aca="false">D48+D49+D50+D51+D52</f>
        <v>582</v>
      </c>
      <c r="E53" s="29" t="n">
        <f aca="false">E48+E49+E50+E51+E52</f>
        <v>824.5</v>
      </c>
      <c r="F53" s="29" t="n">
        <f aca="false">F48+F49+F50+F51+F52</f>
        <v>970</v>
      </c>
      <c r="G53" s="29" t="n">
        <f aca="false">G48+G49+G50+G51+G52</f>
        <v>970</v>
      </c>
      <c r="H53" s="29" t="n">
        <f aca="false">H48+H49+H50+H51+H52</f>
        <v>970</v>
      </c>
      <c r="I53" s="29" t="n">
        <f aca="false">I48+I49+I50+I51+I52</f>
        <v>970</v>
      </c>
      <c r="J53" s="29" t="n">
        <f aca="false">J48+J49+J50+J51+J52</f>
        <v>970</v>
      </c>
      <c r="K53" s="29" t="n">
        <f aca="false">K48+K49+K50+K51+K52</f>
        <v>970</v>
      </c>
      <c r="L53" s="29" t="n">
        <f aca="false">L48+L49+L50+L51+L52</f>
        <v>970</v>
      </c>
      <c r="M53" s="29" t="n">
        <f aca="false">M48+M49+M50+M51+M52</f>
        <v>970</v>
      </c>
      <c r="N53" s="29" t="n">
        <f aca="false">N48+N49+N50+N51+N52</f>
        <v>970</v>
      </c>
      <c r="O53" s="29" t="n">
        <f aca="false">O48+O49+O50+O51+O52</f>
        <v>970</v>
      </c>
      <c r="P53" s="29" t="n">
        <f aca="false">P48+P49+P50+P51+P52</f>
        <v>970</v>
      </c>
      <c r="Q53" s="29" t="n">
        <f aca="false">Q48+Q49+Q50+Q51+Q52</f>
        <v>970</v>
      </c>
      <c r="R53" s="29" t="n">
        <f aca="false">R48+R49+R50+R51+R52</f>
        <v>970</v>
      </c>
      <c r="S53" s="29" t="n">
        <f aca="false">S48+S49+S50+S51+S52</f>
        <v>970</v>
      </c>
      <c r="T53" s="29" t="n">
        <f aca="false">T48+T49+T50+T51+T52</f>
        <v>970</v>
      </c>
      <c r="U53" s="29" t="n">
        <f aca="false">U48+U49+U50+U51+U52</f>
        <v>970</v>
      </c>
      <c r="V53" s="29" t="n">
        <f aca="false">V48+V49+V50+V51+V52</f>
        <v>970</v>
      </c>
      <c r="W53" s="29" t="n">
        <f aca="false">W48+W49+W50+W51+W52</f>
        <v>970</v>
      </c>
    </row>
    <row r="54" customFormat="false" ht="15" hidden="false" customHeight="false" outlineLevel="0" collapsed="false">
      <c r="A54" s="11" t="str">
        <f aca="false">"New connections - "&amp;Seg1_Name</f>
        <v>New connections - Households</v>
      </c>
      <c r="B54" s="77" t="n">
        <f aca="false">SUM(C54:W54)</f>
        <v>800</v>
      </c>
      <c r="C54" s="94" t="n">
        <v>0</v>
      </c>
      <c r="D54" s="94" t="n">
        <f aca="false">MAX(0,D48-C48)</f>
        <v>480</v>
      </c>
      <c r="E54" s="94" t="n">
        <f aca="false">MAX(0,E48-D48)</f>
        <v>200</v>
      </c>
      <c r="F54" s="94" t="n">
        <f aca="false">MAX(0,F48-E48)</f>
        <v>120</v>
      </c>
      <c r="G54" s="94" t="n">
        <f aca="false">MAX(0,G48-F48)</f>
        <v>0</v>
      </c>
      <c r="H54" s="94" t="n">
        <f aca="false">MAX(0,H48-G48)</f>
        <v>0</v>
      </c>
      <c r="I54" s="94" t="n">
        <f aca="false">MAX(0,I48-H48)</f>
        <v>0</v>
      </c>
      <c r="J54" s="94" t="n">
        <f aca="false">MAX(0,J48-I48)</f>
        <v>0</v>
      </c>
      <c r="K54" s="94" t="n">
        <f aca="false">MAX(0,K48-J48)</f>
        <v>0</v>
      </c>
      <c r="L54" s="94" t="n">
        <f aca="false">MAX(0,L48-K48)</f>
        <v>0</v>
      </c>
      <c r="M54" s="94" t="n">
        <f aca="false">MAX(0,M48-L48)</f>
        <v>0</v>
      </c>
      <c r="N54" s="94" t="n">
        <f aca="false">MAX(0,N48-M48)</f>
        <v>0</v>
      </c>
      <c r="O54" s="94" t="n">
        <f aca="false">MAX(0,O48-N48)</f>
        <v>0</v>
      </c>
      <c r="P54" s="94" t="n">
        <f aca="false">MAX(0,P48-O48)</f>
        <v>0</v>
      </c>
      <c r="Q54" s="94" t="n">
        <f aca="false">MAX(0,Q48-P48)</f>
        <v>0</v>
      </c>
      <c r="R54" s="94" t="n">
        <f aca="false">MAX(0,R48-Q48)</f>
        <v>0</v>
      </c>
      <c r="S54" s="94" t="n">
        <f aca="false">MAX(0,S48-R48)</f>
        <v>0</v>
      </c>
      <c r="T54" s="94" t="n">
        <f aca="false">MAX(0,T48-S48)</f>
        <v>0</v>
      </c>
      <c r="U54" s="94" t="n">
        <f aca="false">MAX(0,U48-T48)</f>
        <v>0</v>
      </c>
      <c r="V54" s="94" t="n">
        <f aca="false">MAX(0,V48-U48)</f>
        <v>0</v>
      </c>
      <c r="W54" s="94" t="n">
        <f aca="false">MAX(0,W48-V48)</f>
        <v>0</v>
      </c>
    </row>
    <row r="55" customFormat="false" ht="15" hidden="false" customHeight="false" outlineLevel="0" collapsed="false">
      <c r="A55" s="11" t="str">
        <f aca="false">"New connections - "&amp;Seg2_Name</f>
        <v>New connections - Productive users (mills, welding, cold rooms)</v>
      </c>
      <c r="B55" s="77" t="n">
        <f aca="false">SUM(C55:W55)</f>
        <v>60</v>
      </c>
      <c r="C55" s="94" t="n">
        <v>0</v>
      </c>
      <c r="D55" s="94" t="n">
        <f aca="false">MAX(0,D49-C49)</f>
        <v>36</v>
      </c>
      <c r="E55" s="94" t="n">
        <f aca="false">MAX(0,E49-D49)</f>
        <v>15</v>
      </c>
      <c r="F55" s="94" t="n">
        <f aca="false">MAX(0,F49-E49)</f>
        <v>9</v>
      </c>
      <c r="G55" s="94" t="n">
        <f aca="false">MAX(0,G49-F49)</f>
        <v>0</v>
      </c>
      <c r="H55" s="94" t="n">
        <f aca="false">MAX(0,H49-G49)</f>
        <v>0</v>
      </c>
      <c r="I55" s="94" t="n">
        <f aca="false">MAX(0,I49-H49)</f>
        <v>0</v>
      </c>
      <c r="J55" s="94" t="n">
        <f aca="false">MAX(0,J49-I49)</f>
        <v>0</v>
      </c>
      <c r="K55" s="94" t="n">
        <f aca="false">MAX(0,K49-J49)</f>
        <v>0</v>
      </c>
      <c r="L55" s="94" t="n">
        <f aca="false">MAX(0,L49-K49)</f>
        <v>0</v>
      </c>
      <c r="M55" s="94" t="n">
        <f aca="false">MAX(0,M49-L49)</f>
        <v>0</v>
      </c>
      <c r="N55" s="94" t="n">
        <f aca="false">MAX(0,N49-M49)</f>
        <v>0</v>
      </c>
      <c r="O55" s="94" t="n">
        <f aca="false">MAX(0,O49-N49)</f>
        <v>0</v>
      </c>
      <c r="P55" s="94" t="n">
        <f aca="false">MAX(0,P49-O49)</f>
        <v>0</v>
      </c>
      <c r="Q55" s="94" t="n">
        <f aca="false">MAX(0,Q49-P49)</f>
        <v>0</v>
      </c>
      <c r="R55" s="94" t="n">
        <f aca="false">MAX(0,R49-Q49)</f>
        <v>0</v>
      </c>
      <c r="S55" s="94" t="n">
        <f aca="false">MAX(0,S49-R49)</f>
        <v>0</v>
      </c>
      <c r="T55" s="94" t="n">
        <f aca="false">MAX(0,T49-S49)</f>
        <v>0</v>
      </c>
      <c r="U55" s="94" t="n">
        <f aca="false">MAX(0,U49-T49)</f>
        <v>0</v>
      </c>
      <c r="V55" s="94" t="n">
        <f aca="false">MAX(0,V49-U49)</f>
        <v>0</v>
      </c>
      <c r="W55" s="94" t="n">
        <f aca="false">MAX(0,W49-V49)</f>
        <v>0</v>
      </c>
    </row>
    <row r="56" customFormat="false" ht="15" hidden="false" customHeight="false" outlineLevel="0" collapsed="false">
      <c r="A56" s="11" t="str">
        <f aca="false">"New connections - "&amp;Seg3_Name</f>
        <v>New connections - Commercial (shops, bars, kiosks)</v>
      </c>
      <c r="B56" s="77" t="n">
        <f aca="false">SUM(C56:W56)</f>
        <v>100</v>
      </c>
      <c r="C56" s="94" t="n">
        <v>0</v>
      </c>
      <c r="D56" s="94" t="n">
        <f aca="false">MAX(0,D50-C50)</f>
        <v>60</v>
      </c>
      <c r="E56" s="94" t="n">
        <f aca="false">MAX(0,E50-D50)</f>
        <v>25</v>
      </c>
      <c r="F56" s="94" t="n">
        <f aca="false">MAX(0,F50-E50)</f>
        <v>15</v>
      </c>
      <c r="G56" s="94" t="n">
        <f aca="false">MAX(0,G50-F50)</f>
        <v>0</v>
      </c>
      <c r="H56" s="94" t="n">
        <f aca="false">MAX(0,H50-G50)</f>
        <v>0</v>
      </c>
      <c r="I56" s="94" t="n">
        <f aca="false">MAX(0,I50-H50)</f>
        <v>0</v>
      </c>
      <c r="J56" s="94" t="n">
        <f aca="false">MAX(0,J50-I50)</f>
        <v>0</v>
      </c>
      <c r="K56" s="94" t="n">
        <f aca="false">MAX(0,K50-J50)</f>
        <v>0</v>
      </c>
      <c r="L56" s="94" t="n">
        <f aca="false">MAX(0,L50-K50)</f>
        <v>0</v>
      </c>
      <c r="M56" s="94" t="n">
        <f aca="false">MAX(0,M50-L50)</f>
        <v>0</v>
      </c>
      <c r="N56" s="94" t="n">
        <f aca="false">MAX(0,N50-M50)</f>
        <v>0</v>
      </c>
      <c r="O56" s="94" t="n">
        <f aca="false">MAX(0,O50-N50)</f>
        <v>0</v>
      </c>
      <c r="P56" s="94" t="n">
        <f aca="false">MAX(0,P50-O50)</f>
        <v>0</v>
      </c>
      <c r="Q56" s="94" t="n">
        <f aca="false">MAX(0,Q50-P50)</f>
        <v>0</v>
      </c>
      <c r="R56" s="94" t="n">
        <f aca="false">MAX(0,R50-Q50)</f>
        <v>0</v>
      </c>
      <c r="S56" s="94" t="n">
        <f aca="false">MAX(0,S50-R50)</f>
        <v>0</v>
      </c>
      <c r="T56" s="94" t="n">
        <f aca="false">MAX(0,T50-S50)</f>
        <v>0</v>
      </c>
      <c r="U56" s="94" t="n">
        <f aca="false">MAX(0,U50-T50)</f>
        <v>0</v>
      </c>
      <c r="V56" s="94" t="n">
        <f aca="false">MAX(0,V50-U50)</f>
        <v>0</v>
      </c>
      <c r="W56" s="94" t="n">
        <f aca="false">MAX(0,W50-V50)</f>
        <v>0</v>
      </c>
    </row>
    <row r="57" customFormat="false" ht="15" hidden="false" customHeight="false" outlineLevel="0" collapsed="false">
      <c r="A57" s="11" t="str">
        <f aca="false">"New connections - "&amp;Seg4_Name</f>
        <v>New connections - Institutions (health centre, school, water)</v>
      </c>
      <c r="B57" s="77" t="n">
        <f aca="false">SUM(C57:W57)</f>
        <v>10</v>
      </c>
      <c r="C57" s="94" t="n">
        <v>0</v>
      </c>
      <c r="D57" s="94" t="n">
        <f aca="false">MAX(0,D51-C51)</f>
        <v>6</v>
      </c>
      <c r="E57" s="94" t="n">
        <f aca="false">MAX(0,E51-D51)</f>
        <v>2.5</v>
      </c>
      <c r="F57" s="94" t="n">
        <f aca="false">MAX(0,F51-E51)</f>
        <v>1.5</v>
      </c>
      <c r="G57" s="94" t="n">
        <f aca="false">MAX(0,G51-F51)</f>
        <v>0</v>
      </c>
      <c r="H57" s="94" t="n">
        <f aca="false">MAX(0,H51-G51)</f>
        <v>0</v>
      </c>
      <c r="I57" s="94" t="n">
        <f aca="false">MAX(0,I51-H51)</f>
        <v>0</v>
      </c>
      <c r="J57" s="94" t="n">
        <f aca="false">MAX(0,J51-I51)</f>
        <v>0</v>
      </c>
      <c r="K57" s="94" t="n">
        <f aca="false">MAX(0,K51-J51)</f>
        <v>0</v>
      </c>
      <c r="L57" s="94" t="n">
        <f aca="false">MAX(0,L51-K51)</f>
        <v>0</v>
      </c>
      <c r="M57" s="94" t="n">
        <f aca="false">MAX(0,M51-L51)</f>
        <v>0</v>
      </c>
      <c r="N57" s="94" t="n">
        <f aca="false">MAX(0,N51-M51)</f>
        <v>0</v>
      </c>
      <c r="O57" s="94" t="n">
        <f aca="false">MAX(0,O51-N51)</f>
        <v>0</v>
      </c>
      <c r="P57" s="94" t="n">
        <f aca="false">MAX(0,P51-O51)</f>
        <v>0</v>
      </c>
      <c r="Q57" s="94" t="n">
        <f aca="false">MAX(0,Q51-P51)</f>
        <v>0</v>
      </c>
      <c r="R57" s="94" t="n">
        <f aca="false">MAX(0,R51-Q51)</f>
        <v>0</v>
      </c>
      <c r="S57" s="94" t="n">
        <f aca="false">MAX(0,S51-R51)</f>
        <v>0</v>
      </c>
      <c r="T57" s="94" t="n">
        <f aca="false">MAX(0,T51-S51)</f>
        <v>0</v>
      </c>
      <c r="U57" s="94" t="n">
        <f aca="false">MAX(0,U51-T51)</f>
        <v>0</v>
      </c>
      <c r="V57" s="94" t="n">
        <f aca="false">MAX(0,V51-U51)</f>
        <v>0</v>
      </c>
      <c r="W57" s="94" t="n">
        <f aca="false">MAX(0,W51-V51)</f>
        <v>0</v>
      </c>
    </row>
    <row r="58" customFormat="false" ht="15" hidden="false" customHeight="false" outlineLevel="0" collapsed="false">
      <c r="A58" s="11" t="str">
        <f aca="false">"New connections - "&amp;Seg5_Name</f>
        <v>New connections - Other / custom</v>
      </c>
      <c r="B58" s="77" t="n">
        <f aca="false">SUM(C58:W58)</f>
        <v>0</v>
      </c>
      <c r="C58" s="94" t="n">
        <v>0</v>
      </c>
      <c r="D58" s="94" t="n">
        <f aca="false">MAX(0,D52-C52)</f>
        <v>0</v>
      </c>
      <c r="E58" s="94" t="n">
        <f aca="false">MAX(0,E52-D52)</f>
        <v>0</v>
      </c>
      <c r="F58" s="94" t="n">
        <f aca="false">MAX(0,F52-E52)</f>
        <v>0</v>
      </c>
      <c r="G58" s="94" t="n">
        <f aca="false">MAX(0,G52-F52)</f>
        <v>0</v>
      </c>
      <c r="H58" s="94" t="n">
        <f aca="false">MAX(0,H52-G52)</f>
        <v>0</v>
      </c>
      <c r="I58" s="94" t="n">
        <f aca="false">MAX(0,I52-H52)</f>
        <v>0</v>
      </c>
      <c r="J58" s="94" t="n">
        <f aca="false">MAX(0,J52-I52)</f>
        <v>0</v>
      </c>
      <c r="K58" s="94" t="n">
        <f aca="false">MAX(0,K52-J52)</f>
        <v>0</v>
      </c>
      <c r="L58" s="94" t="n">
        <f aca="false">MAX(0,L52-K52)</f>
        <v>0</v>
      </c>
      <c r="M58" s="94" t="n">
        <f aca="false">MAX(0,M52-L52)</f>
        <v>0</v>
      </c>
      <c r="N58" s="94" t="n">
        <f aca="false">MAX(0,N52-M52)</f>
        <v>0</v>
      </c>
      <c r="O58" s="94" t="n">
        <f aca="false">MAX(0,O52-N52)</f>
        <v>0</v>
      </c>
      <c r="P58" s="94" t="n">
        <f aca="false">MAX(0,P52-O52)</f>
        <v>0</v>
      </c>
      <c r="Q58" s="94" t="n">
        <f aca="false">MAX(0,Q52-P52)</f>
        <v>0</v>
      </c>
      <c r="R58" s="94" t="n">
        <f aca="false">MAX(0,R52-Q52)</f>
        <v>0</v>
      </c>
      <c r="S58" s="94" t="n">
        <f aca="false">MAX(0,S52-R52)</f>
        <v>0</v>
      </c>
      <c r="T58" s="94" t="n">
        <f aca="false">MAX(0,T52-S52)</f>
        <v>0</v>
      </c>
      <c r="U58" s="94" t="n">
        <f aca="false">MAX(0,U52-T52)</f>
        <v>0</v>
      </c>
      <c r="V58" s="94" t="n">
        <f aca="false">MAX(0,V52-U52)</f>
        <v>0</v>
      </c>
      <c r="W58" s="94" t="n">
        <f aca="false">MAX(0,W52-V52)</f>
        <v>0</v>
      </c>
    </row>
    <row r="59" customFormat="false" ht="15" hidden="false" customHeight="false" outlineLevel="0" collapsed="false">
      <c r="A59" s="16" t="s">
        <v>421</v>
      </c>
      <c r="B59" s="76" t="n">
        <f aca="false">SUM(C59:W59)</f>
        <v>970</v>
      </c>
      <c r="C59" s="29" t="n">
        <f aca="false">C54+C55+C56+C57+C58</f>
        <v>0</v>
      </c>
      <c r="D59" s="29" t="n">
        <f aca="false">D54+D55+D56+D57+D58</f>
        <v>582</v>
      </c>
      <c r="E59" s="29" t="n">
        <f aca="false">E54+E55+E56+E57+E58</f>
        <v>242.5</v>
      </c>
      <c r="F59" s="29" t="n">
        <f aca="false">F54+F55+F56+F57+F58</f>
        <v>145.5</v>
      </c>
      <c r="G59" s="29" t="n">
        <f aca="false">G54+G55+G56+G57+G58</f>
        <v>0</v>
      </c>
      <c r="H59" s="29" t="n">
        <f aca="false">H54+H55+H56+H57+H58</f>
        <v>0</v>
      </c>
      <c r="I59" s="29" t="n">
        <f aca="false">I54+I55+I56+I57+I58</f>
        <v>0</v>
      </c>
      <c r="J59" s="29" t="n">
        <f aca="false">J54+J55+J56+J57+J58</f>
        <v>0</v>
      </c>
      <c r="K59" s="29" t="n">
        <f aca="false">K54+K55+K56+K57+K58</f>
        <v>0</v>
      </c>
      <c r="L59" s="29" t="n">
        <f aca="false">L54+L55+L56+L57+L58</f>
        <v>0</v>
      </c>
      <c r="M59" s="29" t="n">
        <f aca="false">M54+M55+M56+M57+M58</f>
        <v>0</v>
      </c>
      <c r="N59" s="29" t="n">
        <f aca="false">N54+N55+N56+N57+N58</f>
        <v>0</v>
      </c>
      <c r="O59" s="29" t="n">
        <f aca="false">O54+O55+O56+O57+O58</f>
        <v>0</v>
      </c>
      <c r="P59" s="29" t="n">
        <f aca="false">P54+P55+P56+P57+P58</f>
        <v>0</v>
      </c>
      <c r="Q59" s="29" t="n">
        <f aca="false">Q54+Q55+Q56+Q57+Q58</f>
        <v>0</v>
      </c>
      <c r="R59" s="29" t="n">
        <f aca="false">R54+R55+R56+R57+R58</f>
        <v>0</v>
      </c>
      <c r="S59" s="29" t="n">
        <f aca="false">S54+S55+S56+S57+S58</f>
        <v>0</v>
      </c>
      <c r="T59" s="29" t="n">
        <f aca="false">T54+T55+T56+T57+T58</f>
        <v>0</v>
      </c>
      <c r="U59" s="29" t="n">
        <f aca="false">U54+U55+U56+U57+U58</f>
        <v>0</v>
      </c>
      <c r="V59" s="29" t="n">
        <f aca="false">V54+V55+V56+V57+V58</f>
        <v>0</v>
      </c>
      <c r="W59" s="29" t="n">
        <f aca="false">W54+W55+W56+W57+W58</f>
        <v>0</v>
      </c>
    </row>
    <row r="61" customFormat="false" ht="15" hidden="false" customHeight="false" outlineLevel="0" collapsed="false">
      <c r="A61" s="11" t="str">
        <f aca="false">"Energy sold (kWh) - "&amp;Seg1_Name</f>
        <v>Energy sold (kWh) - Households</v>
      </c>
      <c r="B61" s="76" t="n">
        <f aca="false">SUM(C61:W61)</f>
        <v>3789485.92641319</v>
      </c>
      <c r="C61" s="93" t="n">
        <v>0</v>
      </c>
      <c r="D61" s="93" t="n">
        <f aca="false">D48*Seg1_kWh*12*D45</f>
        <v>86400</v>
      </c>
      <c r="E61" s="93" t="n">
        <f aca="false">E48*Seg1_kWh*12*E45</f>
        <v>126072</v>
      </c>
      <c r="F61" s="93" t="n">
        <f aca="false">F48*Seg1_kWh*12*F45</f>
        <v>152769.6</v>
      </c>
      <c r="G61" s="93" t="n">
        <f aca="false">G48*Seg1_kWh*12*G45</f>
        <v>157352.688</v>
      </c>
      <c r="H61" s="93" t="n">
        <f aca="false">H48*Seg1_kWh*12*H45</f>
        <v>162073.26864</v>
      </c>
      <c r="I61" s="93" t="n">
        <f aca="false">I48*Seg1_kWh*12*I45</f>
        <v>166935.4666992</v>
      </c>
      <c r="J61" s="93" t="n">
        <f aca="false">J48*Seg1_kWh*12*J45</f>
        <v>171943.530700176</v>
      </c>
      <c r="K61" s="93" t="n">
        <f aca="false">K48*Seg1_kWh*12*K45</f>
        <v>177101.836621181</v>
      </c>
      <c r="L61" s="93" t="n">
        <f aca="false">L48*Seg1_kWh*12*L45</f>
        <v>182414.891719817</v>
      </c>
      <c r="M61" s="93" t="n">
        <f aca="false">M48*Seg1_kWh*12*M45</f>
        <v>187887.338471411</v>
      </c>
      <c r="N61" s="93" t="n">
        <f aca="false">N48*Seg1_kWh*12*N45</f>
        <v>193523.958625554</v>
      </c>
      <c r="O61" s="93" t="n">
        <f aca="false">O48*Seg1_kWh*12*O45</f>
        <v>199329.67738432</v>
      </c>
      <c r="P61" s="93" t="n">
        <f aca="false">P48*Seg1_kWh*12*P45</f>
        <v>205309.56770585</v>
      </c>
      <c r="Q61" s="93" t="n">
        <f aca="false">Q48*Seg1_kWh*12*Q45</f>
        <v>211468.854737025</v>
      </c>
      <c r="R61" s="93" t="n">
        <f aca="false">R48*Seg1_kWh*12*R45</f>
        <v>217812.920379136</v>
      </c>
      <c r="S61" s="93" t="n">
        <f aca="false">S48*Seg1_kWh*12*S45</f>
        <v>224347.30799051</v>
      </c>
      <c r="T61" s="93" t="n">
        <f aca="false">T48*Seg1_kWh*12*T45</f>
        <v>231077.727230226</v>
      </c>
      <c r="U61" s="93" t="n">
        <f aca="false">U48*Seg1_kWh*12*U45</f>
        <v>238010.059047132</v>
      </c>
      <c r="V61" s="93" t="n">
        <f aca="false">V48*Seg1_kWh*12*V45</f>
        <v>245150.360818546</v>
      </c>
      <c r="W61" s="93" t="n">
        <f aca="false">W48*Seg1_kWh*12*W45</f>
        <v>252504.871643103</v>
      </c>
    </row>
    <row r="62" customFormat="false" ht="15" hidden="false" customHeight="false" outlineLevel="0" collapsed="false">
      <c r="A62" s="11" t="str">
        <f aca="false">"Energy sold (kWh) - "&amp;Seg2_Name</f>
        <v>Energy sold (kWh) - Productive users (mills, welding, cold rooms)</v>
      </c>
      <c r="B62" s="76" t="n">
        <f aca="false">SUM(C62:W62)</f>
        <v>2944733.72369716</v>
      </c>
      <c r="C62" s="93" t="n">
        <v>0</v>
      </c>
      <c r="D62" s="93" t="n">
        <f aca="false">D49*Seg2_kWh*12*D45</f>
        <v>67139.712</v>
      </c>
      <c r="E62" s="93" t="n">
        <f aca="false">E49*Seg2_kWh*12*E45</f>
        <v>97968.02976</v>
      </c>
      <c r="F62" s="93" t="n">
        <f aca="false">F49*Seg2_kWh*12*F45</f>
        <v>118714.200768</v>
      </c>
      <c r="G62" s="93" t="n">
        <f aca="false">G49*Seg2_kWh*12*G45</f>
        <v>122275.62679104</v>
      </c>
      <c r="H62" s="93" t="n">
        <f aca="false">H49*Seg2_kWh*12*H45</f>
        <v>125943.895594771</v>
      </c>
      <c r="I62" s="93" t="n">
        <f aca="false">I49*Seg2_kWh*12*I45</f>
        <v>129722.212462614</v>
      </c>
      <c r="J62" s="93" t="n">
        <f aca="false">J49*Seg2_kWh*12*J45</f>
        <v>133613.878836493</v>
      </c>
      <c r="K62" s="93" t="n">
        <f aca="false">K49*Seg2_kWh*12*K45</f>
        <v>137622.295201588</v>
      </c>
      <c r="L62" s="93" t="n">
        <f aca="false">L49*Seg2_kWh*12*L45</f>
        <v>141750.964057635</v>
      </c>
      <c r="M62" s="93" t="n">
        <f aca="false">M49*Seg2_kWh*12*M45</f>
        <v>146003.492979364</v>
      </c>
      <c r="N62" s="93" t="n">
        <f aca="false">N49*Seg2_kWh*12*N45</f>
        <v>150383.597768745</v>
      </c>
      <c r="O62" s="93" t="n">
        <f aca="false">O49*Seg2_kWh*12*O45</f>
        <v>154895.105701808</v>
      </c>
      <c r="P62" s="93" t="n">
        <f aca="false">P49*Seg2_kWh*12*P45</f>
        <v>159541.958872862</v>
      </c>
      <c r="Q62" s="93" t="n">
        <f aca="false">Q49*Seg2_kWh*12*Q45</f>
        <v>164328.217639048</v>
      </c>
      <c r="R62" s="93" t="n">
        <f aca="false">R49*Seg2_kWh*12*R45</f>
        <v>169258.064168219</v>
      </c>
      <c r="S62" s="93" t="n">
        <f aca="false">S49*Seg2_kWh*12*S45</f>
        <v>174335.806093266</v>
      </c>
      <c r="T62" s="93" t="n">
        <f aca="false">T49*Seg2_kWh*12*T45</f>
        <v>179565.880276064</v>
      </c>
      <c r="U62" s="93" t="n">
        <f aca="false">U49*Seg2_kWh*12*U45</f>
        <v>184952.856684346</v>
      </c>
      <c r="V62" s="93" t="n">
        <f aca="false">V49*Seg2_kWh*12*V45</f>
        <v>190501.442384876</v>
      </c>
      <c r="W62" s="93" t="n">
        <f aca="false">W49*Seg2_kWh*12*W45</f>
        <v>196216.485656422</v>
      </c>
    </row>
    <row r="63" customFormat="false" ht="15" hidden="false" customHeight="false" outlineLevel="0" collapsed="false">
      <c r="A63" s="11" t="str">
        <f aca="false">"Energy sold (kWh) - "&amp;Seg3_Name</f>
        <v>Energy sold (kWh) - Commercial (shops, bars, kiosks)</v>
      </c>
      <c r="B63" s="76" t="n">
        <f aca="false">SUM(C63:W63)</f>
        <v>1578952.46933883</v>
      </c>
      <c r="C63" s="93" t="n">
        <v>0</v>
      </c>
      <c r="D63" s="93" t="n">
        <f aca="false">D50*Seg3_kWh*12*D45</f>
        <v>36000</v>
      </c>
      <c r="E63" s="93" t="n">
        <f aca="false">E50*Seg3_kWh*12*E45</f>
        <v>52530</v>
      </c>
      <c r="F63" s="93" t="n">
        <f aca="false">F50*Seg3_kWh*12*F45</f>
        <v>63654</v>
      </c>
      <c r="G63" s="93" t="n">
        <f aca="false">G50*Seg3_kWh*12*G45</f>
        <v>65563.62</v>
      </c>
      <c r="H63" s="93" t="n">
        <f aca="false">H50*Seg3_kWh*12*H45</f>
        <v>67530.5286</v>
      </c>
      <c r="I63" s="93" t="n">
        <f aca="false">I50*Seg3_kWh*12*I45</f>
        <v>69556.444458</v>
      </c>
      <c r="J63" s="93" t="n">
        <f aca="false">J50*Seg3_kWh*12*J45</f>
        <v>71643.13779174</v>
      </c>
      <c r="K63" s="93" t="n">
        <f aca="false">K50*Seg3_kWh*12*K45</f>
        <v>73792.4319254922</v>
      </c>
      <c r="L63" s="93" t="n">
        <f aca="false">L50*Seg3_kWh*12*L45</f>
        <v>76006.204883257</v>
      </c>
      <c r="M63" s="93" t="n">
        <f aca="false">M50*Seg3_kWh*12*M45</f>
        <v>78286.3910297547</v>
      </c>
      <c r="N63" s="93" t="n">
        <f aca="false">N50*Seg3_kWh*12*N45</f>
        <v>80634.9827606473</v>
      </c>
      <c r="O63" s="93" t="n">
        <f aca="false">O50*Seg3_kWh*12*O45</f>
        <v>83054.0322434668</v>
      </c>
      <c r="P63" s="93" t="n">
        <f aca="false">P50*Seg3_kWh*12*P45</f>
        <v>85545.6532107708</v>
      </c>
      <c r="Q63" s="93" t="n">
        <f aca="false">Q50*Seg3_kWh*12*Q45</f>
        <v>88112.0228070939</v>
      </c>
      <c r="R63" s="93" t="n">
        <f aca="false">R50*Seg3_kWh*12*R45</f>
        <v>90755.3834913067</v>
      </c>
      <c r="S63" s="93" t="n">
        <f aca="false">S50*Seg3_kWh*12*S45</f>
        <v>93478.0449960459</v>
      </c>
      <c r="T63" s="93" t="n">
        <f aca="false">T50*Seg3_kWh*12*T45</f>
        <v>96282.3863459273</v>
      </c>
      <c r="U63" s="93" t="n">
        <f aca="false">U50*Seg3_kWh*12*U45</f>
        <v>99170.8579363051</v>
      </c>
      <c r="V63" s="93" t="n">
        <f aca="false">V50*Seg3_kWh*12*V45</f>
        <v>102145.983674394</v>
      </c>
      <c r="W63" s="93" t="n">
        <f aca="false">W50*Seg3_kWh*12*W45</f>
        <v>105210.363184626</v>
      </c>
    </row>
    <row r="64" customFormat="false" ht="15" hidden="false" customHeight="false" outlineLevel="0" collapsed="false">
      <c r="A64" s="11" t="str">
        <f aca="false">"Energy sold (kWh) - "&amp;Seg4_Name</f>
        <v>Energy sold (kWh) - Institutions (health centre, school, water)</v>
      </c>
      <c r="B64" s="76" t="n">
        <f aca="false">SUM(C64:W64)</f>
        <v>947371.481603297</v>
      </c>
      <c r="C64" s="93" t="n">
        <v>0</v>
      </c>
      <c r="D64" s="93" t="n">
        <f aca="false">D51*Seg4_kWh*12*D45</f>
        <v>21600</v>
      </c>
      <c r="E64" s="93" t="n">
        <f aca="false">E51*Seg4_kWh*12*E45</f>
        <v>31518</v>
      </c>
      <c r="F64" s="93" t="n">
        <f aca="false">F51*Seg4_kWh*12*F45</f>
        <v>38192.4</v>
      </c>
      <c r="G64" s="93" t="n">
        <f aca="false">G51*Seg4_kWh*12*G45</f>
        <v>39338.172</v>
      </c>
      <c r="H64" s="93" t="n">
        <f aca="false">H51*Seg4_kWh*12*H45</f>
        <v>40518.31716</v>
      </c>
      <c r="I64" s="93" t="n">
        <f aca="false">I51*Seg4_kWh*12*I45</f>
        <v>41733.8666748</v>
      </c>
      <c r="J64" s="93" t="n">
        <f aca="false">J51*Seg4_kWh*12*J45</f>
        <v>42985.882675044</v>
      </c>
      <c r="K64" s="93" t="n">
        <f aca="false">K51*Seg4_kWh*12*K45</f>
        <v>44275.4591552953</v>
      </c>
      <c r="L64" s="93" t="n">
        <f aca="false">L51*Seg4_kWh*12*L45</f>
        <v>45603.7229299542</v>
      </c>
      <c r="M64" s="93" t="n">
        <f aca="false">M51*Seg4_kWh*12*M45</f>
        <v>46971.8346178528</v>
      </c>
      <c r="N64" s="93" t="n">
        <f aca="false">N51*Seg4_kWh*12*N45</f>
        <v>48380.9896563884</v>
      </c>
      <c r="O64" s="93" t="n">
        <f aca="false">O51*Seg4_kWh*12*O45</f>
        <v>49832.4193460801</v>
      </c>
      <c r="P64" s="93" t="n">
        <f aca="false">P51*Seg4_kWh*12*P45</f>
        <v>51327.3919264625</v>
      </c>
      <c r="Q64" s="93" t="n">
        <f aca="false">Q51*Seg4_kWh*12*Q45</f>
        <v>52867.2136842563</v>
      </c>
      <c r="R64" s="93" t="n">
        <f aca="false">R51*Seg4_kWh*12*R45</f>
        <v>54453.230094784</v>
      </c>
      <c r="S64" s="93" t="n">
        <f aca="false">S51*Seg4_kWh*12*S45</f>
        <v>56086.8269976275</v>
      </c>
      <c r="T64" s="93" t="n">
        <f aca="false">T51*Seg4_kWh*12*T45</f>
        <v>57769.4318075564</v>
      </c>
      <c r="U64" s="93" t="n">
        <f aca="false">U51*Seg4_kWh*12*U45</f>
        <v>59502.5147617831</v>
      </c>
      <c r="V64" s="93" t="n">
        <f aca="false">V51*Seg4_kWh*12*V45</f>
        <v>61287.5902046366</v>
      </c>
      <c r="W64" s="93" t="n">
        <f aca="false">W51*Seg4_kWh*12*W45</f>
        <v>63126.2179107757</v>
      </c>
    </row>
    <row r="65" customFormat="false" ht="15" hidden="false" customHeight="false" outlineLevel="0" collapsed="false">
      <c r="A65" s="11" t="str">
        <f aca="false">"Energy sold (kWh) - "&amp;Seg5_Name</f>
        <v>Energy sold (kWh) - Other / custom</v>
      </c>
      <c r="B65" s="76" t="n">
        <f aca="false">SUM(C65:W65)</f>
        <v>0</v>
      </c>
      <c r="C65" s="93" t="n">
        <v>0</v>
      </c>
      <c r="D65" s="93" t="n">
        <f aca="false">D52*Seg5_kWh*12*D45</f>
        <v>0</v>
      </c>
      <c r="E65" s="93" t="n">
        <f aca="false">E52*Seg5_kWh*12*E45</f>
        <v>0</v>
      </c>
      <c r="F65" s="93" t="n">
        <f aca="false">F52*Seg5_kWh*12*F45</f>
        <v>0</v>
      </c>
      <c r="G65" s="93" t="n">
        <f aca="false">G52*Seg5_kWh*12*G45</f>
        <v>0</v>
      </c>
      <c r="H65" s="93" t="n">
        <f aca="false">H52*Seg5_kWh*12*H45</f>
        <v>0</v>
      </c>
      <c r="I65" s="93" t="n">
        <f aca="false">I52*Seg5_kWh*12*I45</f>
        <v>0</v>
      </c>
      <c r="J65" s="93" t="n">
        <f aca="false">J52*Seg5_kWh*12*J45</f>
        <v>0</v>
      </c>
      <c r="K65" s="93" t="n">
        <f aca="false">K52*Seg5_kWh*12*K45</f>
        <v>0</v>
      </c>
      <c r="L65" s="93" t="n">
        <f aca="false">L52*Seg5_kWh*12*L45</f>
        <v>0</v>
      </c>
      <c r="M65" s="93" t="n">
        <f aca="false">M52*Seg5_kWh*12*M45</f>
        <v>0</v>
      </c>
      <c r="N65" s="93" t="n">
        <f aca="false">N52*Seg5_kWh*12*N45</f>
        <v>0</v>
      </c>
      <c r="O65" s="93" t="n">
        <f aca="false">O52*Seg5_kWh*12*O45</f>
        <v>0</v>
      </c>
      <c r="P65" s="93" t="n">
        <f aca="false">P52*Seg5_kWh*12*P45</f>
        <v>0</v>
      </c>
      <c r="Q65" s="93" t="n">
        <f aca="false">Q52*Seg5_kWh*12*Q45</f>
        <v>0</v>
      </c>
      <c r="R65" s="93" t="n">
        <f aca="false">R52*Seg5_kWh*12*R45</f>
        <v>0</v>
      </c>
      <c r="S65" s="93" t="n">
        <f aca="false">S52*Seg5_kWh*12*S45</f>
        <v>0</v>
      </c>
      <c r="T65" s="93" t="n">
        <f aca="false">T52*Seg5_kWh*12*T45</f>
        <v>0</v>
      </c>
      <c r="U65" s="93" t="n">
        <f aca="false">U52*Seg5_kWh*12*U45</f>
        <v>0</v>
      </c>
      <c r="V65" s="93" t="n">
        <f aca="false">V52*Seg5_kWh*12*V45</f>
        <v>0</v>
      </c>
      <c r="W65" s="93" t="n">
        <f aca="false">W52*Seg5_kWh*12*W45</f>
        <v>0</v>
      </c>
    </row>
    <row r="66" customFormat="false" ht="15" hidden="false" customHeight="false" outlineLevel="0" collapsed="false">
      <c r="A66" s="16" t="s">
        <v>422</v>
      </c>
      <c r="B66" s="76" t="n">
        <f aca="false">SUM(C66:W66)</f>
        <v>9260543.60105247</v>
      </c>
      <c r="C66" s="29" t="n">
        <f aca="false">C61+C62+C63+C64+C65</f>
        <v>0</v>
      </c>
      <c r="D66" s="29" t="n">
        <f aca="false">D61+D62+D63+D64+D65</f>
        <v>211139.712</v>
      </c>
      <c r="E66" s="29" t="n">
        <f aca="false">E61+E62+E63+E64+E65</f>
        <v>308088.02976</v>
      </c>
      <c r="F66" s="29" t="n">
        <f aca="false">F61+F62+F63+F64+F65</f>
        <v>373330.200768</v>
      </c>
      <c r="G66" s="29" t="n">
        <f aca="false">G61+G62+G63+G64+G65</f>
        <v>384530.10679104</v>
      </c>
      <c r="H66" s="29" t="n">
        <f aca="false">H61+H62+H63+H64+H65</f>
        <v>396066.009994771</v>
      </c>
      <c r="I66" s="29" t="n">
        <f aca="false">I61+I62+I63+I64+I65</f>
        <v>407947.990294614</v>
      </c>
      <c r="J66" s="29" t="n">
        <f aca="false">J61+J62+J63+J64+J65</f>
        <v>420186.430003453</v>
      </c>
      <c r="K66" s="29" t="n">
        <f aca="false">K61+K62+K63+K64+K65</f>
        <v>432792.022903556</v>
      </c>
      <c r="L66" s="29" t="n">
        <f aca="false">L61+L62+L63+L64+L65</f>
        <v>445775.783590663</v>
      </c>
      <c r="M66" s="29" t="n">
        <f aca="false">M61+M62+M63+M64+M65</f>
        <v>459149.057098383</v>
      </c>
      <c r="N66" s="29" t="n">
        <f aca="false">N61+N62+N63+N64+N65</f>
        <v>472923.528811335</v>
      </c>
      <c r="O66" s="29" t="n">
        <f aca="false">O61+O62+O63+O64+O65</f>
        <v>487111.234675675</v>
      </c>
      <c r="P66" s="29" t="n">
        <f aca="false">P61+P62+P63+P64+P65</f>
        <v>501724.571715945</v>
      </c>
      <c r="Q66" s="29" t="n">
        <f aca="false">Q61+Q62+Q63+Q64+Q65</f>
        <v>516776.308867423</v>
      </c>
      <c r="R66" s="29" t="n">
        <f aca="false">R61+R62+R63+R64+R65</f>
        <v>532279.598133446</v>
      </c>
      <c r="S66" s="29" t="n">
        <f aca="false">S61+S62+S63+S64+S65</f>
        <v>548247.986077449</v>
      </c>
      <c r="T66" s="29" t="n">
        <f aca="false">T61+T62+T63+T64+T65</f>
        <v>564695.425659773</v>
      </c>
      <c r="U66" s="29" t="n">
        <f aca="false">U61+U62+U63+U64+U65</f>
        <v>581636.288429566</v>
      </c>
      <c r="V66" s="29" t="n">
        <f aca="false">V61+V62+V63+V64+V65</f>
        <v>599085.377082453</v>
      </c>
      <c r="W66" s="29" t="n">
        <f aca="false">W61+W62+W63+W64+W65</f>
        <v>617057.938394927</v>
      </c>
    </row>
    <row r="68" customFormat="false" ht="15" hidden="false" customHeight="false" outlineLevel="0" collapsed="false">
      <c r="A68" s="9" t="s">
        <v>423</v>
      </c>
      <c r="B68" s="10"/>
      <c r="C68" s="10"/>
      <c r="D68" s="10"/>
      <c r="E68" s="10"/>
      <c r="F68" s="10"/>
      <c r="G68" s="10"/>
      <c r="H68" s="10"/>
      <c r="I68" s="10"/>
      <c r="J68" s="10"/>
      <c r="K68" s="10"/>
      <c r="L68" s="10"/>
      <c r="M68" s="10"/>
      <c r="N68" s="10"/>
      <c r="O68" s="10"/>
      <c r="P68" s="10"/>
      <c r="Q68" s="10"/>
      <c r="R68" s="10"/>
      <c r="S68" s="10"/>
      <c r="T68" s="10"/>
      <c r="U68" s="10"/>
      <c r="V68" s="10"/>
      <c r="W68" s="10"/>
    </row>
    <row r="69" customFormat="false" ht="15" hidden="false" customHeight="false" outlineLevel="0" collapsed="false">
      <c r="A69" s="11" t="s">
        <v>424</v>
      </c>
      <c r="B69" s="76" t="n">
        <f aca="false">SUM(C69:W69)</f>
        <v>10523345.001196</v>
      </c>
      <c r="C69" s="93" t="n">
        <v>0</v>
      </c>
      <c r="D69" s="93" t="n">
        <f aca="false">D66/(1-Losses)</f>
        <v>239931.490909091</v>
      </c>
      <c r="E69" s="93" t="n">
        <f aca="false">E66/(1-Losses)</f>
        <v>350100.033818182</v>
      </c>
      <c r="F69" s="93" t="n">
        <f aca="false">F66/(1-Losses)</f>
        <v>424238.864509091</v>
      </c>
      <c r="G69" s="93" t="n">
        <f aca="false">G66/(1-Losses)</f>
        <v>436966.030444364</v>
      </c>
      <c r="H69" s="93" t="n">
        <f aca="false">H66/(1-Losses)</f>
        <v>450075.011357695</v>
      </c>
      <c r="I69" s="93" t="n">
        <f aca="false">I66/(1-Losses)</f>
        <v>463577.261698425</v>
      </c>
      <c r="J69" s="93" t="n">
        <f aca="false">J66/(1-Losses)</f>
        <v>477484.579549378</v>
      </c>
      <c r="K69" s="93" t="n">
        <f aca="false">K66/(1-Losses)</f>
        <v>491809.11693586</v>
      </c>
      <c r="L69" s="93" t="n">
        <f aca="false">L66/(1-Losses)</f>
        <v>506563.390443935</v>
      </c>
      <c r="M69" s="93" t="n">
        <f aca="false">M66/(1-Losses)</f>
        <v>521760.292157253</v>
      </c>
      <c r="N69" s="93" t="n">
        <f aca="false">N66/(1-Losses)</f>
        <v>537413.100921971</v>
      </c>
      <c r="O69" s="93" t="n">
        <f aca="false">O66/(1-Losses)</f>
        <v>553535.49394963</v>
      </c>
      <c r="P69" s="93" t="n">
        <f aca="false">P66/(1-Losses)</f>
        <v>570141.558768119</v>
      </c>
      <c r="Q69" s="93" t="n">
        <f aca="false">Q66/(1-Losses)</f>
        <v>587245.805531163</v>
      </c>
      <c r="R69" s="93" t="n">
        <f aca="false">R66/(1-Losses)</f>
        <v>604863.179697098</v>
      </c>
      <c r="S69" s="93" t="n">
        <f aca="false">S66/(1-Losses)</f>
        <v>623009.07508801</v>
      </c>
      <c r="T69" s="93" t="n">
        <f aca="false">T66/(1-Losses)</f>
        <v>641699.347340651</v>
      </c>
      <c r="U69" s="93" t="n">
        <f aca="false">U66/(1-Losses)</f>
        <v>660950.327760871</v>
      </c>
      <c r="V69" s="93" t="n">
        <f aca="false">V66/(1-Losses)</f>
        <v>680778.837593697</v>
      </c>
      <c r="W69" s="93" t="n">
        <f aca="false">W66/(1-Losses)</f>
        <v>701202.202721508</v>
      </c>
    </row>
    <row r="70" customFormat="false" ht="15" hidden="false" customHeight="false" outlineLevel="0" collapsed="false">
      <c r="A70" s="11" t="s">
        <v>425</v>
      </c>
      <c r="B70" s="76" t="n">
        <f aca="false">SUM(C70:W70)</f>
        <v>8722537.45034705</v>
      </c>
      <c r="C70" s="93" t="n">
        <v>0</v>
      </c>
      <c r="D70" s="93" t="n">
        <f aca="false">PV_kWp*SpecYield*(1-Degradation)^(D39-1)*D41</f>
        <v>457206.277768167</v>
      </c>
      <c r="E70" s="93" t="n">
        <f aca="false">PV_kWp*SpecYield*(1-Degradation)^(E39-1)*E41</f>
        <v>454920.246379326</v>
      </c>
      <c r="F70" s="93" t="n">
        <f aca="false">PV_kWp*SpecYield*(1-Degradation)^(F39-1)*F41</f>
        <v>452645.64514743</v>
      </c>
      <c r="G70" s="93" t="n">
        <f aca="false">PV_kWp*SpecYield*(1-Degradation)^(G39-1)*G41</f>
        <v>450382.416921693</v>
      </c>
      <c r="H70" s="93" t="n">
        <f aca="false">PV_kWp*SpecYield*(1-Degradation)^(H39-1)*H41</f>
        <v>448130.504837084</v>
      </c>
      <c r="I70" s="93" t="n">
        <f aca="false">PV_kWp*SpecYield*(1-Degradation)^(I39-1)*I41</f>
        <v>445889.852312899</v>
      </c>
      <c r="J70" s="93" t="n">
        <f aca="false">PV_kWp*SpecYield*(1-Degradation)^(J39-1)*J41</f>
        <v>443660.403051334</v>
      </c>
      <c r="K70" s="93" t="n">
        <f aca="false">PV_kWp*SpecYield*(1-Degradation)^(K39-1)*K41</f>
        <v>441442.101036078</v>
      </c>
      <c r="L70" s="93" t="n">
        <f aca="false">PV_kWp*SpecYield*(1-Degradation)^(L39-1)*L41</f>
        <v>439234.890530897</v>
      </c>
      <c r="M70" s="93" t="n">
        <f aca="false">PV_kWp*SpecYield*(1-Degradation)^(M39-1)*M41</f>
        <v>437038.716078243</v>
      </c>
      <c r="N70" s="93" t="n">
        <f aca="false">PV_kWp*SpecYield*(1-Degradation)^(N39-1)*N41</f>
        <v>434853.522497851</v>
      </c>
      <c r="O70" s="93" t="n">
        <f aca="false">PV_kWp*SpecYield*(1-Degradation)^(O39-1)*O41</f>
        <v>432679.254885362</v>
      </c>
      <c r="P70" s="93" t="n">
        <f aca="false">PV_kWp*SpecYield*(1-Degradation)^(P39-1)*P41</f>
        <v>430515.858610935</v>
      </c>
      <c r="Q70" s="93" t="n">
        <f aca="false">PV_kWp*SpecYield*(1-Degradation)^(Q39-1)*Q41</f>
        <v>428363.279317881</v>
      </c>
      <c r="R70" s="93" t="n">
        <f aca="false">PV_kWp*SpecYield*(1-Degradation)^(R39-1)*R41</f>
        <v>426221.462921291</v>
      </c>
      <c r="S70" s="93" t="n">
        <f aca="false">PV_kWp*SpecYield*(1-Degradation)^(S39-1)*S41</f>
        <v>424090.355606685</v>
      </c>
      <c r="T70" s="93" t="n">
        <f aca="false">PV_kWp*SpecYield*(1-Degradation)^(T39-1)*T41</f>
        <v>421969.903828651</v>
      </c>
      <c r="U70" s="93" t="n">
        <f aca="false">PV_kWp*SpecYield*(1-Degradation)^(U39-1)*U41</f>
        <v>419860.054309508</v>
      </c>
      <c r="V70" s="93" t="n">
        <f aca="false">PV_kWp*SpecYield*(1-Degradation)^(V39-1)*V41</f>
        <v>417760.754037961</v>
      </c>
      <c r="W70" s="93" t="n">
        <f aca="false">PV_kWp*SpecYield*(1-Degradation)^(W39-1)*W41</f>
        <v>415671.950267771</v>
      </c>
    </row>
    <row r="71" customFormat="false" ht="15" hidden="false" customHeight="false" outlineLevel="0" collapsed="false">
      <c r="A71" s="11" t="s">
        <v>426</v>
      </c>
      <c r="B71" s="76" t="n">
        <f aca="false">SUM(C71:W71)</f>
        <v>7903453.19236348</v>
      </c>
      <c r="C71" s="93" t="n">
        <v>0</v>
      </c>
      <c r="D71" s="93" t="n">
        <f aca="false">MIN(D70/StorageFactor,D69*SolarFraction)</f>
        <v>215938.341818182</v>
      </c>
      <c r="E71" s="93" t="n">
        <f aca="false">MIN(E70/StorageFactor,E69*SolarFraction)</f>
        <v>315090.030436364</v>
      </c>
      <c r="F71" s="93" t="n">
        <f aca="false">MIN(F70/StorageFactor,F69*SolarFraction)</f>
        <v>381814.978058182</v>
      </c>
      <c r="G71" s="93" t="n">
        <f aca="false">MIN(G70/StorageFactor,G69*SolarFraction)</f>
        <v>393269.427399927</v>
      </c>
      <c r="H71" s="93" t="n">
        <f aca="false">MIN(H70/StorageFactor,H69*SolarFraction)</f>
        <v>405067.510221925</v>
      </c>
      <c r="I71" s="93" t="n">
        <f aca="false">MIN(I70/StorageFactor,I69*SolarFraction)</f>
        <v>417219.535528583</v>
      </c>
      <c r="J71" s="93" t="n">
        <f aca="false">MIN(J70/StorageFactor,J69*SolarFraction)</f>
        <v>426078.172123344</v>
      </c>
      <c r="K71" s="93" t="n">
        <f aca="false">MIN(K70/StorageFactor,K69*SolarFraction)</f>
        <v>423947.781262727</v>
      </c>
      <c r="L71" s="93" t="n">
        <f aca="false">MIN(L70/StorageFactor,L69*SolarFraction)</f>
        <v>421828.042356414</v>
      </c>
      <c r="M71" s="93" t="n">
        <f aca="false">MIN(M70/StorageFactor,M69*SolarFraction)</f>
        <v>419718.902144632</v>
      </c>
      <c r="N71" s="93" t="n">
        <f aca="false">MIN(N70/StorageFactor,N69*SolarFraction)</f>
        <v>417620.307633909</v>
      </c>
      <c r="O71" s="93" t="n">
        <f aca="false">MIN(O70/StorageFactor,O69*SolarFraction)</f>
        <v>415532.206095739</v>
      </c>
      <c r="P71" s="93" t="n">
        <f aca="false">MIN(P70/StorageFactor,P69*SolarFraction)</f>
        <v>413454.54506526</v>
      </c>
      <c r="Q71" s="93" t="n">
        <f aca="false">MIN(Q70/StorageFactor,Q69*SolarFraction)</f>
        <v>411387.272339934</v>
      </c>
      <c r="R71" s="93" t="n">
        <f aca="false">MIN(R70/StorageFactor,R69*SolarFraction)</f>
        <v>409330.335978234</v>
      </c>
      <c r="S71" s="93" t="n">
        <f aca="false">MIN(S70/StorageFactor,S69*SolarFraction)</f>
        <v>407283.684298343</v>
      </c>
      <c r="T71" s="93" t="n">
        <f aca="false">MIN(T70/StorageFactor,T69*SolarFraction)</f>
        <v>405247.265876851</v>
      </c>
      <c r="U71" s="93" t="n">
        <f aca="false">MIN(U70/StorageFactor,U69*SolarFraction)</f>
        <v>403221.029547467</v>
      </c>
      <c r="V71" s="93" t="n">
        <f aca="false">MIN(V70/StorageFactor,V69*SolarFraction)</f>
        <v>401204.92439973</v>
      </c>
      <c r="W71" s="93" t="n">
        <f aca="false">MIN(W70/StorageFactor,W69*SolarFraction)</f>
        <v>399198.899777731</v>
      </c>
    </row>
    <row r="72" customFormat="false" ht="15" hidden="false" customHeight="false" outlineLevel="0" collapsed="false">
      <c r="A72" s="11" t="s">
        <v>427</v>
      </c>
      <c r="B72" s="76" t="n">
        <f aca="false">SUM(C72:W72)</f>
        <v>2619891.80883251</v>
      </c>
      <c r="C72" s="93" t="n">
        <v>0</v>
      </c>
      <c r="D72" s="93" t="n">
        <f aca="false">D69-D71</f>
        <v>23993.1490909091</v>
      </c>
      <c r="E72" s="93" t="n">
        <f aca="false">E69-E71</f>
        <v>35010.0033818182</v>
      </c>
      <c r="F72" s="93" t="n">
        <f aca="false">F69-F71</f>
        <v>42423.8864509091</v>
      </c>
      <c r="G72" s="93" t="n">
        <f aca="false">G69-G71</f>
        <v>43696.6030444364</v>
      </c>
      <c r="H72" s="93" t="n">
        <f aca="false">H69-H71</f>
        <v>45007.5011357695</v>
      </c>
      <c r="I72" s="93" t="n">
        <f aca="false">I69-I71</f>
        <v>46357.7261698425</v>
      </c>
      <c r="J72" s="93" t="n">
        <f aca="false">J69-J71</f>
        <v>51406.407426034</v>
      </c>
      <c r="K72" s="93" t="n">
        <f aca="false">K69-K71</f>
        <v>67861.3356731322</v>
      </c>
      <c r="L72" s="93" t="n">
        <f aca="false">L69-L71</f>
        <v>84735.3480875216</v>
      </c>
      <c r="M72" s="93" t="n">
        <f aca="false">M69-M71</f>
        <v>102041.390012622</v>
      </c>
      <c r="N72" s="93" t="n">
        <f aca="false">N69-N71</f>
        <v>119792.793288062</v>
      </c>
      <c r="O72" s="93" t="n">
        <f aca="false">O69-O71</f>
        <v>138003.287853891</v>
      </c>
      <c r="P72" s="93" t="n">
        <f aca="false">P69-P71</f>
        <v>156687.013702859</v>
      </c>
      <c r="Q72" s="93" t="n">
        <f aca="false">Q69-Q71</f>
        <v>175858.533191229</v>
      </c>
      <c r="R72" s="93" t="n">
        <f aca="false">R69-R71</f>
        <v>195532.843718863</v>
      </c>
      <c r="S72" s="93" t="n">
        <f aca="false">S69-S71</f>
        <v>215725.390789667</v>
      </c>
      <c r="T72" s="93" t="n">
        <f aca="false">T69-T71</f>
        <v>236452.0814638</v>
      </c>
      <c r="U72" s="93" t="n">
        <f aca="false">U69-U71</f>
        <v>257729.298213403</v>
      </c>
      <c r="V72" s="93" t="n">
        <f aca="false">V69-V71</f>
        <v>279573.913193967</v>
      </c>
      <c r="W72" s="93" t="n">
        <f aca="false">W69-W71</f>
        <v>302003.302943776</v>
      </c>
    </row>
    <row r="73" customFormat="false" ht="15" hidden="false" customHeight="false" outlineLevel="0" collapsed="false">
      <c r="A73" s="11" t="s">
        <v>428</v>
      </c>
      <c r="C73" s="91" t="n">
        <v>0</v>
      </c>
      <c r="D73" s="91" t="n">
        <f aca="false">IFERROR(D71/D69,0)</f>
        <v>0.9</v>
      </c>
      <c r="E73" s="91" t="n">
        <f aca="false">IFERROR(E71/E69,0)</f>
        <v>0.9</v>
      </c>
      <c r="F73" s="91" t="n">
        <f aca="false">IFERROR(F71/F69,0)</f>
        <v>0.9</v>
      </c>
      <c r="G73" s="91" t="n">
        <f aca="false">IFERROR(G71/G69,0)</f>
        <v>0.9</v>
      </c>
      <c r="H73" s="91" t="n">
        <f aca="false">IFERROR(H71/H69,0)</f>
        <v>0.9</v>
      </c>
      <c r="I73" s="91" t="n">
        <f aca="false">IFERROR(I71/I69,0)</f>
        <v>0.9</v>
      </c>
      <c r="J73" s="91" t="n">
        <f aca="false">IFERROR(J71/J69,0)</f>
        <v>0.892339125434065</v>
      </c>
      <c r="K73" s="91" t="n">
        <f aca="false">IFERROR(K71/K69,0)</f>
        <v>0.862016922142616</v>
      </c>
      <c r="L73" s="91" t="n">
        <f aca="false">IFERROR(L71/L69,0)</f>
        <v>0.83272508498243</v>
      </c>
      <c r="M73" s="91" t="n">
        <f aca="false">IFERROR(M71/M69,0)</f>
        <v>0.804428601512153</v>
      </c>
      <c r="N73" s="91" t="n">
        <f aca="false">IFERROR(N71/N69,0)</f>
        <v>0.777093649033585</v>
      </c>
      <c r="O73" s="91" t="n">
        <f aca="false">IFERROR(O71/O69,0)</f>
        <v>0.750687554163511</v>
      </c>
      <c r="P73" s="91" t="n">
        <f aca="false">IFERROR(P71/P69,0)</f>
        <v>0.725178753779314</v>
      </c>
      <c r="Q73" s="91" t="n">
        <f aca="false">IFERROR(Q71/Q69,0)</f>
        <v>0.700536757291668</v>
      </c>
      <c r="R73" s="91" t="n">
        <f aca="false">IFERROR(R71/R69,0)</f>
        <v>0.676732110199232</v>
      </c>
      <c r="S73" s="91" t="n">
        <f aca="false">IFERROR(S71/S69,0)</f>
        <v>0.653736358881783</v>
      </c>
      <c r="T73" s="91" t="n">
        <f aca="false">IFERROR(T71/T69,0)</f>
        <v>0.631522016589683</v>
      </c>
      <c r="U73" s="91" t="n">
        <f aca="false">IFERROR(U71/U69,0)</f>
        <v>0.610062530589063</v>
      </c>
      <c r="V73" s="91" t="n">
        <f aca="false">IFERROR(V71/V69,0)</f>
        <v>0.589332250423415</v>
      </c>
      <c r="W73" s="91" t="n">
        <f aca="false">IFERROR(W71/W69,0)</f>
        <v>0.569306397253687</v>
      </c>
    </row>
    <row r="74" customFormat="false" ht="15" hidden="false" customHeight="false" outlineLevel="0" collapsed="false">
      <c r="A74" s="11" t="s">
        <v>429</v>
      </c>
      <c r="B74" s="76" t="n">
        <f aca="false">SUM(C74:W74)</f>
        <v>873297.269610837</v>
      </c>
      <c r="C74" s="93" t="n">
        <v>0</v>
      </c>
      <c r="D74" s="93" t="n">
        <f aca="false">D72/DieselEff</f>
        <v>7997.71636363636</v>
      </c>
      <c r="E74" s="93" t="n">
        <f aca="false">E72/DieselEff</f>
        <v>11670.0011272727</v>
      </c>
      <c r="F74" s="93" t="n">
        <f aca="false">F72/DieselEff</f>
        <v>14141.2954836364</v>
      </c>
      <c r="G74" s="93" t="n">
        <f aca="false">G72/DieselEff</f>
        <v>14565.5343481455</v>
      </c>
      <c r="H74" s="93" t="n">
        <f aca="false">H72/DieselEff</f>
        <v>15002.5003785898</v>
      </c>
      <c r="I74" s="93" t="n">
        <f aca="false">I72/DieselEff</f>
        <v>15452.5753899475</v>
      </c>
      <c r="J74" s="93" t="n">
        <f aca="false">J72/DieselEff</f>
        <v>17135.4691420114</v>
      </c>
      <c r="K74" s="93" t="n">
        <f aca="false">K72/DieselEff</f>
        <v>22620.4452243774</v>
      </c>
      <c r="L74" s="93" t="n">
        <f aca="false">L72/DieselEff</f>
        <v>28245.1160291739</v>
      </c>
      <c r="M74" s="93" t="n">
        <f aca="false">M72/DieselEff</f>
        <v>34013.7966708739</v>
      </c>
      <c r="N74" s="93" t="n">
        <f aca="false">N72/DieselEff</f>
        <v>39930.9310960208</v>
      </c>
      <c r="O74" s="93" t="n">
        <f aca="false">O72/DieselEff</f>
        <v>46001.0959512971</v>
      </c>
      <c r="P74" s="93" t="n">
        <f aca="false">P72/DieselEff</f>
        <v>52229.0045676196</v>
      </c>
      <c r="Q74" s="93" t="n">
        <f aca="false">Q72/DieselEff</f>
        <v>58619.5110637429</v>
      </c>
      <c r="R74" s="93" t="n">
        <f aca="false">R72/DieselEff</f>
        <v>65177.6145729544</v>
      </c>
      <c r="S74" s="93" t="n">
        <f aca="false">S72/DieselEff</f>
        <v>71908.4635965558</v>
      </c>
      <c r="T74" s="93" t="n">
        <f aca="false">T72/DieselEff</f>
        <v>78817.3604879332</v>
      </c>
      <c r="U74" s="93" t="n">
        <f aca="false">U72/DieselEff</f>
        <v>85909.7660711344</v>
      </c>
      <c r="V74" s="93" t="n">
        <f aca="false">V72/DieselEff</f>
        <v>93191.3043979889</v>
      </c>
      <c r="W74" s="93" t="n">
        <f aca="false">W72/DieselEff</f>
        <v>100667.767647925</v>
      </c>
    </row>
    <row r="76" customFormat="false" ht="15" hidden="false" customHeight="false" outlineLevel="0" collapsed="false">
      <c r="A76" s="9" t="s">
        <v>430</v>
      </c>
      <c r="B76" s="10"/>
      <c r="C76" s="10"/>
      <c r="D76" s="10"/>
      <c r="E76" s="10"/>
      <c r="F76" s="10"/>
      <c r="G76" s="10"/>
      <c r="H76" s="10"/>
      <c r="I76" s="10"/>
      <c r="J76" s="10"/>
      <c r="K76" s="10"/>
      <c r="L76" s="10"/>
      <c r="M76" s="10"/>
      <c r="N76" s="10"/>
      <c r="O76" s="10"/>
      <c r="P76" s="10"/>
      <c r="Q76" s="10"/>
      <c r="R76" s="10"/>
      <c r="S76" s="10"/>
      <c r="T76" s="10"/>
      <c r="U76" s="10"/>
      <c r="V76" s="10"/>
      <c r="W76" s="10"/>
    </row>
    <row r="77" customFormat="false" ht="15" hidden="false" customHeight="false" outlineLevel="0" collapsed="false">
      <c r="A77" s="11" t="str">
        <f aca="false">"Billed revenue - "&amp;Seg1_Name</f>
        <v>Billed revenue - Households</v>
      </c>
      <c r="B77" s="66" t="n">
        <f aca="false">SUM(C77:W77)</f>
        <v>2107258.13958533</v>
      </c>
      <c r="C77" s="95" t="n">
        <v>0</v>
      </c>
      <c r="D77" s="95" t="n">
        <f aca="false">D61*Seg1_Tariff*LevTariff*$B$5*D43</f>
        <v>34560</v>
      </c>
      <c r="E77" s="95" t="n">
        <f aca="false">E61*Seg1_Tariff*LevTariff*$B$5*E43</f>
        <v>51941.664</v>
      </c>
      <c r="F77" s="95" t="n">
        <f aca="false">F61*Seg1_Tariff*LevTariff*$B$5*F43</f>
        <v>64829.307456</v>
      </c>
      <c r="G77" s="95" t="n">
        <f aca="false">G61*Seg1_Tariff*LevTariff*$B$5*G43</f>
        <v>68777.4122800704</v>
      </c>
      <c r="H77" s="95" t="n">
        <f aca="false">H61*Seg1_Tariff*LevTariff*$B$5*H43</f>
        <v>72965.9566879267</v>
      </c>
      <c r="I77" s="95" t="n">
        <f aca="false">I61*Seg1_Tariff*LevTariff*$B$5*I43</f>
        <v>77409.5834502214</v>
      </c>
      <c r="J77" s="95" t="n">
        <f aca="false">J61*Seg1_Tariff*LevTariff*$B$5*J43</f>
        <v>82123.8270823399</v>
      </c>
      <c r="K77" s="95" t="n">
        <f aca="false">K61*Seg1_Tariff*LevTariff*$B$5*K43</f>
        <v>87125.1681516545</v>
      </c>
      <c r="L77" s="95" t="n">
        <f aca="false">L61*Seg1_Tariff*LevTariff*$B$5*L43</f>
        <v>92431.0908920902</v>
      </c>
      <c r="M77" s="95" t="n">
        <f aca="false">M61*Seg1_Tariff*LevTariff*$B$5*M43</f>
        <v>98060.1443274185</v>
      </c>
      <c r="N77" s="95" t="n">
        <f aca="false">N61*Seg1_Tariff*LevTariff*$B$5*N43</f>
        <v>104032.007116958</v>
      </c>
      <c r="O77" s="95" t="n">
        <f aca="false">O61*Seg1_Tariff*LevTariff*$B$5*O43</f>
        <v>110367.556350381</v>
      </c>
      <c r="P77" s="95" t="n">
        <f aca="false">P61*Seg1_Tariff*LevTariff*$B$5*P43</f>
        <v>117088.940532119</v>
      </c>
      <c r="Q77" s="95" t="n">
        <f aca="false">Q61*Seg1_Tariff*LevTariff*$B$5*Q43</f>
        <v>124219.657010525</v>
      </c>
      <c r="R77" s="95" t="n">
        <f aca="false">R61*Seg1_Tariff*LevTariff*$B$5*R43</f>
        <v>131784.634122466</v>
      </c>
      <c r="S77" s="95" t="n">
        <f aca="false">S61*Seg1_Tariff*LevTariff*$B$5*S43</f>
        <v>139810.318340525</v>
      </c>
      <c r="T77" s="95" t="n">
        <f aca="false">T61*Seg1_Tariff*LevTariff*$B$5*T43</f>
        <v>148324.766727463</v>
      </c>
      <c r="U77" s="95" t="n">
        <f aca="false">U61*Seg1_Tariff*LevTariff*$B$5*U43</f>
        <v>157357.745021165</v>
      </c>
      <c r="V77" s="95" t="n">
        <f aca="false">V61*Seg1_Tariff*LevTariff*$B$5*V43</f>
        <v>166940.831692954</v>
      </c>
      <c r="W77" s="95" t="n">
        <f aca="false">W61*Seg1_Tariff*LevTariff*$B$5*W43</f>
        <v>177107.528343055</v>
      </c>
    </row>
    <row r="78" customFormat="false" ht="15" hidden="false" customHeight="false" outlineLevel="0" collapsed="false">
      <c r="A78" s="11" t="str">
        <f aca="false">"Billed revenue - "&amp;Seg2_Name</f>
        <v>Billed revenue - Productive users (mills, welding, cold rooms)</v>
      </c>
      <c r="B78" s="66" t="n">
        <f aca="false">SUM(C78:W78)</f>
        <v>1432819.63572035</v>
      </c>
      <c r="C78" s="95" t="n">
        <v>0</v>
      </c>
      <c r="D78" s="95" t="n">
        <f aca="false">D62*Seg2_Tariff*LevTariff*$B$5*D43</f>
        <v>23498.8992</v>
      </c>
      <c r="E78" s="95" t="n">
        <f aca="false">E62*Seg2_Tariff*LevTariff*$B$5*E43</f>
        <v>35317.47472848</v>
      </c>
      <c r="F78" s="95" t="n">
        <f aca="false">F62*Seg2_Tariff*LevTariff*$B$5*F43</f>
        <v>44080.3634581699</v>
      </c>
      <c r="G78" s="95" t="n">
        <f aca="false">G62*Seg2_Tariff*LevTariff*$B$5*G43</f>
        <v>46764.8575927725</v>
      </c>
      <c r="H78" s="95" t="n">
        <f aca="false">H62*Seg2_Tariff*LevTariff*$B$5*H43</f>
        <v>49612.8374201723</v>
      </c>
      <c r="I78" s="95" t="n">
        <f aca="false">I62*Seg2_Tariff*LevTariff*$B$5*I43</f>
        <v>52634.2592190608</v>
      </c>
      <c r="J78" s="95" t="n">
        <f aca="false">J62*Seg2_Tariff*LevTariff*$B$5*J43</f>
        <v>55839.6856055016</v>
      </c>
      <c r="K78" s="95" t="n">
        <f aca="false">K62*Seg2_Tariff*LevTariff*$B$5*K43</f>
        <v>59240.3224588767</v>
      </c>
      <c r="L78" s="95" t="n">
        <f aca="false">L62*Seg2_Tariff*LevTariff*$B$5*L43</f>
        <v>62848.0580966223</v>
      </c>
      <c r="M78" s="95" t="n">
        <f aca="false">M62*Seg2_Tariff*LevTariff*$B$5*M43</f>
        <v>66675.5048347066</v>
      </c>
      <c r="N78" s="95" t="n">
        <f aca="false">N62*Seg2_Tariff*LevTariff*$B$5*N43</f>
        <v>70736.0430791402</v>
      </c>
      <c r="O78" s="95" t="n">
        <f aca="false">O62*Seg2_Tariff*LevTariff*$B$5*O43</f>
        <v>75043.8681026598</v>
      </c>
      <c r="P78" s="95" t="n">
        <f aca="false">P62*Seg2_Tariff*LevTariff*$B$5*P43</f>
        <v>79614.0396701118</v>
      </c>
      <c r="Q78" s="95" t="n">
        <f aca="false">Q62*Seg2_Tariff*LevTariff*$B$5*Q43</f>
        <v>84462.5346860216</v>
      </c>
      <c r="R78" s="95" t="n">
        <f aca="false">R62*Seg2_Tariff*LevTariff*$B$5*R43</f>
        <v>89606.3030484004</v>
      </c>
      <c r="S78" s="95" t="n">
        <f aca="false">S62*Seg2_Tariff*LevTariff*$B$5*S43</f>
        <v>95063.3269040479</v>
      </c>
      <c r="T78" s="95" t="n">
        <f aca="false">T62*Seg2_Tariff*LevTariff*$B$5*T43</f>
        <v>100852.683512504</v>
      </c>
      <c r="U78" s="95" t="n">
        <f aca="false">U62*Seg2_Tariff*LevTariff*$B$5*U43</f>
        <v>106994.611938416</v>
      </c>
      <c r="V78" s="95" t="n">
        <f aca="false">V62*Seg2_Tariff*LevTariff*$B$5*V43</f>
        <v>113510.583805466</v>
      </c>
      <c r="W78" s="95" t="n">
        <f aca="false">W62*Seg2_Tariff*LevTariff*$B$5*W43</f>
        <v>120423.378359218</v>
      </c>
    </row>
    <row r="79" customFormat="false" ht="15" hidden="false" customHeight="false" outlineLevel="0" collapsed="false">
      <c r="A79" s="11" t="str">
        <f aca="false">"Billed revenue - "&amp;Seg3_Name</f>
        <v>Billed revenue - Commercial (shops, bars, kiosks)</v>
      </c>
      <c r="B79" s="66" t="n">
        <f aca="false">SUM(C79:W79)</f>
        <v>878024.224827222</v>
      </c>
      <c r="C79" s="95" t="n">
        <v>0</v>
      </c>
      <c r="D79" s="95" t="n">
        <f aca="false">D63*Seg3_Tariff*LevTariff*$B$5*D43</f>
        <v>14400</v>
      </c>
      <c r="E79" s="95" t="n">
        <f aca="false">E63*Seg3_Tariff*LevTariff*$B$5*E43</f>
        <v>21642.36</v>
      </c>
      <c r="F79" s="95" t="n">
        <f aca="false">F63*Seg3_Tariff*LevTariff*$B$5*F43</f>
        <v>27012.21144</v>
      </c>
      <c r="G79" s="95" t="n">
        <f aca="false">G63*Seg3_Tariff*LevTariff*$B$5*G43</f>
        <v>28657.255116696</v>
      </c>
      <c r="H79" s="95" t="n">
        <f aca="false">H63*Seg3_Tariff*LevTariff*$B$5*H43</f>
        <v>30402.4819533028</v>
      </c>
      <c r="I79" s="95" t="n">
        <f aca="false">I63*Seg3_Tariff*LevTariff*$B$5*I43</f>
        <v>32253.9931042589</v>
      </c>
      <c r="J79" s="95" t="n">
        <f aca="false">J63*Seg3_Tariff*LevTariff*$B$5*J43</f>
        <v>34218.2612843083</v>
      </c>
      <c r="K79" s="95" t="n">
        <f aca="false">K63*Seg3_Tariff*LevTariff*$B$5*K43</f>
        <v>36302.1533965227</v>
      </c>
      <c r="L79" s="95" t="n">
        <f aca="false">L63*Seg3_Tariff*LevTariff*$B$5*L43</f>
        <v>38512.9545383709</v>
      </c>
      <c r="M79" s="95" t="n">
        <f aca="false">M63*Seg3_Tariff*LevTariff*$B$5*M43</f>
        <v>40858.3934697577</v>
      </c>
      <c r="N79" s="95" t="n">
        <f aca="false">N63*Seg3_Tariff*LevTariff*$B$5*N43</f>
        <v>43346.669632066</v>
      </c>
      <c r="O79" s="95" t="n">
        <f aca="false">O63*Seg3_Tariff*LevTariff*$B$5*O43</f>
        <v>45986.4818126588</v>
      </c>
      <c r="P79" s="95" t="n">
        <f aca="false">P63*Seg3_Tariff*LevTariff*$B$5*P43</f>
        <v>48787.0585550497</v>
      </c>
      <c r="Q79" s="95" t="n">
        <f aca="false">Q63*Seg3_Tariff*LevTariff*$B$5*Q43</f>
        <v>51758.1904210522</v>
      </c>
      <c r="R79" s="95" t="n">
        <f aca="false">R63*Seg3_Tariff*LevTariff*$B$5*R43</f>
        <v>54910.2642176943</v>
      </c>
      <c r="S79" s="95" t="n">
        <f aca="false">S63*Seg3_Tariff*LevTariff*$B$5*S43</f>
        <v>58254.2993085519</v>
      </c>
      <c r="T79" s="95" t="n">
        <f aca="false">T63*Seg3_Tariff*LevTariff*$B$5*T43</f>
        <v>61801.9861364427</v>
      </c>
      <c r="U79" s="95" t="n">
        <f aca="false">U63*Seg3_Tariff*LevTariff*$B$5*U43</f>
        <v>65565.7270921521</v>
      </c>
      <c r="V79" s="95" t="n">
        <f aca="false">V63*Seg3_Tariff*LevTariff*$B$5*V43</f>
        <v>69558.6798720642</v>
      </c>
      <c r="W79" s="95" t="n">
        <f aca="false">W63*Seg3_Tariff*LevTariff*$B$5*W43</f>
        <v>73794.8034762729</v>
      </c>
    </row>
    <row r="80" customFormat="false" ht="15" hidden="false" customHeight="false" outlineLevel="0" collapsed="false">
      <c r="A80" s="11" t="str">
        <f aca="false">"Billed revenue - "&amp;Seg4_Name</f>
        <v>Billed revenue - Institutions (health centre, school, water)</v>
      </c>
      <c r="B80" s="66" t="n">
        <f aca="false">SUM(C80:W80)</f>
        <v>460962.718034292</v>
      </c>
      <c r="C80" s="95" t="n">
        <v>0</v>
      </c>
      <c r="D80" s="95" t="n">
        <f aca="false">D64*Seg4_Tariff*LevTariff*$B$5*D43</f>
        <v>7560</v>
      </c>
      <c r="E80" s="95" t="n">
        <f aca="false">E64*Seg4_Tariff*LevTariff*$B$5*E43</f>
        <v>11362.239</v>
      </c>
      <c r="F80" s="95" t="n">
        <f aca="false">F64*Seg4_Tariff*LevTariff*$B$5*F43</f>
        <v>14181.411006</v>
      </c>
      <c r="G80" s="95" t="n">
        <f aca="false">G64*Seg4_Tariff*LevTariff*$B$5*G43</f>
        <v>15045.0589362654</v>
      </c>
      <c r="H80" s="95" t="n">
        <f aca="false">H64*Seg4_Tariff*LevTariff*$B$5*H43</f>
        <v>15961.303025484</v>
      </c>
      <c r="I80" s="95" t="n">
        <f aca="false">I64*Seg4_Tariff*LevTariff*$B$5*I43</f>
        <v>16933.3463797359</v>
      </c>
      <c r="J80" s="95" t="n">
        <f aca="false">J64*Seg4_Tariff*LevTariff*$B$5*J43</f>
        <v>17964.5871742619</v>
      </c>
      <c r="K80" s="95" t="n">
        <f aca="false">K64*Seg4_Tariff*LevTariff*$B$5*K43</f>
        <v>19058.6305331744</v>
      </c>
      <c r="L80" s="95" t="n">
        <f aca="false">L64*Seg4_Tariff*LevTariff*$B$5*L43</f>
        <v>20219.3011326447</v>
      </c>
      <c r="M80" s="95" t="n">
        <f aca="false">M64*Seg4_Tariff*LevTariff*$B$5*M43</f>
        <v>21450.6565716228</v>
      </c>
      <c r="N80" s="95" t="n">
        <f aca="false">N64*Seg4_Tariff*LevTariff*$B$5*N43</f>
        <v>22757.0015568346</v>
      </c>
      <c r="O80" s="95" t="n">
        <f aca="false">O64*Seg4_Tariff*LevTariff*$B$5*O43</f>
        <v>24142.9029516459</v>
      </c>
      <c r="P80" s="95" t="n">
        <f aca="false">P64*Seg4_Tariff*LevTariff*$B$5*P43</f>
        <v>25613.2057414011</v>
      </c>
      <c r="Q80" s="95" t="n">
        <f aca="false">Q64*Seg4_Tariff*LevTariff*$B$5*Q43</f>
        <v>27173.0499710524</v>
      </c>
      <c r="R80" s="95" t="n">
        <f aca="false">R64*Seg4_Tariff*LevTariff*$B$5*R43</f>
        <v>28827.8887142895</v>
      </c>
      <c r="S80" s="95" t="n">
        <f aca="false">S64*Seg4_Tariff*LevTariff*$B$5*S43</f>
        <v>30583.5071369897</v>
      </c>
      <c r="T80" s="95" t="n">
        <f aca="false">T64*Seg4_Tariff*LevTariff*$B$5*T43</f>
        <v>32446.0427216324</v>
      </c>
      <c r="U80" s="95" t="n">
        <f aca="false">U64*Seg4_Tariff*LevTariff*$B$5*U43</f>
        <v>34422.0067233798</v>
      </c>
      <c r="V80" s="95" t="n">
        <f aca="false">V64*Seg4_Tariff*LevTariff*$B$5*V43</f>
        <v>36518.3069328337</v>
      </c>
      <c r="W80" s="95" t="n">
        <f aca="false">W64*Seg4_Tariff*LevTariff*$B$5*W43</f>
        <v>38742.2718250432</v>
      </c>
    </row>
    <row r="81" customFormat="false" ht="15" hidden="false" customHeight="false" outlineLevel="0" collapsed="false">
      <c r="A81" s="11" t="str">
        <f aca="false">"Billed revenue - "&amp;Seg5_Name</f>
        <v>Billed revenue - Other / custom</v>
      </c>
      <c r="B81" s="66" t="n">
        <f aca="false">SUM(C81:W81)</f>
        <v>0</v>
      </c>
      <c r="C81" s="95" t="n">
        <v>0</v>
      </c>
      <c r="D81" s="95" t="n">
        <f aca="false">D65*Seg5_Tariff*LevTariff*$B$5*D43</f>
        <v>0</v>
      </c>
      <c r="E81" s="95" t="n">
        <f aca="false">E65*Seg5_Tariff*LevTariff*$B$5*E43</f>
        <v>0</v>
      </c>
      <c r="F81" s="95" t="n">
        <f aca="false">F65*Seg5_Tariff*LevTariff*$B$5*F43</f>
        <v>0</v>
      </c>
      <c r="G81" s="95" t="n">
        <f aca="false">G65*Seg5_Tariff*LevTariff*$B$5*G43</f>
        <v>0</v>
      </c>
      <c r="H81" s="95" t="n">
        <f aca="false">H65*Seg5_Tariff*LevTariff*$B$5*H43</f>
        <v>0</v>
      </c>
      <c r="I81" s="95" t="n">
        <f aca="false">I65*Seg5_Tariff*LevTariff*$B$5*I43</f>
        <v>0</v>
      </c>
      <c r="J81" s="95" t="n">
        <f aca="false">J65*Seg5_Tariff*LevTariff*$B$5*J43</f>
        <v>0</v>
      </c>
      <c r="K81" s="95" t="n">
        <f aca="false">K65*Seg5_Tariff*LevTariff*$B$5*K43</f>
        <v>0</v>
      </c>
      <c r="L81" s="95" t="n">
        <f aca="false">L65*Seg5_Tariff*LevTariff*$B$5*L43</f>
        <v>0</v>
      </c>
      <c r="M81" s="95" t="n">
        <f aca="false">M65*Seg5_Tariff*LevTariff*$B$5*M43</f>
        <v>0</v>
      </c>
      <c r="N81" s="95" t="n">
        <f aca="false">N65*Seg5_Tariff*LevTariff*$B$5*N43</f>
        <v>0</v>
      </c>
      <c r="O81" s="95" t="n">
        <f aca="false">O65*Seg5_Tariff*LevTariff*$B$5*O43</f>
        <v>0</v>
      </c>
      <c r="P81" s="95" t="n">
        <f aca="false">P65*Seg5_Tariff*LevTariff*$B$5*P43</f>
        <v>0</v>
      </c>
      <c r="Q81" s="95" t="n">
        <f aca="false">Q65*Seg5_Tariff*LevTariff*$B$5*Q43</f>
        <v>0</v>
      </c>
      <c r="R81" s="95" t="n">
        <f aca="false">R65*Seg5_Tariff*LevTariff*$B$5*R43</f>
        <v>0</v>
      </c>
      <c r="S81" s="95" t="n">
        <f aca="false">S65*Seg5_Tariff*LevTariff*$B$5*S43</f>
        <v>0</v>
      </c>
      <c r="T81" s="95" t="n">
        <f aca="false">T65*Seg5_Tariff*LevTariff*$B$5*T43</f>
        <v>0</v>
      </c>
      <c r="U81" s="95" t="n">
        <f aca="false">U65*Seg5_Tariff*LevTariff*$B$5*U43</f>
        <v>0</v>
      </c>
      <c r="V81" s="95" t="n">
        <f aca="false">V65*Seg5_Tariff*LevTariff*$B$5*V43</f>
        <v>0</v>
      </c>
      <c r="W81" s="95" t="n">
        <f aca="false">W65*Seg5_Tariff*LevTariff*$B$5*W43</f>
        <v>0</v>
      </c>
    </row>
    <row r="82" customFormat="false" ht="15" hidden="false" customHeight="false" outlineLevel="0" collapsed="false">
      <c r="A82" s="16" t="s">
        <v>431</v>
      </c>
      <c r="B82" s="66" t="n">
        <f aca="false">SUM(C82:W82)</f>
        <v>4879064.7181672</v>
      </c>
      <c r="C82" s="31" t="n">
        <f aca="false">C77+C78+C79+C80+C81</f>
        <v>0</v>
      </c>
      <c r="D82" s="31" t="n">
        <f aca="false">D77+D78+D79+D80+D81</f>
        <v>80018.8992</v>
      </c>
      <c r="E82" s="31" t="n">
        <f aca="false">E77+E78+E79+E80+E81</f>
        <v>120263.73772848</v>
      </c>
      <c r="F82" s="31" t="n">
        <f aca="false">F77+F78+F79+F80+F81</f>
        <v>150103.29336017</v>
      </c>
      <c r="G82" s="31" t="n">
        <f aca="false">G77+G78+G79+G80+G81</f>
        <v>159244.583925804</v>
      </c>
      <c r="H82" s="31" t="n">
        <f aca="false">H77+H78+H79+H80+H81</f>
        <v>168942.579086886</v>
      </c>
      <c r="I82" s="31" t="n">
        <f aca="false">I77+I78+I79+I80+I81</f>
        <v>179231.182153277</v>
      </c>
      <c r="J82" s="31" t="n">
        <f aca="false">J77+J78+J79+J80+J81</f>
        <v>190146.361146412</v>
      </c>
      <c r="K82" s="31" t="n">
        <f aca="false">K77+K78+K79+K80+K81</f>
        <v>201726.274540228</v>
      </c>
      <c r="L82" s="31" t="n">
        <f aca="false">L77+L78+L79+L80+L81</f>
        <v>214011.404659728</v>
      </c>
      <c r="M82" s="31" t="n">
        <f aca="false">M77+M78+M79+M80+M81</f>
        <v>227044.699203506</v>
      </c>
      <c r="N82" s="31" t="n">
        <f aca="false">N77+N78+N79+N80+N81</f>
        <v>240871.721384999</v>
      </c>
      <c r="O82" s="31" t="n">
        <f aca="false">O77+O78+O79+O80+O81</f>
        <v>255540.809217346</v>
      </c>
      <c r="P82" s="31" t="n">
        <f aca="false">P77+P78+P79+P80+P81</f>
        <v>271103.244498682</v>
      </c>
      <c r="Q82" s="31" t="n">
        <f aca="false">Q77+Q78+Q79+Q80+Q81</f>
        <v>287613.432088652</v>
      </c>
      <c r="R82" s="31" t="n">
        <f aca="false">R77+R78+R79+R80+R81</f>
        <v>305129.090102851</v>
      </c>
      <c r="S82" s="31" t="n">
        <f aca="false">S77+S78+S79+S80+S81</f>
        <v>323711.451690114</v>
      </c>
      <c r="T82" s="31" t="n">
        <f aca="false">T77+T78+T79+T80+T81</f>
        <v>343425.479098042</v>
      </c>
      <c r="U82" s="31" t="n">
        <f aca="false">U77+U78+U79+U80+U81</f>
        <v>364340.090775113</v>
      </c>
      <c r="V82" s="31" t="n">
        <f aca="false">V77+V78+V79+V80+V81</f>
        <v>386528.402303317</v>
      </c>
      <c r="W82" s="31" t="n">
        <f aca="false">W77+W78+W79+W80+W81</f>
        <v>410067.982003589</v>
      </c>
    </row>
    <row r="83" customFormat="false" ht="15" hidden="false" customHeight="false" outlineLevel="0" collapsed="false">
      <c r="A83" s="11" t="s">
        <v>432</v>
      </c>
      <c r="B83" s="66" t="n">
        <f aca="false">SUM(C83:W83)</f>
        <v>4488739.54071382</v>
      </c>
      <c r="C83" s="95" t="n">
        <v>0</v>
      </c>
      <c r="D83" s="95" t="n">
        <f aca="false">D82*MIN(1,Collection*LevColl*$B$9)</f>
        <v>73617.387264</v>
      </c>
      <c r="E83" s="95" t="n">
        <f aca="false">E82*MIN(1,Collection*LevColl*$B$9)</f>
        <v>110642.638710202</v>
      </c>
      <c r="F83" s="95" t="n">
        <f aca="false">F82*MIN(1,Collection*LevColl*$B$9)</f>
        <v>138095.029891356</v>
      </c>
      <c r="G83" s="95" t="n">
        <f aca="false">G82*MIN(1,Collection*LevColl*$B$9)</f>
        <v>146505.01721174</v>
      </c>
      <c r="H83" s="95" t="n">
        <f aca="false">H82*MIN(1,Collection*LevColl*$B$9)</f>
        <v>155427.172759935</v>
      </c>
      <c r="I83" s="95" t="n">
        <f aca="false">I82*MIN(1,Collection*LevColl*$B$9)</f>
        <v>164892.687581015</v>
      </c>
      <c r="J83" s="95" t="n">
        <f aca="false">J82*MIN(1,Collection*LevColl*$B$9)</f>
        <v>174934.652254699</v>
      </c>
      <c r="K83" s="95" t="n">
        <f aca="false">K82*MIN(1,Collection*LevColl*$B$9)</f>
        <v>185588.17257701</v>
      </c>
      <c r="L83" s="95" t="n">
        <f aca="false">L82*MIN(1,Collection*LevColl*$B$9)</f>
        <v>196890.49228695</v>
      </c>
      <c r="M83" s="95" t="n">
        <f aca="false">M82*MIN(1,Collection*LevColl*$B$9)</f>
        <v>208881.123267225</v>
      </c>
      <c r="N83" s="95" t="n">
        <f aca="false">N82*MIN(1,Collection*LevColl*$B$9)</f>
        <v>221601.983674199</v>
      </c>
      <c r="O83" s="95" t="n">
        <f aca="false">O82*MIN(1,Collection*LevColl*$B$9)</f>
        <v>235097.544479958</v>
      </c>
      <c r="P83" s="95" t="n">
        <f aca="false">P82*MIN(1,Collection*LevColl*$B$9)</f>
        <v>249414.984938787</v>
      </c>
      <c r="Q83" s="95" t="n">
        <f aca="false">Q82*MIN(1,Collection*LevColl*$B$9)</f>
        <v>264604.357521559</v>
      </c>
      <c r="R83" s="95" t="n">
        <f aca="false">R82*MIN(1,Collection*LevColl*$B$9)</f>
        <v>280718.762894623</v>
      </c>
      <c r="S83" s="95" t="n">
        <f aca="false">S82*MIN(1,Collection*LevColl*$B$9)</f>
        <v>297814.535554905</v>
      </c>
      <c r="T83" s="95" t="n">
        <f aca="false">T82*MIN(1,Collection*LevColl*$B$9)</f>
        <v>315951.440770199</v>
      </c>
      <c r="U83" s="95" t="n">
        <f aca="false">U82*MIN(1,Collection*LevColl*$B$9)</f>
        <v>335192.883513104</v>
      </c>
      <c r="V83" s="95" t="n">
        <f aca="false">V82*MIN(1,Collection*LevColl*$B$9)</f>
        <v>355606.130119052</v>
      </c>
      <c r="W83" s="95" t="n">
        <f aca="false">W82*MIN(1,Collection*LevColl*$B$9)</f>
        <v>377262.543443302</v>
      </c>
    </row>
    <row r="84" customFormat="false" ht="15" hidden="false" customHeight="false" outlineLevel="0" collapsed="false">
      <c r="A84" s="11" t="s">
        <v>433</v>
      </c>
      <c r="B84" s="66" t="n">
        <f aca="false">SUM(C84:W84)</f>
        <v>11500</v>
      </c>
      <c r="C84" s="95" t="n">
        <v>0</v>
      </c>
      <c r="D84" s="95" t="n">
        <f aca="false">D54*Seg1_Fee+D55*Seg2_Fee+D56*Seg3_Fee+D57*Seg4_Fee+D58*Seg5_Fee</f>
        <v>6900</v>
      </c>
      <c r="E84" s="95" t="n">
        <f aca="false">E54*Seg1_Fee+E55*Seg2_Fee+E56*Seg3_Fee+E57*Seg4_Fee+E58*Seg5_Fee</f>
        <v>2875</v>
      </c>
      <c r="F84" s="95" t="n">
        <f aca="false">F54*Seg1_Fee+F55*Seg2_Fee+F56*Seg3_Fee+F57*Seg4_Fee+F58*Seg5_Fee</f>
        <v>1725</v>
      </c>
      <c r="G84" s="95" t="n">
        <f aca="false">G54*Seg1_Fee+G55*Seg2_Fee+G56*Seg3_Fee+G57*Seg4_Fee+G58*Seg5_Fee</f>
        <v>0</v>
      </c>
      <c r="H84" s="95" t="n">
        <f aca="false">H54*Seg1_Fee+H55*Seg2_Fee+H56*Seg3_Fee+H57*Seg4_Fee+H58*Seg5_Fee</f>
        <v>0</v>
      </c>
      <c r="I84" s="95" t="n">
        <f aca="false">I54*Seg1_Fee+I55*Seg2_Fee+I56*Seg3_Fee+I57*Seg4_Fee+I58*Seg5_Fee</f>
        <v>0</v>
      </c>
      <c r="J84" s="95" t="n">
        <f aca="false">J54*Seg1_Fee+J55*Seg2_Fee+J56*Seg3_Fee+J57*Seg4_Fee+J58*Seg5_Fee</f>
        <v>0</v>
      </c>
      <c r="K84" s="95" t="n">
        <f aca="false">K54*Seg1_Fee+K55*Seg2_Fee+K56*Seg3_Fee+K57*Seg4_Fee+K58*Seg5_Fee</f>
        <v>0</v>
      </c>
      <c r="L84" s="95" t="n">
        <f aca="false">L54*Seg1_Fee+L55*Seg2_Fee+L56*Seg3_Fee+L57*Seg4_Fee+L58*Seg5_Fee</f>
        <v>0</v>
      </c>
      <c r="M84" s="95" t="n">
        <f aca="false">M54*Seg1_Fee+M55*Seg2_Fee+M56*Seg3_Fee+M57*Seg4_Fee+M58*Seg5_Fee</f>
        <v>0</v>
      </c>
      <c r="N84" s="95" t="n">
        <f aca="false">N54*Seg1_Fee+N55*Seg2_Fee+N56*Seg3_Fee+N57*Seg4_Fee+N58*Seg5_Fee</f>
        <v>0</v>
      </c>
      <c r="O84" s="95" t="n">
        <f aca="false">O54*Seg1_Fee+O55*Seg2_Fee+O56*Seg3_Fee+O57*Seg4_Fee+O58*Seg5_Fee</f>
        <v>0</v>
      </c>
      <c r="P84" s="95" t="n">
        <f aca="false">P54*Seg1_Fee+P55*Seg2_Fee+P56*Seg3_Fee+P57*Seg4_Fee+P58*Seg5_Fee</f>
        <v>0</v>
      </c>
      <c r="Q84" s="95" t="n">
        <f aca="false">Q54*Seg1_Fee+Q55*Seg2_Fee+Q56*Seg3_Fee+Q57*Seg4_Fee+Q58*Seg5_Fee</f>
        <v>0</v>
      </c>
      <c r="R84" s="95" t="n">
        <f aca="false">R54*Seg1_Fee+R55*Seg2_Fee+R56*Seg3_Fee+R57*Seg4_Fee+R58*Seg5_Fee</f>
        <v>0</v>
      </c>
      <c r="S84" s="95" t="n">
        <f aca="false">S54*Seg1_Fee+S55*Seg2_Fee+S56*Seg3_Fee+S57*Seg4_Fee+S58*Seg5_Fee</f>
        <v>0</v>
      </c>
      <c r="T84" s="95" t="n">
        <f aca="false">T54*Seg1_Fee+T55*Seg2_Fee+T56*Seg3_Fee+T57*Seg4_Fee+T58*Seg5_Fee</f>
        <v>0</v>
      </c>
      <c r="U84" s="95" t="n">
        <f aca="false">U54*Seg1_Fee+U55*Seg2_Fee+U56*Seg3_Fee+U57*Seg4_Fee+U58*Seg5_Fee</f>
        <v>0</v>
      </c>
      <c r="V84" s="95" t="n">
        <f aca="false">V54*Seg1_Fee+V55*Seg2_Fee+V56*Seg3_Fee+V57*Seg4_Fee+V58*Seg5_Fee</f>
        <v>0</v>
      </c>
      <c r="W84" s="95" t="n">
        <f aca="false">W54*Seg1_Fee+W55*Seg2_Fee+W56*Seg3_Fee+W57*Seg4_Fee+W58*Seg5_Fee</f>
        <v>0</v>
      </c>
    </row>
    <row r="85" customFormat="false" ht="15" hidden="false" customHeight="false" outlineLevel="0" collapsed="false">
      <c r="A85" s="16" t="s">
        <v>434</v>
      </c>
      <c r="B85" s="66" t="n">
        <f aca="false">SUM(C85:W85)</f>
        <v>4500239.54071382</v>
      </c>
      <c r="C85" s="31" t="n">
        <f aca="false">C83+C84</f>
        <v>0</v>
      </c>
      <c r="D85" s="31" t="n">
        <f aca="false">D83+D84</f>
        <v>80517.387264</v>
      </c>
      <c r="E85" s="31" t="n">
        <f aca="false">E83+E84</f>
        <v>113517.638710202</v>
      </c>
      <c r="F85" s="31" t="n">
        <f aca="false">F83+F84</f>
        <v>139820.029891356</v>
      </c>
      <c r="G85" s="31" t="n">
        <f aca="false">G83+G84</f>
        <v>146505.01721174</v>
      </c>
      <c r="H85" s="31" t="n">
        <f aca="false">H83+H84</f>
        <v>155427.172759935</v>
      </c>
      <c r="I85" s="31" t="n">
        <f aca="false">I83+I84</f>
        <v>164892.687581015</v>
      </c>
      <c r="J85" s="31" t="n">
        <f aca="false">J83+J84</f>
        <v>174934.652254699</v>
      </c>
      <c r="K85" s="31" t="n">
        <f aca="false">K83+K84</f>
        <v>185588.17257701</v>
      </c>
      <c r="L85" s="31" t="n">
        <f aca="false">L83+L84</f>
        <v>196890.49228695</v>
      </c>
      <c r="M85" s="31" t="n">
        <f aca="false">M83+M84</f>
        <v>208881.123267225</v>
      </c>
      <c r="N85" s="31" t="n">
        <f aca="false">N83+N84</f>
        <v>221601.983674199</v>
      </c>
      <c r="O85" s="31" t="n">
        <f aca="false">O83+O84</f>
        <v>235097.544479958</v>
      </c>
      <c r="P85" s="31" t="n">
        <f aca="false">P83+P84</f>
        <v>249414.984938787</v>
      </c>
      <c r="Q85" s="31" t="n">
        <f aca="false">Q83+Q84</f>
        <v>264604.357521559</v>
      </c>
      <c r="R85" s="31" t="n">
        <f aca="false">R83+R84</f>
        <v>280718.762894623</v>
      </c>
      <c r="S85" s="31" t="n">
        <f aca="false">S83+S84</f>
        <v>297814.535554905</v>
      </c>
      <c r="T85" s="31" t="n">
        <f aca="false">T83+T84</f>
        <v>315951.440770199</v>
      </c>
      <c r="U85" s="31" t="n">
        <f aca="false">U83+U84</f>
        <v>335192.883513104</v>
      </c>
      <c r="V85" s="31" t="n">
        <f aca="false">V83+V84</f>
        <v>355606.130119052</v>
      </c>
      <c r="W85" s="31" t="n">
        <f aca="false">W83+W84</f>
        <v>377262.543443302</v>
      </c>
    </row>
    <row r="87" customFormat="false" ht="15" hidden="false" customHeight="false" outlineLevel="0" collapsed="false">
      <c r="A87" s="9" t="s">
        <v>435</v>
      </c>
      <c r="B87" s="10"/>
      <c r="C87" s="10"/>
      <c r="D87" s="10"/>
      <c r="E87" s="10"/>
      <c r="F87" s="10"/>
      <c r="G87" s="10"/>
      <c r="H87" s="10"/>
      <c r="I87" s="10"/>
      <c r="J87" s="10"/>
      <c r="K87" s="10"/>
      <c r="L87" s="10"/>
      <c r="M87" s="10"/>
      <c r="N87" s="10"/>
      <c r="O87" s="10"/>
      <c r="P87" s="10"/>
      <c r="Q87" s="10"/>
      <c r="R87" s="10"/>
      <c r="S87" s="10"/>
      <c r="T87" s="10"/>
      <c r="U87" s="10"/>
      <c r="V87" s="10"/>
      <c r="W87" s="10"/>
    </row>
    <row r="88" customFormat="false" ht="15" hidden="false" customHeight="false" outlineLevel="0" collapsed="false">
      <c r="A88" s="11" t="s">
        <v>162</v>
      </c>
      <c r="B88" s="66" t="n">
        <f aca="false">SUM(C88:W88)</f>
        <v>543358.294940863</v>
      </c>
      <c r="C88" s="95" t="n">
        <v>0</v>
      </c>
      <c r="D88" s="95" t="n">
        <f aca="false">S_Capex_Lo!$B$15*O_FixedPct*D44*LevOpex*$B$8*D41</f>
        <v>20221.4634248471</v>
      </c>
      <c r="E88" s="95" t="n">
        <f aca="false">S_Capex_Lo!$B$15*O_FixedPct*E44*LevOpex*$B$8*E41</f>
        <v>20828.1073275925</v>
      </c>
      <c r="F88" s="95" t="n">
        <f aca="false">S_Capex_Lo!$B$15*O_FixedPct*F44*LevOpex*$B$8*F41</f>
        <v>21452.9505474203</v>
      </c>
      <c r="G88" s="95" t="n">
        <f aca="false">S_Capex_Lo!$B$15*O_FixedPct*G44*LevOpex*$B$8*G41</f>
        <v>22096.5390638429</v>
      </c>
      <c r="H88" s="95" t="n">
        <f aca="false">S_Capex_Lo!$B$15*O_FixedPct*H44*LevOpex*$B$8*H41</f>
        <v>22759.4352357582</v>
      </c>
      <c r="I88" s="95" t="n">
        <f aca="false">S_Capex_Lo!$B$15*O_FixedPct*I44*LevOpex*$B$8*I41</f>
        <v>23442.2182928309</v>
      </c>
      <c r="J88" s="95" t="n">
        <f aca="false">S_Capex_Lo!$B$15*O_FixedPct*J44*LevOpex*$B$8*J41</f>
        <v>24145.4848416158</v>
      </c>
      <c r="K88" s="95" t="n">
        <f aca="false">S_Capex_Lo!$B$15*O_FixedPct*K44*LevOpex*$B$8*K41</f>
        <v>24869.8493868643</v>
      </c>
      <c r="L88" s="95" t="n">
        <f aca="false">S_Capex_Lo!$B$15*O_FixedPct*L44*LevOpex*$B$8*L41</f>
        <v>25615.9448684702</v>
      </c>
      <c r="M88" s="95" t="n">
        <f aca="false">S_Capex_Lo!$B$15*O_FixedPct*M44*LevOpex*$B$8*M41</f>
        <v>26384.4232145244</v>
      </c>
      <c r="N88" s="95" t="n">
        <f aca="false">S_Capex_Lo!$B$15*O_FixedPct*N44*LevOpex*$B$8*N41</f>
        <v>27175.9559109601</v>
      </c>
      <c r="O88" s="95" t="n">
        <f aca="false">S_Capex_Lo!$B$15*O_FixedPct*O44*LevOpex*$B$8*O41</f>
        <v>27991.2345882889</v>
      </c>
      <c r="P88" s="95" t="n">
        <f aca="false">S_Capex_Lo!$B$15*O_FixedPct*P44*LevOpex*$B$8*P41</f>
        <v>28830.9716259376</v>
      </c>
      <c r="Q88" s="95" t="n">
        <f aca="false">S_Capex_Lo!$B$15*O_FixedPct*Q44*LevOpex*$B$8*Q41</f>
        <v>29695.9007747157</v>
      </c>
      <c r="R88" s="95" t="n">
        <f aca="false">S_Capex_Lo!$B$15*O_FixedPct*R44*LevOpex*$B$8*R41</f>
        <v>30586.7777979572</v>
      </c>
      <c r="S88" s="95" t="n">
        <f aca="false">S_Capex_Lo!$B$15*O_FixedPct*S44*LevOpex*$B$8*S41</f>
        <v>31504.3811318959</v>
      </c>
      <c r="T88" s="95" t="n">
        <f aca="false">S_Capex_Lo!$B$15*O_FixedPct*T44*LevOpex*$B$8*T41</f>
        <v>32449.5125658527</v>
      </c>
      <c r="U88" s="95" t="n">
        <f aca="false">S_Capex_Lo!$B$15*O_FixedPct*U44*LevOpex*$B$8*U41</f>
        <v>33422.9979428283</v>
      </c>
      <c r="V88" s="95" t="n">
        <f aca="false">S_Capex_Lo!$B$15*O_FixedPct*V44*LevOpex*$B$8*V41</f>
        <v>34425.6878811132</v>
      </c>
      <c r="W88" s="95" t="n">
        <f aca="false">S_Capex_Lo!$B$15*O_FixedPct*W44*LevOpex*$B$8*W41</f>
        <v>35458.4585175466</v>
      </c>
    </row>
    <row r="89" customFormat="false" ht="15" hidden="false" customHeight="false" outlineLevel="0" collapsed="false">
      <c r="A89" s="11" t="s">
        <v>436</v>
      </c>
      <c r="B89" s="66" t="n">
        <f aca="false">SUM(C89:W89)</f>
        <v>483666.740801648</v>
      </c>
      <c r="C89" s="95" t="n">
        <v>0</v>
      </c>
      <c r="D89" s="95" t="n">
        <f aca="false">O_Staff*D44*LevOpex*$B$8*D41</f>
        <v>18000</v>
      </c>
      <c r="E89" s="95" t="n">
        <f aca="false">O_Staff*E44*LevOpex*$B$8*E41</f>
        <v>18540</v>
      </c>
      <c r="F89" s="95" t="n">
        <f aca="false">O_Staff*F44*LevOpex*$B$8*F41</f>
        <v>19096.2</v>
      </c>
      <c r="G89" s="95" t="n">
        <f aca="false">O_Staff*G44*LevOpex*$B$8*G41</f>
        <v>19669.086</v>
      </c>
      <c r="H89" s="95" t="n">
        <f aca="false">O_Staff*H44*LevOpex*$B$8*H41</f>
        <v>20259.15858</v>
      </c>
      <c r="I89" s="95" t="n">
        <f aca="false">O_Staff*I44*LevOpex*$B$8*I41</f>
        <v>20866.9333374</v>
      </c>
      <c r="J89" s="95" t="n">
        <f aca="false">O_Staff*J44*LevOpex*$B$8*J41</f>
        <v>21492.941337522</v>
      </c>
      <c r="K89" s="95" t="n">
        <f aca="false">O_Staff*K44*LevOpex*$B$8*K41</f>
        <v>22137.7295776477</v>
      </c>
      <c r="L89" s="95" t="n">
        <f aca="false">O_Staff*L44*LevOpex*$B$8*L41</f>
        <v>22801.8614649771</v>
      </c>
      <c r="M89" s="95" t="n">
        <f aca="false">O_Staff*M44*LevOpex*$B$8*M41</f>
        <v>23485.9173089264</v>
      </c>
      <c r="N89" s="95" t="n">
        <f aca="false">O_Staff*N44*LevOpex*$B$8*N41</f>
        <v>24190.4948281942</v>
      </c>
      <c r="O89" s="95" t="n">
        <f aca="false">O_Staff*O44*LevOpex*$B$8*O41</f>
        <v>24916.20967304</v>
      </c>
      <c r="P89" s="95" t="n">
        <f aca="false">O_Staff*P44*LevOpex*$B$8*P41</f>
        <v>25663.6959632312</v>
      </c>
      <c r="Q89" s="95" t="n">
        <f aca="false">O_Staff*Q44*LevOpex*$B$8*Q41</f>
        <v>26433.6068421282</v>
      </c>
      <c r="R89" s="95" t="n">
        <f aca="false">O_Staff*R44*LevOpex*$B$8*R41</f>
        <v>27226.615047392</v>
      </c>
      <c r="S89" s="95" t="n">
        <f aca="false">O_Staff*S44*LevOpex*$B$8*S41</f>
        <v>28043.4134988138</v>
      </c>
      <c r="T89" s="95" t="n">
        <f aca="false">O_Staff*T44*LevOpex*$B$8*T41</f>
        <v>28884.7159037782</v>
      </c>
      <c r="U89" s="95" t="n">
        <f aca="false">O_Staff*U44*LevOpex*$B$8*U41</f>
        <v>29751.2573808915</v>
      </c>
      <c r="V89" s="95" t="n">
        <f aca="false">O_Staff*V44*LevOpex*$B$8*V41</f>
        <v>30643.7951023183</v>
      </c>
      <c r="W89" s="95" t="n">
        <f aca="false">O_Staff*W44*LevOpex*$B$8*W41</f>
        <v>31563.1089553878</v>
      </c>
    </row>
    <row r="90" customFormat="false" ht="15" hidden="false" customHeight="false" outlineLevel="0" collapsed="false">
      <c r="A90" s="11" t="s">
        <v>165</v>
      </c>
      <c r="B90" s="66" t="n">
        <f aca="false">SUM(C90:W90)</f>
        <v>124972.407836398</v>
      </c>
      <c r="C90" s="95" t="n">
        <v>0</v>
      </c>
      <c r="D90" s="95" t="n">
        <f aca="false">S_Capex_Lo!$B$14*O_InsPct*D44*LevOpex*$B$8*D41</f>
        <v>4650.93658771483</v>
      </c>
      <c r="E90" s="95" t="n">
        <f aca="false">S_Capex_Lo!$B$14*O_InsPct*E44*LevOpex*$B$8*E41</f>
        <v>4790.46468534628</v>
      </c>
      <c r="F90" s="95" t="n">
        <f aca="false">S_Capex_Lo!$B$14*O_InsPct*F44*LevOpex*$B$8*F41</f>
        <v>4934.17862590666</v>
      </c>
      <c r="G90" s="95" t="n">
        <f aca="false">S_Capex_Lo!$B$14*O_InsPct*G44*LevOpex*$B$8*G41</f>
        <v>5082.20398468386</v>
      </c>
      <c r="H90" s="95" t="n">
        <f aca="false">S_Capex_Lo!$B$14*O_InsPct*H44*LevOpex*$B$8*H41</f>
        <v>5234.67010422438</v>
      </c>
      <c r="I90" s="95" t="n">
        <f aca="false">S_Capex_Lo!$B$14*O_InsPct*I44*LevOpex*$B$8*I41</f>
        <v>5391.71020735111</v>
      </c>
      <c r="J90" s="95" t="n">
        <f aca="false">S_Capex_Lo!$B$14*O_InsPct*J44*LevOpex*$B$8*J41</f>
        <v>5553.46151357165</v>
      </c>
      <c r="K90" s="95" t="n">
        <f aca="false">S_Capex_Lo!$B$14*O_InsPct*K44*LevOpex*$B$8*K41</f>
        <v>5720.06535897879</v>
      </c>
      <c r="L90" s="95" t="n">
        <f aca="false">S_Capex_Lo!$B$14*O_InsPct*L44*LevOpex*$B$8*L41</f>
        <v>5891.66731974816</v>
      </c>
      <c r="M90" s="95" t="n">
        <f aca="false">S_Capex_Lo!$B$14*O_InsPct*M44*LevOpex*$B$8*M41</f>
        <v>6068.4173393406</v>
      </c>
      <c r="N90" s="95" t="n">
        <f aca="false">S_Capex_Lo!$B$14*O_InsPct*N44*LevOpex*$B$8*N41</f>
        <v>6250.46985952082</v>
      </c>
      <c r="O90" s="95" t="n">
        <f aca="false">S_Capex_Lo!$B$14*O_InsPct*O44*LevOpex*$B$8*O41</f>
        <v>6437.98395530645</v>
      </c>
      <c r="P90" s="95" t="n">
        <f aca="false">S_Capex_Lo!$B$14*O_InsPct*P44*LevOpex*$B$8*P41</f>
        <v>6631.12347396564</v>
      </c>
      <c r="Q90" s="95" t="n">
        <f aca="false">S_Capex_Lo!$B$14*O_InsPct*Q44*LevOpex*$B$8*Q41</f>
        <v>6830.05717818461</v>
      </c>
      <c r="R90" s="95" t="n">
        <f aca="false">S_Capex_Lo!$B$14*O_InsPct*R44*LevOpex*$B$8*R41</f>
        <v>7034.95889353015</v>
      </c>
      <c r="S90" s="95" t="n">
        <f aca="false">S_Capex_Lo!$B$14*O_InsPct*S44*LevOpex*$B$8*S41</f>
        <v>7246.00766033605</v>
      </c>
      <c r="T90" s="95" t="n">
        <f aca="false">S_Capex_Lo!$B$14*O_InsPct*T44*LevOpex*$B$8*T41</f>
        <v>7463.38789014613</v>
      </c>
      <c r="U90" s="95" t="n">
        <f aca="false">S_Capex_Lo!$B$14*O_InsPct*U44*LevOpex*$B$8*U41</f>
        <v>7687.28952685052</v>
      </c>
      <c r="V90" s="95" t="n">
        <f aca="false">S_Capex_Lo!$B$14*O_InsPct*V44*LevOpex*$B$8*V41</f>
        <v>7917.90821265603</v>
      </c>
      <c r="W90" s="95" t="n">
        <f aca="false">S_Capex_Lo!$B$14*O_InsPct*W44*LevOpex*$B$8*W41</f>
        <v>8155.44545903571</v>
      </c>
    </row>
    <row r="91" customFormat="false" ht="15" hidden="false" customHeight="false" outlineLevel="0" collapsed="false">
      <c r="A91" s="11" t="s">
        <v>437</v>
      </c>
      <c r="B91" s="66" t="n">
        <f aca="false">SUM(C91:W91)</f>
        <v>80611.1234669414</v>
      </c>
      <c r="C91" s="95" t="n">
        <v>0</v>
      </c>
      <c r="D91" s="95" t="n">
        <f aca="false">O_Fees*D44*LevOpex*$B$8*D41</f>
        <v>3000</v>
      </c>
      <c r="E91" s="95" t="n">
        <f aca="false">O_Fees*E44*LevOpex*$B$8*E41</f>
        <v>3090</v>
      </c>
      <c r="F91" s="95" t="n">
        <f aca="false">O_Fees*F44*LevOpex*$B$8*F41</f>
        <v>3182.7</v>
      </c>
      <c r="G91" s="95" t="n">
        <f aca="false">O_Fees*G44*LevOpex*$B$8*G41</f>
        <v>3278.181</v>
      </c>
      <c r="H91" s="95" t="n">
        <f aca="false">O_Fees*H44*LevOpex*$B$8*H41</f>
        <v>3376.52643</v>
      </c>
      <c r="I91" s="95" t="n">
        <f aca="false">O_Fees*I44*LevOpex*$B$8*I41</f>
        <v>3477.8222229</v>
      </c>
      <c r="J91" s="95" t="n">
        <f aca="false">O_Fees*J44*LevOpex*$B$8*J41</f>
        <v>3582.156889587</v>
      </c>
      <c r="K91" s="95" t="n">
        <f aca="false">O_Fees*K44*LevOpex*$B$8*K41</f>
        <v>3689.62159627461</v>
      </c>
      <c r="L91" s="95" t="n">
        <f aca="false">O_Fees*L44*LevOpex*$B$8*L41</f>
        <v>3800.31024416285</v>
      </c>
      <c r="M91" s="95" t="n">
        <f aca="false">O_Fees*M44*LevOpex*$B$8*M41</f>
        <v>3914.31955148773</v>
      </c>
      <c r="N91" s="95" t="n">
        <f aca="false">O_Fees*N44*LevOpex*$B$8*N41</f>
        <v>4031.74913803237</v>
      </c>
      <c r="O91" s="95" t="n">
        <f aca="false">O_Fees*O44*LevOpex*$B$8*O41</f>
        <v>4152.70161217334</v>
      </c>
      <c r="P91" s="95" t="n">
        <f aca="false">O_Fees*P44*LevOpex*$B$8*P41</f>
        <v>4277.28266053854</v>
      </c>
      <c r="Q91" s="95" t="n">
        <f aca="false">O_Fees*Q44*LevOpex*$B$8*Q41</f>
        <v>4405.60114035469</v>
      </c>
      <c r="R91" s="95" t="n">
        <f aca="false">O_Fees*R44*LevOpex*$B$8*R41</f>
        <v>4537.76917456534</v>
      </c>
      <c r="S91" s="95" t="n">
        <f aca="false">O_Fees*S44*LevOpex*$B$8*S41</f>
        <v>4673.9022498023</v>
      </c>
      <c r="T91" s="95" t="n">
        <f aca="false">O_Fees*T44*LevOpex*$B$8*T41</f>
        <v>4814.11931729637</v>
      </c>
      <c r="U91" s="95" t="n">
        <f aca="false">O_Fees*U44*LevOpex*$B$8*U41</f>
        <v>4958.54289681526</v>
      </c>
      <c r="V91" s="95" t="n">
        <f aca="false">O_Fees*V44*LevOpex*$B$8*V41</f>
        <v>5107.29918371971</v>
      </c>
      <c r="W91" s="95" t="n">
        <f aca="false">O_Fees*W44*LevOpex*$B$8*W41</f>
        <v>5260.51815923131</v>
      </c>
    </row>
    <row r="92" customFormat="false" ht="15" hidden="false" customHeight="false" outlineLevel="0" collapsed="false">
      <c r="A92" s="11" t="s">
        <v>438</v>
      </c>
      <c r="B92" s="66" t="n">
        <f aca="false">SUM(C92:W92)</f>
        <v>107481.497955922</v>
      </c>
      <c r="C92" s="95" t="n">
        <v>0</v>
      </c>
      <c r="D92" s="95" t="n">
        <f aca="false">O_MRV*D44*LevOpex*$B$8*D41</f>
        <v>4000</v>
      </c>
      <c r="E92" s="95" t="n">
        <f aca="false">O_MRV*E44*LevOpex*$B$8*E41</f>
        <v>4120</v>
      </c>
      <c r="F92" s="95" t="n">
        <f aca="false">O_MRV*F44*LevOpex*$B$8*F41</f>
        <v>4243.6</v>
      </c>
      <c r="G92" s="95" t="n">
        <f aca="false">O_MRV*G44*LevOpex*$B$8*G41</f>
        <v>4370.908</v>
      </c>
      <c r="H92" s="95" t="n">
        <f aca="false">O_MRV*H44*LevOpex*$B$8*H41</f>
        <v>4502.03524</v>
      </c>
      <c r="I92" s="95" t="n">
        <f aca="false">O_MRV*I44*LevOpex*$B$8*I41</f>
        <v>4637.0962972</v>
      </c>
      <c r="J92" s="95" t="n">
        <f aca="false">O_MRV*J44*LevOpex*$B$8*J41</f>
        <v>4776.209186116</v>
      </c>
      <c r="K92" s="95" t="n">
        <f aca="false">O_MRV*K44*LevOpex*$B$8*K41</f>
        <v>4919.49546169948</v>
      </c>
      <c r="L92" s="95" t="n">
        <f aca="false">O_MRV*L44*LevOpex*$B$8*L41</f>
        <v>5067.08032555047</v>
      </c>
      <c r="M92" s="95" t="n">
        <f aca="false">O_MRV*M44*LevOpex*$B$8*M41</f>
        <v>5219.09273531698</v>
      </c>
      <c r="N92" s="95" t="n">
        <f aca="false">O_MRV*N44*LevOpex*$B$8*N41</f>
        <v>5375.66551737649</v>
      </c>
      <c r="O92" s="95" t="n">
        <f aca="false">O_MRV*O44*LevOpex*$B$8*O41</f>
        <v>5536.93548289778</v>
      </c>
      <c r="P92" s="95" t="n">
        <f aca="false">O_MRV*P44*LevOpex*$B$8*P41</f>
        <v>5703.04354738472</v>
      </c>
      <c r="Q92" s="95" t="n">
        <f aca="false">O_MRV*Q44*LevOpex*$B$8*Q41</f>
        <v>5874.13485380626</v>
      </c>
      <c r="R92" s="95" t="n">
        <f aca="false">O_MRV*R44*LevOpex*$B$8*R41</f>
        <v>6050.35889942045</v>
      </c>
      <c r="S92" s="95" t="n">
        <f aca="false">O_MRV*S44*LevOpex*$B$8*S41</f>
        <v>6231.86966640306</v>
      </c>
      <c r="T92" s="95" t="n">
        <f aca="false">O_MRV*T44*LevOpex*$B$8*T41</f>
        <v>6418.82575639515</v>
      </c>
      <c r="U92" s="95" t="n">
        <f aca="false">O_MRV*U44*LevOpex*$B$8*U41</f>
        <v>6611.39052908701</v>
      </c>
      <c r="V92" s="95" t="n">
        <f aca="false">O_MRV*V44*LevOpex*$B$8*V41</f>
        <v>6809.73224495962</v>
      </c>
      <c r="W92" s="95" t="n">
        <f aca="false">O_MRV*W44*LevOpex*$B$8*W41</f>
        <v>7014.02421230841</v>
      </c>
    </row>
    <row r="93" customFormat="false" ht="15" hidden="false" customHeight="false" outlineLevel="0" collapsed="false">
      <c r="A93" s="11" t="s">
        <v>439</v>
      </c>
      <c r="B93" s="66" t="n">
        <f aca="false">SUM(C93:W93)</f>
        <v>135007.186221415</v>
      </c>
      <c r="C93" s="95" t="n">
        <v>0</v>
      </c>
      <c r="D93" s="95" t="n">
        <f aca="false">D85*O_CustPct</f>
        <v>2415.52161792</v>
      </c>
      <c r="E93" s="95" t="n">
        <f aca="false">E85*O_CustPct</f>
        <v>3405.52916130605</v>
      </c>
      <c r="F93" s="95" t="n">
        <f aca="false">F85*O_CustPct</f>
        <v>4194.60089674069</v>
      </c>
      <c r="G93" s="95" t="n">
        <f aca="false">G85*O_CustPct</f>
        <v>4395.1505163522</v>
      </c>
      <c r="H93" s="95" t="n">
        <f aca="false">H85*O_CustPct</f>
        <v>4662.81518279805</v>
      </c>
      <c r="I93" s="95" t="n">
        <f aca="false">I85*O_CustPct</f>
        <v>4946.78062743045</v>
      </c>
      <c r="J93" s="95" t="n">
        <f aca="false">J85*O_CustPct</f>
        <v>5248.03956764096</v>
      </c>
      <c r="K93" s="95" t="n">
        <f aca="false">K85*O_CustPct</f>
        <v>5567.6451773103</v>
      </c>
      <c r="L93" s="95" t="n">
        <f aca="false">L85*O_CustPct</f>
        <v>5906.7147686085</v>
      </c>
      <c r="M93" s="95" t="n">
        <f aca="false">M85*O_CustPct</f>
        <v>6266.43369801675</v>
      </c>
      <c r="N93" s="95" t="n">
        <f aca="false">N85*O_CustPct</f>
        <v>6648.05951022597</v>
      </c>
      <c r="O93" s="95" t="n">
        <f aca="false">O85*O_CustPct</f>
        <v>7052.92633439874</v>
      </c>
      <c r="P93" s="95" t="n">
        <f aca="false">P85*O_CustPct</f>
        <v>7482.44954816362</v>
      </c>
      <c r="Q93" s="95" t="n">
        <f aca="false">Q85*O_CustPct</f>
        <v>7938.13072564678</v>
      </c>
      <c r="R93" s="95" t="n">
        <f aca="false">R85*O_CustPct</f>
        <v>8421.56288683868</v>
      </c>
      <c r="S93" s="95" t="n">
        <f aca="false">S85*O_CustPct</f>
        <v>8934.43606664715</v>
      </c>
      <c r="T93" s="95" t="n">
        <f aca="false">T85*O_CustPct</f>
        <v>9478.54322310596</v>
      </c>
      <c r="U93" s="95" t="n">
        <f aca="false">U85*O_CustPct</f>
        <v>10055.7865053931</v>
      </c>
      <c r="V93" s="95" t="n">
        <f aca="false">V85*O_CustPct</f>
        <v>10668.1839035716</v>
      </c>
      <c r="W93" s="95" t="n">
        <f aca="false">W85*O_CustPct</f>
        <v>11317.8763032991</v>
      </c>
    </row>
    <row r="94" customFormat="false" ht="15" hidden="false" customHeight="false" outlineLevel="0" collapsed="false">
      <c r="A94" s="11" t="s">
        <v>440</v>
      </c>
      <c r="B94" s="66" t="n">
        <f aca="false">SUM(C94:W94)</f>
        <v>117570.051282715</v>
      </c>
      <c r="C94" s="95" t="n">
        <v>0</v>
      </c>
      <c r="D94" s="95" t="n">
        <f aca="false">D72*O_DieselOM*D44*LevOpex*$B$8</f>
        <v>719.794472727272</v>
      </c>
      <c r="E94" s="95" t="n">
        <f aca="false">E72*O_DieselOM*E44*LevOpex*$B$8</f>
        <v>1081.80910449818</v>
      </c>
      <c r="F94" s="95" t="n">
        <f aca="false">F72*O_DieselOM*F44*LevOpex*$B$8</f>
        <v>1350.22503407308</v>
      </c>
      <c r="G94" s="95" t="n">
        <f aca="false">G72*O_DieselOM*G44*LevOpex*$B$8</f>
        <v>1432.45373864813</v>
      </c>
      <c r="H94" s="95" t="n">
        <f aca="false">H72*O_DieselOM*H44*LevOpex*$B$8</f>
        <v>1519.69017133181</v>
      </c>
      <c r="I94" s="95" t="n">
        <f aca="false">I72*O_DieselOM*I44*LevOpex*$B$8</f>
        <v>1612.23930276591</v>
      </c>
      <c r="J94" s="95" t="n">
        <f aca="false">J72*O_DieselOM*J44*LevOpex*$B$8</f>
        <v>1841.45816530084</v>
      </c>
      <c r="K94" s="95" t="n">
        <f aca="false">K72*O_DieselOM*K44*LevOpex*$B$8</f>
        <v>2503.82649651629</v>
      </c>
      <c r="L94" s="95" t="n">
        <f aca="false">L72*O_DieselOM*L44*LevOpex*$B$8</f>
        <v>3220.20611379713</v>
      </c>
      <c r="M94" s="95" t="n">
        <f aca="false">M72*O_DieselOM*M44*LevOpex*$B$8</f>
        <v>3994.2260798739</v>
      </c>
      <c r="N94" s="95" t="n">
        <f aca="false">N72*O_DieselOM*N44*LevOpex*$B$8</f>
        <v>4829.74491081635</v>
      </c>
      <c r="O94" s="95" t="n">
        <f aca="false">O72*O_DieselOM*O44*LevOpex*$B$8</f>
        <v>5730.86475956075</v>
      </c>
      <c r="P94" s="95" t="n">
        <f aca="false">P72*O_DieselOM*P44*LevOpex*$B$8</f>
        <v>6701.94646842802</v>
      </c>
      <c r="Q94" s="95" t="n">
        <f aca="false">Q72*O_DieselOM*Q44*LevOpex*$B$8</f>
        <v>7747.62554368381</v>
      </c>
      <c r="R94" s="95" t="n">
        <f aca="false">R72*O_DieselOM*R44*LevOpex*$B$8</f>
        <v>8872.82910842559</v>
      </c>
      <c r="S94" s="95" t="n">
        <f aca="false">S72*O_DieselOM*S44*LevOpex*$B$8</f>
        <v>10082.7938935131</v>
      </c>
      <c r="T94" s="95" t="n">
        <f aca="false">T72*O_DieselOM*T44*LevOpex*$B$8</f>
        <v>11383.0853298981</v>
      </c>
      <c r="U94" s="95" t="n">
        <f aca="false">U72*O_DieselOM*U44*LevOpex*$B$8</f>
        <v>12779.6178095725</v>
      </c>
      <c r="V94" s="95" t="n">
        <f aca="false">V72*O_DieselOM*V44*LevOpex*$B$8</f>
        <v>14278.6761864487</v>
      </c>
      <c r="W94" s="95" t="n">
        <f aca="false">W72*O_DieselOM*W44*LevOpex*$B$8</f>
        <v>15886.9385928357</v>
      </c>
    </row>
    <row r="95" customFormat="false" ht="15" hidden="false" customHeight="false" outlineLevel="0" collapsed="false">
      <c r="A95" s="11" t="s">
        <v>441</v>
      </c>
      <c r="B95" s="66" t="n">
        <f aca="false">SUM(C95:W95)</f>
        <v>1567600.68376954</v>
      </c>
      <c r="C95" s="95" t="n">
        <v>0</v>
      </c>
      <c r="D95" s="95" t="n">
        <f aca="false">D74*FuelPrice*LevFuel*$B$10*D44</f>
        <v>9597.25963636363</v>
      </c>
      <c r="E95" s="95" t="n">
        <f aca="false">E74*FuelPrice*LevFuel*$B$10*E44</f>
        <v>14424.1213933091</v>
      </c>
      <c r="F95" s="95" t="n">
        <f aca="false">F74*FuelPrice*LevFuel*$B$10*F44</f>
        <v>18003.0004543078</v>
      </c>
      <c r="G95" s="95" t="n">
        <f aca="false">G74*FuelPrice*LevFuel*$B$10*G44</f>
        <v>19099.3831819751</v>
      </c>
      <c r="H95" s="95" t="n">
        <f aca="false">H74*FuelPrice*LevFuel*$B$10*H44</f>
        <v>20262.5356177574</v>
      </c>
      <c r="I95" s="95" t="n">
        <f aca="false">I74*FuelPrice*LevFuel*$B$10*I44</f>
        <v>21496.5240368788</v>
      </c>
      <c r="J95" s="95" t="n">
        <f aca="false">J74*FuelPrice*LevFuel*$B$10*J44</f>
        <v>24552.7755373446</v>
      </c>
      <c r="K95" s="95" t="n">
        <f aca="false">K74*FuelPrice*LevFuel*$B$10*K44</f>
        <v>33384.3532868839</v>
      </c>
      <c r="L95" s="95" t="n">
        <f aca="false">L74*FuelPrice*LevFuel*$B$10*L44</f>
        <v>42936.0815172951</v>
      </c>
      <c r="M95" s="95" t="n">
        <f aca="false">M74*FuelPrice*LevFuel*$B$10*M44</f>
        <v>53256.3477316521</v>
      </c>
      <c r="N95" s="95" t="n">
        <f aca="false">N74*FuelPrice*LevFuel*$B$10*N44</f>
        <v>64396.5988108847</v>
      </c>
      <c r="O95" s="95" t="n">
        <f aca="false">O74*FuelPrice*LevFuel*$B$10*O44</f>
        <v>76411.5301274767</v>
      </c>
      <c r="P95" s="95" t="n">
        <f aca="false">P74*FuelPrice*LevFuel*$B$10*P44</f>
        <v>89359.2862457069</v>
      </c>
      <c r="Q95" s="95" t="n">
        <f aca="false">Q74*FuelPrice*LevFuel*$B$10*Q44</f>
        <v>103301.673915784</v>
      </c>
      <c r="R95" s="95" t="n">
        <f aca="false">R74*FuelPrice*LevFuel*$B$10*R44</f>
        <v>118304.388112341</v>
      </c>
      <c r="S95" s="95" t="n">
        <f aca="false">S74*FuelPrice*LevFuel*$B$10*S44</f>
        <v>134437.251913507</v>
      </c>
      <c r="T95" s="95" t="n">
        <f aca="false">T74*FuelPrice*LevFuel*$B$10*T44</f>
        <v>151774.471065308</v>
      </c>
      <c r="U95" s="95" t="n">
        <f aca="false">U74*FuelPrice*LevFuel*$B$10*U44</f>
        <v>170394.904127634</v>
      </c>
      <c r="V95" s="95" t="n">
        <f aca="false">V74*FuelPrice*LevFuel*$B$10*V44</f>
        <v>190382.34915265</v>
      </c>
      <c r="W95" s="95" t="n">
        <f aca="false">W74*FuelPrice*LevFuel*$B$10*W44</f>
        <v>211825.847904476</v>
      </c>
    </row>
    <row r="96" customFormat="false" ht="15" hidden="false" customHeight="false" outlineLevel="0" collapsed="false">
      <c r="A96" s="16" t="s">
        <v>442</v>
      </c>
      <c r="B96" s="66" t="n">
        <f aca="false">SUM(C96:W96)</f>
        <v>3160267.98627544</v>
      </c>
      <c r="C96" s="31" t="n">
        <f aca="false">C88+C89+C90+C91+C92+C93+C94+C95</f>
        <v>0</v>
      </c>
      <c r="D96" s="31" t="n">
        <f aca="false">D88+D89+D90+D91+D92+D93+D94+D95</f>
        <v>62604.9757395728</v>
      </c>
      <c r="E96" s="31" t="n">
        <f aca="false">E88+E89+E90+E91+E92+E93+E94+E95</f>
        <v>70280.0316720521</v>
      </c>
      <c r="F96" s="31" t="n">
        <f aca="false">F88+F89+F90+F91+F92+F93+F94+F95</f>
        <v>76457.4555584485</v>
      </c>
      <c r="G96" s="31" t="n">
        <f aca="false">G88+G89+G90+G91+G92+G93+G94+G95</f>
        <v>79423.9054855022</v>
      </c>
      <c r="H96" s="31" t="n">
        <f aca="false">H88+H89+H90+H91+H92+H93+H94+H95</f>
        <v>82576.8665618698</v>
      </c>
      <c r="I96" s="31" t="n">
        <f aca="false">I88+I89+I90+I91+I92+I93+I94+I95</f>
        <v>85871.3243247572</v>
      </c>
      <c r="J96" s="31" t="n">
        <f aca="false">J88+J89+J90+J91+J92+J93+J94+J95</f>
        <v>91192.5270386988</v>
      </c>
      <c r="K96" s="31" t="n">
        <f aca="false">K88+K89+K90+K91+K92+K93+K94+K95</f>
        <v>102792.586342175</v>
      </c>
      <c r="L96" s="31" t="n">
        <f aca="false">L88+L89+L90+L91+L92+L93+L94+L95</f>
        <v>115239.86662261</v>
      </c>
      <c r="M96" s="31" t="n">
        <f aca="false">M88+M89+M90+M91+M92+M93+M94+M95</f>
        <v>128589.177659139</v>
      </c>
      <c r="N96" s="31" t="n">
        <f aca="false">N88+N89+N90+N91+N92+N93+N94+N95</f>
        <v>142898.738486011</v>
      </c>
      <c r="O96" s="31" t="n">
        <f aca="false">O88+O89+O90+O91+O92+O93+O94+O95</f>
        <v>158230.386533143</v>
      </c>
      <c r="P96" s="31" t="n">
        <f aca="false">P88+P89+P90+P91+P92+P93+P94+P95</f>
        <v>174649.799533356</v>
      </c>
      <c r="Q96" s="31" t="n">
        <f aca="false">Q88+Q89+Q90+Q91+Q92+Q93+Q94+Q95</f>
        <v>192226.730974304</v>
      </c>
      <c r="R96" s="31" t="n">
        <f aca="false">R88+R89+R90+R91+R92+R93+R94+R95</f>
        <v>211035.259920471</v>
      </c>
      <c r="S96" s="31" t="n">
        <f aca="false">S88+S89+S90+S91+S92+S93+S94+S95</f>
        <v>231154.056080919</v>
      </c>
      <c r="T96" s="31" t="n">
        <f aca="false">T88+T89+T90+T91+T92+T93+T94+T95</f>
        <v>252666.661051781</v>
      </c>
      <c r="U96" s="31" t="n">
        <f aca="false">U88+U89+U90+U91+U92+U93+U94+U95</f>
        <v>275661.786719072</v>
      </c>
      <c r="V96" s="31" t="n">
        <f aca="false">V88+V89+V90+V91+V92+V93+V94+V95</f>
        <v>300233.631867437</v>
      </c>
      <c r="W96" s="31" t="n">
        <f aca="false">W88+W89+W90+W91+W92+W93+W94+W95</f>
        <v>326482.21810412</v>
      </c>
    </row>
    <row r="98" customFormat="false" ht="15" hidden="false" customHeight="false" outlineLevel="0" collapsed="false">
      <c r="A98" s="16" t="s">
        <v>443</v>
      </c>
      <c r="B98" s="66" t="n">
        <f aca="false">SUM(C98:W98)</f>
        <v>1339971.55443838</v>
      </c>
      <c r="C98" s="31" t="n">
        <f aca="false">C85-C96</f>
        <v>0</v>
      </c>
      <c r="D98" s="31" t="n">
        <f aca="false">D85-D96</f>
        <v>17912.4115244272</v>
      </c>
      <c r="E98" s="31" t="n">
        <f aca="false">E85-E96</f>
        <v>43237.6070381495</v>
      </c>
      <c r="F98" s="31" t="n">
        <f aca="false">F85-F96</f>
        <v>63362.5743329079</v>
      </c>
      <c r="G98" s="31" t="n">
        <f aca="false">G85-G96</f>
        <v>67081.1117262377</v>
      </c>
      <c r="H98" s="31" t="n">
        <f aca="false">H85-H96</f>
        <v>72850.3061980651</v>
      </c>
      <c r="I98" s="31" t="n">
        <f aca="false">I85-I96</f>
        <v>79021.3632562577</v>
      </c>
      <c r="J98" s="31" t="n">
        <f aca="false">J85-J96</f>
        <v>83742.125216</v>
      </c>
      <c r="K98" s="31" t="n">
        <f aca="false">K85-K96</f>
        <v>82795.5862348346</v>
      </c>
      <c r="L98" s="31" t="n">
        <f aca="false">L85-L96</f>
        <v>81650.6256643404</v>
      </c>
      <c r="M98" s="31" t="n">
        <f aca="false">M85-M96</f>
        <v>80291.9456080864</v>
      </c>
      <c r="N98" s="31" t="n">
        <f aca="false">N85-N96</f>
        <v>78703.2451881881</v>
      </c>
      <c r="O98" s="31" t="n">
        <f aca="false">O85-O96</f>
        <v>76867.1579468153</v>
      </c>
      <c r="P98" s="31" t="n">
        <f aca="false">P85-P96</f>
        <v>74765.1854054311</v>
      </c>
      <c r="Q98" s="31" t="n">
        <f aca="false">Q85-Q96</f>
        <v>72377.6265472553</v>
      </c>
      <c r="R98" s="31" t="n">
        <f aca="false">R85-R96</f>
        <v>69683.502974152</v>
      </c>
      <c r="S98" s="31" t="n">
        <f aca="false">S85-S96</f>
        <v>66660.4794739864</v>
      </c>
      <c r="T98" s="31" t="n">
        <f aca="false">T85-T96</f>
        <v>63284.7797184179</v>
      </c>
      <c r="U98" s="31" t="n">
        <f aca="false">U85-U96</f>
        <v>59531.096794032</v>
      </c>
      <c r="V98" s="31" t="n">
        <f aca="false">V85-V96</f>
        <v>55372.4982516153</v>
      </c>
      <c r="W98" s="31" t="n">
        <f aca="false">W85-W96</f>
        <v>50780.3253391818</v>
      </c>
    </row>
    <row r="99" customFormat="false" ht="15" hidden="false" customHeight="false" outlineLevel="0" collapsed="false">
      <c r="A99" s="11" t="s">
        <v>444</v>
      </c>
      <c r="C99" s="91" t="n">
        <v>0</v>
      </c>
      <c r="D99" s="91" t="n">
        <f aca="false">IFERROR(D98/D85,0)</f>
        <v>0.222466378171165</v>
      </c>
      <c r="E99" s="91" t="n">
        <f aca="false">IFERROR(E98/E85,0)</f>
        <v>0.380888886779353</v>
      </c>
      <c r="F99" s="91" t="n">
        <f aca="false">IFERROR(F98/F85,0)</f>
        <v>0.453172370097061</v>
      </c>
      <c r="G99" s="91" t="n">
        <f aca="false">IFERROR(G98/G85,0)</f>
        <v>0.457875866662554</v>
      </c>
      <c r="H99" s="91" t="n">
        <f aca="false">IFERROR(H98/H85,0)</f>
        <v>0.468710231965591</v>
      </c>
      <c r="I99" s="91" t="n">
        <f aca="false">IFERROR(I98/I85,0)</f>
        <v>0.479229033230676</v>
      </c>
      <c r="J99" s="91" t="n">
        <f aca="false">IFERROR(J98/J85,0)</f>
        <v>0.47870518583176</v>
      </c>
      <c r="K99" s="91" t="n">
        <f aca="false">IFERROR(K98/K85,0)</f>
        <v>0.446125338081437</v>
      </c>
      <c r="L99" s="91" t="n">
        <f aca="false">IFERROR(L98/L85,0)</f>
        <v>0.414700703502443</v>
      </c>
      <c r="M99" s="91" t="n">
        <f aca="false">IFERROR(M98/M85,0)</f>
        <v>0.384390625405473</v>
      </c>
      <c r="N99" s="91" t="n">
        <f aca="false">IFERROR(N98/N85,0)</f>
        <v>0.355155869470457</v>
      </c>
      <c r="O99" s="91" t="n">
        <f aca="false">IFERROR(O98/O85,0)</f>
        <v>0.326958574224361</v>
      </c>
      <c r="P99" s="91" t="n">
        <f aca="false">IFERROR(P98/P85,0)</f>
        <v>0.299762203236427</v>
      </c>
      <c r="Q99" s="91" t="n">
        <f aca="false">IFERROR(Q98/Q85,0)</f>
        <v>0.273531498971471</v>
      </c>
      <c r="R99" s="91" t="n">
        <f aca="false">IFERROR(R98/R85,0)</f>
        <v>0.248232438243931</v>
      </c>
      <c r="S99" s="91" t="n">
        <f aca="false">IFERROR(S98/S85,0)</f>
        <v>0.223832189217295</v>
      </c>
      <c r="T99" s="91" t="n">
        <f aca="false">IFERROR(T98/T85,0)</f>
        <v>0.200299069895512</v>
      </c>
      <c r="U99" s="91" t="n">
        <f aca="false">IFERROR(U98/U85,0)</f>
        <v>0.177602508054753</v>
      </c>
      <c r="V99" s="91" t="n">
        <f aca="false">IFERROR(V98/V85,0)</f>
        <v>0.155713002565725</v>
      </c>
      <c r="W99" s="91" t="n">
        <f aca="false">IFERROR(W98/W85,0)</f>
        <v>0.134602086058441</v>
      </c>
    </row>
    <row r="101" customFormat="false" ht="15" hidden="false" customHeight="false" outlineLevel="0" collapsed="false">
      <c r="A101" s="9" t="s">
        <v>445</v>
      </c>
      <c r="B101" s="10"/>
      <c r="C101" s="10"/>
      <c r="D101" s="10"/>
      <c r="E101" s="10"/>
      <c r="F101" s="10"/>
      <c r="G101" s="10"/>
      <c r="H101" s="10"/>
      <c r="I101" s="10"/>
      <c r="J101" s="10"/>
      <c r="K101" s="10"/>
      <c r="L101" s="10"/>
      <c r="M101" s="10"/>
      <c r="N101" s="10"/>
      <c r="O101" s="10"/>
      <c r="P101" s="10"/>
      <c r="Q101" s="10"/>
      <c r="R101" s="10"/>
      <c r="S101" s="10"/>
      <c r="T101" s="10"/>
      <c r="U101" s="10"/>
      <c r="V101" s="10"/>
      <c r="W101" s="10"/>
    </row>
    <row r="102" customFormat="false" ht="15" hidden="false" customHeight="false" outlineLevel="0" collapsed="false">
      <c r="A102" s="11" t="s">
        <v>446</v>
      </c>
      <c r="B102" s="66" t="n">
        <f aca="false">C102+NPV(Hurdle,D102:W102)</f>
        <v>930187.317542966</v>
      </c>
      <c r="C102" s="95" t="n">
        <f aca="false">S_Capex_Lo!$B$14</f>
        <v>930187.317542966</v>
      </c>
      <c r="D102" s="95" t="n">
        <f aca="false">0</f>
        <v>0</v>
      </c>
      <c r="E102" s="95" t="n">
        <f aca="false">0</f>
        <v>0</v>
      </c>
      <c r="F102" s="95" t="n">
        <f aca="false">0</f>
        <v>0</v>
      </c>
      <c r="G102" s="95" t="n">
        <f aca="false">0</f>
        <v>0</v>
      </c>
      <c r="H102" s="95" t="n">
        <f aca="false">0</f>
        <v>0</v>
      </c>
      <c r="I102" s="95" t="n">
        <f aca="false">0</f>
        <v>0</v>
      </c>
      <c r="J102" s="95" t="n">
        <f aca="false">0</f>
        <v>0</v>
      </c>
      <c r="K102" s="95" t="n">
        <f aca="false">0</f>
        <v>0</v>
      </c>
      <c r="L102" s="95" t="n">
        <f aca="false">0</f>
        <v>0</v>
      </c>
      <c r="M102" s="95" t="n">
        <f aca="false">0</f>
        <v>0</v>
      </c>
      <c r="N102" s="95" t="n">
        <f aca="false">0</f>
        <v>0</v>
      </c>
      <c r="O102" s="95" t="n">
        <f aca="false">0</f>
        <v>0</v>
      </c>
      <c r="P102" s="95" t="n">
        <f aca="false">0</f>
        <v>0</v>
      </c>
      <c r="Q102" s="95" t="n">
        <f aca="false">0</f>
        <v>0</v>
      </c>
      <c r="R102" s="95" t="n">
        <f aca="false">0</f>
        <v>0</v>
      </c>
      <c r="S102" s="95" t="n">
        <f aca="false">0</f>
        <v>0</v>
      </c>
      <c r="T102" s="95" t="n">
        <f aca="false">0</f>
        <v>0</v>
      </c>
      <c r="U102" s="95" t="n">
        <f aca="false">0</f>
        <v>0</v>
      </c>
      <c r="V102" s="95" t="n">
        <f aca="false">0</f>
        <v>0</v>
      </c>
      <c r="W102" s="95" t="n">
        <f aca="false">0</f>
        <v>0</v>
      </c>
    </row>
    <row r="103" customFormat="false" ht="15" hidden="false" customHeight="false" outlineLevel="0" collapsed="false">
      <c r="A103" s="11" t="s">
        <v>447</v>
      </c>
      <c r="B103" s="66" t="n">
        <f aca="false">C103+NPV(Hurdle,D103:W103)</f>
        <v>98505.9569347404</v>
      </c>
      <c r="C103" s="95" t="n">
        <v>0</v>
      </c>
      <c r="D103" s="95" t="n">
        <f aca="false">IF(AND(D41=1,MOD(D39,BattLife)=0,D39&lt;Life),BESS_kWh*C_BattRepl*LevCapex*$B$7*D44,0)</f>
        <v>0</v>
      </c>
      <c r="E103" s="95" t="n">
        <f aca="false">IF(AND(E41=1,MOD(E39,BattLife)=0,E39&lt;Life),BESS_kWh*C_BattRepl*LevCapex*$B$7*E44,0)</f>
        <v>0</v>
      </c>
      <c r="F103" s="95" t="n">
        <f aca="false">IF(AND(F41=1,MOD(F39,BattLife)=0,F39&lt;Life),BESS_kWh*C_BattRepl*LevCapex*$B$7*F44,0)</f>
        <v>0</v>
      </c>
      <c r="G103" s="95" t="n">
        <f aca="false">IF(AND(G41=1,MOD(G39,BattLife)=0,G39&lt;Life),BESS_kWh*C_BattRepl*LevCapex*$B$7*G44,0)</f>
        <v>0</v>
      </c>
      <c r="H103" s="95" t="n">
        <f aca="false">IF(AND(H41=1,MOD(H39,BattLife)=0,H39&lt;Life),BESS_kWh*C_BattRepl*LevCapex*$B$7*H44,0)</f>
        <v>0</v>
      </c>
      <c r="I103" s="95" t="n">
        <f aca="false">IF(AND(I41=1,MOD(I39,BattLife)=0,I39&lt;Life),BESS_kWh*C_BattRepl*LevCapex*$B$7*I44,0)</f>
        <v>0</v>
      </c>
      <c r="J103" s="95" t="n">
        <f aca="false">IF(AND(J41=1,MOD(J39,BattLife)=0,J39&lt;Life),BESS_kWh*C_BattRepl*LevCapex*$B$7*J44,0)</f>
        <v>0</v>
      </c>
      <c r="K103" s="95" t="n">
        <f aca="false">IF(AND(K41=1,MOD(K39,BattLife)=0,K39&lt;Life),BESS_kWh*C_BattRepl*LevCapex*$B$7*K44,0)</f>
        <v>132722.750163761</v>
      </c>
      <c r="L103" s="95" t="n">
        <f aca="false">IF(AND(L41=1,MOD(L39,BattLife)=0,L39&lt;Life),BESS_kWh*C_BattRepl*LevCapex*$B$7*L44,0)</f>
        <v>0</v>
      </c>
      <c r="M103" s="95" t="n">
        <f aca="false">IF(AND(M41=1,MOD(M39,BattLife)=0,M39&lt;Life),BESS_kWh*C_BattRepl*LevCapex*$B$7*M44,0)</f>
        <v>0</v>
      </c>
      <c r="N103" s="95" t="n">
        <f aca="false">IF(AND(N41=1,MOD(N39,BattLife)=0,N39&lt;Life),BESS_kWh*C_BattRepl*LevCapex*$B$7*N44,0)</f>
        <v>0</v>
      </c>
      <c r="O103" s="95" t="n">
        <f aca="false">IF(AND(O41=1,MOD(O39,BattLife)=0,O39&lt;Life),BESS_kWh*C_BattRepl*LevCapex*$B$7*O44,0)</f>
        <v>0</v>
      </c>
      <c r="P103" s="95" t="n">
        <f aca="false">IF(AND(P41=1,MOD(P39,BattLife)=0,P39&lt;Life),BESS_kWh*C_BattRepl*LevCapex*$B$7*P44,0)</f>
        <v>0</v>
      </c>
      <c r="Q103" s="95" t="n">
        <f aca="false">IF(AND(Q41=1,MOD(Q39,BattLife)=0,Q39&lt;Life),BESS_kWh*C_BattRepl*LevCapex*$B$7*Q44,0)</f>
        <v>0</v>
      </c>
      <c r="R103" s="95" t="n">
        <f aca="false">IF(AND(R41=1,MOD(R39,BattLife)=0,R39&lt;Life),BESS_kWh*C_BattRepl*LevCapex*$B$7*R44,0)</f>
        <v>0</v>
      </c>
      <c r="S103" s="95" t="n">
        <f aca="false">IF(AND(S41=1,MOD(S39,BattLife)=0,S39&lt;Life),BESS_kWh*C_BattRepl*LevCapex*$B$7*S44,0)</f>
        <v>168129.209026936</v>
      </c>
      <c r="T103" s="95" t="n">
        <f aca="false">IF(AND(T41=1,MOD(T39,BattLife)=0,T39&lt;Life),BESS_kWh*C_BattRepl*LevCapex*$B$7*T44,0)</f>
        <v>0</v>
      </c>
      <c r="U103" s="95" t="n">
        <f aca="false">IF(AND(U41=1,MOD(U39,BattLife)=0,U39&lt;Life),BESS_kWh*C_BattRepl*LevCapex*$B$7*U44,0)</f>
        <v>0</v>
      </c>
      <c r="V103" s="95" t="n">
        <f aca="false">IF(AND(V41=1,MOD(V39,BattLife)=0,V39&lt;Life),BESS_kWh*C_BattRepl*LevCapex*$B$7*V44,0)</f>
        <v>0</v>
      </c>
      <c r="W103" s="95" t="n">
        <f aca="false">IF(AND(W41=1,MOD(W39,BattLife)=0,W39&lt;Life),BESS_kWh*C_BattRepl*LevCapex*$B$7*W44,0)</f>
        <v>0</v>
      </c>
    </row>
    <row r="104" customFormat="false" ht="15" hidden="false" customHeight="false" outlineLevel="0" collapsed="false">
      <c r="A104" s="11" t="s">
        <v>448</v>
      </c>
      <c r="B104" s="66" t="n">
        <f aca="false">SUM(C104:W104)</f>
        <v>300851.959190697</v>
      </c>
      <c r="C104" s="95" t="n">
        <v>0</v>
      </c>
      <c r="D104" s="95" t="n">
        <f aca="false">IF(AND(UseMRA=1,D41=1,CEILING(D39,BattLife)&lt;Life),BESS_kWh*C_BattRepl*LevCapex*$B$7*(1+CostEsc)^(CEILING(D39,BattLife)-1)/BattLife,0)</f>
        <v>16590.3437704701</v>
      </c>
      <c r="E104" s="95" t="n">
        <f aca="false">IF(AND(UseMRA=1,E41=1,CEILING(E39,BattLife)&lt;Life),BESS_kWh*C_BattRepl*LevCapex*$B$7*(1+CostEsc)^(CEILING(E39,BattLife)-1)/BattLife,0)</f>
        <v>16590.3437704701</v>
      </c>
      <c r="F104" s="95" t="n">
        <f aca="false">IF(AND(UseMRA=1,F41=1,CEILING(F39,BattLife)&lt;Life),BESS_kWh*C_BattRepl*LevCapex*$B$7*(1+CostEsc)^(CEILING(F39,BattLife)-1)/BattLife,0)</f>
        <v>16590.3437704701</v>
      </c>
      <c r="G104" s="95" t="n">
        <f aca="false">IF(AND(UseMRA=1,G41=1,CEILING(G39,BattLife)&lt;Life),BESS_kWh*C_BattRepl*LevCapex*$B$7*(1+CostEsc)^(CEILING(G39,BattLife)-1)/BattLife,0)</f>
        <v>16590.3437704701</v>
      </c>
      <c r="H104" s="95" t="n">
        <f aca="false">IF(AND(UseMRA=1,H41=1,CEILING(H39,BattLife)&lt;Life),BESS_kWh*C_BattRepl*LevCapex*$B$7*(1+CostEsc)^(CEILING(H39,BattLife)-1)/BattLife,0)</f>
        <v>16590.3437704701</v>
      </c>
      <c r="I104" s="95" t="n">
        <f aca="false">IF(AND(UseMRA=1,I41=1,CEILING(I39,BattLife)&lt;Life),BESS_kWh*C_BattRepl*LevCapex*$B$7*(1+CostEsc)^(CEILING(I39,BattLife)-1)/BattLife,0)</f>
        <v>16590.3437704701</v>
      </c>
      <c r="J104" s="95" t="n">
        <f aca="false">IF(AND(UseMRA=1,J41=1,CEILING(J39,BattLife)&lt;Life),BESS_kWh*C_BattRepl*LevCapex*$B$7*(1+CostEsc)^(CEILING(J39,BattLife)-1)/BattLife,0)</f>
        <v>16590.3437704701</v>
      </c>
      <c r="K104" s="95" t="n">
        <f aca="false">IF(AND(UseMRA=1,K41=1,CEILING(K39,BattLife)&lt;Life),BESS_kWh*C_BattRepl*LevCapex*$B$7*(1+CostEsc)^(CEILING(K39,BattLife)-1)/BattLife,0)</f>
        <v>16590.3437704701</v>
      </c>
      <c r="L104" s="95" t="n">
        <f aca="false">IF(AND(UseMRA=1,L41=1,CEILING(L39,BattLife)&lt;Life),BESS_kWh*C_BattRepl*LevCapex*$B$7*(1+CostEsc)^(CEILING(L39,BattLife)-1)/BattLife,0)</f>
        <v>21016.151128367</v>
      </c>
      <c r="M104" s="95" t="n">
        <f aca="false">IF(AND(UseMRA=1,M41=1,CEILING(M39,BattLife)&lt;Life),BESS_kWh*C_BattRepl*LevCapex*$B$7*(1+CostEsc)^(CEILING(M39,BattLife)-1)/BattLife,0)</f>
        <v>21016.151128367</v>
      </c>
      <c r="N104" s="95" t="n">
        <f aca="false">IF(AND(UseMRA=1,N41=1,CEILING(N39,BattLife)&lt;Life),BESS_kWh*C_BattRepl*LevCapex*$B$7*(1+CostEsc)^(CEILING(N39,BattLife)-1)/BattLife,0)</f>
        <v>21016.151128367</v>
      </c>
      <c r="O104" s="95" t="n">
        <f aca="false">IF(AND(UseMRA=1,O41=1,CEILING(O39,BattLife)&lt;Life),BESS_kWh*C_BattRepl*LevCapex*$B$7*(1+CostEsc)^(CEILING(O39,BattLife)-1)/BattLife,0)</f>
        <v>21016.151128367</v>
      </c>
      <c r="P104" s="95" t="n">
        <f aca="false">IF(AND(UseMRA=1,P41=1,CEILING(P39,BattLife)&lt;Life),BESS_kWh*C_BattRepl*LevCapex*$B$7*(1+CostEsc)^(CEILING(P39,BattLife)-1)/BattLife,0)</f>
        <v>21016.151128367</v>
      </c>
      <c r="Q104" s="95" t="n">
        <f aca="false">IF(AND(UseMRA=1,Q41=1,CEILING(Q39,BattLife)&lt;Life),BESS_kWh*C_BattRepl*LevCapex*$B$7*(1+CostEsc)^(CEILING(Q39,BattLife)-1)/BattLife,0)</f>
        <v>21016.151128367</v>
      </c>
      <c r="R104" s="95" t="n">
        <f aca="false">IF(AND(UseMRA=1,R41=1,CEILING(R39,BattLife)&lt;Life),BESS_kWh*C_BattRepl*LevCapex*$B$7*(1+CostEsc)^(CEILING(R39,BattLife)-1)/BattLife,0)</f>
        <v>21016.151128367</v>
      </c>
      <c r="S104" s="95" t="n">
        <f aca="false">IF(AND(UseMRA=1,S41=1,CEILING(S39,BattLife)&lt;Life),BESS_kWh*C_BattRepl*LevCapex*$B$7*(1+CostEsc)^(CEILING(S39,BattLife)-1)/BattLife,0)</f>
        <v>21016.151128367</v>
      </c>
      <c r="T104" s="95" t="n">
        <f aca="false">IF(AND(UseMRA=1,T41=1,CEILING(T39,BattLife)&lt;Life),BESS_kWh*C_BattRepl*LevCapex*$B$7*(1+CostEsc)^(CEILING(T39,BattLife)-1)/BattLife,0)</f>
        <v>0</v>
      </c>
      <c r="U104" s="95" t="n">
        <f aca="false">IF(AND(UseMRA=1,U41=1,CEILING(U39,BattLife)&lt;Life),BESS_kWh*C_BattRepl*LevCapex*$B$7*(1+CostEsc)^(CEILING(U39,BattLife)-1)/BattLife,0)</f>
        <v>0</v>
      </c>
      <c r="V104" s="95" t="n">
        <f aca="false">IF(AND(UseMRA=1,V41=1,CEILING(V39,BattLife)&lt;Life),BESS_kWh*C_BattRepl*LevCapex*$B$7*(1+CostEsc)^(CEILING(V39,BattLife)-1)/BattLife,0)</f>
        <v>0</v>
      </c>
      <c r="W104" s="95" t="n">
        <f aca="false">IF(AND(UseMRA=1,W41=1,CEILING(W39,BattLife)&lt;Life),BESS_kWh*C_BattRepl*LevCapex*$B$7*(1+CostEsc)^(CEILING(W39,BattLife)-1)/BattLife,0)</f>
        <v>0</v>
      </c>
    </row>
    <row r="105" customFormat="false" ht="15" hidden="false" customHeight="false" outlineLevel="0" collapsed="false">
      <c r="A105" s="11" t="s">
        <v>449</v>
      </c>
      <c r="B105" s="66" t="n">
        <f aca="false">SUM(C105:W105)</f>
        <v>300851.959190697</v>
      </c>
      <c r="C105" s="95" t="n">
        <v>0</v>
      </c>
      <c r="D105" s="95" t="n">
        <f aca="false">IF(UseMRA=1,D104,D103)</f>
        <v>16590.3437704701</v>
      </c>
      <c r="E105" s="95" t="n">
        <f aca="false">IF(UseMRA=1,E104,E103)</f>
        <v>16590.3437704701</v>
      </c>
      <c r="F105" s="95" t="n">
        <f aca="false">IF(UseMRA=1,F104,F103)</f>
        <v>16590.3437704701</v>
      </c>
      <c r="G105" s="95" t="n">
        <f aca="false">IF(UseMRA=1,G104,G103)</f>
        <v>16590.3437704701</v>
      </c>
      <c r="H105" s="95" t="n">
        <f aca="false">IF(UseMRA=1,H104,H103)</f>
        <v>16590.3437704701</v>
      </c>
      <c r="I105" s="95" t="n">
        <f aca="false">IF(UseMRA=1,I104,I103)</f>
        <v>16590.3437704701</v>
      </c>
      <c r="J105" s="95" t="n">
        <f aca="false">IF(UseMRA=1,J104,J103)</f>
        <v>16590.3437704701</v>
      </c>
      <c r="K105" s="95" t="n">
        <f aca="false">IF(UseMRA=1,K104,K103)</f>
        <v>16590.3437704701</v>
      </c>
      <c r="L105" s="95" t="n">
        <f aca="false">IF(UseMRA=1,L104,L103)</f>
        <v>21016.151128367</v>
      </c>
      <c r="M105" s="95" t="n">
        <f aca="false">IF(UseMRA=1,M104,M103)</f>
        <v>21016.151128367</v>
      </c>
      <c r="N105" s="95" t="n">
        <f aca="false">IF(UseMRA=1,N104,N103)</f>
        <v>21016.151128367</v>
      </c>
      <c r="O105" s="95" t="n">
        <f aca="false">IF(UseMRA=1,O104,O103)</f>
        <v>21016.151128367</v>
      </c>
      <c r="P105" s="95" t="n">
        <f aca="false">IF(UseMRA=1,P104,P103)</f>
        <v>21016.151128367</v>
      </c>
      <c r="Q105" s="95" t="n">
        <f aca="false">IF(UseMRA=1,Q104,Q103)</f>
        <v>21016.151128367</v>
      </c>
      <c r="R105" s="95" t="n">
        <f aca="false">IF(UseMRA=1,R104,R103)</f>
        <v>21016.151128367</v>
      </c>
      <c r="S105" s="95" t="n">
        <f aca="false">IF(UseMRA=1,S104,S103)</f>
        <v>21016.151128367</v>
      </c>
      <c r="T105" s="95" t="n">
        <f aca="false">IF(UseMRA=1,T104,T103)</f>
        <v>0</v>
      </c>
      <c r="U105" s="95" t="n">
        <f aca="false">IF(UseMRA=1,U104,U103)</f>
        <v>0</v>
      </c>
      <c r="V105" s="95" t="n">
        <f aca="false">IF(UseMRA=1,V104,V103)</f>
        <v>0</v>
      </c>
      <c r="W105" s="95" t="n">
        <f aca="false">IF(UseMRA=1,W104,W103)</f>
        <v>0</v>
      </c>
    </row>
    <row r="106" customFormat="false" ht="15" hidden="false" customHeight="false" outlineLevel="0" collapsed="false">
      <c r="A106" s="11" t="s">
        <v>175</v>
      </c>
      <c r="B106" s="66" t="n">
        <f aca="false">SUM(C106:W106)</f>
        <v>600000</v>
      </c>
      <c r="C106" s="95" t="n">
        <f aca="false">Grant</f>
        <v>600000</v>
      </c>
      <c r="D106" s="95" t="n">
        <f aca="false">0</f>
        <v>0</v>
      </c>
      <c r="E106" s="95" t="n">
        <f aca="false">0</f>
        <v>0</v>
      </c>
      <c r="F106" s="95" t="n">
        <f aca="false">0</f>
        <v>0</v>
      </c>
      <c r="G106" s="95" t="n">
        <f aca="false">0</f>
        <v>0</v>
      </c>
      <c r="H106" s="95" t="n">
        <f aca="false">0</f>
        <v>0</v>
      </c>
      <c r="I106" s="95" t="n">
        <f aca="false">0</f>
        <v>0</v>
      </c>
      <c r="J106" s="95" t="n">
        <f aca="false">0</f>
        <v>0</v>
      </c>
      <c r="K106" s="95" t="n">
        <f aca="false">0</f>
        <v>0</v>
      </c>
      <c r="L106" s="95" t="n">
        <f aca="false">0</f>
        <v>0</v>
      </c>
      <c r="M106" s="95" t="n">
        <f aca="false">0</f>
        <v>0</v>
      </c>
      <c r="N106" s="95" t="n">
        <f aca="false">0</f>
        <v>0</v>
      </c>
      <c r="O106" s="95" t="n">
        <f aca="false">0</f>
        <v>0</v>
      </c>
      <c r="P106" s="95" t="n">
        <f aca="false">0</f>
        <v>0</v>
      </c>
      <c r="Q106" s="95" t="n">
        <f aca="false">0</f>
        <v>0</v>
      </c>
      <c r="R106" s="95" t="n">
        <f aca="false">0</f>
        <v>0</v>
      </c>
      <c r="S106" s="95" t="n">
        <f aca="false">0</f>
        <v>0</v>
      </c>
      <c r="T106" s="95" t="n">
        <f aca="false">0</f>
        <v>0</v>
      </c>
      <c r="U106" s="95" t="n">
        <f aca="false">0</f>
        <v>0</v>
      </c>
      <c r="V106" s="95" t="n">
        <f aca="false">0</f>
        <v>0</v>
      </c>
      <c r="W106" s="95" t="n">
        <f aca="false">0</f>
        <v>0</v>
      </c>
    </row>
    <row r="107" customFormat="false" ht="15" hidden="false" customHeight="false" outlineLevel="0" collapsed="false">
      <c r="A107" s="11" t="s">
        <v>450</v>
      </c>
      <c r="B107" s="66" t="n">
        <f aca="false">SUM(C107:W107)</f>
        <v>252000</v>
      </c>
      <c r="C107" s="95" t="n">
        <v>0</v>
      </c>
      <c r="D107" s="95" t="n">
        <f aca="false">D54*Seg1_RBF+D55*Seg2_RBF+D56*Seg3_RBF+D57*Seg4_RBF+D58*Seg5_RBF</f>
        <v>151200</v>
      </c>
      <c r="E107" s="95" t="n">
        <f aca="false">E54*Seg1_RBF+E55*Seg2_RBF+E56*Seg3_RBF+E57*Seg4_RBF+E58*Seg5_RBF</f>
        <v>63000</v>
      </c>
      <c r="F107" s="95" t="n">
        <f aca="false">F54*Seg1_RBF+F55*Seg2_RBF+F56*Seg3_RBF+F57*Seg4_RBF+F58*Seg5_RBF</f>
        <v>37800</v>
      </c>
      <c r="G107" s="95" t="n">
        <f aca="false">G54*Seg1_RBF+G55*Seg2_RBF+G56*Seg3_RBF+G57*Seg4_RBF+G58*Seg5_RBF</f>
        <v>0</v>
      </c>
      <c r="H107" s="95" t="n">
        <f aca="false">H54*Seg1_RBF+H55*Seg2_RBF+H56*Seg3_RBF+H57*Seg4_RBF+H58*Seg5_RBF</f>
        <v>0</v>
      </c>
      <c r="I107" s="95" t="n">
        <f aca="false">I54*Seg1_RBF+I55*Seg2_RBF+I56*Seg3_RBF+I57*Seg4_RBF+I58*Seg5_RBF</f>
        <v>0</v>
      </c>
      <c r="J107" s="95" t="n">
        <f aca="false">J54*Seg1_RBF+J55*Seg2_RBF+J56*Seg3_RBF+J57*Seg4_RBF+J58*Seg5_RBF</f>
        <v>0</v>
      </c>
      <c r="K107" s="95" t="n">
        <f aca="false">K54*Seg1_RBF+K55*Seg2_RBF+K56*Seg3_RBF+K57*Seg4_RBF+K58*Seg5_RBF</f>
        <v>0</v>
      </c>
      <c r="L107" s="95" t="n">
        <f aca="false">L54*Seg1_RBF+L55*Seg2_RBF+L56*Seg3_RBF+L57*Seg4_RBF+L58*Seg5_RBF</f>
        <v>0</v>
      </c>
      <c r="M107" s="95" t="n">
        <f aca="false">M54*Seg1_RBF+M55*Seg2_RBF+M56*Seg3_RBF+M57*Seg4_RBF+M58*Seg5_RBF</f>
        <v>0</v>
      </c>
      <c r="N107" s="95" t="n">
        <f aca="false">N54*Seg1_RBF+N55*Seg2_RBF+N56*Seg3_RBF+N57*Seg4_RBF+N58*Seg5_RBF</f>
        <v>0</v>
      </c>
      <c r="O107" s="95" t="n">
        <f aca="false">O54*Seg1_RBF+O55*Seg2_RBF+O56*Seg3_RBF+O57*Seg4_RBF+O58*Seg5_RBF</f>
        <v>0</v>
      </c>
      <c r="P107" s="95" t="n">
        <f aca="false">P54*Seg1_RBF+P55*Seg2_RBF+P56*Seg3_RBF+P57*Seg4_RBF+P58*Seg5_RBF</f>
        <v>0</v>
      </c>
      <c r="Q107" s="95" t="n">
        <f aca="false">Q54*Seg1_RBF+Q55*Seg2_RBF+Q56*Seg3_RBF+Q57*Seg4_RBF+Q58*Seg5_RBF</f>
        <v>0</v>
      </c>
      <c r="R107" s="95" t="n">
        <f aca="false">R54*Seg1_RBF+R55*Seg2_RBF+R56*Seg3_RBF+R57*Seg4_RBF+R58*Seg5_RBF</f>
        <v>0</v>
      </c>
      <c r="S107" s="95" t="n">
        <f aca="false">S54*Seg1_RBF+S55*Seg2_RBF+S56*Seg3_RBF+S57*Seg4_RBF+S58*Seg5_RBF</f>
        <v>0</v>
      </c>
      <c r="T107" s="95" t="n">
        <f aca="false">T54*Seg1_RBF+T55*Seg2_RBF+T56*Seg3_RBF+T57*Seg4_RBF+T58*Seg5_RBF</f>
        <v>0</v>
      </c>
      <c r="U107" s="95" t="n">
        <f aca="false">U54*Seg1_RBF+U55*Seg2_RBF+U56*Seg3_RBF+U57*Seg4_RBF+U58*Seg5_RBF</f>
        <v>0</v>
      </c>
      <c r="V107" s="95" t="n">
        <f aca="false">V54*Seg1_RBF+V55*Seg2_RBF+V56*Seg3_RBF+V57*Seg4_RBF+V58*Seg5_RBF</f>
        <v>0</v>
      </c>
      <c r="W107" s="95" t="n">
        <f aca="false">W54*Seg1_RBF+W55*Seg2_RBF+W56*Seg3_RBF+W57*Seg4_RBF+W58*Seg5_RBF</f>
        <v>0</v>
      </c>
    </row>
    <row r="108" customFormat="false" ht="15" hidden="false" customHeight="false" outlineLevel="0" collapsed="false">
      <c r="A108" s="11" t="s">
        <v>451</v>
      </c>
      <c r="B108" s="66" t="n">
        <f aca="false">SUM(C108:W108)</f>
        <v>252000</v>
      </c>
      <c r="C108" s="95" t="n">
        <v>0</v>
      </c>
      <c r="D108" s="95" t="n">
        <f aca="false">IF(D39-RBFLag&gt;=1,INDEX($C$107:$W$107,1,D39-RBFLag+1),0)</f>
        <v>151200</v>
      </c>
      <c r="E108" s="95" t="n">
        <f aca="false">IF(E39-RBFLag&gt;=1,INDEX($C$107:$W$107,1,E39-RBFLag+1),0)</f>
        <v>63000</v>
      </c>
      <c r="F108" s="95" t="n">
        <f aca="false">IF(F39-RBFLag&gt;=1,INDEX($C$107:$W$107,1,F39-RBFLag+1),0)</f>
        <v>37800</v>
      </c>
      <c r="G108" s="95" t="n">
        <f aca="false">IF(G39-RBFLag&gt;=1,INDEX($C$107:$W$107,1,G39-RBFLag+1),0)</f>
        <v>0</v>
      </c>
      <c r="H108" s="95" t="n">
        <f aca="false">IF(H39-RBFLag&gt;=1,INDEX($C$107:$W$107,1,H39-RBFLag+1),0)</f>
        <v>0</v>
      </c>
      <c r="I108" s="95" t="n">
        <f aca="false">IF(I39-RBFLag&gt;=1,INDEX($C$107:$W$107,1,I39-RBFLag+1),0)</f>
        <v>0</v>
      </c>
      <c r="J108" s="95" t="n">
        <f aca="false">IF(J39-RBFLag&gt;=1,INDEX($C$107:$W$107,1,J39-RBFLag+1),0)</f>
        <v>0</v>
      </c>
      <c r="K108" s="95" t="n">
        <f aca="false">IF(K39-RBFLag&gt;=1,INDEX($C$107:$W$107,1,K39-RBFLag+1),0)</f>
        <v>0</v>
      </c>
      <c r="L108" s="95" t="n">
        <f aca="false">IF(L39-RBFLag&gt;=1,INDEX($C$107:$W$107,1,L39-RBFLag+1),0)</f>
        <v>0</v>
      </c>
      <c r="M108" s="95" t="n">
        <f aca="false">IF(M39-RBFLag&gt;=1,INDEX($C$107:$W$107,1,M39-RBFLag+1),0)</f>
        <v>0</v>
      </c>
      <c r="N108" s="95" t="n">
        <f aca="false">IF(N39-RBFLag&gt;=1,INDEX($C$107:$W$107,1,N39-RBFLag+1),0)</f>
        <v>0</v>
      </c>
      <c r="O108" s="95" t="n">
        <f aca="false">IF(O39-RBFLag&gt;=1,INDEX($C$107:$W$107,1,O39-RBFLag+1),0)</f>
        <v>0</v>
      </c>
      <c r="P108" s="95" t="n">
        <f aca="false">IF(P39-RBFLag&gt;=1,INDEX($C$107:$W$107,1,P39-RBFLag+1),0)</f>
        <v>0</v>
      </c>
      <c r="Q108" s="95" t="n">
        <f aca="false">IF(Q39-RBFLag&gt;=1,INDEX($C$107:$W$107,1,Q39-RBFLag+1),0)</f>
        <v>0</v>
      </c>
      <c r="R108" s="95" t="n">
        <f aca="false">IF(R39-RBFLag&gt;=1,INDEX($C$107:$W$107,1,R39-RBFLag+1),0)</f>
        <v>0</v>
      </c>
      <c r="S108" s="95" t="n">
        <f aca="false">IF(S39-RBFLag&gt;=1,INDEX($C$107:$W$107,1,S39-RBFLag+1),0)</f>
        <v>0</v>
      </c>
      <c r="T108" s="95" t="n">
        <f aca="false">IF(T39-RBFLag&gt;=1,INDEX($C$107:$W$107,1,T39-RBFLag+1),0)</f>
        <v>0</v>
      </c>
      <c r="U108" s="95" t="n">
        <f aca="false">IF(U39-RBFLag&gt;=1,INDEX($C$107:$W$107,1,U39-RBFLag+1),0)</f>
        <v>0</v>
      </c>
      <c r="V108" s="95" t="n">
        <f aca="false">IF(V39-RBFLag&gt;=1,INDEX($C$107:$W$107,1,V39-RBFLag+1),0)</f>
        <v>0</v>
      </c>
      <c r="W108" s="95" t="n">
        <f aca="false">IF(W39-RBFLag&gt;=1,INDEX($C$107:$W$107,1,W39-RBFLag+1),0)</f>
        <v>0</v>
      </c>
    </row>
    <row r="109" customFormat="false" ht="15" hidden="false" customHeight="false" outlineLevel="0" collapsed="false">
      <c r="A109" s="11" t="s">
        <v>452</v>
      </c>
      <c r="B109" s="76" t="n">
        <f aca="false">SUM(C109:W109)</f>
        <v>970</v>
      </c>
      <c r="C109" s="93" t="n">
        <v>0</v>
      </c>
      <c r="D109" s="93" t="n">
        <f aca="false">IF(D39-RBFLag&gt;=1,INDEX($C$59:$W$59,1,D39-RBFLag+1),0)</f>
        <v>582</v>
      </c>
      <c r="E109" s="93" t="n">
        <f aca="false">IF(E39-RBFLag&gt;=1,INDEX($C$59:$W$59,1,E39-RBFLag+1),0)</f>
        <v>242.5</v>
      </c>
      <c r="F109" s="93" t="n">
        <f aca="false">IF(F39-RBFLag&gt;=1,INDEX($C$59:$W$59,1,F39-RBFLag+1),0)</f>
        <v>145.5</v>
      </c>
      <c r="G109" s="93" t="n">
        <f aca="false">IF(G39-RBFLag&gt;=1,INDEX($C$59:$W$59,1,G39-RBFLag+1),0)</f>
        <v>0</v>
      </c>
      <c r="H109" s="93" t="n">
        <f aca="false">IF(H39-RBFLag&gt;=1,INDEX($C$59:$W$59,1,H39-RBFLag+1),0)</f>
        <v>0</v>
      </c>
      <c r="I109" s="93" t="n">
        <f aca="false">IF(I39-RBFLag&gt;=1,INDEX($C$59:$W$59,1,I39-RBFLag+1),0)</f>
        <v>0</v>
      </c>
      <c r="J109" s="93" t="n">
        <f aca="false">IF(J39-RBFLag&gt;=1,INDEX($C$59:$W$59,1,J39-RBFLag+1),0)</f>
        <v>0</v>
      </c>
      <c r="K109" s="93" t="n">
        <f aca="false">IF(K39-RBFLag&gt;=1,INDEX($C$59:$W$59,1,K39-RBFLag+1),0)</f>
        <v>0</v>
      </c>
      <c r="L109" s="93" t="n">
        <f aca="false">IF(L39-RBFLag&gt;=1,INDEX($C$59:$W$59,1,L39-RBFLag+1),0)</f>
        <v>0</v>
      </c>
      <c r="M109" s="93" t="n">
        <f aca="false">IF(M39-RBFLag&gt;=1,INDEX($C$59:$W$59,1,M39-RBFLag+1),0)</f>
        <v>0</v>
      </c>
      <c r="N109" s="93" t="n">
        <f aca="false">IF(N39-RBFLag&gt;=1,INDEX($C$59:$W$59,1,N39-RBFLag+1),0)</f>
        <v>0</v>
      </c>
      <c r="O109" s="93" t="n">
        <f aca="false">IF(O39-RBFLag&gt;=1,INDEX($C$59:$W$59,1,O39-RBFLag+1),0)</f>
        <v>0</v>
      </c>
      <c r="P109" s="93" t="n">
        <f aca="false">IF(P39-RBFLag&gt;=1,INDEX($C$59:$W$59,1,P39-RBFLag+1),0)</f>
        <v>0</v>
      </c>
      <c r="Q109" s="93" t="n">
        <f aca="false">IF(Q39-RBFLag&gt;=1,INDEX($C$59:$W$59,1,Q39-RBFLag+1),0)</f>
        <v>0</v>
      </c>
      <c r="R109" s="93" t="n">
        <f aca="false">IF(R39-RBFLag&gt;=1,INDEX($C$59:$W$59,1,R39-RBFLag+1),0)</f>
        <v>0</v>
      </c>
      <c r="S109" s="93" t="n">
        <f aca="false">IF(S39-RBFLag&gt;=1,INDEX($C$59:$W$59,1,S39-RBFLag+1),0)</f>
        <v>0</v>
      </c>
      <c r="T109" s="93" t="n">
        <f aca="false">IF(T39-RBFLag&gt;=1,INDEX($C$59:$W$59,1,T39-RBFLag+1),0)</f>
        <v>0</v>
      </c>
      <c r="U109" s="93" t="n">
        <f aca="false">IF(U39-RBFLag&gt;=1,INDEX($C$59:$W$59,1,U39-RBFLag+1),0)</f>
        <v>0</v>
      </c>
      <c r="V109" s="93" t="n">
        <f aca="false">IF(V39-RBFLag&gt;=1,INDEX($C$59:$W$59,1,V39-RBFLag+1),0)</f>
        <v>0</v>
      </c>
      <c r="W109" s="93" t="n">
        <f aca="false">IF(W39-RBFLag&gt;=1,INDEX($C$59:$W$59,1,W39-RBFLag+1),0)</f>
        <v>0</v>
      </c>
    </row>
    <row r="111" customFormat="false" ht="15" hidden="false" customHeight="false" outlineLevel="0" collapsed="false">
      <c r="A111" s="9" t="s">
        <v>453</v>
      </c>
      <c r="B111" s="10"/>
      <c r="C111" s="10"/>
      <c r="D111" s="10"/>
      <c r="E111" s="10"/>
      <c r="F111" s="10"/>
      <c r="G111" s="10"/>
      <c r="H111" s="10"/>
      <c r="I111" s="10"/>
      <c r="J111" s="10"/>
      <c r="K111" s="10"/>
      <c r="L111" s="10"/>
      <c r="M111" s="10"/>
      <c r="N111" s="10"/>
      <c r="O111" s="10"/>
      <c r="P111" s="10"/>
      <c r="Q111" s="10"/>
      <c r="R111" s="10"/>
      <c r="S111" s="10"/>
      <c r="T111" s="10"/>
      <c r="U111" s="10"/>
      <c r="V111" s="10"/>
      <c r="W111" s="10"/>
    </row>
    <row r="112" customFormat="false" ht="15" hidden="false" customHeight="false" outlineLevel="0" collapsed="false">
      <c r="A112" s="11" t="s">
        <v>454</v>
      </c>
      <c r="C112" s="95" t="n">
        <v>0</v>
      </c>
      <c r="D112" s="95" t="n">
        <f aca="false">C116</f>
        <v>66037.4635085932</v>
      </c>
      <c r="E112" s="95" t="n">
        <f aca="false">D116</f>
        <v>66037.4635085932</v>
      </c>
      <c r="F112" s="95" t="n">
        <f aca="false">E116</f>
        <v>66037.4635085932</v>
      </c>
      <c r="G112" s="95" t="n">
        <f aca="false">F116</f>
        <v>60262.8823889517</v>
      </c>
      <c r="H112" s="95" t="n">
        <f aca="false">G116</f>
        <v>53910.843157346</v>
      </c>
      <c r="I112" s="95" t="n">
        <f aca="false">H116</f>
        <v>46923.6000025797</v>
      </c>
      <c r="J112" s="95" t="n">
        <f aca="false">I116</f>
        <v>39237.6325323369</v>
      </c>
      <c r="K112" s="95" t="n">
        <f aca="false">J116</f>
        <v>30783.0683150697</v>
      </c>
      <c r="L112" s="95" t="n">
        <f aca="false">K116</f>
        <v>21483.0476760758</v>
      </c>
      <c r="M112" s="95" t="n">
        <f aca="false">L116</f>
        <v>11253.0249731826</v>
      </c>
      <c r="N112" s="95" t="n">
        <f aca="false">M116</f>
        <v>-4.18367562815547E-011</v>
      </c>
      <c r="O112" s="95" t="n">
        <f aca="false">N116</f>
        <v>-4.18367562815547E-011</v>
      </c>
      <c r="P112" s="95" t="n">
        <f aca="false">O116</f>
        <v>-4.18367562815547E-011</v>
      </c>
      <c r="Q112" s="95" t="n">
        <f aca="false">P116</f>
        <v>-4.18367562815547E-011</v>
      </c>
      <c r="R112" s="95" t="n">
        <f aca="false">Q116</f>
        <v>-4.18367562815547E-011</v>
      </c>
      <c r="S112" s="95" t="n">
        <f aca="false">R116</f>
        <v>-4.18367562815547E-011</v>
      </c>
      <c r="T112" s="95" t="n">
        <f aca="false">S116</f>
        <v>-4.18367562815547E-011</v>
      </c>
      <c r="U112" s="95" t="n">
        <f aca="false">T116</f>
        <v>-4.18367562815547E-011</v>
      </c>
      <c r="V112" s="95" t="n">
        <f aca="false">U116</f>
        <v>-4.18367562815547E-011</v>
      </c>
      <c r="W112" s="95" t="n">
        <f aca="false">V116</f>
        <v>-4.18367562815547E-011</v>
      </c>
    </row>
    <row r="113" customFormat="false" ht="15" hidden="false" customHeight="false" outlineLevel="0" collapsed="false">
      <c r="A113" s="11" t="s">
        <v>455</v>
      </c>
      <c r="B113" s="66" t="n">
        <f aca="false">SUM(C113:W113)</f>
        <v>66037.4635085932</v>
      </c>
      <c r="C113" s="95" t="n">
        <f aca="false">S_Capex_Lo!$B$16</f>
        <v>66037.4635085932</v>
      </c>
      <c r="D113" s="95" t="n">
        <f aca="false">0</f>
        <v>0</v>
      </c>
      <c r="E113" s="95" t="n">
        <f aca="false">0</f>
        <v>0</v>
      </c>
      <c r="F113" s="95" t="n">
        <f aca="false">0</f>
        <v>0</v>
      </c>
      <c r="G113" s="95" t="n">
        <f aca="false">0</f>
        <v>0</v>
      </c>
      <c r="H113" s="95" t="n">
        <f aca="false">0</f>
        <v>0</v>
      </c>
      <c r="I113" s="95" t="n">
        <f aca="false">0</f>
        <v>0</v>
      </c>
      <c r="J113" s="95" t="n">
        <f aca="false">0</f>
        <v>0</v>
      </c>
      <c r="K113" s="95" t="n">
        <f aca="false">0</f>
        <v>0</v>
      </c>
      <c r="L113" s="95" t="n">
        <f aca="false">0</f>
        <v>0</v>
      </c>
      <c r="M113" s="95" t="n">
        <f aca="false">0</f>
        <v>0</v>
      </c>
      <c r="N113" s="95" t="n">
        <f aca="false">0</f>
        <v>0</v>
      </c>
      <c r="O113" s="95" t="n">
        <f aca="false">0</f>
        <v>0</v>
      </c>
      <c r="P113" s="95" t="n">
        <f aca="false">0</f>
        <v>0</v>
      </c>
      <c r="Q113" s="95" t="n">
        <f aca="false">0</f>
        <v>0</v>
      </c>
      <c r="R113" s="95" t="n">
        <f aca="false">0</f>
        <v>0</v>
      </c>
      <c r="S113" s="95" t="n">
        <f aca="false">0</f>
        <v>0</v>
      </c>
      <c r="T113" s="95" t="n">
        <f aca="false">0</f>
        <v>0</v>
      </c>
      <c r="U113" s="95" t="n">
        <f aca="false">0</f>
        <v>0</v>
      </c>
      <c r="V113" s="95" t="n">
        <f aca="false">0</f>
        <v>0</v>
      </c>
      <c r="W113" s="95" t="n">
        <f aca="false">0</f>
        <v>0</v>
      </c>
    </row>
    <row r="114" customFormat="false" ht="15" hidden="false" customHeight="false" outlineLevel="0" collapsed="false">
      <c r="A114" s="11" t="s">
        <v>456</v>
      </c>
      <c r="B114" s="66" t="n">
        <f aca="false">SUM(C114:W114)</f>
        <v>46196.6489571321</v>
      </c>
      <c r="C114" s="95" t="n">
        <v>0</v>
      </c>
      <c r="D114" s="95" t="n">
        <f aca="false">D112*SenRate*$B$11</f>
        <v>6603.74635085932</v>
      </c>
      <c r="E114" s="95" t="n">
        <f aca="false">E112*SenRate*$B$11</f>
        <v>6603.74635085932</v>
      </c>
      <c r="F114" s="95" t="n">
        <f aca="false">F112*SenRate*$B$11</f>
        <v>6603.74635085932</v>
      </c>
      <c r="G114" s="95" t="n">
        <f aca="false">G112*SenRate*$B$11</f>
        <v>6026.28823889517</v>
      </c>
      <c r="H114" s="95" t="n">
        <f aca="false">H112*SenRate*$B$11</f>
        <v>5391.0843157346</v>
      </c>
      <c r="I114" s="95" t="n">
        <f aca="false">I112*SenRate*$B$11</f>
        <v>4692.36000025797</v>
      </c>
      <c r="J114" s="95" t="n">
        <f aca="false">J112*SenRate*$B$11</f>
        <v>3923.76325323369</v>
      </c>
      <c r="K114" s="95" t="n">
        <f aca="false">K112*SenRate*$B$11</f>
        <v>3078.30683150697</v>
      </c>
      <c r="L114" s="95" t="n">
        <f aca="false">L112*SenRate*$B$11</f>
        <v>2148.30476760758</v>
      </c>
      <c r="M114" s="95" t="n">
        <f aca="false">M112*SenRate*$B$11</f>
        <v>1125.30249731826</v>
      </c>
      <c r="N114" s="95" t="n">
        <f aca="false">N112*SenRate*$B$11</f>
        <v>-4.18367562815547E-012</v>
      </c>
      <c r="O114" s="95" t="n">
        <f aca="false">O112*SenRate*$B$11</f>
        <v>-4.18367562815547E-012</v>
      </c>
      <c r="P114" s="95" t="n">
        <f aca="false">P112*SenRate*$B$11</f>
        <v>-4.18367562815547E-012</v>
      </c>
      <c r="Q114" s="95" t="n">
        <f aca="false">Q112*SenRate*$B$11</f>
        <v>-4.18367562815547E-012</v>
      </c>
      <c r="R114" s="95" t="n">
        <f aca="false">R112*SenRate*$B$11</f>
        <v>-4.18367562815547E-012</v>
      </c>
      <c r="S114" s="95" t="n">
        <f aca="false">S112*SenRate*$B$11</f>
        <v>-4.18367562815547E-012</v>
      </c>
      <c r="T114" s="95" t="n">
        <f aca="false">T112*SenRate*$B$11</f>
        <v>-4.18367562815547E-012</v>
      </c>
      <c r="U114" s="95" t="n">
        <f aca="false">U112*SenRate*$B$11</f>
        <v>-4.18367562815547E-012</v>
      </c>
      <c r="V114" s="95" t="n">
        <f aca="false">V112*SenRate*$B$11</f>
        <v>-4.18367562815547E-012</v>
      </c>
      <c r="W114" s="95" t="n">
        <f aca="false">W112*SenRate*$B$11</f>
        <v>-4.18367562815547E-012</v>
      </c>
    </row>
    <row r="115" customFormat="false" ht="15" hidden="false" customHeight="false" outlineLevel="0" collapsed="false">
      <c r="A115" s="11" t="s">
        <v>457</v>
      </c>
      <c r="B115" s="66" t="n">
        <f aca="false">SUM(C115:W115)</f>
        <v>66037.4635085932</v>
      </c>
      <c r="C115" s="95" t="n">
        <v>0</v>
      </c>
      <c r="D115" s="95" t="n">
        <f aca="false">IF(AND(D39&gt;SenGrace,D39&lt;=SenTenor),PMT(SenRate*$B$11,SenTenor-SenGrace,-S_Capex_Lo!$B$16)-D114,0)</f>
        <v>0</v>
      </c>
      <c r="E115" s="95" t="n">
        <f aca="false">IF(AND(E39&gt;SenGrace,E39&lt;=SenTenor),PMT(SenRate*$B$11,SenTenor-SenGrace,-S_Capex_Lo!$B$16)-E114,0)</f>
        <v>0</v>
      </c>
      <c r="F115" s="95" t="n">
        <f aca="false">IF(AND(F39&gt;SenGrace,F39&lt;=SenTenor),PMT(SenRate*$B$11,SenTenor-SenGrace,-S_Capex_Lo!$B$16)-F114,0)</f>
        <v>5774.58111964153</v>
      </c>
      <c r="G115" s="95" t="n">
        <f aca="false">IF(AND(G39&gt;SenGrace,G39&lt;=SenTenor),PMT(SenRate*$B$11,SenTenor-SenGrace,-S_Capex_Lo!$B$16)-G114,0)</f>
        <v>6352.03923160568</v>
      </c>
      <c r="H115" s="95" t="n">
        <f aca="false">IF(AND(H39&gt;SenGrace,H39&lt;=SenTenor),PMT(SenRate*$B$11,SenTenor-SenGrace,-S_Capex_Lo!$B$16)-H114,0)</f>
        <v>6987.24315476625</v>
      </c>
      <c r="I115" s="95" t="n">
        <f aca="false">IF(AND(I39&gt;SenGrace,I39&lt;=SenTenor),PMT(SenRate*$B$11,SenTenor-SenGrace,-S_Capex_Lo!$B$16)-I114,0)</f>
        <v>7685.96747024288</v>
      </c>
      <c r="J115" s="95" t="n">
        <f aca="false">IF(AND(J39&gt;SenGrace,J39&lt;=SenTenor),PMT(SenRate*$B$11,SenTenor-SenGrace,-S_Capex_Lo!$B$16)-J114,0)</f>
        <v>8454.56421726716</v>
      </c>
      <c r="K115" s="95" t="n">
        <f aca="false">IF(AND(K39&gt;SenGrace,K39&lt;=SenTenor),PMT(SenRate*$B$11,SenTenor-SenGrace,-S_Capex_Lo!$B$16)-K114,0)</f>
        <v>9300.02063899388</v>
      </c>
      <c r="L115" s="95" t="n">
        <f aca="false">IF(AND(L39&gt;SenGrace,L39&lt;=SenTenor),PMT(SenRate*$B$11,SenTenor-SenGrace,-S_Capex_Lo!$B$16)-L114,0)</f>
        <v>10230.0227028933</v>
      </c>
      <c r="M115" s="95" t="n">
        <f aca="false">IF(AND(M39&gt;SenGrace,M39&lt;=SenTenor),PMT(SenRate*$B$11,SenTenor-SenGrace,-S_Capex_Lo!$B$16)-M114,0)</f>
        <v>11253.0249731826</v>
      </c>
      <c r="N115" s="95" t="n">
        <f aca="false">IF(AND(N39&gt;SenGrace,N39&lt;=SenTenor),PMT(SenRate*$B$11,SenTenor-SenGrace,-S_Capex_Lo!$B$16)-N114,0)</f>
        <v>0</v>
      </c>
      <c r="O115" s="95" t="n">
        <f aca="false">IF(AND(O39&gt;SenGrace,O39&lt;=SenTenor),PMT(SenRate*$B$11,SenTenor-SenGrace,-S_Capex_Lo!$B$16)-O114,0)</f>
        <v>0</v>
      </c>
      <c r="P115" s="95" t="n">
        <f aca="false">IF(AND(P39&gt;SenGrace,P39&lt;=SenTenor),PMT(SenRate*$B$11,SenTenor-SenGrace,-S_Capex_Lo!$B$16)-P114,0)</f>
        <v>0</v>
      </c>
      <c r="Q115" s="95" t="n">
        <f aca="false">IF(AND(Q39&gt;SenGrace,Q39&lt;=SenTenor),PMT(SenRate*$B$11,SenTenor-SenGrace,-S_Capex_Lo!$B$16)-Q114,0)</f>
        <v>0</v>
      </c>
      <c r="R115" s="95" t="n">
        <f aca="false">IF(AND(R39&gt;SenGrace,R39&lt;=SenTenor),PMT(SenRate*$B$11,SenTenor-SenGrace,-S_Capex_Lo!$B$16)-R114,0)</f>
        <v>0</v>
      </c>
      <c r="S115" s="95" t="n">
        <f aca="false">IF(AND(S39&gt;SenGrace,S39&lt;=SenTenor),PMT(SenRate*$B$11,SenTenor-SenGrace,-S_Capex_Lo!$B$16)-S114,0)</f>
        <v>0</v>
      </c>
      <c r="T115" s="95" t="n">
        <f aca="false">IF(AND(T39&gt;SenGrace,T39&lt;=SenTenor),PMT(SenRate*$B$11,SenTenor-SenGrace,-S_Capex_Lo!$B$16)-T114,0)</f>
        <v>0</v>
      </c>
      <c r="U115" s="95" t="n">
        <f aca="false">IF(AND(U39&gt;SenGrace,U39&lt;=SenTenor),PMT(SenRate*$B$11,SenTenor-SenGrace,-S_Capex_Lo!$B$16)-U114,0)</f>
        <v>0</v>
      </c>
      <c r="V115" s="95" t="n">
        <f aca="false">IF(AND(V39&gt;SenGrace,V39&lt;=SenTenor),PMT(SenRate*$B$11,SenTenor-SenGrace,-S_Capex_Lo!$B$16)-V114,0)</f>
        <v>0</v>
      </c>
      <c r="W115" s="95" t="n">
        <f aca="false">IF(AND(W39&gt;SenGrace,W39&lt;=SenTenor),PMT(SenRate*$B$11,SenTenor-SenGrace,-S_Capex_Lo!$B$16)-W114,0)</f>
        <v>0</v>
      </c>
    </row>
    <row r="116" customFormat="false" ht="15" hidden="false" customHeight="false" outlineLevel="0" collapsed="false">
      <c r="A116" s="11" t="s">
        <v>458</v>
      </c>
      <c r="C116" s="95" t="n">
        <f aca="false">0+C113-0</f>
        <v>66037.4635085932</v>
      </c>
      <c r="D116" s="95" t="n">
        <f aca="false">D112+D113-D115</f>
        <v>66037.4635085932</v>
      </c>
      <c r="E116" s="95" t="n">
        <f aca="false">E112+E113-E115</f>
        <v>66037.4635085932</v>
      </c>
      <c r="F116" s="95" t="n">
        <f aca="false">F112+F113-F115</f>
        <v>60262.8823889517</v>
      </c>
      <c r="G116" s="95" t="n">
        <f aca="false">G112+G113-G115</f>
        <v>53910.843157346</v>
      </c>
      <c r="H116" s="95" t="n">
        <f aca="false">H112+H113-H115</f>
        <v>46923.6000025797</v>
      </c>
      <c r="I116" s="95" t="n">
        <f aca="false">I112+I113-I115</f>
        <v>39237.6325323369</v>
      </c>
      <c r="J116" s="95" t="n">
        <f aca="false">J112+J113-J115</f>
        <v>30783.0683150697</v>
      </c>
      <c r="K116" s="95" t="n">
        <f aca="false">K112+K113-K115</f>
        <v>21483.0476760758</v>
      </c>
      <c r="L116" s="95" t="n">
        <f aca="false">L112+L113-L115</f>
        <v>11253.0249731826</v>
      </c>
      <c r="M116" s="95" t="n">
        <f aca="false">M112+M113-M115</f>
        <v>-4.18367562815547E-011</v>
      </c>
      <c r="N116" s="95" t="n">
        <f aca="false">N112+N113-N115</f>
        <v>-4.18367562815547E-011</v>
      </c>
      <c r="O116" s="95" t="n">
        <f aca="false">O112+O113-O115</f>
        <v>-4.18367562815547E-011</v>
      </c>
      <c r="P116" s="95" t="n">
        <f aca="false">P112+P113-P115</f>
        <v>-4.18367562815547E-011</v>
      </c>
      <c r="Q116" s="95" t="n">
        <f aca="false">Q112+Q113-Q115</f>
        <v>-4.18367562815547E-011</v>
      </c>
      <c r="R116" s="95" t="n">
        <f aca="false">R112+R113-R115</f>
        <v>-4.18367562815547E-011</v>
      </c>
      <c r="S116" s="95" t="n">
        <f aca="false">S112+S113-S115</f>
        <v>-4.18367562815547E-011</v>
      </c>
      <c r="T116" s="95" t="n">
        <f aca="false">T112+T113-T115</f>
        <v>-4.18367562815547E-011</v>
      </c>
      <c r="U116" s="95" t="n">
        <f aca="false">U112+U113-U115</f>
        <v>-4.18367562815547E-011</v>
      </c>
      <c r="V116" s="95" t="n">
        <f aca="false">V112+V113-V115</f>
        <v>-4.18367562815547E-011</v>
      </c>
      <c r="W116" s="95" t="n">
        <f aca="false">W112+W113-W115</f>
        <v>-4.18367562815547E-011</v>
      </c>
    </row>
    <row r="118" customFormat="false" ht="15" hidden="false" customHeight="false" outlineLevel="0" collapsed="false">
      <c r="A118" s="9" t="s">
        <v>459</v>
      </c>
      <c r="B118" s="10"/>
      <c r="C118" s="10"/>
      <c r="D118" s="10"/>
      <c r="E118" s="10"/>
      <c r="F118" s="10"/>
      <c r="G118" s="10"/>
      <c r="H118" s="10"/>
      <c r="I118" s="10"/>
      <c r="J118" s="10"/>
      <c r="K118" s="10"/>
      <c r="L118" s="10"/>
      <c r="M118" s="10"/>
      <c r="N118" s="10"/>
      <c r="O118" s="10"/>
      <c r="P118" s="10"/>
      <c r="Q118" s="10"/>
      <c r="R118" s="10"/>
      <c r="S118" s="10"/>
      <c r="T118" s="10"/>
      <c r="U118" s="10"/>
      <c r="V118" s="10"/>
      <c r="W118" s="10"/>
    </row>
    <row r="119" customFormat="false" ht="15" hidden="false" customHeight="false" outlineLevel="0" collapsed="false">
      <c r="A119" s="11" t="s">
        <v>454</v>
      </c>
      <c r="C119" s="95" t="n">
        <v>0</v>
      </c>
      <c r="D119" s="95" t="n">
        <f aca="false">C123</f>
        <v>66037.4635085932</v>
      </c>
      <c r="E119" s="95" t="n">
        <f aca="false">D123</f>
        <v>66037.4635085932</v>
      </c>
      <c r="F119" s="95" t="n">
        <f aca="false">E123</f>
        <v>66037.4635085932</v>
      </c>
      <c r="G119" s="95" t="n">
        <f aca="false">F123</f>
        <v>66037.4635085932</v>
      </c>
      <c r="H119" s="95" t="n">
        <f aca="false">G123</f>
        <v>66037.4635085932</v>
      </c>
      <c r="I119" s="95" t="n">
        <f aca="false">H123</f>
        <v>66037.4635085932</v>
      </c>
      <c r="J119" s="95" t="n">
        <f aca="false">I123</f>
        <v>60276.9821118189</v>
      </c>
      <c r="K119" s="95" t="n">
        <f aca="false">J123</f>
        <v>54343.6862731413</v>
      </c>
      <c r="L119" s="95" t="n">
        <f aca="false">K123</f>
        <v>48232.3915593034</v>
      </c>
      <c r="M119" s="95" t="n">
        <f aca="false">L123</f>
        <v>41937.7580040504</v>
      </c>
      <c r="N119" s="95" t="n">
        <f aca="false">M123</f>
        <v>35454.2854421398</v>
      </c>
      <c r="O119" s="95" t="n">
        <f aca="false">N123</f>
        <v>28776.3087033719</v>
      </c>
      <c r="P119" s="95" t="n">
        <f aca="false">O123</f>
        <v>21897.9926624409</v>
      </c>
      <c r="Q119" s="95" t="n">
        <f aca="false">P123</f>
        <v>14813.327140282</v>
      </c>
      <c r="R119" s="95" t="n">
        <f aca="false">Q123</f>
        <v>7516.12165245835</v>
      </c>
      <c r="S119" s="95" t="n">
        <f aca="false">R123</f>
        <v>0</v>
      </c>
      <c r="T119" s="95" t="n">
        <f aca="false">S123</f>
        <v>0</v>
      </c>
      <c r="U119" s="95" t="n">
        <f aca="false">T123</f>
        <v>0</v>
      </c>
      <c r="V119" s="95" t="n">
        <f aca="false">U123</f>
        <v>0</v>
      </c>
      <c r="W119" s="95" t="n">
        <f aca="false">V123</f>
        <v>0</v>
      </c>
    </row>
    <row r="120" customFormat="false" ht="15" hidden="false" customHeight="false" outlineLevel="0" collapsed="false">
      <c r="A120" s="11" t="s">
        <v>455</v>
      </c>
      <c r="B120" s="66" t="n">
        <f aca="false">SUM(C120:W120)</f>
        <v>66037.4635085932</v>
      </c>
      <c r="C120" s="95" t="n">
        <f aca="false">S_Capex_Lo!$B$17</f>
        <v>66037.4635085932</v>
      </c>
      <c r="D120" s="95" t="n">
        <f aca="false">0</f>
        <v>0</v>
      </c>
      <c r="E120" s="95" t="n">
        <f aca="false">0</f>
        <v>0</v>
      </c>
      <c r="F120" s="95" t="n">
        <f aca="false">0</f>
        <v>0</v>
      </c>
      <c r="G120" s="95" t="n">
        <f aca="false">0</f>
        <v>0</v>
      </c>
      <c r="H120" s="95" t="n">
        <f aca="false">0</f>
        <v>0</v>
      </c>
      <c r="I120" s="95" t="n">
        <f aca="false">0</f>
        <v>0</v>
      </c>
      <c r="J120" s="95" t="n">
        <f aca="false">0</f>
        <v>0</v>
      </c>
      <c r="K120" s="95" t="n">
        <f aca="false">0</f>
        <v>0</v>
      </c>
      <c r="L120" s="95" t="n">
        <f aca="false">0</f>
        <v>0</v>
      </c>
      <c r="M120" s="95" t="n">
        <f aca="false">0</f>
        <v>0</v>
      </c>
      <c r="N120" s="95" t="n">
        <f aca="false">0</f>
        <v>0</v>
      </c>
      <c r="O120" s="95" t="n">
        <f aca="false">0</f>
        <v>0</v>
      </c>
      <c r="P120" s="95" t="n">
        <f aca="false">0</f>
        <v>0</v>
      </c>
      <c r="Q120" s="95" t="n">
        <f aca="false">0</f>
        <v>0</v>
      </c>
      <c r="R120" s="95" t="n">
        <f aca="false">0</f>
        <v>0</v>
      </c>
      <c r="S120" s="95" t="n">
        <f aca="false">0</f>
        <v>0</v>
      </c>
      <c r="T120" s="95" t="n">
        <f aca="false">0</f>
        <v>0</v>
      </c>
      <c r="U120" s="95" t="n">
        <f aca="false">0</f>
        <v>0</v>
      </c>
      <c r="V120" s="95" t="n">
        <f aca="false">0</f>
        <v>0</v>
      </c>
      <c r="W120" s="95" t="n">
        <f aca="false">0</f>
        <v>0</v>
      </c>
    </row>
    <row r="121" customFormat="false" ht="15" hidden="false" customHeight="false" outlineLevel="0" collapsed="false">
      <c r="A121" s="11" t="s">
        <v>456</v>
      </c>
      <c r="B121" s="66" t="n">
        <f aca="false">SUM(C121:W121)</f>
        <v>21284.209038017</v>
      </c>
      <c r="C121" s="95" t="n">
        <v>0</v>
      </c>
      <c r="D121" s="95" t="n">
        <f aca="false">D119*ConRate*$B$11</f>
        <v>1981.1239052578</v>
      </c>
      <c r="E121" s="95" t="n">
        <f aca="false">E119*ConRate*$B$11</f>
        <v>1981.1239052578</v>
      </c>
      <c r="F121" s="95" t="n">
        <f aca="false">F119*ConRate*$B$11</f>
        <v>1981.1239052578</v>
      </c>
      <c r="G121" s="95" t="n">
        <f aca="false">G119*ConRate*$B$11</f>
        <v>1981.1239052578</v>
      </c>
      <c r="H121" s="95" t="n">
        <f aca="false">H119*ConRate*$B$11</f>
        <v>1981.1239052578</v>
      </c>
      <c r="I121" s="95" t="n">
        <f aca="false">I119*ConRate*$B$11</f>
        <v>1981.1239052578</v>
      </c>
      <c r="J121" s="95" t="n">
        <f aca="false">J119*ConRate*$B$11</f>
        <v>1808.30946335457</v>
      </c>
      <c r="K121" s="95" t="n">
        <f aca="false">K119*ConRate*$B$11</f>
        <v>1630.31058819424</v>
      </c>
      <c r="L121" s="95" t="n">
        <f aca="false">L119*ConRate*$B$11</f>
        <v>1446.9717467791</v>
      </c>
      <c r="M121" s="95" t="n">
        <f aca="false">M119*ConRate*$B$11</f>
        <v>1258.13274012151</v>
      </c>
      <c r="N121" s="95" t="n">
        <f aca="false">N119*ConRate*$B$11</f>
        <v>1063.62856326419</v>
      </c>
      <c r="O121" s="95" t="n">
        <f aca="false">O119*ConRate*$B$11</f>
        <v>863.289261101156</v>
      </c>
      <c r="P121" s="95" t="n">
        <f aca="false">P119*ConRate*$B$11</f>
        <v>656.939779873227</v>
      </c>
      <c r="Q121" s="95" t="n">
        <f aca="false">Q119*ConRate*$B$11</f>
        <v>444.39981420846</v>
      </c>
      <c r="R121" s="95" t="n">
        <f aca="false">R119*ConRate*$B$11</f>
        <v>225.48364957375</v>
      </c>
      <c r="S121" s="95" t="n">
        <f aca="false">S119*ConRate*$B$11</f>
        <v>0</v>
      </c>
      <c r="T121" s="95" t="n">
        <f aca="false">T119*ConRate*$B$11</f>
        <v>0</v>
      </c>
      <c r="U121" s="95" t="n">
        <f aca="false">U119*ConRate*$B$11</f>
        <v>0</v>
      </c>
      <c r="V121" s="95" t="n">
        <f aca="false">V119*ConRate*$B$11</f>
        <v>0</v>
      </c>
      <c r="W121" s="95" t="n">
        <f aca="false">W119*ConRate*$B$11</f>
        <v>0</v>
      </c>
    </row>
    <row r="122" customFormat="false" ht="15" hidden="false" customHeight="false" outlineLevel="0" collapsed="false">
      <c r="A122" s="11" t="s">
        <v>457</v>
      </c>
      <c r="B122" s="66" t="n">
        <f aca="false">SUM(C122:W122)</f>
        <v>66037.4635085932</v>
      </c>
      <c r="C122" s="95" t="n">
        <v>0</v>
      </c>
      <c r="D122" s="95" t="n">
        <f aca="false">IF(AND(D39&gt;ConGrace,D39&lt;=ConTenor),PMT(ConRate*$B$11,ConTenor-ConGrace,-S_Capex_Lo!$B$17)-D121,0)</f>
        <v>0</v>
      </c>
      <c r="E122" s="95" t="n">
        <f aca="false">IF(AND(E39&gt;ConGrace,E39&lt;=ConTenor),PMT(ConRate*$B$11,ConTenor-ConGrace,-S_Capex_Lo!$B$17)-E121,0)</f>
        <v>0</v>
      </c>
      <c r="F122" s="95" t="n">
        <f aca="false">IF(AND(F39&gt;ConGrace,F39&lt;=ConTenor),PMT(ConRate*$B$11,ConTenor-ConGrace,-S_Capex_Lo!$B$17)-F121,0)</f>
        <v>0</v>
      </c>
      <c r="G122" s="95" t="n">
        <f aca="false">IF(AND(G39&gt;ConGrace,G39&lt;=ConTenor),PMT(ConRate*$B$11,ConTenor-ConGrace,-S_Capex_Lo!$B$17)-G121,0)</f>
        <v>0</v>
      </c>
      <c r="H122" s="95" t="n">
        <f aca="false">IF(AND(H39&gt;ConGrace,H39&lt;=ConTenor),PMT(ConRate*$B$11,ConTenor-ConGrace,-S_Capex_Lo!$B$17)-H121,0)</f>
        <v>0</v>
      </c>
      <c r="I122" s="95" t="n">
        <f aca="false">IF(AND(I39&gt;ConGrace,I39&lt;=ConTenor),PMT(ConRate*$B$11,ConTenor-ConGrace,-S_Capex_Lo!$B$17)-I121,0)</f>
        <v>5760.48139677433</v>
      </c>
      <c r="J122" s="95" t="n">
        <f aca="false">IF(AND(J39&gt;ConGrace,J39&lt;=ConTenor),PMT(ConRate*$B$11,ConTenor-ConGrace,-S_Capex_Lo!$B$17)-J121,0)</f>
        <v>5933.29583867756</v>
      </c>
      <c r="K122" s="95" t="n">
        <f aca="false">IF(AND(K39&gt;ConGrace,K39&lt;=ConTenor),PMT(ConRate*$B$11,ConTenor-ConGrace,-S_Capex_Lo!$B$17)-K121,0)</f>
        <v>6111.29471383788</v>
      </c>
      <c r="L122" s="95" t="n">
        <f aca="false">IF(AND(L39&gt;ConGrace,L39&lt;=ConTenor),PMT(ConRate*$B$11,ConTenor-ConGrace,-S_Capex_Lo!$B$17)-L121,0)</f>
        <v>6294.63355525302</v>
      </c>
      <c r="M122" s="95" t="n">
        <f aca="false">IF(AND(M39&gt;ConGrace,M39&lt;=ConTenor),PMT(ConRate*$B$11,ConTenor-ConGrace,-S_Capex_Lo!$B$17)-M121,0)</f>
        <v>6483.47256191061</v>
      </c>
      <c r="N122" s="95" t="n">
        <f aca="false">IF(AND(N39&gt;ConGrace,N39&lt;=ConTenor),PMT(ConRate*$B$11,ConTenor-ConGrace,-S_Capex_Lo!$B$17)-N121,0)</f>
        <v>6677.97673876793</v>
      </c>
      <c r="O122" s="95" t="n">
        <f aca="false">IF(AND(O39&gt;ConGrace,O39&lt;=ConTenor),PMT(ConRate*$B$11,ConTenor-ConGrace,-S_Capex_Lo!$B$17)-O121,0)</f>
        <v>6878.31604093097</v>
      </c>
      <c r="P122" s="95" t="n">
        <f aca="false">IF(AND(P39&gt;ConGrace,P39&lt;=ConTenor),PMT(ConRate*$B$11,ConTenor-ConGrace,-S_Capex_Lo!$B$17)-P121,0)</f>
        <v>7084.66552215889</v>
      </c>
      <c r="Q122" s="95" t="n">
        <f aca="false">IF(AND(Q39&gt;ConGrace,Q39&lt;=ConTenor),PMT(ConRate*$B$11,ConTenor-ConGrace,-S_Capex_Lo!$B$17)-Q121,0)</f>
        <v>7297.20548782366</v>
      </c>
      <c r="R122" s="95" t="n">
        <f aca="false">IF(AND(R39&gt;ConGrace,R39&lt;=ConTenor),PMT(ConRate*$B$11,ConTenor-ConGrace,-S_Capex_Lo!$B$17)-R121,0)</f>
        <v>7516.12165245837</v>
      </c>
      <c r="S122" s="95" t="n">
        <f aca="false">IF(AND(S39&gt;ConGrace,S39&lt;=ConTenor),PMT(ConRate*$B$11,ConTenor-ConGrace,-S_Capex_Lo!$B$17)-S121,0)</f>
        <v>0</v>
      </c>
      <c r="T122" s="95" t="n">
        <f aca="false">IF(AND(T39&gt;ConGrace,T39&lt;=ConTenor),PMT(ConRate*$B$11,ConTenor-ConGrace,-S_Capex_Lo!$B$17)-T121,0)</f>
        <v>0</v>
      </c>
      <c r="U122" s="95" t="n">
        <f aca="false">IF(AND(U39&gt;ConGrace,U39&lt;=ConTenor),PMT(ConRate*$B$11,ConTenor-ConGrace,-S_Capex_Lo!$B$17)-U121,0)</f>
        <v>0</v>
      </c>
      <c r="V122" s="95" t="n">
        <f aca="false">IF(AND(V39&gt;ConGrace,V39&lt;=ConTenor),PMT(ConRate*$B$11,ConTenor-ConGrace,-S_Capex_Lo!$B$17)-V121,0)</f>
        <v>0</v>
      </c>
      <c r="W122" s="95" t="n">
        <f aca="false">IF(AND(W39&gt;ConGrace,W39&lt;=ConTenor),PMT(ConRate*$B$11,ConTenor-ConGrace,-S_Capex_Lo!$B$17)-W121,0)</f>
        <v>0</v>
      </c>
    </row>
    <row r="123" customFormat="false" ht="15" hidden="false" customHeight="false" outlineLevel="0" collapsed="false">
      <c r="A123" s="11" t="s">
        <v>458</v>
      </c>
      <c r="C123" s="95" t="n">
        <f aca="false">0+C120-0</f>
        <v>66037.4635085932</v>
      </c>
      <c r="D123" s="95" t="n">
        <f aca="false">D119+D120-D122</f>
        <v>66037.4635085932</v>
      </c>
      <c r="E123" s="95" t="n">
        <f aca="false">E119+E120-E122</f>
        <v>66037.4635085932</v>
      </c>
      <c r="F123" s="95" t="n">
        <f aca="false">F119+F120-F122</f>
        <v>66037.4635085932</v>
      </c>
      <c r="G123" s="95" t="n">
        <f aca="false">G119+G120-G122</f>
        <v>66037.4635085932</v>
      </c>
      <c r="H123" s="95" t="n">
        <f aca="false">H119+H120-H122</f>
        <v>66037.4635085932</v>
      </c>
      <c r="I123" s="95" t="n">
        <f aca="false">I119+I120-I122</f>
        <v>60276.9821118189</v>
      </c>
      <c r="J123" s="95" t="n">
        <f aca="false">J119+J120-J122</f>
        <v>54343.6862731413</v>
      </c>
      <c r="K123" s="95" t="n">
        <f aca="false">K119+K120-K122</f>
        <v>48232.3915593034</v>
      </c>
      <c r="L123" s="95" t="n">
        <f aca="false">L119+L120-L122</f>
        <v>41937.7580040504</v>
      </c>
      <c r="M123" s="95" t="n">
        <f aca="false">M119+M120-M122</f>
        <v>35454.2854421398</v>
      </c>
      <c r="N123" s="95" t="n">
        <f aca="false">N119+N120-N122</f>
        <v>28776.3087033719</v>
      </c>
      <c r="O123" s="95" t="n">
        <f aca="false">O119+O120-O122</f>
        <v>21897.9926624409</v>
      </c>
      <c r="P123" s="95" t="n">
        <f aca="false">P119+P120-P122</f>
        <v>14813.327140282</v>
      </c>
      <c r="Q123" s="95" t="n">
        <f aca="false">Q119+Q120-Q122</f>
        <v>7516.12165245835</v>
      </c>
      <c r="R123" s="95" t="n">
        <f aca="false">R119+R120-R122</f>
        <v>0</v>
      </c>
      <c r="S123" s="95" t="n">
        <f aca="false">S119+S120-S122</f>
        <v>0</v>
      </c>
      <c r="T123" s="95" t="n">
        <f aca="false">T119+T120-T122</f>
        <v>0</v>
      </c>
      <c r="U123" s="95" t="n">
        <f aca="false">U119+U120-U122</f>
        <v>0</v>
      </c>
      <c r="V123" s="95" t="n">
        <f aca="false">V119+V120-V122</f>
        <v>0</v>
      </c>
      <c r="W123" s="95" t="n">
        <f aca="false">W119+W120-W122</f>
        <v>0</v>
      </c>
    </row>
    <row r="125" customFormat="false" ht="15" hidden="false" customHeight="false" outlineLevel="0" collapsed="false">
      <c r="A125" s="16" t="s">
        <v>460</v>
      </c>
      <c r="B125" s="66" t="n">
        <f aca="false">SUM(C125:W125)</f>
        <v>199555.785012336</v>
      </c>
      <c r="C125" s="31" t="n">
        <v>0</v>
      </c>
      <c r="D125" s="31" t="n">
        <f aca="false">D114+D115+D121+D122</f>
        <v>8584.87025611712</v>
      </c>
      <c r="E125" s="31" t="n">
        <f aca="false">E114+E115+E121+E122</f>
        <v>8584.87025611712</v>
      </c>
      <c r="F125" s="31" t="n">
        <f aca="false">F114+F115+F121+F122</f>
        <v>14359.4513757586</v>
      </c>
      <c r="G125" s="31" t="n">
        <f aca="false">G114+G115+G121+G122</f>
        <v>14359.4513757586</v>
      </c>
      <c r="H125" s="31" t="n">
        <f aca="false">H114+H115+H121+H122</f>
        <v>14359.4513757586</v>
      </c>
      <c r="I125" s="31" t="n">
        <f aca="false">I114+I115+I121+I122</f>
        <v>20119.932772533</v>
      </c>
      <c r="J125" s="31" t="n">
        <f aca="false">J114+J115+J121+J122</f>
        <v>20119.932772533</v>
      </c>
      <c r="K125" s="31" t="n">
        <f aca="false">K114+K115+K121+K122</f>
        <v>20119.932772533</v>
      </c>
      <c r="L125" s="31" t="n">
        <f aca="false">L114+L115+L121+L122</f>
        <v>20119.932772533</v>
      </c>
      <c r="M125" s="31" t="n">
        <f aca="false">M114+M115+M121+M122</f>
        <v>20119.932772533</v>
      </c>
      <c r="N125" s="31" t="n">
        <f aca="false">N114+N115+N121+N122</f>
        <v>7741.60530203212</v>
      </c>
      <c r="O125" s="31" t="n">
        <f aca="false">O114+O115+O121+O122</f>
        <v>7741.60530203212</v>
      </c>
      <c r="P125" s="31" t="n">
        <f aca="false">P114+P115+P121+P122</f>
        <v>7741.60530203212</v>
      </c>
      <c r="Q125" s="31" t="n">
        <f aca="false">Q114+Q115+Q121+Q122</f>
        <v>7741.60530203212</v>
      </c>
      <c r="R125" s="31" t="n">
        <f aca="false">R114+R115+R121+R122</f>
        <v>7741.60530203212</v>
      </c>
      <c r="S125" s="31" t="n">
        <f aca="false">S114+S115+S121+S122</f>
        <v>-4.18367562815547E-012</v>
      </c>
      <c r="T125" s="31" t="n">
        <f aca="false">T114+T115+T121+T122</f>
        <v>-4.18367562815547E-012</v>
      </c>
      <c r="U125" s="31" t="n">
        <f aca="false">U114+U115+U121+U122</f>
        <v>-4.18367562815547E-012</v>
      </c>
      <c r="V125" s="31" t="n">
        <f aca="false">V114+V115+V121+V122</f>
        <v>-4.18367562815547E-012</v>
      </c>
      <c r="W125" s="31" t="n">
        <f aca="false">W114+W115+W121+W122</f>
        <v>-4.18367562815547E-012</v>
      </c>
    </row>
    <row r="126" customFormat="false" ht="15" hidden="false" customHeight="false" outlineLevel="0" collapsed="false">
      <c r="A126" s="11" t="s">
        <v>461</v>
      </c>
      <c r="C126" s="96" t="n">
        <v>0</v>
      </c>
      <c r="D126" s="96" t="n">
        <f aca="false">IF(D39&lt;=SenGrace,SenRate*$B$11,IF(D39&lt;=SenTenor,PMT(SenRate*$B$11,SenTenor-SenGrace,-1),0))</f>
        <v>0.1</v>
      </c>
      <c r="E126" s="96" t="n">
        <f aca="false">IF(E39&lt;=SenGrace,SenRate*$B$11,IF(E39&lt;=SenTenor,PMT(SenRate*$B$11,SenTenor-SenGrace,-1),0))</f>
        <v>0.1</v>
      </c>
      <c r="F126" s="96" t="n">
        <f aca="false">IF(F39&lt;=SenGrace,SenRate*$B$11,IF(F39&lt;=SenTenor,PMT(SenRate*$B$11,SenTenor-SenGrace,-1),0))</f>
        <v>0.187444017574813</v>
      </c>
      <c r="G126" s="96" t="n">
        <f aca="false">IF(G39&lt;=SenGrace,SenRate*$B$11,IF(G39&lt;=SenTenor,PMT(SenRate*$B$11,SenTenor-SenGrace,-1),0))</f>
        <v>0.187444017574813</v>
      </c>
      <c r="H126" s="96" t="n">
        <f aca="false">IF(H39&lt;=SenGrace,SenRate*$B$11,IF(H39&lt;=SenTenor,PMT(SenRate*$B$11,SenTenor-SenGrace,-1),0))</f>
        <v>0.187444017574813</v>
      </c>
      <c r="I126" s="96" t="n">
        <f aca="false">IF(I39&lt;=SenGrace,SenRate*$B$11,IF(I39&lt;=SenTenor,PMT(SenRate*$B$11,SenTenor-SenGrace,-1),0))</f>
        <v>0.187444017574813</v>
      </c>
      <c r="J126" s="96" t="n">
        <f aca="false">IF(J39&lt;=SenGrace,SenRate*$B$11,IF(J39&lt;=SenTenor,PMT(SenRate*$B$11,SenTenor-SenGrace,-1),0))</f>
        <v>0.187444017574813</v>
      </c>
      <c r="K126" s="96" t="n">
        <f aca="false">IF(K39&lt;=SenGrace,SenRate*$B$11,IF(K39&lt;=SenTenor,PMT(SenRate*$B$11,SenTenor-SenGrace,-1),0))</f>
        <v>0.187444017574813</v>
      </c>
      <c r="L126" s="96" t="n">
        <f aca="false">IF(L39&lt;=SenGrace,SenRate*$B$11,IF(L39&lt;=SenTenor,PMT(SenRate*$B$11,SenTenor-SenGrace,-1),0))</f>
        <v>0.187444017574813</v>
      </c>
      <c r="M126" s="96" t="n">
        <f aca="false">IF(M39&lt;=SenGrace,SenRate*$B$11,IF(M39&lt;=SenTenor,PMT(SenRate*$B$11,SenTenor-SenGrace,-1),0))</f>
        <v>0.187444017574813</v>
      </c>
      <c r="N126" s="96" t="n">
        <f aca="false">IF(N39&lt;=SenGrace,SenRate*$B$11,IF(N39&lt;=SenTenor,PMT(SenRate*$B$11,SenTenor-SenGrace,-1),0))</f>
        <v>0</v>
      </c>
      <c r="O126" s="96" t="n">
        <f aca="false">IF(O39&lt;=SenGrace,SenRate*$B$11,IF(O39&lt;=SenTenor,PMT(SenRate*$B$11,SenTenor-SenGrace,-1),0))</f>
        <v>0</v>
      </c>
      <c r="P126" s="96" t="n">
        <f aca="false">IF(P39&lt;=SenGrace,SenRate*$B$11,IF(P39&lt;=SenTenor,PMT(SenRate*$B$11,SenTenor-SenGrace,-1),0))</f>
        <v>0</v>
      </c>
      <c r="Q126" s="96" t="n">
        <f aca="false">IF(Q39&lt;=SenGrace,SenRate*$B$11,IF(Q39&lt;=SenTenor,PMT(SenRate*$B$11,SenTenor-SenGrace,-1),0))</f>
        <v>0</v>
      </c>
      <c r="R126" s="96" t="n">
        <f aca="false">IF(R39&lt;=SenGrace,SenRate*$B$11,IF(R39&lt;=SenTenor,PMT(SenRate*$B$11,SenTenor-SenGrace,-1),0))</f>
        <v>0</v>
      </c>
      <c r="S126" s="96" t="n">
        <f aca="false">IF(S39&lt;=SenGrace,SenRate*$B$11,IF(S39&lt;=SenTenor,PMT(SenRate*$B$11,SenTenor-SenGrace,-1),0))</f>
        <v>0</v>
      </c>
      <c r="T126" s="96" t="n">
        <f aca="false">IF(T39&lt;=SenGrace,SenRate*$B$11,IF(T39&lt;=SenTenor,PMT(SenRate*$B$11,SenTenor-SenGrace,-1),0))</f>
        <v>0</v>
      </c>
      <c r="U126" s="96" t="n">
        <f aca="false">IF(U39&lt;=SenGrace,SenRate*$B$11,IF(U39&lt;=SenTenor,PMT(SenRate*$B$11,SenTenor-SenGrace,-1),0))</f>
        <v>0</v>
      </c>
      <c r="V126" s="96" t="n">
        <f aca="false">IF(V39&lt;=SenGrace,SenRate*$B$11,IF(V39&lt;=SenTenor,PMT(SenRate*$B$11,SenTenor-SenGrace,-1),0))</f>
        <v>0</v>
      </c>
      <c r="W126" s="96" t="n">
        <f aca="false">IF(W39&lt;=SenGrace,SenRate*$B$11,IF(W39&lt;=SenTenor,PMT(SenRate*$B$11,SenTenor-SenGrace,-1),0))</f>
        <v>0</v>
      </c>
    </row>
    <row r="127" customFormat="false" ht="15" hidden="false" customHeight="false" outlineLevel="0" collapsed="false">
      <c r="A127" s="11" t="s">
        <v>462</v>
      </c>
      <c r="C127" s="95" t="n">
        <v>0</v>
      </c>
      <c r="D127" s="95" t="n">
        <f aca="false">IF(D126&gt;0,(D147/MinDSCR-D121-D122)/D126,1000000000000)</f>
        <v>1153435.43597786</v>
      </c>
      <c r="E127" s="95" t="n">
        <f aca="false">IF(E126&gt;0,(E147/MinDSCR-E121-E122)/E126,1000000000000)</f>
        <v>669783.093775725</v>
      </c>
      <c r="F127" s="95" t="n">
        <f aca="false">IF(F126&gt;0,(F147/MinDSCR-F121-F122)/F126,1000000000000)</f>
        <v>336497.472055482</v>
      </c>
      <c r="G127" s="95" t="n">
        <f aca="false">IF(G126&gt;0,(G147/MinDSCR-G121-G122)/G126,1000000000000)</f>
        <v>196634.327653048</v>
      </c>
      <c r="H127" s="95" t="n">
        <f aca="false">IF(H126&gt;0,(H147/MinDSCR-H121-H122)/H126,1000000000000)</f>
        <v>220309.886675007</v>
      </c>
      <c r="I127" s="95" t="n">
        <f aca="false">IF(I126&gt;0,(I147/MinDSCR-I121-I122)/I126,1000000000000)</f>
        <v>214902.861996136</v>
      </c>
      <c r="J127" s="95" t="n">
        <f aca="false">IF(J126&gt;0,(J147/MinDSCR-J121-J122)/J126,1000000000000)</f>
        <v>234275.874806206</v>
      </c>
      <c r="K127" s="95" t="n">
        <f aca="false">IF(K126&gt;0,(K147/MinDSCR-K121-K122)/K126,1000000000000)</f>
        <v>230391.478184702</v>
      </c>
      <c r="L127" s="95" t="n">
        <f aca="false">IF(L126&gt;0,(L147/MinDSCR-L121-L122)/L126,1000000000000)</f>
        <v>207530.219905002</v>
      </c>
      <c r="M127" s="95" t="n">
        <f aca="false">IF(M126&gt;0,(M147/MinDSCR-M121-M122)/M126,1000000000000)</f>
        <v>201954.483115251</v>
      </c>
      <c r="N127" s="95" t="n">
        <f aca="false">IF(N126&gt;0,(N147/MinDSCR-N121-N122)/N126,1000000000000)</f>
        <v>1000000000000</v>
      </c>
      <c r="O127" s="95" t="n">
        <f aca="false">IF(O126&gt;0,(O147/MinDSCR-O121-O122)/O126,1000000000000)</f>
        <v>1000000000000</v>
      </c>
      <c r="P127" s="95" t="n">
        <f aca="false">IF(P126&gt;0,(P147/MinDSCR-P121-P122)/P126,1000000000000)</f>
        <v>1000000000000</v>
      </c>
      <c r="Q127" s="95" t="n">
        <f aca="false">IF(Q126&gt;0,(Q147/MinDSCR-Q121-Q122)/Q126,1000000000000)</f>
        <v>1000000000000</v>
      </c>
      <c r="R127" s="95" t="n">
        <f aca="false">IF(R126&gt;0,(R147/MinDSCR-R121-R122)/R126,1000000000000)</f>
        <v>1000000000000</v>
      </c>
      <c r="S127" s="95" t="n">
        <f aca="false">IF(S126&gt;0,(S147/MinDSCR-S121-S122)/S126,1000000000000)</f>
        <v>1000000000000</v>
      </c>
      <c r="T127" s="95" t="n">
        <f aca="false">IF(T126&gt;0,(T147/MinDSCR-T121-T122)/T126,1000000000000)</f>
        <v>1000000000000</v>
      </c>
      <c r="U127" s="95" t="n">
        <f aca="false">IF(U126&gt;0,(U147/MinDSCR-U121-U122)/U126,1000000000000)</f>
        <v>1000000000000</v>
      </c>
      <c r="V127" s="95" t="n">
        <f aca="false">IF(V126&gt;0,(V147/MinDSCR-V121-V122)/V126,1000000000000)</f>
        <v>1000000000000</v>
      </c>
      <c r="W127" s="95" t="n">
        <f aca="false">IF(W126&gt;0,(W147/MinDSCR-W121-W122)/W126,1000000000000)</f>
        <v>1000000000000</v>
      </c>
    </row>
    <row r="128" customFormat="false" ht="15" hidden="false" customHeight="false" outlineLevel="0" collapsed="false">
      <c r="A128" s="11" t="s">
        <v>463</v>
      </c>
      <c r="C128" s="95" t="n">
        <f aca="false">DSRAPct*D125</f>
        <v>4292.43512805856</v>
      </c>
      <c r="D128" s="95" t="n">
        <f aca="false">DSRAPct*E125</f>
        <v>4292.43512805856</v>
      </c>
      <c r="E128" s="95" t="n">
        <f aca="false">DSRAPct*F125</f>
        <v>7179.72568787932</v>
      </c>
      <c r="F128" s="95" t="n">
        <f aca="false">DSRAPct*G125</f>
        <v>7179.72568787932</v>
      </c>
      <c r="G128" s="95" t="n">
        <f aca="false">DSRAPct*H125</f>
        <v>7179.72568787932</v>
      </c>
      <c r="H128" s="95" t="n">
        <f aca="false">DSRAPct*I125</f>
        <v>10059.9663862665</v>
      </c>
      <c r="I128" s="95" t="n">
        <f aca="false">DSRAPct*J125</f>
        <v>10059.9663862665</v>
      </c>
      <c r="J128" s="95" t="n">
        <f aca="false">DSRAPct*K125</f>
        <v>10059.9663862665</v>
      </c>
      <c r="K128" s="95" t="n">
        <f aca="false">DSRAPct*L125</f>
        <v>10059.9663862665</v>
      </c>
      <c r="L128" s="95" t="n">
        <f aca="false">DSRAPct*M125</f>
        <v>10059.9663862665</v>
      </c>
      <c r="M128" s="95" t="n">
        <f aca="false">DSRAPct*N125</f>
        <v>3870.80265101606</v>
      </c>
      <c r="N128" s="95" t="n">
        <f aca="false">DSRAPct*O125</f>
        <v>3870.80265101606</v>
      </c>
      <c r="O128" s="95" t="n">
        <f aca="false">DSRAPct*P125</f>
        <v>3870.80265101606</v>
      </c>
      <c r="P128" s="95" t="n">
        <f aca="false">DSRAPct*Q125</f>
        <v>3870.80265101606</v>
      </c>
      <c r="Q128" s="95" t="n">
        <f aca="false">DSRAPct*R125</f>
        <v>3870.80265101606</v>
      </c>
      <c r="R128" s="95" t="n">
        <f aca="false">DSRAPct*S125</f>
        <v>-2.09183781407774E-012</v>
      </c>
      <c r="S128" s="95" t="n">
        <f aca="false">DSRAPct*T125</f>
        <v>-2.09183781407774E-012</v>
      </c>
      <c r="T128" s="95" t="n">
        <f aca="false">DSRAPct*U125</f>
        <v>-2.09183781407774E-012</v>
      </c>
      <c r="U128" s="95" t="n">
        <f aca="false">DSRAPct*V125</f>
        <v>-2.09183781407774E-012</v>
      </c>
      <c r="V128" s="95" t="n">
        <f aca="false">DSRAPct*W125</f>
        <v>-2.09183781407774E-012</v>
      </c>
      <c r="W128" s="95" t="n">
        <f aca="false">0</f>
        <v>0</v>
      </c>
    </row>
    <row r="129" customFormat="false" ht="15" hidden="false" customHeight="false" outlineLevel="0" collapsed="false">
      <c r="A129" s="11" t="s">
        <v>464</v>
      </c>
      <c r="B129" s="66" t="n">
        <f aca="false">SUM(C129:W129)</f>
        <v>-1.54614099301398E-012</v>
      </c>
      <c r="C129" s="95" t="n">
        <f aca="false">C128</f>
        <v>4292.43512805856</v>
      </c>
      <c r="D129" s="95" t="n">
        <f aca="false">D128-C128</f>
        <v>0</v>
      </c>
      <c r="E129" s="95" t="n">
        <f aca="false">E128-D128</f>
        <v>2887.29055982076</v>
      </c>
      <c r="F129" s="95" t="n">
        <f aca="false">F128-E128</f>
        <v>0</v>
      </c>
      <c r="G129" s="95" t="n">
        <f aca="false">G128-F128</f>
        <v>0</v>
      </c>
      <c r="H129" s="95" t="n">
        <f aca="false">H128-G128</f>
        <v>2880.24069838716</v>
      </c>
      <c r="I129" s="95" t="n">
        <f aca="false">I128-H128</f>
        <v>0</v>
      </c>
      <c r="J129" s="95" t="n">
        <f aca="false">J128-I128</f>
        <v>0</v>
      </c>
      <c r="K129" s="95" t="n">
        <f aca="false">K128-J128</f>
        <v>0</v>
      </c>
      <c r="L129" s="95" t="n">
        <f aca="false">L128-K128</f>
        <v>0</v>
      </c>
      <c r="M129" s="95" t="n">
        <f aca="false">M128-L128</f>
        <v>-6189.16373525043</v>
      </c>
      <c r="N129" s="95" t="n">
        <f aca="false">N128-M128</f>
        <v>0</v>
      </c>
      <c r="O129" s="95" t="n">
        <f aca="false">O128-N128</f>
        <v>0</v>
      </c>
      <c r="P129" s="95" t="n">
        <f aca="false">P128-O128</f>
        <v>0</v>
      </c>
      <c r="Q129" s="95" t="n">
        <f aca="false">Q128-P128</f>
        <v>0</v>
      </c>
      <c r="R129" s="95" t="n">
        <f aca="false">R128-Q128</f>
        <v>-3870.80265101606</v>
      </c>
      <c r="S129" s="95" t="n">
        <f aca="false">S128-R128</f>
        <v>0</v>
      </c>
      <c r="T129" s="95" t="n">
        <f aca="false">T128-S128</f>
        <v>0</v>
      </c>
      <c r="U129" s="95" t="n">
        <f aca="false">U128-T128</f>
        <v>0</v>
      </c>
      <c r="V129" s="95" t="n">
        <f aca="false">V128-U128</f>
        <v>0</v>
      </c>
      <c r="W129" s="95" t="n">
        <f aca="false">W128-V128</f>
        <v>2.09183781407774E-012</v>
      </c>
    </row>
    <row r="131" customFormat="false" ht="15" hidden="false" customHeight="false" outlineLevel="0" collapsed="false">
      <c r="A131" s="9" t="s">
        <v>465</v>
      </c>
      <c r="B131" s="10"/>
      <c r="C131" s="10"/>
      <c r="D131" s="10"/>
      <c r="E131" s="10"/>
      <c r="F131" s="10"/>
      <c r="G131" s="10"/>
      <c r="H131" s="10"/>
      <c r="I131" s="10"/>
      <c r="J131" s="10"/>
      <c r="K131" s="10"/>
      <c r="L131" s="10"/>
      <c r="M131" s="10"/>
      <c r="N131" s="10"/>
      <c r="O131" s="10"/>
      <c r="P131" s="10"/>
      <c r="Q131" s="10"/>
      <c r="R131" s="10"/>
      <c r="S131" s="10"/>
      <c r="T131" s="10"/>
      <c r="U131" s="10"/>
      <c r="V131" s="10"/>
      <c r="W131" s="10"/>
    </row>
    <row r="132" customFormat="false" ht="15" hidden="false" customHeight="false" outlineLevel="0" collapsed="false">
      <c r="A132" s="11" t="s">
        <v>466</v>
      </c>
      <c r="B132" s="66" t="n">
        <f aca="false">SUM(C132:W132)</f>
        <v>930187.317542966</v>
      </c>
      <c r="C132" s="95" t="n">
        <v>0</v>
      </c>
      <c r="D132" s="95" t="n">
        <f aca="false">IF(D39&lt;=MIN(DepYears,Life),S_Capex_Lo!$B$14/DepYears,0)</f>
        <v>62012.4878361977</v>
      </c>
      <c r="E132" s="95" t="n">
        <f aca="false">IF(E39&lt;=MIN(DepYears,Life),S_Capex_Lo!$B$14/DepYears,0)</f>
        <v>62012.4878361977</v>
      </c>
      <c r="F132" s="95" t="n">
        <f aca="false">IF(F39&lt;=MIN(DepYears,Life),S_Capex_Lo!$B$14/DepYears,0)</f>
        <v>62012.4878361977</v>
      </c>
      <c r="G132" s="95" t="n">
        <f aca="false">IF(G39&lt;=MIN(DepYears,Life),S_Capex_Lo!$B$14/DepYears,0)</f>
        <v>62012.4878361977</v>
      </c>
      <c r="H132" s="95" t="n">
        <f aca="false">IF(H39&lt;=MIN(DepYears,Life),S_Capex_Lo!$B$14/DepYears,0)</f>
        <v>62012.4878361977</v>
      </c>
      <c r="I132" s="95" t="n">
        <f aca="false">IF(I39&lt;=MIN(DepYears,Life),S_Capex_Lo!$B$14/DepYears,0)</f>
        <v>62012.4878361977</v>
      </c>
      <c r="J132" s="95" t="n">
        <f aca="false">IF(J39&lt;=MIN(DepYears,Life),S_Capex_Lo!$B$14/DepYears,0)</f>
        <v>62012.4878361977</v>
      </c>
      <c r="K132" s="95" t="n">
        <f aca="false">IF(K39&lt;=MIN(DepYears,Life),S_Capex_Lo!$B$14/DepYears,0)</f>
        <v>62012.4878361977</v>
      </c>
      <c r="L132" s="95" t="n">
        <f aca="false">IF(L39&lt;=MIN(DepYears,Life),S_Capex_Lo!$B$14/DepYears,0)</f>
        <v>62012.4878361977</v>
      </c>
      <c r="M132" s="95" t="n">
        <f aca="false">IF(M39&lt;=MIN(DepYears,Life),S_Capex_Lo!$B$14/DepYears,0)</f>
        <v>62012.4878361977</v>
      </c>
      <c r="N132" s="95" t="n">
        <f aca="false">IF(N39&lt;=MIN(DepYears,Life),S_Capex_Lo!$B$14/DepYears,0)</f>
        <v>62012.4878361977</v>
      </c>
      <c r="O132" s="95" t="n">
        <f aca="false">IF(O39&lt;=MIN(DepYears,Life),S_Capex_Lo!$B$14/DepYears,0)</f>
        <v>62012.4878361977</v>
      </c>
      <c r="P132" s="95" t="n">
        <f aca="false">IF(P39&lt;=MIN(DepYears,Life),S_Capex_Lo!$B$14/DepYears,0)</f>
        <v>62012.4878361977</v>
      </c>
      <c r="Q132" s="95" t="n">
        <f aca="false">IF(Q39&lt;=MIN(DepYears,Life),S_Capex_Lo!$B$14/DepYears,0)</f>
        <v>62012.4878361977</v>
      </c>
      <c r="R132" s="95" t="n">
        <f aca="false">IF(R39&lt;=MIN(DepYears,Life),S_Capex_Lo!$B$14/DepYears,0)</f>
        <v>62012.4878361977</v>
      </c>
      <c r="S132" s="95" t="n">
        <f aca="false">IF(S39&lt;=MIN(DepYears,Life),S_Capex_Lo!$B$14/DepYears,0)</f>
        <v>0</v>
      </c>
      <c r="T132" s="95" t="n">
        <f aca="false">IF(T39&lt;=MIN(DepYears,Life),S_Capex_Lo!$B$14/DepYears,0)</f>
        <v>0</v>
      </c>
      <c r="U132" s="95" t="n">
        <f aca="false">IF(U39&lt;=MIN(DepYears,Life),S_Capex_Lo!$B$14/DepYears,0)</f>
        <v>0</v>
      </c>
      <c r="V132" s="95" t="n">
        <f aca="false">IF(V39&lt;=MIN(DepYears,Life),S_Capex_Lo!$B$14/DepYears,0)</f>
        <v>0</v>
      </c>
      <c r="W132" s="95" t="n">
        <f aca="false">IF(W39&lt;=MIN(DepYears,Life),S_Capex_Lo!$B$14/DepYears,0)</f>
        <v>0</v>
      </c>
    </row>
    <row r="133" customFormat="false" ht="15" hidden="false" customHeight="false" outlineLevel="0" collapsed="false">
      <c r="A133" s="11" t="s">
        <v>467</v>
      </c>
      <c r="B133" s="66" t="n">
        <f aca="false">SUM(C133:W133)</f>
        <v>409784.236895416</v>
      </c>
      <c r="C133" s="95" t="n">
        <v>0</v>
      </c>
      <c r="D133" s="95" t="n">
        <f aca="false">D98-D132</f>
        <v>-44100.0763117705</v>
      </c>
      <c r="E133" s="95" t="n">
        <f aca="false">E98-E132</f>
        <v>-18774.8807980482</v>
      </c>
      <c r="F133" s="95" t="n">
        <f aca="false">F98-F132</f>
        <v>1350.08649671012</v>
      </c>
      <c r="G133" s="95" t="n">
        <f aca="false">G98-G132</f>
        <v>5068.62389003999</v>
      </c>
      <c r="H133" s="95" t="n">
        <f aca="false">H98-H132</f>
        <v>10837.8183618674</v>
      </c>
      <c r="I133" s="95" t="n">
        <f aca="false">I98-I132</f>
        <v>17008.87542006</v>
      </c>
      <c r="J133" s="95" t="n">
        <f aca="false">J98-J132</f>
        <v>21729.6373798022</v>
      </c>
      <c r="K133" s="95" t="n">
        <f aca="false">K98-K132</f>
        <v>20783.0983986369</v>
      </c>
      <c r="L133" s="95" t="n">
        <f aca="false">L98-L132</f>
        <v>19638.1378281426</v>
      </c>
      <c r="M133" s="95" t="n">
        <f aca="false">M98-M132</f>
        <v>18279.4577718886</v>
      </c>
      <c r="N133" s="95" t="n">
        <f aca="false">N98-N132</f>
        <v>16690.7573519904</v>
      </c>
      <c r="O133" s="95" t="n">
        <f aca="false">O98-O132</f>
        <v>14854.6701106175</v>
      </c>
      <c r="P133" s="95" t="n">
        <f aca="false">P98-P132</f>
        <v>12752.6975692333</v>
      </c>
      <c r="Q133" s="95" t="n">
        <f aca="false">Q98-Q132</f>
        <v>10365.1387110576</v>
      </c>
      <c r="R133" s="95" t="n">
        <f aca="false">R98-R132</f>
        <v>7671.01513795425</v>
      </c>
      <c r="S133" s="95" t="n">
        <f aca="false">S98-S132</f>
        <v>66660.4794739864</v>
      </c>
      <c r="T133" s="95" t="n">
        <f aca="false">T98-T132</f>
        <v>63284.7797184179</v>
      </c>
      <c r="U133" s="95" t="n">
        <f aca="false">U98-U132</f>
        <v>59531.096794032</v>
      </c>
      <c r="V133" s="95" t="n">
        <f aca="false">V98-V132</f>
        <v>55372.4982516153</v>
      </c>
      <c r="W133" s="95" t="n">
        <f aca="false">W98-W132</f>
        <v>50780.3253391818</v>
      </c>
    </row>
    <row r="134" customFormat="false" ht="15" hidden="false" customHeight="false" outlineLevel="0" collapsed="false">
      <c r="A134" s="11" t="s">
        <v>468</v>
      </c>
      <c r="C134" s="95" t="n">
        <v>0</v>
      </c>
      <c r="D134" s="95" t="n">
        <f aca="false">0</f>
        <v>0</v>
      </c>
      <c r="E134" s="95" t="n">
        <f aca="false">D136</f>
        <v>44100.0763117705</v>
      </c>
      <c r="F134" s="95" t="n">
        <f aca="false">E136</f>
        <v>62874.9571098188</v>
      </c>
      <c r="G134" s="95" t="n">
        <f aca="false">F136</f>
        <v>61524.8706131087</v>
      </c>
      <c r="H134" s="95" t="n">
        <f aca="false">G136</f>
        <v>56456.2467230687</v>
      </c>
      <c r="I134" s="95" t="n">
        <f aca="false">H136</f>
        <v>45618.4283612013</v>
      </c>
      <c r="J134" s="95" t="n">
        <f aca="false">I136</f>
        <v>28609.5529411413</v>
      </c>
      <c r="K134" s="95" t="n">
        <f aca="false">J136</f>
        <v>6879.91556133908</v>
      </c>
      <c r="L134" s="95" t="n">
        <f aca="false">K136</f>
        <v>0</v>
      </c>
      <c r="M134" s="95" t="n">
        <f aca="false">L136</f>
        <v>0</v>
      </c>
      <c r="N134" s="95" t="n">
        <f aca="false">M136</f>
        <v>0</v>
      </c>
      <c r="O134" s="95" t="n">
        <f aca="false">N136</f>
        <v>0</v>
      </c>
      <c r="P134" s="95" t="n">
        <f aca="false">O136</f>
        <v>0</v>
      </c>
      <c r="Q134" s="95" t="n">
        <f aca="false">P136</f>
        <v>0</v>
      </c>
      <c r="R134" s="95" t="n">
        <f aca="false">Q136</f>
        <v>0</v>
      </c>
      <c r="S134" s="95" t="n">
        <f aca="false">R136</f>
        <v>0</v>
      </c>
      <c r="T134" s="95" t="n">
        <f aca="false">S136</f>
        <v>0</v>
      </c>
      <c r="U134" s="95" t="n">
        <f aca="false">T136</f>
        <v>0</v>
      </c>
      <c r="V134" s="95" t="n">
        <f aca="false">U136</f>
        <v>0</v>
      </c>
      <c r="W134" s="95" t="n">
        <f aca="false">V136</f>
        <v>0</v>
      </c>
    </row>
    <row r="135" customFormat="false" ht="15" hidden="false" customHeight="false" outlineLevel="0" collapsed="false">
      <c r="A135" s="11" t="s">
        <v>469</v>
      </c>
      <c r="C135" s="95" t="n">
        <v>0</v>
      </c>
      <c r="D135" s="95" t="n">
        <f aca="false">MIN(D134,MAX(D133,0))</f>
        <v>0</v>
      </c>
      <c r="E135" s="95" t="n">
        <f aca="false">MIN(E134,MAX(E133,0))</f>
        <v>0</v>
      </c>
      <c r="F135" s="95" t="n">
        <f aca="false">MIN(F134,MAX(F133,0))</f>
        <v>1350.08649671012</v>
      </c>
      <c r="G135" s="95" t="n">
        <f aca="false">MIN(G134,MAX(G133,0))</f>
        <v>5068.62389003999</v>
      </c>
      <c r="H135" s="95" t="n">
        <f aca="false">MIN(H134,MAX(H133,0))</f>
        <v>10837.8183618674</v>
      </c>
      <c r="I135" s="95" t="n">
        <f aca="false">MIN(I134,MAX(I133,0))</f>
        <v>17008.87542006</v>
      </c>
      <c r="J135" s="95" t="n">
        <f aca="false">MIN(J134,MAX(J133,0))</f>
        <v>21729.6373798022</v>
      </c>
      <c r="K135" s="95" t="n">
        <f aca="false">MIN(K134,MAX(K133,0))</f>
        <v>6879.91556133908</v>
      </c>
      <c r="L135" s="95" t="n">
        <f aca="false">MIN(L134,MAX(L133,0))</f>
        <v>0</v>
      </c>
      <c r="M135" s="95" t="n">
        <f aca="false">MIN(M134,MAX(M133,0))</f>
        <v>0</v>
      </c>
      <c r="N135" s="95" t="n">
        <f aca="false">MIN(N134,MAX(N133,0))</f>
        <v>0</v>
      </c>
      <c r="O135" s="95" t="n">
        <f aca="false">MIN(O134,MAX(O133,0))</f>
        <v>0</v>
      </c>
      <c r="P135" s="95" t="n">
        <f aca="false">MIN(P134,MAX(P133,0))</f>
        <v>0</v>
      </c>
      <c r="Q135" s="95" t="n">
        <f aca="false">MIN(Q134,MAX(Q133,0))</f>
        <v>0</v>
      </c>
      <c r="R135" s="95" t="n">
        <f aca="false">MIN(R134,MAX(R133,0))</f>
        <v>0</v>
      </c>
      <c r="S135" s="95" t="n">
        <f aca="false">MIN(S134,MAX(S133,0))</f>
        <v>0</v>
      </c>
      <c r="T135" s="95" t="n">
        <f aca="false">MIN(T134,MAX(T133,0))</f>
        <v>0</v>
      </c>
      <c r="U135" s="95" t="n">
        <f aca="false">MIN(U134,MAX(U133,0))</f>
        <v>0</v>
      </c>
      <c r="V135" s="95" t="n">
        <f aca="false">MIN(V134,MAX(V133,0))</f>
        <v>0</v>
      </c>
      <c r="W135" s="95" t="n">
        <f aca="false">MIN(W134,MAX(W133,0))</f>
        <v>0</v>
      </c>
    </row>
    <row r="136" customFormat="false" ht="15" hidden="false" customHeight="false" outlineLevel="0" collapsed="false">
      <c r="A136" s="11" t="s">
        <v>470</v>
      </c>
      <c r="C136" s="95" t="n">
        <v>0</v>
      </c>
      <c r="D136" s="95" t="n">
        <f aca="false">D134-D135+MAX(-D133,0)</f>
        <v>44100.0763117705</v>
      </c>
      <c r="E136" s="95" t="n">
        <f aca="false">E134-E135+MAX(-E133,0)</f>
        <v>62874.9571098188</v>
      </c>
      <c r="F136" s="95" t="n">
        <f aca="false">F134-F135+MAX(-F133,0)</f>
        <v>61524.8706131087</v>
      </c>
      <c r="G136" s="95" t="n">
        <f aca="false">G134-G135+MAX(-G133,0)</f>
        <v>56456.2467230687</v>
      </c>
      <c r="H136" s="95" t="n">
        <f aca="false">H134-H135+MAX(-H133,0)</f>
        <v>45618.4283612013</v>
      </c>
      <c r="I136" s="95" t="n">
        <f aca="false">I134-I135+MAX(-I133,0)</f>
        <v>28609.5529411413</v>
      </c>
      <c r="J136" s="95" t="n">
        <f aca="false">J134-J135+MAX(-J133,0)</f>
        <v>6879.91556133908</v>
      </c>
      <c r="K136" s="95" t="n">
        <f aca="false">K134-K135+MAX(-K133,0)</f>
        <v>0</v>
      </c>
      <c r="L136" s="95" t="n">
        <f aca="false">L134-L135+MAX(-L133,0)</f>
        <v>0</v>
      </c>
      <c r="M136" s="95" t="n">
        <f aca="false">M134-M135+MAX(-M133,0)</f>
        <v>0</v>
      </c>
      <c r="N136" s="95" t="n">
        <f aca="false">N134-N135+MAX(-N133,0)</f>
        <v>0</v>
      </c>
      <c r="O136" s="95" t="n">
        <f aca="false">O134-O135+MAX(-O133,0)</f>
        <v>0</v>
      </c>
      <c r="P136" s="95" t="n">
        <f aca="false">P134-P135+MAX(-P133,0)</f>
        <v>0</v>
      </c>
      <c r="Q136" s="95" t="n">
        <f aca="false">Q134-Q135+MAX(-Q133,0)</f>
        <v>0</v>
      </c>
      <c r="R136" s="95" t="n">
        <f aca="false">R134-R135+MAX(-R133,0)</f>
        <v>0</v>
      </c>
      <c r="S136" s="95" t="n">
        <f aca="false">S134-S135+MAX(-S133,0)</f>
        <v>0</v>
      </c>
      <c r="T136" s="95" t="n">
        <f aca="false">T134-T135+MAX(-T133,0)</f>
        <v>0</v>
      </c>
      <c r="U136" s="95" t="n">
        <f aca="false">U134-U135+MAX(-U133,0)</f>
        <v>0</v>
      </c>
      <c r="V136" s="95" t="n">
        <f aca="false">V134-V135+MAX(-V133,0)</f>
        <v>0</v>
      </c>
      <c r="W136" s="95" t="n">
        <f aca="false">W134-W135+MAX(-W133,0)</f>
        <v>0</v>
      </c>
    </row>
    <row r="137" customFormat="false" ht="15" hidden="false" customHeight="false" outlineLevel="0" collapsed="false">
      <c r="A137" s="11" t="s">
        <v>471</v>
      </c>
      <c r="B137" s="66" t="n">
        <f aca="false">SUM(C137:W137)</f>
        <v>102446.059223854</v>
      </c>
      <c r="C137" s="95" t="n">
        <v>0</v>
      </c>
      <c r="D137" s="95" t="n">
        <f aca="false">(MAX(D133,0)-D135)*TaxRate</f>
        <v>0</v>
      </c>
      <c r="E137" s="95" t="n">
        <f aca="false">(MAX(E133,0)-E135)*TaxRate</f>
        <v>0</v>
      </c>
      <c r="F137" s="95" t="n">
        <f aca="false">(MAX(F133,0)-F135)*TaxRate</f>
        <v>0</v>
      </c>
      <c r="G137" s="95" t="n">
        <f aca="false">(MAX(G133,0)-G135)*TaxRate</f>
        <v>0</v>
      </c>
      <c r="H137" s="95" t="n">
        <f aca="false">(MAX(H133,0)-H135)*TaxRate</f>
        <v>0</v>
      </c>
      <c r="I137" s="95" t="n">
        <f aca="false">(MAX(I133,0)-I135)*TaxRate</f>
        <v>0</v>
      </c>
      <c r="J137" s="95" t="n">
        <f aca="false">(MAX(J133,0)-J135)*TaxRate</f>
        <v>0</v>
      </c>
      <c r="K137" s="95" t="n">
        <f aca="false">(MAX(K133,0)-K135)*TaxRate</f>
        <v>3475.79570932445</v>
      </c>
      <c r="L137" s="95" t="n">
        <f aca="false">(MAX(L133,0)-L135)*TaxRate</f>
        <v>4909.53445703566</v>
      </c>
      <c r="M137" s="95" t="n">
        <f aca="false">(MAX(M133,0)-M135)*TaxRate</f>
        <v>4569.86444297216</v>
      </c>
      <c r="N137" s="95" t="n">
        <f aca="false">(MAX(N133,0)-N135)*TaxRate</f>
        <v>4172.6893379976</v>
      </c>
      <c r="O137" s="95" t="n">
        <f aca="false">(MAX(O133,0)-O135)*TaxRate</f>
        <v>3713.66752765438</v>
      </c>
      <c r="P137" s="95" t="n">
        <f aca="false">(MAX(P133,0)-P135)*TaxRate</f>
        <v>3188.17439230833</v>
      </c>
      <c r="Q137" s="95" t="n">
        <f aca="false">(MAX(Q133,0)-Q135)*TaxRate</f>
        <v>2591.28467776439</v>
      </c>
      <c r="R137" s="95" t="n">
        <f aca="false">(MAX(R133,0)-R135)*TaxRate</f>
        <v>1917.75378448856</v>
      </c>
      <c r="S137" s="95" t="n">
        <f aca="false">(MAX(S133,0)-S135)*TaxRate</f>
        <v>16665.1198684966</v>
      </c>
      <c r="T137" s="95" t="n">
        <f aca="false">(MAX(T133,0)-T135)*TaxRate</f>
        <v>15821.1949296045</v>
      </c>
      <c r="U137" s="95" t="n">
        <f aca="false">(MAX(U133,0)-U135)*TaxRate</f>
        <v>14882.774198508</v>
      </c>
      <c r="V137" s="95" t="n">
        <f aca="false">(MAX(V133,0)-V135)*TaxRate</f>
        <v>13843.1245629038</v>
      </c>
      <c r="W137" s="95" t="n">
        <f aca="false">(MAX(W133,0)-W135)*TaxRate</f>
        <v>12695.0813347955</v>
      </c>
    </row>
    <row r="138" customFormat="false" ht="15" hidden="false" customHeight="false" outlineLevel="0" collapsed="false">
      <c r="A138" s="11" t="s">
        <v>472</v>
      </c>
      <c r="B138" s="66" t="n">
        <f aca="false">SUM(C138:W138)</f>
        <v>342303.378900266</v>
      </c>
      <c r="C138" s="95" t="n">
        <v>0</v>
      </c>
      <c r="D138" s="95" t="n">
        <f aca="false">D98-D132-D114-D121</f>
        <v>-52684.9465678877</v>
      </c>
      <c r="E138" s="95" t="n">
        <f aca="false">E98-E132-E114-E121</f>
        <v>-27359.7510541654</v>
      </c>
      <c r="F138" s="95" t="n">
        <f aca="false">F98-F132-F114-F121</f>
        <v>-7234.78375940699</v>
      </c>
      <c r="G138" s="95" t="n">
        <f aca="false">G98-G132-G114-G121</f>
        <v>-2938.78825411297</v>
      </c>
      <c r="H138" s="95" t="n">
        <f aca="false">H98-H132-H114-H121</f>
        <v>3465.61014087498</v>
      </c>
      <c r="I138" s="95" t="n">
        <f aca="false">I98-I132-I114-I121</f>
        <v>10335.3915145442</v>
      </c>
      <c r="J138" s="95" t="n">
        <f aca="false">J98-J132-J114-J121</f>
        <v>15997.564663214</v>
      </c>
      <c r="K138" s="95" t="n">
        <f aca="false">K98-K132-K114-K121</f>
        <v>16074.4809789357</v>
      </c>
      <c r="L138" s="95" t="n">
        <f aca="false">L98-L132-L114-L121</f>
        <v>16042.8613137559</v>
      </c>
      <c r="M138" s="95" t="n">
        <f aca="false">M98-M132-M114-M121</f>
        <v>15896.0225344489</v>
      </c>
      <c r="N138" s="95" t="n">
        <f aca="false">N98-N132-N114-N121</f>
        <v>15627.1287887262</v>
      </c>
      <c r="O138" s="95" t="n">
        <f aca="false">O98-O132-O114-O121</f>
        <v>13991.3808495164</v>
      </c>
      <c r="P138" s="95" t="n">
        <f aca="false">P98-P132-P114-P121</f>
        <v>12095.7577893601</v>
      </c>
      <c r="Q138" s="95" t="n">
        <f aca="false">Q98-Q132-Q114-Q121</f>
        <v>9920.7388968491</v>
      </c>
      <c r="R138" s="95" t="n">
        <f aca="false">R98-R132-R114-R121</f>
        <v>7445.53148838051</v>
      </c>
      <c r="S138" s="95" t="n">
        <f aca="false">S98-S132-S114-S121</f>
        <v>66660.4794739864</v>
      </c>
      <c r="T138" s="95" t="n">
        <f aca="false">T98-T132-T114-T121</f>
        <v>63284.7797184179</v>
      </c>
      <c r="U138" s="95" t="n">
        <f aca="false">U98-U132-U114-U121</f>
        <v>59531.096794032</v>
      </c>
      <c r="V138" s="95" t="n">
        <f aca="false">V98-V132-V114-V121</f>
        <v>55372.4982516153</v>
      </c>
      <c r="W138" s="95" t="n">
        <f aca="false">W98-W132-W114-W121</f>
        <v>50780.3253391818</v>
      </c>
    </row>
    <row r="139" customFormat="false" ht="15" hidden="false" customHeight="false" outlineLevel="0" collapsed="false">
      <c r="A139" s="11" t="s">
        <v>468</v>
      </c>
      <c r="C139" s="95" t="n">
        <v>0</v>
      </c>
      <c r="D139" s="95" t="n">
        <f aca="false">0</f>
        <v>0</v>
      </c>
      <c r="E139" s="95" t="n">
        <f aca="false">D141</f>
        <v>52684.9465678877</v>
      </c>
      <c r="F139" s="95" t="n">
        <f aca="false">E141</f>
        <v>80044.697622053</v>
      </c>
      <c r="G139" s="95" t="n">
        <f aca="false">F141</f>
        <v>87279.48138146</v>
      </c>
      <c r="H139" s="95" t="n">
        <f aca="false">G141</f>
        <v>90218.269635573</v>
      </c>
      <c r="I139" s="95" t="n">
        <f aca="false">H141</f>
        <v>86752.659494698</v>
      </c>
      <c r="J139" s="95" t="n">
        <f aca="false">I141</f>
        <v>76417.2679801538</v>
      </c>
      <c r="K139" s="95" t="n">
        <f aca="false">J141</f>
        <v>60419.7033169398</v>
      </c>
      <c r="L139" s="95" t="n">
        <f aca="false">K141</f>
        <v>44345.2223380041</v>
      </c>
      <c r="M139" s="95" t="n">
        <f aca="false">L141</f>
        <v>28302.3610242482</v>
      </c>
      <c r="N139" s="95" t="n">
        <f aca="false">M141</f>
        <v>12406.3384897993</v>
      </c>
      <c r="O139" s="95" t="n">
        <f aca="false">N141</f>
        <v>0</v>
      </c>
      <c r="P139" s="95" t="n">
        <f aca="false">O141</f>
        <v>0</v>
      </c>
      <c r="Q139" s="95" t="n">
        <f aca="false">P141</f>
        <v>0</v>
      </c>
      <c r="R139" s="95" t="n">
        <f aca="false">Q141</f>
        <v>0</v>
      </c>
      <c r="S139" s="95" t="n">
        <f aca="false">R141</f>
        <v>0</v>
      </c>
      <c r="T139" s="95" t="n">
        <f aca="false">S141</f>
        <v>0</v>
      </c>
      <c r="U139" s="95" t="n">
        <f aca="false">T141</f>
        <v>0</v>
      </c>
      <c r="V139" s="95" t="n">
        <f aca="false">U141</f>
        <v>0</v>
      </c>
      <c r="W139" s="95" t="n">
        <f aca="false">V141</f>
        <v>0</v>
      </c>
    </row>
    <row r="140" customFormat="false" ht="15" hidden="false" customHeight="false" outlineLevel="0" collapsed="false">
      <c r="A140" s="11" t="s">
        <v>469</v>
      </c>
      <c r="C140" s="95" t="n">
        <v>0</v>
      </c>
      <c r="D140" s="95" t="n">
        <f aca="false">MIN(D139,MAX(D138,0))</f>
        <v>0</v>
      </c>
      <c r="E140" s="95" t="n">
        <f aca="false">MIN(E139,MAX(E138,0))</f>
        <v>0</v>
      </c>
      <c r="F140" s="95" t="n">
        <f aca="false">MIN(F139,MAX(F138,0))</f>
        <v>0</v>
      </c>
      <c r="G140" s="95" t="n">
        <f aca="false">MIN(G139,MAX(G138,0))</f>
        <v>0</v>
      </c>
      <c r="H140" s="95" t="n">
        <f aca="false">MIN(H139,MAX(H138,0))</f>
        <v>3465.61014087498</v>
      </c>
      <c r="I140" s="95" t="n">
        <f aca="false">MIN(I139,MAX(I138,0))</f>
        <v>10335.3915145442</v>
      </c>
      <c r="J140" s="95" t="n">
        <f aca="false">MIN(J139,MAX(J138,0))</f>
        <v>15997.564663214</v>
      </c>
      <c r="K140" s="95" t="n">
        <f aca="false">MIN(K139,MAX(K138,0))</f>
        <v>16074.4809789357</v>
      </c>
      <c r="L140" s="95" t="n">
        <f aca="false">MIN(L139,MAX(L138,0))</f>
        <v>16042.8613137559</v>
      </c>
      <c r="M140" s="95" t="n">
        <f aca="false">MIN(M139,MAX(M138,0))</f>
        <v>15896.0225344489</v>
      </c>
      <c r="N140" s="95" t="n">
        <f aca="false">MIN(N139,MAX(N138,0))</f>
        <v>12406.3384897993</v>
      </c>
      <c r="O140" s="95" t="n">
        <f aca="false">MIN(O139,MAX(O138,0))</f>
        <v>0</v>
      </c>
      <c r="P140" s="95" t="n">
        <f aca="false">MIN(P139,MAX(P138,0))</f>
        <v>0</v>
      </c>
      <c r="Q140" s="95" t="n">
        <f aca="false">MIN(Q139,MAX(Q138,0))</f>
        <v>0</v>
      </c>
      <c r="R140" s="95" t="n">
        <f aca="false">MIN(R139,MAX(R138,0))</f>
        <v>0</v>
      </c>
      <c r="S140" s="95" t="n">
        <f aca="false">MIN(S139,MAX(S138,0))</f>
        <v>0</v>
      </c>
      <c r="T140" s="95" t="n">
        <f aca="false">MIN(T139,MAX(T138,0))</f>
        <v>0</v>
      </c>
      <c r="U140" s="95" t="n">
        <f aca="false">MIN(U139,MAX(U138,0))</f>
        <v>0</v>
      </c>
      <c r="V140" s="95" t="n">
        <f aca="false">MIN(V139,MAX(V138,0))</f>
        <v>0</v>
      </c>
      <c r="W140" s="95" t="n">
        <f aca="false">MIN(W139,MAX(W138,0))</f>
        <v>0</v>
      </c>
    </row>
    <row r="141" customFormat="false" ht="15" hidden="false" customHeight="false" outlineLevel="0" collapsed="false">
      <c r="A141" s="11" t="s">
        <v>470</v>
      </c>
      <c r="C141" s="95" t="n">
        <v>0</v>
      </c>
      <c r="D141" s="95" t="n">
        <f aca="false">D139-D140+MAX(-D138,0)</f>
        <v>52684.9465678877</v>
      </c>
      <c r="E141" s="95" t="n">
        <f aca="false">E139-E140+MAX(-E138,0)</f>
        <v>80044.697622053</v>
      </c>
      <c r="F141" s="95" t="n">
        <f aca="false">F139-F140+MAX(-F138,0)</f>
        <v>87279.48138146</v>
      </c>
      <c r="G141" s="95" t="n">
        <f aca="false">G139-G140+MAX(-G138,0)</f>
        <v>90218.269635573</v>
      </c>
      <c r="H141" s="95" t="n">
        <f aca="false">H139-H140+MAX(-H138,0)</f>
        <v>86752.659494698</v>
      </c>
      <c r="I141" s="95" t="n">
        <f aca="false">I139-I140+MAX(-I138,0)</f>
        <v>76417.2679801538</v>
      </c>
      <c r="J141" s="95" t="n">
        <f aca="false">J139-J140+MAX(-J138,0)</f>
        <v>60419.7033169398</v>
      </c>
      <c r="K141" s="95" t="n">
        <f aca="false">K139-K140+MAX(-K138,0)</f>
        <v>44345.2223380041</v>
      </c>
      <c r="L141" s="95" t="n">
        <f aca="false">L139-L140+MAX(-L138,0)</f>
        <v>28302.3610242482</v>
      </c>
      <c r="M141" s="95" t="n">
        <f aca="false">M139-M140+MAX(-M138,0)</f>
        <v>12406.3384897993</v>
      </c>
      <c r="N141" s="95" t="n">
        <f aca="false">N139-N140+MAX(-N138,0)</f>
        <v>0</v>
      </c>
      <c r="O141" s="95" t="n">
        <f aca="false">O139-O140+MAX(-O138,0)</f>
        <v>0</v>
      </c>
      <c r="P141" s="95" t="n">
        <f aca="false">P139-P140+MAX(-P138,0)</f>
        <v>0</v>
      </c>
      <c r="Q141" s="95" t="n">
        <f aca="false">Q139-Q140+MAX(-Q138,0)</f>
        <v>0</v>
      </c>
      <c r="R141" s="95" t="n">
        <f aca="false">R139-R140+MAX(-R138,0)</f>
        <v>0</v>
      </c>
      <c r="S141" s="95" t="n">
        <f aca="false">S139-S140+MAX(-S138,0)</f>
        <v>0</v>
      </c>
      <c r="T141" s="95" t="n">
        <f aca="false">T139-T140+MAX(-T138,0)</f>
        <v>0</v>
      </c>
      <c r="U141" s="95" t="n">
        <f aca="false">U139-U140+MAX(-U138,0)</f>
        <v>0</v>
      </c>
      <c r="V141" s="95" t="n">
        <f aca="false">V139-V140+MAX(-V138,0)</f>
        <v>0</v>
      </c>
      <c r="W141" s="95" t="n">
        <f aca="false">W139-W140+MAX(-W138,0)</f>
        <v>0</v>
      </c>
    </row>
    <row r="142" customFormat="false" ht="15" hidden="false" customHeight="false" outlineLevel="0" collapsed="false">
      <c r="A142" s="11" t="s">
        <v>473</v>
      </c>
      <c r="B142" s="66" t="n">
        <f aca="false">SUM(C142:W142)</f>
        <v>85575.8447250666</v>
      </c>
      <c r="C142" s="95" t="n">
        <v>0</v>
      </c>
      <c r="D142" s="95" t="n">
        <f aca="false">(MAX(D138,0)-D140)*TaxRate</f>
        <v>0</v>
      </c>
      <c r="E142" s="95" t="n">
        <f aca="false">(MAX(E138,0)-E140)*TaxRate</f>
        <v>0</v>
      </c>
      <c r="F142" s="95" t="n">
        <f aca="false">(MAX(F138,0)-F140)*TaxRate</f>
        <v>0</v>
      </c>
      <c r="G142" s="95" t="n">
        <f aca="false">(MAX(G138,0)-G140)*TaxRate</f>
        <v>0</v>
      </c>
      <c r="H142" s="95" t="n">
        <f aca="false">(MAX(H138,0)-H140)*TaxRate</f>
        <v>0</v>
      </c>
      <c r="I142" s="95" t="n">
        <f aca="false">(MAX(I138,0)-I140)*TaxRate</f>
        <v>0</v>
      </c>
      <c r="J142" s="95" t="n">
        <f aca="false">(MAX(J138,0)-J140)*TaxRate</f>
        <v>0</v>
      </c>
      <c r="K142" s="95" t="n">
        <f aca="false">(MAX(K138,0)-K140)*TaxRate</f>
        <v>0</v>
      </c>
      <c r="L142" s="95" t="n">
        <f aca="false">(MAX(L138,0)-L140)*TaxRate</f>
        <v>0</v>
      </c>
      <c r="M142" s="95" t="n">
        <f aca="false">(MAX(M138,0)-M140)*TaxRate</f>
        <v>0</v>
      </c>
      <c r="N142" s="95" t="n">
        <f aca="false">(MAX(N138,0)-N140)*TaxRate</f>
        <v>805.197574731723</v>
      </c>
      <c r="O142" s="95" t="n">
        <f aca="false">(MAX(O138,0)-O140)*TaxRate</f>
        <v>3497.84521237909</v>
      </c>
      <c r="P142" s="95" t="n">
        <f aca="false">(MAX(P138,0)-P140)*TaxRate</f>
        <v>3023.93944734002</v>
      </c>
      <c r="Q142" s="95" t="n">
        <f aca="false">(MAX(Q138,0)-Q140)*TaxRate</f>
        <v>2480.18472421228</v>
      </c>
      <c r="R142" s="95" t="n">
        <f aca="false">(MAX(R138,0)-R140)*TaxRate</f>
        <v>1861.38287209513</v>
      </c>
      <c r="S142" s="95" t="n">
        <f aca="false">(MAX(S138,0)-S140)*TaxRate</f>
        <v>16665.1198684966</v>
      </c>
      <c r="T142" s="95" t="n">
        <f aca="false">(MAX(T138,0)-T140)*TaxRate</f>
        <v>15821.1949296045</v>
      </c>
      <c r="U142" s="95" t="n">
        <f aca="false">(MAX(U138,0)-U140)*TaxRate</f>
        <v>14882.774198508</v>
      </c>
      <c r="V142" s="95" t="n">
        <f aca="false">(MAX(V138,0)-V140)*TaxRate</f>
        <v>13843.1245629038</v>
      </c>
      <c r="W142" s="95" t="n">
        <f aca="false">(MAX(W138,0)-W140)*TaxRate</f>
        <v>12695.0813347955</v>
      </c>
    </row>
    <row r="144" customFormat="false" ht="15" hidden="false" customHeight="false" outlineLevel="0" collapsed="false">
      <c r="A144" s="9" t="s">
        <v>474</v>
      </c>
      <c r="B144" s="10"/>
      <c r="C144" s="10"/>
      <c r="D144" s="10"/>
      <c r="E144" s="10"/>
      <c r="F144" s="10"/>
      <c r="G144" s="10"/>
      <c r="H144" s="10"/>
      <c r="I144" s="10"/>
      <c r="J144" s="10"/>
      <c r="K144" s="10"/>
      <c r="L144" s="10"/>
      <c r="M144" s="10"/>
      <c r="N144" s="10"/>
      <c r="O144" s="10"/>
      <c r="P144" s="10"/>
      <c r="Q144" s="10"/>
      <c r="R144" s="10"/>
      <c r="S144" s="10"/>
      <c r="T144" s="10"/>
      <c r="U144" s="10"/>
      <c r="V144" s="10"/>
      <c r="W144" s="10"/>
    </row>
    <row r="145" customFormat="false" ht="15" hidden="false" customHeight="false" outlineLevel="0" collapsed="false">
      <c r="A145" s="16" t="s">
        <v>475</v>
      </c>
      <c r="B145" s="66" t="n">
        <f aca="false">C145+NPV(Hurdle,D145:W145)</f>
        <v>-506180.231990638</v>
      </c>
      <c r="C145" s="31" t="n">
        <f aca="false">-C102+C98-C103-C137</f>
        <v>-930187.317542966</v>
      </c>
      <c r="D145" s="31" t="n">
        <f aca="false">-D102+D98-D103-D137</f>
        <v>17912.4115244272</v>
      </c>
      <c r="E145" s="31" t="n">
        <f aca="false">-E102+E98-E103-E137</f>
        <v>43237.6070381495</v>
      </c>
      <c r="F145" s="31" t="n">
        <f aca="false">-F102+F98-F103-F137</f>
        <v>63362.5743329079</v>
      </c>
      <c r="G145" s="31" t="n">
        <f aca="false">-G102+G98-G103-G137</f>
        <v>67081.1117262377</v>
      </c>
      <c r="H145" s="31" t="n">
        <f aca="false">-H102+H98-H103-H137</f>
        <v>72850.3061980651</v>
      </c>
      <c r="I145" s="31" t="n">
        <f aca="false">-I102+I98-I103-I137</f>
        <v>79021.3632562577</v>
      </c>
      <c r="J145" s="31" t="n">
        <f aca="false">-J102+J98-J103-J137</f>
        <v>83742.125216</v>
      </c>
      <c r="K145" s="31" t="n">
        <f aca="false">-K102+K98-K103-K137</f>
        <v>-53402.9596382509</v>
      </c>
      <c r="L145" s="31" t="n">
        <f aca="false">-L102+L98-L103-L137</f>
        <v>76741.0912073047</v>
      </c>
      <c r="M145" s="31" t="n">
        <f aca="false">-M102+M98-M103-M137</f>
        <v>75722.0811651142</v>
      </c>
      <c r="N145" s="31" t="n">
        <f aca="false">-N102+N98-N103-N137</f>
        <v>74530.5558501905</v>
      </c>
      <c r="O145" s="31" t="n">
        <f aca="false">-O102+O98-O103-O137</f>
        <v>73153.4904191609</v>
      </c>
      <c r="P145" s="31" t="n">
        <f aca="false">-P102+P98-P103-P137</f>
        <v>71577.0110131227</v>
      </c>
      <c r="Q145" s="31" t="n">
        <f aca="false">-Q102+Q98-Q103-Q137</f>
        <v>69786.3418694909</v>
      </c>
      <c r="R145" s="31" t="n">
        <f aca="false">-R102+R98-R103-R137</f>
        <v>67765.7491896634</v>
      </c>
      <c r="S145" s="31" t="n">
        <f aca="false">-S102+S98-S103-S137</f>
        <v>-118133.849421446</v>
      </c>
      <c r="T145" s="31" t="n">
        <f aca="false">-T102+T98-T103-T137</f>
        <v>47463.5847888134</v>
      </c>
      <c r="U145" s="31" t="n">
        <f aca="false">-U102+U98-U103-U137</f>
        <v>44648.322595524</v>
      </c>
      <c r="V145" s="31" t="n">
        <f aca="false">-V102+V98-V103-V137</f>
        <v>41529.3736887115</v>
      </c>
      <c r="W145" s="31" t="n">
        <f aca="false">-W102+W98-W103-W137</f>
        <v>38085.2440043864</v>
      </c>
    </row>
    <row r="146" customFormat="false" ht="15" hidden="false" customHeight="false" outlineLevel="0" collapsed="false">
      <c r="A146" s="16" t="s">
        <v>476</v>
      </c>
      <c r="B146" s="66" t="n">
        <f aca="false">C146+NPV(Hurdle,D146:W146)</f>
        <v>311740.128640466</v>
      </c>
      <c r="C146" s="31" t="n">
        <f aca="false">C145+C106+C108</f>
        <v>-330187.317542966</v>
      </c>
      <c r="D146" s="31" t="n">
        <f aca="false">D145+D106+D108</f>
        <v>169112.411524427</v>
      </c>
      <c r="E146" s="31" t="n">
        <f aca="false">E145+E106+E108</f>
        <v>106237.60703815</v>
      </c>
      <c r="F146" s="31" t="n">
        <f aca="false">F145+F106+F108</f>
        <v>101162.574332908</v>
      </c>
      <c r="G146" s="31" t="n">
        <f aca="false">G145+G106+G108</f>
        <v>67081.1117262377</v>
      </c>
      <c r="H146" s="31" t="n">
        <f aca="false">H145+H106+H108</f>
        <v>72850.3061980651</v>
      </c>
      <c r="I146" s="31" t="n">
        <f aca="false">I145+I106+I108</f>
        <v>79021.3632562577</v>
      </c>
      <c r="J146" s="31" t="n">
        <f aca="false">J145+J106+J108</f>
        <v>83742.125216</v>
      </c>
      <c r="K146" s="31" t="n">
        <f aca="false">K145+K106+K108</f>
        <v>-53402.9596382509</v>
      </c>
      <c r="L146" s="31" t="n">
        <f aca="false">L145+L106+L108</f>
        <v>76741.0912073047</v>
      </c>
      <c r="M146" s="31" t="n">
        <f aca="false">M145+M106+M108</f>
        <v>75722.0811651142</v>
      </c>
      <c r="N146" s="31" t="n">
        <f aca="false">N145+N106+N108</f>
        <v>74530.5558501905</v>
      </c>
      <c r="O146" s="31" t="n">
        <f aca="false">O145+O106+O108</f>
        <v>73153.4904191609</v>
      </c>
      <c r="P146" s="31" t="n">
        <f aca="false">P145+P106+P108</f>
        <v>71577.0110131227</v>
      </c>
      <c r="Q146" s="31" t="n">
        <f aca="false">Q145+Q106+Q108</f>
        <v>69786.3418694909</v>
      </c>
      <c r="R146" s="31" t="n">
        <f aca="false">R145+R106+R108</f>
        <v>67765.7491896634</v>
      </c>
      <c r="S146" s="31" t="n">
        <f aca="false">S145+S106+S108</f>
        <v>-118133.849421446</v>
      </c>
      <c r="T146" s="31" t="n">
        <f aca="false">T145+T106+T108</f>
        <v>47463.5847888134</v>
      </c>
      <c r="U146" s="31" t="n">
        <f aca="false">U145+U106+U108</f>
        <v>44648.322595524</v>
      </c>
      <c r="V146" s="31" t="n">
        <f aca="false">V145+V106+V108</f>
        <v>41529.3736887115</v>
      </c>
      <c r="W146" s="31" t="n">
        <f aca="false">W145+W106+W108</f>
        <v>38085.2440043864</v>
      </c>
    </row>
    <row r="147" customFormat="false" ht="15" hidden="false" customHeight="false" outlineLevel="0" collapsed="false">
      <c r="A147" s="11" t="s">
        <v>243</v>
      </c>
      <c r="B147" s="66" t="n">
        <f aca="false">SUM(C147:W147)</f>
        <v>1205543.75052262</v>
      </c>
      <c r="C147" s="95" t="n">
        <v>0</v>
      </c>
      <c r="D147" s="95" t="n">
        <f aca="false">D98-D105-D142+D108</f>
        <v>152522.067753957</v>
      </c>
      <c r="E147" s="95" t="n">
        <f aca="false">E98-E105-E142+E108</f>
        <v>89647.2632676794</v>
      </c>
      <c r="F147" s="95" t="n">
        <f aca="false">F98-F105-F142+F108</f>
        <v>84572.2305624377</v>
      </c>
      <c r="G147" s="95" t="n">
        <f aca="false">G98-G105-G142+G108</f>
        <v>50490.7679557676</v>
      </c>
      <c r="H147" s="95" t="n">
        <f aca="false">H98-H105-H142+H108</f>
        <v>56259.962427595</v>
      </c>
      <c r="I147" s="95" t="n">
        <f aca="false">I98-I105-I142+I108</f>
        <v>62431.0194857876</v>
      </c>
      <c r="J147" s="95" t="n">
        <f aca="false">J98-J105-J142+J108</f>
        <v>67151.7814455298</v>
      </c>
      <c r="K147" s="95" t="n">
        <f aca="false">K98-K105-K142+K108</f>
        <v>66205.2424643645</v>
      </c>
      <c r="L147" s="95" t="n">
        <f aca="false">L98-L105-L142+L108</f>
        <v>60634.4745359734</v>
      </c>
      <c r="M147" s="95" t="n">
        <f aca="false">M98-M105-M142+M108</f>
        <v>59275.7944797194</v>
      </c>
      <c r="N147" s="95" t="n">
        <f aca="false">N98-N105-N142+N108</f>
        <v>56881.8964850894</v>
      </c>
      <c r="O147" s="95" t="n">
        <f aca="false">O98-O105-O142+O108</f>
        <v>52353.1616060692</v>
      </c>
      <c r="P147" s="95" t="n">
        <f aca="false">P98-P105-P142+P108</f>
        <v>50725.094829724</v>
      </c>
      <c r="Q147" s="95" t="n">
        <f aca="false">Q98-Q105-Q142+Q108</f>
        <v>48881.290694676</v>
      </c>
      <c r="R147" s="95" t="n">
        <f aca="false">R98-R105-R142+R108</f>
        <v>46805.9689736899</v>
      </c>
      <c r="S147" s="95" t="n">
        <f aca="false">S98-S105-S142+S108</f>
        <v>28979.2084771228</v>
      </c>
      <c r="T147" s="95" t="n">
        <f aca="false">T98-T105-T142+T108</f>
        <v>47463.5847888134</v>
      </c>
      <c r="U147" s="95" t="n">
        <f aca="false">U98-U105-U142+U108</f>
        <v>44648.322595524</v>
      </c>
      <c r="V147" s="95" t="n">
        <f aca="false">V98-V105-V142+V108</f>
        <v>41529.3736887115</v>
      </c>
      <c r="W147" s="95" t="n">
        <f aca="false">W98-W105-W142+W108</f>
        <v>38085.2440043864</v>
      </c>
    </row>
    <row r="148" customFormat="false" ht="15" hidden="false" customHeight="false" outlineLevel="0" collapsed="false">
      <c r="A148" s="11" t="s">
        <v>477</v>
      </c>
      <c r="C148" s="97" t="n">
        <v>0</v>
      </c>
      <c r="D148" s="97" t="n">
        <f aca="false">IF(D125&gt;0,D147/D125,"")</f>
        <v>17.7663800620956</v>
      </c>
      <c r="E148" s="97" t="n">
        <f aca="false">IF(E125&gt;0,E147/E125,"")</f>
        <v>10.4424715334284</v>
      </c>
      <c r="F148" s="97" t="n">
        <f aca="false">IF(F125&gt;0,F147/F125,"")</f>
        <v>5.88965611215558</v>
      </c>
      <c r="G148" s="97" t="n">
        <f aca="false">IF(G125&gt;0,G147/G125,"")</f>
        <v>3.51620452860791</v>
      </c>
      <c r="H148" s="97" t="n">
        <f aca="false">IF(H125&gt;0,H147/H125,"")</f>
        <v>3.91797436791854</v>
      </c>
      <c r="I148" s="97" t="n">
        <f aca="false">IF(I125&gt;0,I147/I125,"")</f>
        <v>3.10294374198985</v>
      </c>
      <c r="J148" s="97" t="n">
        <f aca="false">IF(J125&gt;0,J147/J125,"")</f>
        <v>3.33757484205927</v>
      </c>
      <c r="K148" s="97" t="n">
        <f aca="false">IF(K125&gt;0,K147/K125,"")</f>
        <v>3.29053000389472</v>
      </c>
      <c r="L148" s="97" t="n">
        <f aca="false">IF(L125&gt;0,L147/L125,"")</f>
        <v>3.01365194513718</v>
      </c>
      <c r="M148" s="97" t="n">
        <f aca="false">IF(M125&gt;0,M147/M125,"")</f>
        <v>2.94612288966694</v>
      </c>
      <c r="N148" s="97" t="n">
        <f aca="false">IF(N125&gt;0,N147/N125,"")</f>
        <v>7.34755832490689</v>
      </c>
      <c r="O148" s="97" t="n">
        <f aca="false">IF(O125&gt;0,O147/O125,"")</f>
        <v>6.76257178757574</v>
      </c>
      <c r="P148" s="97" t="n">
        <f aca="false">IF(P125&gt;0,P147/P125,"")</f>
        <v>6.55227085994801</v>
      </c>
      <c r="Q148" s="97" t="n">
        <f aca="false">IF(Q125&gt;0,Q147/Q125,"")</f>
        <v>6.31410266832449</v>
      </c>
      <c r="R148" s="97" t="n">
        <f aca="false">IF(R125&gt;0,R147/R125,"")</f>
        <v>6.04602884642073</v>
      </c>
      <c r="S148" s="97" t="str">
        <f aca="false">IF(S125&gt;0,S147/S125,"")</f>
        <v/>
      </c>
      <c r="T148" s="97" t="str">
        <f aca="false">IF(T125&gt;0,T147/T125,"")</f>
        <v/>
      </c>
      <c r="U148" s="97" t="str">
        <f aca="false">IF(U125&gt;0,U147/U125,"")</f>
        <v/>
      </c>
      <c r="V148" s="97" t="str">
        <f aca="false">IF(V125&gt;0,V147/V125,"")</f>
        <v/>
      </c>
      <c r="W148" s="97" t="str">
        <f aca="false">IF(W125&gt;0,W147/W125,"")</f>
        <v/>
      </c>
    </row>
    <row r="149" customFormat="false" ht="15" hidden="false" customHeight="false" outlineLevel="0" collapsed="false">
      <c r="A149" s="16" t="s">
        <v>478</v>
      </c>
      <c r="B149" s="66" t="n">
        <f aca="false">C149+NPV(Hurdle,D149:W149)</f>
        <v>300074.817717206</v>
      </c>
      <c r="C149" s="31" t="n">
        <f aca="false">-S_Capex_Lo!$B$18-C129</f>
        <v>-202404.825653838</v>
      </c>
      <c r="D149" s="31" t="n">
        <f aca="false">D147-D125-D129</f>
        <v>143937.19749784</v>
      </c>
      <c r="E149" s="31" t="n">
        <f aca="false">E147-E125-E129</f>
        <v>78175.1024517415</v>
      </c>
      <c r="F149" s="31" t="n">
        <f aca="false">F147-F125-F129</f>
        <v>70212.7791866791</v>
      </c>
      <c r="G149" s="31" t="n">
        <f aca="false">G147-G125-G129</f>
        <v>36131.316580009</v>
      </c>
      <c r="H149" s="31" t="n">
        <f aca="false">H147-H125-H129</f>
        <v>39020.2703534492</v>
      </c>
      <c r="I149" s="31" t="n">
        <f aca="false">I147-I125-I129</f>
        <v>42311.0867132546</v>
      </c>
      <c r="J149" s="31" t="n">
        <f aca="false">J147-J125-J129</f>
        <v>47031.8486729969</v>
      </c>
      <c r="K149" s="31" t="n">
        <f aca="false">K147-K125-K129</f>
        <v>46085.3096918315</v>
      </c>
      <c r="L149" s="31" t="n">
        <f aca="false">L147-L125-L129</f>
        <v>40514.5417634404</v>
      </c>
      <c r="M149" s="31" t="n">
        <f aca="false">M147-M125-M129</f>
        <v>45345.0254424368</v>
      </c>
      <c r="N149" s="31" t="n">
        <f aca="false">N147-N125-N129</f>
        <v>49140.2911830573</v>
      </c>
      <c r="O149" s="31" t="n">
        <f aca="false">O147-O125-O129</f>
        <v>44611.556304037</v>
      </c>
      <c r="P149" s="31" t="n">
        <f aca="false">P147-P125-P129</f>
        <v>42983.4895276919</v>
      </c>
      <c r="Q149" s="31" t="n">
        <f aca="false">Q147-Q125-Q129</f>
        <v>41139.6853926439</v>
      </c>
      <c r="R149" s="31" t="n">
        <f aca="false">R147-R125-R129</f>
        <v>42935.1663226738</v>
      </c>
      <c r="S149" s="31" t="n">
        <f aca="false">S147-S125-S129</f>
        <v>28979.2084771228</v>
      </c>
      <c r="T149" s="31" t="n">
        <f aca="false">T147-T125-T129</f>
        <v>47463.5847888134</v>
      </c>
      <c r="U149" s="31" t="n">
        <f aca="false">U147-U125-U129</f>
        <v>44648.322595524</v>
      </c>
      <c r="V149" s="31" t="n">
        <f aca="false">V147-V125-V129</f>
        <v>41529.3736887115</v>
      </c>
      <c r="W149" s="31" t="n">
        <f aca="false">W147-W125-W129</f>
        <v>38085.2440043864</v>
      </c>
    </row>
    <row r="150" customFormat="false" ht="15" hidden="false" customHeight="false" outlineLevel="0" collapsed="false">
      <c r="A150" s="11" t="s">
        <v>479</v>
      </c>
      <c r="C150" s="95" t="n">
        <f aca="false">C149</f>
        <v>-202404.825653838</v>
      </c>
      <c r="D150" s="95" t="n">
        <f aca="false">C150+D149</f>
        <v>-58467.6281559982</v>
      </c>
      <c r="E150" s="95" t="n">
        <f aca="false">D150+E149</f>
        <v>19707.4742957433</v>
      </c>
      <c r="F150" s="95" t="n">
        <f aca="false">E150+F149</f>
        <v>89920.2534824224</v>
      </c>
      <c r="G150" s="95" t="n">
        <f aca="false">F150+G149</f>
        <v>126051.570062431</v>
      </c>
      <c r="H150" s="95" t="n">
        <f aca="false">G150+H149</f>
        <v>165071.840415881</v>
      </c>
      <c r="I150" s="95" t="n">
        <f aca="false">H150+I149</f>
        <v>207382.927129135</v>
      </c>
      <c r="J150" s="95" t="n">
        <f aca="false">I150+J149</f>
        <v>254414.775802132</v>
      </c>
      <c r="K150" s="95" t="n">
        <f aca="false">J150+K149</f>
        <v>300500.085493964</v>
      </c>
      <c r="L150" s="95" t="n">
        <f aca="false">K150+L149</f>
        <v>341014.627257404</v>
      </c>
      <c r="M150" s="95" t="n">
        <f aca="false">L150+M149</f>
        <v>386359.652699841</v>
      </c>
      <c r="N150" s="95" t="n">
        <f aca="false">M150+N149</f>
        <v>435499.943882898</v>
      </c>
      <c r="O150" s="95" t="n">
        <f aca="false">N150+O149</f>
        <v>480111.500186935</v>
      </c>
      <c r="P150" s="95" t="n">
        <f aca="false">O150+P149</f>
        <v>523094.989714627</v>
      </c>
      <c r="Q150" s="95" t="n">
        <f aca="false">P150+Q149</f>
        <v>564234.675107271</v>
      </c>
      <c r="R150" s="95" t="n">
        <f aca="false">Q150+R149</f>
        <v>607169.841429945</v>
      </c>
      <c r="S150" s="95" t="n">
        <f aca="false">R150+S149</f>
        <v>636149.049907067</v>
      </c>
      <c r="T150" s="95" t="n">
        <f aca="false">S150+T149</f>
        <v>683612.634695881</v>
      </c>
      <c r="U150" s="95" t="n">
        <f aca="false">T150+U149</f>
        <v>728260.957291405</v>
      </c>
      <c r="V150" s="95" t="n">
        <f aca="false">U150+V149</f>
        <v>769790.330980116</v>
      </c>
      <c r="W150" s="95" t="n">
        <f aca="false">V150+W149</f>
        <v>807875.574984503</v>
      </c>
    </row>
    <row r="152" customFormat="false" ht="15" hidden="false" customHeight="false" outlineLevel="0" collapsed="false">
      <c r="A152" s="9" t="s">
        <v>480</v>
      </c>
      <c r="B152" s="10"/>
      <c r="C152" s="10"/>
      <c r="D152" s="10"/>
      <c r="E152" s="10"/>
      <c r="F152" s="10"/>
      <c r="G152" s="10"/>
      <c r="H152" s="10"/>
      <c r="I152" s="10"/>
      <c r="J152" s="10"/>
      <c r="K152" s="10"/>
      <c r="L152" s="10"/>
      <c r="M152" s="10"/>
      <c r="N152" s="10"/>
      <c r="O152" s="10"/>
      <c r="P152" s="10"/>
      <c r="Q152" s="10"/>
      <c r="R152" s="10"/>
      <c r="S152" s="10"/>
      <c r="T152" s="10"/>
      <c r="U152" s="10"/>
      <c r="V152" s="10"/>
      <c r="W152" s="10"/>
    </row>
    <row r="153" customFormat="false" ht="15" hidden="false" customHeight="false" outlineLevel="0" collapsed="false">
      <c r="A153" s="11" t="s">
        <v>481</v>
      </c>
      <c r="B153" s="66" t="n">
        <f aca="false">C153+NPV(Hurdle,D153:W153)</f>
        <v>2001083.40172534</v>
      </c>
      <c r="C153" s="95" t="n">
        <f aca="false">C102+C96-C93+C103</f>
        <v>930187.317542966</v>
      </c>
      <c r="D153" s="95" t="n">
        <f aca="false">D102+D96-D93+D103</f>
        <v>60189.4541216528</v>
      </c>
      <c r="E153" s="95" t="n">
        <f aca="false">E102+E96-E93+E103</f>
        <v>66874.5025107461</v>
      </c>
      <c r="F153" s="95" t="n">
        <f aca="false">F102+F96-F93+F103</f>
        <v>72262.8546617078</v>
      </c>
      <c r="G153" s="95" t="n">
        <f aca="false">G102+G96-G93+G103</f>
        <v>75028.75496915</v>
      </c>
      <c r="H153" s="95" t="n">
        <f aca="false">H102+H96-H93+H103</f>
        <v>77914.0513790718</v>
      </c>
      <c r="I153" s="95" t="n">
        <f aca="false">I102+I96-I93+I103</f>
        <v>80924.5436973268</v>
      </c>
      <c r="J153" s="95" t="n">
        <f aca="false">J102+J96-J93+J103</f>
        <v>85944.4874710579</v>
      </c>
      <c r="K153" s="95" t="n">
        <f aca="false">K102+K96-K93+K103</f>
        <v>229947.691328626</v>
      </c>
      <c r="L153" s="95" t="n">
        <f aca="false">L102+L96-L93+L103</f>
        <v>109333.151854001</v>
      </c>
      <c r="M153" s="95" t="n">
        <f aca="false">M102+M96-M93+M103</f>
        <v>122322.743961122</v>
      </c>
      <c r="N153" s="95" t="n">
        <f aca="false">N102+N96-N93+N103</f>
        <v>136250.678975785</v>
      </c>
      <c r="O153" s="95" t="n">
        <f aca="false">O102+O96-O93+O103</f>
        <v>151177.460198744</v>
      </c>
      <c r="P153" s="95" t="n">
        <f aca="false">P102+P96-P93+P103</f>
        <v>167167.349985193</v>
      </c>
      <c r="Q153" s="95" t="n">
        <f aca="false">Q102+Q96-Q93+Q103</f>
        <v>184288.600248657</v>
      </c>
      <c r="R153" s="95" t="n">
        <f aca="false">R102+R96-R93+R103</f>
        <v>202613.697033632</v>
      </c>
      <c r="S153" s="95" t="n">
        <f aca="false">S102+S96-S93+S103</f>
        <v>390348.829041207</v>
      </c>
      <c r="T153" s="95" t="n">
        <f aca="false">T102+T96-T93+T103</f>
        <v>243188.117828675</v>
      </c>
      <c r="U153" s="95" t="n">
        <f aca="false">U102+U96-U93+U103</f>
        <v>265606.000213679</v>
      </c>
      <c r="V153" s="95" t="n">
        <f aca="false">V102+V96-V93+V103</f>
        <v>289565.447963865</v>
      </c>
      <c r="W153" s="95" t="n">
        <f aca="false">W102+W96-W93+W103</f>
        <v>315164.341800821</v>
      </c>
    </row>
    <row r="154" customFormat="false" ht="15" hidden="false" customHeight="false" outlineLevel="0" collapsed="false">
      <c r="A154" s="11" t="s">
        <v>482</v>
      </c>
      <c r="B154" s="76" t="n">
        <f aca="false">C154+NPV(Hurdle,D154:W154)</f>
        <v>3504620.16232003</v>
      </c>
      <c r="C154" s="93" t="n">
        <f aca="false">C66</f>
        <v>0</v>
      </c>
      <c r="D154" s="93" t="n">
        <f aca="false">D66</f>
        <v>211139.712</v>
      </c>
      <c r="E154" s="93" t="n">
        <f aca="false">E66</f>
        <v>308088.02976</v>
      </c>
      <c r="F154" s="93" t="n">
        <f aca="false">F66</f>
        <v>373330.200768</v>
      </c>
      <c r="G154" s="93" t="n">
        <f aca="false">G66</f>
        <v>384530.10679104</v>
      </c>
      <c r="H154" s="93" t="n">
        <f aca="false">H66</f>
        <v>396066.009994771</v>
      </c>
      <c r="I154" s="93" t="n">
        <f aca="false">I66</f>
        <v>407947.990294614</v>
      </c>
      <c r="J154" s="93" t="n">
        <f aca="false">J66</f>
        <v>420186.430003453</v>
      </c>
      <c r="K154" s="93" t="n">
        <f aca="false">K66</f>
        <v>432792.022903556</v>
      </c>
      <c r="L154" s="93" t="n">
        <f aca="false">L66</f>
        <v>445775.783590663</v>
      </c>
      <c r="M154" s="93" t="n">
        <f aca="false">M66</f>
        <v>459149.057098383</v>
      </c>
      <c r="N154" s="93" t="n">
        <f aca="false">N66</f>
        <v>472923.528811335</v>
      </c>
      <c r="O154" s="93" t="n">
        <f aca="false">O66</f>
        <v>487111.234675675</v>
      </c>
      <c r="P154" s="93" t="n">
        <f aca="false">P66</f>
        <v>501724.571715945</v>
      </c>
      <c r="Q154" s="93" t="n">
        <f aca="false">Q66</f>
        <v>516776.308867423</v>
      </c>
      <c r="R154" s="93" t="n">
        <f aca="false">R66</f>
        <v>532279.598133446</v>
      </c>
      <c r="S154" s="93" t="n">
        <f aca="false">S66</f>
        <v>548247.986077449</v>
      </c>
      <c r="T154" s="93" t="n">
        <f aca="false">T66</f>
        <v>564695.425659773</v>
      </c>
      <c r="U154" s="93" t="n">
        <f aca="false">U66</f>
        <v>581636.288429566</v>
      </c>
      <c r="V154" s="93" t="n">
        <f aca="false">V66</f>
        <v>599085.377082453</v>
      </c>
      <c r="W154" s="93" t="n">
        <f aca="false">W66</f>
        <v>617057.938394927</v>
      </c>
    </row>
    <row r="155" customFormat="false" ht="15" hidden="false" customHeight="false" outlineLevel="0" collapsed="false">
      <c r="A155" s="11" t="s">
        <v>483</v>
      </c>
      <c r="B155" s="66" t="n">
        <f aca="false">C155+NPV(Hurdle,D155:W155)</f>
        <v>1555687.86731988</v>
      </c>
      <c r="C155" s="95" t="n">
        <f aca="false">C83</f>
        <v>0</v>
      </c>
      <c r="D155" s="95" t="n">
        <f aca="false">D83</f>
        <v>73617.387264</v>
      </c>
      <c r="E155" s="95" t="n">
        <f aca="false">E83</f>
        <v>110642.638710202</v>
      </c>
      <c r="F155" s="95" t="n">
        <f aca="false">F83</f>
        <v>138095.029891356</v>
      </c>
      <c r="G155" s="95" t="n">
        <f aca="false">G83</f>
        <v>146505.01721174</v>
      </c>
      <c r="H155" s="95" t="n">
        <f aca="false">H83</f>
        <v>155427.172759935</v>
      </c>
      <c r="I155" s="95" t="n">
        <f aca="false">I83</f>
        <v>164892.687581015</v>
      </c>
      <c r="J155" s="95" t="n">
        <f aca="false">J83</f>
        <v>174934.652254699</v>
      </c>
      <c r="K155" s="95" t="n">
        <f aca="false">K83</f>
        <v>185588.17257701</v>
      </c>
      <c r="L155" s="95" t="n">
        <f aca="false">L83</f>
        <v>196890.49228695</v>
      </c>
      <c r="M155" s="95" t="n">
        <f aca="false">M83</f>
        <v>208881.123267225</v>
      </c>
      <c r="N155" s="95" t="n">
        <f aca="false">N83</f>
        <v>221601.983674199</v>
      </c>
      <c r="O155" s="95" t="n">
        <f aca="false">O83</f>
        <v>235097.544479958</v>
      </c>
      <c r="P155" s="95" t="n">
        <f aca="false">P83</f>
        <v>249414.984938787</v>
      </c>
      <c r="Q155" s="95" t="n">
        <f aca="false">Q83</f>
        <v>264604.357521559</v>
      </c>
      <c r="R155" s="95" t="n">
        <f aca="false">R83</f>
        <v>280718.762894623</v>
      </c>
      <c r="S155" s="95" t="n">
        <f aca="false">S83</f>
        <v>297814.535554905</v>
      </c>
      <c r="T155" s="95" t="n">
        <f aca="false">T83</f>
        <v>315951.440770199</v>
      </c>
      <c r="U155" s="95" t="n">
        <f aca="false">U83</f>
        <v>335192.883513104</v>
      </c>
      <c r="V155" s="95" t="n">
        <f aca="false">V83</f>
        <v>355606.130119052</v>
      </c>
      <c r="W155" s="95"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7" t="s">
        <v>392</v>
      </c>
    </row>
    <row r="2" customFormat="false" ht="15" hidden="false" customHeight="false" outlineLevel="0" collapsed="false">
      <c r="A2" s="8" t="s">
        <v>393</v>
      </c>
    </row>
    <row r="4" customFormat="false" ht="15" hidden="false" customHeight="false" outlineLevel="0" collapsed="false">
      <c r="A4" s="9" t="s">
        <v>394</v>
      </c>
      <c r="B4" s="10"/>
    </row>
    <row r="5" customFormat="false" ht="15" hidden="false" customHeight="false" outlineLevel="0" collapsed="false">
      <c r="A5" s="11" t="s">
        <v>67</v>
      </c>
      <c r="B5" s="67" t="n">
        <v>1</v>
      </c>
    </row>
    <row r="6" customFormat="false" ht="15" hidden="false" customHeight="false" outlineLevel="0" collapsed="false">
      <c r="A6" s="11" t="s">
        <v>333</v>
      </c>
      <c r="B6" s="67" t="n">
        <v>1</v>
      </c>
    </row>
    <row r="7" customFormat="false" ht="15" hidden="false" customHeight="false" outlineLevel="0" collapsed="false">
      <c r="A7" s="11" t="s">
        <v>69</v>
      </c>
      <c r="B7" s="67" t="n">
        <f aca="false">1+SensDelta</f>
        <v>1.2</v>
      </c>
    </row>
    <row r="8" customFormat="false" ht="15" hidden="false" customHeight="false" outlineLevel="0" collapsed="false">
      <c r="A8" s="11" t="s">
        <v>70</v>
      </c>
      <c r="B8" s="67" t="n">
        <v>1</v>
      </c>
    </row>
    <row r="9" customFormat="false" ht="15" hidden="false" customHeight="false" outlineLevel="0" collapsed="false">
      <c r="A9" s="11" t="s">
        <v>395</v>
      </c>
      <c r="B9" s="67" t="n">
        <v>1</v>
      </c>
    </row>
    <row r="10" customFormat="false" ht="15" hidden="false" customHeight="false" outlineLevel="0" collapsed="false">
      <c r="A10" s="11" t="s">
        <v>72</v>
      </c>
      <c r="B10" s="67" t="n">
        <v>1</v>
      </c>
    </row>
    <row r="11" customFormat="false" ht="15" hidden="false" customHeight="false" outlineLevel="0" collapsed="false">
      <c r="A11" s="11" t="s">
        <v>334</v>
      </c>
      <c r="B11" s="67" t="n">
        <v>1</v>
      </c>
    </row>
    <row r="13" customFormat="false" ht="15" hidden="false" customHeight="false" outlineLevel="0" collapsed="false">
      <c r="A13" s="9" t="s">
        <v>396</v>
      </c>
      <c r="B13" s="10"/>
    </row>
    <row r="14" customFormat="false" ht="15" hidden="false" customHeight="false" outlineLevel="0" collapsed="false">
      <c r="A14" s="11" t="s">
        <v>397</v>
      </c>
      <c r="B14" s="66" t="n">
        <f aca="false">TotalCapexBase*LevCapex*$B$7</f>
        <v>1395280.97631445</v>
      </c>
    </row>
    <row r="15" customFormat="false" ht="15" hidden="false" customHeight="false" outlineLevel="0" collapsed="false">
      <c r="A15" s="11" t="s">
        <v>398</v>
      </c>
      <c r="B15" s="66" t="n">
        <f aca="false">HardCapexBase*LevCapex*$B$7</f>
        <v>1213287.80549082</v>
      </c>
    </row>
    <row r="16" customFormat="false" ht="15" hidden="false" customHeight="false" outlineLevel="0" collapsed="false">
      <c r="A16" s="11" t="s">
        <v>252</v>
      </c>
      <c r="B16" s="66" t="n">
        <f aca="false">MAX(0,S_Capex_Hi!$B$14-Grant)*SenPct</f>
        <v>159056.19526289</v>
      </c>
    </row>
    <row r="17" customFormat="false" ht="15" hidden="false" customHeight="false" outlineLevel="0" collapsed="false">
      <c r="A17" s="11" t="s">
        <v>254</v>
      </c>
      <c r="B17" s="66" t="n">
        <f aca="false">MAX(0,S_Capex_Hi!$B$14-Grant)*ConPct</f>
        <v>159056.19526289</v>
      </c>
    </row>
    <row r="18" customFormat="false" ht="15" hidden="false" customHeight="false" outlineLevel="0" collapsed="false">
      <c r="A18" s="11" t="s">
        <v>399</v>
      </c>
      <c r="B18" s="66" t="n">
        <f aca="false">MAX(0,S_Capex_Hi!$B$14-Grant-S_Capex_Hi!$B$16-S_Capex_Hi!$B$17)</f>
        <v>477168.585788669</v>
      </c>
    </row>
    <row r="19" customFormat="false" ht="15" hidden="false" customHeight="false" outlineLevel="0" collapsed="false">
      <c r="A19" s="11" t="s">
        <v>400</v>
      </c>
      <c r="B19" s="66" t="n">
        <f aca="false">C128</f>
        <v>10338.6526920878</v>
      </c>
    </row>
    <row r="20" customFormat="false" ht="15" hidden="false" customHeight="false" outlineLevel="0" collapsed="false">
      <c r="A20" s="11" t="s">
        <v>401</v>
      </c>
      <c r="B20" s="66" t="n">
        <f aca="false">$B$145</f>
        <v>-1126730.53854982</v>
      </c>
    </row>
    <row r="21" customFormat="false" ht="15" hidden="false" customHeight="false" outlineLevel="0" collapsed="false">
      <c r="A21" s="11" t="s">
        <v>402</v>
      </c>
      <c r="B21" s="66" t="n">
        <f aca="false">$B$146</f>
        <v>-308810.177918716</v>
      </c>
    </row>
    <row r="22" customFormat="false" ht="15" hidden="false" customHeight="false" outlineLevel="0" collapsed="false">
      <c r="A22" s="11" t="s">
        <v>403</v>
      </c>
      <c r="B22" s="68" t="str">
        <f aca="false">IFERROR(IRR($C$145:$W$145),"n/a")</f>
        <v>n/a</v>
      </c>
    </row>
    <row r="23" customFormat="false" ht="15" hidden="false" customHeight="false" outlineLevel="0" collapsed="false">
      <c r="A23" s="11" t="s">
        <v>404</v>
      </c>
      <c r="B23" s="68" t="n">
        <f aca="false">IFERROR(IRR($C$146:$W$146),"n/a")</f>
        <v>0.0021847572494213</v>
      </c>
    </row>
    <row r="24" customFormat="false" ht="15" hidden="false" customHeight="false" outlineLevel="0" collapsed="false">
      <c r="A24" s="11" t="s">
        <v>390</v>
      </c>
      <c r="B24" s="66" t="n">
        <f aca="false">MAX(0,-$B$145)</f>
        <v>1126730.53854982</v>
      </c>
    </row>
    <row r="25" customFormat="false" ht="15" hidden="false" customHeight="false" outlineLevel="0" collapsed="false">
      <c r="A25" s="11" t="s">
        <v>262</v>
      </c>
      <c r="B25" s="68" t="n">
        <f aca="false">IFERROR(IRR($C$149:$W$149),"n/a")</f>
        <v>-0.0324328782192742</v>
      </c>
    </row>
    <row r="26" customFormat="false" ht="15" hidden="false" customHeight="false" outlineLevel="0" collapsed="false">
      <c r="A26" s="11" t="s">
        <v>264</v>
      </c>
      <c r="B26" s="66" t="n">
        <f aca="false">C149+NPV(TargetEqIRR,D149:W149)</f>
        <v>-339757.252287557</v>
      </c>
    </row>
    <row r="27" customFormat="false" ht="15" hidden="false" customHeight="false" outlineLevel="0" collapsed="false">
      <c r="A27" s="11" t="s">
        <v>258</v>
      </c>
      <c r="B27" s="67" t="n">
        <f aca="false">IF((S_Capex_Hi!$B$16+S_Capex_Hi!$B$17)&gt;0,MIN($D$148:$W$148),"no debt")</f>
        <v>0.671503297008596</v>
      </c>
    </row>
    <row r="28" customFormat="false" ht="15" hidden="false" customHeight="false" outlineLevel="0" collapsed="false">
      <c r="A28" s="11" t="s">
        <v>260</v>
      </c>
      <c r="B28" s="67" t="n">
        <f aca="false">IF((S_Capex_Hi!$B$16+S_Capex_Hi!$B$17)&gt;0,AVERAGE($D$148:$W$148),"no debt")</f>
        <v>1.60462459647388</v>
      </c>
    </row>
    <row r="29" customFormat="false" ht="15" hidden="false" customHeight="false" outlineLevel="0" collapsed="false">
      <c r="A29" s="11" t="s">
        <v>405</v>
      </c>
      <c r="B29" s="87" t="n">
        <f aca="false">IFERROR($B$153/$B$154,0)</f>
        <v>0.754830504401978</v>
      </c>
    </row>
    <row r="30" customFormat="false" ht="15" hidden="false" customHeight="false" outlineLevel="0" collapsed="false">
      <c r="A30" s="11" t="s">
        <v>261</v>
      </c>
      <c r="B30" s="87" t="n">
        <f aca="false">IFERROR($B$155/$B$154,0)</f>
        <v>0.44389628412399</v>
      </c>
    </row>
    <row r="31" customFormat="false" ht="15" hidden="false" customHeight="false" outlineLevel="0" collapsed="false">
      <c r="A31" s="11" t="s">
        <v>406</v>
      </c>
      <c r="B31" s="77" t="n">
        <f aca="false">NPV(Hurdle,D109:W109)</f>
        <v>838.820435762584</v>
      </c>
    </row>
    <row r="32" customFormat="false" ht="15" hidden="false" customHeight="false" outlineLevel="0" collapsed="false">
      <c r="A32" s="11" t="s">
        <v>407</v>
      </c>
      <c r="B32" s="66" t="n">
        <f aca="false">NPV(Hurdle,D108:W108)</f>
        <v>217920.360631104</v>
      </c>
    </row>
    <row r="33" customFormat="false" ht="15" hidden="false" customHeight="false" outlineLevel="0" collapsed="false">
      <c r="A33" s="11" t="s">
        <v>408</v>
      </c>
      <c r="B33" s="77" t="n">
        <f aca="false">NPV(TargetEqIRR,D109:W109)</f>
        <v>785.120407660064</v>
      </c>
    </row>
    <row r="34" customFormat="false" ht="15" hidden="false" customHeight="false" outlineLevel="0" collapsed="false">
      <c r="A34" s="11" t="s">
        <v>409</v>
      </c>
      <c r="B34" s="66" t="n">
        <f aca="false">NPV(TargetEqIRR,D108:W108)</f>
        <v>203969.425495192</v>
      </c>
    </row>
    <row r="35" customFormat="false" ht="15" hidden="false" customHeight="false" outlineLevel="0" collapsed="false">
      <c r="A35" s="11" t="s">
        <v>410</v>
      </c>
      <c r="B35" s="66" t="n">
        <f aca="false">MAX(0,MIN($D$127:$W$127))</f>
        <v>34066.3303998738</v>
      </c>
    </row>
    <row r="36" customFormat="false" ht="15" hidden="false" customHeight="false" outlineLevel="0" collapsed="false">
      <c r="A36" s="11" t="s">
        <v>266</v>
      </c>
      <c r="B36" s="88" t="str">
        <f aca="false">IFERROR(MATCH(TRUE(),INDEX($C$150:$W$150&gt;=0,0),0)-1,"&gt; life")</f>
        <v>&gt; life</v>
      </c>
    </row>
    <row r="39" customFormat="false" ht="15" hidden="false" customHeight="false" outlineLevel="0" collapsed="false">
      <c r="A39" s="16" t="s">
        <v>411</v>
      </c>
      <c r="B39" s="74" t="s">
        <v>412</v>
      </c>
      <c r="C39" s="89" t="n">
        <v>0</v>
      </c>
      <c r="D39" s="89" t="n">
        <v>1</v>
      </c>
      <c r="E39" s="89" t="n">
        <v>2</v>
      </c>
      <c r="F39" s="89" t="n">
        <v>3</v>
      </c>
      <c r="G39" s="89" t="n">
        <v>4</v>
      </c>
      <c r="H39" s="89" t="n">
        <v>5</v>
      </c>
      <c r="I39" s="89" t="n">
        <v>6</v>
      </c>
      <c r="J39" s="89" t="n">
        <v>7</v>
      </c>
      <c r="K39" s="89" t="n">
        <v>8</v>
      </c>
      <c r="L39" s="89" t="n">
        <v>9</v>
      </c>
      <c r="M39" s="89" t="n">
        <v>10</v>
      </c>
      <c r="N39" s="89" t="n">
        <v>11</v>
      </c>
      <c r="O39" s="89" t="n">
        <v>12</v>
      </c>
      <c r="P39" s="89" t="n">
        <v>13</v>
      </c>
      <c r="Q39" s="89" t="n">
        <v>14</v>
      </c>
      <c r="R39" s="89" t="n">
        <v>15</v>
      </c>
      <c r="S39" s="89" t="n">
        <v>16</v>
      </c>
      <c r="T39" s="89" t="n">
        <v>17</v>
      </c>
      <c r="U39" s="89" t="n">
        <v>18</v>
      </c>
      <c r="V39" s="89" t="n">
        <v>19</v>
      </c>
      <c r="W39" s="89" t="n">
        <v>20</v>
      </c>
    </row>
    <row r="40" customFormat="false" ht="15" hidden="false" customHeight="false" outlineLevel="0" collapsed="false">
      <c r="A40" s="11" t="s">
        <v>413</v>
      </c>
      <c r="C40" s="90" t="n">
        <f aca="false">StartYear-1+C39</f>
        <v>2026</v>
      </c>
      <c r="D40" s="90" t="n">
        <f aca="false">StartYear-1+D39</f>
        <v>2027</v>
      </c>
      <c r="E40" s="90" t="n">
        <f aca="false">StartYear-1+E39</f>
        <v>2028</v>
      </c>
      <c r="F40" s="90" t="n">
        <f aca="false">StartYear-1+F39</f>
        <v>2029</v>
      </c>
      <c r="G40" s="90" t="n">
        <f aca="false">StartYear-1+G39</f>
        <v>2030</v>
      </c>
      <c r="H40" s="90" t="n">
        <f aca="false">StartYear-1+H39</f>
        <v>2031</v>
      </c>
      <c r="I40" s="90" t="n">
        <f aca="false">StartYear-1+I39</f>
        <v>2032</v>
      </c>
      <c r="J40" s="90" t="n">
        <f aca="false">StartYear-1+J39</f>
        <v>2033</v>
      </c>
      <c r="K40" s="90" t="n">
        <f aca="false">StartYear-1+K39</f>
        <v>2034</v>
      </c>
      <c r="L40" s="90" t="n">
        <f aca="false">StartYear-1+L39</f>
        <v>2035</v>
      </c>
      <c r="M40" s="90" t="n">
        <f aca="false">StartYear-1+M39</f>
        <v>2036</v>
      </c>
      <c r="N40" s="90" t="n">
        <f aca="false">StartYear-1+N39</f>
        <v>2037</v>
      </c>
      <c r="O40" s="90" t="n">
        <f aca="false">StartYear-1+O39</f>
        <v>2038</v>
      </c>
      <c r="P40" s="90" t="n">
        <f aca="false">StartYear-1+P39</f>
        <v>2039</v>
      </c>
      <c r="Q40" s="90" t="n">
        <f aca="false">StartYear-1+Q39</f>
        <v>2040</v>
      </c>
      <c r="R40" s="90" t="n">
        <f aca="false">StartYear-1+R39</f>
        <v>2041</v>
      </c>
      <c r="S40" s="90" t="n">
        <f aca="false">StartYear-1+S39</f>
        <v>2042</v>
      </c>
      <c r="T40" s="90" t="n">
        <f aca="false">StartYear-1+T39</f>
        <v>2043</v>
      </c>
      <c r="U40" s="90" t="n">
        <f aca="false">StartYear-1+U39</f>
        <v>2044</v>
      </c>
      <c r="V40" s="90" t="n">
        <f aca="false">StartYear-1+V39</f>
        <v>2045</v>
      </c>
      <c r="W40" s="90" t="n">
        <f aca="false">StartYear-1+W39</f>
        <v>2046</v>
      </c>
    </row>
    <row r="41" customFormat="false" ht="15" hidden="false" customHeight="false" outlineLevel="0" collapsed="false">
      <c r="A41" s="11" t="s">
        <v>414</v>
      </c>
      <c r="C41" s="90" t="n">
        <f aca="false">IF(AND(C39&gt;=1,C39&lt;=Life),1,0)</f>
        <v>0</v>
      </c>
      <c r="D41" s="90" t="n">
        <f aca="false">IF(AND(D39&gt;=1,D39&lt;=Life),1,0)</f>
        <v>1</v>
      </c>
      <c r="E41" s="90" t="n">
        <f aca="false">IF(AND(E39&gt;=1,E39&lt;=Life),1,0)</f>
        <v>1</v>
      </c>
      <c r="F41" s="90" t="n">
        <f aca="false">IF(AND(F39&gt;=1,F39&lt;=Life),1,0)</f>
        <v>1</v>
      </c>
      <c r="G41" s="90" t="n">
        <f aca="false">IF(AND(G39&gt;=1,G39&lt;=Life),1,0)</f>
        <v>1</v>
      </c>
      <c r="H41" s="90" t="n">
        <f aca="false">IF(AND(H39&gt;=1,H39&lt;=Life),1,0)</f>
        <v>1</v>
      </c>
      <c r="I41" s="90" t="n">
        <f aca="false">IF(AND(I39&gt;=1,I39&lt;=Life),1,0)</f>
        <v>1</v>
      </c>
      <c r="J41" s="90" t="n">
        <f aca="false">IF(AND(J39&gt;=1,J39&lt;=Life),1,0)</f>
        <v>1</v>
      </c>
      <c r="K41" s="90" t="n">
        <f aca="false">IF(AND(K39&gt;=1,K39&lt;=Life),1,0)</f>
        <v>1</v>
      </c>
      <c r="L41" s="90" t="n">
        <f aca="false">IF(AND(L39&gt;=1,L39&lt;=Life),1,0)</f>
        <v>1</v>
      </c>
      <c r="M41" s="90" t="n">
        <f aca="false">IF(AND(M39&gt;=1,M39&lt;=Life),1,0)</f>
        <v>1</v>
      </c>
      <c r="N41" s="90" t="n">
        <f aca="false">IF(AND(N39&gt;=1,N39&lt;=Life),1,0)</f>
        <v>1</v>
      </c>
      <c r="O41" s="90" t="n">
        <f aca="false">IF(AND(O39&gt;=1,O39&lt;=Life),1,0)</f>
        <v>1</v>
      </c>
      <c r="P41" s="90" t="n">
        <f aca="false">IF(AND(P39&gt;=1,P39&lt;=Life),1,0)</f>
        <v>1</v>
      </c>
      <c r="Q41" s="90" t="n">
        <f aca="false">IF(AND(Q39&gt;=1,Q39&lt;=Life),1,0)</f>
        <v>1</v>
      </c>
      <c r="R41" s="90" t="n">
        <f aca="false">IF(AND(R39&gt;=1,R39&lt;=Life),1,0)</f>
        <v>1</v>
      </c>
      <c r="S41" s="90" t="n">
        <f aca="false">IF(AND(S39&gt;=1,S39&lt;=Life),1,0)</f>
        <v>1</v>
      </c>
      <c r="T41" s="90" t="n">
        <f aca="false">IF(AND(T39&gt;=1,T39&lt;=Life),1,0)</f>
        <v>1</v>
      </c>
      <c r="U41" s="90" t="n">
        <f aca="false">IF(AND(U39&gt;=1,U39&lt;=Life),1,0)</f>
        <v>1</v>
      </c>
      <c r="V41" s="90" t="n">
        <f aca="false">IF(AND(V39&gt;=1,V39&lt;=Life),1,0)</f>
        <v>1</v>
      </c>
      <c r="W41" s="90" t="n">
        <f aca="false">IF(AND(W39&gt;=1,W39&lt;=Life),1,0)</f>
        <v>1</v>
      </c>
    </row>
    <row r="42" customFormat="false" ht="15" hidden="false" customHeight="false" outlineLevel="0" collapsed="false">
      <c r="A42" s="11" t="s">
        <v>415</v>
      </c>
      <c r="C42" s="91" t="n">
        <v>0</v>
      </c>
      <c r="D42" s="91" t="n">
        <f aca="false">IF(D39=1,Ramp1,IF(D39=2,Ramp2,Ramp3))*D41</f>
        <v>0.6</v>
      </c>
      <c r="E42" s="91" t="n">
        <f aca="false">IF(E39=1,Ramp1,IF(E39=2,Ramp2,Ramp3))*E41</f>
        <v>0.85</v>
      </c>
      <c r="F42" s="91" t="n">
        <f aca="false">IF(F39=1,Ramp1,IF(F39=2,Ramp2,Ramp3))*F41</f>
        <v>1</v>
      </c>
      <c r="G42" s="91" t="n">
        <f aca="false">IF(G39=1,Ramp1,IF(G39=2,Ramp2,Ramp3))*G41</f>
        <v>1</v>
      </c>
      <c r="H42" s="91" t="n">
        <f aca="false">IF(H39=1,Ramp1,IF(H39=2,Ramp2,Ramp3))*H41</f>
        <v>1</v>
      </c>
      <c r="I42" s="91" t="n">
        <f aca="false">IF(I39=1,Ramp1,IF(I39=2,Ramp2,Ramp3))*I41</f>
        <v>1</v>
      </c>
      <c r="J42" s="91" t="n">
        <f aca="false">IF(J39=1,Ramp1,IF(J39=2,Ramp2,Ramp3))*J41</f>
        <v>1</v>
      </c>
      <c r="K42" s="91" t="n">
        <f aca="false">IF(K39=1,Ramp1,IF(K39=2,Ramp2,Ramp3))*K41</f>
        <v>1</v>
      </c>
      <c r="L42" s="91" t="n">
        <f aca="false">IF(L39=1,Ramp1,IF(L39=2,Ramp2,Ramp3))*L41</f>
        <v>1</v>
      </c>
      <c r="M42" s="91" t="n">
        <f aca="false">IF(M39=1,Ramp1,IF(M39=2,Ramp2,Ramp3))*M41</f>
        <v>1</v>
      </c>
      <c r="N42" s="91" t="n">
        <f aca="false">IF(N39=1,Ramp1,IF(N39=2,Ramp2,Ramp3))*N41</f>
        <v>1</v>
      </c>
      <c r="O42" s="91" t="n">
        <f aca="false">IF(O39=1,Ramp1,IF(O39=2,Ramp2,Ramp3))*O41</f>
        <v>1</v>
      </c>
      <c r="P42" s="91" t="n">
        <f aca="false">IF(P39=1,Ramp1,IF(P39=2,Ramp2,Ramp3))*P41</f>
        <v>1</v>
      </c>
      <c r="Q42" s="91" t="n">
        <f aca="false">IF(Q39=1,Ramp1,IF(Q39=2,Ramp2,Ramp3))*Q41</f>
        <v>1</v>
      </c>
      <c r="R42" s="91" t="n">
        <f aca="false">IF(R39=1,Ramp1,IF(R39=2,Ramp2,Ramp3))*R41</f>
        <v>1</v>
      </c>
      <c r="S42" s="91" t="n">
        <f aca="false">IF(S39=1,Ramp1,IF(S39=2,Ramp2,Ramp3))*S41</f>
        <v>1</v>
      </c>
      <c r="T42" s="91" t="n">
        <f aca="false">IF(T39=1,Ramp1,IF(T39=2,Ramp2,Ramp3))*T41</f>
        <v>1</v>
      </c>
      <c r="U42" s="91" t="n">
        <f aca="false">IF(U39=1,Ramp1,IF(U39=2,Ramp2,Ramp3))*U41</f>
        <v>1</v>
      </c>
      <c r="V42" s="91" t="n">
        <f aca="false">IF(V39=1,Ramp1,IF(V39=2,Ramp2,Ramp3))*V41</f>
        <v>1</v>
      </c>
      <c r="W42" s="91" t="n">
        <f aca="false">IF(W39=1,Ramp1,IF(W39=2,Ramp2,Ramp3))*W41</f>
        <v>1</v>
      </c>
    </row>
    <row r="43" customFormat="false" ht="15" hidden="false" customHeight="false" outlineLevel="0" collapsed="false">
      <c r="A43" s="11" t="s">
        <v>416</v>
      </c>
      <c r="C43" s="92" t="n">
        <v>0</v>
      </c>
      <c r="D43" s="92" t="n">
        <f aca="false">(1+TariffEsc)^(D39-1)</f>
        <v>1</v>
      </c>
      <c r="E43" s="92" t="n">
        <f aca="false">(1+TariffEsc)^(E39-1)</f>
        <v>1.03</v>
      </c>
      <c r="F43" s="92" t="n">
        <f aca="false">(1+TariffEsc)^(F39-1)</f>
        <v>1.0609</v>
      </c>
      <c r="G43" s="92" t="n">
        <f aca="false">(1+TariffEsc)^(G39-1)</f>
        <v>1.092727</v>
      </c>
      <c r="H43" s="92" t="n">
        <f aca="false">(1+TariffEsc)^(H39-1)</f>
        <v>1.12550881</v>
      </c>
      <c r="I43" s="92" t="n">
        <f aca="false">(1+TariffEsc)^(I39-1)</f>
        <v>1.1592740743</v>
      </c>
      <c r="J43" s="92" t="n">
        <f aca="false">(1+TariffEsc)^(J39-1)</f>
        <v>1.194052296529</v>
      </c>
      <c r="K43" s="92" t="n">
        <f aca="false">(1+TariffEsc)^(K39-1)</f>
        <v>1.22987386542487</v>
      </c>
      <c r="L43" s="92" t="n">
        <f aca="false">(1+TariffEsc)^(L39-1)</f>
        <v>1.26677008138762</v>
      </c>
      <c r="M43" s="92" t="n">
        <f aca="false">(1+TariffEsc)^(M39-1)</f>
        <v>1.30477318382925</v>
      </c>
      <c r="N43" s="92" t="n">
        <f aca="false">(1+TariffEsc)^(N39-1)</f>
        <v>1.34391637934412</v>
      </c>
      <c r="O43" s="92" t="n">
        <f aca="false">(1+TariffEsc)^(O39-1)</f>
        <v>1.38423387072445</v>
      </c>
      <c r="P43" s="92" t="n">
        <f aca="false">(1+TariffEsc)^(P39-1)</f>
        <v>1.42576088684618</v>
      </c>
      <c r="Q43" s="92" t="n">
        <f aca="false">(1+TariffEsc)^(Q39-1)</f>
        <v>1.46853371345156</v>
      </c>
      <c r="R43" s="92" t="n">
        <f aca="false">(1+TariffEsc)^(R39-1)</f>
        <v>1.51258972485511</v>
      </c>
      <c r="S43" s="92" t="n">
        <f aca="false">(1+TariffEsc)^(S39-1)</f>
        <v>1.55796741660077</v>
      </c>
      <c r="T43" s="92" t="n">
        <f aca="false">(1+TariffEsc)^(T39-1)</f>
        <v>1.60470643909879</v>
      </c>
      <c r="U43" s="92" t="n">
        <f aca="false">(1+TariffEsc)^(U39-1)</f>
        <v>1.65284763227175</v>
      </c>
      <c r="V43" s="92" t="n">
        <f aca="false">(1+TariffEsc)^(V39-1)</f>
        <v>1.7024330612399</v>
      </c>
      <c r="W43" s="92" t="n">
        <f aca="false">(1+TariffEsc)^(W39-1)</f>
        <v>1.7535060530771</v>
      </c>
    </row>
    <row r="44" customFormat="false" ht="15" hidden="false" customHeight="false" outlineLevel="0" collapsed="false">
      <c r="A44" s="11" t="s">
        <v>417</v>
      </c>
      <c r="C44" s="92" t="n">
        <v>0</v>
      </c>
      <c r="D44" s="92" t="n">
        <f aca="false">(1+CostEsc)^(D39-1)</f>
        <v>1</v>
      </c>
      <c r="E44" s="92" t="n">
        <f aca="false">(1+CostEsc)^(E39-1)</f>
        <v>1.03</v>
      </c>
      <c r="F44" s="92" t="n">
        <f aca="false">(1+CostEsc)^(F39-1)</f>
        <v>1.0609</v>
      </c>
      <c r="G44" s="92" t="n">
        <f aca="false">(1+CostEsc)^(G39-1)</f>
        <v>1.092727</v>
      </c>
      <c r="H44" s="92" t="n">
        <f aca="false">(1+CostEsc)^(H39-1)</f>
        <v>1.12550881</v>
      </c>
      <c r="I44" s="92" t="n">
        <f aca="false">(1+CostEsc)^(I39-1)</f>
        <v>1.1592740743</v>
      </c>
      <c r="J44" s="92" t="n">
        <f aca="false">(1+CostEsc)^(J39-1)</f>
        <v>1.194052296529</v>
      </c>
      <c r="K44" s="92" t="n">
        <f aca="false">(1+CostEsc)^(K39-1)</f>
        <v>1.22987386542487</v>
      </c>
      <c r="L44" s="92" t="n">
        <f aca="false">(1+CostEsc)^(L39-1)</f>
        <v>1.26677008138762</v>
      </c>
      <c r="M44" s="92" t="n">
        <f aca="false">(1+CostEsc)^(M39-1)</f>
        <v>1.30477318382925</v>
      </c>
      <c r="N44" s="92" t="n">
        <f aca="false">(1+CostEsc)^(N39-1)</f>
        <v>1.34391637934412</v>
      </c>
      <c r="O44" s="92" t="n">
        <f aca="false">(1+CostEsc)^(O39-1)</f>
        <v>1.38423387072445</v>
      </c>
      <c r="P44" s="92" t="n">
        <f aca="false">(1+CostEsc)^(P39-1)</f>
        <v>1.42576088684618</v>
      </c>
      <c r="Q44" s="92" t="n">
        <f aca="false">(1+CostEsc)^(Q39-1)</f>
        <v>1.46853371345156</v>
      </c>
      <c r="R44" s="92" t="n">
        <f aca="false">(1+CostEsc)^(R39-1)</f>
        <v>1.51258972485511</v>
      </c>
      <c r="S44" s="92" t="n">
        <f aca="false">(1+CostEsc)^(S39-1)</f>
        <v>1.55796741660077</v>
      </c>
      <c r="T44" s="92" t="n">
        <f aca="false">(1+CostEsc)^(T39-1)</f>
        <v>1.60470643909879</v>
      </c>
      <c r="U44" s="92" t="n">
        <f aca="false">(1+CostEsc)^(U39-1)</f>
        <v>1.65284763227175</v>
      </c>
      <c r="V44" s="92" t="n">
        <f aca="false">(1+CostEsc)^(V39-1)</f>
        <v>1.7024330612399</v>
      </c>
      <c r="W44" s="92" t="n">
        <f aca="false">(1+CostEsc)^(W39-1)</f>
        <v>1.7535060530771</v>
      </c>
    </row>
    <row r="45" customFormat="false" ht="15" hidden="false" customHeight="false" outlineLevel="0" collapsed="false">
      <c r="A45" s="11" t="s">
        <v>418</v>
      </c>
      <c r="C45" s="92" t="n">
        <v>0</v>
      </c>
      <c r="D45" s="92" t="n">
        <f aca="false">(1+DemandGrowth)^(D39-1)*LevDemand*$B$6</f>
        <v>1</v>
      </c>
      <c r="E45" s="92" t="n">
        <f aca="false">(1+DemandGrowth)^(E39-1)*LevDemand*$B$6</f>
        <v>1.03</v>
      </c>
      <c r="F45" s="92" t="n">
        <f aca="false">(1+DemandGrowth)^(F39-1)*LevDemand*$B$6</f>
        <v>1.0609</v>
      </c>
      <c r="G45" s="92" t="n">
        <f aca="false">(1+DemandGrowth)^(G39-1)*LevDemand*$B$6</f>
        <v>1.092727</v>
      </c>
      <c r="H45" s="92" t="n">
        <f aca="false">(1+DemandGrowth)^(H39-1)*LevDemand*$B$6</f>
        <v>1.12550881</v>
      </c>
      <c r="I45" s="92" t="n">
        <f aca="false">(1+DemandGrowth)^(I39-1)*LevDemand*$B$6</f>
        <v>1.1592740743</v>
      </c>
      <c r="J45" s="92" t="n">
        <f aca="false">(1+DemandGrowth)^(J39-1)*LevDemand*$B$6</f>
        <v>1.194052296529</v>
      </c>
      <c r="K45" s="92" t="n">
        <f aca="false">(1+DemandGrowth)^(K39-1)*LevDemand*$B$6</f>
        <v>1.22987386542487</v>
      </c>
      <c r="L45" s="92" t="n">
        <f aca="false">(1+DemandGrowth)^(L39-1)*LevDemand*$B$6</f>
        <v>1.26677008138762</v>
      </c>
      <c r="M45" s="92" t="n">
        <f aca="false">(1+DemandGrowth)^(M39-1)*LevDemand*$B$6</f>
        <v>1.30477318382925</v>
      </c>
      <c r="N45" s="92" t="n">
        <f aca="false">(1+DemandGrowth)^(N39-1)*LevDemand*$B$6</f>
        <v>1.34391637934412</v>
      </c>
      <c r="O45" s="92" t="n">
        <f aca="false">(1+DemandGrowth)^(O39-1)*LevDemand*$B$6</f>
        <v>1.38423387072445</v>
      </c>
      <c r="P45" s="92" t="n">
        <f aca="false">(1+DemandGrowth)^(P39-1)*LevDemand*$B$6</f>
        <v>1.42576088684618</v>
      </c>
      <c r="Q45" s="92" t="n">
        <f aca="false">(1+DemandGrowth)^(Q39-1)*LevDemand*$B$6</f>
        <v>1.46853371345156</v>
      </c>
      <c r="R45" s="92" t="n">
        <f aca="false">(1+DemandGrowth)^(R39-1)*LevDemand*$B$6</f>
        <v>1.51258972485511</v>
      </c>
      <c r="S45" s="92" t="n">
        <f aca="false">(1+DemandGrowth)^(S39-1)*LevDemand*$B$6</f>
        <v>1.55796741660077</v>
      </c>
      <c r="T45" s="92" t="n">
        <f aca="false">(1+DemandGrowth)^(T39-1)*LevDemand*$B$6</f>
        <v>1.60470643909879</v>
      </c>
      <c r="U45" s="92" t="n">
        <f aca="false">(1+DemandGrowth)^(U39-1)*LevDemand*$B$6</f>
        <v>1.65284763227175</v>
      </c>
      <c r="V45" s="92" t="n">
        <f aca="false">(1+DemandGrowth)^(V39-1)*LevDemand*$B$6</f>
        <v>1.7024330612399</v>
      </c>
      <c r="W45" s="92" t="n">
        <f aca="false">(1+DemandGrowth)^(W39-1)*LevDemand*$B$6</f>
        <v>1.7535060530771</v>
      </c>
    </row>
    <row r="47" customFormat="false" ht="15" hidden="false" customHeight="false" outlineLevel="0" collapsed="false">
      <c r="A47" s="9" t="s">
        <v>419</v>
      </c>
      <c r="B47" s="10"/>
      <c r="C47" s="10"/>
      <c r="D47" s="10"/>
      <c r="E47" s="10"/>
      <c r="F47" s="10"/>
      <c r="G47" s="10"/>
      <c r="H47" s="10"/>
      <c r="I47" s="10"/>
      <c r="J47" s="10"/>
      <c r="K47" s="10"/>
      <c r="L47" s="10"/>
      <c r="M47" s="10"/>
      <c r="N47" s="10"/>
      <c r="O47" s="10"/>
      <c r="P47" s="10"/>
      <c r="Q47" s="10"/>
      <c r="R47" s="10"/>
      <c r="S47" s="10"/>
      <c r="T47" s="10"/>
      <c r="U47" s="10"/>
      <c r="V47" s="10"/>
      <c r="W47" s="10"/>
    </row>
    <row r="48" customFormat="false" ht="15" hidden="false" customHeight="false" outlineLevel="0" collapsed="false">
      <c r="A48" s="11" t="str">
        <f aca="false">"Connections - "&amp;Seg1_Name</f>
        <v>Connections - Households</v>
      </c>
      <c r="C48" s="93" t="n">
        <v>0</v>
      </c>
      <c r="D48" s="93" t="n">
        <f aca="false">Seg1_N*D42</f>
        <v>480</v>
      </c>
      <c r="E48" s="93" t="n">
        <f aca="false">Seg1_N*E42</f>
        <v>680</v>
      </c>
      <c r="F48" s="93" t="n">
        <f aca="false">Seg1_N*F42</f>
        <v>800</v>
      </c>
      <c r="G48" s="93" t="n">
        <f aca="false">Seg1_N*G42</f>
        <v>800</v>
      </c>
      <c r="H48" s="93" t="n">
        <f aca="false">Seg1_N*H42</f>
        <v>800</v>
      </c>
      <c r="I48" s="93" t="n">
        <f aca="false">Seg1_N*I42</f>
        <v>800</v>
      </c>
      <c r="J48" s="93" t="n">
        <f aca="false">Seg1_N*J42</f>
        <v>800</v>
      </c>
      <c r="K48" s="93" t="n">
        <f aca="false">Seg1_N*K42</f>
        <v>800</v>
      </c>
      <c r="L48" s="93" t="n">
        <f aca="false">Seg1_N*L42</f>
        <v>800</v>
      </c>
      <c r="M48" s="93" t="n">
        <f aca="false">Seg1_N*M42</f>
        <v>800</v>
      </c>
      <c r="N48" s="93" t="n">
        <f aca="false">Seg1_N*N42</f>
        <v>800</v>
      </c>
      <c r="O48" s="93" t="n">
        <f aca="false">Seg1_N*O42</f>
        <v>800</v>
      </c>
      <c r="P48" s="93" t="n">
        <f aca="false">Seg1_N*P42</f>
        <v>800</v>
      </c>
      <c r="Q48" s="93" t="n">
        <f aca="false">Seg1_N*Q42</f>
        <v>800</v>
      </c>
      <c r="R48" s="93" t="n">
        <f aca="false">Seg1_N*R42</f>
        <v>800</v>
      </c>
      <c r="S48" s="93" t="n">
        <f aca="false">Seg1_N*S42</f>
        <v>800</v>
      </c>
      <c r="T48" s="93" t="n">
        <f aca="false">Seg1_N*T42</f>
        <v>800</v>
      </c>
      <c r="U48" s="93" t="n">
        <f aca="false">Seg1_N*U42</f>
        <v>800</v>
      </c>
      <c r="V48" s="93" t="n">
        <f aca="false">Seg1_N*V42</f>
        <v>800</v>
      </c>
      <c r="W48" s="93" t="n">
        <f aca="false">Seg1_N*W42</f>
        <v>800</v>
      </c>
    </row>
    <row r="49" customFormat="false" ht="15" hidden="false" customHeight="false" outlineLevel="0" collapsed="false">
      <c r="A49" s="11" t="str">
        <f aca="false">"Connections - "&amp;Seg2_Name</f>
        <v>Connections - Productive users (mills, welding, cold rooms)</v>
      </c>
      <c r="C49" s="93" t="n">
        <v>0</v>
      </c>
      <c r="D49" s="93" t="n">
        <f aca="false">Seg2_N*D42</f>
        <v>36</v>
      </c>
      <c r="E49" s="93" t="n">
        <f aca="false">Seg2_N*E42</f>
        <v>51</v>
      </c>
      <c r="F49" s="93" t="n">
        <f aca="false">Seg2_N*F42</f>
        <v>60</v>
      </c>
      <c r="G49" s="93" t="n">
        <f aca="false">Seg2_N*G42</f>
        <v>60</v>
      </c>
      <c r="H49" s="93" t="n">
        <f aca="false">Seg2_N*H42</f>
        <v>60</v>
      </c>
      <c r="I49" s="93" t="n">
        <f aca="false">Seg2_N*I42</f>
        <v>60</v>
      </c>
      <c r="J49" s="93" t="n">
        <f aca="false">Seg2_N*J42</f>
        <v>60</v>
      </c>
      <c r="K49" s="93" t="n">
        <f aca="false">Seg2_N*K42</f>
        <v>60</v>
      </c>
      <c r="L49" s="93" t="n">
        <f aca="false">Seg2_N*L42</f>
        <v>60</v>
      </c>
      <c r="M49" s="93" t="n">
        <f aca="false">Seg2_N*M42</f>
        <v>60</v>
      </c>
      <c r="N49" s="93" t="n">
        <f aca="false">Seg2_N*N42</f>
        <v>60</v>
      </c>
      <c r="O49" s="93" t="n">
        <f aca="false">Seg2_N*O42</f>
        <v>60</v>
      </c>
      <c r="P49" s="93" t="n">
        <f aca="false">Seg2_N*P42</f>
        <v>60</v>
      </c>
      <c r="Q49" s="93" t="n">
        <f aca="false">Seg2_N*Q42</f>
        <v>60</v>
      </c>
      <c r="R49" s="93" t="n">
        <f aca="false">Seg2_N*R42</f>
        <v>60</v>
      </c>
      <c r="S49" s="93" t="n">
        <f aca="false">Seg2_N*S42</f>
        <v>60</v>
      </c>
      <c r="T49" s="93" t="n">
        <f aca="false">Seg2_N*T42</f>
        <v>60</v>
      </c>
      <c r="U49" s="93" t="n">
        <f aca="false">Seg2_N*U42</f>
        <v>60</v>
      </c>
      <c r="V49" s="93" t="n">
        <f aca="false">Seg2_N*V42</f>
        <v>60</v>
      </c>
      <c r="W49" s="93" t="n">
        <f aca="false">Seg2_N*W42</f>
        <v>60</v>
      </c>
    </row>
    <row r="50" customFormat="false" ht="15" hidden="false" customHeight="false" outlineLevel="0" collapsed="false">
      <c r="A50" s="11" t="str">
        <f aca="false">"Connections - "&amp;Seg3_Name</f>
        <v>Connections - Commercial (shops, bars, kiosks)</v>
      </c>
      <c r="C50" s="93" t="n">
        <v>0</v>
      </c>
      <c r="D50" s="93" t="n">
        <f aca="false">Seg3_N*D42</f>
        <v>60</v>
      </c>
      <c r="E50" s="93" t="n">
        <f aca="false">Seg3_N*E42</f>
        <v>85</v>
      </c>
      <c r="F50" s="93" t="n">
        <f aca="false">Seg3_N*F42</f>
        <v>100</v>
      </c>
      <c r="G50" s="93" t="n">
        <f aca="false">Seg3_N*G42</f>
        <v>100</v>
      </c>
      <c r="H50" s="93" t="n">
        <f aca="false">Seg3_N*H42</f>
        <v>100</v>
      </c>
      <c r="I50" s="93" t="n">
        <f aca="false">Seg3_N*I42</f>
        <v>100</v>
      </c>
      <c r="J50" s="93" t="n">
        <f aca="false">Seg3_N*J42</f>
        <v>100</v>
      </c>
      <c r="K50" s="93" t="n">
        <f aca="false">Seg3_N*K42</f>
        <v>100</v>
      </c>
      <c r="L50" s="93" t="n">
        <f aca="false">Seg3_N*L42</f>
        <v>100</v>
      </c>
      <c r="M50" s="93" t="n">
        <f aca="false">Seg3_N*M42</f>
        <v>100</v>
      </c>
      <c r="N50" s="93" t="n">
        <f aca="false">Seg3_N*N42</f>
        <v>100</v>
      </c>
      <c r="O50" s="93" t="n">
        <f aca="false">Seg3_N*O42</f>
        <v>100</v>
      </c>
      <c r="P50" s="93" t="n">
        <f aca="false">Seg3_N*P42</f>
        <v>100</v>
      </c>
      <c r="Q50" s="93" t="n">
        <f aca="false">Seg3_N*Q42</f>
        <v>100</v>
      </c>
      <c r="R50" s="93" t="n">
        <f aca="false">Seg3_N*R42</f>
        <v>100</v>
      </c>
      <c r="S50" s="93" t="n">
        <f aca="false">Seg3_N*S42</f>
        <v>100</v>
      </c>
      <c r="T50" s="93" t="n">
        <f aca="false">Seg3_N*T42</f>
        <v>100</v>
      </c>
      <c r="U50" s="93" t="n">
        <f aca="false">Seg3_N*U42</f>
        <v>100</v>
      </c>
      <c r="V50" s="93" t="n">
        <f aca="false">Seg3_N*V42</f>
        <v>100</v>
      </c>
      <c r="W50" s="93" t="n">
        <f aca="false">Seg3_N*W42</f>
        <v>100</v>
      </c>
    </row>
    <row r="51" customFormat="false" ht="15" hidden="false" customHeight="false" outlineLevel="0" collapsed="false">
      <c r="A51" s="11" t="str">
        <f aca="false">"Connections - "&amp;Seg4_Name</f>
        <v>Connections - Institutions (health centre, school, water)</v>
      </c>
      <c r="C51" s="93" t="n">
        <v>0</v>
      </c>
      <c r="D51" s="93" t="n">
        <f aca="false">Seg4_N*D42</f>
        <v>6</v>
      </c>
      <c r="E51" s="93" t="n">
        <f aca="false">Seg4_N*E42</f>
        <v>8.5</v>
      </c>
      <c r="F51" s="93" t="n">
        <f aca="false">Seg4_N*F42</f>
        <v>10</v>
      </c>
      <c r="G51" s="93" t="n">
        <f aca="false">Seg4_N*G42</f>
        <v>10</v>
      </c>
      <c r="H51" s="93" t="n">
        <f aca="false">Seg4_N*H42</f>
        <v>10</v>
      </c>
      <c r="I51" s="93" t="n">
        <f aca="false">Seg4_N*I42</f>
        <v>10</v>
      </c>
      <c r="J51" s="93" t="n">
        <f aca="false">Seg4_N*J42</f>
        <v>10</v>
      </c>
      <c r="K51" s="93" t="n">
        <f aca="false">Seg4_N*K42</f>
        <v>10</v>
      </c>
      <c r="L51" s="93" t="n">
        <f aca="false">Seg4_N*L42</f>
        <v>10</v>
      </c>
      <c r="M51" s="93" t="n">
        <f aca="false">Seg4_N*M42</f>
        <v>10</v>
      </c>
      <c r="N51" s="93" t="n">
        <f aca="false">Seg4_N*N42</f>
        <v>10</v>
      </c>
      <c r="O51" s="93" t="n">
        <f aca="false">Seg4_N*O42</f>
        <v>10</v>
      </c>
      <c r="P51" s="93" t="n">
        <f aca="false">Seg4_N*P42</f>
        <v>10</v>
      </c>
      <c r="Q51" s="93" t="n">
        <f aca="false">Seg4_N*Q42</f>
        <v>10</v>
      </c>
      <c r="R51" s="93" t="n">
        <f aca="false">Seg4_N*R42</f>
        <v>10</v>
      </c>
      <c r="S51" s="93" t="n">
        <f aca="false">Seg4_N*S42</f>
        <v>10</v>
      </c>
      <c r="T51" s="93" t="n">
        <f aca="false">Seg4_N*T42</f>
        <v>10</v>
      </c>
      <c r="U51" s="93" t="n">
        <f aca="false">Seg4_N*U42</f>
        <v>10</v>
      </c>
      <c r="V51" s="93" t="n">
        <f aca="false">Seg4_N*V42</f>
        <v>10</v>
      </c>
      <c r="W51" s="93" t="n">
        <f aca="false">Seg4_N*W42</f>
        <v>10</v>
      </c>
    </row>
    <row r="52" customFormat="false" ht="15" hidden="false" customHeight="false" outlineLevel="0" collapsed="false">
      <c r="A52" s="11" t="str">
        <f aca="false">"Connections - "&amp;Seg5_Name</f>
        <v>Connections - Other / custom</v>
      </c>
      <c r="C52" s="93" t="n">
        <v>0</v>
      </c>
      <c r="D52" s="93" t="n">
        <f aca="false">Seg5_N*D42</f>
        <v>0</v>
      </c>
      <c r="E52" s="93" t="n">
        <f aca="false">Seg5_N*E42</f>
        <v>0</v>
      </c>
      <c r="F52" s="93" t="n">
        <f aca="false">Seg5_N*F42</f>
        <v>0</v>
      </c>
      <c r="G52" s="93" t="n">
        <f aca="false">Seg5_N*G42</f>
        <v>0</v>
      </c>
      <c r="H52" s="93" t="n">
        <f aca="false">Seg5_N*H42</f>
        <v>0</v>
      </c>
      <c r="I52" s="93" t="n">
        <f aca="false">Seg5_N*I42</f>
        <v>0</v>
      </c>
      <c r="J52" s="93" t="n">
        <f aca="false">Seg5_N*J42</f>
        <v>0</v>
      </c>
      <c r="K52" s="93" t="n">
        <f aca="false">Seg5_N*K42</f>
        <v>0</v>
      </c>
      <c r="L52" s="93" t="n">
        <f aca="false">Seg5_N*L42</f>
        <v>0</v>
      </c>
      <c r="M52" s="93" t="n">
        <f aca="false">Seg5_N*M42</f>
        <v>0</v>
      </c>
      <c r="N52" s="93" t="n">
        <f aca="false">Seg5_N*N42</f>
        <v>0</v>
      </c>
      <c r="O52" s="93" t="n">
        <f aca="false">Seg5_N*O42</f>
        <v>0</v>
      </c>
      <c r="P52" s="93" t="n">
        <f aca="false">Seg5_N*P42</f>
        <v>0</v>
      </c>
      <c r="Q52" s="93" t="n">
        <f aca="false">Seg5_N*Q42</f>
        <v>0</v>
      </c>
      <c r="R52" s="93" t="n">
        <f aca="false">Seg5_N*R42</f>
        <v>0</v>
      </c>
      <c r="S52" s="93" t="n">
        <f aca="false">Seg5_N*S42</f>
        <v>0</v>
      </c>
      <c r="T52" s="93" t="n">
        <f aca="false">Seg5_N*T42</f>
        <v>0</v>
      </c>
      <c r="U52" s="93" t="n">
        <f aca="false">Seg5_N*U42</f>
        <v>0</v>
      </c>
      <c r="V52" s="93" t="n">
        <f aca="false">Seg5_N*V42</f>
        <v>0</v>
      </c>
      <c r="W52" s="93" t="n">
        <f aca="false">Seg5_N*W42</f>
        <v>0</v>
      </c>
    </row>
    <row r="53" customFormat="false" ht="15" hidden="false" customHeight="false" outlineLevel="0" collapsed="false">
      <c r="A53" s="16" t="s">
        <v>420</v>
      </c>
      <c r="C53" s="29" t="n">
        <f aca="false">C48+C49+C50+C51+C52</f>
        <v>0</v>
      </c>
      <c r="D53" s="29" t="n">
        <f aca="false">D48+D49+D50+D51+D52</f>
        <v>582</v>
      </c>
      <c r="E53" s="29" t="n">
        <f aca="false">E48+E49+E50+E51+E52</f>
        <v>824.5</v>
      </c>
      <c r="F53" s="29" t="n">
        <f aca="false">F48+F49+F50+F51+F52</f>
        <v>970</v>
      </c>
      <c r="G53" s="29" t="n">
        <f aca="false">G48+G49+G50+G51+G52</f>
        <v>970</v>
      </c>
      <c r="H53" s="29" t="n">
        <f aca="false">H48+H49+H50+H51+H52</f>
        <v>970</v>
      </c>
      <c r="I53" s="29" t="n">
        <f aca="false">I48+I49+I50+I51+I52</f>
        <v>970</v>
      </c>
      <c r="J53" s="29" t="n">
        <f aca="false">J48+J49+J50+J51+J52</f>
        <v>970</v>
      </c>
      <c r="K53" s="29" t="n">
        <f aca="false">K48+K49+K50+K51+K52</f>
        <v>970</v>
      </c>
      <c r="L53" s="29" t="n">
        <f aca="false">L48+L49+L50+L51+L52</f>
        <v>970</v>
      </c>
      <c r="M53" s="29" t="n">
        <f aca="false">M48+M49+M50+M51+M52</f>
        <v>970</v>
      </c>
      <c r="N53" s="29" t="n">
        <f aca="false">N48+N49+N50+N51+N52</f>
        <v>970</v>
      </c>
      <c r="O53" s="29" t="n">
        <f aca="false">O48+O49+O50+O51+O52</f>
        <v>970</v>
      </c>
      <c r="P53" s="29" t="n">
        <f aca="false">P48+P49+P50+P51+P52</f>
        <v>970</v>
      </c>
      <c r="Q53" s="29" t="n">
        <f aca="false">Q48+Q49+Q50+Q51+Q52</f>
        <v>970</v>
      </c>
      <c r="R53" s="29" t="n">
        <f aca="false">R48+R49+R50+R51+R52</f>
        <v>970</v>
      </c>
      <c r="S53" s="29" t="n">
        <f aca="false">S48+S49+S50+S51+S52</f>
        <v>970</v>
      </c>
      <c r="T53" s="29" t="n">
        <f aca="false">T48+T49+T50+T51+T52</f>
        <v>970</v>
      </c>
      <c r="U53" s="29" t="n">
        <f aca="false">U48+U49+U50+U51+U52</f>
        <v>970</v>
      </c>
      <c r="V53" s="29" t="n">
        <f aca="false">V48+V49+V50+V51+V52</f>
        <v>970</v>
      </c>
      <c r="W53" s="29" t="n">
        <f aca="false">W48+W49+W50+W51+W52</f>
        <v>970</v>
      </c>
    </row>
    <row r="54" customFormat="false" ht="15" hidden="false" customHeight="false" outlineLevel="0" collapsed="false">
      <c r="A54" s="11" t="str">
        <f aca="false">"New connections - "&amp;Seg1_Name</f>
        <v>New connections - Households</v>
      </c>
      <c r="B54" s="77" t="n">
        <f aca="false">SUM(C54:W54)</f>
        <v>800</v>
      </c>
      <c r="C54" s="94" t="n">
        <v>0</v>
      </c>
      <c r="D54" s="94" t="n">
        <f aca="false">MAX(0,D48-C48)</f>
        <v>480</v>
      </c>
      <c r="E54" s="94" t="n">
        <f aca="false">MAX(0,E48-D48)</f>
        <v>200</v>
      </c>
      <c r="F54" s="94" t="n">
        <f aca="false">MAX(0,F48-E48)</f>
        <v>120</v>
      </c>
      <c r="G54" s="94" t="n">
        <f aca="false">MAX(0,G48-F48)</f>
        <v>0</v>
      </c>
      <c r="H54" s="94" t="n">
        <f aca="false">MAX(0,H48-G48)</f>
        <v>0</v>
      </c>
      <c r="I54" s="94" t="n">
        <f aca="false">MAX(0,I48-H48)</f>
        <v>0</v>
      </c>
      <c r="J54" s="94" t="n">
        <f aca="false">MAX(0,J48-I48)</f>
        <v>0</v>
      </c>
      <c r="K54" s="94" t="n">
        <f aca="false">MAX(0,K48-J48)</f>
        <v>0</v>
      </c>
      <c r="L54" s="94" t="n">
        <f aca="false">MAX(0,L48-K48)</f>
        <v>0</v>
      </c>
      <c r="M54" s="94" t="n">
        <f aca="false">MAX(0,M48-L48)</f>
        <v>0</v>
      </c>
      <c r="N54" s="94" t="n">
        <f aca="false">MAX(0,N48-M48)</f>
        <v>0</v>
      </c>
      <c r="O54" s="94" t="n">
        <f aca="false">MAX(0,O48-N48)</f>
        <v>0</v>
      </c>
      <c r="P54" s="94" t="n">
        <f aca="false">MAX(0,P48-O48)</f>
        <v>0</v>
      </c>
      <c r="Q54" s="94" t="n">
        <f aca="false">MAX(0,Q48-P48)</f>
        <v>0</v>
      </c>
      <c r="R54" s="94" t="n">
        <f aca="false">MAX(0,R48-Q48)</f>
        <v>0</v>
      </c>
      <c r="S54" s="94" t="n">
        <f aca="false">MAX(0,S48-R48)</f>
        <v>0</v>
      </c>
      <c r="T54" s="94" t="n">
        <f aca="false">MAX(0,T48-S48)</f>
        <v>0</v>
      </c>
      <c r="U54" s="94" t="n">
        <f aca="false">MAX(0,U48-T48)</f>
        <v>0</v>
      </c>
      <c r="V54" s="94" t="n">
        <f aca="false">MAX(0,V48-U48)</f>
        <v>0</v>
      </c>
      <c r="W54" s="94" t="n">
        <f aca="false">MAX(0,W48-V48)</f>
        <v>0</v>
      </c>
    </row>
    <row r="55" customFormat="false" ht="15" hidden="false" customHeight="false" outlineLevel="0" collapsed="false">
      <c r="A55" s="11" t="str">
        <f aca="false">"New connections - "&amp;Seg2_Name</f>
        <v>New connections - Productive users (mills, welding, cold rooms)</v>
      </c>
      <c r="B55" s="77" t="n">
        <f aca="false">SUM(C55:W55)</f>
        <v>60</v>
      </c>
      <c r="C55" s="94" t="n">
        <v>0</v>
      </c>
      <c r="D55" s="94" t="n">
        <f aca="false">MAX(0,D49-C49)</f>
        <v>36</v>
      </c>
      <c r="E55" s="94" t="n">
        <f aca="false">MAX(0,E49-D49)</f>
        <v>15</v>
      </c>
      <c r="F55" s="94" t="n">
        <f aca="false">MAX(0,F49-E49)</f>
        <v>9</v>
      </c>
      <c r="G55" s="94" t="n">
        <f aca="false">MAX(0,G49-F49)</f>
        <v>0</v>
      </c>
      <c r="H55" s="94" t="n">
        <f aca="false">MAX(0,H49-G49)</f>
        <v>0</v>
      </c>
      <c r="I55" s="94" t="n">
        <f aca="false">MAX(0,I49-H49)</f>
        <v>0</v>
      </c>
      <c r="J55" s="94" t="n">
        <f aca="false">MAX(0,J49-I49)</f>
        <v>0</v>
      </c>
      <c r="K55" s="94" t="n">
        <f aca="false">MAX(0,K49-J49)</f>
        <v>0</v>
      </c>
      <c r="L55" s="94" t="n">
        <f aca="false">MAX(0,L49-K49)</f>
        <v>0</v>
      </c>
      <c r="M55" s="94" t="n">
        <f aca="false">MAX(0,M49-L49)</f>
        <v>0</v>
      </c>
      <c r="N55" s="94" t="n">
        <f aca="false">MAX(0,N49-M49)</f>
        <v>0</v>
      </c>
      <c r="O55" s="94" t="n">
        <f aca="false">MAX(0,O49-N49)</f>
        <v>0</v>
      </c>
      <c r="P55" s="94" t="n">
        <f aca="false">MAX(0,P49-O49)</f>
        <v>0</v>
      </c>
      <c r="Q55" s="94" t="n">
        <f aca="false">MAX(0,Q49-P49)</f>
        <v>0</v>
      </c>
      <c r="R55" s="94" t="n">
        <f aca="false">MAX(0,R49-Q49)</f>
        <v>0</v>
      </c>
      <c r="S55" s="94" t="n">
        <f aca="false">MAX(0,S49-R49)</f>
        <v>0</v>
      </c>
      <c r="T55" s="94" t="n">
        <f aca="false">MAX(0,T49-S49)</f>
        <v>0</v>
      </c>
      <c r="U55" s="94" t="n">
        <f aca="false">MAX(0,U49-T49)</f>
        <v>0</v>
      </c>
      <c r="V55" s="94" t="n">
        <f aca="false">MAX(0,V49-U49)</f>
        <v>0</v>
      </c>
      <c r="W55" s="94" t="n">
        <f aca="false">MAX(0,W49-V49)</f>
        <v>0</v>
      </c>
    </row>
    <row r="56" customFormat="false" ht="15" hidden="false" customHeight="false" outlineLevel="0" collapsed="false">
      <c r="A56" s="11" t="str">
        <f aca="false">"New connections - "&amp;Seg3_Name</f>
        <v>New connections - Commercial (shops, bars, kiosks)</v>
      </c>
      <c r="B56" s="77" t="n">
        <f aca="false">SUM(C56:W56)</f>
        <v>100</v>
      </c>
      <c r="C56" s="94" t="n">
        <v>0</v>
      </c>
      <c r="D56" s="94" t="n">
        <f aca="false">MAX(0,D50-C50)</f>
        <v>60</v>
      </c>
      <c r="E56" s="94" t="n">
        <f aca="false">MAX(0,E50-D50)</f>
        <v>25</v>
      </c>
      <c r="F56" s="94" t="n">
        <f aca="false">MAX(0,F50-E50)</f>
        <v>15</v>
      </c>
      <c r="G56" s="94" t="n">
        <f aca="false">MAX(0,G50-F50)</f>
        <v>0</v>
      </c>
      <c r="H56" s="94" t="n">
        <f aca="false">MAX(0,H50-G50)</f>
        <v>0</v>
      </c>
      <c r="I56" s="94" t="n">
        <f aca="false">MAX(0,I50-H50)</f>
        <v>0</v>
      </c>
      <c r="J56" s="94" t="n">
        <f aca="false">MAX(0,J50-I50)</f>
        <v>0</v>
      </c>
      <c r="K56" s="94" t="n">
        <f aca="false">MAX(0,K50-J50)</f>
        <v>0</v>
      </c>
      <c r="L56" s="94" t="n">
        <f aca="false">MAX(0,L50-K50)</f>
        <v>0</v>
      </c>
      <c r="M56" s="94" t="n">
        <f aca="false">MAX(0,M50-L50)</f>
        <v>0</v>
      </c>
      <c r="N56" s="94" t="n">
        <f aca="false">MAX(0,N50-M50)</f>
        <v>0</v>
      </c>
      <c r="O56" s="94" t="n">
        <f aca="false">MAX(0,O50-N50)</f>
        <v>0</v>
      </c>
      <c r="P56" s="94" t="n">
        <f aca="false">MAX(0,P50-O50)</f>
        <v>0</v>
      </c>
      <c r="Q56" s="94" t="n">
        <f aca="false">MAX(0,Q50-P50)</f>
        <v>0</v>
      </c>
      <c r="R56" s="94" t="n">
        <f aca="false">MAX(0,R50-Q50)</f>
        <v>0</v>
      </c>
      <c r="S56" s="94" t="n">
        <f aca="false">MAX(0,S50-R50)</f>
        <v>0</v>
      </c>
      <c r="T56" s="94" t="n">
        <f aca="false">MAX(0,T50-S50)</f>
        <v>0</v>
      </c>
      <c r="U56" s="94" t="n">
        <f aca="false">MAX(0,U50-T50)</f>
        <v>0</v>
      </c>
      <c r="V56" s="94" t="n">
        <f aca="false">MAX(0,V50-U50)</f>
        <v>0</v>
      </c>
      <c r="W56" s="94" t="n">
        <f aca="false">MAX(0,W50-V50)</f>
        <v>0</v>
      </c>
    </row>
    <row r="57" customFormat="false" ht="15" hidden="false" customHeight="false" outlineLevel="0" collapsed="false">
      <c r="A57" s="11" t="str">
        <f aca="false">"New connections - "&amp;Seg4_Name</f>
        <v>New connections - Institutions (health centre, school, water)</v>
      </c>
      <c r="B57" s="77" t="n">
        <f aca="false">SUM(C57:W57)</f>
        <v>10</v>
      </c>
      <c r="C57" s="94" t="n">
        <v>0</v>
      </c>
      <c r="D57" s="94" t="n">
        <f aca="false">MAX(0,D51-C51)</f>
        <v>6</v>
      </c>
      <c r="E57" s="94" t="n">
        <f aca="false">MAX(0,E51-D51)</f>
        <v>2.5</v>
      </c>
      <c r="F57" s="94" t="n">
        <f aca="false">MAX(0,F51-E51)</f>
        <v>1.5</v>
      </c>
      <c r="G57" s="94" t="n">
        <f aca="false">MAX(0,G51-F51)</f>
        <v>0</v>
      </c>
      <c r="H57" s="94" t="n">
        <f aca="false">MAX(0,H51-G51)</f>
        <v>0</v>
      </c>
      <c r="I57" s="94" t="n">
        <f aca="false">MAX(0,I51-H51)</f>
        <v>0</v>
      </c>
      <c r="J57" s="94" t="n">
        <f aca="false">MAX(0,J51-I51)</f>
        <v>0</v>
      </c>
      <c r="K57" s="94" t="n">
        <f aca="false">MAX(0,K51-J51)</f>
        <v>0</v>
      </c>
      <c r="L57" s="94" t="n">
        <f aca="false">MAX(0,L51-K51)</f>
        <v>0</v>
      </c>
      <c r="M57" s="94" t="n">
        <f aca="false">MAX(0,M51-L51)</f>
        <v>0</v>
      </c>
      <c r="N57" s="94" t="n">
        <f aca="false">MAX(0,N51-M51)</f>
        <v>0</v>
      </c>
      <c r="O57" s="94" t="n">
        <f aca="false">MAX(0,O51-N51)</f>
        <v>0</v>
      </c>
      <c r="P57" s="94" t="n">
        <f aca="false">MAX(0,P51-O51)</f>
        <v>0</v>
      </c>
      <c r="Q57" s="94" t="n">
        <f aca="false">MAX(0,Q51-P51)</f>
        <v>0</v>
      </c>
      <c r="R57" s="94" t="n">
        <f aca="false">MAX(0,R51-Q51)</f>
        <v>0</v>
      </c>
      <c r="S57" s="94" t="n">
        <f aca="false">MAX(0,S51-R51)</f>
        <v>0</v>
      </c>
      <c r="T57" s="94" t="n">
        <f aca="false">MAX(0,T51-S51)</f>
        <v>0</v>
      </c>
      <c r="U57" s="94" t="n">
        <f aca="false">MAX(0,U51-T51)</f>
        <v>0</v>
      </c>
      <c r="V57" s="94" t="n">
        <f aca="false">MAX(0,V51-U51)</f>
        <v>0</v>
      </c>
      <c r="W57" s="94" t="n">
        <f aca="false">MAX(0,W51-V51)</f>
        <v>0</v>
      </c>
    </row>
    <row r="58" customFormat="false" ht="15" hidden="false" customHeight="false" outlineLevel="0" collapsed="false">
      <c r="A58" s="11" t="str">
        <f aca="false">"New connections - "&amp;Seg5_Name</f>
        <v>New connections - Other / custom</v>
      </c>
      <c r="B58" s="77" t="n">
        <f aca="false">SUM(C58:W58)</f>
        <v>0</v>
      </c>
      <c r="C58" s="94" t="n">
        <v>0</v>
      </c>
      <c r="D58" s="94" t="n">
        <f aca="false">MAX(0,D52-C52)</f>
        <v>0</v>
      </c>
      <c r="E58" s="94" t="n">
        <f aca="false">MAX(0,E52-D52)</f>
        <v>0</v>
      </c>
      <c r="F58" s="94" t="n">
        <f aca="false">MAX(0,F52-E52)</f>
        <v>0</v>
      </c>
      <c r="G58" s="94" t="n">
        <f aca="false">MAX(0,G52-F52)</f>
        <v>0</v>
      </c>
      <c r="H58" s="94" t="n">
        <f aca="false">MAX(0,H52-G52)</f>
        <v>0</v>
      </c>
      <c r="I58" s="94" t="n">
        <f aca="false">MAX(0,I52-H52)</f>
        <v>0</v>
      </c>
      <c r="J58" s="94" t="n">
        <f aca="false">MAX(0,J52-I52)</f>
        <v>0</v>
      </c>
      <c r="K58" s="94" t="n">
        <f aca="false">MAX(0,K52-J52)</f>
        <v>0</v>
      </c>
      <c r="L58" s="94" t="n">
        <f aca="false">MAX(0,L52-K52)</f>
        <v>0</v>
      </c>
      <c r="M58" s="94" t="n">
        <f aca="false">MAX(0,M52-L52)</f>
        <v>0</v>
      </c>
      <c r="N58" s="94" t="n">
        <f aca="false">MAX(0,N52-M52)</f>
        <v>0</v>
      </c>
      <c r="O58" s="94" t="n">
        <f aca="false">MAX(0,O52-N52)</f>
        <v>0</v>
      </c>
      <c r="P58" s="94" t="n">
        <f aca="false">MAX(0,P52-O52)</f>
        <v>0</v>
      </c>
      <c r="Q58" s="94" t="n">
        <f aca="false">MAX(0,Q52-P52)</f>
        <v>0</v>
      </c>
      <c r="R58" s="94" t="n">
        <f aca="false">MAX(0,R52-Q52)</f>
        <v>0</v>
      </c>
      <c r="S58" s="94" t="n">
        <f aca="false">MAX(0,S52-R52)</f>
        <v>0</v>
      </c>
      <c r="T58" s="94" t="n">
        <f aca="false">MAX(0,T52-S52)</f>
        <v>0</v>
      </c>
      <c r="U58" s="94" t="n">
        <f aca="false">MAX(0,U52-T52)</f>
        <v>0</v>
      </c>
      <c r="V58" s="94" t="n">
        <f aca="false">MAX(0,V52-U52)</f>
        <v>0</v>
      </c>
      <c r="W58" s="94" t="n">
        <f aca="false">MAX(0,W52-V52)</f>
        <v>0</v>
      </c>
    </row>
    <row r="59" customFormat="false" ht="15" hidden="false" customHeight="false" outlineLevel="0" collapsed="false">
      <c r="A59" s="16" t="s">
        <v>421</v>
      </c>
      <c r="B59" s="76" t="n">
        <f aca="false">SUM(C59:W59)</f>
        <v>970</v>
      </c>
      <c r="C59" s="29" t="n">
        <f aca="false">C54+C55+C56+C57+C58</f>
        <v>0</v>
      </c>
      <c r="D59" s="29" t="n">
        <f aca="false">D54+D55+D56+D57+D58</f>
        <v>582</v>
      </c>
      <c r="E59" s="29" t="n">
        <f aca="false">E54+E55+E56+E57+E58</f>
        <v>242.5</v>
      </c>
      <c r="F59" s="29" t="n">
        <f aca="false">F54+F55+F56+F57+F58</f>
        <v>145.5</v>
      </c>
      <c r="G59" s="29" t="n">
        <f aca="false">G54+G55+G56+G57+G58</f>
        <v>0</v>
      </c>
      <c r="H59" s="29" t="n">
        <f aca="false">H54+H55+H56+H57+H58</f>
        <v>0</v>
      </c>
      <c r="I59" s="29" t="n">
        <f aca="false">I54+I55+I56+I57+I58</f>
        <v>0</v>
      </c>
      <c r="J59" s="29" t="n">
        <f aca="false">J54+J55+J56+J57+J58</f>
        <v>0</v>
      </c>
      <c r="K59" s="29" t="n">
        <f aca="false">K54+K55+K56+K57+K58</f>
        <v>0</v>
      </c>
      <c r="L59" s="29" t="n">
        <f aca="false">L54+L55+L56+L57+L58</f>
        <v>0</v>
      </c>
      <c r="M59" s="29" t="n">
        <f aca="false">M54+M55+M56+M57+M58</f>
        <v>0</v>
      </c>
      <c r="N59" s="29" t="n">
        <f aca="false">N54+N55+N56+N57+N58</f>
        <v>0</v>
      </c>
      <c r="O59" s="29" t="n">
        <f aca="false">O54+O55+O56+O57+O58</f>
        <v>0</v>
      </c>
      <c r="P59" s="29" t="n">
        <f aca="false">P54+P55+P56+P57+P58</f>
        <v>0</v>
      </c>
      <c r="Q59" s="29" t="n">
        <f aca="false">Q54+Q55+Q56+Q57+Q58</f>
        <v>0</v>
      </c>
      <c r="R59" s="29" t="n">
        <f aca="false">R54+R55+R56+R57+R58</f>
        <v>0</v>
      </c>
      <c r="S59" s="29" t="n">
        <f aca="false">S54+S55+S56+S57+S58</f>
        <v>0</v>
      </c>
      <c r="T59" s="29" t="n">
        <f aca="false">T54+T55+T56+T57+T58</f>
        <v>0</v>
      </c>
      <c r="U59" s="29" t="n">
        <f aca="false">U54+U55+U56+U57+U58</f>
        <v>0</v>
      </c>
      <c r="V59" s="29" t="n">
        <f aca="false">V54+V55+V56+V57+V58</f>
        <v>0</v>
      </c>
      <c r="W59" s="29" t="n">
        <f aca="false">W54+W55+W56+W57+W58</f>
        <v>0</v>
      </c>
    </row>
    <row r="61" customFormat="false" ht="15" hidden="false" customHeight="false" outlineLevel="0" collapsed="false">
      <c r="A61" s="11" t="str">
        <f aca="false">"Energy sold (kWh) - "&amp;Seg1_Name</f>
        <v>Energy sold (kWh) - Households</v>
      </c>
      <c r="B61" s="76" t="n">
        <f aca="false">SUM(C61:W61)</f>
        <v>3789485.92641319</v>
      </c>
      <c r="C61" s="93" t="n">
        <v>0</v>
      </c>
      <c r="D61" s="93" t="n">
        <f aca="false">D48*Seg1_kWh*12*D45</f>
        <v>86400</v>
      </c>
      <c r="E61" s="93" t="n">
        <f aca="false">E48*Seg1_kWh*12*E45</f>
        <v>126072</v>
      </c>
      <c r="F61" s="93" t="n">
        <f aca="false">F48*Seg1_kWh*12*F45</f>
        <v>152769.6</v>
      </c>
      <c r="G61" s="93" t="n">
        <f aca="false">G48*Seg1_kWh*12*G45</f>
        <v>157352.688</v>
      </c>
      <c r="H61" s="93" t="n">
        <f aca="false">H48*Seg1_kWh*12*H45</f>
        <v>162073.26864</v>
      </c>
      <c r="I61" s="93" t="n">
        <f aca="false">I48*Seg1_kWh*12*I45</f>
        <v>166935.4666992</v>
      </c>
      <c r="J61" s="93" t="n">
        <f aca="false">J48*Seg1_kWh*12*J45</f>
        <v>171943.530700176</v>
      </c>
      <c r="K61" s="93" t="n">
        <f aca="false">K48*Seg1_kWh*12*K45</f>
        <v>177101.836621181</v>
      </c>
      <c r="L61" s="93" t="n">
        <f aca="false">L48*Seg1_kWh*12*L45</f>
        <v>182414.891719817</v>
      </c>
      <c r="M61" s="93" t="n">
        <f aca="false">M48*Seg1_kWh*12*M45</f>
        <v>187887.338471411</v>
      </c>
      <c r="N61" s="93" t="n">
        <f aca="false">N48*Seg1_kWh*12*N45</f>
        <v>193523.958625554</v>
      </c>
      <c r="O61" s="93" t="n">
        <f aca="false">O48*Seg1_kWh*12*O45</f>
        <v>199329.67738432</v>
      </c>
      <c r="P61" s="93" t="n">
        <f aca="false">P48*Seg1_kWh*12*P45</f>
        <v>205309.56770585</v>
      </c>
      <c r="Q61" s="93" t="n">
        <f aca="false">Q48*Seg1_kWh*12*Q45</f>
        <v>211468.854737025</v>
      </c>
      <c r="R61" s="93" t="n">
        <f aca="false">R48*Seg1_kWh*12*R45</f>
        <v>217812.920379136</v>
      </c>
      <c r="S61" s="93" t="n">
        <f aca="false">S48*Seg1_kWh*12*S45</f>
        <v>224347.30799051</v>
      </c>
      <c r="T61" s="93" t="n">
        <f aca="false">T48*Seg1_kWh*12*T45</f>
        <v>231077.727230226</v>
      </c>
      <c r="U61" s="93" t="n">
        <f aca="false">U48*Seg1_kWh*12*U45</f>
        <v>238010.059047132</v>
      </c>
      <c r="V61" s="93" t="n">
        <f aca="false">V48*Seg1_kWh*12*V45</f>
        <v>245150.360818546</v>
      </c>
      <c r="W61" s="93" t="n">
        <f aca="false">W48*Seg1_kWh*12*W45</f>
        <v>252504.871643103</v>
      </c>
    </row>
    <row r="62" customFormat="false" ht="15" hidden="false" customHeight="false" outlineLevel="0" collapsed="false">
      <c r="A62" s="11" t="str">
        <f aca="false">"Energy sold (kWh) - "&amp;Seg2_Name</f>
        <v>Energy sold (kWh) - Productive users (mills, welding, cold rooms)</v>
      </c>
      <c r="B62" s="76" t="n">
        <f aca="false">SUM(C62:W62)</f>
        <v>2944733.72369716</v>
      </c>
      <c r="C62" s="93" t="n">
        <v>0</v>
      </c>
      <c r="D62" s="93" t="n">
        <f aca="false">D49*Seg2_kWh*12*D45</f>
        <v>67139.712</v>
      </c>
      <c r="E62" s="93" t="n">
        <f aca="false">E49*Seg2_kWh*12*E45</f>
        <v>97968.02976</v>
      </c>
      <c r="F62" s="93" t="n">
        <f aca="false">F49*Seg2_kWh*12*F45</f>
        <v>118714.200768</v>
      </c>
      <c r="G62" s="93" t="n">
        <f aca="false">G49*Seg2_kWh*12*G45</f>
        <v>122275.62679104</v>
      </c>
      <c r="H62" s="93" t="n">
        <f aca="false">H49*Seg2_kWh*12*H45</f>
        <v>125943.895594771</v>
      </c>
      <c r="I62" s="93" t="n">
        <f aca="false">I49*Seg2_kWh*12*I45</f>
        <v>129722.212462614</v>
      </c>
      <c r="J62" s="93" t="n">
        <f aca="false">J49*Seg2_kWh*12*J45</f>
        <v>133613.878836493</v>
      </c>
      <c r="K62" s="93" t="n">
        <f aca="false">K49*Seg2_kWh*12*K45</f>
        <v>137622.295201588</v>
      </c>
      <c r="L62" s="93" t="n">
        <f aca="false">L49*Seg2_kWh*12*L45</f>
        <v>141750.964057635</v>
      </c>
      <c r="M62" s="93" t="n">
        <f aca="false">M49*Seg2_kWh*12*M45</f>
        <v>146003.492979364</v>
      </c>
      <c r="N62" s="93" t="n">
        <f aca="false">N49*Seg2_kWh*12*N45</f>
        <v>150383.597768745</v>
      </c>
      <c r="O62" s="93" t="n">
        <f aca="false">O49*Seg2_kWh*12*O45</f>
        <v>154895.105701808</v>
      </c>
      <c r="P62" s="93" t="n">
        <f aca="false">P49*Seg2_kWh*12*P45</f>
        <v>159541.958872862</v>
      </c>
      <c r="Q62" s="93" t="n">
        <f aca="false">Q49*Seg2_kWh*12*Q45</f>
        <v>164328.217639048</v>
      </c>
      <c r="R62" s="93" t="n">
        <f aca="false">R49*Seg2_kWh*12*R45</f>
        <v>169258.064168219</v>
      </c>
      <c r="S62" s="93" t="n">
        <f aca="false">S49*Seg2_kWh*12*S45</f>
        <v>174335.806093266</v>
      </c>
      <c r="T62" s="93" t="n">
        <f aca="false">T49*Seg2_kWh*12*T45</f>
        <v>179565.880276064</v>
      </c>
      <c r="U62" s="93" t="n">
        <f aca="false">U49*Seg2_kWh*12*U45</f>
        <v>184952.856684346</v>
      </c>
      <c r="V62" s="93" t="n">
        <f aca="false">V49*Seg2_kWh*12*V45</f>
        <v>190501.442384876</v>
      </c>
      <c r="W62" s="93" t="n">
        <f aca="false">W49*Seg2_kWh*12*W45</f>
        <v>196216.485656422</v>
      </c>
    </row>
    <row r="63" customFormat="false" ht="15" hidden="false" customHeight="false" outlineLevel="0" collapsed="false">
      <c r="A63" s="11" t="str">
        <f aca="false">"Energy sold (kWh) - "&amp;Seg3_Name</f>
        <v>Energy sold (kWh) - Commercial (shops, bars, kiosks)</v>
      </c>
      <c r="B63" s="76" t="n">
        <f aca="false">SUM(C63:W63)</f>
        <v>1578952.46933883</v>
      </c>
      <c r="C63" s="93" t="n">
        <v>0</v>
      </c>
      <c r="D63" s="93" t="n">
        <f aca="false">D50*Seg3_kWh*12*D45</f>
        <v>36000</v>
      </c>
      <c r="E63" s="93" t="n">
        <f aca="false">E50*Seg3_kWh*12*E45</f>
        <v>52530</v>
      </c>
      <c r="F63" s="93" t="n">
        <f aca="false">F50*Seg3_kWh*12*F45</f>
        <v>63654</v>
      </c>
      <c r="G63" s="93" t="n">
        <f aca="false">G50*Seg3_kWh*12*G45</f>
        <v>65563.62</v>
      </c>
      <c r="H63" s="93" t="n">
        <f aca="false">H50*Seg3_kWh*12*H45</f>
        <v>67530.5286</v>
      </c>
      <c r="I63" s="93" t="n">
        <f aca="false">I50*Seg3_kWh*12*I45</f>
        <v>69556.444458</v>
      </c>
      <c r="J63" s="93" t="n">
        <f aca="false">J50*Seg3_kWh*12*J45</f>
        <v>71643.13779174</v>
      </c>
      <c r="K63" s="93" t="n">
        <f aca="false">K50*Seg3_kWh*12*K45</f>
        <v>73792.4319254922</v>
      </c>
      <c r="L63" s="93" t="n">
        <f aca="false">L50*Seg3_kWh*12*L45</f>
        <v>76006.204883257</v>
      </c>
      <c r="M63" s="93" t="n">
        <f aca="false">M50*Seg3_kWh*12*M45</f>
        <v>78286.3910297547</v>
      </c>
      <c r="N63" s="93" t="n">
        <f aca="false">N50*Seg3_kWh*12*N45</f>
        <v>80634.9827606473</v>
      </c>
      <c r="O63" s="93" t="n">
        <f aca="false">O50*Seg3_kWh*12*O45</f>
        <v>83054.0322434668</v>
      </c>
      <c r="P63" s="93" t="n">
        <f aca="false">P50*Seg3_kWh*12*P45</f>
        <v>85545.6532107708</v>
      </c>
      <c r="Q63" s="93" t="n">
        <f aca="false">Q50*Seg3_kWh*12*Q45</f>
        <v>88112.0228070939</v>
      </c>
      <c r="R63" s="93" t="n">
        <f aca="false">R50*Seg3_kWh*12*R45</f>
        <v>90755.3834913067</v>
      </c>
      <c r="S63" s="93" t="n">
        <f aca="false">S50*Seg3_kWh*12*S45</f>
        <v>93478.0449960459</v>
      </c>
      <c r="T63" s="93" t="n">
        <f aca="false">T50*Seg3_kWh*12*T45</f>
        <v>96282.3863459273</v>
      </c>
      <c r="U63" s="93" t="n">
        <f aca="false">U50*Seg3_kWh*12*U45</f>
        <v>99170.8579363051</v>
      </c>
      <c r="V63" s="93" t="n">
        <f aca="false">V50*Seg3_kWh*12*V45</f>
        <v>102145.983674394</v>
      </c>
      <c r="W63" s="93" t="n">
        <f aca="false">W50*Seg3_kWh*12*W45</f>
        <v>105210.363184626</v>
      </c>
    </row>
    <row r="64" customFormat="false" ht="15" hidden="false" customHeight="false" outlineLevel="0" collapsed="false">
      <c r="A64" s="11" t="str">
        <f aca="false">"Energy sold (kWh) - "&amp;Seg4_Name</f>
        <v>Energy sold (kWh) - Institutions (health centre, school, water)</v>
      </c>
      <c r="B64" s="76" t="n">
        <f aca="false">SUM(C64:W64)</f>
        <v>947371.481603297</v>
      </c>
      <c r="C64" s="93" t="n">
        <v>0</v>
      </c>
      <c r="D64" s="93" t="n">
        <f aca="false">D51*Seg4_kWh*12*D45</f>
        <v>21600</v>
      </c>
      <c r="E64" s="93" t="n">
        <f aca="false">E51*Seg4_kWh*12*E45</f>
        <v>31518</v>
      </c>
      <c r="F64" s="93" t="n">
        <f aca="false">F51*Seg4_kWh*12*F45</f>
        <v>38192.4</v>
      </c>
      <c r="G64" s="93" t="n">
        <f aca="false">G51*Seg4_kWh*12*G45</f>
        <v>39338.172</v>
      </c>
      <c r="H64" s="93" t="n">
        <f aca="false">H51*Seg4_kWh*12*H45</f>
        <v>40518.31716</v>
      </c>
      <c r="I64" s="93" t="n">
        <f aca="false">I51*Seg4_kWh*12*I45</f>
        <v>41733.8666748</v>
      </c>
      <c r="J64" s="93" t="n">
        <f aca="false">J51*Seg4_kWh*12*J45</f>
        <v>42985.882675044</v>
      </c>
      <c r="K64" s="93" t="n">
        <f aca="false">K51*Seg4_kWh*12*K45</f>
        <v>44275.4591552953</v>
      </c>
      <c r="L64" s="93" t="n">
        <f aca="false">L51*Seg4_kWh*12*L45</f>
        <v>45603.7229299542</v>
      </c>
      <c r="M64" s="93" t="n">
        <f aca="false">M51*Seg4_kWh*12*M45</f>
        <v>46971.8346178528</v>
      </c>
      <c r="N64" s="93" t="n">
        <f aca="false">N51*Seg4_kWh*12*N45</f>
        <v>48380.9896563884</v>
      </c>
      <c r="O64" s="93" t="n">
        <f aca="false">O51*Seg4_kWh*12*O45</f>
        <v>49832.4193460801</v>
      </c>
      <c r="P64" s="93" t="n">
        <f aca="false">P51*Seg4_kWh*12*P45</f>
        <v>51327.3919264625</v>
      </c>
      <c r="Q64" s="93" t="n">
        <f aca="false">Q51*Seg4_kWh*12*Q45</f>
        <v>52867.2136842563</v>
      </c>
      <c r="R64" s="93" t="n">
        <f aca="false">R51*Seg4_kWh*12*R45</f>
        <v>54453.230094784</v>
      </c>
      <c r="S64" s="93" t="n">
        <f aca="false">S51*Seg4_kWh*12*S45</f>
        <v>56086.8269976275</v>
      </c>
      <c r="T64" s="93" t="n">
        <f aca="false">T51*Seg4_kWh*12*T45</f>
        <v>57769.4318075564</v>
      </c>
      <c r="U64" s="93" t="n">
        <f aca="false">U51*Seg4_kWh*12*U45</f>
        <v>59502.5147617831</v>
      </c>
      <c r="V64" s="93" t="n">
        <f aca="false">V51*Seg4_kWh*12*V45</f>
        <v>61287.5902046366</v>
      </c>
      <c r="W64" s="93" t="n">
        <f aca="false">W51*Seg4_kWh*12*W45</f>
        <v>63126.2179107757</v>
      </c>
    </row>
    <row r="65" customFormat="false" ht="15" hidden="false" customHeight="false" outlineLevel="0" collapsed="false">
      <c r="A65" s="11" t="str">
        <f aca="false">"Energy sold (kWh) - "&amp;Seg5_Name</f>
        <v>Energy sold (kWh) - Other / custom</v>
      </c>
      <c r="B65" s="76" t="n">
        <f aca="false">SUM(C65:W65)</f>
        <v>0</v>
      </c>
      <c r="C65" s="93" t="n">
        <v>0</v>
      </c>
      <c r="D65" s="93" t="n">
        <f aca="false">D52*Seg5_kWh*12*D45</f>
        <v>0</v>
      </c>
      <c r="E65" s="93" t="n">
        <f aca="false">E52*Seg5_kWh*12*E45</f>
        <v>0</v>
      </c>
      <c r="F65" s="93" t="n">
        <f aca="false">F52*Seg5_kWh*12*F45</f>
        <v>0</v>
      </c>
      <c r="G65" s="93" t="n">
        <f aca="false">G52*Seg5_kWh*12*G45</f>
        <v>0</v>
      </c>
      <c r="H65" s="93" t="n">
        <f aca="false">H52*Seg5_kWh*12*H45</f>
        <v>0</v>
      </c>
      <c r="I65" s="93" t="n">
        <f aca="false">I52*Seg5_kWh*12*I45</f>
        <v>0</v>
      </c>
      <c r="J65" s="93" t="n">
        <f aca="false">J52*Seg5_kWh*12*J45</f>
        <v>0</v>
      </c>
      <c r="K65" s="93" t="n">
        <f aca="false">K52*Seg5_kWh*12*K45</f>
        <v>0</v>
      </c>
      <c r="L65" s="93" t="n">
        <f aca="false">L52*Seg5_kWh*12*L45</f>
        <v>0</v>
      </c>
      <c r="M65" s="93" t="n">
        <f aca="false">M52*Seg5_kWh*12*M45</f>
        <v>0</v>
      </c>
      <c r="N65" s="93" t="n">
        <f aca="false">N52*Seg5_kWh*12*N45</f>
        <v>0</v>
      </c>
      <c r="O65" s="93" t="n">
        <f aca="false">O52*Seg5_kWh*12*O45</f>
        <v>0</v>
      </c>
      <c r="P65" s="93" t="n">
        <f aca="false">P52*Seg5_kWh*12*P45</f>
        <v>0</v>
      </c>
      <c r="Q65" s="93" t="n">
        <f aca="false">Q52*Seg5_kWh*12*Q45</f>
        <v>0</v>
      </c>
      <c r="R65" s="93" t="n">
        <f aca="false">R52*Seg5_kWh*12*R45</f>
        <v>0</v>
      </c>
      <c r="S65" s="93" t="n">
        <f aca="false">S52*Seg5_kWh*12*S45</f>
        <v>0</v>
      </c>
      <c r="T65" s="93" t="n">
        <f aca="false">T52*Seg5_kWh*12*T45</f>
        <v>0</v>
      </c>
      <c r="U65" s="93" t="n">
        <f aca="false">U52*Seg5_kWh*12*U45</f>
        <v>0</v>
      </c>
      <c r="V65" s="93" t="n">
        <f aca="false">V52*Seg5_kWh*12*V45</f>
        <v>0</v>
      </c>
      <c r="W65" s="93" t="n">
        <f aca="false">W52*Seg5_kWh*12*W45</f>
        <v>0</v>
      </c>
    </row>
    <row r="66" customFormat="false" ht="15" hidden="false" customHeight="false" outlineLevel="0" collapsed="false">
      <c r="A66" s="16" t="s">
        <v>422</v>
      </c>
      <c r="B66" s="76" t="n">
        <f aca="false">SUM(C66:W66)</f>
        <v>9260543.60105247</v>
      </c>
      <c r="C66" s="29" t="n">
        <f aca="false">C61+C62+C63+C64+C65</f>
        <v>0</v>
      </c>
      <c r="D66" s="29" t="n">
        <f aca="false">D61+D62+D63+D64+D65</f>
        <v>211139.712</v>
      </c>
      <c r="E66" s="29" t="n">
        <f aca="false">E61+E62+E63+E64+E65</f>
        <v>308088.02976</v>
      </c>
      <c r="F66" s="29" t="n">
        <f aca="false">F61+F62+F63+F64+F65</f>
        <v>373330.200768</v>
      </c>
      <c r="G66" s="29" t="n">
        <f aca="false">G61+G62+G63+G64+G65</f>
        <v>384530.10679104</v>
      </c>
      <c r="H66" s="29" t="n">
        <f aca="false">H61+H62+H63+H64+H65</f>
        <v>396066.009994771</v>
      </c>
      <c r="I66" s="29" t="n">
        <f aca="false">I61+I62+I63+I64+I65</f>
        <v>407947.990294614</v>
      </c>
      <c r="J66" s="29" t="n">
        <f aca="false">J61+J62+J63+J64+J65</f>
        <v>420186.430003453</v>
      </c>
      <c r="K66" s="29" t="n">
        <f aca="false">K61+K62+K63+K64+K65</f>
        <v>432792.022903556</v>
      </c>
      <c r="L66" s="29" t="n">
        <f aca="false">L61+L62+L63+L64+L65</f>
        <v>445775.783590663</v>
      </c>
      <c r="M66" s="29" t="n">
        <f aca="false">M61+M62+M63+M64+M65</f>
        <v>459149.057098383</v>
      </c>
      <c r="N66" s="29" t="n">
        <f aca="false">N61+N62+N63+N64+N65</f>
        <v>472923.528811335</v>
      </c>
      <c r="O66" s="29" t="n">
        <f aca="false">O61+O62+O63+O64+O65</f>
        <v>487111.234675675</v>
      </c>
      <c r="P66" s="29" t="n">
        <f aca="false">P61+P62+P63+P64+P65</f>
        <v>501724.571715945</v>
      </c>
      <c r="Q66" s="29" t="n">
        <f aca="false">Q61+Q62+Q63+Q64+Q65</f>
        <v>516776.308867423</v>
      </c>
      <c r="R66" s="29" t="n">
        <f aca="false">R61+R62+R63+R64+R65</f>
        <v>532279.598133446</v>
      </c>
      <c r="S66" s="29" t="n">
        <f aca="false">S61+S62+S63+S64+S65</f>
        <v>548247.986077449</v>
      </c>
      <c r="T66" s="29" t="n">
        <f aca="false">T61+T62+T63+T64+T65</f>
        <v>564695.425659773</v>
      </c>
      <c r="U66" s="29" t="n">
        <f aca="false">U61+U62+U63+U64+U65</f>
        <v>581636.288429566</v>
      </c>
      <c r="V66" s="29" t="n">
        <f aca="false">V61+V62+V63+V64+V65</f>
        <v>599085.377082453</v>
      </c>
      <c r="W66" s="29" t="n">
        <f aca="false">W61+W62+W63+W64+W65</f>
        <v>617057.938394927</v>
      </c>
    </row>
    <row r="68" customFormat="false" ht="15" hidden="false" customHeight="false" outlineLevel="0" collapsed="false">
      <c r="A68" s="9" t="s">
        <v>423</v>
      </c>
      <c r="B68" s="10"/>
      <c r="C68" s="10"/>
      <c r="D68" s="10"/>
      <c r="E68" s="10"/>
      <c r="F68" s="10"/>
      <c r="G68" s="10"/>
      <c r="H68" s="10"/>
      <c r="I68" s="10"/>
      <c r="J68" s="10"/>
      <c r="K68" s="10"/>
      <c r="L68" s="10"/>
      <c r="M68" s="10"/>
      <c r="N68" s="10"/>
      <c r="O68" s="10"/>
      <c r="P68" s="10"/>
      <c r="Q68" s="10"/>
      <c r="R68" s="10"/>
      <c r="S68" s="10"/>
      <c r="T68" s="10"/>
      <c r="U68" s="10"/>
      <c r="V68" s="10"/>
      <c r="W68" s="10"/>
    </row>
    <row r="69" customFormat="false" ht="15" hidden="false" customHeight="false" outlineLevel="0" collapsed="false">
      <c r="A69" s="11" t="s">
        <v>424</v>
      </c>
      <c r="B69" s="76" t="n">
        <f aca="false">SUM(C69:W69)</f>
        <v>10523345.001196</v>
      </c>
      <c r="C69" s="93" t="n">
        <v>0</v>
      </c>
      <c r="D69" s="93" t="n">
        <f aca="false">D66/(1-Losses)</f>
        <v>239931.490909091</v>
      </c>
      <c r="E69" s="93" t="n">
        <f aca="false">E66/(1-Losses)</f>
        <v>350100.033818182</v>
      </c>
      <c r="F69" s="93" t="n">
        <f aca="false">F66/(1-Losses)</f>
        <v>424238.864509091</v>
      </c>
      <c r="G69" s="93" t="n">
        <f aca="false">G66/(1-Losses)</f>
        <v>436966.030444364</v>
      </c>
      <c r="H69" s="93" t="n">
        <f aca="false">H66/(1-Losses)</f>
        <v>450075.011357695</v>
      </c>
      <c r="I69" s="93" t="n">
        <f aca="false">I66/(1-Losses)</f>
        <v>463577.261698425</v>
      </c>
      <c r="J69" s="93" t="n">
        <f aca="false">J66/(1-Losses)</f>
        <v>477484.579549378</v>
      </c>
      <c r="K69" s="93" t="n">
        <f aca="false">K66/(1-Losses)</f>
        <v>491809.11693586</v>
      </c>
      <c r="L69" s="93" t="n">
        <f aca="false">L66/(1-Losses)</f>
        <v>506563.390443935</v>
      </c>
      <c r="M69" s="93" t="n">
        <f aca="false">M66/(1-Losses)</f>
        <v>521760.292157253</v>
      </c>
      <c r="N69" s="93" t="n">
        <f aca="false">N66/(1-Losses)</f>
        <v>537413.100921971</v>
      </c>
      <c r="O69" s="93" t="n">
        <f aca="false">O66/(1-Losses)</f>
        <v>553535.49394963</v>
      </c>
      <c r="P69" s="93" t="n">
        <f aca="false">P66/(1-Losses)</f>
        <v>570141.558768119</v>
      </c>
      <c r="Q69" s="93" t="n">
        <f aca="false">Q66/(1-Losses)</f>
        <v>587245.805531163</v>
      </c>
      <c r="R69" s="93" t="n">
        <f aca="false">R66/(1-Losses)</f>
        <v>604863.179697098</v>
      </c>
      <c r="S69" s="93" t="n">
        <f aca="false">S66/(1-Losses)</f>
        <v>623009.07508801</v>
      </c>
      <c r="T69" s="93" t="n">
        <f aca="false">T66/(1-Losses)</f>
        <v>641699.347340651</v>
      </c>
      <c r="U69" s="93" t="n">
        <f aca="false">U66/(1-Losses)</f>
        <v>660950.327760871</v>
      </c>
      <c r="V69" s="93" t="n">
        <f aca="false">V66/(1-Losses)</f>
        <v>680778.837593697</v>
      </c>
      <c r="W69" s="93" t="n">
        <f aca="false">W66/(1-Losses)</f>
        <v>701202.202721508</v>
      </c>
    </row>
    <row r="70" customFormat="false" ht="15" hidden="false" customHeight="false" outlineLevel="0" collapsed="false">
      <c r="A70" s="11" t="s">
        <v>425</v>
      </c>
      <c r="B70" s="76" t="n">
        <f aca="false">SUM(C70:W70)</f>
        <v>8722537.45034705</v>
      </c>
      <c r="C70" s="93" t="n">
        <v>0</v>
      </c>
      <c r="D70" s="93" t="n">
        <f aca="false">PV_kWp*SpecYield*(1-Degradation)^(D39-1)*D41</f>
        <v>457206.277768167</v>
      </c>
      <c r="E70" s="93" t="n">
        <f aca="false">PV_kWp*SpecYield*(1-Degradation)^(E39-1)*E41</f>
        <v>454920.246379326</v>
      </c>
      <c r="F70" s="93" t="n">
        <f aca="false">PV_kWp*SpecYield*(1-Degradation)^(F39-1)*F41</f>
        <v>452645.64514743</v>
      </c>
      <c r="G70" s="93" t="n">
        <f aca="false">PV_kWp*SpecYield*(1-Degradation)^(G39-1)*G41</f>
        <v>450382.416921693</v>
      </c>
      <c r="H70" s="93" t="n">
        <f aca="false">PV_kWp*SpecYield*(1-Degradation)^(H39-1)*H41</f>
        <v>448130.504837084</v>
      </c>
      <c r="I70" s="93" t="n">
        <f aca="false">PV_kWp*SpecYield*(1-Degradation)^(I39-1)*I41</f>
        <v>445889.852312899</v>
      </c>
      <c r="J70" s="93" t="n">
        <f aca="false">PV_kWp*SpecYield*(1-Degradation)^(J39-1)*J41</f>
        <v>443660.403051334</v>
      </c>
      <c r="K70" s="93" t="n">
        <f aca="false">PV_kWp*SpecYield*(1-Degradation)^(K39-1)*K41</f>
        <v>441442.101036078</v>
      </c>
      <c r="L70" s="93" t="n">
        <f aca="false">PV_kWp*SpecYield*(1-Degradation)^(L39-1)*L41</f>
        <v>439234.890530897</v>
      </c>
      <c r="M70" s="93" t="n">
        <f aca="false">PV_kWp*SpecYield*(1-Degradation)^(M39-1)*M41</f>
        <v>437038.716078243</v>
      </c>
      <c r="N70" s="93" t="n">
        <f aca="false">PV_kWp*SpecYield*(1-Degradation)^(N39-1)*N41</f>
        <v>434853.522497851</v>
      </c>
      <c r="O70" s="93" t="n">
        <f aca="false">PV_kWp*SpecYield*(1-Degradation)^(O39-1)*O41</f>
        <v>432679.254885362</v>
      </c>
      <c r="P70" s="93" t="n">
        <f aca="false">PV_kWp*SpecYield*(1-Degradation)^(P39-1)*P41</f>
        <v>430515.858610935</v>
      </c>
      <c r="Q70" s="93" t="n">
        <f aca="false">PV_kWp*SpecYield*(1-Degradation)^(Q39-1)*Q41</f>
        <v>428363.279317881</v>
      </c>
      <c r="R70" s="93" t="n">
        <f aca="false">PV_kWp*SpecYield*(1-Degradation)^(R39-1)*R41</f>
        <v>426221.462921291</v>
      </c>
      <c r="S70" s="93" t="n">
        <f aca="false">PV_kWp*SpecYield*(1-Degradation)^(S39-1)*S41</f>
        <v>424090.355606685</v>
      </c>
      <c r="T70" s="93" t="n">
        <f aca="false">PV_kWp*SpecYield*(1-Degradation)^(T39-1)*T41</f>
        <v>421969.903828651</v>
      </c>
      <c r="U70" s="93" t="n">
        <f aca="false">PV_kWp*SpecYield*(1-Degradation)^(U39-1)*U41</f>
        <v>419860.054309508</v>
      </c>
      <c r="V70" s="93" t="n">
        <f aca="false">PV_kWp*SpecYield*(1-Degradation)^(V39-1)*V41</f>
        <v>417760.754037961</v>
      </c>
      <c r="W70" s="93" t="n">
        <f aca="false">PV_kWp*SpecYield*(1-Degradation)^(W39-1)*W41</f>
        <v>415671.950267771</v>
      </c>
    </row>
    <row r="71" customFormat="false" ht="15" hidden="false" customHeight="false" outlineLevel="0" collapsed="false">
      <c r="A71" s="11" t="s">
        <v>426</v>
      </c>
      <c r="B71" s="76" t="n">
        <f aca="false">SUM(C71:W71)</f>
        <v>7903453.19236348</v>
      </c>
      <c r="C71" s="93" t="n">
        <v>0</v>
      </c>
      <c r="D71" s="93" t="n">
        <f aca="false">MIN(D70/StorageFactor,D69*SolarFraction)</f>
        <v>215938.341818182</v>
      </c>
      <c r="E71" s="93" t="n">
        <f aca="false">MIN(E70/StorageFactor,E69*SolarFraction)</f>
        <v>315090.030436364</v>
      </c>
      <c r="F71" s="93" t="n">
        <f aca="false">MIN(F70/StorageFactor,F69*SolarFraction)</f>
        <v>381814.978058182</v>
      </c>
      <c r="G71" s="93" t="n">
        <f aca="false">MIN(G70/StorageFactor,G69*SolarFraction)</f>
        <v>393269.427399927</v>
      </c>
      <c r="H71" s="93" t="n">
        <f aca="false">MIN(H70/StorageFactor,H69*SolarFraction)</f>
        <v>405067.510221925</v>
      </c>
      <c r="I71" s="93" t="n">
        <f aca="false">MIN(I70/StorageFactor,I69*SolarFraction)</f>
        <v>417219.535528583</v>
      </c>
      <c r="J71" s="93" t="n">
        <f aca="false">MIN(J70/StorageFactor,J69*SolarFraction)</f>
        <v>426078.172123344</v>
      </c>
      <c r="K71" s="93" t="n">
        <f aca="false">MIN(K70/StorageFactor,K69*SolarFraction)</f>
        <v>423947.781262727</v>
      </c>
      <c r="L71" s="93" t="n">
        <f aca="false">MIN(L70/StorageFactor,L69*SolarFraction)</f>
        <v>421828.042356414</v>
      </c>
      <c r="M71" s="93" t="n">
        <f aca="false">MIN(M70/StorageFactor,M69*SolarFraction)</f>
        <v>419718.902144632</v>
      </c>
      <c r="N71" s="93" t="n">
        <f aca="false">MIN(N70/StorageFactor,N69*SolarFraction)</f>
        <v>417620.307633909</v>
      </c>
      <c r="O71" s="93" t="n">
        <f aca="false">MIN(O70/StorageFactor,O69*SolarFraction)</f>
        <v>415532.206095739</v>
      </c>
      <c r="P71" s="93" t="n">
        <f aca="false">MIN(P70/StorageFactor,P69*SolarFraction)</f>
        <v>413454.54506526</v>
      </c>
      <c r="Q71" s="93" t="n">
        <f aca="false">MIN(Q70/StorageFactor,Q69*SolarFraction)</f>
        <v>411387.272339934</v>
      </c>
      <c r="R71" s="93" t="n">
        <f aca="false">MIN(R70/StorageFactor,R69*SolarFraction)</f>
        <v>409330.335978234</v>
      </c>
      <c r="S71" s="93" t="n">
        <f aca="false">MIN(S70/StorageFactor,S69*SolarFraction)</f>
        <v>407283.684298343</v>
      </c>
      <c r="T71" s="93" t="n">
        <f aca="false">MIN(T70/StorageFactor,T69*SolarFraction)</f>
        <v>405247.265876851</v>
      </c>
      <c r="U71" s="93" t="n">
        <f aca="false">MIN(U70/StorageFactor,U69*SolarFraction)</f>
        <v>403221.029547467</v>
      </c>
      <c r="V71" s="93" t="n">
        <f aca="false">MIN(V70/StorageFactor,V69*SolarFraction)</f>
        <v>401204.92439973</v>
      </c>
      <c r="W71" s="93" t="n">
        <f aca="false">MIN(W70/StorageFactor,W69*SolarFraction)</f>
        <v>399198.899777731</v>
      </c>
    </row>
    <row r="72" customFormat="false" ht="15" hidden="false" customHeight="false" outlineLevel="0" collapsed="false">
      <c r="A72" s="11" t="s">
        <v>427</v>
      </c>
      <c r="B72" s="76" t="n">
        <f aca="false">SUM(C72:W72)</f>
        <v>2619891.80883251</v>
      </c>
      <c r="C72" s="93" t="n">
        <v>0</v>
      </c>
      <c r="D72" s="93" t="n">
        <f aca="false">D69-D71</f>
        <v>23993.1490909091</v>
      </c>
      <c r="E72" s="93" t="n">
        <f aca="false">E69-E71</f>
        <v>35010.0033818182</v>
      </c>
      <c r="F72" s="93" t="n">
        <f aca="false">F69-F71</f>
        <v>42423.8864509091</v>
      </c>
      <c r="G72" s="93" t="n">
        <f aca="false">G69-G71</f>
        <v>43696.6030444364</v>
      </c>
      <c r="H72" s="93" t="n">
        <f aca="false">H69-H71</f>
        <v>45007.5011357695</v>
      </c>
      <c r="I72" s="93" t="n">
        <f aca="false">I69-I71</f>
        <v>46357.7261698425</v>
      </c>
      <c r="J72" s="93" t="n">
        <f aca="false">J69-J71</f>
        <v>51406.407426034</v>
      </c>
      <c r="K72" s="93" t="n">
        <f aca="false">K69-K71</f>
        <v>67861.3356731322</v>
      </c>
      <c r="L72" s="93" t="n">
        <f aca="false">L69-L71</f>
        <v>84735.3480875216</v>
      </c>
      <c r="M72" s="93" t="n">
        <f aca="false">M69-M71</f>
        <v>102041.390012622</v>
      </c>
      <c r="N72" s="93" t="n">
        <f aca="false">N69-N71</f>
        <v>119792.793288062</v>
      </c>
      <c r="O72" s="93" t="n">
        <f aca="false">O69-O71</f>
        <v>138003.287853891</v>
      </c>
      <c r="P72" s="93" t="n">
        <f aca="false">P69-P71</f>
        <v>156687.013702859</v>
      </c>
      <c r="Q72" s="93" t="n">
        <f aca="false">Q69-Q71</f>
        <v>175858.533191229</v>
      </c>
      <c r="R72" s="93" t="n">
        <f aca="false">R69-R71</f>
        <v>195532.843718863</v>
      </c>
      <c r="S72" s="93" t="n">
        <f aca="false">S69-S71</f>
        <v>215725.390789667</v>
      </c>
      <c r="T72" s="93" t="n">
        <f aca="false">T69-T71</f>
        <v>236452.0814638</v>
      </c>
      <c r="U72" s="93" t="n">
        <f aca="false">U69-U71</f>
        <v>257729.298213403</v>
      </c>
      <c r="V72" s="93" t="n">
        <f aca="false">V69-V71</f>
        <v>279573.913193967</v>
      </c>
      <c r="W72" s="93" t="n">
        <f aca="false">W69-W71</f>
        <v>302003.302943776</v>
      </c>
    </row>
    <row r="73" customFormat="false" ht="15" hidden="false" customHeight="false" outlineLevel="0" collapsed="false">
      <c r="A73" s="11" t="s">
        <v>428</v>
      </c>
      <c r="C73" s="91" t="n">
        <v>0</v>
      </c>
      <c r="D73" s="91" t="n">
        <f aca="false">IFERROR(D71/D69,0)</f>
        <v>0.9</v>
      </c>
      <c r="E73" s="91" t="n">
        <f aca="false">IFERROR(E71/E69,0)</f>
        <v>0.9</v>
      </c>
      <c r="F73" s="91" t="n">
        <f aca="false">IFERROR(F71/F69,0)</f>
        <v>0.9</v>
      </c>
      <c r="G73" s="91" t="n">
        <f aca="false">IFERROR(G71/G69,0)</f>
        <v>0.9</v>
      </c>
      <c r="H73" s="91" t="n">
        <f aca="false">IFERROR(H71/H69,0)</f>
        <v>0.9</v>
      </c>
      <c r="I73" s="91" t="n">
        <f aca="false">IFERROR(I71/I69,0)</f>
        <v>0.9</v>
      </c>
      <c r="J73" s="91" t="n">
        <f aca="false">IFERROR(J71/J69,0)</f>
        <v>0.892339125434065</v>
      </c>
      <c r="K73" s="91" t="n">
        <f aca="false">IFERROR(K71/K69,0)</f>
        <v>0.862016922142616</v>
      </c>
      <c r="L73" s="91" t="n">
        <f aca="false">IFERROR(L71/L69,0)</f>
        <v>0.83272508498243</v>
      </c>
      <c r="M73" s="91" t="n">
        <f aca="false">IFERROR(M71/M69,0)</f>
        <v>0.804428601512153</v>
      </c>
      <c r="N73" s="91" t="n">
        <f aca="false">IFERROR(N71/N69,0)</f>
        <v>0.777093649033585</v>
      </c>
      <c r="O73" s="91" t="n">
        <f aca="false">IFERROR(O71/O69,0)</f>
        <v>0.750687554163511</v>
      </c>
      <c r="P73" s="91" t="n">
        <f aca="false">IFERROR(P71/P69,0)</f>
        <v>0.725178753779314</v>
      </c>
      <c r="Q73" s="91" t="n">
        <f aca="false">IFERROR(Q71/Q69,0)</f>
        <v>0.700536757291668</v>
      </c>
      <c r="R73" s="91" t="n">
        <f aca="false">IFERROR(R71/R69,0)</f>
        <v>0.676732110199232</v>
      </c>
      <c r="S73" s="91" t="n">
        <f aca="false">IFERROR(S71/S69,0)</f>
        <v>0.653736358881783</v>
      </c>
      <c r="T73" s="91" t="n">
        <f aca="false">IFERROR(T71/T69,0)</f>
        <v>0.631522016589683</v>
      </c>
      <c r="U73" s="91" t="n">
        <f aca="false">IFERROR(U71/U69,0)</f>
        <v>0.610062530589063</v>
      </c>
      <c r="V73" s="91" t="n">
        <f aca="false">IFERROR(V71/V69,0)</f>
        <v>0.589332250423415</v>
      </c>
      <c r="W73" s="91" t="n">
        <f aca="false">IFERROR(W71/W69,0)</f>
        <v>0.569306397253687</v>
      </c>
    </row>
    <row r="74" customFormat="false" ht="15" hidden="false" customHeight="false" outlineLevel="0" collapsed="false">
      <c r="A74" s="11" t="s">
        <v>429</v>
      </c>
      <c r="B74" s="76" t="n">
        <f aca="false">SUM(C74:W74)</f>
        <v>873297.269610837</v>
      </c>
      <c r="C74" s="93" t="n">
        <v>0</v>
      </c>
      <c r="D74" s="93" t="n">
        <f aca="false">D72/DieselEff</f>
        <v>7997.71636363636</v>
      </c>
      <c r="E74" s="93" t="n">
        <f aca="false">E72/DieselEff</f>
        <v>11670.0011272727</v>
      </c>
      <c r="F74" s="93" t="n">
        <f aca="false">F72/DieselEff</f>
        <v>14141.2954836364</v>
      </c>
      <c r="G74" s="93" t="n">
        <f aca="false">G72/DieselEff</f>
        <v>14565.5343481455</v>
      </c>
      <c r="H74" s="93" t="n">
        <f aca="false">H72/DieselEff</f>
        <v>15002.5003785898</v>
      </c>
      <c r="I74" s="93" t="n">
        <f aca="false">I72/DieselEff</f>
        <v>15452.5753899475</v>
      </c>
      <c r="J74" s="93" t="n">
        <f aca="false">J72/DieselEff</f>
        <v>17135.4691420114</v>
      </c>
      <c r="K74" s="93" t="n">
        <f aca="false">K72/DieselEff</f>
        <v>22620.4452243774</v>
      </c>
      <c r="L74" s="93" t="n">
        <f aca="false">L72/DieselEff</f>
        <v>28245.1160291739</v>
      </c>
      <c r="M74" s="93" t="n">
        <f aca="false">M72/DieselEff</f>
        <v>34013.7966708739</v>
      </c>
      <c r="N74" s="93" t="n">
        <f aca="false">N72/DieselEff</f>
        <v>39930.9310960208</v>
      </c>
      <c r="O74" s="93" t="n">
        <f aca="false">O72/DieselEff</f>
        <v>46001.0959512971</v>
      </c>
      <c r="P74" s="93" t="n">
        <f aca="false">P72/DieselEff</f>
        <v>52229.0045676196</v>
      </c>
      <c r="Q74" s="93" t="n">
        <f aca="false">Q72/DieselEff</f>
        <v>58619.5110637429</v>
      </c>
      <c r="R74" s="93" t="n">
        <f aca="false">R72/DieselEff</f>
        <v>65177.6145729544</v>
      </c>
      <c r="S74" s="93" t="n">
        <f aca="false">S72/DieselEff</f>
        <v>71908.4635965558</v>
      </c>
      <c r="T74" s="93" t="n">
        <f aca="false">T72/DieselEff</f>
        <v>78817.3604879332</v>
      </c>
      <c r="U74" s="93" t="n">
        <f aca="false">U72/DieselEff</f>
        <v>85909.7660711344</v>
      </c>
      <c r="V74" s="93" t="n">
        <f aca="false">V72/DieselEff</f>
        <v>93191.3043979889</v>
      </c>
      <c r="W74" s="93" t="n">
        <f aca="false">W72/DieselEff</f>
        <v>100667.767647925</v>
      </c>
    </row>
    <row r="76" customFormat="false" ht="15" hidden="false" customHeight="false" outlineLevel="0" collapsed="false">
      <c r="A76" s="9" t="s">
        <v>430</v>
      </c>
      <c r="B76" s="10"/>
      <c r="C76" s="10"/>
      <c r="D76" s="10"/>
      <c r="E76" s="10"/>
      <c r="F76" s="10"/>
      <c r="G76" s="10"/>
      <c r="H76" s="10"/>
      <c r="I76" s="10"/>
      <c r="J76" s="10"/>
      <c r="K76" s="10"/>
      <c r="L76" s="10"/>
      <c r="M76" s="10"/>
      <c r="N76" s="10"/>
      <c r="O76" s="10"/>
      <c r="P76" s="10"/>
      <c r="Q76" s="10"/>
      <c r="R76" s="10"/>
      <c r="S76" s="10"/>
      <c r="T76" s="10"/>
      <c r="U76" s="10"/>
      <c r="V76" s="10"/>
      <c r="W76" s="10"/>
    </row>
    <row r="77" customFormat="false" ht="15" hidden="false" customHeight="false" outlineLevel="0" collapsed="false">
      <c r="A77" s="11" t="str">
        <f aca="false">"Billed revenue - "&amp;Seg1_Name</f>
        <v>Billed revenue - Households</v>
      </c>
      <c r="B77" s="66" t="n">
        <f aca="false">SUM(C77:W77)</f>
        <v>2107258.13958533</v>
      </c>
      <c r="C77" s="95" t="n">
        <v>0</v>
      </c>
      <c r="D77" s="95" t="n">
        <f aca="false">D61*Seg1_Tariff*LevTariff*$B$5*D43</f>
        <v>34560</v>
      </c>
      <c r="E77" s="95" t="n">
        <f aca="false">E61*Seg1_Tariff*LevTariff*$B$5*E43</f>
        <v>51941.664</v>
      </c>
      <c r="F77" s="95" t="n">
        <f aca="false">F61*Seg1_Tariff*LevTariff*$B$5*F43</f>
        <v>64829.307456</v>
      </c>
      <c r="G77" s="95" t="n">
        <f aca="false">G61*Seg1_Tariff*LevTariff*$B$5*G43</f>
        <v>68777.4122800704</v>
      </c>
      <c r="H77" s="95" t="n">
        <f aca="false">H61*Seg1_Tariff*LevTariff*$B$5*H43</f>
        <v>72965.9566879267</v>
      </c>
      <c r="I77" s="95" t="n">
        <f aca="false">I61*Seg1_Tariff*LevTariff*$B$5*I43</f>
        <v>77409.5834502214</v>
      </c>
      <c r="J77" s="95" t="n">
        <f aca="false">J61*Seg1_Tariff*LevTariff*$B$5*J43</f>
        <v>82123.8270823399</v>
      </c>
      <c r="K77" s="95" t="n">
        <f aca="false">K61*Seg1_Tariff*LevTariff*$B$5*K43</f>
        <v>87125.1681516545</v>
      </c>
      <c r="L77" s="95" t="n">
        <f aca="false">L61*Seg1_Tariff*LevTariff*$B$5*L43</f>
        <v>92431.0908920902</v>
      </c>
      <c r="M77" s="95" t="n">
        <f aca="false">M61*Seg1_Tariff*LevTariff*$B$5*M43</f>
        <v>98060.1443274185</v>
      </c>
      <c r="N77" s="95" t="n">
        <f aca="false">N61*Seg1_Tariff*LevTariff*$B$5*N43</f>
        <v>104032.007116958</v>
      </c>
      <c r="O77" s="95" t="n">
        <f aca="false">O61*Seg1_Tariff*LevTariff*$B$5*O43</f>
        <v>110367.556350381</v>
      </c>
      <c r="P77" s="95" t="n">
        <f aca="false">P61*Seg1_Tariff*LevTariff*$B$5*P43</f>
        <v>117088.940532119</v>
      </c>
      <c r="Q77" s="95" t="n">
        <f aca="false">Q61*Seg1_Tariff*LevTariff*$B$5*Q43</f>
        <v>124219.657010525</v>
      </c>
      <c r="R77" s="95" t="n">
        <f aca="false">R61*Seg1_Tariff*LevTariff*$B$5*R43</f>
        <v>131784.634122466</v>
      </c>
      <c r="S77" s="95" t="n">
        <f aca="false">S61*Seg1_Tariff*LevTariff*$B$5*S43</f>
        <v>139810.318340525</v>
      </c>
      <c r="T77" s="95" t="n">
        <f aca="false">T61*Seg1_Tariff*LevTariff*$B$5*T43</f>
        <v>148324.766727463</v>
      </c>
      <c r="U77" s="95" t="n">
        <f aca="false">U61*Seg1_Tariff*LevTariff*$B$5*U43</f>
        <v>157357.745021165</v>
      </c>
      <c r="V77" s="95" t="n">
        <f aca="false">V61*Seg1_Tariff*LevTariff*$B$5*V43</f>
        <v>166940.831692954</v>
      </c>
      <c r="W77" s="95" t="n">
        <f aca="false">W61*Seg1_Tariff*LevTariff*$B$5*W43</f>
        <v>177107.528343055</v>
      </c>
    </row>
    <row r="78" customFormat="false" ht="15" hidden="false" customHeight="false" outlineLevel="0" collapsed="false">
      <c r="A78" s="11" t="str">
        <f aca="false">"Billed revenue - "&amp;Seg2_Name</f>
        <v>Billed revenue - Productive users (mills, welding, cold rooms)</v>
      </c>
      <c r="B78" s="66" t="n">
        <f aca="false">SUM(C78:W78)</f>
        <v>1432819.63572035</v>
      </c>
      <c r="C78" s="95" t="n">
        <v>0</v>
      </c>
      <c r="D78" s="95" t="n">
        <f aca="false">D62*Seg2_Tariff*LevTariff*$B$5*D43</f>
        <v>23498.8992</v>
      </c>
      <c r="E78" s="95" t="n">
        <f aca="false">E62*Seg2_Tariff*LevTariff*$B$5*E43</f>
        <v>35317.47472848</v>
      </c>
      <c r="F78" s="95" t="n">
        <f aca="false">F62*Seg2_Tariff*LevTariff*$B$5*F43</f>
        <v>44080.3634581699</v>
      </c>
      <c r="G78" s="95" t="n">
        <f aca="false">G62*Seg2_Tariff*LevTariff*$B$5*G43</f>
        <v>46764.8575927725</v>
      </c>
      <c r="H78" s="95" t="n">
        <f aca="false">H62*Seg2_Tariff*LevTariff*$B$5*H43</f>
        <v>49612.8374201723</v>
      </c>
      <c r="I78" s="95" t="n">
        <f aca="false">I62*Seg2_Tariff*LevTariff*$B$5*I43</f>
        <v>52634.2592190608</v>
      </c>
      <c r="J78" s="95" t="n">
        <f aca="false">J62*Seg2_Tariff*LevTariff*$B$5*J43</f>
        <v>55839.6856055016</v>
      </c>
      <c r="K78" s="95" t="n">
        <f aca="false">K62*Seg2_Tariff*LevTariff*$B$5*K43</f>
        <v>59240.3224588767</v>
      </c>
      <c r="L78" s="95" t="n">
        <f aca="false">L62*Seg2_Tariff*LevTariff*$B$5*L43</f>
        <v>62848.0580966223</v>
      </c>
      <c r="M78" s="95" t="n">
        <f aca="false">M62*Seg2_Tariff*LevTariff*$B$5*M43</f>
        <v>66675.5048347066</v>
      </c>
      <c r="N78" s="95" t="n">
        <f aca="false">N62*Seg2_Tariff*LevTariff*$B$5*N43</f>
        <v>70736.0430791402</v>
      </c>
      <c r="O78" s="95" t="n">
        <f aca="false">O62*Seg2_Tariff*LevTariff*$B$5*O43</f>
        <v>75043.8681026598</v>
      </c>
      <c r="P78" s="95" t="n">
        <f aca="false">P62*Seg2_Tariff*LevTariff*$B$5*P43</f>
        <v>79614.0396701118</v>
      </c>
      <c r="Q78" s="95" t="n">
        <f aca="false">Q62*Seg2_Tariff*LevTariff*$B$5*Q43</f>
        <v>84462.5346860216</v>
      </c>
      <c r="R78" s="95" t="n">
        <f aca="false">R62*Seg2_Tariff*LevTariff*$B$5*R43</f>
        <v>89606.3030484004</v>
      </c>
      <c r="S78" s="95" t="n">
        <f aca="false">S62*Seg2_Tariff*LevTariff*$B$5*S43</f>
        <v>95063.3269040479</v>
      </c>
      <c r="T78" s="95" t="n">
        <f aca="false">T62*Seg2_Tariff*LevTariff*$B$5*T43</f>
        <v>100852.683512504</v>
      </c>
      <c r="U78" s="95" t="n">
        <f aca="false">U62*Seg2_Tariff*LevTariff*$B$5*U43</f>
        <v>106994.611938416</v>
      </c>
      <c r="V78" s="95" t="n">
        <f aca="false">V62*Seg2_Tariff*LevTariff*$B$5*V43</f>
        <v>113510.583805466</v>
      </c>
      <c r="W78" s="95" t="n">
        <f aca="false">W62*Seg2_Tariff*LevTariff*$B$5*W43</f>
        <v>120423.378359218</v>
      </c>
    </row>
    <row r="79" customFormat="false" ht="15" hidden="false" customHeight="false" outlineLevel="0" collapsed="false">
      <c r="A79" s="11" t="str">
        <f aca="false">"Billed revenue - "&amp;Seg3_Name</f>
        <v>Billed revenue - Commercial (shops, bars, kiosks)</v>
      </c>
      <c r="B79" s="66" t="n">
        <f aca="false">SUM(C79:W79)</f>
        <v>878024.224827222</v>
      </c>
      <c r="C79" s="95" t="n">
        <v>0</v>
      </c>
      <c r="D79" s="95" t="n">
        <f aca="false">D63*Seg3_Tariff*LevTariff*$B$5*D43</f>
        <v>14400</v>
      </c>
      <c r="E79" s="95" t="n">
        <f aca="false">E63*Seg3_Tariff*LevTariff*$B$5*E43</f>
        <v>21642.36</v>
      </c>
      <c r="F79" s="95" t="n">
        <f aca="false">F63*Seg3_Tariff*LevTariff*$B$5*F43</f>
        <v>27012.21144</v>
      </c>
      <c r="G79" s="95" t="n">
        <f aca="false">G63*Seg3_Tariff*LevTariff*$B$5*G43</f>
        <v>28657.255116696</v>
      </c>
      <c r="H79" s="95" t="n">
        <f aca="false">H63*Seg3_Tariff*LevTariff*$B$5*H43</f>
        <v>30402.4819533028</v>
      </c>
      <c r="I79" s="95" t="n">
        <f aca="false">I63*Seg3_Tariff*LevTariff*$B$5*I43</f>
        <v>32253.9931042589</v>
      </c>
      <c r="J79" s="95" t="n">
        <f aca="false">J63*Seg3_Tariff*LevTariff*$B$5*J43</f>
        <v>34218.2612843083</v>
      </c>
      <c r="K79" s="95" t="n">
        <f aca="false">K63*Seg3_Tariff*LevTariff*$B$5*K43</f>
        <v>36302.1533965227</v>
      </c>
      <c r="L79" s="95" t="n">
        <f aca="false">L63*Seg3_Tariff*LevTariff*$B$5*L43</f>
        <v>38512.9545383709</v>
      </c>
      <c r="M79" s="95" t="n">
        <f aca="false">M63*Seg3_Tariff*LevTariff*$B$5*M43</f>
        <v>40858.3934697577</v>
      </c>
      <c r="N79" s="95" t="n">
        <f aca="false">N63*Seg3_Tariff*LevTariff*$B$5*N43</f>
        <v>43346.669632066</v>
      </c>
      <c r="O79" s="95" t="n">
        <f aca="false">O63*Seg3_Tariff*LevTariff*$B$5*O43</f>
        <v>45986.4818126588</v>
      </c>
      <c r="P79" s="95" t="n">
        <f aca="false">P63*Seg3_Tariff*LevTariff*$B$5*P43</f>
        <v>48787.0585550497</v>
      </c>
      <c r="Q79" s="95" t="n">
        <f aca="false">Q63*Seg3_Tariff*LevTariff*$B$5*Q43</f>
        <v>51758.1904210522</v>
      </c>
      <c r="R79" s="95" t="n">
        <f aca="false">R63*Seg3_Tariff*LevTariff*$B$5*R43</f>
        <v>54910.2642176943</v>
      </c>
      <c r="S79" s="95" t="n">
        <f aca="false">S63*Seg3_Tariff*LevTariff*$B$5*S43</f>
        <v>58254.2993085519</v>
      </c>
      <c r="T79" s="95" t="n">
        <f aca="false">T63*Seg3_Tariff*LevTariff*$B$5*T43</f>
        <v>61801.9861364427</v>
      </c>
      <c r="U79" s="95" t="n">
        <f aca="false">U63*Seg3_Tariff*LevTariff*$B$5*U43</f>
        <v>65565.7270921521</v>
      </c>
      <c r="V79" s="95" t="n">
        <f aca="false">V63*Seg3_Tariff*LevTariff*$B$5*V43</f>
        <v>69558.6798720642</v>
      </c>
      <c r="W79" s="95" t="n">
        <f aca="false">W63*Seg3_Tariff*LevTariff*$B$5*W43</f>
        <v>73794.8034762729</v>
      </c>
    </row>
    <row r="80" customFormat="false" ht="15" hidden="false" customHeight="false" outlineLevel="0" collapsed="false">
      <c r="A80" s="11" t="str">
        <f aca="false">"Billed revenue - "&amp;Seg4_Name</f>
        <v>Billed revenue - Institutions (health centre, school, water)</v>
      </c>
      <c r="B80" s="66" t="n">
        <f aca="false">SUM(C80:W80)</f>
        <v>460962.718034292</v>
      </c>
      <c r="C80" s="95" t="n">
        <v>0</v>
      </c>
      <c r="D80" s="95" t="n">
        <f aca="false">D64*Seg4_Tariff*LevTariff*$B$5*D43</f>
        <v>7560</v>
      </c>
      <c r="E80" s="95" t="n">
        <f aca="false">E64*Seg4_Tariff*LevTariff*$B$5*E43</f>
        <v>11362.239</v>
      </c>
      <c r="F80" s="95" t="n">
        <f aca="false">F64*Seg4_Tariff*LevTariff*$B$5*F43</f>
        <v>14181.411006</v>
      </c>
      <c r="G80" s="95" t="n">
        <f aca="false">G64*Seg4_Tariff*LevTariff*$B$5*G43</f>
        <v>15045.0589362654</v>
      </c>
      <c r="H80" s="95" t="n">
        <f aca="false">H64*Seg4_Tariff*LevTariff*$B$5*H43</f>
        <v>15961.303025484</v>
      </c>
      <c r="I80" s="95" t="n">
        <f aca="false">I64*Seg4_Tariff*LevTariff*$B$5*I43</f>
        <v>16933.3463797359</v>
      </c>
      <c r="J80" s="95" t="n">
        <f aca="false">J64*Seg4_Tariff*LevTariff*$B$5*J43</f>
        <v>17964.5871742619</v>
      </c>
      <c r="K80" s="95" t="n">
        <f aca="false">K64*Seg4_Tariff*LevTariff*$B$5*K43</f>
        <v>19058.6305331744</v>
      </c>
      <c r="L80" s="95" t="n">
        <f aca="false">L64*Seg4_Tariff*LevTariff*$B$5*L43</f>
        <v>20219.3011326447</v>
      </c>
      <c r="M80" s="95" t="n">
        <f aca="false">M64*Seg4_Tariff*LevTariff*$B$5*M43</f>
        <v>21450.6565716228</v>
      </c>
      <c r="N80" s="95" t="n">
        <f aca="false">N64*Seg4_Tariff*LevTariff*$B$5*N43</f>
        <v>22757.0015568346</v>
      </c>
      <c r="O80" s="95" t="n">
        <f aca="false">O64*Seg4_Tariff*LevTariff*$B$5*O43</f>
        <v>24142.9029516459</v>
      </c>
      <c r="P80" s="95" t="n">
        <f aca="false">P64*Seg4_Tariff*LevTariff*$B$5*P43</f>
        <v>25613.2057414011</v>
      </c>
      <c r="Q80" s="95" t="n">
        <f aca="false">Q64*Seg4_Tariff*LevTariff*$B$5*Q43</f>
        <v>27173.0499710524</v>
      </c>
      <c r="R80" s="95" t="n">
        <f aca="false">R64*Seg4_Tariff*LevTariff*$B$5*R43</f>
        <v>28827.8887142895</v>
      </c>
      <c r="S80" s="95" t="n">
        <f aca="false">S64*Seg4_Tariff*LevTariff*$B$5*S43</f>
        <v>30583.5071369897</v>
      </c>
      <c r="T80" s="95" t="n">
        <f aca="false">T64*Seg4_Tariff*LevTariff*$B$5*T43</f>
        <v>32446.0427216324</v>
      </c>
      <c r="U80" s="95" t="n">
        <f aca="false">U64*Seg4_Tariff*LevTariff*$B$5*U43</f>
        <v>34422.0067233798</v>
      </c>
      <c r="V80" s="95" t="n">
        <f aca="false">V64*Seg4_Tariff*LevTariff*$B$5*V43</f>
        <v>36518.3069328337</v>
      </c>
      <c r="W80" s="95" t="n">
        <f aca="false">W64*Seg4_Tariff*LevTariff*$B$5*W43</f>
        <v>38742.2718250432</v>
      </c>
    </row>
    <row r="81" customFormat="false" ht="15" hidden="false" customHeight="false" outlineLevel="0" collapsed="false">
      <c r="A81" s="11" t="str">
        <f aca="false">"Billed revenue - "&amp;Seg5_Name</f>
        <v>Billed revenue - Other / custom</v>
      </c>
      <c r="B81" s="66" t="n">
        <f aca="false">SUM(C81:W81)</f>
        <v>0</v>
      </c>
      <c r="C81" s="95" t="n">
        <v>0</v>
      </c>
      <c r="D81" s="95" t="n">
        <f aca="false">D65*Seg5_Tariff*LevTariff*$B$5*D43</f>
        <v>0</v>
      </c>
      <c r="E81" s="95" t="n">
        <f aca="false">E65*Seg5_Tariff*LevTariff*$B$5*E43</f>
        <v>0</v>
      </c>
      <c r="F81" s="95" t="n">
        <f aca="false">F65*Seg5_Tariff*LevTariff*$B$5*F43</f>
        <v>0</v>
      </c>
      <c r="G81" s="95" t="n">
        <f aca="false">G65*Seg5_Tariff*LevTariff*$B$5*G43</f>
        <v>0</v>
      </c>
      <c r="H81" s="95" t="n">
        <f aca="false">H65*Seg5_Tariff*LevTariff*$B$5*H43</f>
        <v>0</v>
      </c>
      <c r="I81" s="95" t="n">
        <f aca="false">I65*Seg5_Tariff*LevTariff*$B$5*I43</f>
        <v>0</v>
      </c>
      <c r="J81" s="95" t="n">
        <f aca="false">J65*Seg5_Tariff*LevTariff*$B$5*J43</f>
        <v>0</v>
      </c>
      <c r="K81" s="95" t="n">
        <f aca="false">K65*Seg5_Tariff*LevTariff*$B$5*K43</f>
        <v>0</v>
      </c>
      <c r="L81" s="95" t="n">
        <f aca="false">L65*Seg5_Tariff*LevTariff*$B$5*L43</f>
        <v>0</v>
      </c>
      <c r="M81" s="95" t="n">
        <f aca="false">M65*Seg5_Tariff*LevTariff*$B$5*M43</f>
        <v>0</v>
      </c>
      <c r="N81" s="95" t="n">
        <f aca="false">N65*Seg5_Tariff*LevTariff*$B$5*N43</f>
        <v>0</v>
      </c>
      <c r="O81" s="95" t="n">
        <f aca="false">O65*Seg5_Tariff*LevTariff*$B$5*O43</f>
        <v>0</v>
      </c>
      <c r="P81" s="95" t="n">
        <f aca="false">P65*Seg5_Tariff*LevTariff*$B$5*P43</f>
        <v>0</v>
      </c>
      <c r="Q81" s="95" t="n">
        <f aca="false">Q65*Seg5_Tariff*LevTariff*$B$5*Q43</f>
        <v>0</v>
      </c>
      <c r="R81" s="95" t="n">
        <f aca="false">R65*Seg5_Tariff*LevTariff*$B$5*R43</f>
        <v>0</v>
      </c>
      <c r="S81" s="95" t="n">
        <f aca="false">S65*Seg5_Tariff*LevTariff*$B$5*S43</f>
        <v>0</v>
      </c>
      <c r="T81" s="95" t="n">
        <f aca="false">T65*Seg5_Tariff*LevTariff*$B$5*T43</f>
        <v>0</v>
      </c>
      <c r="U81" s="95" t="n">
        <f aca="false">U65*Seg5_Tariff*LevTariff*$B$5*U43</f>
        <v>0</v>
      </c>
      <c r="V81" s="95" t="n">
        <f aca="false">V65*Seg5_Tariff*LevTariff*$B$5*V43</f>
        <v>0</v>
      </c>
      <c r="W81" s="95" t="n">
        <f aca="false">W65*Seg5_Tariff*LevTariff*$B$5*W43</f>
        <v>0</v>
      </c>
    </row>
    <row r="82" customFormat="false" ht="15" hidden="false" customHeight="false" outlineLevel="0" collapsed="false">
      <c r="A82" s="16" t="s">
        <v>431</v>
      </c>
      <c r="B82" s="66" t="n">
        <f aca="false">SUM(C82:W82)</f>
        <v>4879064.7181672</v>
      </c>
      <c r="C82" s="31" t="n">
        <f aca="false">C77+C78+C79+C80+C81</f>
        <v>0</v>
      </c>
      <c r="D82" s="31" t="n">
        <f aca="false">D77+D78+D79+D80+D81</f>
        <v>80018.8992</v>
      </c>
      <c r="E82" s="31" t="n">
        <f aca="false">E77+E78+E79+E80+E81</f>
        <v>120263.73772848</v>
      </c>
      <c r="F82" s="31" t="n">
        <f aca="false">F77+F78+F79+F80+F81</f>
        <v>150103.29336017</v>
      </c>
      <c r="G82" s="31" t="n">
        <f aca="false">G77+G78+G79+G80+G81</f>
        <v>159244.583925804</v>
      </c>
      <c r="H82" s="31" t="n">
        <f aca="false">H77+H78+H79+H80+H81</f>
        <v>168942.579086886</v>
      </c>
      <c r="I82" s="31" t="n">
        <f aca="false">I77+I78+I79+I80+I81</f>
        <v>179231.182153277</v>
      </c>
      <c r="J82" s="31" t="n">
        <f aca="false">J77+J78+J79+J80+J81</f>
        <v>190146.361146412</v>
      </c>
      <c r="K82" s="31" t="n">
        <f aca="false">K77+K78+K79+K80+K81</f>
        <v>201726.274540228</v>
      </c>
      <c r="L82" s="31" t="n">
        <f aca="false">L77+L78+L79+L80+L81</f>
        <v>214011.404659728</v>
      </c>
      <c r="M82" s="31" t="n">
        <f aca="false">M77+M78+M79+M80+M81</f>
        <v>227044.699203506</v>
      </c>
      <c r="N82" s="31" t="n">
        <f aca="false">N77+N78+N79+N80+N81</f>
        <v>240871.721384999</v>
      </c>
      <c r="O82" s="31" t="n">
        <f aca="false">O77+O78+O79+O80+O81</f>
        <v>255540.809217346</v>
      </c>
      <c r="P82" s="31" t="n">
        <f aca="false">P77+P78+P79+P80+P81</f>
        <v>271103.244498682</v>
      </c>
      <c r="Q82" s="31" t="n">
        <f aca="false">Q77+Q78+Q79+Q80+Q81</f>
        <v>287613.432088652</v>
      </c>
      <c r="R82" s="31" t="n">
        <f aca="false">R77+R78+R79+R80+R81</f>
        <v>305129.090102851</v>
      </c>
      <c r="S82" s="31" t="n">
        <f aca="false">S77+S78+S79+S80+S81</f>
        <v>323711.451690114</v>
      </c>
      <c r="T82" s="31" t="n">
        <f aca="false">T77+T78+T79+T80+T81</f>
        <v>343425.479098042</v>
      </c>
      <c r="U82" s="31" t="n">
        <f aca="false">U77+U78+U79+U80+U81</f>
        <v>364340.090775113</v>
      </c>
      <c r="V82" s="31" t="n">
        <f aca="false">V77+V78+V79+V80+V81</f>
        <v>386528.402303317</v>
      </c>
      <c r="W82" s="31" t="n">
        <f aca="false">W77+W78+W79+W80+W81</f>
        <v>410067.982003589</v>
      </c>
    </row>
    <row r="83" customFormat="false" ht="15" hidden="false" customHeight="false" outlineLevel="0" collapsed="false">
      <c r="A83" s="11" t="s">
        <v>432</v>
      </c>
      <c r="B83" s="66" t="n">
        <f aca="false">SUM(C83:W83)</f>
        <v>4488739.54071382</v>
      </c>
      <c r="C83" s="95" t="n">
        <v>0</v>
      </c>
      <c r="D83" s="95" t="n">
        <f aca="false">D82*MIN(1,Collection*LevColl*$B$9)</f>
        <v>73617.387264</v>
      </c>
      <c r="E83" s="95" t="n">
        <f aca="false">E82*MIN(1,Collection*LevColl*$B$9)</f>
        <v>110642.638710202</v>
      </c>
      <c r="F83" s="95" t="n">
        <f aca="false">F82*MIN(1,Collection*LevColl*$B$9)</f>
        <v>138095.029891356</v>
      </c>
      <c r="G83" s="95" t="n">
        <f aca="false">G82*MIN(1,Collection*LevColl*$B$9)</f>
        <v>146505.01721174</v>
      </c>
      <c r="H83" s="95" t="n">
        <f aca="false">H82*MIN(1,Collection*LevColl*$B$9)</f>
        <v>155427.172759935</v>
      </c>
      <c r="I83" s="95" t="n">
        <f aca="false">I82*MIN(1,Collection*LevColl*$B$9)</f>
        <v>164892.687581015</v>
      </c>
      <c r="J83" s="95" t="n">
        <f aca="false">J82*MIN(1,Collection*LevColl*$B$9)</f>
        <v>174934.652254699</v>
      </c>
      <c r="K83" s="95" t="n">
        <f aca="false">K82*MIN(1,Collection*LevColl*$B$9)</f>
        <v>185588.17257701</v>
      </c>
      <c r="L83" s="95" t="n">
        <f aca="false">L82*MIN(1,Collection*LevColl*$B$9)</f>
        <v>196890.49228695</v>
      </c>
      <c r="M83" s="95" t="n">
        <f aca="false">M82*MIN(1,Collection*LevColl*$B$9)</f>
        <v>208881.123267225</v>
      </c>
      <c r="N83" s="95" t="n">
        <f aca="false">N82*MIN(1,Collection*LevColl*$B$9)</f>
        <v>221601.983674199</v>
      </c>
      <c r="O83" s="95" t="n">
        <f aca="false">O82*MIN(1,Collection*LevColl*$B$9)</f>
        <v>235097.544479958</v>
      </c>
      <c r="P83" s="95" t="n">
        <f aca="false">P82*MIN(1,Collection*LevColl*$B$9)</f>
        <v>249414.984938787</v>
      </c>
      <c r="Q83" s="95" t="n">
        <f aca="false">Q82*MIN(1,Collection*LevColl*$B$9)</f>
        <v>264604.357521559</v>
      </c>
      <c r="R83" s="95" t="n">
        <f aca="false">R82*MIN(1,Collection*LevColl*$B$9)</f>
        <v>280718.762894623</v>
      </c>
      <c r="S83" s="95" t="n">
        <f aca="false">S82*MIN(1,Collection*LevColl*$B$9)</f>
        <v>297814.535554905</v>
      </c>
      <c r="T83" s="95" t="n">
        <f aca="false">T82*MIN(1,Collection*LevColl*$B$9)</f>
        <v>315951.440770199</v>
      </c>
      <c r="U83" s="95" t="n">
        <f aca="false">U82*MIN(1,Collection*LevColl*$B$9)</f>
        <v>335192.883513104</v>
      </c>
      <c r="V83" s="95" t="n">
        <f aca="false">V82*MIN(1,Collection*LevColl*$B$9)</f>
        <v>355606.130119052</v>
      </c>
      <c r="W83" s="95" t="n">
        <f aca="false">W82*MIN(1,Collection*LevColl*$B$9)</f>
        <v>377262.543443302</v>
      </c>
    </row>
    <row r="84" customFormat="false" ht="15" hidden="false" customHeight="false" outlineLevel="0" collapsed="false">
      <c r="A84" s="11" t="s">
        <v>433</v>
      </c>
      <c r="B84" s="66" t="n">
        <f aca="false">SUM(C84:W84)</f>
        <v>11500</v>
      </c>
      <c r="C84" s="95" t="n">
        <v>0</v>
      </c>
      <c r="D84" s="95" t="n">
        <f aca="false">D54*Seg1_Fee+D55*Seg2_Fee+D56*Seg3_Fee+D57*Seg4_Fee+D58*Seg5_Fee</f>
        <v>6900</v>
      </c>
      <c r="E84" s="95" t="n">
        <f aca="false">E54*Seg1_Fee+E55*Seg2_Fee+E56*Seg3_Fee+E57*Seg4_Fee+E58*Seg5_Fee</f>
        <v>2875</v>
      </c>
      <c r="F84" s="95" t="n">
        <f aca="false">F54*Seg1_Fee+F55*Seg2_Fee+F56*Seg3_Fee+F57*Seg4_Fee+F58*Seg5_Fee</f>
        <v>1725</v>
      </c>
      <c r="G84" s="95" t="n">
        <f aca="false">G54*Seg1_Fee+G55*Seg2_Fee+G56*Seg3_Fee+G57*Seg4_Fee+G58*Seg5_Fee</f>
        <v>0</v>
      </c>
      <c r="H84" s="95" t="n">
        <f aca="false">H54*Seg1_Fee+H55*Seg2_Fee+H56*Seg3_Fee+H57*Seg4_Fee+H58*Seg5_Fee</f>
        <v>0</v>
      </c>
      <c r="I84" s="95" t="n">
        <f aca="false">I54*Seg1_Fee+I55*Seg2_Fee+I56*Seg3_Fee+I57*Seg4_Fee+I58*Seg5_Fee</f>
        <v>0</v>
      </c>
      <c r="J84" s="95" t="n">
        <f aca="false">J54*Seg1_Fee+J55*Seg2_Fee+J56*Seg3_Fee+J57*Seg4_Fee+J58*Seg5_Fee</f>
        <v>0</v>
      </c>
      <c r="K84" s="95" t="n">
        <f aca="false">K54*Seg1_Fee+K55*Seg2_Fee+K56*Seg3_Fee+K57*Seg4_Fee+K58*Seg5_Fee</f>
        <v>0</v>
      </c>
      <c r="L84" s="95" t="n">
        <f aca="false">L54*Seg1_Fee+L55*Seg2_Fee+L56*Seg3_Fee+L57*Seg4_Fee+L58*Seg5_Fee</f>
        <v>0</v>
      </c>
      <c r="M84" s="95" t="n">
        <f aca="false">M54*Seg1_Fee+M55*Seg2_Fee+M56*Seg3_Fee+M57*Seg4_Fee+M58*Seg5_Fee</f>
        <v>0</v>
      </c>
      <c r="N84" s="95" t="n">
        <f aca="false">N54*Seg1_Fee+N55*Seg2_Fee+N56*Seg3_Fee+N57*Seg4_Fee+N58*Seg5_Fee</f>
        <v>0</v>
      </c>
      <c r="O84" s="95" t="n">
        <f aca="false">O54*Seg1_Fee+O55*Seg2_Fee+O56*Seg3_Fee+O57*Seg4_Fee+O58*Seg5_Fee</f>
        <v>0</v>
      </c>
      <c r="P84" s="95" t="n">
        <f aca="false">P54*Seg1_Fee+P55*Seg2_Fee+P56*Seg3_Fee+P57*Seg4_Fee+P58*Seg5_Fee</f>
        <v>0</v>
      </c>
      <c r="Q84" s="95" t="n">
        <f aca="false">Q54*Seg1_Fee+Q55*Seg2_Fee+Q56*Seg3_Fee+Q57*Seg4_Fee+Q58*Seg5_Fee</f>
        <v>0</v>
      </c>
      <c r="R84" s="95" t="n">
        <f aca="false">R54*Seg1_Fee+R55*Seg2_Fee+R56*Seg3_Fee+R57*Seg4_Fee+R58*Seg5_Fee</f>
        <v>0</v>
      </c>
      <c r="S84" s="95" t="n">
        <f aca="false">S54*Seg1_Fee+S55*Seg2_Fee+S56*Seg3_Fee+S57*Seg4_Fee+S58*Seg5_Fee</f>
        <v>0</v>
      </c>
      <c r="T84" s="95" t="n">
        <f aca="false">T54*Seg1_Fee+T55*Seg2_Fee+T56*Seg3_Fee+T57*Seg4_Fee+T58*Seg5_Fee</f>
        <v>0</v>
      </c>
      <c r="U84" s="95" t="n">
        <f aca="false">U54*Seg1_Fee+U55*Seg2_Fee+U56*Seg3_Fee+U57*Seg4_Fee+U58*Seg5_Fee</f>
        <v>0</v>
      </c>
      <c r="V84" s="95" t="n">
        <f aca="false">V54*Seg1_Fee+V55*Seg2_Fee+V56*Seg3_Fee+V57*Seg4_Fee+V58*Seg5_Fee</f>
        <v>0</v>
      </c>
      <c r="W84" s="95" t="n">
        <f aca="false">W54*Seg1_Fee+W55*Seg2_Fee+W56*Seg3_Fee+W57*Seg4_Fee+W58*Seg5_Fee</f>
        <v>0</v>
      </c>
    </row>
    <row r="85" customFormat="false" ht="15" hidden="false" customHeight="false" outlineLevel="0" collapsed="false">
      <c r="A85" s="16" t="s">
        <v>434</v>
      </c>
      <c r="B85" s="66" t="n">
        <f aca="false">SUM(C85:W85)</f>
        <v>4500239.54071382</v>
      </c>
      <c r="C85" s="31" t="n">
        <f aca="false">C83+C84</f>
        <v>0</v>
      </c>
      <c r="D85" s="31" t="n">
        <f aca="false">D83+D84</f>
        <v>80517.387264</v>
      </c>
      <c r="E85" s="31" t="n">
        <f aca="false">E83+E84</f>
        <v>113517.638710202</v>
      </c>
      <c r="F85" s="31" t="n">
        <f aca="false">F83+F84</f>
        <v>139820.029891356</v>
      </c>
      <c r="G85" s="31" t="n">
        <f aca="false">G83+G84</f>
        <v>146505.01721174</v>
      </c>
      <c r="H85" s="31" t="n">
        <f aca="false">H83+H84</f>
        <v>155427.172759935</v>
      </c>
      <c r="I85" s="31" t="n">
        <f aca="false">I83+I84</f>
        <v>164892.687581015</v>
      </c>
      <c r="J85" s="31" t="n">
        <f aca="false">J83+J84</f>
        <v>174934.652254699</v>
      </c>
      <c r="K85" s="31" t="n">
        <f aca="false">K83+K84</f>
        <v>185588.17257701</v>
      </c>
      <c r="L85" s="31" t="n">
        <f aca="false">L83+L84</f>
        <v>196890.49228695</v>
      </c>
      <c r="M85" s="31" t="n">
        <f aca="false">M83+M84</f>
        <v>208881.123267225</v>
      </c>
      <c r="N85" s="31" t="n">
        <f aca="false">N83+N84</f>
        <v>221601.983674199</v>
      </c>
      <c r="O85" s="31" t="n">
        <f aca="false">O83+O84</f>
        <v>235097.544479958</v>
      </c>
      <c r="P85" s="31" t="n">
        <f aca="false">P83+P84</f>
        <v>249414.984938787</v>
      </c>
      <c r="Q85" s="31" t="n">
        <f aca="false">Q83+Q84</f>
        <v>264604.357521559</v>
      </c>
      <c r="R85" s="31" t="n">
        <f aca="false">R83+R84</f>
        <v>280718.762894623</v>
      </c>
      <c r="S85" s="31" t="n">
        <f aca="false">S83+S84</f>
        <v>297814.535554905</v>
      </c>
      <c r="T85" s="31" t="n">
        <f aca="false">T83+T84</f>
        <v>315951.440770199</v>
      </c>
      <c r="U85" s="31" t="n">
        <f aca="false">U83+U84</f>
        <v>335192.883513104</v>
      </c>
      <c r="V85" s="31" t="n">
        <f aca="false">V83+V84</f>
        <v>355606.130119052</v>
      </c>
      <c r="W85" s="31" t="n">
        <f aca="false">W83+W84</f>
        <v>377262.543443302</v>
      </c>
    </row>
    <row r="87" customFormat="false" ht="15" hidden="false" customHeight="false" outlineLevel="0" collapsed="false">
      <c r="A87" s="9" t="s">
        <v>435</v>
      </c>
      <c r="B87" s="10"/>
      <c r="C87" s="10"/>
      <c r="D87" s="10"/>
      <c r="E87" s="10"/>
      <c r="F87" s="10"/>
      <c r="G87" s="10"/>
      <c r="H87" s="10"/>
      <c r="I87" s="10"/>
      <c r="J87" s="10"/>
      <c r="K87" s="10"/>
      <c r="L87" s="10"/>
      <c r="M87" s="10"/>
      <c r="N87" s="10"/>
      <c r="O87" s="10"/>
      <c r="P87" s="10"/>
      <c r="Q87" s="10"/>
      <c r="R87" s="10"/>
      <c r="S87" s="10"/>
      <c r="T87" s="10"/>
      <c r="U87" s="10"/>
      <c r="V87" s="10"/>
      <c r="W87" s="10"/>
    </row>
    <row r="88" customFormat="false" ht="15" hidden="false" customHeight="false" outlineLevel="0" collapsed="false">
      <c r="A88" s="11" t="s">
        <v>162</v>
      </c>
      <c r="B88" s="66" t="n">
        <f aca="false">SUM(C88:W88)</f>
        <v>815037.442411294</v>
      </c>
      <c r="C88" s="95" t="n">
        <v>0</v>
      </c>
      <c r="D88" s="95" t="n">
        <f aca="false">S_Capex_Hi!$B$15*O_FixedPct*D44*LevOpex*$B$8*D41</f>
        <v>30332.1951372706</v>
      </c>
      <c r="E88" s="95" t="n">
        <f aca="false">S_Capex_Hi!$B$15*O_FixedPct*E44*LevOpex*$B$8*E41</f>
        <v>31242.1609913887</v>
      </c>
      <c r="F88" s="95" t="n">
        <f aca="false">S_Capex_Hi!$B$15*O_FixedPct*F44*LevOpex*$B$8*F41</f>
        <v>32179.4258211304</v>
      </c>
      <c r="G88" s="95" t="n">
        <f aca="false">S_Capex_Hi!$B$15*O_FixedPct*G44*LevOpex*$B$8*G41</f>
        <v>33144.8085957643</v>
      </c>
      <c r="H88" s="95" t="n">
        <f aca="false">S_Capex_Hi!$B$15*O_FixedPct*H44*LevOpex*$B$8*H41</f>
        <v>34139.1528536373</v>
      </c>
      <c r="I88" s="95" t="n">
        <f aca="false">S_Capex_Hi!$B$15*O_FixedPct*I44*LevOpex*$B$8*I41</f>
        <v>35163.3274392464</v>
      </c>
      <c r="J88" s="95" t="n">
        <f aca="false">S_Capex_Hi!$B$15*O_FixedPct*J44*LevOpex*$B$8*J41</f>
        <v>36218.2272624238</v>
      </c>
      <c r="K88" s="95" t="n">
        <f aca="false">S_Capex_Hi!$B$15*O_FixedPct*K44*LevOpex*$B$8*K41</f>
        <v>37304.7740802965</v>
      </c>
      <c r="L88" s="95" t="n">
        <f aca="false">S_Capex_Hi!$B$15*O_FixedPct*L44*LevOpex*$B$8*L41</f>
        <v>38423.9173027054</v>
      </c>
      <c r="M88" s="95" t="n">
        <f aca="false">S_Capex_Hi!$B$15*O_FixedPct*M44*LevOpex*$B$8*M41</f>
        <v>39576.6348217865</v>
      </c>
      <c r="N88" s="95" t="n">
        <f aca="false">S_Capex_Hi!$B$15*O_FixedPct*N44*LevOpex*$B$8*N41</f>
        <v>40763.9338664401</v>
      </c>
      <c r="O88" s="95" t="n">
        <f aca="false">S_Capex_Hi!$B$15*O_FixedPct*O44*LevOpex*$B$8*O41</f>
        <v>41986.8518824333</v>
      </c>
      <c r="P88" s="95" t="n">
        <f aca="false">S_Capex_Hi!$B$15*O_FixedPct*P44*LevOpex*$B$8*P41</f>
        <v>43246.4574389063</v>
      </c>
      <c r="Q88" s="95" t="n">
        <f aca="false">S_Capex_Hi!$B$15*O_FixedPct*Q44*LevOpex*$B$8*Q41</f>
        <v>44543.8511620735</v>
      </c>
      <c r="R88" s="95" t="n">
        <f aca="false">S_Capex_Hi!$B$15*O_FixedPct*R44*LevOpex*$B$8*R41</f>
        <v>45880.1666969357</v>
      </c>
      <c r="S88" s="95" t="n">
        <f aca="false">S_Capex_Hi!$B$15*O_FixedPct*S44*LevOpex*$B$8*S41</f>
        <v>47256.5716978438</v>
      </c>
      <c r="T88" s="95" t="n">
        <f aca="false">S_Capex_Hi!$B$15*O_FixedPct*T44*LevOpex*$B$8*T41</f>
        <v>48674.2688487791</v>
      </c>
      <c r="U88" s="95" t="n">
        <f aca="false">S_Capex_Hi!$B$15*O_FixedPct*U44*LevOpex*$B$8*U41</f>
        <v>50134.4969142425</v>
      </c>
      <c r="V88" s="95" t="n">
        <f aca="false">S_Capex_Hi!$B$15*O_FixedPct*V44*LevOpex*$B$8*V41</f>
        <v>51638.5318216698</v>
      </c>
      <c r="W88" s="95" t="n">
        <f aca="false">S_Capex_Hi!$B$15*O_FixedPct*W44*LevOpex*$B$8*W41</f>
        <v>53187.6877763199</v>
      </c>
    </row>
    <row r="89" customFormat="false" ht="15" hidden="false" customHeight="false" outlineLevel="0" collapsed="false">
      <c r="A89" s="11" t="s">
        <v>436</v>
      </c>
      <c r="B89" s="66" t="n">
        <f aca="false">SUM(C89:W89)</f>
        <v>483666.740801648</v>
      </c>
      <c r="C89" s="95" t="n">
        <v>0</v>
      </c>
      <c r="D89" s="95" t="n">
        <f aca="false">O_Staff*D44*LevOpex*$B$8*D41</f>
        <v>18000</v>
      </c>
      <c r="E89" s="95" t="n">
        <f aca="false">O_Staff*E44*LevOpex*$B$8*E41</f>
        <v>18540</v>
      </c>
      <c r="F89" s="95" t="n">
        <f aca="false">O_Staff*F44*LevOpex*$B$8*F41</f>
        <v>19096.2</v>
      </c>
      <c r="G89" s="95" t="n">
        <f aca="false">O_Staff*G44*LevOpex*$B$8*G41</f>
        <v>19669.086</v>
      </c>
      <c r="H89" s="95" t="n">
        <f aca="false">O_Staff*H44*LevOpex*$B$8*H41</f>
        <v>20259.15858</v>
      </c>
      <c r="I89" s="95" t="n">
        <f aca="false">O_Staff*I44*LevOpex*$B$8*I41</f>
        <v>20866.9333374</v>
      </c>
      <c r="J89" s="95" t="n">
        <f aca="false">O_Staff*J44*LevOpex*$B$8*J41</f>
        <v>21492.941337522</v>
      </c>
      <c r="K89" s="95" t="n">
        <f aca="false">O_Staff*K44*LevOpex*$B$8*K41</f>
        <v>22137.7295776477</v>
      </c>
      <c r="L89" s="95" t="n">
        <f aca="false">O_Staff*L44*LevOpex*$B$8*L41</f>
        <v>22801.8614649771</v>
      </c>
      <c r="M89" s="95" t="n">
        <f aca="false">O_Staff*M44*LevOpex*$B$8*M41</f>
        <v>23485.9173089264</v>
      </c>
      <c r="N89" s="95" t="n">
        <f aca="false">O_Staff*N44*LevOpex*$B$8*N41</f>
        <v>24190.4948281942</v>
      </c>
      <c r="O89" s="95" t="n">
        <f aca="false">O_Staff*O44*LevOpex*$B$8*O41</f>
        <v>24916.20967304</v>
      </c>
      <c r="P89" s="95" t="n">
        <f aca="false">O_Staff*P44*LevOpex*$B$8*P41</f>
        <v>25663.6959632312</v>
      </c>
      <c r="Q89" s="95" t="n">
        <f aca="false">O_Staff*Q44*LevOpex*$B$8*Q41</f>
        <v>26433.6068421282</v>
      </c>
      <c r="R89" s="95" t="n">
        <f aca="false">O_Staff*R44*LevOpex*$B$8*R41</f>
        <v>27226.615047392</v>
      </c>
      <c r="S89" s="95" t="n">
        <f aca="false">O_Staff*S44*LevOpex*$B$8*S41</f>
        <v>28043.4134988138</v>
      </c>
      <c r="T89" s="95" t="n">
        <f aca="false">O_Staff*T44*LevOpex*$B$8*T41</f>
        <v>28884.7159037782</v>
      </c>
      <c r="U89" s="95" t="n">
        <f aca="false">O_Staff*U44*LevOpex*$B$8*U41</f>
        <v>29751.2573808915</v>
      </c>
      <c r="V89" s="95" t="n">
        <f aca="false">O_Staff*V44*LevOpex*$B$8*V41</f>
        <v>30643.7951023183</v>
      </c>
      <c r="W89" s="95" t="n">
        <f aca="false">O_Staff*W44*LevOpex*$B$8*W41</f>
        <v>31563.1089553878</v>
      </c>
    </row>
    <row r="90" customFormat="false" ht="15" hidden="false" customHeight="false" outlineLevel="0" collapsed="false">
      <c r="A90" s="11" t="s">
        <v>165</v>
      </c>
      <c r="B90" s="66" t="n">
        <f aca="false">SUM(C90:W90)</f>
        <v>187458.611754598</v>
      </c>
      <c r="C90" s="95" t="n">
        <v>0</v>
      </c>
      <c r="D90" s="95" t="n">
        <f aca="false">S_Capex_Hi!$B$14*O_InsPct*D44*LevOpex*$B$8*D41</f>
        <v>6976.40488157224</v>
      </c>
      <c r="E90" s="95" t="n">
        <f aca="false">S_Capex_Hi!$B$14*O_InsPct*E44*LevOpex*$B$8*E41</f>
        <v>7185.69702801941</v>
      </c>
      <c r="F90" s="95" t="n">
        <f aca="false">S_Capex_Hi!$B$14*O_InsPct*F44*LevOpex*$B$8*F41</f>
        <v>7401.26793885999</v>
      </c>
      <c r="G90" s="95" t="n">
        <f aca="false">S_Capex_Hi!$B$14*O_InsPct*G44*LevOpex*$B$8*G41</f>
        <v>7623.30597702579</v>
      </c>
      <c r="H90" s="95" t="n">
        <f aca="false">S_Capex_Hi!$B$14*O_InsPct*H44*LevOpex*$B$8*H41</f>
        <v>7852.00515633657</v>
      </c>
      <c r="I90" s="95" t="n">
        <f aca="false">S_Capex_Hi!$B$14*O_InsPct*I44*LevOpex*$B$8*I41</f>
        <v>8087.56531102666</v>
      </c>
      <c r="J90" s="95" t="n">
        <f aca="false">S_Capex_Hi!$B$14*O_InsPct*J44*LevOpex*$B$8*J41</f>
        <v>8330.19227035746</v>
      </c>
      <c r="K90" s="95" t="n">
        <f aca="false">S_Capex_Hi!$B$14*O_InsPct*K44*LevOpex*$B$8*K41</f>
        <v>8580.09803846819</v>
      </c>
      <c r="L90" s="95" t="n">
        <f aca="false">S_Capex_Hi!$B$14*O_InsPct*L44*LevOpex*$B$8*L41</f>
        <v>8837.50097962224</v>
      </c>
      <c r="M90" s="95" t="n">
        <f aca="false">S_Capex_Hi!$B$14*O_InsPct*M44*LevOpex*$B$8*M41</f>
        <v>9102.6260090109</v>
      </c>
      <c r="N90" s="95" t="n">
        <f aca="false">S_Capex_Hi!$B$14*O_InsPct*N44*LevOpex*$B$8*N41</f>
        <v>9375.70478928123</v>
      </c>
      <c r="O90" s="95" t="n">
        <f aca="false">S_Capex_Hi!$B$14*O_InsPct*O44*LevOpex*$B$8*O41</f>
        <v>9656.97593295967</v>
      </c>
      <c r="P90" s="95" t="n">
        <f aca="false">S_Capex_Hi!$B$14*O_InsPct*P44*LevOpex*$B$8*P41</f>
        <v>9946.68521094846</v>
      </c>
      <c r="Q90" s="95" t="n">
        <f aca="false">S_Capex_Hi!$B$14*O_InsPct*Q44*LevOpex*$B$8*Q41</f>
        <v>10245.0857672769</v>
      </c>
      <c r="R90" s="95" t="n">
        <f aca="false">S_Capex_Hi!$B$14*O_InsPct*R44*LevOpex*$B$8*R41</f>
        <v>10552.4383402952</v>
      </c>
      <c r="S90" s="95" t="n">
        <f aca="false">S_Capex_Hi!$B$14*O_InsPct*S44*LevOpex*$B$8*S41</f>
        <v>10869.0114905041</v>
      </c>
      <c r="T90" s="95" t="n">
        <f aca="false">S_Capex_Hi!$B$14*O_InsPct*T44*LevOpex*$B$8*T41</f>
        <v>11195.0818352192</v>
      </c>
      <c r="U90" s="95" t="n">
        <f aca="false">S_Capex_Hi!$B$14*O_InsPct*U44*LevOpex*$B$8*U41</f>
        <v>11530.9342902758</v>
      </c>
      <c r="V90" s="95" t="n">
        <f aca="false">S_Capex_Hi!$B$14*O_InsPct*V44*LevOpex*$B$8*V41</f>
        <v>11876.8623189841</v>
      </c>
      <c r="W90" s="95" t="n">
        <f aca="false">S_Capex_Hi!$B$14*O_InsPct*W44*LevOpex*$B$8*W41</f>
        <v>12233.1681885536</v>
      </c>
    </row>
    <row r="91" customFormat="false" ht="15" hidden="false" customHeight="false" outlineLevel="0" collapsed="false">
      <c r="A91" s="11" t="s">
        <v>437</v>
      </c>
      <c r="B91" s="66" t="n">
        <f aca="false">SUM(C91:W91)</f>
        <v>80611.1234669414</v>
      </c>
      <c r="C91" s="95" t="n">
        <v>0</v>
      </c>
      <c r="D91" s="95" t="n">
        <f aca="false">O_Fees*D44*LevOpex*$B$8*D41</f>
        <v>3000</v>
      </c>
      <c r="E91" s="95" t="n">
        <f aca="false">O_Fees*E44*LevOpex*$B$8*E41</f>
        <v>3090</v>
      </c>
      <c r="F91" s="95" t="n">
        <f aca="false">O_Fees*F44*LevOpex*$B$8*F41</f>
        <v>3182.7</v>
      </c>
      <c r="G91" s="95" t="n">
        <f aca="false">O_Fees*G44*LevOpex*$B$8*G41</f>
        <v>3278.181</v>
      </c>
      <c r="H91" s="95" t="n">
        <f aca="false">O_Fees*H44*LevOpex*$B$8*H41</f>
        <v>3376.52643</v>
      </c>
      <c r="I91" s="95" t="n">
        <f aca="false">O_Fees*I44*LevOpex*$B$8*I41</f>
        <v>3477.8222229</v>
      </c>
      <c r="J91" s="95" t="n">
        <f aca="false">O_Fees*J44*LevOpex*$B$8*J41</f>
        <v>3582.156889587</v>
      </c>
      <c r="K91" s="95" t="n">
        <f aca="false">O_Fees*K44*LevOpex*$B$8*K41</f>
        <v>3689.62159627461</v>
      </c>
      <c r="L91" s="95" t="n">
        <f aca="false">O_Fees*L44*LevOpex*$B$8*L41</f>
        <v>3800.31024416285</v>
      </c>
      <c r="M91" s="95" t="n">
        <f aca="false">O_Fees*M44*LevOpex*$B$8*M41</f>
        <v>3914.31955148773</v>
      </c>
      <c r="N91" s="95" t="n">
        <f aca="false">O_Fees*N44*LevOpex*$B$8*N41</f>
        <v>4031.74913803237</v>
      </c>
      <c r="O91" s="95" t="n">
        <f aca="false">O_Fees*O44*LevOpex*$B$8*O41</f>
        <v>4152.70161217334</v>
      </c>
      <c r="P91" s="95" t="n">
        <f aca="false">O_Fees*P44*LevOpex*$B$8*P41</f>
        <v>4277.28266053854</v>
      </c>
      <c r="Q91" s="95" t="n">
        <f aca="false">O_Fees*Q44*LevOpex*$B$8*Q41</f>
        <v>4405.60114035469</v>
      </c>
      <c r="R91" s="95" t="n">
        <f aca="false">O_Fees*R44*LevOpex*$B$8*R41</f>
        <v>4537.76917456534</v>
      </c>
      <c r="S91" s="95" t="n">
        <f aca="false">O_Fees*S44*LevOpex*$B$8*S41</f>
        <v>4673.9022498023</v>
      </c>
      <c r="T91" s="95" t="n">
        <f aca="false">O_Fees*T44*LevOpex*$B$8*T41</f>
        <v>4814.11931729637</v>
      </c>
      <c r="U91" s="95" t="n">
        <f aca="false">O_Fees*U44*LevOpex*$B$8*U41</f>
        <v>4958.54289681526</v>
      </c>
      <c r="V91" s="95" t="n">
        <f aca="false">O_Fees*V44*LevOpex*$B$8*V41</f>
        <v>5107.29918371971</v>
      </c>
      <c r="W91" s="95" t="n">
        <f aca="false">O_Fees*W44*LevOpex*$B$8*W41</f>
        <v>5260.51815923131</v>
      </c>
    </row>
    <row r="92" customFormat="false" ht="15" hidden="false" customHeight="false" outlineLevel="0" collapsed="false">
      <c r="A92" s="11" t="s">
        <v>438</v>
      </c>
      <c r="B92" s="66" t="n">
        <f aca="false">SUM(C92:W92)</f>
        <v>107481.497955922</v>
      </c>
      <c r="C92" s="95" t="n">
        <v>0</v>
      </c>
      <c r="D92" s="95" t="n">
        <f aca="false">O_MRV*D44*LevOpex*$B$8*D41</f>
        <v>4000</v>
      </c>
      <c r="E92" s="95" t="n">
        <f aca="false">O_MRV*E44*LevOpex*$B$8*E41</f>
        <v>4120</v>
      </c>
      <c r="F92" s="95" t="n">
        <f aca="false">O_MRV*F44*LevOpex*$B$8*F41</f>
        <v>4243.6</v>
      </c>
      <c r="G92" s="95" t="n">
        <f aca="false">O_MRV*G44*LevOpex*$B$8*G41</f>
        <v>4370.908</v>
      </c>
      <c r="H92" s="95" t="n">
        <f aca="false">O_MRV*H44*LevOpex*$B$8*H41</f>
        <v>4502.03524</v>
      </c>
      <c r="I92" s="95" t="n">
        <f aca="false">O_MRV*I44*LevOpex*$B$8*I41</f>
        <v>4637.0962972</v>
      </c>
      <c r="J92" s="95" t="n">
        <f aca="false">O_MRV*J44*LevOpex*$B$8*J41</f>
        <v>4776.209186116</v>
      </c>
      <c r="K92" s="95" t="n">
        <f aca="false">O_MRV*K44*LevOpex*$B$8*K41</f>
        <v>4919.49546169948</v>
      </c>
      <c r="L92" s="95" t="n">
        <f aca="false">O_MRV*L44*LevOpex*$B$8*L41</f>
        <v>5067.08032555047</v>
      </c>
      <c r="M92" s="95" t="n">
        <f aca="false">O_MRV*M44*LevOpex*$B$8*M41</f>
        <v>5219.09273531698</v>
      </c>
      <c r="N92" s="95" t="n">
        <f aca="false">O_MRV*N44*LevOpex*$B$8*N41</f>
        <v>5375.66551737649</v>
      </c>
      <c r="O92" s="95" t="n">
        <f aca="false">O_MRV*O44*LevOpex*$B$8*O41</f>
        <v>5536.93548289778</v>
      </c>
      <c r="P92" s="95" t="n">
        <f aca="false">O_MRV*P44*LevOpex*$B$8*P41</f>
        <v>5703.04354738472</v>
      </c>
      <c r="Q92" s="95" t="n">
        <f aca="false">O_MRV*Q44*LevOpex*$B$8*Q41</f>
        <v>5874.13485380626</v>
      </c>
      <c r="R92" s="95" t="n">
        <f aca="false">O_MRV*R44*LevOpex*$B$8*R41</f>
        <v>6050.35889942045</v>
      </c>
      <c r="S92" s="95" t="n">
        <f aca="false">O_MRV*S44*LevOpex*$B$8*S41</f>
        <v>6231.86966640306</v>
      </c>
      <c r="T92" s="95" t="n">
        <f aca="false">O_MRV*T44*LevOpex*$B$8*T41</f>
        <v>6418.82575639515</v>
      </c>
      <c r="U92" s="95" t="n">
        <f aca="false">O_MRV*U44*LevOpex*$B$8*U41</f>
        <v>6611.39052908701</v>
      </c>
      <c r="V92" s="95" t="n">
        <f aca="false">O_MRV*V44*LevOpex*$B$8*V41</f>
        <v>6809.73224495962</v>
      </c>
      <c r="W92" s="95" t="n">
        <f aca="false">O_MRV*W44*LevOpex*$B$8*W41</f>
        <v>7014.02421230841</v>
      </c>
    </row>
    <row r="93" customFormat="false" ht="15" hidden="false" customHeight="false" outlineLevel="0" collapsed="false">
      <c r="A93" s="11" t="s">
        <v>439</v>
      </c>
      <c r="B93" s="66" t="n">
        <f aca="false">SUM(C93:W93)</f>
        <v>135007.186221415</v>
      </c>
      <c r="C93" s="95" t="n">
        <v>0</v>
      </c>
      <c r="D93" s="95" t="n">
        <f aca="false">D85*O_CustPct</f>
        <v>2415.52161792</v>
      </c>
      <c r="E93" s="95" t="n">
        <f aca="false">E85*O_CustPct</f>
        <v>3405.52916130605</v>
      </c>
      <c r="F93" s="95" t="n">
        <f aca="false">F85*O_CustPct</f>
        <v>4194.60089674069</v>
      </c>
      <c r="G93" s="95" t="n">
        <f aca="false">G85*O_CustPct</f>
        <v>4395.1505163522</v>
      </c>
      <c r="H93" s="95" t="n">
        <f aca="false">H85*O_CustPct</f>
        <v>4662.81518279805</v>
      </c>
      <c r="I93" s="95" t="n">
        <f aca="false">I85*O_CustPct</f>
        <v>4946.78062743045</v>
      </c>
      <c r="J93" s="95" t="n">
        <f aca="false">J85*O_CustPct</f>
        <v>5248.03956764096</v>
      </c>
      <c r="K93" s="95" t="n">
        <f aca="false">K85*O_CustPct</f>
        <v>5567.6451773103</v>
      </c>
      <c r="L93" s="95" t="n">
        <f aca="false">L85*O_CustPct</f>
        <v>5906.7147686085</v>
      </c>
      <c r="M93" s="95" t="n">
        <f aca="false">M85*O_CustPct</f>
        <v>6266.43369801675</v>
      </c>
      <c r="N93" s="95" t="n">
        <f aca="false">N85*O_CustPct</f>
        <v>6648.05951022597</v>
      </c>
      <c r="O93" s="95" t="n">
        <f aca="false">O85*O_CustPct</f>
        <v>7052.92633439874</v>
      </c>
      <c r="P93" s="95" t="n">
        <f aca="false">P85*O_CustPct</f>
        <v>7482.44954816362</v>
      </c>
      <c r="Q93" s="95" t="n">
        <f aca="false">Q85*O_CustPct</f>
        <v>7938.13072564678</v>
      </c>
      <c r="R93" s="95" t="n">
        <f aca="false">R85*O_CustPct</f>
        <v>8421.56288683868</v>
      </c>
      <c r="S93" s="95" t="n">
        <f aca="false">S85*O_CustPct</f>
        <v>8934.43606664715</v>
      </c>
      <c r="T93" s="95" t="n">
        <f aca="false">T85*O_CustPct</f>
        <v>9478.54322310596</v>
      </c>
      <c r="U93" s="95" t="n">
        <f aca="false">U85*O_CustPct</f>
        <v>10055.7865053931</v>
      </c>
      <c r="V93" s="95" t="n">
        <f aca="false">V85*O_CustPct</f>
        <v>10668.1839035716</v>
      </c>
      <c r="W93" s="95" t="n">
        <f aca="false">W85*O_CustPct</f>
        <v>11317.8763032991</v>
      </c>
    </row>
    <row r="94" customFormat="false" ht="15" hidden="false" customHeight="false" outlineLevel="0" collapsed="false">
      <c r="A94" s="11" t="s">
        <v>440</v>
      </c>
      <c r="B94" s="66" t="n">
        <f aca="false">SUM(C94:W94)</f>
        <v>117570.051282715</v>
      </c>
      <c r="C94" s="95" t="n">
        <v>0</v>
      </c>
      <c r="D94" s="95" t="n">
        <f aca="false">D72*O_DieselOM*D44*LevOpex*$B$8</f>
        <v>719.794472727272</v>
      </c>
      <c r="E94" s="95" t="n">
        <f aca="false">E72*O_DieselOM*E44*LevOpex*$B$8</f>
        <v>1081.80910449818</v>
      </c>
      <c r="F94" s="95" t="n">
        <f aca="false">F72*O_DieselOM*F44*LevOpex*$B$8</f>
        <v>1350.22503407308</v>
      </c>
      <c r="G94" s="95" t="n">
        <f aca="false">G72*O_DieselOM*G44*LevOpex*$B$8</f>
        <v>1432.45373864813</v>
      </c>
      <c r="H94" s="95" t="n">
        <f aca="false">H72*O_DieselOM*H44*LevOpex*$B$8</f>
        <v>1519.69017133181</v>
      </c>
      <c r="I94" s="95" t="n">
        <f aca="false">I72*O_DieselOM*I44*LevOpex*$B$8</f>
        <v>1612.23930276591</v>
      </c>
      <c r="J94" s="95" t="n">
        <f aca="false">J72*O_DieselOM*J44*LevOpex*$B$8</f>
        <v>1841.45816530084</v>
      </c>
      <c r="K94" s="95" t="n">
        <f aca="false">K72*O_DieselOM*K44*LevOpex*$B$8</f>
        <v>2503.82649651629</v>
      </c>
      <c r="L94" s="95" t="n">
        <f aca="false">L72*O_DieselOM*L44*LevOpex*$B$8</f>
        <v>3220.20611379713</v>
      </c>
      <c r="M94" s="95" t="n">
        <f aca="false">M72*O_DieselOM*M44*LevOpex*$B$8</f>
        <v>3994.2260798739</v>
      </c>
      <c r="N94" s="95" t="n">
        <f aca="false">N72*O_DieselOM*N44*LevOpex*$B$8</f>
        <v>4829.74491081635</v>
      </c>
      <c r="O94" s="95" t="n">
        <f aca="false">O72*O_DieselOM*O44*LevOpex*$B$8</f>
        <v>5730.86475956075</v>
      </c>
      <c r="P94" s="95" t="n">
        <f aca="false">P72*O_DieselOM*P44*LevOpex*$B$8</f>
        <v>6701.94646842802</v>
      </c>
      <c r="Q94" s="95" t="n">
        <f aca="false">Q72*O_DieselOM*Q44*LevOpex*$B$8</f>
        <v>7747.62554368381</v>
      </c>
      <c r="R94" s="95" t="n">
        <f aca="false">R72*O_DieselOM*R44*LevOpex*$B$8</f>
        <v>8872.82910842559</v>
      </c>
      <c r="S94" s="95" t="n">
        <f aca="false">S72*O_DieselOM*S44*LevOpex*$B$8</f>
        <v>10082.7938935131</v>
      </c>
      <c r="T94" s="95" t="n">
        <f aca="false">T72*O_DieselOM*T44*LevOpex*$B$8</f>
        <v>11383.0853298981</v>
      </c>
      <c r="U94" s="95" t="n">
        <f aca="false">U72*O_DieselOM*U44*LevOpex*$B$8</f>
        <v>12779.6178095725</v>
      </c>
      <c r="V94" s="95" t="n">
        <f aca="false">V72*O_DieselOM*V44*LevOpex*$B$8</f>
        <v>14278.6761864487</v>
      </c>
      <c r="W94" s="95" t="n">
        <f aca="false">W72*O_DieselOM*W44*LevOpex*$B$8</f>
        <v>15886.9385928357</v>
      </c>
    </row>
    <row r="95" customFormat="false" ht="15" hidden="false" customHeight="false" outlineLevel="0" collapsed="false">
      <c r="A95" s="11" t="s">
        <v>441</v>
      </c>
      <c r="B95" s="66" t="n">
        <f aca="false">SUM(C95:W95)</f>
        <v>1567600.68376954</v>
      </c>
      <c r="C95" s="95" t="n">
        <v>0</v>
      </c>
      <c r="D95" s="95" t="n">
        <f aca="false">D74*FuelPrice*LevFuel*$B$10*D44</f>
        <v>9597.25963636363</v>
      </c>
      <c r="E95" s="95" t="n">
        <f aca="false">E74*FuelPrice*LevFuel*$B$10*E44</f>
        <v>14424.1213933091</v>
      </c>
      <c r="F95" s="95" t="n">
        <f aca="false">F74*FuelPrice*LevFuel*$B$10*F44</f>
        <v>18003.0004543078</v>
      </c>
      <c r="G95" s="95" t="n">
        <f aca="false">G74*FuelPrice*LevFuel*$B$10*G44</f>
        <v>19099.3831819751</v>
      </c>
      <c r="H95" s="95" t="n">
        <f aca="false">H74*FuelPrice*LevFuel*$B$10*H44</f>
        <v>20262.5356177574</v>
      </c>
      <c r="I95" s="95" t="n">
        <f aca="false">I74*FuelPrice*LevFuel*$B$10*I44</f>
        <v>21496.5240368788</v>
      </c>
      <c r="J95" s="95" t="n">
        <f aca="false">J74*FuelPrice*LevFuel*$B$10*J44</f>
        <v>24552.7755373446</v>
      </c>
      <c r="K95" s="95" t="n">
        <f aca="false">K74*FuelPrice*LevFuel*$B$10*K44</f>
        <v>33384.3532868839</v>
      </c>
      <c r="L95" s="95" t="n">
        <f aca="false">L74*FuelPrice*LevFuel*$B$10*L44</f>
        <v>42936.0815172951</v>
      </c>
      <c r="M95" s="95" t="n">
        <f aca="false">M74*FuelPrice*LevFuel*$B$10*M44</f>
        <v>53256.3477316521</v>
      </c>
      <c r="N95" s="95" t="n">
        <f aca="false">N74*FuelPrice*LevFuel*$B$10*N44</f>
        <v>64396.5988108847</v>
      </c>
      <c r="O95" s="95" t="n">
        <f aca="false">O74*FuelPrice*LevFuel*$B$10*O44</f>
        <v>76411.5301274767</v>
      </c>
      <c r="P95" s="95" t="n">
        <f aca="false">P74*FuelPrice*LevFuel*$B$10*P44</f>
        <v>89359.2862457069</v>
      </c>
      <c r="Q95" s="95" t="n">
        <f aca="false">Q74*FuelPrice*LevFuel*$B$10*Q44</f>
        <v>103301.673915784</v>
      </c>
      <c r="R95" s="95" t="n">
        <f aca="false">R74*FuelPrice*LevFuel*$B$10*R44</f>
        <v>118304.388112341</v>
      </c>
      <c r="S95" s="95" t="n">
        <f aca="false">S74*FuelPrice*LevFuel*$B$10*S44</f>
        <v>134437.251913507</v>
      </c>
      <c r="T95" s="95" t="n">
        <f aca="false">T74*FuelPrice*LevFuel*$B$10*T44</f>
        <v>151774.471065308</v>
      </c>
      <c r="U95" s="95" t="n">
        <f aca="false">U74*FuelPrice*LevFuel*$B$10*U44</f>
        <v>170394.904127634</v>
      </c>
      <c r="V95" s="95" t="n">
        <f aca="false">V74*FuelPrice*LevFuel*$B$10*V44</f>
        <v>190382.34915265</v>
      </c>
      <c r="W95" s="95" t="n">
        <f aca="false">W74*FuelPrice*LevFuel*$B$10*W44</f>
        <v>211825.847904476</v>
      </c>
    </row>
    <row r="96" customFormat="false" ht="15" hidden="false" customHeight="false" outlineLevel="0" collapsed="false">
      <c r="A96" s="16" t="s">
        <v>442</v>
      </c>
      <c r="B96" s="66" t="n">
        <f aca="false">SUM(C96:W96)</f>
        <v>3494433.33766407</v>
      </c>
      <c r="C96" s="31" t="n">
        <f aca="false">C88+C89+C90+C91+C92+C93+C94+C95</f>
        <v>0</v>
      </c>
      <c r="D96" s="31" t="n">
        <f aca="false">D88+D89+D90+D91+D92+D93+D94+D95</f>
        <v>75041.1757458538</v>
      </c>
      <c r="E96" s="31" t="n">
        <f aca="false">E88+E89+E90+E91+E92+E93+E94+E95</f>
        <v>83089.3176785215</v>
      </c>
      <c r="F96" s="31" t="n">
        <f aca="false">F88+F89+F90+F91+F92+F93+F94+F95</f>
        <v>89651.020145112</v>
      </c>
      <c r="G96" s="31" t="n">
        <f aca="false">G88+G89+G90+G91+G92+G93+G94+G95</f>
        <v>93013.2770097656</v>
      </c>
      <c r="H96" s="31" t="n">
        <f aca="false">H88+H89+H90+H91+H92+H93+H94+H95</f>
        <v>96573.9192318611</v>
      </c>
      <c r="I96" s="31" t="n">
        <f aca="false">I88+I89+I90+I91+I92+I93+I94+I95</f>
        <v>100288.288574848</v>
      </c>
      <c r="J96" s="31" t="n">
        <f aca="false">J88+J89+J90+J91+J92+J93+J94+J95</f>
        <v>106042.000216293</v>
      </c>
      <c r="K96" s="31" t="n">
        <f aca="false">K88+K89+K90+K91+K92+K93+K94+K95</f>
        <v>118087.543715097</v>
      </c>
      <c r="L96" s="31" t="n">
        <f aca="false">L88+L89+L90+L91+L92+L93+L94+L95</f>
        <v>130993.672716719</v>
      </c>
      <c r="M96" s="31" t="n">
        <f aca="false">M88+M89+M90+M91+M92+M93+M94+M95</f>
        <v>144815.597936071</v>
      </c>
      <c r="N96" s="31" t="n">
        <f aca="false">N88+N89+N90+N91+N92+N93+N94+N95</f>
        <v>159611.951371251</v>
      </c>
      <c r="O96" s="31" t="n">
        <f aca="false">O88+O89+O90+O91+O92+O93+O94+O95</f>
        <v>175444.99580494</v>
      </c>
      <c r="P96" s="31" t="n">
        <f aca="false">P88+P89+P90+P91+P92+P93+P94+P95</f>
        <v>192380.847083308</v>
      </c>
      <c r="Q96" s="31" t="n">
        <f aca="false">Q88+Q89+Q90+Q91+Q92+Q93+Q94+Q95</f>
        <v>210489.709950754</v>
      </c>
      <c r="R96" s="31" t="n">
        <f aca="false">R88+R89+R90+R91+R92+R93+R94+R95</f>
        <v>229846.128266214</v>
      </c>
      <c r="S96" s="31" t="n">
        <f aca="false">S88+S89+S90+S91+S92+S93+S94+S95</f>
        <v>250529.250477035</v>
      </c>
      <c r="T96" s="31" t="n">
        <f aca="false">T88+T89+T90+T91+T92+T93+T94+T95</f>
        <v>272623.11127978</v>
      </c>
      <c r="U96" s="31" t="n">
        <f aca="false">U88+U89+U90+U91+U92+U93+U94+U95</f>
        <v>296216.930453911</v>
      </c>
      <c r="V96" s="31" t="n">
        <f aca="false">V88+V89+V90+V91+V92+V93+V94+V95</f>
        <v>321405.429914321</v>
      </c>
      <c r="W96" s="31" t="n">
        <f aca="false">W88+W89+W90+W91+W92+W93+W94+W95</f>
        <v>348289.170092412</v>
      </c>
    </row>
    <row r="98" customFormat="false" ht="15" hidden="false" customHeight="false" outlineLevel="0" collapsed="false">
      <c r="A98" s="16" t="s">
        <v>443</v>
      </c>
      <c r="B98" s="66" t="n">
        <f aca="false">SUM(C98:W98)</f>
        <v>1005806.20304975</v>
      </c>
      <c r="C98" s="31" t="n">
        <f aca="false">C85-C96</f>
        <v>0</v>
      </c>
      <c r="D98" s="31" t="n">
        <f aca="false">D85-D96</f>
        <v>5476.21151814624</v>
      </c>
      <c r="E98" s="31" t="n">
        <f aca="false">E85-E96</f>
        <v>30428.3210316801</v>
      </c>
      <c r="F98" s="31" t="n">
        <f aca="false">F85-F96</f>
        <v>50169.0097462444</v>
      </c>
      <c r="G98" s="31" t="n">
        <f aca="false">G85-G96</f>
        <v>53491.7402019743</v>
      </c>
      <c r="H98" s="31" t="n">
        <f aca="false">H85-H96</f>
        <v>58853.2535280738</v>
      </c>
      <c r="I98" s="31" t="n">
        <f aca="false">I85-I96</f>
        <v>64604.3990061667</v>
      </c>
      <c r="J98" s="31" t="n">
        <f aca="false">J85-J96</f>
        <v>68892.6520384062</v>
      </c>
      <c r="K98" s="31" t="n">
        <f aca="false">K85-K96</f>
        <v>67500.6288619131</v>
      </c>
      <c r="L98" s="31" t="n">
        <f aca="false">L85-L96</f>
        <v>65896.8195702312</v>
      </c>
      <c r="M98" s="31" t="n">
        <f aca="false">M85-M96</f>
        <v>64065.5253311539</v>
      </c>
      <c r="N98" s="31" t="n">
        <f aca="false">N85-N96</f>
        <v>61990.0323029477</v>
      </c>
      <c r="O98" s="31" t="n">
        <f aca="false">O85-O96</f>
        <v>59652.5486750176</v>
      </c>
      <c r="P98" s="31" t="n">
        <f aca="false">P85-P96</f>
        <v>57034.1378554795</v>
      </c>
      <c r="Q98" s="31" t="n">
        <f aca="false">Q85-Q96</f>
        <v>54114.6475708051</v>
      </c>
      <c r="R98" s="31" t="n">
        <f aca="false">R85-R96</f>
        <v>50872.6346284083</v>
      </c>
      <c r="S98" s="31" t="n">
        <f aca="false">S85-S96</f>
        <v>47285.2850778704</v>
      </c>
      <c r="T98" s="31" t="n">
        <f aca="false">T85-T96</f>
        <v>43328.3294904184</v>
      </c>
      <c r="U98" s="31" t="n">
        <f aca="false">U85-U96</f>
        <v>38975.9530591926</v>
      </c>
      <c r="V98" s="31" t="n">
        <f aca="false">V85-V96</f>
        <v>34200.7002047307</v>
      </c>
      <c r="W98" s="31" t="n">
        <f aca="false">W85-W96</f>
        <v>28973.3733508906</v>
      </c>
    </row>
    <row r="99" customFormat="false" ht="15" hidden="false" customHeight="false" outlineLevel="0" collapsed="false">
      <c r="A99" s="11" t="s">
        <v>444</v>
      </c>
      <c r="C99" s="91" t="n">
        <v>0</v>
      </c>
      <c r="D99" s="91" t="n">
        <f aca="false">IFERROR(D98/D85,0)</f>
        <v>0.0680127821359984</v>
      </c>
      <c r="E99" s="91" t="n">
        <f aca="false">IFERROR(E98/E85,0)</f>
        <v>0.268049277428685</v>
      </c>
      <c r="F99" s="91" t="n">
        <f aca="false">IFERROR(F98/F85,0)</f>
        <v>0.358811321848715</v>
      </c>
      <c r="G99" s="91" t="n">
        <f aca="false">IFERROR(G98/G85,0)</f>
        <v>0.36511882814678</v>
      </c>
      <c r="H99" s="91" t="n">
        <f aca="false">IFERROR(H98/H85,0)</f>
        <v>0.378654854765811</v>
      </c>
      <c r="I99" s="91" t="n">
        <f aca="false">IFERROR(I98/I85,0)</f>
        <v>0.391796628182346</v>
      </c>
      <c r="J99" s="91" t="n">
        <f aca="false">IFERROR(J98/J85,0)</f>
        <v>0.393819355687751</v>
      </c>
      <c r="K99" s="91" t="n">
        <f aca="false">IFERROR(K98/K85,0)</f>
        <v>0.363711910757156</v>
      </c>
      <c r="L99" s="91" t="n">
        <f aca="false">IFERROR(L98/L85,0)</f>
        <v>0.334687667265277</v>
      </c>
      <c r="M99" s="91" t="n">
        <f aca="false">IFERROR(M98/M85,0)</f>
        <v>0.306708065951914</v>
      </c>
      <c r="N99" s="91" t="n">
        <f aca="false">IFERROR(N98/N85,0)</f>
        <v>0.279735908835933</v>
      </c>
      <c r="O99" s="91" t="n">
        <f aca="false">IFERROR(O98/O85,0)</f>
        <v>0.253735311472396</v>
      </c>
      <c r="P99" s="91" t="n">
        <f aca="false">IFERROR(P98/P85,0)</f>
        <v>0.228671656875296</v>
      </c>
      <c r="Q99" s="91" t="n">
        <f aca="false">IFERROR(Q98/Q85,0)</f>
        <v>0.204511551048043</v>
      </c>
      <c r="R99" s="91" t="n">
        <f aca="false">IFERROR(R98/R85,0)</f>
        <v>0.181222780065845</v>
      </c>
      <c r="S99" s="91" t="n">
        <f aca="false">IFERROR(S98/S85,0)</f>
        <v>0.158774268656047</v>
      </c>
      <c r="T99" s="91" t="n">
        <f aca="false">IFERROR(T98/T85,0)</f>
        <v>0.137136040224398</v>
      </c>
      <c r="U99" s="91" t="n">
        <f aca="false">IFERROR(U98/U85,0)</f>
        <v>0.116279178276972</v>
      </c>
      <c r="V99" s="91" t="n">
        <f aca="false">IFERROR(V98/V85,0)</f>
        <v>0.096175789189238</v>
      </c>
      <c r="W99" s="91" t="n">
        <f aca="false">IFERROR(W98/W85,0)</f>
        <v>0.0767989662754447</v>
      </c>
    </row>
    <row r="101" customFormat="false" ht="15" hidden="false" customHeight="false" outlineLevel="0" collapsed="false">
      <c r="A101" s="9" t="s">
        <v>445</v>
      </c>
      <c r="B101" s="10"/>
      <c r="C101" s="10"/>
      <c r="D101" s="10"/>
      <c r="E101" s="10"/>
      <c r="F101" s="10"/>
      <c r="G101" s="10"/>
      <c r="H101" s="10"/>
      <c r="I101" s="10"/>
      <c r="J101" s="10"/>
      <c r="K101" s="10"/>
      <c r="L101" s="10"/>
      <c r="M101" s="10"/>
      <c r="N101" s="10"/>
      <c r="O101" s="10"/>
      <c r="P101" s="10"/>
      <c r="Q101" s="10"/>
      <c r="R101" s="10"/>
      <c r="S101" s="10"/>
      <c r="T101" s="10"/>
      <c r="U101" s="10"/>
      <c r="V101" s="10"/>
      <c r="W101" s="10"/>
    </row>
    <row r="102" customFormat="false" ht="15" hidden="false" customHeight="false" outlineLevel="0" collapsed="false">
      <c r="A102" s="11" t="s">
        <v>446</v>
      </c>
      <c r="B102" s="66" t="n">
        <f aca="false">C102+NPV(Hurdle,D102:W102)</f>
        <v>1395280.97631445</v>
      </c>
      <c r="C102" s="95" t="n">
        <f aca="false">S_Capex_Hi!$B$14</f>
        <v>1395280.97631445</v>
      </c>
      <c r="D102" s="95" t="n">
        <f aca="false">0</f>
        <v>0</v>
      </c>
      <c r="E102" s="95" t="n">
        <f aca="false">0</f>
        <v>0</v>
      </c>
      <c r="F102" s="95" t="n">
        <f aca="false">0</f>
        <v>0</v>
      </c>
      <c r="G102" s="95" t="n">
        <f aca="false">0</f>
        <v>0</v>
      </c>
      <c r="H102" s="95" t="n">
        <f aca="false">0</f>
        <v>0</v>
      </c>
      <c r="I102" s="95" t="n">
        <f aca="false">0</f>
        <v>0</v>
      </c>
      <c r="J102" s="95" t="n">
        <f aca="false">0</f>
        <v>0</v>
      </c>
      <c r="K102" s="95" t="n">
        <f aca="false">0</f>
        <v>0</v>
      </c>
      <c r="L102" s="95" t="n">
        <f aca="false">0</f>
        <v>0</v>
      </c>
      <c r="M102" s="95" t="n">
        <f aca="false">0</f>
        <v>0</v>
      </c>
      <c r="N102" s="95" t="n">
        <f aca="false">0</f>
        <v>0</v>
      </c>
      <c r="O102" s="95" t="n">
        <f aca="false">0</f>
        <v>0</v>
      </c>
      <c r="P102" s="95" t="n">
        <f aca="false">0</f>
        <v>0</v>
      </c>
      <c r="Q102" s="95" t="n">
        <f aca="false">0</f>
        <v>0</v>
      </c>
      <c r="R102" s="95" t="n">
        <f aca="false">0</f>
        <v>0</v>
      </c>
      <c r="S102" s="95" t="n">
        <f aca="false">0</f>
        <v>0</v>
      </c>
      <c r="T102" s="95" t="n">
        <f aca="false">0</f>
        <v>0</v>
      </c>
      <c r="U102" s="95" t="n">
        <f aca="false">0</f>
        <v>0</v>
      </c>
      <c r="V102" s="95" t="n">
        <f aca="false">0</f>
        <v>0</v>
      </c>
      <c r="W102" s="95" t="n">
        <f aca="false">0</f>
        <v>0</v>
      </c>
    </row>
    <row r="103" customFormat="false" ht="15" hidden="false" customHeight="false" outlineLevel="0" collapsed="false">
      <c r="A103" s="11" t="s">
        <v>447</v>
      </c>
      <c r="B103" s="66" t="n">
        <f aca="false">C103+NPV(Hurdle,D103:W103)</f>
        <v>147758.935402111</v>
      </c>
      <c r="C103" s="95" t="n">
        <v>0</v>
      </c>
      <c r="D103" s="95" t="n">
        <f aca="false">IF(AND(D41=1,MOD(D39,BattLife)=0,D39&lt;Life),BESS_kWh*C_BattRepl*LevCapex*$B$7*D44,0)</f>
        <v>0</v>
      </c>
      <c r="E103" s="95" t="n">
        <f aca="false">IF(AND(E41=1,MOD(E39,BattLife)=0,E39&lt;Life),BESS_kWh*C_BattRepl*LevCapex*$B$7*E44,0)</f>
        <v>0</v>
      </c>
      <c r="F103" s="95" t="n">
        <f aca="false">IF(AND(F41=1,MOD(F39,BattLife)=0,F39&lt;Life),BESS_kWh*C_BattRepl*LevCapex*$B$7*F44,0)</f>
        <v>0</v>
      </c>
      <c r="G103" s="95" t="n">
        <f aca="false">IF(AND(G41=1,MOD(G39,BattLife)=0,G39&lt;Life),BESS_kWh*C_BattRepl*LevCapex*$B$7*G44,0)</f>
        <v>0</v>
      </c>
      <c r="H103" s="95" t="n">
        <f aca="false">IF(AND(H41=1,MOD(H39,BattLife)=0,H39&lt;Life),BESS_kWh*C_BattRepl*LevCapex*$B$7*H44,0)</f>
        <v>0</v>
      </c>
      <c r="I103" s="95" t="n">
        <f aca="false">IF(AND(I41=1,MOD(I39,BattLife)=0,I39&lt;Life),BESS_kWh*C_BattRepl*LevCapex*$B$7*I44,0)</f>
        <v>0</v>
      </c>
      <c r="J103" s="95" t="n">
        <f aca="false">IF(AND(J41=1,MOD(J39,BattLife)=0,J39&lt;Life),BESS_kWh*C_BattRepl*LevCapex*$B$7*J44,0)</f>
        <v>0</v>
      </c>
      <c r="K103" s="95" t="n">
        <f aca="false">IF(AND(K41=1,MOD(K39,BattLife)=0,K39&lt;Life),BESS_kWh*C_BattRepl*LevCapex*$B$7*K44,0)</f>
        <v>199084.125245642</v>
      </c>
      <c r="L103" s="95" t="n">
        <f aca="false">IF(AND(L41=1,MOD(L39,BattLife)=0,L39&lt;Life),BESS_kWh*C_BattRepl*LevCapex*$B$7*L44,0)</f>
        <v>0</v>
      </c>
      <c r="M103" s="95" t="n">
        <f aca="false">IF(AND(M41=1,MOD(M39,BattLife)=0,M39&lt;Life),BESS_kWh*C_BattRepl*LevCapex*$B$7*M44,0)</f>
        <v>0</v>
      </c>
      <c r="N103" s="95" t="n">
        <f aca="false">IF(AND(N41=1,MOD(N39,BattLife)=0,N39&lt;Life),BESS_kWh*C_BattRepl*LevCapex*$B$7*N44,0)</f>
        <v>0</v>
      </c>
      <c r="O103" s="95" t="n">
        <f aca="false">IF(AND(O41=1,MOD(O39,BattLife)=0,O39&lt;Life),BESS_kWh*C_BattRepl*LevCapex*$B$7*O44,0)</f>
        <v>0</v>
      </c>
      <c r="P103" s="95" t="n">
        <f aca="false">IF(AND(P41=1,MOD(P39,BattLife)=0,P39&lt;Life),BESS_kWh*C_BattRepl*LevCapex*$B$7*P44,0)</f>
        <v>0</v>
      </c>
      <c r="Q103" s="95" t="n">
        <f aca="false">IF(AND(Q41=1,MOD(Q39,BattLife)=0,Q39&lt;Life),BESS_kWh*C_BattRepl*LevCapex*$B$7*Q44,0)</f>
        <v>0</v>
      </c>
      <c r="R103" s="95" t="n">
        <f aca="false">IF(AND(R41=1,MOD(R39,BattLife)=0,R39&lt;Life),BESS_kWh*C_BattRepl*LevCapex*$B$7*R44,0)</f>
        <v>0</v>
      </c>
      <c r="S103" s="95" t="n">
        <f aca="false">IF(AND(S41=1,MOD(S39,BattLife)=0,S39&lt;Life),BESS_kWh*C_BattRepl*LevCapex*$B$7*S44,0)</f>
        <v>252193.813540404</v>
      </c>
      <c r="T103" s="95" t="n">
        <f aca="false">IF(AND(T41=1,MOD(T39,BattLife)=0,T39&lt;Life),BESS_kWh*C_BattRepl*LevCapex*$B$7*T44,0)</f>
        <v>0</v>
      </c>
      <c r="U103" s="95" t="n">
        <f aca="false">IF(AND(U41=1,MOD(U39,BattLife)=0,U39&lt;Life),BESS_kWh*C_BattRepl*LevCapex*$B$7*U44,0)</f>
        <v>0</v>
      </c>
      <c r="V103" s="95" t="n">
        <f aca="false">IF(AND(V41=1,MOD(V39,BattLife)=0,V39&lt;Life),BESS_kWh*C_BattRepl*LevCapex*$B$7*V44,0)</f>
        <v>0</v>
      </c>
      <c r="W103" s="95" t="n">
        <f aca="false">IF(AND(W41=1,MOD(W39,BattLife)=0,W39&lt;Life),BESS_kWh*C_BattRepl*LevCapex*$B$7*W44,0)</f>
        <v>0</v>
      </c>
    </row>
    <row r="104" customFormat="false" ht="15" hidden="false" customHeight="false" outlineLevel="0" collapsed="false">
      <c r="A104" s="11" t="s">
        <v>448</v>
      </c>
      <c r="B104" s="66" t="n">
        <f aca="false">SUM(C104:W104)</f>
        <v>451277.938786046</v>
      </c>
      <c r="C104" s="95" t="n">
        <v>0</v>
      </c>
      <c r="D104" s="95" t="n">
        <f aca="false">IF(AND(UseMRA=1,D41=1,CEILING(D39,BattLife)&lt;Life),BESS_kWh*C_BattRepl*LevCapex*$B$7*(1+CostEsc)^(CEILING(D39,BattLife)-1)/BattLife,0)</f>
        <v>24885.5156557052</v>
      </c>
      <c r="E104" s="95" t="n">
        <f aca="false">IF(AND(UseMRA=1,E41=1,CEILING(E39,BattLife)&lt;Life),BESS_kWh*C_BattRepl*LevCapex*$B$7*(1+CostEsc)^(CEILING(E39,BattLife)-1)/BattLife,0)</f>
        <v>24885.5156557052</v>
      </c>
      <c r="F104" s="95" t="n">
        <f aca="false">IF(AND(UseMRA=1,F41=1,CEILING(F39,BattLife)&lt;Life),BESS_kWh*C_BattRepl*LevCapex*$B$7*(1+CostEsc)^(CEILING(F39,BattLife)-1)/BattLife,0)</f>
        <v>24885.5156557052</v>
      </c>
      <c r="G104" s="95" t="n">
        <f aca="false">IF(AND(UseMRA=1,G41=1,CEILING(G39,BattLife)&lt;Life),BESS_kWh*C_BattRepl*LevCapex*$B$7*(1+CostEsc)^(CEILING(G39,BattLife)-1)/BattLife,0)</f>
        <v>24885.5156557052</v>
      </c>
      <c r="H104" s="95" t="n">
        <f aca="false">IF(AND(UseMRA=1,H41=1,CEILING(H39,BattLife)&lt;Life),BESS_kWh*C_BattRepl*LevCapex*$B$7*(1+CostEsc)^(CEILING(H39,BattLife)-1)/BattLife,0)</f>
        <v>24885.5156557052</v>
      </c>
      <c r="I104" s="95" t="n">
        <f aca="false">IF(AND(UseMRA=1,I41=1,CEILING(I39,BattLife)&lt;Life),BESS_kWh*C_BattRepl*LevCapex*$B$7*(1+CostEsc)^(CEILING(I39,BattLife)-1)/BattLife,0)</f>
        <v>24885.5156557052</v>
      </c>
      <c r="J104" s="95" t="n">
        <f aca="false">IF(AND(UseMRA=1,J41=1,CEILING(J39,BattLife)&lt;Life),BESS_kWh*C_BattRepl*LevCapex*$B$7*(1+CostEsc)^(CEILING(J39,BattLife)-1)/BattLife,0)</f>
        <v>24885.5156557052</v>
      </c>
      <c r="K104" s="95" t="n">
        <f aca="false">IF(AND(UseMRA=1,K41=1,CEILING(K39,BattLife)&lt;Life),BESS_kWh*C_BattRepl*LevCapex*$B$7*(1+CostEsc)^(CEILING(K39,BattLife)-1)/BattLife,0)</f>
        <v>24885.5156557052</v>
      </c>
      <c r="L104" s="95" t="n">
        <f aca="false">IF(AND(UseMRA=1,L41=1,CEILING(L39,BattLife)&lt;Life),BESS_kWh*C_BattRepl*LevCapex*$B$7*(1+CostEsc)^(CEILING(L39,BattLife)-1)/BattLife,0)</f>
        <v>31524.2266925505</v>
      </c>
      <c r="M104" s="95" t="n">
        <f aca="false">IF(AND(UseMRA=1,M41=1,CEILING(M39,BattLife)&lt;Life),BESS_kWh*C_BattRepl*LevCapex*$B$7*(1+CostEsc)^(CEILING(M39,BattLife)-1)/BattLife,0)</f>
        <v>31524.2266925505</v>
      </c>
      <c r="N104" s="95" t="n">
        <f aca="false">IF(AND(UseMRA=1,N41=1,CEILING(N39,BattLife)&lt;Life),BESS_kWh*C_BattRepl*LevCapex*$B$7*(1+CostEsc)^(CEILING(N39,BattLife)-1)/BattLife,0)</f>
        <v>31524.2266925505</v>
      </c>
      <c r="O104" s="95" t="n">
        <f aca="false">IF(AND(UseMRA=1,O41=1,CEILING(O39,BattLife)&lt;Life),BESS_kWh*C_BattRepl*LevCapex*$B$7*(1+CostEsc)^(CEILING(O39,BattLife)-1)/BattLife,0)</f>
        <v>31524.2266925505</v>
      </c>
      <c r="P104" s="95" t="n">
        <f aca="false">IF(AND(UseMRA=1,P41=1,CEILING(P39,BattLife)&lt;Life),BESS_kWh*C_BattRepl*LevCapex*$B$7*(1+CostEsc)^(CEILING(P39,BattLife)-1)/BattLife,0)</f>
        <v>31524.2266925505</v>
      </c>
      <c r="Q104" s="95" t="n">
        <f aca="false">IF(AND(UseMRA=1,Q41=1,CEILING(Q39,BattLife)&lt;Life),BESS_kWh*C_BattRepl*LevCapex*$B$7*(1+CostEsc)^(CEILING(Q39,BattLife)-1)/BattLife,0)</f>
        <v>31524.2266925505</v>
      </c>
      <c r="R104" s="95" t="n">
        <f aca="false">IF(AND(UseMRA=1,R41=1,CEILING(R39,BattLife)&lt;Life),BESS_kWh*C_BattRepl*LevCapex*$B$7*(1+CostEsc)^(CEILING(R39,BattLife)-1)/BattLife,0)</f>
        <v>31524.2266925505</v>
      </c>
      <c r="S104" s="95" t="n">
        <f aca="false">IF(AND(UseMRA=1,S41=1,CEILING(S39,BattLife)&lt;Life),BESS_kWh*C_BattRepl*LevCapex*$B$7*(1+CostEsc)^(CEILING(S39,BattLife)-1)/BattLife,0)</f>
        <v>31524.2266925505</v>
      </c>
      <c r="T104" s="95" t="n">
        <f aca="false">IF(AND(UseMRA=1,T41=1,CEILING(T39,BattLife)&lt;Life),BESS_kWh*C_BattRepl*LevCapex*$B$7*(1+CostEsc)^(CEILING(T39,BattLife)-1)/BattLife,0)</f>
        <v>0</v>
      </c>
      <c r="U104" s="95" t="n">
        <f aca="false">IF(AND(UseMRA=1,U41=1,CEILING(U39,BattLife)&lt;Life),BESS_kWh*C_BattRepl*LevCapex*$B$7*(1+CostEsc)^(CEILING(U39,BattLife)-1)/BattLife,0)</f>
        <v>0</v>
      </c>
      <c r="V104" s="95" t="n">
        <f aca="false">IF(AND(UseMRA=1,V41=1,CEILING(V39,BattLife)&lt;Life),BESS_kWh*C_BattRepl*LevCapex*$B$7*(1+CostEsc)^(CEILING(V39,BattLife)-1)/BattLife,0)</f>
        <v>0</v>
      </c>
      <c r="W104" s="95" t="n">
        <f aca="false">IF(AND(UseMRA=1,W41=1,CEILING(W39,BattLife)&lt;Life),BESS_kWh*C_BattRepl*LevCapex*$B$7*(1+CostEsc)^(CEILING(W39,BattLife)-1)/BattLife,0)</f>
        <v>0</v>
      </c>
    </row>
    <row r="105" customFormat="false" ht="15" hidden="false" customHeight="false" outlineLevel="0" collapsed="false">
      <c r="A105" s="11" t="s">
        <v>449</v>
      </c>
      <c r="B105" s="66" t="n">
        <f aca="false">SUM(C105:W105)</f>
        <v>451277.938786046</v>
      </c>
      <c r="C105" s="95" t="n">
        <v>0</v>
      </c>
      <c r="D105" s="95" t="n">
        <f aca="false">IF(UseMRA=1,D104,D103)</f>
        <v>24885.5156557052</v>
      </c>
      <c r="E105" s="95" t="n">
        <f aca="false">IF(UseMRA=1,E104,E103)</f>
        <v>24885.5156557052</v>
      </c>
      <c r="F105" s="95" t="n">
        <f aca="false">IF(UseMRA=1,F104,F103)</f>
        <v>24885.5156557052</v>
      </c>
      <c r="G105" s="95" t="n">
        <f aca="false">IF(UseMRA=1,G104,G103)</f>
        <v>24885.5156557052</v>
      </c>
      <c r="H105" s="95" t="n">
        <f aca="false">IF(UseMRA=1,H104,H103)</f>
        <v>24885.5156557052</v>
      </c>
      <c r="I105" s="95" t="n">
        <f aca="false">IF(UseMRA=1,I104,I103)</f>
        <v>24885.5156557052</v>
      </c>
      <c r="J105" s="95" t="n">
        <f aca="false">IF(UseMRA=1,J104,J103)</f>
        <v>24885.5156557052</v>
      </c>
      <c r="K105" s="95" t="n">
        <f aca="false">IF(UseMRA=1,K104,K103)</f>
        <v>24885.5156557052</v>
      </c>
      <c r="L105" s="95" t="n">
        <f aca="false">IF(UseMRA=1,L104,L103)</f>
        <v>31524.2266925505</v>
      </c>
      <c r="M105" s="95" t="n">
        <f aca="false">IF(UseMRA=1,M104,M103)</f>
        <v>31524.2266925505</v>
      </c>
      <c r="N105" s="95" t="n">
        <f aca="false">IF(UseMRA=1,N104,N103)</f>
        <v>31524.2266925505</v>
      </c>
      <c r="O105" s="95" t="n">
        <f aca="false">IF(UseMRA=1,O104,O103)</f>
        <v>31524.2266925505</v>
      </c>
      <c r="P105" s="95" t="n">
        <f aca="false">IF(UseMRA=1,P104,P103)</f>
        <v>31524.2266925505</v>
      </c>
      <c r="Q105" s="95" t="n">
        <f aca="false">IF(UseMRA=1,Q104,Q103)</f>
        <v>31524.2266925505</v>
      </c>
      <c r="R105" s="95" t="n">
        <f aca="false">IF(UseMRA=1,R104,R103)</f>
        <v>31524.2266925505</v>
      </c>
      <c r="S105" s="95" t="n">
        <f aca="false">IF(UseMRA=1,S104,S103)</f>
        <v>31524.2266925505</v>
      </c>
      <c r="T105" s="95" t="n">
        <f aca="false">IF(UseMRA=1,T104,T103)</f>
        <v>0</v>
      </c>
      <c r="U105" s="95" t="n">
        <f aca="false">IF(UseMRA=1,U104,U103)</f>
        <v>0</v>
      </c>
      <c r="V105" s="95" t="n">
        <f aca="false">IF(UseMRA=1,V104,V103)</f>
        <v>0</v>
      </c>
      <c r="W105" s="95" t="n">
        <f aca="false">IF(UseMRA=1,W104,W103)</f>
        <v>0</v>
      </c>
    </row>
    <row r="106" customFormat="false" ht="15" hidden="false" customHeight="false" outlineLevel="0" collapsed="false">
      <c r="A106" s="11" t="s">
        <v>175</v>
      </c>
      <c r="B106" s="66" t="n">
        <f aca="false">SUM(C106:W106)</f>
        <v>600000</v>
      </c>
      <c r="C106" s="95" t="n">
        <f aca="false">Grant</f>
        <v>600000</v>
      </c>
      <c r="D106" s="95" t="n">
        <f aca="false">0</f>
        <v>0</v>
      </c>
      <c r="E106" s="95" t="n">
        <f aca="false">0</f>
        <v>0</v>
      </c>
      <c r="F106" s="95" t="n">
        <f aca="false">0</f>
        <v>0</v>
      </c>
      <c r="G106" s="95" t="n">
        <f aca="false">0</f>
        <v>0</v>
      </c>
      <c r="H106" s="95" t="n">
        <f aca="false">0</f>
        <v>0</v>
      </c>
      <c r="I106" s="95" t="n">
        <f aca="false">0</f>
        <v>0</v>
      </c>
      <c r="J106" s="95" t="n">
        <f aca="false">0</f>
        <v>0</v>
      </c>
      <c r="K106" s="95" t="n">
        <f aca="false">0</f>
        <v>0</v>
      </c>
      <c r="L106" s="95" t="n">
        <f aca="false">0</f>
        <v>0</v>
      </c>
      <c r="M106" s="95" t="n">
        <f aca="false">0</f>
        <v>0</v>
      </c>
      <c r="N106" s="95" t="n">
        <f aca="false">0</f>
        <v>0</v>
      </c>
      <c r="O106" s="95" t="n">
        <f aca="false">0</f>
        <v>0</v>
      </c>
      <c r="P106" s="95" t="n">
        <f aca="false">0</f>
        <v>0</v>
      </c>
      <c r="Q106" s="95" t="n">
        <f aca="false">0</f>
        <v>0</v>
      </c>
      <c r="R106" s="95" t="n">
        <f aca="false">0</f>
        <v>0</v>
      </c>
      <c r="S106" s="95" t="n">
        <f aca="false">0</f>
        <v>0</v>
      </c>
      <c r="T106" s="95" t="n">
        <f aca="false">0</f>
        <v>0</v>
      </c>
      <c r="U106" s="95" t="n">
        <f aca="false">0</f>
        <v>0</v>
      </c>
      <c r="V106" s="95" t="n">
        <f aca="false">0</f>
        <v>0</v>
      </c>
      <c r="W106" s="95" t="n">
        <f aca="false">0</f>
        <v>0</v>
      </c>
    </row>
    <row r="107" customFormat="false" ht="15" hidden="false" customHeight="false" outlineLevel="0" collapsed="false">
      <c r="A107" s="11" t="s">
        <v>450</v>
      </c>
      <c r="B107" s="66" t="n">
        <f aca="false">SUM(C107:W107)</f>
        <v>252000</v>
      </c>
      <c r="C107" s="95" t="n">
        <v>0</v>
      </c>
      <c r="D107" s="95" t="n">
        <f aca="false">D54*Seg1_RBF+D55*Seg2_RBF+D56*Seg3_RBF+D57*Seg4_RBF+D58*Seg5_RBF</f>
        <v>151200</v>
      </c>
      <c r="E107" s="95" t="n">
        <f aca="false">E54*Seg1_RBF+E55*Seg2_RBF+E56*Seg3_RBF+E57*Seg4_RBF+E58*Seg5_RBF</f>
        <v>63000</v>
      </c>
      <c r="F107" s="95" t="n">
        <f aca="false">F54*Seg1_RBF+F55*Seg2_RBF+F56*Seg3_RBF+F57*Seg4_RBF+F58*Seg5_RBF</f>
        <v>37800</v>
      </c>
      <c r="G107" s="95" t="n">
        <f aca="false">G54*Seg1_RBF+G55*Seg2_RBF+G56*Seg3_RBF+G57*Seg4_RBF+G58*Seg5_RBF</f>
        <v>0</v>
      </c>
      <c r="H107" s="95" t="n">
        <f aca="false">H54*Seg1_RBF+H55*Seg2_RBF+H56*Seg3_RBF+H57*Seg4_RBF+H58*Seg5_RBF</f>
        <v>0</v>
      </c>
      <c r="I107" s="95" t="n">
        <f aca="false">I54*Seg1_RBF+I55*Seg2_RBF+I56*Seg3_RBF+I57*Seg4_RBF+I58*Seg5_RBF</f>
        <v>0</v>
      </c>
      <c r="J107" s="95" t="n">
        <f aca="false">J54*Seg1_RBF+J55*Seg2_RBF+J56*Seg3_RBF+J57*Seg4_RBF+J58*Seg5_RBF</f>
        <v>0</v>
      </c>
      <c r="K107" s="95" t="n">
        <f aca="false">K54*Seg1_RBF+K55*Seg2_RBF+K56*Seg3_RBF+K57*Seg4_RBF+K58*Seg5_RBF</f>
        <v>0</v>
      </c>
      <c r="L107" s="95" t="n">
        <f aca="false">L54*Seg1_RBF+L55*Seg2_RBF+L56*Seg3_RBF+L57*Seg4_RBF+L58*Seg5_RBF</f>
        <v>0</v>
      </c>
      <c r="M107" s="95" t="n">
        <f aca="false">M54*Seg1_RBF+M55*Seg2_RBF+M56*Seg3_RBF+M57*Seg4_RBF+M58*Seg5_RBF</f>
        <v>0</v>
      </c>
      <c r="N107" s="95" t="n">
        <f aca="false">N54*Seg1_RBF+N55*Seg2_RBF+N56*Seg3_RBF+N57*Seg4_RBF+N58*Seg5_RBF</f>
        <v>0</v>
      </c>
      <c r="O107" s="95" t="n">
        <f aca="false">O54*Seg1_RBF+O55*Seg2_RBF+O56*Seg3_RBF+O57*Seg4_RBF+O58*Seg5_RBF</f>
        <v>0</v>
      </c>
      <c r="P107" s="95" t="n">
        <f aca="false">P54*Seg1_RBF+P55*Seg2_RBF+P56*Seg3_RBF+P57*Seg4_RBF+P58*Seg5_RBF</f>
        <v>0</v>
      </c>
      <c r="Q107" s="95" t="n">
        <f aca="false">Q54*Seg1_RBF+Q55*Seg2_RBF+Q56*Seg3_RBF+Q57*Seg4_RBF+Q58*Seg5_RBF</f>
        <v>0</v>
      </c>
      <c r="R107" s="95" t="n">
        <f aca="false">R54*Seg1_RBF+R55*Seg2_RBF+R56*Seg3_RBF+R57*Seg4_RBF+R58*Seg5_RBF</f>
        <v>0</v>
      </c>
      <c r="S107" s="95" t="n">
        <f aca="false">S54*Seg1_RBF+S55*Seg2_RBF+S56*Seg3_RBF+S57*Seg4_RBF+S58*Seg5_RBF</f>
        <v>0</v>
      </c>
      <c r="T107" s="95" t="n">
        <f aca="false">T54*Seg1_RBF+T55*Seg2_RBF+T56*Seg3_RBF+T57*Seg4_RBF+T58*Seg5_RBF</f>
        <v>0</v>
      </c>
      <c r="U107" s="95" t="n">
        <f aca="false">U54*Seg1_RBF+U55*Seg2_RBF+U56*Seg3_RBF+U57*Seg4_RBF+U58*Seg5_RBF</f>
        <v>0</v>
      </c>
      <c r="V107" s="95" t="n">
        <f aca="false">V54*Seg1_RBF+V55*Seg2_RBF+V56*Seg3_RBF+V57*Seg4_RBF+V58*Seg5_RBF</f>
        <v>0</v>
      </c>
      <c r="W107" s="95" t="n">
        <f aca="false">W54*Seg1_RBF+W55*Seg2_RBF+W56*Seg3_RBF+W57*Seg4_RBF+W58*Seg5_RBF</f>
        <v>0</v>
      </c>
    </row>
    <row r="108" customFormat="false" ht="15" hidden="false" customHeight="false" outlineLevel="0" collapsed="false">
      <c r="A108" s="11" t="s">
        <v>451</v>
      </c>
      <c r="B108" s="66" t="n">
        <f aca="false">SUM(C108:W108)</f>
        <v>252000</v>
      </c>
      <c r="C108" s="95" t="n">
        <v>0</v>
      </c>
      <c r="D108" s="95" t="n">
        <f aca="false">IF(D39-RBFLag&gt;=1,INDEX($C$107:$W$107,1,D39-RBFLag+1),0)</f>
        <v>151200</v>
      </c>
      <c r="E108" s="95" t="n">
        <f aca="false">IF(E39-RBFLag&gt;=1,INDEX($C$107:$W$107,1,E39-RBFLag+1),0)</f>
        <v>63000</v>
      </c>
      <c r="F108" s="95" t="n">
        <f aca="false">IF(F39-RBFLag&gt;=1,INDEX($C$107:$W$107,1,F39-RBFLag+1),0)</f>
        <v>37800</v>
      </c>
      <c r="G108" s="95" t="n">
        <f aca="false">IF(G39-RBFLag&gt;=1,INDEX($C$107:$W$107,1,G39-RBFLag+1),0)</f>
        <v>0</v>
      </c>
      <c r="H108" s="95" t="n">
        <f aca="false">IF(H39-RBFLag&gt;=1,INDEX($C$107:$W$107,1,H39-RBFLag+1),0)</f>
        <v>0</v>
      </c>
      <c r="I108" s="95" t="n">
        <f aca="false">IF(I39-RBFLag&gt;=1,INDEX($C$107:$W$107,1,I39-RBFLag+1),0)</f>
        <v>0</v>
      </c>
      <c r="J108" s="95" t="n">
        <f aca="false">IF(J39-RBFLag&gt;=1,INDEX($C$107:$W$107,1,J39-RBFLag+1),0)</f>
        <v>0</v>
      </c>
      <c r="K108" s="95" t="n">
        <f aca="false">IF(K39-RBFLag&gt;=1,INDEX($C$107:$W$107,1,K39-RBFLag+1),0)</f>
        <v>0</v>
      </c>
      <c r="L108" s="95" t="n">
        <f aca="false">IF(L39-RBFLag&gt;=1,INDEX($C$107:$W$107,1,L39-RBFLag+1),0)</f>
        <v>0</v>
      </c>
      <c r="M108" s="95" t="n">
        <f aca="false">IF(M39-RBFLag&gt;=1,INDEX($C$107:$W$107,1,M39-RBFLag+1),0)</f>
        <v>0</v>
      </c>
      <c r="N108" s="95" t="n">
        <f aca="false">IF(N39-RBFLag&gt;=1,INDEX($C$107:$W$107,1,N39-RBFLag+1),0)</f>
        <v>0</v>
      </c>
      <c r="O108" s="95" t="n">
        <f aca="false">IF(O39-RBFLag&gt;=1,INDEX($C$107:$W$107,1,O39-RBFLag+1),0)</f>
        <v>0</v>
      </c>
      <c r="P108" s="95" t="n">
        <f aca="false">IF(P39-RBFLag&gt;=1,INDEX($C$107:$W$107,1,P39-RBFLag+1),0)</f>
        <v>0</v>
      </c>
      <c r="Q108" s="95" t="n">
        <f aca="false">IF(Q39-RBFLag&gt;=1,INDEX($C$107:$W$107,1,Q39-RBFLag+1),0)</f>
        <v>0</v>
      </c>
      <c r="R108" s="95" t="n">
        <f aca="false">IF(R39-RBFLag&gt;=1,INDEX($C$107:$W$107,1,R39-RBFLag+1),0)</f>
        <v>0</v>
      </c>
      <c r="S108" s="95" t="n">
        <f aca="false">IF(S39-RBFLag&gt;=1,INDEX($C$107:$W$107,1,S39-RBFLag+1),0)</f>
        <v>0</v>
      </c>
      <c r="T108" s="95" t="n">
        <f aca="false">IF(T39-RBFLag&gt;=1,INDEX($C$107:$W$107,1,T39-RBFLag+1),0)</f>
        <v>0</v>
      </c>
      <c r="U108" s="95" t="n">
        <f aca="false">IF(U39-RBFLag&gt;=1,INDEX($C$107:$W$107,1,U39-RBFLag+1),0)</f>
        <v>0</v>
      </c>
      <c r="V108" s="95" t="n">
        <f aca="false">IF(V39-RBFLag&gt;=1,INDEX($C$107:$W$107,1,V39-RBFLag+1),0)</f>
        <v>0</v>
      </c>
      <c r="W108" s="95" t="n">
        <f aca="false">IF(W39-RBFLag&gt;=1,INDEX($C$107:$W$107,1,W39-RBFLag+1),0)</f>
        <v>0</v>
      </c>
    </row>
    <row r="109" customFormat="false" ht="15" hidden="false" customHeight="false" outlineLevel="0" collapsed="false">
      <c r="A109" s="11" t="s">
        <v>452</v>
      </c>
      <c r="B109" s="76" t="n">
        <f aca="false">SUM(C109:W109)</f>
        <v>970</v>
      </c>
      <c r="C109" s="93" t="n">
        <v>0</v>
      </c>
      <c r="D109" s="93" t="n">
        <f aca="false">IF(D39-RBFLag&gt;=1,INDEX($C$59:$W$59,1,D39-RBFLag+1),0)</f>
        <v>582</v>
      </c>
      <c r="E109" s="93" t="n">
        <f aca="false">IF(E39-RBFLag&gt;=1,INDEX($C$59:$W$59,1,E39-RBFLag+1),0)</f>
        <v>242.5</v>
      </c>
      <c r="F109" s="93" t="n">
        <f aca="false">IF(F39-RBFLag&gt;=1,INDEX($C$59:$W$59,1,F39-RBFLag+1),0)</f>
        <v>145.5</v>
      </c>
      <c r="G109" s="93" t="n">
        <f aca="false">IF(G39-RBFLag&gt;=1,INDEX($C$59:$W$59,1,G39-RBFLag+1),0)</f>
        <v>0</v>
      </c>
      <c r="H109" s="93" t="n">
        <f aca="false">IF(H39-RBFLag&gt;=1,INDEX($C$59:$W$59,1,H39-RBFLag+1),0)</f>
        <v>0</v>
      </c>
      <c r="I109" s="93" t="n">
        <f aca="false">IF(I39-RBFLag&gt;=1,INDEX($C$59:$W$59,1,I39-RBFLag+1),0)</f>
        <v>0</v>
      </c>
      <c r="J109" s="93" t="n">
        <f aca="false">IF(J39-RBFLag&gt;=1,INDEX($C$59:$W$59,1,J39-RBFLag+1),0)</f>
        <v>0</v>
      </c>
      <c r="K109" s="93" t="n">
        <f aca="false">IF(K39-RBFLag&gt;=1,INDEX($C$59:$W$59,1,K39-RBFLag+1),0)</f>
        <v>0</v>
      </c>
      <c r="L109" s="93" t="n">
        <f aca="false">IF(L39-RBFLag&gt;=1,INDEX($C$59:$W$59,1,L39-RBFLag+1),0)</f>
        <v>0</v>
      </c>
      <c r="M109" s="93" t="n">
        <f aca="false">IF(M39-RBFLag&gt;=1,INDEX($C$59:$W$59,1,M39-RBFLag+1),0)</f>
        <v>0</v>
      </c>
      <c r="N109" s="93" t="n">
        <f aca="false">IF(N39-RBFLag&gt;=1,INDEX($C$59:$W$59,1,N39-RBFLag+1),0)</f>
        <v>0</v>
      </c>
      <c r="O109" s="93" t="n">
        <f aca="false">IF(O39-RBFLag&gt;=1,INDEX($C$59:$W$59,1,O39-RBFLag+1),0)</f>
        <v>0</v>
      </c>
      <c r="P109" s="93" t="n">
        <f aca="false">IF(P39-RBFLag&gt;=1,INDEX($C$59:$W$59,1,P39-RBFLag+1),0)</f>
        <v>0</v>
      </c>
      <c r="Q109" s="93" t="n">
        <f aca="false">IF(Q39-RBFLag&gt;=1,INDEX($C$59:$W$59,1,Q39-RBFLag+1),0)</f>
        <v>0</v>
      </c>
      <c r="R109" s="93" t="n">
        <f aca="false">IF(R39-RBFLag&gt;=1,INDEX($C$59:$W$59,1,R39-RBFLag+1),0)</f>
        <v>0</v>
      </c>
      <c r="S109" s="93" t="n">
        <f aca="false">IF(S39-RBFLag&gt;=1,INDEX($C$59:$W$59,1,S39-RBFLag+1),0)</f>
        <v>0</v>
      </c>
      <c r="T109" s="93" t="n">
        <f aca="false">IF(T39-RBFLag&gt;=1,INDEX($C$59:$W$59,1,T39-RBFLag+1),0)</f>
        <v>0</v>
      </c>
      <c r="U109" s="93" t="n">
        <f aca="false">IF(U39-RBFLag&gt;=1,INDEX($C$59:$W$59,1,U39-RBFLag+1),0)</f>
        <v>0</v>
      </c>
      <c r="V109" s="93" t="n">
        <f aca="false">IF(V39-RBFLag&gt;=1,INDEX($C$59:$W$59,1,V39-RBFLag+1),0)</f>
        <v>0</v>
      </c>
      <c r="W109" s="93" t="n">
        <f aca="false">IF(W39-RBFLag&gt;=1,INDEX($C$59:$W$59,1,W39-RBFLag+1),0)</f>
        <v>0</v>
      </c>
    </row>
    <row r="111" customFormat="false" ht="15" hidden="false" customHeight="false" outlineLevel="0" collapsed="false">
      <c r="A111" s="9" t="s">
        <v>453</v>
      </c>
      <c r="B111" s="10"/>
      <c r="C111" s="10"/>
      <c r="D111" s="10"/>
      <c r="E111" s="10"/>
      <c r="F111" s="10"/>
      <c r="G111" s="10"/>
      <c r="H111" s="10"/>
      <c r="I111" s="10"/>
      <c r="J111" s="10"/>
      <c r="K111" s="10"/>
      <c r="L111" s="10"/>
      <c r="M111" s="10"/>
      <c r="N111" s="10"/>
      <c r="O111" s="10"/>
      <c r="P111" s="10"/>
      <c r="Q111" s="10"/>
      <c r="R111" s="10"/>
      <c r="S111" s="10"/>
      <c r="T111" s="10"/>
      <c r="U111" s="10"/>
      <c r="V111" s="10"/>
      <c r="W111" s="10"/>
    </row>
    <row r="112" customFormat="false" ht="15" hidden="false" customHeight="false" outlineLevel="0" collapsed="false">
      <c r="A112" s="11" t="s">
        <v>454</v>
      </c>
      <c r="C112" s="95" t="n">
        <v>0</v>
      </c>
      <c r="D112" s="95" t="n">
        <f aca="false">C116</f>
        <v>159056.19526289</v>
      </c>
      <c r="E112" s="95" t="n">
        <f aca="false">D116</f>
        <v>159056.19526289</v>
      </c>
      <c r="F112" s="95" t="n">
        <f aca="false">E116</f>
        <v>159056.19526289</v>
      </c>
      <c r="G112" s="95" t="n">
        <f aca="false">F116</f>
        <v>145147.682528939</v>
      </c>
      <c r="H112" s="95" t="n">
        <f aca="false">G116</f>
        <v>129848.318521592</v>
      </c>
      <c r="I112" s="95" t="n">
        <f aca="false">H116</f>
        <v>113019.018113512</v>
      </c>
      <c r="J112" s="95" t="n">
        <f aca="false">I116</f>
        <v>94506.7876646227</v>
      </c>
      <c r="K112" s="95" t="n">
        <f aca="false">J116</f>
        <v>74143.3341708449</v>
      </c>
      <c r="L112" s="95" t="n">
        <f aca="false">K116</f>
        <v>51743.5353276894</v>
      </c>
      <c r="M112" s="95" t="n">
        <f aca="false">L116</f>
        <v>27103.7566002182</v>
      </c>
      <c r="N112" s="95" t="n">
        <f aca="false">M116</f>
        <v>0</v>
      </c>
      <c r="O112" s="95" t="n">
        <f aca="false">N116</f>
        <v>0</v>
      </c>
      <c r="P112" s="95" t="n">
        <f aca="false">O116</f>
        <v>0</v>
      </c>
      <c r="Q112" s="95" t="n">
        <f aca="false">P116</f>
        <v>0</v>
      </c>
      <c r="R112" s="95" t="n">
        <f aca="false">Q116</f>
        <v>0</v>
      </c>
      <c r="S112" s="95" t="n">
        <f aca="false">R116</f>
        <v>0</v>
      </c>
      <c r="T112" s="95" t="n">
        <f aca="false">S116</f>
        <v>0</v>
      </c>
      <c r="U112" s="95" t="n">
        <f aca="false">T116</f>
        <v>0</v>
      </c>
      <c r="V112" s="95" t="n">
        <f aca="false">U116</f>
        <v>0</v>
      </c>
      <c r="W112" s="95" t="n">
        <f aca="false">V116</f>
        <v>0</v>
      </c>
    </row>
    <row r="113" customFormat="false" ht="15" hidden="false" customHeight="false" outlineLevel="0" collapsed="false">
      <c r="A113" s="11" t="s">
        <v>455</v>
      </c>
      <c r="B113" s="66" t="n">
        <f aca="false">SUM(C113:W113)</f>
        <v>159056.19526289</v>
      </c>
      <c r="C113" s="95" t="n">
        <f aca="false">S_Capex_Hi!$B$16</f>
        <v>159056.19526289</v>
      </c>
      <c r="D113" s="95" t="n">
        <f aca="false">0</f>
        <v>0</v>
      </c>
      <c r="E113" s="95" t="n">
        <f aca="false">0</f>
        <v>0</v>
      </c>
      <c r="F113" s="95" t="n">
        <f aca="false">0</f>
        <v>0</v>
      </c>
      <c r="G113" s="95" t="n">
        <f aca="false">0</f>
        <v>0</v>
      </c>
      <c r="H113" s="95" t="n">
        <f aca="false">0</f>
        <v>0</v>
      </c>
      <c r="I113" s="95" t="n">
        <f aca="false">0</f>
        <v>0</v>
      </c>
      <c r="J113" s="95" t="n">
        <f aca="false">0</f>
        <v>0</v>
      </c>
      <c r="K113" s="95" t="n">
        <f aca="false">0</f>
        <v>0</v>
      </c>
      <c r="L113" s="95" t="n">
        <f aca="false">0</f>
        <v>0</v>
      </c>
      <c r="M113" s="95" t="n">
        <f aca="false">0</f>
        <v>0</v>
      </c>
      <c r="N113" s="95" t="n">
        <f aca="false">0</f>
        <v>0</v>
      </c>
      <c r="O113" s="95" t="n">
        <f aca="false">0</f>
        <v>0</v>
      </c>
      <c r="P113" s="95" t="n">
        <f aca="false">0</f>
        <v>0</v>
      </c>
      <c r="Q113" s="95" t="n">
        <f aca="false">0</f>
        <v>0</v>
      </c>
      <c r="R113" s="95" t="n">
        <f aca="false">0</f>
        <v>0</v>
      </c>
      <c r="S113" s="95" t="n">
        <f aca="false">0</f>
        <v>0</v>
      </c>
      <c r="T113" s="95" t="n">
        <f aca="false">0</f>
        <v>0</v>
      </c>
      <c r="U113" s="95" t="n">
        <f aca="false">0</f>
        <v>0</v>
      </c>
      <c r="V113" s="95" t="n">
        <f aca="false">0</f>
        <v>0</v>
      </c>
      <c r="W113" s="95" t="n">
        <f aca="false">0</f>
        <v>0</v>
      </c>
    </row>
    <row r="114" customFormat="false" ht="15" hidden="false" customHeight="false" outlineLevel="0" collapsed="false">
      <c r="A114" s="11" t="s">
        <v>456</v>
      </c>
      <c r="B114" s="66" t="n">
        <f aca="false">SUM(C114:W114)</f>
        <v>111268.101871609</v>
      </c>
      <c r="C114" s="95" t="n">
        <v>0</v>
      </c>
      <c r="D114" s="95" t="n">
        <f aca="false">D112*SenRate*$B$11</f>
        <v>15905.619526289</v>
      </c>
      <c r="E114" s="95" t="n">
        <f aca="false">E112*SenRate*$B$11</f>
        <v>15905.619526289</v>
      </c>
      <c r="F114" s="95" t="n">
        <f aca="false">F112*SenRate*$B$11</f>
        <v>15905.619526289</v>
      </c>
      <c r="G114" s="95" t="n">
        <f aca="false">G112*SenRate*$B$11</f>
        <v>14514.7682528939</v>
      </c>
      <c r="H114" s="95" t="n">
        <f aca="false">H112*SenRate*$B$11</f>
        <v>12984.8318521592</v>
      </c>
      <c r="I114" s="95" t="n">
        <f aca="false">I112*SenRate*$B$11</f>
        <v>11301.9018113512</v>
      </c>
      <c r="J114" s="95" t="n">
        <f aca="false">J112*SenRate*$B$11</f>
        <v>9450.67876646227</v>
      </c>
      <c r="K114" s="95" t="n">
        <f aca="false">K112*SenRate*$B$11</f>
        <v>7414.33341708449</v>
      </c>
      <c r="L114" s="95" t="n">
        <f aca="false">L112*SenRate*$B$11</f>
        <v>5174.35353276894</v>
      </c>
      <c r="M114" s="95" t="n">
        <f aca="false">M112*SenRate*$B$11</f>
        <v>2710.37566002182</v>
      </c>
      <c r="N114" s="95" t="n">
        <f aca="false">N112*SenRate*$B$11</f>
        <v>0</v>
      </c>
      <c r="O114" s="95" t="n">
        <f aca="false">O112*SenRate*$B$11</f>
        <v>0</v>
      </c>
      <c r="P114" s="95" t="n">
        <f aca="false">P112*SenRate*$B$11</f>
        <v>0</v>
      </c>
      <c r="Q114" s="95" t="n">
        <f aca="false">Q112*SenRate*$B$11</f>
        <v>0</v>
      </c>
      <c r="R114" s="95" t="n">
        <f aca="false">R112*SenRate*$B$11</f>
        <v>0</v>
      </c>
      <c r="S114" s="95" t="n">
        <f aca="false">S112*SenRate*$B$11</f>
        <v>0</v>
      </c>
      <c r="T114" s="95" t="n">
        <f aca="false">T112*SenRate*$B$11</f>
        <v>0</v>
      </c>
      <c r="U114" s="95" t="n">
        <f aca="false">U112*SenRate*$B$11</f>
        <v>0</v>
      </c>
      <c r="V114" s="95" t="n">
        <f aca="false">V112*SenRate*$B$11</f>
        <v>0</v>
      </c>
      <c r="W114" s="95" t="n">
        <f aca="false">W112*SenRate*$B$11</f>
        <v>0</v>
      </c>
    </row>
    <row r="115" customFormat="false" ht="15" hidden="false" customHeight="false" outlineLevel="0" collapsed="false">
      <c r="A115" s="11" t="s">
        <v>457</v>
      </c>
      <c r="B115" s="66" t="n">
        <f aca="false">SUM(C115:W115)</f>
        <v>159056.19526289</v>
      </c>
      <c r="C115" s="95" t="n">
        <v>0</v>
      </c>
      <c r="D115" s="95" t="n">
        <f aca="false">IF(AND(D39&gt;SenGrace,D39&lt;=SenTenor),PMT(SenRate*$B$11,SenTenor-SenGrace,-S_Capex_Hi!$B$16)-D114,0)</f>
        <v>0</v>
      </c>
      <c r="E115" s="95" t="n">
        <f aca="false">IF(AND(E39&gt;SenGrace,E39&lt;=SenTenor),PMT(SenRate*$B$11,SenTenor-SenGrace,-S_Capex_Hi!$B$16)-E114,0)</f>
        <v>0</v>
      </c>
      <c r="F115" s="95" t="n">
        <f aca="false">IF(AND(F39&gt;SenGrace,F39&lt;=SenTenor),PMT(SenRate*$B$11,SenTenor-SenGrace,-S_Capex_Hi!$B$16)-F114,0)</f>
        <v>13908.5127339511</v>
      </c>
      <c r="G115" s="95" t="n">
        <f aca="false">IF(AND(G39&gt;SenGrace,G39&lt;=SenTenor),PMT(SenRate*$B$11,SenTenor-SenGrace,-S_Capex_Hi!$B$16)-G114,0)</f>
        <v>15299.3640073462</v>
      </c>
      <c r="H115" s="95" t="n">
        <f aca="false">IF(AND(H39&gt;SenGrace,H39&lt;=SenTenor),PMT(SenRate*$B$11,SenTenor-SenGrace,-S_Capex_Hi!$B$16)-H114,0)</f>
        <v>16829.3004080808</v>
      </c>
      <c r="I115" s="95" t="n">
        <f aca="false">IF(AND(I39&gt;SenGrace,I39&lt;=SenTenor),PMT(SenRate*$B$11,SenTenor-SenGrace,-S_Capex_Hi!$B$16)-I114,0)</f>
        <v>18512.2304488889</v>
      </c>
      <c r="J115" s="95" t="n">
        <f aca="false">IF(AND(J39&gt;SenGrace,J39&lt;=SenTenor),PMT(SenRate*$B$11,SenTenor-SenGrace,-S_Capex_Hi!$B$16)-J114,0)</f>
        <v>20363.4534937778</v>
      </c>
      <c r="K115" s="95" t="n">
        <f aca="false">IF(AND(K39&gt;SenGrace,K39&lt;=SenTenor),PMT(SenRate*$B$11,SenTenor-SenGrace,-S_Capex_Hi!$B$16)-K114,0)</f>
        <v>22399.7988431556</v>
      </c>
      <c r="L115" s="95" t="n">
        <f aca="false">IF(AND(L39&gt;SenGrace,L39&lt;=SenTenor),PMT(SenRate*$B$11,SenTenor-SenGrace,-S_Capex_Hi!$B$16)-L114,0)</f>
        <v>24639.7787274711</v>
      </c>
      <c r="M115" s="95" t="n">
        <f aca="false">IF(AND(M39&gt;SenGrace,M39&lt;=SenTenor),PMT(SenRate*$B$11,SenTenor-SenGrace,-S_Capex_Hi!$B$16)-M114,0)</f>
        <v>27103.7566002183</v>
      </c>
      <c r="N115" s="95" t="n">
        <f aca="false">IF(AND(N39&gt;SenGrace,N39&lt;=SenTenor),PMT(SenRate*$B$11,SenTenor-SenGrace,-S_Capex_Hi!$B$16)-N114,0)</f>
        <v>0</v>
      </c>
      <c r="O115" s="95" t="n">
        <f aca="false">IF(AND(O39&gt;SenGrace,O39&lt;=SenTenor),PMT(SenRate*$B$11,SenTenor-SenGrace,-S_Capex_Hi!$B$16)-O114,0)</f>
        <v>0</v>
      </c>
      <c r="P115" s="95" t="n">
        <f aca="false">IF(AND(P39&gt;SenGrace,P39&lt;=SenTenor),PMT(SenRate*$B$11,SenTenor-SenGrace,-S_Capex_Hi!$B$16)-P114,0)</f>
        <v>0</v>
      </c>
      <c r="Q115" s="95" t="n">
        <f aca="false">IF(AND(Q39&gt;SenGrace,Q39&lt;=SenTenor),PMT(SenRate*$B$11,SenTenor-SenGrace,-S_Capex_Hi!$B$16)-Q114,0)</f>
        <v>0</v>
      </c>
      <c r="R115" s="95" t="n">
        <f aca="false">IF(AND(R39&gt;SenGrace,R39&lt;=SenTenor),PMT(SenRate*$B$11,SenTenor-SenGrace,-S_Capex_Hi!$B$16)-R114,0)</f>
        <v>0</v>
      </c>
      <c r="S115" s="95" t="n">
        <f aca="false">IF(AND(S39&gt;SenGrace,S39&lt;=SenTenor),PMT(SenRate*$B$11,SenTenor-SenGrace,-S_Capex_Hi!$B$16)-S114,0)</f>
        <v>0</v>
      </c>
      <c r="T115" s="95" t="n">
        <f aca="false">IF(AND(T39&gt;SenGrace,T39&lt;=SenTenor),PMT(SenRate*$B$11,SenTenor-SenGrace,-S_Capex_Hi!$B$16)-T114,0)</f>
        <v>0</v>
      </c>
      <c r="U115" s="95" t="n">
        <f aca="false">IF(AND(U39&gt;SenGrace,U39&lt;=SenTenor),PMT(SenRate*$B$11,SenTenor-SenGrace,-S_Capex_Hi!$B$16)-U114,0)</f>
        <v>0</v>
      </c>
      <c r="V115" s="95" t="n">
        <f aca="false">IF(AND(V39&gt;SenGrace,V39&lt;=SenTenor),PMT(SenRate*$B$11,SenTenor-SenGrace,-S_Capex_Hi!$B$16)-V114,0)</f>
        <v>0</v>
      </c>
      <c r="W115" s="95" t="n">
        <f aca="false">IF(AND(W39&gt;SenGrace,W39&lt;=SenTenor),PMT(SenRate*$B$11,SenTenor-SenGrace,-S_Capex_Hi!$B$16)-W114,0)</f>
        <v>0</v>
      </c>
    </row>
    <row r="116" customFormat="false" ht="15" hidden="false" customHeight="false" outlineLevel="0" collapsed="false">
      <c r="A116" s="11" t="s">
        <v>458</v>
      </c>
      <c r="C116" s="95" t="n">
        <f aca="false">0+C113-0</f>
        <v>159056.19526289</v>
      </c>
      <c r="D116" s="95" t="n">
        <f aca="false">D112+D113-D115</f>
        <v>159056.19526289</v>
      </c>
      <c r="E116" s="95" t="n">
        <f aca="false">E112+E113-E115</f>
        <v>159056.19526289</v>
      </c>
      <c r="F116" s="95" t="n">
        <f aca="false">F112+F113-F115</f>
        <v>145147.682528939</v>
      </c>
      <c r="G116" s="95" t="n">
        <f aca="false">G112+G113-G115</f>
        <v>129848.318521592</v>
      </c>
      <c r="H116" s="95" t="n">
        <f aca="false">H112+H113-H115</f>
        <v>113019.018113512</v>
      </c>
      <c r="I116" s="95" t="n">
        <f aca="false">I112+I113-I115</f>
        <v>94506.7876646227</v>
      </c>
      <c r="J116" s="95" t="n">
        <f aca="false">J112+J113-J115</f>
        <v>74143.3341708449</v>
      </c>
      <c r="K116" s="95" t="n">
        <f aca="false">K112+K113-K115</f>
        <v>51743.5353276894</v>
      </c>
      <c r="L116" s="95" t="n">
        <f aca="false">L112+L113-L115</f>
        <v>27103.7566002182</v>
      </c>
      <c r="M116" s="95" t="n">
        <f aca="false">M112+M113-M115</f>
        <v>0</v>
      </c>
      <c r="N116" s="95" t="n">
        <f aca="false">N112+N113-N115</f>
        <v>0</v>
      </c>
      <c r="O116" s="95" t="n">
        <f aca="false">O112+O113-O115</f>
        <v>0</v>
      </c>
      <c r="P116" s="95" t="n">
        <f aca="false">P112+P113-P115</f>
        <v>0</v>
      </c>
      <c r="Q116" s="95" t="n">
        <f aca="false">Q112+Q113-Q115</f>
        <v>0</v>
      </c>
      <c r="R116" s="95" t="n">
        <f aca="false">R112+R113-R115</f>
        <v>0</v>
      </c>
      <c r="S116" s="95" t="n">
        <f aca="false">S112+S113-S115</f>
        <v>0</v>
      </c>
      <c r="T116" s="95" t="n">
        <f aca="false">T112+T113-T115</f>
        <v>0</v>
      </c>
      <c r="U116" s="95" t="n">
        <f aca="false">U112+U113-U115</f>
        <v>0</v>
      </c>
      <c r="V116" s="95" t="n">
        <f aca="false">V112+V113-V115</f>
        <v>0</v>
      </c>
      <c r="W116" s="95" t="n">
        <f aca="false">W112+W113-W115</f>
        <v>0</v>
      </c>
    </row>
    <row r="118" customFormat="false" ht="15" hidden="false" customHeight="false" outlineLevel="0" collapsed="false">
      <c r="A118" s="9" t="s">
        <v>459</v>
      </c>
      <c r="B118" s="10"/>
      <c r="C118" s="10"/>
      <c r="D118" s="10"/>
      <c r="E118" s="10"/>
      <c r="F118" s="10"/>
      <c r="G118" s="10"/>
      <c r="H118" s="10"/>
      <c r="I118" s="10"/>
      <c r="J118" s="10"/>
      <c r="K118" s="10"/>
      <c r="L118" s="10"/>
      <c r="M118" s="10"/>
      <c r="N118" s="10"/>
      <c r="O118" s="10"/>
      <c r="P118" s="10"/>
      <c r="Q118" s="10"/>
      <c r="R118" s="10"/>
      <c r="S118" s="10"/>
      <c r="T118" s="10"/>
      <c r="U118" s="10"/>
      <c r="V118" s="10"/>
      <c r="W118" s="10"/>
    </row>
    <row r="119" customFormat="false" ht="15" hidden="false" customHeight="false" outlineLevel="0" collapsed="false">
      <c r="A119" s="11" t="s">
        <v>454</v>
      </c>
      <c r="C119" s="95" t="n">
        <v>0</v>
      </c>
      <c r="D119" s="95" t="n">
        <f aca="false">C123</f>
        <v>159056.19526289</v>
      </c>
      <c r="E119" s="95" t="n">
        <f aca="false">D123</f>
        <v>159056.19526289</v>
      </c>
      <c r="F119" s="95" t="n">
        <f aca="false">E123</f>
        <v>159056.19526289</v>
      </c>
      <c r="G119" s="95" t="n">
        <f aca="false">F123</f>
        <v>159056.19526289</v>
      </c>
      <c r="H119" s="95" t="n">
        <f aca="false">G123</f>
        <v>159056.19526289</v>
      </c>
      <c r="I119" s="95" t="n">
        <f aca="false">H123</f>
        <v>159056.19526289</v>
      </c>
      <c r="J119" s="95" t="n">
        <f aca="false">I123</f>
        <v>145181.642771419</v>
      </c>
      <c r="K119" s="95" t="n">
        <f aca="false">J123</f>
        <v>130890.853705204</v>
      </c>
      <c r="L119" s="95" t="n">
        <f aca="false">K123</f>
        <v>116171.340967002</v>
      </c>
      <c r="M119" s="95" t="n">
        <f aca="false">L123</f>
        <v>101010.242846654</v>
      </c>
      <c r="N119" s="95" t="n">
        <f aca="false">M123</f>
        <v>85394.311782696</v>
      </c>
      <c r="O119" s="95" t="n">
        <f aca="false">N123</f>
        <v>69309.9027868192</v>
      </c>
      <c r="P119" s="95" t="n">
        <f aca="false">O123</f>
        <v>52742.961521066</v>
      </c>
      <c r="Q119" s="95" t="n">
        <f aca="false">P123</f>
        <v>35679.0120173402</v>
      </c>
      <c r="R119" s="95" t="n">
        <f aca="false">Q123</f>
        <v>18103.1440285027</v>
      </c>
      <c r="S119" s="95" t="n">
        <f aca="false">R123</f>
        <v>0</v>
      </c>
      <c r="T119" s="95" t="n">
        <f aca="false">S123</f>
        <v>0</v>
      </c>
      <c r="U119" s="95" t="n">
        <f aca="false">T123</f>
        <v>0</v>
      </c>
      <c r="V119" s="95" t="n">
        <f aca="false">U123</f>
        <v>0</v>
      </c>
      <c r="W119" s="95" t="n">
        <f aca="false">V123</f>
        <v>0</v>
      </c>
    </row>
    <row r="120" customFormat="false" ht="15" hidden="false" customHeight="false" outlineLevel="0" collapsed="false">
      <c r="A120" s="11" t="s">
        <v>455</v>
      </c>
      <c r="B120" s="66" t="n">
        <f aca="false">SUM(C120:W120)</f>
        <v>159056.19526289</v>
      </c>
      <c r="C120" s="95" t="n">
        <f aca="false">S_Capex_Hi!$B$17</f>
        <v>159056.19526289</v>
      </c>
      <c r="D120" s="95" t="n">
        <f aca="false">0</f>
        <v>0</v>
      </c>
      <c r="E120" s="95" t="n">
        <f aca="false">0</f>
        <v>0</v>
      </c>
      <c r="F120" s="95" t="n">
        <f aca="false">0</f>
        <v>0</v>
      </c>
      <c r="G120" s="95" t="n">
        <f aca="false">0</f>
        <v>0</v>
      </c>
      <c r="H120" s="95" t="n">
        <f aca="false">0</f>
        <v>0</v>
      </c>
      <c r="I120" s="95" t="n">
        <f aca="false">0</f>
        <v>0</v>
      </c>
      <c r="J120" s="95" t="n">
        <f aca="false">0</f>
        <v>0</v>
      </c>
      <c r="K120" s="95" t="n">
        <f aca="false">0</f>
        <v>0</v>
      </c>
      <c r="L120" s="95" t="n">
        <f aca="false">0</f>
        <v>0</v>
      </c>
      <c r="M120" s="95" t="n">
        <f aca="false">0</f>
        <v>0</v>
      </c>
      <c r="N120" s="95" t="n">
        <f aca="false">0</f>
        <v>0</v>
      </c>
      <c r="O120" s="95" t="n">
        <f aca="false">0</f>
        <v>0</v>
      </c>
      <c r="P120" s="95" t="n">
        <f aca="false">0</f>
        <v>0</v>
      </c>
      <c r="Q120" s="95" t="n">
        <f aca="false">0</f>
        <v>0</v>
      </c>
      <c r="R120" s="95" t="n">
        <f aca="false">0</f>
        <v>0</v>
      </c>
      <c r="S120" s="95" t="n">
        <f aca="false">0</f>
        <v>0</v>
      </c>
      <c r="T120" s="95" t="n">
        <f aca="false">0</f>
        <v>0</v>
      </c>
      <c r="U120" s="95" t="n">
        <f aca="false">0</f>
        <v>0</v>
      </c>
      <c r="V120" s="95" t="n">
        <f aca="false">0</f>
        <v>0</v>
      </c>
      <c r="W120" s="95" t="n">
        <f aca="false">0</f>
        <v>0</v>
      </c>
    </row>
    <row r="121" customFormat="false" ht="15" hidden="false" customHeight="false" outlineLevel="0" collapsed="false">
      <c r="A121" s="11" t="s">
        <v>456</v>
      </c>
      <c r="B121" s="66" t="n">
        <f aca="false">SUM(C121:W121)</f>
        <v>51264.6175201212</v>
      </c>
      <c r="C121" s="95" t="n">
        <v>0</v>
      </c>
      <c r="D121" s="95" t="n">
        <f aca="false">D119*ConRate*$B$11</f>
        <v>4771.68585788669</v>
      </c>
      <c r="E121" s="95" t="n">
        <f aca="false">E119*ConRate*$B$11</f>
        <v>4771.68585788669</v>
      </c>
      <c r="F121" s="95" t="n">
        <f aca="false">F119*ConRate*$B$11</f>
        <v>4771.68585788669</v>
      </c>
      <c r="G121" s="95" t="n">
        <f aca="false">G119*ConRate*$B$11</f>
        <v>4771.68585788669</v>
      </c>
      <c r="H121" s="95" t="n">
        <f aca="false">H119*ConRate*$B$11</f>
        <v>4771.68585788669</v>
      </c>
      <c r="I121" s="95" t="n">
        <f aca="false">I119*ConRate*$B$11</f>
        <v>4771.68585788669</v>
      </c>
      <c r="J121" s="95" t="n">
        <f aca="false">J119*ConRate*$B$11</f>
        <v>4355.44928314256</v>
      </c>
      <c r="K121" s="95" t="n">
        <f aca="false">K119*ConRate*$B$11</f>
        <v>3926.72561115611</v>
      </c>
      <c r="L121" s="95" t="n">
        <f aca="false">L119*ConRate*$B$11</f>
        <v>3485.14022901006</v>
      </c>
      <c r="M121" s="95" t="n">
        <f aca="false">M119*ConRate*$B$11</f>
        <v>3030.30728539962</v>
      </c>
      <c r="N121" s="95" t="n">
        <f aca="false">N119*ConRate*$B$11</f>
        <v>2561.82935348088</v>
      </c>
      <c r="O121" s="95" t="n">
        <f aca="false">O119*ConRate*$B$11</f>
        <v>2079.29708360457</v>
      </c>
      <c r="P121" s="95" t="n">
        <f aca="false">P119*ConRate*$B$11</f>
        <v>1582.28884563198</v>
      </c>
      <c r="Q121" s="95" t="n">
        <f aca="false">Q119*ConRate*$B$11</f>
        <v>1070.37036052021</v>
      </c>
      <c r="R121" s="95" t="n">
        <f aca="false">R119*ConRate*$B$11</f>
        <v>543.09432085508</v>
      </c>
      <c r="S121" s="95" t="n">
        <f aca="false">S119*ConRate*$B$11</f>
        <v>0</v>
      </c>
      <c r="T121" s="95" t="n">
        <f aca="false">T119*ConRate*$B$11</f>
        <v>0</v>
      </c>
      <c r="U121" s="95" t="n">
        <f aca="false">U119*ConRate*$B$11</f>
        <v>0</v>
      </c>
      <c r="V121" s="95" t="n">
        <f aca="false">V119*ConRate*$B$11</f>
        <v>0</v>
      </c>
      <c r="W121" s="95" t="n">
        <f aca="false">W119*ConRate*$B$11</f>
        <v>0</v>
      </c>
    </row>
    <row r="122" customFormat="false" ht="15" hidden="false" customHeight="false" outlineLevel="0" collapsed="false">
      <c r="A122" s="11" t="s">
        <v>457</v>
      </c>
      <c r="B122" s="66" t="n">
        <f aca="false">SUM(C122:W122)</f>
        <v>159056.19526289</v>
      </c>
      <c r="C122" s="95" t="n">
        <v>0</v>
      </c>
      <c r="D122" s="95" t="n">
        <f aca="false">IF(AND(D39&gt;ConGrace,D39&lt;=ConTenor),PMT(ConRate*$B$11,ConTenor-ConGrace,-S_Capex_Hi!$B$17)-D121,0)</f>
        <v>0</v>
      </c>
      <c r="E122" s="95" t="n">
        <f aca="false">IF(AND(E39&gt;ConGrace,E39&lt;=ConTenor),PMT(ConRate*$B$11,ConTenor-ConGrace,-S_Capex_Hi!$B$17)-E121,0)</f>
        <v>0</v>
      </c>
      <c r="F122" s="95" t="n">
        <f aca="false">IF(AND(F39&gt;ConGrace,F39&lt;=ConTenor),PMT(ConRate*$B$11,ConTenor-ConGrace,-S_Capex_Hi!$B$17)-F121,0)</f>
        <v>0</v>
      </c>
      <c r="G122" s="95" t="n">
        <f aca="false">IF(AND(G39&gt;ConGrace,G39&lt;=ConTenor),PMT(ConRate*$B$11,ConTenor-ConGrace,-S_Capex_Hi!$B$17)-G121,0)</f>
        <v>0</v>
      </c>
      <c r="H122" s="95" t="n">
        <f aca="false">IF(AND(H39&gt;ConGrace,H39&lt;=ConTenor),PMT(ConRate*$B$11,ConTenor-ConGrace,-S_Capex_Hi!$B$17)-H121,0)</f>
        <v>0</v>
      </c>
      <c r="I122" s="95" t="n">
        <f aca="false">IF(AND(I39&gt;ConGrace,I39&lt;=ConTenor),PMT(ConRate*$B$11,ConTenor-ConGrace,-S_Capex_Hi!$B$17)-I121,0)</f>
        <v>13874.5524914711</v>
      </c>
      <c r="J122" s="95" t="n">
        <f aca="false">IF(AND(J39&gt;ConGrace,J39&lt;=ConTenor),PMT(ConRate*$B$11,ConTenor-ConGrace,-S_Capex_Hi!$B$17)-J121,0)</f>
        <v>14290.7890662152</v>
      </c>
      <c r="K122" s="95" t="n">
        <f aca="false">IF(AND(K39&gt;ConGrace,K39&lt;=ConTenor),PMT(ConRate*$B$11,ConTenor-ConGrace,-S_Capex_Hi!$B$17)-K121,0)</f>
        <v>14719.5127382016</v>
      </c>
      <c r="L122" s="95" t="n">
        <f aca="false">IF(AND(L39&gt;ConGrace,L39&lt;=ConTenor),PMT(ConRate*$B$11,ConTenor-ConGrace,-S_Capex_Hi!$B$17)-L121,0)</f>
        <v>15161.0981203477</v>
      </c>
      <c r="M122" s="95" t="n">
        <f aca="false">IF(AND(M39&gt;ConGrace,M39&lt;=ConTenor),PMT(ConRate*$B$11,ConTenor-ConGrace,-S_Capex_Hi!$B$17)-M121,0)</f>
        <v>15615.9310639581</v>
      </c>
      <c r="N122" s="95" t="n">
        <f aca="false">IF(AND(N39&gt;ConGrace,N39&lt;=ConTenor),PMT(ConRate*$B$11,ConTenor-ConGrace,-S_Capex_Hi!$B$17)-N121,0)</f>
        <v>16084.4089958769</v>
      </c>
      <c r="O122" s="95" t="n">
        <f aca="false">IF(AND(O39&gt;ConGrace,O39&lt;=ConTenor),PMT(ConRate*$B$11,ConTenor-ConGrace,-S_Capex_Hi!$B$17)-O121,0)</f>
        <v>16566.9412657532</v>
      </c>
      <c r="P122" s="95" t="n">
        <f aca="false">IF(AND(P39&gt;ConGrace,P39&lt;=ConTenor),PMT(ConRate*$B$11,ConTenor-ConGrace,-S_Capex_Hi!$B$17)-P121,0)</f>
        <v>17063.9495037258</v>
      </c>
      <c r="Q122" s="95" t="n">
        <f aca="false">IF(AND(Q39&gt;ConGrace,Q39&lt;=ConTenor),PMT(ConRate*$B$11,ConTenor-ConGrace,-S_Capex_Hi!$B$17)-Q121,0)</f>
        <v>17575.8679888375</v>
      </c>
      <c r="R122" s="95" t="n">
        <f aca="false">IF(AND(R39&gt;ConGrace,R39&lt;=ConTenor),PMT(ConRate*$B$11,ConTenor-ConGrace,-S_Capex_Hi!$B$17)-R121,0)</f>
        <v>18103.1440285027</v>
      </c>
      <c r="S122" s="95" t="n">
        <f aca="false">IF(AND(S39&gt;ConGrace,S39&lt;=ConTenor),PMT(ConRate*$B$11,ConTenor-ConGrace,-S_Capex_Hi!$B$17)-S121,0)</f>
        <v>0</v>
      </c>
      <c r="T122" s="95" t="n">
        <f aca="false">IF(AND(T39&gt;ConGrace,T39&lt;=ConTenor),PMT(ConRate*$B$11,ConTenor-ConGrace,-S_Capex_Hi!$B$17)-T121,0)</f>
        <v>0</v>
      </c>
      <c r="U122" s="95" t="n">
        <f aca="false">IF(AND(U39&gt;ConGrace,U39&lt;=ConTenor),PMT(ConRate*$B$11,ConTenor-ConGrace,-S_Capex_Hi!$B$17)-U121,0)</f>
        <v>0</v>
      </c>
      <c r="V122" s="95" t="n">
        <f aca="false">IF(AND(V39&gt;ConGrace,V39&lt;=ConTenor),PMT(ConRate*$B$11,ConTenor-ConGrace,-S_Capex_Hi!$B$17)-V121,0)</f>
        <v>0</v>
      </c>
      <c r="W122" s="95" t="n">
        <f aca="false">IF(AND(W39&gt;ConGrace,W39&lt;=ConTenor),PMT(ConRate*$B$11,ConTenor-ConGrace,-S_Capex_Hi!$B$17)-W121,0)</f>
        <v>0</v>
      </c>
    </row>
    <row r="123" customFormat="false" ht="15" hidden="false" customHeight="false" outlineLevel="0" collapsed="false">
      <c r="A123" s="11" t="s">
        <v>458</v>
      </c>
      <c r="C123" s="95" t="n">
        <f aca="false">0+C120-0</f>
        <v>159056.19526289</v>
      </c>
      <c r="D123" s="95" t="n">
        <f aca="false">D119+D120-D122</f>
        <v>159056.19526289</v>
      </c>
      <c r="E123" s="95" t="n">
        <f aca="false">E119+E120-E122</f>
        <v>159056.19526289</v>
      </c>
      <c r="F123" s="95" t="n">
        <f aca="false">F119+F120-F122</f>
        <v>159056.19526289</v>
      </c>
      <c r="G123" s="95" t="n">
        <f aca="false">G119+G120-G122</f>
        <v>159056.19526289</v>
      </c>
      <c r="H123" s="95" t="n">
        <f aca="false">H119+H120-H122</f>
        <v>159056.19526289</v>
      </c>
      <c r="I123" s="95" t="n">
        <f aca="false">I119+I120-I122</f>
        <v>145181.642771419</v>
      </c>
      <c r="J123" s="95" t="n">
        <f aca="false">J119+J120-J122</f>
        <v>130890.853705204</v>
      </c>
      <c r="K123" s="95" t="n">
        <f aca="false">K119+K120-K122</f>
        <v>116171.340967002</v>
      </c>
      <c r="L123" s="95" t="n">
        <f aca="false">L119+L120-L122</f>
        <v>101010.242846654</v>
      </c>
      <c r="M123" s="95" t="n">
        <f aca="false">M119+M120-M122</f>
        <v>85394.311782696</v>
      </c>
      <c r="N123" s="95" t="n">
        <f aca="false">N119+N120-N122</f>
        <v>69309.9027868192</v>
      </c>
      <c r="O123" s="95" t="n">
        <f aca="false">O119+O120-O122</f>
        <v>52742.961521066</v>
      </c>
      <c r="P123" s="95" t="n">
        <f aca="false">P119+P120-P122</f>
        <v>35679.0120173402</v>
      </c>
      <c r="Q123" s="95" t="n">
        <f aca="false">Q119+Q120-Q122</f>
        <v>18103.1440285027</v>
      </c>
      <c r="R123" s="95" t="n">
        <f aca="false">R119+R120-R122</f>
        <v>0</v>
      </c>
      <c r="S123" s="95" t="n">
        <f aca="false">S119+S120-S122</f>
        <v>0</v>
      </c>
      <c r="T123" s="95" t="n">
        <f aca="false">T119+T120-T122</f>
        <v>0</v>
      </c>
      <c r="U123" s="95" t="n">
        <f aca="false">U119+U120-U122</f>
        <v>0</v>
      </c>
      <c r="V123" s="95" t="n">
        <f aca="false">V119+V120-V122</f>
        <v>0</v>
      </c>
      <c r="W123" s="95" t="n">
        <f aca="false">W119+W120-W122</f>
        <v>0</v>
      </c>
    </row>
    <row r="125" customFormat="false" ht="15" hidden="false" customHeight="false" outlineLevel="0" collapsed="false">
      <c r="A125" s="16" t="s">
        <v>460</v>
      </c>
      <c r="B125" s="66" t="n">
        <f aca="false">SUM(C125:W125)</f>
        <v>480645.10991751</v>
      </c>
      <c r="C125" s="31" t="n">
        <v>0</v>
      </c>
      <c r="D125" s="31" t="n">
        <f aca="false">D114+D115+D121+D122</f>
        <v>20677.3053841757</v>
      </c>
      <c r="E125" s="31" t="n">
        <f aca="false">E114+E115+E121+E122</f>
        <v>20677.3053841757</v>
      </c>
      <c r="F125" s="31" t="n">
        <f aca="false">F114+F115+F121+F122</f>
        <v>34585.8181181268</v>
      </c>
      <c r="G125" s="31" t="n">
        <f aca="false">G114+G115+G121+G122</f>
        <v>34585.8181181268</v>
      </c>
      <c r="H125" s="31" t="n">
        <f aca="false">H114+H115+H121+H122</f>
        <v>34585.8181181268</v>
      </c>
      <c r="I125" s="31" t="n">
        <f aca="false">I114+I115+I121+I122</f>
        <v>48460.3706095978</v>
      </c>
      <c r="J125" s="31" t="n">
        <f aca="false">J114+J115+J121+J122</f>
        <v>48460.3706095978</v>
      </c>
      <c r="K125" s="31" t="n">
        <f aca="false">K114+K115+K121+K122</f>
        <v>48460.3706095978</v>
      </c>
      <c r="L125" s="31" t="n">
        <f aca="false">L114+L115+L121+L122</f>
        <v>48460.3706095978</v>
      </c>
      <c r="M125" s="31" t="n">
        <f aca="false">M114+M115+M121+M122</f>
        <v>48460.3706095978</v>
      </c>
      <c r="N125" s="31" t="n">
        <f aca="false">N114+N115+N121+N122</f>
        <v>18646.2383493578</v>
      </c>
      <c r="O125" s="31" t="n">
        <f aca="false">O114+O115+O121+O122</f>
        <v>18646.2383493578</v>
      </c>
      <c r="P125" s="31" t="n">
        <f aca="false">P114+P115+P121+P122</f>
        <v>18646.2383493578</v>
      </c>
      <c r="Q125" s="31" t="n">
        <f aca="false">Q114+Q115+Q121+Q122</f>
        <v>18646.2383493578</v>
      </c>
      <c r="R125" s="31" t="n">
        <f aca="false">R114+R115+R121+R122</f>
        <v>18646.2383493578</v>
      </c>
      <c r="S125" s="31" t="n">
        <f aca="false">S114+S115+S121+S122</f>
        <v>0</v>
      </c>
      <c r="T125" s="31" t="n">
        <f aca="false">T114+T115+T121+T122</f>
        <v>0</v>
      </c>
      <c r="U125" s="31" t="n">
        <f aca="false">U114+U115+U121+U122</f>
        <v>0</v>
      </c>
      <c r="V125" s="31" t="n">
        <f aca="false">V114+V115+V121+V122</f>
        <v>0</v>
      </c>
      <c r="W125" s="31" t="n">
        <f aca="false">W114+W115+W121+W122</f>
        <v>0</v>
      </c>
    </row>
    <row r="126" customFormat="false" ht="15" hidden="false" customHeight="false" outlineLevel="0" collapsed="false">
      <c r="A126" s="11" t="s">
        <v>461</v>
      </c>
      <c r="C126" s="96" t="n">
        <v>0</v>
      </c>
      <c r="D126" s="96" t="n">
        <f aca="false">IF(D39&lt;=SenGrace,SenRate*$B$11,IF(D39&lt;=SenTenor,PMT(SenRate*$B$11,SenTenor-SenGrace,-1),0))</f>
        <v>0.1</v>
      </c>
      <c r="E126" s="96" t="n">
        <f aca="false">IF(E39&lt;=SenGrace,SenRate*$B$11,IF(E39&lt;=SenTenor,PMT(SenRate*$B$11,SenTenor-SenGrace,-1),0))</f>
        <v>0.1</v>
      </c>
      <c r="F126" s="96" t="n">
        <f aca="false">IF(F39&lt;=SenGrace,SenRate*$B$11,IF(F39&lt;=SenTenor,PMT(SenRate*$B$11,SenTenor-SenGrace,-1),0))</f>
        <v>0.187444017574813</v>
      </c>
      <c r="G126" s="96" t="n">
        <f aca="false">IF(G39&lt;=SenGrace,SenRate*$B$11,IF(G39&lt;=SenTenor,PMT(SenRate*$B$11,SenTenor-SenGrace,-1),0))</f>
        <v>0.187444017574813</v>
      </c>
      <c r="H126" s="96" t="n">
        <f aca="false">IF(H39&lt;=SenGrace,SenRate*$B$11,IF(H39&lt;=SenTenor,PMT(SenRate*$B$11,SenTenor-SenGrace,-1),0))</f>
        <v>0.187444017574813</v>
      </c>
      <c r="I126" s="96" t="n">
        <f aca="false">IF(I39&lt;=SenGrace,SenRate*$B$11,IF(I39&lt;=SenTenor,PMT(SenRate*$B$11,SenTenor-SenGrace,-1),0))</f>
        <v>0.187444017574813</v>
      </c>
      <c r="J126" s="96" t="n">
        <f aca="false">IF(J39&lt;=SenGrace,SenRate*$B$11,IF(J39&lt;=SenTenor,PMT(SenRate*$B$11,SenTenor-SenGrace,-1),0))</f>
        <v>0.187444017574813</v>
      </c>
      <c r="K126" s="96" t="n">
        <f aca="false">IF(K39&lt;=SenGrace,SenRate*$B$11,IF(K39&lt;=SenTenor,PMT(SenRate*$B$11,SenTenor-SenGrace,-1),0))</f>
        <v>0.187444017574813</v>
      </c>
      <c r="L126" s="96" t="n">
        <f aca="false">IF(L39&lt;=SenGrace,SenRate*$B$11,IF(L39&lt;=SenTenor,PMT(SenRate*$B$11,SenTenor-SenGrace,-1),0))</f>
        <v>0.187444017574813</v>
      </c>
      <c r="M126" s="96" t="n">
        <f aca="false">IF(M39&lt;=SenGrace,SenRate*$B$11,IF(M39&lt;=SenTenor,PMT(SenRate*$B$11,SenTenor-SenGrace,-1),0))</f>
        <v>0.187444017574813</v>
      </c>
      <c r="N126" s="96" t="n">
        <f aca="false">IF(N39&lt;=SenGrace,SenRate*$B$11,IF(N39&lt;=SenTenor,PMT(SenRate*$B$11,SenTenor-SenGrace,-1),0))</f>
        <v>0</v>
      </c>
      <c r="O126" s="96" t="n">
        <f aca="false">IF(O39&lt;=SenGrace,SenRate*$B$11,IF(O39&lt;=SenTenor,PMT(SenRate*$B$11,SenTenor-SenGrace,-1),0))</f>
        <v>0</v>
      </c>
      <c r="P126" s="96" t="n">
        <f aca="false">IF(P39&lt;=SenGrace,SenRate*$B$11,IF(P39&lt;=SenTenor,PMT(SenRate*$B$11,SenTenor-SenGrace,-1),0))</f>
        <v>0</v>
      </c>
      <c r="Q126" s="96" t="n">
        <f aca="false">IF(Q39&lt;=SenGrace,SenRate*$B$11,IF(Q39&lt;=SenTenor,PMT(SenRate*$B$11,SenTenor-SenGrace,-1),0))</f>
        <v>0</v>
      </c>
      <c r="R126" s="96" t="n">
        <f aca="false">IF(R39&lt;=SenGrace,SenRate*$B$11,IF(R39&lt;=SenTenor,PMT(SenRate*$B$11,SenTenor-SenGrace,-1),0))</f>
        <v>0</v>
      </c>
      <c r="S126" s="96" t="n">
        <f aca="false">IF(S39&lt;=SenGrace,SenRate*$B$11,IF(S39&lt;=SenTenor,PMT(SenRate*$B$11,SenTenor-SenGrace,-1),0))</f>
        <v>0</v>
      </c>
      <c r="T126" s="96" t="n">
        <f aca="false">IF(T39&lt;=SenGrace,SenRate*$B$11,IF(T39&lt;=SenTenor,PMT(SenRate*$B$11,SenTenor-SenGrace,-1),0))</f>
        <v>0</v>
      </c>
      <c r="U126" s="96" t="n">
        <f aca="false">IF(U39&lt;=SenGrace,SenRate*$B$11,IF(U39&lt;=SenTenor,PMT(SenRate*$B$11,SenTenor-SenGrace,-1),0))</f>
        <v>0</v>
      </c>
      <c r="V126" s="96" t="n">
        <f aca="false">IF(V39&lt;=SenGrace,SenRate*$B$11,IF(V39&lt;=SenTenor,PMT(SenRate*$B$11,SenTenor-SenGrace,-1),0))</f>
        <v>0</v>
      </c>
      <c r="W126" s="96" t="n">
        <f aca="false">IF(W39&lt;=SenGrace,SenRate*$B$11,IF(W39&lt;=SenTenor,PMT(SenRate*$B$11,SenTenor-SenGrace,-1),0))</f>
        <v>0</v>
      </c>
    </row>
    <row r="127" customFormat="false" ht="15" hidden="false" customHeight="false" outlineLevel="0" collapsed="false">
      <c r="A127" s="11" t="s">
        <v>462</v>
      </c>
      <c r="C127" s="95" t="n">
        <v>0</v>
      </c>
      <c r="D127" s="95" t="n">
        <f aca="false">IF(D126&gt;0,(D147/MinDSCR-D121-D122)/D126,1000000000000)</f>
        <v>966057.724978372</v>
      </c>
      <c r="E127" s="95" t="n">
        <f aca="false">IF(E126&gt;0,(E147/MinDSCR-E121-E122)/E126,1000000000000)</f>
        <v>479535.490467094</v>
      </c>
      <c r="F127" s="95" t="n">
        <f aca="false">IF(F126&gt;0,(F147/MinDSCR-F121-F122)/F126,1000000000000)</f>
        <v>233424.781400026</v>
      </c>
      <c r="G127" s="95" t="n">
        <f aca="false">IF(G126&gt;0,(G147/MinDSCR-G121-G122)/G126,1000000000000)</f>
        <v>91937.3286893505</v>
      </c>
      <c r="H127" s="95" t="n">
        <f aca="false">IF(H126&gt;0,(H147/MinDSCR-H121-H122)/H126,1000000000000)</f>
        <v>113939.850153822</v>
      </c>
      <c r="I127" s="95" t="n">
        <f aca="false">IF(I126&gt;0,(I147/MinDSCR-I121-I122)/I126,1000000000000)</f>
        <v>63521.6263359948</v>
      </c>
      <c r="J127" s="95" t="n">
        <f aca="false">IF(J126&gt;0,(J147/MinDSCR-J121-J122)/J126,1000000000000)</f>
        <v>81119.7136013256</v>
      </c>
      <c r="K127" s="95" t="n">
        <f aca="false">IF(K126&gt;0,(K147/MinDSCR-K121-K122)/K126,1000000000000)</f>
        <v>75407.1436687403</v>
      </c>
      <c r="L127" s="95" t="n">
        <f aca="false">IF(L126&gt;0,(L147/MinDSCR-L121-L122)/L126,1000000000000)</f>
        <v>41581.5762553519</v>
      </c>
      <c r="M127" s="95" t="n">
        <f aca="false">IF(M126&gt;0,(M147/MinDSCR-M121-M122)/M126,1000000000000)</f>
        <v>34066.3303998738</v>
      </c>
      <c r="N127" s="95" t="n">
        <f aca="false">IF(N126&gt;0,(N147/MinDSCR-N121-N122)/N126,1000000000000)</f>
        <v>1000000000000</v>
      </c>
      <c r="O127" s="95" t="n">
        <f aca="false">IF(O126&gt;0,(O147/MinDSCR-O121-O122)/O126,1000000000000)</f>
        <v>1000000000000</v>
      </c>
      <c r="P127" s="95" t="n">
        <f aca="false">IF(P126&gt;0,(P147/MinDSCR-P121-P122)/P126,1000000000000)</f>
        <v>1000000000000</v>
      </c>
      <c r="Q127" s="95" t="n">
        <f aca="false">IF(Q126&gt;0,(Q147/MinDSCR-Q121-Q122)/Q126,1000000000000)</f>
        <v>1000000000000</v>
      </c>
      <c r="R127" s="95" t="n">
        <f aca="false">IF(R126&gt;0,(R147/MinDSCR-R121-R122)/R126,1000000000000)</f>
        <v>1000000000000</v>
      </c>
      <c r="S127" s="95" t="n">
        <f aca="false">IF(S126&gt;0,(S147/MinDSCR-S121-S122)/S126,1000000000000)</f>
        <v>1000000000000</v>
      </c>
      <c r="T127" s="95" t="n">
        <f aca="false">IF(T126&gt;0,(T147/MinDSCR-T121-T122)/T126,1000000000000)</f>
        <v>1000000000000</v>
      </c>
      <c r="U127" s="95" t="n">
        <f aca="false">IF(U126&gt;0,(U147/MinDSCR-U121-U122)/U126,1000000000000)</f>
        <v>1000000000000</v>
      </c>
      <c r="V127" s="95" t="n">
        <f aca="false">IF(V126&gt;0,(V147/MinDSCR-V121-V122)/V126,1000000000000)</f>
        <v>1000000000000</v>
      </c>
      <c r="W127" s="95" t="n">
        <f aca="false">IF(W126&gt;0,(W147/MinDSCR-W121-W122)/W126,1000000000000)</f>
        <v>1000000000000</v>
      </c>
    </row>
    <row r="128" customFormat="false" ht="15" hidden="false" customHeight="false" outlineLevel="0" collapsed="false">
      <c r="A128" s="11" t="s">
        <v>463</v>
      </c>
      <c r="C128" s="95" t="n">
        <f aca="false">DSRAPct*D125</f>
        <v>10338.6526920878</v>
      </c>
      <c r="D128" s="95" t="n">
        <f aca="false">DSRAPct*E125</f>
        <v>10338.6526920878</v>
      </c>
      <c r="E128" s="95" t="n">
        <f aca="false">DSRAPct*F125</f>
        <v>17292.9090590634</v>
      </c>
      <c r="F128" s="95" t="n">
        <f aca="false">DSRAPct*G125</f>
        <v>17292.9090590634</v>
      </c>
      <c r="G128" s="95" t="n">
        <f aca="false">DSRAPct*H125</f>
        <v>17292.9090590634</v>
      </c>
      <c r="H128" s="95" t="n">
        <f aca="false">DSRAPct*I125</f>
        <v>24230.1853047989</v>
      </c>
      <c r="I128" s="95" t="n">
        <f aca="false">DSRAPct*J125</f>
        <v>24230.1853047989</v>
      </c>
      <c r="J128" s="95" t="n">
        <f aca="false">DSRAPct*K125</f>
        <v>24230.1853047989</v>
      </c>
      <c r="K128" s="95" t="n">
        <f aca="false">DSRAPct*L125</f>
        <v>24230.1853047989</v>
      </c>
      <c r="L128" s="95" t="n">
        <f aca="false">DSRAPct*M125</f>
        <v>24230.1853047989</v>
      </c>
      <c r="M128" s="95" t="n">
        <f aca="false">DSRAPct*N125</f>
        <v>9323.11917467888</v>
      </c>
      <c r="N128" s="95" t="n">
        <f aca="false">DSRAPct*O125</f>
        <v>9323.11917467888</v>
      </c>
      <c r="O128" s="95" t="n">
        <f aca="false">DSRAPct*P125</f>
        <v>9323.11917467888</v>
      </c>
      <c r="P128" s="95" t="n">
        <f aca="false">DSRAPct*Q125</f>
        <v>9323.11917467888</v>
      </c>
      <c r="Q128" s="95" t="n">
        <f aca="false">DSRAPct*R125</f>
        <v>9323.11917467888</v>
      </c>
      <c r="R128" s="95" t="n">
        <f aca="false">DSRAPct*S125</f>
        <v>0</v>
      </c>
      <c r="S128" s="95" t="n">
        <f aca="false">DSRAPct*T125</f>
        <v>0</v>
      </c>
      <c r="T128" s="95" t="n">
        <f aca="false">DSRAPct*U125</f>
        <v>0</v>
      </c>
      <c r="U128" s="95" t="n">
        <f aca="false">DSRAPct*V125</f>
        <v>0</v>
      </c>
      <c r="V128" s="95" t="n">
        <f aca="false">DSRAPct*W125</f>
        <v>0</v>
      </c>
      <c r="W128" s="95" t="n">
        <f aca="false">0</f>
        <v>0</v>
      </c>
    </row>
    <row r="129" customFormat="false" ht="15" hidden="false" customHeight="false" outlineLevel="0" collapsed="false">
      <c r="A129" s="11" t="s">
        <v>464</v>
      </c>
      <c r="B129" s="66" t="n">
        <f aca="false">SUM(C129:W129)</f>
        <v>0</v>
      </c>
      <c r="C129" s="95" t="n">
        <f aca="false">C128</f>
        <v>10338.6526920878</v>
      </c>
      <c r="D129" s="95" t="n">
        <f aca="false">D128-C128</f>
        <v>0</v>
      </c>
      <c r="E129" s="95" t="n">
        <f aca="false">E128-D128</f>
        <v>6954.25636697555</v>
      </c>
      <c r="F129" s="95" t="n">
        <f aca="false">F128-E128</f>
        <v>0</v>
      </c>
      <c r="G129" s="95" t="n">
        <f aca="false">G128-F128</f>
        <v>0</v>
      </c>
      <c r="H129" s="95" t="n">
        <f aca="false">H128-G128</f>
        <v>6937.27624573553</v>
      </c>
      <c r="I129" s="95" t="n">
        <f aca="false">I128-H128</f>
        <v>0</v>
      </c>
      <c r="J129" s="95" t="n">
        <f aca="false">J128-I128</f>
        <v>0</v>
      </c>
      <c r="K129" s="95" t="n">
        <f aca="false">K128-J128</f>
        <v>0</v>
      </c>
      <c r="L129" s="95" t="n">
        <f aca="false">L128-K128</f>
        <v>0</v>
      </c>
      <c r="M129" s="95" t="n">
        <f aca="false">M128-L128</f>
        <v>-14907.06613012</v>
      </c>
      <c r="N129" s="95" t="n">
        <f aca="false">N128-M128</f>
        <v>0</v>
      </c>
      <c r="O129" s="95" t="n">
        <f aca="false">O128-N128</f>
        <v>0</v>
      </c>
      <c r="P129" s="95" t="n">
        <f aca="false">P128-O128</f>
        <v>0</v>
      </c>
      <c r="Q129" s="95" t="n">
        <f aca="false">Q128-P128</f>
        <v>0</v>
      </c>
      <c r="R129" s="95" t="n">
        <f aca="false">R128-Q128</f>
        <v>-9323.11917467888</v>
      </c>
      <c r="S129" s="95" t="n">
        <f aca="false">S128-R128</f>
        <v>0</v>
      </c>
      <c r="T129" s="95" t="n">
        <f aca="false">T128-S128</f>
        <v>0</v>
      </c>
      <c r="U129" s="95" t="n">
        <f aca="false">U128-T128</f>
        <v>0</v>
      </c>
      <c r="V129" s="95" t="n">
        <f aca="false">V128-U128</f>
        <v>0</v>
      </c>
      <c r="W129" s="95" t="n">
        <f aca="false">W128-V128</f>
        <v>0</v>
      </c>
    </row>
    <row r="131" customFormat="false" ht="15" hidden="false" customHeight="false" outlineLevel="0" collapsed="false">
      <c r="A131" s="9" t="s">
        <v>465</v>
      </c>
      <c r="B131" s="10"/>
      <c r="C131" s="10"/>
      <c r="D131" s="10"/>
      <c r="E131" s="10"/>
      <c r="F131" s="10"/>
      <c r="G131" s="10"/>
      <c r="H131" s="10"/>
      <c r="I131" s="10"/>
      <c r="J131" s="10"/>
      <c r="K131" s="10"/>
      <c r="L131" s="10"/>
      <c r="M131" s="10"/>
      <c r="N131" s="10"/>
      <c r="O131" s="10"/>
      <c r="P131" s="10"/>
      <c r="Q131" s="10"/>
      <c r="R131" s="10"/>
      <c r="S131" s="10"/>
      <c r="T131" s="10"/>
      <c r="U131" s="10"/>
      <c r="V131" s="10"/>
      <c r="W131" s="10"/>
    </row>
    <row r="132" customFormat="false" ht="15" hidden="false" customHeight="false" outlineLevel="0" collapsed="false">
      <c r="A132" s="11" t="s">
        <v>466</v>
      </c>
      <c r="B132" s="66" t="n">
        <f aca="false">SUM(C132:W132)</f>
        <v>1395280.97631445</v>
      </c>
      <c r="C132" s="95" t="n">
        <v>0</v>
      </c>
      <c r="D132" s="95" t="n">
        <f aca="false">IF(D39&lt;=MIN(DepYears,Life),S_Capex_Hi!$B$14/DepYears,0)</f>
        <v>93018.7317542966</v>
      </c>
      <c r="E132" s="95" t="n">
        <f aca="false">IF(E39&lt;=MIN(DepYears,Life),S_Capex_Hi!$B$14/DepYears,0)</f>
        <v>93018.7317542966</v>
      </c>
      <c r="F132" s="95" t="n">
        <f aca="false">IF(F39&lt;=MIN(DepYears,Life),S_Capex_Hi!$B$14/DepYears,0)</f>
        <v>93018.7317542966</v>
      </c>
      <c r="G132" s="95" t="n">
        <f aca="false">IF(G39&lt;=MIN(DepYears,Life),S_Capex_Hi!$B$14/DepYears,0)</f>
        <v>93018.7317542966</v>
      </c>
      <c r="H132" s="95" t="n">
        <f aca="false">IF(H39&lt;=MIN(DepYears,Life),S_Capex_Hi!$B$14/DepYears,0)</f>
        <v>93018.7317542966</v>
      </c>
      <c r="I132" s="95" t="n">
        <f aca="false">IF(I39&lt;=MIN(DepYears,Life),S_Capex_Hi!$B$14/DepYears,0)</f>
        <v>93018.7317542966</v>
      </c>
      <c r="J132" s="95" t="n">
        <f aca="false">IF(J39&lt;=MIN(DepYears,Life),S_Capex_Hi!$B$14/DepYears,0)</f>
        <v>93018.7317542966</v>
      </c>
      <c r="K132" s="95" t="n">
        <f aca="false">IF(K39&lt;=MIN(DepYears,Life),S_Capex_Hi!$B$14/DepYears,0)</f>
        <v>93018.7317542966</v>
      </c>
      <c r="L132" s="95" t="n">
        <f aca="false">IF(L39&lt;=MIN(DepYears,Life),S_Capex_Hi!$B$14/DepYears,0)</f>
        <v>93018.7317542966</v>
      </c>
      <c r="M132" s="95" t="n">
        <f aca="false">IF(M39&lt;=MIN(DepYears,Life),S_Capex_Hi!$B$14/DepYears,0)</f>
        <v>93018.7317542966</v>
      </c>
      <c r="N132" s="95" t="n">
        <f aca="false">IF(N39&lt;=MIN(DepYears,Life),S_Capex_Hi!$B$14/DepYears,0)</f>
        <v>93018.7317542966</v>
      </c>
      <c r="O132" s="95" t="n">
        <f aca="false">IF(O39&lt;=MIN(DepYears,Life),S_Capex_Hi!$B$14/DepYears,0)</f>
        <v>93018.7317542966</v>
      </c>
      <c r="P132" s="95" t="n">
        <f aca="false">IF(P39&lt;=MIN(DepYears,Life),S_Capex_Hi!$B$14/DepYears,0)</f>
        <v>93018.7317542966</v>
      </c>
      <c r="Q132" s="95" t="n">
        <f aca="false">IF(Q39&lt;=MIN(DepYears,Life),S_Capex_Hi!$B$14/DepYears,0)</f>
        <v>93018.7317542966</v>
      </c>
      <c r="R132" s="95" t="n">
        <f aca="false">IF(R39&lt;=MIN(DepYears,Life),S_Capex_Hi!$B$14/DepYears,0)</f>
        <v>93018.7317542966</v>
      </c>
      <c r="S132" s="95" t="n">
        <f aca="false">IF(S39&lt;=MIN(DepYears,Life),S_Capex_Hi!$B$14/DepYears,0)</f>
        <v>0</v>
      </c>
      <c r="T132" s="95" t="n">
        <f aca="false">IF(T39&lt;=MIN(DepYears,Life),S_Capex_Hi!$B$14/DepYears,0)</f>
        <v>0</v>
      </c>
      <c r="U132" s="95" t="n">
        <f aca="false">IF(U39&lt;=MIN(DepYears,Life),S_Capex_Hi!$B$14/DepYears,0)</f>
        <v>0</v>
      </c>
      <c r="V132" s="95" t="n">
        <f aca="false">IF(V39&lt;=MIN(DepYears,Life),S_Capex_Hi!$B$14/DepYears,0)</f>
        <v>0</v>
      </c>
      <c r="W132" s="95" t="n">
        <f aca="false">IF(W39&lt;=MIN(DepYears,Life),S_Capex_Hi!$B$14/DepYears,0)</f>
        <v>0</v>
      </c>
    </row>
    <row r="133" customFormat="false" ht="15" hidden="false" customHeight="false" outlineLevel="0" collapsed="false">
      <c r="A133" s="11" t="s">
        <v>467</v>
      </c>
      <c r="B133" s="66" t="n">
        <f aca="false">SUM(C133:W133)</f>
        <v>-389474.773264698</v>
      </c>
      <c r="C133" s="95" t="n">
        <v>0</v>
      </c>
      <c r="D133" s="95" t="n">
        <f aca="false">D98-D132</f>
        <v>-87542.5202361504</v>
      </c>
      <c r="E133" s="95" t="n">
        <f aca="false">E98-E132</f>
        <v>-62590.4107226165</v>
      </c>
      <c r="F133" s="95" t="n">
        <f aca="false">F98-F132</f>
        <v>-42849.7220080522</v>
      </c>
      <c r="G133" s="95" t="n">
        <f aca="false">G98-G132</f>
        <v>-39526.9915523222</v>
      </c>
      <c r="H133" s="95" t="n">
        <f aca="false">H98-H132</f>
        <v>-34165.4782262228</v>
      </c>
      <c r="I133" s="95" t="n">
        <f aca="false">I98-I132</f>
        <v>-28414.3327481299</v>
      </c>
      <c r="J133" s="95" t="n">
        <f aca="false">J98-J132</f>
        <v>-24126.0797158904</v>
      </c>
      <c r="K133" s="95" t="n">
        <f aca="false">K98-K132</f>
        <v>-25518.1028923835</v>
      </c>
      <c r="L133" s="95" t="n">
        <f aca="false">L98-L132</f>
        <v>-27121.9121840654</v>
      </c>
      <c r="M133" s="95" t="n">
        <f aca="false">M98-M132</f>
        <v>-28953.2064231427</v>
      </c>
      <c r="N133" s="95" t="n">
        <f aca="false">N98-N132</f>
        <v>-31028.6994513489</v>
      </c>
      <c r="O133" s="95" t="n">
        <f aca="false">O98-O132</f>
        <v>-33366.183079279</v>
      </c>
      <c r="P133" s="95" t="n">
        <f aca="false">P98-P132</f>
        <v>-35984.5938988171</v>
      </c>
      <c r="Q133" s="95" t="n">
        <f aca="false">Q98-Q132</f>
        <v>-38904.0841834915</v>
      </c>
      <c r="R133" s="95" t="n">
        <f aca="false">R98-R132</f>
        <v>-42146.0971258883</v>
      </c>
      <c r="S133" s="95" t="n">
        <f aca="false">S98-S132</f>
        <v>47285.2850778704</v>
      </c>
      <c r="T133" s="95" t="n">
        <f aca="false">T98-T132</f>
        <v>43328.3294904184</v>
      </c>
      <c r="U133" s="95" t="n">
        <f aca="false">U98-U132</f>
        <v>38975.9530591926</v>
      </c>
      <c r="V133" s="95" t="n">
        <f aca="false">V98-V132</f>
        <v>34200.7002047307</v>
      </c>
      <c r="W133" s="95" t="n">
        <f aca="false">W98-W132</f>
        <v>28973.3733508906</v>
      </c>
    </row>
    <row r="134" customFormat="false" ht="15" hidden="false" customHeight="false" outlineLevel="0" collapsed="false">
      <c r="A134" s="11" t="s">
        <v>468</v>
      </c>
      <c r="C134" s="95" t="n">
        <v>0</v>
      </c>
      <c r="D134" s="95" t="n">
        <f aca="false">0</f>
        <v>0</v>
      </c>
      <c r="E134" s="95" t="n">
        <f aca="false">D136</f>
        <v>87542.5202361504</v>
      </c>
      <c r="F134" s="95" t="n">
        <f aca="false">E136</f>
        <v>150132.930958767</v>
      </c>
      <c r="G134" s="95" t="n">
        <f aca="false">F136</f>
        <v>192982.652966819</v>
      </c>
      <c r="H134" s="95" t="n">
        <f aca="false">G136</f>
        <v>232509.644519141</v>
      </c>
      <c r="I134" s="95" t="n">
        <f aca="false">H136</f>
        <v>266675.122745364</v>
      </c>
      <c r="J134" s="95" t="n">
        <f aca="false">I136</f>
        <v>295089.455493494</v>
      </c>
      <c r="K134" s="95" t="n">
        <f aca="false">J136</f>
        <v>319215.535209384</v>
      </c>
      <c r="L134" s="95" t="n">
        <f aca="false">K136</f>
        <v>344733.638101768</v>
      </c>
      <c r="M134" s="95" t="n">
        <f aca="false">L136</f>
        <v>371855.550285833</v>
      </c>
      <c r="N134" s="95" t="n">
        <f aca="false">M136</f>
        <v>400808.756708976</v>
      </c>
      <c r="O134" s="95" t="n">
        <f aca="false">N136</f>
        <v>431837.456160325</v>
      </c>
      <c r="P134" s="95" t="n">
        <f aca="false">O136</f>
        <v>465203.639239604</v>
      </c>
      <c r="Q134" s="95" t="n">
        <f aca="false">P136</f>
        <v>501188.233138421</v>
      </c>
      <c r="R134" s="95" t="n">
        <f aca="false">Q136</f>
        <v>540092.317321913</v>
      </c>
      <c r="S134" s="95" t="n">
        <f aca="false">R136</f>
        <v>582238.414447801</v>
      </c>
      <c r="T134" s="95" t="n">
        <f aca="false">S136</f>
        <v>534953.12936993</v>
      </c>
      <c r="U134" s="95" t="n">
        <f aca="false">T136</f>
        <v>491624.799879512</v>
      </c>
      <c r="V134" s="95" t="n">
        <f aca="false">U136</f>
        <v>452648.846820319</v>
      </c>
      <c r="W134" s="95" t="n">
        <f aca="false">V136</f>
        <v>418448.146615589</v>
      </c>
    </row>
    <row r="135" customFormat="false" ht="15" hidden="false" customHeight="false" outlineLevel="0" collapsed="false">
      <c r="A135" s="11" t="s">
        <v>469</v>
      </c>
      <c r="C135" s="95" t="n">
        <v>0</v>
      </c>
      <c r="D135" s="95" t="n">
        <f aca="false">MIN(D134,MAX(D133,0))</f>
        <v>0</v>
      </c>
      <c r="E135" s="95" t="n">
        <f aca="false">MIN(E134,MAX(E133,0))</f>
        <v>0</v>
      </c>
      <c r="F135" s="95" t="n">
        <f aca="false">MIN(F134,MAX(F133,0))</f>
        <v>0</v>
      </c>
      <c r="G135" s="95" t="n">
        <f aca="false">MIN(G134,MAX(G133,0))</f>
        <v>0</v>
      </c>
      <c r="H135" s="95" t="n">
        <f aca="false">MIN(H134,MAX(H133,0))</f>
        <v>0</v>
      </c>
      <c r="I135" s="95" t="n">
        <f aca="false">MIN(I134,MAX(I133,0))</f>
        <v>0</v>
      </c>
      <c r="J135" s="95" t="n">
        <f aca="false">MIN(J134,MAX(J133,0))</f>
        <v>0</v>
      </c>
      <c r="K135" s="95" t="n">
        <f aca="false">MIN(K134,MAX(K133,0))</f>
        <v>0</v>
      </c>
      <c r="L135" s="95" t="n">
        <f aca="false">MIN(L134,MAX(L133,0))</f>
        <v>0</v>
      </c>
      <c r="M135" s="95" t="n">
        <f aca="false">MIN(M134,MAX(M133,0))</f>
        <v>0</v>
      </c>
      <c r="N135" s="95" t="n">
        <f aca="false">MIN(N134,MAX(N133,0))</f>
        <v>0</v>
      </c>
      <c r="O135" s="95" t="n">
        <f aca="false">MIN(O134,MAX(O133,0))</f>
        <v>0</v>
      </c>
      <c r="P135" s="95" t="n">
        <f aca="false">MIN(P134,MAX(P133,0))</f>
        <v>0</v>
      </c>
      <c r="Q135" s="95" t="n">
        <f aca="false">MIN(Q134,MAX(Q133,0))</f>
        <v>0</v>
      </c>
      <c r="R135" s="95" t="n">
        <f aca="false">MIN(R134,MAX(R133,0))</f>
        <v>0</v>
      </c>
      <c r="S135" s="95" t="n">
        <f aca="false">MIN(S134,MAX(S133,0))</f>
        <v>47285.2850778704</v>
      </c>
      <c r="T135" s="95" t="n">
        <f aca="false">MIN(T134,MAX(T133,0))</f>
        <v>43328.3294904184</v>
      </c>
      <c r="U135" s="95" t="n">
        <f aca="false">MIN(U134,MAX(U133,0))</f>
        <v>38975.9530591926</v>
      </c>
      <c r="V135" s="95" t="n">
        <f aca="false">MIN(V134,MAX(V133,0))</f>
        <v>34200.7002047307</v>
      </c>
      <c r="W135" s="95" t="n">
        <f aca="false">MIN(W134,MAX(W133,0))</f>
        <v>28973.3733508906</v>
      </c>
    </row>
    <row r="136" customFormat="false" ht="15" hidden="false" customHeight="false" outlineLevel="0" collapsed="false">
      <c r="A136" s="11" t="s">
        <v>470</v>
      </c>
      <c r="C136" s="95" t="n">
        <v>0</v>
      </c>
      <c r="D136" s="95" t="n">
        <f aca="false">D134-D135+MAX(-D133,0)</f>
        <v>87542.5202361504</v>
      </c>
      <c r="E136" s="95" t="n">
        <f aca="false">E134-E135+MAX(-E133,0)</f>
        <v>150132.930958767</v>
      </c>
      <c r="F136" s="95" t="n">
        <f aca="false">F134-F135+MAX(-F133,0)</f>
        <v>192982.652966819</v>
      </c>
      <c r="G136" s="95" t="n">
        <f aca="false">G134-G135+MAX(-G133,0)</f>
        <v>232509.644519141</v>
      </c>
      <c r="H136" s="95" t="n">
        <f aca="false">H134-H135+MAX(-H133,0)</f>
        <v>266675.122745364</v>
      </c>
      <c r="I136" s="95" t="n">
        <f aca="false">I134-I135+MAX(-I133,0)</f>
        <v>295089.455493494</v>
      </c>
      <c r="J136" s="95" t="n">
        <f aca="false">J134-J135+MAX(-J133,0)</f>
        <v>319215.535209384</v>
      </c>
      <c r="K136" s="95" t="n">
        <f aca="false">K134-K135+MAX(-K133,0)</f>
        <v>344733.638101768</v>
      </c>
      <c r="L136" s="95" t="n">
        <f aca="false">L134-L135+MAX(-L133,0)</f>
        <v>371855.550285833</v>
      </c>
      <c r="M136" s="95" t="n">
        <f aca="false">M134-M135+MAX(-M133,0)</f>
        <v>400808.756708976</v>
      </c>
      <c r="N136" s="95" t="n">
        <f aca="false">N134-N135+MAX(-N133,0)</f>
        <v>431837.456160325</v>
      </c>
      <c r="O136" s="95" t="n">
        <f aca="false">O134-O135+MAX(-O133,0)</f>
        <v>465203.639239604</v>
      </c>
      <c r="P136" s="95" t="n">
        <f aca="false">P134-P135+MAX(-P133,0)</f>
        <v>501188.233138421</v>
      </c>
      <c r="Q136" s="95" t="n">
        <f aca="false">Q134-Q135+MAX(-Q133,0)</f>
        <v>540092.317321913</v>
      </c>
      <c r="R136" s="95" t="n">
        <f aca="false">R134-R135+MAX(-R133,0)</f>
        <v>582238.414447801</v>
      </c>
      <c r="S136" s="95" t="n">
        <f aca="false">S134-S135+MAX(-S133,0)</f>
        <v>534953.12936993</v>
      </c>
      <c r="T136" s="95" t="n">
        <f aca="false">T134-T135+MAX(-T133,0)</f>
        <v>491624.799879512</v>
      </c>
      <c r="U136" s="95" t="n">
        <f aca="false">U134-U135+MAX(-U133,0)</f>
        <v>452648.846820319</v>
      </c>
      <c r="V136" s="95" t="n">
        <f aca="false">V134-V135+MAX(-V133,0)</f>
        <v>418448.146615589</v>
      </c>
      <c r="W136" s="95" t="n">
        <f aca="false">W134-W135+MAX(-W133,0)</f>
        <v>389474.773264698</v>
      </c>
    </row>
    <row r="137" customFormat="false" ht="15" hidden="false" customHeight="false" outlineLevel="0" collapsed="false">
      <c r="A137" s="11" t="s">
        <v>471</v>
      </c>
      <c r="B137" s="66" t="n">
        <f aca="false">SUM(C137:W137)</f>
        <v>0</v>
      </c>
      <c r="C137" s="95" t="n">
        <v>0</v>
      </c>
      <c r="D137" s="95" t="n">
        <f aca="false">(MAX(D133,0)-D135)*TaxRate</f>
        <v>0</v>
      </c>
      <c r="E137" s="95" t="n">
        <f aca="false">(MAX(E133,0)-E135)*TaxRate</f>
        <v>0</v>
      </c>
      <c r="F137" s="95" t="n">
        <f aca="false">(MAX(F133,0)-F135)*TaxRate</f>
        <v>0</v>
      </c>
      <c r="G137" s="95" t="n">
        <f aca="false">(MAX(G133,0)-G135)*TaxRate</f>
        <v>0</v>
      </c>
      <c r="H137" s="95" t="n">
        <f aca="false">(MAX(H133,0)-H135)*TaxRate</f>
        <v>0</v>
      </c>
      <c r="I137" s="95" t="n">
        <f aca="false">(MAX(I133,0)-I135)*TaxRate</f>
        <v>0</v>
      </c>
      <c r="J137" s="95" t="n">
        <f aca="false">(MAX(J133,0)-J135)*TaxRate</f>
        <v>0</v>
      </c>
      <c r="K137" s="95" t="n">
        <f aca="false">(MAX(K133,0)-K135)*TaxRate</f>
        <v>0</v>
      </c>
      <c r="L137" s="95" t="n">
        <f aca="false">(MAX(L133,0)-L135)*TaxRate</f>
        <v>0</v>
      </c>
      <c r="M137" s="95" t="n">
        <f aca="false">(MAX(M133,0)-M135)*TaxRate</f>
        <v>0</v>
      </c>
      <c r="N137" s="95" t="n">
        <f aca="false">(MAX(N133,0)-N135)*TaxRate</f>
        <v>0</v>
      </c>
      <c r="O137" s="95" t="n">
        <f aca="false">(MAX(O133,0)-O135)*TaxRate</f>
        <v>0</v>
      </c>
      <c r="P137" s="95" t="n">
        <f aca="false">(MAX(P133,0)-P135)*TaxRate</f>
        <v>0</v>
      </c>
      <c r="Q137" s="95" t="n">
        <f aca="false">(MAX(Q133,0)-Q135)*TaxRate</f>
        <v>0</v>
      </c>
      <c r="R137" s="95" t="n">
        <f aca="false">(MAX(R133,0)-R135)*TaxRate</f>
        <v>0</v>
      </c>
      <c r="S137" s="95" t="n">
        <f aca="false">(MAX(S133,0)-S135)*TaxRate</f>
        <v>0</v>
      </c>
      <c r="T137" s="95" t="n">
        <f aca="false">(MAX(T133,0)-T135)*TaxRate</f>
        <v>0</v>
      </c>
      <c r="U137" s="95" t="n">
        <f aca="false">(MAX(U133,0)-U135)*TaxRate</f>
        <v>0</v>
      </c>
      <c r="V137" s="95" t="n">
        <f aca="false">(MAX(V133,0)-V135)*TaxRate</f>
        <v>0</v>
      </c>
      <c r="W137" s="95" t="n">
        <f aca="false">(MAX(W133,0)-W135)*TaxRate</f>
        <v>0</v>
      </c>
    </row>
    <row r="138" customFormat="false" ht="15" hidden="false" customHeight="false" outlineLevel="0" collapsed="false">
      <c r="A138" s="11" t="s">
        <v>472</v>
      </c>
      <c r="B138" s="66" t="n">
        <f aca="false">SUM(C138:W138)</f>
        <v>-552007.492656428</v>
      </c>
      <c r="C138" s="95" t="n">
        <v>0</v>
      </c>
      <c r="D138" s="95" t="n">
        <f aca="false">D98-D132-D114-D121</f>
        <v>-108219.825620326</v>
      </c>
      <c r="E138" s="95" t="n">
        <f aca="false">E98-E132-E114-E121</f>
        <v>-83267.7161067922</v>
      </c>
      <c r="F138" s="95" t="n">
        <f aca="false">F98-F132-F114-F121</f>
        <v>-63527.0273922279</v>
      </c>
      <c r="G138" s="95" t="n">
        <f aca="false">G98-G132-G114-G121</f>
        <v>-58813.4456631028</v>
      </c>
      <c r="H138" s="95" t="n">
        <f aca="false">H98-H132-H114-H121</f>
        <v>-51921.9959362687</v>
      </c>
      <c r="I138" s="95" t="n">
        <f aca="false">I98-I132-I114-I121</f>
        <v>-44487.9204173677</v>
      </c>
      <c r="J138" s="95" t="n">
        <f aca="false">J98-J132-J114-J121</f>
        <v>-37932.2077654952</v>
      </c>
      <c r="K138" s="95" t="n">
        <f aca="false">K98-K132-K114-K121</f>
        <v>-36859.1619206241</v>
      </c>
      <c r="L138" s="95" t="n">
        <f aca="false">L98-L132-L114-L121</f>
        <v>-35781.4059458444</v>
      </c>
      <c r="M138" s="95" t="n">
        <f aca="false">M98-M132-M114-M121</f>
        <v>-34693.8893685641</v>
      </c>
      <c r="N138" s="95" t="n">
        <f aca="false">N98-N132-N114-N121</f>
        <v>-33590.5288048298</v>
      </c>
      <c r="O138" s="95" t="n">
        <f aca="false">O98-O132-O114-O121</f>
        <v>-35445.4801628836</v>
      </c>
      <c r="P138" s="95" t="n">
        <f aca="false">P98-P132-P114-P121</f>
        <v>-37566.8827444491</v>
      </c>
      <c r="Q138" s="95" t="n">
        <f aca="false">Q98-Q132-Q114-Q121</f>
        <v>-39974.4545440117</v>
      </c>
      <c r="R138" s="95" t="n">
        <f aca="false">R98-R132-R114-R121</f>
        <v>-42689.1914467433</v>
      </c>
      <c r="S138" s="95" t="n">
        <f aca="false">S98-S132-S114-S121</f>
        <v>47285.2850778704</v>
      </c>
      <c r="T138" s="95" t="n">
        <f aca="false">T98-T132-T114-T121</f>
        <v>43328.3294904184</v>
      </c>
      <c r="U138" s="95" t="n">
        <f aca="false">U98-U132-U114-U121</f>
        <v>38975.9530591926</v>
      </c>
      <c r="V138" s="95" t="n">
        <f aca="false">V98-V132-V114-V121</f>
        <v>34200.7002047307</v>
      </c>
      <c r="W138" s="95" t="n">
        <f aca="false">W98-W132-W114-W121</f>
        <v>28973.3733508906</v>
      </c>
    </row>
    <row r="139" customFormat="false" ht="15" hidden="false" customHeight="false" outlineLevel="0" collapsed="false">
      <c r="A139" s="11" t="s">
        <v>468</v>
      </c>
      <c r="C139" s="95" t="n">
        <v>0</v>
      </c>
      <c r="D139" s="95" t="n">
        <f aca="false">0</f>
        <v>0</v>
      </c>
      <c r="E139" s="95" t="n">
        <f aca="false">D141</f>
        <v>108219.825620326</v>
      </c>
      <c r="F139" s="95" t="n">
        <f aca="false">E141</f>
        <v>191487.541727118</v>
      </c>
      <c r="G139" s="95" t="n">
        <f aca="false">F141</f>
        <v>255014.569119346</v>
      </c>
      <c r="H139" s="95" t="n">
        <f aca="false">G141</f>
        <v>313828.014782449</v>
      </c>
      <c r="I139" s="95" t="n">
        <f aca="false">H141</f>
        <v>365750.010718718</v>
      </c>
      <c r="J139" s="95" t="n">
        <f aca="false">I141</f>
        <v>410237.931136085</v>
      </c>
      <c r="K139" s="95" t="n">
        <f aca="false">J141</f>
        <v>448170.138901581</v>
      </c>
      <c r="L139" s="95" t="n">
        <f aca="false">K141</f>
        <v>485029.300822205</v>
      </c>
      <c r="M139" s="95" t="n">
        <f aca="false">L141</f>
        <v>520810.706768049</v>
      </c>
      <c r="N139" s="95" t="n">
        <f aca="false">M141</f>
        <v>555504.596136613</v>
      </c>
      <c r="O139" s="95" t="n">
        <f aca="false">N141</f>
        <v>589095.124941443</v>
      </c>
      <c r="P139" s="95" t="n">
        <f aca="false">O141</f>
        <v>624540.605104327</v>
      </c>
      <c r="Q139" s="95" t="n">
        <f aca="false">P141</f>
        <v>662107.487848776</v>
      </c>
      <c r="R139" s="95" t="n">
        <f aca="false">Q141</f>
        <v>702081.942392787</v>
      </c>
      <c r="S139" s="95" t="n">
        <f aca="false">R141</f>
        <v>744771.133839531</v>
      </c>
      <c r="T139" s="95" t="n">
        <f aca="false">S141</f>
        <v>697485.84876166</v>
      </c>
      <c r="U139" s="95" t="n">
        <f aca="false">T141</f>
        <v>654157.519271242</v>
      </c>
      <c r="V139" s="95" t="n">
        <f aca="false">U141</f>
        <v>615181.566212049</v>
      </c>
      <c r="W139" s="95" t="n">
        <f aca="false">V141</f>
        <v>580980.866007318</v>
      </c>
    </row>
    <row r="140" customFormat="false" ht="15" hidden="false" customHeight="false" outlineLevel="0" collapsed="false">
      <c r="A140" s="11" t="s">
        <v>469</v>
      </c>
      <c r="C140" s="95" t="n">
        <v>0</v>
      </c>
      <c r="D140" s="95" t="n">
        <f aca="false">MIN(D139,MAX(D138,0))</f>
        <v>0</v>
      </c>
      <c r="E140" s="95" t="n">
        <f aca="false">MIN(E139,MAX(E138,0))</f>
        <v>0</v>
      </c>
      <c r="F140" s="95" t="n">
        <f aca="false">MIN(F139,MAX(F138,0))</f>
        <v>0</v>
      </c>
      <c r="G140" s="95" t="n">
        <f aca="false">MIN(G139,MAX(G138,0))</f>
        <v>0</v>
      </c>
      <c r="H140" s="95" t="n">
        <f aca="false">MIN(H139,MAX(H138,0))</f>
        <v>0</v>
      </c>
      <c r="I140" s="95" t="n">
        <f aca="false">MIN(I139,MAX(I138,0))</f>
        <v>0</v>
      </c>
      <c r="J140" s="95" t="n">
        <f aca="false">MIN(J139,MAX(J138,0))</f>
        <v>0</v>
      </c>
      <c r="K140" s="95" t="n">
        <f aca="false">MIN(K139,MAX(K138,0))</f>
        <v>0</v>
      </c>
      <c r="L140" s="95" t="n">
        <f aca="false">MIN(L139,MAX(L138,0))</f>
        <v>0</v>
      </c>
      <c r="M140" s="95" t="n">
        <f aca="false">MIN(M139,MAX(M138,0))</f>
        <v>0</v>
      </c>
      <c r="N140" s="95" t="n">
        <f aca="false">MIN(N139,MAX(N138,0))</f>
        <v>0</v>
      </c>
      <c r="O140" s="95" t="n">
        <f aca="false">MIN(O139,MAX(O138,0))</f>
        <v>0</v>
      </c>
      <c r="P140" s="95" t="n">
        <f aca="false">MIN(P139,MAX(P138,0))</f>
        <v>0</v>
      </c>
      <c r="Q140" s="95" t="n">
        <f aca="false">MIN(Q139,MAX(Q138,0))</f>
        <v>0</v>
      </c>
      <c r="R140" s="95" t="n">
        <f aca="false">MIN(R139,MAX(R138,0))</f>
        <v>0</v>
      </c>
      <c r="S140" s="95" t="n">
        <f aca="false">MIN(S139,MAX(S138,0))</f>
        <v>47285.2850778704</v>
      </c>
      <c r="T140" s="95" t="n">
        <f aca="false">MIN(T139,MAX(T138,0))</f>
        <v>43328.3294904184</v>
      </c>
      <c r="U140" s="95" t="n">
        <f aca="false">MIN(U139,MAX(U138,0))</f>
        <v>38975.9530591926</v>
      </c>
      <c r="V140" s="95" t="n">
        <f aca="false">MIN(V139,MAX(V138,0))</f>
        <v>34200.7002047307</v>
      </c>
      <c r="W140" s="95" t="n">
        <f aca="false">MIN(W139,MAX(W138,0))</f>
        <v>28973.3733508906</v>
      </c>
    </row>
    <row r="141" customFormat="false" ht="15" hidden="false" customHeight="false" outlineLevel="0" collapsed="false">
      <c r="A141" s="11" t="s">
        <v>470</v>
      </c>
      <c r="C141" s="95" t="n">
        <v>0</v>
      </c>
      <c r="D141" s="95" t="n">
        <f aca="false">D139-D140+MAX(-D138,0)</f>
        <v>108219.825620326</v>
      </c>
      <c r="E141" s="95" t="n">
        <f aca="false">E139-E140+MAX(-E138,0)</f>
        <v>191487.541727118</v>
      </c>
      <c r="F141" s="95" t="n">
        <f aca="false">F139-F140+MAX(-F138,0)</f>
        <v>255014.569119346</v>
      </c>
      <c r="G141" s="95" t="n">
        <f aca="false">G139-G140+MAX(-G138,0)</f>
        <v>313828.014782449</v>
      </c>
      <c r="H141" s="95" t="n">
        <f aca="false">H139-H140+MAX(-H138,0)</f>
        <v>365750.010718718</v>
      </c>
      <c r="I141" s="95" t="n">
        <f aca="false">I139-I140+MAX(-I138,0)</f>
        <v>410237.931136085</v>
      </c>
      <c r="J141" s="95" t="n">
        <f aca="false">J139-J140+MAX(-J138,0)</f>
        <v>448170.138901581</v>
      </c>
      <c r="K141" s="95" t="n">
        <f aca="false">K139-K140+MAX(-K138,0)</f>
        <v>485029.300822205</v>
      </c>
      <c r="L141" s="95" t="n">
        <f aca="false">L139-L140+MAX(-L138,0)</f>
        <v>520810.706768049</v>
      </c>
      <c r="M141" s="95" t="n">
        <f aca="false">M139-M140+MAX(-M138,0)</f>
        <v>555504.596136613</v>
      </c>
      <c r="N141" s="95" t="n">
        <f aca="false">N139-N140+MAX(-N138,0)</f>
        <v>589095.124941443</v>
      </c>
      <c r="O141" s="95" t="n">
        <f aca="false">O139-O140+MAX(-O138,0)</f>
        <v>624540.605104327</v>
      </c>
      <c r="P141" s="95" t="n">
        <f aca="false">P139-P140+MAX(-P138,0)</f>
        <v>662107.487848776</v>
      </c>
      <c r="Q141" s="95" t="n">
        <f aca="false">Q139-Q140+MAX(-Q138,0)</f>
        <v>702081.942392787</v>
      </c>
      <c r="R141" s="95" t="n">
        <f aca="false">R139-R140+MAX(-R138,0)</f>
        <v>744771.133839531</v>
      </c>
      <c r="S141" s="95" t="n">
        <f aca="false">S139-S140+MAX(-S138,0)</f>
        <v>697485.84876166</v>
      </c>
      <c r="T141" s="95" t="n">
        <f aca="false">T139-T140+MAX(-T138,0)</f>
        <v>654157.519271242</v>
      </c>
      <c r="U141" s="95" t="n">
        <f aca="false">U139-U140+MAX(-U138,0)</f>
        <v>615181.566212049</v>
      </c>
      <c r="V141" s="95" t="n">
        <f aca="false">V139-V140+MAX(-V138,0)</f>
        <v>580980.866007318</v>
      </c>
      <c r="W141" s="95" t="n">
        <f aca="false">W139-W140+MAX(-W138,0)</f>
        <v>552007.492656428</v>
      </c>
    </row>
    <row r="142" customFormat="false" ht="15" hidden="false" customHeight="false" outlineLevel="0" collapsed="false">
      <c r="A142" s="11" t="s">
        <v>473</v>
      </c>
      <c r="B142" s="66" t="n">
        <f aca="false">SUM(C142:W142)</f>
        <v>0</v>
      </c>
      <c r="C142" s="95" t="n">
        <v>0</v>
      </c>
      <c r="D142" s="95" t="n">
        <f aca="false">(MAX(D138,0)-D140)*TaxRate</f>
        <v>0</v>
      </c>
      <c r="E142" s="95" t="n">
        <f aca="false">(MAX(E138,0)-E140)*TaxRate</f>
        <v>0</v>
      </c>
      <c r="F142" s="95" t="n">
        <f aca="false">(MAX(F138,0)-F140)*TaxRate</f>
        <v>0</v>
      </c>
      <c r="G142" s="95" t="n">
        <f aca="false">(MAX(G138,0)-G140)*TaxRate</f>
        <v>0</v>
      </c>
      <c r="H142" s="95" t="n">
        <f aca="false">(MAX(H138,0)-H140)*TaxRate</f>
        <v>0</v>
      </c>
      <c r="I142" s="95" t="n">
        <f aca="false">(MAX(I138,0)-I140)*TaxRate</f>
        <v>0</v>
      </c>
      <c r="J142" s="95" t="n">
        <f aca="false">(MAX(J138,0)-J140)*TaxRate</f>
        <v>0</v>
      </c>
      <c r="K142" s="95" t="n">
        <f aca="false">(MAX(K138,0)-K140)*TaxRate</f>
        <v>0</v>
      </c>
      <c r="L142" s="95" t="n">
        <f aca="false">(MAX(L138,0)-L140)*TaxRate</f>
        <v>0</v>
      </c>
      <c r="M142" s="95" t="n">
        <f aca="false">(MAX(M138,0)-M140)*TaxRate</f>
        <v>0</v>
      </c>
      <c r="N142" s="95" t="n">
        <f aca="false">(MAX(N138,0)-N140)*TaxRate</f>
        <v>0</v>
      </c>
      <c r="O142" s="95" t="n">
        <f aca="false">(MAX(O138,0)-O140)*TaxRate</f>
        <v>0</v>
      </c>
      <c r="P142" s="95" t="n">
        <f aca="false">(MAX(P138,0)-P140)*TaxRate</f>
        <v>0</v>
      </c>
      <c r="Q142" s="95" t="n">
        <f aca="false">(MAX(Q138,0)-Q140)*TaxRate</f>
        <v>0</v>
      </c>
      <c r="R142" s="95" t="n">
        <f aca="false">(MAX(R138,0)-R140)*TaxRate</f>
        <v>0</v>
      </c>
      <c r="S142" s="95" t="n">
        <f aca="false">(MAX(S138,0)-S140)*TaxRate</f>
        <v>0</v>
      </c>
      <c r="T142" s="95" t="n">
        <f aca="false">(MAX(T138,0)-T140)*TaxRate</f>
        <v>0</v>
      </c>
      <c r="U142" s="95" t="n">
        <f aca="false">(MAX(U138,0)-U140)*TaxRate</f>
        <v>0</v>
      </c>
      <c r="V142" s="95" t="n">
        <f aca="false">(MAX(V138,0)-V140)*TaxRate</f>
        <v>0</v>
      </c>
      <c r="W142" s="95" t="n">
        <f aca="false">(MAX(W138,0)-W140)*TaxRate</f>
        <v>0</v>
      </c>
    </row>
    <row r="144" customFormat="false" ht="15" hidden="false" customHeight="false" outlineLevel="0" collapsed="false">
      <c r="A144" s="9" t="s">
        <v>474</v>
      </c>
      <c r="B144" s="10"/>
      <c r="C144" s="10"/>
      <c r="D144" s="10"/>
      <c r="E144" s="10"/>
      <c r="F144" s="10"/>
      <c r="G144" s="10"/>
      <c r="H144" s="10"/>
      <c r="I144" s="10"/>
      <c r="J144" s="10"/>
      <c r="K144" s="10"/>
      <c r="L144" s="10"/>
      <c r="M144" s="10"/>
      <c r="N144" s="10"/>
      <c r="O144" s="10"/>
      <c r="P144" s="10"/>
      <c r="Q144" s="10"/>
      <c r="R144" s="10"/>
      <c r="S144" s="10"/>
      <c r="T144" s="10"/>
      <c r="U144" s="10"/>
      <c r="V144" s="10"/>
      <c r="W144" s="10"/>
    </row>
    <row r="145" customFormat="false" ht="15" hidden="false" customHeight="false" outlineLevel="0" collapsed="false">
      <c r="A145" s="16" t="s">
        <v>475</v>
      </c>
      <c r="B145" s="66" t="n">
        <f aca="false">C145+NPV(Hurdle,D145:W145)</f>
        <v>-1126730.53854982</v>
      </c>
      <c r="C145" s="31" t="n">
        <f aca="false">-C102+C98-C103-C137</f>
        <v>-1395280.97631445</v>
      </c>
      <c r="D145" s="31" t="n">
        <f aca="false">-D102+D98-D103-D137</f>
        <v>5476.21151814624</v>
      </c>
      <c r="E145" s="31" t="n">
        <f aca="false">-E102+E98-E103-E137</f>
        <v>30428.3210316801</v>
      </c>
      <c r="F145" s="31" t="n">
        <f aca="false">-F102+F98-F103-F137</f>
        <v>50169.0097462444</v>
      </c>
      <c r="G145" s="31" t="n">
        <f aca="false">-G102+G98-G103-G137</f>
        <v>53491.7402019743</v>
      </c>
      <c r="H145" s="31" t="n">
        <f aca="false">-H102+H98-H103-H137</f>
        <v>58853.2535280738</v>
      </c>
      <c r="I145" s="31" t="n">
        <f aca="false">-I102+I98-I103-I137</f>
        <v>64604.3990061667</v>
      </c>
      <c r="J145" s="31" t="n">
        <f aca="false">-J102+J98-J103-J137</f>
        <v>68892.6520384062</v>
      </c>
      <c r="K145" s="31" t="n">
        <f aca="false">-K102+K98-K103-K137</f>
        <v>-131583.496383729</v>
      </c>
      <c r="L145" s="31" t="n">
        <f aca="false">-L102+L98-L103-L137</f>
        <v>65896.8195702312</v>
      </c>
      <c r="M145" s="31" t="n">
        <f aca="false">-M102+M98-M103-M137</f>
        <v>64065.5253311539</v>
      </c>
      <c r="N145" s="31" t="n">
        <f aca="false">-N102+N98-N103-N137</f>
        <v>61990.0323029477</v>
      </c>
      <c r="O145" s="31" t="n">
        <f aca="false">-O102+O98-O103-O137</f>
        <v>59652.5486750176</v>
      </c>
      <c r="P145" s="31" t="n">
        <f aca="false">-P102+P98-P103-P137</f>
        <v>57034.1378554795</v>
      </c>
      <c r="Q145" s="31" t="n">
        <f aca="false">-Q102+Q98-Q103-Q137</f>
        <v>54114.6475708051</v>
      </c>
      <c r="R145" s="31" t="n">
        <f aca="false">-R102+R98-R103-R137</f>
        <v>50872.6346284083</v>
      </c>
      <c r="S145" s="31" t="n">
        <f aca="false">-S102+S98-S103-S137</f>
        <v>-204908.528462534</v>
      </c>
      <c r="T145" s="31" t="n">
        <f aca="false">-T102+T98-T103-T137</f>
        <v>43328.3294904184</v>
      </c>
      <c r="U145" s="31" t="n">
        <f aca="false">-U102+U98-U103-U137</f>
        <v>38975.9530591926</v>
      </c>
      <c r="V145" s="31" t="n">
        <f aca="false">-V102+V98-V103-V137</f>
        <v>34200.7002047307</v>
      </c>
      <c r="W145" s="31" t="n">
        <f aca="false">-W102+W98-W103-W137</f>
        <v>28973.3733508906</v>
      </c>
    </row>
    <row r="146" customFormat="false" ht="15" hidden="false" customHeight="false" outlineLevel="0" collapsed="false">
      <c r="A146" s="16" t="s">
        <v>476</v>
      </c>
      <c r="B146" s="66" t="n">
        <f aca="false">C146+NPV(Hurdle,D146:W146)</f>
        <v>-308810.177918716</v>
      </c>
      <c r="C146" s="31" t="n">
        <f aca="false">C145+C106+C108</f>
        <v>-795280.976314449</v>
      </c>
      <c r="D146" s="31" t="n">
        <f aca="false">D145+D106+D108</f>
        <v>156676.211518146</v>
      </c>
      <c r="E146" s="31" t="n">
        <f aca="false">E145+E106+E108</f>
        <v>93428.3210316801</v>
      </c>
      <c r="F146" s="31" t="n">
        <f aca="false">F145+F106+F108</f>
        <v>87969.0097462444</v>
      </c>
      <c r="G146" s="31" t="n">
        <f aca="false">G145+G106+G108</f>
        <v>53491.7402019743</v>
      </c>
      <c r="H146" s="31" t="n">
        <f aca="false">H145+H106+H108</f>
        <v>58853.2535280738</v>
      </c>
      <c r="I146" s="31" t="n">
        <f aca="false">I145+I106+I108</f>
        <v>64604.3990061667</v>
      </c>
      <c r="J146" s="31" t="n">
        <f aca="false">J145+J106+J108</f>
        <v>68892.6520384062</v>
      </c>
      <c r="K146" s="31" t="n">
        <f aca="false">K145+K106+K108</f>
        <v>-131583.496383729</v>
      </c>
      <c r="L146" s="31" t="n">
        <f aca="false">L145+L106+L108</f>
        <v>65896.8195702312</v>
      </c>
      <c r="M146" s="31" t="n">
        <f aca="false">M145+M106+M108</f>
        <v>64065.5253311539</v>
      </c>
      <c r="N146" s="31" t="n">
        <f aca="false">N145+N106+N108</f>
        <v>61990.0323029477</v>
      </c>
      <c r="O146" s="31" t="n">
        <f aca="false">O145+O106+O108</f>
        <v>59652.5486750176</v>
      </c>
      <c r="P146" s="31" t="n">
        <f aca="false">P145+P106+P108</f>
        <v>57034.1378554795</v>
      </c>
      <c r="Q146" s="31" t="n">
        <f aca="false">Q145+Q106+Q108</f>
        <v>54114.6475708051</v>
      </c>
      <c r="R146" s="31" t="n">
        <f aca="false">R145+R106+R108</f>
        <v>50872.6346284083</v>
      </c>
      <c r="S146" s="31" t="n">
        <f aca="false">S145+S106+S108</f>
        <v>-204908.528462534</v>
      </c>
      <c r="T146" s="31" t="n">
        <f aca="false">T145+T106+T108</f>
        <v>43328.3294904184</v>
      </c>
      <c r="U146" s="31" t="n">
        <f aca="false">U145+U106+U108</f>
        <v>38975.9530591926</v>
      </c>
      <c r="V146" s="31" t="n">
        <f aca="false">V145+V106+V108</f>
        <v>34200.7002047307</v>
      </c>
      <c r="W146" s="31" t="n">
        <f aca="false">W145+W106+W108</f>
        <v>28973.3733508906</v>
      </c>
    </row>
    <row r="147" customFormat="false" ht="15" hidden="false" customHeight="false" outlineLevel="0" collapsed="false">
      <c r="A147" s="11" t="s">
        <v>243</v>
      </c>
      <c r="B147" s="66" t="n">
        <f aca="false">SUM(C147:W147)</f>
        <v>806528.264263705</v>
      </c>
      <c r="C147" s="95" t="n">
        <v>0</v>
      </c>
      <c r="D147" s="95" t="n">
        <f aca="false">D98-D105-D142+D108</f>
        <v>131790.695862441</v>
      </c>
      <c r="E147" s="95" t="n">
        <f aca="false">E98-E105-E142+E108</f>
        <v>68542.8053759749</v>
      </c>
      <c r="F147" s="95" t="n">
        <f aca="false">F98-F105-F142+F108</f>
        <v>63083.4940905392</v>
      </c>
      <c r="G147" s="95" t="n">
        <f aca="false">G98-G105-G142+G108</f>
        <v>28606.2245462691</v>
      </c>
      <c r="H147" s="95" t="n">
        <f aca="false">H98-H105-H142+H108</f>
        <v>33967.7378723686</v>
      </c>
      <c r="I147" s="95" t="n">
        <f aca="false">I98-I105-I142+I108</f>
        <v>39718.8833504615</v>
      </c>
      <c r="J147" s="95" t="n">
        <f aca="false">J98-J105-J142+J108</f>
        <v>44007.136382701</v>
      </c>
      <c r="K147" s="95" t="n">
        <f aca="false">K98-K105-K142+K108</f>
        <v>42615.1132062079</v>
      </c>
      <c r="L147" s="95" t="n">
        <f aca="false">L98-L105-L142+L108</f>
        <v>34372.5928776807</v>
      </c>
      <c r="M147" s="95" t="n">
        <f aca="false">M98-M105-M142+M108</f>
        <v>32541.2986386034</v>
      </c>
      <c r="N147" s="95" t="n">
        <f aca="false">N98-N105-N142+N108</f>
        <v>30465.8056103972</v>
      </c>
      <c r="O147" s="95" t="n">
        <f aca="false">O98-O105-O142+O108</f>
        <v>28128.3219824671</v>
      </c>
      <c r="P147" s="95" t="n">
        <f aca="false">P98-P105-P142+P108</f>
        <v>25509.911162929</v>
      </c>
      <c r="Q147" s="95" t="n">
        <f aca="false">Q98-Q105-Q142+Q108</f>
        <v>22590.4208782546</v>
      </c>
      <c r="R147" s="95" t="n">
        <f aca="false">R98-R105-R142+R108</f>
        <v>19348.4079358578</v>
      </c>
      <c r="S147" s="95" t="n">
        <f aca="false">S98-S105-S142+S108</f>
        <v>15761.0583853199</v>
      </c>
      <c r="T147" s="95" t="n">
        <f aca="false">T98-T105-T142+T108</f>
        <v>43328.3294904184</v>
      </c>
      <c r="U147" s="95" t="n">
        <f aca="false">U98-U105-U142+U108</f>
        <v>38975.9530591926</v>
      </c>
      <c r="V147" s="95" t="n">
        <f aca="false">V98-V105-V142+V108</f>
        <v>34200.7002047307</v>
      </c>
      <c r="W147" s="95" t="n">
        <f aca="false">W98-W105-W142+W108</f>
        <v>28973.3733508906</v>
      </c>
    </row>
    <row r="148" customFormat="false" ht="15" hidden="false" customHeight="false" outlineLevel="0" collapsed="false">
      <c r="A148" s="11" t="s">
        <v>477</v>
      </c>
      <c r="C148" s="97" t="n">
        <v>0</v>
      </c>
      <c r="D148" s="97" t="n">
        <f aca="false">IF(D125&gt;0,D147/D125,"")</f>
        <v>6.37368812878782</v>
      </c>
      <c r="E148" s="97" t="n">
        <f aca="false">IF(E125&gt;0,E147/E125,"")</f>
        <v>3.31488093358773</v>
      </c>
      <c r="F148" s="97" t="n">
        <f aca="false">IF(F125&gt;0,F147/F125,"")</f>
        <v>1.82396998316129</v>
      </c>
      <c r="G148" s="97" t="n">
        <f aca="false">IF(G125&gt;0,G147/G125,"")</f>
        <v>0.827108511603383</v>
      </c>
      <c r="H148" s="97" t="n">
        <f aca="false">IF(H125&gt;0,H147/H125,"")</f>
        <v>0.982129084133644</v>
      </c>
      <c r="I148" s="97" t="n">
        <f aca="false">IF(I125&gt;0,I147/I125,"")</f>
        <v>0.819615757181085</v>
      </c>
      <c r="J148" s="97" t="n">
        <f aca="false">IF(J125&gt;0,J147/J125,"")</f>
        <v>0.908105650640343</v>
      </c>
      <c r="K148" s="97" t="n">
        <f aca="false">IF(K125&gt;0,K147/K125,"")</f>
        <v>0.879380670641585</v>
      </c>
      <c r="L148" s="97" t="n">
        <f aca="false">IF(L125&gt;0,L147/L125,"")</f>
        <v>0.709292818963152</v>
      </c>
      <c r="M148" s="97" t="n">
        <f aca="false">IF(M125&gt;0,M147/M125,"")</f>
        <v>0.671503297008596</v>
      </c>
      <c r="N148" s="97" t="n">
        <f aca="false">IF(N125&gt;0,N147/N125,"")</f>
        <v>1.63388481041521</v>
      </c>
      <c r="O148" s="97" t="n">
        <f aca="false">IF(O125&gt;0,O147/O125,"")</f>
        <v>1.50852528297945</v>
      </c>
      <c r="P148" s="97" t="n">
        <f aca="false">IF(P125&gt;0,P147/P125,"")</f>
        <v>1.36809959654987</v>
      </c>
      <c r="Q148" s="97" t="n">
        <f aca="false">IF(Q125&gt;0,Q147/Q125,"")</f>
        <v>1.21152698227912</v>
      </c>
      <c r="R148" s="97" t="n">
        <f aca="false">IF(R125&gt;0,R147/R125,"")</f>
        <v>1.03765743917589</v>
      </c>
      <c r="S148" s="97" t="str">
        <f aca="false">IF(S125&gt;0,S147/S125,"")</f>
        <v/>
      </c>
      <c r="T148" s="97" t="str">
        <f aca="false">IF(T125&gt;0,T147/T125,"")</f>
        <v/>
      </c>
      <c r="U148" s="97" t="str">
        <f aca="false">IF(U125&gt;0,U147/U125,"")</f>
        <v/>
      </c>
      <c r="V148" s="97" t="str">
        <f aca="false">IF(V125&gt;0,V147/V125,"")</f>
        <v/>
      </c>
      <c r="W148" s="97" t="str">
        <f aca="false">IF(W125&gt;0,W147/W125,"")</f>
        <v/>
      </c>
    </row>
    <row r="149" customFormat="false" ht="15" hidden="false" customHeight="false" outlineLevel="0" collapsed="false">
      <c r="A149" s="16" t="s">
        <v>478</v>
      </c>
      <c r="B149" s="66" t="n">
        <f aca="false">C149+NPV(Hurdle,D149:W149)</f>
        <v>-314857.95482686</v>
      </c>
      <c r="C149" s="31" t="n">
        <f aca="false">-S_Capex_Hi!$B$18-C129</f>
        <v>-487507.238480757</v>
      </c>
      <c r="D149" s="31" t="n">
        <f aca="false">D147-D125-D129</f>
        <v>111113.390478265</v>
      </c>
      <c r="E149" s="31" t="n">
        <f aca="false">E147-E125-E129</f>
        <v>40911.2436248237</v>
      </c>
      <c r="F149" s="31" t="n">
        <f aca="false">F147-F125-F129</f>
        <v>28497.6759724124</v>
      </c>
      <c r="G149" s="31" t="n">
        <f aca="false">G147-G125-G129</f>
        <v>-5979.59357185763</v>
      </c>
      <c r="H149" s="31" t="n">
        <f aca="false">H147-H125-H129</f>
        <v>-7555.35649149366</v>
      </c>
      <c r="I149" s="31" t="n">
        <f aca="false">I147-I125-I129</f>
        <v>-8741.48725913631</v>
      </c>
      <c r="J149" s="31" t="n">
        <f aca="false">J147-J125-J129</f>
        <v>-4453.23422689684</v>
      </c>
      <c r="K149" s="31" t="n">
        <f aca="false">K147-K125-K129</f>
        <v>-5845.25740338995</v>
      </c>
      <c r="L149" s="31" t="n">
        <f aca="false">L147-L125-L129</f>
        <v>-14087.7777319171</v>
      </c>
      <c r="M149" s="31" t="n">
        <f aca="false">M147-M125-M129</f>
        <v>-1012.00584087436</v>
      </c>
      <c r="N149" s="31" t="n">
        <f aca="false">N147-N125-N129</f>
        <v>11819.5672610394</v>
      </c>
      <c r="O149" s="31" t="n">
        <f aca="false">O147-O125-O129</f>
        <v>9482.08363310934</v>
      </c>
      <c r="P149" s="31" t="n">
        <f aca="false">P147-P125-P129</f>
        <v>6863.67281357123</v>
      </c>
      <c r="Q149" s="31" t="n">
        <f aca="false">Q147-Q125-Q129</f>
        <v>3944.18252889689</v>
      </c>
      <c r="R149" s="31" t="n">
        <f aca="false">R147-R125-R129</f>
        <v>10025.288761179</v>
      </c>
      <c r="S149" s="31" t="n">
        <f aca="false">S147-S125-S129</f>
        <v>15761.0583853199</v>
      </c>
      <c r="T149" s="31" t="n">
        <f aca="false">T147-T125-T129</f>
        <v>43328.3294904184</v>
      </c>
      <c r="U149" s="31" t="n">
        <f aca="false">U147-U125-U129</f>
        <v>38975.9530591926</v>
      </c>
      <c r="V149" s="31" t="n">
        <f aca="false">V147-V125-V129</f>
        <v>34200.7002047307</v>
      </c>
      <c r="W149" s="31" t="n">
        <f aca="false">W147-W125-W129</f>
        <v>28973.3733508906</v>
      </c>
    </row>
    <row r="150" customFormat="false" ht="15" hidden="false" customHeight="false" outlineLevel="0" collapsed="false">
      <c r="A150" s="11" t="s">
        <v>479</v>
      </c>
      <c r="C150" s="95" t="n">
        <f aca="false">C149</f>
        <v>-487507.238480757</v>
      </c>
      <c r="D150" s="95" t="n">
        <f aca="false">C150+D149</f>
        <v>-376393.848002492</v>
      </c>
      <c r="E150" s="95" t="n">
        <f aca="false">D150+E149</f>
        <v>-335482.604377668</v>
      </c>
      <c r="F150" s="95" t="n">
        <f aca="false">E150+F149</f>
        <v>-306984.928405256</v>
      </c>
      <c r="G150" s="95" t="n">
        <f aca="false">F150+G149</f>
        <v>-312964.521977113</v>
      </c>
      <c r="H150" s="95" t="n">
        <f aca="false">G150+H149</f>
        <v>-320519.878468607</v>
      </c>
      <c r="I150" s="95" t="n">
        <f aca="false">H150+I149</f>
        <v>-329261.365727743</v>
      </c>
      <c r="J150" s="95" t="n">
        <f aca="false">I150+J149</f>
        <v>-333714.59995464</v>
      </c>
      <c r="K150" s="95" t="n">
        <f aca="false">J150+K149</f>
        <v>-339559.85735803</v>
      </c>
      <c r="L150" s="95" t="n">
        <f aca="false">K150+L149</f>
        <v>-353647.635089947</v>
      </c>
      <c r="M150" s="95" t="n">
        <f aca="false">L150+M149</f>
        <v>-354659.640930822</v>
      </c>
      <c r="N150" s="95" t="n">
        <f aca="false">M150+N149</f>
        <v>-342840.073669782</v>
      </c>
      <c r="O150" s="95" t="n">
        <f aca="false">N150+O149</f>
        <v>-333357.990036673</v>
      </c>
      <c r="P150" s="95" t="n">
        <f aca="false">O150+P149</f>
        <v>-326494.317223102</v>
      </c>
      <c r="Q150" s="95" t="n">
        <f aca="false">P150+Q149</f>
        <v>-322550.134694205</v>
      </c>
      <c r="R150" s="95" t="n">
        <f aca="false">Q150+R149</f>
        <v>-312524.845933026</v>
      </c>
      <c r="S150" s="95" t="n">
        <f aca="false">R150+S149</f>
        <v>-296763.787547706</v>
      </c>
      <c r="T150" s="95" t="n">
        <f aca="false">S150+T149</f>
        <v>-253435.458057287</v>
      </c>
      <c r="U150" s="95" t="n">
        <f aca="false">T150+U149</f>
        <v>-214459.504998095</v>
      </c>
      <c r="V150" s="95" t="n">
        <f aca="false">U150+V149</f>
        <v>-180258.804793364</v>
      </c>
      <c r="W150" s="95" t="n">
        <f aca="false">V150+W149</f>
        <v>-151285.431442473</v>
      </c>
    </row>
    <row r="152" customFormat="false" ht="15" hidden="false" customHeight="false" outlineLevel="0" collapsed="false">
      <c r="A152" s="9" t="s">
        <v>480</v>
      </c>
      <c r="B152" s="10"/>
      <c r="C152" s="10"/>
      <c r="D152" s="10"/>
      <c r="E152" s="10"/>
      <c r="F152" s="10"/>
      <c r="G152" s="10"/>
      <c r="H152" s="10"/>
      <c r="I152" s="10"/>
      <c r="J152" s="10"/>
      <c r="K152" s="10"/>
      <c r="L152" s="10"/>
      <c r="M152" s="10"/>
      <c r="N152" s="10"/>
      <c r="O152" s="10"/>
      <c r="P152" s="10"/>
      <c r="Q152" s="10"/>
      <c r="R152" s="10"/>
      <c r="S152" s="10"/>
      <c r="T152" s="10"/>
      <c r="U152" s="10"/>
      <c r="V152" s="10"/>
      <c r="W152" s="10"/>
    </row>
    <row r="153" customFormat="false" ht="15" hidden="false" customHeight="false" outlineLevel="0" collapsed="false">
      <c r="A153" s="11" t="s">
        <v>481</v>
      </c>
      <c r="B153" s="66" t="n">
        <f aca="false">C153+NPV(Hurdle,D153:W153)</f>
        <v>2645394.20486137</v>
      </c>
      <c r="C153" s="95" t="n">
        <f aca="false">C102+C96-C93+C103</f>
        <v>1395280.97631445</v>
      </c>
      <c r="D153" s="95" t="n">
        <f aca="false">D102+D96-D93+D103</f>
        <v>72625.6541279338</v>
      </c>
      <c r="E153" s="95" t="n">
        <f aca="false">E102+E96-E93+E103</f>
        <v>79683.7885172154</v>
      </c>
      <c r="F153" s="95" t="n">
        <f aca="false">F102+F96-F93+F103</f>
        <v>85456.4192483713</v>
      </c>
      <c r="G153" s="95" t="n">
        <f aca="false">G102+G96-G93+G103</f>
        <v>88618.1264934134</v>
      </c>
      <c r="H153" s="95" t="n">
        <f aca="false">H102+H96-H93+H103</f>
        <v>91911.1040490631</v>
      </c>
      <c r="I153" s="95" t="n">
        <f aca="false">I102+I96-I93+I103</f>
        <v>95341.5079474178</v>
      </c>
      <c r="J153" s="95" t="n">
        <f aca="false">J102+J96-J93+J103</f>
        <v>100793.960648652</v>
      </c>
      <c r="K153" s="95" t="n">
        <f aca="false">K102+K96-K93+K103</f>
        <v>311604.023783428</v>
      </c>
      <c r="L153" s="95" t="n">
        <f aca="false">L102+L96-L93+L103</f>
        <v>125086.95794811</v>
      </c>
      <c r="M153" s="95" t="n">
        <f aca="false">M102+M96-M93+M103</f>
        <v>138549.164238055</v>
      </c>
      <c r="N153" s="95" t="n">
        <f aca="false">N102+N96-N93+N103</f>
        <v>152963.891861025</v>
      </c>
      <c r="O153" s="95" t="n">
        <f aca="false">O102+O96-O93+O103</f>
        <v>168392.069470542</v>
      </c>
      <c r="P153" s="95" t="n">
        <f aca="false">P102+P96-P93+P103</f>
        <v>184898.397535144</v>
      </c>
      <c r="Q153" s="95" t="n">
        <f aca="false">Q102+Q96-Q93+Q103</f>
        <v>202551.579225108</v>
      </c>
      <c r="R153" s="95" t="n">
        <f aca="false">R102+R96-R93+R103</f>
        <v>221424.565379376</v>
      </c>
      <c r="S153" s="95" t="n">
        <f aca="false">S102+S96-S93+S103</f>
        <v>493788.627950791</v>
      </c>
      <c r="T153" s="95" t="n">
        <f aca="false">T102+T96-T93+T103</f>
        <v>263144.568056674</v>
      </c>
      <c r="U153" s="95" t="n">
        <f aca="false">U102+U96-U93+U103</f>
        <v>286161.143948518</v>
      </c>
      <c r="V153" s="95" t="n">
        <f aca="false">V102+V96-V93+V103</f>
        <v>310737.24601075</v>
      </c>
      <c r="W153" s="95" t="n">
        <f aca="false">W102+W96-W93+W103</f>
        <v>336971.293789113</v>
      </c>
    </row>
    <row r="154" customFormat="false" ht="15" hidden="false" customHeight="false" outlineLevel="0" collapsed="false">
      <c r="A154" s="11" t="s">
        <v>482</v>
      </c>
      <c r="B154" s="76" t="n">
        <f aca="false">C154+NPV(Hurdle,D154:W154)</f>
        <v>3504620.16232003</v>
      </c>
      <c r="C154" s="93" t="n">
        <f aca="false">C66</f>
        <v>0</v>
      </c>
      <c r="D154" s="93" t="n">
        <f aca="false">D66</f>
        <v>211139.712</v>
      </c>
      <c r="E154" s="93" t="n">
        <f aca="false">E66</f>
        <v>308088.02976</v>
      </c>
      <c r="F154" s="93" t="n">
        <f aca="false">F66</f>
        <v>373330.200768</v>
      </c>
      <c r="G154" s="93" t="n">
        <f aca="false">G66</f>
        <v>384530.10679104</v>
      </c>
      <c r="H154" s="93" t="n">
        <f aca="false">H66</f>
        <v>396066.009994771</v>
      </c>
      <c r="I154" s="93" t="n">
        <f aca="false">I66</f>
        <v>407947.990294614</v>
      </c>
      <c r="J154" s="93" t="n">
        <f aca="false">J66</f>
        <v>420186.430003453</v>
      </c>
      <c r="K154" s="93" t="n">
        <f aca="false">K66</f>
        <v>432792.022903556</v>
      </c>
      <c r="L154" s="93" t="n">
        <f aca="false">L66</f>
        <v>445775.783590663</v>
      </c>
      <c r="M154" s="93" t="n">
        <f aca="false">M66</f>
        <v>459149.057098383</v>
      </c>
      <c r="N154" s="93" t="n">
        <f aca="false">N66</f>
        <v>472923.528811335</v>
      </c>
      <c r="O154" s="93" t="n">
        <f aca="false">O66</f>
        <v>487111.234675675</v>
      </c>
      <c r="P154" s="93" t="n">
        <f aca="false">P66</f>
        <v>501724.571715945</v>
      </c>
      <c r="Q154" s="93" t="n">
        <f aca="false">Q66</f>
        <v>516776.308867423</v>
      </c>
      <c r="R154" s="93" t="n">
        <f aca="false">R66</f>
        <v>532279.598133446</v>
      </c>
      <c r="S154" s="93" t="n">
        <f aca="false">S66</f>
        <v>548247.986077449</v>
      </c>
      <c r="T154" s="93" t="n">
        <f aca="false">T66</f>
        <v>564695.425659773</v>
      </c>
      <c r="U154" s="93" t="n">
        <f aca="false">U66</f>
        <v>581636.288429566</v>
      </c>
      <c r="V154" s="93" t="n">
        <f aca="false">V66</f>
        <v>599085.377082453</v>
      </c>
      <c r="W154" s="93" t="n">
        <f aca="false">W66</f>
        <v>617057.938394927</v>
      </c>
    </row>
    <row r="155" customFormat="false" ht="15" hidden="false" customHeight="false" outlineLevel="0" collapsed="false">
      <c r="A155" s="11" t="s">
        <v>483</v>
      </c>
      <c r="B155" s="66" t="n">
        <f aca="false">C155+NPV(Hurdle,D155:W155)</f>
        <v>1555687.86731988</v>
      </c>
      <c r="C155" s="95" t="n">
        <f aca="false">C83</f>
        <v>0</v>
      </c>
      <c r="D155" s="95" t="n">
        <f aca="false">D83</f>
        <v>73617.387264</v>
      </c>
      <c r="E155" s="95" t="n">
        <f aca="false">E83</f>
        <v>110642.638710202</v>
      </c>
      <c r="F155" s="95" t="n">
        <f aca="false">F83</f>
        <v>138095.029891356</v>
      </c>
      <c r="G155" s="95" t="n">
        <f aca="false">G83</f>
        <v>146505.01721174</v>
      </c>
      <c r="H155" s="95" t="n">
        <f aca="false">H83</f>
        <v>155427.172759935</v>
      </c>
      <c r="I155" s="95" t="n">
        <f aca="false">I83</f>
        <v>164892.687581015</v>
      </c>
      <c r="J155" s="95" t="n">
        <f aca="false">J83</f>
        <v>174934.652254699</v>
      </c>
      <c r="K155" s="95" t="n">
        <f aca="false">K83</f>
        <v>185588.17257701</v>
      </c>
      <c r="L155" s="95" t="n">
        <f aca="false">L83</f>
        <v>196890.49228695</v>
      </c>
      <c r="M155" s="95" t="n">
        <f aca="false">M83</f>
        <v>208881.123267225</v>
      </c>
      <c r="N155" s="95" t="n">
        <f aca="false">N83</f>
        <v>221601.983674199</v>
      </c>
      <c r="O155" s="95" t="n">
        <f aca="false">O83</f>
        <v>235097.544479958</v>
      </c>
      <c r="P155" s="95" t="n">
        <f aca="false">P83</f>
        <v>249414.984938787</v>
      </c>
      <c r="Q155" s="95" t="n">
        <f aca="false">Q83</f>
        <v>264604.357521559</v>
      </c>
      <c r="R155" s="95" t="n">
        <f aca="false">R83</f>
        <v>280718.762894623</v>
      </c>
      <c r="S155" s="95" t="n">
        <f aca="false">S83</f>
        <v>297814.535554905</v>
      </c>
      <c r="T155" s="95" t="n">
        <f aca="false">T83</f>
        <v>315951.440770199</v>
      </c>
      <c r="U155" s="95" t="n">
        <f aca="false">U83</f>
        <v>335192.883513104</v>
      </c>
      <c r="V155" s="95" t="n">
        <f aca="false">V83</f>
        <v>355606.130119052</v>
      </c>
      <c r="W155" s="95"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7" t="s">
        <v>392</v>
      </c>
    </row>
    <row r="2" customFormat="false" ht="15" hidden="false" customHeight="false" outlineLevel="0" collapsed="false">
      <c r="A2" s="8" t="s">
        <v>393</v>
      </c>
    </row>
    <row r="4" customFormat="false" ht="15" hidden="false" customHeight="false" outlineLevel="0" collapsed="false">
      <c r="A4" s="9" t="s">
        <v>394</v>
      </c>
      <c r="B4" s="10"/>
    </row>
    <row r="5" customFormat="false" ht="15" hidden="false" customHeight="false" outlineLevel="0" collapsed="false">
      <c r="A5" s="11" t="s">
        <v>67</v>
      </c>
      <c r="B5" s="67" t="n">
        <v>1</v>
      </c>
    </row>
    <row r="6" customFormat="false" ht="15" hidden="false" customHeight="false" outlineLevel="0" collapsed="false">
      <c r="A6" s="11" t="s">
        <v>333</v>
      </c>
      <c r="B6" s="67" t="n">
        <v>1</v>
      </c>
    </row>
    <row r="7" customFormat="false" ht="15" hidden="false" customHeight="false" outlineLevel="0" collapsed="false">
      <c r="A7" s="11" t="s">
        <v>69</v>
      </c>
      <c r="B7" s="67" t="n">
        <v>1</v>
      </c>
    </row>
    <row r="8" customFormat="false" ht="15" hidden="false" customHeight="false" outlineLevel="0" collapsed="false">
      <c r="A8" s="11" t="s">
        <v>70</v>
      </c>
      <c r="B8" s="67" t="n">
        <f aca="false">1-SensDelta</f>
        <v>0.8</v>
      </c>
    </row>
    <row r="9" customFormat="false" ht="15" hidden="false" customHeight="false" outlineLevel="0" collapsed="false">
      <c r="A9" s="11" t="s">
        <v>395</v>
      </c>
      <c r="B9" s="67" t="n">
        <v>1</v>
      </c>
    </row>
    <row r="10" customFormat="false" ht="15" hidden="false" customHeight="false" outlineLevel="0" collapsed="false">
      <c r="A10" s="11" t="s">
        <v>72</v>
      </c>
      <c r="B10" s="67" t="n">
        <v>1</v>
      </c>
    </row>
    <row r="11" customFormat="false" ht="15" hidden="false" customHeight="false" outlineLevel="0" collapsed="false">
      <c r="A11" s="11" t="s">
        <v>334</v>
      </c>
      <c r="B11" s="67" t="n">
        <v>1</v>
      </c>
    </row>
    <row r="13" customFormat="false" ht="15" hidden="false" customHeight="false" outlineLevel="0" collapsed="false">
      <c r="A13" s="9" t="s">
        <v>396</v>
      </c>
      <c r="B13" s="10"/>
    </row>
    <row r="14" customFormat="false" ht="15" hidden="false" customHeight="false" outlineLevel="0" collapsed="false">
      <c r="A14" s="11" t="s">
        <v>397</v>
      </c>
      <c r="B14" s="66" t="n">
        <f aca="false">TotalCapexBase*LevCapex*$B$7</f>
        <v>1162734.14692871</v>
      </c>
    </row>
    <row r="15" customFormat="false" ht="15" hidden="false" customHeight="false" outlineLevel="0" collapsed="false">
      <c r="A15" s="11" t="s">
        <v>398</v>
      </c>
      <c r="B15" s="66" t="n">
        <f aca="false">HardCapexBase*LevCapex*$B$7</f>
        <v>1011073.17124235</v>
      </c>
    </row>
    <row r="16" customFormat="false" ht="15" hidden="false" customHeight="false" outlineLevel="0" collapsed="false">
      <c r="A16" s="11" t="s">
        <v>252</v>
      </c>
      <c r="B16" s="66" t="n">
        <f aca="false">MAX(0,S_Opex_Lo!$B$14-Grant)*SenPct</f>
        <v>112546.829385741</v>
      </c>
    </row>
    <row r="17" customFormat="false" ht="15" hidden="false" customHeight="false" outlineLevel="0" collapsed="false">
      <c r="A17" s="11" t="s">
        <v>254</v>
      </c>
      <c r="B17" s="66" t="n">
        <f aca="false">MAX(0,S_Opex_Lo!$B$14-Grant)*ConPct</f>
        <v>112546.829385741</v>
      </c>
    </row>
    <row r="18" customFormat="false" ht="15" hidden="false" customHeight="false" outlineLevel="0" collapsed="false">
      <c r="A18" s="11" t="s">
        <v>399</v>
      </c>
      <c r="B18" s="66" t="n">
        <f aca="false">MAX(0,S_Opex_Lo!$B$14-Grant-S_Opex_Lo!$B$16-S_Opex_Lo!$B$17)</f>
        <v>337640.488157224</v>
      </c>
    </row>
    <row r="19" customFormat="false" ht="15" hidden="false" customHeight="false" outlineLevel="0" collapsed="false">
      <c r="A19" s="11" t="s">
        <v>400</v>
      </c>
      <c r="B19" s="66" t="n">
        <f aca="false">C128</f>
        <v>7315.5439100732</v>
      </c>
    </row>
    <row r="20" customFormat="false" ht="15" hidden="false" customHeight="false" outlineLevel="0" collapsed="false">
      <c r="A20" s="11" t="s">
        <v>401</v>
      </c>
      <c r="B20" s="66" t="n">
        <f aca="false">$B$145</f>
        <v>-696263.880402729</v>
      </c>
    </row>
    <row r="21" customFormat="false" ht="15" hidden="false" customHeight="false" outlineLevel="0" collapsed="false">
      <c r="A21" s="11" t="s">
        <v>402</v>
      </c>
      <c r="B21" s="66" t="n">
        <f aca="false">$B$146</f>
        <v>121656.480228376</v>
      </c>
    </row>
    <row r="22" customFormat="false" ht="15" hidden="false" customHeight="false" outlineLevel="0" collapsed="false">
      <c r="A22" s="11" t="s">
        <v>403</v>
      </c>
      <c r="B22" s="68" t="n">
        <f aca="false">IFERROR(IRR($C$145:$W$145),"n/a")</f>
        <v>-0.0115360663810726</v>
      </c>
    </row>
    <row r="23" customFormat="false" ht="15" hidden="false" customHeight="false" outlineLevel="0" collapsed="false">
      <c r="A23" s="11" t="s">
        <v>404</v>
      </c>
      <c r="B23" s="68" t="n">
        <f aca="false">IFERROR(IRR($C$146:$W$146),"n/a")</f>
        <v>0.143612813035209</v>
      </c>
    </row>
    <row r="24" customFormat="false" ht="15" hidden="false" customHeight="false" outlineLevel="0" collapsed="false">
      <c r="A24" s="11" t="s">
        <v>390</v>
      </c>
      <c r="B24" s="66" t="n">
        <f aca="false">MAX(0,-$B$145)</f>
        <v>696263.880402729</v>
      </c>
    </row>
    <row r="25" customFormat="false" ht="15" hidden="false" customHeight="false" outlineLevel="0" collapsed="false">
      <c r="A25" s="11" t="s">
        <v>262</v>
      </c>
      <c r="B25" s="68" t="n">
        <f aca="false">IFERROR(IRR($C$149:$W$149),"n/a")</f>
        <v>0.159909459021983</v>
      </c>
    </row>
    <row r="26" customFormat="false" ht="15" hidden="false" customHeight="false" outlineLevel="0" collapsed="false">
      <c r="A26" s="11" t="s">
        <v>264</v>
      </c>
      <c r="B26" s="66" t="n">
        <f aca="false">C149+NPV(TargetEqIRR,D149:W149)</f>
        <v>14622.4494633942</v>
      </c>
    </row>
    <row r="27" customFormat="false" ht="15" hidden="false" customHeight="false" outlineLevel="0" collapsed="false">
      <c r="A27" s="11" t="s">
        <v>258</v>
      </c>
      <c r="B27" s="67" t="n">
        <f aca="false">IF((S_Opex_Lo!$B$16+S_Opex_Lo!$B$17)&gt;0,MIN($D$148:$W$148),"no debt")</f>
        <v>1.7889821073242</v>
      </c>
    </row>
    <row r="28" customFormat="false" ht="15" hidden="false" customHeight="false" outlineLevel="0" collapsed="false">
      <c r="A28" s="11" t="s">
        <v>260</v>
      </c>
      <c r="B28" s="67" t="n">
        <f aca="false">IF((S_Opex_Lo!$B$16+S_Opex_Lo!$B$17)&gt;0,AVERAGE($D$148:$W$148),"no debt")</f>
        <v>3.71441571700388</v>
      </c>
    </row>
    <row r="29" customFormat="false" ht="15" hidden="false" customHeight="false" outlineLevel="0" collapsed="false">
      <c r="A29" s="11" t="s">
        <v>405</v>
      </c>
      <c r="B29" s="87" t="n">
        <f aca="false">IFERROR($B$153/$B$154,0)</f>
        <v>0.627659615692857</v>
      </c>
    </row>
    <row r="30" customFormat="false" ht="15" hidden="false" customHeight="false" outlineLevel="0" collapsed="false">
      <c r="A30" s="11" t="s">
        <v>261</v>
      </c>
      <c r="B30" s="87" t="n">
        <f aca="false">IFERROR($B$155/$B$154,0)</f>
        <v>0.44389628412399</v>
      </c>
    </row>
    <row r="31" customFormat="false" ht="15" hidden="false" customHeight="false" outlineLevel="0" collapsed="false">
      <c r="A31" s="11" t="s">
        <v>406</v>
      </c>
      <c r="B31" s="77" t="n">
        <f aca="false">NPV(Hurdle,D109:W109)</f>
        <v>838.820435762584</v>
      </c>
    </row>
    <row r="32" customFormat="false" ht="15" hidden="false" customHeight="false" outlineLevel="0" collapsed="false">
      <c r="A32" s="11" t="s">
        <v>407</v>
      </c>
      <c r="B32" s="66" t="n">
        <f aca="false">NPV(Hurdle,D108:W108)</f>
        <v>217920.360631104</v>
      </c>
    </row>
    <row r="33" customFormat="false" ht="15" hidden="false" customHeight="false" outlineLevel="0" collapsed="false">
      <c r="A33" s="11" t="s">
        <v>408</v>
      </c>
      <c r="B33" s="77" t="n">
        <f aca="false">NPV(TargetEqIRR,D109:W109)</f>
        <v>785.120407660064</v>
      </c>
    </row>
    <row r="34" customFormat="false" ht="15" hidden="false" customHeight="false" outlineLevel="0" collapsed="false">
      <c r="A34" s="11" t="s">
        <v>409</v>
      </c>
      <c r="B34" s="66" t="n">
        <f aca="false">NPV(TargetEqIRR,D108:W108)</f>
        <v>203969.425495192</v>
      </c>
    </row>
    <row r="35" customFormat="false" ht="15" hidden="false" customHeight="false" outlineLevel="0" collapsed="false">
      <c r="A35" s="11" t="s">
        <v>410</v>
      </c>
      <c r="B35" s="66" t="n">
        <f aca="false">MAX(0,MIN($D$127:$W$127))</f>
        <v>181356.176596965</v>
      </c>
    </row>
    <row r="36" customFormat="false" ht="15" hidden="false" customHeight="false" outlineLevel="0" collapsed="false">
      <c r="A36" s="11" t="s">
        <v>266</v>
      </c>
      <c r="B36" s="88" t="n">
        <f aca="false">IFERROR(MATCH(TRUE(),INDEX($C$150:$W$150&gt;=0,0),0)-1,"&gt; life")</f>
        <v>6</v>
      </c>
    </row>
    <row r="39" customFormat="false" ht="15" hidden="false" customHeight="false" outlineLevel="0" collapsed="false">
      <c r="A39" s="16" t="s">
        <v>411</v>
      </c>
      <c r="B39" s="74" t="s">
        <v>412</v>
      </c>
      <c r="C39" s="89" t="n">
        <v>0</v>
      </c>
      <c r="D39" s="89" t="n">
        <v>1</v>
      </c>
      <c r="E39" s="89" t="n">
        <v>2</v>
      </c>
      <c r="F39" s="89" t="n">
        <v>3</v>
      </c>
      <c r="G39" s="89" t="n">
        <v>4</v>
      </c>
      <c r="H39" s="89" t="n">
        <v>5</v>
      </c>
      <c r="I39" s="89" t="n">
        <v>6</v>
      </c>
      <c r="J39" s="89" t="n">
        <v>7</v>
      </c>
      <c r="K39" s="89" t="n">
        <v>8</v>
      </c>
      <c r="L39" s="89" t="n">
        <v>9</v>
      </c>
      <c r="M39" s="89" t="n">
        <v>10</v>
      </c>
      <c r="N39" s="89" t="n">
        <v>11</v>
      </c>
      <c r="O39" s="89" t="n">
        <v>12</v>
      </c>
      <c r="P39" s="89" t="n">
        <v>13</v>
      </c>
      <c r="Q39" s="89" t="n">
        <v>14</v>
      </c>
      <c r="R39" s="89" t="n">
        <v>15</v>
      </c>
      <c r="S39" s="89" t="n">
        <v>16</v>
      </c>
      <c r="T39" s="89" t="n">
        <v>17</v>
      </c>
      <c r="U39" s="89" t="n">
        <v>18</v>
      </c>
      <c r="V39" s="89" t="n">
        <v>19</v>
      </c>
      <c r="W39" s="89" t="n">
        <v>20</v>
      </c>
    </row>
    <row r="40" customFormat="false" ht="15" hidden="false" customHeight="false" outlineLevel="0" collapsed="false">
      <c r="A40" s="11" t="s">
        <v>413</v>
      </c>
      <c r="C40" s="90" t="n">
        <f aca="false">StartYear-1+C39</f>
        <v>2026</v>
      </c>
      <c r="D40" s="90" t="n">
        <f aca="false">StartYear-1+D39</f>
        <v>2027</v>
      </c>
      <c r="E40" s="90" t="n">
        <f aca="false">StartYear-1+E39</f>
        <v>2028</v>
      </c>
      <c r="F40" s="90" t="n">
        <f aca="false">StartYear-1+F39</f>
        <v>2029</v>
      </c>
      <c r="G40" s="90" t="n">
        <f aca="false">StartYear-1+G39</f>
        <v>2030</v>
      </c>
      <c r="H40" s="90" t="n">
        <f aca="false">StartYear-1+H39</f>
        <v>2031</v>
      </c>
      <c r="I40" s="90" t="n">
        <f aca="false">StartYear-1+I39</f>
        <v>2032</v>
      </c>
      <c r="J40" s="90" t="n">
        <f aca="false">StartYear-1+J39</f>
        <v>2033</v>
      </c>
      <c r="K40" s="90" t="n">
        <f aca="false">StartYear-1+K39</f>
        <v>2034</v>
      </c>
      <c r="L40" s="90" t="n">
        <f aca="false">StartYear-1+L39</f>
        <v>2035</v>
      </c>
      <c r="M40" s="90" t="n">
        <f aca="false">StartYear-1+M39</f>
        <v>2036</v>
      </c>
      <c r="N40" s="90" t="n">
        <f aca="false">StartYear-1+N39</f>
        <v>2037</v>
      </c>
      <c r="O40" s="90" t="n">
        <f aca="false">StartYear-1+O39</f>
        <v>2038</v>
      </c>
      <c r="P40" s="90" t="n">
        <f aca="false">StartYear-1+P39</f>
        <v>2039</v>
      </c>
      <c r="Q40" s="90" t="n">
        <f aca="false">StartYear-1+Q39</f>
        <v>2040</v>
      </c>
      <c r="R40" s="90" t="n">
        <f aca="false">StartYear-1+R39</f>
        <v>2041</v>
      </c>
      <c r="S40" s="90" t="n">
        <f aca="false">StartYear-1+S39</f>
        <v>2042</v>
      </c>
      <c r="T40" s="90" t="n">
        <f aca="false">StartYear-1+T39</f>
        <v>2043</v>
      </c>
      <c r="U40" s="90" t="n">
        <f aca="false">StartYear-1+U39</f>
        <v>2044</v>
      </c>
      <c r="V40" s="90" t="n">
        <f aca="false">StartYear-1+V39</f>
        <v>2045</v>
      </c>
      <c r="W40" s="90" t="n">
        <f aca="false">StartYear-1+W39</f>
        <v>2046</v>
      </c>
    </row>
    <row r="41" customFormat="false" ht="15" hidden="false" customHeight="false" outlineLevel="0" collapsed="false">
      <c r="A41" s="11" t="s">
        <v>414</v>
      </c>
      <c r="C41" s="90" t="n">
        <f aca="false">IF(AND(C39&gt;=1,C39&lt;=Life),1,0)</f>
        <v>0</v>
      </c>
      <c r="D41" s="90" t="n">
        <f aca="false">IF(AND(D39&gt;=1,D39&lt;=Life),1,0)</f>
        <v>1</v>
      </c>
      <c r="E41" s="90" t="n">
        <f aca="false">IF(AND(E39&gt;=1,E39&lt;=Life),1,0)</f>
        <v>1</v>
      </c>
      <c r="F41" s="90" t="n">
        <f aca="false">IF(AND(F39&gt;=1,F39&lt;=Life),1,0)</f>
        <v>1</v>
      </c>
      <c r="G41" s="90" t="n">
        <f aca="false">IF(AND(G39&gt;=1,G39&lt;=Life),1,0)</f>
        <v>1</v>
      </c>
      <c r="H41" s="90" t="n">
        <f aca="false">IF(AND(H39&gt;=1,H39&lt;=Life),1,0)</f>
        <v>1</v>
      </c>
      <c r="I41" s="90" t="n">
        <f aca="false">IF(AND(I39&gt;=1,I39&lt;=Life),1,0)</f>
        <v>1</v>
      </c>
      <c r="J41" s="90" t="n">
        <f aca="false">IF(AND(J39&gt;=1,J39&lt;=Life),1,0)</f>
        <v>1</v>
      </c>
      <c r="K41" s="90" t="n">
        <f aca="false">IF(AND(K39&gt;=1,K39&lt;=Life),1,0)</f>
        <v>1</v>
      </c>
      <c r="L41" s="90" t="n">
        <f aca="false">IF(AND(L39&gt;=1,L39&lt;=Life),1,0)</f>
        <v>1</v>
      </c>
      <c r="M41" s="90" t="n">
        <f aca="false">IF(AND(M39&gt;=1,M39&lt;=Life),1,0)</f>
        <v>1</v>
      </c>
      <c r="N41" s="90" t="n">
        <f aca="false">IF(AND(N39&gt;=1,N39&lt;=Life),1,0)</f>
        <v>1</v>
      </c>
      <c r="O41" s="90" t="n">
        <f aca="false">IF(AND(O39&gt;=1,O39&lt;=Life),1,0)</f>
        <v>1</v>
      </c>
      <c r="P41" s="90" t="n">
        <f aca="false">IF(AND(P39&gt;=1,P39&lt;=Life),1,0)</f>
        <v>1</v>
      </c>
      <c r="Q41" s="90" t="n">
        <f aca="false">IF(AND(Q39&gt;=1,Q39&lt;=Life),1,0)</f>
        <v>1</v>
      </c>
      <c r="R41" s="90" t="n">
        <f aca="false">IF(AND(R39&gt;=1,R39&lt;=Life),1,0)</f>
        <v>1</v>
      </c>
      <c r="S41" s="90" t="n">
        <f aca="false">IF(AND(S39&gt;=1,S39&lt;=Life),1,0)</f>
        <v>1</v>
      </c>
      <c r="T41" s="90" t="n">
        <f aca="false">IF(AND(T39&gt;=1,T39&lt;=Life),1,0)</f>
        <v>1</v>
      </c>
      <c r="U41" s="90" t="n">
        <f aca="false">IF(AND(U39&gt;=1,U39&lt;=Life),1,0)</f>
        <v>1</v>
      </c>
      <c r="V41" s="90" t="n">
        <f aca="false">IF(AND(V39&gt;=1,V39&lt;=Life),1,0)</f>
        <v>1</v>
      </c>
      <c r="W41" s="90" t="n">
        <f aca="false">IF(AND(W39&gt;=1,W39&lt;=Life),1,0)</f>
        <v>1</v>
      </c>
    </row>
    <row r="42" customFormat="false" ht="15" hidden="false" customHeight="false" outlineLevel="0" collapsed="false">
      <c r="A42" s="11" t="s">
        <v>415</v>
      </c>
      <c r="C42" s="91" t="n">
        <v>0</v>
      </c>
      <c r="D42" s="91" t="n">
        <f aca="false">IF(D39=1,Ramp1,IF(D39=2,Ramp2,Ramp3))*D41</f>
        <v>0.6</v>
      </c>
      <c r="E42" s="91" t="n">
        <f aca="false">IF(E39=1,Ramp1,IF(E39=2,Ramp2,Ramp3))*E41</f>
        <v>0.85</v>
      </c>
      <c r="F42" s="91" t="n">
        <f aca="false">IF(F39=1,Ramp1,IF(F39=2,Ramp2,Ramp3))*F41</f>
        <v>1</v>
      </c>
      <c r="G42" s="91" t="n">
        <f aca="false">IF(G39=1,Ramp1,IF(G39=2,Ramp2,Ramp3))*G41</f>
        <v>1</v>
      </c>
      <c r="H42" s="91" t="n">
        <f aca="false">IF(H39=1,Ramp1,IF(H39=2,Ramp2,Ramp3))*H41</f>
        <v>1</v>
      </c>
      <c r="I42" s="91" t="n">
        <f aca="false">IF(I39=1,Ramp1,IF(I39=2,Ramp2,Ramp3))*I41</f>
        <v>1</v>
      </c>
      <c r="J42" s="91" t="n">
        <f aca="false">IF(J39=1,Ramp1,IF(J39=2,Ramp2,Ramp3))*J41</f>
        <v>1</v>
      </c>
      <c r="K42" s="91" t="n">
        <f aca="false">IF(K39=1,Ramp1,IF(K39=2,Ramp2,Ramp3))*K41</f>
        <v>1</v>
      </c>
      <c r="L42" s="91" t="n">
        <f aca="false">IF(L39=1,Ramp1,IF(L39=2,Ramp2,Ramp3))*L41</f>
        <v>1</v>
      </c>
      <c r="M42" s="91" t="n">
        <f aca="false">IF(M39=1,Ramp1,IF(M39=2,Ramp2,Ramp3))*M41</f>
        <v>1</v>
      </c>
      <c r="N42" s="91" t="n">
        <f aca="false">IF(N39=1,Ramp1,IF(N39=2,Ramp2,Ramp3))*N41</f>
        <v>1</v>
      </c>
      <c r="O42" s="91" t="n">
        <f aca="false">IF(O39=1,Ramp1,IF(O39=2,Ramp2,Ramp3))*O41</f>
        <v>1</v>
      </c>
      <c r="P42" s="91" t="n">
        <f aca="false">IF(P39=1,Ramp1,IF(P39=2,Ramp2,Ramp3))*P41</f>
        <v>1</v>
      </c>
      <c r="Q42" s="91" t="n">
        <f aca="false">IF(Q39=1,Ramp1,IF(Q39=2,Ramp2,Ramp3))*Q41</f>
        <v>1</v>
      </c>
      <c r="R42" s="91" t="n">
        <f aca="false">IF(R39=1,Ramp1,IF(R39=2,Ramp2,Ramp3))*R41</f>
        <v>1</v>
      </c>
      <c r="S42" s="91" t="n">
        <f aca="false">IF(S39=1,Ramp1,IF(S39=2,Ramp2,Ramp3))*S41</f>
        <v>1</v>
      </c>
      <c r="T42" s="91" t="n">
        <f aca="false">IF(T39=1,Ramp1,IF(T39=2,Ramp2,Ramp3))*T41</f>
        <v>1</v>
      </c>
      <c r="U42" s="91" t="n">
        <f aca="false">IF(U39=1,Ramp1,IF(U39=2,Ramp2,Ramp3))*U41</f>
        <v>1</v>
      </c>
      <c r="V42" s="91" t="n">
        <f aca="false">IF(V39=1,Ramp1,IF(V39=2,Ramp2,Ramp3))*V41</f>
        <v>1</v>
      </c>
      <c r="W42" s="91" t="n">
        <f aca="false">IF(W39=1,Ramp1,IF(W39=2,Ramp2,Ramp3))*W41</f>
        <v>1</v>
      </c>
    </row>
    <row r="43" customFormat="false" ht="15" hidden="false" customHeight="false" outlineLevel="0" collapsed="false">
      <c r="A43" s="11" t="s">
        <v>416</v>
      </c>
      <c r="C43" s="92" t="n">
        <v>0</v>
      </c>
      <c r="D43" s="92" t="n">
        <f aca="false">(1+TariffEsc)^(D39-1)</f>
        <v>1</v>
      </c>
      <c r="E43" s="92" t="n">
        <f aca="false">(1+TariffEsc)^(E39-1)</f>
        <v>1.03</v>
      </c>
      <c r="F43" s="92" t="n">
        <f aca="false">(1+TariffEsc)^(F39-1)</f>
        <v>1.0609</v>
      </c>
      <c r="G43" s="92" t="n">
        <f aca="false">(1+TariffEsc)^(G39-1)</f>
        <v>1.092727</v>
      </c>
      <c r="H43" s="92" t="n">
        <f aca="false">(1+TariffEsc)^(H39-1)</f>
        <v>1.12550881</v>
      </c>
      <c r="I43" s="92" t="n">
        <f aca="false">(1+TariffEsc)^(I39-1)</f>
        <v>1.1592740743</v>
      </c>
      <c r="J43" s="92" t="n">
        <f aca="false">(1+TariffEsc)^(J39-1)</f>
        <v>1.194052296529</v>
      </c>
      <c r="K43" s="92" t="n">
        <f aca="false">(1+TariffEsc)^(K39-1)</f>
        <v>1.22987386542487</v>
      </c>
      <c r="L43" s="92" t="n">
        <f aca="false">(1+TariffEsc)^(L39-1)</f>
        <v>1.26677008138762</v>
      </c>
      <c r="M43" s="92" t="n">
        <f aca="false">(1+TariffEsc)^(M39-1)</f>
        <v>1.30477318382925</v>
      </c>
      <c r="N43" s="92" t="n">
        <f aca="false">(1+TariffEsc)^(N39-1)</f>
        <v>1.34391637934412</v>
      </c>
      <c r="O43" s="92" t="n">
        <f aca="false">(1+TariffEsc)^(O39-1)</f>
        <v>1.38423387072445</v>
      </c>
      <c r="P43" s="92" t="n">
        <f aca="false">(1+TariffEsc)^(P39-1)</f>
        <v>1.42576088684618</v>
      </c>
      <c r="Q43" s="92" t="n">
        <f aca="false">(1+TariffEsc)^(Q39-1)</f>
        <v>1.46853371345156</v>
      </c>
      <c r="R43" s="92" t="n">
        <f aca="false">(1+TariffEsc)^(R39-1)</f>
        <v>1.51258972485511</v>
      </c>
      <c r="S43" s="92" t="n">
        <f aca="false">(1+TariffEsc)^(S39-1)</f>
        <v>1.55796741660077</v>
      </c>
      <c r="T43" s="92" t="n">
        <f aca="false">(1+TariffEsc)^(T39-1)</f>
        <v>1.60470643909879</v>
      </c>
      <c r="U43" s="92" t="n">
        <f aca="false">(1+TariffEsc)^(U39-1)</f>
        <v>1.65284763227175</v>
      </c>
      <c r="V43" s="92" t="n">
        <f aca="false">(1+TariffEsc)^(V39-1)</f>
        <v>1.7024330612399</v>
      </c>
      <c r="W43" s="92" t="n">
        <f aca="false">(1+TariffEsc)^(W39-1)</f>
        <v>1.7535060530771</v>
      </c>
    </row>
    <row r="44" customFormat="false" ht="15" hidden="false" customHeight="false" outlineLevel="0" collapsed="false">
      <c r="A44" s="11" t="s">
        <v>417</v>
      </c>
      <c r="C44" s="92" t="n">
        <v>0</v>
      </c>
      <c r="D44" s="92" t="n">
        <f aca="false">(1+CostEsc)^(D39-1)</f>
        <v>1</v>
      </c>
      <c r="E44" s="92" t="n">
        <f aca="false">(1+CostEsc)^(E39-1)</f>
        <v>1.03</v>
      </c>
      <c r="F44" s="92" t="n">
        <f aca="false">(1+CostEsc)^(F39-1)</f>
        <v>1.0609</v>
      </c>
      <c r="G44" s="92" t="n">
        <f aca="false">(1+CostEsc)^(G39-1)</f>
        <v>1.092727</v>
      </c>
      <c r="H44" s="92" t="n">
        <f aca="false">(1+CostEsc)^(H39-1)</f>
        <v>1.12550881</v>
      </c>
      <c r="I44" s="92" t="n">
        <f aca="false">(1+CostEsc)^(I39-1)</f>
        <v>1.1592740743</v>
      </c>
      <c r="J44" s="92" t="n">
        <f aca="false">(1+CostEsc)^(J39-1)</f>
        <v>1.194052296529</v>
      </c>
      <c r="K44" s="92" t="n">
        <f aca="false">(1+CostEsc)^(K39-1)</f>
        <v>1.22987386542487</v>
      </c>
      <c r="L44" s="92" t="n">
        <f aca="false">(1+CostEsc)^(L39-1)</f>
        <v>1.26677008138762</v>
      </c>
      <c r="M44" s="92" t="n">
        <f aca="false">(1+CostEsc)^(M39-1)</f>
        <v>1.30477318382925</v>
      </c>
      <c r="N44" s="92" t="n">
        <f aca="false">(1+CostEsc)^(N39-1)</f>
        <v>1.34391637934412</v>
      </c>
      <c r="O44" s="92" t="n">
        <f aca="false">(1+CostEsc)^(O39-1)</f>
        <v>1.38423387072445</v>
      </c>
      <c r="P44" s="92" t="n">
        <f aca="false">(1+CostEsc)^(P39-1)</f>
        <v>1.42576088684618</v>
      </c>
      <c r="Q44" s="92" t="n">
        <f aca="false">(1+CostEsc)^(Q39-1)</f>
        <v>1.46853371345156</v>
      </c>
      <c r="R44" s="92" t="n">
        <f aca="false">(1+CostEsc)^(R39-1)</f>
        <v>1.51258972485511</v>
      </c>
      <c r="S44" s="92" t="n">
        <f aca="false">(1+CostEsc)^(S39-1)</f>
        <v>1.55796741660077</v>
      </c>
      <c r="T44" s="92" t="n">
        <f aca="false">(1+CostEsc)^(T39-1)</f>
        <v>1.60470643909879</v>
      </c>
      <c r="U44" s="92" t="n">
        <f aca="false">(1+CostEsc)^(U39-1)</f>
        <v>1.65284763227175</v>
      </c>
      <c r="V44" s="92" t="n">
        <f aca="false">(1+CostEsc)^(V39-1)</f>
        <v>1.7024330612399</v>
      </c>
      <c r="W44" s="92" t="n">
        <f aca="false">(1+CostEsc)^(W39-1)</f>
        <v>1.7535060530771</v>
      </c>
    </row>
    <row r="45" customFormat="false" ht="15" hidden="false" customHeight="false" outlineLevel="0" collapsed="false">
      <c r="A45" s="11" t="s">
        <v>418</v>
      </c>
      <c r="C45" s="92" t="n">
        <v>0</v>
      </c>
      <c r="D45" s="92" t="n">
        <f aca="false">(1+DemandGrowth)^(D39-1)*LevDemand*$B$6</f>
        <v>1</v>
      </c>
      <c r="E45" s="92" t="n">
        <f aca="false">(1+DemandGrowth)^(E39-1)*LevDemand*$B$6</f>
        <v>1.03</v>
      </c>
      <c r="F45" s="92" t="n">
        <f aca="false">(1+DemandGrowth)^(F39-1)*LevDemand*$B$6</f>
        <v>1.0609</v>
      </c>
      <c r="G45" s="92" t="n">
        <f aca="false">(1+DemandGrowth)^(G39-1)*LevDemand*$B$6</f>
        <v>1.092727</v>
      </c>
      <c r="H45" s="92" t="n">
        <f aca="false">(1+DemandGrowth)^(H39-1)*LevDemand*$B$6</f>
        <v>1.12550881</v>
      </c>
      <c r="I45" s="92" t="n">
        <f aca="false">(1+DemandGrowth)^(I39-1)*LevDemand*$B$6</f>
        <v>1.1592740743</v>
      </c>
      <c r="J45" s="92" t="n">
        <f aca="false">(1+DemandGrowth)^(J39-1)*LevDemand*$B$6</f>
        <v>1.194052296529</v>
      </c>
      <c r="K45" s="92" t="n">
        <f aca="false">(1+DemandGrowth)^(K39-1)*LevDemand*$B$6</f>
        <v>1.22987386542487</v>
      </c>
      <c r="L45" s="92" t="n">
        <f aca="false">(1+DemandGrowth)^(L39-1)*LevDemand*$B$6</f>
        <v>1.26677008138762</v>
      </c>
      <c r="M45" s="92" t="n">
        <f aca="false">(1+DemandGrowth)^(M39-1)*LevDemand*$B$6</f>
        <v>1.30477318382925</v>
      </c>
      <c r="N45" s="92" t="n">
        <f aca="false">(1+DemandGrowth)^(N39-1)*LevDemand*$B$6</f>
        <v>1.34391637934412</v>
      </c>
      <c r="O45" s="92" t="n">
        <f aca="false">(1+DemandGrowth)^(O39-1)*LevDemand*$B$6</f>
        <v>1.38423387072445</v>
      </c>
      <c r="P45" s="92" t="n">
        <f aca="false">(1+DemandGrowth)^(P39-1)*LevDemand*$B$6</f>
        <v>1.42576088684618</v>
      </c>
      <c r="Q45" s="92" t="n">
        <f aca="false">(1+DemandGrowth)^(Q39-1)*LevDemand*$B$6</f>
        <v>1.46853371345156</v>
      </c>
      <c r="R45" s="92" t="n">
        <f aca="false">(1+DemandGrowth)^(R39-1)*LevDemand*$B$6</f>
        <v>1.51258972485511</v>
      </c>
      <c r="S45" s="92" t="n">
        <f aca="false">(1+DemandGrowth)^(S39-1)*LevDemand*$B$6</f>
        <v>1.55796741660077</v>
      </c>
      <c r="T45" s="92" t="n">
        <f aca="false">(1+DemandGrowth)^(T39-1)*LevDemand*$B$6</f>
        <v>1.60470643909879</v>
      </c>
      <c r="U45" s="92" t="n">
        <f aca="false">(1+DemandGrowth)^(U39-1)*LevDemand*$B$6</f>
        <v>1.65284763227175</v>
      </c>
      <c r="V45" s="92" t="n">
        <f aca="false">(1+DemandGrowth)^(V39-1)*LevDemand*$B$6</f>
        <v>1.7024330612399</v>
      </c>
      <c r="W45" s="92" t="n">
        <f aca="false">(1+DemandGrowth)^(W39-1)*LevDemand*$B$6</f>
        <v>1.7535060530771</v>
      </c>
    </row>
    <row r="47" customFormat="false" ht="15" hidden="false" customHeight="false" outlineLevel="0" collapsed="false">
      <c r="A47" s="9" t="s">
        <v>419</v>
      </c>
      <c r="B47" s="10"/>
      <c r="C47" s="10"/>
      <c r="D47" s="10"/>
      <c r="E47" s="10"/>
      <c r="F47" s="10"/>
      <c r="G47" s="10"/>
      <c r="H47" s="10"/>
      <c r="I47" s="10"/>
      <c r="J47" s="10"/>
      <c r="K47" s="10"/>
      <c r="L47" s="10"/>
      <c r="M47" s="10"/>
      <c r="N47" s="10"/>
      <c r="O47" s="10"/>
      <c r="P47" s="10"/>
      <c r="Q47" s="10"/>
      <c r="R47" s="10"/>
      <c r="S47" s="10"/>
      <c r="T47" s="10"/>
      <c r="U47" s="10"/>
      <c r="V47" s="10"/>
      <c r="W47" s="10"/>
    </row>
    <row r="48" customFormat="false" ht="15" hidden="false" customHeight="false" outlineLevel="0" collapsed="false">
      <c r="A48" s="11" t="str">
        <f aca="false">"Connections - "&amp;Seg1_Name</f>
        <v>Connections - Households</v>
      </c>
      <c r="C48" s="93" t="n">
        <v>0</v>
      </c>
      <c r="D48" s="93" t="n">
        <f aca="false">Seg1_N*D42</f>
        <v>480</v>
      </c>
      <c r="E48" s="93" t="n">
        <f aca="false">Seg1_N*E42</f>
        <v>680</v>
      </c>
      <c r="F48" s="93" t="n">
        <f aca="false">Seg1_N*F42</f>
        <v>800</v>
      </c>
      <c r="G48" s="93" t="n">
        <f aca="false">Seg1_N*G42</f>
        <v>800</v>
      </c>
      <c r="H48" s="93" t="n">
        <f aca="false">Seg1_N*H42</f>
        <v>800</v>
      </c>
      <c r="I48" s="93" t="n">
        <f aca="false">Seg1_N*I42</f>
        <v>800</v>
      </c>
      <c r="J48" s="93" t="n">
        <f aca="false">Seg1_N*J42</f>
        <v>800</v>
      </c>
      <c r="K48" s="93" t="n">
        <f aca="false">Seg1_N*K42</f>
        <v>800</v>
      </c>
      <c r="L48" s="93" t="n">
        <f aca="false">Seg1_N*L42</f>
        <v>800</v>
      </c>
      <c r="M48" s="93" t="n">
        <f aca="false">Seg1_N*M42</f>
        <v>800</v>
      </c>
      <c r="N48" s="93" t="n">
        <f aca="false">Seg1_N*N42</f>
        <v>800</v>
      </c>
      <c r="O48" s="93" t="n">
        <f aca="false">Seg1_N*O42</f>
        <v>800</v>
      </c>
      <c r="P48" s="93" t="n">
        <f aca="false">Seg1_N*P42</f>
        <v>800</v>
      </c>
      <c r="Q48" s="93" t="n">
        <f aca="false">Seg1_N*Q42</f>
        <v>800</v>
      </c>
      <c r="R48" s="93" t="n">
        <f aca="false">Seg1_N*R42</f>
        <v>800</v>
      </c>
      <c r="S48" s="93" t="n">
        <f aca="false">Seg1_N*S42</f>
        <v>800</v>
      </c>
      <c r="T48" s="93" t="n">
        <f aca="false">Seg1_N*T42</f>
        <v>800</v>
      </c>
      <c r="U48" s="93" t="n">
        <f aca="false">Seg1_N*U42</f>
        <v>800</v>
      </c>
      <c r="V48" s="93" t="n">
        <f aca="false">Seg1_N*V42</f>
        <v>800</v>
      </c>
      <c r="W48" s="93" t="n">
        <f aca="false">Seg1_N*W42</f>
        <v>800</v>
      </c>
    </row>
    <row r="49" customFormat="false" ht="15" hidden="false" customHeight="false" outlineLevel="0" collapsed="false">
      <c r="A49" s="11" t="str">
        <f aca="false">"Connections - "&amp;Seg2_Name</f>
        <v>Connections - Productive users (mills, welding, cold rooms)</v>
      </c>
      <c r="C49" s="93" t="n">
        <v>0</v>
      </c>
      <c r="D49" s="93" t="n">
        <f aca="false">Seg2_N*D42</f>
        <v>36</v>
      </c>
      <c r="E49" s="93" t="n">
        <f aca="false">Seg2_N*E42</f>
        <v>51</v>
      </c>
      <c r="F49" s="93" t="n">
        <f aca="false">Seg2_N*F42</f>
        <v>60</v>
      </c>
      <c r="G49" s="93" t="n">
        <f aca="false">Seg2_N*G42</f>
        <v>60</v>
      </c>
      <c r="H49" s="93" t="n">
        <f aca="false">Seg2_N*H42</f>
        <v>60</v>
      </c>
      <c r="I49" s="93" t="n">
        <f aca="false">Seg2_N*I42</f>
        <v>60</v>
      </c>
      <c r="J49" s="93" t="n">
        <f aca="false">Seg2_N*J42</f>
        <v>60</v>
      </c>
      <c r="K49" s="93" t="n">
        <f aca="false">Seg2_N*K42</f>
        <v>60</v>
      </c>
      <c r="L49" s="93" t="n">
        <f aca="false">Seg2_N*L42</f>
        <v>60</v>
      </c>
      <c r="M49" s="93" t="n">
        <f aca="false">Seg2_N*M42</f>
        <v>60</v>
      </c>
      <c r="N49" s="93" t="n">
        <f aca="false">Seg2_N*N42</f>
        <v>60</v>
      </c>
      <c r="O49" s="93" t="n">
        <f aca="false">Seg2_N*O42</f>
        <v>60</v>
      </c>
      <c r="P49" s="93" t="n">
        <f aca="false">Seg2_N*P42</f>
        <v>60</v>
      </c>
      <c r="Q49" s="93" t="n">
        <f aca="false">Seg2_N*Q42</f>
        <v>60</v>
      </c>
      <c r="R49" s="93" t="n">
        <f aca="false">Seg2_N*R42</f>
        <v>60</v>
      </c>
      <c r="S49" s="93" t="n">
        <f aca="false">Seg2_N*S42</f>
        <v>60</v>
      </c>
      <c r="T49" s="93" t="n">
        <f aca="false">Seg2_N*T42</f>
        <v>60</v>
      </c>
      <c r="U49" s="93" t="n">
        <f aca="false">Seg2_N*U42</f>
        <v>60</v>
      </c>
      <c r="V49" s="93" t="n">
        <f aca="false">Seg2_N*V42</f>
        <v>60</v>
      </c>
      <c r="W49" s="93" t="n">
        <f aca="false">Seg2_N*W42</f>
        <v>60</v>
      </c>
    </row>
    <row r="50" customFormat="false" ht="15" hidden="false" customHeight="false" outlineLevel="0" collapsed="false">
      <c r="A50" s="11" t="str">
        <f aca="false">"Connections - "&amp;Seg3_Name</f>
        <v>Connections - Commercial (shops, bars, kiosks)</v>
      </c>
      <c r="C50" s="93" t="n">
        <v>0</v>
      </c>
      <c r="D50" s="93" t="n">
        <f aca="false">Seg3_N*D42</f>
        <v>60</v>
      </c>
      <c r="E50" s="93" t="n">
        <f aca="false">Seg3_N*E42</f>
        <v>85</v>
      </c>
      <c r="F50" s="93" t="n">
        <f aca="false">Seg3_N*F42</f>
        <v>100</v>
      </c>
      <c r="G50" s="93" t="n">
        <f aca="false">Seg3_N*G42</f>
        <v>100</v>
      </c>
      <c r="H50" s="93" t="n">
        <f aca="false">Seg3_N*H42</f>
        <v>100</v>
      </c>
      <c r="I50" s="93" t="n">
        <f aca="false">Seg3_N*I42</f>
        <v>100</v>
      </c>
      <c r="J50" s="93" t="n">
        <f aca="false">Seg3_N*J42</f>
        <v>100</v>
      </c>
      <c r="K50" s="93" t="n">
        <f aca="false">Seg3_N*K42</f>
        <v>100</v>
      </c>
      <c r="L50" s="93" t="n">
        <f aca="false">Seg3_N*L42</f>
        <v>100</v>
      </c>
      <c r="M50" s="93" t="n">
        <f aca="false">Seg3_N*M42</f>
        <v>100</v>
      </c>
      <c r="N50" s="93" t="n">
        <f aca="false">Seg3_N*N42</f>
        <v>100</v>
      </c>
      <c r="O50" s="93" t="n">
        <f aca="false">Seg3_N*O42</f>
        <v>100</v>
      </c>
      <c r="P50" s="93" t="n">
        <f aca="false">Seg3_N*P42</f>
        <v>100</v>
      </c>
      <c r="Q50" s="93" t="n">
        <f aca="false">Seg3_N*Q42</f>
        <v>100</v>
      </c>
      <c r="R50" s="93" t="n">
        <f aca="false">Seg3_N*R42</f>
        <v>100</v>
      </c>
      <c r="S50" s="93" t="n">
        <f aca="false">Seg3_N*S42</f>
        <v>100</v>
      </c>
      <c r="T50" s="93" t="n">
        <f aca="false">Seg3_N*T42</f>
        <v>100</v>
      </c>
      <c r="U50" s="93" t="n">
        <f aca="false">Seg3_N*U42</f>
        <v>100</v>
      </c>
      <c r="V50" s="93" t="n">
        <f aca="false">Seg3_N*V42</f>
        <v>100</v>
      </c>
      <c r="W50" s="93" t="n">
        <f aca="false">Seg3_N*W42</f>
        <v>100</v>
      </c>
    </row>
    <row r="51" customFormat="false" ht="15" hidden="false" customHeight="false" outlineLevel="0" collapsed="false">
      <c r="A51" s="11" t="str">
        <f aca="false">"Connections - "&amp;Seg4_Name</f>
        <v>Connections - Institutions (health centre, school, water)</v>
      </c>
      <c r="C51" s="93" t="n">
        <v>0</v>
      </c>
      <c r="D51" s="93" t="n">
        <f aca="false">Seg4_N*D42</f>
        <v>6</v>
      </c>
      <c r="E51" s="93" t="n">
        <f aca="false">Seg4_N*E42</f>
        <v>8.5</v>
      </c>
      <c r="F51" s="93" t="n">
        <f aca="false">Seg4_N*F42</f>
        <v>10</v>
      </c>
      <c r="G51" s="93" t="n">
        <f aca="false">Seg4_N*G42</f>
        <v>10</v>
      </c>
      <c r="H51" s="93" t="n">
        <f aca="false">Seg4_N*H42</f>
        <v>10</v>
      </c>
      <c r="I51" s="93" t="n">
        <f aca="false">Seg4_N*I42</f>
        <v>10</v>
      </c>
      <c r="J51" s="93" t="n">
        <f aca="false">Seg4_N*J42</f>
        <v>10</v>
      </c>
      <c r="K51" s="93" t="n">
        <f aca="false">Seg4_N*K42</f>
        <v>10</v>
      </c>
      <c r="L51" s="93" t="n">
        <f aca="false">Seg4_N*L42</f>
        <v>10</v>
      </c>
      <c r="M51" s="93" t="n">
        <f aca="false">Seg4_N*M42</f>
        <v>10</v>
      </c>
      <c r="N51" s="93" t="n">
        <f aca="false">Seg4_N*N42</f>
        <v>10</v>
      </c>
      <c r="O51" s="93" t="n">
        <f aca="false">Seg4_N*O42</f>
        <v>10</v>
      </c>
      <c r="P51" s="93" t="n">
        <f aca="false">Seg4_N*P42</f>
        <v>10</v>
      </c>
      <c r="Q51" s="93" t="n">
        <f aca="false">Seg4_N*Q42</f>
        <v>10</v>
      </c>
      <c r="R51" s="93" t="n">
        <f aca="false">Seg4_N*R42</f>
        <v>10</v>
      </c>
      <c r="S51" s="93" t="n">
        <f aca="false">Seg4_N*S42</f>
        <v>10</v>
      </c>
      <c r="T51" s="93" t="n">
        <f aca="false">Seg4_N*T42</f>
        <v>10</v>
      </c>
      <c r="U51" s="93" t="n">
        <f aca="false">Seg4_N*U42</f>
        <v>10</v>
      </c>
      <c r="V51" s="93" t="n">
        <f aca="false">Seg4_N*V42</f>
        <v>10</v>
      </c>
      <c r="W51" s="93" t="n">
        <f aca="false">Seg4_N*W42</f>
        <v>10</v>
      </c>
    </row>
    <row r="52" customFormat="false" ht="15" hidden="false" customHeight="false" outlineLevel="0" collapsed="false">
      <c r="A52" s="11" t="str">
        <f aca="false">"Connections - "&amp;Seg5_Name</f>
        <v>Connections - Other / custom</v>
      </c>
      <c r="C52" s="93" t="n">
        <v>0</v>
      </c>
      <c r="D52" s="93" t="n">
        <f aca="false">Seg5_N*D42</f>
        <v>0</v>
      </c>
      <c r="E52" s="93" t="n">
        <f aca="false">Seg5_N*E42</f>
        <v>0</v>
      </c>
      <c r="F52" s="93" t="n">
        <f aca="false">Seg5_N*F42</f>
        <v>0</v>
      </c>
      <c r="G52" s="93" t="n">
        <f aca="false">Seg5_N*G42</f>
        <v>0</v>
      </c>
      <c r="H52" s="93" t="n">
        <f aca="false">Seg5_N*H42</f>
        <v>0</v>
      </c>
      <c r="I52" s="93" t="n">
        <f aca="false">Seg5_N*I42</f>
        <v>0</v>
      </c>
      <c r="J52" s="93" t="n">
        <f aca="false">Seg5_N*J42</f>
        <v>0</v>
      </c>
      <c r="K52" s="93" t="n">
        <f aca="false">Seg5_N*K42</f>
        <v>0</v>
      </c>
      <c r="L52" s="93" t="n">
        <f aca="false">Seg5_N*L42</f>
        <v>0</v>
      </c>
      <c r="M52" s="93" t="n">
        <f aca="false">Seg5_N*M42</f>
        <v>0</v>
      </c>
      <c r="N52" s="93" t="n">
        <f aca="false">Seg5_N*N42</f>
        <v>0</v>
      </c>
      <c r="O52" s="93" t="n">
        <f aca="false">Seg5_N*O42</f>
        <v>0</v>
      </c>
      <c r="P52" s="93" t="n">
        <f aca="false">Seg5_N*P42</f>
        <v>0</v>
      </c>
      <c r="Q52" s="93" t="n">
        <f aca="false">Seg5_N*Q42</f>
        <v>0</v>
      </c>
      <c r="R52" s="93" t="n">
        <f aca="false">Seg5_N*R42</f>
        <v>0</v>
      </c>
      <c r="S52" s="93" t="n">
        <f aca="false">Seg5_N*S42</f>
        <v>0</v>
      </c>
      <c r="T52" s="93" t="n">
        <f aca="false">Seg5_N*T42</f>
        <v>0</v>
      </c>
      <c r="U52" s="93" t="n">
        <f aca="false">Seg5_N*U42</f>
        <v>0</v>
      </c>
      <c r="V52" s="93" t="n">
        <f aca="false">Seg5_N*V42</f>
        <v>0</v>
      </c>
      <c r="W52" s="93" t="n">
        <f aca="false">Seg5_N*W42</f>
        <v>0</v>
      </c>
    </row>
    <row r="53" customFormat="false" ht="15" hidden="false" customHeight="false" outlineLevel="0" collapsed="false">
      <c r="A53" s="16" t="s">
        <v>420</v>
      </c>
      <c r="C53" s="29" t="n">
        <f aca="false">C48+C49+C50+C51+C52</f>
        <v>0</v>
      </c>
      <c r="D53" s="29" t="n">
        <f aca="false">D48+D49+D50+D51+D52</f>
        <v>582</v>
      </c>
      <c r="E53" s="29" t="n">
        <f aca="false">E48+E49+E50+E51+E52</f>
        <v>824.5</v>
      </c>
      <c r="F53" s="29" t="n">
        <f aca="false">F48+F49+F50+F51+F52</f>
        <v>970</v>
      </c>
      <c r="G53" s="29" t="n">
        <f aca="false">G48+G49+G50+G51+G52</f>
        <v>970</v>
      </c>
      <c r="H53" s="29" t="n">
        <f aca="false">H48+H49+H50+H51+H52</f>
        <v>970</v>
      </c>
      <c r="I53" s="29" t="n">
        <f aca="false">I48+I49+I50+I51+I52</f>
        <v>970</v>
      </c>
      <c r="J53" s="29" t="n">
        <f aca="false">J48+J49+J50+J51+J52</f>
        <v>970</v>
      </c>
      <c r="K53" s="29" t="n">
        <f aca="false">K48+K49+K50+K51+K52</f>
        <v>970</v>
      </c>
      <c r="L53" s="29" t="n">
        <f aca="false">L48+L49+L50+L51+L52</f>
        <v>970</v>
      </c>
      <c r="M53" s="29" t="n">
        <f aca="false">M48+M49+M50+M51+M52</f>
        <v>970</v>
      </c>
      <c r="N53" s="29" t="n">
        <f aca="false">N48+N49+N50+N51+N52</f>
        <v>970</v>
      </c>
      <c r="O53" s="29" t="n">
        <f aca="false">O48+O49+O50+O51+O52</f>
        <v>970</v>
      </c>
      <c r="P53" s="29" t="n">
        <f aca="false">P48+P49+P50+P51+P52</f>
        <v>970</v>
      </c>
      <c r="Q53" s="29" t="n">
        <f aca="false">Q48+Q49+Q50+Q51+Q52</f>
        <v>970</v>
      </c>
      <c r="R53" s="29" t="n">
        <f aca="false">R48+R49+R50+R51+R52</f>
        <v>970</v>
      </c>
      <c r="S53" s="29" t="n">
        <f aca="false">S48+S49+S50+S51+S52</f>
        <v>970</v>
      </c>
      <c r="T53" s="29" t="n">
        <f aca="false">T48+T49+T50+T51+T52</f>
        <v>970</v>
      </c>
      <c r="U53" s="29" t="n">
        <f aca="false">U48+U49+U50+U51+U52</f>
        <v>970</v>
      </c>
      <c r="V53" s="29" t="n">
        <f aca="false">V48+V49+V50+V51+V52</f>
        <v>970</v>
      </c>
      <c r="W53" s="29" t="n">
        <f aca="false">W48+W49+W50+W51+W52</f>
        <v>970</v>
      </c>
    </row>
    <row r="54" customFormat="false" ht="15" hidden="false" customHeight="false" outlineLevel="0" collapsed="false">
      <c r="A54" s="11" t="str">
        <f aca="false">"New connections - "&amp;Seg1_Name</f>
        <v>New connections - Households</v>
      </c>
      <c r="B54" s="77" t="n">
        <f aca="false">SUM(C54:W54)</f>
        <v>800</v>
      </c>
      <c r="C54" s="94" t="n">
        <v>0</v>
      </c>
      <c r="D54" s="94" t="n">
        <f aca="false">MAX(0,D48-C48)</f>
        <v>480</v>
      </c>
      <c r="E54" s="94" t="n">
        <f aca="false">MAX(0,E48-D48)</f>
        <v>200</v>
      </c>
      <c r="F54" s="94" t="n">
        <f aca="false">MAX(0,F48-E48)</f>
        <v>120</v>
      </c>
      <c r="G54" s="94" t="n">
        <f aca="false">MAX(0,G48-F48)</f>
        <v>0</v>
      </c>
      <c r="H54" s="94" t="n">
        <f aca="false">MAX(0,H48-G48)</f>
        <v>0</v>
      </c>
      <c r="I54" s="94" t="n">
        <f aca="false">MAX(0,I48-H48)</f>
        <v>0</v>
      </c>
      <c r="J54" s="94" t="n">
        <f aca="false">MAX(0,J48-I48)</f>
        <v>0</v>
      </c>
      <c r="K54" s="94" t="n">
        <f aca="false">MAX(0,K48-J48)</f>
        <v>0</v>
      </c>
      <c r="L54" s="94" t="n">
        <f aca="false">MAX(0,L48-K48)</f>
        <v>0</v>
      </c>
      <c r="M54" s="94" t="n">
        <f aca="false">MAX(0,M48-L48)</f>
        <v>0</v>
      </c>
      <c r="N54" s="94" t="n">
        <f aca="false">MAX(0,N48-M48)</f>
        <v>0</v>
      </c>
      <c r="O54" s="94" t="n">
        <f aca="false">MAX(0,O48-N48)</f>
        <v>0</v>
      </c>
      <c r="P54" s="94" t="n">
        <f aca="false">MAX(0,P48-O48)</f>
        <v>0</v>
      </c>
      <c r="Q54" s="94" t="n">
        <f aca="false">MAX(0,Q48-P48)</f>
        <v>0</v>
      </c>
      <c r="R54" s="94" t="n">
        <f aca="false">MAX(0,R48-Q48)</f>
        <v>0</v>
      </c>
      <c r="S54" s="94" t="n">
        <f aca="false">MAX(0,S48-R48)</f>
        <v>0</v>
      </c>
      <c r="T54" s="94" t="n">
        <f aca="false">MAX(0,T48-S48)</f>
        <v>0</v>
      </c>
      <c r="U54" s="94" t="n">
        <f aca="false">MAX(0,U48-T48)</f>
        <v>0</v>
      </c>
      <c r="V54" s="94" t="n">
        <f aca="false">MAX(0,V48-U48)</f>
        <v>0</v>
      </c>
      <c r="W54" s="94" t="n">
        <f aca="false">MAX(0,W48-V48)</f>
        <v>0</v>
      </c>
    </row>
    <row r="55" customFormat="false" ht="15" hidden="false" customHeight="false" outlineLevel="0" collapsed="false">
      <c r="A55" s="11" t="str">
        <f aca="false">"New connections - "&amp;Seg2_Name</f>
        <v>New connections - Productive users (mills, welding, cold rooms)</v>
      </c>
      <c r="B55" s="77" t="n">
        <f aca="false">SUM(C55:W55)</f>
        <v>60</v>
      </c>
      <c r="C55" s="94" t="n">
        <v>0</v>
      </c>
      <c r="D55" s="94" t="n">
        <f aca="false">MAX(0,D49-C49)</f>
        <v>36</v>
      </c>
      <c r="E55" s="94" t="n">
        <f aca="false">MAX(0,E49-D49)</f>
        <v>15</v>
      </c>
      <c r="F55" s="94" t="n">
        <f aca="false">MAX(0,F49-E49)</f>
        <v>9</v>
      </c>
      <c r="G55" s="94" t="n">
        <f aca="false">MAX(0,G49-F49)</f>
        <v>0</v>
      </c>
      <c r="H55" s="94" t="n">
        <f aca="false">MAX(0,H49-G49)</f>
        <v>0</v>
      </c>
      <c r="I55" s="94" t="n">
        <f aca="false">MAX(0,I49-H49)</f>
        <v>0</v>
      </c>
      <c r="J55" s="94" t="n">
        <f aca="false">MAX(0,J49-I49)</f>
        <v>0</v>
      </c>
      <c r="K55" s="94" t="n">
        <f aca="false">MAX(0,K49-J49)</f>
        <v>0</v>
      </c>
      <c r="L55" s="94" t="n">
        <f aca="false">MAX(0,L49-K49)</f>
        <v>0</v>
      </c>
      <c r="M55" s="94" t="n">
        <f aca="false">MAX(0,M49-L49)</f>
        <v>0</v>
      </c>
      <c r="N55" s="94" t="n">
        <f aca="false">MAX(0,N49-M49)</f>
        <v>0</v>
      </c>
      <c r="O55" s="94" t="n">
        <f aca="false">MAX(0,O49-N49)</f>
        <v>0</v>
      </c>
      <c r="P55" s="94" t="n">
        <f aca="false">MAX(0,P49-O49)</f>
        <v>0</v>
      </c>
      <c r="Q55" s="94" t="n">
        <f aca="false">MAX(0,Q49-P49)</f>
        <v>0</v>
      </c>
      <c r="R55" s="94" t="n">
        <f aca="false">MAX(0,R49-Q49)</f>
        <v>0</v>
      </c>
      <c r="S55" s="94" t="n">
        <f aca="false">MAX(0,S49-R49)</f>
        <v>0</v>
      </c>
      <c r="T55" s="94" t="n">
        <f aca="false">MAX(0,T49-S49)</f>
        <v>0</v>
      </c>
      <c r="U55" s="94" t="n">
        <f aca="false">MAX(0,U49-T49)</f>
        <v>0</v>
      </c>
      <c r="V55" s="94" t="n">
        <f aca="false">MAX(0,V49-U49)</f>
        <v>0</v>
      </c>
      <c r="W55" s="94" t="n">
        <f aca="false">MAX(0,W49-V49)</f>
        <v>0</v>
      </c>
    </row>
    <row r="56" customFormat="false" ht="15" hidden="false" customHeight="false" outlineLevel="0" collapsed="false">
      <c r="A56" s="11" t="str">
        <f aca="false">"New connections - "&amp;Seg3_Name</f>
        <v>New connections - Commercial (shops, bars, kiosks)</v>
      </c>
      <c r="B56" s="77" t="n">
        <f aca="false">SUM(C56:W56)</f>
        <v>100</v>
      </c>
      <c r="C56" s="94" t="n">
        <v>0</v>
      </c>
      <c r="D56" s="94" t="n">
        <f aca="false">MAX(0,D50-C50)</f>
        <v>60</v>
      </c>
      <c r="E56" s="94" t="n">
        <f aca="false">MAX(0,E50-D50)</f>
        <v>25</v>
      </c>
      <c r="F56" s="94" t="n">
        <f aca="false">MAX(0,F50-E50)</f>
        <v>15</v>
      </c>
      <c r="G56" s="94" t="n">
        <f aca="false">MAX(0,G50-F50)</f>
        <v>0</v>
      </c>
      <c r="H56" s="94" t="n">
        <f aca="false">MAX(0,H50-G50)</f>
        <v>0</v>
      </c>
      <c r="I56" s="94" t="n">
        <f aca="false">MAX(0,I50-H50)</f>
        <v>0</v>
      </c>
      <c r="J56" s="94" t="n">
        <f aca="false">MAX(0,J50-I50)</f>
        <v>0</v>
      </c>
      <c r="K56" s="94" t="n">
        <f aca="false">MAX(0,K50-J50)</f>
        <v>0</v>
      </c>
      <c r="L56" s="94" t="n">
        <f aca="false">MAX(0,L50-K50)</f>
        <v>0</v>
      </c>
      <c r="M56" s="94" t="n">
        <f aca="false">MAX(0,M50-L50)</f>
        <v>0</v>
      </c>
      <c r="N56" s="94" t="n">
        <f aca="false">MAX(0,N50-M50)</f>
        <v>0</v>
      </c>
      <c r="O56" s="94" t="n">
        <f aca="false">MAX(0,O50-N50)</f>
        <v>0</v>
      </c>
      <c r="P56" s="94" t="n">
        <f aca="false">MAX(0,P50-O50)</f>
        <v>0</v>
      </c>
      <c r="Q56" s="94" t="n">
        <f aca="false">MAX(0,Q50-P50)</f>
        <v>0</v>
      </c>
      <c r="R56" s="94" t="n">
        <f aca="false">MAX(0,R50-Q50)</f>
        <v>0</v>
      </c>
      <c r="S56" s="94" t="n">
        <f aca="false">MAX(0,S50-R50)</f>
        <v>0</v>
      </c>
      <c r="T56" s="94" t="n">
        <f aca="false">MAX(0,T50-S50)</f>
        <v>0</v>
      </c>
      <c r="U56" s="94" t="n">
        <f aca="false">MAX(0,U50-T50)</f>
        <v>0</v>
      </c>
      <c r="V56" s="94" t="n">
        <f aca="false">MAX(0,V50-U50)</f>
        <v>0</v>
      </c>
      <c r="W56" s="94" t="n">
        <f aca="false">MAX(0,W50-V50)</f>
        <v>0</v>
      </c>
    </row>
    <row r="57" customFormat="false" ht="15" hidden="false" customHeight="false" outlineLevel="0" collapsed="false">
      <c r="A57" s="11" t="str">
        <f aca="false">"New connections - "&amp;Seg4_Name</f>
        <v>New connections - Institutions (health centre, school, water)</v>
      </c>
      <c r="B57" s="77" t="n">
        <f aca="false">SUM(C57:W57)</f>
        <v>10</v>
      </c>
      <c r="C57" s="94" t="n">
        <v>0</v>
      </c>
      <c r="D57" s="94" t="n">
        <f aca="false">MAX(0,D51-C51)</f>
        <v>6</v>
      </c>
      <c r="E57" s="94" t="n">
        <f aca="false">MAX(0,E51-D51)</f>
        <v>2.5</v>
      </c>
      <c r="F57" s="94" t="n">
        <f aca="false">MAX(0,F51-E51)</f>
        <v>1.5</v>
      </c>
      <c r="G57" s="94" t="n">
        <f aca="false">MAX(0,G51-F51)</f>
        <v>0</v>
      </c>
      <c r="H57" s="94" t="n">
        <f aca="false">MAX(0,H51-G51)</f>
        <v>0</v>
      </c>
      <c r="I57" s="94" t="n">
        <f aca="false">MAX(0,I51-H51)</f>
        <v>0</v>
      </c>
      <c r="J57" s="94" t="n">
        <f aca="false">MAX(0,J51-I51)</f>
        <v>0</v>
      </c>
      <c r="K57" s="94" t="n">
        <f aca="false">MAX(0,K51-J51)</f>
        <v>0</v>
      </c>
      <c r="L57" s="94" t="n">
        <f aca="false">MAX(0,L51-K51)</f>
        <v>0</v>
      </c>
      <c r="M57" s="94" t="n">
        <f aca="false">MAX(0,M51-L51)</f>
        <v>0</v>
      </c>
      <c r="N57" s="94" t="n">
        <f aca="false">MAX(0,N51-M51)</f>
        <v>0</v>
      </c>
      <c r="O57" s="94" t="n">
        <f aca="false">MAX(0,O51-N51)</f>
        <v>0</v>
      </c>
      <c r="P57" s="94" t="n">
        <f aca="false">MAX(0,P51-O51)</f>
        <v>0</v>
      </c>
      <c r="Q57" s="94" t="n">
        <f aca="false">MAX(0,Q51-P51)</f>
        <v>0</v>
      </c>
      <c r="R57" s="94" t="n">
        <f aca="false">MAX(0,R51-Q51)</f>
        <v>0</v>
      </c>
      <c r="S57" s="94" t="n">
        <f aca="false">MAX(0,S51-R51)</f>
        <v>0</v>
      </c>
      <c r="T57" s="94" t="n">
        <f aca="false">MAX(0,T51-S51)</f>
        <v>0</v>
      </c>
      <c r="U57" s="94" t="n">
        <f aca="false">MAX(0,U51-T51)</f>
        <v>0</v>
      </c>
      <c r="V57" s="94" t="n">
        <f aca="false">MAX(0,V51-U51)</f>
        <v>0</v>
      </c>
      <c r="W57" s="94" t="n">
        <f aca="false">MAX(0,W51-V51)</f>
        <v>0</v>
      </c>
    </row>
    <row r="58" customFormat="false" ht="15" hidden="false" customHeight="false" outlineLevel="0" collapsed="false">
      <c r="A58" s="11" t="str">
        <f aca="false">"New connections - "&amp;Seg5_Name</f>
        <v>New connections - Other / custom</v>
      </c>
      <c r="B58" s="77" t="n">
        <f aca="false">SUM(C58:W58)</f>
        <v>0</v>
      </c>
      <c r="C58" s="94" t="n">
        <v>0</v>
      </c>
      <c r="D58" s="94" t="n">
        <f aca="false">MAX(0,D52-C52)</f>
        <v>0</v>
      </c>
      <c r="E58" s="94" t="n">
        <f aca="false">MAX(0,E52-D52)</f>
        <v>0</v>
      </c>
      <c r="F58" s="94" t="n">
        <f aca="false">MAX(0,F52-E52)</f>
        <v>0</v>
      </c>
      <c r="G58" s="94" t="n">
        <f aca="false">MAX(0,G52-F52)</f>
        <v>0</v>
      </c>
      <c r="H58" s="94" t="n">
        <f aca="false">MAX(0,H52-G52)</f>
        <v>0</v>
      </c>
      <c r="I58" s="94" t="n">
        <f aca="false">MAX(0,I52-H52)</f>
        <v>0</v>
      </c>
      <c r="J58" s="94" t="n">
        <f aca="false">MAX(0,J52-I52)</f>
        <v>0</v>
      </c>
      <c r="K58" s="94" t="n">
        <f aca="false">MAX(0,K52-J52)</f>
        <v>0</v>
      </c>
      <c r="L58" s="94" t="n">
        <f aca="false">MAX(0,L52-K52)</f>
        <v>0</v>
      </c>
      <c r="M58" s="94" t="n">
        <f aca="false">MAX(0,M52-L52)</f>
        <v>0</v>
      </c>
      <c r="N58" s="94" t="n">
        <f aca="false">MAX(0,N52-M52)</f>
        <v>0</v>
      </c>
      <c r="O58" s="94" t="n">
        <f aca="false">MAX(0,O52-N52)</f>
        <v>0</v>
      </c>
      <c r="P58" s="94" t="n">
        <f aca="false">MAX(0,P52-O52)</f>
        <v>0</v>
      </c>
      <c r="Q58" s="94" t="n">
        <f aca="false">MAX(0,Q52-P52)</f>
        <v>0</v>
      </c>
      <c r="R58" s="94" t="n">
        <f aca="false">MAX(0,R52-Q52)</f>
        <v>0</v>
      </c>
      <c r="S58" s="94" t="n">
        <f aca="false">MAX(0,S52-R52)</f>
        <v>0</v>
      </c>
      <c r="T58" s="94" t="n">
        <f aca="false">MAX(0,T52-S52)</f>
        <v>0</v>
      </c>
      <c r="U58" s="94" t="n">
        <f aca="false">MAX(0,U52-T52)</f>
        <v>0</v>
      </c>
      <c r="V58" s="94" t="n">
        <f aca="false">MAX(0,V52-U52)</f>
        <v>0</v>
      </c>
      <c r="W58" s="94" t="n">
        <f aca="false">MAX(0,W52-V52)</f>
        <v>0</v>
      </c>
    </row>
    <row r="59" customFormat="false" ht="15" hidden="false" customHeight="false" outlineLevel="0" collapsed="false">
      <c r="A59" s="16" t="s">
        <v>421</v>
      </c>
      <c r="B59" s="76" t="n">
        <f aca="false">SUM(C59:W59)</f>
        <v>970</v>
      </c>
      <c r="C59" s="29" t="n">
        <f aca="false">C54+C55+C56+C57+C58</f>
        <v>0</v>
      </c>
      <c r="D59" s="29" t="n">
        <f aca="false">D54+D55+D56+D57+D58</f>
        <v>582</v>
      </c>
      <c r="E59" s="29" t="n">
        <f aca="false">E54+E55+E56+E57+E58</f>
        <v>242.5</v>
      </c>
      <c r="F59" s="29" t="n">
        <f aca="false">F54+F55+F56+F57+F58</f>
        <v>145.5</v>
      </c>
      <c r="G59" s="29" t="n">
        <f aca="false">G54+G55+G56+G57+G58</f>
        <v>0</v>
      </c>
      <c r="H59" s="29" t="n">
        <f aca="false">H54+H55+H56+H57+H58</f>
        <v>0</v>
      </c>
      <c r="I59" s="29" t="n">
        <f aca="false">I54+I55+I56+I57+I58</f>
        <v>0</v>
      </c>
      <c r="J59" s="29" t="n">
        <f aca="false">J54+J55+J56+J57+J58</f>
        <v>0</v>
      </c>
      <c r="K59" s="29" t="n">
        <f aca="false">K54+K55+K56+K57+K58</f>
        <v>0</v>
      </c>
      <c r="L59" s="29" t="n">
        <f aca="false">L54+L55+L56+L57+L58</f>
        <v>0</v>
      </c>
      <c r="M59" s="29" t="n">
        <f aca="false">M54+M55+M56+M57+M58</f>
        <v>0</v>
      </c>
      <c r="N59" s="29" t="n">
        <f aca="false">N54+N55+N56+N57+N58</f>
        <v>0</v>
      </c>
      <c r="O59" s="29" t="n">
        <f aca="false">O54+O55+O56+O57+O58</f>
        <v>0</v>
      </c>
      <c r="P59" s="29" t="n">
        <f aca="false">P54+P55+P56+P57+P58</f>
        <v>0</v>
      </c>
      <c r="Q59" s="29" t="n">
        <f aca="false">Q54+Q55+Q56+Q57+Q58</f>
        <v>0</v>
      </c>
      <c r="R59" s="29" t="n">
        <f aca="false">R54+R55+R56+R57+R58</f>
        <v>0</v>
      </c>
      <c r="S59" s="29" t="n">
        <f aca="false">S54+S55+S56+S57+S58</f>
        <v>0</v>
      </c>
      <c r="T59" s="29" t="n">
        <f aca="false">T54+T55+T56+T57+T58</f>
        <v>0</v>
      </c>
      <c r="U59" s="29" t="n">
        <f aca="false">U54+U55+U56+U57+U58</f>
        <v>0</v>
      </c>
      <c r="V59" s="29" t="n">
        <f aca="false">V54+V55+V56+V57+V58</f>
        <v>0</v>
      </c>
      <c r="W59" s="29" t="n">
        <f aca="false">W54+W55+W56+W57+W58</f>
        <v>0</v>
      </c>
    </row>
    <row r="61" customFormat="false" ht="15" hidden="false" customHeight="false" outlineLevel="0" collapsed="false">
      <c r="A61" s="11" t="str">
        <f aca="false">"Energy sold (kWh) - "&amp;Seg1_Name</f>
        <v>Energy sold (kWh) - Households</v>
      </c>
      <c r="B61" s="76" t="n">
        <f aca="false">SUM(C61:W61)</f>
        <v>3789485.92641319</v>
      </c>
      <c r="C61" s="93" t="n">
        <v>0</v>
      </c>
      <c r="D61" s="93" t="n">
        <f aca="false">D48*Seg1_kWh*12*D45</f>
        <v>86400</v>
      </c>
      <c r="E61" s="93" t="n">
        <f aca="false">E48*Seg1_kWh*12*E45</f>
        <v>126072</v>
      </c>
      <c r="F61" s="93" t="n">
        <f aca="false">F48*Seg1_kWh*12*F45</f>
        <v>152769.6</v>
      </c>
      <c r="G61" s="93" t="n">
        <f aca="false">G48*Seg1_kWh*12*G45</f>
        <v>157352.688</v>
      </c>
      <c r="H61" s="93" t="n">
        <f aca="false">H48*Seg1_kWh*12*H45</f>
        <v>162073.26864</v>
      </c>
      <c r="I61" s="93" t="n">
        <f aca="false">I48*Seg1_kWh*12*I45</f>
        <v>166935.4666992</v>
      </c>
      <c r="J61" s="93" t="n">
        <f aca="false">J48*Seg1_kWh*12*J45</f>
        <v>171943.530700176</v>
      </c>
      <c r="K61" s="93" t="n">
        <f aca="false">K48*Seg1_kWh*12*K45</f>
        <v>177101.836621181</v>
      </c>
      <c r="L61" s="93" t="n">
        <f aca="false">L48*Seg1_kWh*12*L45</f>
        <v>182414.891719817</v>
      </c>
      <c r="M61" s="93" t="n">
        <f aca="false">M48*Seg1_kWh*12*M45</f>
        <v>187887.338471411</v>
      </c>
      <c r="N61" s="93" t="n">
        <f aca="false">N48*Seg1_kWh*12*N45</f>
        <v>193523.958625554</v>
      </c>
      <c r="O61" s="93" t="n">
        <f aca="false">O48*Seg1_kWh*12*O45</f>
        <v>199329.67738432</v>
      </c>
      <c r="P61" s="93" t="n">
        <f aca="false">P48*Seg1_kWh*12*P45</f>
        <v>205309.56770585</v>
      </c>
      <c r="Q61" s="93" t="n">
        <f aca="false">Q48*Seg1_kWh*12*Q45</f>
        <v>211468.854737025</v>
      </c>
      <c r="R61" s="93" t="n">
        <f aca="false">R48*Seg1_kWh*12*R45</f>
        <v>217812.920379136</v>
      </c>
      <c r="S61" s="93" t="n">
        <f aca="false">S48*Seg1_kWh*12*S45</f>
        <v>224347.30799051</v>
      </c>
      <c r="T61" s="93" t="n">
        <f aca="false">T48*Seg1_kWh*12*T45</f>
        <v>231077.727230226</v>
      </c>
      <c r="U61" s="93" t="n">
        <f aca="false">U48*Seg1_kWh*12*U45</f>
        <v>238010.059047132</v>
      </c>
      <c r="V61" s="93" t="n">
        <f aca="false">V48*Seg1_kWh*12*V45</f>
        <v>245150.360818546</v>
      </c>
      <c r="W61" s="93" t="n">
        <f aca="false">W48*Seg1_kWh*12*W45</f>
        <v>252504.871643103</v>
      </c>
    </row>
    <row r="62" customFormat="false" ht="15" hidden="false" customHeight="false" outlineLevel="0" collapsed="false">
      <c r="A62" s="11" t="str">
        <f aca="false">"Energy sold (kWh) - "&amp;Seg2_Name</f>
        <v>Energy sold (kWh) - Productive users (mills, welding, cold rooms)</v>
      </c>
      <c r="B62" s="76" t="n">
        <f aca="false">SUM(C62:W62)</f>
        <v>2944733.72369716</v>
      </c>
      <c r="C62" s="93" t="n">
        <v>0</v>
      </c>
      <c r="D62" s="93" t="n">
        <f aca="false">D49*Seg2_kWh*12*D45</f>
        <v>67139.712</v>
      </c>
      <c r="E62" s="93" t="n">
        <f aca="false">E49*Seg2_kWh*12*E45</f>
        <v>97968.02976</v>
      </c>
      <c r="F62" s="93" t="n">
        <f aca="false">F49*Seg2_kWh*12*F45</f>
        <v>118714.200768</v>
      </c>
      <c r="G62" s="93" t="n">
        <f aca="false">G49*Seg2_kWh*12*G45</f>
        <v>122275.62679104</v>
      </c>
      <c r="H62" s="93" t="n">
        <f aca="false">H49*Seg2_kWh*12*H45</f>
        <v>125943.895594771</v>
      </c>
      <c r="I62" s="93" t="n">
        <f aca="false">I49*Seg2_kWh*12*I45</f>
        <v>129722.212462614</v>
      </c>
      <c r="J62" s="93" t="n">
        <f aca="false">J49*Seg2_kWh*12*J45</f>
        <v>133613.878836493</v>
      </c>
      <c r="K62" s="93" t="n">
        <f aca="false">K49*Seg2_kWh*12*K45</f>
        <v>137622.295201588</v>
      </c>
      <c r="L62" s="93" t="n">
        <f aca="false">L49*Seg2_kWh*12*L45</f>
        <v>141750.964057635</v>
      </c>
      <c r="M62" s="93" t="n">
        <f aca="false">M49*Seg2_kWh*12*M45</f>
        <v>146003.492979364</v>
      </c>
      <c r="N62" s="93" t="n">
        <f aca="false">N49*Seg2_kWh*12*N45</f>
        <v>150383.597768745</v>
      </c>
      <c r="O62" s="93" t="n">
        <f aca="false">O49*Seg2_kWh*12*O45</f>
        <v>154895.105701808</v>
      </c>
      <c r="P62" s="93" t="n">
        <f aca="false">P49*Seg2_kWh*12*P45</f>
        <v>159541.958872862</v>
      </c>
      <c r="Q62" s="93" t="n">
        <f aca="false">Q49*Seg2_kWh*12*Q45</f>
        <v>164328.217639048</v>
      </c>
      <c r="R62" s="93" t="n">
        <f aca="false">R49*Seg2_kWh*12*R45</f>
        <v>169258.064168219</v>
      </c>
      <c r="S62" s="93" t="n">
        <f aca="false">S49*Seg2_kWh*12*S45</f>
        <v>174335.806093266</v>
      </c>
      <c r="T62" s="93" t="n">
        <f aca="false">T49*Seg2_kWh*12*T45</f>
        <v>179565.880276064</v>
      </c>
      <c r="U62" s="93" t="n">
        <f aca="false">U49*Seg2_kWh*12*U45</f>
        <v>184952.856684346</v>
      </c>
      <c r="V62" s="93" t="n">
        <f aca="false">V49*Seg2_kWh*12*V45</f>
        <v>190501.442384876</v>
      </c>
      <c r="W62" s="93" t="n">
        <f aca="false">W49*Seg2_kWh*12*W45</f>
        <v>196216.485656422</v>
      </c>
    </row>
    <row r="63" customFormat="false" ht="15" hidden="false" customHeight="false" outlineLevel="0" collapsed="false">
      <c r="A63" s="11" t="str">
        <f aca="false">"Energy sold (kWh) - "&amp;Seg3_Name</f>
        <v>Energy sold (kWh) - Commercial (shops, bars, kiosks)</v>
      </c>
      <c r="B63" s="76" t="n">
        <f aca="false">SUM(C63:W63)</f>
        <v>1578952.46933883</v>
      </c>
      <c r="C63" s="93" t="n">
        <v>0</v>
      </c>
      <c r="D63" s="93" t="n">
        <f aca="false">D50*Seg3_kWh*12*D45</f>
        <v>36000</v>
      </c>
      <c r="E63" s="93" t="n">
        <f aca="false">E50*Seg3_kWh*12*E45</f>
        <v>52530</v>
      </c>
      <c r="F63" s="93" t="n">
        <f aca="false">F50*Seg3_kWh*12*F45</f>
        <v>63654</v>
      </c>
      <c r="G63" s="93" t="n">
        <f aca="false">G50*Seg3_kWh*12*G45</f>
        <v>65563.62</v>
      </c>
      <c r="H63" s="93" t="n">
        <f aca="false">H50*Seg3_kWh*12*H45</f>
        <v>67530.5286</v>
      </c>
      <c r="I63" s="93" t="n">
        <f aca="false">I50*Seg3_kWh*12*I45</f>
        <v>69556.444458</v>
      </c>
      <c r="J63" s="93" t="n">
        <f aca="false">J50*Seg3_kWh*12*J45</f>
        <v>71643.13779174</v>
      </c>
      <c r="K63" s="93" t="n">
        <f aca="false">K50*Seg3_kWh*12*K45</f>
        <v>73792.4319254922</v>
      </c>
      <c r="L63" s="93" t="n">
        <f aca="false">L50*Seg3_kWh*12*L45</f>
        <v>76006.204883257</v>
      </c>
      <c r="M63" s="93" t="n">
        <f aca="false">M50*Seg3_kWh*12*M45</f>
        <v>78286.3910297547</v>
      </c>
      <c r="N63" s="93" t="n">
        <f aca="false">N50*Seg3_kWh*12*N45</f>
        <v>80634.9827606473</v>
      </c>
      <c r="O63" s="93" t="n">
        <f aca="false">O50*Seg3_kWh*12*O45</f>
        <v>83054.0322434668</v>
      </c>
      <c r="P63" s="93" t="n">
        <f aca="false">P50*Seg3_kWh*12*P45</f>
        <v>85545.6532107708</v>
      </c>
      <c r="Q63" s="93" t="n">
        <f aca="false">Q50*Seg3_kWh*12*Q45</f>
        <v>88112.0228070939</v>
      </c>
      <c r="R63" s="93" t="n">
        <f aca="false">R50*Seg3_kWh*12*R45</f>
        <v>90755.3834913067</v>
      </c>
      <c r="S63" s="93" t="n">
        <f aca="false">S50*Seg3_kWh*12*S45</f>
        <v>93478.0449960459</v>
      </c>
      <c r="T63" s="93" t="n">
        <f aca="false">T50*Seg3_kWh*12*T45</f>
        <v>96282.3863459273</v>
      </c>
      <c r="U63" s="93" t="n">
        <f aca="false">U50*Seg3_kWh*12*U45</f>
        <v>99170.8579363051</v>
      </c>
      <c r="V63" s="93" t="n">
        <f aca="false">V50*Seg3_kWh*12*V45</f>
        <v>102145.983674394</v>
      </c>
      <c r="W63" s="93" t="n">
        <f aca="false">W50*Seg3_kWh*12*W45</f>
        <v>105210.363184626</v>
      </c>
    </row>
    <row r="64" customFormat="false" ht="15" hidden="false" customHeight="false" outlineLevel="0" collapsed="false">
      <c r="A64" s="11" t="str">
        <f aca="false">"Energy sold (kWh) - "&amp;Seg4_Name</f>
        <v>Energy sold (kWh) - Institutions (health centre, school, water)</v>
      </c>
      <c r="B64" s="76" t="n">
        <f aca="false">SUM(C64:W64)</f>
        <v>947371.481603297</v>
      </c>
      <c r="C64" s="93" t="n">
        <v>0</v>
      </c>
      <c r="D64" s="93" t="n">
        <f aca="false">D51*Seg4_kWh*12*D45</f>
        <v>21600</v>
      </c>
      <c r="E64" s="93" t="n">
        <f aca="false">E51*Seg4_kWh*12*E45</f>
        <v>31518</v>
      </c>
      <c r="F64" s="93" t="n">
        <f aca="false">F51*Seg4_kWh*12*F45</f>
        <v>38192.4</v>
      </c>
      <c r="G64" s="93" t="n">
        <f aca="false">G51*Seg4_kWh*12*G45</f>
        <v>39338.172</v>
      </c>
      <c r="H64" s="93" t="n">
        <f aca="false">H51*Seg4_kWh*12*H45</f>
        <v>40518.31716</v>
      </c>
      <c r="I64" s="93" t="n">
        <f aca="false">I51*Seg4_kWh*12*I45</f>
        <v>41733.8666748</v>
      </c>
      <c r="J64" s="93" t="n">
        <f aca="false">J51*Seg4_kWh*12*J45</f>
        <v>42985.882675044</v>
      </c>
      <c r="K64" s="93" t="n">
        <f aca="false">K51*Seg4_kWh*12*K45</f>
        <v>44275.4591552953</v>
      </c>
      <c r="L64" s="93" t="n">
        <f aca="false">L51*Seg4_kWh*12*L45</f>
        <v>45603.7229299542</v>
      </c>
      <c r="M64" s="93" t="n">
        <f aca="false">M51*Seg4_kWh*12*M45</f>
        <v>46971.8346178528</v>
      </c>
      <c r="N64" s="93" t="n">
        <f aca="false">N51*Seg4_kWh*12*N45</f>
        <v>48380.9896563884</v>
      </c>
      <c r="O64" s="93" t="n">
        <f aca="false">O51*Seg4_kWh*12*O45</f>
        <v>49832.4193460801</v>
      </c>
      <c r="P64" s="93" t="n">
        <f aca="false">P51*Seg4_kWh*12*P45</f>
        <v>51327.3919264625</v>
      </c>
      <c r="Q64" s="93" t="n">
        <f aca="false">Q51*Seg4_kWh*12*Q45</f>
        <v>52867.2136842563</v>
      </c>
      <c r="R64" s="93" t="n">
        <f aca="false">R51*Seg4_kWh*12*R45</f>
        <v>54453.230094784</v>
      </c>
      <c r="S64" s="93" t="n">
        <f aca="false">S51*Seg4_kWh*12*S45</f>
        <v>56086.8269976275</v>
      </c>
      <c r="T64" s="93" t="n">
        <f aca="false">T51*Seg4_kWh*12*T45</f>
        <v>57769.4318075564</v>
      </c>
      <c r="U64" s="93" t="n">
        <f aca="false">U51*Seg4_kWh*12*U45</f>
        <v>59502.5147617831</v>
      </c>
      <c r="V64" s="93" t="n">
        <f aca="false">V51*Seg4_kWh*12*V45</f>
        <v>61287.5902046366</v>
      </c>
      <c r="W64" s="93" t="n">
        <f aca="false">W51*Seg4_kWh*12*W45</f>
        <v>63126.2179107757</v>
      </c>
    </row>
    <row r="65" customFormat="false" ht="15" hidden="false" customHeight="false" outlineLevel="0" collapsed="false">
      <c r="A65" s="11" t="str">
        <f aca="false">"Energy sold (kWh) - "&amp;Seg5_Name</f>
        <v>Energy sold (kWh) - Other / custom</v>
      </c>
      <c r="B65" s="76" t="n">
        <f aca="false">SUM(C65:W65)</f>
        <v>0</v>
      </c>
      <c r="C65" s="93" t="n">
        <v>0</v>
      </c>
      <c r="D65" s="93" t="n">
        <f aca="false">D52*Seg5_kWh*12*D45</f>
        <v>0</v>
      </c>
      <c r="E65" s="93" t="n">
        <f aca="false">E52*Seg5_kWh*12*E45</f>
        <v>0</v>
      </c>
      <c r="F65" s="93" t="n">
        <f aca="false">F52*Seg5_kWh*12*F45</f>
        <v>0</v>
      </c>
      <c r="G65" s="93" t="n">
        <f aca="false">G52*Seg5_kWh*12*G45</f>
        <v>0</v>
      </c>
      <c r="H65" s="93" t="n">
        <f aca="false">H52*Seg5_kWh*12*H45</f>
        <v>0</v>
      </c>
      <c r="I65" s="93" t="n">
        <f aca="false">I52*Seg5_kWh*12*I45</f>
        <v>0</v>
      </c>
      <c r="J65" s="93" t="n">
        <f aca="false">J52*Seg5_kWh*12*J45</f>
        <v>0</v>
      </c>
      <c r="K65" s="93" t="n">
        <f aca="false">K52*Seg5_kWh*12*K45</f>
        <v>0</v>
      </c>
      <c r="L65" s="93" t="n">
        <f aca="false">L52*Seg5_kWh*12*L45</f>
        <v>0</v>
      </c>
      <c r="M65" s="93" t="n">
        <f aca="false">M52*Seg5_kWh*12*M45</f>
        <v>0</v>
      </c>
      <c r="N65" s="93" t="n">
        <f aca="false">N52*Seg5_kWh*12*N45</f>
        <v>0</v>
      </c>
      <c r="O65" s="93" t="n">
        <f aca="false">O52*Seg5_kWh*12*O45</f>
        <v>0</v>
      </c>
      <c r="P65" s="93" t="n">
        <f aca="false">P52*Seg5_kWh*12*P45</f>
        <v>0</v>
      </c>
      <c r="Q65" s="93" t="n">
        <f aca="false">Q52*Seg5_kWh*12*Q45</f>
        <v>0</v>
      </c>
      <c r="R65" s="93" t="n">
        <f aca="false">R52*Seg5_kWh*12*R45</f>
        <v>0</v>
      </c>
      <c r="S65" s="93" t="n">
        <f aca="false">S52*Seg5_kWh*12*S45</f>
        <v>0</v>
      </c>
      <c r="T65" s="93" t="n">
        <f aca="false">T52*Seg5_kWh*12*T45</f>
        <v>0</v>
      </c>
      <c r="U65" s="93" t="n">
        <f aca="false">U52*Seg5_kWh*12*U45</f>
        <v>0</v>
      </c>
      <c r="V65" s="93" t="n">
        <f aca="false">V52*Seg5_kWh*12*V45</f>
        <v>0</v>
      </c>
      <c r="W65" s="93" t="n">
        <f aca="false">W52*Seg5_kWh*12*W45</f>
        <v>0</v>
      </c>
    </row>
    <row r="66" customFormat="false" ht="15" hidden="false" customHeight="false" outlineLevel="0" collapsed="false">
      <c r="A66" s="16" t="s">
        <v>422</v>
      </c>
      <c r="B66" s="76" t="n">
        <f aca="false">SUM(C66:W66)</f>
        <v>9260543.60105247</v>
      </c>
      <c r="C66" s="29" t="n">
        <f aca="false">C61+C62+C63+C64+C65</f>
        <v>0</v>
      </c>
      <c r="D66" s="29" t="n">
        <f aca="false">D61+D62+D63+D64+D65</f>
        <v>211139.712</v>
      </c>
      <c r="E66" s="29" t="n">
        <f aca="false">E61+E62+E63+E64+E65</f>
        <v>308088.02976</v>
      </c>
      <c r="F66" s="29" t="n">
        <f aca="false">F61+F62+F63+F64+F65</f>
        <v>373330.200768</v>
      </c>
      <c r="G66" s="29" t="n">
        <f aca="false">G61+G62+G63+G64+G65</f>
        <v>384530.10679104</v>
      </c>
      <c r="H66" s="29" t="n">
        <f aca="false">H61+H62+H63+H64+H65</f>
        <v>396066.009994771</v>
      </c>
      <c r="I66" s="29" t="n">
        <f aca="false">I61+I62+I63+I64+I65</f>
        <v>407947.990294614</v>
      </c>
      <c r="J66" s="29" t="n">
        <f aca="false">J61+J62+J63+J64+J65</f>
        <v>420186.430003453</v>
      </c>
      <c r="K66" s="29" t="n">
        <f aca="false">K61+K62+K63+K64+K65</f>
        <v>432792.022903556</v>
      </c>
      <c r="L66" s="29" t="n">
        <f aca="false">L61+L62+L63+L64+L65</f>
        <v>445775.783590663</v>
      </c>
      <c r="M66" s="29" t="n">
        <f aca="false">M61+M62+M63+M64+M65</f>
        <v>459149.057098383</v>
      </c>
      <c r="N66" s="29" t="n">
        <f aca="false">N61+N62+N63+N64+N65</f>
        <v>472923.528811335</v>
      </c>
      <c r="O66" s="29" t="n">
        <f aca="false">O61+O62+O63+O64+O65</f>
        <v>487111.234675675</v>
      </c>
      <c r="P66" s="29" t="n">
        <f aca="false">P61+P62+P63+P64+P65</f>
        <v>501724.571715945</v>
      </c>
      <c r="Q66" s="29" t="n">
        <f aca="false">Q61+Q62+Q63+Q64+Q65</f>
        <v>516776.308867423</v>
      </c>
      <c r="R66" s="29" t="n">
        <f aca="false">R61+R62+R63+R64+R65</f>
        <v>532279.598133446</v>
      </c>
      <c r="S66" s="29" t="n">
        <f aca="false">S61+S62+S63+S64+S65</f>
        <v>548247.986077449</v>
      </c>
      <c r="T66" s="29" t="n">
        <f aca="false">T61+T62+T63+T64+T65</f>
        <v>564695.425659773</v>
      </c>
      <c r="U66" s="29" t="n">
        <f aca="false">U61+U62+U63+U64+U65</f>
        <v>581636.288429566</v>
      </c>
      <c r="V66" s="29" t="n">
        <f aca="false">V61+V62+V63+V64+V65</f>
        <v>599085.377082453</v>
      </c>
      <c r="W66" s="29" t="n">
        <f aca="false">W61+W62+W63+W64+W65</f>
        <v>617057.938394927</v>
      </c>
    </row>
    <row r="68" customFormat="false" ht="15" hidden="false" customHeight="false" outlineLevel="0" collapsed="false">
      <c r="A68" s="9" t="s">
        <v>423</v>
      </c>
      <c r="B68" s="10"/>
      <c r="C68" s="10"/>
      <c r="D68" s="10"/>
      <c r="E68" s="10"/>
      <c r="F68" s="10"/>
      <c r="G68" s="10"/>
      <c r="H68" s="10"/>
      <c r="I68" s="10"/>
      <c r="J68" s="10"/>
      <c r="K68" s="10"/>
      <c r="L68" s="10"/>
      <c r="M68" s="10"/>
      <c r="N68" s="10"/>
      <c r="O68" s="10"/>
      <c r="P68" s="10"/>
      <c r="Q68" s="10"/>
      <c r="R68" s="10"/>
      <c r="S68" s="10"/>
      <c r="T68" s="10"/>
      <c r="U68" s="10"/>
      <c r="V68" s="10"/>
      <c r="W68" s="10"/>
    </row>
    <row r="69" customFormat="false" ht="15" hidden="false" customHeight="false" outlineLevel="0" collapsed="false">
      <c r="A69" s="11" t="s">
        <v>424</v>
      </c>
      <c r="B69" s="76" t="n">
        <f aca="false">SUM(C69:W69)</f>
        <v>10523345.001196</v>
      </c>
      <c r="C69" s="93" t="n">
        <v>0</v>
      </c>
      <c r="D69" s="93" t="n">
        <f aca="false">D66/(1-Losses)</f>
        <v>239931.490909091</v>
      </c>
      <c r="E69" s="93" t="n">
        <f aca="false">E66/(1-Losses)</f>
        <v>350100.033818182</v>
      </c>
      <c r="F69" s="93" t="n">
        <f aca="false">F66/(1-Losses)</f>
        <v>424238.864509091</v>
      </c>
      <c r="G69" s="93" t="n">
        <f aca="false">G66/(1-Losses)</f>
        <v>436966.030444364</v>
      </c>
      <c r="H69" s="93" t="n">
        <f aca="false">H66/(1-Losses)</f>
        <v>450075.011357695</v>
      </c>
      <c r="I69" s="93" t="n">
        <f aca="false">I66/(1-Losses)</f>
        <v>463577.261698425</v>
      </c>
      <c r="J69" s="93" t="n">
        <f aca="false">J66/(1-Losses)</f>
        <v>477484.579549378</v>
      </c>
      <c r="K69" s="93" t="n">
        <f aca="false">K66/(1-Losses)</f>
        <v>491809.11693586</v>
      </c>
      <c r="L69" s="93" t="n">
        <f aca="false">L66/(1-Losses)</f>
        <v>506563.390443935</v>
      </c>
      <c r="M69" s="93" t="n">
        <f aca="false">M66/(1-Losses)</f>
        <v>521760.292157253</v>
      </c>
      <c r="N69" s="93" t="n">
        <f aca="false">N66/(1-Losses)</f>
        <v>537413.100921971</v>
      </c>
      <c r="O69" s="93" t="n">
        <f aca="false">O66/(1-Losses)</f>
        <v>553535.49394963</v>
      </c>
      <c r="P69" s="93" t="n">
        <f aca="false">P66/(1-Losses)</f>
        <v>570141.558768119</v>
      </c>
      <c r="Q69" s="93" t="n">
        <f aca="false">Q66/(1-Losses)</f>
        <v>587245.805531163</v>
      </c>
      <c r="R69" s="93" t="n">
        <f aca="false">R66/(1-Losses)</f>
        <v>604863.179697098</v>
      </c>
      <c r="S69" s="93" t="n">
        <f aca="false">S66/(1-Losses)</f>
        <v>623009.07508801</v>
      </c>
      <c r="T69" s="93" t="n">
        <f aca="false">T66/(1-Losses)</f>
        <v>641699.347340651</v>
      </c>
      <c r="U69" s="93" t="n">
        <f aca="false">U66/(1-Losses)</f>
        <v>660950.327760871</v>
      </c>
      <c r="V69" s="93" t="n">
        <f aca="false">V66/(1-Losses)</f>
        <v>680778.837593697</v>
      </c>
      <c r="W69" s="93" t="n">
        <f aca="false">W66/(1-Losses)</f>
        <v>701202.202721508</v>
      </c>
    </row>
    <row r="70" customFormat="false" ht="15" hidden="false" customHeight="false" outlineLevel="0" collapsed="false">
      <c r="A70" s="11" t="s">
        <v>425</v>
      </c>
      <c r="B70" s="76" t="n">
        <f aca="false">SUM(C70:W70)</f>
        <v>8722537.45034705</v>
      </c>
      <c r="C70" s="93" t="n">
        <v>0</v>
      </c>
      <c r="D70" s="93" t="n">
        <f aca="false">PV_kWp*SpecYield*(1-Degradation)^(D39-1)*D41</f>
        <v>457206.277768167</v>
      </c>
      <c r="E70" s="93" t="n">
        <f aca="false">PV_kWp*SpecYield*(1-Degradation)^(E39-1)*E41</f>
        <v>454920.246379326</v>
      </c>
      <c r="F70" s="93" t="n">
        <f aca="false">PV_kWp*SpecYield*(1-Degradation)^(F39-1)*F41</f>
        <v>452645.64514743</v>
      </c>
      <c r="G70" s="93" t="n">
        <f aca="false">PV_kWp*SpecYield*(1-Degradation)^(G39-1)*G41</f>
        <v>450382.416921693</v>
      </c>
      <c r="H70" s="93" t="n">
        <f aca="false">PV_kWp*SpecYield*(1-Degradation)^(H39-1)*H41</f>
        <v>448130.504837084</v>
      </c>
      <c r="I70" s="93" t="n">
        <f aca="false">PV_kWp*SpecYield*(1-Degradation)^(I39-1)*I41</f>
        <v>445889.852312899</v>
      </c>
      <c r="J70" s="93" t="n">
        <f aca="false">PV_kWp*SpecYield*(1-Degradation)^(J39-1)*J41</f>
        <v>443660.403051334</v>
      </c>
      <c r="K70" s="93" t="n">
        <f aca="false">PV_kWp*SpecYield*(1-Degradation)^(K39-1)*K41</f>
        <v>441442.101036078</v>
      </c>
      <c r="L70" s="93" t="n">
        <f aca="false">PV_kWp*SpecYield*(1-Degradation)^(L39-1)*L41</f>
        <v>439234.890530897</v>
      </c>
      <c r="M70" s="93" t="n">
        <f aca="false">PV_kWp*SpecYield*(1-Degradation)^(M39-1)*M41</f>
        <v>437038.716078243</v>
      </c>
      <c r="N70" s="93" t="n">
        <f aca="false">PV_kWp*SpecYield*(1-Degradation)^(N39-1)*N41</f>
        <v>434853.522497851</v>
      </c>
      <c r="O70" s="93" t="n">
        <f aca="false">PV_kWp*SpecYield*(1-Degradation)^(O39-1)*O41</f>
        <v>432679.254885362</v>
      </c>
      <c r="P70" s="93" t="n">
        <f aca="false">PV_kWp*SpecYield*(1-Degradation)^(P39-1)*P41</f>
        <v>430515.858610935</v>
      </c>
      <c r="Q70" s="93" t="n">
        <f aca="false">PV_kWp*SpecYield*(1-Degradation)^(Q39-1)*Q41</f>
        <v>428363.279317881</v>
      </c>
      <c r="R70" s="93" t="n">
        <f aca="false">PV_kWp*SpecYield*(1-Degradation)^(R39-1)*R41</f>
        <v>426221.462921291</v>
      </c>
      <c r="S70" s="93" t="n">
        <f aca="false">PV_kWp*SpecYield*(1-Degradation)^(S39-1)*S41</f>
        <v>424090.355606685</v>
      </c>
      <c r="T70" s="93" t="n">
        <f aca="false">PV_kWp*SpecYield*(1-Degradation)^(T39-1)*T41</f>
        <v>421969.903828651</v>
      </c>
      <c r="U70" s="93" t="n">
        <f aca="false">PV_kWp*SpecYield*(1-Degradation)^(U39-1)*U41</f>
        <v>419860.054309508</v>
      </c>
      <c r="V70" s="93" t="n">
        <f aca="false">PV_kWp*SpecYield*(1-Degradation)^(V39-1)*V41</f>
        <v>417760.754037961</v>
      </c>
      <c r="W70" s="93" t="n">
        <f aca="false">PV_kWp*SpecYield*(1-Degradation)^(W39-1)*W41</f>
        <v>415671.950267771</v>
      </c>
    </row>
    <row r="71" customFormat="false" ht="15" hidden="false" customHeight="false" outlineLevel="0" collapsed="false">
      <c r="A71" s="11" t="s">
        <v>426</v>
      </c>
      <c r="B71" s="76" t="n">
        <f aca="false">SUM(C71:W71)</f>
        <v>7903453.19236348</v>
      </c>
      <c r="C71" s="93" t="n">
        <v>0</v>
      </c>
      <c r="D71" s="93" t="n">
        <f aca="false">MIN(D70/StorageFactor,D69*SolarFraction)</f>
        <v>215938.341818182</v>
      </c>
      <c r="E71" s="93" t="n">
        <f aca="false">MIN(E70/StorageFactor,E69*SolarFraction)</f>
        <v>315090.030436364</v>
      </c>
      <c r="F71" s="93" t="n">
        <f aca="false">MIN(F70/StorageFactor,F69*SolarFraction)</f>
        <v>381814.978058182</v>
      </c>
      <c r="G71" s="93" t="n">
        <f aca="false">MIN(G70/StorageFactor,G69*SolarFraction)</f>
        <v>393269.427399927</v>
      </c>
      <c r="H71" s="93" t="n">
        <f aca="false">MIN(H70/StorageFactor,H69*SolarFraction)</f>
        <v>405067.510221925</v>
      </c>
      <c r="I71" s="93" t="n">
        <f aca="false">MIN(I70/StorageFactor,I69*SolarFraction)</f>
        <v>417219.535528583</v>
      </c>
      <c r="J71" s="93" t="n">
        <f aca="false">MIN(J70/StorageFactor,J69*SolarFraction)</f>
        <v>426078.172123344</v>
      </c>
      <c r="K71" s="93" t="n">
        <f aca="false">MIN(K70/StorageFactor,K69*SolarFraction)</f>
        <v>423947.781262727</v>
      </c>
      <c r="L71" s="93" t="n">
        <f aca="false">MIN(L70/StorageFactor,L69*SolarFraction)</f>
        <v>421828.042356414</v>
      </c>
      <c r="M71" s="93" t="n">
        <f aca="false">MIN(M70/StorageFactor,M69*SolarFraction)</f>
        <v>419718.902144632</v>
      </c>
      <c r="N71" s="93" t="n">
        <f aca="false">MIN(N70/StorageFactor,N69*SolarFraction)</f>
        <v>417620.307633909</v>
      </c>
      <c r="O71" s="93" t="n">
        <f aca="false">MIN(O70/StorageFactor,O69*SolarFraction)</f>
        <v>415532.206095739</v>
      </c>
      <c r="P71" s="93" t="n">
        <f aca="false">MIN(P70/StorageFactor,P69*SolarFraction)</f>
        <v>413454.54506526</v>
      </c>
      <c r="Q71" s="93" t="n">
        <f aca="false">MIN(Q70/StorageFactor,Q69*SolarFraction)</f>
        <v>411387.272339934</v>
      </c>
      <c r="R71" s="93" t="n">
        <f aca="false">MIN(R70/StorageFactor,R69*SolarFraction)</f>
        <v>409330.335978234</v>
      </c>
      <c r="S71" s="93" t="n">
        <f aca="false">MIN(S70/StorageFactor,S69*SolarFraction)</f>
        <v>407283.684298343</v>
      </c>
      <c r="T71" s="93" t="n">
        <f aca="false">MIN(T70/StorageFactor,T69*SolarFraction)</f>
        <v>405247.265876851</v>
      </c>
      <c r="U71" s="93" t="n">
        <f aca="false">MIN(U70/StorageFactor,U69*SolarFraction)</f>
        <v>403221.029547467</v>
      </c>
      <c r="V71" s="93" t="n">
        <f aca="false">MIN(V70/StorageFactor,V69*SolarFraction)</f>
        <v>401204.92439973</v>
      </c>
      <c r="W71" s="93" t="n">
        <f aca="false">MIN(W70/StorageFactor,W69*SolarFraction)</f>
        <v>399198.899777731</v>
      </c>
    </row>
    <row r="72" customFormat="false" ht="15" hidden="false" customHeight="false" outlineLevel="0" collapsed="false">
      <c r="A72" s="11" t="s">
        <v>427</v>
      </c>
      <c r="B72" s="76" t="n">
        <f aca="false">SUM(C72:W72)</f>
        <v>2619891.80883251</v>
      </c>
      <c r="C72" s="93" t="n">
        <v>0</v>
      </c>
      <c r="D72" s="93" t="n">
        <f aca="false">D69-D71</f>
        <v>23993.1490909091</v>
      </c>
      <c r="E72" s="93" t="n">
        <f aca="false">E69-E71</f>
        <v>35010.0033818182</v>
      </c>
      <c r="F72" s="93" t="n">
        <f aca="false">F69-F71</f>
        <v>42423.8864509091</v>
      </c>
      <c r="G72" s="93" t="n">
        <f aca="false">G69-G71</f>
        <v>43696.6030444364</v>
      </c>
      <c r="H72" s="93" t="n">
        <f aca="false">H69-H71</f>
        <v>45007.5011357695</v>
      </c>
      <c r="I72" s="93" t="n">
        <f aca="false">I69-I71</f>
        <v>46357.7261698425</v>
      </c>
      <c r="J72" s="93" t="n">
        <f aca="false">J69-J71</f>
        <v>51406.407426034</v>
      </c>
      <c r="K72" s="93" t="n">
        <f aca="false">K69-K71</f>
        <v>67861.3356731322</v>
      </c>
      <c r="L72" s="93" t="n">
        <f aca="false">L69-L71</f>
        <v>84735.3480875216</v>
      </c>
      <c r="M72" s="93" t="n">
        <f aca="false">M69-M71</f>
        <v>102041.390012622</v>
      </c>
      <c r="N72" s="93" t="n">
        <f aca="false">N69-N71</f>
        <v>119792.793288062</v>
      </c>
      <c r="O72" s="93" t="n">
        <f aca="false">O69-O71</f>
        <v>138003.287853891</v>
      </c>
      <c r="P72" s="93" t="n">
        <f aca="false">P69-P71</f>
        <v>156687.013702859</v>
      </c>
      <c r="Q72" s="93" t="n">
        <f aca="false">Q69-Q71</f>
        <v>175858.533191229</v>
      </c>
      <c r="R72" s="93" t="n">
        <f aca="false">R69-R71</f>
        <v>195532.843718863</v>
      </c>
      <c r="S72" s="93" t="n">
        <f aca="false">S69-S71</f>
        <v>215725.390789667</v>
      </c>
      <c r="T72" s="93" t="n">
        <f aca="false">T69-T71</f>
        <v>236452.0814638</v>
      </c>
      <c r="U72" s="93" t="n">
        <f aca="false">U69-U71</f>
        <v>257729.298213403</v>
      </c>
      <c r="V72" s="93" t="n">
        <f aca="false">V69-V71</f>
        <v>279573.913193967</v>
      </c>
      <c r="W72" s="93" t="n">
        <f aca="false">W69-W71</f>
        <v>302003.302943776</v>
      </c>
    </row>
    <row r="73" customFormat="false" ht="15" hidden="false" customHeight="false" outlineLevel="0" collapsed="false">
      <c r="A73" s="11" t="s">
        <v>428</v>
      </c>
      <c r="C73" s="91" t="n">
        <v>0</v>
      </c>
      <c r="D73" s="91" t="n">
        <f aca="false">IFERROR(D71/D69,0)</f>
        <v>0.9</v>
      </c>
      <c r="E73" s="91" t="n">
        <f aca="false">IFERROR(E71/E69,0)</f>
        <v>0.9</v>
      </c>
      <c r="F73" s="91" t="n">
        <f aca="false">IFERROR(F71/F69,0)</f>
        <v>0.9</v>
      </c>
      <c r="G73" s="91" t="n">
        <f aca="false">IFERROR(G71/G69,0)</f>
        <v>0.9</v>
      </c>
      <c r="H73" s="91" t="n">
        <f aca="false">IFERROR(H71/H69,0)</f>
        <v>0.9</v>
      </c>
      <c r="I73" s="91" t="n">
        <f aca="false">IFERROR(I71/I69,0)</f>
        <v>0.9</v>
      </c>
      <c r="J73" s="91" t="n">
        <f aca="false">IFERROR(J71/J69,0)</f>
        <v>0.892339125434065</v>
      </c>
      <c r="K73" s="91" t="n">
        <f aca="false">IFERROR(K71/K69,0)</f>
        <v>0.862016922142616</v>
      </c>
      <c r="L73" s="91" t="n">
        <f aca="false">IFERROR(L71/L69,0)</f>
        <v>0.83272508498243</v>
      </c>
      <c r="M73" s="91" t="n">
        <f aca="false">IFERROR(M71/M69,0)</f>
        <v>0.804428601512153</v>
      </c>
      <c r="N73" s="91" t="n">
        <f aca="false">IFERROR(N71/N69,0)</f>
        <v>0.777093649033585</v>
      </c>
      <c r="O73" s="91" t="n">
        <f aca="false">IFERROR(O71/O69,0)</f>
        <v>0.750687554163511</v>
      </c>
      <c r="P73" s="91" t="n">
        <f aca="false">IFERROR(P71/P69,0)</f>
        <v>0.725178753779314</v>
      </c>
      <c r="Q73" s="91" t="n">
        <f aca="false">IFERROR(Q71/Q69,0)</f>
        <v>0.700536757291668</v>
      </c>
      <c r="R73" s="91" t="n">
        <f aca="false">IFERROR(R71/R69,0)</f>
        <v>0.676732110199232</v>
      </c>
      <c r="S73" s="91" t="n">
        <f aca="false">IFERROR(S71/S69,0)</f>
        <v>0.653736358881783</v>
      </c>
      <c r="T73" s="91" t="n">
        <f aca="false">IFERROR(T71/T69,0)</f>
        <v>0.631522016589683</v>
      </c>
      <c r="U73" s="91" t="n">
        <f aca="false">IFERROR(U71/U69,0)</f>
        <v>0.610062530589063</v>
      </c>
      <c r="V73" s="91" t="n">
        <f aca="false">IFERROR(V71/V69,0)</f>
        <v>0.589332250423415</v>
      </c>
      <c r="W73" s="91" t="n">
        <f aca="false">IFERROR(W71/W69,0)</f>
        <v>0.569306397253687</v>
      </c>
    </row>
    <row r="74" customFormat="false" ht="15" hidden="false" customHeight="false" outlineLevel="0" collapsed="false">
      <c r="A74" s="11" t="s">
        <v>429</v>
      </c>
      <c r="B74" s="76" t="n">
        <f aca="false">SUM(C74:W74)</f>
        <v>873297.269610837</v>
      </c>
      <c r="C74" s="93" t="n">
        <v>0</v>
      </c>
      <c r="D74" s="93" t="n">
        <f aca="false">D72/DieselEff</f>
        <v>7997.71636363636</v>
      </c>
      <c r="E74" s="93" t="n">
        <f aca="false">E72/DieselEff</f>
        <v>11670.0011272727</v>
      </c>
      <c r="F74" s="93" t="n">
        <f aca="false">F72/DieselEff</f>
        <v>14141.2954836364</v>
      </c>
      <c r="G74" s="93" t="n">
        <f aca="false">G72/DieselEff</f>
        <v>14565.5343481455</v>
      </c>
      <c r="H74" s="93" t="n">
        <f aca="false">H72/DieselEff</f>
        <v>15002.5003785898</v>
      </c>
      <c r="I74" s="93" t="n">
        <f aca="false">I72/DieselEff</f>
        <v>15452.5753899475</v>
      </c>
      <c r="J74" s="93" t="n">
        <f aca="false">J72/DieselEff</f>
        <v>17135.4691420114</v>
      </c>
      <c r="K74" s="93" t="n">
        <f aca="false">K72/DieselEff</f>
        <v>22620.4452243774</v>
      </c>
      <c r="L74" s="93" t="n">
        <f aca="false">L72/DieselEff</f>
        <v>28245.1160291739</v>
      </c>
      <c r="M74" s="93" t="n">
        <f aca="false">M72/DieselEff</f>
        <v>34013.7966708739</v>
      </c>
      <c r="N74" s="93" t="n">
        <f aca="false">N72/DieselEff</f>
        <v>39930.9310960208</v>
      </c>
      <c r="O74" s="93" t="n">
        <f aca="false">O72/DieselEff</f>
        <v>46001.0959512971</v>
      </c>
      <c r="P74" s="93" t="n">
        <f aca="false">P72/DieselEff</f>
        <v>52229.0045676196</v>
      </c>
      <c r="Q74" s="93" t="n">
        <f aca="false">Q72/DieselEff</f>
        <v>58619.5110637429</v>
      </c>
      <c r="R74" s="93" t="n">
        <f aca="false">R72/DieselEff</f>
        <v>65177.6145729544</v>
      </c>
      <c r="S74" s="93" t="n">
        <f aca="false">S72/DieselEff</f>
        <v>71908.4635965558</v>
      </c>
      <c r="T74" s="93" t="n">
        <f aca="false">T72/DieselEff</f>
        <v>78817.3604879332</v>
      </c>
      <c r="U74" s="93" t="n">
        <f aca="false">U72/DieselEff</f>
        <v>85909.7660711344</v>
      </c>
      <c r="V74" s="93" t="n">
        <f aca="false">V72/DieselEff</f>
        <v>93191.3043979889</v>
      </c>
      <c r="W74" s="93" t="n">
        <f aca="false">W72/DieselEff</f>
        <v>100667.767647925</v>
      </c>
    </row>
    <row r="76" customFormat="false" ht="15" hidden="false" customHeight="false" outlineLevel="0" collapsed="false">
      <c r="A76" s="9" t="s">
        <v>430</v>
      </c>
      <c r="B76" s="10"/>
      <c r="C76" s="10"/>
      <c r="D76" s="10"/>
      <c r="E76" s="10"/>
      <c r="F76" s="10"/>
      <c r="G76" s="10"/>
      <c r="H76" s="10"/>
      <c r="I76" s="10"/>
      <c r="J76" s="10"/>
      <c r="K76" s="10"/>
      <c r="L76" s="10"/>
      <c r="M76" s="10"/>
      <c r="N76" s="10"/>
      <c r="O76" s="10"/>
      <c r="P76" s="10"/>
      <c r="Q76" s="10"/>
      <c r="R76" s="10"/>
      <c r="S76" s="10"/>
      <c r="T76" s="10"/>
      <c r="U76" s="10"/>
      <c r="V76" s="10"/>
      <c r="W76" s="10"/>
    </row>
    <row r="77" customFormat="false" ht="15" hidden="false" customHeight="false" outlineLevel="0" collapsed="false">
      <c r="A77" s="11" t="str">
        <f aca="false">"Billed revenue - "&amp;Seg1_Name</f>
        <v>Billed revenue - Households</v>
      </c>
      <c r="B77" s="66" t="n">
        <f aca="false">SUM(C77:W77)</f>
        <v>2107258.13958533</v>
      </c>
      <c r="C77" s="95" t="n">
        <v>0</v>
      </c>
      <c r="D77" s="95" t="n">
        <f aca="false">D61*Seg1_Tariff*LevTariff*$B$5*D43</f>
        <v>34560</v>
      </c>
      <c r="E77" s="95" t="n">
        <f aca="false">E61*Seg1_Tariff*LevTariff*$B$5*E43</f>
        <v>51941.664</v>
      </c>
      <c r="F77" s="95" t="n">
        <f aca="false">F61*Seg1_Tariff*LevTariff*$B$5*F43</f>
        <v>64829.307456</v>
      </c>
      <c r="G77" s="95" t="n">
        <f aca="false">G61*Seg1_Tariff*LevTariff*$B$5*G43</f>
        <v>68777.4122800704</v>
      </c>
      <c r="H77" s="95" t="n">
        <f aca="false">H61*Seg1_Tariff*LevTariff*$B$5*H43</f>
        <v>72965.9566879267</v>
      </c>
      <c r="I77" s="95" t="n">
        <f aca="false">I61*Seg1_Tariff*LevTariff*$B$5*I43</f>
        <v>77409.5834502214</v>
      </c>
      <c r="J77" s="95" t="n">
        <f aca="false">J61*Seg1_Tariff*LevTariff*$B$5*J43</f>
        <v>82123.8270823399</v>
      </c>
      <c r="K77" s="95" t="n">
        <f aca="false">K61*Seg1_Tariff*LevTariff*$B$5*K43</f>
        <v>87125.1681516545</v>
      </c>
      <c r="L77" s="95" t="n">
        <f aca="false">L61*Seg1_Tariff*LevTariff*$B$5*L43</f>
        <v>92431.0908920902</v>
      </c>
      <c r="M77" s="95" t="n">
        <f aca="false">M61*Seg1_Tariff*LevTariff*$B$5*M43</f>
        <v>98060.1443274185</v>
      </c>
      <c r="N77" s="95" t="n">
        <f aca="false">N61*Seg1_Tariff*LevTariff*$B$5*N43</f>
        <v>104032.007116958</v>
      </c>
      <c r="O77" s="95" t="n">
        <f aca="false">O61*Seg1_Tariff*LevTariff*$B$5*O43</f>
        <v>110367.556350381</v>
      </c>
      <c r="P77" s="95" t="n">
        <f aca="false">P61*Seg1_Tariff*LevTariff*$B$5*P43</f>
        <v>117088.940532119</v>
      </c>
      <c r="Q77" s="95" t="n">
        <f aca="false">Q61*Seg1_Tariff*LevTariff*$B$5*Q43</f>
        <v>124219.657010525</v>
      </c>
      <c r="R77" s="95" t="n">
        <f aca="false">R61*Seg1_Tariff*LevTariff*$B$5*R43</f>
        <v>131784.634122466</v>
      </c>
      <c r="S77" s="95" t="n">
        <f aca="false">S61*Seg1_Tariff*LevTariff*$B$5*S43</f>
        <v>139810.318340525</v>
      </c>
      <c r="T77" s="95" t="n">
        <f aca="false">T61*Seg1_Tariff*LevTariff*$B$5*T43</f>
        <v>148324.766727463</v>
      </c>
      <c r="U77" s="95" t="n">
        <f aca="false">U61*Seg1_Tariff*LevTariff*$B$5*U43</f>
        <v>157357.745021165</v>
      </c>
      <c r="V77" s="95" t="n">
        <f aca="false">V61*Seg1_Tariff*LevTariff*$B$5*V43</f>
        <v>166940.831692954</v>
      </c>
      <c r="W77" s="95" t="n">
        <f aca="false">W61*Seg1_Tariff*LevTariff*$B$5*W43</f>
        <v>177107.528343055</v>
      </c>
    </row>
    <row r="78" customFormat="false" ht="15" hidden="false" customHeight="false" outlineLevel="0" collapsed="false">
      <c r="A78" s="11" t="str">
        <f aca="false">"Billed revenue - "&amp;Seg2_Name</f>
        <v>Billed revenue - Productive users (mills, welding, cold rooms)</v>
      </c>
      <c r="B78" s="66" t="n">
        <f aca="false">SUM(C78:W78)</f>
        <v>1432819.63572035</v>
      </c>
      <c r="C78" s="95" t="n">
        <v>0</v>
      </c>
      <c r="D78" s="95" t="n">
        <f aca="false">D62*Seg2_Tariff*LevTariff*$B$5*D43</f>
        <v>23498.8992</v>
      </c>
      <c r="E78" s="95" t="n">
        <f aca="false">E62*Seg2_Tariff*LevTariff*$B$5*E43</f>
        <v>35317.47472848</v>
      </c>
      <c r="F78" s="95" t="n">
        <f aca="false">F62*Seg2_Tariff*LevTariff*$B$5*F43</f>
        <v>44080.3634581699</v>
      </c>
      <c r="G78" s="95" t="n">
        <f aca="false">G62*Seg2_Tariff*LevTariff*$B$5*G43</f>
        <v>46764.8575927725</v>
      </c>
      <c r="H78" s="95" t="n">
        <f aca="false">H62*Seg2_Tariff*LevTariff*$B$5*H43</f>
        <v>49612.8374201723</v>
      </c>
      <c r="I78" s="95" t="n">
        <f aca="false">I62*Seg2_Tariff*LevTariff*$B$5*I43</f>
        <v>52634.2592190608</v>
      </c>
      <c r="J78" s="95" t="n">
        <f aca="false">J62*Seg2_Tariff*LevTariff*$B$5*J43</f>
        <v>55839.6856055016</v>
      </c>
      <c r="K78" s="95" t="n">
        <f aca="false">K62*Seg2_Tariff*LevTariff*$B$5*K43</f>
        <v>59240.3224588767</v>
      </c>
      <c r="L78" s="95" t="n">
        <f aca="false">L62*Seg2_Tariff*LevTariff*$B$5*L43</f>
        <v>62848.0580966223</v>
      </c>
      <c r="M78" s="95" t="n">
        <f aca="false">M62*Seg2_Tariff*LevTariff*$B$5*M43</f>
        <v>66675.5048347066</v>
      </c>
      <c r="N78" s="95" t="n">
        <f aca="false">N62*Seg2_Tariff*LevTariff*$B$5*N43</f>
        <v>70736.0430791402</v>
      </c>
      <c r="O78" s="95" t="n">
        <f aca="false">O62*Seg2_Tariff*LevTariff*$B$5*O43</f>
        <v>75043.8681026598</v>
      </c>
      <c r="P78" s="95" t="n">
        <f aca="false">P62*Seg2_Tariff*LevTariff*$B$5*P43</f>
        <v>79614.0396701118</v>
      </c>
      <c r="Q78" s="95" t="n">
        <f aca="false">Q62*Seg2_Tariff*LevTariff*$B$5*Q43</f>
        <v>84462.5346860216</v>
      </c>
      <c r="R78" s="95" t="n">
        <f aca="false">R62*Seg2_Tariff*LevTariff*$B$5*R43</f>
        <v>89606.3030484004</v>
      </c>
      <c r="S78" s="95" t="n">
        <f aca="false">S62*Seg2_Tariff*LevTariff*$B$5*S43</f>
        <v>95063.3269040479</v>
      </c>
      <c r="T78" s="95" t="n">
        <f aca="false">T62*Seg2_Tariff*LevTariff*$B$5*T43</f>
        <v>100852.683512504</v>
      </c>
      <c r="U78" s="95" t="n">
        <f aca="false">U62*Seg2_Tariff*LevTariff*$B$5*U43</f>
        <v>106994.611938416</v>
      </c>
      <c r="V78" s="95" t="n">
        <f aca="false">V62*Seg2_Tariff*LevTariff*$B$5*V43</f>
        <v>113510.583805466</v>
      </c>
      <c r="W78" s="95" t="n">
        <f aca="false">W62*Seg2_Tariff*LevTariff*$B$5*W43</f>
        <v>120423.378359218</v>
      </c>
    </row>
    <row r="79" customFormat="false" ht="15" hidden="false" customHeight="false" outlineLevel="0" collapsed="false">
      <c r="A79" s="11" t="str">
        <f aca="false">"Billed revenue - "&amp;Seg3_Name</f>
        <v>Billed revenue - Commercial (shops, bars, kiosks)</v>
      </c>
      <c r="B79" s="66" t="n">
        <f aca="false">SUM(C79:W79)</f>
        <v>878024.224827222</v>
      </c>
      <c r="C79" s="95" t="n">
        <v>0</v>
      </c>
      <c r="D79" s="95" t="n">
        <f aca="false">D63*Seg3_Tariff*LevTariff*$B$5*D43</f>
        <v>14400</v>
      </c>
      <c r="E79" s="95" t="n">
        <f aca="false">E63*Seg3_Tariff*LevTariff*$B$5*E43</f>
        <v>21642.36</v>
      </c>
      <c r="F79" s="95" t="n">
        <f aca="false">F63*Seg3_Tariff*LevTariff*$B$5*F43</f>
        <v>27012.21144</v>
      </c>
      <c r="G79" s="95" t="n">
        <f aca="false">G63*Seg3_Tariff*LevTariff*$B$5*G43</f>
        <v>28657.255116696</v>
      </c>
      <c r="H79" s="95" t="n">
        <f aca="false">H63*Seg3_Tariff*LevTariff*$B$5*H43</f>
        <v>30402.4819533028</v>
      </c>
      <c r="I79" s="95" t="n">
        <f aca="false">I63*Seg3_Tariff*LevTariff*$B$5*I43</f>
        <v>32253.9931042589</v>
      </c>
      <c r="J79" s="95" t="n">
        <f aca="false">J63*Seg3_Tariff*LevTariff*$B$5*J43</f>
        <v>34218.2612843083</v>
      </c>
      <c r="K79" s="95" t="n">
        <f aca="false">K63*Seg3_Tariff*LevTariff*$B$5*K43</f>
        <v>36302.1533965227</v>
      </c>
      <c r="L79" s="95" t="n">
        <f aca="false">L63*Seg3_Tariff*LevTariff*$B$5*L43</f>
        <v>38512.9545383709</v>
      </c>
      <c r="M79" s="95" t="n">
        <f aca="false">M63*Seg3_Tariff*LevTariff*$B$5*M43</f>
        <v>40858.3934697577</v>
      </c>
      <c r="N79" s="95" t="n">
        <f aca="false">N63*Seg3_Tariff*LevTariff*$B$5*N43</f>
        <v>43346.669632066</v>
      </c>
      <c r="O79" s="95" t="n">
        <f aca="false">O63*Seg3_Tariff*LevTariff*$B$5*O43</f>
        <v>45986.4818126588</v>
      </c>
      <c r="P79" s="95" t="n">
        <f aca="false">P63*Seg3_Tariff*LevTariff*$B$5*P43</f>
        <v>48787.0585550497</v>
      </c>
      <c r="Q79" s="95" t="n">
        <f aca="false">Q63*Seg3_Tariff*LevTariff*$B$5*Q43</f>
        <v>51758.1904210522</v>
      </c>
      <c r="R79" s="95" t="n">
        <f aca="false">R63*Seg3_Tariff*LevTariff*$B$5*R43</f>
        <v>54910.2642176943</v>
      </c>
      <c r="S79" s="95" t="n">
        <f aca="false">S63*Seg3_Tariff*LevTariff*$B$5*S43</f>
        <v>58254.2993085519</v>
      </c>
      <c r="T79" s="95" t="n">
        <f aca="false">T63*Seg3_Tariff*LevTariff*$B$5*T43</f>
        <v>61801.9861364427</v>
      </c>
      <c r="U79" s="95" t="n">
        <f aca="false">U63*Seg3_Tariff*LevTariff*$B$5*U43</f>
        <v>65565.7270921521</v>
      </c>
      <c r="V79" s="95" t="n">
        <f aca="false">V63*Seg3_Tariff*LevTariff*$B$5*V43</f>
        <v>69558.6798720642</v>
      </c>
      <c r="W79" s="95" t="n">
        <f aca="false">W63*Seg3_Tariff*LevTariff*$B$5*W43</f>
        <v>73794.8034762729</v>
      </c>
    </row>
    <row r="80" customFormat="false" ht="15" hidden="false" customHeight="false" outlineLevel="0" collapsed="false">
      <c r="A80" s="11" t="str">
        <f aca="false">"Billed revenue - "&amp;Seg4_Name</f>
        <v>Billed revenue - Institutions (health centre, school, water)</v>
      </c>
      <c r="B80" s="66" t="n">
        <f aca="false">SUM(C80:W80)</f>
        <v>460962.718034292</v>
      </c>
      <c r="C80" s="95" t="n">
        <v>0</v>
      </c>
      <c r="D80" s="95" t="n">
        <f aca="false">D64*Seg4_Tariff*LevTariff*$B$5*D43</f>
        <v>7560</v>
      </c>
      <c r="E80" s="95" t="n">
        <f aca="false">E64*Seg4_Tariff*LevTariff*$B$5*E43</f>
        <v>11362.239</v>
      </c>
      <c r="F80" s="95" t="n">
        <f aca="false">F64*Seg4_Tariff*LevTariff*$B$5*F43</f>
        <v>14181.411006</v>
      </c>
      <c r="G80" s="95" t="n">
        <f aca="false">G64*Seg4_Tariff*LevTariff*$B$5*G43</f>
        <v>15045.0589362654</v>
      </c>
      <c r="H80" s="95" t="n">
        <f aca="false">H64*Seg4_Tariff*LevTariff*$B$5*H43</f>
        <v>15961.303025484</v>
      </c>
      <c r="I80" s="95" t="n">
        <f aca="false">I64*Seg4_Tariff*LevTariff*$B$5*I43</f>
        <v>16933.3463797359</v>
      </c>
      <c r="J80" s="95" t="n">
        <f aca="false">J64*Seg4_Tariff*LevTariff*$B$5*J43</f>
        <v>17964.5871742619</v>
      </c>
      <c r="K80" s="95" t="n">
        <f aca="false">K64*Seg4_Tariff*LevTariff*$B$5*K43</f>
        <v>19058.6305331744</v>
      </c>
      <c r="L80" s="95" t="n">
        <f aca="false">L64*Seg4_Tariff*LevTariff*$B$5*L43</f>
        <v>20219.3011326447</v>
      </c>
      <c r="M80" s="95" t="n">
        <f aca="false">M64*Seg4_Tariff*LevTariff*$B$5*M43</f>
        <v>21450.6565716228</v>
      </c>
      <c r="N80" s="95" t="n">
        <f aca="false">N64*Seg4_Tariff*LevTariff*$B$5*N43</f>
        <v>22757.0015568346</v>
      </c>
      <c r="O80" s="95" t="n">
        <f aca="false">O64*Seg4_Tariff*LevTariff*$B$5*O43</f>
        <v>24142.9029516459</v>
      </c>
      <c r="P80" s="95" t="n">
        <f aca="false">P64*Seg4_Tariff*LevTariff*$B$5*P43</f>
        <v>25613.2057414011</v>
      </c>
      <c r="Q80" s="95" t="n">
        <f aca="false">Q64*Seg4_Tariff*LevTariff*$B$5*Q43</f>
        <v>27173.0499710524</v>
      </c>
      <c r="R80" s="95" t="n">
        <f aca="false">R64*Seg4_Tariff*LevTariff*$B$5*R43</f>
        <v>28827.8887142895</v>
      </c>
      <c r="S80" s="95" t="n">
        <f aca="false">S64*Seg4_Tariff*LevTariff*$B$5*S43</f>
        <v>30583.5071369897</v>
      </c>
      <c r="T80" s="95" t="n">
        <f aca="false">T64*Seg4_Tariff*LevTariff*$B$5*T43</f>
        <v>32446.0427216324</v>
      </c>
      <c r="U80" s="95" t="n">
        <f aca="false">U64*Seg4_Tariff*LevTariff*$B$5*U43</f>
        <v>34422.0067233798</v>
      </c>
      <c r="V80" s="95" t="n">
        <f aca="false">V64*Seg4_Tariff*LevTariff*$B$5*V43</f>
        <v>36518.3069328337</v>
      </c>
      <c r="W80" s="95" t="n">
        <f aca="false">W64*Seg4_Tariff*LevTariff*$B$5*W43</f>
        <v>38742.2718250432</v>
      </c>
    </row>
    <row r="81" customFormat="false" ht="15" hidden="false" customHeight="false" outlineLevel="0" collapsed="false">
      <c r="A81" s="11" t="str">
        <f aca="false">"Billed revenue - "&amp;Seg5_Name</f>
        <v>Billed revenue - Other / custom</v>
      </c>
      <c r="B81" s="66" t="n">
        <f aca="false">SUM(C81:W81)</f>
        <v>0</v>
      </c>
      <c r="C81" s="95" t="n">
        <v>0</v>
      </c>
      <c r="D81" s="95" t="n">
        <f aca="false">D65*Seg5_Tariff*LevTariff*$B$5*D43</f>
        <v>0</v>
      </c>
      <c r="E81" s="95" t="n">
        <f aca="false">E65*Seg5_Tariff*LevTariff*$B$5*E43</f>
        <v>0</v>
      </c>
      <c r="F81" s="95" t="n">
        <f aca="false">F65*Seg5_Tariff*LevTariff*$B$5*F43</f>
        <v>0</v>
      </c>
      <c r="G81" s="95" t="n">
        <f aca="false">G65*Seg5_Tariff*LevTariff*$B$5*G43</f>
        <v>0</v>
      </c>
      <c r="H81" s="95" t="n">
        <f aca="false">H65*Seg5_Tariff*LevTariff*$B$5*H43</f>
        <v>0</v>
      </c>
      <c r="I81" s="95" t="n">
        <f aca="false">I65*Seg5_Tariff*LevTariff*$B$5*I43</f>
        <v>0</v>
      </c>
      <c r="J81" s="95" t="n">
        <f aca="false">J65*Seg5_Tariff*LevTariff*$B$5*J43</f>
        <v>0</v>
      </c>
      <c r="K81" s="95" t="n">
        <f aca="false">K65*Seg5_Tariff*LevTariff*$B$5*K43</f>
        <v>0</v>
      </c>
      <c r="L81" s="95" t="n">
        <f aca="false">L65*Seg5_Tariff*LevTariff*$B$5*L43</f>
        <v>0</v>
      </c>
      <c r="M81" s="95" t="n">
        <f aca="false">M65*Seg5_Tariff*LevTariff*$B$5*M43</f>
        <v>0</v>
      </c>
      <c r="N81" s="95" t="n">
        <f aca="false">N65*Seg5_Tariff*LevTariff*$B$5*N43</f>
        <v>0</v>
      </c>
      <c r="O81" s="95" t="n">
        <f aca="false">O65*Seg5_Tariff*LevTariff*$B$5*O43</f>
        <v>0</v>
      </c>
      <c r="P81" s="95" t="n">
        <f aca="false">P65*Seg5_Tariff*LevTariff*$B$5*P43</f>
        <v>0</v>
      </c>
      <c r="Q81" s="95" t="n">
        <f aca="false">Q65*Seg5_Tariff*LevTariff*$B$5*Q43</f>
        <v>0</v>
      </c>
      <c r="R81" s="95" t="n">
        <f aca="false">R65*Seg5_Tariff*LevTariff*$B$5*R43</f>
        <v>0</v>
      </c>
      <c r="S81" s="95" t="n">
        <f aca="false">S65*Seg5_Tariff*LevTariff*$B$5*S43</f>
        <v>0</v>
      </c>
      <c r="T81" s="95" t="n">
        <f aca="false">T65*Seg5_Tariff*LevTariff*$B$5*T43</f>
        <v>0</v>
      </c>
      <c r="U81" s="95" t="n">
        <f aca="false">U65*Seg5_Tariff*LevTariff*$B$5*U43</f>
        <v>0</v>
      </c>
      <c r="V81" s="95" t="n">
        <f aca="false">V65*Seg5_Tariff*LevTariff*$B$5*V43</f>
        <v>0</v>
      </c>
      <c r="W81" s="95" t="n">
        <f aca="false">W65*Seg5_Tariff*LevTariff*$B$5*W43</f>
        <v>0</v>
      </c>
    </row>
    <row r="82" customFormat="false" ht="15" hidden="false" customHeight="false" outlineLevel="0" collapsed="false">
      <c r="A82" s="16" t="s">
        <v>431</v>
      </c>
      <c r="B82" s="66" t="n">
        <f aca="false">SUM(C82:W82)</f>
        <v>4879064.7181672</v>
      </c>
      <c r="C82" s="31" t="n">
        <f aca="false">C77+C78+C79+C80+C81</f>
        <v>0</v>
      </c>
      <c r="D82" s="31" t="n">
        <f aca="false">D77+D78+D79+D80+D81</f>
        <v>80018.8992</v>
      </c>
      <c r="E82" s="31" t="n">
        <f aca="false">E77+E78+E79+E80+E81</f>
        <v>120263.73772848</v>
      </c>
      <c r="F82" s="31" t="n">
        <f aca="false">F77+F78+F79+F80+F81</f>
        <v>150103.29336017</v>
      </c>
      <c r="G82" s="31" t="n">
        <f aca="false">G77+G78+G79+G80+G81</f>
        <v>159244.583925804</v>
      </c>
      <c r="H82" s="31" t="n">
        <f aca="false">H77+H78+H79+H80+H81</f>
        <v>168942.579086886</v>
      </c>
      <c r="I82" s="31" t="n">
        <f aca="false">I77+I78+I79+I80+I81</f>
        <v>179231.182153277</v>
      </c>
      <c r="J82" s="31" t="n">
        <f aca="false">J77+J78+J79+J80+J81</f>
        <v>190146.361146412</v>
      </c>
      <c r="K82" s="31" t="n">
        <f aca="false">K77+K78+K79+K80+K81</f>
        <v>201726.274540228</v>
      </c>
      <c r="L82" s="31" t="n">
        <f aca="false">L77+L78+L79+L80+L81</f>
        <v>214011.404659728</v>
      </c>
      <c r="M82" s="31" t="n">
        <f aca="false">M77+M78+M79+M80+M81</f>
        <v>227044.699203506</v>
      </c>
      <c r="N82" s="31" t="n">
        <f aca="false">N77+N78+N79+N80+N81</f>
        <v>240871.721384999</v>
      </c>
      <c r="O82" s="31" t="n">
        <f aca="false">O77+O78+O79+O80+O81</f>
        <v>255540.809217346</v>
      </c>
      <c r="P82" s="31" t="n">
        <f aca="false">P77+P78+P79+P80+P81</f>
        <v>271103.244498682</v>
      </c>
      <c r="Q82" s="31" t="n">
        <f aca="false">Q77+Q78+Q79+Q80+Q81</f>
        <v>287613.432088652</v>
      </c>
      <c r="R82" s="31" t="n">
        <f aca="false">R77+R78+R79+R80+R81</f>
        <v>305129.090102851</v>
      </c>
      <c r="S82" s="31" t="n">
        <f aca="false">S77+S78+S79+S80+S81</f>
        <v>323711.451690114</v>
      </c>
      <c r="T82" s="31" t="n">
        <f aca="false">T77+T78+T79+T80+T81</f>
        <v>343425.479098042</v>
      </c>
      <c r="U82" s="31" t="n">
        <f aca="false">U77+U78+U79+U80+U81</f>
        <v>364340.090775113</v>
      </c>
      <c r="V82" s="31" t="n">
        <f aca="false">V77+V78+V79+V80+V81</f>
        <v>386528.402303317</v>
      </c>
      <c r="W82" s="31" t="n">
        <f aca="false">W77+W78+W79+W80+W81</f>
        <v>410067.982003589</v>
      </c>
    </row>
    <row r="83" customFormat="false" ht="15" hidden="false" customHeight="false" outlineLevel="0" collapsed="false">
      <c r="A83" s="11" t="s">
        <v>432</v>
      </c>
      <c r="B83" s="66" t="n">
        <f aca="false">SUM(C83:W83)</f>
        <v>4488739.54071382</v>
      </c>
      <c r="C83" s="95" t="n">
        <v>0</v>
      </c>
      <c r="D83" s="95" t="n">
        <f aca="false">D82*MIN(1,Collection*LevColl*$B$9)</f>
        <v>73617.387264</v>
      </c>
      <c r="E83" s="95" t="n">
        <f aca="false">E82*MIN(1,Collection*LevColl*$B$9)</f>
        <v>110642.638710202</v>
      </c>
      <c r="F83" s="95" t="n">
        <f aca="false">F82*MIN(1,Collection*LevColl*$B$9)</f>
        <v>138095.029891356</v>
      </c>
      <c r="G83" s="95" t="n">
        <f aca="false">G82*MIN(1,Collection*LevColl*$B$9)</f>
        <v>146505.01721174</v>
      </c>
      <c r="H83" s="95" t="n">
        <f aca="false">H82*MIN(1,Collection*LevColl*$B$9)</f>
        <v>155427.172759935</v>
      </c>
      <c r="I83" s="95" t="n">
        <f aca="false">I82*MIN(1,Collection*LevColl*$B$9)</f>
        <v>164892.687581015</v>
      </c>
      <c r="J83" s="95" t="n">
        <f aca="false">J82*MIN(1,Collection*LevColl*$B$9)</f>
        <v>174934.652254699</v>
      </c>
      <c r="K83" s="95" t="n">
        <f aca="false">K82*MIN(1,Collection*LevColl*$B$9)</f>
        <v>185588.17257701</v>
      </c>
      <c r="L83" s="95" t="n">
        <f aca="false">L82*MIN(1,Collection*LevColl*$B$9)</f>
        <v>196890.49228695</v>
      </c>
      <c r="M83" s="95" t="n">
        <f aca="false">M82*MIN(1,Collection*LevColl*$B$9)</f>
        <v>208881.123267225</v>
      </c>
      <c r="N83" s="95" t="n">
        <f aca="false">N82*MIN(1,Collection*LevColl*$B$9)</f>
        <v>221601.983674199</v>
      </c>
      <c r="O83" s="95" t="n">
        <f aca="false">O82*MIN(1,Collection*LevColl*$B$9)</f>
        <v>235097.544479958</v>
      </c>
      <c r="P83" s="95" t="n">
        <f aca="false">P82*MIN(1,Collection*LevColl*$B$9)</f>
        <v>249414.984938787</v>
      </c>
      <c r="Q83" s="95" t="n">
        <f aca="false">Q82*MIN(1,Collection*LevColl*$B$9)</f>
        <v>264604.357521559</v>
      </c>
      <c r="R83" s="95" t="n">
        <f aca="false">R82*MIN(1,Collection*LevColl*$B$9)</f>
        <v>280718.762894623</v>
      </c>
      <c r="S83" s="95" t="n">
        <f aca="false">S82*MIN(1,Collection*LevColl*$B$9)</f>
        <v>297814.535554905</v>
      </c>
      <c r="T83" s="95" t="n">
        <f aca="false">T82*MIN(1,Collection*LevColl*$B$9)</f>
        <v>315951.440770199</v>
      </c>
      <c r="U83" s="95" t="n">
        <f aca="false">U82*MIN(1,Collection*LevColl*$B$9)</f>
        <v>335192.883513104</v>
      </c>
      <c r="V83" s="95" t="n">
        <f aca="false">V82*MIN(1,Collection*LevColl*$B$9)</f>
        <v>355606.130119052</v>
      </c>
      <c r="W83" s="95" t="n">
        <f aca="false">W82*MIN(1,Collection*LevColl*$B$9)</f>
        <v>377262.543443302</v>
      </c>
    </row>
    <row r="84" customFormat="false" ht="15" hidden="false" customHeight="false" outlineLevel="0" collapsed="false">
      <c r="A84" s="11" t="s">
        <v>433</v>
      </c>
      <c r="B84" s="66" t="n">
        <f aca="false">SUM(C84:W84)</f>
        <v>11500</v>
      </c>
      <c r="C84" s="95" t="n">
        <v>0</v>
      </c>
      <c r="D84" s="95" t="n">
        <f aca="false">D54*Seg1_Fee+D55*Seg2_Fee+D56*Seg3_Fee+D57*Seg4_Fee+D58*Seg5_Fee</f>
        <v>6900</v>
      </c>
      <c r="E84" s="95" t="n">
        <f aca="false">E54*Seg1_Fee+E55*Seg2_Fee+E56*Seg3_Fee+E57*Seg4_Fee+E58*Seg5_Fee</f>
        <v>2875</v>
      </c>
      <c r="F84" s="95" t="n">
        <f aca="false">F54*Seg1_Fee+F55*Seg2_Fee+F56*Seg3_Fee+F57*Seg4_Fee+F58*Seg5_Fee</f>
        <v>1725</v>
      </c>
      <c r="G84" s="95" t="n">
        <f aca="false">G54*Seg1_Fee+G55*Seg2_Fee+G56*Seg3_Fee+G57*Seg4_Fee+G58*Seg5_Fee</f>
        <v>0</v>
      </c>
      <c r="H84" s="95" t="n">
        <f aca="false">H54*Seg1_Fee+H55*Seg2_Fee+H56*Seg3_Fee+H57*Seg4_Fee+H58*Seg5_Fee</f>
        <v>0</v>
      </c>
      <c r="I84" s="95" t="n">
        <f aca="false">I54*Seg1_Fee+I55*Seg2_Fee+I56*Seg3_Fee+I57*Seg4_Fee+I58*Seg5_Fee</f>
        <v>0</v>
      </c>
      <c r="J84" s="95" t="n">
        <f aca="false">J54*Seg1_Fee+J55*Seg2_Fee+J56*Seg3_Fee+J57*Seg4_Fee+J58*Seg5_Fee</f>
        <v>0</v>
      </c>
      <c r="K84" s="95" t="n">
        <f aca="false">K54*Seg1_Fee+K55*Seg2_Fee+K56*Seg3_Fee+K57*Seg4_Fee+K58*Seg5_Fee</f>
        <v>0</v>
      </c>
      <c r="L84" s="95" t="n">
        <f aca="false">L54*Seg1_Fee+L55*Seg2_Fee+L56*Seg3_Fee+L57*Seg4_Fee+L58*Seg5_Fee</f>
        <v>0</v>
      </c>
      <c r="M84" s="95" t="n">
        <f aca="false">M54*Seg1_Fee+M55*Seg2_Fee+M56*Seg3_Fee+M57*Seg4_Fee+M58*Seg5_Fee</f>
        <v>0</v>
      </c>
      <c r="N84" s="95" t="n">
        <f aca="false">N54*Seg1_Fee+N55*Seg2_Fee+N56*Seg3_Fee+N57*Seg4_Fee+N58*Seg5_Fee</f>
        <v>0</v>
      </c>
      <c r="O84" s="95" t="n">
        <f aca="false">O54*Seg1_Fee+O55*Seg2_Fee+O56*Seg3_Fee+O57*Seg4_Fee+O58*Seg5_Fee</f>
        <v>0</v>
      </c>
      <c r="P84" s="95" t="n">
        <f aca="false">P54*Seg1_Fee+P55*Seg2_Fee+P56*Seg3_Fee+P57*Seg4_Fee+P58*Seg5_Fee</f>
        <v>0</v>
      </c>
      <c r="Q84" s="95" t="n">
        <f aca="false">Q54*Seg1_Fee+Q55*Seg2_Fee+Q56*Seg3_Fee+Q57*Seg4_Fee+Q58*Seg5_Fee</f>
        <v>0</v>
      </c>
      <c r="R84" s="95" t="n">
        <f aca="false">R54*Seg1_Fee+R55*Seg2_Fee+R56*Seg3_Fee+R57*Seg4_Fee+R58*Seg5_Fee</f>
        <v>0</v>
      </c>
      <c r="S84" s="95" t="n">
        <f aca="false">S54*Seg1_Fee+S55*Seg2_Fee+S56*Seg3_Fee+S57*Seg4_Fee+S58*Seg5_Fee</f>
        <v>0</v>
      </c>
      <c r="T84" s="95" t="n">
        <f aca="false">T54*Seg1_Fee+T55*Seg2_Fee+T56*Seg3_Fee+T57*Seg4_Fee+T58*Seg5_Fee</f>
        <v>0</v>
      </c>
      <c r="U84" s="95" t="n">
        <f aca="false">U54*Seg1_Fee+U55*Seg2_Fee+U56*Seg3_Fee+U57*Seg4_Fee+U58*Seg5_Fee</f>
        <v>0</v>
      </c>
      <c r="V84" s="95" t="n">
        <f aca="false">V54*Seg1_Fee+V55*Seg2_Fee+V56*Seg3_Fee+V57*Seg4_Fee+V58*Seg5_Fee</f>
        <v>0</v>
      </c>
      <c r="W84" s="95" t="n">
        <f aca="false">W54*Seg1_Fee+W55*Seg2_Fee+W56*Seg3_Fee+W57*Seg4_Fee+W58*Seg5_Fee</f>
        <v>0</v>
      </c>
    </row>
    <row r="85" customFormat="false" ht="15" hidden="false" customHeight="false" outlineLevel="0" collapsed="false">
      <c r="A85" s="16" t="s">
        <v>434</v>
      </c>
      <c r="B85" s="66" t="n">
        <f aca="false">SUM(C85:W85)</f>
        <v>4500239.54071382</v>
      </c>
      <c r="C85" s="31" t="n">
        <f aca="false">C83+C84</f>
        <v>0</v>
      </c>
      <c r="D85" s="31" t="n">
        <f aca="false">D83+D84</f>
        <v>80517.387264</v>
      </c>
      <c r="E85" s="31" t="n">
        <f aca="false">E83+E84</f>
        <v>113517.638710202</v>
      </c>
      <c r="F85" s="31" t="n">
        <f aca="false">F83+F84</f>
        <v>139820.029891356</v>
      </c>
      <c r="G85" s="31" t="n">
        <f aca="false">G83+G84</f>
        <v>146505.01721174</v>
      </c>
      <c r="H85" s="31" t="n">
        <f aca="false">H83+H84</f>
        <v>155427.172759935</v>
      </c>
      <c r="I85" s="31" t="n">
        <f aca="false">I83+I84</f>
        <v>164892.687581015</v>
      </c>
      <c r="J85" s="31" t="n">
        <f aca="false">J83+J84</f>
        <v>174934.652254699</v>
      </c>
      <c r="K85" s="31" t="n">
        <f aca="false">K83+K84</f>
        <v>185588.17257701</v>
      </c>
      <c r="L85" s="31" t="n">
        <f aca="false">L83+L84</f>
        <v>196890.49228695</v>
      </c>
      <c r="M85" s="31" t="n">
        <f aca="false">M83+M84</f>
        <v>208881.123267225</v>
      </c>
      <c r="N85" s="31" t="n">
        <f aca="false">N83+N84</f>
        <v>221601.983674199</v>
      </c>
      <c r="O85" s="31" t="n">
        <f aca="false">O83+O84</f>
        <v>235097.544479958</v>
      </c>
      <c r="P85" s="31" t="n">
        <f aca="false">P83+P84</f>
        <v>249414.984938787</v>
      </c>
      <c r="Q85" s="31" t="n">
        <f aca="false">Q83+Q84</f>
        <v>264604.357521559</v>
      </c>
      <c r="R85" s="31" t="n">
        <f aca="false">R83+R84</f>
        <v>280718.762894623</v>
      </c>
      <c r="S85" s="31" t="n">
        <f aca="false">S83+S84</f>
        <v>297814.535554905</v>
      </c>
      <c r="T85" s="31" t="n">
        <f aca="false">T83+T84</f>
        <v>315951.440770199</v>
      </c>
      <c r="U85" s="31" t="n">
        <f aca="false">U83+U84</f>
        <v>335192.883513104</v>
      </c>
      <c r="V85" s="31" t="n">
        <f aca="false">V83+V84</f>
        <v>355606.130119052</v>
      </c>
      <c r="W85" s="31" t="n">
        <f aca="false">W83+W84</f>
        <v>377262.543443302</v>
      </c>
    </row>
    <row r="87" customFormat="false" ht="15" hidden="false" customHeight="false" outlineLevel="0" collapsed="false">
      <c r="A87" s="9" t="s">
        <v>435</v>
      </c>
      <c r="B87" s="10"/>
      <c r="C87" s="10"/>
      <c r="D87" s="10"/>
      <c r="E87" s="10"/>
      <c r="F87" s="10"/>
      <c r="G87" s="10"/>
      <c r="H87" s="10"/>
      <c r="I87" s="10"/>
      <c r="J87" s="10"/>
      <c r="K87" s="10"/>
      <c r="L87" s="10"/>
      <c r="M87" s="10"/>
      <c r="N87" s="10"/>
      <c r="O87" s="10"/>
      <c r="P87" s="10"/>
      <c r="Q87" s="10"/>
      <c r="R87" s="10"/>
      <c r="S87" s="10"/>
      <c r="T87" s="10"/>
      <c r="U87" s="10"/>
      <c r="V87" s="10"/>
      <c r="W87" s="10"/>
    </row>
    <row r="88" customFormat="false" ht="15" hidden="false" customHeight="false" outlineLevel="0" collapsed="false">
      <c r="A88" s="11" t="s">
        <v>162</v>
      </c>
      <c r="B88" s="66" t="n">
        <f aca="false">SUM(C88:W88)</f>
        <v>543358.294940863</v>
      </c>
      <c r="C88" s="95" t="n">
        <v>0</v>
      </c>
      <c r="D88" s="95" t="n">
        <f aca="false">S_Opex_Lo!$B$15*O_FixedPct*D44*LevOpex*$B$8*D41</f>
        <v>20221.4634248471</v>
      </c>
      <c r="E88" s="95" t="n">
        <f aca="false">S_Opex_Lo!$B$15*O_FixedPct*E44*LevOpex*$B$8*E41</f>
        <v>20828.1073275925</v>
      </c>
      <c r="F88" s="95" t="n">
        <f aca="false">S_Opex_Lo!$B$15*O_FixedPct*F44*LevOpex*$B$8*F41</f>
        <v>21452.9505474203</v>
      </c>
      <c r="G88" s="95" t="n">
        <f aca="false">S_Opex_Lo!$B$15*O_FixedPct*G44*LevOpex*$B$8*G41</f>
        <v>22096.5390638429</v>
      </c>
      <c r="H88" s="95" t="n">
        <f aca="false">S_Opex_Lo!$B$15*O_FixedPct*H44*LevOpex*$B$8*H41</f>
        <v>22759.4352357582</v>
      </c>
      <c r="I88" s="95" t="n">
        <f aca="false">S_Opex_Lo!$B$15*O_FixedPct*I44*LevOpex*$B$8*I41</f>
        <v>23442.2182928309</v>
      </c>
      <c r="J88" s="95" t="n">
        <f aca="false">S_Opex_Lo!$B$15*O_FixedPct*J44*LevOpex*$B$8*J41</f>
        <v>24145.4848416158</v>
      </c>
      <c r="K88" s="95" t="n">
        <f aca="false">S_Opex_Lo!$B$15*O_FixedPct*K44*LevOpex*$B$8*K41</f>
        <v>24869.8493868643</v>
      </c>
      <c r="L88" s="95" t="n">
        <f aca="false">S_Opex_Lo!$B$15*O_FixedPct*L44*LevOpex*$B$8*L41</f>
        <v>25615.9448684703</v>
      </c>
      <c r="M88" s="95" t="n">
        <f aca="false">S_Opex_Lo!$B$15*O_FixedPct*M44*LevOpex*$B$8*M41</f>
        <v>26384.4232145244</v>
      </c>
      <c r="N88" s="95" t="n">
        <f aca="false">S_Opex_Lo!$B$15*O_FixedPct*N44*LevOpex*$B$8*N41</f>
        <v>27175.9559109601</v>
      </c>
      <c r="O88" s="95" t="n">
        <f aca="false">S_Opex_Lo!$B$15*O_FixedPct*O44*LevOpex*$B$8*O41</f>
        <v>27991.2345882889</v>
      </c>
      <c r="P88" s="95" t="n">
        <f aca="false">S_Opex_Lo!$B$15*O_FixedPct*P44*LevOpex*$B$8*P41</f>
        <v>28830.9716259376</v>
      </c>
      <c r="Q88" s="95" t="n">
        <f aca="false">S_Opex_Lo!$B$15*O_FixedPct*Q44*LevOpex*$B$8*Q41</f>
        <v>29695.9007747157</v>
      </c>
      <c r="R88" s="95" t="n">
        <f aca="false">S_Opex_Lo!$B$15*O_FixedPct*R44*LevOpex*$B$8*R41</f>
        <v>30586.7777979572</v>
      </c>
      <c r="S88" s="95" t="n">
        <f aca="false">S_Opex_Lo!$B$15*O_FixedPct*S44*LevOpex*$B$8*S41</f>
        <v>31504.3811318959</v>
      </c>
      <c r="T88" s="95" t="n">
        <f aca="false">S_Opex_Lo!$B$15*O_FixedPct*T44*LevOpex*$B$8*T41</f>
        <v>32449.5125658528</v>
      </c>
      <c r="U88" s="95" t="n">
        <f aca="false">S_Opex_Lo!$B$15*O_FixedPct*U44*LevOpex*$B$8*U41</f>
        <v>33422.9979428283</v>
      </c>
      <c r="V88" s="95" t="n">
        <f aca="false">S_Opex_Lo!$B$15*O_FixedPct*V44*LevOpex*$B$8*V41</f>
        <v>34425.6878811132</v>
      </c>
      <c r="W88" s="95" t="n">
        <f aca="false">S_Opex_Lo!$B$15*O_FixedPct*W44*LevOpex*$B$8*W41</f>
        <v>35458.4585175466</v>
      </c>
    </row>
    <row r="89" customFormat="false" ht="15" hidden="false" customHeight="false" outlineLevel="0" collapsed="false">
      <c r="A89" s="11" t="s">
        <v>436</v>
      </c>
      <c r="B89" s="66" t="n">
        <f aca="false">SUM(C89:W89)</f>
        <v>386933.392641319</v>
      </c>
      <c r="C89" s="95" t="n">
        <v>0</v>
      </c>
      <c r="D89" s="95" t="n">
        <f aca="false">O_Staff*D44*LevOpex*$B$8*D41</f>
        <v>14400</v>
      </c>
      <c r="E89" s="95" t="n">
        <f aca="false">O_Staff*E44*LevOpex*$B$8*E41</f>
        <v>14832</v>
      </c>
      <c r="F89" s="95" t="n">
        <f aca="false">O_Staff*F44*LevOpex*$B$8*F41</f>
        <v>15276.96</v>
      </c>
      <c r="G89" s="95" t="n">
        <f aca="false">O_Staff*G44*LevOpex*$B$8*G41</f>
        <v>15735.2688</v>
      </c>
      <c r="H89" s="95" t="n">
        <f aca="false">O_Staff*H44*LevOpex*$B$8*H41</f>
        <v>16207.326864</v>
      </c>
      <c r="I89" s="95" t="n">
        <f aca="false">O_Staff*I44*LevOpex*$B$8*I41</f>
        <v>16693.54666992</v>
      </c>
      <c r="J89" s="95" t="n">
        <f aca="false">O_Staff*J44*LevOpex*$B$8*J41</f>
        <v>17194.3530700176</v>
      </c>
      <c r="K89" s="95" t="n">
        <f aca="false">O_Staff*K44*LevOpex*$B$8*K41</f>
        <v>17710.1836621181</v>
      </c>
      <c r="L89" s="95" t="n">
        <f aca="false">O_Staff*L44*LevOpex*$B$8*L41</f>
        <v>18241.4891719817</v>
      </c>
      <c r="M89" s="95" t="n">
        <f aca="false">O_Staff*M44*LevOpex*$B$8*M41</f>
        <v>18788.7338471411</v>
      </c>
      <c r="N89" s="95" t="n">
        <f aca="false">O_Staff*N44*LevOpex*$B$8*N41</f>
        <v>19352.3958625554</v>
      </c>
      <c r="O89" s="95" t="n">
        <f aca="false">O_Staff*O44*LevOpex*$B$8*O41</f>
        <v>19932.967738432</v>
      </c>
      <c r="P89" s="95" t="n">
        <f aca="false">O_Staff*P44*LevOpex*$B$8*P41</f>
        <v>20530.956770585</v>
      </c>
      <c r="Q89" s="95" t="n">
        <f aca="false">O_Staff*Q44*LevOpex*$B$8*Q41</f>
        <v>21146.8854737025</v>
      </c>
      <c r="R89" s="95" t="n">
        <f aca="false">O_Staff*R44*LevOpex*$B$8*R41</f>
        <v>21781.2920379136</v>
      </c>
      <c r="S89" s="95" t="n">
        <f aca="false">O_Staff*S44*LevOpex*$B$8*S41</f>
        <v>22434.730799051</v>
      </c>
      <c r="T89" s="95" t="n">
        <f aca="false">O_Staff*T44*LevOpex*$B$8*T41</f>
        <v>23107.7727230226</v>
      </c>
      <c r="U89" s="95" t="n">
        <f aca="false">O_Staff*U44*LevOpex*$B$8*U41</f>
        <v>23801.0059047132</v>
      </c>
      <c r="V89" s="95" t="n">
        <f aca="false">O_Staff*V44*LevOpex*$B$8*V41</f>
        <v>24515.0360818546</v>
      </c>
      <c r="W89" s="95" t="n">
        <f aca="false">O_Staff*W44*LevOpex*$B$8*W41</f>
        <v>25250.4871643103</v>
      </c>
    </row>
    <row r="90" customFormat="false" ht="15" hidden="false" customHeight="false" outlineLevel="0" collapsed="false">
      <c r="A90" s="11" t="s">
        <v>165</v>
      </c>
      <c r="B90" s="66" t="n">
        <f aca="false">SUM(C90:W90)</f>
        <v>124972.407836398</v>
      </c>
      <c r="C90" s="95" t="n">
        <v>0</v>
      </c>
      <c r="D90" s="95" t="n">
        <f aca="false">S_Opex_Lo!$B$14*O_InsPct*D44*LevOpex*$B$8*D41</f>
        <v>4650.93658771483</v>
      </c>
      <c r="E90" s="95" t="n">
        <f aca="false">S_Opex_Lo!$B$14*O_InsPct*E44*LevOpex*$B$8*E41</f>
        <v>4790.46468534628</v>
      </c>
      <c r="F90" s="95" t="n">
        <f aca="false">S_Opex_Lo!$B$14*O_InsPct*F44*LevOpex*$B$8*F41</f>
        <v>4934.17862590666</v>
      </c>
      <c r="G90" s="95" t="n">
        <f aca="false">S_Opex_Lo!$B$14*O_InsPct*G44*LevOpex*$B$8*G41</f>
        <v>5082.20398468386</v>
      </c>
      <c r="H90" s="95" t="n">
        <f aca="false">S_Opex_Lo!$B$14*O_InsPct*H44*LevOpex*$B$8*H41</f>
        <v>5234.67010422438</v>
      </c>
      <c r="I90" s="95" t="n">
        <f aca="false">S_Opex_Lo!$B$14*O_InsPct*I44*LevOpex*$B$8*I41</f>
        <v>5391.71020735111</v>
      </c>
      <c r="J90" s="95" t="n">
        <f aca="false">S_Opex_Lo!$B$14*O_InsPct*J44*LevOpex*$B$8*J41</f>
        <v>5553.46151357164</v>
      </c>
      <c r="K90" s="95" t="n">
        <f aca="false">S_Opex_Lo!$B$14*O_InsPct*K44*LevOpex*$B$8*K41</f>
        <v>5720.06535897879</v>
      </c>
      <c r="L90" s="95" t="n">
        <f aca="false">S_Opex_Lo!$B$14*O_InsPct*L44*LevOpex*$B$8*L41</f>
        <v>5891.66731974816</v>
      </c>
      <c r="M90" s="95" t="n">
        <f aca="false">S_Opex_Lo!$B$14*O_InsPct*M44*LevOpex*$B$8*M41</f>
        <v>6068.4173393406</v>
      </c>
      <c r="N90" s="95" t="n">
        <f aca="false">S_Opex_Lo!$B$14*O_InsPct*N44*LevOpex*$B$8*N41</f>
        <v>6250.46985952082</v>
      </c>
      <c r="O90" s="95" t="n">
        <f aca="false">S_Opex_Lo!$B$14*O_InsPct*O44*LevOpex*$B$8*O41</f>
        <v>6437.98395530645</v>
      </c>
      <c r="P90" s="95" t="n">
        <f aca="false">S_Opex_Lo!$B$14*O_InsPct*P44*LevOpex*$B$8*P41</f>
        <v>6631.12347396564</v>
      </c>
      <c r="Q90" s="95" t="n">
        <f aca="false">S_Opex_Lo!$B$14*O_InsPct*Q44*LevOpex*$B$8*Q41</f>
        <v>6830.05717818461</v>
      </c>
      <c r="R90" s="95" t="n">
        <f aca="false">S_Opex_Lo!$B$14*O_InsPct*R44*LevOpex*$B$8*R41</f>
        <v>7034.95889353015</v>
      </c>
      <c r="S90" s="95" t="n">
        <f aca="false">S_Opex_Lo!$B$14*O_InsPct*S44*LevOpex*$B$8*S41</f>
        <v>7246.00766033605</v>
      </c>
      <c r="T90" s="95" t="n">
        <f aca="false">S_Opex_Lo!$B$14*O_InsPct*T44*LevOpex*$B$8*T41</f>
        <v>7463.38789014613</v>
      </c>
      <c r="U90" s="95" t="n">
        <f aca="false">S_Opex_Lo!$B$14*O_InsPct*U44*LevOpex*$B$8*U41</f>
        <v>7687.28952685052</v>
      </c>
      <c r="V90" s="95" t="n">
        <f aca="false">S_Opex_Lo!$B$14*O_InsPct*V44*LevOpex*$B$8*V41</f>
        <v>7917.90821265603</v>
      </c>
      <c r="W90" s="95" t="n">
        <f aca="false">S_Opex_Lo!$B$14*O_InsPct*W44*LevOpex*$B$8*W41</f>
        <v>8155.44545903571</v>
      </c>
    </row>
    <row r="91" customFormat="false" ht="15" hidden="false" customHeight="false" outlineLevel="0" collapsed="false">
      <c r="A91" s="11" t="s">
        <v>437</v>
      </c>
      <c r="B91" s="66" t="n">
        <f aca="false">SUM(C91:W91)</f>
        <v>64488.8987735531</v>
      </c>
      <c r="C91" s="95" t="n">
        <v>0</v>
      </c>
      <c r="D91" s="95" t="n">
        <f aca="false">O_Fees*D44*LevOpex*$B$8*D41</f>
        <v>2400</v>
      </c>
      <c r="E91" s="95" t="n">
        <f aca="false">O_Fees*E44*LevOpex*$B$8*E41</f>
        <v>2472</v>
      </c>
      <c r="F91" s="95" t="n">
        <f aca="false">O_Fees*F44*LevOpex*$B$8*F41</f>
        <v>2546.16</v>
      </c>
      <c r="G91" s="95" t="n">
        <f aca="false">O_Fees*G44*LevOpex*$B$8*G41</f>
        <v>2622.5448</v>
      </c>
      <c r="H91" s="95" t="n">
        <f aca="false">O_Fees*H44*LevOpex*$B$8*H41</f>
        <v>2701.221144</v>
      </c>
      <c r="I91" s="95" t="n">
        <f aca="false">O_Fees*I44*LevOpex*$B$8*I41</f>
        <v>2782.25777832</v>
      </c>
      <c r="J91" s="95" t="n">
        <f aca="false">O_Fees*J44*LevOpex*$B$8*J41</f>
        <v>2865.7255116696</v>
      </c>
      <c r="K91" s="95" t="n">
        <f aca="false">O_Fees*K44*LevOpex*$B$8*K41</f>
        <v>2951.69727701969</v>
      </c>
      <c r="L91" s="95" t="n">
        <f aca="false">O_Fees*L44*LevOpex*$B$8*L41</f>
        <v>3040.24819533028</v>
      </c>
      <c r="M91" s="95" t="n">
        <f aca="false">O_Fees*M44*LevOpex*$B$8*M41</f>
        <v>3131.45564119019</v>
      </c>
      <c r="N91" s="95" t="n">
        <f aca="false">O_Fees*N44*LevOpex*$B$8*N41</f>
        <v>3225.39931042589</v>
      </c>
      <c r="O91" s="95" t="n">
        <f aca="false">O_Fees*O44*LevOpex*$B$8*O41</f>
        <v>3322.16128973867</v>
      </c>
      <c r="P91" s="95" t="n">
        <f aca="false">O_Fees*P44*LevOpex*$B$8*P41</f>
        <v>3421.82612843083</v>
      </c>
      <c r="Q91" s="95" t="n">
        <f aca="false">O_Fees*Q44*LevOpex*$B$8*Q41</f>
        <v>3524.48091228376</v>
      </c>
      <c r="R91" s="95" t="n">
        <f aca="false">O_Fees*R44*LevOpex*$B$8*R41</f>
        <v>3630.21533965227</v>
      </c>
      <c r="S91" s="95" t="n">
        <f aca="false">O_Fees*S44*LevOpex*$B$8*S41</f>
        <v>3739.12179984184</v>
      </c>
      <c r="T91" s="95" t="n">
        <f aca="false">O_Fees*T44*LevOpex*$B$8*T41</f>
        <v>3851.29545383709</v>
      </c>
      <c r="U91" s="95" t="n">
        <f aca="false">O_Fees*U44*LevOpex*$B$8*U41</f>
        <v>3966.8343174522</v>
      </c>
      <c r="V91" s="95" t="n">
        <f aca="false">O_Fees*V44*LevOpex*$B$8*V41</f>
        <v>4085.83934697577</v>
      </c>
      <c r="W91" s="95" t="n">
        <f aca="false">O_Fees*W44*LevOpex*$B$8*W41</f>
        <v>4208.41452738504</v>
      </c>
    </row>
    <row r="92" customFormat="false" ht="15" hidden="false" customHeight="false" outlineLevel="0" collapsed="false">
      <c r="A92" s="11" t="s">
        <v>438</v>
      </c>
      <c r="B92" s="66" t="n">
        <f aca="false">SUM(C92:W92)</f>
        <v>85985.1983647375</v>
      </c>
      <c r="C92" s="95" t="n">
        <v>0</v>
      </c>
      <c r="D92" s="95" t="n">
        <f aca="false">O_MRV*D44*LevOpex*$B$8*D41</f>
        <v>3200</v>
      </c>
      <c r="E92" s="95" t="n">
        <f aca="false">O_MRV*E44*LevOpex*$B$8*E41</f>
        <v>3296</v>
      </c>
      <c r="F92" s="95" t="n">
        <f aca="false">O_MRV*F44*LevOpex*$B$8*F41</f>
        <v>3394.88</v>
      </c>
      <c r="G92" s="95" t="n">
        <f aca="false">O_MRV*G44*LevOpex*$B$8*G41</f>
        <v>3496.7264</v>
      </c>
      <c r="H92" s="95" t="n">
        <f aca="false">O_MRV*H44*LevOpex*$B$8*H41</f>
        <v>3601.628192</v>
      </c>
      <c r="I92" s="95" t="n">
        <f aca="false">O_MRV*I44*LevOpex*$B$8*I41</f>
        <v>3709.67703776</v>
      </c>
      <c r="J92" s="95" t="n">
        <f aca="false">O_MRV*J44*LevOpex*$B$8*J41</f>
        <v>3820.9673488928</v>
      </c>
      <c r="K92" s="95" t="n">
        <f aca="false">O_MRV*K44*LevOpex*$B$8*K41</f>
        <v>3935.59636935959</v>
      </c>
      <c r="L92" s="95" t="n">
        <f aca="false">O_MRV*L44*LevOpex*$B$8*L41</f>
        <v>4053.66426044037</v>
      </c>
      <c r="M92" s="95" t="n">
        <f aca="false">O_MRV*M44*LevOpex*$B$8*M41</f>
        <v>4175.27418825358</v>
      </c>
      <c r="N92" s="95" t="n">
        <f aca="false">O_MRV*N44*LevOpex*$B$8*N41</f>
        <v>4300.53241390119</v>
      </c>
      <c r="O92" s="95" t="n">
        <f aca="false">O_MRV*O44*LevOpex*$B$8*O41</f>
        <v>4429.54838631823</v>
      </c>
      <c r="P92" s="95" t="n">
        <f aca="false">O_MRV*P44*LevOpex*$B$8*P41</f>
        <v>4562.43483790777</v>
      </c>
      <c r="Q92" s="95" t="n">
        <f aca="false">O_MRV*Q44*LevOpex*$B$8*Q41</f>
        <v>4699.30788304501</v>
      </c>
      <c r="R92" s="95" t="n">
        <f aca="false">O_MRV*R44*LevOpex*$B$8*R41</f>
        <v>4840.28711953636</v>
      </c>
      <c r="S92" s="95" t="n">
        <f aca="false">O_MRV*S44*LevOpex*$B$8*S41</f>
        <v>4985.49573312245</v>
      </c>
      <c r="T92" s="95" t="n">
        <f aca="false">O_MRV*T44*LevOpex*$B$8*T41</f>
        <v>5135.06060511612</v>
      </c>
      <c r="U92" s="95" t="n">
        <f aca="false">O_MRV*U44*LevOpex*$B$8*U41</f>
        <v>5289.11242326961</v>
      </c>
      <c r="V92" s="95" t="n">
        <f aca="false">O_MRV*V44*LevOpex*$B$8*V41</f>
        <v>5447.7857959677</v>
      </c>
      <c r="W92" s="95" t="n">
        <f aca="false">O_MRV*W44*LevOpex*$B$8*W41</f>
        <v>5611.21936984673</v>
      </c>
    </row>
    <row r="93" customFormat="false" ht="15" hidden="false" customHeight="false" outlineLevel="0" collapsed="false">
      <c r="A93" s="11" t="s">
        <v>439</v>
      </c>
      <c r="B93" s="66" t="n">
        <f aca="false">SUM(C93:W93)</f>
        <v>135007.186221415</v>
      </c>
      <c r="C93" s="95" t="n">
        <v>0</v>
      </c>
      <c r="D93" s="95" t="n">
        <f aca="false">D85*O_CustPct</f>
        <v>2415.52161792</v>
      </c>
      <c r="E93" s="95" t="n">
        <f aca="false">E85*O_CustPct</f>
        <v>3405.52916130605</v>
      </c>
      <c r="F93" s="95" t="n">
        <f aca="false">F85*O_CustPct</f>
        <v>4194.60089674069</v>
      </c>
      <c r="G93" s="95" t="n">
        <f aca="false">G85*O_CustPct</f>
        <v>4395.1505163522</v>
      </c>
      <c r="H93" s="95" t="n">
        <f aca="false">H85*O_CustPct</f>
        <v>4662.81518279805</v>
      </c>
      <c r="I93" s="95" t="n">
        <f aca="false">I85*O_CustPct</f>
        <v>4946.78062743045</v>
      </c>
      <c r="J93" s="95" t="n">
        <f aca="false">J85*O_CustPct</f>
        <v>5248.03956764096</v>
      </c>
      <c r="K93" s="95" t="n">
        <f aca="false">K85*O_CustPct</f>
        <v>5567.6451773103</v>
      </c>
      <c r="L93" s="95" t="n">
        <f aca="false">L85*O_CustPct</f>
        <v>5906.7147686085</v>
      </c>
      <c r="M93" s="95" t="n">
        <f aca="false">M85*O_CustPct</f>
        <v>6266.43369801675</v>
      </c>
      <c r="N93" s="95" t="n">
        <f aca="false">N85*O_CustPct</f>
        <v>6648.05951022597</v>
      </c>
      <c r="O93" s="95" t="n">
        <f aca="false">O85*O_CustPct</f>
        <v>7052.92633439874</v>
      </c>
      <c r="P93" s="95" t="n">
        <f aca="false">P85*O_CustPct</f>
        <v>7482.44954816362</v>
      </c>
      <c r="Q93" s="95" t="n">
        <f aca="false">Q85*O_CustPct</f>
        <v>7938.13072564678</v>
      </c>
      <c r="R93" s="95" t="n">
        <f aca="false">R85*O_CustPct</f>
        <v>8421.56288683868</v>
      </c>
      <c r="S93" s="95" t="n">
        <f aca="false">S85*O_CustPct</f>
        <v>8934.43606664715</v>
      </c>
      <c r="T93" s="95" t="n">
        <f aca="false">T85*O_CustPct</f>
        <v>9478.54322310596</v>
      </c>
      <c r="U93" s="95" t="n">
        <f aca="false">U85*O_CustPct</f>
        <v>10055.7865053931</v>
      </c>
      <c r="V93" s="95" t="n">
        <f aca="false">V85*O_CustPct</f>
        <v>10668.1839035716</v>
      </c>
      <c r="W93" s="95" t="n">
        <f aca="false">W85*O_CustPct</f>
        <v>11317.8763032991</v>
      </c>
    </row>
    <row r="94" customFormat="false" ht="15" hidden="false" customHeight="false" outlineLevel="0" collapsed="false">
      <c r="A94" s="11" t="s">
        <v>440</v>
      </c>
      <c r="B94" s="66" t="n">
        <f aca="false">SUM(C94:W94)</f>
        <v>94056.0410261721</v>
      </c>
      <c r="C94" s="95" t="n">
        <v>0</v>
      </c>
      <c r="D94" s="95" t="n">
        <f aca="false">D72*O_DieselOM*D44*LevOpex*$B$8</f>
        <v>575.835578181818</v>
      </c>
      <c r="E94" s="95" t="n">
        <f aca="false">E72*O_DieselOM*E44*LevOpex*$B$8</f>
        <v>865.447283598546</v>
      </c>
      <c r="F94" s="95" t="n">
        <f aca="false">F72*O_DieselOM*F44*LevOpex*$B$8</f>
        <v>1080.18002725847</v>
      </c>
      <c r="G94" s="95" t="n">
        <f aca="false">G72*O_DieselOM*G44*LevOpex*$B$8</f>
        <v>1145.96299091851</v>
      </c>
      <c r="H94" s="95" t="n">
        <f aca="false">H72*O_DieselOM*H44*LevOpex*$B$8</f>
        <v>1215.75213706545</v>
      </c>
      <c r="I94" s="95" t="n">
        <f aca="false">I72*O_DieselOM*I44*LevOpex*$B$8</f>
        <v>1289.79144221273</v>
      </c>
      <c r="J94" s="95" t="n">
        <f aca="false">J72*O_DieselOM*J44*LevOpex*$B$8</f>
        <v>1473.16653224067</v>
      </c>
      <c r="K94" s="95" t="n">
        <f aca="false">K72*O_DieselOM*K44*LevOpex*$B$8</f>
        <v>2003.06119721303</v>
      </c>
      <c r="L94" s="95" t="n">
        <f aca="false">L72*O_DieselOM*L44*LevOpex*$B$8</f>
        <v>2576.16489103771</v>
      </c>
      <c r="M94" s="95" t="n">
        <f aca="false">M72*O_DieselOM*M44*LevOpex*$B$8</f>
        <v>3195.38086389912</v>
      </c>
      <c r="N94" s="95" t="n">
        <f aca="false">N72*O_DieselOM*N44*LevOpex*$B$8</f>
        <v>3863.79592865308</v>
      </c>
      <c r="O94" s="95" t="n">
        <f aca="false">O72*O_DieselOM*O44*LevOpex*$B$8</f>
        <v>4584.6918076486</v>
      </c>
      <c r="P94" s="95" t="n">
        <f aca="false">P72*O_DieselOM*P44*LevOpex*$B$8</f>
        <v>5361.55717474242</v>
      </c>
      <c r="Q94" s="95" t="n">
        <f aca="false">Q72*O_DieselOM*Q44*LevOpex*$B$8</f>
        <v>6198.10043494705</v>
      </c>
      <c r="R94" s="95" t="n">
        <f aca="false">R72*O_DieselOM*R44*LevOpex*$B$8</f>
        <v>7098.26328674047</v>
      </c>
      <c r="S94" s="95" t="n">
        <f aca="false">S72*O_DieselOM*S44*LevOpex*$B$8</f>
        <v>8066.23511481044</v>
      </c>
      <c r="T94" s="95" t="n">
        <f aca="false">T72*O_DieselOM*T44*LevOpex*$B$8</f>
        <v>9106.46826391849</v>
      </c>
      <c r="U94" s="95" t="n">
        <f aca="false">U72*O_DieselOM*U44*LevOpex*$B$8</f>
        <v>10223.694247658</v>
      </c>
      <c r="V94" s="95" t="n">
        <f aca="false">V72*O_DieselOM*V44*LevOpex*$B$8</f>
        <v>11422.940949159</v>
      </c>
      <c r="W94" s="95" t="n">
        <f aca="false">W72*O_DieselOM*W44*LevOpex*$B$8</f>
        <v>12709.5508742685</v>
      </c>
    </row>
    <row r="95" customFormat="false" ht="15" hidden="false" customHeight="false" outlineLevel="0" collapsed="false">
      <c r="A95" s="11" t="s">
        <v>441</v>
      </c>
      <c r="B95" s="66" t="n">
        <f aca="false">SUM(C95:W95)</f>
        <v>1567600.68376954</v>
      </c>
      <c r="C95" s="95" t="n">
        <v>0</v>
      </c>
      <c r="D95" s="95" t="n">
        <f aca="false">D74*FuelPrice*LevFuel*$B$10*D44</f>
        <v>9597.25963636363</v>
      </c>
      <c r="E95" s="95" t="n">
        <f aca="false">E74*FuelPrice*LevFuel*$B$10*E44</f>
        <v>14424.1213933091</v>
      </c>
      <c r="F95" s="95" t="n">
        <f aca="false">F74*FuelPrice*LevFuel*$B$10*F44</f>
        <v>18003.0004543078</v>
      </c>
      <c r="G95" s="95" t="n">
        <f aca="false">G74*FuelPrice*LevFuel*$B$10*G44</f>
        <v>19099.3831819751</v>
      </c>
      <c r="H95" s="95" t="n">
        <f aca="false">H74*FuelPrice*LevFuel*$B$10*H44</f>
        <v>20262.5356177574</v>
      </c>
      <c r="I95" s="95" t="n">
        <f aca="false">I74*FuelPrice*LevFuel*$B$10*I44</f>
        <v>21496.5240368788</v>
      </c>
      <c r="J95" s="95" t="n">
        <f aca="false">J74*FuelPrice*LevFuel*$B$10*J44</f>
        <v>24552.7755373446</v>
      </c>
      <c r="K95" s="95" t="n">
        <f aca="false">K74*FuelPrice*LevFuel*$B$10*K44</f>
        <v>33384.3532868839</v>
      </c>
      <c r="L95" s="95" t="n">
        <f aca="false">L74*FuelPrice*LevFuel*$B$10*L44</f>
        <v>42936.0815172951</v>
      </c>
      <c r="M95" s="95" t="n">
        <f aca="false">M74*FuelPrice*LevFuel*$B$10*M44</f>
        <v>53256.3477316521</v>
      </c>
      <c r="N95" s="95" t="n">
        <f aca="false">N74*FuelPrice*LevFuel*$B$10*N44</f>
        <v>64396.5988108847</v>
      </c>
      <c r="O95" s="95" t="n">
        <f aca="false">O74*FuelPrice*LevFuel*$B$10*O44</f>
        <v>76411.5301274767</v>
      </c>
      <c r="P95" s="95" t="n">
        <f aca="false">P74*FuelPrice*LevFuel*$B$10*P44</f>
        <v>89359.2862457069</v>
      </c>
      <c r="Q95" s="95" t="n">
        <f aca="false">Q74*FuelPrice*LevFuel*$B$10*Q44</f>
        <v>103301.673915784</v>
      </c>
      <c r="R95" s="95" t="n">
        <f aca="false">R74*FuelPrice*LevFuel*$B$10*R44</f>
        <v>118304.388112341</v>
      </c>
      <c r="S95" s="95" t="n">
        <f aca="false">S74*FuelPrice*LevFuel*$B$10*S44</f>
        <v>134437.251913507</v>
      </c>
      <c r="T95" s="95" t="n">
        <f aca="false">T74*FuelPrice*LevFuel*$B$10*T44</f>
        <v>151774.471065308</v>
      </c>
      <c r="U95" s="95" t="n">
        <f aca="false">U74*FuelPrice*LevFuel*$B$10*U44</f>
        <v>170394.904127634</v>
      </c>
      <c r="V95" s="95" t="n">
        <f aca="false">V74*FuelPrice*LevFuel*$B$10*V44</f>
        <v>190382.34915265</v>
      </c>
      <c r="W95" s="95" t="n">
        <f aca="false">W74*FuelPrice*LevFuel*$B$10*W44</f>
        <v>211825.847904476</v>
      </c>
    </row>
    <row r="96" customFormat="false" ht="15" hidden="false" customHeight="false" outlineLevel="0" collapsed="false">
      <c r="A96" s="16" t="s">
        <v>442</v>
      </c>
      <c r="B96" s="66" t="n">
        <f aca="false">SUM(C96:W96)</f>
        <v>3002402.10357399</v>
      </c>
      <c r="C96" s="31" t="n">
        <f aca="false">C88+C89+C90+C91+C92+C93+C94+C95</f>
        <v>0</v>
      </c>
      <c r="D96" s="31" t="n">
        <f aca="false">D88+D89+D90+D91+D92+D93+D94+D95</f>
        <v>57461.0168450274</v>
      </c>
      <c r="E96" s="31" t="n">
        <f aca="false">E88+E89+E90+E91+E92+E93+E94+E95</f>
        <v>64913.6698511525</v>
      </c>
      <c r="F96" s="31" t="n">
        <f aca="false">F88+F89+F90+F91+F92+F93+F94+F95</f>
        <v>70882.9105516339</v>
      </c>
      <c r="G96" s="31" t="n">
        <f aca="false">G88+G89+G90+G91+G92+G93+G94+G95</f>
        <v>73673.7797377726</v>
      </c>
      <c r="H96" s="31" t="n">
        <f aca="false">H88+H89+H90+H91+H92+H93+H94+H95</f>
        <v>76645.3844776035</v>
      </c>
      <c r="I96" s="31" t="n">
        <f aca="false">I88+I89+I90+I91+I92+I93+I94+I95</f>
        <v>79752.506092704</v>
      </c>
      <c r="J96" s="31" t="n">
        <f aca="false">J88+J89+J90+J91+J92+J93+J94+J95</f>
        <v>84853.9739229937</v>
      </c>
      <c r="K96" s="31" t="n">
        <f aca="false">K88+K89+K90+K91+K92+K93+K94+K95</f>
        <v>96142.4517157477</v>
      </c>
      <c r="L96" s="31" t="n">
        <f aca="false">L88+L89+L90+L91+L92+L93+L94+L95</f>
        <v>108261.974992912</v>
      </c>
      <c r="M96" s="31" t="n">
        <f aca="false">M88+M89+M90+M91+M92+M93+M94+M95</f>
        <v>121266.466524018</v>
      </c>
      <c r="N96" s="31" t="n">
        <f aca="false">N88+N89+N90+N91+N92+N93+N94+N95</f>
        <v>135213.207607127</v>
      </c>
      <c r="O96" s="31" t="n">
        <f aca="false">O88+O89+O90+O91+O92+O93+O94+O95</f>
        <v>150163.044227608</v>
      </c>
      <c r="P96" s="31" t="n">
        <f aca="false">P88+P89+P90+P91+P92+P93+P94+P95</f>
        <v>166180.60580544</v>
      </c>
      <c r="Q96" s="31" t="n">
        <f aca="false">Q88+Q89+Q90+Q91+Q92+Q93+Q94+Q95</f>
        <v>183334.53729831</v>
      </c>
      <c r="R96" s="31" t="n">
        <f aca="false">R88+R89+R90+R91+R92+R93+R94+R95</f>
        <v>201697.74547451</v>
      </c>
      <c r="S96" s="31" t="n">
        <f aca="false">S88+S89+S90+S91+S92+S93+S94+S95</f>
        <v>221347.660219212</v>
      </c>
      <c r="T96" s="31" t="n">
        <f aca="false">T88+T89+T90+T91+T92+T93+T94+T95</f>
        <v>242366.511790307</v>
      </c>
      <c r="U96" s="31" t="n">
        <f aca="false">U88+U89+U90+U91+U92+U93+U94+U95</f>
        <v>264841.624995799</v>
      </c>
      <c r="V96" s="31" t="n">
        <f aca="false">V88+V89+V90+V91+V92+V93+V94+V95</f>
        <v>288865.731323947</v>
      </c>
      <c r="W96" s="31" t="n">
        <f aca="false">W88+W89+W90+W91+W92+W93+W94+W95</f>
        <v>314537.300120168</v>
      </c>
    </row>
    <row r="98" customFormat="false" ht="15" hidden="false" customHeight="false" outlineLevel="0" collapsed="false">
      <c r="A98" s="16" t="s">
        <v>443</v>
      </c>
      <c r="B98" s="66" t="n">
        <f aca="false">SUM(C98:W98)</f>
        <v>1497837.43713983</v>
      </c>
      <c r="C98" s="31" t="n">
        <f aca="false">C85-C96</f>
        <v>0</v>
      </c>
      <c r="D98" s="31" t="n">
        <f aca="false">D85-D96</f>
        <v>23056.3704189726</v>
      </c>
      <c r="E98" s="31" t="n">
        <f aca="false">E85-E96</f>
        <v>48603.9688590491</v>
      </c>
      <c r="F98" s="31" t="n">
        <f aca="false">F85-F96</f>
        <v>68937.1193397225</v>
      </c>
      <c r="G98" s="31" t="n">
        <f aca="false">G85-G96</f>
        <v>72831.2374739673</v>
      </c>
      <c r="H98" s="31" t="n">
        <f aca="false">H85-H96</f>
        <v>78781.7882823315</v>
      </c>
      <c r="I98" s="31" t="n">
        <f aca="false">I85-I96</f>
        <v>85140.1814883109</v>
      </c>
      <c r="J98" s="31" t="n">
        <f aca="false">J85-J96</f>
        <v>90080.6783317051</v>
      </c>
      <c r="K98" s="31" t="n">
        <f aca="false">K85-K96</f>
        <v>89445.7208612623</v>
      </c>
      <c r="L98" s="31" t="n">
        <f aca="false">L85-L96</f>
        <v>88628.5172940379</v>
      </c>
      <c r="M98" s="31" t="n">
        <f aca="false">M85-M96</f>
        <v>87614.6567432074</v>
      </c>
      <c r="N98" s="31" t="n">
        <f aca="false">N85-N96</f>
        <v>86388.776067072</v>
      </c>
      <c r="O98" s="31" t="n">
        <f aca="false">O85-O96</f>
        <v>84934.5002523496</v>
      </c>
      <c r="P98" s="31" t="n">
        <f aca="false">P85-P96</f>
        <v>83234.3791333476</v>
      </c>
      <c r="Q98" s="31" t="n">
        <f aca="false">Q85-Q96</f>
        <v>81269.8202232499</v>
      </c>
      <c r="R98" s="31" t="n">
        <f aca="false">R85-R96</f>
        <v>79021.0174201126</v>
      </c>
      <c r="S98" s="31" t="n">
        <f aca="false">S85-S96</f>
        <v>76466.8753356928</v>
      </c>
      <c r="T98" s="31" t="n">
        <f aca="false">T85-T96</f>
        <v>73584.9289798915</v>
      </c>
      <c r="U98" s="31" t="n">
        <f aca="false">U85-U96</f>
        <v>70351.2585173053</v>
      </c>
      <c r="V98" s="31" t="n">
        <f aca="false">V85-V96</f>
        <v>66740.3987951046</v>
      </c>
      <c r="W98" s="31" t="n">
        <f aca="false">W85-W96</f>
        <v>62725.2433231344</v>
      </c>
    </row>
    <row r="99" customFormat="false" ht="15" hidden="false" customHeight="false" outlineLevel="0" collapsed="false">
      <c r="A99" s="11" t="s">
        <v>444</v>
      </c>
      <c r="C99" s="91" t="n">
        <v>0</v>
      </c>
      <c r="D99" s="91" t="n">
        <f aca="false">IFERROR(D98/D85,0)</f>
        <v>0.286352689803204</v>
      </c>
      <c r="E99" s="91" t="n">
        <f aca="false">IFERROR(E98/E85,0)</f>
        <v>0.428162261048522</v>
      </c>
      <c r="F99" s="91" t="n">
        <f aca="false">IFERROR(F98/F85,0)</f>
        <v>0.493041800901404</v>
      </c>
      <c r="G99" s="91" t="n">
        <f aca="false">IFERROR(G98/G85,0)</f>
        <v>0.497124527610588</v>
      </c>
      <c r="H99" s="91" t="n">
        <f aca="false">IFERROR(H98/H85,0)</f>
        <v>0.506872684379416</v>
      </c>
      <c r="I99" s="91" t="n">
        <f aca="false">IFERROR(I98/I85,0)</f>
        <v>0.516336914252064</v>
      </c>
      <c r="J99" s="91" t="n">
        <f aca="false">IFERROR(J98/J85,0)</f>
        <v>0.514939019632032</v>
      </c>
      <c r="K99" s="91" t="n">
        <f aca="false">IFERROR(K98/K85,0)</f>
        <v>0.481958088272822</v>
      </c>
      <c r="L99" s="91" t="n">
        <f aca="false">IFERROR(L98/L85,0)</f>
        <v>0.450141173728541</v>
      </c>
      <c r="M99" s="91" t="n">
        <f aca="false">IFERROR(M98/M85,0)</f>
        <v>0.419447460702902</v>
      </c>
      <c r="N99" s="91" t="n">
        <f aca="false">IFERROR(N98/N85,0)</f>
        <v>0.389837557564834</v>
      </c>
      <c r="O99" s="91" t="n">
        <f aca="false">IFERROR(O98/O85,0)</f>
        <v>0.361273446901485</v>
      </c>
      <c r="P99" s="91" t="n">
        <f aca="false">IFERROR(P98/P85,0)</f>
        <v>0.333718437782619</v>
      </c>
      <c r="Q99" s="91" t="n">
        <f aca="false">IFERROR(Q98/Q85,0)</f>
        <v>0.307137119677359</v>
      </c>
      <c r="R99" s="91" t="n">
        <f aca="false">IFERROR(R98/R85,0)</f>
        <v>0.281495317966245</v>
      </c>
      <c r="S99" s="91" t="n">
        <f aca="false">IFERROR(S98/S85,0)</f>
        <v>0.256760050993533</v>
      </c>
      <c r="T99" s="91" t="n">
        <f aca="false">IFERROR(T98/T85,0)</f>
        <v>0.23289948860658</v>
      </c>
      <c r="U99" s="91" t="n">
        <f aca="false">IFERROR(U98/U85,0)</f>
        <v>0.209882912130964</v>
      </c>
      <c r="V99" s="91" t="n">
        <f aca="false">IFERROR(V98/V85,0)</f>
        <v>0.187680675731773</v>
      </c>
      <c r="W99" s="91" t="n">
        <f aca="false">IFERROR(W98/W85,0)</f>
        <v>0.166264169113203</v>
      </c>
    </row>
    <row r="101" customFormat="false" ht="15" hidden="false" customHeight="false" outlineLevel="0" collapsed="false">
      <c r="A101" s="9" t="s">
        <v>445</v>
      </c>
      <c r="B101" s="10"/>
      <c r="C101" s="10"/>
      <c r="D101" s="10"/>
      <c r="E101" s="10"/>
      <c r="F101" s="10"/>
      <c r="G101" s="10"/>
      <c r="H101" s="10"/>
      <c r="I101" s="10"/>
      <c r="J101" s="10"/>
      <c r="K101" s="10"/>
      <c r="L101" s="10"/>
      <c r="M101" s="10"/>
      <c r="N101" s="10"/>
      <c r="O101" s="10"/>
      <c r="P101" s="10"/>
      <c r="Q101" s="10"/>
      <c r="R101" s="10"/>
      <c r="S101" s="10"/>
      <c r="T101" s="10"/>
      <c r="U101" s="10"/>
      <c r="V101" s="10"/>
      <c r="W101" s="10"/>
    </row>
    <row r="102" customFormat="false" ht="15" hidden="false" customHeight="false" outlineLevel="0" collapsed="false">
      <c r="A102" s="11" t="s">
        <v>446</v>
      </c>
      <c r="B102" s="66" t="n">
        <f aca="false">C102+NPV(Hurdle,D102:W102)</f>
        <v>1162734.14692871</v>
      </c>
      <c r="C102" s="95" t="n">
        <f aca="false">S_Opex_Lo!$B$14</f>
        <v>1162734.14692871</v>
      </c>
      <c r="D102" s="95" t="n">
        <f aca="false">0</f>
        <v>0</v>
      </c>
      <c r="E102" s="95" t="n">
        <f aca="false">0</f>
        <v>0</v>
      </c>
      <c r="F102" s="95" t="n">
        <f aca="false">0</f>
        <v>0</v>
      </c>
      <c r="G102" s="95" t="n">
        <f aca="false">0</f>
        <v>0</v>
      </c>
      <c r="H102" s="95" t="n">
        <f aca="false">0</f>
        <v>0</v>
      </c>
      <c r="I102" s="95" t="n">
        <f aca="false">0</f>
        <v>0</v>
      </c>
      <c r="J102" s="95" t="n">
        <f aca="false">0</f>
        <v>0</v>
      </c>
      <c r="K102" s="95" t="n">
        <f aca="false">0</f>
        <v>0</v>
      </c>
      <c r="L102" s="95" t="n">
        <f aca="false">0</f>
        <v>0</v>
      </c>
      <c r="M102" s="95" t="n">
        <f aca="false">0</f>
        <v>0</v>
      </c>
      <c r="N102" s="95" t="n">
        <f aca="false">0</f>
        <v>0</v>
      </c>
      <c r="O102" s="95" t="n">
        <f aca="false">0</f>
        <v>0</v>
      </c>
      <c r="P102" s="95" t="n">
        <f aca="false">0</f>
        <v>0</v>
      </c>
      <c r="Q102" s="95" t="n">
        <f aca="false">0</f>
        <v>0</v>
      </c>
      <c r="R102" s="95" t="n">
        <f aca="false">0</f>
        <v>0</v>
      </c>
      <c r="S102" s="95" t="n">
        <f aca="false">0</f>
        <v>0</v>
      </c>
      <c r="T102" s="95" t="n">
        <f aca="false">0</f>
        <v>0</v>
      </c>
      <c r="U102" s="95" t="n">
        <f aca="false">0</f>
        <v>0</v>
      </c>
      <c r="V102" s="95" t="n">
        <f aca="false">0</f>
        <v>0</v>
      </c>
      <c r="W102" s="95" t="n">
        <f aca="false">0</f>
        <v>0</v>
      </c>
    </row>
    <row r="103" customFormat="false" ht="15" hidden="false" customHeight="false" outlineLevel="0" collapsed="false">
      <c r="A103" s="11" t="s">
        <v>447</v>
      </c>
      <c r="B103" s="66" t="n">
        <f aca="false">C103+NPV(Hurdle,D103:W103)</f>
        <v>123132.446168426</v>
      </c>
      <c r="C103" s="95" t="n">
        <v>0</v>
      </c>
      <c r="D103" s="95" t="n">
        <f aca="false">IF(AND(D41=1,MOD(D39,BattLife)=0,D39&lt;Life),BESS_kWh*C_BattRepl*LevCapex*$B$7*D44,0)</f>
        <v>0</v>
      </c>
      <c r="E103" s="95" t="n">
        <f aca="false">IF(AND(E41=1,MOD(E39,BattLife)=0,E39&lt;Life),BESS_kWh*C_BattRepl*LevCapex*$B$7*E44,0)</f>
        <v>0</v>
      </c>
      <c r="F103" s="95" t="n">
        <f aca="false">IF(AND(F41=1,MOD(F39,BattLife)=0,F39&lt;Life),BESS_kWh*C_BattRepl*LevCapex*$B$7*F44,0)</f>
        <v>0</v>
      </c>
      <c r="G103" s="95" t="n">
        <f aca="false">IF(AND(G41=1,MOD(G39,BattLife)=0,G39&lt;Life),BESS_kWh*C_BattRepl*LevCapex*$B$7*G44,0)</f>
        <v>0</v>
      </c>
      <c r="H103" s="95" t="n">
        <f aca="false">IF(AND(H41=1,MOD(H39,BattLife)=0,H39&lt;Life),BESS_kWh*C_BattRepl*LevCapex*$B$7*H44,0)</f>
        <v>0</v>
      </c>
      <c r="I103" s="95" t="n">
        <f aca="false">IF(AND(I41=1,MOD(I39,BattLife)=0,I39&lt;Life),BESS_kWh*C_BattRepl*LevCapex*$B$7*I44,0)</f>
        <v>0</v>
      </c>
      <c r="J103" s="95" t="n">
        <f aca="false">IF(AND(J41=1,MOD(J39,BattLife)=0,J39&lt;Life),BESS_kWh*C_BattRepl*LevCapex*$B$7*J44,0)</f>
        <v>0</v>
      </c>
      <c r="K103" s="95" t="n">
        <f aca="false">IF(AND(K41=1,MOD(K39,BattLife)=0,K39&lt;Life),BESS_kWh*C_BattRepl*LevCapex*$B$7*K44,0)</f>
        <v>165903.437704701</v>
      </c>
      <c r="L103" s="95" t="n">
        <f aca="false">IF(AND(L41=1,MOD(L39,BattLife)=0,L39&lt;Life),BESS_kWh*C_BattRepl*LevCapex*$B$7*L44,0)</f>
        <v>0</v>
      </c>
      <c r="M103" s="95" t="n">
        <f aca="false">IF(AND(M41=1,MOD(M39,BattLife)=0,M39&lt;Life),BESS_kWh*C_BattRepl*LevCapex*$B$7*M44,0)</f>
        <v>0</v>
      </c>
      <c r="N103" s="95" t="n">
        <f aca="false">IF(AND(N41=1,MOD(N39,BattLife)=0,N39&lt;Life),BESS_kWh*C_BattRepl*LevCapex*$B$7*N44,0)</f>
        <v>0</v>
      </c>
      <c r="O103" s="95" t="n">
        <f aca="false">IF(AND(O41=1,MOD(O39,BattLife)=0,O39&lt;Life),BESS_kWh*C_BattRepl*LevCapex*$B$7*O44,0)</f>
        <v>0</v>
      </c>
      <c r="P103" s="95" t="n">
        <f aca="false">IF(AND(P41=1,MOD(P39,BattLife)=0,P39&lt;Life),BESS_kWh*C_BattRepl*LevCapex*$B$7*P44,0)</f>
        <v>0</v>
      </c>
      <c r="Q103" s="95" t="n">
        <f aca="false">IF(AND(Q41=1,MOD(Q39,BattLife)=0,Q39&lt;Life),BESS_kWh*C_BattRepl*LevCapex*$B$7*Q44,0)</f>
        <v>0</v>
      </c>
      <c r="R103" s="95" t="n">
        <f aca="false">IF(AND(R41=1,MOD(R39,BattLife)=0,R39&lt;Life),BESS_kWh*C_BattRepl*LevCapex*$B$7*R44,0)</f>
        <v>0</v>
      </c>
      <c r="S103" s="95" t="n">
        <f aca="false">IF(AND(S41=1,MOD(S39,BattLife)=0,S39&lt;Life),BESS_kWh*C_BattRepl*LevCapex*$B$7*S44,0)</f>
        <v>210161.51128367</v>
      </c>
      <c r="T103" s="95" t="n">
        <f aca="false">IF(AND(T41=1,MOD(T39,BattLife)=0,T39&lt;Life),BESS_kWh*C_BattRepl*LevCapex*$B$7*T44,0)</f>
        <v>0</v>
      </c>
      <c r="U103" s="95" t="n">
        <f aca="false">IF(AND(U41=1,MOD(U39,BattLife)=0,U39&lt;Life),BESS_kWh*C_BattRepl*LevCapex*$B$7*U44,0)</f>
        <v>0</v>
      </c>
      <c r="V103" s="95" t="n">
        <f aca="false">IF(AND(V41=1,MOD(V39,BattLife)=0,V39&lt;Life),BESS_kWh*C_BattRepl*LevCapex*$B$7*V44,0)</f>
        <v>0</v>
      </c>
      <c r="W103" s="95" t="n">
        <f aca="false">IF(AND(W41=1,MOD(W39,BattLife)=0,W39&lt;Life),BESS_kWh*C_BattRepl*LevCapex*$B$7*W44,0)</f>
        <v>0</v>
      </c>
    </row>
    <row r="104" customFormat="false" ht="15" hidden="false" customHeight="false" outlineLevel="0" collapsed="false">
      <c r="A104" s="11" t="s">
        <v>448</v>
      </c>
      <c r="B104" s="66" t="n">
        <f aca="false">SUM(C104:W104)</f>
        <v>376064.948988371</v>
      </c>
      <c r="C104" s="95" t="n">
        <v>0</v>
      </c>
      <c r="D104" s="95" t="n">
        <f aca="false">IF(AND(UseMRA=1,D41=1,CEILING(D39,BattLife)&lt;Life),BESS_kWh*C_BattRepl*LevCapex*$B$7*(1+CostEsc)^(CEILING(D39,BattLife)-1)/BattLife,0)</f>
        <v>20737.9297130877</v>
      </c>
      <c r="E104" s="95" t="n">
        <f aca="false">IF(AND(UseMRA=1,E41=1,CEILING(E39,BattLife)&lt;Life),BESS_kWh*C_BattRepl*LevCapex*$B$7*(1+CostEsc)^(CEILING(E39,BattLife)-1)/BattLife,0)</f>
        <v>20737.9297130877</v>
      </c>
      <c r="F104" s="95" t="n">
        <f aca="false">IF(AND(UseMRA=1,F41=1,CEILING(F39,BattLife)&lt;Life),BESS_kWh*C_BattRepl*LevCapex*$B$7*(1+CostEsc)^(CEILING(F39,BattLife)-1)/BattLife,0)</f>
        <v>20737.9297130877</v>
      </c>
      <c r="G104" s="95" t="n">
        <f aca="false">IF(AND(UseMRA=1,G41=1,CEILING(G39,BattLife)&lt;Life),BESS_kWh*C_BattRepl*LevCapex*$B$7*(1+CostEsc)^(CEILING(G39,BattLife)-1)/BattLife,0)</f>
        <v>20737.9297130877</v>
      </c>
      <c r="H104" s="95" t="n">
        <f aca="false">IF(AND(UseMRA=1,H41=1,CEILING(H39,BattLife)&lt;Life),BESS_kWh*C_BattRepl*LevCapex*$B$7*(1+CostEsc)^(CEILING(H39,BattLife)-1)/BattLife,0)</f>
        <v>20737.9297130877</v>
      </c>
      <c r="I104" s="95" t="n">
        <f aca="false">IF(AND(UseMRA=1,I41=1,CEILING(I39,BattLife)&lt;Life),BESS_kWh*C_BattRepl*LevCapex*$B$7*(1+CostEsc)^(CEILING(I39,BattLife)-1)/BattLife,0)</f>
        <v>20737.9297130877</v>
      </c>
      <c r="J104" s="95" t="n">
        <f aca="false">IF(AND(UseMRA=1,J41=1,CEILING(J39,BattLife)&lt;Life),BESS_kWh*C_BattRepl*LevCapex*$B$7*(1+CostEsc)^(CEILING(J39,BattLife)-1)/BattLife,0)</f>
        <v>20737.9297130877</v>
      </c>
      <c r="K104" s="95" t="n">
        <f aca="false">IF(AND(UseMRA=1,K41=1,CEILING(K39,BattLife)&lt;Life),BESS_kWh*C_BattRepl*LevCapex*$B$7*(1+CostEsc)^(CEILING(K39,BattLife)-1)/BattLife,0)</f>
        <v>20737.9297130877</v>
      </c>
      <c r="L104" s="95" t="n">
        <f aca="false">IF(AND(UseMRA=1,L41=1,CEILING(L39,BattLife)&lt;Life),BESS_kWh*C_BattRepl*LevCapex*$B$7*(1+CostEsc)^(CEILING(L39,BattLife)-1)/BattLife,0)</f>
        <v>26270.1889104587</v>
      </c>
      <c r="M104" s="95" t="n">
        <f aca="false">IF(AND(UseMRA=1,M41=1,CEILING(M39,BattLife)&lt;Life),BESS_kWh*C_BattRepl*LevCapex*$B$7*(1+CostEsc)^(CEILING(M39,BattLife)-1)/BattLife,0)</f>
        <v>26270.1889104587</v>
      </c>
      <c r="N104" s="95" t="n">
        <f aca="false">IF(AND(UseMRA=1,N41=1,CEILING(N39,BattLife)&lt;Life),BESS_kWh*C_BattRepl*LevCapex*$B$7*(1+CostEsc)^(CEILING(N39,BattLife)-1)/BattLife,0)</f>
        <v>26270.1889104587</v>
      </c>
      <c r="O104" s="95" t="n">
        <f aca="false">IF(AND(UseMRA=1,O41=1,CEILING(O39,BattLife)&lt;Life),BESS_kWh*C_BattRepl*LevCapex*$B$7*(1+CostEsc)^(CEILING(O39,BattLife)-1)/BattLife,0)</f>
        <v>26270.1889104587</v>
      </c>
      <c r="P104" s="95" t="n">
        <f aca="false">IF(AND(UseMRA=1,P41=1,CEILING(P39,BattLife)&lt;Life),BESS_kWh*C_BattRepl*LevCapex*$B$7*(1+CostEsc)^(CEILING(P39,BattLife)-1)/BattLife,0)</f>
        <v>26270.1889104587</v>
      </c>
      <c r="Q104" s="95" t="n">
        <f aca="false">IF(AND(UseMRA=1,Q41=1,CEILING(Q39,BattLife)&lt;Life),BESS_kWh*C_BattRepl*LevCapex*$B$7*(1+CostEsc)^(CEILING(Q39,BattLife)-1)/BattLife,0)</f>
        <v>26270.1889104587</v>
      </c>
      <c r="R104" s="95" t="n">
        <f aca="false">IF(AND(UseMRA=1,R41=1,CEILING(R39,BattLife)&lt;Life),BESS_kWh*C_BattRepl*LevCapex*$B$7*(1+CostEsc)^(CEILING(R39,BattLife)-1)/BattLife,0)</f>
        <v>26270.1889104587</v>
      </c>
      <c r="S104" s="95" t="n">
        <f aca="false">IF(AND(UseMRA=1,S41=1,CEILING(S39,BattLife)&lt;Life),BESS_kWh*C_BattRepl*LevCapex*$B$7*(1+CostEsc)^(CEILING(S39,BattLife)-1)/BattLife,0)</f>
        <v>26270.1889104587</v>
      </c>
      <c r="T104" s="95" t="n">
        <f aca="false">IF(AND(UseMRA=1,T41=1,CEILING(T39,BattLife)&lt;Life),BESS_kWh*C_BattRepl*LevCapex*$B$7*(1+CostEsc)^(CEILING(T39,BattLife)-1)/BattLife,0)</f>
        <v>0</v>
      </c>
      <c r="U104" s="95" t="n">
        <f aca="false">IF(AND(UseMRA=1,U41=1,CEILING(U39,BattLife)&lt;Life),BESS_kWh*C_BattRepl*LevCapex*$B$7*(1+CostEsc)^(CEILING(U39,BattLife)-1)/BattLife,0)</f>
        <v>0</v>
      </c>
      <c r="V104" s="95" t="n">
        <f aca="false">IF(AND(UseMRA=1,V41=1,CEILING(V39,BattLife)&lt;Life),BESS_kWh*C_BattRepl*LevCapex*$B$7*(1+CostEsc)^(CEILING(V39,BattLife)-1)/BattLife,0)</f>
        <v>0</v>
      </c>
      <c r="W104" s="95" t="n">
        <f aca="false">IF(AND(UseMRA=1,W41=1,CEILING(W39,BattLife)&lt;Life),BESS_kWh*C_BattRepl*LevCapex*$B$7*(1+CostEsc)^(CEILING(W39,BattLife)-1)/BattLife,0)</f>
        <v>0</v>
      </c>
    </row>
    <row r="105" customFormat="false" ht="15" hidden="false" customHeight="false" outlineLevel="0" collapsed="false">
      <c r="A105" s="11" t="s">
        <v>449</v>
      </c>
      <c r="B105" s="66" t="n">
        <f aca="false">SUM(C105:W105)</f>
        <v>376064.948988371</v>
      </c>
      <c r="C105" s="95" t="n">
        <v>0</v>
      </c>
      <c r="D105" s="95" t="n">
        <f aca="false">IF(UseMRA=1,D104,D103)</f>
        <v>20737.9297130877</v>
      </c>
      <c r="E105" s="95" t="n">
        <f aca="false">IF(UseMRA=1,E104,E103)</f>
        <v>20737.9297130877</v>
      </c>
      <c r="F105" s="95" t="n">
        <f aca="false">IF(UseMRA=1,F104,F103)</f>
        <v>20737.9297130877</v>
      </c>
      <c r="G105" s="95" t="n">
        <f aca="false">IF(UseMRA=1,G104,G103)</f>
        <v>20737.9297130877</v>
      </c>
      <c r="H105" s="95" t="n">
        <f aca="false">IF(UseMRA=1,H104,H103)</f>
        <v>20737.9297130877</v>
      </c>
      <c r="I105" s="95" t="n">
        <f aca="false">IF(UseMRA=1,I104,I103)</f>
        <v>20737.9297130877</v>
      </c>
      <c r="J105" s="95" t="n">
        <f aca="false">IF(UseMRA=1,J104,J103)</f>
        <v>20737.9297130877</v>
      </c>
      <c r="K105" s="95" t="n">
        <f aca="false">IF(UseMRA=1,K104,K103)</f>
        <v>20737.9297130877</v>
      </c>
      <c r="L105" s="95" t="n">
        <f aca="false">IF(UseMRA=1,L104,L103)</f>
        <v>26270.1889104587</v>
      </c>
      <c r="M105" s="95" t="n">
        <f aca="false">IF(UseMRA=1,M104,M103)</f>
        <v>26270.1889104587</v>
      </c>
      <c r="N105" s="95" t="n">
        <f aca="false">IF(UseMRA=1,N104,N103)</f>
        <v>26270.1889104587</v>
      </c>
      <c r="O105" s="95" t="n">
        <f aca="false">IF(UseMRA=1,O104,O103)</f>
        <v>26270.1889104587</v>
      </c>
      <c r="P105" s="95" t="n">
        <f aca="false">IF(UseMRA=1,P104,P103)</f>
        <v>26270.1889104587</v>
      </c>
      <c r="Q105" s="95" t="n">
        <f aca="false">IF(UseMRA=1,Q104,Q103)</f>
        <v>26270.1889104587</v>
      </c>
      <c r="R105" s="95" t="n">
        <f aca="false">IF(UseMRA=1,R104,R103)</f>
        <v>26270.1889104587</v>
      </c>
      <c r="S105" s="95" t="n">
        <f aca="false">IF(UseMRA=1,S104,S103)</f>
        <v>26270.1889104587</v>
      </c>
      <c r="T105" s="95" t="n">
        <f aca="false">IF(UseMRA=1,T104,T103)</f>
        <v>0</v>
      </c>
      <c r="U105" s="95" t="n">
        <f aca="false">IF(UseMRA=1,U104,U103)</f>
        <v>0</v>
      </c>
      <c r="V105" s="95" t="n">
        <f aca="false">IF(UseMRA=1,V104,V103)</f>
        <v>0</v>
      </c>
      <c r="W105" s="95" t="n">
        <f aca="false">IF(UseMRA=1,W104,W103)</f>
        <v>0</v>
      </c>
    </row>
    <row r="106" customFormat="false" ht="15" hidden="false" customHeight="false" outlineLevel="0" collapsed="false">
      <c r="A106" s="11" t="s">
        <v>175</v>
      </c>
      <c r="B106" s="66" t="n">
        <f aca="false">SUM(C106:W106)</f>
        <v>600000</v>
      </c>
      <c r="C106" s="95" t="n">
        <f aca="false">Grant</f>
        <v>600000</v>
      </c>
      <c r="D106" s="95" t="n">
        <f aca="false">0</f>
        <v>0</v>
      </c>
      <c r="E106" s="95" t="n">
        <f aca="false">0</f>
        <v>0</v>
      </c>
      <c r="F106" s="95" t="n">
        <f aca="false">0</f>
        <v>0</v>
      </c>
      <c r="G106" s="95" t="n">
        <f aca="false">0</f>
        <v>0</v>
      </c>
      <c r="H106" s="95" t="n">
        <f aca="false">0</f>
        <v>0</v>
      </c>
      <c r="I106" s="95" t="n">
        <f aca="false">0</f>
        <v>0</v>
      </c>
      <c r="J106" s="95" t="n">
        <f aca="false">0</f>
        <v>0</v>
      </c>
      <c r="K106" s="95" t="n">
        <f aca="false">0</f>
        <v>0</v>
      </c>
      <c r="L106" s="95" t="n">
        <f aca="false">0</f>
        <v>0</v>
      </c>
      <c r="M106" s="95" t="n">
        <f aca="false">0</f>
        <v>0</v>
      </c>
      <c r="N106" s="95" t="n">
        <f aca="false">0</f>
        <v>0</v>
      </c>
      <c r="O106" s="95" t="n">
        <f aca="false">0</f>
        <v>0</v>
      </c>
      <c r="P106" s="95" t="n">
        <f aca="false">0</f>
        <v>0</v>
      </c>
      <c r="Q106" s="95" t="n">
        <f aca="false">0</f>
        <v>0</v>
      </c>
      <c r="R106" s="95" t="n">
        <f aca="false">0</f>
        <v>0</v>
      </c>
      <c r="S106" s="95" t="n">
        <f aca="false">0</f>
        <v>0</v>
      </c>
      <c r="T106" s="95" t="n">
        <f aca="false">0</f>
        <v>0</v>
      </c>
      <c r="U106" s="95" t="n">
        <f aca="false">0</f>
        <v>0</v>
      </c>
      <c r="V106" s="95" t="n">
        <f aca="false">0</f>
        <v>0</v>
      </c>
      <c r="W106" s="95" t="n">
        <f aca="false">0</f>
        <v>0</v>
      </c>
    </row>
    <row r="107" customFormat="false" ht="15" hidden="false" customHeight="false" outlineLevel="0" collapsed="false">
      <c r="A107" s="11" t="s">
        <v>450</v>
      </c>
      <c r="B107" s="66" t="n">
        <f aca="false">SUM(C107:W107)</f>
        <v>252000</v>
      </c>
      <c r="C107" s="95" t="n">
        <v>0</v>
      </c>
      <c r="D107" s="95" t="n">
        <f aca="false">D54*Seg1_RBF+D55*Seg2_RBF+D56*Seg3_RBF+D57*Seg4_RBF+D58*Seg5_RBF</f>
        <v>151200</v>
      </c>
      <c r="E107" s="95" t="n">
        <f aca="false">E54*Seg1_RBF+E55*Seg2_RBF+E56*Seg3_RBF+E57*Seg4_RBF+E58*Seg5_RBF</f>
        <v>63000</v>
      </c>
      <c r="F107" s="95" t="n">
        <f aca="false">F54*Seg1_RBF+F55*Seg2_RBF+F56*Seg3_RBF+F57*Seg4_RBF+F58*Seg5_RBF</f>
        <v>37800</v>
      </c>
      <c r="G107" s="95" t="n">
        <f aca="false">G54*Seg1_RBF+G55*Seg2_RBF+G56*Seg3_RBF+G57*Seg4_RBF+G58*Seg5_RBF</f>
        <v>0</v>
      </c>
      <c r="H107" s="95" t="n">
        <f aca="false">H54*Seg1_RBF+H55*Seg2_RBF+H56*Seg3_RBF+H57*Seg4_RBF+H58*Seg5_RBF</f>
        <v>0</v>
      </c>
      <c r="I107" s="95" t="n">
        <f aca="false">I54*Seg1_RBF+I55*Seg2_RBF+I56*Seg3_RBF+I57*Seg4_RBF+I58*Seg5_RBF</f>
        <v>0</v>
      </c>
      <c r="J107" s="95" t="n">
        <f aca="false">J54*Seg1_RBF+J55*Seg2_RBF+J56*Seg3_RBF+J57*Seg4_RBF+J58*Seg5_RBF</f>
        <v>0</v>
      </c>
      <c r="K107" s="95" t="n">
        <f aca="false">K54*Seg1_RBF+K55*Seg2_RBF+K56*Seg3_RBF+K57*Seg4_RBF+K58*Seg5_RBF</f>
        <v>0</v>
      </c>
      <c r="L107" s="95" t="n">
        <f aca="false">L54*Seg1_RBF+L55*Seg2_RBF+L56*Seg3_RBF+L57*Seg4_RBF+L58*Seg5_RBF</f>
        <v>0</v>
      </c>
      <c r="M107" s="95" t="n">
        <f aca="false">M54*Seg1_RBF+M55*Seg2_RBF+M56*Seg3_RBF+M57*Seg4_RBF+M58*Seg5_RBF</f>
        <v>0</v>
      </c>
      <c r="N107" s="95" t="n">
        <f aca="false">N54*Seg1_RBF+N55*Seg2_RBF+N56*Seg3_RBF+N57*Seg4_RBF+N58*Seg5_RBF</f>
        <v>0</v>
      </c>
      <c r="O107" s="95" t="n">
        <f aca="false">O54*Seg1_RBF+O55*Seg2_RBF+O56*Seg3_RBF+O57*Seg4_RBF+O58*Seg5_RBF</f>
        <v>0</v>
      </c>
      <c r="P107" s="95" t="n">
        <f aca="false">P54*Seg1_RBF+P55*Seg2_RBF+P56*Seg3_RBF+P57*Seg4_RBF+P58*Seg5_RBF</f>
        <v>0</v>
      </c>
      <c r="Q107" s="95" t="n">
        <f aca="false">Q54*Seg1_RBF+Q55*Seg2_RBF+Q56*Seg3_RBF+Q57*Seg4_RBF+Q58*Seg5_RBF</f>
        <v>0</v>
      </c>
      <c r="R107" s="95" t="n">
        <f aca="false">R54*Seg1_RBF+R55*Seg2_RBF+R56*Seg3_RBF+R57*Seg4_RBF+R58*Seg5_RBF</f>
        <v>0</v>
      </c>
      <c r="S107" s="95" t="n">
        <f aca="false">S54*Seg1_RBF+S55*Seg2_RBF+S56*Seg3_RBF+S57*Seg4_RBF+S58*Seg5_RBF</f>
        <v>0</v>
      </c>
      <c r="T107" s="95" t="n">
        <f aca="false">T54*Seg1_RBF+T55*Seg2_RBF+T56*Seg3_RBF+T57*Seg4_RBF+T58*Seg5_RBF</f>
        <v>0</v>
      </c>
      <c r="U107" s="95" t="n">
        <f aca="false">U54*Seg1_RBF+U55*Seg2_RBF+U56*Seg3_RBF+U57*Seg4_RBF+U58*Seg5_RBF</f>
        <v>0</v>
      </c>
      <c r="V107" s="95" t="n">
        <f aca="false">V54*Seg1_RBF+V55*Seg2_RBF+V56*Seg3_RBF+V57*Seg4_RBF+V58*Seg5_RBF</f>
        <v>0</v>
      </c>
      <c r="W107" s="95" t="n">
        <f aca="false">W54*Seg1_RBF+W55*Seg2_RBF+W56*Seg3_RBF+W57*Seg4_RBF+W58*Seg5_RBF</f>
        <v>0</v>
      </c>
    </row>
    <row r="108" customFormat="false" ht="15" hidden="false" customHeight="false" outlineLevel="0" collapsed="false">
      <c r="A108" s="11" t="s">
        <v>451</v>
      </c>
      <c r="B108" s="66" t="n">
        <f aca="false">SUM(C108:W108)</f>
        <v>252000</v>
      </c>
      <c r="C108" s="95" t="n">
        <v>0</v>
      </c>
      <c r="D108" s="95" t="n">
        <f aca="false">IF(D39-RBFLag&gt;=1,INDEX($C$107:$W$107,1,D39-RBFLag+1),0)</f>
        <v>151200</v>
      </c>
      <c r="E108" s="95" t="n">
        <f aca="false">IF(E39-RBFLag&gt;=1,INDEX($C$107:$W$107,1,E39-RBFLag+1),0)</f>
        <v>63000</v>
      </c>
      <c r="F108" s="95" t="n">
        <f aca="false">IF(F39-RBFLag&gt;=1,INDEX($C$107:$W$107,1,F39-RBFLag+1),0)</f>
        <v>37800</v>
      </c>
      <c r="G108" s="95" t="n">
        <f aca="false">IF(G39-RBFLag&gt;=1,INDEX($C$107:$W$107,1,G39-RBFLag+1),0)</f>
        <v>0</v>
      </c>
      <c r="H108" s="95" t="n">
        <f aca="false">IF(H39-RBFLag&gt;=1,INDEX($C$107:$W$107,1,H39-RBFLag+1),0)</f>
        <v>0</v>
      </c>
      <c r="I108" s="95" t="n">
        <f aca="false">IF(I39-RBFLag&gt;=1,INDEX($C$107:$W$107,1,I39-RBFLag+1),0)</f>
        <v>0</v>
      </c>
      <c r="J108" s="95" t="n">
        <f aca="false">IF(J39-RBFLag&gt;=1,INDEX($C$107:$W$107,1,J39-RBFLag+1),0)</f>
        <v>0</v>
      </c>
      <c r="K108" s="95" t="n">
        <f aca="false">IF(K39-RBFLag&gt;=1,INDEX($C$107:$W$107,1,K39-RBFLag+1),0)</f>
        <v>0</v>
      </c>
      <c r="L108" s="95" t="n">
        <f aca="false">IF(L39-RBFLag&gt;=1,INDEX($C$107:$W$107,1,L39-RBFLag+1),0)</f>
        <v>0</v>
      </c>
      <c r="M108" s="95" t="n">
        <f aca="false">IF(M39-RBFLag&gt;=1,INDEX($C$107:$W$107,1,M39-RBFLag+1),0)</f>
        <v>0</v>
      </c>
      <c r="N108" s="95" t="n">
        <f aca="false">IF(N39-RBFLag&gt;=1,INDEX($C$107:$W$107,1,N39-RBFLag+1),0)</f>
        <v>0</v>
      </c>
      <c r="O108" s="95" t="n">
        <f aca="false">IF(O39-RBFLag&gt;=1,INDEX($C$107:$W$107,1,O39-RBFLag+1),0)</f>
        <v>0</v>
      </c>
      <c r="P108" s="95" t="n">
        <f aca="false">IF(P39-RBFLag&gt;=1,INDEX($C$107:$W$107,1,P39-RBFLag+1),0)</f>
        <v>0</v>
      </c>
      <c r="Q108" s="95" t="n">
        <f aca="false">IF(Q39-RBFLag&gt;=1,INDEX($C$107:$W$107,1,Q39-RBFLag+1),0)</f>
        <v>0</v>
      </c>
      <c r="R108" s="95" t="n">
        <f aca="false">IF(R39-RBFLag&gt;=1,INDEX($C$107:$W$107,1,R39-RBFLag+1),0)</f>
        <v>0</v>
      </c>
      <c r="S108" s="95" t="n">
        <f aca="false">IF(S39-RBFLag&gt;=1,INDEX($C$107:$W$107,1,S39-RBFLag+1),0)</f>
        <v>0</v>
      </c>
      <c r="T108" s="95" t="n">
        <f aca="false">IF(T39-RBFLag&gt;=1,INDEX($C$107:$W$107,1,T39-RBFLag+1),0)</f>
        <v>0</v>
      </c>
      <c r="U108" s="95" t="n">
        <f aca="false">IF(U39-RBFLag&gt;=1,INDEX($C$107:$W$107,1,U39-RBFLag+1),0)</f>
        <v>0</v>
      </c>
      <c r="V108" s="95" t="n">
        <f aca="false">IF(V39-RBFLag&gt;=1,INDEX($C$107:$W$107,1,V39-RBFLag+1),0)</f>
        <v>0</v>
      </c>
      <c r="W108" s="95" t="n">
        <f aca="false">IF(W39-RBFLag&gt;=1,INDEX($C$107:$W$107,1,W39-RBFLag+1),0)</f>
        <v>0</v>
      </c>
    </row>
    <row r="109" customFormat="false" ht="15" hidden="false" customHeight="false" outlineLevel="0" collapsed="false">
      <c r="A109" s="11" t="s">
        <v>452</v>
      </c>
      <c r="B109" s="76" t="n">
        <f aca="false">SUM(C109:W109)</f>
        <v>970</v>
      </c>
      <c r="C109" s="93" t="n">
        <v>0</v>
      </c>
      <c r="D109" s="93" t="n">
        <f aca="false">IF(D39-RBFLag&gt;=1,INDEX($C$59:$W$59,1,D39-RBFLag+1),0)</f>
        <v>582</v>
      </c>
      <c r="E109" s="93" t="n">
        <f aca="false">IF(E39-RBFLag&gt;=1,INDEX($C$59:$W$59,1,E39-RBFLag+1),0)</f>
        <v>242.5</v>
      </c>
      <c r="F109" s="93" t="n">
        <f aca="false">IF(F39-RBFLag&gt;=1,INDEX($C$59:$W$59,1,F39-RBFLag+1),0)</f>
        <v>145.5</v>
      </c>
      <c r="G109" s="93" t="n">
        <f aca="false">IF(G39-RBFLag&gt;=1,INDEX($C$59:$W$59,1,G39-RBFLag+1),0)</f>
        <v>0</v>
      </c>
      <c r="H109" s="93" t="n">
        <f aca="false">IF(H39-RBFLag&gt;=1,INDEX($C$59:$W$59,1,H39-RBFLag+1),0)</f>
        <v>0</v>
      </c>
      <c r="I109" s="93" t="n">
        <f aca="false">IF(I39-RBFLag&gt;=1,INDEX($C$59:$W$59,1,I39-RBFLag+1),0)</f>
        <v>0</v>
      </c>
      <c r="J109" s="93" t="n">
        <f aca="false">IF(J39-RBFLag&gt;=1,INDEX($C$59:$W$59,1,J39-RBFLag+1),0)</f>
        <v>0</v>
      </c>
      <c r="K109" s="93" t="n">
        <f aca="false">IF(K39-RBFLag&gt;=1,INDEX($C$59:$W$59,1,K39-RBFLag+1),0)</f>
        <v>0</v>
      </c>
      <c r="L109" s="93" t="n">
        <f aca="false">IF(L39-RBFLag&gt;=1,INDEX($C$59:$W$59,1,L39-RBFLag+1),0)</f>
        <v>0</v>
      </c>
      <c r="M109" s="93" t="n">
        <f aca="false">IF(M39-RBFLag&gt;=1,INDEX($C$59:$W$59,1,M39-RBFLag+1),0)</f>
        <v>0</v>
      </c>
      <c r="N109" s="93" t="n">
        <f aca="false">IF(N39-RBFLag&gt;=1,INDEX($C$59:$W$59,1,N39-RBFLag+1),0)</f>
        <v>0</v>
      </c>
      <c r="O109" s="93" t="n">
        <f aca="false">IF(O39-RBFLag&gt;=1,INDEX($C$59:$W$59,1,O39-RBFLag+1),0)</f>
        <v>0</v>
      </c>
      <c r="P109" s="93" t="n">
        <f aca="false">IF(P39-RBFLag&gt;=1,INDEX($C$59:$W$59,1,P39-RBFLag+1),0)</f>
        <v>0</v>
      </c>
      <c r="Q109" s="93" t="n">
        <f aca="false">IF(Q39-RBFLag&gt;=1,INDEX($C$59:$W$59,1,Q39-RBFLag+1),0)</f>
        <v>0</v>
      </c>
      <c r="R109" s="93" t="n">
        <f aca="false">IF(R39-RBFLag&gt;=1,INDEX($C$59:$W$59,1,R39-RBFLag+1),0)</f>
        <v>0</v>
      </c>
      <c r="S109" s="93" t="n">
        <f aca="false">IF(S39-RBFLag&gt;=1,INDEX($C$59:$W$59,1,S39-RBFLag+1),0)</f>
        <v>0</v>
      </c>
      <c r="T109" s="93" t="n">
        <f aca="false">IF(T39-RBFLag&gt;=1,INDEX($C$59:$W$59,1,T39-RBFLag+1),0)</f>
        <v>0</v>
      </c>
      <c r="U109" s="93" t="n">
        <f aca="false">IF(U39-RBFLag&gt;=1,INDEX($C$59:$W$59,1,U39-RBFLag+1),0)</f>
        <v>0</v>
      </c>
      <c r="V109" s="93" t="n">
        <f aca="false">IF(V39-RBFLag&gt;=1,INDEX($C$59:$W$59,1,V39-RBFLag+1),0)</f>
        <v>0</v>
      </c>
      <c r="W109" s="93" t="n">
        <f aca="false">IF(W39-RBFLag&gt;=1,INDEX($C$59:$W$59,1,W39-RBFLag+1),0)</f>
        <v>0</v>
      </c>
    </row>
    <row r="111" customFormat="false" ht="15" hidden="false" customHeight="false" outlineLevel="0" collapsed="false">
      <c r="A111" s="9" t="s">
        <v>453</v>
      </c>
      <c r="B111" s="10"/>
      <c r="C111" s="10"/>
      <c r="D111" s="10"/>
      <c r="E111" s="10"/>
      <c r="F111" s="10"/>
      <c r="G111" s="10"/>
      <c r="H111" s="10"/>
      <c r="I111" s="10"/>
      <c r="J111" s="10"/>
      <c r="K111" s="10"/>
      <c r="L111" s="10"/>
      <c r="M111" s="10"/>
      <c r="N111" s="10"/>
      <c r="O111" s="10"/>
      <c r="P111" s="10"/>
      <c r="Q111" s="10"/>
      <c r="R111" s="10"/>
      <c r="S111" s="10"/>
      <c r="T111" s="10"/>
      <c r="U111" s="10"/>
      <c r="V111" s="10"/>
      <c r="W111" s="10"/>
    </row>
    <row r="112" customFormat="false" ht="15" hidden="false" customHeight="false" outlineLevel="0" collapsed="false">
      <c r="A112" s="11" t="s">
        <v>454</v>
      </c>
      <c r="C112" s="95" t="n">
        <v>0</v>
      </c>
      <c r="D112" s="95" t="n">
        <f aca="false">C116</f>
        <v>112546.829385741</v>
      </c>
      <c r="E112" s="95" t="n">
        <f aca="false">D116</f>
        <v>112546.829385741</v>
      </c>
      <c r="F112" s="95" t="n">
        <f aca="false">E116</f>
        <v>112546.829385741</v>
      </c>
      <c r="G112" s="95" t="n">
        <f aca="false">F116</f>
        <v>102705.282458945</v>
      </c>
      <c r="H112" s="95" t="n">
        <f aca="false">G116</f>
        <v>91879.5808394692</v>
      </c>
      <c r="I112" s="95" t="n">
        <f aca="false">H116</f>
        <v>79971.3090580457</v>
      </c>
      <c r="J112" s="95" t="n">
        <f aca="false">I116</f>
        <v>66872.2100984798</v>
      </c>
      <c r="K112" s="95" t="n">
        <f aca="false">J116</f>
        <v>52463.2012429573</v>
      </c>
      <c r="L112" s="95" t="n">
        <f aca="false">K116</f>
        <v>36613.2915018826</v>
      </c>
      <c r="M112" s="95" t="n">
        <f aca="false">L116</f>
        <v>19178.3907867004</v>
      </c>
      <c r="N112" s="95" t="n">
        <f aca="false">M116</f>
        <v>0</v>
      </c>
      <c r="O112" s="95" t="n">
        <f aca="false">N116</f>
        <v>0</v>
      </c>
      <c r="P112" s="95" t="n">
        <f aca="false">O116</f>
        <v>0</v>
      </c>
      <c r="Q112" s="95" t="n">
        <f aca="false">P116</f>
        <v>0</v>
      </c>
      <c r="R112" s="95" t="n">
        <f aca="false">Q116</f>
        <v>0</v>
      </c>
      <c r="S112" s="95" t="n">
        <f aca="false">R116</f>
        <v>0</v>
      </c>
      <c r="T112" s="95" t="n">
        <f aca="false">S116</f>
        <v>0</v>
      </c>
      <c r="U112" s="95" t="n">
        <f aca="false">T116</f>
        <v>0</v>
      </c>
      <c r="V112" s="95" t="n">
        <f aca="false">U116</f>
        <v>0</v>
      </c>
      <c r="W112" s="95" t="n">
        <f aca="false">V116</f>
        <v>0</v>
      </c>
    </row>
    <row r="113" customFormat="false" ht="15" hidden="false" customHeight="false" outlineLevel="0" collapsed="false">
      <c r="A113" s="11" t="s">
        <v>455</v>
      </c>
      <c r="B113" s="66" t="n">
        <f aca="false">SUM(C113:W113)</f>
        <v>112546.829385741</v>
      </c>
      <c r="C113" s="95" t="n">
        <f aca="false">S_Opex_Lo!$B$16</f>
        <v>112546.829385741</v>
      </c>
      <c r="D113" s="95" t="n">
        <f aca="false">0</f>
        <v>0</v>
      </c>
      <c r="E113" s="95" t="n">
        <f aca="false">0</f>
        <v>0</v>
      </c>
      <c r="F113" s="95" t="n">
        <f aca="false">0</f>
        <v>0</v>
      </c>
      <c r="G113" s="95" t="n">
        <f aca="false">0</f>
        <v>0</v>
      </c>
      <c r="H113" s="95" t="n">
        <f aca="false">0</f>
        <v>0</v>
      </c>
      <c r="I113" s="95" t="n">
        <f aca="false">0</f>
        <v>0</v>
      </c>
      <c r="J113" s="95" t="n">
        <f aca="false">0</f>
        <v>0</v>
      </c>
      <c r="K113" s="95" t="n">
        <f aca="false">0</f>
        <v>0</v>
      </c>
      <c r="L113" s="95" t="n">
        <f aca="false">0</f>
        <v>0</v>
      </c>
      <c r="M113" s="95" t="n">
        <f aca="false">0</f>
        <v>0</v>
      </c>
      <c r="N113" s="95" t="n">
        <f aca="false">0</f>
        <v>0</v>
      </c>
      <c r="O113" s="95" t="n">
        <f aca="false">0</f>
        <v>0</v>
      </c>
      <c r="P113" s="95" t="n">
        <f aca="false">0</f>
        <v>0</v>
      </c>
      <c r="Q113" s="95" t="n">
        <f aca="false">0</f>
        <v>0</v>
      </c>
      <c r="R113" s="95" t="n">
        <f aca="false">0</f>
        <v>0</v>
      </c>
      <c r="S113" s="95" t="n">
        <f aca="false">0</f>
        <v>0</v>
      </c>
      <c r="T113" s="95" t="n">
        <f aca="false">0</f>
        <v>0</v>
      </c>
      <c r="U113" s="95" t="n">
        <f aca="false">0</f>
        <v>0</v>
      </c>
      <c r="V113" s="95" t="n">
        <f aca="false">0</f>
        <v>0</v>
      </c>
      <c r="W113" s="95" t="n">
        <f aca="false">0</f>
        <v>0</v>
      </c>
    </row>
    <row r="114" customFormat="false" ht="15" hidden="false" customHeight="false" outlineLevel="0" collapsed="false">
      <c r="A114" s="11" t="s">
        <v>456</v>
      </c>
      <c r="B114" s="66" t="n">
        <f aca="false">SUM(C114:W114)</f>
        <v>78732.3754143705</v>
      </c>
      <c r="C114" s="95" t="n">
        <v>0</v>
      </c>
      <c r="D114" s="95" t="n">
        <f aca="false">D112*SenRate*$B$11</f>
        <v>11254.6829385742</v>
      </c>
      <c r="E114" s="95" t="n">
        <f aca="false">E112*SenRate*$B$11</f>
        <v>11254.6829385742</v>
      </c>
      <c r="F114" s="95" t="n">
        <f aca="false">F112*SenRate*$B$11</f>
        <v>11254.6829385742</v>
      </c>
      <c r="G114" s="95" t="n">
        <f aca="false">G112*SenRate*$B$11</f>
        <v>10270.5282458945</v>
      </c>
      <c r="H114" s="95" t="n">
        <f aca="false">H112*SenRate*$B$11</f>
        <v>9187.95808394693</v>
      </c>
      <c r="I114" s="95" t="n">
        <f aca="false">I112*SenRate*$B$11</f>
        <v>7997.13090580457</v>
      </c>
      <c r="J114" s="95" t="n">
        <f aca="false">J112*SenRate*$B$11</f>
        <v>6687.22100984798</v>
      </c>
      <c r="K114" s="95" t="n">
        <f aca="false">K112*SenRate*$B$11</f>
        <v>5246.32012429573</v>
      </c>
      <c r="L114" s="95" t="n">
        <f aca="false">L112*SenRate*$B$11</f>
        <v>3661.32915018826</v>
      </c>
      <c r="M114" s="95" t="n">
        <f aca="false">M112*SenRate*$B$11</f>
        <v>1917.83907867004</v>
      </c>
      <c r="N114" s="95" t="n">
        <f aca="false">N112*SenRate*$B$11</f>
        <v>0</v>
      </c>
      <c r="O114" s="95" t="n">
        <f aca="false">O112*SenRate*$B$11</f>
        <v>0</v>
      </c>
      <c r="P114" s="95" t="n">
        <f aca="false">P112*SenRate*$B$11</f>
        <v>0</v>
      </c>
      <c r="Q114" s="95" t="n">
        <f aca="false">Q112*SenRate*$B$11</f>
        <v>0</v>
      </c>
      <c r="R114" s="95" t="n">
        <f aca="false">R112*SenRate*$B$11</f>
        <v>0</v>
      </c>
      <c r="S114" s="95" t="n">
        <f aca="false">S112*SenRate*$B$11</f>
        <v>0</v>
      </c>
      <c r="T114" s="95" t="n">
        <f aca="false">T112*SenRate*$B$11</f>
        <v>0</v>
      </c>
      <c r="U114" s="95" t="n">
        <f aca="false">U112*SenRate*$B$11</f>
        <v>0</v>
      </c>
      <c r="V114" s="95" t="n">
        <f aca="false">V112*SenRate*$B$11</f>
        <v>0</v>
      </c>
      <c r="W114" s="95" t="n">
        <f aca="false">W112*SenRate*$B$11</f>
        <v>0</v>
      </c>
    </row>
    <row r="115" customFormat="false" ht="15" hidden="false" customHeight="false" outlineLevel="0" collapsed="false">
      <c r="A115" s="11" t="s">
        <v>457</v>
      </c>
      <c r="B115" s="66" t="n">
        <f aca="false">SUM(C115:W115)</f>
        <v>112546.829385742</v>
      </c>
      <c r="C115" s="95" t="n">
        <v>0</v>
      </c>
      <c r="D115" s="95" t="n">
        <f aca="false">IF(AND(D39&gt;SenGrace,D39&lt;=SenTenor),PMT(SenRate*$B$11,SenTenor-SenGrace,-S_Opex_Lo!$B$16)-D114,0)</f>
        <v>0</v>
      </c>
      <c r="E115" s="95" t="n">
        <f aca="false">IF(AND(E39&gt;SenGrace,E39&lt;=SenTenor),PMT(SenRate*$B$11,SenTenor-SenGrace,-S_Opex_Lo!$B$16)-E114,0)</f>
        <v>0</v>
      </c>
      <c r="F115" s="95" t="n">
        <f aca="false">IF(AND(F39&gt;SenGrace,F39&lt;=SenTenor),PMT(SenRate*$B$11,SenTenor-SenGrace,-S_Opex_Lo!$B$16)-F114,0)</f>
        <v>9841.54692679631</v>
      </c>
      <c r="G115" s="95" t="n">
        <f aca="false">IF(AND(G39&gt;SenGrace,G39&lt;=SenTenor),PMT(SenRate*$B$11,SenTenor-SenGrace,-S_Opex_Lo!$B$16)-G114,0)</f>
        <v>10825.7016194759</v>
      </c>
      <c r="H115" s="95" t="n">
        <f aca="false">IF(AND(H39&gt;SenGrace,H39&lt;=SenTenor),PMT(SenRate*$B$11,SenTenor-SenGrace,-S_Opex_Lo!$B$16)-H114,0)</f>
        <v>11908.2717814235</v>
      </c>
      <c r="I115" s="95" t="n">
        <f aca="false">IF(AND(I39&gt;SenGrace,I39&lt;=SenTenor),PMT(SenRate*$B$11,SenTenor-SenGrace,-S_Opex_Lo!$B$16)-I114,0)</f>
        <v>13099.0989595659</v>
      </c>
      <c r="J115" s="95" t="n">
        <f aca="false">IF(AND(J39&gt;SenGrace,J39&lt;=SenTenor),PMT(SenRate*$B$11,SenTenor-SenGrace,-S_Opex_Lo!$B$16)-J114,0)</f>
        <v>14409.0088555225</v>
      </c>
      <c r="K115" s="95" t="n">
        <f aca="false">IF(AND(K39&gt;SenGrace,K39&lt;=SenTenor),PMT(SenRate*$B$11,SenTenor-SenGrace,-S_Opex_Lo!$B$16)-K114,0)</f>
        <v>15849.9097410747</v>
      </c>
      <c r="L115" s="95" t="n">
        <f aca="false">IF(AND(L39&gt;SenGrace,L39&lt;=SenTenor),PMT(SenRate*$B$11,SenTenor-SenGrace,-S_Opex_Lo!$B$16)-L114,0)</f>
        <v>17434.9007151822</v>
      </c>
      <c r="M115" s="95" t="n">
        <f aca="false">IF(AND(M39&gt;SenGrace,M39&lt;=SenTenor),PMT(SenRate*$B$11,SenTenor-SenGrace,-S_Opex_Lo!$B$16)-M114,0)</f>
        <v>19178.3907867004</v>
      </c>
      <c r="N115" s="95" t="n">
        <f aca="false">IF(AND(N39&gt;SenGrace,N39&lt;=SenTenor),PMT(SenRate*$B$11,SenTenor-SenGrace,-S_Opex_Lo!$B$16)-N114,0)</f>
        <v>0</v>
      </c>
      <c r="O115" s="95" t="n">
        <f aca="false">IF(AND(O39&gt;SenGrace,O39&lt;=SenTenor),PMT(SenRate*$B$11,SenTenor-SenGrace,-S_Opex_Lo!$B$16)-O114,0)</f>
        <v>0</v>
      </c>
      <c r="P115" s="95" t="n">
        <f aca="false">IF(AND(P39&gt;SenGrace,P39&lt;=SenTenor),PMT(SenRate*$B$11,SenTenor-SenGrace,-S_Opex_Lo!$B$16)-P114,0)</f>
        <v>0</v>
      </c>
      <c r="Q115" s="95" t="n">
        <f aca="false">IF(AND(Q39&gt;SenGrace,Q39&lt;=SenTenor),PMT(SenRate*$B$11,SenTenor-SenGrace,-S_Opex_Lo!$B$16)-Q114,0)</f>
        <v>0</v>
      </c>
      <c r="R115" s="95" t="n">
        <f aca="false">IF(AND(R39&gt;SenGrace,R39&lt;=SenTenor),PMT(SenRate*$B$11,SenTenor-SenGrace,-S_Opex_Lo!$B$16)-R114,0)</f>
        <v>0</v>
      </c>
      <c r="S115" s="95" t="n">
        <f aca="false">IF(AND(S39&gt;SenGrace,S39&lt;=SenTenor),PMT(SenRate*$B$11,SenTenor-SenGrace,-S_Opex_Lo!$B$16)-S114,0)</f>
        <v>0</v>
      </c>
      <c r="T115" s="95" t="n">
        <f aca="false">IF(AND(T39&gt;SenGrace,T39&lt;=SenTenor),PMT(SenRate*$B$11,SenTenor-SenGrace,-S_Opex_Lo!$B$16)-T114,0)</f>
        <v>0</v>
      </c>
      <c r="U115" s="95" t="n">
        <f aca="false">IF(AND(U39&gt;SenGrace,U39&lt;=SenTenor),PMT(SenRate*$B$11,SenTenor-SenGrace,-S_Opex_Lo!$B$16)-U114,0)</f>
        <v>0</v>
      </c>
      <c r="V115" s="95" t="n">
        <f aca="false">IF(AND(V39&gt;SenGrace,V39&lt;=SenTenor),PMT(SenRate*$B$11,SenTenor-SenGrace,-S_Opex_Lo!$B$16)-V114,0)</f>
        <v>0</v>
      </c>
      <c r="W115" s="95" t="n">
        <f aca="false">IF(AND(W39&gt;SenGrace,W39&lt;=SenTenor),PMT(SenRate*$B$11,SenTenor-SenGrace,-S_Opex_Lo!$B$16)-W114,0)</f>
        <v>0</v>
      </c>
    </row>
    <row r="116" customFormat="false" ht="15" hidden="false" customHeight="false" outlineLevel="0" collapsed="false">
      <c r="A116" s="11" t="s">
        <v>458</v>
      </c>
      <c r="C116" s="95" t="n">
        <f aca="false">0+C113-0</f>
        <v>112546.829385741</v>
      </c>
      <c r="D116" s="95" t="n">
        <f aca="false">D112+D113-D115</f>
        <v>112546.829385741</v>
      </c>
      <c r="E116" s="95" t="n">
        <f aca="false">E112+E113-E115</f>
        <v>112546.829385741</v>
      </c>
      <c r="F116" s="95" t="n">
        <f aca="false">F112+F113-F115</f>
        <v>102705.282458945</v>
      </c>
      <c r="G116" s="95" t="n">
        <f aca="false">G112+G113-G115</f>
        <v>91879.5808394692</v>
      </c>
      <c r="H116" s="95" t="n">
        <f aca="false">H112+H113-H115</f>
        <v>79971.3090580457</v>
      </c>
      <c r="I116" s="95" t="n">
        <f aca="false">I112+I113-I115</f>
        <v>66872.2100984798</v>
      </c>
      <c r="J116" s="95" t="n">
        <f aca="false">J112+J113-J115</f>
        <v>52463.2012429573</v>
      </c>
      <c r="K116" s="95" t="n">
        <f aca="false">K112+K113-K115</f>
        <v>36613.2915018826</v>
      </c>
      <c r="L116" s="95" t="n">
        <f aca="false">L112+L113-L115</f>
        <v>19178.3907867004</v>
      </c>
      <c r="M116" s="95" t="n">
        <f aca="false">M112+M113-M115</f>
        <v>0</v>
      </c>
      <c r="N116" s="95" t="n">
        <f aca="false">N112+N113-N115</f>
        <v>0</v>
      </c>
      <c r="O116" s="95" t="n">
        <f aca="false">O112+O113-O115</f>
        <v>0</v>
      </c>
      <c r="P116" s="95" t="n">
        <f aca="false">P112+P113-P115</f>
        <v>0</v>
      </c>
      <c r="Q116" s="95" t="n">
        <f aca="false">Q112+Q113-Q115</f>
        <v>0</v>
      </c>
      <c r="R116" s="95" t="n">
        <f aca="false">R112+R113-R115</f>
        <v>0</v>
      </c>
      <c r="S116" s="95" t="n">
        <f aca="false">S112+S113-S115</f>
        <v>0</v>
      </c>
      <c r="T116" s="95" t="n">
        <f aca="false">T112+T113-T115</f>
        <v>0</v>
      </c>
      <c r="U116" s="95" t="n">
        <f aca="false">U112+U113-U115</f>
        <v>0</v>
      </c>
      <c r="V116" s="95" t="n">
        <f aca="false">V112+V113-V115</f>
        <v>0</v>
      </c>
      <c r="W116" s="95" t="n">
        <f aca="false">W112+W113-W115</f>
        <v>0</v>
      </c>
    </row>
    <row r="118" customFormat="false" ht="15" hidden="false" customHeight="false" outlineLevel="0" collapsed="false">
      <c r="A118" s="9" t="s">
        <v>459</v>
      </c>
      <c r="B118" s="10"/>
      <c r="C118" s="10"/>
      <c r="D118" s="10"/>
      <c r="E118" s="10"/>
      <c r="F118" s="10"/>
      <c r="G118" s="10"/>
      <c r="H118" s="10"/>
      <c r="I118" s="10"/>
      <c r="J118" s="10"/>
      <c r="K118" s="10"/>
      <c r="L118" s="10"/>
      <c r="M118" s="10"/>
      <c r="N118" s="10"/>
      <c r="O118" s="10"/>
      <c r="P118" s="10"/>
      <c r="Q118" s="10"/>
      <c r="R118" s="10"/>
      <c r="S118" s="10"/>
      <c r="T118" s="10"/>
      <c r="U118" s="10"/>
      <c r="V118" s="10"/>
      <c r="W118" s="10"/>
    </row>
    <row r="119" customFormat="false" ht="15" hidden="false" customHeight="false" outlineLevel="0" collapsed="false">
      <c r="A119" s="11" t="s">
        <v>454</v>
      </c>
      <c r="C119" s="95" t="n">
        <v>0</v>
      </c>
      <c r="D119" s="95" t="n">
        <f aca="false">C123</f>
        <v>112546.829385741</v>
      </c>
      <c r="E119" s="95" t="n">
        <f aca="false">D123</f>
        <v>112546.829385741</v>
      </c>
      <c r="F119" s="95" t="n">
        <f aca="false">E123</f>
        <v>112546.829385741</v>
      </c>
      <c r="G119" s="95" t="n">
        <f aca="false">F123</f>
        <v>112546.829385741</v>
      </c>
      <c r="H119" s="95" t="n">
        <f aca="false">G123</f>
        <v>112546.829385741</v>
      </c>
      <c r="I119" s="95" t="n">
        <f aca="false">H123</f>
        <v>112546.829385741</v>
      </c>
      <c r="J119" s="95" t="n">
        <f aca="false">I123</f>
        <v>102729.312441619</v>
      </c>
      <c r="K119" s="95" t="n">
        <f aca="false">J123</f>
        <v>92617.2699891724</v>
      </c>
      <c r="L119" s="95" t="n">
        <f aca="false">K123</f>
        <v>82201.8662631527</v>
      </c>
      <c r="M119" s="95" t="n">
        <f aca="false">L123</f>
        <v>71474.0004253523</v>
      </c>
      <c r="N119" s="95" t="n">
        <f aca="false">M123</f>
        <v>60424.2986124179</v>
      </c>
      <c r="O119" s="95" t="n">
        <f aca="false">N123</f>
        <v>49043.1057450955</v>
      </c>
      <c r="P119" s="95" t="n">
        <f aca="false">O123</f>
        <v>37320.4770917535</v>
      </c>
      <c r="Q119" s="95" t="n">
        <f aca="false">P123</f>
        <v>25246.1695788111</v>
      </c>
      <c r="R119" s="95" t="n">
        <f aca="false">Q123</f>
        <v>12809.6328404805</v>
      </c>
      <c r="S119" s="95" t="n">
        <f aca="false">R123</f>
        <v>0</v>
      </c>
      <c r="T119" s="95" t="n">
        <f aca="false">S123</f>
        <v>0</v>
      </c>
      <c r="U119" s="95" t="n">
        <f aca="false">T123</f>
        <v>0</v>
      </c>
      <c r="V119" s="95" t="n">
        <f aca="false">U123</f>
        <v>0</v>
      </c>
      <c r="W119" s="95" t="n">
        <f aca="false">V123</f>
        <v>0</v>
      </c>
    </row>
    <row r="120" customFormat="false" ht="15" hidden="false" customHeight="false" outlineLevel="0" collapsed="false">
      <c r="A120" s="11" t="s">
        <v>455</v>
      </c>
      <c r="B120" s="66" t="n">
        <f aca="false">SUM(C120:W120)</f>
        <v>112546.829385741</v>
      </c>
      <c r="C120" s="95" t="n">
        <f aca="false">S_Opex_Lo!$B$17</f>
        <v>112546.829385741</v>
      </c>
      <c r="D120" s="95" t="n">
        <f aca="false">0</f>
        <v>0</v>
      </c>
      <c r="E120" s="95" t="n">
        <f aca="false">0</f>
        <v>0</v>
      </c>
      <c r="F120" s="95" t="n">
        <f aca="false">0</f>
        <v>0</v>
      </c>
      <c r="G120" s="95" t="n">
        <f aca="false">0</f>
        <v>0</v>
      </c>
      <c r="H120" s="95" t="n">
        <f aca="false">0</f>
        <v>0</v>
      </c>
      <c r="I120" s="95" t="n">
        <f aca="false">0</f>
        <v>0</v>
      </c>
      <c r="J120" s="95" t="n">
        <f aca="false">0</f>
        <v>0</v>
      </c>
      <c r="K120" s="95" t="n">
        <f aca="false">0</f>
        <v>0</v>
      </c>
      <c r="L120" s="95" t="n">
        <f aca="false">0</f>
        <v>0</v>
      </c>
      <c r="M120" s="95" t="n">
        <f aca="false">0</f>
        <v>0</v>
      </c>
      <c r="N120" s="95" t="n">
        <f aca="false">0</f>
        <v>0</v>
      </c>
      <c r="O120" s="95" t="n">
        <f aca="false">0</f>
        <v>0</v>
      </c>
      <c r="P120" s="95" t="n">
        <f aca="false">0</f>
        <v>0</v>
      </c>
      <c r="Q120" s="95" t="n">
        <f aca="false">0</f>
        <v>0</v>
      </c>
      <c r="R120" s="95" t="n">
        <f aca="false">0</f>
        <v>0</v>
      </c>
      <c r="S120" s="95" t="n">
        <f aca="false">0</f>
        <v>0</v>
      </c>
      <c r="T120" s="95" t="n">
        <f aca="false">0</f>
        <v>0</v>
      </c>
      <c r="U120" s="95" t="n">
        <f aca="false">0</f>
        <v>0</v>
      </c>
      <c r="V120" s="95" t="n">
        <f aca="false">0</f>
        <v>0</v>
      </c>
      <c r="W120" s="95" t="n">
        <f aca="false">0</f>
        <v>0</v>
      </c>
    </row>
    <row r="121" customFormat="false" ht="15" hidden="false" customHeight="false" outlineLevel="0" collapsed="false">
      <c r="A121" s="11" t="s">
        <v>456</v>
      </c>
      <c r="B121" s="66" t="n">
        <f aca="false">SUM(C121:W121)</f>
        <v>36274.4132790691</v>
      </c>
      <c r="C121" s="95" t="n">
        <v>0</v>
      </c>
      <c r="D121" s="95" t="n">
        <f aca="false">D119*ConRate*$B$11</f>
        <v>3376.40488157224</v>
      </c>
      <c r="E121" s="95" t="n">
        <f aca="false">E119*ConRate*$B$11</f>
        <v>3376.40488157224</v>
      </c>
      <c r="F121" s="95" t="n">
        <f aca="false">F119*ConRate*$B$11</f>
        <v>3376.40488157224</v>
      </c>
      <c r="G121" s="95" t="n">
        <f aca="false">G119*ConRate*$B$11</f>
        <v>3376.40488157224</v>
      </c>
      <c r="H121" s="95" t="n">
        <f aca="false">H119*ConRate*$B$11</f>
        <v>3376.40488157224</v>
      </c>
      <c r="I121" s="95" t="n">
        <f aca="false">I119*ConRate*$B$11</f>
        <v>3376.40488157224</v>
      </c>
      <c r="J121" s="95" t="n">
        <f aca="false">J119*ConRate*$B$11</f>
        <v>3081.87937324856</v>
      </c>
      <c r="K121" s="95" t="n">
        <f aca="false">K119*ConRate*$B$11</f>
        <v>2778.51809967517</v>
      </c>
      <c r="L121" s="95" t="n">
        <f aca="false">L119*ConRate*$B$11</f>
        <v>2466.05598789458</v>
      </c>
      <c r="M121" s="95" t="n">
        <f aca="false">M119*ConRate*$B$11</f>
        <v>2144.22001276057</v>
      </c>
      <c r="N121" s="95" t="n">
        <f aca="false">N119*ConRate*$B$11</f>
        <v>1812.72895837254</v>
      </c>
      <c r="O121" s="95" t="n">
        <f aca="false">O119*ConRate*$B$11</f>
        <v>1471.29317235287</v>
      </c>
      <c r="P121" s="95" t="n">
        <f aca="false">P119*ConRate*$B$11</f>
        <v>1119.6143127526</v>
      </c>
      <c r="Q121" s="95" t="n">
        <f aca="false">Q119*ConRate*$B$11</f>
        <v>757.385087364333</v>
      </c>
      <c r="R121" s="95" t="n">
        <f aca="false">R119*ConRate*$B$11</f>
        <v>384.288985214415</v>
      </c>
      <c r="S121" s="95" t="n">
        <f aca="false">S119*ConRate*$B$11</f>
        <v>0</v>
      </c>
      <c r="T121" s="95" t="n">
        <f aca="false">T119*ConRate*$B$11</f>
        <v>0</v>
      </c>
      <c r="U121" s="95" t="n">
        <f aca="false">U119*ConRate*$B$11</f>
        <v>0</v>
      </c>
      <c r="V121" s="95" t="n">
        <f aca="false">V119*ConRate*$B$11</f>
        <v>0</v>
      </c>
      <c r="W121" s="95" t="n">
        <f aca="false">W119*ConRate*$B$11</f>
        <v>0</v>
      </c>
    </row>
    <row r="122" customFormat="false" ht="15" hidden="false" customHeight="false" outlineLevel="0" collapsed="false">
      <c r="A122" s="11" t="s">
        <v>457</v>
      </c>
      <c r="B122" s="66" t="n">
        <f aca="false">SUM(C122:W122)</f>
        <v>112546.829385742</v>
      </c>
      <c r="C122" s="95" t="n">
        <v>0</v>
      </c>
      <c r="D122" s="95" t="n">
        <f aca="false">IF(AND(D39&gt;ConGrace,D39&lt;=ConTenor),PMT(ConRate*$B$11,ConTenor-ConGrace,-S_Opex_Lo!$B$17)-D121,0)</f>
        <v>0</v>
      </c>
      <c r="E122" s="95" t="n">
        <f aca="false">IF(AND(E39&gt;ConGrace,E39&lt;=ConTenor),PMT(ConRate*$B$11,ConTenor-ConGrace,-S_Opex_Lo!$B$17)-E121,0)</f>
        <v>0</v>
      </c>
      <c r="F122" s="95" t="n">
        <f aca="false">IF(AND(F39&gt;ConGrace,F39&lt;=ConTenor),PMT(ConRate*$B$11,ConTenor-ConGrace,-S_Opex_Lo!$B$17)-F121,0)</f>
        <v>0</v>
      </c>
      <c r="G122" s="95" t="n">
        <f aca="false">IF(AND(G39&gt;ConGrace,G39&lt;=ConTenor),PMT(ConRate*$B$11,ConTenor-ConGrace,-S_Opex_Lo!$B$17)-G121,0)</f>
        <v>0</v>
      </c>
      <c r="H122" s="95" t="n">
        <f aca="false">IF(AND(H39&gt;ConGrace,H39&lt;=ConTenor),PMT(ConRate*$B$11,ConTenor-ConGrace,-S_Opex_Lo!$B$17)-H121,0)</f>
        <v>0</v>
      </c>
      <c r="I122" s="95" t="n">
        <f aca="false">IF(AND(I39&gt;ConGrace,I39&lt;=ConTenor),PMT(ConRate*$B$11,ConTenor-ConGrace,-S_Opex_Lo!$B$17)-I121,0)</f>
        <v>9817.51694412269</v>
      </c>
      <c r="J122" s="95" t="n">
        <f aca="false">IF(AND(J39&gt;ConGrace,J39&lt;=ConTenor),PMT(ConRate*$B$11,ConTenor-ConGrace,-S_Opex_Lo!$B$17)-J121,0)</f>
        <v>10112.0424524464</v>
      </c>
      <c r="K122" s="95" t="n">
        <f aca="false">IF(AND(K39&gt;ConGrace,K39&lt;=ConTenor),PMT(ConRate*$B$11,ConTenor-ConGrace,-S_Opex_Lo!$B$17)-K121,0)</f>
        <v>10415.4037260198</v>
      </c>
      <c r="L122" s="95" t="n">
        <f aca="false">IF(AND(L39&gt;ConGrace,L39&lt;=ConTenor),PMT(ConRate*$B$11,ConTenor-ConGrace,-S_Opex_Lo!$B$17)-L121,0)</f>
        <v>10727.8658378004</v>
      </c>
      <c r="M122" s="95" t="n">
        <f aca="false">IF(AND(M39&gt;ConGrace,M39&lt;=ConTenor),PMT(ConRate*$B$11,ConTenor-ConGrace,-S_Opex_Lo!$B$17)-M121,0)</f>
        <v>11049.7018129344</v>
      </c>
      <c r="N122" s="95" t="n">
        <f aca="false">IF(AND(N39&gt;ConGrace,N39&lt;=ConTenor),PMT(ConRate*$B$11,ConTenor-ConGrace,-S_Opex_Lo!$B$17)-N121,0)</f>
        <v>11381.1928673224</v>
      </c>
      <c r="O122" s="95" t="n">
        <f aca="false">IF(AND(O39&gt;ConGrace,O39&lt;=ConTenor),PMT(ConRate*$B$11,ConTenor-ConGrace,-S_Opex_Lo!$B$17)-O121,0)</f>
        <v>11722.6286533421</v>
      </c>
      <c r="P122" s="95" t="n">
        <f aca="false">IF(AND(P39&gt;ConGrace,P39&lt;=ConTenor),PMT(ConRate*$B$11,ConTenor-ConGrace,-S_Opex_Lo!$B$17)-P121,0)</f>
        <v>12074.3075129423</v>
      </c>
      <c r="Q122" s="95" t="n">
        <f aca="false">IF(AND(Q39&gt;ConGrace,Q39&lt;=ConTenor),PMT(ConRate*$B$11,ConTenor-ConGrace,-S_Opex_Lo!$B$17)-Q121,0)</f>
        <v>12436.5367383306</v>
      </c>
      <c r="R122" s="95" t="n">
        <f aca="false">IF(AND(R39&gt;ConGrace,R39&lt;=ConTenor),PMT(ConRate*$B$11,ConTenor-ConGrace,-S_Opex_Lo!$B$17)-R121,0)</f>
        <v>12809.6328404805</v>
      </c>
      <c r="S122" s="95" t="n">
        <f aca="false">IF(AND(S39&gt;ConGrace,S39&lt;=ConTenor),PMT(ConRate*$B$11,ConTenor-ConGrace,-S_Opex_Lo!$B$17)-S121,0)</f>
        <v>0</v>
      </c>
      <c r="T122" s="95" t="n">
        <f aca="false">IF(AND(T39&gt;ConGrace,T39&lt;=ConTenor),PMT(ConRate*$B$11,ConTenor-ConGrace,-S_Opex_Lo!$B$17)-T121,0)</f>
        <v>0</v>
      </c>
      <c r="U122" s="95" t="n">
        <f aca="false">IF(AND(U39&gt;ConGrace,U39&lt;=ConTenor),PMT(ConRate*$B$11,ConTenor-ConGrace,-S_Opex_Lo!$B$17)-U121,0)</f>
        <v>0</v>
      </c>
      <c r="V122" s="95" t="n">
        <f aca="false">IF(AND(V39&gt;ConGrace,V39&lt;=ConTenor),PMT(ConRate*$B$11,ConTenor-ConGrace,-S_Opex_Lo!$B$17)-V121,0)</f>
        <v>0</v>
      </c>
      <c r="W122" s="95" t="n">
        <f aca="false">IF(AND(W39&gt;ConGrace,W39&lt;=ConTenor),PMT(ConRate*$B$11,ConTenor-ConGrace,-S_Opex_Lo!$B$17)-W121,0)</f>
        <v>0</v>
      </c>
    </row>
    <row r="123" customFormat="false" ht="15" hidden="false" customHeight="false" outlineLevel="0" collapsed="false">
      <c r="A123" s="11" t="s">
        <v>458</v>
      </c>
      <c r="C123" s="95" t="n">
        <f aca="false">0+C120-0</f>
        <v>112546.829385741</v>
      </c>
      <c r="D123" s="95" t="n">
        <f aca="false">D119+D120-D122</f>
        <v>112546.829385741</v>
      </c>
      <c r="E123" s="95" t="n">
        <f aca="false">E119+E120-E122</f>
        <v>112546.829385741</v>
      </c>
      <c r="F123" s="95" t="n">
        <f aca="false">F119+F120-F122</f>
        <v>112546.829385741</v>
      </c>
      <c r="G123" s="95" t="n">
        <f aca="false">G119+G120-G122</f>
        <v>112546.829385741</v>
      </c>
      <c r="H123" s="95" t="n">
        <f aca="false">H119+H120-H122</f>
        <v>112546.829385741</v>
      </c>
      <c r="I123" s="95" t="n">
        <f aca="false">I119+I120-I122</f>
        <v>102729.312441619</v>
      </c>
      <c r="J123" s="95" t="n">
        <f aca="false">J119+J120-J122</f>
        <v>92617.2699891724</v>
      </c>
      <c r="K123" s="95" t="n">
        <f aca="false">K119+K120-K122</f>
        <v>82201.8662631527</v>
      </c>
      <c r="L123" s="95" t="n">
        <f aca="false">L119+L120-L122</f>
        <v>71474.0004253523</v>
      </c>
      <c r="M123" s="95" t="n">
        <f aca="false">M119+M120-M122</f>
        <v>60424.2986124179</v>
      </c>
      <c r="N123" s="95" t="n">
        <f aca="false">N119+N120-N122</f>
        <v>49043.1057450955</v>
      </c>
      <c r="O123" s="95" t="n">
        <f aca="false">O119+O120-O122</f>
        <v>37320.4770917535</v>
      </c>
      <c r="P123" s="95" t="n">
        <f aca="false">P119+P120-P122</f>
        <v>25246.1695788111</v>
      </c>
      <c r="Q123" s="95" t="n">
        <f aca="false">Q119+Q120-Q122</f>
        <v>12809.6328404805</v>
      </c>
      <c r="R123" s="95" t="n">
        <f aca="false">R119+R120-R122</f>
        <v>0</v>
      </c>
      <c r="S123" s="95" t="n">
        <f aca="false">S119+S120-S122</f>
        <v>0</v>
      </c>
      <c r="T123" s="95" t="n">
        <f aca="false">T119+T120-T122</f>
        <v>0</v>
      </c>
      <c r="U123" s="95" t="n">
        <f aca="false">U119+U120-U122</f>
        <v>0</v>
      </c>
      <c r="V123" s="95" t="n">
        <f aca="false">V119+V120-V122</f>
        <v>0</v>
      </c>
      <c r="W123" s="95" t="n">
        <f aca="false">W119+W120-W122</f>
        <v>0</v>
      </c>
    </row>
    <row r="125" customFormat="false" ht="15" hidden="false" customHeight="false" outlineLevel="0" collapsed="false">
      <c r="A125" s="16" t="s">
        <v>460</v>
      </c>
      <c r="B125" s="66" t="n">
        <f aca="false">SUM(C125:W125)</f>
        <v>340100.447464923</v>
      </c>
      <c r="C125" s="31" t="n">
        <v>0</v>
      </c>
      <c r="D125" s="31" t="n">
        <f aca="false">D114+D115+D121+D122</f>
        <v>14631.0878201464</v>
      </c>
      <c r="E125" s="31" t="n">
        <f aca="false">E114+E115+E121+E122</f>
        <v>14631.0878201464</v>
      </c>
      <c r="F125" s="31" t="n">
        <f aca="false">F114+F115+F121+F122</f>
        <v>24472.6347469427</v>
      </c>
      <c r="G125" s="31" t="n">
        <f aca="false">G114+G115+G121+G122</f>
        <v>24472.6347469427</v>
      </c>
      <c r="H125" s="31" t="n">
        <f aca="false">H114+H115+H121+H122</f>
        <v>24472.6347469427</v>
      </c>
      <c r="I125" s="31" t="n">
        <f aca="false">I114+I115+I121+I122</f>
        <v>34290.1516910654</v>
      </c>
      <c r="J125" s="31" t="n">
        <f aca="false">J114+J115+J121+J122</f>
        <v>34290.1516910654</v>
      </c>
      <c r="K125" s="31" t="n">
        <f aca="false">K114+K115+K121+K122</f>
        <v>34290.1516910654</v>
      </c>
      <c r="L125" s="31" t="n">
        <f aca="false">L114+L115+L121+L122</f>
        <v>34290.1516910654</v>
      </c>
      <c r="M125" s="31" t="n">
        <f aca="false">M114+M115+M121+M122</f>
        <v>34290.1516910654</v>
      </c>
      <c r="N125" s="31" t="n">
        <f aca="false">N114+N115+N121+N122</f>
        <v>13193.9218256949</v>
      </c>
      <c r="O125" s="31" t="n">
        <f aca="false">O114+O115+O121+O122</f>
        <v>13193.9218256949</v>
      </c>
      <c r="P125" s="31" t="n">
        <f aca="false">P114+P115+P121+P122</f>
        <v>13193.9218256949</v>
      </c>
      <c r="Q125" s="31" t="n">
        <f aca="false">Q114+Q115+Q121+Q122</f>
        <v>13193.9218256949</v>
      </c>
      <c r="R125" s="31" t="n">
        <f aca="false">R114+R115+R121+R122</f>
        <v>13193.9218256949</v>
      </c>
      <c r="S125" s="31" t="n">
        <f aca="false">S114+S115+S121+S122</f>
        <v>0</v>
      </c>
      <c r="T125" s="31" t="n">
        <f aca="false">T114+T115+T121+T122</f>
        <v>0</v>
      </c>
      <c r="U125" s="31" t="n">
        <f aca="false">U114+U115+U121+U122</f>
        <v>0</v>
      </c>
      <c r="V125" s="31" t="n">
        <f aca="false">V114+V115+V121+V122</f>
        <v>0</v>
      </c>
      <c r="W125" s="31" t="n">
        <f aca="false">W114+W115+W121+W122</f>
        <v>0</v>
      </c>
    </row>
    <row r="126" customFormat="false" ht="15" hidden="false" customHeight="false" outlineLevel="0" collapsed="false">
      <c r="A126" s="11" t="s">
        <v>461</v>
      </c>
      <c r="C126" s="96" t="n">
        <v>0</v>
      </c>
      <c r="D126" s="96" t="n">
        <f aca="false">IF(D39&lt;=SenGrace,SenRate*$B$11,IF(D39&lt;=SenTenor,PMT(SenRate*$B$11,SenTenor-SenGrace,-1),0))</f>
        <v>0.1</v>
      </c>
      <c r="E126" s="96" t="n">
        <f aca="false">IF(E39&lt;=SenGrace,SenRate*$B$11,IF(E39&lt;=SenTenor,PMT(SenRate*$B$11,SenTenor-SenGrace,-1),0))</f>
        <v>0.1</v>
      </c>
      <c r="F126" s="96" t="n">
        <f aca="false">IF(F39&lt;=SenGrace,SenRate*$B$11,IF(F39&lt;=SenTenor,PMT(SenRate*$B$11,SenTenor-SenGrace,-1),0))</f>
        <v>0.187444017574813</v>
      </c>
      <c r="G126" s="96" t="n">
        <f aca="false">IF(G39&lt;=SenGrace,SenRate*$B$11,IF(G39&lt;=SenTenor,PMT(SenRate*$B$11,SenTenor-SenGrace,-1),0))</f>
        <v>0.187444017574813</v>
      </c>
      <c r="H126" s="96" t="n">
        <f aca="false">IF(H39&lt;=SenGrace,SenRate*$B$11,IF(H39&lt;=SenTenor,PMT(SenRate*$B$11,SenTenor-SenGrace,-1),0))</f>
        <v>0.187444017574813</v>
      </c>
      <c r="I126" s="96" t="n">
        <f aca="false">IF(I39&lt;=SenGrace,SenRate*$B$11,IF(I39&lt;=SenTenor,PMT(SenRate*$B$11,SenTenor-SenGrace,-1),0))</f>
        <v>0.187444017574813</v>
      </c>
      <c r="J126" s="96" t="n">
        <f aca="false">IF(J39&lt;=SenGrace,SenRate*$B$11,IF(J39&lt;=SenTenor,PMT(SenRate*$B$11,SenTenor-SenGrace,-1),0))</f>
        <v>0.187444017574813</v>
      </c>
      <c r="K126" s="96" t="n">
        <f aca="false">IF(K39&lt;=SenGrace,SenRate*$B$11,IF(K39&lt;=SenTenor,PMT(SenRate*$B$11,SenTenor-SenGrace,-1),0))</f>
        <v>0.187444017574813</v>
      </c>
      <c r="L126" s="96" t="n">
        <f aca="false">IF(L39&lt;=SenGrace,SenRate*$B$11,IF(L39&lt;=SenTenor,PMT(SenRate*$B$11,SenTenor-SenGrace,-1),0))</f>
        <v>0.187444017574813</v>
      </c>
      <c r="M126" s="96" t="n">
        <f aca="false">IF(M39&lt;=SenGrace,SenRate*$B$11,IF(M39&lt;=SenTenor,PMT(SenRate*$B$11,SenTenor-SenGrace,-1),0))</f>
        <v>0.187444017574813</v>
      </c>
      <c r="N126" s="96" t="n">
        <f aca="false">IF(N39&lt;=SenGrace,SenRate*$B$11,IF(N39&lt;=SenTenor,PMT(SenRate*$B$11,SenTenor-SenGrace,-1),0))</f>
        <v>0</v>
      </c>
      <c r="O126" s="96" t="n">
        <f aca="false">IF(O39&lt;=SenGrace,SenRate*$B$11,IF(O39&lt;=SenTenor,PMT(SenRate*$B$11,SenTenor-SenGrace,-1),0))</f>
        <v>0</v>
      </c>
      <c r="P126" s="96" t="n">
        <f aca="false">IF(P39&lt;=SenGrace,SenRate*$B$11,IF(P39&lt;=SenTenor,PMT(SenRate*$B$11,SenTenor-SenGrace,-1),0))</f>
        <v>0</v>
      </c>
      <c r="Q126" s="96" t="n">
        <f aca="false">IF(Q39&lt;=SenGrace,SenRate*$B$11,IF(Q39&lt;=SenTenor,PMT(SenRate*$B$11,SenTenor-SenGrace,-1),0))</f>
        <v>0</v>
      </c>
      <c r="R126" s="96" t="n">
        <f aca="false">IF(R39&lt;=SenGrace,SenRate*$B$11,IF(R39&lt;=SenTenor,PMT(SenRate*$B$11,SenTenor-SenGrace,-1),0))</f>
        <v>0</v>
      </c>
      <c r="S126" s="96" t="n">
        <f aca="false">IF(S39&lt;=SenGrace,SenRate*$B$11,IF(S39&lt;=SenTenor,PMT(SenRate*$B$11,SenTenor-SenGrace,-1),0))</f>
        <v>0</v>
      </c>
      <c r="T126" s="96" t="n">
        <f aca="false">IF(T39&lt;=SenGrace,SenRate*$B$11,IF(T39&lt;=SenTenor,PMT(SenRate*$B$11,SenTenor-SenGrace,-1),0))</f>
        <v>0</v>
      </c>
      <c r="U126" s="96" t="n">
        <f aca="false">IF(U39&lt;=SenGrace,SenRate*$B$11,IF(U39&lt;=SenTenor,PMT(SenRate*$B$11,SenTenor-SenGrace,-1),0))</f>
        <v>0</v>
      </c>
      <c r="V126" s="96" t="n">
        <f aca="false">IF(V39&lt;=SenGrace,SenRate*$B$11,IF(V39&lt;=SenTenor,PMT(SenRate*$B$11,SenTenor-SenGrace,-1),0))</f>
        <v>0</v>
      </c>
      <c r="W126" s="96" t="n">
        <f aca="false">IF(W39&lt;=SenGrace,SenRate*$B$11,IF(W39&lt;=SenTenor,PMT(SenRate*$B$11,SenTenor-SenGrace,-1),0))</f>
        <v>0</v>
      </c>
    </row>
    <row r="127" customFormat="false" ht="15" hidden="false" customHeight="false" outlineLevel="0" collapsed="false">
      <c r="A127" s="11" t="s">
        <v>462</v>
      </c>
      <c r="C127" s="95" t="n">
        <v>0</v>
      </c>
      <c r="D127" s="95" t="n">
        <f aca="false">IF(D126&gt;0,(D147/MinDSCR-D121-D122)/D126,1000000000000)</f>
        <v>1147147.03353724</v>
      </c>
      <c r="E127" s="95" t="n">
        <f aca="false">IF(E126&gt;0,(E147/MinDSCR-E121-E122)/E126,1000000000000)</f>
        <v>665205.483076289</v>
      </c>
      <c r="F127" s="95" t="n">
        <f aca="false">IF(F126&gt;0,(F147/MinDSCR-F121-F122)/F126,1000000000000)</f>
        <v>334909.690479138</v>
      </c>
      <c r="G127" s="95" t="n">
        <f aca="false">IF(G126&gt;0,(G147/MinDSCR-G121-G122)/G126,1000000000000)</f>
        <v>195767.09245713</v>
      </c>
      <c r="H127" s="95" t="n">
        <f aca="false">IF(H126&gt;0,(H147/MinDSCR-H121-H122)/H126,1000000000000)</f>
        <v>220186.899687509</v>
      </c>
      <c r="I127" s="95" t="n">
        <f aca="false">IF(I126&gt;0,(I147/MinDSCR-I121-I122)/I126,1000000000000)</f>
        <v>193904.677875606</v>
      </c>
      <c r="J127" s="95" t="n">
        <f aca="false">IF(J126&gt;0,(J147/MinDSCR-J121-J122)/J126,1000000000000)</f>
        <v>214179.436368283</v>
      </c>
      <c r="K127" s="95" t="n">
        <f aca="false">IF(K126&gt;0,(K147/MinDSCR-K121-K122)/K126,1000000000000)</f>
        <v>211573.704642421</v>
      </c>
      <c r="L127" s="95" t="n">
        <f aca="false">IF(L126&gt;0,(L147/MinDSCR-L121-L122)/L126,1000000000000)</f>
        <v>185516.846761308</v>
      </c>
      <c r="M127" s="95" t="n">
        <f aca="false">IF(M126&gt;0,(M147/MinDSCR-M121-M122)/M126,1000000000000)</f>
        <v>181356.176596965</v>
      </c>
      <c r="N127" s="95" t="n">
        <f aca="false">IF(N126&gt;0,(N147/MinDSCR-N121-N122)/N126,1000000000000)</f>
        <v>1000000000000</v>
      </c>
      <c r="O127" s="95" t="n">
        <f aca="false">IF(O126&gt;0,(O147/MinDSCR-O121-O122)/O126,1000000000000)</f>
        <v>1000000000000</v>
      </c>
      <c r="P127" s="95" t="n">
        <f aca="false">IF(P126&gt;0,(P147/MinDSCR-P121-P122)/P126,1000000000000)</f>
        <v>1000000000000</v>
      </c>
      <c r="Q127" s="95" t="n">
        <f aca="false">IF(Q126&gt;0,(Q147/MinDSCR-Q121-Q122)/Q126,1000000000000)</f>
        <v>1000000000000</v>
      </c>
      <c r="R127" s="95" t="n">
        <f aca="false">IF(R126&gt;0,(R147/MinDSCR-R121-R122)/R126,1000000000000)</f>
        <v>1000000000000</v>
      </c>
      <c r="S127" s="95" t="n">
        <f aca="false">IF(S126&gt;0,(S147/MinDSCR-S121-S122)/S126,1000000000000)</f>
        <v>1000000000000</v>
      </c>
      <c r="T127" s="95" t="n">
        <f aca="false">IF(T126&gt;0,(T147/MinDSCR-T121-T122)/T126,1000000000000)</f>
        <v>1000000000000</v>
      </c>
      <c r="U127" s="95" t="n">
        <f aca="false">IF(U126&gt;0,(U147/MinDSCR-U121-U122)/U126,1000000000000)</f>
        <v>1000000000000</v>
      </c>
      <c r="V127" s="95" t="n">
        <f aca="false">IF(V126&gt;0,(V147/MinDSCR-V121-V122)/V126,1000000000000)</f>
        <v>1000000000000</v>
      </c>
      <c r="W127" s="95" t="n">
        <f aca="false">IF(W126&gt;0,(W147/MinDSCR-W121-W122)/W126,1000000000000)</f>
        <v>1000000000000</v>
      </c>
    </row>
    <row r="128" customFormat="false" ht="15" hidden="false" customHeight="false" outlineLevel="0" collapsed="false">
      <c r="A128" s="11" t="s">
        <v>463</v>
      </c>
      <c r="C128" s="95" t="n">
        <f aca="false">DSRAPct*D125</f>
        <v>7315.5439100732</v>
      </c>
      <c r="D128" s="95" t="n">
        <f aca="false">DSRAPct*E125</f>
        <v>7315.5439100732</v>
      </c>
      <c r="E128" s="95" t="n">
        <f aca="false">DSRAPct*F125</f>
        <v>12236.3173734714</v>
      </c>
      <c r="F128" s="95" t="n">
        <f aca="false">DSRAPct*G125</f>
        <v>12236.3173734714</v>
      </c>
      <c r="G128" s="95" t="n">
        <f aca="false">DSRAPct*H125</f>
        <v>12236.3173734714</v>
      </c>
      <c r="H128" s="95" t="n">
        <f aca="false">DSRAPct*I125</f>
        <v>17145.0758455327</v>
      </c>
      <c r="I128" s="95" t="n">
        <f aca="false">DSRAPct*J125</f>
        <v>17145.0758455327</v>
      </c>
      <c r="J128" s="95" t="n">
        <f aca="false">DSRAPct*K125</f>
        <v>17145.0758455327</v>
      </c>
      <c r="K128" s="95" t="n">
        <f aca="false">DSRAPct*L125</f>
        <v>17145.0758455327</v>
      </c>
      <c r="L128" s="95" t="n">
        <f aca="false">DSRAPct*M125</f>
        <v>17145.0758455327</v>
      </c>
      <c r="M128" s="95" t="n">
        <f aca="false">DSRAPct*N125</f>
        <v>6596.96091284747</v>
      </c>
      <c r="N128" s="95" t="n">
        <f aca="false">DSRAPct*O125</f>
        <v>6596.96091284747</v>
      </c>
      <c r="O128" s="95" t="n">
        <f aca="false">DSRAPct*P125</f>
        <v>6596.96091284747</v>
      </c>
      <c r="P128" s="95" t="n">
        <f aca="false">DSRAPct*Q125</f>
        <v>6596.96091284747</v>
      </c>
      <c r="Q128" s="95" t="n">
        <f aca="false">DSRAPct*R125</f>
        <v>6596.96091284747</v>
      </c>
      <c r="R128" s="95" t="n">
        <f aca="false">DSRAPct*S125</f>
        <v>0</v>
      </c>
      <c r="S128" s="95" t="n">
        <f aca="false">DSRAPct*T125</f>
        <v>0</v>
      </c>
      <c r="T128" s="95" t="n">
        <f aca="false">DSRAPct*U125</f>
        <v>0</v>
      </c>
      <c r="U128" s="95" t="n">
        <f aca="false">DSRAPct*V125</f>
        <v>0</v>
      </c>
      <c r="V128" s="95" t="n">
        <f aca="false">DSRAPct*W125</f>
        <v>0</v>
      </c>
      <c r="W128" s="95" t="n">
        <f aca="false">0</f>
        <v>0</v>
      </c>
    </row>
    <row r="129" customFormat="false" ht="15" hidden="false" customHeight="false" outlineLevel="0" collapsed="false">
      <c r="A129" s="11" t="s">
        <v>464</v>
      </c>
      <c r="B129" s="66" t="n">
        <f aca="false">SUM(C129:W129)</f>
        <v>0</v>
      </c>
      <c r="C129" s="95" t="n">
        <f aca="false">C128</f>
        <v>7315.5439100732</v>
      </c>
      <c r="D129" s="95" t="n">
        <f aca="false">D128-C128</f>
        <v>0</v>
      </c>
      <c r="E129" s="95" t="n">
        <f aca="false">E128-D128</f>
        <v>4920.77346339816</v>
      </c>
      <c r="F129" s="95" t="n">
        <f aca="false">F128-E128</f>
        <v>0</v>
      </c>
      <c r="G129" s="95" t="n">
        <f aca="false">G128-F128</f>
        <v>0</v>
      </c>
      <c r="H129" s="95" t="n">
        <f aca="false">H128-G128</f>
        <v>4908.75847206135</v>
      </c>
      <c r="I129" s="95" t="n">
        <f aca="false">I128-H128</f>
        <v>0</v>
      </c>
      <c r="J129" s="95" t="n">
        <f aca="false">J128-I128</f>
        <v>0</v>
      </c>
      <c r="K129" s="95" t="n">
        <f aca="false">K128-J128</f>
        <v>0</v>
      </c>
      <c r="L129" s="95" t="n">
        <f aca="false">L128-K128</f>
        <v>0</v>
      </c>
      <c r="M129" s="95" t="n">
        <f aca="false">M128-L128</f>
        <v>-10548.1149326852</v>
      </c>
      <c r="N129" s="95" t="n">
        <f aca="false">N128-M128</f>
        <v>0</v>
      </c>
      <c r="O129" s="95" t="n">
        <f aca="false">O128-N128</f>
        <v>0</v>
      </c>
      <c r="P129" s="95" t="n">
        <f aca="false">P128-O128</f>
        <v>0</v>
      </c>
      <c r="Q129" s="95" t="n">
        <f aca="false">Q128-P128</f>
        <v>0</v>
      </c>
      <c r="R129" s="95" t="n">
        <f aca="false">R128-Q128</f>
        <v>-6596.96091284747</v>
      </c>
      <c r="S129" s="95" t="n">
        <f aca="false">S128-R128</f>
        <v>0</v>
      </c>
      <c r="T129" s="95" t="n">
        <f aca="false">T128-S128</f>
        <v>0</v>
      </c>
      <c r="U129" s="95" t="n">
        <f aca="false">U128-T128</f>
        <v>0</v>
      </c>
      <c r="V129" s="95" t="n">
        <f aca="false">V128-U128</f>
        <v>0</v>
      </c>
      <c r="W129" s="95" t="n">
        <f aca="false">W128-V128</f>
        <v>0</v>
      </c>
    </row>
    <row r="131" customFormat="false" ht="15" hidden="false" customHeight="false" outlineLevel="0" collapsed="false">
      <c r="A131" s="9" t="s">
        <v>465</v>
      </c>
      <c r="B131" s="10"/>
      <c r="C131" s="10"/>
      <c r="D131" s="10"/>
      <c r="E131" s="10"/>
      <c r="F131" s="10"/>
      <c r="G131" s="10"/>
      <c r="H131" s="10"/>
      <c r="I131" s="10"/>
      <c r="J131" s="10"/>
      <c r="K131" s="10"/>
      <c r="L131" s="10"/>
      <c r="M131" s="10"/>
      <c r="N131" s="10"/>
      <c r="O131" s="10"/>
      <c r="P131" s="10"/>
      <c r="Q131" s="10"/>
      <c r="R131" s="10"/>
      <c r="S131" s="10"/>
      <c r="T131" s="10"/>
      <c r="U131" s="10"/>
      <c r="V131" s="10"/>
      <c r="W131" s="10"/>
    </row>
    <row r="132" customFormat="false" ht="15" hidden="false" customHeight="false" outlineLevel="0" collapsed="false">
      <c r="A132" s="11" t="s">
        <v>466</v>
      </c>
      <c r="B132" s="66" t="n">
        <f aca="false">SUM(C132:W132)</f>
        <v>1162734.14692871</v>
      </c>
      <c r="C132" s="95" t="n">
        <v>0</v>
      </c>
      <c r="D132" s="95" t="n">
        <f aca="false">IF(D39&lt;=MIN(DepYears,Life),S_Opex_Lo!$B$14/DepYears,0)</f>
        <v>77515.6097952472</v>
      </c>
      <c r="E132" s="95" t="n">
        <f aca="false">IF(E39&lt;=MIN(DepYears,Life),S_Opex_Lo!$B$14/DepYears,0)</f>
        <v>77515.6097952472</v>
      </c>
      <c r="F132" s="95" t="n">
        <f aca="false">IF(F39&lt;=MIN(DepYears,Life),S_Opex_Lo!$B$14/DepYears,0)</f>
        <v>77515.6097952472</v>
      </c>
      <c r="G132" s="95" t="n">
        <f aca="false">IF(G39&lt;=MIN(DepYears,Life),S_Opex_Lo!$B$14/DepYears,0)</f>
        <v>77515.6097952472</v>
      </c>
      <c r="H132" s="95" t="n">
        <f aca="false">IF(H39&lt;=MIN(DepYears,Life),S_Opex_Lo!$B$14/DepYears,0)</f>
        <v>77515.6097952472</v>
      </c>
      <c r="I132" s="95" t="n">
        <f aca="false">IF(I39&lt;=MIN(DepYears,Life),S_Opex_Lo!$B$14/DepYears,0)</f>
        <v>77515.6097952472</v>
      </c>
      <c r="J132" s="95" t="n">
        <f aca="false">IF(J39&lt;=MIN(DepYears,Life),S_Opex_Lo!$B$14/DepYears,0)</f>
        <v>77515.6097952472</v>
      </c>
      <c r="K132" s="95" t="n">
        <f aca="false">IF(K39&lt;=MIN(DepYears,Life),S_Opex_Lo!$B$14/DepYears,0)</f>
        <v>77515.6097952472</v>
      </c>
      <c r="L132" s="95" t="n">
        <f aca="false">IF(L39&lt;=MIN(DepYears,Life),S_Opex_Lo!$B$14/DepYears,0)</f>
        <v>77515.6097952472</v>
      </c>
      <c r="M132" s="95" t="n">
        <f aca="false">IF(M39&lt;=MIN(DepYears,Life),S_Opex_Lo!$B$14/DepYears,0)</f>
        <v>77515.6097952472</v>
      </c>
      <c r="N132" s="95" t="n">
        <f aca="false">IF(N39&lt;=MIN(DepYears,Life),S_Opex_Lo!$B$14/DepYears,0)</f>
        <v>77515.6097952472</v>
      </c>
      <c r="O132" s="95" t="n">
        <f aca="false">IF(O39&lt;=MIN(DepYears,Life),S_Opex_Lo!$B$14/DepYears,0)</f>
        <v>77515.6097952472</v>
      </c>
      <c r="P132" s="95" t="n">
        <f aca="false">IF(P39&lt;=MIN(DepYears,Life),S_Opex_Lo!$B$14/DepYears,0)</f>
        <v>77515.6097952472</v>
      </c>
      <c r="Q132" s="95" t="n">
        <f aca="false">IF(Q39&lt;=MIN(DepYears,Life),S_Opex_Lo!$B$14/DepYears,0)</f>
        <v>77515.6097952472</v>
      </c>
      <c r="R132" s="95" t="n">
        <f aca="false">IF(R39&lt;=MIN(DepYears,Life),S_Opex_Lo!$B$14/DepYears,0)</f>
        <v>77515.6097952472</v>
      </c>
      <c r="S132" s="95" t="n">
        <f aca="false">IF(S39&lt;=MIN(DepYears,Life),S_Opex_Lo!$B$14/DepYears,0)</f>
        <v>0</v>
      </c>
      <c r="T132" s="95" t="n">
        <f aca="false">IF(T39&lt;=MIN(DepYears,Life),S_Opex_Lo!$B$14/DepYears,0)</f>
        <v>0</v>
      </c>
      <c r="U132" s="95" t="n">
        <f aca="false">IF(U39&lt;=MIN(DepYears,Life),S_Opex_Lo!$B$14/DepYears,0)</f>
        <v>0</v>
      </c>
      <c r="V132" s="95" t="n">
        <f aca="false">IF(V39&lt;=MIN(DepYears,Life),S_Opex_Lo!$B$14/DepYears,0)</f>
        <v>0</v>
      </c>
      <c r="W132" s="95" t="n">
        <f aca="false">IF(W39&lt;=MIN(DepYears,Life),S_Opex_Lo!$B$14/DepYears,0)</f>
        <v>0</v>
      </c>
    </row>
    <row r="133" customFormat="false" ht="15" hidden="false" customHeight="false" outlineLevel="0" collapsed="false">
      <c r="A133" s="11" t="s">
        <v>467</v>
      </c>
      <c r="B133" s="66" t="n">
        <f aca="false">SUM(C133:W133)</f>
        <v>335103.290211119</v>
      </c>
      <c r="C133" s="95" t="n">
        <v>0</v>
      </c>
      <c r="D133" s="95" t="n">
        <f aca="false">D98-D132</f>
        <v>-54459.2393762745</v>
      </c>
      <c r="E133" s="95" t="n">
        <f aca="false">E98-E132</f>
        <v>-28911.640936198</v>
      </c>
      <c r="F133" s="95" t="n">
        <f aca="false">F98-F132</f>
        <v>-8578.49045552469</v>
      </c>
      <c r="G133" s="95" t="n">
        <f aca="false">G98-G132</f>
        <v>-4684.37232127984</v>
      </c>
      <c r="H133" s="95" t="n">
        <f aca="false">H98-H132</f>
        <v>1266.17848708433</v>
      </c>
      <c r="I133" s="95" t="n">
        <f aca="false">I98-I132</f>
        <v>7624.57169306374</v>
      </c>
      <c r="J133" s="95" t="n">
        <f aca="false">J98-J132</f>
        <v>12565.0685364579</v>
      </c>
      <c r="K133" s="95" t="n">
        <f aca="false">K98-K132</f>
        <v>11930.1110660151</v>
      </c>
      <c r="L133" s="95" t="n">
        <f aca="false">L98-L132</f>
        <v>11112.9074987907</v>
      </c>
      <c r="M133" s="95" t="n">
        <f aca="false">M98-M132</f>
        <v>10099.0469479602</v>
      </c>
      <c r="N133" s="95" t="n">
        <f aca="false">N98-N132</f>
        <v>8873.16627182487</v>
      </c>
      <c r="O133" s="95" t="n">
        <f aca="false">O98-O132</f>
        <v>7418.89045710246</v>
      </c>
      <c r="P133" s="95" t="n">
        <f aca="false">P98-P132</f>
        <v>5718.76933810041</v>
      </c>
      <c r="Q133" s="95" t="n">
        <f aca="false">Q98-Q132</f>
        <v>3754.21042800271</v>
      </c>
      <c r="R133" s="95" t="n">
        <f aca="false">R98-R132</f>
        <v>1505.40762486546</v>
      </c>
      <c r="S133" s="95" t="n">
        <f aca="false">S98-S132</f>
        <v>76466.8753356928</v>
      </c>
      <c r="T133" s="95" t="n">
        <f aca="false">T98-T132</f>
        <v>73584.9289798915</v>
      </c>
      <c r="U133" s="95" t="n">
        <f aca="false">U98-U132</f>
        <v>70351.2585173053</v>
      </c>
      <c r="V133" s="95" t="n">
        <f aca="false">V98-V132</f>
        <v>66740.3987951046</v>
      </c>
      <c r="W133" s="95" t="n">
        <f aca="false">W98-W132</f>
        <v>62725.2433231344</v>
      </c>
    </row>
    <row r="134" customFormat="false" ht="15" hidden="false" customHeight="false" outlineLevel="0" collapsed="false">
      <c r="A134" s="11" t="s">
        <v>468</v>
      </c>
      <c r="C134" s="95" t="n">
        <v>0</v>
      </c>
      <c r="D134" s="95" t="n">
        <f aca="false">0</f>
        <v>0</v>
      </c>
      <c r="E134" s="95" t="n">
        <f aca="false">D136</f>
        <v>54459.2393762745</v>
      </c>
      <c r="F134" s="95" t="n">
        <f aca="false">E136</f>
        <v>83370.8803124725</v>
      </c>
      <c r="G134" s="95" t="n">
        <f aca="false">F136</f>
        <v>91949.3707679972</v>
      </c>
      <c r="H134" s="95" t="n">
        <f aca="false">G136</f>
        <v>96633.7430892771</v>
      </c>
      <c r="I134" s="95" t="n">
        <f aca="false">H136</f>
        <v>95367.5646021927</v>
      </c>
      <c r="J134" s="95" t="n">
        <f aca="false">I136</f>
        <v>87742.992909129</v>
      </c>
      <c r="K134" s="95" t="n">
        <f aca="false">J136</f>
        <v>75177.9243726711</v>
      </c>
      <c r="L134" s="95" t="n">
        <f aca="false">K136</f>
        <v>63247.813306656</v>
      </c>
      <c r="M134" s="95" t="n">
        <f aca="false">L136</f>
        <v>52134.9058078652</v>
      </c>
      <c r="N134" s="95" t="n">
        <f aca="false">M136</f>
        <v>42035.858859905</v>
      </c>
      <c r="O134" s="95" t="n">
        <f aca="false">N136</f>
        <v>33162.6925880802</v>
      </c>
      <c r="P134" s="95" t="n">
        <f aca="false">O136</f>
        <v>25743.8021309777</v>
      </c>
      <c r="Q134" s="95" t="n">
        <f aca="false">P136</f>
        <v>20025.0327928773</v>
      </c>
      <c r="R134" s="95" t="n">
        <f aca="false">Q136</f>
        <v>16270.8223648746</v>
      </c>
      <c r="S134" s="95" t="n">
        <f aca="false">R136</f>
        <v>14765.4147400091</v>
      </c>
      <c r="T134" s="95" t="n">
        <f aca="false">S136</f>
        <v>0</v>
      </c>
      <c r="U134" s="95" t="n">
        <f aca="false">T136</f>
        <v>0</v>
      </c>
      <c r="V134" s="95" t="n">
        <f aca="false">U136</f>
        <v>0</v>
      </c>
      <c r="W134" s="95" t="n">
        <f aca="false">V136</f>
        <v>0</v>
      </c>
    </row>
    <row r="135" customFormat="false" ht="15" hidden="false" customHeight="false" outlineLevel="0" collapsed="false">
      <c r="A135" s="11" t="s">
        <v>469</v>
      </c>
      <c r="C135" s="95" t="n">
        <v>0</v>
      </c>
      <c r="D135" s="95" t="n">
        <f aca="false">MIN(D134,MAX(D133,0))</f>
        <v>0</v>
      </c>
      <c r="E135" s="95" t="n">
        <f aca="false">MIN(E134,MAX(E133,0))</f>
        <v>0</v>
      </c>
      <c r="F135" s="95" t="n">
        <f aca="false">MIN(F134,MAX(F133,0))</f>
        <v>0</v>
      </c>
      <c r="G135" s="95" t="n">
        <f aca="false">MIN(G134,MAX(G133,0))</f>
        <v>0</v>
      </c>
      <c r="H135" s="95" t="n">
        <f aca="false">MIN(H134,MAX(H133,0))</f>
        <v>1266.17848708433</v>
      </c>
      <c r="I135" s="95" t="n">
        <f aca="false">MIN(I134,MAX(I133,0))</f>
        <v>7624.57169306374</v>
      </c>
      <c r="J135" s="95" t="n">
        <f aca="false">MIN(J134,MAX(J133,0))</f>
        <v>12565.0685364579</v>
      </c>
      <c r="K135" s="95" t="n">
        <f aca="false">MIN(K134,MAX(K133,0))</f>
        <v>11930.1110660151</v>
      </c>
      <c r="L135" s="95" t="n">
        <f aca="false">MIN(L134,MAX(L133,0))</f>
        <v>11112.9074987907</v>
      </c>
      <c r="M135" s="95" t="n">
        <f aca="false">MIN(M134,MAX(M133,0))</f>
        <v>10099.0469479602</v>
      </c>
      <c r="N135" s="95" t="n">
        <f aca="false">MIN(N134,MAX(N133,0))</f>
        <v>8873.16627182487</v>
      </c>
      <c r="O135" s="95" t="n">
        <f aca="false">MIN(O134,MAX(O133,0))</f>
        <v>7418.89045710246</v>
      </c>
      <c r="P135" s="95" t="n">
        <f aca="false">MIN(P134,MAX(P133,0))</f>
        <v>5718.76933810041</v>
      </c>
      <c r="Q135" s="95" t="n">
        <f aca="false">MIN(Q134,MAX(Q133,0))</f>
        <v>3754.21042800271</v>
      </c>
      <c r="R135" s="95" t="n">
        <f aca="false">MIN(R134,MAX(R133,0))</f>
        <v>1505.40762486546</v>
      </c>
      <c r="S135" s="95" t="n">
        <f aca="false">MIN(S134,MAX(S133,0))</f>
        <v>14765.4147400091</v>
      </c>
      <c r="T135" s="95" t="n">
        <f aca="false">MIN(T134,MAX(T133,0))</f>
        <v>0</v>
      </c>
      <c r="U135" s="95" t="n">
        <f aca="false">MIN(U134,MAX(U133,0))</f>
        <v>0</v>
      </c>
      <c r="V135" s="95" t="n">
        <f aca="false">MIN(V134,MAX(V133,0))</f>
        <v>0</v>
      </c>
      <c r="W135" s="95" t="n">
        <f aca="false">MIN(W134,MAX(W133,0))</f>
        <v>0</v>
      </c>
    </row>
    <row r="136" customFormat="false" ht="15" hidden="false" customHeight="false" outlineLevel="0" collapsed="false">
      <c r="A136" s="11" t="s">
        <v>470</v>
      </c>
      <c r="C136" s="95" t="n">
        <v>0</v>
      </c>
      <c r="D136" s="95" t="n">
        <f aca="false">D134-D135+MAX(-D133,0)</f>
        <v>54459.2393762745</v>
      </c>
      <c r="E136" s="95" t="n">
        <f aca="false">E134-E135+MAX(-E133,0)</f>
        <v>83370.8803124725</v>
      </c>
      <c r="F136" s="95" t="n">
        <f aca="false">F134-F135+MAX(-F133,0)</f>
        <v>91949.3707679972</v>
      </c>
      <c r="G136" s="95" t="n">
        <f aca="false">G134-G135+MAX(-G133,0)</f>
        <v>96633.7430892771</v>
      </c>
      <c r="H136" s="95" t="n">
        <f aca="false">H134-H135+MAX(-H133,0)</f>
        <v>95367.5646021927</v>
      </c>
      <c r="I136" s="95" t="n">
        <f aca="false">I134-I135+MAX(-I133,0)</f>
        <v>87742.992909129</v>
      </c>
      <c r="J136" s="95" t="n">
        <f aca="false">J134-J135+MAX(-J133,0)</f>
        <v>75177.9243726711</v>
      </c>
      <c r="K136" s="95" t="n">
        <f aca="false">K134-K135+MAX(-K133,0)</f>
        <v>63247.813306656</v>
      </c>
      <c r="L136" s="95" t="n">
        <f aca="false">L134-L135+MAX(-L133,0)</f>
        <v>52134.9058078652</v>
      </c>
      <c r="M136" s="95" t="n">
        <f aca="false">M134-M135+MAX(-M133,0)</f>
        <v>42035.858859905</v>
      </c>
      <c r="N136" s="95" t="n">
        <f aca="false">N134-N135+MAX(-N133,0)</f>
        <v>33162.6925880802</v>
      </c>
      <c r="O136" s="95" t="n">
        <f aca="false">O134-O135+MAX(-O133,0)</f>
        <v>25743.8021309777</v>
      </c>
      <c r="P136" s="95" t="n">
        <f aca="false">P134-P135+MAX(-P133,0)</f>
        <v>20025.0327928773</v>
      </c>
      <c r="Q136" s="95" t="n">
        <f aca="false">Q134-Q135+MAX(-Q133,0)</f>
        <v>16270.8223648746</v>
      </c>
      <c r="R136" s="95" t="n">
        <f aca="false">R134-R135+MAX(-R133,0)</f>
        <v>14765.4147400091</v>
      </c>
      <c r="S136" s="95" t="n">
        <f aca="false">S134-S135+MAX(-S133,0)</f>
        <v>0</v>
      </c>
      <c r="T136" s="95" t="n">
        <f aca="false">T134-T135+MAX(-T133,0)</f>
        <v>0</v>
      </c>
      <c r="U136" s="95" t="n">
        <f aca="false">U134-U135+MAX(-U133,0)</f>
        <v>0</v>
      </c>
      <c r="V136" s="95" t="n">
        <f aca="false">V134-V135+MAX(-V133,0)</f>
        <v>0</v>
      </c>
      <c r="W136" s="95" t="n">
        <f aca="false">W134-W135+MAX(-W133,0)</f>
        <v>0</v>
      </c>
    </row>
    <row r="137" customFormat="false" ht="15" hidden="false" customHeight="false" outlineLevel="0" collapsed="false">
      <c r="A137" s="11" t="s">
        <v>471</v>
      </c>
      <c r="B137" s="66" t="n">
        <f aca="false">SUM(C137:W137)</f>
        <v>83775.8225527799</v>
      </c>
      <c r="C137" s="95" t="n">
        <v>0</v>
      </c>
      <c r="D137" s="95" t="n">
        <f aca="false">(MAX(D133,0)-D135)*TaxRate</f>
        <v>0</v>
      </c>
      <c r="E137" s="95" t="n">
        <f aca="false">(MAX(E133,0)-E135)*TaxRate</f>
        <v>0</v>
      </c>
      <c r="F137" s="95" t="n">
        <f aca="false">(MAX(F133,0)-F135)*TaxRate</f>
        <v>0</v>
      </c>
      <c r="G137" s="95" t="n">
        <f aca="false">(MAX(G133,0)-G135)*TaxRate</f>
        <v>0</v>
      </c>
      <c r="H137" s="95" t="n">
        <f aca="false">(MAX(H133,0)-H135)*TaxRate</f>
        <v>0</v>
      </c>
      <c r="I137" s="95" t="n">
        <f aca="false">(MAX(I133,0)-I135)*TaxRate</f>
        <v>0</v>
      </c>
      <c r="J137" s="95" t="n">
        <f aca="false">(MAX(J133,0)-J135)*TaxRate</f>
        <v>0</v>
      </c>
      <c r="K137" s="95" t="n">
        <f aca="false">(MAX(K133,0)-K135)*TaxRate</f>
        <v>0</v>
      </c>
      <c r="L137" s="95" t="n">
        <f aca="false">(MAX(L133,0)-L135)*TaxRate</f>
        <v>0</v>
      </c>
      <c r="M137" s="95" t="n">
        <f aca="false">(MAX(M133,0)-M135)*TaxRate</f>
        <v>0</v>
      </c>
      <c r="N137" s="95" t="n">
        <f aca="false">(MAX(N133,0)-N135)*TaxRate</f>
        <v>0</v>
      </c>
      <c r="O137" s="95" t="n">
        <f aca="false">(MAX(O133,0)-O135)*TaxRate</f>
        <v>0</v>
      </c>
      <c r="P137" s="95" t="n">
        <f aca="false">(MAX(P133,0)-P135)*TaxRate</f>
        <v>0</v>
      </c>
      <c r="Q137" s="95" t="n">
        <f aca="false">(MAX(Q133,0)-Q135)*TaxRate</f>
        <v>0</v>
      </c>
      <c r="R137" s="95" t="n">
        <f aca="false">(MAX(R133,0)-R135)*TaxRate</f>
        <v>0</v>
      </c>
      <c r="S137" s="95" t="n">
        <f aca="false">(MAX(S133,0)-S135)*TaxRate</f>
        <v>15425.3651489209</v>
      </c>
      <c r="T137" s="95" t="n">
        <f aca="false">(MAX(T133,0)-T135)*TaxRate</f>
        <v>18396.2322449729</v>
      </c>
      <c r="U137" s="95" t="n">
        <f aca="false">(MAX(U133,0)-U135)*TaxRate</f>
        <v>17587.8146293263</v>
      </c>
      <c r="V137" s="95" t="n">
        <f aca="false">(MAX(V133,0)-V135)*TaxRate</f>
        <v>16685.0996987761</v>
      </c>
      <c r="W137" s="95" t="n">
        <f aca="false">(MAX(W133,0)-W135)*TaxRate</f>
        <v>15681.3108307836</v>
      </c>
    </row>
    <row r="138" customFormat="false" ht="15" hidden="false" customHeight="false" outlineLevel="0" collapsed="false">
      <c r="A138" s="11" t="s">
        <v>472</v>
      </c>
      <c r="B138" s="66" t="n">
        <f aca="false">SUM(C138:W138)</f>
        <v>220096.50151768</v>
      </c>
      <c r="C138" s="95" t="n">
        <v>0</v>
      </c>
      <c r="D138" s="95" t="n">
        <f aca="false">D98-D132-D114-D121</f>
        <v>-69090.3271964209</v>
      </c>
      <c r="E138" s="95" t="n">
        <f aca="false">E98-E132-E114-E121</f>
        <v>-43542.7287563444</v>
      </c>
      <c r="F138" s="95" t="n">
        <f aca="false">F98-F132-F114-F121</f>
        <v>-23209.5782756711</v>
      </c>
      <c r="G138" s="95" t="n">
        <f aca="false">G98-G132-G114-G121</f>
        <v>-18331.3054487466</v>
      </c>
      <c r="H138" s="95" t="n">
        <f aca="false">H98-H132-H114-H121</f>
        <v>-11298.1844784348</v>
      </c>
      <c r="I138" s="95" t="n">
        <f aca="false">I98-I132-I114-I121</f>
        <v>-3748.96409431307</v>
      </c>
      <c r="J138" s="95" t="n">
        <f aca="false">J98-J132-J114-J121</f>
        <v>2795.9681533614</v>
      </c>
      <c r="K138" s="95" t="n">
        <f aca="false">K98-K132-K114-K121</f>
        <v>3905.2728420442</v>
      </c>
      <c r="L138" s="95" t="n">
        <f aca="false">L98-L132-L114-L121</f>
        <v>4985.52236070787</v>
      </c>
      <c r="M138" s="95" t="n">
        <f aca="false">M98-M132-M114-M121</f>
        <v>6036.98785652959</v>
      </c>
      <c r="N138" s="95" t="n">
        <f aca="false">N98-N132-N114-N121</f>
        <v>7060.43731345233</v>
      </c>
      <c r="O138" s="95" t="n">
        <f aca="false">O98-O132-O114-O121</f>
        <v>5947.5972847496</v>
      </c>
      <c r="P138" s="95" t="n">
        <f aca="false">P98-P132-P114-P121</f>
        <v>4599.1550253478</v>
      </c>
      <c r="Q138" s="95" t="n">
        <f aca="false">Q98-Q132-Q114-Q121</f>
        <v>2996.82534063838</v>
      </c>
      <c r="R138" s="95" t="n">
        <f aca="false">R98-R132-R114-R121</f>
        <v>1121.11863965105</v>
      </c>
      <c r="S138" s="95" t="n">
        <f aca="false">S98-S132-S114-S121</f>
        <v>76466.8753356928</v>
      </c>
      <c r="T138" s="95" t="n">
        <f aca="false">T98-T132-T114-T121</f>
        <v>73584.9289798915</v>
      </c>
      <c r="U138" s="95" t="n">
        <f aca="false">U98-U132-U114-U121</f>
        <v>70351.2585173053</v>
      </c>
      <c r="V138" s="95" t="n">
        <f aca="false">V98-V132-V114-V121</f>
        <v>66740.3987951046</v>
      </c>
      <c r="W138" s="95" t="n">
        <f aca="false">W98-W132-W114-W121</f>
        <v>62725.2433231344</v>
      </c>
    </row>
    <row r="139" customFormat="false" ht="15" hidden="false" customHeight="false" outlineLevel="0" collapsed="false">
      <c r="A139" s="11" t="s">
        <v>468</v>
      </c>
      <c r="C139" s="95" t="n">
        <v>0</v>
      </c>
      <c r="D139" s="95" t="n">
        <f aca="false">0</f>
        <v>0</v>
      </c>
      <c r="E139" s="95" t="n">
        <f aca="false">D141</f>
        <v>69090.3271964209</v>
      </c>
      <c r="F139" s="95" t="n">
        <f aca="false">E141</f>
        <v>112633.055952765</v>
      </c>
      <c r="G139" s="95" t="n">
        <f aca="false">F141</f>
        <v>135842.634228436</v>
      </c>
      <c r="H139" s="95" t="n">
        <f aca="false">G141</f>
        <v>154173.939677183</v>
      </c>
      <c r="I139" s="95" t="n">
        <f aca="false">H141</f>
        <v>165472.124155618</v>
      </c>
      <c r="J139" s="95" t="n">
        <f aca="false">I141</f>
        <v>169221.088249931</v>
      </c>
      <c r="K139" s="95" t="n">
        <f aca="false">J141</f>
        <v>166425.12009657</v>
      </c>
      <c r="L139" s="95" t="n">
        <f aca="false">K141</f>
        <v>162519.847254525</v>
      </c>
      <c r="M139" s="95" t="n">
        <f aca="false">L141</f>
        <v>157534.324893817</v>
      </c>
      <c r="N139" s="95" t="n">
        <f aca="false">M141</f>
        <v>151497.337037288</v>
      </c>
      <c r="O139" s="95" t="n">
        <f aca="false">N141</f>
        <v>144436.899723836</v>
      </c>
      <c r="P139" s="95" t="n">
        <f aca="false">O141</f>
        <v>138489.302439086</v>
      </c>
      <c r="Q139" s="95" t="n">
        <f aca="false">P141</f>
        <v>133890.147413738</v>
      </c>
      <c r="R139" s="95" t="n">
        <f aca="false">Q141</f>
        <v>130893.3220731</v>
      </c>
      <c r="S139" s="95" t="n">
        <f aca="false">R141</f>
        <v>129772.203433449</v>
      </c>
      <c r="T139" s="95" t="n">
        <f aca="false">S141</f>
        <v>53305.328097756</v>
      </c>
      <c r="U139" s="95" t="n">
        <f aca="false">T141</f>
        <v>0</v>
      </c>
      <c r="V139" s="95" t="n">
        <f aca="false">U141</f>
        <v>0</v>
      </c>
      <c r="W139" s="95" t="n">
        <f aca="false">V141</f>
        <v>0</v>
      </c>
    </row>
    <row r="140" customFormat="false" ht="15" hidden="false" customHeight="false" outlineLevel="0" collapsed="false">
      <c r="A140" s="11" t="s">
        <v>469</v>
      </c>
      <c r="C140" s="95" t="n">
        <v>0</v>
      </c>
      <c r="D140" s="95" t="n">
        <f aca="false">MIN(D139,MAX(D138,0))</f>
        <v>0</v>
      </c>
      <c r="E140" s="95" t="n">
        <f aca="false">MIN(E139,MAX(E138,0))</f>
        <v>0</v>
      </c>
      <c r="F140" s="95" t="n">
        <f aca="false">MIN(F139,MAX(F138,0))</f>
        <v>0</v>
      </c>
      <c r="G140" s="95" t="n">
        <f aca="false">MIN(G139,MAX(G138,0))</f>
        <v>0</v>
      </c>
      <c r="H140" s="95" t="n">
        <f aca="false">MIN(H139,MAX(H138,0))</f>
        <v>0</v>
      </c>
      <c r="I140" s="95" t="n">
        <f aca="false">MIN(I139,MAX(I138,0))</f>
        <v>0</v>
      </c>
      <c r="J140" s="95" t="n">
        <f aca="false">MIN(J139,MAX(J138,0))</f>
        <v>2795.9681533614</v>
      </c>
      <c r="K140" s="95" t="n">
        <f aca="false">MIN(K139,MAX(K138,0))</f>
        <v>3905.2728420442</v>
      </c>
      <c r="L140" s="95" t="n">
        <f aca="false">MIN(L139,MAX(L138,0))</f>
        <v>4985.52236070787</v>
      </c>
      <c r="M140" s="95" t="n">
        <f aca="false">MIN(M139,MAX(M138,0))</f>
        <v>6036.98785652959</v>
      </c>
      <c r="N140" s="95" t="n">
        <f aca="false">MIN(N139,MAX(N138,0))</f>
        <v>7060.43731345233</v>
      </c>
      <c r="O140" s="95" t="n">
        <f aca="false">MIN(O139,MAX(O138,0))</f>
        <v>5947.5972847496</v>
      </c>
      <c r="P140" s="95" t="n">
        <f aca="false">MIN(P139,MAX(P138,0))</f>
        <v>4599.1550253478</v>
      </c>
      <c r="Q140" s="95" t="n">
        <f aca="false">MIN(Q139,MAX(Q138,0))</f>
        <v>2996.82534063838</v>
      </c>
      <c r="R140" s="95" t="n">
        <f aca="false">MIN(R139,MAX(R138,0))</f>
        <v>1121.11863965105</v>
      </c>
      <c r="S140" s="95" t="n">
        <f aca="false">MIN(S139,MAX(S138,0))</f>
        <v>76466.8753356928</v>
      </c>
      <c r="T140" s="95" t="n">
        <f aca="false">MIN(T139,MAX(T138,0))</f>
        <v>53305.328097756</v>
      </c>
      <c r="U140" s="95" t="n">
        <f aca="false">MIN(U139,MAX(U138,0))</f>
        <v>0</v>
      </c>
      <c r="V140" s="95" t="n">
        <f aca="false">MIN(V139,MAX(V138,0))</f>
        <v>0</v>
      </c>
      <c r="W140" s="95" t="n">
        <f aca="false">MIN(W139,MAX(W138,0))</f>
        <v>0</v>
      </c>
    </row>
    <row r="141" customFormat="false" ht="15" hidden="false" customHeight="false" outlineLevel="0" collapsed="false">
      <c r="A141" s="11" t="s">
        <v>470</v>
      </c>
      <c r="C141" s="95" t="n">
        <v>0</v>
      </c>
      <c r="D141" s="95" t="n">
        <f aca="false">D139-D140+MAX(-D138,0)</f>
        <v>69090.3271964209</v>
      </c>
      <c r="E141" s="95" t="n">
        <f aca="false">E139-E140+MAX(-E138,0)</f>
        <v>112633.055952765</v>
      </c>
      <c r="F141" s="95" t="n">
        <f aca="false">F139-F140+MAX(-F138,0)</f>
        <v>135842.634228436</v>
      </c>
      <c r="G141" s="95" t="n">
        <f aca="false">G139-G140+MAX(-G138,0)</f>
        <v>154173.939677183</v>
      </c>
      <c r="H141" s="95" t="n">
        <f aca="false">H139-H140+MAX(-H138,0)</f>
        <v>165472.124155618</v>
      </c>
      <c r="I141" s="95" t="n">
        <f aca="false">I139-I140+MAX(-I138,0)</f>
        <v>169221.088249931</v>
      </c>
      <c r="J141" s="95" t="n">
        <f aca="false">J139-J140+MAX(-J138,0)</f>
        <v>166425.12009657</v>
      </c>
      <c r="K141" s="95" t="n">
        <f aca="false">K139-K140+MAX(-K138,0)</f>
        <v>162519.847254525</v>
      </c>
      <c r="L141" s="95" t="n">
        <f aca="false">L139-L140+MAX(-L138,0)</f>
        <v>157534.324893817</v>
      </c>
      <c r="M141" s="95" t="n">
        <f aca="false">M139-M140+MAX(-M138,0)</f>
        <v>151497.337037288</v>
      </c>
      <c r="N141" s="95" t="n">
        <f aca="false">N139-N140+MAX(-N138,0)</f>
        <v>144436.899723836</v>
      </c>
      <c r="O141" s="95" t="n">
        <f aca="false">O139-O140+MAX(-O138,0)</f>
        <v>138489.302439086</v>
      </c>
      <c r="P141" s="95" t="n">
        <f aca="false">P139-P140+MAX(-P138,0)</f>
        <v>133890.147413738</v>
      </c>
      <c r="Q141" s="95" t="n">
        <f aca="false">Q139-Q140+MAX(-Q138,0)</f>
        <v>130893.3220731</v>
      </c>
      <c r="R141" s="95" t="n">
        <f aca="false">R139-R140+MAX(-R138,0)</f>
        <v>129772.203433449</v>
      </c>
      <c r="S141" s="95" t="n">
        <f aca="false">S139-S140+MAX(-S138,0)</f>
        <v>53305.328097756</v>
      </c>
      <c r="T141" s="95" t="n">
        <f aca="false">T139-T140+MAX(-T138,0)</f>
        <v>0</v>
      </c>
      <c r="U141" s="95" t="n">
        <f aca="false">U139-U140+MAX(-U138,0)</f>
        <v>0</v>
      </c>
      <c r="V141" s="95" t="n">
        <f aca="false">V139-V140+MAX(-V138,0)</f>
        <v>0</v>
      </c>
      <c r="W141" s="95" t="n">
        <f aca="false">W139-W140+MAX(-W138,0)</f>
        <v>0</v>
      </c>
    </row>
    <row r="142" customFormat="false" ht="15" hidden="false" customHeight="false" outlineLevel="0" collapsed="false">
      <c r="A142" s="11" t="s">
        <v>473</v>
      </c>
      <c r="B142" s="66" t="n">
        <f aca="false">SUM(C142:W142)</f>
        <v>55024.1253794199</v>
      </c>
      <c r="C142" s="95" t="n">
        <v>0</v>
      </c>
      <c r="D142" s="95" t="n">
        <f aca="false">(MAX(D138,0)-D140)*TaxRate</f>
        <v>0</v>
      </c>
      <c r="E142" s="95" t="n">
        <f aca="false">(MAX(E138,0)-E140)*TaxRate</f>
        <v>0</v>
      </c>
      <c r="F142" s="95" t="n">
        <f aca="false">(MAX(F138,0)-F140)*TaxRate</f>
        <v>0</v>
      </c>
      <c r="G142" s="95" t="n">
        <f aca="false">(MAX(G138,0)-G140)*TaxRate</f>
        <v>0</v>
      </c>
      <c r="H142" s="95" t="n">
        <f aca="false">(MAX(H138,0)-H140)*TaxRate</f>
        <v>0</v>
      </c>
      <c r="I142" s="95" t="n">
        <f aca="false">(MAX(I138,0)-I140)*TaxRate</f>
        <v>0</v>
      </c>
      <c r="J142" s="95" t="n">
        <f aca="false">(MAX(J138,0)-J140)*TaxRate</f>
        <v>0</v>
      </c>
      <c r="K142" s="95" t="n">
        <f aca="false">(MAX(K138,0)-K140)*TaxRate</f>
        <v>0</v>
      </c>
      <c r="L142" s="95" t="n">
        <f aca="false">(MAX(L138,0)-L140)*TaxRate</f>
        <v>0</v>
      </c>
      <c r="M142" s="95" t="n">
        <f aca="false">(MAX(M138,0)-M140)*TaxRate</f>
        <v>0</v>
      </c>
      <c r="N142" s="95" t="n">
        <f aca="false">(MAX(N138,0)-N140)*TaxRate</f>
        <v>0</v>
      </c>
      <c r="O142" s="95" t="n">
        <f aca="false">(MAX(O138,0)-O140)*TaxRate</f>
        <v>0</v>
      </c>
      <c r="P142" s="95" t="n">
        <f aca="false">(MAX(P138,0)-P140)*TaxRate</f>
        <v>0</v>
      </c>
      <c r="Q142" s="95" t="n">
        <f aca="false">(MAX(Q138,0)-Q140)*TaxRate</f>
        <v>0</v>
      </c>
      <c r="R142" s="95" t="n">
        <f aca="false">(MAX(R138,0)-R140)*TaxRate</f>
        <v>0</v>
      </c>
      <c r="S142" s="95" t="n">
        <f aca="false">(MAX(S138,0)-S140)*TaxRate</f>
        <v>0</v>
      </c>
      <c r="T142" s="95" t="n">
        <f aca="false">(MAX(T138,0)-T140)*TaxRate</f>
        <v>5069.90022053388</v>
      </c>
      <c r="U142" s="95" t="n">
        <f aca="false">(MAX(U138,0)-U140)*TaxRate</f>
        <v>17587.8146293263</v>
      </c>
      <c r="V142" s="95" t="n">
        <f aca="false">(MAX(V138,0)-V140)*TaxRate</f>
        <v>16685.0996987761</v>
      </c>
      <c r="W142" s="95" t="n">
        <f aca="false">(MAX(W138,0)-W140)*TaxRate</f>
        <v>15681.3108307836</v>
      </c>
    </row>
    <row r="144" customFormat="false" ht="15" hidden="false" customHeight="false" outlineLevel="0" collapsed="false">
      <c r="A144" s="9" t="s">
        <v>474</v>
      </c>
      <c r="B144" s="10"/>
      <c r="C144" s="10"/>
      <c r="D144" s="10"/>
      <c r="E144" s="10"/>
      <c r="F144" s="10"/>
      <c r="G144" s="10"/>
      <c r="H144" s="10"/>
      <c r="I144" s="10"/>
      <c r="J144" s="10"/>
      <c r="K144" s="10"/>
      <c r="L144" s="10"/>
      <c r="M144" s="10"/>
      <c r="N144" s="10"/>
      <c r="O144" s="10"/>
      <c r="P144" s="10"/>
      <c r="Q144" s="10"/>
      <c r="R144" s="10"/>
      <c r="S144" s="10"/>
      <c r="T144" s="10"/>
      <c r="U144" s="10"/>
      <c r="V144" s="10"/>
      <c r="W144" s="10"/>
    </row>
    <row r="145" customFormat="false" ht="15" hidden="false" customHeight="false" outlineLevel="0" collapsed="false">
      <c r="A145" s="16" t="s">
        <v>475</v>
      </c>
      <c r="B145" s="66" t="n">
        <f aca="false">C145+NPV(Hurdle,D145:W145)</f>
        <v>-696263.880402729</v>
      </c>
      <c r="C145" s="31" t="n">
        <f aca="false">-C102+C98-C103-C137</f>
        <v>-1162734.14692871</v>
      </c>
      <c r="D145" s="31" t="n">
        <f aca="false">-D102+D98-D103-D137</f>
        <v>23056.3704189726</v>
      </c>
      <c r="E145" s="31" t="n">
        <f aca="false">-E102+E98-E103-E137</f>
        <v>48603.9688590491</v>
      </c>
      <c r="F145" s="31" t="n">
        <f aca="false">-F102+F98-F103-F137</f>
        <v>68937.1193397225</v>
      </c>
      <c r="G145" s="31" t="n">
        <f aca="false">-G102+G98-G103-G137</f>
        <v>72831.2374739673</v>
      </c>
      <c r="H145" s="31" t="n">
        <f aca="false">-H102+H98-H103-H137</f>
        <v>78781.7882823315</v>
      </c>
      <c r="I145" s="31" t="n">
        <f aca="false">-I102+I98-I103-I137</f>
        <v>85140.1814883109</v>
      </c>
      <c r="J145" s="31" t="n">
        <f aca="false">-J102+J98-J103-J137</f>
        <v>90080.6783317051</v>
      </c>
      <c r="K145" s="31" t="n">
        <f aca="false">-K102+K98-K103-K137</f>
        <v>-76457.7168434391</v>
      </c>
      <c r="L145" s="31" t="n">
        <f aca="false">-L102+L98-L103-L137</f>
        <v>88628.5172940379</v>
      </c>
      <c r="M145" s="31" t="n">
        <f aca="false">-M102+M98-M103-M137</f>
        <v>87614.6567432074</v>
      </c>
      <c r="N145" s="31" t="n">
        <f aca="false">-N102+N98-N103-N137</f>
        <v>86388.776067072</v>
      </c>
      <c r="O145" s="31" t="n">
        <f aca="false">-O102+O98-O103-O137</f>
        <v>84934.5002523496</v>
      </c>
      <c r="P145" s="31" t="n">
        <f aca="false">-P102+P98-P103-P137</f>
        <v>83234.3791333476</v>
      </c>
      <c r="Q145" s="31" t="n">
        <f aca="false">-Q102+Q98-Q103-Q137</f>
        <v>81269.8202232499</v>
      </c>
      <c r="R145" s="31" t="n">
        <f aca="false">-R102+R98-R103-R137</f>
        <v>79021.0174201126</v>
      </c>
      <c r="S145" s="31" t="n">
        <f aca="false">-S102+S98-S103-S137</f>
        <v>-149120.001096898</v>
      </c>
      <c r="T145" s="31" t="n">
        <f aca="false">-T102+T98-T103-T137</f>
        <v>55188.6967349186</v>
      </c>
      <c r="U145" s="31" t="n">
        <f aca="false">-U102+U98-U103-U137</f>
        <v>52763.4438879789</v>
      </c>
      <c r="V145" s="31" t="n">
        <f aca="false">-V102+V98-V103-V137</f>
        <v>50055.2990963284</v>
      </c>
      <c r="W145" s="31" t="n">
        <f aca="false">-W102+W98-W103-W137</f>
        <v>47043.9324923508</v>
      </c>
    </row>
    <row r="146" customFormat="false" ht="15" hidden="false" customHeight="false" outlineLevel="0" collapsed="false">
      <c r="A146" s="16" t="s">
        <v>476</v>
      </c>
      <c r="B146" s="66" t="n">
        <f aca="false">C146+NPV(Hurdle,D146:W146)</f>
        <v>121656.480228376</v>
      </c>
      <c r="C146" s="31" t="n">
        <f aca="false">C145+C106+C108</f>
        <v>-562734.146928707</v>
      </c>
      <c r="D146" s="31" t="n">
        <f aca="false">D145+D106+D108</f>
        <v>174256.370418973</v>
      </c>
      <c r="E146" s="31" t="n">
        <f aca="false">E145+E106+E108</f>
        <v>111603.968859049</v>
      </c>
      <c r="F146" s="31" t="n">
        <f aca="false">F145+F106+F108</f>
        <v>106737.119339722</v>
      </c>
      <c r="G146" s="31" t="n">
        <f aca="false">G145+G106+G108</f>
        <v>72831.2374739673</v>
      </c>
      <c r="H146" s="31" t="n">
        <f aca="false">H145+H106+H108</f>
        <v>78781.7882823315</v>
      </c>
      <c r="I146" s="31" t="n">
        <f aca="false">I145+I106+I108</f>
        <v>85140.1814883109</v>
      </c>
      <c r="J146" s="31" t="n">
        <f aca="false">J145+J106+J108</f>
        <v>90080.6783317051</v>
      </c>
      <c r="K146" s="31" t="n">
        <f aca="false">K145+K106+K108</f>
        <v>-76457.7168434391</v>
      </c>
      <c r="L146" s="31" t="n">
        <f aca="false">L145+L106+L108</f>
        <v>88628.5172940379</v>
      </c>
      <c r="M146" s="31" t="n">
        <f aca="false">M145+M106+M108</f>
        <v>87614.6567432074</v>
      </c>
      <c r="N146" s="31" t="n">
        <f aca="false">N145+N106+N108</f>
        <v>86388.776067072</v>
      </c>
      <c r="O146" s="31" t="n">
        <f aca="false">O145+O106+O108</f>
        <v>84934.5002523496</v>
      </c>
      <c r="P146" s="31" t="n">
        <f aca="false">P145+P106+P108</f>
        <v>83234.3791333476</v>
      </c>
      <c r="Q146" s="31" t="n">
        <f aca="false">Q145+Q106+Q108</f>
        <v>81269.8202232499</v>
      </c>
      <c r="R146" s="31" t="n">
        <f aca="false">R145+R106+R108</f>
        <v>79021.0174201126</v>
      </c>
      <c r="S146" s="31" t="n">
        <f aca="false">S145+S106+S108</f>
        <v>-149120.001096898</v>
      </c>
      <c r="T146" s="31" t="n">
        <f aca="false">T145+T106+T108</f>
        <v>55188.6967349186</v>
      </c>
      <c r="U146" s="31" t="n">
        <f aca="false">U145+U106+U108</f>
        <v>52763.4438879789</v>
      </c>
      <c r="V146" s="31" t="n">
        <f aca="false">V145+V106+V108</f>
        <v>50055.2990963284</v>
      </c>
      <c r="W146" s="31" t="n">
        <f aca="false">W145+W106+W108</f>
        <v>47043.9324923508</v>
      </c>
    </row>
    <row r="147" customFormat="false" ht="15" hidden="false" customHeight="false" outlineLevel="0" collapsed="false">
      <c r="A147" s="11" t="s">
        <v>243</v>
      </c>
      <c r="B147" s="66" t="n">
        <f aca="false">SUM(C147:W147)</f>
        <v>1318748.36277204</v>
      </c>
      <c r="C147" s="95" t="n">
        <v>0</v>
      </c>
      <c r="D147" s="95" t="n">
        <f aca="false">D98-D105-D142+D108</f>
        <v>153518.440705885</v>
      </c>
      <c r="E147" s="95" t="n">
        <f aca="false">E98-E105-E142+E108</f>
        <v>90866.0391459615</v>
      </c>
      <c r="F147" s="95" t="n">
        <f aca="false">F98-F105-F142+F108</f>
        <v>85999.1896266348</v>
      </c>
      <c r="G147" s="95" t="n">
        <f aca="false">G98-G105-G142+G108</f>
        <v>52093.3077608797</v>
      </c>
      <c r="H147" s="95" t="n">
        <f aca="false">H98-H105-H142+H108</f>
        <v>58043.8585692438</v>
      </c>
      <c r="I147" s="95" t="n">
        <f aca="false">I98-I105-I142+I108</f>
        <v>64402.2517752232</v>
      </c>
      <c r="J147" s="95" t="n">
        <f aca="false">J98-J105-J142+J108</f>
        <v>69342.7486186174</v>
      </c>
      <c r="K147" s="95" t="n">
        <f aca="false">K98-K105-K142+K108</f>
        <v>68707.7911481746</v>
      </c>
      <c r="L147" s="95" t="n">
        <f aca="false">L98-L105-L142+L108</f>
        <v>62358.3283835791</v>
      </c>
      <c r="M147" s="95" t="n">
        <f aca="false">M98-M105-M142+M108</f>
        <v>61344.4678327486</v>
      </c>
      <c r="N147" s="95" t="n">
        <f aca="false">N98-N105-N142+N108</f>
        <v>60118.5871566133</v>
      </c>
      <c r="O147" s="95" t="n">
        <f aca="false">O98-O105-O142+O108</f>
        <v>58664.3113418909</v>
      </c>
      <c r="P147" s="95" t="n">
        <f aca="false">P98-P105-P142+P108</f>
        <v>56964.1902228888</v>
      </c>
      <c r="Q147" s="95" t="n">
        <f aca="false">Q98-Q105-Q142+Q108</f>
        <v>54999.6313127911</v>
      </c>
      <c r="R147" s="95" t="n">
        <f aca="false">R98-R105-R142+R108</f>
        <v>52750.8285096539</v>
      </c>
      <c r="S147" s="95" t="n">
        <f aca="false">S98-S105-S142+S108</f>
        <v>50196.686425234</v>
      </c>
      <c r="T147" s="95" t="n">
        <f aca="false">T98-T105-T142+T108</f>
        <v>68515.0287593576</v>
      </c>
      <c r="U147" s="95" t="n">
        <f aca="false">U98-U105-U142+U108</f>
        <v>52763.4438879789</v>
      </c>
      <c r="V147" s="95" t="n">
        <f aca="false">V98-V105-V142+V108</f>
        <v>50055.2990963284</v>
      </c>
      <c r="W147" s="95" t="n">
        <f aca="false">W98-W105-W142+W108</f>
        <v>47043.9324923508</v>
      </c>
    </row>
    <row r="148" customFormat="false" ht="15" hidden="false" customHeight="false" outlineLevel="0" collapsed="false">
      <c r="A148" s="11" t="s">
        <v>477</v>
      </c>
      <c r="C148" s="97" t="n">
        <v>0</v>
      </c>
      <c r="D148" s="97" t="n">
        <f aca="false">IF(D125&gt;0,D147/D125,"")</f>
        <v>10.4926197281447</v>
      </c>
      <c r="E148" s="97" t="n">
        <f aca="false">IF(E125&gt;0,E147/E125,"")</f>
        <v>6.21047732492199</v>
      </c>
      <c r="F148" s="97" t="n">
        <f aca="false">IF(F125&gt;0,F147/F125,"")</f>
        <v>3.51409607162868</v>
      </c>
      <c r="G148" s="97" t="n">
        <f aca="false">IF(G125&gt;0,G147/G125,"")</f>
        <v>2.12863503662545</v>
      </c>
      <c r="H148" s="97" t="n">
        <f aca="false">IF(H125&gt;0,H147/H125,"")</f>
        <v>2.37178624898552</v>
      </c>
      <c r="I148" s="97" t="n">
        <f aca="false">IF(I125&gt;0,I147/I125,"")</f>
        <v>1.8781559310513</v>
      </c>
      <c r="J148" s="97" t="n">
        <f aca="false">IF(J125&gt;0,J147/J125,"")</f>
        <v>2.02223510830036</v>
      </c>
      <c r="K148" s="97" t="n">
        <f aca="false">IF(K125&gt;0,K147/K125,"")</f>
        <v>2.00371791198804</v>
      </c>
      <c r="L148" s="97" t="n">
        <f aca="false">IF(L125&gt;0,L147/L125,"")</f>
        <v>1.81854921335408</v>
      </c>
      <c r="M148" s="97" t="n">
        <f aca="false">IF(M125&gt;0,M147/M125,"")</f>
        <v>1.7889821073242</v>
      </c>
      <c r="N148" s="97" t="n">
        <f aca="false">IF(N125&gt;0,N147/N125,"")</f>
        <v>4.55653655909446</v>
      </c>
      <c r="O148" s="97" t="n">
        <f aca="false">IF(O125&gt;0,O147/O125,"")</f>
        <v>4.44631339467566</v>
      </c>
      <c r="P148" s="97" t="n">
        <f aca="false">IF(P125&gt;0,P147/P125,"")</f>
        <v>4.31745700599438</v>
      </c>
      <c r="Q148" s="97" t="n">
        <f aca="false">IF(Q125&gt;0,Q147/Q125,"")</f>
        <v>4.16855822244454</v>
      </c>
      <c r="R148" s="97" t="n">
        <f aca="false">IF(R125&gt;0,R147/R125,"")</f>
        <v>3.99811589052487</v>
      </c>
      <c r="S148" s="97" t="str">
        <f aca="false">IF(S125&gt;0,S147/S125,"")</f>
        <v/>
      </c>
      <c r="T148" s="97" t="str">
        <f aca="false">IF(T125&gt;0,T147/T125,"")</f>
        <v/>
      </c>
      <c r="U148" s="97" t="str">
        <f aca="false">IF(U125&gt;0,U147/U125,"")</f>
        <v/>
      </c>
      <c r="V148" s="97" t="str">
        <f aca="false">IF(V125&gt;0,V147/V125,"")</f>
        <v/>
      </c>
      <c r="W148" s="97" t="str">
        <f aca="false">IF(W125&gt;0,W147/W125,"")</f>
        <v/>
      </c>
    </row>
    <row r="149" customFormat="false" ht="15" hidden="false" customHeight="false" outlineLevel="0" collapsed="false">
      <c r="A149" s="16" t="s">
        <v>478</v>
      </c>
      <c r="B149" s="66" t="n">
        <f aca="false">C149+NPV(Hurdle,D149:W149)</f>
        <v>115391.057144887</v>
      </c>
      <c r="C149" s="31" t="n">
        <f aca="false">-S_Opex_Lo!$B$18-C129</f>
        <v>-344956.032067298</v>
      </c>
      <c r="D149" s="31" t="n">
        <f aca="false">D147-D125-D129</f>
        <v>138887.352885739</v>
      </c>
      <c r="E149" s="31" t="n">
        <f aca="false">E147-E125-E129</f>
        <v>71314.1778624169</v>
      </c>
      <c r="F149" s="31" t="n">
        <f aca="false">F147-F125-F129</f>
        <v>61526.5548796921</v>
      </c>
      <c r="G149" s="31" t="n">
        <f aca="false">G147-G125-G129</f>
        <v>27620.6730139369</v>
      </c>
      <c r="H149" s="31" t="n">
        <f aca="false">H147-H125-H129</f>
        <v>28662.4653502398</v>
      </c>
      <c r="I149" s="31" t="n">
        <f aca="false">I147-I125-I129</f>
        <v>30112.1000841578</v>
      </c>
      <c r="J149" s="31" t="n">
        <f aca="false">J147-J125-J129</f>
        <v>35052.596927552</v>
      </c>
      <c r="K149" s="31" t="n">
        <f aca="false">K147-K125-K129</f>
        <v>34417.6394571092</v>
      </c>
      <c r="L149" s="31" t="n">
        <f aca="false">L147-L125-L129</f>
        <v>28068.1766925137</v>
      </c>
      <c r="M149" s="31" t="n">
        <f aca="false">M147-M125-M129</f>
        <v>37602.4310743685</v>
      </c>
      <c r="N149" s="31" t="n">
        <f aca="false">N147-N125-N129</f>
        <v>46924.6653309184</v>
      </c>
      <c r="O149" s="31" t="n">
        <f aca="false">O147-O125-O129</f>
        <v>45470.3895161959</v>
      </c>
      <c r="P149" s="31" t="n">
        <f aca="false">P147-P125-P129</f>
        <v>43770.2683971939</v>
      </c>
      <c r="Q149" s="31" t="n">
        <f aca="false">Q147-Q125-Q129</f>
        <v>41805.7094870962</v>
      </c>
      <c r="R149" s="31" t="n">
        <f aca="false">R147-R125-R129</f>
        <v>46153.8675968064</v>
      </c>
      <c r="S149" s="31" t="n">
        <f aca="false">S147-S125-S129</f>
        <v>50196.686425234</v>
      </c>
      <c r="T149" s="31" t="n">
        <f aca="false">T147-T125-T129</f>
        <v>68515.0287593576</v>
      </c>
      <c r="U149" s="31" t="n">
        <f aca="false">U147-U125-U129</f>
        <v>52763.4438879789</v>
      </c>
      <c r="V149" s="31" t="n">
        <f aca="false">V147-V125-V129</f>
        <v>50055.2990963284</v>
      </c>
      <c r="W149" s="31" t="n">
        <f aca="false">W147-W125-W129</f>
        <v>47043.9324923508</v>
      </c>
    </row>
    <row r="150" customFormat="false" ht="15" hidden="false" customHeight="false" outlineLevel="0" collapsed="false">
      <c r="A150" s="11" t="s">
        <v>479</v>
      </c>
      <c r="C150" s="95" t="n">
        <f aca="false">C149</f>
        <v>-344956.032067298</v>
      </c>
      <c r="D150" s="95" t="n">
        <f aca="false">C150+D149</f>
        <v>-206068.679181559</v>
      </c>
      <c r="E150" s="95" t="n">
        <f aca="false">D150+E149</f>
        <v>-134754.501319142</v>
      </c>
      <c r="F150" s="95" t="n">
        <f aca="false">E150+F149</f>
        <v>-73227.94643945</v>
      </c>
      <c r="G150" s="95" t="n">
        <f aca="false">F150+G149</f>
        <v>-45607.273425513</v>
      </c>
      <c r="H150" s="95" t="n">
        <f aca="false">G150+H149</f>
        <v>-16944.8080752733</v>
      </c>
      <c r="I150" s="95" t="n">
        <f aca="false">H150+I149</f>
        <v>13167.2920088846</v>
      </c>
      <c r="J150" s="95" t="n">
        <f aca="false">I150+J149</f>
        <v>48219.8889364366</v>
      </c>
      <c r="K150" s="95" t="n">
        <f aca="false">J150+K149</f>
        <v>82637.5283935458</v>
      </c>
      <c r="L150" s="95" t="n">
        <f aca="false">K150+L149</f>
        <v>110705.705086059</v>
      </c>
      <c r="M150" s="95" t="n">
        <f aca="false">L150+M149</f>
        <v>148308.136160428</v>
      </c>
      <c r="N150" s="95" t="n">
        <f aca="false">M150+N149</f>
        <v>195232.801491346</v>
      </c>
      <c r="O150" s="95" t="n">
        <f aca="false">N150+O149</f>
        <v>240703.191007542</v>
      </c>
      <c r="P150" s="95" t="n">
        <f aca="false">O150+P149</f>
        <v>284473.459404736</v>
      </c>
      <c r="Q150" s="95" t="n">
        <f aca="false">P150+Q149</f>
        <v>326279.168891832</v>
      </c>
      <c r="R150" s="95" t="n">
        <f aca="false">Q150+R149</f>
        <v>372433.036488639</v>
      </c>
      <c r="S150" s="95" t="n">
        <f aca="false">R150+S149</f>
        <v>422629.722913873</v>
      </c>
      <c r="T150" s="95" t="n">
        <f aca="false">S150+T149</f>
        <v>491144.75167323</v>
      </c>
      <c r="U150" s="95" t="n">
        <f aca="false">T150+U149</f>
        <v>543908.195561209</v>
      </c>
      <c r="V150" s="95" t="n">
        <f aca="false">U150+V149</f>
        <v>593963.494657538</v>
      </c>
      <c r="W150" s="95" t="n">
        <f aca="false">V150+W149</f>
        <v>641007.427149889</v>
      </c>
    </row>
    <row r="152" customFormat="false" ht="15" hidden="false" customHeight="false" outlineLevel="0" collapsed="false">
      <c r="A152" s="9" t="s">
        <v>480</v>
      </c>
      <c r="B152" s="10"/>
      <c r="C152" s="10"/>
      <c r="D152" s="10"/>
      <c r="E152" s="10"/>
      <c r="F152" s="10"/>
      <c r="G152" s="10"/>
      <c r="H152" s="10"/>
      <c r="I152" s="10"/>
      <c r="J152" s="10"/>
      <c r="K152" s="10"/>
      <c r="L152" s="10"/>
      <c r="M152" s="10"/>
      <c r="N152" s="10"/>
      <c r="O152" s="10"/>
      <c r="P152" s="10"/>
      <c r="Q152" s="10"/>
      <c r="R152" s="10"/>
      <c r="S152" s="10"/>
      <c r="T152" s="10"/>
      <c r="U152" s="10"/>
      <c r="V152" s="10"/>
      <c r="W152" s="10"/>
    </row>
    <row r="153" customFormat="false" ht="15" hidden="false" customHeight="false" outlineLevel="0" collapsed="false">
      <c r="A153" s="11" t="s">
        <v>481</v>
      </c>
      <c r="B153" s="66" t="n">
        <f aca="false">C153+NPV(Hurdle,D153:W153)</f>
        <v>2199708.54423123</v>
      </c>
      <c r="C153" s="95" t="n">
        <f aca="false">C102+C96-C93+C103</f>
        <v>1162734.14692871</v>
      </c>
      <c r="D153" s="95" t="n">
        <f aca="false">D102+D96-D93+D103</f>
        <v>55045.4952271074</v>
      </c>
      <c r="E153" s="95" t="n">
        <f aca="false">E102+E96-E93+E103</f>
        <v>61508.1406898464</v>
      </c>
      <c r="F153" s="95" t="n">
        <f aca="false">F102+F96-F93+F103</f>
        <v>66688.3096548932</v>
      </c>
      <c r="G153" s="95" t="n">
        <f aca="false">G102+G96-G93+G103</f>
        <v>69278.6292214204</v>
      </c>
      <c r="H153" s="95" t="n">
        <f aca="false">H102+H96-H93+H103</f>
        <v>71982.5692948054</v>
      </c>
      <c r="I153" s="95" t="n">
        <f aca="false">I102+I96-I93+I103</f>
        <v>74805.7254652736</v>
      </c>
      <c r="J153" s="95" t="n">
        <f aca="false">J102+J96-J93+J103</f>
        <v>79605.9343553527</v>
      </c>
      <c r="K153" s="95" t="n">
        <f aca="false">K102+K96-K93+K103</f>
        <v>256478.244243139</v>
      </c>
      <c r="L153" s="95" t="n">
        <f aca="false">L102+L96-L93+L103</f>
        <v>102355.260224304</v>
      </c>
      <c r="M153" s="95" t="n">
        <f aca="false">M102+M96-M93+M103</f>
        <v>115000.032826001</v>
      </c>
      <c r="N153" s="95" t="n">
        <f aca="false">N102+N96-N93+N103</f>
        <v>128565.148096901</v>
      </c>
      <c r="O153" s="95" t="n">
        <f aca="false">O102+O96-O93+O103</f>
        <v>143110.11789321</v>
      </c>
      <c r="P153" s="95" t="n">
        <f aca="false">P102+P96-P93+P103</f>
        <v>158698.156257276</v>
      </c>
      <c r="Q153" s="95" t="n">
        <f aca="false">Q102+Q96-Q93+Q103</f>
        <v>175396.406572663</v>
      </c>
      <c r="R153" s="95" t="n">
        <f aca="false">R102+R96-R93+R103</f>
        <v>193276.182587671</v>
      </c>
      <c r="S153" s="95" t="n">
        <f aca="false">S102+S96-S93+S103</f>
        <v>422574.735436235</v>
      </c>
      <c r="T153" s="95" t="n">
        <f aca="false">T102+T96-T93+T103</f>
        <v>232887.968567201</v>
      </c>
      <c r="U153" s="95" t="n">
        <f aca="false">U102+U96-U93+U103</f>
        <v>254785.838490405</v>
      </c>
      <c r="V153" s="95" t="n">
        <f aca="false">V102+V96-V93+V103</f>
        <v>278197.547420376</v>
      </c>
      <c r="W153" s="95" t="n">
        <f aca="false">W102+W96-W93+W103</f>
        <v>303219.423816869</v>
      </c>
    </row>
    <row r="154" customFormat="false" ht="15" hidden="false" customHeight="false" outlineLevel="0" collapsed="false">
      <c r="A154" s="11" t="s">
        <v>482</v>
      </c>
      <c r="B154" s="76" t="n">
        <f aca="false">C154+NPV(Hurdle,D154:W154)</f>
        <v>3504620.16232003</v>
      </c>
      <c r="C154" s="93" t="n">
        <f aca="false">C66</f>
        <v>0</v>
      </c>
      <c r="D154" s="93" t="n">
        <f aca="false">D66</f>
        <v>211139.712</v>
      </c>
      <c r="E154" s="93" t="n">
        <f aca="false">E66</f>
        <v>308088.02976</v>
      </c>
      <c r="F154" s="93" t="n">
        <f aca="false">F66</f>
        <v>373330.200768</v>
      </c>
      <c r="G154" s="93" t="n">
        <f aca="false">G66</f>
        <v>384530.10679104</v>
      </c>
      <c r="H154" s="93" t="n">
        <f aca="false">H66</f>
        <v>396066.009994771</v>
      </c>
      <c r="I154" s="93" t="n">
        <f aca="false">I66</f>
        <v>407947.990294614</v>
      </c>
      <c r="J154" s="93" t="n">
        <f aca="false">J66</f>
        <v>420186.430003453</v>
      </c>
      <c r="K154" s="93" t="n">
        <f aca="false">K66</f>
        <v>432792.022903556</v>
      </c>
      <c r="L154" s="93" t="n">
        <f aca="false">L66</f>
        <v>445775.783590663</v>
      </c>
      <c r="M154" s="93" t="n">
        <f aca="false">M66</f>
        <v>459149.057098383</v>
      </c>
      <c r="N154" s="93" t="n">
        <f aca="false">N66</f>
        <v>472923.528811335</v>
      </c>
      <c r="O154" s="93" t="n">
        <f aca="false">O66</f>
        <v>487111.234675675</v>
      </c>
      <c r="P154" s="93" t="n">
        <f aca="false">P66</f>
        <v>501724.571715945</v>
      </c>
      <c r="Q154" s="93" t="n">
        <f aca="false">Q66</f>
        <v>516776.308867423</v>
      </c>
      <c r="R154" s="93" t="n">
        <f aca="false">R66</f>
        <v>532279.598133446</v>
      </c>
      <c r="S154" s="93" t="n">
        <f aca="false">S66</f>
        <v>548247.986077449</v>
      </c>
      <c r="T154" s="93" t="n">
        <f aca="false">T66</f>
        <v>564695.425659773</v>
      </c>
      <c r="U154" s="93" t="n">
        <f aca="false">U66</f>
        <v>581636.288429566</v>
      </c>
      <c r="V154" s="93" t="n">
        <f aca="false">V66</f>
        <v>599085.377082453</v>
      </c>
      <c r="W154" s="93" t="n">
        <f aca="false">W66</f>
        <v>617057.938394927</v>
      </c>
    </row>
    <row r="155" customFormat="false" ht="15" hidden="false" customHeight="false" outlineLevel="0" collapsed="false">
      <c r="A155" s="11" t="s">
        <v>483</v>
      </c>
      <c r="B155" s="66" t="n">
        <f aca="false">C155+NPV(Hurdle,D155:W155)</f>
        <v>1555687.86731988</v>
      </c>
      <c r="C155" s="95" t="n">
        <f aca="false">C83</f>
        <v>0</v>
      </c>
      <c r="D155" s="95" t="n">
        <f aca="false">D83</f>
        <v>73617.387264</v>
      </c>
      <c r="E155" s="95" t="n">
        <f aca="false">E83</f>
        <v>110642.638710202</v>
      </c>
      <c r="F155" s="95" t="n">
        <f aca="false">F83</f>
        <v>138095.029891356</v>
      </c>
      <c r="G155" s="95" t="n">
        <f aca="false">G83</f>
        <v>146505.01721174</v>
      </c>
      <c r="H155" s="95" t="n">
        <f aca="false">H83</f>
        <v>155427.172759935</v>
      </c>
      <c r="I155" s="95" t="n">
        <f aca="false">I83</f>
        <v>164892.687581015</v>
      </c>
      <c r="J155" s="95" t="n">
        <f aca="false">J83</f>
        <v>174934.652254699</v>
      </c>
      <c r="K155" s="95" t="n">
        <f aca="false">K83</f>
        <v>185588.17257701</v>
      </c>
      <c r="L155" s="95" t="n">
        <f aca="false">L83</f>
        <v>196890.49228695</v>
      </c>
      <c r="M155" s="95" t="n">
        <f aca="false">M83</f>
        <v>208881.123267225</v>
      </c>
      <c r="N155" s="95" t="n">
        <f aca="false">N83</f>
        <v>221601.983674199</v>
      </c>
      <c r="O155" s="95" t="n">
        <f aca="false">O83</f>
        <v>235097.544479958</v>
      </c>
      <c r="P155" s="95" t="n">
        <f aca="false">P83</f>
        <v>249414.984938787</v>
      </c>
      <c r="Q155" s="95" t="n">
        <f aca="false">Q83</f>
        <v>264604.357521559</v>
      </c>
      <c r="R155" s="95" t="n">
        <f aca="false">R83</f>
        <v>280718.762894623</v>
      </c>
      <c r="S155" s="95" t="n">
        <f aca="false">S83</f>
        <v>297814.535554905</v>
      </c>
      <c r="T155" s="95" t="n">
        <f aca="false">T83</f>
        <v>315951.440770199</v>
      </c>
      <c r="U155" s="95" t="n">
        <f aca="false">U83</f>
        <v>335192.883513104</v>
      </c>
      <c r="V155" s="95" t="n">
        <f aca="false">V83</f>
        <v>355606.130119052</v>
      </c>
      <c r="W155" s="95"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7" t="s">
        <v>392</v>
      </c>
    </row>
    <row r="2" customFormat="false" ht="15" hidden="false" customHeight="false" outlineLevel="0" collapsed="false">
      <c r="A2" s="8" t="s">
        <v>393</v>
      </c>
    </row>
    <row r="4" customFormat="false" ht="15" hidden="false" customHeight="false" outlineLevel="0" collapsed="false">
      <c r="A4" s="9" t="s">
        <v>394</v>
      </c>
      <c r="B4" s="10"/>
    </row>
    <row r="5" customFormat="false" ht="15" hidden="false" customHeight="false" outlineLevel="0" collapsed="false">
      <c r="A5" s="11" t="s">
        <v>67</v>
      </c>
      <c r="B5" s="67" t="n">
        <v>1</v>
      </c>
    </row>
    <row r="6" customFormat="false" ht="15" hidden="false" customHeight="false" outlineLevel="0" collapsed="false">
      <c r="A6" s="11" t="s">
        <v>333</v>
      </c>
      <c r="B6" s="67" t="n">
        <v>1</v>
      </c>
    </row>
    <row r="7" customFormat="false" ht="15" hidden="false" customHeight="false" outlineLevel="0" collapsed="false">
      <c r="A7" s="11" t="s">
        <v>69</v>
      </c>
      <c r="B7" s="67" t="n">
        <v>1</v>
      </c>
    </row>
    <row r="8" customFormat="false" ht="15" hidden="false" customHeight="false" outlineLevel="0" collapsed="false">
      <c r="A8" s="11" t="s">
        <v>70</v>
      </c>
      <c r="B8" s="67" t="n">
        <f aca="false">1+SensDelta</f>
        <v>1.2</v>
      </c>
    </row>
    <row r="9" customFormat="false" ht="15" hidden="false" customHeight="false" outlineLevel="0" collapsed="false">
      <c r="A9" s="11" t="s">
        <v>395</v>
      </c>
      <c r="B9" s="67" t="n">
        <v>1</v>
      </c>
    </row>
    <row r="10" customFormat="false" ht="15" hidden="false" customHeight="false" outlineLevel="0" collapsed="false">
      <c r="A10" s="11" t="s">
        <v>72</v>
      </c>
      <c r="B10" s="67" t="n">
        <v>1</v>
      </c>
    </row>
    <row r="11" customFormat="false" ht="15" hidden="false" customHeight="false" outlineLevel="0" collapsed="false">
      <c r="A11" s="11" t="s">
        <v>334</v>
      </c>
      <c r="B11" s="67" t="n">
        <v>1</v>
      </c>
    </row>
    <row r="13" customFormat="false" ht="15" hidden="false" customHeight="false" outlineLevel="0" collapsed="false">
      <c r="A13" s="9" t="s">
        <v>396</v>
      </c>
      <c r="B13" s="10"/>
    </row>
    <row r="14" customFormat="false" ht="15" hidden="false" customHeight="false" outlineLevel="0" collapsed="false">
      <c r="A14" s="11" t="s">
        <v>397</v>
      </c>
      <c r="B14" s="66" t="n">
        <f aca="false">TotalCapexBase*LevCapex*$B$7</f>
        <v>1162734.14692871</v>
      </c>
    </row>
    <row r="15" customFormat="false" ht="15" hidden="false" customHeight="false" outlineLevel="0" collapsed="false">
      <c r="A15" s="11" t="s">
        <v>398</v>
      </c>
      <c r="B15" s="66" t="n">
        <f aca="false">HardCapexBase*LevCapex*$B$7</f>
        <v>1011073.17124235</v>
      </c>
    </row>
    <row r="16" customFormat="false" ht="15" hidden="false" customHeight="false" outlineLevel="0" collapsed="false">
      <c r="A16" s="11" t="s">
        <v>252</v>
      </c>
      <c r="B16" s="66" t="n">
        <f aca="false">MAX(0,S_Opex_Hi!$B$14-Grant)*SenPct</f>
        <v>112546.829385741</v>
      </c>
    </row>
    <row r="17" customFormat="false" ht="15" hidden="false" customHeight="false" outlineLevel="0" collapsed="false">
      <c r="A17" s="11" t="s">
        <v>254</v>
      </c>
      <c r="B17" s="66" t="n">
        <f aca="false">MAX(0,S_Opex_Hi!$B$14-Grant)*ConPct</f>
        <v>112546.829385741</v>
      </c>
    </row>
    <row r="18" customFormat="false" ht="15" hidden="false" customHeight="false" outlineLevel="0" collapsed="false">
      <c r="A18" s="11" t="s">
        <v>399</v>
      </c>
      <c r="B18" s="66" t="n">
        <f aca="false">MAX(0,S_Opex_Hi!$B$14-Grant-S_Opex_Hi!$B$16-S_Opex_Hi!$B$17)</f>
        <v>337640.488157224</v>
      </c>
    </row>
    <row r="19" customFormat="false" ht="15" hidden="false" customHeight="false" outlineLevel="0" collapsed="false">
      <c r="A19" s="11" t="s">
        <v>400</v>
      </c>
      <c r="B19" s="66" t="n">
        <f aca="false">C128</f>
        <v>7315.5439100732</v>
      </c>
    </row>
    <row r="20" customFormat="false" ht="15" hidden="false" customHeight="false" outlineLevel="0" collapsed="false">
      <c r="A20" s="11" t="s">
        <v>401</v>
      </c>
      <c r="B20" s="66" t="n">
        <f aca="false">$B$145</f>
        <v>-928105.396043932</v>
      </c>
    </row>
    <row r="21" customFormat="false" ht="15" hidden="false" customHeight="false" outlineLevel="0" collapsed="false">
      <c r="A21" s="11" t="s">
        <v>402</v>
      </c>
      <c r="B21" s="66" t="n">
        <f aca="false">$B$146</f>
        <v>-110185.035412828</v>
      </c>
    </row>
    <row r="22" customFormat="false" ht="15" hidden="false" customHeight="false" outlineLevel="0" collapsed="false">
      <c r="A22" s="11" t="s">
        <v>403</v>
      </c>
      <c r="B22" s="68" t="n">
        <f aca="false">IFERROR(IRR($C$145:$W$145),"n/a")</f>
        <v>-0.0921901076864113</v>
      </c>
    </row>
    <row r="23" customFormat="false" ht="15" hidden="false" customHeight="false" outlineLevel="0" collapsed="false">
      <c r="A23" s="11" t="s">
        <v>404</v>
      </c>
      <c r="B23" s="68" t="n">
        <f aca="false">IFERROR(IRR($C$146:$W$146),"n/a")</f>
        <v>0.0479650920522767</v>
      </c>
    </row>
    <row r="24" customFormat="false" ht="15" hidden="false" customHeight="false" outlineLevel="0" collapsed="false">
      <c r="A24" s="11" t="s">
        <v>390</v>
      </c>
      <c r="B24" s="66" t="n">
        <f aca="false">MAX(0,-$B$145)</f>
        <v>928105.396043932</v>
      </c>
    </row>
    <row r="25" customFormat="false" ht="15" hidden="false" customHeight="false" outlineLevel="0" collapsed="false">
      <c r="A25" s="11" t="s">
        <v>262</v>
      </c>
      <c r="B25" s="68" t="n">
        <f aca="false">IFERROR(IRR($C$149:$W$149),"n/a")</f>
        <v>0.0164375899029265</v>
      </c>
    </row>
    <row r="26" customFormat="false" ht="15" hidden="false" customHeight="false" outlineLevel="0" collapsed="false">
      <c r="A26" s="11" t="s">
        <v>264</v>
      </c>
      <c r="B26" s="66" t="n">
        <f aca="false">C149+NPV(TargetEqIRR,D149:W149)</f>
        <v>-155107.406800676</v>
      </c>
    </row>
    <row r="27" customFormat="false" ht="15" hidden="false" customHeight="false" outlineLevel="0" collapsed="false">
      <c r="A27" s="11" t="s">
        <v>258</v>
      </c>
      <c r="B27" s="67" t="n">
        <f aca="false">IF((S_Opex_Hi!$B$16+S_Opex_Hi!$B$17)&gt;0,MIN($D$148:$W$148),"no debt")</f>
        <v>0.888669888664099</v>
      </c>
    </row>
    <row r="28" customFormat="false" ht="15" hidden="false" customHeight="false" outlineLevel="0" collapsed="false">
      <c r="A28" s="11" t="s">
        <v>260</v>
      </c>
      <c r="B28" s="67" t="n">
        <f aca="false">IF((S_Opex_Hi!$B$16+S_Opex_Hi!$B$17)&gt;0,AVERAGE($D$148:$W$148),"no debt")</f>
        <v>2.14242754089994</v>
      </c>
    </row>
    <row r="29" customFormat="false" ht="15" hidden="false" customHeight="false" outlineLevel="0" collapsed="false">
      <c r="A29" s="11" t="s">
        <v>405</v>
      </c>
      <c r="B29" s="87" t="n">
        <f aca="false">IFERROR($B$153/$B$154,0)</f>
        <v>0.698155277613806</v>
      </c>
    </row>
    <row r="30" customFormat="false" ht="15" hidden="false" customHeight="false" outlineLevel="0" collapsed="false">
      <c r="A30" s="11" t="s">
        <v>261</v>
      </c>
      <c r="B30" s="87" t="n">
        <f aca="false">IFERROR($B$155/$B$154,0)</f>
        <v>0.44389628412399</v>
      </c>
    </row>
    <row r="31" customFormat="false" ht="15" hidden="false" customHeight="false" outlineLevel="0" collapsed="false">
      <c r="A31" s="11" t="s">
        <v>406</v>
      </c>
      <c r="B31" s="77" t="n">
        <f aca="false">NPV(Hurdle,D109:W109)</f>
        <v>838.820435762584</v>
      </c>
    </row>
    <row r="32" customFormat="false" ht="15" hidden="false" customHeight="false" outlineLevel="0" collapsed="false">
      <c r="A32" s="11" t="s">
        <v>407</v>
      </c>
      <c r="B32" s="66" t="n">
        <f aca="false">NPV(Hurdle,D108:W108)</f>
        <v>217920.360631104</v>
      </c>
    </row>
    <row r="33" customFormat="false" ht="15" hidden="false" customHeight="false" outlineLevel="0" collapsed="false">
      <c r="A33" s="11" t="s">
        <v>408</v>
      </c>
      <c r="B33" s="77" t="n">
        <f aca="false">NPV(TargetEqIRR,D109:W109)</f>
        <v>785.120407660064</v>
      </c>
    </row>
    <row r="34" customFormat="false" ht="15" hidden="false" customHeight="false" outlineLevel="0" collapsed="false">
      <c r="A34" s="11" t="s">
        <v>409</v>
      </c>
      <c r="B34" s="66" t="n">
        <f aca="false">NPV(TargetEqIRR,D108:W108)</f>
        <v>203969.425495192</v>
      </c>
    </row>
    <row r="35" customFormat="false" ht="15" hidden="false" customHeight="false" outlineLevel="0" collapsed="false">
      <c r="A35" s="11" t="s">
        <v>410</v>
      </c>
      <c r="B35" s="66" t="n">
        <f aca="false">MAX(0,MIN($D$127:$W$127))</f>
        <v>54664.6369181594</v>
      </c>
    </row>
    <row r="36" customFormat="false" ht="15" hidden="false" customHeight="false" outlineLevel="0" collapsed="false">
      <c r="A36" s="11" t="s">
        <v>266</v>
      </c>
      <c r="B36" s="88" t="n">
        <f aca="false">IFERROR(MATCH(TRUE(),INDEX($C$150:$W$150&gt;=0,0),0)-1,"&gt; life")</f>
        <v>18</v>
      </c>
    </row>
    <row r="39" customFormat="false" ht="15" hidden="false" customHeight="false" outlineLevel="0" collapsed="false">
      <c r="A39" s="16" t="s">
        <v>411</v>
      </c>
      <c r="B39" s="74" t="s">
        <v>412</v>
      </c>
      <c r="C39" s="89" t="n">
        <v>0</v>
      </c>
      <c r="D39" s="89" t="n">
        <v>1</v>
      </c>
      <c r="E39" s="89" t="n">
        <v>2</v>
      </c>
      <c r="F39" s="89" t="n">
        <v>3</v>
      </c>
      <c r="G39" s="89" t="n">
        <v>4</v>
      </c>
      <c r="H39" s="89" t="n">
        <v>5</v>
      </c>
      <c r="I39" s="89" t="n">
        <v>6</v>
      </c>
      <c r="J39" s="89" t="n">
        <v>7</v>
      </c>
      <c r="K39" s="89" t="n">
        <v>8</v>
      </c>
      <c r="L39" s="89" t="n">
        <v>9</v>
      </c>
      <c r="M39" s="89" t="n">
        <v>10</v>
      </c>
      <c r="N39" s="89" t="n">
        <v>11</v>
      </c>
      <c r="O39" s="89" t="n">
        <v>12</v>
      </c>
      <c r="P39" s="89" t="n">
        <v>13</v>
      </c>
      <c r="Q39" s="89" t="n">
        <v>14</v>
      </c>
      <c r="R39" s="89" t="n">
        <v>15</v>
      </c>
      <c r="S39" s="89" t="n">
        <v>16</v>
      </c>
      <c r="T39" s="89" t="n">
        <v>17</v>
      </c>
      <c r="U39" s="89" t="n">
        <v>18</v>
      </c>
      <c r="V39" s="89" t="n">
        <v>19</v>
      </c>
      <c r="W39" s="89" t="n">
        <v>20</v>
      </c>
    </row>
    <row r="40" customFormat="false" ht="15" hidden="false" customHeight="false" outlineLevel="0" collapsed="false">
      <c r="A40" s="11" t="s">
        <v>413</v>
      </c>
      <c r="C40" s="90" t="n">
        <f aca="false">StartYear-1+C39</f>
        <v>2026</v>
      </c>
      <c r="D40" s="90" t="n">
        <f aca="false">StartYear-1+D39</f>
        <v>2027</v>
      </c>
      <c r="E40" s="90" t="n">
        <f aca="false">StartYear-1+E39</f>
        <v>2028</v>
      </c>
      <c r="F40" s="90" t="n">
        <f aca="false">StartYear-1+F39</f>
        <v>2029</v>
      </c>
      <c r="G40" s="90" t="n">
        <f aca="false">StartYear-1+G39</f>
        <v>2030</v>
      </c>
      <c r="H40" s="90" t="n">
        <f aca="false">StartYear-1+H39</f>
        <v>2031</v>
      </c>
      <c r="I40" s="90" t="n">
        <f aca="false">StartYear-1+I39</f>
        <v>2032</v>
      </c>
      <c r="J40" s="90" t="n">
        <f aca="false">StartYear-1+J39</f>
        <v>2033</v>
      </c>
      <c r="K40" s="90" t="n">
        <f aca="false">StartYear-1+K39</f>
        <v>2034</v>
      </c>
      <c r="L40" s="90" t="n">
        <f aca="false">StartYear-1+L39</f>
        <v>2035</v>
      </c>
      <c r="M40" s="90" t="n">
        <f aca="false">StartYear-1+M39</f>
        <v>2036</v>
      </c>
      <c r="N40" s="90" t="n">
        <f aca="false">StartYear-1+N39</f>
        <v>2037</v>
      </c>
      <c r="O40" s="90" t="n">
        <f aca="false">StartYear-1+O39</f>
        <v>2038</v>
      </c>
      <c r="P40" s="90" t="n">
        <f aca="false">StartYear-1+P39</f>
        <v>2039</v>
      </c>
      <c r="Q40" s="90" t="n">
        <f aca="false">StartYear-1+Q39</f>
        <v>2040</v>
      </c>
      <c r="R40" s="90" t="n">
        <f aca="false">StartYear-1+R39</f>
        <v>2041</v>
      </c>
      <c r="S40" s="90" t="n">
        <f aca="false">StartYear-1+S39</f>
        <v>2042</v>
      </c>
      <c r="T40" s="90" t="n">
        <f aca="false">StartYear-1+T39</f>
        <v>2043</v>
      </c>
      <c r="U40" s="90" t="n">
        <f aca="false">StartYear-1+U39</f>
        <v>2044</v>
      </c>
      <c r="V40" s="90" t="n">
        <f aca="false">StartYear-1+V39</f>
        <v>2045</v>
      </c>
      <c r="W40" s="90" t="n">
        <f aca="false">StartYear-1+W39</f>
        <v>2046</v>
      </c>
    </row>
    <row r="41" customFormat="false" ht="15" hidden="false" customHeight="false" outlineLevel="0" collapsed="false">
      <c r="A41" s="11" t="s">
        <v>414</v>
      </c>
      <c r="C41" s="90" t="n">
        <f aca="false">IF(AND(C39&gt;=1,C39&lt;=Life),1,0)</f>
        <v>0</v>
      </c>
      <c r="D41" s="90" t="n">
        <f aca="false">IF(AND(D39&gt;=1,D39&lt;=Life),1,0)</f>
        <v>1</v>
      </c>
      <c r="E41" s="90" t="n">
        <f aca="false">IF(AND(E39&gt;=1,E39&lt;=Life),1,0)</f>
        <v>1</v>
      </c>
      <c r="F41" s="90" t="n">
        <f aca="false">IF(AND(F39&gt;=1,F39&lt;=Life),1,0)</f>
        <v>1</v>
      </c>
      <c r="G41" s="90" t="n">
        <f aca="false">IF(AND(G39&gt;=1,G39&lt;=Life),1,0)</f>
        <v>1</v>
      </c>
      <c r="H41" s="90" t="n">
        <f aca="false">IF(AND(H39&gt;=1,H39&lt;=Life),1,0)</f>
        <v>1</v>
      </c>
      <c r="I41" s="90" t="n">
        <f aca="false">IF(AND(I39&gt;=1,I39&lt;=Life),1,0)</f>
        <v>1</v>
      </c>
      <c r="J41" s="90" t="n">
        <f aca="false">IF(AND(J39&gt;=1,J39&lt;=Life),1,0)</f>
        <v>1</v>
      </c>
      <c r="K41" s="90" t="n">
        <f aca="false">IF(AND(K39&gt;=1,K39&lt;=Life),1,0)</f>
        <v>1</v>
      </c>
      <c r="L41" s="90" t="n">
        <f aca="false">IF(AND(L39&gt;=1,L39&lt;=Life),1,0)</f>
        <v>1</v>
      </c>
      <c r="M41" s="90" t="n">
        <f aca="false">IF(AND(M39&gt;=1,M39&lt;=Life),1,0)</f>
        <v>1</v>
      </c>
      <c r="N41" s="90" t="n">
        <f aca="false">IF(AND(N39&gt;=1,N39&lt;=Life),1,0)</f>
        <v>1</v>
      </c>
      <c r="O41" s="90" t="n">
        <f aca="false">IF(AND(O39&gt;=1,O39&lt;=Life),1,0)</f>
        <v>1</v>
      </c>
      <c r="P41" s="90" t="n">
        <f aca="false">IF(AND(P39&gt;=1,P39&lt;=Life),1,0)</f>
        <v>1</v>
      </c>
      <c r="Q41" s="90" t="n">
        <f aca="false">IF(AND(Q39&gt;=1,Q39&lt;=Life),1,0)</f>
        <v>1</v>
      </c>
      <c r="R41" s="90" t="n">
        <f aca="false">IF(AND(R39&gt;=1,R39&lt;=Life),1,0)</f>
        <v>1</v>
      </c>
      <c r="S41" s="90" t="n">
        <f aca="false">IF(AND(S39&gt;=1,S39&lt;=Life),1,0)</f>
        <v>1</v>
      </c>
      <c r="T41" s="90" t="n">
        <f aca="false">IF(AND(T39&gt;=1,T39&lt;=Life),1,0)</f>
        <v>1</v>
      </c>
      <c r="U41" s="90" t="n">
        <f aca="false">IF(AND(U39&gt;=1,U39&lt;=Life),1,0)</f>
        <v>1</v>
      </c>
      <c r="V41" s="90" t="n">
        <f aca="false">IF(AND(V39&gt;=1,V39&lt;=Life),1,0)</f>
        <v>1</v>
      </c>
      <c r="W41" s="90" t="n">
        <f aca="false">IF(AND(W39&gt;=1,W39&lt;=Life),1,0)</f>
        <v>1</v>
      </c>
    </row>
    <row r="42" customFormat="false" ht="15" hidden="false" customHeight="false" outlineLevel="0" collapsed="false">
      <c r="A42" s="11" t="s">
        <v>415</v>
      </c>
      <c r="C42" s="91" t="n">
        <v>0</v>
      </c>
      <c r="D42" s="91" t="n">
        <f aca="false">IF(D39=1,Ramp1,IF(D39=2,Ramp2,Ramp3))*D41</f>
        <v>0.6</v>
      </c>
      <c r="E42" s="91" t="n">
        <f aca="false">IF(E39=1,Ramp1,IF(E39=2,Ramp2,Ramp3))*E41</f>
        <v>0.85</v>
      </c>
      <c r="F42" s="91" t="n">
        <f aca="false">IF(F39=1,Ramp1,IF(F39=2,Ramp2,Ramp3))*F41</f>
        <v>1</v>
      </c>
      <c r="G42" s="91" t="n">
        <f aca="false">IF(G39=1,Ramp1,IF(G39=2,Ramp2,Ramp3))*G41</f>
        <v>1</v>
      </c>
      <c r="H42" s="91" t="n">
        <f aca="false">IF(H39=1,Ramp1,IF(H39=2,Ramp2,Ramp3))*H41</f>
        <v>1</v>
      </c>
      <c r="I42" s="91" t="n">
        <f aca="false">IF(I39=1,Ramp1,IF(I39=2,Ramp2,Ramp3))*I41</f>
        <v>1</v>
      </c>
      <c r="J42" s="91" t="n">
        <f aca="false">IF(J39=1,Ramp1,IF(J39=2,Ramp2,Ramp3))*J41</f>
        <v>1</v>
      </c>
      <c r="K42" s="91" t="n">
        <f aca="false">IF(K39=1,Ramp1,IF(K39=2,Ramp2,Ramp3))*K41</f>
        <v>1</v>
      </c>
      <c r="L42" s="91" t="n">
        <f aca="false">IF(L39=1,Ramp1,IF(L39=2,Ramp2,Ramp3))*L41</f>
        <v>1</v>
      </c>
      <c r="M42" s="91" t="n">
        <f aca="false">IF(M39=1,Ramp1,IF(M39=2,Ramp2,Ramp3))*M41</f>
        <v>1</v>
      </c>
      <c r="N42" s="91" t="n">
        <f aca="false">IF(N39=1,Ramp1,IF(N39=2,Ramp2,Ramp3))*N41</f>
        <v>1</v>
      </c>
      <c r="O42" s="91" t="n">
        <f aca="false">IF(O39=1,Ramp1,IF(O39=2,Ramp2,Ramp3))*O41</f>
        <v>1</v>
      </c>
      <c r="P42" s="91" t="n">
        <f aca="false">IF(P39=1,Ramp1,IF(P39=2,Ramp2,Ramp3))*P41</f>
        <v>1</v>
      </c>
      <c r="Q42" s="91" t="n">
        <f aca="false">IF(Q39=1,Ramp1,IF(Q39=2,Ramp2,Ramp3))*Q41</f>
        <v>1</v>
      </c>
      <c r="R42" s="91" t="n">
        <f aca="false">IF(R39=1,Ramp1,IF(R39=2,Ramp2,Ramp3))*R41</f>
        <v>1</v>
      </c>
      <c r="S42" s="91" t="n">
        <f aca="false">IF(S39=1,Ramp1,IF(S39=2,Ramp2,Ramp3))*S41</f>
        <v>1</v>
      </c>
      <c r="T42" s="91" t="n">
        <f aca="false">IF(T39=1,Ramp1,IF(T39=2,Ramp2,Ramp3))*T41</f>
        <v>1</v>
      </c>
      <c r="U42" s="91" t="n">
        <f aca="false">IF(U39=1,Ramp1,IF(U39=2,Ramp2,Ramp3))*U41</f>
        <v>1</v>
      </c>
      <c r="V42" s="91" t="n">
        <f aca="false">IF(V39=1,Ramp1,IF(V39=2,Ramp2,Ramp3))*V41</f>
        <v>1</v>
      </c>
      <c r="W42" s="91" t="n">
        <f aca="false">IF(W39=1,Ramp1,IF(W39=2,Ramp2,Ramp3))*W41</f>
        <v>1</v>
      </c>
    </row>
    <row r="43" customFormat="false" ht="15" hidden="false" customHeight="false" outlineLevel="0" collapsed="false">
      <c r="A43" s="11" t="s">
        <v>416</v>
      </c>
      <c r="C43" s="92" t="n">
        <v>0</v>
      </c>
      <c r="D43" s="92" t="n">
        <f aca="false">(1+TariffEsc)^(D39-1)</f>
        <v>1</v>
      </c>
      <c r="E43" s="92" t="n">
        <f aca="false">(1+TariffEsc)^(E39-1)</f>
        <v>1.03</v>
      </c>
      <c r="F43" s="92" t="n">
        <f aca="false">(1+TariffEsc)^(F39-1)</f>
        <v>1.0609</v>
      </c>
      <c r="G43" s="92" t="n">
        <f aca="false">(1+TariffEsc)^(G39-1)</f>
        <v>1.092727</v>
      </c>
      <c r="H43" s="92" t="n">
        <f aca="false">(1+TariffEsc)^(H39-1)</f>
        <v>1.12550881</v>
      </c>
      <c r="I43" s="92" t="n">
        <f aca="false">(1+TariffEsc)^(I39-1)</f>
        <v>1.1592740743</v>
      </c>
      <c r="J43" s="92" t="n">
        <f aca="false">(1+TariffEsc)^(J39-1)</f>
        <v>1.194052296529</v>
      </c>
      <c r="K43" s="92" t="n">
        <f aca="false">(1+TariffEsc)^(K39-1)</f>
        <v>1.22987386542487</v>
      </c>
      <c r="L43" s="92" t="n">
        <f aca="false">(1+TariffEsc)^(L39-1)</f>
        <v>1.26677008138762</v>
      </c>
      <c r="M43" s="92" t="n">
        <f aca="false">(1+TariffEsc)^(M39-1)</f>
        <v>1.30477318382925</v>
      </c>
      <c r="N43" s="92" t="n">
        <f aca="false">(1+TariffEsc)^(N39-1)</f>
        <v>1.34391637934412</v>
      </c>
      <c r="O43" s="92" t="n">
        <f aca="false">(1+TariffEsc)^(O39-1)</f>
        <v>1.38423387072445</v>
      </c>
      <c r="P43" s="92" t="n">
        <f aca="false">(1+TariffEsc)^(P39-1)</f>
        <v>1.42576088684618</v>
      </c>
      <c r="Q43" s="92" t="n">
        <f aca="false">(1+TariffEsc)^(Q39-1)</f>
        <v>1.46853371345156</v>
      </c>
      <c r="R43" s="92" t="n">
        <f aca="false">(1+TariffEsc)^(R39-1)</f>
        <v>1.51258972485511</v>
      </c>
      <c r="S43" s="92" t="n">
        <f aca="false">(1+TariffEsc)^(S39-1)</f>
        <v>1.55796741660077</v>
      </c>
      <c r="T43" s="92" t="n">
        <f aca="false">(1+TariffEsc)^(T39-1)</f>
        <v>1.60470643909879</v>
      </c>
      <c r="U43" s="92" t="n">
        <f aca="false">(1+TariffEsc)^(U39-1)</f>
        <v>1.65284763227175</v>
      </c>
      <c r="V43" s="92" t="n">
        <f aca="false">(1+TariffEsc)^(V39-1)</f>
        <v>1.7024330612399</v>
      </c>
      <c r="W43" s="92" t="n">
        <f aca="false">(1+TariffEsc)^(W39-1)</f>
        <v>1.7535060530771</v>
      </c>
    </row>
    <row r="44" customFormat="false" ht="15" hidden="false" customHeight="false" outlineLevel="0" collapsed="false">
      <c r="A44" s="11" t="s">
        <v>417</v>
      </c>
      <c r="C44" s="92" t="n">
        <v>0</v>
      </c>
      <c r="D44" s="92" t="n">
        <f aca="false">(1+CostEsc)^(D39-1)</f>
        <v>1</v>
      </c>
      <c r="E44" s="92" t="n">
        <f aca="false">(1+CostEsc)^(E39-1)</f>
        <v>1.03</v>
      </c>
      <c r="F44" s="92" t="n">
        <f aca="false">(1+CostEsc)^(F39-1)</f>
        <v>1.0609</v>
      </c>
      <c r="G44" s="92" t="n">
        <f aca="false">(1+CostEsc)^(G39-1)</f>
        <v>1.092727</v>
      </c>
      <c r="H44" s="92" t="n">
        <f aca="false">(1+CostEsc)^(H39-1)</f>
        <v>1.12550881</v>
      </c>
      <c r="I44" s="92" t="n">
        <f aca="false">(1+CostEsc)^(I39-1)</f>
        <v>1.1592740743</v>
      </c>
      <c r="J44" s="92" t="n">
        <f aca="false">(1+CostEsc)^(J39-1)</f>
        <v>1.194052296529</v>
      </c>
      <c r="K44" s="92" t="n">
        <f aca="false">(1+CostEsc)^(K39-1)</f>
        <v>1.22987386542487</v>
      </c>
      <c r="L44" s="92" t="n">
        <f aca="false">(1+CostEsc)^(L39-1)</f>
        <v>1.26677008138762</v>
      </c>
      <c r="M44" s="92" t="n">
        <f aca="false">(1+CostEsc)^(M39-1)</f>
        <v>1.30477318382925</v>
      </c>
      <c r="N44" s="92" t="n">
        <f aca="false">(1+CostEsc)^(N39-1)</f>
        <v>1.34391637934412</v>
      </c>
      <c r="O44" s="92" t="n">
        <f aca="false">(1+CostEsc)^(O39-1)</f>
        <v>1.38423387072445</v>
      </c>
      <c r="P44" s="92" t="n">
        <f aca="false">(1+CostEsc)^(P39-1)</f>
        <v>1.42576088684618</v>
      </c>
      <c r="Q44" s="92" t="n">
        <f aca="false">(1+CostEsc)^(Q39-1)</f>
        <v>1.46853371345156</v>
      </c>
      <c r="R44" s="92" t="n">
        <f aca="false">(1+CostEsc)^(R39-1)</f>
        <v>1.51258972485511</v>
      </c>
      <c r="S44" s="92" t="n">
        <f aca="false">(1+CostEsc)^(S39-1)</f>
        <v>1.55796741660077</v>
      </c>
      <c r="T44" s="92" t="n">
        <f aca="false">(1+CostEsc)^(T39-1)</f>
        <v>1.60470643909879</v>
      </c>
      <c r="U44" s="92" t="n">
        <f aca="false">(1+CostEsc)^(U39-1)</f>
        <v>1.65284763227175</v>
      </c>
      <c r="V44" s="92" t="n">
        <f aca="false">(1+CostEsc)^(V39-1)</f>
        <v>1.7024330612399</v>
      </c>
      <c r="W44" s="92" t="n">
        <f aca="false">(1+CostEsc)^(W39-1)</f>
        <v>1.7535060530771</v>
      </c>
    </row>
    <row r="45" customFormat="false" ht="15" hidden="false" customHeight="false" outlineLevel="0" collapsed="false">
      <c r="A45" s="11" t="s">
        <v>418</v>
      </c>
      <c r="C45" s="92" t="n">
        <v>0</v>
      </c>
      <c r="D45" s="92" t="n">
        <f aca="false">(1+DemandGrowth)^(D39-1)*LevDemand*$B$6</f>
        <v>1</v>
      </c>
      <c r="E45" s="92" t="n">
        <f aca="false">(1+DemandGrowth)^(E39-1)*LevDemand*$B$6</f>
        <v>1.03</v>
      </c>
      <c r="F45" s="92" t="n">
        <f aca="false">(1+DemandGrowth)^(F39-1)*LevDemand*$B$6</f>
        <v>1.0609</v>
      </c>
      <c r="G45" s="92" t="n">
        <f aca="false">(1+DemandGrowth)^(G39-1)*LevDemand*$B$6</f>
        <v>1.092727</v>
      </c>
      <c r="H45" s="92" t="n">
        <f aca="false">(1+DemandGrowth)^(H39-1)*LevDemand*$B$6</f>
        <v>1.12550881</v>
      </c>
      <c r="I45" s="92" t="n">
        <f aca="false">(1+DemandGrowth)^(I39-1)*LevDemand*$B$6</f>
        <v>1.1592740743</v>
      </c>
      <c r="J45" s="92" t="n">
        <f aca="false">(1+DemandGrowth)^(J39-1)*LevDemand*$B$6</f>
        <v>1.194052296529</v>
      </c>
      <c r="K45" s="92" t="n">
        <f aca="false">(1+DemandGrowth)^(K39-1)*LevDemand*$B$6</f>
        <v>1.22987386542487</v>
      </c>
      <c r="L45" s="92" t="n">
        <f aca="false">(1+DemandGrowth)^(L39-1)*LevDemand*$B$6</f>
        <v>1.26677008138762</v>
      </c>
      <c r="M45" s="92" t="n">
        <f aca="false">(1+DemandGrowth)^(M39-1)*LevDemand*$B$6</f>
        <v>1.30477318382925</v>
      </c>
      <c r="N45" s="92" t="n">
        <f aca="false">(1+DemandGrowth)^(N39-1)*LevDemand*$B$6</f>
        <v>1.34391637934412</v>
      </c>
      <c r="O45" s="92" t="n">
        <f aca="false">(1+DemandGrowth)^(O39-1)*LevDemand*$B$6</f>
        <v>1.38423387072445</v>
      </c>
      <c r="P45" s="92" t="n">
        <f aca="false">(1+DemandGrowth)^(P39-1)*LevDemand*$B$6</f>
        <v>1.42576088684618</v>
      </c>
      <c r="Q45" s="92" t="n">
        <f aca="false">(1+DemandGrowth)^(Q39-1)*LevDemand*$B$6</f>
        <v>1.46853371345156</v>
      </c>
      <c r="R45" s="92" t="n">
        <f aca="false">(1+DemandGrowth)^(R39-1)*LevDemand*$B$6</f>
        <v>1.51258972485511</v>
      </c>
      <c r="S45" s="92" t="n">
        <f aca="false">(1+DemandGrowth)^(S39-1)*LevDemand*$B$6</f>
        <v>1.55796741660077</v>
      </c>
      <c r="T45" s="92" t="n">
        <f aca="false">(1+DemandGrowth)^(T39-1)*LevDemand*$B$6</f>
        <v>1.60470643909879</v>
      </c>
      <c r="U45" s="92" t="n">
        <f aca="false">(1+DemandGrowth)^(U39-1)*LevDemand*$B$6</f>
        <v>1.65284763227175</v>
      </c>
      <c r="V45" s="92" t="n">
        <f aca="false">(1+DemandGrowth)^(V39-1)*LevDemand*$B$6</f>
        <v>1.7024330612399</v>
      </c>
      <c r="W45" s="92" t="n">
        <f aca="false">(1+DemandGrowth)^(W39-1)*LevDemand*$B$6</f>
        <v>1.7535060530771</v>
      </c>
    </row>
    <row r="47" customFormat="false" ht="15" hidden="false" customHeight="false" outlineLevel="0" collapsed="false">
      <c r="A47" s="9" t="s">
        <v>419</v>
      </c>
      <c r="B47" s="10"/>
      <c r="C47" s="10"/>
      <c r="D47" s="10"/>
      <c r="E47" s="10"/>
      <c r="F47" s="10"/>
      <c r="G47" s="10"/>
      <c r="H47" s="10"/>
      <c r="I47" s="10"/>
      <c r="J47" s="10"/>
      <c r="K47" s="10"/>
      <c r="L47" s="10"/>
      <c r="M47" s="10"/>
      <c r="N47" s="10"/>
      <c r="O47" s="10"/>
      <c r="P47" s="10"/>
      <c r="Q47" s="10"/>
      <c r="R47" s="10"/>
      <c r="S47" s="10"/>
      <c r="T47" s="10"/>
      <c r="U47" s="10"/>
      <c r="V47" s="10"/>
      <c r="W47" s="10"/>
    </row>
    <row r="48" customFormat="false" ht="15" hidden="false" customHeight="false" outlineLevel="0" collapsed="false">
      <c r="A48" s="11" t="str">
        <f aca="false">"Connections - "&amp;Seg1_Name</f>
        <v>Connections - Households</v>
      </c>
      <c r="C48" s="93" t="n">
        <v>0</v>
      </c>
      <c r="D48" s="93" t="n">
        <f aca="false">Seg1_N*D42</f>
        <v>480</v>
      </c>
      <c r="E48" s="93" t="n">
        <f aca="false">Seg1_N*E42</f>
        <v>680</v>
      </c>
      <c r="F48" s="93" t="n">
        <f aca="false">Seg1_N*F42</f>
        <v>800</v>
      </c>
      <c r="G48" s="93" t="n">
        <f aca="false">Seg1_N*G42</f>
        <v>800</v>
      </c>
      <c r="H48" s="93" t="n">
        <f aca="false">Seg1_N*H42</f>
        <v>800</v>
      </c>
      <c r="I48" s="93" t="n">
        <f aca="false">Seg1_N*I42</f>
        <v>800</v>
      </c>
      <c r="J48" s="93" t="n">
        <f aca="false">Seg1_N*J42</f>
        <v>800</v>
      </c>
      <c r="K48" s="93" t="n">
        <f aca="false">Seg1_N*K42</f>
        <v>800</v>
      </c>
      <c r="L48" s="93" t="n">
        <f aca="false">Seg1_N*L42</f>
        <v>800</v>
      </c>
      <c r="M48" s="93" t="n">
        <f aca="false">Seg1_N*M42</f>
        <v>800</v>
      </c>
      <c r="N48" s="93" t="n">
        <f aca="false">Seg1_N*N42</f>
        <v>800</v>
      </c>
      <c r="O48" s="93" t="n">
        <f aca="false">Seg1_N*O42</f>
        <v>800</v>
      </c>
      <c r="P48" s="93" t="n">
        <f aca="false">Seg1_N*P42</f>
        <v>800</v>
      </c>
      <c r="Q48" s="93" t="n">
        <f aca="false">Seg1_N*Q42</f>
        <v>800</v>
      </c>
      <c r="R48" s="93" t="n">
        <f aca="false">Seg1_N*R42</f>
        <v>800</v>
      </c>
      <c r="S48" s="93" t="n">
        <f aca="false">Seg1_N*S42</f>
        <v>800</v>
      </c>
      <c r="T48" s="93" t="n">
        <f aca="false">Seg1_N*T42</f>
        <v>800</v>
      </c>
      <c r="U48" s="93" t="n">
        <f aca="false">Seg1_N*U42</f>
        <v>800</v>
      </c>
      <c r="V48" s="93" t="n">
        <f aca="false">Seg1_N*V42</f>
        <v>800</v>
      </c>
      <c r="W48" s="93" t="n">
        <f aca="false">Seg1_N*W42</f>
        <v>800</v>
      </c>
    </row>
    <row r="49" customFormat="false" ht="15" hidden="false" customHeight="false" outlineLevel="0" collapsed="false">
      <c r="A49" s="11" t="str">
        <f aca="false">"Connections - "&amp;Seg2_Name</f>
        <v>Connections - Productive users (mills, welding, cold rooms)</v>
      </c>
      <c r="C49" s="93" t="n">
        <v>0</v>
      </c>
      <c r="D49" s="93" t="n">
        <f aca="false">Seg2_N*D42</f>
        <v>36</v>
      </c>
      <c r="E49" s="93" t="n">
        <f aca="false">Seg2_N*E42</f>
        <v>51</v>
      </c>
      <c r="F49" s="93" t="n">
        <f aca="false">Seg2_N*F42</f>
        <v>60</v>
      </c>
      <c r="G49" s="93" t="n">
        <f aca="false">Seg2_N*G42</f>
        <v>60</v>
      </c>
      <c r="H49" s="93" t="n">
        <f aca="false">Seg2_N*H42</f>
        <v>60</v>
      </c>
      <c r="I49" s="93" t="n">
        <f aca="false">Seg2_N*I42</f>
        <v>60</v>
      </c>
      <c r="J49" s="93" t="n">
        <f aca="false">Seg2_N*J42</f>
        <v>60</v>
      </c>
      <c r="K49" s="93" t="n">
        <f aca="false">Seg2_N*K42</f>
        <v>60</v>
      </c>
      <c r="L49" s="93" t="n">
        <f aca="false">Seg2_N*L42</f>
        <v>60</v>
      </c>
      <c r="M49" s="93" t="n">
        <f aca="false">Seg2_N*M42</f>
        <v>60</v>
      </c>
      <c r="N49" s="93" t="n">
        <f aca="false">Seg2_N*N42</f>
        <v>60</v>
      </c>
      <c r="O49" s="93" t="n">
        <f aca="false">Seg2_N*O42</f>
        <v>60</v>
      </c>
      <c r="P49" s="93" t="n">
        <f aca="false">Seg2_N*P42</f>
        <v>60</v>
      </c>
      <c r="Q49" s="93" t="n">
        <f aca="false">Seg2_N*Q42</f>
        <v>60</v>
      </c>
      <c r="R49" s="93" t="n">
        <f aca="false">Seg2_N*R42</f>
        <v>60</v>
      </c>
      <c r="S49" s="93" t="n">
        <f aca="false">Seg2_N*S42</f>
        <v>60</v>
      </c>
      <c r="T49" s="93" t="n">
        <f aca="false">Seg2_N*T42</f>
        <v>60</v>
      </c>
      <c r="U49" s="93" t="n">
        <f aca="false">Seg2_N*U42</f>
        <v>60</v>
      </c>
      <c r="V49" s="93" t="n">
        <f aca="false">Seg2_N*V42</f>
        <v>60</v>
      </c>
      <c r="W49" s="93" t="n">
        <f aca="false">Seg2_N*W42</f>
        <v>60</v>
      </c>
    </row>
    <row r="50" customFormat="false" ht="15" hidden="false" customHeight="false" outlineLevel="0" collapsed="false">
      <c r="A50" s="11" t="str">
        <f aca="false">"Connections - "&amp;Seg3_Name</f>
        <v>Connections - Commercial (shops, bars, kiosks)</v>
      </c>
      <c r="C50" s="93" t="n">
        <v>0</v>
      </c>
      <c r="D50" s="93" t="n">
        <f aca="false">Seg3_N*D42</f>
        <v>60</v>
      </c>
      <c r="E50" s="93" t="n">
        <f aca="false">Seg3_N*E42</f>
        <v>85</v>
      </c>
      <c r="F50" s="93" t="n">
        <f aca="false">Seg3_N*F42</f>
        <v>100</v>
      </c>
      <c r="G50" s="93" t="n">
        <f aca="false">Seg3_N*G42</f>
        <v>100</v>
      </c>
      <c r="H50" s="93" t="n">
        <f aca="false">Seg3_N*H42</f>
        <v>100</v>
      </c>
      <c r="I50" s="93" t="n">
        <f aca="false">Seg3_N*I42</f>
        <v>100</v>
      </c>
      <c r="J50" s="93" t="n">
        <f aca="false">Seg3_N*J42</f>
        <v>100</v>
      </c>
      <c r="K50" s="93" t="n">
        <f aca="false">Seg3_N*K42</f>
        <v>100</v>
      </c>
      <c r="L50" s="93" t="n">
        <f aca="false">Seg3_N*L42</f>
        <v>100</v>
      </c>
      <c r="M50" s="93" t="n">
        <f aca="false">Seg3_N*M42</f>
        <v>100</v>
      </c>
      <c r="N50" s="93" t="n">
        <f aca="false">Seg3_N*N42</f>
        <v>100</v>
      </c>
      <c r="O50" s="93" t="n">
        <f aca="false">Seg3_N*O42</f>
        <v>100</v>
      </c>
      <c r="P50" s="93" t="n">
        <f aca="false">Seg3_N*P42</f>
        <v>100</v>
      </c>
      <c r="Q50" s="93" t="n">
        <f aca="false">Seg3_N*Q42</f>
        <v>100</v>
      </c>
      <c r="R50" s="93" t="n">
        <f aca="false">Seg3_N*R42</f>
        <v>100</v>
      </c>
      <c r="S50" s="93" t="n">
        <f aca="false">Seg3_N*S42</f>
        <v>100</v>
      </c>
      <c r="T50" s="93" t="n">
        <f aca="false">Seg3_N*T42</f>
        <v>100</v>
      </c>
      <c r="U50" s="93" t="n">
        <f aca="false">Seg3_N*U42</f>
        <v>100</v>
      </c>
      <c r="V50" s="93" t="n">
        <f aca="false">Seg3_N*V42</f>
        <v>100</v>
      </c>
      <c r="W50" s="93" t="n">
        <f aca="false">Seg3_N*W42</f>
        <v>100</v>
      </c>
    </row>
    <row r="51" customFormat="false" ht="15" hidden="false" customHeight="false" outlineLevel="0" collapsed="false">
      <c r="A51" s="11" t="str">
        <f aca="false">"Connections - "&amp;Seg4_Name</f>
        <v>Connections - Institutions (health centre, school, water)</v>
      </c>
      <c r="C51" s="93" t="n">
        <v>0</v>
      </c>
      <c r="D51" s="93" t="n">
        <f aca="false">Seg4_N*D42</f>
        <v>6</v>
      </c>
      <c r="E51" s="93" t="n">
        <f aca="false">Seg4_N*E42</f>
        <v>8.5</v>
      </c>
      <c r="F51" s="93" t="n">
        <f aca="false">Seg4_N*F42</f>
        <v>10</v>
      </c>
      <c r="G51" s="93" t="n">
        <f aca="false">Seg4_N*G42</f>
        <v>10</v>
      </c>
      <c r="H51" s="93" t="n">
        <f aca="false">Seg4_N*H42</f>
        <v>10</v>
      </c>
      <c r="I51" s="93" t="n">
        <f aca="false">Seg4_N*I42</f>
        <v>10</v>
      </c>
      <c r="J51" s="93" t="n">
        <f aca="false">Seg4_N*J42</f>
        <v>10</v>
      </c>
      <c r="K51" s="93" t="n">
        <f aca="false">Seg4_N*K42</f>
        <v>10</v>
      </c>
      <c r="L51" s="93" t="n">
        <f aca="false">Seg4_N*L42</f>
        <v>10</v>
      </c>
      <c r="M51" s="93" t="n">
        <f aca="false">Seg4_N*M42</f>
        <v>10</v>
      </c>
      <c r="N51" s="93" t="n">
        <f aca="false">Seg4_N*N42</f>
        <v>10</v>
      </c>
      <c r="O51" s="93" t="n">
        <f aca="false">Seg4_N*O42</f>
        <v>10</v>
      </c>
      <c r="P51" s="93" t="n">
        <f aca="false">Seg4_N*P42</f>
        <v>10</v>
      </c>
      <c r="Q51" s="93" t="n">
        <f aca="false">Seg4_N*Q42</f>
        <v>10</v>
      </c>
      <c r="R51" s="93" t="n">
        <f aca="false">Seg4_N*R42</f>
        <v>10</v>
      </c>
      <c r="S51" s="93" t="n">
        <f aca="false">Seg4_N*S42</f>
        <v>10</v>
      </c>
      <c r="T51" s="93" t="n">
        <f aca="false">Seg4_N*T42</f>
        <v>10</v>
      </c>
      <c r="U51" s="93" t="n">
        <f aca="false">Seg4_N*U42</f>
        <v>10</v>
      </c>
      <c r="V51" s="93" t="n">
        <f aca="false">Seg4_N*V42</f>
        <v>10</v>
      </c>
      <c r="W51" s="93" t="n">
        <f aca="false">Seg4_N*W42</f>
        <v>10</v>
      </c>
    </row>
    <row r="52" customFormat="false" ht="15" hidden="false" customHeight="false" outlineLevel="0" collapsed="false">
      <c r="A52" s="11" t="str">
        <f aca="false">"Connections - "&amp;Seg5_Name</f>
        <v>Connections - Other / custom</v>
      </c>
      <c r="C52" s="93" t="n">
        <v>0</v>
      </c>
      <c r="D52" s="93" t="n">
        <f aca="false">Seg5_N*D42</f>
        <v>0</v>
      </c>
      <c r="E52" s="93" t="n">
        <f aca="false">Seg5_N*E42</f>
        <v>0</v>
      </c>
      <c r="F52" s="93" t="n">
        <f aca="false">Seg5_N*F42</f>
        <v>0</v>
      </c>
      <c r="G52" s="93" t="n">
        <f aca="false">Seg5_N*G42</f>
        <v>0</v>
      </c>
      <c r="H52" s="93" t="n">
        <f aca="false">Seg5_N*H42</f>
        <v>0</v>
      </c>
      <c r="I52" s="93" t="n">
        <f aca="false">Seg5_N*I42</f>
        <v>0</v>
      </c>
      <c r="J52" s="93" t="n">
        <f aca="false">Seg5_N*J42</f>
        <v>0</v>
      </c>
      <c r="K52" s="93" t="n">
        <f aca="false">Seg5_N*K42</f>
        <v>0</v>
      </c>
      <c r="L52" s="93" t="n">
        <f aca="false">Seg5_N*L42</f>
        <v>0</v>
      </c>
      <c r="M52" s="93" t="n">
        <f aca="false">Seg5_N*M42</f>
        <v>0</v>
      </c>
      <c r="N52" s="93" t="n">
        <f aca="false">Seg5_N*N42</f>
        <v>0</v>
      </c>
      <c r="O52" s="93" t="n">
        <f aca="false">Seg5_N*O42</f>
        <v>0</v>
      </c>
      <c r="P52" s="93" t="n">
        <f aca="false">Seg5_N*P42</f>
        <v>0</v>
      </c>
      <c r="Q52" s="93" t="n">
        <f aca="false">Seg5_N*Q42</f>
        <v>0</v>
      </c>
      <c r="R52" s="93" t="n">
        <f aca="false">Seg5_N*R42</f>
        <v>0</v>
      </c>
      <c r="S52" s="93" t="n">
        <f aca="false">Seg5_N*S42</f>
        <v>0</v>
      </c>
      <c r="T52" s="93" t="n">
        <f aca="false">Seg5_N*T42</f>
        <v>0</v>
      </c>
      <c r="U52" s="93" t="n">
        <f aca="false">Seg5_N*U42</f>
        <v>0</v>
      </c>
      <c r="V52" s="93" t="n">
        <f aca="false">Seg5_N*V42</f>
        <v>0</v>
      </c>
      <c r="W52" s="93" t="n">
        <f aca="false">Seg5_N*W42</f>
        <v>0</v>
      </c>
    </row>
    <row r="53" customFormat="false" ht="15" hidden="false" customHeight="false" outlineLevel="0" collapsed="false">
      <c r="A53" s="16" t="s">
        <v>420</v>
      </c>
      <c r="C53" s="29" t="n">
        <f aca="false">C48+C49+C50+C51+C52</f>
        <v>0</v>
      </c>
      <c r="D53" s="29" t="n">
        <f aca="false">D48+D49+D50+D51+D52</f>
        <v>582</v>
      </c>
      <c r="E53" s="29" t="n">
        <f aca="false">E48+E49+E50+E51+E52</f>
        <v>824.5</v>
      </c>
      <c r="F53" s="29" t="n">
        <f aca="false">F48+F49+F50+F51+F52</f>
        <v>970</v>
      </c>
      <c r="G53" s="29" t="n">
        <f aca="false">G48+G49+G50+G51+G52</f>
        <v>970</v>
      </c>
      <c r="H53" s="29" t="n">
        <f aca="false">H48+H49+H50+H51+H52</f>
        <v>970</v>
      </c>
      <c r="I53" s="29" t="n">
        <f aca="false">I48+I49+I50+I51+I52</f>
        <v>970</v>
      </c>
      <c r="J53" s="29" t="n">
        <f aca="false">J48+J49+J50+J51+J52</f>
        <v>970</v>
      </c>
      <c r="K53" s="29" t="n">
        <f aca="false">K48+K49+K50+K51+K52</f>
        <v>970</v>
      </c>
      <c r="L53" s="29" t="n">
        <f aca="false">L48+L49+L50+L51+L52</f>
        <v>970</v>
      </c>
      <c r="M53" s="29" t="n">
        <f aca="false">M48+M49+M50+M51+M52</f>
        <v>970</v>
      </c>
      <c r="N53" s="29" t="n">
        <f aca="false">N48+N49+N50+N51+N52</f>
        <v>970</v>
      </c>
      <c r="O53" s="29" t="n">
        <f aca="false">O48+O49+O50+O51+O52</f>
        <v>970</v>
      </c>
      <c r="P53" s="29" t="n">
        <f aca="false">P48+P49+P50+P51+P52</f>
        <v>970</v>
      </c>
      <c r="Q53" s="29" t="n">
        <f aca="false">Q48+Q49+Q50+Q51+Q52</f>
        <v>970</v>
      </c>
      <c r="R53" s="29" t="n">
        <f aca="false">R48+R49+R50+R51+R52</f>
        <v>970</v>
      </c>
      <c r="S53" s="29" t="n">
        <f aca="false">S48+S49+S50+S51+S52</f>
        <v>970</v>
      </c>
      <c r="T53" s="29" t="n">
        <f aca="false">T48+T49+T50+T51+T52</f>
        <v>970</v>
      </c>
      <c r="U53" s="29" t="n">
        <f aca="false">U48+U49+U50+U51+U52</f>
        <v>970</v>
      </c>
      <c r="V53" s="29" t="n">
        <f aca="false">V48+V49+V50+V51+V52</f>
        <v>970</v>
      </c>
      <c r="W53" s="29" t="n">
        <f aca="false">W48+W49+W50+W51+W52</f>
        <v>970</v>
      </c>
    </row>
    <row r="54" customFormat="false" ht="15" hidden="false" customHeight="false" outlineLevel="0" collapsed="false">
      <c r="A54" s="11" t="str">
        <f aca="false">"New connections - "&amp;Seg1_Name</f>
        <v>New connections - Households</v>
      </c>
      <c r="B54" s="77" t="n">
        <f aca="false">SUM(C54:W54)</f>
        <v>800</v>
      </c>
      <c r="C54" s="94" t="n">
        <v>0</v>
      </c>
      <c r="D54" s="94" t="n">
        <f aca="false">MAX(0,D48-C48)</f>
        <v>480</v>
      </c>
      <c r="E54" s="94" t="n">
        <f aca="false">MAX(0,E48-D48)</f>
        <v>200</v>
      </c>
      <c r="F54" s="94" t="n">
        <f aca="false">MAX(0,F48-E48)</f>
        <v>120</v>
      </c>
      <c r="G54" s="94" t="n">
        <f aca="false">MAX(0,G48-F48)</f>
        <v>0</v>
      </c>
      <c r="H54" s="94" t="n">
        <f aca="false">MAX(0,H48-G48)</f>
        <v>0</v>
      </c>
      <c r="I54" s="94" t="n">
        <f aca="false">MAX(0,I48-H48)</f>
        <v>0</v>
      </c>
      <c r="J54" s="94" t="n">
        <f aca="false">MAX(0,J48-I48)</f>
        <v>0</v>
      </c>
      <c r="K54" s="94" t="n">
        <f aca="false">MAX(0,K48-J48)</f>
        <v>0</v>
      </c>
      <c r="L54" s="94" t="n">
        <f aca="false">MAX(0,L48-K48)</f>
        <v>0</v>
      </c>
      <c r="M54" s="94" t="n">
        <f aca="false">MAX(0,M48-L48)</f>
        <v>0</v>
      </c>
      <c r="N54" s="94" t="n">
        <f aca="false">MAX(0,N48-M48)</f>
        <v>0</v>
      </c>
      <c r="O54" s="94" t="n">
        <f aca="false">MAX(0,O48-N48)</f>
        <v>0</v>
      </c>
      <c r="P54" s="94" t="n">
        <f aca="false">MAX(0,P48-O48)</f>
        <v>0</v>
      </c>
      <c r="Q54" s="94" t="n">
        <f aca="false">MAX(0,Q48-P48)</f>
        <v>0</v>
      </c>
      <c r="R54" s="94" t="n">
        <f aca="false">MAX(0,R48-Q48)</f>
        <v>0</v>
      </c>
      <c r="S54" s="94" t="n">
        <f aca="false">MAX(0,S48-R48)</f>
        <v>0</v>
      </c>
      <c r="T54" s="94" t="n">
        <f aca="false">MAX(0,T48-S48)</f>
        <v>0</v>
      </c>
      <c r="U54" s="94" t="n">
        <f aca="false">MAX(0,U48-T48)</f>
        <v>0</v>
      </c>
      <c r="V54" s="94" t="n">
        <f aca="false">MAX(0,V48-U48)</f>
        <v>0</v>
      </c>
      <c r="W54" s="94" t="n">
        <f aca="false">MAX(0,W48-V48)</f>
        <v>0</v>
      </c>
    </row>
    <row r="55" customFormat="false" ht="15" hidden="false" customHeight="false" outlineLevel="0" collapsed="false">
      <c r="A55" s="11" t="str">
        <f aca="false">"New connections - "&amp;Seg2_Name</f>
        <v>New connections - Productive users (mills, welding, cold rooms)</v>
      </c>
      <c r="B55" s="77" t="n">
        <f aca="false">SUM(C55:W55)</f>
        <v>60</v>
      </c>
      <c r="C55" s="94" t="n">
        <v>0</v>
      </c>
      <c r="D55" s="94" t="n">
        <f aca="false">MAX(0,D49-C49)</f>
        <v>36</v>
      </c>
      <c r="E55" s="94" t="n">
        <f aca="false">MAX(0,E49-D49)</f>
        <v>15</v>
      </c>
      <c r="F55" s="94" t="n">
        <f aca="false">MAX(0,F49-E49)</f>
        <v>9</v>
      </c>
      <c r="G55" s="94" t="n">
        <f aca="false">MAX(0,G49-F49)</f>
        <v>0</v>
      </c>
      <c r="H55" s="94" t="n">
        <f aca="false">MAX(0,H49-G49)</f>
        <v>0</v>
      </c>
      <c r="I55" s="94" t="n">
        <f aca="false">MAX(0,I49-H49)</f>
        <v>0</v>
      </c>
      <c r="J55" s="94" t="n">
        <f aca="false">MAX(0,J49-I49)</f>
        <v>0</v>
      </c>
      <c r="K55" s="94" t="n">
        <f aca="false">MAX(0,K49-J49)</f>
        <v>0</v>
      </c>
      <c r="L55" s="94" t="n">
        <f aca="false">MAX(0,L49-K49)</f>
        <v>0</v>
      </c>
      <c r="M55" s="94" t="n">
        <f aca="false">MAX(0,M49-L49)</f>
        <v>0</v>
      </c>
      <c r="N55" s="94" t="n">
        <f aca="false">MAX(0,N49-M49)</f>
        <v>0</v>
      </c>
      <c r="O55" s="94" t="n">
        <f aca="false">MAX(0,O49-N49)</f>
        <v>0</v>
      </c>
      <c r="P55" s="94" t="n">
        <f aca="false">MAX(0,P49-O49)</f>
        <v>0</v>
      </c>
      <c r="Q55" s="94" t="n">
        <f aca="false">MAX(0,Q49-P49)</f>
        <v>0</v>
      </c>
      <c r="R55" s="94" t="n">
        <f aca="false">MAX(0,R49-Q49)</f>
        <v>0</v>
      </c>
      <c r="S55" s="94" t="n">
        <f aca="false">MAX(0,S49-R49)</f>
        <v>0</v>
      </c>
      <c r="T55" s="94" t="n">
        <f aca="false">MAX(0,T49-S49)</f>
        <v>0</v>
      </c>
      <c r="U55" s="94" t="n">
        <f aca="false">MAX(0,U49-T49)</f>
        <v>0</v>
      </c>
      <c r="V55" s="94" t="n">
        <f aca="false">MAX(0,V49-U49)</f>
        <v>0</v>
      </c>
      <c r="W55" s="94" t="n">
        <f aca="false">MAX(0,W49-V49)</f>
        <v>0</v>
      </c>
    </row>
    <row r="56" customFormat="false" ht="15" hidden="false" customHeight="false" outlineLevel="0" collapsed="false">
      <c r="A56" s="11" t="str">
        <f aca="false">"New connections - "&amp;Seg3_Name</f>
        <v>New connections - Commercial (shops, bars, kiosks)</v>
      </c>
      <c r="B56" s="77" t="n">
        <f aca="false">SUM(C56:W56)</f>
        <v>100</v>
      </c>
      <c r="C56" s="94" t="n">
        <v>0</v>
      </c>
      <c r="D56" s="94" t="n">
        <f aca="false">MAX(0,D50-C50)</f>
        <v>60</v>
      </c>
      <c r="E56" s="94" t="n">
        <f aca="false">MAX(0,E50-D50)</f>
        <v>25</v>
      </c>
      <c r="F56" s="94" t="n">
        <f aca="false">MAX(0,F50-E50)</f>
        <v>15</v>
      </c>
      <c r="G56" s="94" t="n">
        <f aca="false">MAX(0,G50-F50)</f>
        <v>0</v>
      </c>
      <c r="H56" s="94" t="n">
        <f aca="false">MAX(0,H50-G50)</f>
        <v>0</v>
      </c>
      <c r="I56" s="94" t="n">
        <f aca="false">MAX(0,I50-H50)</f>
        <v>0</v>
      </c>
      <c r="J56" s="94" t="n">
        <f aca="false">MAX(0,J50-I50)</f>
        <v>0</v>
      </c>
      <c r="K56" s="94" t="n">
        <f aca="false">MAX(0,K50-J50)</f>
        <v>0</v>
      </c>
      <c r="L56" s="94" t="n">
        <f aca="false">MAX(0,L50-K50)</f>
        <v>0</v>
      </c>
      <c r="M56" s="94" t="n">
        <f aca="false">MAX(0,M50-L50)</f>
        <v>0</v>
      </c>
      <c r="N56" s="94" t="n">
        <f aca="false">MAX(0,N50-M50)</f>
        <v>0</v>
      </c>
      <c r="O56" s="94" t="n">
        <f aca="false">MAX(0,O50-N50)</f>
        <v>0</v>
      </c>
      <c r="P56" s="94" t="n">
        <f aca="false">MAX(0,P50-O50)</f>
        <v>0</v>
      </c>
      <c r="Q56" s="94" t="n">
        <f aca="false">MAX(0,Q50-P50)</f>
        <v>0</v>
      </c>
      <c r="R56" s="94" t="n">
        <f aca="false">MAX(0,R50-Q50)</f>
        <v>0</v>
      </c>
      <c r="S56" s="94" t="n">
        <f aca="false">MAX(0,S50-R50)</f>
        <v>0</v>
      </c>
      <c r="T56" s="94" t="n">
        <f aca="false">MAX(0,T50-S50)</f>
        <v>0</v>
      </c>
      <c r="U56" s="94" t="n">
        <f aca="false">MAX(0,U50-T50)</f>
        <v>0</v>
      </c>
      <c r="V56" s="94" t="n">
        <f aca="false">MAX(0,V50-U50)</f>
        <v>0</v>
      </c>
      <c r="W56" s="94" t="n">
        <f aca="false">MAX(0,W50-V50)</f>
        <v>0</v>
      </c>
    </row>
    <row r="57" customFormat="false" ht="15" hidden="false" customHeight="false" outlineLevel="0" collapsed="false">
      <c r="A57" s="11" t="str">
        <f aca="false">"New connections - "&amp;Seg4_Name</f>
        <v>New connections - Institutions (health centre, school, water)</v>
      </c>
      <c r="B57" s="77" t="n">
        <f aca="false">SUM(C57:W57)</f>
        <v>10</v>
      </c>
      <c r="C57" s="94" t="n">
        <v>0</v>
      </c>
      <c r="D57" s="94" t="n">
        <f aca="false">MAX(0,D51-C51)</f>
        <v>6</v>
      </c>
      <c r="E57" s="94" t="n">
        <f aca="false">MAX(0,E51-D51)</f>
        <v>2.5</v>
      </c>
      <c r="F57" s="94" t="n">
        <f aca="false">MAX(0,F51-E51)</f>
        <v>1.5</v>
      </c>
      <c r="G57" s="94" t="n">
        <f aca="false">MAX(0,G51-F51)</f>
        <v>0</v>
      </c>
      <c r="H57" s="94" t="n">
        <f aca="false">MAX(0,H51-G51)</f>
        <v>0</v>
      </c>
      <c r="I57" s="94" t="n">
        <f aca="false">MAX(0,I51-H51)</f>
        <v>0</v>
      </c>
      <c r="J57" s="94" t="n">
        <f aca="false">MAX(0,J51-I51)</f>
        <v>0</v>
      </c>
      <c r="K57" s="94" t="n">
        <f aca="false">MAX(0,K51-J51)</f>
        <v>0</v>
      </c>
      <c r="L57" s="94" t="n">
        <f aca="false">MAX(0,L51-K51)</f>
        <v>0</v>
      </c>
      <c r="M57" s="94" t="n">
        <f aca="false">MAX(0,M51-L51)</f>
        <v>0</v>
      </c>
      <c r="N57" s="94" t="n">
        <f aca="false">MAX(0,N51-M51)</f>
        <v>0</v>
      </c>
      <c r="O57" s="94" t="n">
        <f aca="false">MAX(0,O51-N51)</f>
        <v>0</v>
      </c>
      <c r="P57" s="94" t="n">
        <f aca="false">MAX(0,P51-O51)</f>
        <v>0</v>
      </c>
      <c r="Q57" s="94" t="n">
        <f aca="false">MAX(0,Q51-P51)</f>
        <v>0</v>
      </c>
      <c r="R57" s="94" t="n">
        <f aca="false">MAX(0,R51-Q51)</f>
        <v>0</v>
      </c>
      <c r="S57" s="94" t="n">
        <f aca="false">MAX(0,S51-R51)</f>
        <v>0</v>
      </c>
      <c r="T57" s="94" t="n">
        <f aca="false">MAX(0,T51-S51)</f>
        <v>0</v>
      </c>
      <c r="U57" s="94" t="n">
        <f aca="false">MAX(0,U51-T51)</f>
        <v>0</v>
      </c>
      <c r="V57" s="94" t="n">
        <f aca="false">MAX(0,V51-U51)</f>
        <v>0</v>
      </c>
      <c r="W57" s="94" t="n">
        <f aca="false">MAX(0,W51-V51)</f>
        <v>0</v>
      </c>
    </row>
    <row r="58" customFormat="false" ht="15" hidden="false" customHeight="false" outlineLevel="0" collapsed="false">
      <c r="A58" s="11" t="str">
        <f aca="false">"New connections - "&amp;Seg5_Name</f>
        <v>New connections - Other / custom</v>
      </c>
      <c r="B58" s="77" t="n">
        <f aca="false">SUM(C58:W58)</f>
        <v>0</v>
      </c>
      <c r="C58" s="94" t="n">
        <v>0</v>
      </c>
      <c r="D58" s="94" t="n">
        <f aca="false">MAX(0,D52-C52)</f>
        <v>0</v>
      </c>
      <c r="E58" s="94" t="n">
        <f aca="false">MAX(0,E52-D52)</f>
        <v>0</v>
      </c>
      <c r="F58" s="94" t="n">
        <f aca="false">MAX(0,F52-E52)</f>
        <v>0</v>
      </c>
      <c r="G58" s="94" t="n">
        <f aca="false">MAX(0,G52-F52)</f>
        <v>0</v>
      </c>
      <c r="H58" s="94" t="n">
        <f aca="false">MAX(0,H52-G52)</f>
        <v>0</v>
      </c>
      <c r="I58" s="94" t="n">
        <f aca="false">MAX(0,I52-H52)</f>
        <v>0</v>
      </c>
      <c r="J58" s="94" t="n">
        <f aca="false">MAX(0,J52-I52)</f>
        <v>0</v>
      </c>
      <c r="K58" s="94" t="n">
        <f aca="false">MAX(0,K52-J52)</f>
        <v>0</v>
      </c>
      <c r="L58" s="94" t="n">
        <f aca="false">MAX(0,L52-K52)</f>
        <v>0</v>
      </c>
      <c r="M58" s="94" t="n">
        <f aca="false">MAX(0,M52-L52)</f>
        <v>0</v>
      </c>
      <c r="N58" s="94" t="n">
        <f aca="false">MAX(0,N52-M52)</f>
        <v>0</v>
      </c>
      <c r="O58" s="94" t="n">
        <f aca="false">MAX(0,O52-N52)</f>
        <v>0</v>
      </c>
      <c r="P58" s="94" t="n">
        <f aca="false">MAX(0,P52-O52)</f>
        <v>0</v>
      </c>
      <c r="Q58" s="94" t="n">
        <f aca="false">MAX(0,Q52-P52)</f>
        <v>0</v>
      </c>
      <c r="R58" s="94" t="n">
        <f aca="false">MAX(0,R52-Q52)</f>
        <v>0</v>
      </c>
      <c r="S58" s="94" t="n">
        <f aca="false">MAX(0,S52-R52)</f>
        <v>0</v>
      </c>
      <c r="T58" s="94" t="n">
        <f aca="false">MAX(0,T52-S52)</f>
        <v>0</v>
      </c>
      <c r="U58" s="94" t="n">
        <f aca="false">MAX(0,U52-T52)</f>
        <v>0</v>
      </c>
      <c r="V58" s="94" t="n">
        <f aca="false">MAX(0,V52-U52)</f>
        <v>0</v>
      </c>
      <c r="W58" s="94" t="n">
        <f aca="false">MAX(0,W52-V52)</f>
        <v>0</v>
      </c>
    </row>
    <row r="59" customFormat="false" ht="15" hidden="false" customHeight="false" outlineLevel="0" collapsed="false">
      <c r="A59" s="16" t="s">
        <v>421</v>
      </c>
      <c r="B59" s="76" t="n">
        <f aca="false">SUM(C59:W59)</f>
        <v>970</v>
      </c>
      <c r="C59" s="29" t="n">
        <f aca="false">C54+C55+C56+C57+C58</f>
        <v>0</v>
      </c>
      <c r="D59" s="29" t="n">
        <f aca="false">D54+D55+D56+D57+D58</f>
        <v>582</v>
      </c>
      <c r="E59" s="29" t="n">
        <f aca="false">E54+E55+E56+E57+E58</f>
        <v>242.5</v>
      </c>
      <c r="F59" s="29" t="n">
        <f aca="false">F54+F55+F56+F57+F58</f>
        <v>145.5</v>
      </c>
      <c r="G59" s="29" t="n">
        <f aca="false">G54+G55+G56+G57+G58</f>
        <v>0</v>
      </c>
      <c r="H59" s="29" t="n">
        <f aca="false">H54+H55+H56+H57+H58</f>
        <v>0</v>
      </c>
      <c r="I59" s="29" t="n">
        <f aca="false">I54+I55+I56+I57+I58</f>
        <v>0</v>
      </c>
      <c r="J59" s="29" t="n">
        <f aca="false">J54+J55+J56+J57+J58</f>
        <v>0</v>
      </c>
      <c r="K59" s="29" t="n">
        <f aca="false">K54+K55+K56+K57+K58</f>
        <v>0</v>
      </c>
      <c r="L59" s="29" t="n">
        <f aca="false">L54+L55+L56+L57+L58</f>
        <v>0</v>
      </c>
      <c r="M59" s="29" t="n">
        <f aca="false">M54+M55+M56+M57+M58</f>
        <v>0</v>
      </c>
      <c r="N59" s="29" t="n">
        <f aca="false">N54+N55+N56+N57+N58</f>
        <v>0</v>
      </c>
      <c r="O59" s="29" t="n">
        <f aca="false">O54+O55+O56+O57+O58</f>
        <v>0</v>
      </c>
      <c r="P59" s="29" t="n">
        <f aca="false">P54+P55+P56+P57+P58</f>
        <v>0</v>
      </c>
      <c r="Q59" s="29" t="n">
        <f aca="false">Q54+Q55+Q56+Q57+Q58</f>
        <v>0</v>
      </c>
      <c r="R59" s="29" t="n">
        <f aca="false">R54+R55+R56+R57+R58</f>
        <v>0</v>
      </c>
      <c r="S59" s="29" t="n">
        <f aca="false">S54+S55+S56+S57+S58</f>
        <v>0</v>
      </c>
      <c r="T59" s="29" t="n">
        <f aca="false">T54+T55+T56+T57+T58</f>
        <v>0</v>
      </c>
      <c r="U59" s="29" t="n">
        <f aca="false">U54+U55+U56+U57+U58</f>
        <v>0</v>
      </c>
      <c r="V59" s="29" t="n">
        <f aca="false">V54+V55+V56+V57+V58</f>
        <v>0</v>
      </c>
      <c r="W59" s="29" t="n">
        <f aca="false">W54+W55+W56+W57+W58</f>
        <v>0</v>
      </c>
    </row>
    <row r="61" customFormat="false" ht="15" hidden="false" customHeight="false" outlineLevel="0" collapsed="false">
      <c r="A61" s="11" t="str">
        <f aca="false">"Energy sold (kWh) - "&amp;Seg1_Name</f>
        <v>Energy sold (kWh) - Households</v>
      </c>
      <c r="B61" s="76" t="n">
        <f aca="false">SUM(C61:W61)</f>
        <v>3789485.92641319</v>
      </c>
      <c r="C61" s="93" t="n">
        <v>0</v>
      </c>
      <c r="D61" s="93" t="n">
        <f aca="false">D48*Seg1_kWh*12*D45</f>
        <v>86400</v>
      </c>
      <c r="E61" s="93" t="n">
        <f aca="false">E48*Seg1_kWh*12*E45</f>
        <v>126072</v>
      </c>
      <c r="F61" s="93" t="n">
        <f aca="false">F48*Seg1_kWh*12*F45</f>
        <v>152769.6</v>
      </c>
      <c r="G61" s="93" t="n">
        <f aca="false">G48*Seg1_kWh*12*G45</f>
        <v>157352.688</v>
      </c>
      <c r="H61" s="93" t="n">
        <f aca="false">H48*Seg1_kWh*12*H45</f>
        <v>162073.26864</v>
      </c>
      <c r="I61" s="93" t="n">
        <f aca="false">I48*Seg1_kWh*12*I45</f>
        <v>166935.4666992</v>
      </c>
      <c r="J61" s="93" t="n">
        <f aca="false">J48*Seg1_kWh*12*J45</f>
        <v>171943.530700176</v>
      </c>
      <c r="K61" s="93" t="n">
        <f aca="false">K48*Seg1_kWh*12*K45</f>
        <v>177101.836621181</v>
      </c>
      <c r="L61" s="93" t="n">
        <f aca="false">L48*Seg1_kWh*12*L45</f>
        <v>182414.891719817</v>
      </c>
      <c r="M61" s="93" t="n">
        <f aca="false">M48*Seg1_kWh*12*M45</f>
        <v>187887.338471411</v>
      </c>
      <c r="N61" s="93" t="n">
        <f aca="false">N48*Seg1_kWh*12*N45</f>
        <v>193523.958625554</v>
      </c>
      <c r="O61" s="93" t="n">
        <f aca="false">O48*Seg1_kWh*12*O45</f>
        <v>199329.67738432</v>
      </c>
      <c r="P61" s="93" t="n">
        <f aca="false">P48*Seg1_kWh*12*P45</f>
        <v>205309.56770585</v>
      </c>
      <c r="Q61" s="93" t="n">
        <f aca="false">Q48*Seg1_kWh*12*Q45</f>
        <v>211468.854737025</v>
      </c>
      <c r="R61" s="93" t="n">
        <f aca="false">R48*Seg1_kWh*12*R45</f>
        <v>217812.920379136</v>
      </c>
      <c r="S61" s="93" t="n">
        <f aca="false">S48*Seg1_kWh*12*S45</f>
        <v>224347.30799051</v>
      </c>
      <c r="T61" s="93" t="n">
        <f aca="false">T48*Seg1_kWh*12*T45</f>
        <v>231077.727230226</v>
      </c>
      <c r="U61" s="93" t="n">
        <f aca="false">U48*Seg1_kWh*12*U45</f>
        <v>238010.059047132</v>
      </c>
      <c r="V61" s="93" t="n">
        <f aca="false">V48*Seg1_kWh*12*V45</f>
        <v>245150.360818546</v>
      </c>
      <c r="W61" s="93" t="n">
        <f aca="false">W48*Seg1_kWh*12*W45</f>
        <v>252504.871643103</v>
      </c>
    </row>
    <row r="62" customFormat="false" ht="15" hidden="false" customHeight="false" outlineLevel="0" collapsed="false">
      <c r="A62" s="11" t="str">
        <f aca="false">"Energy sold (kWh) - "&amp;Seg2_Name</f>
        <v>Energy sold (kWh) - Productive users (mills, welding, cold rooms)</v>
      </c>
      <c r="B62" s="76" t="n">
        <f aca="false">SUM(C62:W62)</f>
        <v>2944733.72369716</v>
      </c>
      <c r="C62" s="93" t="n">
        <v>0</v>
      </c>
      <c r="D62" s="93" t="n">
        <f aca="false">D49*Seg2_kWh*12*D45</f>
        <v>67139.712</v>
      </c>
      <c r="E62" s="93" t="n">
        <f aca="false">E49*Seg2_kWh*12*E45</f>
        <v>97968.02976</v>
      </c>
      <c r="F62" s="93" t="n">
        <f aca="false">F49*Seg2_kWh*12*F45</f>
        <v>118714.200768</v>
      </c>
      <c r="G62" s="93" t="n">
        <f aca="false">G49*Seg2_kWh*12*G45</f>
        <v>122275.62679104</v>
      </c>
      <c r="H62" s="93" t="n">
        <f aca="false">H49*Seg2_kWh*12*H45</f>
        <v>125943.895594771</v>
      </c>
      <c r="I62" s="93" t="n">
        <f aca="false">I49*Seg2_kWh*12*I45</f>
        <v>129722.212462614</v>
      </c>
      <c r="J62" s="93" t="n">
        <f aca="false">J49*Seg2_kWh*12*J45</f>
        <v>133613.878836493</v>
      </c>
      <c r="K62" s="93" t="n">
        <f aca="false">K49*Seg2_kWh*12*K45</f>
        <v>137622.295201588</v>
      </c>
      <c r="L62" s="93" t="n">
        <f aca="false">L49*Seg2_kWh*12*L45</f>
        <v>141750.964057635</v>
      </c>
      <c r="M62" s="93" t="n">
        <f aca="false">M49*Seg2_kWh*12*M45</f>
        <v>146003.492979364</v>
      </c>
      <c r="N62" s="93" t="n">
        <f aca="false">N49*Seg2_kWh*12*N45</f>
        <v>150383.597768745</v>
      </c>
      <c r="O62" s="93" t="n">
        <f aca="false">O49*Seg2_kWh*12*O45</f>
        <v>154895.105701808</v>
      </c>
      <c r="P62" s="93" t="n">
        <f aca="false">P49*Seg2_kWh*12*P45</f>
        <v>159541.958872862</v>
      </c>
      <c r="Q62" s="93" t="n">
        <f aca="false">Q49*Seg2_kWh*12*Q45</f>
        <v>164328.217639048</v>
      </c>
      <c r="R62" s="93" t="n">
        <f aca="false">R49*Seg2_kWh*12*R45</f>
        <v>169258.064168219</v>
      </c>
      <c r="S62" s="93" t="n">
        <f aca="false">S49*Seg2_kWh*12*S45</f>
        <v>174335.806093266</v>
      </c>
      <c r="T62" s="93" t="n">
        <f aca="false">T49*Seg2_kWh*12*T45</f>
        <v>179565.880276064</v>
      </c>
      <c r="U62" s="93" t="n">
        <f aca="false">U49*Seg2_kWh*12*U45</f>
        <v>184952.856684346</v>
      </c>
      <c r="V62" s="93" t="n">
        <f aca="false">V49*Seg2_kWh*12*V45</f>
        <v>190501.442384876</v>
      </c>
      <c r="W62" s="93" t="n">
        <f aca="false">W49*Seg2_kWh*12*W45</f>
        <v>196216.485656422</v>
      </c>
    </row>
    <row r="63" customFormat="false" ht="15" hidden="false" customHeight="false" outlineLevel="0" collapsed="false">
      <c r="A63" s="11" t="str">
        <f aca="false">"Energy sold (kWh) - "&amp;Seg3_Name</f>
        <v>Energy sold (kWh) - Commercial (shops, bars, kiosks)</v>
      </c>
      <c r="B63" s="76" t="n">
        <f aca="false">SUM(C63:W63)</f>
        <v>1578952.46933883</v>
      </c>
      <c r="C63" s="93" t="n">
        <v>0</v>
      </c>
      <c r="D63" s="93" t="n">
        <f aca="false">D50*Seg3_kWh*12*D45</f>
        <v>36000</v>
      </c>
      <c r="E63" s="93" t="n">
        <f aca="false">E50*Seg3_kWh*12*E45</f>
        <v>52530</v>
      </c>
      <c r="F63" s="93" t="n">
        <f aca="false">F50*Seg3_kWh*12*F45</f>
        <v>63654</v>
      </c>
      <c r="G63" s="93" t="n">
        <f aca="false">G50*Seg3_kWh*12*G45</f>
        <v>65563.62</v>
      </c>
      <c r="H63" s="93" t="n">
        <f aca="false">H50*Seg3_kWh*12*H45</f>
        <v>67530.5286</v>
      </c>
      <c r="I63" s="93" t="n">
        <f aca="false">I50*Seg3_kWh*12*I45</f>
        <v>69556.444458</v>
      </c>
      <c r="J63" s="93" t="n">
        <f aca="false">J50*Seg3_kWh*12*J45</f>
        <v>71643.13779174</v>
      </c>
      <c r="K63" s="93" t="n">
        <f aca="false">K50*Seg3_kWh*12*K45</f>
        <v>73792.4319254922</v>
      </c>
      <c r="L63" s="93" t="n">
        <f aca="false">L50*Seg3_kWh*12*L45</f>
        <v>76006.204883257</v>
      </c>
      <c r="M63" s="93" t="n">
        <f aca="false">M50*Seg3_kWh*12*M45</f>
        <v>78286.3910297547</v>
      </c>
      <c r="N63" s="93" t="n">
        <f aca="false">N50*Seg3_kWh*12*N45</f>
        <v>80634.9827606473</v>
      </c>
      <c r="O63" s="93" t="n">
        <f aca="false">O50*Seg3_kWh*12*O45</f>
        <v>83054.0322434668</v>
      </c>
      <c r="P63" s="93" t="n">
        <f aca="false">P50*Seg3_kWh*12*P45</f>
        <v>85545.6532107708</v>
      </c>
      <c r="Q63" s="93" t="n">
        <f aca="false">Q50*Seg3_kWh*12*Q45</f>
        <v>88112.0228070939</v>
      </c>
      <c r="R63" s="93" t="n">
        <f aca="false">R50*Seg3_kWh*12*R45</f>
        <v>90755.3834913067</v>
      </c>
      <c r="S63" s="93" t="n">
        <f aca="false">S50*Seg3_kWh*12*S45</f>
        <v>93478.0449960459</v>
      </c>
      <c r="T63" s="93" t="n">
        <f aca="false">T50*Seg3_kWh*12*T45</f>
        <v>96282.3863459273</v>
      </c>
      <c r="U63" s="93" t="n">
        <f aca="false">U50*Seg3_kWh*12*U45</f>
        <v>99170.8579363051</v>
      </c>
      <c r="V63" s="93" t="n">
        <f aca="false">V50*Seg3_kWh*12*V45</f>
        <v>102145.983674394</v>
      </c>
      <c r="W63" s="93" t="n">
        <f aca="false">W50*Seg3_kWh*12*W45</f>
        <v>105210.363184626</v>
      </c>
    </row>
    <row r="64" customFormat="false" ht="15" hidden="false" customHeight="false" outlineLevel="0" collapsed="false">
      <c r="A64" s="11" t="str">
        <f aca="false">"Energy sold (kWh) - "&amp;Seg4_Name</f>
        <v>Energy sold (kWh) - Institutions (health centre, school, water)</v>
      </c>
      <c r="B64" s="76" t="n">
        <f aca="false">SUM(C64:W64)</f>
        <v>947371.481603297</v>
      </c>
      <c r="C64" s="93" t="n">
        <v>0</v>
      </c>
      <c r="D64" s="93" t="n">
        <f aca="false">D51*Seg4_kWh*12*D45</f>
        <v>21600</v>
      </c>
      <c r="E64" s="93" t="n">
        <f aca="false">E51*Seg4_kWh*12*E45</f>
        <v>31518</v>
      </c>
      <c r="F64" s="93" t="n">
        <f aca="false">F51*Seg4_kWh*12*F45</f>
        <v>38192.4</v>
      </c>
      <c r="G64" s="93" t="n">
        <f aca="false">G51*Seg4_kWh*12*G45</f>
        <v>39338.172</v>
      </c>
      <c r="H64" s="93" t="n">
        <f aca="false">H51*Seg4_kWh*12*H45</f>
        <v>40518.31716</v>
      </c>
      <c r="I64" s="93" t="n">
        <f aca="false">I51*Seg4_kWh*12*I45</f>
        <v>41733.8666748</v>
      </c>
      <c r="J64" s="93" t="n">
        <f aca="false">J51*Seg4_kWh*12*J45</f>
        <v>42985.882675044</v>
      </c>
      <c r="K64" s="93" t="n">
        <f aca="false">K51*Seg4_kWh*12*K45</f>
        <v>44275.4591552953</v>
      </c>
      <c r="L64" s="93" t="n">
        <f aca="false">L51*Seg4_kWh*12*L45</f>
        <v>45603.7229299542</v>
      </c>
      <c r="M64" s="93" t="n">
        <f aca="false">M51*Seg4_kWh*12*M45</f>
        <v>46971.8346178528</v>
      </c>
      <c r="N64" s="93" t="n">
        <f aca="false">N51*Seg4_kWh*12*N45</f>
        <v>48380.9896563884</v>
      </c>
      <c r="O64" s="93" t="n">
        <f aca="false">O51*Seg4_kWh*12*O45</f>
        <v>49832.4193460801</v>
      </c>
      <c r="P64" s="93" t="n">
        <f aca="false">P51*Seg4_kWh*12*P45</f>
        <v>51327.3919264625</v>
      </c>
      <c r="Q64" s="93" t="n">
        <f aca="false">Q51*Seg4_kWh*12*Q45</f>
        <v>52867.2136842563</v>
      </c>
      <c r="R64" s="93" t="n">
        <f aca="false">R51*Seg4_kWh*12*R45</f>
        <v>54453.230094784</v>
      </c>
      <c r="S64" s="93" t="n">
        <f aca="false">S51*Seg4_kWh*12*S45</f>
        <v>56086.8269976275</v>
      </c>
      <c r="T64" s="93" t="n">
        <f aca="false">T51*Seg4_kWh*12*T45</f>
        <v>57769.4318075564</v>
      </c>
      <c r="U64" s="93" t="n">
        <f aca="false">U51*Seg4_kWh*12*U45</f>
        <v>59502.5147617831</v>
      </c>
      <c r="V64" s="93" t="n">
        <f aca="false">V51*Seg4_kWh*12*V45</f>
        <v>61287.5902046366</v>
      </c>
      <c r="W64" s="93" t="n">
        <f aca="false">W51*Seg4_kWh*12*W45</f>
        <v>63126.2179107757</v>
      </c>
    </row>
    <row r="65" customFormat="false" ht="15" hidden="false" customHeight="false" outlineLevel="0" collapsed="false">
      <c r="A65" s="11" t="str">
        <f aca="false">"Energy sold (kWh) - "&amp;Seg5_Name</f>
        <v>Energy sold (kWh) - Other / custom</v>
      </c>
      <c r="B65" s="76" t="n">
        <f aca="false">SUM(C65:W65)</f>
        <v>0</v>
      </c>
      <c r="C65" s="93" t="n">
        <v>0</v>
      </c>
      <c r="D65" s="93" t="n">
        <f aca="false">D52*Seg5_kWh*12*D45</f>
        <v>0</v>
      </c>
      <c r="E65" s="93" t="n">
        <f aca="false">E52*Seg5_kWh*12*E45</f>
        <v>0</v>
      </c>
      <c r="F65" s="93" t="n">
        <f aca="false">F52*Seg5_kWh*12*F45</f>
        <v>0</v>
      </c>
      <c r="G65" s="93" t="n">
        <f aca="false">G52*Seg5_kWh*12*G45</f>
        <v>0</v>
      </c>
      <c r="H65" s="93" t="n">
        <f aca="false">H52*Seg5_kWh*12*H45</f>
        <v>0</v>
      </c>
      <c r="I65" s="93" t="n">
        <f aca="false">I52*Seg5_kWh*12*I45</f>
        <v>0</v>
      </c>
      <c r="J65" s="93" t="n">
        <f aca="false">J52*Seg5_kWh*12*J45</f>
        <v>0</v>
      </c>
      <c r="K65" s="93" t="n">
        <f aca="false">K52*Seg5_kWh*12*K45</f>
        <v>0</v>
      </c>
      <c r="L65" s="93" t="n">
        <f aca="false">L52*Seg5_kWh*12*L45</f>
        <v>0</v>
      </c>
      <c r="M65" s="93" t="n">
        <f aca="false">M52*Seg5_kWh*12*M45</f>
        <v>0</v>
      </c>
      <c r="N65" s="93" t="n">
        <f aca="false">N52*Seg5_kWh*12*N45</f>
        <v>0</v>
      </c>
      <c r="O65" s="93" t="n">
        <f aca="false">O52*Seg5_kWh*12*O45</f>
        <v>0</v>
      </c>
      <c r="P65" s="93" t="n">
        <f aca="false">P52*Seg5_kWh*12*P45</f>
        <v>0</v>
      </c>
      <c r="Q65" s="93" t="n">
        <f aca="false">Q52*Seg5_kWh*12*Q45</f>
        <v>0</v>
      </c>
      <c r="R65" s="93" t="n">
        <f aca="false">R52*Seg5_kWh*12*R45</f>
        <v>0</v>
      </c>
      <c r="S65" s="93" t="n">
        <f aca="false">S52*Seg5_kWh*12*S45</f>
        <v>0</v>
      </c>
      <c r="T65" s="93" t="n">
        <f aca="false">T52*Seg5_kWh*12*T45</f>
        <v>0</v>
      </c>
      <c r="U65" s="93" t="n">
        <f aca="false">U52*Seg5_kWh*12*U45</f>
        <v>0</v>
      </c>
      <c r="V65" s="93" t="n">
        <f aca="false">V52*Seg5_kWh*12*V45</f>
        <v>0</v>
      </c>
      <c r="W65" s="93" t="n">
        <f aca="false">W52*Seg5_kWh*12*W45</f>
        <v>0</v>
      </c>
    </row>
    <row r="66" customFormat="false" ht="15" hidden="false" customHeight="false" outlineLevel="0" collapsed="false">
      <c r="A66" s="16" t="s">
        <v>422</v>
      </c>
      <c r="B66" s="76" t="n">
        <f aca="false">SUM(C66:W66)</f>
        <v>9260543.60105247</v>
      </c>
      <c r="C66" s="29" t="n">
        <f aca="false">C61+C62+C63+C64+C65</f>
        <v>0</v>
      </c>
      <c r="D66" s="29" t="n">
        <f aca="false">D61+D62+D63+D64+D65</f>
        <v>211139.712</v>
      </c>
      <c r="E66" s="29" t="n">
        <f aca="false">E61+E62+E63+E64+E65</f>
        <v>308088.02976</v>
      </c>
      <c r="F66" s="29" t="n">
        <f aca="false">F61+F62+F63+F64+F65</f>
        <v>373330.200768</v>
      </c>
      <c r="G66" s="29" t="n">
        <f aca="false">G61+G62+G63+G64+G65</f>
        <v>384530.10679104</v>
      </c>
      <c r="H66" s="29" t="n">
        <f aca="false">H61+H62+H63+H64+H65</f>
        <v>396066.009994771</v>
      </c>
      <c r="I66" s="29" t="n">
        <f aca="false">I61+I62+I63+I64+I65</f>
        <v>407947.990294614</v>
      </c>
      <c r="J66" s="29" t="n">
        <f aca="false">J61+J62+J63+J64+J65</f>
        <v>420186.430003453</v>
      </c>
      <c r="K66" s="29" t="n">
        <f aca="false">K61+K62+K63+K64+K65</f>
        <v>432792.022903556</v>
      </c>
      <c r="L66" s="29" t="n">
        <f aca="false">L61+L62+L63+L64+L65</f>
        <v>445775.783590663</v>
      </c>
      <c r="M66" s="29" t="n">
        <f aca="false">M61+M62+M63+M64+M65</f>
        <v>459149.057098383</v>
      </c>
      <c r="N66" s="29" t="n">
        <f aca="false">N61+N62+N63+N64+N65</f>
        <v>472923.528811335</v>
      </c>
      <c r="O66" s="29" t="n">
        <f aca="false">O61+O62+O63+O64+O65</f>
        <v>487111.234675675</v>
      </c>
      <c r="P66" s="29" t="n">
        <f aca="false">P61+P62+P63+P64+P65</f>
        <v>501724.571715945</v>
      </c>
      <c r="Q66" s="29" t="n">
        <f aca="false">Q61+Q62+Q63+Q64+Q65</f>
        <v>516776.308867423</v>
      </c>
      <c r="R66" s="29" t="n">
        <f aca="false">R61+R62+R63+R64+R65</f>
        <v>532279.598133446</v>
      </c>
      <c r="S66" s="29" t="n">
        <f aca="false">S61+S62+S63+S64+S65</f>
        <v>548247.986077449</v>
      </c>
      <c r="T66" s="29" t="n">
        <f aca="false">T61+T62+T63+T64+T65</f>
        <v>564695.425659773</v>
      </c>
      <c r="U66" s="29" t="n">
        <f aca="false">U61+U62+U63+U64+U65</f>
        <v>581636.288429566</v>
      </c>
      <c r="V66" s="29" t="n">
        <f aca="false">V61+V62+V63+V64+V65</f>
        <v>599085.377082453</v>
      </c>
      <c r="W66" s="29" t="n">
        <f aca="false">W61+W62+W63+W64+W65</f>
        <v>617057.938394927</v>
      </c>
    </row>
    <row r="68" customFormat="false" ht="15" hidden="false" customHeight="false" outlineLevel="0" collapsed="false">
      <c r="A68" s="9" t="s">
        <v>423</v>
      </c>
      <c r="B68" s="10"/>
      <c r="C68" s="10"/>
      <c r="D68" s="10"/>
      <c r="E68" s="10"/>
      <c r="F68" s="10"/>
      <c r="G68" s="10"/>
      <c r="H68" s="10"/>
      <c r="I68" s="10"/>
      <c r="J68" s="10"/>
      <c r="K68" s="10"/>
      <c r="L68" s="10"/>
      <c r="M68" s="10"/>
      <c r="N68" s="10"/>
      <c r="O68" s="10"/>
      <c r="P68" s="10"/>
      <c r="Q68" s="10"/>
      <c r="R68" s="10"/>
      <c r="S68" s="10"/>
      <c r="T68" s="10"/>
      <c r="U68" s="10"/>
      <c r="V68" s="10"/>
      <c r="W68" s="10"/>
    </row>
    <row r="69" customFormat="false" ht="15" hidden="false" customHeight="false" outlineLevel="0" collapsed="false">
      <c r="A69" s="11" t="s">
        <v>424</v>
      </c>
      <c r="B69" s="76" t="n">
        <f aca="false">SUM(C69:W69)</f>
        <v>10523345.001196</v>
      </c>
      <c r="C69" s="93" t="n">
        <v>0</v>
      </c>
      <c r="D69" s="93" t="n">
        <f aca="false">D66/(1-Losses)</f>
        <v>239931.490909091</v>
      </c>
      <c r="E69" s="93" t="n">
        <f aca="false">E66/(1-Losses)</f>
        <v>350100.033818182</v>
      </c>
      <c r="F69" s="93" t="n">
        <f aca="false">F66/(1-Losses)</f>
        <v>424238.864509091</v>
      </c>
      <c r="G69" s="93" t="n">
        <f aca="false">G66/(1-Losses)</f>
        <v>436966.030444364</v>
      </c>
      <c r="H69" s="93" t="n">
        <f aca="false">H66/(1-Losses)</f>
        <v>450075.011357695</v>
      </c>
      <c r="I69" s="93" t="n">
        <f aca="false">I66/(1-Losses)</f>
        <v>463577.261698425</v>
      </c>
      <c r="J69" s="93" t="n">
        <f aca="false">J66/(1-Losses)</f>
        <v>477484.579549378</v>
      </c>
      <c r="K69" s="93" t="n">
        <f aca="false">K66/(1-Losses)</f>
        <v>491809.11693586</v>
      </c>
      <c r="L69" s="93" t="n">
        <f aca="false">L66/(1-Losses)</f>
        <v>506563.390443935</v>
      </c>
      <c r="M69" s="93" t="n">
        <f aca="false">M66/(1-Losses)</f>
        <v>521760.292157253</v>
      </c>
      <c r="N69" s="93" t="n">
        <f aca="false">N66/(1-Losses)</f>
        <v>537413.100921971</v>
      </c>
      <c r="O69" s="93" t="n">
        <f aca="false">O66/(1-Losses)</f>
        <v>553535.49394963</v>
      </c>
      <c r="P69" s="93" t="n">
        <f aca="false">P66/(1-Losses)</f>
        <v>570141.558768119</v>
      </c>
      <c r="Q69" s="93" t="n">
        <f aca="false">Q66/(1-Losses)</f>
        <v>587245.805531163</v>
      </c>
      <c r="R69" s="93" t="n">
        <f aca="false">R66/(1-Losses)</f>
        <v>604863.179697098</v>
      </c>
      <c r="S69" s="93" t="n">
        <f aca="false">S66/(1-Losses)</f>
        <v>623009.07508801</v>
      </c>
      <c r="T69" s="93" t="n">
        <f aca="false">T66/(1-Losses)</f>
        <v>641699.347340651</v>
      </c>
      <c r="U69" s="93" t="n">
        <f aca="false">U66/(1-Losses)</f>
        <v>660950.327760871</v>
      </c>
      <c r="V69" s="93" t="n">
        <f aca="false">V66/(1-Losses)</f>
        <v>680778.837593697</v>
      </c>
      <c r="W69" s="93" t="n">
        <f aca="false">W66/(1-Losses)</f>
        <v>701202.202721508</v>
      </c>
    </row>
    <row r="70" customFormat="false" ht="15" hidden="false" customHeight="false" outlineLevel="0" collapsed="false">
      <c r="A70" s="11" t="s">
        <v>425</v>
      </c>
      <c r="B70" s="76" t="n">
        <f aca="false">SUM(C70:W70)</f>
        <v>8722537.45034705</v>
      </c>
      <c r="C70" s="93" t="n">
        <v>0</v>
      </c>
      <c r="D70" s="93" t="n">
        <f aca="false">PV_kWp*SpecYield*(1-Degradation)^(D39-1)*D41</f>
        <v>457206.277768167</v>
      </c>
      <c r="E70" s="93" t="n">
        <f aca="false">PV_kWp*SpecYield*(1-Degradation)^(E39-1)*E41</f>
        <v>454920.246379326</v>
      </c>
      <c r="F70" s="93" t="n">
        <f aca="false">PV_kWp*SpecYield*(1-Degradation)^(F39-1)*F41</f>
        <v>452645.64514743</v>
      </c>
      <c r="G70" s="93" t="n">
        <f aca="false">PV_kWp*SpecYield*(1-Degradation)^(G39-1)*G41</f>
        <v>450382.416921693</v>
      </c>
      <c r="H70" s="93" t="n">
        <f aca="false">PV_kWp*SpecYield*(1-Degradation)^(H39-1)*H41</f>
        <v>448130.504837084</v>
      </c>
      <c r="I70" s="93" t="n">
        <f aca="false">PV_kWp*SpecYield*(1-Degradation)^(I39-1)*I41</f>
        <v>445889.852312899</v>
      </c>
      <c r="J70" s="93" t="n">
        <f aca="false">PV_kWp*SpecYield*(1-Degradation)^(J39-1)*J41</f>
        <v>443660.403051334</v>
      </c>
      <c r="K70" s="93" t="n">
        <f aca="false">PV_kWp*SpecYield*(1-Degradation)^(K39-1)*K41</f>
        <v>441442.101036078</v>
      </c>
      <c r="L70" s="93" t="n">
        <f aca="false">PV_kWp*SpecYield*(1-Degradation)^(L39-1)*L41</f>
        <v>439234.890530897</v>
      </c>
      <c r="M70" s="93" t="n">
        <f aca="false">PV_kWp*SpecYield*(1-Degradation)^(M39-1)*M41</f>
        <v>437038.716078243</v>
      </c>
      <c r="N70" s="93" t="n">
        <f aca="false">PV_kWp*SpecYield*(1-Degradation)^(N39-1)*N41</f>
        <v>434853.522497851</v>
      </c>
      <c r="O70" s="93" t="n">
        <f aca="false">PV_kWp*SpecYield*(1-Degradation)^(O39-1)*O41</f>
        <v>432679.254885362</v>
      </c>
      <c r="P70" s="93" t="n">
        <f aca="false">PV_kWp*SpecYield*(1-Degradation)^(P39-1)*P41</f>
        <v>430515.858610935</v>
      </c>
      <c r="Q70" s="93" t="n">
        <f aca="false">PV_kWp*SpecYield*(1-Degradation)^(Q39-1)*Q41</f>
        <v>428363.279317881</v>
      </c>
      <c r="R70" s="93" t="n">
        <f aca="false">PV_kWp*SpecYield*(1-Degradation)^(R39-1)*R41</f>
        <v>426221.462921291</v>
      </c>
      <c r="S70" s="93" t="n">
        <f aca="false">PV_kWp*SpecYield*(1-Degradation)^(S39-1)*S41</f>
        <v>424090.355606685</v>
      </c>
      <c r="T70" s="93" t="n">
        <f aca="false">PV_kWp*SpecYield*(1-Degradation)^(T39-1)*T41</f>
        <v>421969.903828651</v>
      </c>
      <c r="U70" s="93" t="n">
        <f aca="false">PV_kWp*SpecYield*(1-Degradation)^(U39-1)*U41</f>
        <v>419860.054309508</v>
      </c>
      <c r="V70" s="93" t="n">
        <f aca="false">PV_kWp*SpecYield*(1-Degradation)^(V39-1)*V41</f>
        <v>417760.754037961</v>
      </c>
      <c r="W70" s="93" t="n">
        <f aca="false">PV_kWp*SpecYield*(1-Degradation)^(W39-1)*W41</f>
        <v>415671.950267771</v>
      </c>
    </row>
    <row r="71" customFormat="false" ht="15" hidden="false" customHeight="false" outlineLevel="0" collapsed="false">
      <c r="A71" s="11" t="s">
        <v>426</v>
      </c>
      <c r="B71" s="76" t="n">
        <f aca="false">SUM(C71:W71)</f>
        <v>7903453.19236348</v>
      </c>
      <c r="C71" s="93" t="n">
        <v>0</v>
      </c>
      <c r="D71" s="93" t="n">
        <f aca="false">MIN(D70/StorageFactor,D69*SolarFraction)</f>
        <v>215938.341818182</v>
      </c>
      <c r="E71" s="93" t="n">
        <f aca="false">MIN(E70/StorageFactor,E69*SolarFraction)</f>
        <v>315090.030436364</v>
      </c>
      <c r="F71" s="93" t="n">
        <f aca="false">MIN(F70/StorageFactor,F69*SolarFraction)</f>
        <v>381814.978058182</v>
      </c>
      <c r="G71" s="93" t="n">
        <f aca="false">MIN(G70/StorageFactor,G69*SolarFraction)</f>
        <v>393269.427399927</v>
      </c>
      <c r="H71" s="93" t="n">
        <f aca="false">MIN(H70/StorageFactor,H69*SolarFraction)</f>
        <v>405067.510221925</v>
      </c>
      <c r="I71" s="93" t="n">
        <f aca="false">MIN(I70/StorageFactor,I69*SolarFraction)</f>
        <v>417219.535528583</v>
      </c>
      <c r="J71" s="93" t="n">
        <f aca="false">MIN(J70/StorageFactor,J69*SolarFraction)</f>
        <v>426078.172123344</v>
      </c>
      <c r="K71" s="93" t="n">
        <f aca="false">MIN(K70/StorageFactor,K69*SolarFraction)</f>
        <v>423947.781262727</v>
      </c>
      <c r="L71" s="93" t="n">
        <f aca="false">MIN(L70/StorageFactor,L69*SolarFraction)</f>
        <v>421828.042356414</v>
      </c>
      <c r="M71" s="93" t="n">
        <f aca="false">MIN(M70/StorageFactor,M69*SolarFraction)</f>
        <v>419718.902144632</v>
      </c>
      <c r="N71" s="93" t="n">
        <f aca="false">MIN(N70/StorageFactor,N69*SolarFraction)</f>
        <v>417620.307633909</v>
      </c>
      <c r="O71" s="93" t="n">
        <f aca="false">MIN(O70/StorageFactor,O69*SolarFraction)</f>
        <v>415532.206095739</v>
      </c>
      <c r="P71" s="93" t="n">
        <f aca="false">MIN(P70/StorageFactor,P69*SolarFraction)</f>
        <v>413454.54506526</v>
      </c>
      <c r="Q71" s="93" t="n">
        <f aca="false">MIN(Q70/StorageFactor,Q69*SolarFraction)</f>
        <v>411387.272339934</v>
      </c>
      <c r="R71" s="93" t="n">
        <f aca="false">MIN(R70/StorageFactor,R69*SolarFraction)</f>
        <v>409330.335978234</v>
      </c>
      <c r="S71" s="93" t="n">
        <f aca="false">MIN(S70/StorageFactor,S69*SolarFraction)</f>
        <v>407283.684298343</v>
      </c>
      <c r="T71" s="93" t="n">
        <f aca="false">MIN(T70/StorageFactor,T69*SolarFraction)</f>
        <v>405247.265876851</v>
      </c>
      <c r="U71" s="93" t="n">
        <f aca="false">MIN(U70/StorageFactor,U69*SolarFraction)</f>
        <v>403221.029547467</v>
      </c>
      <c r="V71" s="93" t="n">
        <f aca="false">MIN(V70/StorageFactor,V69*SolarFraction)</f>
        <v>401204.92439973</v>
      </c>
      <c r="W71" s="93" t="n">
        <f aca="false">MIN(W70/StorageFactor,W69*SolarFraction)</f>
        <v>399198.899777731</v>
      </c>
    </row>
    <row r="72" customFormat="false" ht="15" hidden="false" customHeight="false" outlineLevel="0" collapsed="false">
      <c r="A72" s="11" t="s">
        <v>427</v>
      </c>
      <c r="B72" s="76" t="n">
        <f aca="false">SUM(C72:W72)</f>
        <v>2619891.80883251</v>
      </c>
      <c r="C72" s="93" t="n">
        <v>0</v>
      </c>
      <c r="D72" s="93" t="n">
        <f aca="false">D69-D71</f>
        <v>23993.1490909091</v>
      </c>
      <c r="E72" s="93" t="n">
        <f aca="false">E69-E71</f>
        <v>35010.0033818182</v>
      </c>
      <c r="F72" s="93" t="n">
        <f aca="false">F69-F71</f>
        <v>42423.8864509091</v>
      </c>
      <c r="G72" s="93" t="n">
        <f aca="false">G69-G71</f>
        <v>43696.6030444364</v>
      </c>
      <c r="H72" s="93" t="n">
        <f aca="false">H69-H71</f>
        <v>45007.5011357695</v>
      </c>
      <c r="I72" s="93" t="n">
        <f aca="false">I69-I71</f>
        <v>46357.7261698425</v>
      </c>
      <c r="J72" s="93" t="n">
        <f aca="false">J69-J71</f>
        <v>51406.407426034</v>
      </c>
      <c r="K72" s="93" t="n">
        <f aca="false">K69-K71</f>
        <v>67861.3356731322</v>
      </c>
      <c r="L72" s="93" t="n">
        <f aca="false">L69-L71</f>
        <v>84735.3480875216</v>
      </c>
      <c r="M72" s="93" t="n">
        <f aca="false">M69-M71</f>
        <v>102041.390012622</v>
      </c>
      <c r="N72" s="93" t="n">
        <f aca="false">N69-N71</f>
        <v>119792.793288062</v>
      </c>
      <c r="O72" s="93" t="n">
        <f aca="false">O69-O71</f>
        <v>138003.287853891</v>
      </c>
      <c r="P72" s="93" t="n">
        <f aca="false">P69-P71</f>
        <v>156687.013702859</v>
      </c>
      <c r="Q72" s="93" t="n">
        <f aca="false">Q69-Q71</f>
        <v>175858.533191229</v>
      </c>
      <c r="R72" s="93" t="n">
        <f aca="false">R69-R71</f>
        <v>195532.843718863</v>
      </c>
      <c r="S72" s="93" t="n">
        <f aca="false">S69-S71</f>
        <v>215725.390789667</v>
      </c>
      <c r="T72" s="93" t="n">
        <f aca="false">T69-T71</f>
        <v>236452.0814638</v>
      </c>
      <c r="U72" s="93" t="n">
        <f aca="false">U69-U71</f>
        <v>257729.298213403</v>
      </c>
      <c r="V72" s="93" t="n">
        <f aca="false">V69-V71</f>
        <v>279573.913193967</v>
      </c>
      <c r="W72" s="93" t="n">
        <f aca="false">W69-W71</f>
        <v>302003.302943776</v>
      </c>
    </row>
    <row r="73" customFormat="false" ht="15" hidden="false" customHeight="false" outlineLevel="0" collapsed="false">
      <c r="A73" s="11" t="s">
        <v>428</v>
      </c>
      <c r="C73" s="91" t="n">
        <v>0</v>
      </c>
      <c r="D73" s="91" t="n">
        <f aca="false">IFERROR(D71/D69,0)</f>
        <v>0.9</v>
      </c>
      <c r="E73" s="91" t="n">
        <f aca="false">IFERROR(E71/E69,0)</f>
        <v>0.9</v>
      </c>
      <c r="F73" s="91" t="n">
        <f aca="false">IFERROR(F71/F69,0)</f>
        <v>0.9</v>
      </c>
      <c r="G73" s="91" t="n">
        <f aca="false">IFERROR(G71/G69,0)</f>
        <v>0.9</v>
      </c>
      <c r="H73" s="91" t="n">
        <f aca="false">IFERROR(H71/H69,0)</f>
        <v>0.9</v>
      </c>
      <c r="I73" s="91" t="n">
        <f aca="false">IFERROR(I71/I69,0)</f>
        <v>0.9</v>
      </c>
      <c r="J73" s="91" t="n">
        <f aca="false">IFERROR(J71/J69,0)</f>
        <v>0.892339125434065</v>
      </c>
      <c r="K73" s="91" t="n">
        <f aca="false">IFERROR(K71/K69,0)</f>
        <v>0.862016922142616</v>
      </c>
      <c r="L73" s="91" t="n">
        <f aca="false">IFERROR(L71/L69,0)</f>
        <v>0.83272508498243</v>
      </c>
      <c r="M73" s="91" t="n">
        <f aca="false">IFERROR(M71/M69,0)</f>
        <v>0.804428601512153</v>
      </c>
      <c r="N73" s="91" t="n">
        <f aca="false">IFERROR(N71/N69,0)</f>
        <v>0.777093649033585</v>
      </c>
      <c r="O73" s="91" t="n">
        <f aca="false">IFERROR(O71/O69,0)</f>
        <v>0.750687554163511</v>
      </c>
      <c r="P73" s="91" t="n">
        <f aca="false">IFERROR(P71/P69,0)</f>
        <v>0.725178753779314</v>
      </c>
      <c r="Q73" s="91" t="n">
        <f aca="false">IFERROR(Q71/Q69,0)</f>
        <v>0.700536757291668</v>
      </c>
      <c r="R73" s="91" t="n">
        <f aca="false">IFERROR(R71/R69,0)</f>
        <v>0.676732110199232</v>
      </c>
      <c r="S73" s="91" t="n">
        <f aca="false">IFERROR(S71/S69,0)</f>
        <v>0.653736358881783</v>
      </c>
      <c r="T73" s="91" t="n">
        <f aca="false">IFERROR(T71/T69,0)</f>
        <v>0.631522016589683</v>
      </c>
      <c r="U73" s="91" t="n">
        <f aca="false">IFERROR(U71/U69,0)</f>
        <v>0.610062530589063</v>
      </c>
      <c r="V73" s="91" t="n">
        <f aca="false">IFERROR(V71/V69,0)</f>
        <v>0.589332250423415</v>
      </c>
      <c r="W73" s="91" t="n">
        <f aca="false">IFERROR(W71/W69,0)</f>
        <v>0.569306397253687</v>
      </c>
    </row>
    <row r="74" customFormat="false" ht="15" hidden="false" customHeight="false" outlineLevel="0" collapsed="false">
      <c r="A74" s="11" t="s">
        <v>429</v>
      </c>
      <c r="B74" s="76" t="n">
        <f aca="false">SUM(C74:W74)</f>
        <v>873297.269610837</v>
      </c>
      <c r="C74" s="93" t="n">
        <v>0</v>
      </c>
      <c r="D74" s="93" t="n">
        <f aca="false">D72/DieselEff</f>
        <v>7997.71636363636</v>
      </c>
      <c r="E74" s="93" t="n">
        <f aca="false">E72/DieselEff</f>
        <v>11670.0011272727</v>
      </c>
      <c r="F74" s="93" t="n">
        <f aca="false">F72/DieselEff</f>
        <v>14141.2954836364</v>
      </c>
      <c r="G74" s="93" t="n">
        <f aca="false">G72/DieselEff</f>
        <v>14565.5343481455</v>
      </c>
      <c r="H74" s="93" t="n">
        <f aca="false">H72/DieselEff</f>
        <v>15002.5003785898</v>
      </c>
      <c r="I74" s="93" t="n">
        <f aca="false">I72/DieselEff</f>
        <v>15452.5753899475</v>
      </c>
      <c r="J74" s="93" t="n">
        <f aca="false">J72/DieselEff</f>
        <v>17135.4691420114</v>
      </c>
      <c r="K74" s="93" t="n">
        <f aca="false">K72/DieselEff</f>
        <v>22620.4452243774</v>
      </c>
      <c r="L74" s="93" t="n">
        <f aca="false">L72/DieselEff</f>
        <v>28245.1160291739</v>
      </c>
      <c r="M74" s="93" t="n">
        <f aca="false">M72/DieselEff</f>
        <v>34013.7966708739</v>
      </c>
      <c r="N74" s="93" t="n">
        <f aca="false">N72/DieselEff</f>
        <v>39930.9310960208</v>
      </c>
      <c r="O74" s="93" t="n">
        <f aca="false">O72/DieselEff</f>
        <v>46001.0959512971</v>
      </c>
      <c r="P74" s="93" t="n">
        <f aca="false">P72/DieselEff</f>
        <v>52229.0045676196</v>
      </c>
      <c r="Q74" s="93" t="n">
        <f aca="false">Q72/DieselEff</f>
        <v>58619.5110637429</v>
      </c>
      <c r="R74" s="93" t="n">
        <f aca="false">R72/DieselEff</f>
        <v>65177.6145729544</v>
      </c>
      <c r="S74" s="93" t="n">
        <f aca="false">S72/DieselEff</f>
        <v>71908.4635965558</v>
      </c>
      <c r="T74" s="93" t="n">
        <f aca="false">T72/DieselEff</f>
        <v>78817.3604879332</v>
      </c>
      <c r="U74" s="93" t="n">
        <f aca="false">U72/DieselEff</f>
        <v>85909.7660711344</v>
      </c>
      <c r="V74" s="93" t="n">
        <f aca="false">V72/DieselEff</f>
        <v>93191.3043979889</v>
      </c>
      <c r="W74" s="93" t="n">
        <f aca="false">W72/DieselEff</f>
        <v>100667.767647925</v>
      </c>
    </row>
    <row r="76" customFormat="false" ht="15" hidden="false" customHeight="false" outlineLevel="0" collapsed="false">
      <c r="A76" s="9" t="s">
        <v>430</v>
      </c>
      <c r="B76" s="10"/>
      <c r="C76" s="10"/>
      <c r="D76" s="10"/>
      <c r="E76" s="10"/>
      <c r="F76" s="10"/>
      <c r="G76" s="10"/>
      <c r="H76" s="10"/>
      <c r="I76" s="10"/>
      <c r="J76" s="10"/>
      <c r="K76" s="10"/>
      <c r="L76" s="10"/>
      <c r="M76" s="10"/>
      <c r="N76" s="10"/>
      <c r="O76" s="10"/>
      <c r="P76" s="10"/>
      <c r="Q76" s="10"/>
      <c r="R76" s="10"/>
      <c r="S76" s="10"/>
      <c r="T76" s="10"/>
      <c r="U76" s="10"/>
      <c r="V76" s="10"/>
      <c r="W76" s="10"/>
    </row>
    <row r="77" customFormat="false" ht="15" hidden="false" customHeight="false" outlineLevel="0" collapsed="false">
      <c r="A77" s="11" t="str">
        <f aca="false">"Billed revenue - "&amp;Seg1_Name</f>
        <v>Billed revenue - Households</v>
      </c>
      <c r="B77" s="66" t="n">
        <f aca="false">SUM(C77:W77)</f>
        <v>2107258.13958533</v>
      </c>
      <c r="C77" s="95" t="n">
        <v>0</v>
      </c>
      <c r="D77" s="95" t="n">
        <f aca="false">D61*Seg1_Tariff*LevTariff*$B$5*D43</f>
        <v>34560</v>
      </c>
      <c r="E77" s="95" t="n">
        <f aca="false">E61*Seg1_Tariff*LevTariff*$B$5*E43</f>
        <v>51941.664</v>
      </c>
      <c r="F77" s="95" t="n">
        <f aca="false">F61*Seg1_Tariff*LevTariff*$B$5*F43</f>
        <v>64829.307456</v>
      </c>
      <c r="G77" s="95" t="n">
        <f aca="false">G61*Seg1_Tariff*LevTariff*$B$5*G43</f>
        <v>68777.4122800704</v>
      </c>
      <c r="H77" s="95" t="n">
        <f aca="false">H61*Seg1_Tariff*LevTariff*$B$5*H43</f>
        <v>72965.9566879267</v>
      </c>
      <c r="I77" s="95" t="n">
        <f aca="false">I61*Seg1_Tariff*LevTariff*$B$5*I43</f>
        <v>77409.5834502214</v>
      </c>
      <c r="J77" s="95" t="n">
        <f aca="false">J61*Seg1_Tariff*LevTariff*$B$5*J43</f>
        <v>82123.8270823399</v>
      </c>
      <c r="K77" s="95" t="n">
        <f aca="false">K61*Seg1_Tariff*LevTariff*$B$5*K43</f>
        <v>87125.1681516545</v>
      </c>
      <c r="L77" s="95" t="n">
        <f aca="false">L61*Seg1_Tariff*LevTariff*$B$5*L43</f>
        <v>92431.0908920902</v>
      </c>
      <c r="M77" s="95" t="n">
        <f aca="false">M61*Seg1_Tariff*LevTariff*$B$5*M43</f>
        <v>98060.1443274185</v>
      </c>
      <c r="N77" s="95" t="n">
        <f aca="false">N61*Seg1_Tariff*LevTariff*$B$5*N43</f>
        <v>104032.007116958</v>
      </c>
      <c r="O77" s="95" t="n">
        <f aca="false">O61*Seg1_Tariff*LevTariff*$B$5*O43</f>
        <v>110367.556350381</v>
      </c>
      <c r="P77" s="95" t="n">
        <f aca="false">P61*Seg1_Tariff*LevTariff*$B$5*P43</f>
        <v>117088.940532119</v>
      </c>
      <c r="Q77" s="95" t="n">
        <f aca="false">Q61*Seg1_Tariff*LevTariff*$B$5*Q43</f>
        <v>124219.657010525</v>
      </c>
      <c r="R77" s="95" t="n">
        <f aca="false">R61*Seg1_Tariff*LevTariff*$B$5*R43</f>
        <v>131784.634122466</v>
      </c>
      <c r="S77" s="95" t="n">
        <f aca="false">S61*Seg1_Tariff*LevTariff*$B$5*S43</f>
        <v>139810.318340525</v>
      </c>
      <c r="T77" s="95" t="n">
        <f aca="false">T61*Seg1_Tariff*LevTariff*$B$5*T43</f>
        <v>148324.766727463</v>
      </c>
      <c r="U77" s="95" t="n">
        <f aca="false">U61*Seg1_Tariff*LevTariff*$B$5*U43</f>
        <v>157357.745021165</v>
      </c>
      <c r="V77" s="95" t="n">
        <f aca="false">V61*Seg1_Tariff*LevTariff*$B$5*V43</f>
        <v>166940.831692954</v>
      </c>
      <c r="W77" s="95" t="n">
        <f aca="false">W61*Seg1_Tariff*LevTariff*$B$5*W43</f>
        <v>177107.528343055</v>
      </c>
    </row>
    <row r="78" customFormat="false" ht="15" hidden="false" customHeight="false" outlineLevel="0" collapsed="false">
      <c r="A78" s="11" t="str">
        <f aca="false">"Billed revenue - "&amp;Seg2_Name</f>
        <v>Billed revenue - Productive users (mills, welding, cold rooms)</v>
      </c>
      <c r="B78" s="66" t="n">
        <f aca="false">SUM(C78:W78)</f>
        <v>1432819.63572035</v>
      </c>
      <c r="C78" s="95" t="n">
        <v>0</v>
      </c>
      <c r="D78" s="95" t="n">
        <f aca="false">D62*Seg2_Tariff*LevTariff*$B$5*D43</f>
        <v>23498.8992</v>
      </c>
      <c r="E78" s="95" t="n">
        <f aca="false">E62*Seg2_Tariff*LevTariff*$B$5*E43</f>
        <v>35317.47472848</v>
      </c>
      <c r="F78" s="95" t="n">
        <f aca="false">F62*Seg2_Tariff*LevTariff*$B$5*F43</f>
        <v>44080.3634581699</v>
      </c>
      <c r="G78" s="95" t="n">
        <f aca="false">G62*Seg2_Tariff*LevTariff*$B$5*G43</f>
        <v>46764.8575927725</v>
      </c>
      <c r="H78" s="95" t="n">
        <f aca="false">H62*Seg2_Tariff*LevTariff*$B$5*H43</f>
        <v>49612.8374201723</v>
      </c>
      <c r="I78" s="95" t="n">
        <f aca="false">I62*Seg2_Tariff*LevTariff*$B$5*I43</f>
        <v>52634.2592190608</v>
      </c>
      <c r="J78" s="95" t="n">
        <f aca="false">J62*Seg2_Tariff*LevTariff*$B$5*J43</f>
        <v>55839.6856055016</v>
      </c>
      <c r="K78" s="95" t="n">
        <f aca="false">K62*Seg2_Tariff*LevTariff*$B$5*K43</f>
        <v>59240.3224588767</v>
      </c>
      <c r="L78" s="95" t="n">
        <f aca="false">L62*Seg2_Tariff*LevTariff*$B$5*L43</f>
        <v>62848.0580966223</v>
      </c>
      <c r="M78" s="95" t="n">
        <f aca="false">M62*Seg2_Tariff*LevTariff*$B$5*M43</f>
        <v>66675.5048347066</v>
      </c>
      <c r="N78" s="95" t="n">
        <f aca="false">N62*Seg2_Tariff*LevTariff*$B$5*N43</f>
        <v>70736.0430791402</v>
      </c>
      <c r="O78" s="95" t="n">
        <f aca="false">O62*Seg2_Tariff*LevTariff*$B$5*O43</f>
        <v>75043.8681026598</v>
      </c>
      <c r="P78" s="95" t="n">
        <f aca="false">P62*Seg2_Tariff*LevTariff*$B$5*P43</f>
        <v>79614.0396701118</v>
      </c>
      <c r="Q78" s="95" t="n">
        <f aca="false">Q62*Seg2_Tariff*LevTariff*$B$5*Q43</f>
        <v>84462.5346860216</v>
      </c>
      <c r="R78" s="95" t="n">
        <f aca="false">R62*Seg2_Tariff*LevTariff*$B$5*R43</f>
        <v>89606.3030484004</v>
      </c>
      <c r="S78" s="95" t="n">
        <f aca="false">S62*Seg2_Tariff*LevTariff*$B$5*S43</f>
        <v>95063.3269040479</v>
      </c>
      <c r="T78" s="95" t="n">
        <f aca="false">T62*Seg2_Tariff*LevTariff*$B$5*T43</f>
        <v>100852.683512504</v>
      </c>
      <c r="U78" s="95" t="n">
        <f aca="false">U62*Seg2_Tariff*LevTariff*$B$5*U43</f>
        <v>106994.611938416</v>
      </c>
      <c r="V78" s="95" t="n">
        <f aca="false">V62*Seg2_Tariff*LevTariff*$B$5*V43</f>
        <v>113510.583805466</v>
      </c>
      <c r="W78" s="95" t="n">
        <f aca="false">W62*Seg2_Tariff*LevTariff*$B$5*W43</f>
        <v>120423.378359218</v>
      </c>
    </row>
    <row r="79" customFormat="false" ht="15" hidden="false" customHeight="false" outlineLevel="0" collapsed="false">
      <c r="A79" s="11" t="str">
        <f aca="false">"Billed revenue - "&amp;Seg3_Name</f>
        <v>Billed revenue - Commercial (shops, bars, kiosks)</v>
      </c>
      <c r="B79" s="66" t="n">
        <f aca="false">SUM(C79:W79)</f>
        <v>878024.224827222</v>
      </c>
      <c r="C79" s="95" t="n">
        <v>0</v>
      </c>
      <c r="D79" s="95" t="n">
        <f aca="false">D63*Seg3_Tariff*LevTariff*$B$5*D43</f>
        <v>14400</v>
      </c>
      <c r="E79" s="95" t="n">
        <f aca="false">E63*Seg3_Tariff*LevTariff*$B$5*E43</f>
        <v>21642.36</v>
      </c>
      <c r="F79" s="95" t="n">
        <f aca="false">F63*Seg3_Tariff*LevTariff*$B$5*F43</f>
        <v>27012.21144</v>
      </c>
      <c r="G79" s="95" t="n">
        <f aca="false">G63*Seg3_Tariff*LevTariff*$B$5*G43</f>
        <v>28657.255116696</v>
      </c>
      <c r="H79" s="95" t="n">
        <f aca="false">H63*Seg3_Tariff*LevTariff*$B$5*H43</f>
        <v>30402.4819533028</v>
      </c>
      <c r="I79" s="95" t="n">
        <f aca="false">I63*Seg3_Tariff*LevTariff*$B$5*I43</f>
        <v>32253.9931042589</v>
      </c>
      <c r="J79" s="95" t="n">
        <f aca="false">J63*Seg3_Tariff*LevTariff*$B$5*J43</f>
        <v>34218.2612843083</v>
      </c>
      <c r="K79" s="95" t="n">
        <f aca="false">K63*Seg3_Tariff*LevTariff*$B$5*K43</f>
        <v>36302.1533965227</v>
      </c>
      <c r="L79" s="95" t="n">
        <f aca="false">L63*Seg3_Tariff*LevTariff*$B$5*L43</f>
        <v>38512.9545383709</v>
      </c>
      <c r="M79" s="95" t="n">
        <f aca="false">M63*Seg3_Tariff*LevTariff*$B$5*M43</f>
        <v>40858.3934697577</v>
      </c>
      <c r="N79" s="95" t="n">
        <f aca="false">N63*Seg3_Tariff*LevTariff*$B$5*N43</f>
        <v>43346.669632066</v>
      </c>
      <c r="O79" s="95" t="n">
        <f aca="false">O63*Seg3_Tariff*LevTariff*$B$5*O43</f>
        <v>45986.4818126588</v>
      </c>
      <c r="P79" s="95" t="n">
        <f aca="false">P63*Seg3_Tariff*LevTariff*$B$5*P43</f>
        <v>48787.0585550497</v>
      </c>
      <c r="Q79" s="95" t="n">
        <f aca="false">Q63*Seg3_Tariff*LevTariff*$B$5*Q43</f>
        <v>51758.1904210522</v>
      </c>
      <c r="R79" s="95" t="n">
        <f aca="false">R63*Seg3_Tariff*LevTariff*$B$5*R43</f>
        <v>54910.2642176943</v>
      </c>
      <c r="S79" s="95" t="n">
        <f aca="false">S63*Seg3_Tariff*LevTariff*$B$5*S43</f>
        <v>58254.2993085519</v>
      </c>
      <c r="T79" s="95" t="n">
        <f aca="false">T63*Seg3_Tariff*LevTariff*$B$5*T43</f>
        <v>61801.9861364427</v>
      </c>
      <c r="U79" s="95" t="n">
        <f aca="false">U63*Seg3_Tariff*LevTariff*$B$5*U43</f>
        <v>65565.7270921521</v>
      </c>
      <c r="V79" s="95" t="n">
        <f aca="false">V63*Seg3_Tariff*LevTariff*$B$5*V43</f>
        <v>69558.6798720642</v>
      </c>
      <c r="W79" s="95" t="n">
        <f aca="false">W63*Seg3_Tariff*LevTariff*$B$5*W43</f>
        <v>73794.8034762729</v>
      </c>
    </row>
    <row r="80" customFormat="false" ht="15" hidden="false" customHeight="false" outlineLevel="0" collapsed="false">
      <c r="A80" s="11" t="str">
        <f aca="false">"Billed revenue - "&amp;Seg4_Name</f>
        <v>Billed revenue - Institutions (health centre, school, water)</v>
      </c>
      <c r="B80" s="66" t="n">
        <f aca="false">SUM(C80:W80)</f>
        <v>460962.718034292</v>
      </c>
      <c r="C80" s="95" t="n">
        <v>0</v>
      </c>
      <c r="D80" s="95" t="n">
        <f aca="false">D64*Seg4_Tariff*LevTariff*$B$5*D43</f>
        <v>7560</v>
      </c>
      <c r="E80" s="95" t="n">
        <f aca="false">E64*Seg4_Tariff*LevTariff*$B$5*E43</f>
        <v>11362.239</v>
      </c>
      <c r="F80" s="95" t="n">
        <f aca="false">F64*Seg4_Tariff*LevTariff*$B$5*F43</f>
        <v>14181.411006</v>
      </c>
      <c r="G80" s="95" t="n">
        <f aca="false">G64*Seg4_Tariff*LevTariff*$B$5*G43</f>
        <v>15045.0589362654</v>
      </c>
      <c r="H80" s="95" t="n">
        <f aca="false">H64*Seg4_Tariff*LevTariff*$B$5*H43</f>
        <v>15961.303025484</v>
      </c>
      <c r="I80" s="95" t="n">
        <f aca="false">I64*Seg4_Tariff*LevTariff*$B$5*I43</f>
        <v>16933.3463797359</v>
      </c>
      <c r="J80" s="95" t="n">
        <f aca="false">J64*Seg4_Tariff*LevTariff*$B$5*J43</f>
        <v>17964.5871742619</v>
      </c>
      <c r="K80" s="95" t="n">
        <f aca="false">K64*Seg4_Tariff*LevTariff*$B$5*K43</f>
        <v>19058.6305331744</v>
      </c>
      <c r="L80" s="95" t="n">
        <f aca="false">L64*Seg4_Tariff*LevTariff*$B$5*L43</f>
        <v>20219.3011326447</v>
      </c>
      <c r="M80" s="95" t="n">
        <f aca="false">M64*Seg4_Tariff*LevTariff*$B$5*M43</f>
        <v>21450.6565716228</v>
      </c>
      <c r="N80" s="95" t="n">
        <f aca="false">N64*Seg4_Tariff*LevTariff*$B$5*N43</f>
        <v>22757.0015568346</v>
      </c>
      <c r="O80" s="95" t="n">
        <f aca="false">O64*Seg4_Tariff*LevTariff*$B$5*O43</f>
        <v>24142.9029516459</v>
      </c>
      <c r="P80" s="95" t="n">
        <f aca="false">P64*Seg4_Tariff*LevTariff*$B$5*P43</f>
        <v>25613.2057414011</v>
      </c>
      <c r="Q80" s="95" t="n">
        <f aca="false">Q64*Seg4_Tariff*LevTariff*$B$5*Q43</f>
        <v>27173.0499710524</v>
      </c>
      <c r="R80" s="95" t="n">
        <f aca="false">R64*Seg4_Tariff*LevTariff*$B$5*R43</f>
        <v>28827.8887142895</v>
      </c>
      <c r="S80" s="95" t="n">
        <f aca="false">S64*Seg4_Tariff*LevTariff*$B$5*S43</f>
        <v>30583.5071369897</v>
      </c>
      <c r="T80" s="95" t="n">
        <f aca="false">T64*Seg4_Tariff*LevTariff*$B$5*T43</f>
        <v>32446.0427216324</v>
      </c>
      <c r="U80" s="95" t="n">
        <f aca="false">U64*Seg4_Tariff*LevTariff*$B$5*U43</f>
        <v>34422.0067233798</v>
      </c>
      <c r="V80" s="95" t="n">
        <f aca="false">V64*Seg4_Tariff*LevTariff*$B$5*V43</f>
        <v>36518.3069328337</v>
      </c>
      <c r="W80" s="95" t="n">
        <f aca="false">W64*Seg4_Tariff*LevTariff*$B$5*W43</f>
        <v>38742.2718250432</v>
      </c>
    </row>
    <row r="81" customFormat="false" ht="15" hidden="false" customHeight="false" outlineLevel="0" collapsed="false">
      <c r="A81" s="11" t="str">
        <f aca="false">"Billed revenue - "&amp;Seg5_Name</f>
        <v>Billed revenue - Other / custom</v>
      </c>
      <c r="B81" s="66" t="n">
        <f aca="false">SUM(C81:W81)</f>
        <v>0</v>
      </c>
      <c r="C81" s="95" t="n">
        <v>0</v>
      </c>
      <c r="D81" s="95" t="n">
        <f aca="false">D65*Seg5_Tariff*LevTariff*$B$5*D43</f>
        <v>0</v>
      </c>
      <c r="E81" s="95" t="n">
        <f aca="false">E65*Seg5_Tariff*LevTariff*$B$5*E43</f>
        <v>0</v>
      </c>
      <c r="F81" s="95" t="n">
        <f aca="false">F65*Seg5_Tariff*LevTariff*$B$5*F43</f>
        <v>0</v>
      </c>
      <c r="G81" s="95" t="n">
        <f aca="false">G65*Seg5_Tariff*LevTariff*$B$5*G43</f>
        <v>0</v>
      </c>
      <c r="H81" s="95" t="n">
        <f aca="false">H65*Seg5_Tariff*LevTariff*$B$5*H43</f>
        <v>0</v>
      </c>
      <c r="I81" s="95" t="n">
        <f aca="false">I65*Seg5_Tariff*LevTariff*$B$5*I43</f>
        <v>0</v>
      </c>
      <c r="J81" s="95" t="n">
        <f aca="false">J65*Seg5_Tariff*LevTariff*$B$5*J43</f>
        <v>0</v>
      </c>
      <c r="K81" s="95" t="n">
        <f aca="false">K65*Seg5_Tariff*LevTariff*$B$5*K43</f>
        <v>0</v>
      </c>
      <c r="L81" s="95" t="n">
        <f aca="false">L65*Seg5_Tariff*LevTariff*$B$5*L43</f>
        <v>0</v>
      </c>
      <c r="M81" s="95" t="n">
        <f aca="false">M65*Seg5_Tariff*LevTariff*$B$5*M43</f>
        <v>0</v>
      </c>
      <c r="N81" s="95" t="n">
        <f aca="false">N65*Seg5_Tariff*LevTariff*$B$5*N43</f>
        <v>0</v>
      </c>
      <c r="O81" s="95" t="n">
        <f aca="false">O65*Seg5_Tariff*LevTariff*$B$5*O43</f>
        <v>0</v>
      </c>
      <c r="P81" s="95" t="n">
        <f aca="false">P65*Seg5_Tariff*LevTariff*$B$5*P43</f>
        <v>0</v>
      </c>
      <c r="Q81" s="95" t="n">
        <f aca="false">Q65*Seg5_Tariff*LevTariff*$B$5*Q43</f>
        <v>0</v>
      </c>
      <c r="R81" s="95" t="n">
        <f aca="false">R65*Seg5_Tariff*LevTariff*$B$5*R43</f>
        <v>0</v>
      </c>
      <c r="S81" s="95" t="n">
        <f aca="false">S65*Seg5_Tariff*LevTariff*$B$5*S43</f>
        <v>0</v>
      </c>
      <c r="T81" s="95" t="n">
        <f aca="false">T65*Seg5_Tariff*LevTariff*$B$5*T43</f>
        <v>0</v>
      </c>
      <c r="U81" s="95" t="n">
        <f aca="false">U65*Seg5_Tariff*LevTariff*$B$5*U43</f>
        <v>0</v>
      </c>
      <c r="V81" s="95" t="n">
        <f aca="false">V65*Seg5_Tariff*LevTariff*$B$5*V43</f>
        <v>0</v>
      </c>
      <c r="W81" s="95" t="n">
        <f aca="false">W65*Seg5_Tariff*LevTariff*$B$5*W43</f>
        <v>0</v>
      </c>
    </row>
    <row r="82" customFormat="false" ht="15" hidden="false" customHeight="false" outlineLevel="0" collapsed="false">
      <c r="A82" s="16" t="s">
        <v>431</v>
      </c>
      <c r="B82" s="66" t="n">
        <f aca="false">SUM(C82:W82)</f>
        <v>4879064.7181672</v>
      </c>
      <c r="C82" s="31" t="n">
        <f aca="false">C77+C78+C79+C80+C81</f>
        <v>0</v>
      </c>
      <c r="D82" s="31" t="n">
        <f aca="false">D77+D78+D79+D80+D81</f>
        <v>80018.8992</v>
      </c>
      <c r="E82" s="31" t="n">
        <f aca="false">E77+E78+E79+E80+E81</f>
        <v>120263.73772848</v>
      </c>
      <c r="F82" s="31" t="n">
        <f aca="false">F77+F78+F79+F80+F81</f>
        <v>150103.29336017</v>
      </c>
      <c r="G82" s="31" t="n">
        <f aca="false">G77+G78+G79+G80+G81</f>
        <v>159244.583925804</v>
      </c>
      <c r="H82" s="31" t="n">
        <f aca="false">H77+H78+H79+H80+H81</f>
        <v>168942.579086886</v>
      </c>
      <c r="I82" s="31" t="n">
        <f aca="false">I77+I78+I79+I80+I81</f>
        <v>179231.182153277</v>
      </c>
      <c r="J82" s="31" t="n">
        <f aca="false">J77+J78+J79+J80+J81</f>
        <v>190146.361146412</v>
      </c>
      <c r="K82" s="31" t="n">
        <f aca="false">K77+K78+K79+K80+K81</f>
        <v>201726.274540228</v>
      </c>
      <c r="L82" s="31" t="n">
        <f aca="false">L77+L78+L79+L80+L81</f>
        <v>214011.404659728</v>
      </c>
      <c r="M82" s="31" t="n">
        <f aca="false">M77+M78+M79+M80+M81</f>
        <v>227044.699203506</v>
      </c>
      <c r="N82" s="31" t="n">
        <f aca="false">N77+N78+N79+N80+N81</f>
        <v>240871.721384999</v>
      </c>
      <c r="O82" s="31" t="n">
        <f aca="false">O77+O78+O79+O80+O81</f>
        <v>255540.809217346</v>
      </c>
      <c r="P82" s="31" t="n">
        <f aca="false">P77+P78+P79+P80+P81</f>
        <v>271103.244498682</v>
      </c>
      <c r="Q82" s="31" t="n">
        <f aca="false">Q77+Q78+Q79+Q80+Q81</f>
        <v>287613.432088652</v>
      </c>
      <c r="R82" s="31" t="n">
        <f aca="false">R77+R78+R79+R80+R81</f>
        <v>305129.090102851</v>
      </c>
      <c r="S82" s="31" t="n">
        <f aca="false">S77+S78+S79+S80+S81</f>
        <v>323711.451690114</v>
      </c>
      <c r="T82" s="31" t="n">
        <f aca="false">T77+T78+T79+T80+T81</f>
        <v>343425.479098042</v>
      </c>
      <c r="U82" s="31" t="n">
        <f aca="false">U77+U78+U79+U80+U81</f>
        <v>364340.090775113</v>
      </c>
      <c r="V82" s="31" t="n">
        <f aca="false">V77+V78+V79+V80+V81</f>
        <v>386528.402303317</v>
      </c>
      <c r="W82" s="31" t="n">
        <f aca="false">W77+W78+W79+W80+W81</f>
        <v>410067.982003589</v>
      </c>
    </row>
    <row r="83" customFormat="false" ht="15" hidden="false" customHeight="false" outlineLevel="0" collapsed="false">
      <c r="A83" s="11" t="s">
        <v>432</v>
      </c>
      <c r="B83" s="66" t="n">
        <f aca="false">SUM(C83:W83)</f>
        <v>4488739.54071382</v>
      </c>
      <c r="C83" s="95" t="n">
        <v>0</v>
      </c>
      <c r="D83" s="95" t="n">
        <f aca="false">D82*MIN(1,Collection*LevColl*$B$9)</f>
        <v>73617.387264</v>
      </c>
      <c r="E83" s="95" t="n">
        <f aca="false">E82*MIN(1,Collection*LevColl*$B$9)</f>
        <v>110642.638710202</v>
      </c>
      <c r="F83" s="95" t="n">
        <f aca="false">F82*MIN(1,Collection*LevColl*$B$9)</f>
        <v>138095.029891356</v>
      </c>
      <c r="G83" s="95" t="n">
        <f aca="false">G82*MIN(1,Collection*LevColl*$B$9)</f>
        <v>146505.01721174</v>
      </c>
      <c r="H83" s="95" t="n">
        <f aca="false">H82*MIN(1,Collection*LevColl*$B$9)</f>
        <v>155427.172759935</v>
      </c>
      <c r="I83" s="95" t="n">
        <f aca="false">I82*MIN(1,Collection*LevColl*$B$9)</f>
        <v>164892.687581015</v>
      </c>
      <c r="J83" s="95" t="n">
        <f aca="false">J82*MIN(1,Collection*LevColl*$B$9)</f>
        <v>174934.652254699</v>
      </c>
      <c r="K83" s="95" t="n">
        <f aca="false">K82*MIN(1,Collection*LevColl*$B$9)</f>
        <v>185588.17257701</v>
      </c>
      <c r="L83" s="95" t="n">
        <f aca="false">L82*MIN(1,Collection*LevColl*$B$9)</f>
        <v>196890.49228695</v>
      </c>
      <c r="M83" s="95" t="n">
        <f aca="false">M82*MIN(1,Collection*LevColl*$B$9)</f>
        <v>208881.123267225</v>
      </c>
      <c r="N83" s="95" t="n">
        <f aca="false">N82*MIN(1,Collection*LevColl*$B$9)</f>
        <v>221601.983674199</v>
      </c>
      <c r="O83" s="95" t="n">
        <f aca="false">O82*MIN(1,Collection*LevColl*$B$9)</f>
        <v>235097.544479958</v>
      </c>
      <c r="P83" s="95" t="n">
        <f aca="false">P82*MIN(1,Collection*LevColl*$B$9)</f>
        <v>249414.984938787</v>
      </c>
      <c r="Q83" s="95" t="n">
        <f aca="false">Q82*MIN(1,Collection*LevColl*$B$9)</f>
        <v>264604.357521559</v>
      </c>
      <c r="R83" s="95" t="n">
        <f aca="false">R82*MIN(1,Collection*LevColl*$B$9)</f>
        <v>280718.762894623</v>
      </c>
      <c r="S83" s="95" t="n">
        <f aca="false">S82*MIN(1,Collection*LevColl*$B$9)</f>
        <v>297814.535554905</v>
      </c>
      <c r="T83" s="95" t="n">
        <f aca="false">T82*MIN(1,Collection*LevColl*$B$9)</f>
        <v>315951.440770199</v>
      </c>
      <c r="U83" s="95" t="n">
        <f aca="false">U82*MIN(1,Collection*LevColl*$B$9)</f>
        <v>335192.883513104</v>
      </c>
      <c r="V83" s="95" t="n">
        <f aca="false">V82*MIN(1,Collection*LevColl*$B$9)</f>
        <v>355606.130119052</v>
      </c>
      <c r="W83" s="95" t="n">
        <f aca="false">W82*MIN(1,Collection*LevColl*$B$9)</f>
        <v>377262.543443302</v>
      </c>
    </row>
    <row r="84" customFormat="false" ht="15" hidden="false" customHeight="false" outlineLevel="0" collapsed="false">
      <c r="A84" s="11" t="s">
        <v>433</v>
      </c>
      <c r="B84" s="66" t="n">
        <f aca="false">SUM(C84:W84)</f>
        <v>11500</v>
      </c>
      <c r="C84" s="95" t="n">
        <v>0</v>
      </c>
      <c r="D84" s="95" t="n">
        <f aca="false">D54*Seg1_Fee+D55*Seg2_Fee+D56*Seg3_Fee+D57*Seg4_Fee+D58*Seg5_Fee</f>
        <v>6900</v>
      </c>
      <c r="E84" s="95" t="n">
        <f aca="false">E54*Seg1_Fee+E55*Seg2_Fee+E56*Seg3_Fee+E57*Seg4_Fee+E58*Seg5_Fee</f>
        <v>2875</v>
      </c>
      <c r="F84" s="95" t="n">
        <f aca="false">F54*Seg1_Fee+F55*Seg2_Fee+F56*Seg3_Fee+F57*Seg4_Fee+F58*Seg5_Fee</f>
        <v>1725</v>
      </c>
      <c r="G84" s="95" t="n">
        <f aca="false">G54*Seg1_Fee+G55*Seg2_Fee+G56*Seg3_Fee+G57*Seg4_Fee+G58*Seg5_Fee</f>
        <v>0</v>
      </c>
      <c r="H84" s="95" t="n">
        <f aca="false">H54*Seg1_Fee+H55*Seg2_Fee+H56*Seg3_Fee+H57*Seg4_Fee+H58*Seg5_Fee</f>
        <v>0</v>
      </c>
      <c r="I84" s="95" t="n">
        <f aca="false">I54*Seg1_Fee+I55*Seg2_Fee+I56*Seg3_Fee+I57*Seg4_Fee+I58*Seg5_Fee</f>
        <v>0</v>
      </c>
      <c r="J84" s="95" t="n">
        <f aca="false">J54*Seg1_Fee+J55*Seg2_Fee+J56*Seg3_Fee+J57*Seg4_Fee+J58*Seg5_Fee</f>
        <v>0</v>
      </c>
      <c r="K84" s="95" t="n">
        <f aca="false">K54*Seg1_Fee+K55*Seg2_Fee+K56*Seg3_Fee+K57*Seg4_Fee+K58*Seg5_Fee</f>
        <v>0</v>
      </c>
      <c r="L84" s="95" t="n">
        <f aca="false">L54*Seg1_Fee+L55*Seg2_Fee+L56*Seg3_Fee+L57*Seg4_Fee+L58*Seg5_Fee</f>
        <v>0</v>
      </c>
      <c r="M84" s="95" t="n">
        <f aca="false">M54*Seg1_Fee+M55*Seg2_Fee+M56*Seg3_Fee+M57*Seg4_Fee+M58*Seg5_Fee</f>
        <v>0</v>
      </c>
      <c r="N84" s="95" t="n">
        <f aca="false">N54*Seg1_Fee+N55*Seg2_Fee+N56*Seg3_Fee+N57*Seg4_Fee+N58*Seg5_Fee</f>
        <v>0</v>
      </c>
      <c r="O84" s="95" t="n">
        <f aca="false">O54*Seg1_Fee+O55*Seg2_Fee+O56*Seg3_Fee+O57*Seg4_Fee+O58*Seg5_Fee</f>
        <v>0</v>
      </c>
      <c r="P84" s="95" t="n">
        <f aca="false">P54*Seg1_Fee+P55*Seg2_Fee+P56*Seg3_Fee+P57*Seg4_Fee+P58*Seg5_Fee</f>
        <v>0</v>
      </c>
      <c r="Q84" s="95" t="n">
        <f aca="false">Q54*Seg1_Fee+Q55*Seg2_Fee+Q56*Seg3_Fee+Q57*Seg4_Fee+Q58*Seg5_Fee</f>
        <v>0</v>
      </c>
      <c r="R84" s="95" t="n">
        <f aca="false">R54*Seg1_Fee+R55*Seg2_Fee+R56*Seg3_Fee+R57*Seg4_Fee+R58*Seg5_Fee</f>
        <v>0</v>
      </c>
      <c r="S84" s="95" t="n">
        <f aca="false">S54*Seg1_Fee+S55*Seg2_Fee+S56*Seg3_Fee+S57*Seg4_Fee+S58*Seg5_Fee</f>
        <v>0</v>
      </c>
      <c r="T84" s="95" t="n">
        <f aca="false">T54*Seg1_Fee+T55*Seg2_Fee+T56*Seg3_Fee+T57*Seg4_Fee+T58*Seg5_Fee</f>
        <v>0</v>
      </c>
      <c r="U84" s="95" t="n">
        <f aca="false">U54*Seg1_Fee+U55*Seg2_Fee+U56*Seg3_Fee+U57*Seg4_Fee+U58*Seg5_Fee</f>
        <v>0</v>
      </c>
      <c r="V84" s="95" t="n">
        <f aca="false">V54*Seg1_Fee+V55*Seg2_Fee+V56*Seg3_Fee+V57*Seg4_Fee+V58*Seg5_Fee</f>
        <v>0</v>
      </c>
      <c r="W84" s="95" t="n">
        <f aca="false">W54*Seg1_Fee+W55*Seg2_Fee+W56*Seg3_Fee+W57*Seg4_Fee+W58*Seg5_Fee</f>
        <v>0</v>
      </c>
    </row>
    <row r="85" customFormat="false" ht="15" hidden="false" customHeight="false" outlineLevel="0" collapsed="false">
      <c r="A85" s="16" t="s">
        <v>434</v>
      </c>
      <c r="B85" s="66" t="n">
        <f aca="false">SUM(C85:W85)</f>
        <v>4500239.54071382</v>
      </c>
      <c r="C85" s="31" t="n">
        <f aca="false">C83+C84</f>
        <v>0</v>
      </c>
      <c r="D85" s="31" t="n">
        <f aca="false">D83+D84</f>
        <v>80517.387264</v>
      </c>
      <c r="E85" s="31" t="n">
        <f aca="false">E83+E84</f>
        <v>113517.638710202</v>
      </c>
      <c r="F85" s="31" t="n">
        <f aca="false">F83+F84</f>
        <v>139820.029891356</v>
      </c>
      <c r="G85" s="31" t="n">
        <f aca="false">G83+G84</f>
        <v>146505.01721174</v>
      </c>
      <c r="H85" s="31" t="n">
        <f aca="false">H83+H84</f>
        <v>155427.172759935</v>
      </c>
      <c r="I85" s="31" t="n">
        <f aca="false">I83+I84</f>
        <v>164892.687581015</v>
      </c>
      <c r="J85" s="31" t="n">
        <f aca="false">J83+J84</f>
        <v>174934.652254699</v>
      </c>
      <c r="K85" s="31" t="n">
        <f aca="false">K83+K84</f>
        <v>185588.17257701</v>
      </c>
      <c r="L85" s="31" t="n">
        <f aca="false">L83+L84</f>
        <v>196890.49228695</v>
      </c>
      <c r="M85" s="31" t="n">
        <f aca="false">M83+M84</f>
        <v>208881.123267225</v>
      </c>
      <c r="N85" s="31" t="n">
        <f aca="false">N83+N84</f>
        <v>221601.983674199</v>
      </c>
      <c r="O85" s="31" t="n">
        <f aca="false">O83+O84</f>
        <v>235097.544479958</v>
      </c>
      <c r="P85" s="31" t="n">
        <f aca="false">P83+P84</f>
        <v>249414.984938787</v>
      </c>
      <c r="Q85" s="31" t="n">
        <f aca="false">Q83+Q84</f>
        <v>264604.357521559</v>
      </c>
      <c r="R85" s="31" t="n">
        <f aca="false">R83+R84</f>
        <v>280718.762894623</v>
      </c>
      <c r="S85" s="31" t="n">
        <f aca="false">S83+S84</f>
        <v>297814.535554905</v>
      </c>
      <c r="T85" s="31" t="n">
        <f aca="false">T83+T84</f>
        <v>315951.440770199</v>
      </c>
      <c r="U85" s="31" t="n">
        <f aca="false">U83+U84</f>
        <v>335192.883513104</v>
      </c>
      <c r="V85" s="31" t="n">
        <f aca="false">V83+V84</f>
        <v>355606.130119052</v>
      </c>
      <c r="W85" s="31" t="n">
        <f aca="false">W83+W84</f>
        <v>377262.543443302</v>
      </c>
    </row>
    <row r="87" customFormat="false" ht="15" hidden="false" customHeight="false" outlineLevel="0" collapsed="false">
      <c r="A87" s="9" t="s">
        <v>435</v>
      </c>
      <c r="B87" s="10"/>
      <c r="C87" s="10"/>
      <c r="D87" s="10"/>
      <c r="E87" s="10"/>
      <c r="F87" s="10"/>
      <c r="G87" s="10"/>
      <c r="H87" s="10"/>
      <c r="I87" s="10"/>
      <c r="J87" s="10"/>
      <c r="K87" s="10"/>
      <c r="L87" s="10"/>
      <c r="M87" s="10"/>
      <c r="N87" s="10"/>
      <c r="O87" s="10"/>
      <c r="P87" s="10"/>
      <c r="Q87" s="10"/>
      <c r="R87" s="10"/>
      <c r="S87" s="10"/>
      <c r="T87" s="10"/>
      <c r="U87" s="10"/>
      <c r="V87" s="10"/>
      <c r="W87" s="10"/>
    </row>
    <row r="88" customFormat="false" ht="15" hidden="false" customHeight="false" outlineLevel="0" collapsed="false">
      <c r="A88" s="11" t="s">
        <v>162</v>
      </c>
      <c r="B88" s="66" t="n">
        <f aca="false">SUM(C88:W88)</f>
        <v>815037.442411294</v>
      </c>
      <c r="C88" s="95" t="n">
        <v>0</v>
      </c>
      <c r="D88" s="95" t="n">
        <f aca="false">S_Opex_Hi!$B$15*O_FixedPct*D44*LevOpex*$B$8*D41</f>
        <v>30332.1951372706</v>
      </c>
      <c r="E88" s="95" t="n">
        <f aca="false">S_Opex_Hi!$B$15*O_FixedPct*E44*LevOpex*$B$8*E41</f>
        <v>31242.1609913887</v>
      </c>
      <c r="F88" s="95" t="n">
        <f aca="false">S_Opex_Hi!$B$15*O_FixedPct*F44*LevOpex*$B$8*F41</f>
        <v>32179.4258211304</v>
      </c>
      <c r="G88" s="95" t="n">
        <f aca="false">S_Opex_Hi!$B$15*O_FixedPct*G44*LevOpex*$B$8*G41</f>
        <v>33144.8085957643</v>
      </c>
      <c r="H88" s="95" t="n">
        <f aca="false">S_Opex_Hi!$B$15*O_FixedPct*H44*LevOpex*$B$8*H41</f>
        <v>34139.1528536373</v>
      </c>
      <c r="I88" s="95" t="n">
        <f aca="false">S_Opex_Hi!$B$15*O_FixedPct*I44*LevOpex*$B$8*I41</f>
        <v>35163.3274392464</v>
      </c>
      <c r="J88" s="95" t="n">
        <f aca="false">S_Opex_Hi!$B$15*O_FixedPct*J44*LevOpex*$B$8*J41</f>
        <v>36218.2272624238</v>
      </c>
      <c r="K88" s="95" t="n">
        <f aca="false">S_Opex_Hi!$B$15*O_FixedPct*K44*LevOpex*$B$8*K41</f>
        <v>37304.7740802965</v>
      </c>
      <c r="L88" s="95" t="n">
        <f aca="false">S_Opex_Hi!$B$15*O_FixedPct*L44*LevOpex*$B$8*L41</f>
        <v>38423.9173027054</v>
      </c>
      <c r="M88" s="95" t="n">
        <f aca="false">S_Opex_Hi!$B$15*O_FixedPct*M44*LevOpex*$B$8*M41</f>
        <v>39576.6348217865</v>
      </c>
      <c r="N88" s="95" t="n">
        <f aca="false">S_Opex_Hi!$B$15*O_FixedPct*N44*LevOpex*$B$8*N41</f>
        <v>40763.9338664401</v>
      </c>
      <c r="O88" s="95" t="n">
        <f aca="false">S_Opex_Hi!$B$15*O_FixedPct*O44*LevOpex*$B$8*O41</f>
        <v>41986.8518824333</v>
      </c>
      <c r="P88" s="95" t="n">
        <f aca="false">S_Opex_Hi!$B$15*O_FixedPct*P44*LevOpex*$B$8*P41</f>
        <v>43246.4574389063</v>
      </c>
      <c r="Q88" s="95" t="n">
        <f aca="false">S_Opex_Hi!$B$15*O_FixedPct*Q44*LevOpex*$B$8*Q41</f>
        <v>44543.8511620735</v>
      </c>
      <c r="R88" s="95" t="n">
        <f aca="false">S_Opex_Hi!$B$15*O_FixedPct*R44*LevOpex*$B$8*R41</f>
        <v>45880.1666969357</v>
      </c>
      <c r="S88" s="95" t="n">
        <f aca="false">S_Opex_Hi!$B$15*O_FixedPct*S44*LevOpex*$B$8*S41</f>
        <v>47256.5716978438</v>
      </c>
      <c r="T88" s="95" t="n">
        <f aca="false">S_Opex_Hi!$B$15*O_FixedPct*T44*LevOpex*$B$8*T41</f>
        <v>48674.2688487791</v>
      </c>
      <c r="U88" s="95" t="n">
        <f aca="false">S_Opex_Hi!$B$15*O_FixedPct*U44*LevOpex*$B$8*U41</f>
        <v>50134.4969142425</v>
      </c>
      <c r="V88" s="95" t="n">
        <f aca="false">S_Opex_Hi!$B$15*O_FixedPct*V44*LevOpex*$B$8*V41</f>
        <v>51638.5318216698</v>
      </c>
      <c r="W88" s="95" t="n">
        <f aca="false">S_Opex_Hi!$B$15*O_FixedPct*W44*LevOpex*$B$8*W41</f>
        <v>53187.6877763199</v>
      </c>
    </row>
    <row r="89" customFormat="false" ht="15" hidden="false" customHeight="false" outlineLevel="0" collapsed="false">
      <c r="A89" s="11" t="s">
        <v>436</v>
      </c>
      <c r="B89" s="66" t="n">
        <f aca="false">SUM(C89:W89)</f>
        <v>580400.088961978</v>
      </c>
      <c r="C89" s="95" t="n">
        <v>0</v>
      </c>
      <c r="D89" s="95" t="n">
        <f aca="false">O_Staff*D44*LevOpex*$B$8*D41</f>
        <v>21600</v>
      </c>
      <c r="E89" s="95" t="n">
        <f aca="false">O_Staff*E44*LevOpex*$B$8*E41</f>
        <v>22248</v>
      </c>
      <c r="F89" s="95" t="n">
        <f aca="false">O_Staff*F44*LevOpex*$B$8*F41</f>
        <v>22915.44</v>
      </c>
      <c r="G89" s="95" t="n">
        <f aca="false">O_Staff*G44*LevOpex*$B$8*G41</f>
        <v>23602.9032</v>
      </c>
      <c r="H89" s="95" t="n">
        <f aca="false">O_Staff*H44*LevOpex*$B$8*H41</f>
        <v>24310.990296</v>
      </c>
      <c r="I89" s="95" t="n">
        <f aca="false">O_Staff*I44*LevOpex*$B$8*I41</f>
        <v>25040.32000488</v>
      </c>
      <c r="J89" s="95" t="n">
        <f aca="false">O_Staff*J44*LevOpex*$B$8*J41</f>
        <v>25791.5296050264</v>
      </c>
      <c r="K89" s="95" t="n">
        <f aca="false">O_Staff*K44*LevOpex*$B$8*K41</f>
        <v>26565.2754931772</v>
      </c>
      <c r="L89" s="95" t="n">
        <f aca="false">O_Staff*L44*LevOpex*$B$8*L41</f>
        <v>27362.2337579725</v>
      </c>
      <c r="M89" s="95" t="n">
        <f aca="false">O_Staff*M44*LevOpex*$B$8*M41</f>
        <v>28183.1007707117</v>
      </c>
      <c r="N89" s="95" t="n">
        <f aca="false">O_Staff*N44*LevOpex*$B$8*N41</f>
        <v>29028.593793833</v>
      </c>
      <c r="O89" s="95" t="n">
        <f aca="false">O_Staff*O44*LevOpex*$B$8*O41</f>
        <v>29899.451607648</v>
      </c>
      <c r="P89" s="95" t="n">
        <f aca="false">O_Staff*P44*LevOpex*$B$8*P41</f>
        <v>30796.4351558775</v>
      </c>
      <c r="Q89" s="95" t="n">
        <f aca="false">O_Staff*Q44*LevOpex*$B$8*Q41</f>
        <v>31720.3282105538</v>
      </c>
      <c r="R89" s="95" t="n">
        <f aca="false">O_Staff*R44*LevOpex*$B$8*R41</f>
        <v>32671.9380568704</v>
      </c>
      <c r="S89" s="95" t="n">
        <f aca="false">O_Staff*S44*LevOpex*$B$8*S41</f>
        <v>33652.0961985765</v>
      </c>
      <c r="T89" s="95" t="n">
        <f aca="false">O_Staff*T44*LevOpex*$B$8*T41</f>
        <v>34661.6590845338</v>
      </c>
      <c r="U89" s="95" t="n">
        <f aca="false">O_Staff*U44*LevOpex*$B$8*U41</f>
        <v>35701.5088570698</v>
      </c>
      <c r="V89" s="95" t="n">
        <f aca="false">O_Staff*V44*LevOpex*$B$8*V41</f>
        <v>36772.5541227819</v>
      </c>
      <c r="W89" s="95" t="n">
        <f aca="false">O_Staff*W44*LevOpex*$B$8*W41</f>
        <v>37875.7307464654</v>
      </c>
    </row>
    <row r="90" customFormat="false" ht="15" hidden="false" customHeight="false" outlineLevel="0" collapsed="false">
      <c r="A90" s="11" t="s">
        <v>165</v>
      </c>
      <c r="B90" s="66" t="n">
        <f aca="false">SUM(C90:W90)</f>
        <v>187458.611754598</v>
      </c>
      <c r="C90" s="95" t="n">
        <v>0</v>
      </c>
      <c r="D90" s="95" t="n">
        <f aca="false">S_Opex_Hi!$B$14*O_InsPct*D44*LevOpex*$B$8*D41</f>
        <v>6976.40488157224</v>
      </c>
      <c r="E90" s="95" t="n">
        <f aca="false">S_Opex_Hi!$B$14*O_InsPct*E44*LevOpex*$B$8*E41</f>
        <v>7185.69702801941</v>
      </c>
      <c r="F90" s="95" t="n">
        <f aca="false">S_Opex_Hi!$B$14*O_InsPct*F44*LevOpex*$B$8*F41</f>
        <v>7401.26793885999</v>
      </c>
      <c r="G90" s="95" t="n">
        <f aca="false">S_Opex_Hi!$B$14*O_InsPct*G44*LevOpex*$B$8*G41</f>
        <v>7623.30597702579</v>
      </c>
      <c r="H90" s="95" t="n">
        <f aca="false">S_Opex_Hi!$B$14*O_InsPct*H44*LevOpex*$B$8*H41</f>
        <v>7852.00515633657</v>
      </c>
      <c r="I90" s="95" t="n">
        <f aca="false">S_Opex_Hi!$B$14*O_InsPct*I44*LevOpex*$B$8*I41</f>
        <v>8087.56531102667</v>
      </c>
      <c r="J90" s="95" t="n">
        <f aca="false">S_Opex_Hi!$B$14*O_InsPct*J44*LevOpex*$B$8*J41</f>
        <v>8330.19227035747</v>
      </c>
      <c r="K90" s="95" t="n">
        <f aca="false">S_Opex_Hi!$B$14*O_InsPct*K44*LevOpex*$B$8*K41</f>
        <v>8580.09803846819</v>
      </c>
      <c r="L90" s="95" t="n">
        <f aca="false">S_Opex_Hi!$B$14*O_InsPct*L44*LevOpex*$B$8*L41</f>
        <v>8837.50097962224</v>
      </c>
      <c r="M90" s="95" t="n">
        <f aca="false">S_Opex_Hi!$B$14*O_InsPct*M44*LevOpex*$B$8*M41</f>
        <v>9102.6260090109</v>
      </c>
      <c r="N90" s="95" t="n">
        <f aca="false">S_Opex_Hi!$B$14*O_InsPct*N44*LevOpex*$B$8*N41</f>
        <v>9375.70478928123</v>
      </c>
      <c r="O90" s="95" t="n">
        <f aca="false">S_Opex_Hi!$B$14*O_InsPct*O44*LevOpex*$B$8*O41</f>
        <v>9656.97593295967</v>
      </c>
      <c r="P90" s="95" t="n">
        <f aca="false">S_Opex_Hi!$B$14*O_InsPct*P44*LevOpex*$B$8*P41</f>
        <v>9946.68521094846</v>
      </c>
      <c r="Q90" s="95" t="n">
        <f aca="false">S_Opex_Hi!$B$14*O_InsPct*Q44*LevOpex*$B$8*Q41</f>
        <v>10245.0857672769</v>
      </c>
      <c r="R90" s="95" t="n">
        <f aca="false">S_Opex_Hi!$B$14*O_InsPct*R44*LevOpex*$B$8*R41</f>
        <v>10552.4383402952</v>
      </c>
      <c r="S90" s="95" t="n">
        <f aca="false">S_Opex_Hi!$B$14*O_InsPct*S44*LevOpex*$B$8*S41</f>
        <v>10869.0114905041</v>
      </c>
      <c r="T90" s="95" t="n">
        <f aca="false">S_Opex_Hi!$B$14*O_InsPct*T44*LevOpex*$B$8*T41</f>
        <v>11195.0818352192</v>
      </c>
      <c r="U90" s="95" t="n">
        <f aca="false">S_Opex_Hi!$B$14*O_InsPct*U44*LevOpex*$B$8*U41</f>
        <v>11530.9342902758</v>
      </c>
      <c r="V90" s="95" t="n">
        <f aca="false">S_Opex_Hi!$B$14*O_InsPct*V44*LevOpex*$B$8*V41</f>
        <v>11876.8623189841</v>
      </c>
      <c r="W90" s="95" t="n">
        <f aca="false">S_Opex_Hi!$B$14*O_InsPct*W44*LevOpex*$B$8*W41</f>
        <v>12233.1681885536</v>
      </c>
    </row>
    <row r="91" customFormat="false" ht="15" hidden="false" customHeight="false" outlineLevel="0" collapsed="false">
      <c r="A91" s="11" t="s">
        <v>437</v>
      </c>
      <c r="B91" s="66" t="n">
        <f aca="false">SUM(C91:W91)</f>
        <v>96733.3481603297</v>
      </c>
      <c r="C91" s="95" t="n">
        <v>0</v>
      </c>
      <c r="D91" s="95" t="n">
        <f aca="false">O_Fees*D44*LevOpex*$B$8*D41</f>
        <v>3600</v>
      </c>
      <c r="E91" s="95" t="n">
        <f aca="false">O_Fees*E44*LevOpex*$B$8*E41</f>
        <v>3708</v>
      </c>
      <c r="F91" s="95" t="n">
        <f aca="false">O_Fees*F44*LevOpex*$B$8*F41</f>
        <v>3819.24</v>
      </c>
      <c r="G91" s="95" t="n">
        <f aca="false">O_Fees*G44*LevOpex*$B$8*G41</f>
        <v>3933.8172</v>
      </c>
      <c r="H91" s="95" t="n">
        <f aca="false">O_Fees*H44*LevOpex*$B$8*H41</f>
        <v>4051.831716</v>
      </c>
      <c r="I91" s="95" t="n">
        <f aca="false">O_Fees*I44*LevOpex*$B$8*I41</f>
        <v>4173.38666748</v>
      </c>
      <c r="J91" s="95" t="n">
        <f aca="false">O_Fees*J44*LevOpex*$B$8*J41</f>
        <v>4298.5882675044</v>
      </c>
      <c r="K91" s="95" t="n">
        <f aca="false">O_Fees*K44*LevOpex*$B$8*K41</f>
        <v>4427.54591552953</v>
      </c>
      <c r="L91" s="95" t="n">
        <f aca="false">O_Fees*L44*LevOpex*$B$8*L41</f>
        <v>4560.37229299542</v>
      </c>
      <c r="M91" s="95" t="n">
        <f aca="false">O_Fees*M44*LevOpex*$B$8*M41</f>
        <v>4697.18346178528</v>
      </c>
      <c r="N91" s="95" t="n">
        <f aca="false">O_Fees*N44*LevOpex*$B$8*N41</f>
        <v>4838.09896563884</v>
      </c>
      <c r="O91" s="95" t="n">
        <f aca="false">O_Fees*O44*LevOpex*$B$8*O41</f>
        <v>4983.24193460801</v>
      </c>
      <c r="P91" s="95" t="n">
        <f aca="false">O_Fees*P44*LevOpex*$B$8*P41</f>
        <v>5132.73919264625</v>
      </c>
      <c r="Q91" s="95" t="n">
        <f aca="false">O_Fees*Q44*LevOpex*$B$8*Q41</f>
        <v>5286.72136842563</v>
      </c>
      <c r="R91" s="95" t="n">
        <f aca="false">O_Fees*R44*LevOpex*$B$8*R41</f>
        <v>5445.3230094784</v>
      </c>
      <c r="S91" s="95" t="n">
        <f aca="false">O_Fees*S44*LevOpex*$B$8*S41</f>
        <v>5608.68269976275</v>
      </c>
      <c r="T91" s="95" t="n">
        <f aca="false">O_Fees*T44*LevOpex*$B$8*T41</f>
        <v>5776.94318075564</v>
      </c>
      <c r="U91" s="95" t="n">
        <f aca="false">O_Fees*U44*LevOpex*$B$8*U41</f>
        <v>5950.25147617831</v>
      </c>
      <c r="V91" s="95" t="n">
        <f aca="false">O_Fees*V44*LevOpex*$B$8*V41</f>
        <v>6128.75902046366</v>
      </c>
      <c r="W91" s="95" t="n">
        <f aca="false">O_Fees*W44*LevOpex*$B$8*W41</f>
        <v>6312.62179107757</v>
      </c>
    </row>
    <row r="92" customFormat="false" ht="15" hidden="false" customHeight="false" outlineLevel="0" collapsed="false">
      <c r="A92" s="11" t="s">
        <v>438</v>
      </c>
      <c r="B92" s="66" t="n">
        <f aca="false">SUM(C92:W92)</f>
        <v>128977.797547106</v>
      </c>
      <c r="C92" s="95" t="n">
        <v>0</v>
      </c>
      <c r="D92" s="95" t="n">
        <f aca="false">O_MRV*D44*LevOpex*$B$8*D41</f>
        <v>4800</v>
      </c>
      <c r="E92" s="95" t="n">
        <f aca="false">O_MRV*E44*LevOpex*$B$8*E41</f>
        <v>4944</v>
      </c>
      <c r="F92" s="95" t="n">
        <f aca="false">O_MRV*F44*LevOpex*$B$8*F41</f>
        <v>5092.32</v>
      </c>
      <c r="G92" s="95" t="n">
        <f aca="false">O_MRV*G44*LevOpex*$B$8*G41</f>
        <v>5245.0896</v>
      </c>
      <c r="H92" s="95" t="n">
        <f aca="false">O_MRV*H44*LevOpex*$B$8*H41</f>
        <v>5402.442288</v>
      </c>
      <c r="I92" s="95" t="n">
        <f aca="false">O_MRV*I44*LevOpex*$B$8*I41</f>
        <v>5564.51555664</v>
      </c>
      <c r="J92" s="95" t="n">
        <f aca="false">O_MRV*J44*LevOpex*$B$8*J41</f>
        <v>5731.4510233392</v>
      </c>
      <c r="K92" s="95" t="n">
        <f aca="false">O_MRV*K44*LevOpex*$B$8*K41</f>
        <v>5903.39455403938</v>
      </c>
      <c r="L92" s="95" t="n">
        <f aca="false">O_MRV*L44*LevOpex*$B$8*L41</f>
        <v>6080.49639066056</v>
      </c>
      <c r="M92" s="95" t="n">
        <f aca="false">O_MRV*M44*LevOpex*$B$8*M41</f>
        <v>6262.91128238038</v>
      </c>
      <c r="N92" s="95" t="n">
        <f aca="false">O_MRV*N44*LevOpex*$B$8*N41</f>
        <v>6450.79862085179</v>
      </c>
      <c r="O92" s="95" t="n">
        <f aca="false">O_MRV*O44*LevOpex*$B$8*O41</f>
        <v>6644.32257947734</v>
      </c>
      <c r="P92" s="95" t="n">
        <f aca="false">O_MRV*P44*LevOpex*$B$8*P41</f>
        <v>6843.65225686166</v>
      </c>
      <c r="Q92" s="95" t="n">
        <f aca="false">O_MRV*Q44*LevOpex*$B$8*Q41</f>
        <v>7048.96182456751</v>
      </c>
      <c r="R92" s="95" t="n">
        <f aca="false">O_MRV*R44*LevOpex*$B$8*R41</f>
        <v>7260.43067930454</v>
      </c>
      <c r="S92" s="95" t="n">
        <f aca="false">O_MRV*S44*LevOpex*$B$8*S41</f>
        <v>7478.24359968367</v>
      </c>
      <c r="T92" s="95" t="n">
        <f aca="false">O_MRV*T44*LevOpex*$B$8*T41</f>
        <v>7702.59090767418</v>
      </c>
      <c r="U92" s="95" t="n">
        <f aca="false">O_MRV*U44*LevOpex*$B$8*U41</f>
        <v>7933.66863490441</v>
      </c>
      <c r="V92" s="95" t="n">
        <f aca="false">O_MRV*V44*LevOpex*$B$8*V41</f>
        <v>8171.67869395154</v>
      </c>
      <c r="W92" s="95" t="n">
        <f aca="false">O_MRV*W44*LevOpex*$B$8*W41</f>
        <v>8416.82905477009</v>
      </c>
    </row>
    <row r="93" customFormat="false" ht="15" hidden="false" customHeight="false" outlineLevel="0" collapsed="false">
      <c r="A93" s="11" t="s">
        <v>439</v>
      </c>
      <c r="B93" s="66" t="n">
        <f aca="false">SUM(C93:W93)</f>
        <v>135007.186221415</v>
      </c>
      <c r="C93" s="95" t="n">
        <v>0</v>
      </c>
      <c r="D93" s="95" t="n">
        <f aca="false">D85*O_CustPct</f>
        <v>2415.52161792</v>
      </c>
      <c r="E93" s="95" t="n">
        <f aca="false">E85*O_CustPct</f>
        <v>3405.52916130605</v>
      </c>
      <c r="F93" s="95" t="n">
        <f aca="false">F85*O_CustPct</f>
        <v>4194.60089674069</v>
      </c>
      <c r="G93" s="95" t="n">
        <f aca="false">G85*O_CustPct</f>
        <v>4395.1505163522</v>
      </c>
      <c r="H93" s="95" t="n">
        <f aca="false">H85*O_CustPct</f>
        <v>4662.81518279805</v>
      </c>
      <c r="I93" s="95" t="n">
        <f aca="false">I85*O_CustPct</f>
        <v>4946.78062743045</v>
      </c>
      <c r="J93" s="95" t="n">
        <f aca="false">J85*O_CustPct</f>
        <v>5248.03956764096</v>
      </c>
      <c r="K93" s="95" t="n">
        <f aca="false">K85*O_CustPct</f>
        <v>5567.6451773103</v>
      </c>
      <c r="L93" s="95" t="n">
        <f aca="false">L85*O_CustPct</f>
        <v>5906.7147686085</v>
      </c>
      <c r="M93" s="95" t="n">
        <f aca="false">M85*O_CustPct</f>
        <v>6266.43369801675</v>
      </c>
      <c r="N93" s="95" t="n">
        <f aca="false">N85*O_CustPct</f>
        <v>6648.05951022597</v>
      </c>
      <c r="O93" s="95" t="n">
        <f aca="false">O85*O_CustPct</f>
        <v>7052.92633439874</v>
      </c>
      <c r="P93" s="95" t="n">
        <f aca="false">P85*O_CustPct</f>
        <v>7482.44954816362</v>
      </c>
      <c r="Q93" s="95" t="n">
        <f aca="false">Q85*O_CustPct</f>
        <v>7938.13072564678</v>
      </c>
      <c r="R93" s="95" t="n">
        <f aca="false">R85*O_CustPct</f>
        <v>8421.56288683868</v>
      </c>
      <c r="S93" s="95" t="n">
        <f aca="false">S85*O_CustPct</f>
        <v>8934.43606664715</v>
      </c>
      <c r="T93" s="95" t="n">
        <f aca="false">T85*O_CustPct</f>
        <v>9478.54322310596</v>
      </c>
      <c r="U93" s="95" t="n">
        <f aca="false">U85*O_CustPct</f>
        <v>10055.7865053931</v>
      </c>
      <c r="V93" s="95" t="n">
        <f aca="false">V85*O_CustPct</f>
        <v>10668.1839035716</v>
      </c>
      <c r="W93" s="95" t="n">
        <f aca="false">W85*O_CustPct</f>
        <v>11317.8763032991</v>
      </c>
    </row>
    <row r="94" customFormat="false" ht="15" hidden="false" customHeight="false" outlineLevel="0" collapsed="false">
      <c r="A94" s="11" t="s">
        <v>440</v>
      </c>
      <c r="B94" s="66" t="n">
        <f aca="false">SUM(C94:W94)</f>
        <v>141084.061539258</v>
      </c>
      <c r="C94" s="95" t="n">
        <v>0</v>
      </c>
      <c r="D94" s="95" t="n">
        <f aca="false">D72*O_DieselOM*D44*LevOpex*$B$8</f>
        <v>863.753367272727</v>
      </c>
      <c r="E94" s="95" t="n">
        <f aca="false">E72*O_DieselOM*E44*LevOpex*$B$8</f>
        <v>1298.17092539782</v>
      </c>
      <c r="F94" s="95" t="n">
        <f aca="false">F72*O_DieselOM*F44*LevOpex*$B$8</f>
        <v>1620.2700408877</v>
      </c>
      <c r="G94" s="95" t="n">
        <f aca="false">G72*O_DieselOM*G44*LevOpex*$B$8</f>
        <v>1718.94448637776</v>
      </c>
      <c r="H94" s="95" t="n">
        <f aca="false">H72*O_DieselOM*H44*LevOpex*$B$8</f>
        <v>1823.62820559817</v>
      </c>
      <c r="I94" s="95" t="n">
        <f aca="false">I72*O_DieselOM*I44*LevOpex*$B$8</f>
        <v>1934.6871633191</v>
      </c>
      <c r="J94" s="95" t="n">
        <f aca="false">J72*O_DieselOM*J44*LevOpex*$B$8</f>
        <v>2209.74979836101</v>
      </c>
      <c r="K94" s="95" t="n">
        <f aca="false">K72*O_DieselOM*K44*LevOpex*$B$8</f>
        <v>3004.59179581955</v>
      </c>
      <c r="L94" s="95" t="n">
        <f aca="false">L72*O_DieselOM*L44*LevOpex*$B$8</f>
        <v>3864.24733655656</v>
      </c>
      <c r="M94" s="95" t="n">
        <f aca="false">M72*O_DieselOM*M44*LevOpex*$B$8</f>
        <v>4793.07129584868</v>
      </c>
      <c r="N94" s="95" t="n">
        <f aca="false">N72*O_DieselOM*N44*LevOpex*$B$8</f>
        <v>5795.69389297962</v>
      </c>
      <c r="O94" s="95" t="n">
        <f aca="false">O72*O_DieselOM*O44*LevOpex*$B$8</f>
        <v>6877.0377114729</v>
      </c>
      <c r="P94" s="95" t="n">
        <f aca="false">P72*O_DieselOM*P44*LevOpex*$B$8</f>
        <v>8042.33576211362</v>
      </c>
      <c r="Q94" s="95" t="n">
        <f aca="false">Q72*O_DieselOM*Q44*LevOpex*$B$8</f>
        <v>9297.15065242057</v>
      </c>
      <c r="R94" s="95" t="n">
        <f aca="false">R72*O_DieselOM*R44*LevOpex*$B$8</f>
        <v>10647.3949301107</v>
      </c>
      <c r="S94" s="95" t="n">
        <f aca="false">S72*O_DieselOM*S44*LevOpex*$B$8</f>
        <v>12099.3526722157</v>
      </c>
      <c r="T94" s="95" t="n">
        <f aca="false">T72*O_DieselOM*T44*LevOpex*$B$8</f>
        <v>13659.7023958777</v>
      </c>
      <c r="U94" s="95" t="n">
        <f aca="false">U72*O_DieselOM*U44*LevOpex*$B$8</f>
        <v>15335.541371487</v>
      </c>
      <c r="V94" s="95" t="n">
        <f aca="false">V72*O_DieselOM*V44*LevOpex*$B$8</f>
        <v>17134.4114237385</v>
      </c>
      <c r="W94" s="95" t="n">
        <f aca="false">W72*O_DieselOM*W44*LevOpex*$B$8</f>
        <v>19064.3263114028</v>
      </c>
    </row>
    <row r="95" customFormat="false" ht="15" hidden="false" customHeight="false" outlineLevel="0" collapsed="false">
      <c r="A95" s="11" t="s">
        <v>441</v>
      </c>
      <c r="B95" s="66" t="n">
        <f aca="false">SUM(C95:W95)</f>
        <v>1567600.68376954</v>
      </c>
      <c r="C95" s="95" t="n">
        <v>0</v>
      </c>
      <c r="D95" s="95" t="n">
        <f aca="false">D74*FuelPrice*LevFuel*$B$10*D44</f>
        <v>9597.25963636363</v>
      </c>
      <c r="E95" s="95" t="n">
        <f aca="false">E74*FuelPrice*LevFuel*$B$10*E44</f>
        <v>14424.1213933091</v>
      </c>
      <c r="F95" s="95" t="n">
        <f aca="false">F74*FuelPrice*LevFuel*$B$10*F44</f>
        <v>18003.0004543078</v>
      </c>
      <c r="G95" s="95" t="n">
        <f aca="false">G74*FuelPrice*LevFuel*$B$10*G44</f>
        <v>19099.3831819751</v>
      </c>
      <c r="H95" s="95" t="n">
        <f aca="false">H74*FuelPrice*LevFuel*$B$10*H44</f>
        <v>20262.5356177574</v>
      </c>
      <c r="I95" s="95" t="n">
        <f aca="false">I74*FuelPrice*LevFuel*$B$10*I44</f>
        <v>21496.5240368788</v>
      </c>
      <c r="J95" s="95" t="n">
        <f aca="false">J74*FuelPrice*LevFuel*$B$10*J44</f>
        <v>24552.7755373446</v>
      </c>
      <c r="K95" s="95" t="n">
        <f aca="false">K74*FuelPrice*LevFuel*$B$10*K44</f>
        <v>33384.3532868839</v>
      </c>
      <c r="L95" s="95" t="n">
        <f aca="false">L74*FuelPrice*LevFuel*$B$10*L44</f>
        <v>42936.0815172951</v>
      </c>
      <c r="M95" s="95" t="n">
        <f aca="false">M74*FuelPrice*LevFuel*$B$10*M44</f>
        <v>53256.3477316521</v>
      </c>
      <c r="N95" s="95" t="n">
        <f aca="false">N74*FuelPrice*LevFuel*$B$10*N44</f>
        <v>64396.5988108847</v>
      </c>
      <c r="O95" s="95" t="n">
        <f aca="false">O74*FuelPrice*LevFuel*$B$10*O44</f>
        <v>76411.5301274767</v>
      </c>
      <c r="P95" s="95" t="n">
        <f aca="false">P74*FuelPrice*LevFuel*$B$10*P44</f>
        <v>89359.2862457069</v>
      </c>
      <c r="Q95" s="95" t="n">
        <f aca="false">Q74*FuelPrice*LevFuel*$B$10*Q44</f>
        <v>103301.673915784</v>
      </c>
      <c r="R95" s="95" t="n">
        <f aca="false">R74*FuelPrice*LevFuel*$B$10*R44</f>
        <v>118304.388112341</v>
      </c>
      <c r="S95" s="95" t="n">
        <f aca="false">S74*FuelPrice*LevFuel*$B$10*S44</f>
        <v>134437.251913507</v>
      </c>
      <c r="T95" s="95" t="n">
        <f aca="false">T74*FuelPrice*LevFuel*$B$10*T44</f>
        <v>151774.471065308</v>
      </c>
      <c r="U95" s="95" t="n">
        <f aca="false">U74*FuelPrice*LevFuel*$B$10*U44</f>
        <v>170394.904127634</v>
      </c>
      <c r="V95" s="95" t="n">
        <f aca="false">V74*FuelPrice*LevFuel*$B$10*V44</f>
        <v>190382.34915265</v>
      </c>
      <c r="W95" s="95" t="n">
        <f aca="false">W74*FuelPrice*LevFuel*$B$10*W44</f>
        <v>211825.847904476</v>
      </c>
    </row>
    <row r="96" customFormat="false" ht="15" hidden="false" customHeight="false" outlineLevel="0" collapsed="false">
      <c r="A96" s="16" t="s">
        <v>442</v>
      </c>
      <c r="B96" s="66" t="n">
        <f aca="false">SUM(C96:W96)</f>
        <v>3652299.22036551</v>
      </c>
      <c r="C96" s="31" t="n">
        <f aca="false">C88+C89+C90+C91+C92+C93+C94+C95</f>
        <v>0</v>
      </c>
      <c r="D96" s="31" t="n">
        <f aca="false">D88+D89+D90+D91+D92+D93+D94+D95</f>
        <v>80185.1346403992</v>
      </c>
      <c r="E96" s="31" t="n">
        <f aca="false">E88+E89+E90+E91+E92+E93+E94+E95</f>
        <v>88455.6794994211</v>
      </c>
      <c r="F96" s="31" t="n">
        <f aca="false">F88+F89+F90+F91+F92+F93+F94+F95</f>
        <v>95225.5651519266</v>
      </c>
      <c r="G96" s="31" t="n">
        <f aca="false">G88+G89+G90+G91+G92+G93+G94+G95</f>
        <v>98763.4027574952</v>
      </c>
      <c r="H96" s="31" t="n">
        <f aca="false">H88+H89+H90+H91+H92+H93+H94+H95</f>
        <v>102505.401316127</v>
      </c>
      <c r="I96" s="31" t="n">
        <f aca="false">I88+I89+I90+I91+I92+I93+I94+I95</f>
        <v>106407.106806901</v>
      </c>
      <c r="J96" s="31" t="n">
        <f aca="false">J88+J89+J90+J91+J92+J93+J94+J95</f>
        <v>112380.553331998</v>
      </c>
      <c r="K96" s="31" t="n">
        <f aca="false">K88+K89+K90+K91+K92+K93+K94+K95</f>
        <v>124737.678341525</v>
      </c>
      <c r="L96" s="31" t="n">
        <f aca="false">L88+L89+L90+L91+L92+L93+L94+L95</f>
        <v>137971.564346416</v>
      </c>
      <c r="M96" s="31" t="n">
        <f aca="false">M88+M89+M90+M91+M92+M93+M94+M95</f>
        <v>152138.309071192</v>
      </c>
      <c r="N96" s="31" t="n">
        <f aca="false">N88+N89+N90+N91+N92+N93+N94+N95</f>
        <v>167297.482250135</v>
      </c>
      <c r="O96" s="31" t="n">
        <f aca="false">O88+O89+O90+O91+O92+O93+O94+O95</f>
        <v>183512.338110475</v>
      </c>
      <c r="P96" s="31" t="n">
        <f aca="false">P88+P89+P90+P91+P92+P93+P94+P95</f>
        <v>200850.040811224</v>
      </c>
      <c r="Q96" s="31" t="n">
        <f aca="false">Q88+Q89+Q90+Q91+Q92+Q93+Q94+Q95</f>
        <v>219381.903626749</v>
      </c>
      <c r="R96" s="31" t="n">
        <f aca="false">R88+R89+R90+R91+R92+R93+R94+R95</f>
        <v>239183.642712175</v>
      </c>
      <c r="S96" s="31" t="n">
        <f aca="false">S88+S89+S90+S91+S92+S93+S94+S95</f>
        <v>260335.646338741</v>
      </c>
      <c r="T96" s="31" t="n">
        <f aca="false">T88+T89+T90+T91+T92+T93+T94+T95</f>
        <v>282923.260541254</v>
      </c>
      <c r="U96" s="31" t="n">
        <f aca="false">U88+U89+U90+U91+U92+U93+U94+U95</f>
        <v>307037.092177185</v>
      </c>
      <c r="V96" s="31" t="n">
        <f aca="false">V88+V89+V90+V91+V92+V93+V94+V95</f>
        <v>332773.330457811</v>
      </c>
      <c r="W96" s="31" t="n">
        <f aca="false">W88+W89+W90+W91+W92+W93+W94+W95</f>
        <v>360234.088076364</v>
      </c>
    </row>
    <row r="98" customFormat="false" ht="15" hidden="false" customHeight="false" outlineLevel="0" collapsed="false">
      <c r="A98" s="16" t="s">
        <v>443</v>
      </c>
      <c r="B98" s="66" t="n">
        <f aca="false">SUM(C98:W98)</f>
        <v>847940.320348306</v>
      </c>
      <c r="C98" s="31" t="n">
        <f aca="false">C85-C96</f>
        <v>0</v>
      </c>
      <c r="D98" s="31" t="n">
        <f aca="false">D85-D96</f>
        <v>332.252623600769</v>
      </c>
      <c r="E98" s="31" t="n">
        <f aca="false">E85-E96</f>
        <v>25061.9592107805</v>
      </c>
      <c r="F98" s="31" t="n">
        <f aca="false">F85-F96</f>
        <v>44594.4647394298</v>
      </c>
      <c r="G98" s="31" t="n">
        <f aca="false">G85-G96</f>
        <v>47741.6144542447</v>
      </c>
      <c r="H98" s="31" t="n">
        <f aca="false">H85-H96</f>
        <v>52921.7714438075</v>
      </c>
      <c r="I98" s="31" t="n">
        <f aca="false">I85-I96</f>
        <v>58485.5807741135</v>
      </c>
      <c r="J98" s="31" t="n">
        <f aca="false">J85-J96</f>
        <v>62554.098922701</v>
      </c>
      <c r="K98" s="31" t="n">
        <f aca="false">K85-K96</f>
        <v>60850.4942354855</v>
      </c>
      <c r="L98" s="31" t="n">
        <f aca="false">L85-L96</f>
        <v>58918.9279405337</v>
      </c>
      <c r="M98" s="31" t="n">
        <f aca="false">M85-M96</f>
        <v>56742.8141960329</v>
      </c>
      <c r="N98" s="31" t="n">
        <f aca="false">N85-N96</f>
        <v>54304.5014240638</v>
      </c>
      <c r="O98" s="31" t="n">
        <f aca="false">O85-O96</f>
        <v>51585.2063694832</v>
      </c>
      <c r="P98" s="31" t="n">
        <f aca="false">P85-P96</f>
        <v>48564.944127563</v>
      </c>
      <c r="Q98" s="31" t="n">
        <f aca="false">Q85-Q96</f>
        <v>45222.4538948106</v>
      </c>
      <c r="R98" s="31" t="n">
        <f aca="false">R85-R96</f>
        <v>41535.1201824476</v>
      </c>
      <c r="S98" s="31" t="n">
        <f aca="false">S85-S96</f>
        <v>37478.889216164</v>
      </c>
      <c r="T98" s="31" t="n">
        <f aca="false">T85-T96</f>
        <v>33028.1802289449</v>
      </c>
      <c r="U98" s="31" t="n">
        <f aca="false">U85-U96</f>
        <v>28155.7913359193</v>
      </c>
      <c r="V98" s="31" t="n">
        <f aca="false">V85-V96</f>
        <v>22832.7996612415</v>
      </c>
      <c r="W98" s="31" t="n">
        <f aca="false">W85-W96</f>
        <v>17028.455366938</v>
      </c>
    </row>
    <row r="99" customFormat="false" ht="15" hidden="false" customHeight="false" outlineLevel="0" collapsed="false">
      <c r="A99" s="11" t="s">
        <v>444</v>
      </c>
      <c r="C99" s="91" t="n">
        <v>0</v>
      </c>
      <c r="D99" s="91" t="n">
        <f aca="false">IFERROR(D98/D85,0)</f>
        <v>0.00412647050395936</v>
      </c>
      <c r="E99" s="91" t="n">
        <f aca="false">IFERROR(E98/E85,0)</f>
        <v>0.220775903159517</v>
      </c>
      <c r="F99" s="91" t="n">
        <f aca="false">IFERROR(F98/F85,0)</f>
        <v>0.318941891044372</v>
      </c>
      <c r="G99" s="91" t="n">
        <f aca="false">IFERROR(G98/G85,0)</f>
        <v>0.325870167198745</v>
      </c>
      <c r="H99" s="91" t="n">
        <f aca="false">IFERROR(H98/H85,0)</f>
        <v>0.340492402351986</v>
      </c>
      <c r="I99" s="91" t="n">
        <f aca="false">IFERROR(I98/I85,0)</f>
        <v>0.354688747160958</v>
      </c>
      <c r="J99" s="91" t="n">
        <f aca="false">IFERROR(J98/J85,0)</f>
        <v>0.357585521887478</v>
      </c>
      <c r="K99" s="91" t="n">
        <f aca="false">IFERROR(K98/K85,0)</f>
        <v>0.327879160565771</v>
      </c>
      <c r="L99" s="91" t="n">
        <f aca="false">IFERROR(L98/L85,0)</f>
        <v>0.299247197039178</v>
      </c>
      <c r="M99" s="91" t="n">
        <f aca="false">IFERROR(M98/M85,0)</f>
        <v>0.271651230654485</v>
      </c>
      <c r="N99" s="91" t="n">
        <f aca="false">IFERROR(N98/N85,0)</f>
        <v>0.245054220741556</v>
      </c>
      <c r="O99" s="91" t="n">
        <f aca="false">IFERROR(O98/O85,0)</f>
        <v>0.219420438795271</v>
      </c>
      <c r="P99" s="91" t="n">
        <f aca="false">IFERROR(P98/P85,0)</f>
        <v>0.194715422329103</v>
      </c>
      <c r="Q99" s="91" t="n">
        <f aca="false">IFERROR(Q98/Q85,0)</f>
        <v>0.170905930342156</v>
      </c>
      <c r="R99" s="91" t="n">
        <f aca="false">IFERROR(R98/R85,0)</f>
        <v>0.147959900343531</v>
      </c>
      <c r="S99" s="91" t="n">
        <f aca="false">IFERROR(S98/S85,0)</f>
        <v>0.125846406879809</v>
      </c>
      <c r="T99" s="91" t="n">
        <f aca="false">IFERROR(T98/T85,0)</f>
        <v>0.10453562151333</v>
      </c>
      <c r="U99" s="91" t="n">
        <f aca="false">IFERROR(U98/U85,0)</f>
        <v>0.0839987742007615</v>
      </c>
      <c r="V99" s="91" t="n">
        <f aca="false">IFERROR(V98/V85,0)</f>
        <v>0.0642081160231894</v>
      </c>
      <c r="W99" s="91" t="n">
        <f aca="false">IFERROR(W98/W85,0)</f>
        <v>0.0451368832206826</v>
      </c>
    </row>
    <row r="101" customFormat="false" ht="15" hidden="false" customHeight="false" outlineLevel="0" collapsed="false">
      <c r="A101" s="9" t="s">
        <v>445</v>
      </c>
      <c r="B101" s="10"/>
      <c r="C101" s="10"/>
      <c r="D101" s="10"/>
      <c r="E101" s="10"/>
      <c r="F101" s="10"/>
      <c r="G101" s="10"/>
      <c r="H101" s="10"/>
      <c r="I101" s="10"/>
      <c r="J101" s="10"/>
      <c r="K101" s="10"/>
      <c r="L101" s="10"/>
      <c r="M101" s="10"/>
      <c r="N101" s="10"/>
      <c r="O101" s="10"/>
      <c r="P101" s="10"/>
      <c r="Q101" s="10"/>
      <c r="R101" s="10"/>
      <c r="S101" s="10"/>
      <c r="T101" s="10"/>
      <c r="U101" s="10"/>
      <c r="V101" s="10"/>
      <c r="W101" s="10"/>
    </row>
    <row r="102" customFormat="false" ht="15" hidden="false" customHeight="false" outlineLevel="0" collapsed="false">
      <c r="A102" s="11" t="s">
        <v>446</v>
      </c>
      <c r="B102" s="66" t="n">
        <f aca="false">C102+NPV(Hurdle,D102:W102)</f>
        <v>1162734.14692871</v>
      </c>
      <c r="C102" s="95" t="n">
        <f aca="false">S_Opex_Hi!$B$14</f>
        <v>1162734.14692871</v>
      </c>
      <c r="D102" s="95" t="n">
        <f aca="false">0</f>
        <v>0</v>
      </c>
      <c r="E102" s="95" t="n">
        <f aca="false">0</f>
        <v>0</v>
      </c>
      <c r="F102" s="95" t="n">
        <f aca="false">0</f>
        <v>0</v>
      </c>
      <c r="G102" s="95" t="n">
        <f aca="false">0</f>
        <v>0</v>
      </c>
      <c r="H102" s="95" t="n">
        <f aca="false">0</f>
        <v>0</v>
      </c>
      <c r="I102" s="95" t="n">
        <f aca="false">0</f>
        <v>0</v>
      </c>
      <c r="J102" s="95" t="n">
        <f aca="false">0</f>
        <v>0</v>
      </c>
      <c r="K102" s="95" t="n">
        <f aca="false">0</f>
        <v>0</v>
      </c>
      <c r="L102" s="95" t="n">
        <f aca="false">0</f>
        <v>0</v>
      </c>
      <c r="M102" s="95" t="n">
        <f aca="false">0</f>
        <v>0</v>
      </c>
      <c r="N102" s="95" t="n">
        <f aca="false">0</f>
        <v>0</v>
      </c>
      <c r="O102" s="95" t="n">
        <f aca="false">0</f>
        <v>0</v>
      </c>
      <c r="P102" s="95" t="n">
        <f aca="false">0</f>
        <v>0</v>
      </c>
      <c r="Q102" s="95" t="n">
        <f aca="false">0</f>
        <v>0</v>
      </c>
      <c r="R102" s="95" t="n">
        <f aca="false">0</f>
        <v>0</v>
      </c>
      <c r="S102" s="95" t="n">
        <f aca="false">0</f>
        <v>0</v>
      </c>
      <c r="T102" s="95" t="n">
        <f aca="false">0</f>
        <v>0</v>
      </c>
      <c r="U102" s="95" t="n">
        <f aca="false">0</f>
        <v>0</v>
      </c>
      <c r="V102" s="95" t="n">
        <f aca="false">0</f>
        <v>0</v>
      </c>
      <c r="W102" s="95" t="n">
        <f aca="false">0</f>
        <v>0</v>
      </c>
    </row>
    <row r="103" customFormat="false" ht="15" hidden="false" customHeight="false" outlineLevel="0" collapsed="false">
      <c r="A103" s="11" t="s">
        <v>447</v>
      </c>
      <c r="B103" s="66" t="n">
        <f aca="false">C103+NPV(Hurdle,D103:W103)</f>
        <v>123132.446168426</v>
      </c>
      <c r="C103" s="95" t="n">
        <v>0</v>
      </c>
      <c r="D103" s="95" t="n">
        <f aca="false">IF(AND(D41=1,MOD(D39,BattLife)=0,D39&lt;Life),BESS_kWh*C_BattRepl*LevCapex*$B$7*D44,0)</f>
        <v>0</v>
      </c>
      <c r="E103" s="95" t="n">
        <f aca="false">IF(AND(E41=1,MOD(E39,BattLife)=0,E39&lt;Life),BESS_kWh*C_BattRepl*LevCapex*$B$7*E44,0)</f>
        <v>0</v>
      </c>
      <c r="F103" s="95" t="n">
        <f aca="false">IF(AND(F41=1,MOD(F39,BattLife)=0,F39&lt;Life),BESS_kWh*C_BattRepl*LevCapex*$B$7*F44,0)</f>
        <v>0</v>
      </c>
      <c r="G103" s="95" t="n">
        <f aca="false">IF(AND(G41=1,MOD(G39,BattLife)=0,G39&lt;Life),BESS_kWh*C_BattRepl*LevCapex*$B$7*G44,0)</f>
        <v>0</v>
      </c>
      <c r="H103" s="95" t="n">
        <f aca="false">IF(AND(H41=1,MOD(H39,BattLife)=0,H39&lt;Life),BESS_kWh*C_BattRepl*LevCapex*$B$7*H44,0)</f>
        <v>0</v>
      </c>
      <c r="I103" s="95" t="n">
        <f aca="false">IF(AND(I41=1,MOD(I39,BattLife)=0,I39&lt;Life),BESS_kWh*C_BattRepl*LevCapex*$B$7*I44,0)</f>
        <v>0</v>
      </c>
      <c r="J103" s="95" t="n">
        <f aca="false">IF(AND(J41=1,MOD(J39,BattLife)=0,J39&lt;Life),BESS_kWh*C_BattRepl*LevCapex*$B$7*J44,0)</f>
        <v>0</v>
      </c>
      <c r="K103" s="95" t="n">
        <f aca="false">IF(AND(K41=1,MOD(K39,BattLife)=0,K39&lt;Life),BESS_kWh*C_BattRepl*LevCapex*$B$7*K44,0)</f>
        <v>165903.437704701</v>
      </c>
      <c r="L103" s="95" t="n">
        <f aca="false">IF(AND(L41=1,MOD(L39,BattLife)=0,L39&lt;Life),BESS_kWh*C_BattRepl*LevCapex*$B$7*L44,0)</f>
        <v>0</v>
      </c>
      <c r="M103" s="95" t="n">
        <f aca="false">IF(AND(M41=1,MOD(M39,BattLife)=0,M39&lt;Life),BESS_kWh*C_BattRepl*LevCapex*$B$7*M44,0)</f>
        <v>0</v>
      </c>
      <c r="N103" s="95" t="n">
        <f aca="false">IF(AND(N41=1,MOD(N39,BattLife)=0,N39&lt;Life),BESS_kWh*C_BattRepl*LevCapex*$B$7*N44,0)</f>
        <v>0</v>
      </c>
      <c r="O103" s="95" t="n">
        <f aca="false">IF(AND(O41=1,MOD(O39,BattLife)=0,O39&lt;Life),BESS_kWh*C_BattRepl*LevCapex*$B$7*O44,0)</f>
        <v>0</v>
      </c>
      <c r="P103" s="95" t="n">
        <f aca="false">IF(AND(P41=1,MOD(P39,BattLife)=0,P39&lt;Life),BESS_kWh*C_BattRepl*LevCapex*$B$7*P44,0)</f>
        <v>0</v>
      </c>
      <c r="Q103" s="95" t="n">
        <f aca="false">IF(AND(Q41=1,MOD(Q39,BattLife)=0,Q39&lt;Life),BESS_kWh*C_BattRepl*LevCapex*$B$7*Q44,0)</f>
        <v>0</v>
      </c>
      <c r="R103" s="95" t="n">
        <f aca="false">IF(AND(R41=1,MOD(R39,BattLife)=0,R39&lt;Life),BESS_kWh*C_BattRepl*LevCapex*$B$7*R44,0)</f>
        <v>0</v>
      </c>
      <c r="S103" s="95" t="n">
        <f aca="false">IF(AND(S41=1,MOD(S39,BattLife)=0,S39&lt;Life),BESS_kWh*C_BattRepl*LevCapex*$B$7*S44,0)</f>
        <v>210161.51128367</v>
      </c>
      <c r="T103" s="95" t="n">
        <f aca="false">IF(AND(T41=1,MOD(T39,BattLife)=0,T39&lt;Life),BESS_kWh*C_BattRepl*LevCapex*$B$7*T44,0)</f>
        <v>0</v>
      </c>
      <c r="U103" s="95" t="n">
        <f aca="false">IF(AND(U41=1,MOD(U39,BattLife)=0,U39&lt;Life),BESS_kWh*C_BattRepl*LevCapex*$B$7*U44,0)</f>
        <v>0</v>
      </c>
      <c r="V103" s="95" t="n">
        <f aca="false">IF(AND(V41=1,MOD(V39,BattLife)=0,V39&lt;Life),BESS_kWh*C_BattRepl*LevCapex*$B$7*V44,0)</f>
        <v>0</v>
      </c>
      <c r="W103" s="95" t="n">
        <f aca="false">IF(AND(W41=1,MOD(W39,BattLife)=0,W39&lt;Life),BESS_kWh*C_BattRepl*LevCapex*$B$7*W44,0)</f>
        <v>0</v>
      </c>
    </row>
    <row r="104" customFormat="false" ht="15" hidden="false" customHeight="false" outlineLevel="0" collapsed="false">
      <c r="A104" s="11" t="s">
        <v>448</v>
      </c>
      <c r="B104" s="66" t="n">
        <f aca="false">SUM(C104:W104)</f>
        <v>376064.948988371</v>
      </c>
      <c r="C104" s="95" t="n">
        <v>0</v>
      </c>
      <c r="D104" s="95" t="n">
        <f aca="false">IF(AND(UseMRA=1,D41=1,CEILING(D39,BattLife)&lt;Life),BESS_kWh*C_BattRepl*LevCapex*$B$7*(1+CostEsc)^(CEILING(D39,BattLife)-1)/BattLife,0)</f>
        <v>20737.9297130877</v>
      </c>
      <c r="E104" s="95" t="n">
        <f aca="false">IF(AND(UseMRA=1,E41=1,CEILING(E39,BattLife)&lt;Life),BESS_kWh*C_BattRepl*LevCapex*$B$7*(1+CostEsc)^(CEILING(E39,BattLife)-1)/BattLife,0)</f>
        <v>20737.9297130877</v>
      </c>
      <c r="F104" s="95" t="n">
        <f aca="false">IF(AND(UseMRA=1,F41=1,CEILING(F39,BattLife)&lt;Life),BESS_kWh*C_BattRepl*LevCapex*$B$7*(1+CostEsc)^(CEILING(F39,BattLife)-1)/BattLife,0)</f>
        <v>20737.9297130877</v>
      </c>
      <c r="G104" s="95" t="n">
        <f aca="false">IF(AND(UseMRA=1,G41=1,CEILING(G39,BattLife)&lt;Life),BESS_kWh*C_BattRepl*LevCapex*$B$7*(1+CostEsc)^(CEILING(G39,BattLife)-1)/BattLife,0)</f>
        <v>20737.9297130877</v>
      </c>
      <c r="H104" s="95" t="n">
        <f aca="false">IF(AND(UseMRA=1,H41=1,CEILING(H39,BattLife)&lt;Life),BESS_kWh*C_BattRepl*LevCapex*$B$7*(1+CostEsc)^(CEILING(H39,BattLife)-1)/BattLife,0)</f>
        <v>20737.9297130877</v>
      </c>
      <c r="I104" s="95" t="n">
        <f aca="false">IF(AND(UseMRA=1,I41=1,CEILING(I39,BattLife)&lt;Life),BESS_kWh*C_BattRepl*LevCapex*$B$7*(1+CostEsc)^(CEILING(I39,BattLife)-1)/BattLife,0)</f>
        <v>20737.9297130877</v>
      </c>
      <c r="J104" s="95" t="n">
        <f aca="false">IF(AND(UseMRA=1,J41=1,CEILING(J39,BattLife)&lt;Life),BESS_kWh*C_BattRepl*LevCapex*$B$7*(1+CostEsc)^(CEILING(J39,BattLife)-1)/BattLife,0)</f>
        <v>20737.9297130877</v>
      </c>
      <c r="K104" s="95" t="n">
        <f aca="false">IF(AND(UseMRA=1,K41=1,CEILING(K39,BattLife)&lt;Life),BESS_kWh*C_BattRepl*LevCapex*$B$7*(1+CostEsc)^(CEILING(K39,BattLife)-1)/BattLife,0)</f>
        <v>20737.9297130877</v>
      </c>
      <c r="L104" s="95" t="n">
        <f aca="false">IF(AND(UseMRA=1,L41=1,CEILING(L39,BattLife)&lt;Life),BESS_kWh*C_BattRepl*LevCapex*$B$7*(1+CostEsc)^(CEILING(L39,BattLife)-1)/BattLife,0)</f>
        <v>26270.1889104587</v>
      </c>
      <c r="M104" s="95" t="n">
        <f aca="false">IF(AND(UseMRA=1,M41=1,CEILING(M39,BattLife)&lt;Life),BESS_kWh*C_BattRepl*LevCapex*$B$7*(1+CostEsc)^(CEILING(M39,BattLife)-1)/BattLife,0)</f>
        <v>26270.1889104587</v>
      </c>
      <c r="N104" s="95" t="n">
        <f aca="false">IF(AND(UseMRA=1,N41=1,CEILING(N39,BattLife)&lt;Life),BESS_kWh*C_BattRepl*LevCapex*$B$7*(1+CostEsc)^(CEILING(N39,BattLife)-1)/BattLife,0)</f>
        <v>26270.1889104587</v>
      </c>
      <c r="O104" s="95" t="n">
        <f aca="false">IF(AND(UseMRA=1,O41=1,CEILING(O39,BattLife)&lt;Life),BESS_kWh*C_BattRepl*LevCapex*$B$7*(1+CostEsc)^(CEILING(O39,BattLife)-1)/BattLife,0)</f>
        <v>26270.1889104587</v>
      </c>
      <c r="P104" s="95" t="n">
        <f aca="false">IF(AND(UseMRA=1,P41=1,CEILING(P39,BattLife)&lt;Life),BESS_kWh*C_BattRepl*LevCapex*$B$7*(1+CostEsc)^(CEILING(P39,BattLife)-1)/BattLife,0)</f>
        <v>26270.1889104587</v>
      </c>
      <c r="Q104" s="95" t="n">
        <f aca="false">IF(AND(UseMRA=1,Q41=1,CEILING(Q39,BattLife)&lt;Life),BESS_kWh*C_BattRepl*LevCapex*$B$7*(1+CostEsc)^(CEILING(Q39,BattLife)-1)/BattLife,0)</f>
        <v>26270.1889104587</v>
      </c>
      <c r="R104" s="95" t="n">
        <f aca="false">IF(AND(UseMRA=1,R41=1,CEILING(R39,BattLife)&lt;Life),BESS_kWh*C_BattRepl*LevCapex*$B$7*(1+CostEsc)^(CEILING(R39,BattLife)-1)/BattLife,0)</f>
        <v>26270.1889104587</v>
      </c>
      <c r="S104" s="95" t="n">
        <f aca="false">IF(AND(UseMRA=1,S41=1,CEILING(S39,BattLife)&lt;Life),BESS_kWh*C_BattRepl*LevCapex*$B$7*(1+CostEsc)^(CEILING(S39,BattLife)-1)/BattLife,0)</f>
        <v>26270.1889104587</v>
      </c>
      <c r="T104" s="95" t="n">
        <f aca="false">IF(AND(UseMRA=1,T41=1,CEILING(T39,BattLife)&lt;Life),BESS_kWh*C_BattRepl*LevCapex*$B$7*(1+CostEsc)^(CEILING(T39,BattLife)-1)/BattLife,0)</f>
        <v>0</v>
      </c>
      <c r="U104" s="95" t="n">
        <f aca="false">IF(AND(UseMRA=1,U41=1,CEILING(U39,BattLife)&lt;Life),BESS_kWh*C_BattRepl*LevCapex*$B$7*(1+CostEsc)^(CEILING(U39,BattLife)-1)/BattLife,0)</f>
        <v>0</v>
      </c>
      <c r="V104" s="95" t="n">
        <f aca="false">IF(AND(UseMRA=1,V41=1,CEILING(V39,BattLife)&lt;Life),BESS_kWh*C_BattRepl*LevCapex*$B$7*(1+CostEsc)^(CEILING(V39,BattLife)-1)/BattLife,0)</f>
        <v>0</v>
      </c>
      <c r="W104" s="95" t="n">
        <f aca="false">IF(AND(UseMRA=1,W41=1,CEILING(W39,BattLife)&lt;Life),BESS_kWh*C_BattRepl*LevCapex*$B$7*(1+CostEsc)^(CEILING(W39,BattLife)-1)/BattLife,0)</f>
        <v>0</v>
      </c>
    </row>
    <row r="105" customFormat="false" ht="15" hidden="false" customHeight="false" outlineLevel="0" collapsed="false">
      <c r="A105" s="11" t="s">
        <v>449</v>
      </c>
      <c r="B105" s="66" t="n">
        <f aca="false">SUM(C105:W105)</f>
        <v>376064.948988371</v>
      </c>
      <c r="C105" s="95" t="n">
        <v>0</v>
      </c>
      <c r="D105" s="95" t="n">
        <f aca="false">IF(UseMRA=1,D104,D103)</f>
        <v>20737.9297130877</v>
      </c>
      <c r="E105" s="95" t="n">
        <f aca="false">IF(UseMRA=1,E104,E103)</f>
        <v>20737.9297130877</v>
      </c>
      <c r="F105" s="95" t="n">
        <f aca="false">IF(UseMRA=1,F104,F103)</f>
        <v>20737.9297130877</v>
      </c>
      <c r="G105" s="95" t="n">
        <f aca="false">IF(UseMRA=1,G104,G103)</f>
        <v>20737.9297130877</v>
      </c>
      <c r="H105" s="95" t="n">
        <f aca="false">IF(UseMRA=1,H104,H103)</f>
        <v>20737.9297130877</v>
      </c>
      <c r="I105" s="95" t="n">
        <f aca="false">IF(UseMRA=1,I104,I103)</f>
        <v>20737.9297130877</v>
      </c>
      <c r="J105" s="95" t="n">
        <f aca="false">IF(UseMRA=1,J104,J103)</f>
        <v>20737.9297130877</v>
      </c>
      <c r="K105" s="95" t="n">
        <f aca="false">IF(UseMRA=1,K104,K103)</f>
        <v>20737.9297130877</v>
      </c>
      <c r="L105" s="95" t="n">
        <f aca="false">IF(UseMRA=1,L104,L103)</f>
        <v>26270.1889104587</v>
      </c>
      <c r="M105" s="95" t="n">
        <f aca="false">IF(UseMRA=1,M104,M103)</f>
        <v>26270.1889104587</v>
      </c>
      <c r="N105" s="95" t="n">
        <f aca="false">IF(UseMRA=1,N104,N103)</f>
        <v>26270.1889104587</v>
      </c>
      <c r="O105" s="95" t="n">
        <f aca="false">IF(UseMRA=1,O104,O103)</f>
        <v>26270.1889104587</v>
      </c>
      <c r="P105" s="95" t="n">
        <f aca="false">IF(UseMRA=1,P104,P103)</f>
        <v>26270.1889104587</v>
      </c>
      <c r="Q105" s="95" t="n">
        <f aca="false">IF(UseMRA=1,Q104,Q103)</f>
        <v>26270.1889104587</v>
      </c>
      <c r="R105" s="95" t="n">
        <f aca="false">IF(UseMRA=1,R104,R103)</f>
        <v>26270.1889104587</v>
      </c>
      <c r="S105" s="95" t="n">
        <f aca="false">IF(UseMRA=1,S104,S103)</f>
        <v>26270.1889104587</v>
      </c>
      <c r="T105" s="95" t="n">
        <f aca="false">IF(UseMRA=1,T104,T103)</f>
        <v>0</v>
      </c>
      <c r="U105" s="95" t="n">
        <f aca="false">IF(UseMRA=1,U104,U103)</f>
        <v>0</v>
      </c>
      <c r="V105" s="95" t="n">
        <f aca="false">IF(UseMRA=1,V104,V103)</f>
        <v>0</v>
      </c>
      <c r="W105" s="95" t="n">
        <f aca="false">IF(UseMRA=1,W104,W103)</f>
        <v>0</v>
      </c>
    </row>
    <row r="106" customFormat="false" ht="15" hidden="false" customHeight="false" outlineLevel="0" collapsed="false">
      <c r="A106" s="11" t="s">
        <v>175</v>
      </c>
      <c r="B106" s="66" t="n">
        <f aca="false">SUM(C106:W106)</f>
        <v>600000</v>
      </c>
      <c r="C106" s="95" t="n">
        <f aca="false">Grant</f>
        <v>600000</v>
      </c>
      <c r="D106" s="95" t="n">
        <f aca="false">0</f>
        <v>0</v>
      </c>
      <c r="E106" s="95" t="n">
        <f aca="false">0</f>
        <v>0</v>
      </c>
      <c r="F106" s="95" t="n">
        <f aca="false">0</f>
        <v>0</v>
      </c>
      <c r="G106" s="95" t="n">
        <f aca="false">0</f>
        <v>0</v>
      </c>
      <c r="H106" s="95" t="n">
        <f aca="false">0</f>
        <v>0</v>
      </c>
      <c r="I106" s="95" t="n">
        <f aca="false">0</f>
        <v>0</v>
      </c>
      <c r="J106" s="95" t="n">
        <f aca="false">0</f>
        <v>0</v>
      </c>
      <c r="K106" s="95" t="n">
        <f aca="false">0</f>
        <v>0</v>
      </c>
      <c r="L106" s="95" t="n">
        <f aca="false">0</f>
        <v>0</v>
      </c>
      <c r="M106" s="95" t="n">
        <f aca="false">0</f>
        <v>0</v>
      </c>
      <c r="N106" s="95" t="n">
        <f aca="false">0</f>
        <v>0</v>
      </c>
      <c r="O106" s="95" t="n">
        <f aca="false">0</f>
        <v>0</v>
      </c>
      <c r="P106" s="95" t="n">
        <f aca="false">0</f>
        <v>0</v>
      </c>
      <c r="Q106" s="95" t="n">
        <f aca="false">0</f>
        <v>0</v>
      </c>
      <c r="R106" s="95" t="n">
        <f aca="false">0</f>
        <v>0</v>
      </c>
      <c r="S106" s="95" t="n">
        <f aca="false">0</f>
        <v>0</v>
      </c>
      <c r="T106" s="95" t="n">
        <f aca="false">0</f>
        <v>0</v>
      </c>
      <c r="U106" s="95" t="n">
        <f aca="false">0</f>
        <v>0</v>
      </c>
      <c r="V106" s="95" t="n">
        <f aca="false">0</f>
        <v>0</v>
      </c>
      <c r="W106" s="95" t="n">
        <f aca="false">0</f>
        <v>0</v>
      </c>
    </row>
    <row r="107" customFormat="false" ht="15" hidden="false" customHeight="false" outlineLevel="0" collapsed="false">
      <c r="A107" s="11" t="s">
        <v>450</v>
      </c>
      <c r="B107" s="66" t="n">
        <f aca="false">SUM(C107:W107)</f>
        <v>252000</v>
      </c>
      <c r="C107" s="95" t="n">
        <v>0</v>
      </c>
      <c r="D107" s="95" t="n">
        <f aca="false">D54*Seg1_RBF+D55*Seg2_RBF+D56*Seg3_RBF+D57*Seg4_RBF+D58*Seg5_RBF</f>
        <v>151200</v>
      </c>
      <c r="E107" s="95" t="n">
        <f aca="false">E54*Seg1_RBF+E55*Seg2_RBF+E56*Seg3_RBF+E57*Seg4_RBF+E58*Seg5_RBF</f>
        <v>63000</v>
      </c>
      <c r="F107" s="95" t="n">
        <f aca="false">F54*Seg1_RBF+F55*Seg2_RBF+F56*Seg3_RBF+F57*Seg4_RBF+F58*Seg5_RBF</f>
        <v>37800</v>
      </c>
      <c r="G107" s="95" t="n">
        <f aca="false">G54*Seg1_RBF+G55*Seg2_RBF+G56*Seg3_RBF+G57*Seg4_RBF+G58*Seg5_RBF</f>
        <v>0</v>
      </c>
      <c r="H107" s="95" t="n">
        <f aca="false">H54*Seg1_RBF+H55*Seg2_RBF+H56*Seg3_RBF+H57*Seg4_RBF+H58*Seg5_RBF</f>
        <v>0</v>
      </c>
      <c r="I107" s="95" t="n">
        <f aca="false">I54*Seg1_RBF+I55*Seg2_RBF+I56*Seg3_RBF+I57*Seg4_RBF+I58*Seg5_RBF</f>
        <v>0</v>
      </c>
      <c r="J107" s="95" t="n">
        <f aca="false">J54*Seg1_RBF+J55*Seg2_RBF+J56*Seg3_RBF+J57*Seg4_RBF+J58*Seg5_RBF</f>
        <v>0</v>
      </c>
      <c r="K107" s="95" t="n">
        <f aca="false">K54*Seg1_RBF+K55*Seg2_RBF+K56*Seg3_RBF+K57*Seg4_RBF+K58*Seg5_RBF</f>
        <v>0</v>
      </c>
      <c r="L107" s="95" t="n">
        <f aca="false">L54*Seg1_RBF+L55*Seg2_RBF+L56*Seg3_RBF+L57*Seg4_RBF+L58*Seg5_RBF</f>
        <v>0</v>
      </c>
      <c r="M107" s="95" t="n">
        <f aca="false">M54*Seg1_RBF+M55*Seg2_RBF+M56*Seg3_RBF+M57*Seg4_RBF+M58*Seg5_RBF</f>
        <v>0</v>
      </c>
      <c r="N107" s="95" t="n">
        <f aca="false">N54*Seg1_RBF+N55*Seg2_RBF+N56*Seg3_RBF+N57*Seg4_RBF+N58*Seg5_RBF</f>
        <v>0</v>
      </c>
      <c r="O107" s="95" t="n">
        <f aca="false">O54*Seg1_RBF+O55*Seg2_RBF+O56*Seg3_RBF+O57*Seg4_RBF+O58*Seg5_RBF</f>
        <v>0</v>
      </c>
      <c r="P107" s="95" t="n">
        <f aca="false">P54*Seg1_RBF+P55*Seg2_RBF+P56*Seg3_RBF+P57*Seg4_RBF+P58*Seg5_RBF</f>
        <v>0</v>
      </c>
      <c r="Q107" s="95" t="n">
        <f aca="false">Q54*Seg1_RBF+Q55*Seg2_RBF+Q56*Seg3_RBF+Q57*Seg4_RBF+Q58*Seg5_RBF</f>
        <v>0</v>
      </c>
      <c r="R107" s="95" t="n">
        <f aca="false">R54*Seg1_RBF+R55*Seg2_RBF+R56*Seg3_RBF+R57*Seg4_RBF+R58*Seg5_RBF</f>
        <v>0</v>
      </c>
      <c r="S107" s="95" t="n">
        <f aca="false">S54*Seg1_RBF+S55*Seg2_RBF+S56*Seg3_RBF+S57*Seg4_RBF+S58*Seg5_RBF</f>
        <v>0</v>
      </c>
      <c r="T107" s="95" t="n">
        <f aca="false">T54*Seg1_RBF+T55*Seg2_RBF+T56*Seg3_RBF+T57*Seg4_RBF+T58*Seg5_RBF</f>
        <v>0</v>
      </c>
      <c r="U107" s="95" t="n">
        <f aca="false">U54*Seg1_RBF+U55*Seg2_RBF+U56*Seg3_RBF+U57*Seg4_RBF+U58*Seg5_RBF</f>
        <v>0</v>
      </c>
      <c r="V107" s="95" t="n">
        <f aca="false">V54*Seg1_RBF+V55*Seg2_RBF+V56*Seg3_RBF+V57*Seg4_RBF+V58*Seg5_RBF</f>
        <v>0</v>
      </c>
      <c r="W107" s="95" t="n">
        <f aca="false">W54*Seg1_RBF+W55*Seg2_RBF+W56*Seg3_RBF+W57*Seg4_RBF+W58*Seg5_RBF</f>
        <v>0</v>
      </c>
    </row>
    <row r="108" customFormat="false" ht="15" hidden="false" customHeight="false" outlineLevel="0" collapsed="false">
      <c r="A108" s="11" t="s">
        <v>451</v>
      </c>
      <c r="B108" s="66" t="n">
        <f aca="false">SUM(C108:W108)</f>
        <v>252000</v>
      </c>
      <c r="C108" s="95" t="n">
        <v>0</v>
      </c>
      <c r="D108" s="95" t="n">
        <f aca="false">IF(D39-RBFLag&gt;=1,INDEX($C$107:$W$107,1,D39-RBFLag+1),0)</f>
        <v>151200</v>
      </c>
      <c r="E108" s="95" t="n">
        <f aca="false">IF(E39-RBFLag&gt;=1,INDEX($C$107:$W$107,1,E39-RBFLag+1),0)</f>
        <v>63000</v>
      </c>
      <c r="F108" s="95" t="n">
        <f aca="false">IF(F39-RBFLag&gt;=1,INDEX($C$107:$W$107,1,F39-RBFLag+1),0)</f>
        <v>37800</v>
      </c>
      <c r="G108" s="95" t="n">
        <f aca="false">IF(G39-RBFLag&gt;=1,INDEX($C$107:$W$107,1,G39-RBFLag+1),0)</f>
        <v>0</v>
      </c>
      <c r="H108" s="95" t="n">
        <f aca="false">IF(H39-RBFLag&gt;=1,INDEX($C$107:$W$107,1,H39-RBFLag+1),0)</f>
        <v>0</v>
      </c>
      <c r="I108" s="95" t="n">
        <f aca="false">IF(I39-RBFLag&gt;=1,INDEX($C$107:$W$107,1,I39-RBFLag+1),0)</f>
        <v>0</v>
      </c>
      <c r="J108" s="95" t="n">
        <f aca="false">IF(J39-RBFLag&gt;=1,INDEX($C$107:$W$107,1,J39-RBFLag+1),0)</f>
        <v>0</v>
      </c>
      <c r="K108" s="95" t="n">
        <f aca="false">IF(K39-RBFLag&gt;=1,INDEX($C$107:$W$107,1,K39-RBFLag+1),0)</f>
        <v>0</v>
      </c>
      <c r="L108" s="95" t="n">
        <f aca="false">IF(L39-RBFLag&gt;=1,INDEX($C$107:$W$107,1,L39-RBFLag+1),0)</f>
        <v>0</v>
      </c>
      <c r="M108" s="95" t="n">
        <f aca="false">IF(M39-RBFLag&gt;=1,INDEX($C$107:$W$107,1,M39-RBFLag+1),0)</f>
        <v>0</v>
      </c>
      <c r="N108" s="95" t="n">
        <f aca="false">IF(N39-RBFLag&gt;=1,INDEX($C$107:$W$107,1,N39-RBFLag+1),0)</f>
        <v>0</v>
      </c>
      <c r="O108" s="95" t="n">
        <f aca="false">IF(O39-RBFLag&gt;=1,INDEX($C$107:$W$107,1,O39-RBFLag+1),0)</f>
        <v>0</v>
      </c>
      <c r="P108" s="95" t="n">
        <f aca="false">IF(P39-RBFLag&gt;=1,INDEX($C$107:$W$107,1,P39-RBFLag+1),0)</f>
        <v>0</v>
      </c>
      <c r="Q108" s="95" t="n">
        <f aca="false">IF(Q39-RBFLag&gt;=1,INDEX($C$107:$W$107,1,Q39-RBFLag+1),0)</f>
        <v>0</v>
      </c>
      <c r="R108" s="95" t="n">
        <f aca="false">IF(R39-RBFLag&gt;=1,INDEX($C$107:$W$107,1,R39-RBFLag+1),0)</f>
        <v>0</v>
      </c>
      <c r="S108" s="95" t="n">
        <f aca="false">IF(S39-RBFLag&gt;=1,INDEX($C$107:$W$107,1,S39-RBFLag+1),0)</f>
        <v>0</v>
      </c>
      <c r="T108" s="95" t="n">
        <f aca="false">IF(T39-RBFLag&gt;=1,INDEX($C$107:$W$107,1,T39-RBFLag+1),0)</f>
        <v>0</v>
      </c>
      <c r="U108" s="95" t="n">
        <f aca="false">IF(U39-RBFLag&gt;=1,INDEX($C$107:$W$107,1,U39-RBFLag+1),0)</f>
        <v>0</v>
      </c>
      <c r="V108" s="95" t="n">
        <f aca="false">IF(V39-RBFLag&gt;=1,INDEX($C$107:$W$107,1,V39-RBFLag+1),0)</f>
        <v>0</v>
      </c>
      <c r="W108" s="95" t="n">
        <f aca="false">IF(W39-RBFLag&gt;=1,INDEX($C$107:$W$107,1,W39-RBFLag+1),0)</f>
        <v>0</v>
      </c>
    </row>
    <row r="109" customFormat="false" ht="15" hidden="false" customHeight="false" outlineLevel="0" collapsed="false">
      <c r="A109" s="11" t="s">
        <v>452</v>
      </c>
      <c r="B109" s="76" t="n">
        <f aca="false">SUM(C109:W109)</f>
        <v>970</v>
      </c>
      <c r="C109" s="93" t="n">
        <v>0</v>
      </c>
      <c r="D109" s="93" t="n">
        <f aca="false">IF(D39-RBFLag&gt;=1,INDEX($C$59:$W$59,1,D39-RBFLag+1),0)</f>
        <v>582</v>
      </c>
      <c r="E109" s="93" t="n">
        <f aca="false">IF(E39-RBFLag&gt;=1,INDEX($C$59:$W$59,1,E39-RBFLag+1),0)</f>
        <v>242.5</v>
      </c>
      <c r="F109" s="93" t="n">
        <f aca="false">IF(F39-RBFLag&gt;=1,INDEX($C$59:$W$59,1,F39-RBFLag+1),0)</f>
        <v>145.5</v>
      </c>
      <c r="G109" s="93" t="n">
        <f aca="false">IF(G39-RBFLag&gt;=1,INDEX($C$59:$W$59,1,G39-RBFLag+1),0)</f>
        <v>0</v>
      </c>
      <c r="H109" s="93" t="n">
        <f aca="false">IF(H39-RBFLag&gt;=1,INDEX($C$59:$W$59,1,H39-RBFLag+1),0)</f>
        <v>0</v>
      </c>
      <c r="I109" s="93" t="n">
        <f aca="false">IF(I39-RBFLag&gt;=1,INDEX($C$59:$W$59,1,I39-RBFLag+1),0)</f>
        <v>0</v>
      </c>
      <c r="J109" s="93" t="n">
        <f aca="false">IF(J39-RBFLag&gt;=1,INDEX($C$59:$W$59,1,J39-RBFLag+1),0)</f>
        <v>0</v>
      </c>
      <c r="K109" s="93" t="n">
        <f aca="false">IF(K39-RBFLag&gt;=1,INDEX($C$59:$W$59,1,K39-RBFLag+1),0)</f>
        <v>0</v>
      </c>
      <c r="L109" s="93" t="n">
        <f aca="false">IF(L39-RBFLag&gt;=1,INDEX($C$59:$W$59,1,L39-RBFLag+1),0)</f>
        <v>0</v>
      </c>
      <c r="M109" s="93" t="n">
        <f aca="false">IF(M39-RBFLag&gt;=1,INDEX($C$59:$W$59,1,M39-RBFLag+1),0)</f>
        <v>0</v>
      </c>
      <c r="N109" s="93" t="n">
        <f aca="false">IF(N39-RBFLag&gt;=1,INDEX($C$59:$W$59,1,N39-RBFLag+1),0)</f>
        <v>0</v>
      </c>
      <c r="O109" s="93" t="n">
        <f aca="false">IF(O39-RBFLag&gt;=1,INDEX($C$59:$W$59,1,O39-RBFLag+1),0)</f>
        <v>0</v>
      </c>
      <c r="P109" s="93" t="n">
        <f aca="false">IF(P39-RBFLag&gt;=1,INDEX($C$59:$W$59,1,P39-RBFLag+1),0)</f>
        <v>0</v>
      </c>
      <c r="Q109" s="93" t="n">
        <f aca="false">IF(Q39-RBFLag&gt;=1,INDEX($C$59:$W$59,1,Q39-RBFLag+1),0)</f>
        <v>0</v>
      </c>
      <c r="R109" s="93" t="n">
        <f aca="false">IF(R39-RBFLag&gt;=1,INDEX($C$59:$W$59,1,R39-RBFLag+1),0)</f>
        <v>0</v>
      </c>
      <c r="S109" s="93" t="n">
        <f aca="false">IF(S39-RBFLag&gt;=1,INDEX($C$59:$W$59,1,S39-RBFLag+1),0)</f>
        <v>0</v>
      </c>
      <c r="T109" s="93" t="n">
        <f aca="false">IF(T39-RBFLag&gt;=1,INDEX($C$59:$W$59,1,T39-RBFLag+1),0)</f>
        <v>0</v>
      </c>
      <c r="U109" s="93" t="n">
        <f aca="false">IF(U39-RBFLag&gt;=1,INDEX($C$59:$W$59,1,U39-RBFLag+1),0)</f>
        <v>0</v>
      </c>
      <c r="V109" s="93" t="n">
        <f aca="false">IF(V39-RBFLag&gt;=1,INDEX($C$59:$W$59,1,V39-RBFLag+1),0)</f>
        <v>0</v>
      </c>
      <c r="W109" s="93" t="n">
        <f aca="false">IF(W39-RBFLag&gt;=1,INDEX($C$59:$W$59,1,W39-RBFLag+1),0)</f>
        <v>0</v>
      </c>
    </row>
    <row r="111" customFormat="false" ht="15" hidden="false" customHeight="false" outlineLevel="0" collapsed="false">
      <c r="A111" s="9" t="s">
        <v>453</v>
      </c>
      <c r="B111" s="10"/>
      <c r="C111" s="10"/>
      <c r="D111" s="10"/>
      <c r="E111" s="10"/>
      <c r="F111" s="10"/>
      <c r="G111" s="10"/>
      <c r="H111" s="10"/>
      <c r="I111" s="10"/>
      <c r="J111" s="10"/>
      <c r="K111" s="10"/>
      <c r="L111" s="10"/>
      <c r="M111" s="10"/>
      <c r="N111" s="10"/>
      <c r="O111" s="10"/>
      <c r="P111" s="10"/>
      <c r="Q111" s="10"/>
      <c r="R111" s="10"/>
      <c r="S111" s="10"/>
      <c r="T111" s="10"/>
      <c r="U111" s="10"/>
      <c r="V111" s="10"/>
      <c r="W111" s="10"/>
    </row>
    <row r="112" customFormat="false" ht="15" hidden="false" customHeight="false" outlineLevel="0" collapsed="false">
      <c r="A112" s="11" t="s">
        <v>454</v>
      </c>
      <c r="C112" s="95" t="n">
        <v>0</v>
      </c>
      <c r="D112" s="95" t="n">
        <f aca="false">C116</f>
        <v>112546.829385741</v>
      </c>
      <c r="E112" s="95" t="n">
        <f aca="false">D116</f>
        <v>112546.829385741</v>
      </c>
      <c r="F112" s="95" t="n">
        <f aca="false">E116</f>
        <v>112546.829385741</v>
      </c>
      <c r="G112" s="95" t="n">
        <f aca="false">F116</f>
        <v>102705.282458945</v>
      </c>
      <c r="H112" s="95" t="n">
        <f aca="false">G116</f>
        <v>91879.5808394692</v>
      </c>
      <c r="I112" s="95" t="n">
        <f aca="false">H116</f>
        <v>79971.3090580457</v>
      </c>
      <c r="J112" s="95" t="n">
        <f aca="false">I116</f>
        <v>66872.2100984798</v>
      </c>
      <c r="K112" s="95" t="n">
        <f aca="false">J116</f>
        <v>52463.2012429573</v>
      </c>
      <c r="L112" s="95" t="n">
        <f aca="false">K116</f>
        <v>36613.2915018826</v>
      </c>
      <c r="M112" s="95" t="n">
        <f aca="false">L116</f>
        <v>19178.3907867004</v>
      </c>
      <c r="N112" s="95" t="n">
        <f aca="false">M116</f>
        <v>0</v>
      </c>
      <c r="O112" s="95" t="n">
        <f aca="false">N116</f>
        <v>0</v>
      </c>
      <c r="P112" s="95" t="n">
        <f aca="false">O116</f>
        <v>0</v>
      </c>
      <c r="Q112" s="95" t="n">
        <f aca="false">P116</f>
        <v>0</v>
      </c>
      <c r="R112" s="95" t="n">
        <f aca="false">Q116</f>
        <v>0</v>
      </c>
      <c r="S112" s="95" t="n">
        <f aca="false">R116</f>
        <v>0</v>
      </c>
      <c r="T112" s="95" t="n">
        <f aca="false">S116</f>
        <v>0</v>
      </c>
      <c r="U112" s="95" t="n">
        <f aca="false">T116</f>
        <v>0</v>
      </c>
      <c r="V112" s="95" t="n">
        <f aca="false">U116</f>
        <v>0</v>
      </c>
      <c r="W112" s="95" t="n">
        <f aca="false">V116</f>
        <v>0</v>
      </c>
    </row>
    <row r="113" customFormat="false" ht="15" hidden="false" customHeight="false" outlineLevel="0" collapsed="false">
      <c r="A113" s="11" t="s">
        <v>455</v>
      </c>
      <c r="B113" s="66" t="n">
        <f aca="false">SUM(C113:W113)</f>
        <v>112546.829385741</v>
      </c>
      <c r="C113" s="95" t="n">
        <f aca="false">S_Opex_Hi!$B$16</f>
        <v>112546.829385741</v>
      </c>
      <c r="D113" s="95" t="n">
        <f aca="false">0</f>
        <v>0</v>
      </c>
      <c r="E113" s="95" t="n">
        <f aca="false">0</f>
        <v>0</v>
      </c>
      <c r="F113" s="95" t="n">
        <f aca="false">0</f>
        <v>0</v>
      </c>
      <c r="G113" s="95" t="n">
        <f aca="false">0</f>
        <v>0</v>
      </c>
      <c r="H113" s="95" t="n">
        <f aca="false">0</f>
        <v>0</v>
      </c>
      <c r="I113" s="95" t="n">
        <f aca="false">0</f>
        <v>0</v>
      </c>
      <c r="J113" s="95" t="n">
        <f aca="false">0</f>
        <v>0</v>
      </c>
      <c r="K113" s="95" t="n">
        <f aca="false">0</f>
        <v>0</v>
      </c>
      <c r="L113" s="95" t="n">
        <f aca="false">0</f>
        <v>0</v>
      </c>
      <c r="M113" s="95" t="n">
        <f aca="false">0</f>
        <v>0</v>
      </c>
      <c r="N113" s="95" t="n">
        <f aca="false">0</f>
        <v>0</v>
      </c>
      <c r="O113" s="95" t="n">
        <f aca="false">0</f>
        <v>0</v>
      </c>
      <c r="P113" s="95" t="n">
        <f aca="false">0</f>
        <v>0</v>
      </c>
      <c r="Q113" s="95" t="n">
        <f aca="false">0</f>
        <v>0</v>
      </c>
      <c r="R113" s="95" t="n">
        <f aca="false">0</f>
        <v>0</v>
      </c>
      <c r="S113" s="95" t="n">
        <f aca="false">0</f>
        <v>0</v>
      </c>
      <c r="T113" s="95" t="n">
        <f aca="false">0</f>
        <v>0</v>
      </c>
      <c r="U113" s="95" t="n">
        <f aca="false">0</f>
        <v>0</v>
      </c>
      <c r="V113" s="95" t="n">
        <f aca="false">0</f>
        <v>0</v>
      </c>
      <c r="W113" s="95" t="n">
        <f aca="false">0</f>
        <v>0</v>
      </c>
    </row>
    <row r="114" customFormat="false" ht="15" hidden="false" customHeight="false" outlineLevel="0" collapsed="false">
      <c r="A114" s="11" t="s">
        <v>456</v>
      </c>
      <c r="B114" s="66" t="n">
        <f aca="false">SUM(C114:W114)</f>
        <v>78732.3754143705</v>
      </c>
      <c r="C114" s="95" t="n">
        <v>0</v>
      </c>
      <c r="D114" s="95" t="n">
        <f aca="false">D112*SenRate*$B$11</f>
        <v>11254.6829385742</v>
      </c>
      <c r="E114" s="95" t="n">
        <f aca="false">E112*SenRate*$B$11</f>
        <v>11254.6829385742</v>
      </c>
      <c r="F114" s="95" t="n">
        <f aca="false">F112*SenRate*$B$11</f>
        <v>11254.6829385742</v>
      </c>
      <c r="G114" s="95" t="n">
        <f aca="false">G112*SenRate*$B$11</f>
        <v>10270.5282458945</v>
      </c>
      <c r="H114" s="95" t="n">
        <f aca="false">H112*SenRate*$B$11</f>
        <v>9187.95808394693</v>
      </c>
      <c r="I114" s="95" t="n">
        <f aca="false">I112*SenRate*$B$11</f>
        <v>7997.13090580457</v>
      </c>
      <c r="J114" s="95" t="n">
        <f aca="false">J112*SenRate*$B$11</f>
        <v>6687.22100984798</v>
      </c>
      <c r="K114" s="95" t="n">
        <f aca="false">K112*SenRate*$B$11</f>
        <v>5246.32012429573</v>
      </c>
      <c r="L114" s="95" t="n">
        <f aca="false">L112*SenRate*$B$11</f>
        <v>3661.32915018826</v>
      </c>
      <c r="M114" s="95" t="n">
        <f aca="false">M112*SenRate*$B$11</f>
        <v>1917.83907867004</v>
      </c>
      <c r="N114" s="95" t="n">
        <f aca="false">N112*SenRate*$B$11</f>
        <v>0</v>
      </c>
      <c r="O114" s="95" t="n">
        <f aca="false">O112*SenRate*$B$11</f>
        <v>0</v>
      </c>
      <c r="P114" s="95" t="n">
        <f aca="false">P112*SenRate*$B$11</f>
        <v>0</v>
      </c>
      <c r="Q114" s="95" t="n">
        <f aca="false">Q112*SenRate*$B$11</f>
        <v>0</v>
      </c>
      <c r="R114" s="95" t="n">
        <f aca="false">R112*SenRate*$B$11</f>
        <v>0</v>
      </c>
      <c r="S114" s="95" t="n">
        <f aca="false">S112*SenRate*$B$11</f>
        <v>0</v>
      </c>
      <c r="T114" s="95" t="n">
        <f aca="false">T112*SenRate*$B$11</f>
        <v>0</v>
      </c>
      <c r="U114" s="95" t="n">
        <f aca="false">U112*SenRate*$B$11</f>
        <v>0</v>
      </c>
      <c r="V114" s="95" t="n">
        <f aca="false">V112*SenRate*$B$11</f>
        <v>0</v>
      </c>
      <c r="W114" s="95" t="n">
        <f aca="false">W112*SenRate*$B$11</f>
        <v>0</v>
      </c>
    </row>
    <row r="115" customFormat="false" ht="15" hidden="false" customHeight="false" outlineLevel="0" collapsed="false">
      <c r="A115" s="11" t="s">
        <v>457</v>
      </c>
      <c r="B115" s="66" t="n">
        <f aca="false">SUM(C115:W115)</f>
        <v>112546.829385742</v>
      </c>
      <c r="C115" s="95" t="n">
        <v>0</v>
      </c>
      <c r="D115" s="95" t="n">
        <f aca="false">IF(AND(D39&gt;SenGrace,D39&lt;=SenTenor),PMT(SenRate*$B$11,SenTenor-SenGrace,-S_Opex_Hi!$B$16)-D114,0)</f>
        <v>0</v>
      </c>
      <c r="E115" s="95" t="n">
        <f aca="false">IF(AND(E39&gt;SenGrace,E39&lt;=SenTenor),PMT(SenRate*$B$11,SenTenor-SenGrace,-S_Opex_Hi!$B$16)-E114,0)</f>
        <v>0</v>
      </c>
      <c r="F115" s="95" t="n">
        <f aca="false">IF(AND(F39&gt;SenGrace,F39&lt;=SenTenor),PMT(SenRate*$B$11,SenTenor-SenGrace,-S_Opex_Hi!$B$16)-F114,0)</f>
        <v>9841.54692679631</v>
      </c>
      <c r="G115" s="95" t="n">
        <f aca="false">IF(AND(G39&gt;SenGrace,G39&lt;=SenTenor),PMT(SenRate*$B$11,SenTenor-SenGrace,-S_Opex_Hi!$B$16)-G114,0)</f>
        <v>10825.7016194759</v>
      </c>
      <c r="H115" s="95" t="n">
        <f aca="false">IF(AND(H39&gt;SenGrace,H39&lt;=SenTenor),PMT(SenRate*$B$11,SenTenor-SenGrace,-S_Opex_Hi!$B$16)-H114,0)</f>
        <v>11908.2717814235</v>
      </c>
      <c r="I115" s="95" t="n">
        <f aca="false">IF(AND(I39&gt;SenGrace,I39&lt;=SenTenor),PMT(SenRate*$B$11,SenTenor-SenGrace,-S_Opex_Hi!$B$16)-I114,0)</f>
        <v>13099.0989595659</v>
      </c>
      <c r="J115" s="95" t="n">
        <f aca="false">IF(AND(J39&gt;SenGrace,J39&lt;=SenTenor),PMT(SenRate*$B$11,SenTenor-SenGrace,-S_Opex_Hi!$B$16)-J114,0)</f>
        <v>14409.0088555225</v>
      </c>
      <c r="K115" s="95" t="n">
        <f aca="false">IF(AND(K39&gt;SenGrace,K39&lt;=SenTenor),PMT(SenRate*$B$11,SenTenor-SenGrace,-S_Opex_Hi!$B$16)-K114,0)</f>
        <v>15849.9097410747</v>
      </c>
      <c r="L115" s="95" t="n">
        <f aca="false">IF(AND(L39&gt;SenGrace,L39&lt;=SenTenor),PMT(SenRate*$B$11,SenTenor-SenGrace,-S_Opex_Hi!$B$16)-L114,0)</f>
        <v>17434.9007151822</v>
      </c>
      <c r="M115" s="95" t="n">
        <f aca="false">IF(AND(M39&gt;SenGrace,M39&lt;=SenTenor),PMT(SenRate*$B$11,SenTenor-SenGrace,-S_Opex_Hi!$B$16)-M114,0)</f>
        <v>19178.3907867004</v>
      </c>
      <c r="N115" s="95" t="n">
        <f aca="false">IF(AND(N39&gt;SenGrace,N39&lt;=SenTenor),PMT(SenRate*$B$11,SenTenor-SenGrace,-S_Opex_Hi!$B$16)-N114,0)</f>
        <v>0</v>
      </c>
      <c r="O115" s="95" t="n">
        <f aca="false">IF(AND(O39&gt;SenGrace,O39&lt;=SenTenor),PMT(SenRate*$B$11,SenTenor-SenGrace,-S_Opex_Hi!$B$16)-O114,0)</f>
        <v>0</v>
      </c>
      <c r="P115" s="95" t="n">
        <f aca="false">IF(AND(P39&gt;SenGrace,P39&lt;=SenTenor),PMT(SenRate*$B$11,SenTenor-SenGrace,-S_Opex_Hi!$B$16)-P114,0)</f>
        <v>0</v>
      </c>
      <c r="Q115" s="95" t="n">
        <f aca="false">IF(AND(Q39&gt;SenGrace,Q39&lt;=SenTenor),PMT(SenRate*$B$11,SenTenor-SenGrace,-S_Opex_Hi!$B$16)-Q114,0)</f>
        <v>0</v>
      </c>
      <c r="R115" s="95" t="n">
        <f aca="false">IF(AND(R39&gt;SenGrace,R39&lt;=SenTenor),PMT(SenRate*$B$11,SenTenor-SenGrace,-S_Opex_Hi!$B$16)-R114,0)</f>
        <v>0</v>
      </c>
      <c r="S115" s="95" t="n">
        <f aca="false">IF(AND(S39&gt;SenGrace,S39&lt;=SenTenor),PMT(SenRate*$B$11,SenTenor-SenGrace,-S_Opex_Hi!$B$16)-S114,0)</f>
        <v>0</v>
      </c>
      <c r="T115" s="95" t="n">
        <f aca="false">IF(AND(T39&gt;SenGrace,T39&lt;=SenTenor),PMT(SenRate*$B$11,SenTenor-SenGrace,-S_Opex_Hi!$B$16)-T114,0)</f>
        <v>0</v>
      </c>
      <c r="U115" s="95" t="n">
        <f aca="false">IF(AND(U39&gt;SenGrace,U39&lt;=SenTenor),PMT(SenRate*$B$11,SenTenor-SenGrace,-S_Opex_Hi!$B$16)-U114,0)</f>
        <v>0</v>
      </c>
      <c r="V115" s="95" t="n">
        <f aca="false">IF(AND(V39&gt;SenGrace,V39&lt;=SenTenor),PMT(SenRate*$B$11,SenTenor-SenGrace,-S_Opex_Hi!$B$16)-V114,0)</f>
        <v>0</v>
      </c>
      <c r="W115" s="95" t="n">
        <f aca="false">IF(AND(W39&gt;SenGrace,W39&lt;=SenTenor),PMT(SenRate*$B$11,SenTenor-SenGrace,-S_Opex_Hi!$B$16)-W114,0)</f>
        <v>0</v>
      </c>
    </row>
    <row r="116" customFormat="false" ht="15" hidden="false" customHeight="false" outlineLevel="0" collapsed="false">
      <c r="A116" s="11" t="s">
        <v>458</v>
      </c>
      <c r="C116" s="95" t="n">
        <f aca="false">0+C113-0</f>
        <v>112546.829385741</v>
      </c>
      <c r="D116" s="95" t="n">
        <f aca="false">D112+D113-D115</f>
        <v>112546.829385741</v>
      </c>
      <c r="E116" s="95" t="n">
        <f aca="false">E112+E113-E115</f>
        <v>112546.829385741</v>
      </c>
      <c r="F116" s="95" t="n">
        <f aca="false">F112+F113-F115</f>
        <v>102705.282458945</v>
      </c>
      <c r="G116" s="95" t="n">
        <f aca="false">G112+G113-G115</f>
        <v>91879.5808394692</v>
      </c>
      <c r="H116" s="95" t="n">
        <f aca="false">H112+H113-H115</f>
        <v>79971.3090580457</v>
      </c>
      <c r="I116" s="95" t="n">
        <f aca="false">I112+I113-I115</f>
        <v>66872.2100984798</v>
      </c>
      <c r="J116" s="95" t="n">
        <f aca="false">J112+J113-J115</f>
        <v>52463.2012429573</v>
      </c>
      <c r="K116" s="95" t="n">
        <f aca="false">K112+K113-K115</f>
        <v>36613.2915018826</v>
      </c>
      <c r="L116" s="95" t="n">
        <f aca="false">L112+L113-L115</f>
        <v>19178.3907867004</v>
      </c>
      <c r="M116" s="95" t="n">
        <f aca="false">M112+M113-M115</f>
        <v>0</v>
      </c>
      <c r="N116" s="95" t="n">
        <f aca="false">N112+N113-N115</f>
        <v>0</v>
      </c>
      <c r="O116" s="95" t="n">
        <f aca="false">O112+O113-O115</f>
        <v>0</v>
      </c>
      <c r="P116" s="95" t="n">
        <f aca="false">P112+P113-P115</f>
        <v>0</v>
      </c>
      <c r="Q116" s="95" t="n">
        <f aca="false">Q112+Q113-Q115</f>
        <v>0</v>
      </c>
      <c r="R116" s="95" t="n">
        <f aca="false">R112+R113-R115</f>
        <v>0</v>
      </c>
      <c r="S116" s="95" t="n">
        <f aca="false">S112+S113-S115</f>
        <v>0</v>
      </c>
      <c r="T116" s="95" t="n">
        <f aca="false">T112+T113-T115</f>
        <v>0</v>
      </c>
      <c r="U116" s="95" t="n">
        <f aca="false">U112+U113-U115</f>
        <v>0</v>
      </c>
      <c r="V116" s="95" t="n">
        <f aca="false">V112+V113-V115</f>
        <v>0</v>
      </c>
      <c r="W116" s="95" t="n">
        <f aca="false">W112+W113-W115</f>
        <v>0</v>
      </c>
    </row>
    <row r="118" customFormat="false" ht="15" hidden="false" customHeight="false" outlineLevel="0" collapsed="false">
      <c r="A118" s="9" t="s">
        <v>459</v>
      </c>
      <c r="B118" s="10"/>
      <c r="C118" s="10"/>
      <c r="D118" s="10"/>
      <c r="E118" s="10"/>
      <c r="F118" s="10"/>
      <c r="G118" s="10"/>
      <c r="H118" s="10"/>
      <c r="I118" s="10"/>
      <c r="J118" s="10"/>
      <c r="K118" s="10"/>
      <c r="L118" s="10"/>
      <c r="M118" s="10"/>
      <c r="N118" s="10"/>
      <c r="O118" s="10"/>
      <c r="P118" s="10"/>
      <c r="Q118" s="10"/>
      <c r="R118" s="10"/>
      <c r="S118" s="10"/>
      <c r="T118" s="10"/>
      <c r="U118" s="10"/>
      <c r="V118" s="10"/>
      <c r="W118" s="10"/>
    </row>
    <row r="119" customFormat="false" ht="15" hidden="false" customHeight="false" outlineLevel="0" collapsed="false">
      <c r="A119" s="11" t="s">
        <v>454</v>
      </c>
      <c r="C119" s="95" t="n">
        <v>0</v>
      </c>
      <c r="D119" s="95" t="n">
        <f aca="false">C123</f>
        <v>112546.829385741</v>
      </c>
      <c r="E119" s="95" t="n">
        <f aca="false">D123</f>
        <v>112546.829385741</v>
      </c>
      <c r="F119" s="95" t="n">
        <f aca="false">E123</f>
        <v>112546.829385741</v>
      </c>
      <c r="G119" s="95" t="n">
        <f aca="false">F123</f>
        <v>112546.829385741</v>
      </c>
      <c r="H119" s="95" t="n">
        <f aca="false">G123</f>
        <v>112546.829385741</v>
      </c>
      <c r="I119" s="95" t="n">
        <f aca="false">H123</f>
        <v>112546.829385741</v>
      </c>
      <c r="J119" s="95" t="n">
        <f aca="false">I123</f>
        <v>102729.312441619</v>
      </c>
      <c r="K119" s="95" t="n">
        <f aca="false">J123</f>
        <v>92617.2699891724</v>
      </c>
      <c r="L119" s="95" t="n">
        <f aca="false">K123</f>
        <v>82201.8662631527</v>
      </c>
      <c r="M119" s="95" t="n">
        <f aca="false">L123</f>
        <v>71474.0004253523</v>
      </c>
      <c r="N119" s="95" t="n">
        <f aca="false">M123</f>
        <v>60424.2986124179</v>
      </c>
      <c r="O119" s="95" t="n">
        <f aca="false">N123</f>
        <v>49043.1057450955</v>
      </c>
      <c r="P119" s="95" t="n">
        <f aca="false">O123</f>
        <v>37320.4770917535</v>
      </c>
      <c r="Q119" s="95" t="n">
        <f aca="false">P123</f>
        <v>25246.1695788111</v>
      </c>
      <c r="R119" s="95" t="n">
        <f aca="false">Q123</f>
        <v>12809.6328404805</v>
      </c>
      <c r="S119" s="95" t="n">
        <f aca="false">R123</f>
        <v>0</v>
      </c>
      <c r="T119" s="95" t="n">
        <f aca="false">S123</f>
        <v>0</v>
      </c>
      <c r="U119" s="95" t="n">
        <f aca="false">T123</f>
        <v>0</v>
      </c>
      <c r="V119" s="95" t="n">
        <f aca="false">U123</f>
        <v>0</v>
      </c>
      <c r="W119" s="95" t="n">
        <f aca="false">V123</f>
        <v>0</v>
      </c>
    </row>
    <row r="120" customFormat="false" ht="15" hidden="false" customHeight="false" outlineLevel="0" collapsed="false">
      <c r="A120" s="11" t="s">
        <v>455</v>
      </c>
      <c r="B120" s="66" t="n">
        <f aca="false">SUM(C120:W120)</f>
        <v>112546.829385741</v>
      </c>
      <c r="C120" s="95" t="n">
        <f aca="false">S_Opex_Hi!$B$17</f>
        <v>112546.829385741</v>
      </c>
      <c r="D120" s="95" t="n">
        <f aca="false">0</f>
        <v>0</v>
      </c>
      <c r="E120" s="95" t="n">
        <f aca="false">0</f>
        <v>0</v>
      </c>
      <c r="F120" s="95" t="n">
        <f aca="false">0</f>
        <v>0</v>
      </c>
      <c r="G120" s="95" t="n">
        <f aca="false">0</f>
        <v>0</v>
      </c>
      <c r="H120" s="95" t="n">
        <f aca="false">0</f>
        <v>0</v>
      </c>
      <c r="I120" s="95" t="n">
        <f aca="false">0</f>
        <v>0</v>
      </c>
      <c r="J120" s="95" t="n">
        <f aca="false">0</f>
        <v>0</v>
      </c>
      <c r="K120" s="95" t="n">
        <f aca="false">0</f>
        <v>0</v>
      </c>
      <c r="L120" s="95" t="n">
        <f aca="false">0</f>
        <v>0</v>
      </c>
      <c r="M120" s="95" t="n">
        <f aca="false">0</f>
        <v>0</v>
      </c>
      <c r="N120" s="95" t="n">
        <f aca="false">0</f>
        <v>0</v>
      </c>
      <c r="O120" s="95" t="n">
        <f aca="false">0</f>
        <v>0</v>
      </c>
      <c r="P120" s="95" t="n">
        <f aca="false">0</f>
        <v>0</v>
      </c>
      <c r="Q120" s="95" t="n">
        <f aca="false">0</f>
        <v>0</v>
      </c>
      <c r="R120" s="95" t="n">
        <f aca="false">0</f>
        <v>0</v>
      </c>
      <c r="S120" s="95" t="n">
        <f aca="false">0</f>
        <v>0</v>
      </c>
      <c r="T120" s="95" t="n">
        <f aca="false">0</f>
        <v>0</v>
      </c>
      <c r="U120" s="95" t="n">
        <f aca="false">0</f>
        <v>0</v>
      </c>
      <c r="V120" s="95" t="n">
        <f aca="false">0</f>
        <v>0</v>
      </c>
      <c r="W120" s="95" t="n">
        <f aca="false">0</f>
        <v>0</v>
      </c>
    </row>
    <row r="121" customFormat="false" ht="15" hidden="false" customHeight="false" outlineLevel="0" collapsed="false">
      <c r="A121" s="11" t="s">
        <v>456</v>
      </c>
      <c r="B121" s="66" t="n">
        <f aca="false">SUM(C121:W121)</f>
        <v>36274.4132790691</v>
      </c>
      <c r="C121" s="95" t="n">
        <v>0</v>
      </c>
      <c r="D121" s="95" t="n">
        <f aca="false">D119*ConRate*$B$11</f>
        <v>3376.40488157224</v>
      </c>
      <c r="E121" s="95" t="n">
        <f aca="false">E119*ConRate*$B$11</f>
        <v>3376.40488157224</v>
      </c>
      <c r="F121" s="95" t="n">
        <f aca="false">F119*ConRate*$B$11</f>
        <v>3376.40488157224</v>
      </c>
      <c r="G121" s="95" t="n">
        <f aca="false">G119*ConRate*$B$11</f>
        <v>3376.40488157224</v>
      </c>
      <c r="H121" s="95" t="n">
        <f aca="false">H119*ConRate*$B$11</f>
        <v>3376.40488157224</v>
      </c>
      <c r="I121" s="95" t="n">
        <f aca="false">I119*ConRate*$B$11</f>
        <v>3376.40488157224</v>
      </c>
      <c r="J121" s="95" t="n">
        <f aca="false">J119*ConRate*$B$11</f>
        <v>3081.87937324856</v>
      </c>
      <c r="K121" s="95" t="n">
        <f aca="false">K119*ConRate*$B$11</f>
        <v>2778.51809967517</v>
      </c>
      <c r="L121" s="95" t="n">
        <f aca="false">L119*ConRate*$B$11</f>
        <v>2466.05598789458</v>
      </c>
      <c r="M121" s="95" t="n">
        <f aca="false">M119*ConRate*$B$11</f>
        <v>2144.22001276057</v>
      </c>
      <c r="N121" s="95" t="n">
        <f aca="false">N119*ConRate*$B$11</f>
        <v>1812.72895837254</v>
      </c>
      <c r="O121" s="95" t="n">
        <f aca="false">O119*ConRate*$B$11</f>
        <v>1471.29317235287</v>
      </c>
      <c r="P121" s="95" t="n">
        <f aca="false">P119*ConRate*$B$11</f>
        <v>1119.6143127526</v>
      </c>
      <c r="Q121" s="95" t="n">
        <f aca="false">Q119*ConRate*$B$11</f>
        <v>757.385087364333</v>
      </c>
      <c r="R121" s="95" t="n">
        <f aca="false">R119*ConRate*$B$11</f>
        <v>384.288985214415</v>
      </c>
      <c r="S121" s="95" t="n">
        <f aca="false">S119*ConRate*$B$11</f>
        <v>0</v>
      </c>
      <c r="T121" s="95" t="n">
        <f aca="false">T119*ConRate*$B$11</f>
        <v>0</v>
      </c>
      <c r="U121" s="95" t="n">
        <f aca="false">U119*ConRate*$B$11</f>
        <v>0</v>
      </c>
      <c r="V121" s="95" t="n">
        <f aca="false">V119*ConRate*$B$11</f>
        <v>0</v>
      </c>
      <c r="W121" s="95" t="n">
        <f aca="false">W119*ConRate*$B$11</f>
        <v>0</v>
      </c>
    </row>
    <row r="122" customFormat="false" ht="15" hidden="false" customHeight="false" outlineLevel="0" collapsed="false">
      <c r="A122" s="11" t="s">
        <v>457</v>
      </c>
      <c r="B122" s="66" t="n">
        <f aca="false">SUM(C122:W122)</f>
        <v>112546.829385742</v>
      </c>
      <c r="C122" s="95" t="n">
        <v>0</v>
      </c>
      <c r="D122" s="95" t="n">
        <f aca="false">IF(AND(D39&gt;ConGrace,D39&lt;=ConTenor),PMT(ConRate*$B$11,ConTenor-ConGrace,-S_Opex_Hi!$B$17)-D121,0)</f>
        <v>0</v>
      </c>
      <c r="E122" s="95" t="n">
        <f aca="false">IF(AND(E39&gt;ConGrace,E39&lt;=ConTenor),PMT(ConRate*$B$11,ConTenor-ConGrace,-S_Opex_Hi!$B$17)-E121,0)</f>
        <v>0</v>
      </c>
      <c r="F122" s="95" t="n">
        <f aca="false">IF(AND(F39&gt;ConGrace,F39&lt;=ConTenor),PMT(ConRate*$B$11,ConTenor-ConGrace,-S_Opex_Hi!$B$17)-F121,0)</f>
        <v>0</v>
      </c>
      <c r="G122" s="95" t="n">
        <f aca="false">IF(AND(G39&gt;ConGrace,G39&lt;=ConTenor),PMT(ConRate*$B$11,ConTenor-ConGrace,-S_Opex_Hi!$B$17)-G121,0)</f>
        <v>0</v>
      </c>
      <c r="H122" s="95" t="n">
        <f aca="false">IF(AND(H39&gt;ConGrace,H39&lt;=ConTenor),PMT(ConRate*$B$11,ConTenor-ConGrace,-S_Opex_Hi!$B$17)-H121,0)</f>
        <v>0</v>
      </c>
      <c r="I122" s="95" t="n">
        <f aca="false">IF(AND(I39&gt;ConGrace,I39&lt;=ConTenor),PMT(ConRate*$B$11,ConTenor-ConGrace,-S_Opex_Hi!$B$17)-I121,0)</f>
        <v>9817.51694412269</v>
      </c>
      <c r="J122" s="95" t="n">
        <f aca="false">IF(AND(J39&gt;ConGrace,J39&lt;=ConTenor),PMT(ConRate*$B$11,ConTenor-ConGrace,-S_Opex_Hi!$B$17)-J121,0)</f>
        <v>10112.0424524464</v>
      </c>
      <c r="K122" s="95" t="n">
        <f aca="false">IF(AND(K39&gt;ConGrace,K39&lt;=ConTenor),PMT(ConRate*$B$11,ConTenor-ConGrace,-S_Opex_Hi!$B$17)-K121,0)</f>
        <v>10415.4037260198</v>
      </c>
      <c r="L122" s="95" t="n">
        <f aca="false">IF(AND(L39&gt;ConGrace,L39&lt;=ConTenor),PMT(ConRate*$B$11,ConTenor-ConGrace,-S_Opex_Hi!$B$17)-L121,0)</f>
        <v>10727.8658378004</v>
      </c>
      <c r="M122" s="95" t="n">
        <f aca="false">IF(AND(M39&gt;ConGrace,M39&lt;=ConTenor),PMT(ConRate*$B$11,ConTenor-ConGrace,-S_Opex_Hi!$B$17)-M121,0)</f>
        <v>11049.7018129344</v>
      </c>
      <c r="N122" s="95" t="n">
        <f aca="false">IF(AND(N39&gt;ConGrace,N39&lt;=ConTenor),PMT(ConRate*$B$11,ConTenor-ConGrace,-S_Opex_Hi!$B$17)-N121,0)</f>
        <v>11381.1928673224</v>
      </c>
      <c r="O122" s="95" t="n">
        <f aca="false">IF(AND(O39&gt;ConGrace,O39&lt;=ConTenor),PMT(ConRate*$B$11,ConTenor-ConGrace,-S_Opex_Hi!$B$17)-O121,0)</f>
        <v>11722.6286533421</v>
      </c>
      <c r="P122" s="95" t="n">
        <f aca="false">IF(AND(P39&gt;ConGrace,P39&lt;=ConTenor),PMT(ConRate*$B$11,ConTenor-ConGrace,-S_Opex_Hi!$B$17)-P121,0)</f>
        <v>12074.3075129423</v>
      </c>
      <c r="Q122" s="95" t="n">
        <f aca="false">IF(AND(Q39&gt;ConGrace,Q39&lt;=ConTenor),PMT(ConRate*$B$11,ConTenor-ConGrace,-S_Opex_Hi!$B$17)-Q121,0)</f>
        <v>12436.5367383306</v>
      </c>
      <c r="R122" s="95" t="n">
        <f aca="false">IF(AND(R39&gt;ConGrace,R39&lt;=ConTenor),PMT(ConRate*$B$11,ConTenor-ConGrace,-S_Opex_Hi!$B$17)-R121,0)</f>
        <v>12809.6328404805</v>
      </c>
      <c r="S122" s="95" t="n">
        <f aca="false">IF(AND(S39&gt;ConGrace,S39&lt;=ConTenor),PMT(ConRate*$B$11,ConTenor-ConGrace,-S_Opex_Hi!$B$17)-S121,0)</f>
        <v>0</v>
      </c>
      <c r="T122" s="95" t="n">
        <f aca="false">IF(AND(T39&gt;ConGrace,T39&lt;=ConTenor),PMT(ConRate*$B$11,ConTenor-ConGrace,-S_Opex_Hi!$B$17)-T121,0)</f>
        <v>0</v>
      </c>
      <c r="U122" s="95" t="n">
        <f aca="false">IF(AND(U39&gt;ConGrace,U39&lt;=ConTenor),PMT(ConRate*$B$11,ConTenor-ConGrace,-S_Opex_Hi!$B$17)-U121,0)</f>
        <v>0</v>
      </c>
      <c r="V122" s="95" t="n">
        <f aca="false">IF(AND(V39&gt;ConGrace,V39&lt;=ConTenor),PMT(ConRate*$B$11,ConTenor-ConGrace,-S_Opex_Hi!$B$17)-V121,0)</f>
        <v>0</v>
      </c>
      <c r="W122" s="95" t="n">
        <f aca="false">IF(AND(W39&gt;ConGrace,W39&lt;=ConTenor),PMT(ConRate*$B$11,ConTenor-ConGrace,-S_Opex_Hi!$B$17)-W121,0)</f>
        <v>0</v>
      </c>
    </row>
    <row r="123" customFormat="false" ht="15" hidden="false" customHeight="false" outlineLevel="0" collapsed="false">
      <c r="A123" s="11" t="s">
        <v>458</v>
      </c>
      <c r="C123" s="95" t="n">
        <f aca="false">0+C120-0</f>
        <v>112546.829385741</v>
      </c>
      <c r="D123" s="95" t="n">
        <f aca="false">D119+D120-D122</f>
        <v>112546.829385741</v>
      </c>
      <c r="E123" s="95" t="n">
        <f aca="false">E119+E120-E122</f>
        <v>112546.829385741</v>
      </c>
      <c r="F123" s="95" t="n">
        <f aca="false">F119+F120-F122</f>
        <v>112546.829385741</v>
      </c>
      <c r="G123" s="95" t="n">
        <f aca="false">G119+G120-G122</f>
        <v>112546.829385741</v>
      </c>
      <c r="H123" s="95" t="n">
        <f aca="false">H119+H120-H122</f>
        <v>112546.829385741</v>
      </c>
      <c r="I123" s="95" t="n">
        <f aca="false">I119+I120-I122</f>
        <v>102729.312441619</v>
      </c>
      <c r="J123" s="95" t="n">
        <f aca="false">J119+J120-J122</f>
        <v>92617.2699891724</v>
      </c>
      <c r="K123" s="95" t="n">
        <f aca="false">K119+K120-K122</f>
        <v>82201.8662631527</v>
      </c>
      <c r="L123" s="95" t="n">
        <f aca="false">L119+L120-L122</f>
        <v>71474.0004253523</v>
      </c>
      <c r="M123" s="95" t="n">
        <f aca="false">M119+M120-M122</f>
        <v>60424.2986124179</v>
      </c>
      <c r="N123" s="95" t="n">
        <f aca="false">N119+N120-N122</f>
        <v>49043.1057450955</v>
      </c>
      <c r="O123" s="95" t="n">
        <f aca="false">O119+O120-O122</f>
        <v>37320.4770917535</v>
      </c>
      <c r="P123" s="95" t="n">
        <f aca="false">P119+P120-P122</f>
        <v>25246.1695788111</v>
      </c>
      <c r="Q123" s="95" t="n">
        <f aca="false">Q119+Q120-Q122</f>
        <v>12809.6328404805</v>
      </c>
      <c r="R123" s="95" t="n">
        <f aca="false">R119+R120-R122</f>
        <v>0</v>
      </c>
      <c r="S123" s="95" t="n">
        <f aca="false">S119+S120-S122</f>
        <v>0</v>
      </c>
      <c r="T123" s="95" t="n">
        <f aca="false">T119+T120-T122</f>
        <v>0</v>
      </c>
      <c r="U123" s="95" t="n">
        <f aca="false">U119+U120-U122</f>
        <v>0</v>
      </c>
      <c r="V123" s="95" t="n">
        <f aca="false">V119+V120-V122</f>
        <v>0</v>
      </c>
      <c r="W123" s="95" t="n">
        <f aca="false">W119+W120-W122</f>
        <v>0</v>
      </c>
    </row>
    <row r="125" customFormat="false" ht="15" hidden="false" customHeight="false" outlineLevel="0" collapsed="false">
      <c r="A125" s="16" t="s">
        <v>460</v>
      </c>
      <c r="B125" s="66" t="n">
        <f aca="false">SUM(C125:W125)</f>
        <v>340100.447464923</v>
      </c>
      <c r="C125" s="31" t="n">
        <v>0</v>
      </c>
      <c r="D125" s="31" t="n">
        <f aca="false">D114+D115+D121+D122</f>
        <v>14631.0878201464</v>
      </c>
      <c r="E125" s="31" t="n">
        <f aca="false">E114+E115+E121+E122</f>
        <v>14631.0878201464</v>
      </c>
      <c r="F125" s="31" t="n">
        <f aca="false">F114+F115+F121+F122</f>
        <v>24472.6347469427</v>
      </c>
      <c r="G125" s="31" t="n">
        <f aca="false">G114+G115+G121+G122</f>
        <v>24472.6347469427</v>
      </c>
      <c r="H125" s="31" t="n">
        <f aca="false">H114+H115+H121+H122</f>
        <v>24472.6347469427</v>
      </c>
      <c r="I125" s="31" t="n">
        <f aca="false">I114+I115+I121+I122</f>
        <v>34290.1516910654</v>
      </c>
      <c r="J125" s="31" t="n">
        <f aca="false">J114+J115+J121+J122</f>
        <v>34290.1516910654</v>
      </c>
      <c r="K125" s="31" t="n">
        <f aca="false">K114+K115+K121+K122</f>
        <v>34290.1516910654</v>
      </c>
      <c r="L125" s="31" t="n">
        <f aca="false">L114+L115+L121+L122</f>
        <v>34290.1516910654</v>
      </c>
      <c r="M125" s="31" t="n">
        <f aca="false">M114+M115+M121+M122</f>
        <v>34290.1516910654</v>
      </c>
      <c r="N125" s="31" t="n">
        <f aca="false">N114+N115+N121+N122</f>
        <v>13193.9218256949</v>
      </c>
      <c r="O125" s="31" t="n">
        <f aca="false">O114+O115+O121+O122</f>
        <v>13193.9218256949</v>
      </c>
      <c r="P125" s="31" t="n">
        <f aca="false">P114+P115+P121+P122</f>
        <v>13193.9218256949</v>
      </c>
      <c r="Q125" s="31" t="n">
        <f aca="false">Q114+Q115+Q121+Q122</f>
        <v>13193.9218256949</v>
      </c>
      <c r="R125" s="31" t="n">
        <f aca="false">R114+R115+R121+R122</f>
        <v>13193.9218256949</v>
      </c>
      <c r="S125" s="31" t="n">
        <f aca="false">S114+S115+S121+S122</f>
        <v>0</v>
      </c>
      <c r="T125" s="31" t="n">
        <f aca="false">T114+T115+T121+T122</f>
        <v>0</v>
      </c>
      <c r="U125" s="31" t="n">
        <f aca="false">U114+U115+U121+U122</f>
        <v>0</v>
      </c>
      <c r="V125" s="31" t="n">
        <f aca="false">V114+V115+V121+V122</f>
        <v>0</v>
      </c>
      <c r="W125" s="31" t="n">
        <f aca="false">W114+W115+W121+W122</f>
        <v>0</v>
      </c>
    </row>
    <row r="126" customFormat="false" ht="15" hidden="false" customHeight="false" outlineLevel="0" collapsed="false">
      <c r="A126" s="11" t="s">
        <v>461</v>
      </c>
      <c r="C126" s="96" t="n">
        <v>0</v>
      </c>
      <c r="D126" s="96" t="n">
        <f aca="false">IF(D39&lt;=SenGrace,SenRate*$B$11,IF(D39&lt;=SenTenor,PMT(SenRate*$B$11,SenTenor-SenGrace,-1),0))</f>
        <v>0.1</v>
      </c>
      <c r="E126" s="96" t="n">
        <f aca="false">IF(E39&lt;=SenGrace,SenRate*$B$11,IF(E39&lt;=SenTenor,PMT(SenRate*$B$11,SenTenor-SenGrace,-1),0))</f>
        <v>0.1</v>
      </c>
      <c r="F126" s="96" t="n">
        <f aca="false">IF(F39&lt;=SenGrace,SenRate*$B$11,IF(F39&lt;=SenTenor,PMT(SenRate*$B$11,SenTenor-SenGrace,-1),0))</f>
        <v>0.187444017574813</v>
      </c>
      <c r="G126" s="96" t="n">
        <f aca="false">IF(G39&lt;=SenGrace,SenRate*$B$11,IF(G39&lt;=SenTenor,PMT(SenRate*$B$11,SenTenor-SenGrace,-1),0))</f>
        <v>0.187444017574813</v>
      </c>
      <c r="H126" s="96" t="n">
        <f aca="false">IF(H39&lt;=SenGrace,SenRate*$B$11,IF(H39&lt;=SenTenor,PMT(SenRate*$B$11,SenTenor-SenGrace,-1),0))</f>
        <v>0.187444017574813</v>
      </c>
      <c r="I126" s="96" t="n">
        <f aca="false">IF(I39&lt;=SenGrace,SenRate*$B$11,IF(I39&lt;=SenTenor,PMT(SenRate*$B$11,SenTenor-SenGrace,-1),0))</f>
        <v>0.187444017574813</v>
      </c>
      <c r="J126" s="96" t="n">
        <f aca="false">IF(J39&lt;=SenGrace,SenRate*$B$11,IF(J39&lt;=SenTenor,PMT(SenRate*$B$11,SenTenor-SenGrace,-1),0))</f>
        <v>0.187444017574813</v>
      </c>
      <c r="K126" s="96" t="n">
        <f aca="false">IF(K39&lt;=SenGrace,SenRate*$B$11,IF(K39&lt;=SenTenor,PMT(SenRate*$B$11,SenTenor-SenGrace,-1),0))</f>
        <v>0.187444017574813</v>
      </c>
      <c r="L126" s="96" t="n">
        <f aca="false">IF(L39&lt;=SenGrace,SenRate*$B$11,IF(L39&lt;=SenTenor,PMT(SenRate*$B$11,SenTenor-SenGrace,-1),0))</f>
        <v>0.187444017574813</v>
      </c>
      <c r="M126" s="96" t="n">
        <f aca="false">IF(M39&lt;=SenGrace,SenRate*$B$11,IF(M39&lt;=SenTenor,PMT(SenRate*$B$11,SenTenor-SenGrace,-1),0))</f>
        <v>0.187444017574813</v>
      </c>
      <c r="N126" s="96" t="n">
        <f aca="false">IF(N39&lt;=SenGrace,SenRate*$B$11,IF(N39&lt;=SenTenor,PMT(SenRate*$B$11,SenTenor-SenGrace,-1),0))</f>
        <v>0</v>
      </c>
      <c r="O126" s="96" t="n">
        <f aca="false">IF(O39&lt;=SenGrace,SenRate*$B$11,IF(O39&lt;=SenTenor,PMT(SenRate*$B$11,SenTenor-SenGrace,-1),0))</f>
        <v>0</v>
      </c>
      <c r="P126" s="96" t="n">
        <f aca="false">IF(P39&lt;=SenGrace,SenRate*$B$11,IF(P39&lt;=SenTenor,PMT(SenRate*$B$11,SenTenor-SenGrace,-1),0))</f>
        <v>0</v>
      </c>
      <c r="Q126" s="96" t="n">
        <f aca="false">IF(Q39&lt;=SenGrace,SenRate*$B$11,IF(Q39&lt;=SenTenor,PMT(SenRate*$B$11,SenTenor-SenGrace,-1),0))</f>
        <v>0</v>
      </c>
      <c r="R126" s="96" t="n">
        <f aca="false">IF(R39&lt;=SenGrace,SenRate*$B$11,IF(R39&lt;=SenTenor,PMT(SenRate*$B$11,SenTenor-SenGrace,-1),0))</f>
        <v>0</v>
      </c>
      <c r="S126" s="96" t="n">
        <f aca="false">IF(S39&lt;=SenGrace,SenRate*$B$11,IF(S39&lt;=SenTenor,PMT(SenRate*$B$11,SenTenor-SenGrace,-1),0))</f>
        <v>0</v>
      </c>
      <c r="T126" s="96" t="n">
        <f aca="false">IF(T39&lt;=SenGrace,SenRate*$B$11,IF(T39&lt;=SenTenor,PMT(SenRate*$B$11,SenTenor-SenGrace,-1),0))</f>
        <v>0</v>
      </c>
      <c r="U126" s="96" t="n">
        <f aca="false">IF(U39&lt;=SenGrace,SenRate*$B$11,IF(U39&lt;=SenTenor,PMT(SenRate*$B$11,SenTenor-SenGrace,-1),0))</f>
        <v>0</v>
      </c>
      <c r="V126" s="96" t="n">
        <f aca="false">IF(V39&lt;=SenGrace,SenRate*$B$11,IF(V39&lt;=SenTenor,PMT(SenRate*$B$11,SenTenor-SenGrace,-1),0))</f>
        <v>0</v>
      </c>
      <c r="W126" s="96" t="n">
        <f aca="false">IF(W39&lt;=SenGrace,SenRate*$B$11,IF(W39&lt;=SenTenor,PMT(SenRate*$B$11,SenTenor-SenGrace,-1),0))</f>
        <v>0</v>
      </c>
    </row>
    <row r="127" customFormat="false" ht="15" hidden="false" customHeight="false" outlineLevel="0" collapsed="false">
      <c r="A127" s="11" t="s">
        <v>462</v>
      </c>
      <c r="C127" s="95" t="n">
        <v>0</v>
      </c>
      <c r="D127" s="95" t="n">
        <f aca="false">IF(D126&gt;0,(D147/MinDSCR-D121-D122)/D126,1000000000000)</f>
        <v>972346.127418994</v>
      </c>
      <c r="E127" s="95" t="n">
        <f aca="false">IF(E126&gt;0,(E147/MinDSCR-E121-E122)/E126,1000000000000)</f>
        <v>484113.10116653</v>
      </c>
      <c r="F127" s="95" t="n">
        <f aca="false">IF(F126&gt;0,(F147/MinDSCR-F121-F122)/F126,1000000000000)</f>
        <v>235012.562976371</v>
      </c>
      <c r="G127" s="95" t="n">
        <f aca="false">IF(G126&gt;0,(G147/MinDSCR-G121-G122)/G126,1000000000000)</f>
        <v>92804.5638852685</v>
      </c>
      <c r="H127" s="95" t="n">
        <f aca="false">IF(H126&gt;0,(H147/MinDSCR-H121-H122)/H126,1000000000000)</f>
        <v>114062.83714132</v>
      </c>
      <c r="I127" s="95" t="n">
        <f aca="false">IF(I126&gt;0,(I147/MinDSCR-I121-I122)/I126,1000000000000)</f>
        <v>84519.8104565243</v>
      </c>
      <c r="J127" s="95" t="n">
        <f aca="false">IF(J126&gt;0,(J147/MinDSCR-J121-J122)/J126,1000000000000)</f>
        <v>101216.152039249</v>
      </c>
      <c r="K127" s="95" t="n">
        <f aca="false">IF(K126&gt;0,(K147/MinDSCR-K121-K122)/K126,1000000000000)</f>
        <v>94224.9172110211</v>
      </c>
      <c r="L127" s="95" t="n">
        <f aca="false">IF(L126&gt;0,(L147/MinDSCR-L121-L122)/L126,1000000000000)</f>
        <v>63594.9493990465</v>
      </c>
      <c r="M127" s="95" t="n">
        <f aca="false">IF(M126&gt;0,(M147/MinDSCR-M121-M122)/M126,1000000000000)</f>
        <v>54664.6369181594</v>
      </c>
      <c r="N127" s="95" t="n">
        <f aca="false">IF(N126&gt;0,(N147/MinDSCR-N121-N122)/N126,1000000000000)</f>
        <v>1000000000000</v>
      </c>
      <c r="O127" s="95" t="n">
        <f aca="false">IF(O126&gt;0,(O147/MinDSCR-O121-O122)/O126,1000000000000)</f>
        <v>1000000000000</v>
      </c>
      <c r="P127" s="95" t="n">
        <f aca="false">IF(P126&gt;0,(P147/MinDSCR-P121-P122)/P126,1000000000000)</f>
        <v>1000000000000</v>
      </c>
      <c r="Q127" s="95" t="n">
        <f aca="false">IF(Q126&gt;0,(Q147/MinDSCR-Q121-Q122)/Q126,1000000000000)</f>
        <v>1000000000000</v>
      </c>
      <c r="R127" s="95" t="n">
        <f aca="false">IF(R126&gt;0,(R147/MinDSCR-R121-R122)/R126,1000000000000)</f>
        <v>1000000000000</v>
      </c>
      <c r="S127" s="95" t="n">
        <f aca="false">IF(S126&gt;0,(S147/MinDSCR-S121-S122)/S126,1000000000000)</f>
        <v>1000000000000</v>
      </c>
      <c r="T127" s="95" t="n">
        <f aca="false">IF(T126&gt;0,(T147/MinDSCR-T121-T122)/T126,1000000000000)</f>
        <v>1000000000000</v>
      </c>
      <c r="U127" s="95" t="n">
        <f aca="false">IF(U126&gt;0,(U147/MinDSCR-U121-U122)/U126,1000000000000)</f>
        <v>1000000000000</v>
      </c>
      <c r="V127" s="95" t="n">
        <f aca="false">IF(V126&gt;0,(V147/MinDSCR-V121-V122)/V126,1000000000000)</f>
        <v>1000000000000</v>
      </c>
      <c r="W127" s="95" t="n">
        <f aca="false">IF(W126&gt;0,(W147/MinDSCR-W121-W122)/W126,1000000000000)</f>
        <v>1000000000000</v>
      </c>
    </row>
    <row r="128" customFormat="false" ht="15" hidden="false" customHeight="false" outlineLevel="0" collapsed="false">
      <c r="A128" s="11" t="s">
        <v>463</v>
      </c>
      <c r="C128" s="95" t="n">
        <f aca="false">DSRAPct*D125</f>
        <v>7315.5439100732</v>
      </c>
      <c r="D128" s="95" t="n">
        <f aca="false">DSRAPct*E125</f>
        <v>7315.5439100732</v>
      </c>
      <c r="E128" s="95" t="n">
        <f aca="false">DSRAPct*F125</f>
        <v>12236.3173734714</v>
      </c>
      <c r="F128" s="95" t="n">
        <f aca="false">DSRAPct*G125</f>
        <v>12236.3173734714</v>
      </c>
      <c r="G128" s="95" t="n">
        <f aca="false">DSRAPct*H125</f>
        <v>12236.3173734714</v>
      </c>
      <c r="H128" s="95" t="n">
        <f aca="false">DSRAPct*I125</f>
        <v>17145.0758455327</v>
      </c>
      <c r="I128" s="95" t="n">
        <f aca="false">DSRAPct*J125</f>
        <v>17145.0758455327</v>
      </c>
      <c r="J128" s="95" t="n">
        <f aca="false">DSRAPct*K125</f>
        <v>17145.0758455327</v>
      </c>
      <c r="K128" s="95" t="n">
        <f aca="false">DSRAPct*L125</f>
        <v>17145.0758455327</v>
      </c>
      <c r="L128" s="95" t="n">
        <f aca="false">DSRAPct*M125</f>
        <v>17145.0758455327</v>
      </c>
      <c r="M128" s="95" t="n">
        <f aca="false">DSRAPct*N125</f>
        <v>6596.96091284747</v>
      </c>
      <c r="N128" s="95" t="n">
        <f aca="false">DSRAPct*O125</f>
        <v>6596.96091284747</v>
      </c>
      <c r="O128" s="95" t="n">
        <f aca="false">DSRAPct*P125</f>
        <v>6596.96091284747</v>
      </c>
      <c r="P128" s="95" t="n">
        <f aca="false">DSRAPct*Q125</f>
        <v>6596.96091284747</v>
      </c>
      <c r="Q128" s="95" t="n">
        <f aca="false">DSRAPct*R125</f>
        <v>6596.96091284747</v>
      </c>
      <c r="R128" s="95" t="n">
        <f aca="false">DSRAPct*S125</f>
        <v>0</v>
      </c>
      <c r="S128" s="95" t="n">
        <f aca="false">DSRAPct*T125</f>
        <v>0</v>
      </c>
      <c r="T128" s="95" t="n">
        <f aca="false">DSRAPct*U125</f>
        <v>0</v>
      </c>
      <c r="U128" s="95" t="n">
        <f aca="false">DSRAPct*V125</f>
        <v>0</v>
      </c>
      <c r="V128" s="95" t="n">
        <f aca="false">DSRAPct*W125</f>
        <v>0</v>
      </c>
      <c r="W128" s="95" t="n">
        <f aca="false">0</f>
        <v>0</v>
      </c>
    </row>
    <row r="129" customFormat="false" ht="15" hidden="false" customHeight="false" outlineLevel="0" collapsed="false">
      <c r="A129" s="11" t="s">
        <v>464</v>
      </c>
      <c r="B129" s="66" t="n">
        <f aca="false">SUM(C129:W129)</f>
        <v>0</v>
      </c>
      <c r="C129" s="95" t="n">
        <f aca="false">C128</f>
        <v>7315.5439100732</v>
      </c>
      <c r="D129" s="95" t="n">
        <f aca="false">D128-C128</f>
        <v>0</v>
      </c>
      <c r="E129" s="95" t="n">
        <f aca="false">E128-D128</f>
        <v>4920.77346339816</v>
      </c>
      <c r="F129" s="95" t="n">
        <f aca="false">F128-E128</f>
        <v>0</v>
      </c>
      <c r="G129" s="95" t="n">
        <f aca="false">G128-F128</f>
        <v>0</v>
      </c>
      <c r="H129" s="95" t="n">
        <f aca="false">H128-G128</f>
        <v>4908.75847206135</v>
      </c>
      <c r="I129" s="95" t="n">
        <f aca="false">I128-H128</f>
        <v>0</v>
      </c>
      <c r="J129" s="95" t="n">
        <f aca="false">J128-I128</f>
        <v>0</v>
      </c>
      <c r="K129" s="95" t="n">
        <f aca="false">K128-J128</f>
        <v>0</v>
      </c>
      <c r="L129" s="95" t="n">
        <f aca="false">L128-K128</f>
        <v>0</v>
      </c>
      <c r="M129" s="95" t="n">
        <f aca="false">M128-L128</f>
        <v>-10548.1149326852</v>
      </c>
      <c r="N129" s="95" t="n">
        <f aca="false">N128-M128</f>
        <v>0</v>
      </c>
      <c r="O129" s="95" t="n">
        <f aca="false">O128-N128</f>
        <v>0</v>
      </c>
      <c r="P129" s="95" t="n">
        <f aca="false">P128-O128</f>
        <v>0</v>
      </c>
      <c r="Q129" s="95" t="n">
        <f aca="false">Q128-P128</f>
        <v>0</v>
      </c>
      <c r="R129" s="95" t="n">
        <f aca="false">R128-Q128</f>
        <v>-6596.96091284747</v>
      </c>
      <c r="S129" s="95" t="n">
        <f aca="false">S128-R128</f>
        <v>0</v>
      </c>
      <c r="T129" s="95" t="n">
        <f aca="false">T128-S128</f>
        <v>0</v>
      </c>
      <c r="U129" s="95" t="n">
        <f aca="false">U128-T128</f>
        <v>0</v>
      </c>
      <c r="V129" s="95" t="n">
        <f aca="false">V128-U128</f>
        <v>0</v>
      </c>
      <c r="W129" s="95" t="n">
        <f aca="false">W128-V128</f>
        <v>0</v>
      </c>
    </row>
    <row r="131" customFormat="false" ht="15" hidden="false" customHeight="false" outlineLevel="0" collapsed="false">
      <c r="A131" s="9" t="s">
        <v>465</v>
      </c>
      <c r="B131" s="10"/>
      <c r="C131" s="10"/>
      <c r="D131" s="10"/>
      <c r="E131" s="10"/>
      <c r="F131" s="10"/>
      <c r="G131" s="10"/>
      <c r="H131" s="10"/>
      <c r="I131" s="10"/>
      <c r="J131" s="10"/>
      <c r="K131" s="10"/>
      <c r="L131" s="10"/>
      <c r="M131" s="10"/>
      <c r="N131" s="10"/>
      <c r="O131" s="10"/>
      <c r="P131" s="10"/>
      <c r="Q131" s="10"/>
      <c r="R131" s="10"/>
      <c r="S131" s="10"/>
      <c r="T131" s="10"/>
      <c r="U131" s="10"/>
      <c r="V131" s="10"/>
      <c r="W131" s="10"/>
    </row>
    <row r="132" customFormat="false" ht="15" hidden="false" customHeight="false" outlineLevel="0" collapsed="false">
      <c r="A132" s="11" t="s">
        <v>466</v>
      </c>
      <c r="B132" s="66" t="n">
        <f aca="false">SUM(C132:W132)</f>
        <v>1162734.14692871</v>
      </c>
      <c r="C132" s="95" t="n">
        <v>0</v>
      </c>
      <c r="D132" s="95" t="n">
        <f aca="false">IF(D39&lt;=MIN(DepYears,Life),S_Opex_Hi!$B$14/DepYears,0)</f>
        <v>77515.6097952472</v>
      </c>
      <c r="E132" s="95" t="n">
        <f aca="false">IF(E39&lt;=MIN(DepYears,Life),S_Opex_Hi!$B$14/DepYears,0)</f>
        <v>77515.6097952472</v>
      </c>
      <c r="F132" s="95" t="n">
        <f aca="false">IF(F39&lt;=MIN(DepYears,Life),S_Opex_Hi!$B$14/DepYears,0)</f>
        <v>77515.6097952472</v>
      </c>
      <c r="G132" s="95" t="n">
        <f aca="false">IF(G39&lt;=MIN(DepYears,Life),S_Opex_Hi!$B$14/DepYears,0)</f>
        <v>77515.6097952472</v>
      </c>
      <c r="H132" s="95" t="n">
        <f aca="false">IF(H39&lt;=MIN(DepYears,Life),S_Opex_Hi!$B$14/DepYears,0)</f>
        <v>77515.6097952472</v>
      </c>
      <c r="I132" s="95" t="n">
        <f aca="false">IF(I39&lt;=MIN(DepYears,Life),S_Opex_Hi!$B$14/DepYears,0)</f>
        <v>77515.6097952472</v>
      </c>
      <c r="J132" s="95" t="n">
        <f aca="false">IF(J39&lt;=MIN(DepYears,Life),S_Opex_Hi!$B$14/DepYears,0)</f>
        <v>77515.6097952472</v>
      </c>
      <c r="K132" s="95" t="n">
        <f aca="false">IF(K39&lt;=MIN(DepYears,Life),S_Opex_Hi!$B$14/DepYears,0)</f>
        <v>77515.6097952472</v>
      </c>
      <c r="L132" s="95" t="n">
        <f aca="false">IF(L39&lt;=MIN(DepYears,Life),S_Opex_Hi!$B$14/DepYears,0)</f>
        <v>77515.6097952472</v>
      </c>
      <c r="M132" s="95" t="n">
        <f aca="false">IF(M39&lt;=MIN(DepYears,Life),S_Opex_Hi!$B$14/DepYears,0)</f>
        <v>77515.6097952472</v>
      </c>
      <c r="N132" s="95" t="n">
        <f aca="false">IF(N39&lt;=MIN(DepYears,Life),S_Opex_Hi!$B$14/DepYears,0)</f>
        <v>77515.6097952472</v>
      </c>
      <c r="O132" s="95" t="n">
        <f aca="false">IF(O39&lt;=MIN(DepYears,Life),S_Opex_Hi!$B$14/DepYears,0)</f>
        <v>77515.6097952472</v>
      </c>
      <c r="P132" s="95" t="n">
        <f aca="false">IF(P39&lt;=MIN(DepYears,Life),S_Opex_Hi!$B$14/DepYears,0)</f>
        <v>77515.6097952472</v>
      </c>
      <c r="Q132" s="95" t="n">
        <f aca="false">IF(Q39&lt;=MIN(DepYears,Life),S_Opex_Hi!$B$14/DepYears,0)</f>
        <v>77515.6097952472</v>
      </c>
      <c r="R132" s="95" t="n">
        <f aca="false">IF(R39&lt;=MIN(DepYears,Life),S_Opex_Hi!$B$14/DepYears,0)</f>
        <v>77515.6097952472</v>
      </c>
      <c r="S132" s="95" t="n">
        <f aca="false">IF(S39&lt;=MIN(DepYears,Life),S_Opex_Hi!$B$14/DepYears,0)</f>
        <v>0</v>
      </c>
      <c r="T132" s="95" t="n">
        <f aca="false">IF(T39&lt;=MIN(DepYears,Life),S_Opex_Hi!$B$14/DepYears,0)</f>
        <v>0</v>
      </c>
      <c r="U132" s="95" t="n">
        <f aca="false">IF(U39&lt;=MIN(DepYears,Life),S_Opex_Hi!$B$14/DepYears,0)</f>
        <v>0</v>
      </c>
      <c r="V132" s="95" t="n">
        <f aca="false">IF(V39&lt;=MIN(DepYears,Life),S_Opex_Hi!$B$14/DepYears,0)</f>
        <v>0</v>
      </c>
      <c r="W132" s="95" t="n">
        <f aca="false">IF(W39&lt;=MIN(DepYears,Life),S_Opex_Hi!$B$14/DepYears,0)</f>
        <v>0</v>
      </c>
    </row>
    <row r="133" customFormat="false" ht="15" hidden="false" customHeight="false" outlineLevel="0" collapsed="false">
      <c r="A133" s="11" t="s">
        <v>467</v>
      </c>
      <c r="B133" s="66" t="n">
        <f aca="false">SUM(C133:W133)</f>
        <v>-314793.826580402</v>
      </c>
      <c r="C133" s="95" t="n">
        <v>0</v>
      </c>
      <c r="D133" s="95" t="n">
        <f aca="false">D98-D132</f>
        <v>-77183.3571716464</v>
      </c>
      <c r="E133" s="95" t="n">
        <f aca="false">E98-E132</f>
        <v>-52453.6505844667</v>
      </c>
      <c r="F133" s="95" t="n">
        <f aca="false">F98-F132</f>
        <v>-32921.1450558174</v>
      </c>
      <c r="G133" s="95" t="n">
        <f aca="false">G98-G132</f>
        <v>-29773.9953410025</v>
      </c>
      <c r="H133" s="95" t="n">
        <f aca="false">H98-H132</f>
        <v>-24593.8383514397</v>
      </c>
      <c r="I133" s="95" t="n">
        <f aca="false">I98-I132</f>
        <v>-19030.0290211336</v>
      </c>
      <c r="J133" s="95" t="n">
        <f aca="false">J98-J132</f>
        <v>-14961.5108725461</v>
      </c>
      <c r="K133" s="95" t="n">
        <f aca="false">K98-K132</f>
        <v>-16665.1155597617</v>
      </c>
      <c r="L133" s="95" t="n">
        <f aca="false">L98-L132</f>
        <v>-18596.6818547135</v>
      </c>
      <c r="M133" s="95" t="n">
        <f aca="false">M98-M132</f>
        <v>-20772.7955992143</v>
      </c>
      <c r="N133" s="95" t="n">
        <f aca="false">N98-N132</f>
        <v>-23211.1083711833</v>
      </c>
      <c r="O133" s="95" t="n">
        <f aca="false">O98-O132</f>
        <v>-25930.403425764</v>
      </c>
      <c r="P133" s="95" t="n">
        <f aca="false">P98-P132</f>
        <v>-28950.6656676842</v>
      </c>
      <c r="Q133" s="95" t="n">
        <f aca="false">Q98-Q132</f>
        <v>-32293.1559004366</v>
      </c>
      <c r="R133" s="95" t="n">
        <f aca="false">R98-R132</f>
        <v>-35980.4896127995</v>
      </c>
      <c r="S133" s="95" t="n">
        <f aca="false">S98-S132</f>
        <v>37478.889216164</v>
      </c>
      <c r="T133" s="95" t="n">
        <f aca="false">T98-T132</f>
        <v>33028.1802289449</v>
      </c>
      <c r="U133" s="95" t="n">
        <f aca="false">U98-U132</f>
        <v>28155.7913359193</v>
      </c>
      <c r="V133" s="95" t="n">
        <f aca="false">V98-V132</f>
        <v>22832.7996612415</v>
      </c>
      <c r="W133" s="95" t="n">
        <f aca="false">W98-W132</f>
        <v>17028.455366938</v>
      </c>
    </row>
    <row r="134" customFormat="false" ht="15" hidden="false" customHeight="false" outlineLevel="0" collapsed="false">
      <c r="A134" s="11" t="s">
        <v>468</v>
      </c>
      <c r="C134" s="95" t="n">
        <v>0</v>
      </c>
      <c r="D134" s="95" t="n">
        <f aca="false">0</f>
        <v>0</v>
      </c>
      <c r="E134" s="95" t="n">
        <f aca="false">D136</f>
        <v>77183.3571716464</v>
      </c>
      <c r="F134" s="95" t="n">
        <f aca="false">E136</f>
        <v>129637.007756113</v>
      </c>
      <c r="G134" s="95" t="n">
        <f aca="false">F136</f>
        <v>162558.15281193</v>
      </c>
      <c r="H134" s="95" t="n">
        <f aca="false">G136</f>
        <v>192332.148152933</v>
      </c>
      <c r="I134" s="95" t="n">
        <f aca="false">H136</f>
        <v>216925.986504373</v>
      </c>
      <c r="J134" s="95" t="n">
        <f aca="false">I136</f>
        <v>235956.015525506</v>
      </c>
      <c r="K134" s="95" t="n">
        <f aca="false">J136</f>
        <v>250917.526398052</v>
      </c>
      <c r="L134" s="95" t="n">
        <f aca="false">K136</f>
        <v>267582.641957814</v>
      </c>
      <c r="M134" s="95" t="n">
        <f aca="false">L136</f>
        <v>286179.323812528</v>
      </c>
      <c r="N134" s="95" t="n">
        <f aca="false">M136</f>
        <v>306952.119411742</v>
      </c>
      <c r="O134" s="95" t="n">
        <f aca="false">N136</f>
        <v>330163.227782925</v>
      </c>
      <c r="P134" s="95" t="n">
        <f aca="false">O136</f>
        <v>356093.631208689</v>
      </c>
      <c r="Q134" s="95" t="n">
        <f aca="false">P136</f>
        <v>385044.296876373</v>
      </c>
      <c r="R134" s="95" t="n">
        <f aca="false">Q136</f>
        <v>417337.45277681</v>
      </c>
      <c r="S134" s="95" t="n">
        <f aca="false">R136</f>
        <v>453317.94238961</v>
      </c>
      <c r="T134" s="95" t="n">
        <f aca="false">S136</f>
        <v>415839.053173446</v>
      </c>
      <c r="U134" s="95" t="n">
        <f aca="false">T136</f>
        <v>382810.872944501</v>
      </c>
      <c r="V134" s="95" t="n">
        <f aca="false">U136</f>
        <v>354655.081608581</v>
      </c>
      <c r="W134" s="95" t="n">
        <f aca="false">V136</f>
        <v>331822.28194734</v>
      </c>
    </row>
    <row r="135" customFormat="false" ht="15" hidden="false" customHeight="false" outlineLevel="0" collapsed="false">
      <c r="A135" s="11" t="s">
        <v>469</v>
      </c>
      <c r="C135" s="95" t="n">
        <v>0</v>
      </c>
      <c r="D135" s="95" t="n">
        <f aca="false">MIN(D134,MAX(D133,0))</f>
        <v>0</v>
      </c>
      <c r="E135" s="95" t="n">
        <f aca="false">MIN(E134,MAX(E133,0))</f>
        <v>0</v>
      </c>
      <c r="F135" s="95" t="n">
        <f aca="false">MIN(F134,MAX(F133,0))</f>
        <v>0</v>
      </c>
      <c r="G135" s="95" t="n">
        <f aca="false">MIN(G134,MAX(G133,0))</f>
        <v>0</v>
      </c>
      <c r="H135" s="95" t="n">
        <f aca="false">MIN(H134,MAX(H133,0))</f>
        <v>0</v>
      </c>
      <c r="I135" s="95" t="n">
        <f aca="false">MIN(I134,MAX(I133,0))</f>
        <v>0</v>
      </c>
      <c r="J135" s="95" t="n">
        <f aca="false">MIN(J134,MAX(J133,0))</f>
        <v>0</v>
      </c>
      <c r="K135" s="95" t="n">
        <f aca="false">MIN(K134,MAX(K133,0))</f>
        <v>0</v>
      </c>
      <c r="L135" s="95" t="n">
        <f aca="false">MIN(L134,MAX(L133,0))</f>
        <v>0</v>
      </c>
      <c r="M135" s="95" t="n">
        <f aca="false">MIN(M134,MAX(M133,0))</f>
        <v>0</v>
      </c>
      <c r="N135" s="95" t="n">
        <f aca="false">MIN(N134,MAX(N133,0))</f>
        <v>0</v>
      </c>
      <c r="O135" s="95" t="n">
        <f aca="false">MIN(O134,MAX(O133,0))</f>
        <v>0</v>
      </c>
      <c r="P135" s="95" t="n">
        <f aca="false">MIN(P134,MAX(P133,0))</f>
        <v>0</v>
      </c>
      <c r="Q135" s="95" t="n">
        <f aca="false">MIN(Q134,MAX(Q133,0))</f>
        <v>0</v>
      </c>
      <c r="R135" s="95" t="n">
        <f aca="false">MIN(R134,MAX(R133,0))</f>
        <v>0</v>
      </c>
      <c r="S135" s="95" t="n">
        <f aca="false">MIN(S134,MAX(S133,0))</f>
        <v>37478.889216164</v>
      </c>
      <c r="T135" s="95" t="n">
        <f aca="false">MIN(T134,MAX(T133,0))</f>
        <v>33028.1802289449</v>
      </c>
      <c r="U135" s="95" t="n">
        <f aca="false">MIN(U134,MAX(U133,0))</f>
        <v>28155.7913359193</v>
      </c>
      <c r="V135" s="95" t="n">
        <f aca="false">MIN(V134,MAX(V133,0))</f>
        <v>22832.7996612415</v>
      </c>
      <c r="W135" s="95" t="n">
        <f aca="false">MIN(W134,MAX(W133,0))</f>
        <v>17028.455366938</v>
      </c>
    </row>
    <row r="136" customFormat="false" ht="15" hidden="false" customHeight="false" outlineLevel="0" collapsed="false">
      <c r="A136" s="11" t="s">
        <v>470</v>
      </c>
      <c r="C136" s="95" t="n">
        <v>0</v>
      </c>
      <c r="D136" s="95" t="n">
        <f aca="false">D134-D135+MAX(-D133,0)</f>
        <v>77183.3571716464</v>
      </c>
      <c r="E136" s="95" t="n">
        <f aca="false">E134-E135+MAX(-E133,0)</f>
        <v>129637.007756113</v>
      </c>
      <c r="F136" s="95" t="n">
        <f aca="false">F134-F135+MAX(-F133,0)</f>
        <v>162558.15281193</v>
      </c>
      <c r="G136" s="95" t="n">
        <f aca="false">G134-G135+MAX(-G133,0)</f>
        <v>192332.148152933</v>
      </c>
      <c r="H136" s="95" t="n">
        <f aca="false">H134-H135+MAX(-H133,0)</f>
        <v>216925.986504373</v>
      </c>
      <c r="I136" s="95" t="n">
        <f aca="false">I134-I135+MAX(-I133,0)</f>
        <v>235956.015525506</v>
      </c>
      <c r="J136" s="95" t="n">
        <f aca="false">J134-J135+MAX(-J133,0)</f>
        <v>250917.526398052</v>
      </c>
      <c r="K136" s="95" t="n">
        <f aca="false">K134-K135+MAX(-K133,0)</f>
        <v>267582.641957814</v>
      </c>
      <c r="L136" s="95" t="n">
        <f aca="false">L134-L135+MAX(-L133,0)</f>
        <v>286179.323812528</v>
      </c>
      <c r="M136" s="95" t="n">
        <f aca="false">M134-M135+MAX(-M133,0)</f>
        <v>306952.119411742</v>
      </c>
      <c r="N136" s="95" t="n">
        <f aca="false">N134-N135+MAX(-N133,0)</f>
        <v>330163.227782925</v>
      </c>
      <c r="O136" s="95" t="n">
        <f aca="false">O134-O135+MAX(-O133,0)</f>
        <v>356093.631208689</v>
      </c>
      <c r="P136" s="95" t="n">
        <f aca="false">P134-P135+MAX(-P133,0)</f>
        <v>385044.296876373</v>
      </c>
      <c r="Q136" s="95" t="n">
        <f aca="false">Q134-Q135+MAX(-Q133,0)</f>
        <v>417337.45277681</v>
      </c>
      <c r="R136" s="95" t="n">
        <f aca="false">R134-R135+MAX(-R133,0)</f>
        <v>453317.94238961</v>
      </c>
      <c r="S136" s="95" t="n">
        <f aca="false">S134-S135+MAX(-S133,0)</f>
        <v>415839.053173446</v>
      </c>
      <c r="T136" s="95" t="n">
        <f aca="false">T134-T135+MAX(-T133,0)</f>
        <v>382810.872944501</v>
      </c>
      <c r="U136" s="95" t="n">
        <f aca="false">U134-U135+MAX(-U133,0)</f>
        <v>354655.081608581</v>
      </c>
      <c r="V136" s="95" t="n">
        <f aca="false">V134-V135+MAX(-V133,0)</f>
        <v>331822.28194734</v>
      </c>
      <c r="W136" s="95" t="n">
        <f aca="false">W134-W135+MAX(-W133,0)</f>
        <v>314793.826580402</v>
      </c>
    </row>
    <row r="137" customFormat="false" ht="15" hidden="false" customHeight="false" outlineLevel="0" collapsed="false">
      <c r="A137" s="11" t="s">
        <v>471</v>
      </c>
      <c r="B137" s="66" t="n">
        <f aca="false">SUM(C137:W137)</f>
        <v>0</v>
      </c>
      <c r="C137" s="95" t="n">
        <v>0</v>
      </c>
      <c r="D137" s="95" t="n">
        <f aca="false">(MAX(D133,0)-D135)*TaxRate</f>
        <v>0</v>
      </c>
      <c r="E137" s="95" t="n">
        <f aca="false">(MAX(E133,0)-E135)*TaxRate</f>
        <v>0</v>
      </c>
      <c r="F137" s="95" t="n">
        <f aca="false">(MAX(F133,0)-F135)*TaxRate</f>
        <v>0</v>
      </c>
      <c r="G137" s="95" t="n">
        <f aca="false">(MAX(G133,0)-G135)*TaxRate</f>
        <v>0</v>
      </c>
      <c r="H137" s="95" t="n">
        <f aca="false">(MAX(H133,0)-H135)*TaxRate</f>
        <v>0</v>
      </c>
      <c r="I137" s="95" t="n">
        <f aca="false">(MAX(I133,0)-I135)*TaxRate</f>
        <v>0</v>
      </c>
      <c r="J137" s="95" t="n">
        <f aca="false">(MAX(J133,0)-J135)*TaxRate</f>
        <v>0</v>
      </c>
      <c r="K137" s="95" t="n">
        <f aca="false">(MAX(K133,0)-K135)*TaxRate</f>
        <v>0</v>
      </c>
      <c r="L137" s="95" t="n">
        <f aca="false">(MAX(L133,0)-L135)*TaxRate</f>
        <v>0</v>
      </c>
      <c r="M137" s="95" t="n">
        <f aca="false">(MAX(M133,0)-M135)*TaxRate</f>
        <v>0</v>
      </c>
      <c r="N137" s="95" t="n">
        <f aca="false">(MAX(N133,0)-N135)*TaxRate</f>
        <v>0</v>
      </c>
      <c r="O137" s="95" t="n">
        <f aca="false">(MAX(O133,0)-O135)*TaxRate</f>
        <v>0</v>
      </c>
      <c r="P137" s="95" t="n">
        <f aca="false">(MAX(P133,0)-P135)*TaxRate</f>
        <v>0</v>
      </c>
      <c r="Q137" s="95" t="n">
        <f aca="false">(MAX(Q133,0)-Q135)*TaxRate</f>
        <v>0</v>
      </c>
      <c r="R137" s="95" t="n">
        <f aca="false">(MAX(R133,0)-R135)*TaxRate</f>
        <v>0</v>
      </c>
      <c r="S137" s="95" t="n">
        <f aca="false">(MAX(S133,0)-S135)*TaxRate</f>
        <v>0</v>
      </c>
      <c r="T137" s="95" t="n">
        <f aca="false">(MAX(T133,0)-T135)*TaxRate</f>
        <v>0</v>
      </c>
      <c r="U137" s="95" t="n">
        <f aca="false">(MAX(U133,0)-U135)*TaxRate</f>
        <v>0</v>
      </c>
      <c r="V137" s="95" t="n">
        <f aca="false">(MAX(V133,0)-V135)*TaxRate</f>
        <v>0</v>
      </c>
      <c r="W137" s="95" t="n">
        <f aca="false">(MAX(W133,0)-W135)*TaxRate</f>
        <v>0</v>
      </c>
    </row>
    <row r="138" customFormat="false" ht="15" hidden="false" customHeight="false" outlineLevel="0" collapsed="false">
      <c r="A138" s="11" t="s">
        <v>472</v>
      </c>
      <c r="B138" s="66" t="n">
        <f aca="false">SUM(C138:W138)</f>
        <v>-429800.615273841</v>
      </c>
      <c r="C138" s="95" t="n">
        <v>0</v>
      </c>
      <c r="D138" s="95" t="n">
        <f aca="false">D98-D132-D114-D121</f>
        <v>-91814.4449917928</v>
      </c>
      <c r="E138" s="95" t="n">
        <f aca="false">E98-E132-E114-E121</f>
        <v>-67084.7384046131</v>
      </c>
      <c r="F138" s="95" t="n">
        <f aca="false">F98-F132-F114-F121</f>
        <v>-47552.2328759638</v>
      </c>
      <c r="G138" s="95" t="n">
        <f aca="false">G98-G132-G114-G121</f>
        <v>-43420.9284684692</v>
      </c>
      <c r="H138" s="95" t="n">
        <f aca="false">H98-H132-H114-H121</f>
        <v>-37158.2013169589</v>
      </c>
      <c r="I138" s="95" t="n">
        <f aca="false">I98-I132-I114-I121</f>
        <v>-30403.5648085105</v>
      </c>
      <c r="J138" s="95" t="n">
        <f aca="false">J98-J132-J114-J121</f>
        <v>-24730.6112556427</v>
      </c>
      <c r="K138" s="95" t="n">
        <f aca="false">K98-K132-K114-K121</f>
        <v>-24689.9537837326</v>
      </c>
      <c r="L138" s="95" t="n">
        <f aca="false">L98-L132-L114-L121</f>
        <v>-24724.0669927963</v>
      </c>
      <c r="M138" s="95" t="n">
        <f aca="false">M98-M132-M114-M121</f>
        <v>-24834.8546906449</v>
      </c>
      <c r="N138" s="95" t="n">
        <f aca="false">N98-N132-N114-N121</f>
        <v>-25023.8373295559</v>
      </c>
      <c r="O138" s="95" t="n">
        <f aca="false">O98-O132-O114-O121</f>
        <v>-27401.6965981169</v>
      </c>
      <c r="P138" s="95" t="n">
        <f aca="false">P98-P132-P114-P121</f>
        <v>-30070.2799804368</v>
      </c>
      <c r="Q138" s="95" t="n">
        <f aca="false">Q98-Q132-Q114-Q121</f>
        <v>-33050.5409878009</v>
      </c>
      <c r="R138" s="95" t="n">
        <f aca="false">R98-R132-R114-R121</f>
        <v>-36364.7785980139</v>
      </c>
      <c r="S138" s="95" t="n">
        <f aca="false">S98-S132-S114-S121</f>
        <v>37478.889216164</v>
      </c>
      <c r="T138" s="95" t="n">
        <f aca="false">T98-T132-T114-T121</f>
        <v>33028.1802289449</v>
      </c>
      <c r="U138" s="95" t="n">
        <f aca="false">U98-U132-U114-U121</f>
        <v>28155.7913359193</v>
      </c>
      <c r="V138" s="95" t="n">
        <f aca="false">V98-V132-V114-V121</f>
        <v>22832.7996612415</v>
      </c>
      <c r="W138" s="95" t="n">
        <f aca="false">W98-W132-W114-W121</f>
        <v>17028.455366938</v>
      </c>
    </row>
    <row r="139" customFormat="false" ht="15" hidden="false" customHeight="false" outlineLevel="0" collapsed="false">
      <c r="A139" s="11" t="s">
        <v>468</v>
      </c>
      <c r="C139" s="95" t="n">
        <v>0</v>
      </c>
      <c r="D139" s="95" t="n">
        <f aca="false">0</f>
        <v>0</v>
      </c>
      <c r="E139" s="95" t="n">
        <f aca="false">D141</f>
        <v>91814.4449917928</v>
      </c>
      <c r="F139" s="95" t="n">
        <f aca="false">E141</f>
        <v>158899.183396406</v>
      </c>
      <c r="G139" s="95" t="n">
        <f aca="false">F141</f>
        <v>206451.41627237</v>
      </c>
      <c r="H139" s="95" t="n">
        <f aca="false">G141</f>
        <v>249872.344740839</v>
      </c>
      <c r="I139" s="95" t="n">
        <f aca="false">H141</f>
        <v>287030.546057798</v>
      </c>
      <c r="J139" s="95" t="n">
        <f aca="false">I141</f>
        <v>317434.110866308</v>
      </c>
      <c r="K139" s="95" t="n">
        <f aca="false">J141</f>
        <v>342164.722121951</v>
      </c>
      <c r="L139" s="95" t="n">
        <f aca="false">K141</f>
        <v>366854.675905683</v>
      </c>
      <c r="M139" s="95" t="n">
        <f aca="false">L141</f>
        <v>391578.74289848</v>
      </c>
      <c r="N139" s="95" t="n">
        <f aca="false">M141</f>
        <v>416413.597589125</v>
      </c>
      <c r="O139" s="95" t="n">
        <f aca="false">N141</f>
        <v>441437.43491868</v>
      </c>
      <c r="P139" s="95" t="n">
        <f aca="false">O141</f>
        <v>468839.131516797</v>
      </c>
      <c r="Q139" s="95" t="n">
        <f aca="false">P141</f>
        <v>498909.411497234</v>
      </c>
      <c r="R139" s="95" t="n">
        <f aca="false">Q141</f>
        <v>531959.952485035</v>
      </c>
      <c r="S139" s="95" t="n">
        <f aca="false">R141</f>
        <v>568324.731083049</v>
      </c>
      <c r="T139" s="95" t="n">
        <f aca="false">S141</f>
        <v>530845.841866885</v>
      </c>
      <c r="U139" s="95" t="n">
        <f aca="false">T141</f>
        <v>497817.66163794</v>
      </c>
      <c r="V139" s="95" t="n">
        <f aca="false">U141</f>
        <v>469661.870302021</v>
      </c>
      <c r="W139" s="95" t="n">
        <f aca="false">V141</f>
        <v>446829.070640779</v>
      </c>
    </row>
    <row r="140" customFormat="false" ht="15" hidden="false" customHeight="false" outlineLevel="0" collapsed="false">
      <c r="A140" s="11" t="s">
        <v>469</v>
      </c>
      <c r="C140" s="95" t="n">
        <v>0</v>
      </c>
      <c r="D140" s="95" t="n">
        <f aca="false">MIN(D139,MAX(D138,0))</f>
        <v>0</v>
      </c>
      <c r="E140" s="95" t="n">
        <f aca="false">MIN(E139,MAX(E138,0))</f>
        <v>0</v>
      </c>
      <c r="F140" s="95" t="n">
        <f aca="false">MIN(F139,MAX(F138,0))</f>
        <v>0</v>
      </c>
      <c r="G140" s="95" t="n">
        <f aca="false">MIN(G139,MAX(G138,0))</f>
        <v>0</v>
      </c>
      <c r="H140" s="95" t="n">
        <f aca="false">MIN(H139,MAX(H138,0))</f>
        <v>0</v>
      </c>
      <c r="I140" s="95" t="n">
        <f aca="false">MIN(I139,MAX(I138,0))</f>
        <v>0</v>
      </c>
      <c r="J140" s="95" t="n">
        <f aca="false">MIN(J139,MAX(J138,0))</f>
        <v>0</v>
      </c>
      <c r="K140" s="95" t="n">
        <f aca="false">MIN(K139,MAX(K138,0))</f>
        <v>0</v>
      </c>
      <c r="L140" s="95" t="n">
        <f aca="false">MIN(L139,MAX(L138,0))</f>
        <v>0</v>
      </c>
      <c r="M140" s="95" t="n">
        <f aca="false">MIN(M139,MAX(M138,0))</f>
        <v>0</v>
      </c>
      <c r="N140" s="95" t="n">
        <f aca="false">MIN(N139,MAX(N138,0))</f>
        <v>0</v>
      </c>
      <c r="O140" s="95" t="n">
        <f aca="false">MIN(O139,MAX(O138,0))</f>
        <v>0</v>
      </c>
      <c r="P140" s="95" t="n">
        <f aca="false">MIN(P139,MAX(P138,0))</f>
        <v>0</v>
      </c>
      <c r="Q140" s="95" t="n">
        <f aca="false">MIN(Q139,MAX(Q138,0))</f>
        <v>0</v>
      </c>
      <c r="R140" s="95" t="n">
        <f aca="false">MIN(R139,MAX(R138,0))</f>
        <v>0</v>
      </c>
      <c r="S140" s="95" t="n">
        <f aca="false">MIN(S139,MAX(S138,0))</f>
        <v>37478.889216164</v>
      </c>
      <c r="T140" s="95" t="n">
        <f aca="false">MIN(T139,MAX(T138,0))</f>
        <v>33028.1802289449</v>
      </c>
      <c r="U140" s="95" t="n">
        <f aca="false">MIN(U139,MAX(U138,0))</f>
        <v>28155.7913359193</v>
      </c>
      <c r="V140" s="95" t="n">
        <f aca="false">MIN(V139,MAX(V138,0))</f>
        <v>22832.7996612415</v>
      </c>
      <c r="W140" s="95" t="n">
        <f aca="false">MIN(W139,MAX(W138,0))</f>
        <v>17028.455366938</v>
      </c>
    </row>
    <row r="141" customFormat="false" ht="15" hidden="false" customHeight="false" outlineLevel="0" collapsed="false">
      <c r="A141" s="11" t="s">
        <v>470</v>
      </c>
      <c r="C141" s="95" t="n">
        <v>0</v>
      </c>
      <c r="D141" s="95" t="n">
        <f aca="false">D139-D140+MAX(-D138,0)</f>
        <v>91814.4449917928</v>
      </c>
      <c r="E141" s="95" t="n">
        <f aca="false">E139-E140+MAX(-E138,0)</f>
        <v>158899.183396406</v>
      </c>
      <c r="F141" s="95" t="n">
        <f aca="false">F139-F140+MAX(-F138,0)</f>
        <v>206451.41627237</v>
      </c>
      <c r="G141" s="95" t="n">
        <f aca="false">G139-G140+MAX(-G138,0)</f>
        <v>249872.344740839</v>
      </c>
      <c r="H141" s="95" t="n">
        <f aca="false">H139-H140+MAX(-H138,0)</f>
        <v>287030.546057798</v>
      </c>
      <c r="I141" s="95" t="n">
        <f aca="false">I139-I140+MAX(-I138,0)</f>
        <v>317434.110866308</v>
      </c>
      <c r="J141" s="95" t="n">
        <f aca="false">J139-J140+MAX(-J138,0)</f>
        <v>342164.722121951</v>
      </c>
      <c r="K141" s="95" t="n">
        <f aca="false">K139-K140+MAX(-K138,0)</f>
        <v>366854.675905683</v>
      </c>
      <c r="L141" s="95" t="n">
        <f aca="false">L139-L140+MAX(-L138,0)</f>
        <v>391578.74289848</v>
      </c>
      <c r="M141" s="95" t="n">
        <f aca="false">M139-M140+MAX(-M138,0)</f>
        <v>416413.597589125</v>
      </c>
      <c r="N141" s="95" t="n">
        <f aca="false">N139-N140+MAX(-N138,0)</f>
        <v>441437.43491868</v>
      </c>
      <c r="O141" s="95" t="n">
        <f aca="false">O139-O140+MAX(-O138,0)</f>
        <v>468839.131516797</v>
      </c>
      <c r="P141" s="95" t="n">
        <f aca="false">P139-P140+MAX(-P138,0)</f>
        <v>498909.411497234</v>
      </c>
      <c r="Q141" s="95" t="n">
        <f aca="false">Q139-Q140+MAX(-Q138,0)</f>
        <v>531959.952485035</v>
      </c>
      <c r="R141" s="95" t="n">
        <f aca="false">R139-R140+MAX(-R138,0)</f>
        <v>568324.731083049</v>
      </c>
      <c r="S141" s="95" t="n">
        <f aca="false">S139-S140+MAX(-S138,0)</f>
        <v>530845.841866885</v>
      </c>
      <c r="T141" s="95" t="n">
        <f aca="false">T139-T140+MAX(-T138,0)</f>
        <v>497817.66163794</v>
      </c>
      <c r="U141" s="95" t="n">
        <f aca="false">U139-U140+MAX(-U138,0)</f>
        <v>469661.870302021</v>
      </c>
      <c r="V141" s="95" t="n">
        <f aca="false">V139-V140+MAX(-V138,0)</f>
        <v>446829.070640779</v>
      </c>
      <c r="W141" s="95" t="n">
        <f aca="false">W139-W140+MAX(-W138,0)</f>
        <v>429800.615273841</v>
      </c>
    </row>
    <row r="142" customFormat="false" ht="15" hidden="false" customHeight="false" outlineLevel="0" collapsed="false">
      <c r="A142" s="11" t="s">
        <v>473</v>
      </c>
      <c r="B142" s="66" t="n">
        <f aca="false">SUM(C142:W142)</f>
        <v>0</v>
      </c>
      <c r="C142" s="95" t="n">
        <v>0</v>
      </c>
      <c r="D142" s="95" t="n">
        <f aca="false">(MAX(D138,0)-D140)*TaxRate</f>
        <v>0</v>
      </c>
      <c r="E142" s="95" t="n">
        <f aca="false">(MAX(E138,0)-E140)*TaxRate</f>
        <v>0</v>
      </c>
      <c r="F142" s="95" t="n">
        <f aca="false">(MAX(F138,0)-F140)*TaxRate</f>
        <v>0</v>
      </c>
      <c r="G142" s="95" t="n">
        <f aca="false">(MAX(G138,0)-G140)*TaxRate</f>
        <v>0</v>
      </c>
      <c r="H142" s="95" t="n">
        <f aca="false">(MAX(H138,0)-H140)*TaxRate</f>
        <v>0</v>
      </c>
      <c r="I142" s="95" t="n">
        <f aca="false">(MAX(I138,0)-I140)*TaxRate</f>
        <v>0</v>
      </c>
      <c r="J142" s="95" t="n">
        <f aca="false">(MAX(J138,0)-J140)*TaxRate</f>
        <v>0</v>
      </c>
      <c r="K142" s="95" t="n">
        <f aca="false">(MAX(K138,0)-K140)*TaxRate</f>
        <v>0</v>
      </c>
      <c r="L142" s="95" t="n">
        <f aca="false">(MAX(L138,0)-L140)*TaxRate</f>
        <v>0</v>
      </c>
      <c r="M142" s="95" t="n">
        <f aca="false">(MAX(M138,0)-M140)*TaxRate</f>
        <v>0</v>
      </c>
      <c r="N142" s="95" t="n">
        <f aca="false">(MAX(N138,0)-N140)*TaxRate</f>
        <v>0</v>
      </c>
      <c r="O142" s="95" t="n">
        <f aca="false">(MAX(O138,0)-O140)*TaxRate</f>
        <v>0</v>
      </c>
      <c r="P142" s="95" t="n">
        <f aca="false">(MAX(P138,0)-P140)*TaxRate</f>
        <v>0</v>
      </c>
      <c r="Q142" s="95" t="n">
        <f aca="false">(MAX(Q138,0)-Q140)*TaxRate</f>
        <v>0</v>
      </c>
      <c r="R142" s="95" t="n">
        <f aca="false">(MAX(R138,0)-R140)*TaxRate</f>
        <v>0</v>
      </c>
      <c r="S142" s="95" t="n">
        <f aca="false">(MAX(S138,0)-S140)*TaxRate</f>
        <v>0</v>
      </c>
      <c r="T142" s="95" t="n">
        <f aca="false">(MAX(T138,0)-T140)*TaxRate</f>
        <v>0</v>
      </c>
      <c r="U142" s="95" t="n">
        <f aca="false">(MAX(U138,0)-U140)*TaxRate</f>
        <v>0</v>
      </c>
      <c r="V142" s="95" t="n">
        <f aca="false">(MAX(V138,0)-V140)*TaxRate</f>
        <v>0</v>
      </c>
      <c r="W142" s="95" t="n">
        <f aca="false">(MAX(W138,0)-W140)*TaxRate</f>
        <v>0</v>
      </c>
    </row>
    <row r="144" customFormat="false" ht="15" hidden="false" customHeight="false" outlineLevel="0" collapsed="false">
      <c r="A144" s="9" t="s">
        <v>474</v>
      </c>
      <c r="B144" s="10"/>
      <c r="C144" s="10"/>
      <c r="D144" s="10"/>
      <c r="E144" s="10"/>
      <c r="F144" s="10"/>
      <c r="G144" s="10"/>
      <c r="H144" s="10"/>
      <c r="I144" s="10"/>
      <c r="J144" s="10"/>
      <c r="K144" s="10"/>
      <c r="L144" s="10"/>
      <c r="M144" s="10"/>
      <c r="N144" s="10"/>
      <c r="O144" s="10"/>
      <c r="P144" s="10"/>
      <c r="Q144" s="10"/>
      <c r="R144" s="10"/>
      <c r="S144" s="10"/>
      <c r="T144" s="10"/>
      <c r="U144" s="10"/>
      <c r="V144" s="10"/>
      <c r="W144" s="10"/>
    </row>
    <row r="145" customFormat="false" ht="15" hidden="false" customHeight="false" outlineLevel="0" collapsed="false">
      <c r="A145" s="16" t="s">
        <v>475</v>
      </c>
      <c r="B145" s="66" t="n">
        <f aca="false">C145+NPV(Hurdle,D145:W145)</f>
        <v>-928105.396043932</v>
      </c>
      <c r="C145" s="31" t="n">
        <f aca="false">-C102+C98-C103-C137</f>
        <v>-1162734.14692871</v>
      </c>
      <c r="D145" s="31" t="n">
        <f aca="false">-D102+D98-D103-D137</f>
        <v>332.252623600769</v>
      </c>
      <c r="E145" s="31" t="n">
        <f aca="false">-E102+E98-E103-E137</f>
        <v>25061.9592107805</v>
      </c>
      <c r="F145" s="31" t="n">
        <f aca="false">-F102+F98-F103-F137</f>
        <v>44594.4647394298</v>
      </c>
      <c r="G145" s="31" t="n">
        <f aca="false">-G102+G98-G103-G137</f>
        <v>47741.6144542447</v>
      </c>
      <c r="H145" s="31" t="n">
        <f aca="false">-H102+H98-H103-H137</f>
        <v>52921.7714438075</v>
      </c>
      <c r="I145" s="31" t="n">
        <f aca="false">-I102+I98-I103-I137</f>
        <v>58485.5807741135</v>
      </c>
      <c r="J145" s="31" t="n">
        <f aca="false">-J102+J98-J103-J137</f>
        <v>62554.098922701</v>
      </c>
      <c r="K145" s="31" t="n">
        <f aca="false">-K102+K98-K103-K137</f>
        <v>-105052.943469216</v>
      </c>
      <c r="L145" s="31" t="n">
        <f aca="false">-L102+L98-L103-L137</f>
        <v>58918.9279405337</v>
      </c>
      <c r="M145" s="31" t="n">
        <f aca="false">-M102+M98-M103-M137</f>
        <v>56742.8141960329</v>
      </c>
      <c r="N145" s="31" t="n">
        <f aca="false">-N102+N98-N103-N137</f>
        <v>54304.5014240638</v>
      </c>
      <c r="O145" s="31" t="n">
        <f aca="false">-O102+O98-O103-O137</f>
        <v>51585.2063694832</v>
      </c>
      <c r="P145" s="31" t="n">
        <f aca="false">-P102+P98-P103-P137</f>
        <v>48564.944127563</v>
      </c>
      <c r="Q145" s="31" t="n">
        <f aca="false">-Q102+Q98-Q103-Q137</f>
        <v>45222.4538948106</v>
      </c>
      <c r="R145" s="31" t="n">
        <f aca="false">-R102+R98-R103-R137</f>
        <v>41535.1201824476</v>
      </c>
      <c r="S145" s="31" t="n">
        <f aca="false">-S102+S98-S103-S137</f>
        <v>-172682.622067506</v>
      </c>
      <c r="T145" s="31" t="n">
        <f aca="false">-T102+T98-T103-T137</f>
        <v>33028.1802289449</v>
      </c>
      <c r="U145" s="31" t="n">
        <f aca="false">-U102+U98-U103-U137</f>
        <v>28155.7913359193</v>
      </c>
      <c r="V145" s="31" t="n">
        <f aca="false">-V102+V98-V103-V137</f>
        <v>22832.7996612415</v>
      </c>
      <c r="W145" s="31" t="n">
        <f aca="false">-W102+W98-W103-W137</f>
        <v>17028.455366938</v>
      </c>
    </row>
    <row r="146" customFormat="false" ht="15" hidden="false" customHeight="false" outlineLevel="0" collapsed="false">
      <c r="A146" s="16" t="s">
        <v>476</v>
      </c>
      <c r="B146" s="66" t="n">
        <f aca="false">C146+NPV(Hurdle,D146:W146)</f>
        <v>-110185.035412828</v>
      </c>
      <c r="C146" s="31" t="n">
        <f aca="false">C145+C106+C108</f>
        <v>-562734.146928707</v>
      </c>
      <c r="D146" s="31" t="n">
        <f aca="false">D145+D106+D108</f>
        <v>151532.252623601</v>
      </c>
      <c r="E146" s="31" t="n">
        <f aca="false">E145+E106+E108</f>
        <v>88061.9592107805</v>
      </c>
      <c r="F146" s="31" t="n">
        <f aca="false">F145+F106+F108</f>
        <v>82394.4647394298</v>
      </c>
      <c r="G146" s="31" t="n">
        <f aca="false">G145+G106+G108</f>
        <v>47741.6144542447</v>
      </c>
      <c r="H146" s="31" t="n">
        <f aca="false">H145+H106+H108</f>
        <v>52921.7714438075</v>
      </c>
      <c r="I146" s="31" t="n">
        <f aca="false">I145+I106+I108</f>
        <v>58485.5807741135</v>
      </c>
      <c r="J146" s="31" t="n">
        <f aca="false">J145+J106+J108</f>
        <v>62554.098922701</v>
      </c>
      <c r="K146" s="31" t="n">
        <f aca="false">K145+K106+K108</f>
        <v>-105052.943469216</v>
      </c>
      <c r="L146" s="31" t="n">
        <f aca="false">L145+L106+L108</f>
        <v>58918.9279405337</v>
      </c>
      <c r="M146" s="31" t="n">
        <f aca="false">M145+M106+M108</f>
        <v>56742.8141960329</v>
      </c>
      <c r="N146" s="31" t="n">
        <f aca="false">N145+N106+N108</f>
        <v>54304.5014240638</v>
      </c>
      <c r="O146" s="31" t="n">
        <f aca="false">O145+O106+O108</f>
        <v>51585.2063694832</v>
      </c>
      <c r="P146" s="31" t="n">
        <f aca="false">P145+P106+P108</f>
        <v>48564.944127563</v>
      </c>
      <c r="Q146" s="31" t="n">
        <f aca="false">Q145+Q106+Q108</f>
        <v>45222.4538948106</v>
      </c>
      <c r="R146" s="31" t="n">
        <f aca="false">R145+R106+R108</f>
        <v>41535.1201824476</v>
      </c>
      <c r="S146" s="31" t="n">
        <f aca="false">S145+S106+S108</f>
        <v>-172682.622067506</v>
      </c>
      <c r="T146" s="31" t="n">
        <f aca="false">T145+T106+T108</f>
        <v>33028.1802289449</v>
      </c>
      <c r="U146" s="31" t="n">
        <f aca="false">U145+U106+U108</f>
        <v>28155.7913359193</v>
      </c>
      <c r="V146" s="31" t="n">
        <f aca="false">V145+V106+V108</f>
        <v>22832.7996612415</v>
      </c>
      <c r="W146" s="31" t="n">
        <f aca="false">W145+W106+W108</f>
        <v>17028.455366938</v>
      </c>
    </row>
    <row r="147" customFormat="false" ht="15" hidden="false" customHeight="false" outlineLevel="0" collapsed="false">
      <c r="A147" s="11" t="s">
        <v>243</v>
      </c>
      <c r="B147" s="66" t="n">
        <f aca="false">SUM(C147:W147)</f>
        <v>723875.371359934</v>
      </c>
      <c r="C147" s="95" t="n">
        <v>0</v>
      </c>
      <c r="D147" s="95" t="n">
        <f aca="false">D98-D105-D142+D108</f>
        <v>130794.322910513</v>
      </c>
      <c r="E147" s="95" t="n">
        <f aca="false">E98-E105-E142+E108</f>
        <v>67324.0294976928</v>
      </c>
      <c r="F147" s="95" t="n">
        <f aca="false">F98-F105-F142+F108</f>
        <v>61656.5350263421</v>
      </c>
      <c r="G147" s="95" t="n">
        <f aca="false">G98-G105-G142+G108</f>
        <v>27003.684741157</v>
      </c>
      <c r="H147" s="95" t="n">
        <f aca="false">H98-H105-H142+H108</f>
        <v>32183.8417307198</v>
      </c>
      <c r="I147" s="95" t="n">
        <f aca="false">I98-I105-I142+I108</f>
        <v>37747.6510610259</v>
      </c>
      <c r="J147" s="95" t="n">
        <f aca="false">J98-J105-J142+J108</f>
        <v>41816.1692096134</v>
      </c>
      <c r="K147" s="95" t="n">
        <f aca="false">K98-K105-K142+K108</f>
        <v>40112.5645223978</v>
      </c>
      <c r="L147" s="95" t="n">
        <f aca="false">L98-L105-L142+L108</f>
        <v>32648.7390300749</v>
      </c>
      <c r="M147" s="95" t="n">
        <f aca="false">M98-M105-M142+M108</f>
        <v>30472.6252855742</v>
      </c>
      <c r="N147" s="95" t="n">
        <f aca="false">N98-N105-N142+N108</f>
        <v>28034.3125136051</v>
      </c>
      <c r="O147" s="95" t="n">
        <f aca="false">O98-O105-O142+O108</f>
        <v>25315.0174590244</v>
      </c>
      <c r="P147" s="95" t="n">
        <f aca="false">P98-P105-P142+P108</f>
        <v>22294.7552171042</v>
      </c>
      <c r="Q147" s="95" t="n">
        <f aca="false">Q98-Q105-Q142+Q108</f>
        <v>18952.2649843518</v>
      </c>
      <c r="R147" s="95" t="n">
        <f aca="false">R98-R105-R142+R108</f>
        <v>15264.9312719889</v>
      </c>
      <c r="S147" s="95" t="n">
        <f aca="false">S98-S105-S142+S108</f>
        <v>11208.7003057052</v>
      </c>
      <c r="T147" s="95" t="n">
        <f aca="false">T98-T105-T142+T108</f>
        <v>33028.1802289449</v>
      </c>
      <c r="U147" s="95" t="n">
        <f aca="false">U98-U105-U142+U108</f>
        <v>28155.7913359193</v>
      </c>
      <c r="V147" s="95" t="n">
        <f aca="false">V98-V105-V142+V108</f>
        <v>22832.7996612415</v>
      </c>
      <c r="W147" s="95" t="n">
        <f aca="false">W98-W105-W142+W108</f>
        <v>17028.455366938</v>
      </c>
    </row>
    <row r="148" customFormat="false" ht="15" hidden="false" customHeight="false" outlineLevel="0" collapsed="false">
      <c r="A148" s="11" t="s">
        <v>477</v>
      </c>
      <c r="C148" s="97" t="n">
        <v>0</v>
      </c>
      <c r="D148" s="97" t="n">
        <f aca="false">IF(D125&gt;0,D147/D125,"")</f>
        <v>8.93948040763003</v>
      </c>
      <c r="E148" s="97" t="n">
        <f aca="false">IF(E125&gt;0,E147/E125,"")</f>
        <v>4.60143704455047</v>
      </c>
      <c r="F148" s="97" t="n">
        <f aca="false">IF(F125&gt;0,F147/F125,"")</f>
        <v>2.51940731612662</v>
      </c>
      <c r="G148" s="97" t="n">
        <f aca="false">IF(G125&gt;0,G147/G125,"")</f>
        <v>1.10342368201816</v>
      </c>
      <c r="H148" s="97" t="n">
        <f aca="false">IF(H125&gt;0,H147/H125,"")</f>
        <v>1.31509508737062</v>
      </c>
      <c r="I148" s="97" t="n">
        <f aca="false">IF(I125&gt;0,I147/I125,"")</f>
        <v>1.10083068168116</v>
      </c>
      <c r="J148" s="97" t="n">
        <f aca="false">IF(J125&gt;0,J147/J125,"")</f>
        <v>1.21948043818392</v>
      </c>
      <c r="K148" s="97" t="n">
        <f aca="false">IF(K125&gt;0,K147/K125,"")</f>
        <v>1.1697983982045</v>
      </c>
      <c r="L148" s="97" t="n">
        <f aca="false">IF(L125&gt;0,L147/L125,"")</f>
        <v>0.95213165938201</v>
      </c>
      <c r="M148" s="97" t="n">
        <f aca="false">IF(M125&gt;0,M147/M125,"")</f>
        <v>0.888669888664099</v>
      </c>
      <c r="N148" s="97" t="n">
        <f aca="false">IF(N125&gt;0,N147/N125,"")</f>
        <v>2.12478995130991</v>
      </c>
      <c r="O148" s="97" t="n">
        <f aca="false">IF(O125&gt;0,O147/O125,"")</f>
        <v>1.91868784683292</v>
      </c>
      <c r="P148" s="97" t="n">
        <f aca="false">IF(P125&gt;0,P147/P125,"")</f>
        <v>1.68977469410843</v>
      </c>
      <c r="Q148" s="97" t="n">
        <f aca="false">IF(Q125&gt;0,Q147/Q125,"")</f>
        <v>1.43643908420335</v>
      </c>
      <c r="R148" s="97" t="n">
        <f aca="false">IF(R125&gt;0,R147/R125,"")</f>
        <v>1.1569669332329</v>
      </c>
      <c r="S148" s="97" t="str">
        <f aca="false">IF(S125&gt;0,S147/S125,"")</f>
        <v/>
      </c>
      <c r="T148" s="97" t="str">
        <f aca="false">IF(T125&gt;0,T147/T125,"")</f>
        <v/>
      </c>
      <c r="U148" s="97" t="str">
        <f aca="false">IF(U125&gt;0,U147/U125,"")</f>
        <v/>
      </c>
      <c r="V148" s="97" t="str">
        <f aca="false">IF(V125&gt;0,V147/V125,"")</f>
        <v/>
      </c>
      <c r="W148" s="97" t="str">
        <f aca="false">IF(W125&gt;0,W147/W125,"")</f>
        <v/>
      </c>
    </row>
    <row r="149" customFormat="false" ht="15" hidden="false" customHeight="false" outlineLevel="0" collapsed="false">
      <c r="A149" s="16" t="s">
        <v>478</v>
      </c>
      <c r="B149" s="66" t="n">
        <f aca="false">C149+NPV(Hurdle,D149:W149)</f>
        <v>-122444.011129952</v>
      </c>
      <c r="C149" s="31" t="n">
        <f aca="false">-S_Opex_Hi!$B$18-C129</f>
        <v>-344956.032067298</v>
      </c>
      <c r="D149" s="31" t="n">
        <f aca="false">D147-D125-D129</f>
        <v>116163.235090367</v>
      </c>
      <c r="E149" s="31" t="n">
        <f aca="false">E147-E125-E129</f>
        <v>47772.1682141483</v>
      </c>
      <c r="F149" s="31" t="n">
        <f aca="false">F147-F125-F129</f>
        <v>37183.9002793994</v>
      </c>
      <c r="G149" s="31" t="n">
        <f aca="false">G147-G125-G129</f>
        <v>2531.04999421432</v>
      </c>
      <c r="H149" s="31" t="n">
        <f aca="false">H147-H125-H129</f>
        <v>2802.44851171573</v>
      </c>
      <c r="I149" s="31" t="n">
        <f aca="false">I147-I125-I129</f>
        <v>3457.49936996045</v>
      </c>
      <c r="J149" s="31" t="n">
        <f aca="false">J147-J125-J129</f>
        <v>7526.01751854795</v>
      </c>
      <c r="K149" s="31" t="n">
        <f aca="false">K147-K125-K129</f>
        <v>5822.4128313324</v>
      </c>
      <c r="L149" s="31" t="n">
        <f aca="false">L147-L125-L129</f>
        <v>-1641.41266099047</v>
      </c>
      <c r="M149" s="31" t="n">
        <f aca="false">M147-M125-M129</f>
        <v>6730.588527194</v>
      </c>
      <c r="N149" s="31" t="n">
        <f aca="false">N147-N125-N129</f>
        <v>14840.3906879102</v>
      </c>
      <c r="O149" s="31" t="n">
        <f aca="false">O147-O125-O129</f>
        <v>12121.0956333295</v>
      </c>
      <c r="P149" s="31" t="n">
        <f aca="false">P147-P125-P129</f>
        <v>9100.83339140927</v>
      </c>
      <c r="Q149" s="31" t="n">
        <f aca="false">Q147-Q125-Q129</f>
        <v>5758.3431586569</v>
      </c>
      <c r="R149" s="31" t="n">
        <f aca="false">R147-R125-R129</f>
        <v>8667.97035914142</v>
      </c>
      <c r="S149" s="31" t="n">
        <f aca="false">S147-S125-S129</f>
        <v>11208.7003057052</v>
      </c>
      <c r="T149" s="31" t="n">
        <f aca="false">T147-T125-T129</f>
        <v>33028.1802289449</v>
      </c>
      <c r="U149" s="31" t="n">
        <f aca="false">U147-U125-U129</f>
        <v>28155.7913359193</v>
      </c>
      <c r="V149" s="31" t="n">
        <f aca="false">V147-V125-V129</f>
        <v>22832.7996612415</v>
      </c>
      <c r="W149" s="31" t="n">
        <f aca="false">W147-W125-W129</f>
        <v>17028.455366938</v>
      </c>
    </row>
    <row r="150" customFormat="false" ht="15" hidden="false" customHeight="false" outlineLevel="0" collapsed="false">
      <c r="A150" s="11" t="s">
        <v>479</v>
      </c>
      <c r="C150" s="95" t="n">
        <f aca="false">C149</f>
        <v>-344956.032067298</v>
      </c>
      <c r="D150" s="95" t="n">
        <f aca="false">C150+D149</f>
        <v>-228792.796976931</v>
      </c>
      <c r="E150" s="95" t="n">
        <f aca="false">D150+E149</f>
        <v>-181020.628762783</v>
      </c>
      <c r="F150" s="95" t="n">
        <f aca="false">E150+F149</f>
        <v>-143836.728483383</v>
      </c>
      <c r="G150" s="95" t="n">
        <f aca="false">F150+G149</f>
        <v>-141305.678489169</v>
      </c>
      <c r="H150" s="95" t="n">
        <f aca="false">G150+H149</f>
        <v>-138503.229977453</v>
      </c>
      <c r="I150" s="95" t="n">
        <f aca="false">H150+I149</f>
        <v>-135045.730607493</v>
      </c>
      <c r="J150" s="95" t="n">
        <f aca="false">I150+J149</f>
        <v>-127519.713088945</v>
      </c>
      <c r="K150" s="95" t="n">
        <f aca="false">J150+K149</f>
        <v>-121697.300257612</v>
      </c>
      <c r="L150" s="95" t="n">
        <f aca="false">K150+L149</f>
        <v>-123338.712918603</v>
      </c>
      <c r="M150" s="95" t="n">
        <f aca="false">L150+M149</f>
        <v>-116608.124391409</v>
      </c>
      <c r="N150" s="95" t="n">
        <f aca="false">M150+N149</f>
        <v>-101767.733703499</v>
      </c>
      <c r="O150" s="95" t="n">
        <f aca="false">N150+O149</f>
        <v>-89646.6380701692</v>
      </c>
      <c r="P150" s="95" t="n">
        <f aca="false">O150+P149</f>
        <v>-80545.8046787599</v>
      </c>
      <c r="Q150" s="95" t="n">
        <f aca="false">P150+Q149</f>
        <v>-74787.461520103</v>
      </c>
      <c r="R150" s="95" t="n">
        <f aca="false">Q150+R149</f>
        <v>-66119.4911609616</v>
      </c>
      <c r="S150" s="95" t="n">
        <f aca="false">R150+S149</f>
        <v>-54910.7908552564</v>
      </c>
      <c r="T150" s="95" t="n">
        <f aca="false">S150+T149</f>
        <v>-21882.6106263115</v>
      </c>
      <c r="U150" s="95" t="n">
        <f aca="false">T150+U149</f>
        <v>6273.18070960786</v>
      </c>
      <c r="V150" s="95" t="n">
        <f aca="false">U150+V149</f>
        <v>29105.9803708493</v>
      </c>
      <c r="W150" s="95" t="n">
        <f aca="false">V150+W149</f>
        <v>46134.4357377874</v>
      </c>
    </row>
    <row r="152" customFormat="false" ht="15" hidden="false" customHeight="false" outlineLevel="0" collapsed="false">
      <c r="A152" s="9" t="s">
        <v>480</v>
      </c>
      <c r="B152" s="10"/>
      <c r="C152" s="10"/>
      <c r="D152" s="10"/>
      <c r="E152" s="10"/>
      <c r="F152" s="10"/>
      <c r="G152" s="10"/>
      <c r="H152" s="10"/>
      <c r="I152" s="10"/>
      <c r="J152" s="10"/>
      <c r="K152" s="10"/>
      <c r="L152" s="10"/>
      <c r="M152" s="10"/>
      <c r="N152" s="10"/>
      <c r="O152" s="10"/>
      <c r="P152" s="10"/>
      <c r="Q152" s="10"/>
      <c r="R152" s="10"/>
      <c r="S152" s="10"/>
      <c r="T152" s="10"/>
      <c r="U152" s="10"/>
      <c r="V152" s="10"/>
      <c r="W152" s="10"/>
    </row>
    <row r="153" customFormat="false" ht="15" hidden="false" customHeight="false" outlineLevel="0" collapsed="false">
      <c r="A153" s="11" t="s">
        <v>481</v>
      </c>
      <c r="B153" s="66" t="n">
        <f aca="false">C153+NPV(Hurdle,D153:W153)</f>
        <v>2446769.06235548</v>
      </c>
      <c r="C153" s="95" t="n">
        <f aca="false">C102+C96-C93+C103</f>
        <v>1162734.14692871</v>
      </c>
      <c r="D153" s="95" t="n">
        <f aca="false">D102+D96-D93+D103</f>
        <v>77769.6130224792</v>
      </c>
      <c r="E153" s="95" t="n">
        <f aca="false">E102+E96-E93+E103</f>
        <v>85050.1503381151</v>
      </c>
      <c r="F153" s="95" t="n">
        <f aca="false">F102+F96-F93+F103</f>
        <v>91030.9642551859</v>
      </c>
      <c r="G153" s="95" t="n">
        <f aca="false">G102+G96-G93+G103</f>
        <v>94368.252241143</v>
      </c>
      <c r="H153" s="95" t="n">
        <f aca="false">H102+H96-H93+H103</f>
        <v>97842.5861333294</v>
      </c>
      <c r="I153" s="95" t="n">
        <f aca="false">I102+I96-I93+I103</f>
        <v>101460.326179471</v>
      </c>
      <c r="J153" s="95" t="n">
        <f aca="false">J102+J96-J93+J103</f>
        <v>107132.513764357</v>
      </c>
      <c r="K153" s="95" t="n">
        <f aca="false">K102+K96-K93+K103</f>
        <v>285073.470868916</v>
      </c>
      <c r="L153" s="95" t="n">
        <f aca="false">L102+L96-L93+L103</f>
        <v>132064.849577808</v>
      </c>
      <c r="M153" s="95" t="n">
        <f aca="false">M102+M96-M93+M103</f>
        <v>145871.875373176</v>
      </c>
      <c r="N153" s="95" t="n">
        <f aca="false">N102+N96-N93+N103</f>
        <v>160649.422739909</v>
      </c>
      <c r="O153" s="95" t="n">
        <f aca="false">O102+O96-O93+O103</f>
        <v>176459.411776076</v>
      </c>
      <c r="P153" s="95" t="n">
        <f aca="false">P102+P96-P93+P103</f>
        <v>193367.591263061</v>
      </c>
      <c r="Q153" s="95" t="n">
        <f aca="false">Q102+Q96-Q93+Q103</f>
        <v>211443.772901102</v>
      </c>
      <c r="R153" s="95" t="n">
        <f aca="false">R102+R96-R93+R103</f>
        <v>230762.079825336</v>
      </c>
      <c r="S153" s="95" t="n">
        <f aca="false">S102+S96-S93+S103</f>
        <v>461562.721555764</v>
      </c>
      <c r="T153" s="95" t="n">
        <f aca="false">T102+T96-T93+T103</f>
        <v>273444.717318148</v>
      </c>
      <c r="U153" s="95" t="n">
        <f aca="false">U102+U96-U93+U103</f>
        <v>296981.305671791</v>
      </c>
      <c r="V153" s="95" t="n">
        <f aca="false">V102+V96-V93+V103</f>
        <v>322105.146554239</v>
      </c>
      <c r="W153" s="95" t="n">
        <f aca="false">W102+W96-W93+W103</f>
        <v>348916.211773065</v>
      </c>
    </row>
    <row r="154" customFormat="false" ht="15" hidden="false" customHeight="false" outlineLevel="0" collapsed="false">
      <c r="A154" s="11" t="s">
        <v>482</v>
      </c>
      <c r="B154" s="76" t="n">
        <f aca="false">C154+NPV(Hurdle,D154:W154)</f>
        <v>3504620.16232003</v>
      </c>
      <c r="C154" s="93" t="n">
        <f aca="false">C66</f>
        <v>0</v>
      </c>
      <c r="D154" s="93" t="n">
        <f aca="false">D66</f>
        <v>211139.712</v>
      </c>
      <c r="E154" s="93" t="n">
        <f aca="false">E66</f>
        <v>308088.02976</v>
      </c>
      <c r="F154" s="93" t="n">
        <f aca="false">F66</f>
        <v>373330.200768</v>
      </c>
      <c r="G154" s="93" t="n">
        <f aca="false">G66</f>
        <v>384530.10679104</v>
      </c>
      <c r="H154" s="93" t="n">
        <f aca="false">H66</f>
        <v>396066.009994771</v>
      </c>
      <c r="I154" s="93" t="n">
        <f aca="false">I66</f>
        <v>407947.990294614</v>
      </c>
      <c r="J154" s="93" t="n">
        <f aca="false">J66</f>
        <v>420186.430003453</v>
      </c>
      <c r="K154" s="93" t="n">
        <f aca="false">K66</f>
        <v>432792.022903556</v>
      </c>
      <c r="L154" s="93" t="n">
        <f aca="false">L66</f>
        <v>445775.783590663</v>
      </c>
      <c r="M154" s="93" t="n">
        <f aca="false">M66</f>
        <v>459149.057098383</v>
      </c>
      <c r="N154" s="93" t="n">
        <f aca="false">N66</f>
        <v>472923.528811335</v>
      </c>
      <c r="O154" s="93" t="n">
        <f aca="false">O66</f>
        <v>487111.234675675</v>
      </c>
      <c r="P154" s="93" t="n">
        <f aca="false">P66</f>
        <v>501724.571715945</v>
      </c>
      <c r="Q154" s="93" t="n">
        <f aca="false">Q66</f>
        <v>516776.308867423</v>
      </c>
      <c r="R154" s="93" t="n">
        <f aca="false">R66</f>
        <v>532279.598133446</v>
      </c>
      <c r="S154" s="93" t="n">
        <f aca="false">S66</f>
        <v>548247.986077449</v>
      </c>
      <c r="T154" s="93" t="n">
        <f aca="false">T66</f>
        <v>564695.425659773</v>
      </c>
      <c r="U154" s="93" t="n">
        <f aca="false">U66</f>
        <v>581636.288429566</v>
      </c>
      <c r="V154" s="93" t="n">
        <f aca="false">V66</f>
        <v>599085.377082453</v>
      </c>
      <c r="W154" s="93" t="n">
        <f aca="false">W66</f>
        <v>617057.938394927</v>
      </c>
    </row>
    <row r="155" customFormat="false" ht="15" hidden="false" customHeight="false" outlineLevel="0" collapsed="false">
      <c r="A155" s="11" t="s">
        <v>483</v>
      </c>
      <c r="B155" s="66" t="n">
        <f aca="false">C155+NPV(Hurdle,D155:W155)</f>
        <v>1555687.86731988</v>
      </c>
      <c r="C155" s="95" t="n">
        <f aca="false">C83</f>
        <v>0</v>
      </c>
      <c r="D155" s="95" t="n">
        <f aca="false">D83</f>
        <v>73617.387264</v>
      </c>
      <c r="E155" s="95" t="n">
        <f aca="false">E83</f>
        <v>110642.638710202</v>
      </c>
      <c r="F155" s="95" t="n">
        <f aca="false">F83</f>
        <v>138095.029891356</v>
      </c>
      <c r="G155" s="95" t="n">
        <f aca="false">G83</f>
        <v>146505.01721174</v>
      </c>
      <c r="H155" s="95" t="n">
        <f aca="false">H83</f>
        <v>155427.172759935</v>
      </c>
      <c r="I155" s="95" t="n">
        <f aca="false">I83</f>
        <v>164892.687581015</v>
      </c>
      <c r="J155" s="95" t="n">
        <f aca="false">J83</f>
        <v>174934.652254699</v>
      </c>
      <c r="K155" s="95" t="n">
        <f aca="false">K83</f>
        <v>185588.17257701</v>
      </c>
      <c r="L155" s="95" t="n">
        <f aca="false">L83</f>
        <v>196890.49228695</v>
      </c>
      <c r="M155" s="95" t="n">
        <f aca="false">M83</f>
        <v>208881.123267225</v>
      </c>
      <c r="N155" s="95" t="n">
        <f aca="false">N83</f>
        <v>221601.983674199</v>
      </c>
      <c r="O155" s="95" t="n">
        <f aca="false">O83</f>
        <v>235097.544479958</v>
      </c>
      <c r="P155" s="95" t="n">
        <f aca="false">P83</f>
        <v>249414.984938787</v>
      </c>
      <c r="Q155" s="95" t="n">
        <f aca="false">Q83</f>
        <v>264604.357521559</v>
      </c>
      <c r="R155" s="95" t="n">
        <f aca="false">R83</f>
        <v>280718.762894623</v>
      </c>
      <c r="S155" s="95" t="n">
        <f aca="false">S83</f>
        <v>297814.535554905</v>
      </c>
      <c r="T155" s="95" t="n">
        <f aca="false">T83</f>
        <v>315951.440770199</v>
      </c>
      <c r="U155" s="95" t="n">
        <f aca="false">U83</f>
        <v>335192.883513104</v>
      </c>
      <c r="V155" s="95" t="n">
        <f aca="false">V83</f>
        <v>355606.130119052</v>
      </c>
      <c r="W155" s="95"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7" t="s">
        <v>392</v>
      </c>
    </row>
    <row r="2" customFormat="false" ht="15" hidden="false" customHeight="false" outlineLevel="0" collapsed="false">
      <c r="A2" s="8" t="s">
        <v>393</v>
      </c>
    </row>
    <row r="4" customFormat="false" ht="15" hidden="false" customHeight="false" outlineLevel="0" collapsed="false">
      <c r="A4" s="9" t="s">
        <v>394</v>
      </c>
      <c r="B4" s="10"/>
    </row>
    <row r="5" customFormat="false" ht="15" hidden="false" customHeight="false" outlineLevel="0" collapsed="false">
      <c r="A5" s="11" t="s">
        <v>67</v>
      </c>
      <c r="B5" s="67" t="n">
        <v>1</v>
      </c>
    </row>
    <row r="6" customFormat="false" ht="15" hidden="false" customHeight="false" outlineLevel="0" collapsed="false">
      <c r="A6" s="11" t="s">
        <v>333</v>
      </c>
      <c r="B6" s="67" t="n">
        <v>1</v>
      </c>
    </row>
    <row r="7" customFormat="false" ht="15" hidden="false" customHeight="false" outlineLevel="0" collapsed="false">
      <c r="A7" s="11" t="s">
        <v>69</v>
      </c>
      <c r="B7" s="67" t="n">
        <v>1</v>
      </c>
    </row>
    <row r="8" customFormat="false" ht="15" hidden="false" customHeight="false" outlineLevel="0" collapsed="false">
      <c r="A8" s="11" t="s">
        <v>70</v>
      </c>
      <c r="B8" s="67" t="n">
        <v>1</v>
      </c>
    </row>
    <row r="9" customFormat="false" ht="15" hidden="false" customHeight="false" outlineLevel="0" collapsed="false">
      <c r="A9" s="11" t="s">
        <v>395</v>
      </c>
      <c r="B9" s="67" t="n">
        <f aca="false">1-SensDelta</f>
        <v>0.8</v>
      </c>
    </row>
    <row r="10" customFormat="false" ht="15" hidden="false" customHeight="false" outlineLevel="0" collapsed="false">
      <c r="A10" s="11" t="s">
        <v>72</v>
      </c>
      <c r="B10" s="67" t="n">
        <v>1</v>
      </c>
    </row>
    <row r="11" customFormat="false" ht="15" hidden="false" customHeight="false" outlineLevel="0" collapsed="false">
      <c r="A11" s="11" t="s">
        <v>334</v>
      </c>
      <c r="B11" s="67" t="n">
        <v>1</v>
      </c>
    </row>
    <row r="13" customFormat="false" ht="15" hidden="false" customHeight="false" outlineLevel="0" collapsed="false">
      <c r="A13" s="9" t="s">
        <v>396</v>
      </c>
      <c r="B13" s="10"/>
    </row>
    <row r="14" customFormat="false" ht="15" hidden="false" customHeight="false" outlineLevel="0" collapsed="false">
      <c r="A14" s="11" t="s">
        <v>397</v>
      </c>
      <c r="B14" s="66" t="n">
        <f aca="false">TotalCapexBase*LevCapex*$B$7</f>
        <v>1162734.14692871</v>
      </c>
    </row>
    <row r="15" customFormat="false" ht="15" hidden="false" customHeight="false" outlineLevel="0" collapsed="false">
      <c r="A15" s="11" t="s">
        <v>398</v>
      </c>
      <c r="B15" s="66" t="n">
        <f aca="false">HardCapexBase*LevCapex*$B$7</f>
        <v>1011073.17124235</v>
      </c>
    </row>
    <row r="16" customFormat="false" ht="15" hidden="false" customHeight="false" outlineLevel="0" collapsed="false">
      <c r="A16" s="11" t="s">
        <v>252</v>
      </c>
      <c r="B16" s="66" t="n">
        <f aca="false">MAX(0,S_Coll_Lo!$B$14-Grant)*SenPct</f>
        <v>112546.829385741</v>
      </c>
    </row>
    <row r="17" customFormat="false" ht="15" hidden="false" customHeight="false" outlineLevel="0" collapsed="false">
      <c r="A17" s="11" t="s">
        <v>254</v>
      </c>
      <c r="B17" s="66" t="n">
        <f aca="false">MAX(0,S_Coll_Lo!$B$14-Grant)*ConPct</f>
        <v>112546.829385741</v>
      </c>
    </row>
    <row r="18" customFormat="false" ht="15" hidden="false" customHeight="false" outlineLevel="0" collapsed="false">
      <c r="A18" s="11" t="s">
        <v>399</v>
      </c>
      <c r="B18" s="66" t="n">
        <f aca="false">MAX(0,S_Coll_Lo!$B$14-Grant-S_Coll_Lo!$B$16-S_Coll_Lo!$B$17)</f>
        <v>337640.488157224</v>
      </c>
    </row>
    <row r="19" customFormat="false" ht="15" hidden="false" customHeight="false" outlineLevel="0" collapsed="false">
      <c r="A19" s="11" t="s">
        <v>400</v>
      </c>
      <c r="B19" s="66" t="n">
        <f aca="false">C128</f>
        <v>7315.5439100732</v>
      </c>
    </row>
    <row r="20" customFormat="false" ht="15" hidden="false" customHeight="false" outlineLevel="0" collapsed="false">
      <c r="A20" s="11" t="s">
        <v>401</v>
      </c>
      <c r="B20" s="66" t="n">
        <f aca="false">$B$145</f>
        <v>-1106378.58324186</v>
      </c>
    </row>
    <row r="21" customFormat="false" ht="15" hidden="false" customHeight="false" outlineLevel="0" collapsed="false">
      <c r="A21" s="11" t="s">
        <v>402</v>
      </c>
      <c r="B21" s="66" t="n">
        <f aca="false">$B$146</f>
        <v>-288458.222610756</v>
      </c>
    </row>
    <row r="22" customFormat="false" ht="15" hidden="false" customHeight="false" outlineLevel="0" collapsed="false">
      <c r="A22" s="11" t="s">
        <v>403</v>
      </c>
      <c r="B22" s="68" t="str">
        <f aca="false">IFERROR(IRR($C$145:$W$145),"n/a")</f>
        <v>n/a</v>
      </c>
    </row>
    <row r="23" customFormat="false" ht="15" hidden="false" customHeight="false" outlineLevel="0" collapsed="false">
      <c r="A23" s="11" t="s">
        <v>404</v>
      </c>
      <c r="B23" s="68" t="str">
        <f aca="false">IFERROR(IRR($C$146:$W$146),"n/a")</f>
        <v>n/a</v>
      </c>
    </row>
    <row r="24" customFormat="false" ht="15" hidden="false" customHeight="false" outlineLevel="0" collapsed="false">
      <c r="A24" s="11" t="s">
        <v>390</v>
      </c>
      <c r="B24" s="66" t="n">
        <f aca="false">MAX(0,-$B$145)</f>
        <v>1106378.58324186</v>
      </c>
    </row>
    <row r="25" customFormat="false" ht="15" hidden="false" customHeight="false" outlineLevel="0" collapsed="false">
      <c r="A25" s="11" t="s">
        <v>262</v>
      </c>
      <c r="B25" s="68" t="str">
        <f aca="false">IFERROR(IRR($C$149:$W$149),"n/a")</f>
        <v>n/a</v>
      </c>
    </row>
    <row r="26" customFormat="false" ht="15" hidden="false" customHeight="false" outlineLevel="0" collapsed="false">
      <c r="A26" s="11" t="s">
        <v>264</v>
      </c>
      <c r="B26" s="66" t="n">
        <f aca="false">C149+NPV(TargetEqIRR,D149:W149)</f>
        <v>-270990.560401082</v>
      </c>
    </row>
    <row r="27" customFormat="false" ht="15" hidden="false" customHeight="false" outlineLevel="0" collapsed="false">
      <c r="A27" s="11" t="s">
        <v>258</v>
      </c>
      <c r="B27" s="67" t="n">
        <f aca="false">IF((S_Coll_Lo!$B$16+S_Coll_Lo!$B$17)&gt;0,MIN($D$148:$W$148),"no debt")</f>
        <v>-1.55007437370944</v>
      </c>
    </row>
    <row r="28" customFormat="false" ht="15" hidden="false" customHeight="false" outlineLevel="0" collapsed="false">
      <c r="A28" s="11" t="s">
        <v>260</v>
      </c>
      <c r="B28" s="67" t="n">
        <f aca="false">IF((S_Coll_Lo!$B$16+S_Coll_Lo!$B$17)&gt;0,AVERAGE($D$148:$W$148),"no debt")</f>
        <v>0.955056498854868</v>
      </c>
    </row>
    <row r="29" customFormat="false" ht="15" hidden="false" customHeight="false" outlineLevel="0" collapsed="false">
      <c r="A29" s="11" t="s">
        <v>405</v>
      </c>
      <c r="B29" s="87" t="n">
        <f aca="false">IFERROR($B$153/$B$154,0)</f>
        <v>0.662907446653331</v>
      </c>
    </row>
    <row r="30" customFormat="false" ht="15" hidden="false" customHeight="false" outlineLevel="0" collapsed="false">
      <c r="A30" s="11" t="s">
        <v>261</v>
      </c>
      <c r="B30" s="87" t="n">
        <f aca="false">IFERROR($B$155/$B$154,0)</f>
        <v>0.355117027299192</v>
      </c>
    </row>
    <row r="31" customFormat="false" ht="15" hidden="false" customHeight="false" outlineLevel="0" collapsed="false">
      <c r="A31" s="11" t="s">
        <v>406</v>
      </c>
      <c r="B31" s="77" t="n">
        <f aca="false">NPV(Hurdle,D109:W109)</f>
        <v>838.820435762584</v>
      </c>
    </row>
    <row r="32" customFormat="false" ht="15" hidden="false" customHeight="false" outlineLevel="0" collapsed="false">
      <c r="A32" s="11" t="s">
        <v>407</v>
      </c>
      <c r="B32" s="66" t="n">
        <f aca="false">NPV(Hurdle,D108:W108)</f>
        <v>217920.360631104</v>
      </c>
    </row>
    <row r="33" customFormat="false" ht="15" hidden="false" customHeight="false" outlineLevel="0" collapsed="false">
      <c r="A33" s="11" t="s">
        <v>408</v>
      </c>
      <c r="B33" s="77" t="n">
        <f aca="false">NPV(TargetEqIRR,D109:W109)</f>
        <v>785.120407660064</v>
      </c>
    </row>
    <row r="34" customFormat="false" ht="15" hidden="false" customHeight="false" outlineLevel="0" collapsed="false">
      <c r="A34" s="11" t="s">
        <v>409</v>
      </c>
      <c r="B34" s="66" t="n">
        <f aca="false">NPV(TargetEqIRR,D108:W108)</f>
        <v>203969.425495192</v>
      </c>
    </row>
    <row r="35" customFormat="false" ht="15" hidden="false" customHeight="false" outlineLevel="0" collapsed="false">
      <c r="A35" s="11" t="s">
        <v>410</v>
      </c>
      <c r="B35" s="66" t="n">
        <f aca="false">MAX(0,MIN($D$127:$W$127))</f>
        <v>0</v>
      </c>
    </row>
    <row r="36" customFormat="false" ht="15" hidden="false" customHeight="false" outlineLevel="0" collapsed="false">
      <c r="A36" s="11" t="s">
        <v>266</v>
      </c>
      <c r="B36" s="88" t="str">
        <f aca="false">IFERROR(MATCH(TRUE(),INDEX($C$150:$W$150&gt;=0,0),0)-1,"&gt; life")</f>
        <v>&gt; life</v>
      </c>
    </row>
    <row r="39" customFormat="false" ht="15" hidden="false" customHeight="false" outlineLevel="0" collapsed="false">
      <c r="A39" s="16" t="s">
        <v>411</v>
      </c>
      <c r="B39" s="74" t="s">
        <v>412</v>
      </c>
      <c r="C39" s="89" t="n">
        <v>0</v>
      </c>
      <c r="D39" s="89" t="n">
        <v>1</v>
      </c>
      <c r="E39" s="89" t="n">
        <v>2</v>
      </c>
      <c r="F39" s="89" t="n">
        <v>3</v>
      </c>
      <c r="G39" s="89" t="n">
        <v>4</v>
      </c>
      <c r="H39" s="89" t="n">
        <v>5</v>
      </c>
      <c r="I39" s="89" t="n">
        <v>6</v>
      </c>
      <c r="J39" s="89" t="n">
        <v>7</v>
      </c>
      <c r="K39" s="89" t="n">
        <v>8</v>
      </c>
      <c r="L39" s="89" t="n">
        <v>9</v>
      </c>
      <c r="M39" s="89" t="n">
        <v>10</v>
      </c>
      <c r="N39" s="89" t="n">
        <v>11</v>
      </c>
      <c r="O39" s="89" t="n">
        <v>12</v>
      </c>
      <c r="P39" s="89" t="n">
        <v>13</v>
      </c>
      <c r="Q39" s="89" t="n">
        <v>14</v>
      </c>
      <c r="R39" s="89" t="n">
        <v>15</v>
      </c>
      <c r="S39" s="89" t="n">
        <v>16</v>
      </c>
      <c r="T39" s="89" t="n">
        <v>17</v>
      </c>
      <c r="U39" s="89" t="n">
        <v>18</v>
      </c>
      <c r="V39" s="89" t="n">
        <v>19</v>
      </c>
      <c r="W39" s="89" t="n">
        <v>20</v>
      </c>
    </row>
    <row r="40" customFormat="false" ht="15" hidden="false" customHeight="false" outlineLevel="0" collapsed="false">
      <c r="A40" s="11" t="s">
        <v>413</v>
      </c>
      <c r="C40" s="90" t="n">
        <f aca="false">StartYear-1+C39</f>
        <v>2026</v>
      </c>
      <c r="D40" s="90" t="n">
        <f aca="false">StartYear-1+D39</f>
        <v>2027</v>
      </c>
      <c r="E40" s="90" t="n">
        <f aca="false">StartYear-1+E39</f>
        <v>2028</v>
      </c>
      <c r="F40" s="90" t="n">
        <f aca="false">StartYear-1+F39</f>
        <v>2029</v>
      </c>
      <c r="G40" s="90" t="n">
        <f aca="false">StartYear-1+G39</f>
        <v>2030</v>
      </c>
      <c r="H40" s="90" t="n">
        <f aca="false">StartYear-1+H39</f>
        <v>2031</v>
      </c>
      <c r="I40" s="90" t="n">
        <f aca="false">StartYear-1+I39</f>
        <v>2032</v>
      </c>
      <c r="J40" s="90" t="n">
        <f aca="false">StartYear-1+J39</f>
        <v>2033</v>
      </c>
      <c r="K40" s="90" t="n">
        <f aca="false">StartYear-1+K39</f>
        <v>2034</v>
      </c>
      <c r="L40" s="90" t="n">
        <f aca="false">StartYear-1+L39</f>
        <v>2035</v>
      </c>
      <c r="M40" s="90" t="n">
        <f aca="false">StartYear-1+M39</f>
        <v>2036</v>
      </c>
      <c r="N40" s="90" t="n">
        <f aca="false">StartYear-1+N39</f>
        <v>2037</v>
      </c>
      <c r="O40" s="90" t="n">
        <f aca="false">StartYear-1+O39</f>
        <v>2038</v>
      </c>
      <c r="P40" s="90" t="n">
        <f aca="false">StartYear-1+P39</f>
        <v>2039</v>
      </c>
      <c r="Q40" s="90" t="n">
        <f aca="false">StartYear-1+Q39</f>
        <v>2040</v>
      </c>
      <c r="R40" s="90" t="n">
        <f aca="false">StartYear-1+R39</f>
        <v>2041</v>
      </c>
      <c r="S40" s="90" t="n">
        <f aca="false">StartYear-1+S39</f>
        <v>2042</v>
      </c>
      <c r="T40" s="90" t="n">
        <f aca="false">StartYear-1+T39</f>
        <v>2043</v>
      </c>
      <c r="U40" s="90" t="n">
        <f aca="false">StartYear-1+U39</f>
        <v>2044</v>
      </c>
      <c r="V40" s="90" t="n">
        <f aca="false">StartYear-1+V39</f>
        <v>2045</v>
      </c>
      <c r="W40" s="90" t="n">
        <f aca="false">StartYear-1+W39</f>
        <v>2046</v>
      </c>
    </row>
    <row r="41" customFormat="false" ht="15" hidden="false" customHeight="false" outlineLevel="0" collapsed="false">
      <c r="A41" s="11" t="s">
        <v>414</v>
      </c>
      <c r="C41" s="90" t="n">
        <f aca="false">IF(AND(C39&gt;=1,C39&lt;=Life),1,0)</f>
        <v>0</v>
      </c>
      <c r="D41" s="90" t="n">
        <f aca="false">IF(AND(D39&gt;=1,D39&lt;=Life),1,0)</f>
        <v>1</v>
      </c>
      <c r="E41" s="90" t="n">
        <f aca="false">IF(AND(E39&gt;=1,E39&lt;=Life),1,0)</f>
        <v>1</v>
      </c>
      <c r="F41" s="90" t="n">
        <f aca="false">IF(AND(F39&gt;=1,F39&lt;=Life),1,0)</f>
        <v>1</v>
      </c>
      <c r="G41" s="90" t="n">
        <f aca="false">IF(AND(G39&gt;=1,G39&lt;=Life),1,0)</f>
        <v>1</v>
      </c>
      <c r="H41" s="90" t="n">
        <f aca="false">IF(AND(H39&gt;=1,H39&lt;=Life),1,0)</f>
        <v>1</v>
      </c>
      <c r="I41" s="90" t="n">
        <f aca="false">IF(AND(I39&gt;=1,I39&lt;=Life),1,0)</f>
        <v>1</v>
      </c>
      <c r="J41" s="90" t="n">
        <f aca="false">IF(AND(J39&gt;=1,J39&lt;=Life),1,0)</f>
        <v>1</v>
      </c>
      <c r="K41" s="90" t="n">
        <f aca="false">IF(AND(K39&gt;=1,K39&lt;=Life),1,0)</f>
        <v>1</v>
      </c>
      <c r="L41" s="90" t="n">
        <f aca="false">IF(AND(L39&gt;=1,L39&lt;=Life),1,0)</f>
        <v>1</v>
      </c>
      <c r="M41" s="90" t="n">
        <f aca="false">IF(AND(M39&gt;=1,M39&lt;=Life),1,0)</f>
        <v>1</v>
      </c>
      <c r="N41" s="90" t="n">
        <f aca="false">IF(AND(N39&gt;=1,N39&lt;=Life),1,0)</f>
        <v>1</v>
      </c>
      <c r="O41" s="90" t="n">
        <f aca="false">IF(AND(O39&gt;=1,O39&lt;=Life),1,0)</f>
        <v>1</v>
      </c>
      <c r="P41" s="90" t="n">
        <f aca="false">IF(AND(P39&gt;=1,P39&lt;=Life),1,0)</f>
        <v>1</v>
      </c>
      <c r="Q41" s="90" t="n">
        <f aca="false">IF(AND(Q39&gt;=1,Q39&lt;=Life),1,0)</f>
        <v>1</v>
      </c>
      <c r="R41" s="90" t="n">
        <f aca="false">IF(AND(R39&gt;=1,R39&lt;=Life),1,0)</f>
        <v>1</v>
      </c>
      <c r="S41" s="90" t="n">
        <f aca="false">IF(AND(S39&gt;=1,S39&lt;=Life),1,0)</f>
        <v>1</v>
      </c>
      <c r="T41" s="90" t="n">
        <f aca="false">IF(AND(T39&gt;=1,T39&lt;=Life),1,0)</f>
        <v>1</v>
      </c>
      <c r="U41" s="90" t="n">
        <f aca="false">IF(AND(U39&gt;=1,U39&lt;=Life),1,0)</f>
        <v>1</v>
      </c>
      <c r="V41" s="90" t="n">
        <f aca="false">IF(AND(V39&gt;=1,V39&lt;=Life),1,0)</f>
        <v>1</v>
      </c>
      <c r="W41" s="90" t="n">
        <f aca="false">IF(AND(W39&gt;=1,W39&lt;=Life),1,0)</f>
        <v>1</v>
      </c>
    </row>
    <row r="42" customFormat="false" ht="15" hidden="false" customHeight="false" outlineLevel="0" collapsed="false">
      <c r="A42" s="11" t="s">
        <v>415</v>
      </c>
      <c r="C42" s="91" t="n">
        <v>0</v>
      </c>
      <c r="D42" s="91" t="n">
        <f aca="false">IF(D39=1,Ramp1,IF(D39=2,Ramp2,Ramp3))*D41</f>
        <v>0.6</v>
      </c>
      <c r="E42" s="91" t="n">
        <f aca="false">IF(E39=1,Ramp1,IF(E39=2,Ramp2,Ramp3))*E41</f>
        <v>0.85</v>
      </c>
      <c r="F42" s="91" t="n">
        <f aca="false">IF(F39=1,Ramp1,IF(F39=2,Ramp2,Ramp3))*F41</f>
        <v>1</v>
      </c>
      <c r="G42" s="91" t="n">
        <f aca="false">IF(G39=1,Ramp1,IF(G39=2,Ramp2,Ramp3))*G41</f>
        <v>1</v>
      </c>
      <c r="H42" s="91" t="n">
        <f aca="false">IF(H39=1,Ramp1,IF(H39=2,Ramp2,Ramp3))*H41</f>
        <v>1</v>
      </c>
      <c r="I42" s="91" t="n">
        <f aca="false">IF(I39=1,Ramp1,IF(I39=2,Ramp2,Ramp3))*I41</f>
        <v>1</v>
      </c>
      <c r="J42" s="91" t="n">
        <f aca="false">IF(J39=1,Ramp1,IF(J39=2,Ramp2,Ramp3))*J41</f>
        <v>1</v>
      </c>
      <c r="K42" s="91" t="n">
        <f aca="false">IF(K39=1,Ramp1,IF(K39=2,Ramp2,Ramp3))*K41</f>
        <v>1</v>
      </c>
      <c r="L42" s="91" t="n">
        <f aca="false">IF(L39=1,Ramp1,IF(L39=2,Ramp2,Ramp3))*L41</f>
        <v>1</v>
      </c>
      <c r="M42" s="91" t="n">
        <f aca="false">IF(M39=1,Ramp1,IF(M39=2,Ramp2,Ramp3))*M41</f>
        <v>1</v>
      </c>
      <c r="N42" s="91" t="n">
        <f aca="false">IF(N39=1,Ramp1,IF(N39=2,Ramp2,Ramp3))*N41</f>
        <v>1</v>
      </c>
      <c r="O42" s="91" t="n">
        <f aca="false">IF(O39=1,Ramp1,IF(O39=2,Ramp2,Ramp3))*O41</f>
        <v>1</v>
      </c>
      <c r="P42" s="91" t="n">
        <f aca="false">IF(P39=1,Ramp1,IF(P39=2,Ramp2,Ramp3))*P41</f>
        <v>1</v>
      </c>
      <c r="Q42" s="91" t="n">
        <f aca="false">IF(Q39=1,Ramp1,IF(Q39=2,Ramp2,Ramp3))*Q41</f>
        <v>1</v>
      </c>
      <c r="R42" s="91" t="n">
        <f aca="false">IF(R39=1,Ramp1,IF(R39=2,Ramp2,Ramp3))*R41</f>
        <v>1</v>
      </c>
      <c r="S42" s="91" t="n">
        <f aca="false">IF(S39=1,Ramp1,IF(S39=2,Ramp2,Ramp3))*S41</f>
        <v>1</v>
      </c>
      <c r="T42" s="91" t="n">
        <f aca="false">IF(T39=1,Ramp1,IF(T39=2,Ramp2,Ramp3))*T41</f>
        <v>1</v>
      </c>
      <c r="U42" s="91" t="n">
        <f aca="false">IF(U39=1,Ramp1,IF(U39=2,Ramp2,Ramp3))*U41</f>
        <v>1</v>
      </c>
      <c r="V42" s="91" t="n">
        <f aca="false">IF(V39=1,Ramp1,IF(V39=2,Ramp2,Ramp3))*V41</f>
        <v>1</v>
      </c>
      <c r="W42" s="91" t="n">
        <f aca="false">IF(W39=1,Ramp1,IF(W39=2,Ramp2,Ramp3))*W41</f>
        <v>1</v>
      </c>
    </row>
    <row r="43" customFormat="false" ht="15" hidden="false" customHeight="false" outlineLevel="0" collapsed="false">
      <c r="A43" s="11" t="s">
        <v>416</v>
      </c>
      <c r="C43" s="92" t="n">
        <v>0</v>
      </c>
      <c r="D43" s="92" t="n">
        <f aca="false">(1+TariffEsc)^(D39-1)</f>
        <v>1</v>
      </c>
      <c r="E43" s="92" t="n">
        <f aca="false">(1+TariffEsc)^(E39-1)</f>
        <v>1.03</v>
      </c>
      <c r="F43" s="92" t="n">
        <f aca="false">(1+TariffEsc)^(F39-1)</f>
        <v>1.0609</v>
      </c>
      <c r="G43" s="92" t="n">
        <f aca="false">(1+TariffEsc)^(G39-1)</f>
        <v>1.092727</v>
      </c>
      <c r="H43" s="92" t="n">
        <f aca="false">(1+TariffEsc)^(H39-1)</f>
        <v>1.12550881</v>
      </c>
      <c r="I43" s="92" t="n">
        <f aca="false">(1+TariffEsc)^(I39-1)</f>
        <v>1.1592740743</v>
      </c>
      <c r="J43" s="92" t="n">
        <f aca="false">(1+TariffEsc)^(J39-1)</f>
        <v>1.194052296529</v>
      </c>
      <c r="K43" s="92" t="n">
        <f aca="false">(1+TariffEsc)^(K39-1)</f>
        <v>1.22987386542487</v>
      </c>
      <c r="L43" s="92" t="n">
        <f aca="false">(1+TariffEsc)^(L39-1)</f>
        <v>1.26677008138762</v>
      </c>
      <c r="M43" s="92" t="n">
        <f aca="false">(1+TariffEsc)^(M39-1)</f>
        <v>1.30477318382925</v>
      </c>
      <c r="N43" s="92" t="n">
        <f aca="false">(1+TariffEsc)^(N39-1)</f>
        <v>1.34391637934412</v>
      </c>
      <c r="O43" s="92" t="n">
        <f aca="false">(1+TariffEsc)^(O39-1)</f>
        <v>1.38423387072445</v>
      </c>
      <c r="P43" s="92" t="n">
        <f aca="false">(1+TariffEsc)^(P39-1)</f>
        <v>1.42576088684618</v>
      </c>
      <c r="Q43" s="92" t="n">
        <f aca="false">(1+TariffEsc)^(Q39-1)</f>
        <v>1.46853371345156</v>
      </c>
      <c r="R43" s="92" t="n">
        <f aca="false">(1+TariffEsc)^(R39-1)</f>
        <v>1.51258972485511</v>
      </c>
      <c r="S43" s="92" t="n">
        <f aca="false">(1+TariffEsc)^(S39-1)</f>
        <v>1.55796741660077</v>
      </c>
      <c r="T43" s="92" t="n">
        <f aca="false">(1+TariffEsc)^(T39-1)</f>
        <v>1.60470643909879</v>
      </c>
      <c r="U43" s="92" t="n">
        <f aca="false">(1+TariffEsc)^(U39-1)</f>
        <v>1.65284763227175</v>
      </c>
      <c r="V43" s="92" t="n">
        <f aca="false">(1+TariffEsc)^(V39-1)</f>
        <v>1.7024330612399</v>
      </c>
      <c r="W43" s="92" t="n">
        <f aca="false">(1+TariffEsc)^(W39-1)</f>
        <v>1.7535060530771</v>
      </c>
    </row>
    <row r="44" customFormat="false" ht="15" hidden="false" customHeight="false" outlineLevel="0" collapsed="false">
      <c r="A44" s="11" t="s">
        <v>417</v>
      </c>
      <c r="C44" s="92" t="n">
        <v>0</v>
      </c>
      <c r="D44" s="92" t="n">
        <f aca="false">(1+CostEsc)^(D39-1)</f>
        <v>1</v>
      </c>
      <c r="E44" s="92" t="n">
        <f aca="false">(1+CostEsc)^(E39-1)</f>
        <v>1.03</v>
      </c>
      <c r="F44" s="92" t="n">
        <f aca="false">(1+CostEsc)^(F39-1)</f>
        <v>1.0609</v>
      </c>
      <c r="G44" s="92" t="n">
        <f aca="false">(1+CostEsc)^(G39-1)</f>
        <v>1.092727</v>
      </c>
      <c r="H44" s="92" t="n">
        <f aca="false">(1+CostEsc)^(H39-1)</f>
        <v>1.12550881</v>
      </c>
      <c r="I44" s="92" t="n">
        <f aca="false">(1+CostEsc)^(I39-1)</f>
        <v>1.1592740743</v>
      </c>
      <c r="J44" s="92" t="n">
        <f aca="false">(1+CostEsc)^(J39-1)</f>
        <v>1.194052296529</v>
      </c>
      <c r="K44" s="92" t="n">
        <f aca="false">(1+CostEsc)^(K39-1)</f>
        <v>1.22987386542487</v>
      </c>
      <c r="L44" s="92" t="n">
        <f aca="false">(1+CostEsc)^(L39-1)</f>
        <v>1.26677008138762</v>
      </c>
      <c r="M44" s="92" t="n">
        <f aca="false">(1+CostEsc)^(M39-1)</f>
        <v>1.30477318382925</v>
      </c>
      <c r="N44" s="92" t="n">
        <f aca="false">(1+CostEsc)^(N39-1)</f>
        <v>1.34391637934412</v>
      </c>
      <c r="O44" s="92" t="n">
        <f aca="false">(1+CostEsc)^(O39-1)</f>
        <v>1.38423387072445</v>
      </c>
      <c r="P44" s="92" t="n">
        <f aca="false">(1+CostEsc)^(P39-1)</f>
        <v>1.42576088684618</v>
      </c>
      <c r="Q44" s="92" t="n">
        <f aca="false">(1+CostEsc)^(Q39-1)</f>
        <v>1.46853371345156</v>
      </c>
      <c r="R44" s="92" t="n">
        <f aca="false">(1+CostEsc)^(R39-1)</f>
        <v>1.51258972485511</v>
      </c>
      <c r="S44" s="92" t="n">
        <f aca="false">(1+CostEsc)^(S39-1)</f>
        <v>1.55796741660077</v>
      </c>
      <c r="T44" s="92" t="n">
        <f aca="false">(1+CostEsc)^(T39-1)</f>
        <v>1.60470643909879</v>
      </c>
      <c r="U44" s="92" t="n">
        <f aca="false">(1+CostEsc)^(U39-1)</f>
        <v>1.65284763227175</v>
      </c>
      <c r="V44" s="92" t="n">
        <f aca="false">(1+CostEsc)^(V39-1)</f>
        <v>1.7024330612399</v>
      </c>
      <c r="W44" s="92" t="n">
        <f aca="false">(1+CostEsc)^(W39-1)</f>
        <v>1.7535060530771</v>
      </c>
    </row>
    <row r="45" customFormat="false" ht="15" hidden="false" customHeight="false" outlineLevel="0" collapsed="false">
      <c r="A45" s="11" t="s">
        <v>418</v>
      </c>
      <c r="C45" s="92" t="n">
        <v>0</v>
      </c>
      <c r="D45" s="92" t="n">
        <f aca="false">(1+DemandGrowth)^(D39-1)*LevDemand*$B$6</f>
        <v>1</v>
      </c>
      <c r="E45" s="92" t="n">
        <f aca="false">(1+DemandGrowth)^(E39-1)*LevDemand*$B$6</f>
        <v>1.03</v>
      </c>
      <c r="F45" s="92" t="n">
        <f aca="false">(1+DemandGrowth)^(F39-1)*LevDemand*$B$6</f>
        <v>1.0609</v>
      </c>
      <c r="G45" s="92" t="n">
        <f aca="false">(1+DemandGrowth)^(G39-1)*LevDemand*$B$6</f>
        <v>1.092727</v>
      </c>
      <c r="H45" s="92" t="n">
        <f aca="false">(1+DemandGrowth)^(H39-1)*LevDemand*$B$6</f>
        <v>1.12550881</v>
      </c>
      <c r="I45" s="92" t="n">
        <f aca="false">(1+DemandGrowth)^(I39-1)*LevDemand*$B$6</f>
        <v>1.1592740743</v>
      </c>
      <c r="J45" s="92" t="n">
        <f aca="false">(1+DemandGrowth)^(J39-1)*LevDemand*$B$6</f>
        <v>1.194052296529</v>
      </c>
      <c r="K45" s="92" t="n">
        <f aca="false">(1+DemandGrowth)^(K39-1)*LevDemand*$B$6</f>
        <v>1.22987386542487</v>
      </c>
      <c r="L45" s="92" t="n">
        <f aca="false">(1+DemandGrowth)^(L39-1)*LevDemand*$B$6</f>
        <v>1.26677008138762</v>
      </c>
      <c r="M45" s="92" t="n">
        <f aca="false">(1+DemandGrowth)^(M39-1)*LevDemand*$B$6</f>
        <v>1.30477318382925</v>
      </c>
      <c r="N45" s="92" t="n">
        <f aca="false">(1+DemandGrowth)^(N39-1)*LevDemand*$B$6</f>
        <v>1.34391637934412</v>
      </c>
      <c r="O45" s="92" t="n">
        <f aca="false">(1+DemandGrowth)^(O39-1)*LevDemand*$B$6</f>
        <v>1.38423387072445</v>
      </c>
      <c r="P45" s="92" t="n">
        <f aca="false">(1+DemandGrowth)^(P39-1)*LevDemand*$B$6</f>
        <v>1.42576088684618</v>
      </c>
      <c r="Q45" s="92" t="n">
        <f aca="false">(1+DemandGrowth)^(Q39-1)*LevDemand*$B$6</f>
        <v>1.46853371345156</v>
      </c>
      <c r="R45" s="92" t="n">
        <f aca="false">(1+DemandGrowth)^(R39-1)*LevDemand*$B$6</f>
        <v>1.51258972485511</v>
      </c>
      <c r="S45" s="92" t="n">
        <f aca="false">(1+DemandGrowth)^(S39-1)*LevDemand*$B$6</f>
        <v>1.55796741660077</v>
      </c>
      <c r="T45" s="92" t="n">
        <f aca="false">(1+DemandGrowth)^(T39-1)*LevDemand*$B$6</f>
        <v>1.60470643909879</v>
      </c>
      <c r="U45" s="92" t="n">
        <f aca="false">(1+DemandGrowth)^(U39-1)*LevDemand*$B$6</f>
        <v>1.65284763227175</v>
      </c>
      <c r="V45" s="92" t="n">
        <f aca="false">(1+DemandGrowth)^(V39-1)*LevDemand*$B$6</f>
        <v>1.7024330612399</v>
      </c>
      <c r="W45" s="92" t="n">
        <f aca="false">(1+DemandGrowth)^(W39-1)*LevDemand*$B$6</f>
        <v>1.7535060530771</v>
      </c>
    </row>
    <row r="47" customFormat="false" ht="15" hidden="false" customHeight="false" outlineLevel="0" collapsed="false">
      <c r="A47" s="9" t="s">
        <v>419</v>
      </c>
      <c r="B47" s="10"/>
      <c r="C47" s="10"/>
      <c r="D47" s="10"/>
      <c r="E47" s="10"/>
      <c r="F47" s="10"/>
      <c r="G47" s="10"/>
      <c r="H47" s="10"/>
      <c r="I47" s="10"/>
      <c r="J47" s="10"/>
      <c r="K47" s="10"/>
      <c r="L47" s="10"/>
      <c r="M47" s="10"/>
      <c r="N47" s="10"/>
      <c r="O47" s="10"/>
      <c r="P47" s="10"/>
      <c r="Q47" s="10"/>
      <c r="R47" s="10"/>
      <c r="S47" s="10"/>
      <c r="T47" s="10"/>
      <c r="U47" s="10"/>
      <c r="V47" s="10"/>
      <c r="W47" s="10"/>
    </row>
    <row r="48" customFormat="false" ht="15" hidden="false" customHeight="false" outlineLevel="0" collapsed="false">
      <c r="A48" s="11" t="str">
        <f aca="false">"Connections - "&amp;Seg1_Name</f>
        <v>Connections - Households</v>
      </c>
      <c r="C48" s="93" t="n">
        <v>0</v>
      </c>
      <c r="D48" s="93" t="n">
        <f aca="false">Seg1_N*D42</f>
        <v>480</v>
      </c>
      <c r="E48" s="93" t="n">
        <f aca="false">Seg1_N*E42</f>
        <v>680</v>
      </c>
      <c r="F48" s="93" t="n">
        <f aca="false">Seg1_N*F42</f>
        <v>800</v>
      </c>
      <c r="G48" s="93" t="n">
        <f aca="false">Seg1_N*G42</f>
        <v>800</v>
      </c>
      <c r="H48" s="93" t="n">
        <f aca="false">Seg1_N*H42</f>
        <v>800</v>
      </c>
      <c r="I48" s="93" t="n">
        <f aca="false">Seg1_N*I42</f>
        <v>800</v>
      </c>
      <c r="J48" s="93" t="n">
        <f aca="false">Seg1_N*J42</f>
        <v>800</v>
      </c>
      <c r="K48" s="93" t="n">
        <f aca="false">Seg1_N*K42</f>
        <v>800</v>
      </c>
      <c r="L48" s="93" t="n">
        <f aca="false">Seg1_N*L42</f>
        <v>800</v>
      </c>
      <c r="M48" s="93" t="n">
        <f aca="false">Seg1_N*M42</f>
        <v>800</v>
      </c>
      <c r="N48" s="93" t="n">
        <f aca="false">Seg1_N*N42</f>
        <v>800</v>
      </c>
      <c r="O48" s="93" t="n">
        <f aca="false">Seg1_N*O42</f>
        <v>800</v>
      </c>
      <c r="P48" s="93" t="n">
        <f aca="false">Seg1_N*P42</f>
        <v>800</v>
      </c>
      <c r="Q48" s="93" t="n">
        <f aca="false">Seg1_N*Q42</f>
        <v>800</v>
      </c>
      <c r="R48" s="93" t="n">
        <f aca="false">Seg1_N*R42</f>
        <v>800</v>
      </c>
      <c r="S48" s="93" t="n">
        <f aca="false">Seg1_N*S42</f>
        <v>800</v>
      </c>
      <c r="T48" s="93" t="n">
        <f aca="false">Seg1_N*T42</f>
        <v>800</v>
      </c>
      <c r="U48" s="93" t="n">
        <f aca="false">Seg1_N*U42</f>
        <v>800</v>
      </c>
      <c r="V48" s="93" t="n">
        <f aca="false">Seg1_N*V42</f>
        <v>800</v>
      </c>
      <c r="W48" s="93" t="n">
        <f aca="false">Seg1_N*W42</f>
        <v>800</v>
      </c>
    </row>
    <row r="49" customFormat="false" ht="15" hidden="false" customHeight="false" outlineLevel="0" collapsed="false">
      <c r="A49" s="11" t="str">
        <f aca="false">"Connections - "&amp;Seg2_Name</f>
        <v>Connections - Productive users (mills, welding, cold rooms)</v>
      </c>
      <c r="C49" s="93" t="n">
        <v>0</v>
      </c>
      <c r="D49" s="93" t="n">
        <f aca="false">Seg2_N*D42</f>
        <v>36</v>
      </c>
      <c r="E49" s="93" t="n">
        <f aca="false">Seg2_N*E42</f>
        <v>51</v>
      </c>
      <c r="F49" s="93" t="n">
        <f aca="false">Seg2_N*F42</f>
        <v>60</v>
      </c>
      <c r="G49" s="93" t="n">
        <f aca="false">Seg2_N*G42</f>
        <v>60</v>
      </c>
      <c r="H49" s="93" t="n">
        <f aca="false">Seg2_N*H42</f>
        <v>60</v>
      </c>
      <c r="I49" s="93" t="n">
        <f aca="false">Seg2_N*I42</f>
        <v>60</v>
      </c>
      <c r="J49" s="93" t="n">
        <f aca="false">Seg2_N*J42</f>
        <v>60</v>
      </c>
      <c r="K49" s="93" t="n">
        <f aca="false">Seg2_N*K42</f>
        <v>60</v>
      </c>
      <c r="L49" s="93" t="n">
        <f aca="false">Seg2_N*L42</f>
        <v>60</v>
      </c>
      <c r="M49" s="93" t="n">
        <f aca="false">Seg2_N*M42</f>
        <v>60</v>
      </c>
      <c r="N49" s="93" t="n">
        <f aca="false">Seg2_N*N42</f>
        <v>60</v>
      </c>
      <c r="O49" s="93" t="n">
        <f aca="false">Seg2_N*O42</f>
        <v>60</v>
      </c>
      <c r="P49" s="93" t="n">
        <f aca="false">Seg2_N*P42</f>
        <v>60</v>
      </c>
      <c r="Q49" s="93" t="n">
        <f aca="false">Seg2_N*Q42</f>
        <v>60</v>
      </c>
      <c r="R49" s="93" t="n">
        <f aca="false">Seg2_N*R42</f>
        <v>60</v>
      </c>
      <c r="S49" s="93" t="n">
        <f aca="false">Seg2_N*S42</f>
        <v>60</v>
      </c>
      <c r="T49" s="93" t="n">
        <f aca="false">Seg2_N*T42</f>
        <v>60</v>
      </c>
      <c r="U49" s="93" t="n">
        <f aca="false">Seg2_N*U42</f>
        <v>60</v>
      </c>
      <c r="V49" s="93" t="n">
        <f aca="false">Seg2_N*V42</f>
        <v>60</v>
      </c>
      <c r="W49" s="93" t="n">
        <f aca="false">Seg2_N*W42</f>
        <v>60</v>
      </c>
    </row>
    <row r="50" customFormat="false" ht="15" hidden="false" customHeight="false" outlineLevel="0" collapsed="false">
      <c r="A50" s="11" t="str">
        <f aca="false">"Connections - "&amp;Seg3_Name</f>
        <v>Connections - Commercial (shops, bars, kiosks)</v>
      </c>
      <c r="C50" s="93" t="n">
        <v>0</v>
      </c>
      <c r="D50" s="93" t="n">
        <f aca="false">Seg3_N*D42</f>
        <v>60</v>
      </c>
      <c r="E50" s="93" t="n">
        <f aca="false">Seg3_N*E42</f>
        <v>85</v>
      </c>
      <c r="F50" s="93" t="n">
        <f aca="false">Seg3_N*F42</f>
        <v>100</v>
      </c>
      <c r="G50" s="93" t="n">
        <f aca="false">Seg3_N*G42</f>
        <v>100</v>
      </c>
      <c r="H50" s="93" t="n">
        <f aca="false">Seg3_N*H42</f>
        <v>100</v>
      </c>
      <c r="I50" s="93" t="n">
        <f aca="false">Seg3_N*I42</f>
        <v>100</v>
      </c>
      <c r="J50" s="93" t="n">
        <f aca="false">Seg3_N*J42</f>
        <v>100</v>
      </c>
      <c r="K50" s="93" t="n">
        <f aca="false">Seg3_N*K42</f>
        <v>100</v>
      </c>
      <c r="L50" s="93" t="n">
        <f aca="false">Seg3_N*L42</f>
        <v>100</v>
      </c>
      <c r="M50" s="93" t="n">
        <f aca="false">Seg3_N*M42</f>
        <v>100</v>
      </c>
      <c r="N50" s="93" t="n">
        <f aca="false">Seg3_N*N42</f>
        <v>100</v>
      </c>
      <c r="O50" s="93" t="n">
        <f aca="false">Seg3_N*O42</f>
        <v>100</v>
      </c>
      <c r="P50" s="93" t="n">
        <f aca="false">Seg3_N*P42</f>
        <v>100</v>
      </c>
      <c r="Q50" s="93" t="n">
        <f aca="false">Seg3_N*Q42</f>
        <v>100</v>
      </c>
      <c r="R50" s="93" t="n">
        <f aca="false">Seg3_N*R42</f>
        <v>100</v>
      </c>
      <c r="S50" s="93" t="n">
        <f aca="false">Seg3_N*S42</f>
        <v>100</v>
      </c>
      <c r="T50" s="93" t="n">
        <f aca="false">Seg3_N*T42</f>
        <v>100</v>
      </c>
      <c r="U50" s="93" t="n">
        <f aca="false">Seg3_N*U42</f>
        <v>100</v>
      </c>
      <c r="V50" s="93" t="n">
        <f aca="false">Seg3_N*V42</f>
        <v>100</v>
      </c>
      <c r="W50" s="93" t="n">
        <f aca="false">Seg3_N*W42</f>
        <v>100</v>
      </c>
    </row>
    <row r="51" customFormat="false" ht="15" hidden="false" customHeight="false" outlineLevel="0" collapsed="false">
      <c r="A51" s="11" t="str">
        <f aca="false">"Connections - "&amp;Seg4_Name</f>
        <v>Connections - Institutions (health centre, school, water)</v>
      </c>
      <c r="C51" s="93" t="n">
        <v>0</v>
      </c>
      <c r="D51" s="93" t="n">
        <f aca="false">Seg4_N*D42</f>
        <v>6</v>
      </c>
      <c r="E51" s="93" t="n">
        <f aca="false">Seg4_N*E42</f>
        <v>8.5</v>
      </c>
      <c r="F51" s="93" t="n">
        <f aca="false">Seg4_N*F42</f>
        <v>10</v>
      </c>
      <c r="G51" s="93" t="n">
        <f aca="false">Seg4_N*G42</f>
        <v>10</v>
      </c>
      <c r="H51" s="93" t="n">
        <f aca="false">Seg4_N*H42</f>
        <v>10</v>
      </c>
      <c r="I51" s="93" t="n">
        <f aca="false">Seg4_N*I42</f>
        <v>10</v>
      </c>
      <c r="J51" s="93" t="n">
        <f aca="false">Seg4_N*J42</f>
        <v>10</v>
      </c>
      <c r="K51" s="93" t="n">
        <f aca="false">Seg4_N*K42</f>
        <v>10</v>
      </c>
      <c r="L51" s="93" t="n">
        <f aca="false">Seg4_N*L42</f>
        <v>10</v>
      </c>
      <c r="M51" s="93" t="n">
        <f aca="false">Seg4_N*M42</f>
        <v>10</v>
      </c>
      <c r="N51" s="93" t="n">
        <f aca="false">Seg4_N*N42</f>
        <v>10</v>
      </c>
      <c r="O51" s="93" t="n">
        <f aca="false">Seg4_N*O42</f>
        <v>10</v>
      </c>
      <c r="P51" s="93" t="n">
        <f aca="false">Seg4_N*P42</f>
        <v>10</v>
      </c>
      <c r="Q51" s="93" t="n">
        <f aca="false">Seg4_N*Q42</f>
        <v>10</v>
      </c>
      <c r="R51" s="93" t="n">
        <f aca="false">Seg4_N*R42</f>
        <v>10</v>
      </c>
      <c r="S51" s="93" t="n">
        <f aca="false">Seg4_N*S42</f>
        <v>10</v>
      </c>
      <c r="T51" s="93" t="n">
        <f aca="false">Seg4_N*T42</f>
        <v>10</v>
      </c>
      <c r="U51" s="93" t="n">
        <f aca="false">Seg4_N*U42</f>
        <v>10</v>
      </c>
      <c r="V51" s="93" t="n">
        <f aca="false">Seg4_N*V42</f>
        <v>10</v>
      </c>
      <c r="W51" s="93" t="n">
        <f aca="false">Seg4_N*W42</f>
        <v>10</v>
      </c>
    </row>
    <row r="52" customFormat="false" ht="15" hidden="false" customHeight="false" outlineLevel="0" collapsed="false">
      <c r="A52" s="11" t="str">
        <f aca="false">"Connections - "&amp;Seg5_Name</f>
        <v>Connections - Other / custom</v>
      </c>
      <c r="C52" s="93" t="n">
        <v>0</v>
      </c>
      <c r="D52" s="93" t="n">
        <f aca="false">Seg5_N*D42</f>
        <v>0</v>
      </c>
      <c r="E52" s="93" t="n">
        <f aca="false">Seg5_N*E42</f>
        <v>0</v>
      </c>
      <c r="F52" s="93" t="n">
        <f aca="false">Seg5_N*F42</f>
        <v>0</v>
      </c>
      <c r="G52" s="93" t="n">
        <f aca="false">Seg5_N*G42</f>
        <v>0</v>
      </c>
      <c r="H52" s="93" t="n">
        <f aca="false">Seg5_N*H42</f>
        <v>0</v>
      </c>
      <c r="I52" s="93" t="n">
        <f aca="false">Seg5_N*I42</f>
        <v>0</v>
      </c>
      <c r="J52" s="93" t="n">
        <f aca="false">Seg5_N*J42</f>
        <v>0</v>
      </c>
      <c r="K52" s="93" t="n">
        <f aca="false">Seg5_N*K42</f>
        <v>0</v>
      </c>
      <c r="L52" s="93" t="n">
        <f aca="false">Seg5_N*L42</f>
        <v>0</v>
      </c>
      <c r="M52" s="93" t="n">
        <f aca="false">Seg5_N*M42</f>
        <v>0</v>
      </c>
      <c r="N52" s="93" t="n">
        <f aca="false">Seg5_N*N42</f>
        <v>0</v>
      </c>
      <c r="O52" s="93" t="n">
        <f aca="false">Seg5_N*O42</f>
        <v>0</v>
      </c>
      <c r="P52" s="93" t="n">
        <f aca="false">Seg5_N*P42</f>
        <v>0</v>
      </c>
      <c r="Q52" s="93" t="n">
        <f aca="false">Seg5_N*Q42</f>
        <v>0</v>
      </c>
      <c r="R52" s="93" t="n">
        <f aca="false">Seg5_N*R42</f>
        <v>0</v>
      </c>
      <c r="S52" s="93" t="n">
        <f aca="false">Seg5_N*S42</f>
        <v>0</v>
      </c>
      <c r="T52" s="93" t="n">
        <f aca="false">Seg5_N*T42</f>
        <v>0</v>
      </c>
      <c r="U52" s="93" t="n">
        <f aca="false">Seg5_N*U42</f>
        <v>0</v>
      </c>
      <c r="V52" s="93" t="n">
        <f aca="false">Seg5_N*V42</f>
        <v>0</v>
      </c>
      <c r="W52" s="93" t="n">
        <f aca="false">Seg5_N*W42</f>
        <v>0</v>
      </c>
    </row>
    <row r="53" customFormat="false" ht="15" hidden="false" customHeight="false" outlineLevel="0" collapsed="false">
      <c r="A53" s="16" t="s">
        <v>420</v>
      </c>
      <c r="C53" s="29" t="n">
        <f aca="false">C48+C49+C50+C51+C52</f>
        <v>0</v>
      </c>
      <c r="D53" s="29" t="n">
        <f aca="false">D48+D49+D50+D51+D52</f>
        <v>582</v>
      </c>
      <c r="E53" s="29" t="n">
        <f aca="false">E48+E49+E50+E51+E52</f>
        <v>824.5</v>
      </c>
      <c r="F53" s="29" t="n">
        <f aca="false">F48+F49+F50+F51+F52</f>
        <v>970</v>
      </c>
      <c r="G53" s="29" t="n">
        <f aca="false">G48+G49+G50+G51+G52</f>
        <v>970</v>
      </c>
      <c r="H53" s="29" t="n">
        <f aca="false">H48+H49+H50+H51+H52</f>
        <v>970</v>
      </c>
      <c r="I53" s="29" t="n">
        <f aca="false">I48+I49+I50+I51+I52</f>
        <v>970</v>
      </c>
      <c r="J53" s="29" t="n">
        <f aca="false">J48+J49+J50+J51+J52</f>
        <v>970</v>
      </c>
      <c r="K53" s="29" t="n">
        <f aca="false">K48+K49+K50+K51+K52</f>
        <v>970</v>
      </c>
      <c r="L53" s="29" t="n">
        <f aca="false">L48+L49+L50+L51+L52</f>
        <v>970</v>
      </c>
      <c r="M53" s="29" t="n">
        <f aca="false">M48+M49+M50+M51+M52</f>
        <v>970</v>
      </c>
      <c r="N53" s="29" t="n">
        <f aca="false">N48+N49+N50+N51+N52</f>
        <v>970</v>
      </c>
      <c r="O53" s="29" t="n">
        <f aca="false">O48+O49+O50+O51+O52</f>
        <v>970</v>
      </c>
      <c r="P53" s="29" t="n">
        <f aca="false">P48+P49+P50+P51+P52</f>
        <v>970</v>
      </c>
      <c r="Q53" s="29" t="n">
        <f aca="false">Q48+Q49+Q50+Q51+Q52</f>
        <v>970</v>
      </c>
      <c r="R53" s="29" t="n">
        <f aca="false">R48+R49+R50+R51+R52</f>
        <v>970</v>
      </c>
      <c r="S53" s="29" t="n">
        <f aca="false">S48+S49+S50+S51+S52</f>
        <v>970</v>
      </c>
      <c r="T53" s="29" t="n">
        <f aca="false">T48+T49+T50+T51+T52</f>
        <v>970</v>
      </c>
      <c r="U53" s="29" t="n">
        <f aca="false">U48+U49+U50+U51+U52</f>
        <v>970</v>
      </c>
      <c r="V53" s="29" t="n">
        <f aca="false">V48+V49+V50+V51+V52</f>
        <v>970</v>
      </c>
      <c r="W53" s="29" t="n">
        <f aca="false">W48+W49+W50+W51+W52</f>
        <v>970</v>
      </c>
    </row>
    <row r="54" customFormat="false" ht="15" hidden="false" customHeight="false" outlineLevel="0" collapsed="false">
      <c r="A54" s="11" t="str">
        <f aca="false">"New connections - "&amp;Seg1_Name</f>
        <v>New connections - Households</v>
      </c>
      <c r="B54" s="77" t="n">
        <f aca="false">SUM(C54:W54)</f>
        <v>800</v>
      </c>
      <c r="C54" s="94" t="n">
        <v>0</v>
      </c>
      <c r="D54" s="94" t="n">
        <f aca="false">MAX(0,D48-C48)</f>
        <v>480</v>
      </c>
      <c r="E54" s="94" t="n">
        <f aca="false">MAX(0,E48-D48)</f>
        <v>200</v>
      </c>
      <c r="F54" s="94" t="n">
        <f aca="false">MAX(0,F48-E48)</f>
        <v>120</v>
      </c>
      <c r="G54" s="94" t="n">
        <f aca="false">MAX(0,G48-F48)</f>
        <v>0</v>
      </c>
      <c r="H54" s="94" t="n">
        <f aca="false">MAX(0,H48-G48)</f>
        <v>0</v>
      </c>
      <c r="I54" s="94" t="n">
        <f aca="false">MAX(0,I48-H48)</f>
        <v>0</v>
      </c>
      <c r="J54" s="94" t="n">
        <f aca="false">MAX(0,J48-I48)</f>
        <v>0</v>
      </c>
      <c r="K54" s="94" t="n">
        <f aca="false">MAX(0,K48-J48)</f>
        <v>0</v>
      </c>
      <c r="L54" s="94" t="n">
        <f aca="false">MAX(0,L48-K48)</f>
        <v>0</v>
      </c>
      <c r="M54" s="94" t="n">
        <f aca="false">MAX(0,M48-L48)</f>
        <v>0</v>
      </c>
      <c r="N54" s="94" t="n">
        <f aca="false">MAX(0,N48-M48)</f>
        <v>0</v>
      </c>
      <c r="O54" s="94" t="n">
        <f aca="false">MAX(0,O48-N48)</f>
        <v>0</v>
      </c>
      <c r="P54" s="94" t="n">
        <f aca="false">MAX(0,P48-O48)</f>
        <v>0</v>
      </c>
      <c r="Q54" s="94" t="n">
        <f aca="false">MAX(0,Q48-P48)</f>
        <v>0</v>
      </c>
      <c r="R54" s="94" t="n">
        <f aca="false">MAX(0,R48-Q48)</f>
        <v>0</v>
      </c>
      <c r="S54" s="94" t="n">
        <f aca="false">MAX(0,S48-R48)</f>
        <v>0</v>
      </c>
      <c r="T54" s="94" t="n">
        <f aca="false">MAX(0,T48-S48)</f>
        <v>0</v>
      </c>
      <c r="U54" s="94" t="n">
        <f aca="false">MAX(0,U48-T48)</f>
        <v>0</v>
      </c>
      <c r="V54" s="94" t="n">
        <f aca="false">MAX(0,V48-U48)</f>
        <v>0</v>
      </c>
      <c r="W54" s="94" t="n">
        <f aca="false">MAX(0,W48-V48)</f>
        <v>0</v>
      </c>
    </row>
    <row r="55" customFormat="false" ht="15" hidden="false" customHeight="false" outlineLevel="0" collapsed="false">
      <c r="A55" s="11" t="str">
        <f aca="false">"New connections - "&amp;Seg2_Name</f>
        <v>New connections - Productive users (mills, welding, cold rooms)</v>
      </c>
      <c r="B55" s="77" t="n">
        <f aca="false">SUM(C55:W55)</f>
        <v>60</v>
      </c>
      <c r="C55" s="94" t="n">
        <v>0</v>
      </c>
      <c r="D55" s="94" t="n">
        <f aca="false">MAX(0,D49-C49)</f>
        <v>36</v>
      </c>
      <c r="E55" s="94" t="n">
        <f aca="false">MAX(0,E49-D49)</f>
        <v>15</v>
      </c>
      <c r="F55" s="94" t="n">
        <f aca="false">MAX(0,F49-E49)</f>
        <v>9</v>
      </c>
      <c r="G55" s="94" t="n">
        <f aca="false">MAX(0,G49-F49)</f>
        <v>0</v>
      </c>
      <c r="H55" s="94" t="n">
        <f aca="false">MAX(0,H49-G49)</f>
        <v>0</v>
      </c>
      <c r="I55" s="94" t="n">
        <f aca="false">MAX(0,I49-H49)</f>
        <v>0</v>
      </c>
      <c r="J55" s="94" t="n">
        <f aca="false">MAX(0,J49-I49)</f>
        <v>0</v>
      </c>
      <c r="K55" s="94" t="n">
        <f aca="false">MAX(0,K49-J49)</f>
        <v>0</v>
      </c>
      <c r="L55" s="94" t="n">
        <f aca="false">MAX(0,L49-K49)</f>
        <v>0</v>
      </c>
      <c r="M55" s="94" t="n">
        <f aca="false">MAX(0,M49-L49)</f>
        <v>0</v>
      </c>
      <c r="N55" s="94" t="n">
        <f aca="false">MAX(0,N49-M49)</f>
        <v>0</v>
      </c>
      <c r="O55" s="94" t="n">
        <f aca="false">MAX(0,O49-N49)</f>
        <v>0</v>
      </c>
      <c r="P55" s="94" t="n">
        <f aca="false">MAX(0,P49-O49)</f>
        <v>0</v>
      </c>
      <c r="Q55" s="94" t="n">
        <f aca="false">MAX(0,Q49-P49)</f>
        <v>0</v>
      </c>
      <c r="R55" s="94" t="n">
        <f aca="false">MAX(0,R49-Q49)</f>
        <v>0</v>
      </c>
      <c r="S55" s="94" t="n">
        <f aca="false">MAX(0,S49-R49)</f>
        <v>0</v>
      </c>
      <c r="T55" s="94" t="n">
        <f aca="false">MAX(0,T49-S49)</f>
        <v>0</v>
      </c>
      <c r="U55" s="94" t="n">
        <f aca="false">MAX(0,U49-T49)</f>
        <v>0</v>
      </c>
      <c r="V55" s="94" t="n">
        <f aca="false">MAX(0,V49-U49)</f>
        <v>0</v>
      </c>
      <c r="W55" s="94" t="n">
        <f aca="false">MAX(0,W49-V49)</f>
        <v>0</v>
      </c>
    </row>
    <row r="56" customFormat="false" ht="15" hidden="false" customHeight="false" outlineLevel="0" collapsed="false">
      <c r="A56" s="11" t="str">
        <f aca="false">"New connections - "&amp;Seg3_Name</f>
        <v>New connections - Commercial (shops, bars, kiosks)</v>
      </c>
      <c r="B56" s="77" t="n">
        <f aca="false">SUM(C56:W56)</f>
        <v>100</v>
      </c>
      <c r="C56" s="94" t="n">
        <v>0</v>
      </c>
      <c r="D56" s="94" t="n">
        <f aca="false">MAX(0,D50-C50)</f>
        <v>60</v>
      </c>
      <c r="E56" s="94" t="n">
        <f aca="false">MAX(0,E50-D50)</f>
        <v>25</v>
      </c>
      <c r="F56" s="94" t="n">
        <f aca="false">MAX(0,F50-E50)</f>
        <v>15</v>
      </c>
      <c r="G56" s="94" t="n">
        <f aca="false">MAX(0,G50-F50)</f>
        <v>0</v>
      </c>
      <c r="H56" s="94" t="n">
        <f aca="false">MAX(0,H50-G50)</f>
        <v>0</v>
      </c>
      <c r="I56" s="94" t="n">
        <f aca="false">MAX(0,I50-H50)</f>
        <v>0</v>
      </c>
      <c r="J56" s="94" t="n">
        <f aca="false">MAX(0,J50-I50)</f>
        <v>0</v>
      </c>
      <c r="K56" s="94" t="n">
        <f aca="false">MAX(0,K50-J50)</f>
        <v>0</v>
      </c>
      <c r="L56" s="94" t="n">
        <f aca="false">MAX(0,L50-K50)</f>
        <v>0</v>
      </c>
      <c r="M56" s="94" t="n">
        <f aca="false">MAX(0,M50-L50)</f>
        <v>0</v>
      </c>
      <c r="N56" s="94" t="n">
        <f aca="false">MAX(0,N50-M50)</f>
        <v>0</v>
      </c>
      <c r="O56" s="94" t="n">
        <f aca="false">MAX(0,O50-N50)</f>
        <v>0</v>
      </c>
      <c r="P56" s="94" t="n">
        <f aca="false">MAX(0,P50-O50)</f>
        <v>0</v>
      </c>
      <c r="Q56" s="94" t="n">
        <f aca="false">MAX(0,Q50-P50)</f>
        <v>0</v>
      </c>
      <c r="R56" s="94" t="n">
        <f aca="false">MAX(0,R50-Q50)</f>
        <v>0</v>
      </c>
      <c r="S56" s="94" t="n">
        <f aca="false">MAX(0,S50-R50)</f>
        <v>0</v>
      </c>
      <c r="T56" s="94" t="n">
        <f aca="false">MAX(0,T50-S50)</f>
        <v>0</v>
      </c>
      <c r="U56" s="94" t="n">
        <f aca="false">MAX(0,U50-T50)</f>
        <v>0</v>
      </c>
      <c r="V56" s="94" t="n">
        <f aca="false">MAX(0,V50-U50)</f>
        <v>0</v>
      </c>
      <c r="W56" s="94" t="n">
        <f aca="false">MAX(0,W50-V50)</f>
        <v>0</v>
      </c>
    </row>
    <row r="57" customFormat="false" ht="15" hidden="false" customHeight="false" outlineLevel="0" collapsed="false">
      <c r="A57" s="11" t="str">
        <f aca="false">"New connections - "&amp;Seg4_Name</f>
        <v>New connections - Institutions (health centre, school, water)</v>
      </c>
      <c r="B57" s="77" t="n">
        <f aca="false">SUM(C57:W57)</f>
        <v>10</v>
      </c>
      <c r="C57" s="94" t="n">
        <v>0</v>
      </c>
      <c r="D57" s="94" t="n">
        <f aca="false">MAX(0,D51-C51)</f>
        <v>6</v>
      </c>
      <c r="E57" s="94" t="n">
        <f aca="false">MAX(0,E51-D51)</f>
        <v>2.5</v>
      </c>
      <c r="F57" s="94" t="n">
        <f aca="false">MAX(0,F51-E51)</f>
        <v>1.5</v>
      </c>
      <c r="G57" s="94" t="n">
        <f aca="false">MAX(0,G51-F51)</f>
        <v>0</v>
      </c>
      <c r="H57" s="94" t="n">
        <f aca="false">MAX(0,H51-G51)</f>
        <v>0</v>
      </c>
      <c r="I57" s="94" t="n">
        <f aca="false">MAX(0,I51-H51)</f>
        <v>0</v>
      </c>
      <c r="J57" s="94" t="n">
        <f aca="false">MAX(0,J51-I51)</f>
        <v>0</v>
      </c>
      <c r="K57" s="94" t="n">
        <f aca="false">MAX(0,K51-J51)</f>
        <v>0</v>
      </c>
      <c r="L57" s="94" t="n">
        <f aca="false">MAX(0,L51-K51)</f>
        <v>0</v>
      </c>
      <c r="M57" s="94" t="n">
        <f aca="false">MAX(0,M51-L51)</f>
        <v>0</v>
      </c>
      <c r="N57" s="94" t="n">
        <f aca="false">MAX(0,N51-M51)</f>
        <v>0</v>
      </c>
      <c r="O57" s="94" t="n">
        <f aca="false">MAX(0,O51-N51)</f>
        <v>0</v>
      </c>
      <c r="P57" s="94" t="n">
        <f aca="false">MAX(0,P51-O51)</f>
        <v>0</v>
      </c>
      <c r="Q57" s="94" t="n">
        <f aca="false">MAX(0,Q51-P51)</f>
        <v>0</v>
      </c>
      <c r="R57" s="94" t="n">
        <f aca="false">MAX(0,R51-Q51)</f>
        <v>0</v>
      </c>
      <c r="S57" s="94" t="n">
        <f aca="false">MAX(0,S51-R51)</f>
        <v>0</v>
      </c>
      <c r="T57" s="94" t="n">
        <f aca="false">MAX(0,T51-S51)</f>
        <v>0</v>
      </c>
      <c r="U57" s="94" t="n">
        <f aca="false">MAX(0,U51-T51)</f>
        <v>0</v>
      </c>
      <c r="V57" s="94" t="n">
        <f aca="false">MAX(0,V51-U51)</f>
        <v>0</v>
      </c>
      <c r="W57" s="94" t="n">
        <f aca="false">MAX(0,W51-V51)</f>
        <v>0</v>
      </c>
    </row>
    <row r="58" customFormat="false" ht="15" hidden="false" customHeight="false" outlineLevel="0" collapsed="false">
      <c r="A58" s="11" t="str">
        <f aca="false">"New connections - "&amp;Seg5_Name</f>
        <v>New connections - Other / custom</v>
      </c>
      <c r="B58" s="77" t="n">
        <f aca="false">SUM(C58:W58)</f>
        <v>0</v>
      </c>
      <c r="C58" s="94" t="n">
        <v>0</v>
      </c>
      <c r="D58" s="94" t="n">
        <f aca="false">MAX(0,D52-C52)</f>
        <v>0</v>
      </c>
      <c r="E58" s="94" t="n">
        <f aca="false">MAX(0,E52-D52)</f>
        <v>0</v>
      </c>
      <c r="F58" s="94" t="n">
        <f aca="false">MAX(0,F52-E52)</f>
        <v>0</v>
      </c>
      <c r="G58" s="94" t="n">
        <f aca="false">MAX(0,G52-F52)</f>
        <v>0</v>
      </c>
      <c r="H58" s="94" t="n">
        <f aca="false">MAX(0,H52-G52)</f>
        <v>0</v>
      </c>
      <c r="I58" s="94" t="n">
        <f aca="false">MAX(0,I52-H52)</f>
        <v>0</v>
      </c>
      <c r="J58" s="94" t="n">
        <f aca="false">MAX(0,J52-I52)</f>
        <v>0</v>
      </c>
      <c r="K58" s="94" t="n">
        <f aca="false">MAX(0,K52-J52)</f>
        <v>0</v>
      </c>
      <c r="L58" s="94" t="n">
        <f aca="false">MAX(0,L52-K52)</f>
        <v>0</v>
      </c>
      <c r="M58" s="94" t="n">
        <f aca="false">MAX(0,M52-L52)</f>
        <v>0</v>
      </c>
      <c r="N58" s="94" t="n">
        <f aca="false">MAX(0,N52-M52)</f>
        <v>0</v>
      </c>
      <c r="O58" s="94" t="n">
        <f aca="false">MAX(0,O52-N52)</f>
        <v>0</v>
      </c>
      <c r="P58" s="94" t="n">
        <f aca="false">MAX(0,P52-O52)</f>
        <v>0</v>
      </c>
      <c r="Q58" s="94" t="n">
        <f aca="false">MAX(0,Q52-P52)</f>
        <v>0</v>
      </c>
      <c r="R58" s="94" t="n">
        <f aca="false">MAX(0,R52-Q52)</f>
        <v>0</v>
      </c>
      <c r="S58" s="94" t="n">
        <f aca="false">MAX(0,S52-R52)</f>
        <v>0</v>
      </c>
      <c r="T58" s="94" t="n">
        <f aca="false">MAX(0,T52-S52)</f>
        <v>0</v>
      </c>
      <c r="U58" s="94" t="n">
        <f aca="false">MAX(0,U52-T52)</f>
        <v>0</v>
      </c>
      <c r="V58" s="94" t="n">
        <f aca="false">MAX(0,V52-U52)</f>
        <v>0</v>
      </c>
      <c r="W58" s="94" t="n">
        <f aca="false">MAX(0,W52-V52)</f>
        <v>0</v>
      </c>
    </row>
    <row r="59" customFormat="false" ht="15" hidden="false" customHeight="false" outlineLevel="0" collapsed="false">
      <c r="A59" s="16" t="s">
        <v>421</v>
      </c>
      <c r="B59" s="76" t="n">
        <f aca="false">SUM(C59:W59)</f>
        <v>970</v>
      </c>
      <c r="C59" s="29" t="n">
        <f aca="false">C54+C55+C56+C57+C58</f>
        <v>0</v>
      </c>
      <c r="D59" s="29" t="n">
        <f aca="false">D54+D55+D56+D57+D58</f>
        <v>582</v>
      </c>
      <c r="E59" s="29" t="n">
        <f aca="false">E54+E55+E56+E57+E58</f>
        <v>242.5</v>
      </c>
      <c r="F59" s="29" t="n">
        <f aca="false">F54+F55+F56+F57+F58</f>
        <v>145.5</v>
      </c>
      <c r="G59" s="29" t="n">
        <f aca="false">G54+G55+G56+G57+G58</f>
        <v>0</v>
      </c>
      <c r="H59" s="29" t="n">
        <f aca="false">H54+H55+H56+H57+H58</f>
        <v>0</v>
      </c>
      <c r="I59" s="29" t="n">
        <f aca="false">I54+I55+I56+I57+I58</f>
        <v>0</v>
      </c>
      <c r="J59" s="29" t="n">
        <f aca="false">J54+J55+J56+J57+J58</f>
        <v>0</v>
      </c>
      <c r="K59" s="29" t="n">
        <f aca="false">K54+K55+K56+K57+K58</f>
        <v>0</v>
      </c>
      <c r="L59" s="29" t="n">
        <f aca="false">L54+L55+L56+L57+L58</f>
        <v>0</v>
      </c>
      <c r="M59" s="29" t="n">
        <f aca="false">M54+M55+M56+M57+M58</f>
        <v>0</v>
      </c>
      <c r="N59" s="29" t="n">
        <f aca="false">N54+N55+N56+N57+N58</f>
        <v>0</v>
      </c>
      <c r="O59" s="29" t="n">
        <f aca="false">O54+O55+O56+O57+O58</f>
        <v>0</v>
      </c>
      <c r="P59" s="29" t="n">
        <f aca="false">P54+P55+P56+P57+P58</f>
        <v>0</v>
      </c>
      <c r="Q59" s="29" t="n">
        <f aca="false">Q54+Q55+Q56+Q57+Q58</f>
        <v>0</v>
      </c>
      <c r="R59" s="29" t="n">
        <f aca="false">R54+R55+R56+R57+R58</f>
        <v>0</v>
      </c>
      <c r="S59" s="29" t="n">
        <f aca="false">S54+S55+S56+S57+S58</f>
        <v>0</v>
      </c>
      <c r="T59" s="29" t="n">
        <f aca="false">T54+T55+T56+T57+T58</f>
        <v>0</v>
      </c>
      <c r="U59" s="29" t="n">
        <f aca="false">U54+U55+U56+U57+U58</f>
        <v>0</v>
      </c>
      <c r="V59" s="29" t="n">
        <f aca="false">V54+V55+V56+V57+V58</f>
        <v>0</v>
      </c>
      <c r="W59" s="29" t="n">
        <f aca="false">W54+W55+W56+W57+W58</f>
        <v>0</v>
      </c>
    </row>
    <row r="61" customFormat="false" ht="15" hidden="false" customHeight="false" outlineLevel="0" collapsed="false">
      <c r="A61" s="11" t="str">
        <f aca="false">"Energy sold (kWh) - "&amp;Seg1_Name</f>
        <v>Energy sold (kWh) - Households</v>
      </c>
      <c r="B61" s="76" t="n">
        <f aca="false">SUM(C61:W61)</f>
        <v>3789485.92641319</v>
      </c>
      <c r="C61" s="93" t="n">
        <v>0</v>
      </c>
      <c r="D61" s="93" t="n">
        <f aca="false">D48*Seg1_kWh*12*D45</f>
        <v>86400</v>
      </c>
      <c r="E61" s="93" t="n">
        <f aca="false">E48*Seg1_kWh*12*E45</f>
        <v>126072</v>
      </c>
      <c r="F61" s="93" t="n">
        <f aca="false">F48*Seg1_kWh*12*F45</f>
        <v>152769.6</v>
      </c>
      <c r="G61" s="93" t="n">
        <f aca="false">G48*Seg1_kWh*12*G45</f>
        <v>157352.688</v>
      </c>
      <c r="H61" s="93" t="n">
        <f aca="false">H48*Seg1_kWh*12*H45</f>
        <v>162073.26864</v>
      </c>
      <c r="I61" s="93" t="n">
        <f aca="false">I48*Seg1_kWh*12*I45</f>
        <v>166935.4666992</v>
      </c>
      <c r="J61" s="93" t="n">
        <f aca="false">J48*Seg1_kWh*12*J45</f>
        <v>171943.530700176</v>
      </c>
      <c r="K61" s="93" t="n">
        <f aca="false">K48*Seg1_kWh*12*K45</f>
        <v>177101.836621181</v>
      </c>
      <c r="L61" s="93" t="n">
        <f aca="false">L48*Seg1_kWh*12*L45</f>
        <v>182414.891719817</v>
      </c>
      <c r="M61" s="93" t="n">
        <f aca="false">M48*Seg1_kWh*12*M45</f>
        <v>187887.338471411</v>
      </c>
      <c r="N61" s="93" t="n">
        <f aca="false">N48*Seg1_kWh*12*N45</f>
        <v>193523.958625554</v>
      </c>
      <c r="O61" s="93" t="n">
        <f aca="false">O48*Seg1_kWh*12*O45</f>
        <v>199329.67738432</v>
      </c>
      <c r="P61" s="93" t="n">
        <f aca="false">P48*Seg1_kWh*12*P45</f>
        <v>205309.56770585</v>
      </c>
      <c r="Q61" s="93" t="n">
        <f aca="false">Q48*Seg1_kWh*12*Q45</f>
        <v>211468.854737025</v>
      </c>
      <c r="R61" s="93" t="n">
        <f aca="false">R48*Seg1_kWh*12*R45</f>
        <v>217812.920379136</v>
      </c>
      <c r="S61" s="93" t="n">
        <f aca="false">S48*Seg1_kWh*12*S45</f>
        <v>224347.30799051</v>
      </c>
      <c r="T61" s="93" t="n">
        <f aca="false">T48*Seg1_kWh*12*T45</f>
        <v>231077.727230226</v>
      </c>
      <c r="U61" s="93" t="n">
        <f aca="false">U48*Seg1_kWh*12*U45</f>
        <v>238010.059047132</v>
      </c>
      <c r="V61" s="93" t="n">
        <f aca="false">V48*Seg1_kWh*12*V45</f>
        <v>245150.360818546</v>
      </c>
      <c r="W61" s="93" t="n">
        <f aca="false">W48*Seg1_kWh*12*W45</f>
        <v>252504.871643103</v>
      </c>
    </row>
    <row r="62" customFormat="false" ht="15" hidden="false" customHeight="false" outlineLevel="0" collapsed="false">
      <c r="A62" s="11" t="str">
        <f aca="false">"Energy sold (kWh) - "&amp;Seg2_Name</f>
        <v>Energy sold (kWh) - Productive users (mills, welding, cold rooms)</v>
      </c>
      <c r="B62" s="76" t="n">
        <f aca="false">SUM(C62:W62)</f>
        <v>2944733.72369716</v>
      </c>
      <c r="C62" s="93" t="n">
        <v>0</v>
      </c>
      <c r="D62" s="93" t="n">
        <f aca="false">D49*Seg2_kWh*12*D45</f>
        <v>67139.712</v>
      </c>
      <c r="E62" s="93" t="n">
        <f aca="false">E49*Seg2_kWh*12*E45</f>
        <v>97968.02976</v>
      </c>
      <c r="F62" s="93" t="n">
        <f aca="false">F49*Seg2_kWh*12*F45</f>
        <v>118714.200768</v>
      </c>
      <c r="G62" s="93" t="n">
        <f aca="false">G49*Seg2_kWh*12*G45</f>
        <v>122275.62679104</v>
      </c>
      <c r="H62" s="93" t="n">
        <f aca="false">H49*Seg2_kWh*12*H45</f>
        <v>125943.895594771</v>
      </c>
      <c r="I62" s="93" t="n">
        <f aca="false">I49*Seg2_kWh*12*I45</f>
        <v>129722.212462614</v>
      </c>
      <c r="J62" s="93" t="n">
        <f aca="false">J49*Seg2_kWh*12*J45</f>
        <v>133613.878836493</v>
      </c>
      <c r="K62" s="93" t="n">
        <f aca="false">K49*Seg2_kWh*12*K45</f>
        <v>137622.295201588</v>
      </c>
      <c r="L62" s="93" t="n">
        <f aca="false">L49*Seg2_kWh*12*L45</f>
        <v>141750.964057635</v>
      </c>
      <c r="M62" s="93" t="n">
        <f aca="false">M49*Seg2_kWh*12*M45</f>
        <v>146003.492979364</v>
      </c>
      <c r="N62" s="93" t="n">
        <f aca="false">N49*Seg2_kWh*12*N45</f>
        <v>150383.597768745</v>
      </c>
      <c r="O62" s="93" t="n">
        <f aca="false">O49*Seg2_kWh*12*O45</f>
        <v>154895.105701808</v>
      </c>
      <c r="P62" s="93" t="n">
        <f aca="false">P49*Seg2_kWh*12*P45</f>
        <v>159541.958872862</v>
      </c>
      <c r="Q62" s="93" t="n">
        <f aca="false">Q49*Seg2_kWh*12*Q45</f>
        <v>164328.217639048</v>
      </c>
      <c r="R62" s="93" t="n">
        <f aca="false">R49*Seg2_kWh*12*R45</f>
        <v>169258.064168219</v>
      </c>
      <c r="S62" s="93" t="n">
        <f aca="false">S49*Seg2_kWh*12*S45</f>
        <v>174335.806093266</v>
      </c>
      <c r="T62" s="93" t="n">
        <f aca="false">T49*Seg2_kWh*12*T45</f>
        <v>179565.880276064</v>
      </c>
      <c r="U62" s="93" t="n">
        <f aca="false">U49*Seg2_kWh*12*U45</f>
        <v>184952.856684346</v>
      </c>
      <c r="V62" s="93" t="n">
        <f aca="false">V49*Seg2_kWh*12*V45</f>
        <v>190501.442384876</v>
      </c>
      <c r="W62" s="93" t="n">
        <f aca="false">W49*Seg2_kWh*12*W45</f>
        <v>196216.485656422</v>
      </c>
    </row>
    <row r="63" customFormat="false" ht="15" hidden="false" customHeight="false" outlineLevel="0" collapsed="false">
      <c r="A63" s="11" t="str">
        <f aca="false">"Energy sold (kWh) - "&amp;Seg3_Name</f>
        <v>Energy sold (kWh) - Commercial (shops, bars, kiosks)</v>
      </c>
      <c r="B63" s="76" t="n">
        <f aca="false">SUM(C63:W63)</f>
        <v>1578952.46933883</v>
      </c>
      <c r="C63" s="93" t="n">
        <v>0</v>
      </c>
      <c r="D63" s="93" t="n">
        <f aca="false">D50*Seg3_kWh*12*D45</f>
        <v>36000</v>
      </c>
      <c r="E63" s="93" t="n">
        <f aca="false">E50*Seg3_kWh*12*E45</f>
        <v>52530</v>
      </c>
      <c r="F63" s="93" t="n">
        <f aca="false">F50*Seg3_kWh*12*F45</f>
        <v>63654</v>
      </c>
      <c r="G63" s="93" t="n">
        <f aca="false">G50*Seg3_kWh*12*G45</f>
        <v>65563.62</v>
      </c>
      <c r="H63" s="93" t="n">
        <f aca="false">H50*Seg3_kWh*12*H45</f>
        <v>67530.5286</v>
      </c>
      <c r="I63" s="93" t="n">
        <f aca="false">I50*Seg3_kWh*12*I45</f>
        <v>69556.444458</v>
      </c>
      <c r="J63" s="93" t="n">
        <f aca="false">J50*Seg3_kWh*12*J45</f>
        <v>71643.13779174</v>
      </c>
      <c r="K63" s="93" t="n">
        <f aca="false">K50*Seg3_kWh*12*K45</f>
        <v>73792.4319254922</v>
      </c>
      <c r="L63" s="93" t="n">
        <f aca="false">L50*Seg3_kWh*12*L45</f>
        <v>76006.204883257</v>
      </c>
      <c r="M63" s="93" t="n">
        <f aca="false">M50*Seg3_kWh*12*M45</f>
        <v>78286.3910297547</v>
      </c>
      <c r="N63" s="93" t="n">
        <f aca="false">N50*Seg3_kWh*12*N45</f>
        <v>80634.9827606473</v>
      </c>
      <c r="O63" s="93" t="n">
        <f aca="false">O50*Seg3_kWh*12*O45</f>
        <v>83054.0322434668</v>
      </c>
      <c r="P63" s="93" t="n">
        <f aca="false">P50*Seg3_kWh*12*P45</f>
        <v>85545.6532107708</v>
      </c>
      <c r="Q63" s="93" t="n">
        <f aca="false">Q50*Seg3_kWh*12*Q45</f>
        <v>88112.0228070939</v>
      </c>
      <c r="R63" s="93" t="n">
        <f aca="false">R50*Seg3_kWh*12*R45</f>
        <v>90755.3834913067</v>
      </c>
      <c r="S63" s="93" t="n">
        <f aca="false">S50*Seg3_kWh*12*S45</f>
        <v>93478.0449960459</v>
      </c>
      <c r="T63" s="93" t="n">
        <f aca="false">T50*Seg3_kWh*12*T45</f>
        <v>96282.3863459273</v>
      </c>
      <c r="U63" s="93" t="n">
        <f aca="false">U50*Seg3_kWh*12*U45</f>
        <v>99170.8579363051</v>
      </c>
      <c r="V63" s="93" t="n">
        <f aca="false">V50*Seg3_kWh*12*V45</f>
        <v>102145.983674394</v>
      </c>
      <c r="W63" s="93" t="n">
        <f aca="false">W50*Seg3_kWh*12*W45</f>
        <v>105210.363184626</v>
      </c>
    </row>
    <row r="64" customFormat="false" ht="15" hidden="false" customHeight="false" outlineLevel="0" collapsed="false">
      <c r="A64" s="11" t="str">
        <f aca="false">"Energy sold (kWh) - "&amp;Seg4_Name</f>
        <v>Energy sold (kWh) - Institutions (health centre, school, water)</v>
      </c>
      <c r="B64" s="76" t="n">
        <f aca="false">SUM(C64:W64)</f>
        <v>947371.481603297</v>
      </c>
      <c r="C64" s="93" t="n">
        <v>0</v>
      </c>
      <c r="D64" s="93" t="n">
        <f aca="false">D51*Seg4_kWh*12*D45</f>
        <v>21600</v>
      </c>
      <c r="E64" s="93" t="n">
        <f aca="false">E51*Seg4_kWh*12*E45</f>
        <v>31518</v>
      </c>
      <c r="F64" s="93" t="n">
        <f aca="false">F51*Seg4_kWh*12*F45</f>
        <v>38192.4</v>
      </c>
      <c r="G64" s="93" t="n">
        <f aca="false">G51*Seg4_kWh*12*G45</f>
        <v>39338.172</v>
      </c>
      <c r="H64" s="93" t="n">
        <f aca="false">H51*Seg4_kWh*12*H45</f>
        <v>40518.31716</v>
      </c>
      <c r="I64" s="93" t="n">
        <f aca="false">I51*Seg4_kWh*12*I45</f>
        <v>41733.8666748</v>
      </c>
      <c r="J64" s="93" t="n">
        <f aca="false">J51*Seg4_kWh*12*J45</f>
        <v>42985.882675044</v>
      </c>
      <c r="K64" s="93" t="n">
        <f aca="false">K51*Seg4_kWh*12*K45</f>
        <v>44275.4591552953</v>
      </c>
      <c r="L64" s="93" t="n">
        <f aca="false">L51*Seg4_kWh*12*L45</f>
        <v>45603.7229299542</v>
      </c>
      <c r="M64" s="93" t="n">
        <f aca="false">M51*Seg4_kWh*12*M45</f>
        <v>46971.8346178528</v>
      </c>
      <c r="N64" s="93" t="n">
        <f aca="false">N51*Seg4_kWh*12*N45</f>
        <v>48380.9896563884</v>
      </c>
      <c r="O64" s="93" t="n">
        <f aca="false">O51*Seg4_kWh*12*O45</f>
        <v>49832.4193460801</v>
      </c>
      <c r="P64" s="93" t="n">
        <f aca="false">P51*Seg4_kWh*12*P45</f>
        <v>51327.3919264625</v>
      </c>
      <c r="Q64" s="93" t="n">
        <f aca="false">Q51*Seg4_kWh*12*Q45</f>
        <v>52867.2136842563</v>
      </c>
      <c r="R64" s="93" t="n">
        <f aca="false">R51*Seg4_kWh*12*R45</f>
        <v>54453.230094784</v>
      </c>
      <c r="S64" s="93" t="n">
        <f aca="false">S51*Seg4_kWh*12*S45</f>
        <v>56086.8269976275</v>
      </c>
      <c r="T64" s="93" t="n">
        <f aca="false">T51*Seg4_kWh*12*T45</f>
        <v>57769.4318075564</v>
      </c>
      <c r="U64" s="93" t="n">
        <f aca="false">U51*Seg4_kWh*12*U45</f>
        <v>59502.5147617831</v>
      </c>
      <c r="V64" s="93" t="n">
        <f aca="false">V51*Seg4_kWh*12*V45</f>
        <v>61287.5902046366</v>
      </c>
      <c r="W64" s="93" t="n">
        <f aca="false">W51*Seg4_kWh*12*W45</f>
        <v>63126.2179107757</v>
      </c>
    </row>
    <row r="65" customFormat="false" ht="15" hidden="false" customHeight="false" outlineLevel="0" collapsed="false">
      <c r="A65" s="11" t="str">
        <f aca="false">"Energy sold (kWh) - "&amp;Seg5_Name</f>
        <v>Energy sold (kWh) - Other / custom</v>
      </c>
      <c r="B65" s="76" t="n">
        <f aca="false">SUM(C65:W65)</f>
        <v>0</v>
      </c>
      <c r="C65" s="93" t="n">
        <v>0</v>
      </c>
      <c r="D65" s="93" t="n">
        <f aca="false">D52*Seg5_kWh*12*D45</f>
        <v>0</v>
      </c>
      <c r="E65" s="93" t="n">
        <f aca="false">E52*Seg5_kWh*12*E45</f>
        <v>0</v>
      </c>
      <c r="F65" s="93" t="n">
        <f aca="false">F52*Seg5_kWh*12*F45</f>
        <v>0</v>
      </c>
      <c r="G65" s="93" t="n">
        <f aca="false">G52*Seg5_kWh*12*G45</f>
        <v>0</v>
      </c>
      <c r="H65" s="93" t="n">
        <f aca="false">H52*Seg5_kWh*12*H45</f>
        <v>0</v>
      </c>
      <c r="I65" s="93" t="n">
        <f aca="false">I52*Seg5_kWh*12*I45</f>
        <v>0</v>
      </c>
      <c r="J65" s="93" t="n">
        <f aca="false">J52*Seg5_kWh*12*J45</f>
        <v>0</v>
      </c>
      <c r="K65" s="93" t="n">
        <f aca="false">K52*Seg5_kWh*12*K45</f>
        <v>0</v>
      </c>
      <c r="L65" s="93" t="n">
        <f aca="false">L52*Seg5_kWh*12*L45</f>
        <v>0</v>
      </c>
      <c r="M65" s="93" t="n">
        <f aca="false">M52*Seg5_kWh*12*M45</f>
        <v>0</v>
      </c>
      <c r="N65" s="93" t="n">
        <f aca="false">N52*Seg5_kWh*12*N45</f>
        <v>0</v>
      </c>
      <c r="O65" s="93" t="n">
        <f aca="false">O52*Seg5_kWh*12*O45</f>
        <v>0</v>
      </c>
      <c r="P65" s="93" t="n">
        <f aca="false">P52*Seg5_kWh*12*P45</f>
        <v>0</v>
      </c>
      <c r="Q65" s="93" t="n">
        <f aca="false">Q52*Seg5_kWh*12*Q45</f>
        <v>0</v>
      </c>
      <c r="R65" s="93" t="n">
        <f aca="false">R52*Seg5_kWh*12*R45</f>
        <v>0</v>
      </c>
      <c r="S65" s="93" t="n">
        <f aca="false">S52*Seg5_kWh*12*S45</f>
        <v>0</v>
      </c>
      <c r="T65" s="93" t="n">
        <f aca="false">T52*Seg5_kWh*12*T45</f>
        <v>0</v>
      </c>
      <c r="U65" s="93" t="n">
        <f aca="false">U52*Seg5_kWh*12*U45</f>
        <v>0</v>
      </c>
      <c r="V65" s="93" t="n">
        <f aca="false">V52*Seg5_kWh*12*V45</f>
        <v>0</v>
      </c>
      <c r="W65" s="93" t="n">
        <f aca="false">W52*Seg5_kWh*12*W45</f>
        <v>0</v>
      </c>
    </row>
    <row r="66" customFormat="false" ht="15" hidden="false" customHeight="false" outlineLevel="0" collapsed="false">
      <c r="A66" s="16" t="s">
        <v>422</v>
      </c>
      <c r="B66" s="76" t="n">
        <f aca="false">SUM(C66:W66)</f>
        <v>9260543.60105247</v>
      </c>
      <c r="C66" s="29" t="n">
        <f aca="false">C61+C62+C63+C64+C65</f>
        <v>0</v>
      </c>
      <c r="D66" s="29" t="n">
        <f aca="false">D61+D62+D63+D64+D65</f>
        <v>211139.712</v>
      </c>
      <c r="E66" s="29" t="n">
        <f aca="false">E61+E62+E63+E64+E65</f>
        <v>308088.02976</v>
      </c>
      <c r="F66" s="29" t="n">
        <f aca="false">F61+F62+F63+F64+F65</f>
        <v>373330.200768</v>
      </c>
      <c r="G66" s="29" t="n">
        <f aca="false">G61+G62+G63+G64+G65</f>
        <v>384530.10679104</v>
      </c>
      <c r="H66" s="29" t="n">
        <f aca="false">H61+H62+H63+H64+H65</f>
        <v>396066.009994771</v>
      </c>
      <c r="I66" s="29" t="n">
        <f aca="false">I61+I62+I63+I64+I65</f>
        <v>407947.990294614</v>
      </c>
      <c r="J66" s="29" t="n">
        <f aca="false">J61+J62+J63+J64+J65</f>
        <v>420186.430003453</v>
      </c>
      <c r="K66" s="29" t="n">
        <f aca="false">K61+K62+K63+K64+K65</f>
        <v>432792.022903556</v>
      </c>
      <c r="L66" s="29" t="n">
        <f aca="false">L61+L62+L63+L64+L65</f>
        <v>445775.783590663</v>
      </c>
      <c r="M66" s="29" t="n">
        <f aca="false">M61+M62+M63+M64+M65</f>
        <v>459149.057098383</v>
      </c>
      <c r="N66" s="29" t="n">
        <f aca="false">N61+N62+N63+N64+N65</f>
        <v>472923.528811335</v>
      </c>
      <c r="O66" s="29" t="n">
        <f aca="false">O61+O62+O63+O64+O65</f>
        <v>487111.234675675</v>
      </c>
      <c r="P66" s="29" t="n">
        <f aca="false">P61+P62+P63+P64+P65</f>
        <v>501724.571715945</v>
      </c>
      <c r="Q66" s="29" t="n">
        <f aca="false">Q61+Q62+Q63+Q64+Q65</f>
        <v>516776.308867423</v>
      </c>
      <c r="R66" s="29" t="n">
        <f aca="false">R61+R62+R63+R64+R65</f>
        <v>532279.598133446</v>
      </c>
      <c r="S66" s="29" t="n">
        <f aca="false">S61+S62+S63+S64+S65</f>
        <v>548247.986077449</v>
      </c>
      <c r="T66" s="29" t="n">
        <f aca="false">T61+T62+T63+T64+T65</f>
        <v>564695.425659773</v>
      </c>
      <c r="U66" s="29" t="n">
        <f aca="false">U61+U62+U63+U64+U65</f>
        <v>581636.288429566</v>
      </c>
      <c r="V66" s="29" t="n">
        <f aca="false">V61+V62+V63+V64+V65</f>
        <v>599085.377082453</v>
      </c>
      <c r="W66" s="29" t="n">
        <f aca="false">W61+W62+W63+W64+W65</f>
        <v>617057.938394927</v>
      </c>
    </row>
    <row r="68" customFormat="false" ht="15" hidden="false" customHeight="false" outlineLevel="0" collapsed="false">
      <c r="A68" s="9" t="s">
        <v>423</v>
      </c>
      <c r="B68" s="10"/>
      <c r="C68" s="10"/>
      <c r="D68" s="10"/>
      <c r="E68" s="10"/>
      <c r="F68" s="10"/>
      <c r="G68" s="10"/>
      <c r="H68" s="10"/>
      <c r="I68" s="10"/>
      <c r="J68" s="10"/>
      <c r="K68" s="10"/>
      <c r="L68" s="10"/>
      <c r="M68" s="10"/>
      <c r="N68" s="10"/>
      <c r="O68" s="10"/>
      <c r="P68" s="10"/>
      <c r="Q68" s="10"/>
      <c r="R68" s="10"/>
      <c r="S68" s="10"/>
      <c r="T68" s="10"/>
      <c r="U68" s="10"/>
      <c r="V68" s="10"/>
      <c r="W68" s="10"/>
    </row>
    <row r="69" customFormat="false" ht="15" hidden="false" customHeight="false" outlineLevel="0" collapsed="false">
      <c r="A69" s="11" t="s">
        <v>424</v>
      </c>
      <c r="B69" s="76" t="n">
        <f aca="false">SUM(C69:W69)</f>
        <v>10523345.001196</v>
      </c>
      <c r="C69" s="93" t="n">
        <v>0</v>
      </c>
      <c r="D69" s="93" t="n">
        <f aca="false">D66/(1-Losses)</f>
        <v>239931.490909091</v>
      </c>
      <c r="E69" s="93" t="n">
        <f aca="false">E66/(1-Losses)</f>
        <v>350100.033818182</v>
      </c>
      <c r="F69" s="93" t="n">
        <f aca="false">F66/(1-Losses)</f>
        <v>424238.864509091</v>
      </c>
      <c r="G69" s="93" t="n">
        <f aca="false">G66/(1-Losses)</f>
        <v>436966.030444364</v>
      </c>
      <c r="H69" s="93" t="n">
        <f aca="false">H66/(1-Losses)</f>
        <v>450075.011357695</v>
      </c>
      <c r="I69" s="93" t="n">
        <f aca="false">I66/(1-Losses)</f>
        <v>463577.261698425</v>
      </c>
      <c r="J69" s="93" t="n">
        <f aca="false">J66/(1-Losses)</f>
        <v>477484.579549378</v>
      </c>
      <c r="K69" s="93" t="n">
        <f aca="false">K66/(1-Losses)</f>
        <v>491809.11693586</v>
      </c>
      <c r="L69" s="93" t="n">
        <f aca="false">L66/(1-Losses)</f>
        <v>506563.390443935</v>
      </c>
      <c r="M69" s="93" t="n">
        <f aca="false">M66/(1-Losses)</f>
        <v>521760.292157253</v>
      </c>
      <c r="N69" s="93" t="n">
        <f aca="false">N66/(1-Losses)</f>
        <v>537413.100921971</v>
      </c>
      <c r="O69" s="93" t="n">
        <f aca="false">O66/(1-Losses)</f>
        <v>553535.49394963</v>
      </c>
      <c r="P69" s="93" t="n">
        <f aca="false">P66/(1-Losses)</f>
        <v>570141.558768119</v>
      </c>
      <c r="Q69" s="93" t="n">
        <f aca="false">Q66/(1-Losses)</f>
        <v>587245.805531163</v>
      </c>
      <c r="R69" s="93" t="n">
        <f aca="false">R66/(1-Losses)</f>
        <v>604863.179697098</v>
      </c>
      <c r="S69" s="93" t="n">
        <f aca="false">S66/(1-Losses)</f>
        <v>623009.07508801</v>
      </c>
      <c r="T69" s="93" t="n">
        <f aca="false">T66/(1-Losses)</f>
        <v>641699.347340651</v>
      </c>
      <c r="U69" s="93" t="n">
        <f aca="false">U66/(1-Losses)</f>
        <v>660950.327760871</v>
      </c>
      <c r="V69" s="93" t="n">
        <f aca="false">V66/(1-Losses)</f>
        <v>680778.837593697</v>
      </c>
      <c r="W69" s="93" t="n">
        <f aca="false">W66/(1-Losses)</f>
        <v>701202.202721508</v>
      </c>
    </row>
    <row r="70" customFormat="false" ht="15" hidden="false" customHeight="false" outlineLevel="0" collapsed="false">
      <c r="A70" s="11" t="s">
        <v>425</v>
      </c>
      <c r="B70" s="76" t="n">
        <f aca="false">SUM(C70:W70)</f>
        <v>8722537.45034705</v>
      </c>
      <c r="C70" s="93" t="n">
        <v>0</v>
      </c>
      <c r="D70" s="93" t="n">
        <f aca="false">PV_kWp*SpecYield*(1-Degradation)^(D39-1)*D41</f>
        <v>457206.277768167</v>
      </c>
      <c r="E70" s="93" t="n">
        <f aca="false">PV_kWp*SpecYield*(1-Degradation)^(E39-1)*E41</f>
        <v>454920.246379326</v>
      </c>
      <c r="F70" s="93" t="n">
        <f aca="false">PV_kWp*SpecYield*(1-Degradation)^(F39-1)*F41</f>
        <v>452645.64514743</v>
      </c>
      <c r="G70" s="93" t="n">
        <f aca="false">PV_kWp*SpecYield*(1-Degradation)^(G39-1)*G41</f>
        <v>450382.416921693</v>
      </c>
      <c r="H70" s="93" t="n">
        <f aca="false">PV_kWp*SpecYield*(1-Degradation)^(H39-1)*H41</f>
        <v>448130.504837084</v>
      </c>
      <c r="I70" s="93" t="n">
        <f aca="false">PV_kWp*SpecYield*(1-Degradation)^(I39-1)*I41</f>
        <v>445889.852312899</v>
      </c>
      <c r="J70" s="93" t="n">
        <f aca="false">PV_kWp*SpecYield*(1-Degradation)^(J39-1)*J41</f>
        <v>443660.403051334</v>
      </c>
      <c r="K70" s="93" t="n">
        <f aca="false">PV_kWp*SpecYield*(1-Degradation)^(K39-1)*K41</f>
        <v>441442.101036078</v>
      </c>
      <c r="L70" s="93" t="n">
        <f aca="false">PV_kWp*SpecYield*(1-Degradation)^(L39-1)*L41</f>
        <v>439234.890530897</v>
      </c>
      <c r="M70" s="93" t="n">
        <f aca="false">PV_kWp*SpecYield*(1-Degradation)^(M39-1)*M41</f>
        <v>437038.716078243</v>
      </c>
      <c r="N70" s="93" t="n">
        <f aca="false">PV_kWp*SpecYield*(1-Degradation)^(N39-1)*N41</f>
        <v>434853.522497851</v>
      </c>
      <c r="O70" s="93" t="n">
        <f aca="false">PV_kWp*SpecYield*(1-Degradation)^(O39-1)*O41</f>
        <v>432679.254885362</v>
      </c>
      <c r="P70" s="93" t="n">
        <f aca="false">PV_kWp*SpecYield*(1-Degradation)^(P39-1)*P41</f>
        <v>430515.858610935</v>
      </c>
      <c r="Q70" s="93" t="n">
        <f aca="false">PV_kWp*SpecYield*(1-Degradation)^(Q39-1)*Q41</f>
        <v>428363.279317881</v>
      </c>
      <c r="R70" s="93" t="n">
        <f aca="false">PV_kWp*SpecYield*(1-Degradation)^(R39-1)*R41</f>
        <v>426221.462921291</v>
      </c>
      <c r="S70" s="93" t="n">
        <f aca="false">PV_kWp*SpecYield*(1-Degradation)^(S39-1)*S41</f>
        <v>424090.355606685</v>
      </c>
      <c r="T70" s="93" t="n">
        <f aca="false">PV_kWp*SpecYield*(1-Degradation)^(T39-1)*T41</f>
        <v>421969.903828651</v>
      </c>
      <c r="U70" s="93" t="n">
        <f aca="false">PV_kWp*SpecYield*(1-Degradation)^(U39-1)*U41</f>
        <v>419860.054309508</v>
      </c>
      <c r="V70" s="93" t="n">
        <f aca="false">PV_kWp*SpecYield*(1-Degradation)^(V39-1)*V41</f>
        <v>417760.754037961</v>
      </c>
      <c r="W70" s="93" t="n">
        <f aca="false">PV_kWp*SpecYield*(1-Degradation)^(W39-1)*W41</f>
        <v>415671.950267771</v>
      </c>
    </row>
    <row r="71" customFormat="false" ht="15" hidden="false" customHeight="false" outlineLevel="0" collapsed="false">
      <c r="A71" s="11" t="s">
        <v>426</v>
      </c>
      <c r="B71" s="76" t="n">
        <f aca="false">SUM(C71:W71)</f>
        <v>7903453.19236348</v>
      </c>
      <c r="C71" s="93" t="n">
        <v>0</v>
      </c>
      <c r="D71" s="93" t="n">
        <f aca="false">MIN(D70/StorageFactor,D69*SolarFraction)</f>
        <v>215938.341818182</v>
      </c>
      <c r="E71" s="93" t="n">
        <f aca="false">MIN(E70/StorageFactor,E69*SolarFraction)</f>
        <v>315090.030436364</v>
      </c>
      <c r="F71" s="93" t="n">
        <f aca="false">MIN(F70/StorageFactor,F69*SolarFraction)</f>
        <v>381814.978058182</v>
      </c>
      <c r="G71" s="93" t="n">
        <f aca="false">MIN(G70/StorageFactor,G69*SolarFraction)</f>
        <v>393269.427399927</v>
      </c>
      <c r="H71" s="93" t="n">
        <f aca="false">MIN(H70/StorageFactor,H69*SolarFraction)</f>
        <v>405067.510221925</v>
      </c>
      <c r="I71" s="93" t="n">
        <f aca="false">MIN(I70/StorageFactor,I69*SolarFraction)</f>
        <v>417219.535528583</v>
      </c>
      <c r="J71" s="93" t="n">
        <f aca="false">MIN(J70/StorageFactor,J69*SolarFraction)</f>
        <v>426078.172123344</v>
      </c>
      <c r="K71" s="93" t="n">
        <f aca="false">MIN(K70/StorageFactor,K69*SolarFraction)</f>
        <v>423947.781262727</v>
      </c>
      <c r="L71" s="93" t="n">
        <f aca="false">MIN(L70/StorageFactor,L69*SolarFraction)</f>
        <v>421828.042356414</v>
      </c>
      <c r="M71" s="93" t="n">
        <f aca="false">MIN(M70/StorageFactor,M69*SolarFraction)</f>
        <v>419718.902144632</v>
      </c>
      <c r="N71" s="93" t="n">
        <f aca="false">MIN(N70/StorageFactor,N69*SolarFraction)</f>
        <v>417620.307633909</v>
      </c>
      <c r="O71" s="93" t="n">
        <f aca="false">MIN(O70/StorageFactor,O69*SolarFraction)</f>
        <v>415532.206095739</v>
      </c>
      <c r="P71" s="93" t="n">
        <f aca="false">MIN(P70/StorageFactor,P69*SolarFraction)</f>
        <v>413454.54506526</v>
      </c>
      <c r="Q71" s="93" t="n">
        <f aca="false">MIN(Q70/StorageFactor,Q69*SolarFraction)</f>
        <v>411387.272339934</v>
      </c>
      <c r="R71" s="93" t="n">
        <f aca="false">MIN(R70/StorageFactor,R69*SolarFraction)</f>
        <v>409330.335978234</v>
      </c>
      <c r="S71" s="93" t="n">
        <f aca="false">MIN(S70/StorageFactor,S69*SolarFraction)</f>
        <v>407283.684298343</v>
      </c>
      <c r="T71" s="93" t="n">
        <f aca="false">MIN(T70/StorageFactor,T69*SolarFraction)</f>
        <v>405247.265876851</v>
      </c>
      <c r="U71" s="93" t="n">
        <f aca="false">MIN(U70/StorageFactor,U69*SolarFraction)</f>
        <v>403221.029547467</v>
      </c>
      <c r="V71" s="93" t="n">
        <f aca="false">MIN(V70/StorageFactor,V69*SolarFraction)</f>
        <v>401204.92439973</v>
      </c>
      <c r="W71" s="93" t="n">
        <f aca="false">MIN(W70/StorageFactor,W69*SolarFraction)</f>
        <v>399198.899777731</v>
      </c>
    </row>
    <row r="72" customFormat="false" ht="15" hidden="false" customHeight="false" outlineLevel="0" collapsed="false">
      <c r="A72" s="11" t="s">
        <v>427</v>
      </c>
      <c r="B72" s="76" t="n">
        <f aca="false">SUM(C72:W72)</f>
        <v>2619891.80883251</v>
      </c>
      <c r="C72" s="93" t="n">
        <v>0</v>
      </c>
      <c r="D72" s="93" t="n">
        <f aca="false">D69-D71</f>
        <v>23993.1490909091</v>
      </c>
      <c r="E72" s="93" t="n">
        <f aca="false">E69-E71</f>
        <v>35010.0033818182</v>
      </c>
      <c r="F72" s="93" t="n">
        <f aca="false">F69-F71</f>
        <v>42423.8864509091</v>
      </c>
      <c r="G72" s="93" t="n">
        <f aca="false">G69-G71</f>
        <v>43696.6030444364</v>
      </c>
      <c r="H72" s="93" t="n">
        <f aca="false">H69-H71</f>
        <v>45007.5011357695</v>
      </c>
      <c r="I72" s="93" t="n">
        <f aca="false">I69-I71</f>
        <v>46357.7261698425</v>
      </c>
      <c r="J72" s="93" t="n">
        <f aca="false">J69-J71</f>
        <v>51406.407426034</v>
      </c>
      <c r="K72" s="93" t="n">
        <f aca="false">K69-K71</f>
        <v>67861.3356731322</v>
      </c>
      <c r="L72" s="93" t="n">
        <f aca="false">L69-L71</f>
        <v>84735.3480875216</v>
      </c>
      <c r="M72" s="93" t="n">
        <f aca="false">M69-M71</f>
        <v>102041.390012622</v>
      </c>
      <c r="N72" s="93" t="n">
        <f aca="false">N69-N71</f>
        <v>119792.793288062</v>
      </c>
      <c r="O72" s="93" t="n">
        <f aca="false">O69-O71</f>
        <v>138003.287853891</v>
      </c>
      <c r="P72" s="93" t="n">
        <f aca="false">P69-P71</f>
        <v>156687.013702859</v>
      </c>
      <c r="Q72" s="93" t="n">
        <f aca="false">Q69-Q71</f>
        <v>175858.533191229</v>
      </c>
      <c r="R72" s="93" t="n">
        <f aca="false">R69-R71</f>
        <v>195532.843718863</v>
      </c>
      <c r="S72" s="93" t="n">
        <f aca="false">S69-S71</f>
        <v>215725.390789667</v>
      </c>
      <c r="T72" s="93" t="n">
        <f aca="false">T69-T71</f>
        <v>236452.0814638</v>
      </c>
      <c r="U72" s="93" t="n">
        <f aca="false">U69-U71</f>
        <v>257729.298213403</v>
      </c>
      <c r="V72" s="93" t="n">
        <f aca="false">V69-V71</f>
        <v>279573.913193967</v>
      </c>
      <c r="W72" s="93" t="n">
        <f aca="false">W69-W71</f>
        <v>302003.302943776</v>
      </c>
    </row>
    <row r="73" customFormat="false" ht="15" hidden="false" customHeight="false" outlineLevel="0" collapsed="false">
      <c r="A73" s="11" t="s">
        <v>428</v>
      </c>
      <c r="C73" s="91" t="n">
        <v>0</v>
      </c>
      <c r="D73" s="91" t="n">
        <f aca="false">IFERROR(D71/D69,0)</f>
        <v>0.9</v>
      </c>
      <c r="E73" s="91" t="n">
        <f aca="false">IFERROR(E71/E69,0)</f>
        <v>0.9</v>
      </c>
      <c r="F73" s="91" t="n">
        <f aca="false">IFERROR(F71/F69,0)</f>
        <v>0.9</v>
      </c>
      <c r="G73" s="91" t="n">
        <f aca="false">IFERROR(G71/G69,0)</f>
        <v>0.9</v>
      </c>
      <c r="H73" s="91" t="n">
        <f aca="false">IFERROR(H71/H69,0)</f>
        <v>0.9</v>
      </c>
      <c r="I73" s="91" t="n">
        <f aca="false">IFERROR(I71/I69,0)</f>
        <v>0.9</v>
      </c>
      <c r="J73" s="91" t="n">
        <f aca="false">IFERROR(J71/J69,0)</f>
        <v>0.892339125434065</v>
      </c>
      <c r="K73" s="91" t="n">
        <f aca="false">IFERROR(K71/K69,0)</f>
        <v>0.862016922142616</v>
      </c>
      <c r="L73" s="91" t="n">
        <f aca="false">IFERROR(L71/L69,0)</f>
        <v>0.83272508498243</v>
      </c>
      <c r="M73" s="91" t="n">
        <f aca="false">IFERROR(M71/M69,0)</f>
        <v>0.804428601512153</v>
      </c>
      <c r="N73" s="91" t="n">
        <f aca="false">IFERROR(N71/N69,0)</f>
        <v>0.777093649033585</v>
      </c>
      <c r="O73" s="91" t="n">
        <f aca="false">IFERROR(O71/O69,0)</f>
        <v>0.750687554163511</v>
      </c>
      <c r="P73" s="91" t="n">
        <f aca="false">IFERROR(P71/P69,0)</f>
        <v>0.725178753779314</v>
      </c>
      <c r="Q73" s="91" t="n">
        <f aca="false">IFERROR(Q71/Q69,0)</f>
        <v>0.700536757291668</v>
      </c>
      <c r="R73" s="91" t="n">
        <f aca="false">IFERROR(R71/R69,0)</f>
        <v>0.676732110199232</v>
      </c>
      <c r="S73" s="91" t="n">
        <f aca="false">IFERROR(S71/S69,0)</f>
        <v>0.653736358881783</v>
      </c>
      <c r="T73" s="91" t="n">
        <f aca="false">IFERROR(T71/T69,0)</f>
        <v>0.631522016589683</v>
      </c>
      <c r="U73" s="91" t="n">
        <f aca="false">IFERROR(U71/U69,0)</f>
        <v>0.610062530589063</v>
      </c>
      <c r="V73" s="91" t="n">
        <f aca="false">IFERROR(V71/V69,0)</f>
        <v>0.589332250423415</v>
      </c>
      <c r="W73" s="91" t="n">
        <f aca="false">IFERROR(W71/W69,0)</f>
        <v>0.569306397253687</v>
      </c>
    </row>
    <row r="74" customFormat="false" ht="15" hidden="false" customHeight="false" outlineLevel="0" collapsed="false">
      <c r="A74" s="11" t="s">
        <v>429</v>
      </c>
      <c r="B74" s="76" t="n">
        <f aca="false">SUM(C74:W74)</f>
        <v>873297.269610837</v>
      </c>
      <c r="C74" s="93" t="n">
        <v>0</v>
      </c>
      <c r="D74" s="93" t="n">
        <f aca="false">D72/DieselEff</f>
        <v>7997.71636363636</v>
      </c>
      <c r="E74" s="93" t="n">
        <f aca="false">E72/DieselEff</f>
        <v>11670.0011272727</v>
      </c>
      <c r="F74" s="93" t="n">
        <f aca="false">F72/DieselEff</f>
        <v>14141.2954836364</v>
      </c>
      <c r="G74" s="93" t="n">
        <f aca="false">G72/DieselEff</f>
        <v>14565.5343481455</v>
      </c>
      <c r="H74" s="93" t="n">
        <f aca="false">H72/DieselEff</f>
        <v>15002.5003785898</v>
      </c>
      <c r="I74" s="93" t="n">
        <f aca="false">I72/DieselEff</f>
        <v>15452.5753899475</v>
      </c>
      <c r="J74" s="93" t="n">
        <f aca="false">J72/DieselEff</f>
        <v>17135.4691420114</v>
      </c>
      <c r="K74" s="93" t="n">
        <f aca="false">K72/DieselEff</f>
        <v>22620.4452243774</v>
      </c>
      <c r="L74" s="93" t="n">
        <f aca="false">L72/DieselEff</f>
        <v>28245.1160291739</v>
      </c>
      <c r="M74" s="93" t="n">
        <f aca="false">M72/DieselEff</f>
        <v>34013.7966708739</v>
      </c>
      <c r="N74" s="93" t="n">
        <f aca="false">N72/DieselEff</f>
        <v>39930.9310960208</v>
      </c>
      <c r="O74" s="93" t="n">
        <f aca="false">O72/DieselEff</f>
        <v>46001.0959512971</v>
      </c>
      <c r="P74" s="93" t="n">
        <f aca="false">P72/DieselEff</f>
        <v>52229.0045676196</v>
      </c>
      <c r="Q74" s="93" t="n">
        <f aca="false">Q72/DieselEff</f>
        <v>58619.5110637429</v>
      </c>
      <c r="R74" s="93" t="n">
        <f aca="false">R72/DieselEff</f>
        <v>65177.6145729544</v>
      </c>
      <c r="S74" s="93" t="n">
        <f aca="false">S72/DieselEff</f>
        <v>71908.4635965558</v>
      </c>
      <c r="T74" s="93" t="n">
        <f aca="false">T72/DieselEff</f>
        <v>78817.3604879332</v>
      </c>
      <c r="U74" s="93" t="n">
        <f aca="false">U72/DieselEff</f>
        <v>85909.7660711344</v>
      </c>
      <c r="V74" s="93" t="n">
        <f aca="false">V72/DieselEff</f>
        <v>93191.3043979889</v>
      </c>
      <c r="W74" s="93" t="n">
        <f aca="false">W72/DieselEff</f>
        <v>100667.767647925</v>
      </c>
    </row>
    <row r="76" customFormat="false" ht="15" hidden="false" customHeight="false" outlineLevel="0" collapsed="false">
      <c r="A76" s="9" t="s">
        <v>430</v>
      </c>
      <c r="B76" s="10"/>
      <c r="C76" s="10"/>
      <c r="D76" s="10"/>
      <c r="E76" s="10"/>
      <c r="F76" s="10"/>
      <c r="G76" s="10"/>
      <c r="H76" s="10"/>
      <c r="I76" s="10"/>
      <c r="J76" s="10"/>
      <c r="K76" s="10"/>
      <c r="L76" s="10"/>
      <c r="M76" s="10"/>
      <c r="N76" s="10"/>
      <c r="O76" s="10"/>
      <c r="P76" s="10"/>
      <c r="Q76" s="10"/>
      <c r="R76" s="10"/>
      <c r="S76" s="10"/>
      <c r="T76" s="10"/>
      <c r="U76" s="10"/>
      <c r="V76" s="10"/>
      <c r="W76" s="10"/>
    </row>
    <row r="77" customFormat="false" ht="15" hidden="false" customHeight="false" outlineLevel="0" collapsed="false">
      <c r="A77" s="11" t="str">
        <f aca="false">"Billed revenue - "&amp;Seg1_Name</f>
        <v>Billed revenue - Households</v>
      </c>
      <c r="B77" s="66" t="n">
        <f aca="false">SUM(C77:W77)</f>
        <v>2107258.13958533</v>
      </c>
      <c r="C77" s="95" t="n">
        <v>0</v>
      </c>
      <c r="D77" s="95" t="n">
        <f aca="false">D61*Seg1_Tariff*LevTariff*$B$5*D43</f>
        <v>34560</v>
      </c>
      <c r="E77" s="95" t="n">
        <f aca="false">E61*Seg1_Tariff*LevTariff*$B$5*E43</f>
        <v>51941.664</v>
      </c>
      <c r="F77" s="95" t="n">
        <f aca="false">F61*Seg1_Tariff*LevTariff*$B$5*F43</f>
        <v>64829.307456</v>
      </c>
      <c r="G77" s="95" t="n">
        <f aca="false">G61*Seg1_Tariff*LevTariff*$B$5*G43</f>
        <v>68777.4122800704</v>
      </c>
      <c r="H77" s="95" t="n">
        <f aca="false">H61*Seg1_Tariff*LevTariff*$B$5*H43</f>
        <v>72965.9566879267</v>
      </c>
      <c r="I77" s="95" t="n">
        <f aca="false">I61*Seg1_Tariff*LevTariff*$B$5*I43</f>
        <v>77409.5834502214</v>
      </c>
      <c r="J77" s="95" t="n">
        <f aca="false">J61*Seg1_Tariff*LevTariff*$B$5*J43</f>
        <v>82123.8270823399</v>
      </c>
      <c r="K77" s="95" t="n">
        <f aca="false">K61*Seg1_Tariff*LevTariff*$B$5*K43</f>
        <v>87125.1681516545</v>
      </c>
      <c r="L77" s="95" t="n">
        <f aca="false">L61*Seg1_Tariff*LevTariff*$B$5*L43</f>
        <v>92431.0908920902</v>
      </c>
      <c r="M77" s="95" t="n">
        <f aca="false">M61*Seg1_Tariff*LevTariff*$B$5*M43</f>
        <v>98060.1443274185</v>
      </c>
      <c r="N77" s="95" t="n">
        <f aca="false">N61*Seg1_Tariff*LevTariff*$B$5*N43</f>
        <v>104032.007116958</v>
      </c>
      <c r="O77" s="95" t="n">
        <f aca="false">O61*Seg1_Tariff*LevTariff*$B$5*O43</f>
        <v>110367.556350381</v>
      </c>
      <c r="P77" s="95" t="n">
        <f aca="false">P61*Seg1_Tariff*LevTariff*$B$5*P43</f>
        <v>117088.940532119</v>
      </c>
      <c r="Q77" s="95" t="n">
        <f aca="false">Q61*Seg1_Tariff*LevTariff*$B$5*Q43</f>
        <v>124219.657010525</v>
      </c>
      <c r="R77" s="95" t="n">
        <f aca="false">R61*Seg1_Tariff*LevTariff*$B$5*R43</f>
        <v>131784.634122466</v>
      </c>
      <c r="S77" s="95" t="n">
        <f aca="false">S61*Seg1_Tariff*LevTariff*$B$5*S43</f>
        <v>139810.318340525</v>
      </c>
      <c r="T77" s="95" t="n">
        <f aca="false">T61*Seg1_Tariff*LevTariff*$B$5*T43</f>
        <v>148324.766727463</v>
      </c>
      <c r="U77" s="95" t="n">
        <f aca="false">U61*Seg1_Tariff*LevTariff*$B$5*U43</f>
        <v>157357.745021165</v>
      </c>
      <c r="V77" s="95" t="n">
        <f aca="false">V61*Seg1_Tariff*LevTariff*$B$5*V43</f>
        <v>166940.831692954</v>
      </c>
      <c r="W77" s="95" t="n">
        <f aca="false">W61*Seg1_Tariff*LevTariff*$B$5*W43</f>
        <v>177107.528343055</v>
      </c>
    </row>
    <row r="78" customFormat="false" ht="15" hidden="false" customHeight="false" outlineLevel="0" collapsed="false">
      <c r="A78" s="11" t="str">
        <f aca="false">"Billed revenue - "&amp;Seg2_Name</f>
        <v>Billed revenue - Productive users (mills, welding, cold rooms)</v>
      </c>
      <c r="B78" s="66" t="n">
        <f aca="false">SUM(C78:W78)</f>
        <v>1432819.63572035</v>
      </c>
      <c r="C78" s="95" t="n">
        <v>0</v>
      </c>
      <c r="D78" s="95" t="n">
        <f aca="false">D62*Seg2_Tariff*LevTariff*$B$5*D43</f>
        <v>23498.8992</v>
      </c>
      <c r="E78" s="95" t="n">
        <f aca="false">E62*Seg2_Tariff*LevTariff*$B$5*E43</f>
        <v>35317.47472848</v>
      </c>
      <c r="F78" s="95" t="n">
        <f aca="false">F62*Seg2_Tariff*LevTariff*$B$5*F43</f>
        <v>44080.3634581699</v>
      </c>
      <c r="G78" s="95" t="n">
        <f aca="false">G62*Seg2_Tariff*LevTariff*$B$5*G43</f>
        <v>46764.8575927725</v>
      </c>
      <c r="H78" s="95" t="n">
        <f aca="false">H62*Seg2_Tariff*LevTariff*$B$5*H43</f>
        <v>49612.8374201723</v>
      </c>
      <c r="I78" s="95" t="n">
        <f aca="false">I62*Seg2_Tariff*LevTariff*$B$5*I43</f>
        <v>52634.2592190608</v>
      </c>
      <c r="J78" s="95" t="n">
        <f aca="false">J62*Seg2_Tariff*LevTariff*$B$5*J43</f>
        <v>55839.6856055016</v>
      </c>
      <c r="K78" s="95" t="n">
        <f aca="false">K62*Seg2_Tariff*LevTariff*$B$5*K43</f>
        <v>59240.3224588767</v>
      </c>
      <c r="L78" s="95" t="n">
        <f aca="false">L62*Seg2_Tariff*LevTariff*$B$5*L43</f>
        <v>62848.0580966223</v>
      </c>
      <c r="M78" s="95" t="n">
        <f aca="false">M62*Seg2_Tariff*LevTariff*$B$5*M43</f>
        <v>66675.5048347066</v>
      </c>
      <c r="N78" s="95" t="n">
        <f aca="false">N62*Seg2_Tariff*LevTariff*$B$5*N43</f>
        <v>70736.0430791402</v>
      </c>
      <c r="O78" s="95" t="n">
        <f aca="false">O62*Seg2_Tariff*LevTariff*$B$5*O43</f>
        <v>75043.8681026598</v>
      </c>
      <c r="P78" s="95" t="n">
        <f aca="false">P62*Seg2_Tariff*LevTariff*$B$5*P43</f>
        <v>79614.0396701118</v>
      </c>
      <c r="Q78" s="95" t="n">
        <f aca="false">Q62*Seg2_Tariff*LevTariff*$B$5*Q43</f>
        <v>84462.5346860216</v>
      </c>
      <c r="R78" s="95" t="n">
        <f aca="false">R62*Seg2_Tariff*LevTariff*$B$5*R43</f>
        <v>89606.3030484004</v>
      </c>
      <c r="S78" s="95" t="n">
        <f aca="false">S62*Seg2_Tariff*LevTariff*$B$5*S43</f>
        <v>95063.3269040479</v>
      </c>
      <c r="T78" s="95" t="n">
        <f aca="false">T62*Seg2_Tariff*LevTariff*$B$5*T43</f>
        <v>100852.683512504</v>
      </c>
      <c r="U78" s="95" t="n">
        <f aca="false">U62*Seg2_Tariff*LevTariff*$B$5*U43</f>
        <v>106994.611938416</v>
      </c>
      <c r="V78" s="95" t="n">
        <f aca="false">V62*Seg2_Tariff*LevTariff*$B$5*V43</f>
        <v>113510.583805466</v>
      </c>
      <c r="W78" s="95" t="n">
        <f aca="false">W62*Seg2_Tariff*LevTariff*$B$5*W43</f>
        <v>120423.378359218</v>
      </c>
    </row>
    <row r="79" customFormat="false" ht="15" hidden="false" customHeight="false" outlineLevel="0" collapsed="false">
      <c r="A79" s="11" t="str">
        <f aca="false">"Billed revenue - "&amp;Seg3_Name</f>
        <v>Billed revenue - Commercial (shops, bars, kiosks)</v>
      </c>
      <c r="B79" s="66" t="n">
        <f aca="false">SUM(C79:W79)</f>
        <v>878024.224827222</v>
      </c>
      <c r="C79" s="95" t="n">
        <v>0</v>
      </c>
      <c r="D79" s="95" t="n">
        <f aca="false">D63*Seg3_Tariff*LevTariff*$B$5*D43</f>
        <v>14400</v>
      </c>
      <c r="E79" s="95" t="n">
        <f aca="false">E63*Seg3_Tariff*LevTariff*$B$5*E43</f>
        <v>21642.36</v>
      </c>
      <c r="F79" s="95" t="n">
        <f aca="false">F63*Seg3_Tariff*LevTariff*$B$5*F43</f>
        <v>27012.21144</v>
      </c>
      <c r="G79" s="95" t="n">
        <f aca="false">G63*Seg3_Tariff*LevTariff*$B$5*G43</f>
        <v>28657.255116696</v>
      </c>
      <c r="H79" s="95" t="n">
        <f aca="false">H63*Seg3_Tariff*LevTariff*$B$5*H43</f>
        <v>30402.4819533028</v>
      </c>
      <c r="I79" s="95" t="n">
        <f aca="false">I63*Seg3_Tariff*LevTariff*$B$5*I43</f>
        <v>32253.9931042589</v>
      </c>
      <c r="J79" s="95" t="n">
        <f aca="false">J63*Seg3_Tariff*LevTariff*$B$5*J43</f>
        <v>34218.2612843083</v>
      </c>
      <c r="K79" s="95" t="n">
        <f aca="false">K63*Seg3_Tariff*LevTariff*$B$5*K43</f>
        <v>36302.1533965227</v>
      </c>
      <c r="L79" s="95" t="n">
        <f aca="false">L63*Seg3_Tariff*LevTariff*$B$5*L43</f>
        <v>38512.9545383709</v>
      </c>
      <c r="M79" s="95" t="n">
        <f aca="false">M63*Seg3_Tariff*LevTariff*$B$5*M43</f>
        <v>40858.3934697577</v>
      </c>
      <c r="N79" s="95" t="n">
        <f aca="false">N63*Seg3_Tariff*LevTariff*$B$5*N43</f>
        <v>43346.669632066</v>
      </c>
      <c r="O79" s="95" t="n">
        <f aca="false">O63*Seg3_Tariff*LevTariff*$B$5*O43</f>
        <v>45986.4818126588</v>
      </c>
      <c r="P79" s="95" t="n">
        <f aca="false">P63*Seg3_Tariff*LevTariff*$B$5*P43</f>
        <v>48787.0585550497</v>
      </c>
      <c r="Q79" s="95" t="n">
        <f aca="false">Q63*Seg3_Tariff*LevTariff*$B$5*Q43</f>
        <v>51758.1904210522</v>
      </c>
      <c r="R79" s="95" t="n">
        <f aca="false">R63*Seg3_Tariff*LevTariff*$B$5*R43</f>
        <v>54910.2642176943</v>
      </c>
      <c r="S79" s="95" t="n">
        <f aca="false">S63*Seg3_Tariff*LevTariff*$B$5*S43</f>
        <v>58254.2993085519</v>
      </c>
      <c r="T79" s="95" t="n">
        <f aca="false">T63*Seg3_Tariff*LevTariff*$B$5*T43</f>
        <v>61801.9861364427</v>
      </c>
      <c r="U79" s="95" t="n">
        <f aca="false">U63*Seg3_Tariff*LevTariff*$B$5*U43</f>
        <v>65565.7270921521</v>
      </c>
      <c r="V79" s="95" t="n">
        <f aca="false">V63*Seg3_Tariff*LevTariff*$B$5*V43</f>
        <v>69558.6798720642</v>
      </c>
      <c r="W79" s="95" t="n">
        <f aca="false">W63*Seg3_Tariff*LevTariff*$B$5*W43</f>
        <v>73794.8034762729</v>
      </c>
    </row>
    <row r="80" customFormat="false" ht="15" hidden="false" customHeight="false" outlineLevel="0" collapsed="false">
      <c r="A80" s="11" t="str">
        <f aca="false">"Billed revenue - "&amp;Seg4_Name</f>
        <v>Billed revenue - Institutions (health centre, school, water)</v>
      </c>
      <c r="B80" s="66" t="n">
        <f aca="false">SUM(C80:W80)</f>
        <v>460962.718034292</v>
      </c>
      <c r="C80" s="95" t="n">
        <v>0</v>
      </c>
      <c r="D80" s="95" t="n">
        <f aca="false">D64*Seg4_Tariff*LevTariff*$B$5*D43</f>
        <v>7560</v>
      </c>
      <c r="E80" s="95" t="n">
        <f aca="false">E64*Seg4_Tariff*LevTariff*$B$5*E43</f>
        <v>11362.239</v>
      </c>
      <c r="F80" s="95" t="n">
        <f aca="false">F64*Seg4_Tariff*LevTariff*$B$5*F43</f>
        <v>14181.411006</v>
      </c>
      <c r="G80" s="95" t="n">
        <f aca="false">G64*Seg4_Tariff*LevTariff*$B$5*G43</f>
        <v>15045.0589362654</v>
      </c>
      <c r="H80" s="95" t="n">
        <f aca="false">H64*Seg4_Tariff*LevTariff*$B$5*H43</f>
        <v>15961.303025484</v>
      </c>
      <c r="I80" s="95" t="n">
        <f aca="false">I64*Seg4_Tariff*LevTariff*$B$5*I43</f>
        <v>16933.3463797359</v>
      </c>
      <c r="J80" s="95" t="n">
        <f aca="false">J64*Seg4_Tariff*LevTariff*$B$5*J43</f>
        <v>17964.5871742619</v>
      </c>
      <c r="K80" s="95" t="n">
        <f aca="false">K64*Seg4_Tariff*LevTariff*$B$5*K43</f>
        <v>19058.6305331744</v>
      </c>
      <c r="L80" s="95" t="n">
        <f aca="false">L64*Seg4_Tariff*LevTariff*$B$5*L43</f>
        <v>20219.3011326447</v>
      </c>
      <c r="M80" s="95" t="n">
        <f aca="false">M64*Seg4_Tariff*LevTariff*$B$5*M43</f>
        <v>21450.6565716228</v>
      </c>
      <c r="N80" s="95" t="n">
        <f aca="false">N64*Seg4_Tariff*LevTariff*$B$5*N43</f>
        <v>22757.0015568346</v>
      </c>
      <c r="O80" s="95" t="n">
        <f aca="false">O64*Seg4_Tariff*LevTariff*$B$5*O43</f>
        <v>24142.9029516459</v>
      </c>
      <c r="P80" s="95" t="n">
        <f aca="false">P64*Seg4_Tariff*LevTariff*$B$5*P43</f>
        <v>25613.2057414011</v>
      </c>
      <c r="Q80" s="95" t="n">
        <f aca="false">Q64*Seg4_Tariff*LevTariff*$B$5*Q43</f>
        <v>27173.0499710524</v>
      </c>
      <c r="R80" s="95" t="n">
        <f aca="false">R64*Seg4_Tariff*LevTariff*$B$5*R43</f>
        <v>28827.8887142895</v>
      </c>
      <c r="S80" s="95" t="n">
        <f aca="false">S64*Seg4_Tariff*LevTariff*$B$5*S43</f>
        <v>30583.5071369897</v>
      </c>
      <c r="T80" s="95" t="n">
        <f aca="false">T64*Seg4_Tariff*LevTariff*$B$5*T43</f>
        <v>32446.0427216324</v>
      </c>
      <c r="U80" s="95" t="n">
        <f aca="false">U64*Seg4_Tariff*LevTariff*$B$5*U43</f>
        <v>34422.0067233798</v>
      </c>
      <c r="V80" s="95" t="n">
        <f aca="false">V64*Seg4_Tariff*LevTariff*$B$5*V43</f>
        <v>36518.3069328337</v>
      </c>
      <c r="W80" s="95" t="n">
        <f aca="false">W64*Seg4_Tariff*LevTariff*$B$5*W43</f>
        <v>38742.2718250432</v>
      </c>
    </row>
    <row r="81" customFormat="false" ht="15" hidden="false" customHeight="false" outlineLevel="0" collapsed="false">
      <c r="A81" s="11" t="str">
        <f aca="false">"Billed revenue - "&amp;Seg5_Name</f>
        <v>Billed revenue - Other / custom</v>
      </c>
      <c r="B81" s="66" t="n">
        <f aca="false">SUM(C81:W81)</f>
        <v>0</v>
      </c>
      <c r="C81" s="95" t="n">
        <v>0</v>
      </c>
      <c r="D81" s="95" t="n">
        <f aca="false">D65*Seg5_Tariff*LevTariff*$B$5*D43</f>
        <v>0</v>
      </c>
      <c r="E81" s="95" t="n">
        <f aca="false">E65*Seg5_Tariff*LevTariff*$B$5*E43</f>
        <v>0</v>
      </c>
      <c r="F81" s="95" t="n">
        <f aca="false">F65*Seg5_Tariff*LevTariff*$B$5*F43</f>
        <v>0</v>
      </c>
      <c r="G81" s="95" t="n">
        <f aca="false">G65*Seg5_Tariff*LevTariff*$B$5*G43</f>
        <v>0</v>
      </c>
      <c r="H81" s="95" t="n">
        <f aca="false">H65*Seg5_Tariff*LevTariff*$B$5*H43</f>
        <v>0</v>
      </c>
      <c r="I81" s="95" t="n">
        <f aca="false">I65*Seg5_Tariff*LevTariff*$B$5*I43</f>
        <v>0</v>
      </c>
      <c r="J81" s="95" t="n">
        <f aca="false">J65*Seg5_Tariff*LevTariff*$B$5*J43</f>
        <v>0</v>
      </c>
      <c r="K81" s="95" t="n">
        <f aca="false">K65*Seg5_Tariff*LevTariff*$B$5*K43</f>
        <v>0</v>
      </c>
      <c r="L81" s="95" t="n">
        <f aca="false">L65*Seg5_Tariff*LevTariff*$B$5*L43</f>
        <v>0</v>
      </c>
      <c r="M81" s="95" t="n">
        <f aca="false">M65*Seg5_Tariff*LevTariff*$B$5*M43</f>
        <v>0</v>
      </c>
      <c r="N81" s="95" t="n">
        <f aca="false">N65*Seg5_Tariff*LevTariff*$B$5*N43</f>
        <v>0</v>
      </c>
      <c r="O81" s="95" t="n">
        <f aca="false">O65*Seg5_Tariff*LevTariff*$B$5*O43</f>
        <v>0</v>
      </c>
      <c r="P81" s="95" t="n">
        <f aca="false">P65*Seg5_Tariff*LevTariff*$B$5*P43</f>
        <v>0</v>
      </c>
      <c r="Q81" s="95" t="n">
        <f aca="false">Q65*Seg5_Tariff*LevTariff*$B$5*Q43</f>
        <v>0</v>
      </c>
      <c r="R81" s="95" t="n">
        <f aca="false">R65*Seg5_Tariff*LevTariff*$B$5*R43</f>
        <v>0</v>
      </c>
      <c r="S81" s="95" t="n">
        <f aca="false">S65*Seg5_Tariff*LevTariff*$B$5*S43</f>
        <v>0</v>
      </c>
      <c r="T81" s="95" t="n">
        <f aca="false">T65*Seg5_Tariff*LevTariff*$B$5*T43</f>
        <v>0</v>
      </c>
      <c r="U81" s="95" t="n">
        <f aca="false">U65*Seg5_Tariff*LevTariff*$B$5*U43</f>
        <v>0</v>
      </c>
      <c r="V81" s="95" t="n">
        <f aca="false">V65*Seg5_Tariff*LevTariff*$B$5*V43</f>
        <v>0</v>
      </c>
      <c r="W81" s="95" t="n">
        <f aca="false">W65*Seg5_Tariff*LevTariff*$B$5*W43</f>
        <v>0</v>
      </c>
    </row>
    <row r="82" customFormat="false" ht="15" hidden="false" customHeight="false" outlineLevel="0" collapsed="false">
      <c r="A82" s="16" t="s">
        <v>431</v>
      </c>
      <c r="B82" s="66" t="n">
        <f aca="false">SUM(C82:W82)</f>
        <v>4879064.7181672</v>
      </c>
      <c r="C82" s="31" t="n">
        <f aca="false">C77+C78+C79+C80+C81</f>
        <v>0</v>
      </c>
      <c r="D82" s="31" t="n">
        <f aca="false">D77+D78+D79+D80+D81</f>
        <v>80018.8992</v>
      </c>
      <c r="E82" s="31" t="n">
        <f aca="false">E77+E78+E79+E80+E81</f>
        <v>120263.73772848</v>
      </c>
      <c r="F82" s="31" t="n">
        <f aca="false">F77+F78+F79+F80+F81</f>
        <v>150103.29336017</v>
      </c>
      <c r="G82" s="31" t="n">
        <f aca="false">G77+G78+G79+G80+G81</f>
        <v>159244.583925804</v>
      </c>
      <c r="H82" s="31" t="n">
        <f aca="false">H77+H78+H79+H80+H81</f>
        <v>168942.579086886</v>
      </c>
      <c r="I82" s="31" t="n">
        <f aca="false">I77+I78+I79+I80+I81</f>
        <v>179231.182153277</v>
      </c>
      <c r="J82" s="31" t="n">
        <f aca="false">J77+J78+J79+J80+J81</f>
        <v>190146.361146412</v>
      </c>
      <c r="K82" s="31" t="n">
        <f aca="false">K77+K78+K79+K80+K81</f>
        <v>201726.274540228</v>
      </c>
      <c r="L82" s="31" t="n">
        <f aca="false">L77+L78+L79+L80+L81</f>
        <v>214011.404659728</v>
      </c>
      <c r="M82" s="31" t="n">
        <f aca="false">M77+M78+M79+M80+M81</f>
        <v>227044.699203506</v>
      </c>
      <c r="N82" s="31" t="n">
        <f aca="false">N77+N78+N79+N80+N81</f>
        <v>240871.721384999</v>
      </c>
      <c r="O82" s="31" t="n">
        <f aca="false">O77+O78+O79+O80+O81</f>
        <v>255540.809217346</v>
      </c>
      <c r="P82" s="31" t="n">
        <f aca="false">P77+P78+P79+P80+P81</f>
        <v>271103.244498682</v>
      </c>
      <c r="Q82" s="31" t="n">
        <f aca="false">Q77+Q78+Q79+Q80+Q81</f>
        <v>287613.432088652</v>
      </c>
      <c r="R82" s="31" t="n">
        <f aca="false">R77+R78+R79+R80+R81</f>
        <v>305129.090102851</v>
      </c>
      <c r="S82" s="31" t="n">
        <f aca="false">S77+S78+S79+S80+S81</f>
        <v>323711.451690114</v>
      </c>
      <c r="T82" s="31" t="n">
        <f aca="false">T77+T78+T79+T80+T81</f>
        <v>343425.479098042</v>
      </c>
      <c r="U82" s="31" t="n">
        <f aca="false">U77+U78+U79+U80+U81</f>
        <v>364340.090775113</v>
      </c>
      <c r="V82" s="31" t="n">
        <f aca="false">V77+V78+V79+V80+V81</f>
        <v>386528.402303317</v>
      </c>
      <c r="W82" s="31" t="n">
        <f aca="false">W77+W78+W79+W80+W81</f>
        <v>410067.982003589</v>
      </c>
    </row>
    <row r="83" customFormat="false" ht="15" hidden="false" customHeight="false" outlineLevel="0" collapsed="false">
      <c r="A83" s="11" t="s">
        <v>432</v>
      </c>
      <c r="B83" s="66" t="n">
        <f aca="false">SUM(C83:W83)</f>
        <v>3590991.63257106</v>
      </c>
      <c r="C83" s="95" t="n">
        <v>0</v>
      </c>
      <c r="D83" s="95" t="n">
        <f aca="false">D82*MIN(1,Collection*LevColl*$B$9)</f>
        <v>58893.9098112</v>
      </c>
      <c r="E83" s="95" t="n">
        <f aca="false">E82*MIN(1,Collection*LevColl*$B$9)</f>
        <v>88514.1109681613</v>
      </c>
      <c r="F83" s="95" t="n">
        <f aca="false">F82*MIN(1,Collection*LevColl*$B$9)</f>
        <v>110476.023913085</v>
      </c>
      <c r="G83" s="95" t="n">
        <f aca="false">G82*MIN(1,Collection*LevColl*$B$9)</f>
        <v>117204.013769392</v>
      </c>
      <c r="H83" s="95" t="n">
        <f aca="false">H82*MIN(1,Collection*LevColl*$B$9)</f>
        <v>124341.738207948</v>
      </c>
      <c r="I83" s="95" t="n">
        <f aca="false">I82*MIN(1,Collection*LevColl*$B$9)</f>
        <v>131914.150064812</v>
      </c>
      <c r="J83" s="95" t="n">
        <f aca="false">J82*MIN(1,Collection*LevColl*$B$9)</f>
        <v>139947.721803759</v>
      </c>
      <c r="K83" s="95" t="n">
        <f aca="false">K82*MIN(1,Collection*LevColl*$B$9)</f>
        <v>148470.538061608</v>
      </c>
      <c r="L83" s="95" t="n">
        <f aca="false">L82*MIN(1,Collection*LevColl*$B$9)</f>
        <v>157512.39382956</v>
      </c>
      <c r="M83" s="95" t="n">
        <f aca="false">M82*MIN(1,Collection*LevColl*$B$9)</f>
        <v>167104.89861378</v>
      </c>
      <c r="N83" s="95" t="n">
        <f aca="false">N82*MIN(1,Collection*LevColl*$B$9)</f>
        <v>177281.586939359</v>
      </c>
      <c r="O83" s="95" t="n">
        <f aca="false">O82*MIN(1,Collection*LevColl*$B$9)</f>
        <v>188078.035583966</v>
      </c>
      <c r="P83" s="95" t="n">
        <f aca="false">P82*MIN(1,Collection*LevColl*$B$9)</f>
        <v>199531.98795103</v>
      </c>
      <c r="Q83" s="95" t="n">
        <f aca="false">Q82*MIN(1,Collection*LevColl*$B$9)</f>
        <v>211683.486017248</v>
      </c>
      <c r="R83" s="95" t="n">
        <f aca="false">R82*MIN(1,Collection*LevColl*$B$9)</f>
        <v>224575.010315698</v>
      </c>
      <c r="S83" s="95" t="n">
        <f aca="false">S82*MIN(1,Collection*LevColl*$B$9)</f>
        <v>238251.628443924</v>
      </c>
      <c r="T83" s="95" t="n">
        <f aca="false">T82*MIN(1,Collection*LevColl*$B$9)</f>
        <v>252761.152616159</v>
      </c>
      <c r="U83" s="95" t="n">
        <f aca="false">U82*MIN(1,Collection*LevColl*$B$9)</f>
        <v>268154.306810483</v>
      </c>
      <c r="V83" s="95" t="n">
        <f aca="false">V82*MIN(1,Collection*LevColl*$B$9)</f>
        <v>284484.904095242</v>
      </c>
      <c r="W83" s="95" t="n">
        <f aca="false">W82*MIN(1,Collection*LevColl*$B$9)</f>
        <v>301810.034754642</v>
      </c>
    </row>
    <row r="84" customFormat="false" ht="15" hidden="false" customHeight="false" outlineLevel="0" collapsed="false">
      <c r="A84" s="11" t="s">
        <v>433</v>
      </c>
      <c r="B84" s="66" t="n">
        <f aca="false">SUM(C84:W84)</f>
        <v>11500</v>
      </c>
      <c r="C84" s="95" t="n">
        <v>0</v>
      </c>
      <c r="D84" s="95" t="n">
        <f aca="false">D54*Seg1_Fee+D55*Seg2_Fee+D56*Seg3_Fee+D57*Seg4_Fee+D58*Seg5_Fee</f>
        <v>6900</v>
      </c>
      <c r="E84" s="95" t="n">
        <f aca="false">E54*Seg1_Fee+E55*Seg2_Fee+E56*Seg3_Fee+E57*Seg4_Fee+E58*Seg5_Fee</f>
        <v>2875</v>
      </c>
      <c r="F84" s="95" t="n">
        <f aca="false">F54*Seg1_Fee+F55*Seg2_Fee+F56*Seg3_Fee+F57*Seg4_Fee+F58*Seg5_Fee</f>
        <v>1725</v>
      </c>
      <c r="G84" s="95" t="n">
        <f aca="false">G54*Seg1_Fee+G55*Seg2_Fee+G56*Seg3_Fee+G57*Seg4_Fee+G58*Seg5_Fee</f>
        <v>0</v>
      </c>
      <c r="H84" s="95" t="n">
        <f aca="false">H54*Seg1_Fee+H55*Seg2_Fee+H56*Seg3_Fee+H57*Seg4_Fee+H58*Seg5_Fee</f>
        <v>0</v>
      </c>
      <c r="I84" s="95" t="n">
        <f aca="false">I54*Seg1_Fee+I55*Seg2_Fee+I56*Seg3_Fee+I57*Seg4_Fee+I58*Seg5_Fee</f>
        <v>0</v>
      </c>
      <c r="J84" s="95" t="n">
        <f aca="false">J54*Seg1_Fee+J55*Seg2_Fee+J56*Seg3_Fee+J57*Seg4_Fee+J58*Seg5_Fee</f>
        <v>0</v>
      </c>
      <c r="K84" s="95" t="n">
        <f aca="false">K54*Seg1_Fee+K55*Seg2_Fee+K56*Seg3_Fee+K57*Seg4_Fee+K58*Seg5_Fee</f>
        <v>0</v>
      </c>
      <c r="L84" s="95" t="n">
        <f aca="false">L54*Seg1_Fee+L55*Seg2_Fee+L56*Seg3_Fee+L57*Seg4_Fee+L58*Seg5_Fee</f>
        <v>0</v>
      </c>
      <c r="M84" s="95" t="n">
        <f aca="false">M54*Seg1_Fee+M55*Seg2_Fee+M56*Seg3_Fee+M57*Seg4_Fee+M58*Seg5_Fee</f>
        <v>0</v>
      </c>
      <c r="N84" s="95" t="n">
        <f aca="false">N54*Seg1_Fee+N55*Seg2_Fee+N56*Seg3_Fee+N57*Seg4_Fee+N58*Seg5_Fee</f>
        <v>0</v>
      </c>
      <c r="O84" s="95" t="n">
        <f aca="false">O54*Seg1_Fee+O55*Seg2_Fee+O56*Seg3_Fee+O57*Seg4_Fee+O58*Seg5_Fee</f>
        <v>0</v>
      </c>
      <c r="P84" s="95" t="n">
        <f aca="false">P54*Seg1_Fee+P55*Seg2_Fee+P56*Seg3_Fee+P57*Seg4_Fee+P58*Seg5_Fee</f>
        <v>0</v>
      </c>
      <c r="Q84" s="95" t="n">
        <f aca="false">Q54*Seg1_Fee+Q55*Seg2_Fee+Q56*Seg3_Fee+Q57*Seg4_Fee+Q58*Seg5_Fee</f>
        <v>0</v>
      </c>
      <c r="R84" s="95" t="n">
        <f aca="false">R54*Seg1_Fee+R55*Seg2_Fee+R56*Seg3_Fee+R57*Seg4_Fee+R58*Seg5_Fee</f>
        <v>0</v>
      </c>
      <c r="S84" s="95" t="n">
        <f aca="false">S54*Seg1_Fee+S55*Seg2_Fee+S56*Seg3_Fee+S57*Seg4_Fee+S58*Seg5_Fee</f>
        <v>0</v>
      </c>
      <c r="T84" s="95" t="n">
        <f aca="false">T54*Seg1_Fee+T55*Seg2_Fee+T56*Seg3_Fee+T57*Seg4_Fee+T58*Seg5_Fee</f>
        <v>0</v>
      </c>
      <c r="U84" s="95" t="n">
        <f aca="false">U54*Seg1_Fee+U55*Seg2_Fee+U56*Seg3_Fee+U57*Seg4_Fee+U58*Seg5_Fee</f>
        <v>0</v>
      </c>
      <c r="V84" s="95" t="n">
        <f aca="false">V54*Seg1_Fee+V55*Seg2_Fee+V56*Seg3_Fee+V57*Seg4_Fee+V58*Seg5_Fee</f>
        <v>0</v>
      </c>
      <c r="W84" s="95" t="n">
        <f aca="false">W54*Seg1_Fee+W55*Seg2_Fee+W56*Seg3_Fee+W57*Seg4_Fee+W58*Seg5_Fee</f>
        <v>0</v>
      </c>
    </row>
    <row r="85" customFormat="false" ht="15" hidden="false" customHeight="false" outlineLevel="0" collapsed="false">
      <c r="A85" s="16" t="s">
        <v>434</v>
      </c>
      <c r="B85" s="66" t="n">
        <f aca="false">SUM(C85:W85)</f>
        <v>3602491.63257106</v>
      </c>
      <c r="C85" s="31" t="n">
        <f aca="false">C83+C84</f>
        <v>0</v>
      </c>
      <c r="D85" s="31" t="n">
        <f aca="false">D83+D84</f>
        <v>65793.9098112</v>
      </c>
      <c r="E85" s="31" t="n">
        <f aca="false">E83+E84</f>
        <v>91389.1109681613</v>
      </c>
      <c r="F85" s="31" t="n">
        <f aca="false">F83+F84</f>
        <v>112201.023913085</v>
      </c>
      <c r="G85" s="31" t="n">
        <f aca="false">G83+G84</f>
        <v>117204.013769392</v>
      </c>
      <c r="H85" s="31" t="n">
        <f aca="false">H83+H84</f>
        <v>124341.738207948</v>
      </c>
      <c r="I85" s="31" t="n">
        <f aca="false">I83+I84</f>
        <v>131914.150064812</v>
      </c>
      <c r="J85" s="31" t="n">
        <f aca="false">J83+J84</f>
        <v>139947.721803759</v>
      </c>
      <c r="K85" s="31" t="n">
        <f aca="false">K83+K84</f>
        <v>148470.538061608</v>
      </c>
      <c r="L85" s="31" t="n">
        <f aca="false">L83+L84</f>
        <v>157512.39382956</v>
      </c>
      <c r="M85" s="31" t="n">
        <f aca="false">M83+M84</f>
        <v>167104.89861378</v>
      </c>
      <c r="N85" s="31" t="n">
        <f aca="false">N83+N84</f>
        <v>177281.586939359</v>
      </c>
      <c r="O85" s="31" t="n">
        <f aca="false">O83+O84</f>
        <v>188078.035583966</v>
      </c>
      <c r="P85" s="31" t="n">
        <f aca="false">P83+P84</f>
        <v>199531.98795103</v>
      </c>
      <c r="Q85" s="31" t="n">
        <f aca="false">Q83+Q84</f>
        <v>211683.486017248</v>
      </c>
      <c r="R85" s="31" t="n">
        <f aca="false">R83+R84</f>
        <v>224575.010315698</v>
      </c>
      <c r="S85" s="31" t="n">
        <f aca="false">S83+S84</f>
        <v>238251.628443924</v>
      </c>
      <c r="T85" s="31" t="n">
        <f aca="false">T83+T84</f>
        <v>252761.152616159</v>
      </c>
      <c r="U85" s="31" t="n">
        <f aca="false">U83+U84</f>
        <v>268154.306810483</v>
      </c>
      <c r="V85" s="31" t="n">
        <f aca="false">V83+V84</f>
        <v>284484.904095242</v>
      </c>
      <c r="W85" s="31" t="n">
        <f aca="false">W83+W84</f>
        <v>301810.034754642</v>
      </c>
    </row>
    <row r="87" customFormat="false" ht="15" hidden="false" customHeight="false" outlineLevel="0" collapsed="false">
      <c r="A87" s="9" t="s">
        <v>435</v>
      </c>
      <c r="B87" s="10"/>
      <c r="C87" s="10"/>
      <c r="D87" s="10"/>
      <c r="E87" s="10"/>
      <c r="F87" s="10"/>
      <c r="G87" s="10"/>
      <c r="H87" s="10"/>
      <c r="I87" s="10"/>
      <c r="J87" s="10"/>
      <c r="K87" s="10"/>
      <c r="L87" s="10"/>
      <c r="M87" s="10"/>
      <c r="N87" s="10"/>
      <c r="O87" s="10"/>
      <c r="P87" s="10"/>
      <c r="Q87" s="10"/>
      <c r="R87" s="10"/>
      <c r="S87" s="10"/>
      <c r="T87" s="10"/>
      <c r="U87" s="10"/>
      <c r="V87" s="10"/>
      <c r="W87" s="10"/>
    </row>
    <row r="88" customFormat="false" ht="15" hidden="false" customHeight="false" outlineLevel="0" collapsed="false">
      <c r="A88" s="11" t="s">
        <v>162</v>
      </c>
      <c r="B88" s="66" t="n">
        <f aca="false">SUM(C88:W88)</f>
        <v>679197.868676078</v>
      </c>
      <c r="C88" s="95" t="n">
        <v>0</v>
      </c>
      <c r="D88" s="95" t="n">
        <f aca="false">S_Coll_Lo!$B$15*O_FixedPct*D44*LevOpex*$B$8*D41</f>
        <v>25276.8292810589</v>
      </c>
      <c r="E88" s="95" t="n">
        <f aca="false">S_Coll_Lo!$B$15*O_FixedPct*E44*LevOpex*$B$8*E41</f>
        <v>26035.1341594906</v>
      </c>
      <c r="F88" s="95" t="n">
        <f aca="false">S_Coll_Lo!$B$15*O_FixedPct*F44*LevOpex*$B$8*F41</f>
        <v>26816.1881842753</v>
      </c>
      <c r="G88" s="95" t="n">
        <f aca="false">S_Coll_Lo!$B$15*O_FixedPct*G44*LevOpex*$B$8*G41</f>
        <v>27620.6738298036</v>
      </c>
      <c r="H88" s="95" t="n">
        <f aca="false">S_Coll_Lo!$B$15*O_FixedPct*H44*LevOpex*$B$8*H41</f>
        <v>28449.2940446977</v>
      </c>
      <c r="I88" s="95" t="n">
        <f aca="false">S_Coll_Lo!$B$15*O_FixedPct*I44*LevOpex*$B$8*I41</f>
        <v>29302.7728660386</v>
      </c>
      <c r="J88" s="95" t="n">
        <f aca="false">S_Coll_Lo!$B$15*O_FixedPct*J44*LevOpex*$B$8*J41</f>
        <v>30181.8560520198</v>
      </c>
      <c r="K88" s="95" t="n">
        <f aca="false">S_Coll_Lo!$B$15*O_FixedPct*K44*LevOpex*$B$8*K41</f>
        <v>31087.3117335804</v>
      </c>
      <c r="L88" s="95" t="n">
        <f aca="false">S_Coll_Lo!$B$15*O_FixedPct*L44*LevOpex*$B$8*L41</f>
        <v>32019.9310855878</v>
      </c>
      <c r="M88" s="95" t="n">
        <f aca="false">S_Coll_Lo!$B$15*O_FixedPct*M44*LevOpex*$B$8*M41</f>
        <v>32980.5290181554</v>
      </c>
      <c r="N88" s="95" t="n">
        <f aca="false">S_Coll_Lo!$B$15*O_FixedPct*N44*LevOpex*$B$8*N41</f>
        <v>33969.9448887001</v>
      </c>
      <c r="O88" s="95" t="n">
        <f aca="false">S_Coll_Lo!$B$15*O_FixedPct*O44*LevOpex*$B$8*O41</f>
        <v>34989.0432353611</v>
      </c>
      <c r="P88" s="95" t="n">
        <f aca="false">S_Coll_Lo!$B$15*O_FixedPct*P44*LevOpex*$B$8*P41</f>
        <v>36038.7145324219</v>
      </c>
      <c r="Q88" s="95" t="n">
        <f aca="false">S_Coll_Lo!$B$15*O_FixedPct*Q44*LevOpex*$B$8*Q41</f>
        <v>37119.8759683946</v>
      </c>
      <c r="R88" s="95" t="n">
        <f aca="false">S_Coll_Lo!$B$15*O_FixedPct*R44*LevOpex*$B$8*R41</f>
        <v>38233.4722474465</v>
      </c>
      <c r="S88" s="95" t="n">
        <f aca="false">S_Coll_Lo!$B$15*O_FixedPct*S44*LevOpex*$B$8*S41</f>
        <v>39380.4764148698</v>
      </c>
      <c r="T88" s="95" t="n">
        <f aca="false">S_Coll_Lo!$B$15*O_FixedPct*T44*LevOpex*$B$8*T41</f>
        <v>40561.8907073159</v>
      </c>
      <c r="U88" s="95" t="n">
        <f aca="false">S_Coll_Lo!$B$15*O_FixedPct*U44*LevOpex*$B$8*U41</f>
        <v>41778.7474285354</v>
      </c>
      <c r="V88" s="95" t="n">
        <f aca="false">S_Coll_Lo!$B$15*O_FixedPct*V44*LevOpex*$B$8*V41</f>
        <v>43032.1098513915</v>
      </c>
      <c r="W88" s="95" t="n">
        <f aca="false">S_Coll_Lo!$B$15*O_FixedPct*W44*LevOpex*$B$8*W41</f>
        <v>44323.0731469332</v>
      </c>
    </row>
    <row r="89" customFormat="false" ht="15" hidden="false" customHeight="false" outlineLevel="0" collapsed="false">
      <c r="A89" s="11" t="s">
        <v>436</v>
      </c>
      <c r="B89" s="66" t="n">
        <f aca="false">SUM(C89:W89)</f>
        <v>483666.740801648</v>
      </c>
      <c r="C89" s="95" t="n">
        <v>0</v>
      </c>
      <c r="D89" s="95" t="n">
        <f aca="false">O_Staff*D44*LevOpex*$B$8*D41</f>
        <v>18000</v>
      </c>
      <c r="E89" s="95" t="n">
        <f aca="false">O_Staff*E44*LevOpex*$B$8*E41</f>
        <v>18540</v>
      </c>
      <c r="F89" s="95" t="n">
        <f aca="false">O_Staff*F44*LevOpex*$B$8*F41</f>
        <v>19096.2</v>
      </c>
      <c r="G89" s="95" t="n">
        <f aca="false">O_Staff*G44*LevOpex*$B$8*G41</f>
        <v>19669.086</v>
      </c>
      <c r="H89" s="95" t="n">
        <f aca="false">O_Staff*H44*LevOpex*$B$8*H41</f>
        <v>20259.15858</v>
      </c>
      <c r="I89" s="95" t="n">
        <f aca="false">O_Staff*I44*LevOpex*$B$8*I41</f>
        <v>20866.9333374</v>
      </c>
      <c r="J89" s="95" t="n">
        <f aca="false">O_Staff*J44*LevOpex*$B$8*J41</f>
        <v>21492.941337522</v>
      </c>
      <c r="K89" s="95" t="n">
        <f aca="false">O_Staff*K44*LevOpex*$B$8*K41</f>
        <v>22137.7295776477</v>
      </c>
      <c r="L89" s="95" t="n">
        <f aca="false">O_Staff*L44*LevOpex*$B$8*L41</f>
        <v>22801.8614649771</v>
      </c>
      <c r="M89" s="95" t="n">
        <f aca="false">O_Staff*M44*LevOpex*$B$8*M41</f>
        <v>23485.9173089264</v>
      </c>
      <c r="N89" s="95" t="n">
        <f aca="false">O_Staff*N44*LevOpex*$B$8*N41</f>
        <v>24190.4948281942</v>
      </c>
      <c r="O89" s="95" t="n">
        <f aca="false">O_Staff*O44*LevOpex*$B$8*O41</f>
        <v>24916.20967304</v>
      </c>
      <c r="P89" s="95" t="n">
        <f aca="false">O_Staff*P44*LevOpex*$B$8*P41</f>
        <v>25663.6959632312</v>
      </c>
      <c r="Q89" s="95" t="n">
        <f aca="false">O_Staff*Q44*LevOpex*$B$8*Q41</f>
        <v>26433.6068421282</v>
      </c>
      <c r="R89" s="95" t="n">
        <f aca="false">O_Staff*R44*LevOpex*$B$8*R41</f>
        <v>27226.615047392</v>
      </c>
      <c r="S89" s="95" t="n">
        <f aca="false">O_Staff*S44*LevOpex*$B$8*S41</f>
        <v>28043.4134988138</v>
      </c>
      <c r="T89" s="95" t="n">
        <f aca="false">O_Staff*T44*LevOpex*$B$8*T41</f>
        <v>28884.7159037782</v>
      </c>
      <c r="U89" s="95" t="n">
        <f aca="false">O_Staff*U44*LevOpex*$B$8*U41</f>
        <v>29751.2573808915</v>
      </c>
      <c r="V89" s="95" t="n">
        <f aca="false">O_Staff*V44*LevOpex*$B$8*V41</f>
        <v>30643.7951023183</v>
      </c>
      <c r="W89" s="95" t="n">
        <f aca="false">O_Staff*W44*LevOpex*$B$8*W41</f>
        <v>31563.1089553878</v>
      </c>
    </row>
    <row r="90" customFormat="false" ht="15" hidden="false" customHeight="false" outlineLevel="0" collapsed="false">
      <c r="A90" s="11" t="s">
        <v>165</v>
      </c>
      <c r="B90" s="66" t="n">
        <f aca="false">SUM(C90:W90)</f>
        <v>156215.509795498</v>
      </c>
      <c r="C90" s="95" t="n">
        <v>0</v>
      </c>
      <c r="D90" s="95" t="n">
        <f aca="false">S_Coll_Lo!$B$14*O_InsPct*D44*LevOpex*$B$8*D41</f>
        <v>5813.67073464354</v>
      </c>
      <c r="E90" s="95" t="n">
        <f aca="false">S_Coll_Lo!$B$14*O_InsPct*E44*LevOpex*$B$8*E41</f>
        <v>5988.08085668284</v>
      </c>
      <c r="F90" s="95" t="n">
        <f aca="false">S_Coll_Lo!$B$14*O_InsPct*F44*LevOpex*$B$8*F41</f>
        <v>6167.72328238333</v>
      </c>
      <c r="G90" s="95" t="n">
        <f aca="false">S_Coll_Lo!$B$14*O_InsPct*G44*LevOpex*$B$8*G41</f>
        <v>6352.75498085483</v>
      </c>
      <c r="H90" s="95" t="n">
        <f aca="false">S_Coll_Lo!$B$14*O_InsPct*H44*LevOpex*$B$8*H41</f>
        <v>6543.33763028047</v>
      </c>
      <c r="I90" s="95" t="n">
        <f aca="false">S_Coll_Lo!$B$14*O_InsPct*I44*LevOpex*$B$8*I41</f>
        <v>6739.63775918889</v>
      </c>
      <c r="J90" s="95" t="n">
        <f aca="false">S_Coll_Lo!$B$14*O_InsPct*J44*LevOpex*$B$8*J41</f>
        <v>6941.82689196455</v>
      </c>
      <c r="K90" s="95" t="n">
        <f aca="false">S_Coll_Lo!$B$14*O_InsPct*K44*LevOpex*$B$8*K41</f>
        <v>7150.08169872349</v>
      </c>
      <c r="L90" s="95" t="n">
        <f aca="false">S_Coll_Lo!$B$14*O_InsPct*L44*LevOpex*$B$8*L41</f>
        <v>7364.5841496852</v>
      </c>
      <c r="M90" s="95" t="n">
        <f aca="false">S_Coll_Lo!$B$14*O_InsPct*M44*LevOpex*$B$8*M41</f>
        <v>7585.52167417575</v>
      </c>
      <c r="N90" s="95" t="n">
        <f aca="false">S_Coll_Lo!$B$14*O_InsPct*N44*LevOpex*$B$8*N41</f>
        <v>7813.08732440103</v>
      </c>
      <c r="O90" s="95" t="n">
        <f aca="false">S_Coll_Lo!$B$14*O_InsPct*O44*LevOpex*$B$8*O41</f>
        <v>8047.47994413306</v>
      </c>
      <c r="P90" s="95" t="n">
        <f aca="false">S_Coll_Lo!$B$14*O_InsPct*P44*LevOpex*$B$8*P41</f>
        <v>8288.90434245705</v>
      </c>
      <c r="Q90" s="95" t="n">
        <f aca="false">S_Coll_Lo!$B$14*O_InsPct*Q44*LevOpex*$B$8*Q41</f>
        <v>8537.57147273076</v>
      </c>
      <c r="R90" s="95" t="n">
        <f aca="false">S_Coll_Lo!$B$14*O_InsPct*R44*LevOpex*$B$8*R41</f>
        <v>8793.69861691268</v>
      </c>
      <c r="S90" s="95" t="n">
        <f aca="false">S_Coll_Lo!$B$14*O_InsPct*S44*LevOpex*$B$8*S41</f>
        <v>9057.50957542006</v>
      </c>
      <c r="T90" s="95" t="n">
        <f aca="false">S_Coll_Lo!$B$14*O_InsPct*T44*LevOpex*$B$8*T41</f>
        <v>9329.23486268267</v>
      </c>
      <c r="U90" s="95" t="n">
        <f aca="false">S_Coll_Lo!$B$14*O_InsPct*U44*LevOpex*$B$8*U41</f>
        <v>9609.11190856315</v>
      </c>
      <c r="V90" s="95" t="n">
        <f aca="false">S_Coll_Lo!$B$14*O_InsPct*V44*LevOpex*$B$8*V41</f>
        <v>9897.38526582004</v>
      </c>
      <c r="W90" s="95" t="n">
        <f aca="false">S_Coll_Lo!$B$14*O_InsPct*W44*LevOpex*$B$8*W41</f>
        <v>10194.3068237946</v>
      </c>
    </row>
    <row r="91" customFormat="false" ht="15" hidden="false" customHeight="false" outlineLevel="0" collapsed="false">
      <c r="A91" s="11" t="s">
        <v>437</v>
      </c>
      <c r="B91" s="66" t="n">
        <f aca="false">SUM(C91:W91)</f>
        <v>80611.1234669414</v>
      </c>
      <c r="C91" s="95" t="n">
        <v>0</v>
      </c>
      <c r="D91" s="95" t="n">
        <f aca="false">O_Fees*D44*LevOpex*$B$8*D41</f>
        <v>3000</v>
      </c>
      <c r="E91" s="95" t="n">
        <f aca="false">O_Fees*E44*LevOpex*$B$8*E41</f>
        <v>3090</v>
      </c>
      <c r="F91" s="95" t="n">
        <f aca="false">O_Fees*F44*LevOpex*$B$8*F41</f>
        <v>3182.7</v>
      </c>
      <c r="G91" s="95" t="n">
        <f aca="false">O_Fees*G44*LevOpex*$B$8*G41</f>
        <v>3278.181</v>
      </c>
      <c r="H91" s="95" t="n">
        <f aca="false">O_Fees*H44*LevOpex*$B$8*H41</f>
        <v>3376.52643</v>
      </c>
      <c r="I91" s="95" t="n">
        <f aca="false">O_Fees*I44*LevOpex*$B$8*I41</f>
        <v>3477.8222229</v>
      </c>
      <c r="J91" s="95" t="n">
        <f aca="false">O_Fees*J44*LevOpex*$B$8*J41</f>
        <v>3582.156889587</v>
      </c>
      <c r="K91" s="95" t="n">
        <f aca="false">O_Fees*K44*LevOpex*$B$8*K41</f>
        <v>3689.62159627461</v>
      </c>
      <c r="L91" s="95" t="n">
        <f aca="false">O_Fees*L44*LevOpex*$B$8*L41</f>
        <v>3800.31024416285</v>
      </c>
      <c r="M91" s="95" t="n">
        <f aca="false">O_Fees*M44*LevOpex*$B$8*M41</f>
        <v>3914.31955148773</v>
      </c>
      <c r="N91" s="95" t="n">
        <f aca="false">O_Fees*N44*LevOpex*$B$8*N41</f>
        <v>4031.74913803237</v>
      </c>
      <c r="O91" s="95" t="n">
        <f aca="false">O_Fees*O44*LevOpex*$B$8*O41</f>
        <v>4152.70161217334</v>
      </c>
      <c r="P91" s="95" t="n">
        <f aca="false">O_Fees*P44*LevOpex*$B$8*P41</f>
        <v>4277.28266053854</v>
      </c>
      <c r="Q91" s="95" t="n">
        <f aca="false">O_Fees*Q44*LevOpex*$B$8*Q41</f>
        <v>4405.60114035469</v>
      </c>
      <c r="R91" s="95" t="n">
        <f aca="false">O_Fees*R44*LevOpex*$B$8*R41</f>
        <v>4537.76917456534</v>
      </c>
      <c r="S91" s="95" t="n">
        <f aca="false">O_Fees*S44*LevOpex*$B$8*S41</f>
        <v>4673.9022498023</v>
      </c>
      <c r="T91" s="95" t="n">
        <f aca="false">O_Fees*T44*LevOpex*$B$8*T41</f>
        <v>4814.11931729637</v>
      </c>
      <c r="U91" s="95" t="n">
        <f aca="false">O_Fees*U44*LevOpex*$B$8*U41</f>
        <v>4958.54289681526</v>
      </c>
      <c r="V91" s="95" t="n">
        <f aca="false">O_Fees*V44*LevOpex*$B$8*V41</f>
        <v>5107.29918371971</v>
      </c>
      <c r="W91" s="95" t="n">
        <f aca="false">O_Fees*W44*LevOpex*$B$8*W41</f>
        <v>5260.51815923131</v>
      </c>
    </row>
    <row r="92" customFormat="false" ht="15" hidden="false" customHeight="false" outlineLevel="0" collapsed="false">
      <c r="A92" s="11" t="s">
        <v>438</v>
      </c>
      <c r="B92" s="66" t="n">
        <f aca="false">SUM(C92:W92)</f>
        <v>107481.497955922</v>
      </c>
      <c r="C92" s="95" t="n">
        <v>0</v>
      </c>
      <c r="D92" s="95" t="n">
        <f aca="false">O_MRV*D44*LevOpex*$B$8*D41</f>
        <v>4000</v>
      </c>
      <c r="E92" s="95" t="n">
        <f aca="false">O_MRV*E44*LevOpex*$B$8*E41</f>
        <v>4120</v>
      </c>
      <c r="F92" s="95" t="n">
        <f aca="false">O_MRV*F44*LevOpex*$B$8*F41</f>
        <v>4243.6</v>
      </c>
      <c r="G92" s="95" t="n">
        <f aca="false">O_MRV*G44*LevOpex*$B$8*G41</f>
        <v>4370.908</v>
      </c>
      <c r="H92" s="95" t="n">
        <f aca="false">O_MRV*H44*LevOpex*$B$8*H41</f>
        <v>4502.03524</v>
      </c>
      <c r="I92" s="95" t="n">
        <f aca="false">O_MRV*I44*LevOpex*$B$8*I41</f>
        <v>4637.0962972</v>
      </c>
      <c r="J92" s="95" t="n">
        <f aca="false">O_MRV*J44*LevOpex*$B$8*J41</f>
        <v>4776.209186116</v>
      </c>
      <c r="K92" s="95" t="n">
        <f aca="false">O_MRV*K44*LevOpex*$B$8*K41</f>
        <v>4919.49546169948</v>
      </c>
      <c r="L92" s="95" t="n">
        <f aca="false">O_MRV*L44*LevOpex*$B$8*L41</f>
        <v>5067.08032555047</v>
      </c>
      <c r="M92" s="95" t="n">
        <f aca="false">O_MRV*M44*LevOpex*$B$8*M41</f>
        <v>5219.09273531698</v>
      </c>
      <c r="N92" s="95" t="n">
        <f aca="false">O_MRV*N44*LevOpex*$B$8*N41</f>
        <v>5375.66551737649</v>
      </c>
      <c r="O92" s="95" t="n">
        <f aca="false">O_MRV*O44*LevOpex*$B$8*O41</f>
        <v>5536.93548289778</v>
      </c>
      <c r="P92" s="95" t="n">
        <f aca="false">O_MRV*P44*LevOpex*$B$8*P41</f>
        <v>5703.04354738472</v>
      </c>
      <c r="Q92" s="95" t="n">
        <f aca="false">O_MRV*Q44*LevOpex*$B$8*Q41</f>
        <v>5874.13485380626</v>
      </c>
      <c r="R92" s="95" t="n">
        <f aca="false">O_MRV*R44*LevOpex*$B$8*R41</f>
        <v>6050.35889942045</v>
      </c>
      <c r="S92" s="95" t="n">
        <f aca="false">O_MRV*S44*LevOpex*$B$8*S41</f>
        <v>6231.86966640306</v>
      </c>
      <c r="T92" s="95" t="n">
        <f aca="false">O_MRV*T44*LevOpex*$B$8*T41</f>
        <v>6418.82575639515</v>
      </c>
      <c r="U92" s="95" t="n">
        <f aca="false">O_MRV*U44*LevOpex*$B$8*U41</f>
        <v>6611.39052908701</v>
      </c>
      <c r="V92" s="95" t="n">
        <f aca="false">O_MRV*V44*LevOpex*$B$8*V41</f>
        <v>6809.73224495962</v>
      </c>
      <c r="W92" s="95" t="n">
        <f aca="false">O_MRV*W44*LevOpex*$B$8*W41</f>
        <v>7014.02421230841</v>
      </c>
    </row>
    <row r="93" customFormat="false" ht="15" hidden="false" customHeight="false" outlineLevel="0" collapsed="false">
      <c r="A93" s="11" t="s">
        <v>439</v>
      </c>
      <c r="B93" s="66" t="n">
        <f aca="false">SUM(C93:W93)</f>
        <v>108074.748977132</v>
      </c>
      <c r="C93" s="95" t="n">
        <v>0</v>
      </c>
      <c r="D93" s="95" t="n">
        <f aca="false">D85*O_CustPct</f>
        <v>1973.817294336</v>
      </c>
      <c r="E93" s="95" t="n">
        <f aca="false">E85*O_CustPct</f>
        <v>2741.67332904484</v>
      </c>
      <c r="F93" s="95" t="n">
        <f aca="false">F85*O_CustPct</f>
        <v>3366.03071739255</v>
      </c>
      <c r="G93" s="95" t="n">
        <f aca="false">G85*O_CustPct</f>
        <v>3516.12041308176</v>
      </c>
      <c r="H93" s="95" t="n">
        <f aca="false">H85*O_CustPct</f>
        <v>3730.25214623844</v>
      </c>
      <c r="I93" s="95" t="n">
        <f aca="false">I85*O_CustPct</f>
        <v>3957.42450194436</v>
      </c>
      <c r="J93" s="95" t="n">
        <f aca="false">J85*O_CustPct</f>
        <v>4198.43165411277</v>
      </c>
      <c r="K93" s="95" t="n">
        <f aca="false">K85*O_CustPct</f>
        <v>4454.11614184824</v>
      </c>
      <c r="L93" s="95" t="n">
        <f aca="false">L85*O_CustPct</f>
        <v>4725.3718148868</v>
      </c>
      <c r="M93" s="95" t="n">
        <f aca="false">M85*O_CustPct</f>
        <v>5013.1469584134</v>
      </c>
      <c r="N93" s="95" t="n">
        <f aca="false">N85*O_CustPct</f>
        <v>5318.44760818078</v>
      </c>
      <c r="O93" s="95" t="n">
        <f aca="false">O85*O_CustPct</f>
        <v>5642.34106751899</v>
      </c>
      <c r="P93" s="95" t="n">
        <f aca="false">P85*O_CustPct</f>
        <v>5985.9596385309</v>
      </c>
      <c r="Q93" s="95" t="n">
        <f aca="false">Q85*O_CustPct</f>
        <v>6350.50458051743</v>
      </c>
      <c r="R93" s="95" t="n">
        <f aca="false">R85*O_CustPct</f>
        <v>6737.25030947094</v>
      </c>
      <c r="S93" s="95" t="n">
        <f aca="false">S85*O_CustPct</f>
        <v>7147.54885331772</v>
      </c>
      <c r="T93" s="95" t="n">
        <f aca="false">T85*O_CustPct</f>
        <v>7582.83457848477</v>
      </c>
      <c r="U93" s="95" t="n">
        <f aca="false">U85*O_CustPct</f>
        <v>8044.62920431449</v>
      </c>
      <c r="V93" s="95" t="n">
        <f aca="false">V85*O_CustPct</f>
        <v>8534.54712285725</v>
      </c>
      <c r="W93" s="95" t="n">
        <f aca="false">W85*O_CustPct</f>
        <v>9054.30104263925</v>
      </c>
    </row>
    <row r="94" customFormat="false" ht="15" hidden="false" customHeight="false" outlineLevel="0" collapsed="false">
      <c r="A94" s="11" t="s">
        <v>440</v>
      </c>
      <c r="B94" s="66" t="n">
        <f aca="false">SUM(C94:W94)</f>
        <v>117570.051282715</v>
      </c>
      <c r="C94" s="95" t="n">
        <v>0</v>
      </c>
      <c r="D94" s="95" t="n">
        <f aca="false">D72*O_DieselOM*D44*LevOpex*$B$8</f>
        <v>719.794472727272</v>
      </c>
      <c r="E94" s="95" t="n">
        <f aca="false">E72*O_DieselOM*E44*LevOpex*$B$8</f>
        <v>1081.80910449818</v>
      </c>
      <c r="F94" s="95" t="n">
        <f aca="false">F72*O_DieselOM*F44*LevOpex*$B$8</f>
        <v>1350.22503407308</v>
      </c>
      <c r="G94" s="95" t="n">
        <f aca="false">G72*O_DieselOM*G44*LevOpex*$B$8</f>
        <v>1432.45373864813</v>
      </c>
      <c r="H94" s="95" t="n">
        <f aca="false">H72*O_DieselOM*H44*LevOpex*$B$8</f>
        <v>1519.69017133181</v>
      </c>
      <c r="I94" s="95" t="n">
        <f aca="false">I72*O_DieselOM*I44*LevOpex*$B$8</f>
        <v>1612.23930276591</v>
      </c>
      <c r="J94" s="95" t="n">
        <f aca="false">J72*O_DieselOM*J44*LevOpex*$B$8</f>
        <v>1841.45816530084</v>
      </c>
      <c r="K94" s="95" t="n">
        <f aca="false">K72*O_DieselOM*K44*LevOpex*$B$8</f>
        <v>2503.82649651629</v>
      </c>
      <c r="L94" s="95" t="n">
        <f aca="false">L72*O_DieselOM*L44*LevOpex*$B$8</f>
        <v>3220.20611379713</v>
      </c>
      <c r="M94" s="95" t="n">
        <f aca="false">M72*O_DieselOM*M44*LevOpex*$B$8</f>
        <v>3994.2260798739</v>
      </c>
      <c r="N94" s="95" t="n">
        <f aca="false">N72*O_DieselOM*N44*LevOpex*$B$8</f>
        <v>4829.74491081635</v>
      </c>
      <c r="O94" s="95" t="n">
        <f aca="false">O72*O_DieselOM*O44*LevOpex*$B$8</f>
        <v>5730.86475956075</v>
      </c>
      <c r="P94" s="95" t="n">
        <f aca="false">P72*O_DieselOM*P44*LevOpex*$B$8</f>
        <v>6701.94646842802</v>
      </c>
      <c r="Q94" s="95" t="n">
        <f aca="false">Q72*O_DieselOM*Q44*LevOpex*$B$8</f>
        <v>7747.62554368381</v>
      </c>
      <c r="R94" s="95" t="n">
        <f aca="false">R72*O_DieselOM*R44*LevOpex*$B$8</f>
        <v>8872.82910842559</v>
      </c>
      <c r="S94" s="95" t="n">
        <f aca="false">S72*O_DieselOM*S44*LevOpex*$B$8</f>
        <v>10082.7938935131</v>
      </c>
      <c r="T94" s="95" t="n">
        <f aca="false">T72*O_DieselOM*T44*LevOpex*$B$8</f>
        <v>11383.0853298981</v>
      </c>
      <c r="U94" s="95" t="n">
        <f aca="false">U72*O_DieselOM*U44*LevOpex*$B$8</f>
        <v>12779.6178095725</v>
      </c>
      <c r="V94" s="95" t="n">
        <f aca="false">V72*O_DieselOM*V44*LevOpex*$B$8</f>
        <v>14278.6761864487</v>
      </c>
      <c r="W94" s="95" t="n">
        <f aca="false">W72*O_DieselOM*W44*LevOpex*$B$8</f>
        <v>15886.9385928357</v>
      </c>
    </row>
    <row r="95" customFormat="false" ht="15" hidden="false" customHeight="false" outlineLevel="0" collapsed="false">
      <c r="A95" s="11" t="s">
        <v>441</v>
      </c>
      <c r="B95" s="66" t="n">
        <f aca="false">SUM(C95:W95)</f>
        <v>1567600.68376954</v>
      </c>
      <c r="C95" s="95" t="n">
        <v>0</v>
      </c>
      <c r="D95" s="95" t="n">
        <f aca="false">D74*FuelPrice*LevFuel*$B$10*D44</f>
        <v>9597.25963636363</v>
      </c>
      <c r="E95" s="95" t="n">
        <f aca="false">E74*FuelPrice*LevFuel*$B$10*E44</f>
        <v>14424.1213933091</v>
      </c>
      <c r="F95" s="95" t="n">
        <f aca="false">F74*FuelPrice*LevFuel*$B$10*F44</f>
        <v>18003.0004543078</v>
      </c>
      <c r="G95" s="95" t="n">
        <f aca="false">G74*FuelPrice*LevFuel*$B$10*G44</f>
        <v>19099.3831819751</v>
      </c>
      <c r="H95" s="95" t="n">
        <f aca="false">H74*FuelPrice*LevFuel*$B$10*H44</f>
        <v>20262.5356177574</v>
      </c>
      <c r="I95" s="95" t="n">
        <f aca="false">I74*FuelPrice*LevFuel*$B$10*I44</f>
        <v>21496.5240368788</v>
      </c>
      <c r="J95" s="95" t="n">
        <f aca="false">J74*FuelPrice*LevFuel*$B$10*J44</f>
        <v>24552.7755373446</v>
      </c>
      <c r="K95" s="95" t="n">
        <f aca="false">K74*FuelPrice*LevFuel*$B$10*K44</f>
        <v>33384.3532868839</v>
      </c>
      <c r="L95" s="95" t="n">
        <f aca="false">L74*FuelPrice*LevFuel*$B$10*L44</f>
        <v>42936.0815172951</v>
      </c>
      <c r="M95" s="95" t="n">
        <f aca="false">M74*FuelPrice*LevFuel*$B$10*M44</f>
        <v>53256.3477316521</v>
      </c>
      <c r="N95" s="95" t="n">
        <f aca="false">N74*FuelPrice*LevFuel*$B$10*N44</f>
        <v>64396.5988108847</v>
      </c>
      <c r="O95" s="95" t="n">
        <f aca="false">O74*FuelPrice*LevFuel*$B$10*O44</f>
        <v>76411.5301274767</v>
      </c>
      <c r="P95" s="95" t="n">
        <f aca="false">P74*FuelPrice*LevFuel*$B$10*P44</f>
        <v>89359.2862457069</v>
      </c>
      <c r="Q95" s="95" t="n">
        <f aca="false">Q74*FuelPrice*LevFuel*$B$10*Q44</f>
        <v>103301.673915784</v>
      </c>
      <c r="R95" s="95" t="n">
        <f aca="false">R74*FuelPrice*LevFuel*$B$10*R44</f>
        <v>118304.388112341</v>
      </c>
      <c r="S95" s="95" t="n">
        <f aca="false">S74*FuelPrice*LevFuel*$B$10*S44</f>
        <v>134437.251913507</v>
      </c>
      <c r="T95" s="95" t="n">
        <f aca="false">T74*FuelPrice*LevFuel*$B$10*T44</f>
        <v>151774.471065308</v>
      </c>
      <c r="U95" s="95" t="n">
        <f aca="false">U74*FuelPrice*LevFuel*$B$10*U44</f>
        <v>170394.904127634</v>
      </c>
      <c r="V95" s="95" t="n">
        <f aca="false">V74*FuelPrice*LevFuel*$B$10*V44</f>
        <v>190382.34915265</v>
      </c>
      <c r="W95" s="95" t="n">
        <f aca="false">W74*FuelPrice*LevFuel*$B$10*W44</f>
        <v>211825.847904476</v>
      </c>
    </row>
    <row r="96" customFormat="false" ht="15" hidden="false" customHeight="false" outlineLevel="0" collapsed="false">
      <c r="A96" s="16" t="s">
        <v>442</v>
      </c>
      <c r="B96" s="66" t="n">
        <f aca="false">SUM(C96:W96)</f>
        <v>3300418.22472547</v>
      </c>
      <c r="C96" s="31" t="n">
        <f aca="false">C88+C89+C90+C91+C92+C93+C94+C95</f>
        <v>0</v>
      </c>
      <c r="D96" s="31" t="n">
        <f aca="false">D88+D89+D90+D91+D92+D93+D94+D95</f>
        <v>68381.3714191293</v>
      </c>
      <c r="E96" s="31" t="n">
        <f aca="false">E88+E89+E90+E91+E92+E93+E94+E95</f>
        <v>76020.8188430256</v>
      </c>
      <c r="F96" s="31" t="n">
        <f aca="false">F88+F89+F90+F91+F92+F93+F94+F95</f>
        <v>82225.6676724321</v>
      </c>
      <c r="G96" s="31" t="n">
        <f aca="false">G88+G89+G90+G91+G92+G93+G94+G95</f>
        <v>85339.5611443635</v>
      </c>
      <c r="H96" s="31" t="n">
        <f aca="false">H88+H89+H90+H91+H92+H93+H94+H95</f>
        <v>88642.8298603059</v>
      </c>
      <c r="I96" s="31" t="n">
        <f aca="false">I88+I89+I90+I91+I92+I93+I94+I95</f>
        <v>92090.4503243166</v>
      </c>
      <c r="J96" s="31" t="n">
        <f aca="false">J88+J89+J90+J91+J92+J93+J94+J95</f>
        <v>97567.6557139675</v>
      </c>
      <c r="K96" s="31" t="n">
        <f aca="false">K88+K89+K90+K91+K92+K93+K94+K95</f>
        <v>109326.535993174</v>
      </c>
      <c r="L96" s="31" t="n">
        <f aca="false">L88+L89+L90+L91+L92+L93+L94+L95</f>
        <v>121935.426715942</v>
      </c>
      <c r="M96" s="31" t="n">
        <f aca="false">M88+M89+M90+M91+M92+M93+M94+M95</f>
        <v>135449.101058002</v>
      </c>
      <c r="N96" s="31" t="n">
        <f aca="false">N88+N89+N90+N91+N92+N93+N94+N95</f>
        <v>149925.733026586</v>
      </c>
      <c r="O96" s="31" t="n">
        <f aca="false">O88+O89+O90+O91+O92+O93+O94+O95</f>
        <v>165427.105902162</v>
      </c>
      <c r="P96" s="31" t="n">
        <f aca="false">P88+P89+P90+P91+P92+P93+P94+P95</f>
        <v>182018.833398699</v>
      </c>
      <c r="Q96" s="31" t="n">
        <f aca="false">Q88+Q89+Q90+Q91+Q92+Q93+Q94+Q95</f>
        <v>199770.5943174</v>
      </c>
      <c r="R96" s="31" t="n">
        <f aca="false">R88+R89+R90+R91+R92+R93+R94+R95</f>
        <v>218756.381515975</v>
      </c>
      <c r="S96" s="31" t="n">
        <f aca="false">S88+S89+S90+S91+S92+S93+S94+S95</f>
        <v>239054.766065647</v>
      </c>
      <c r="T96" s="31" t="n">
        <f aca="false">T88+T89+T90+T91+T92+T93+T94+T95</f>
        <v>260749.177521159</v>
      </c>
      <c r="U96" s="31" t="n">
        <f aca="false">U88+U89+U90+U91+U92+U93+U94+U95</f>
        <v>283928.201285413</v>
      </c>
      <c r="V96" s="31" t="n">
        <f aca="false">V88+V89+V90+V91+V92+V93+V94+V95</f>
        <v>308685.894110165</v>
      </c>
      <c r="W96" s="31" t="n">
        <f aca="false">W88+W89+W90+W91+W92+W93+W94+W95</f>
        <v>335122.118837606</v>
      </c>
    </row>
    <row r="98" customFormat="false" ht="15" hidden="false" customHeight="false" outlineLevel="0" collapsed="false">
      <c r="A98" s="16" t="s">
        <v>443</v>
      </c>
      <c r="B98" s="66" t="n">
        <f aca="false">SUM(C98:W98)</f>
        <v>302073.407845586</v>
      </c>
      <c r="C98" s="31" t="n">
        <f aca="false">C85-C96</f>
        <v>0</v>
      </c>
      <c r="D98" s="31" t="n">
        <f aca="false">D85-D96</f>
        <v>-2587.46160792928</v>
      </c>
      <c r="E98" s="31" t="n">
        <f aca="false">E85-E96</f>
        <v>15368.2921251357</v>
      </c>
      <c r="F98" s="31" t="n">
        <f aca="false">F85-F96</f>
        <v>29975.356240653</v>
      </c>
      <c r="G98" s="31" t="n">
        <f aca="false">G85-G96</f>
        <v>31864.4526250285</v>
      </c>
      <c r="H98" s="31" t="n">
        <f aca="false">H85-H96</f>
        <v>35698.9083476421</v>
      </c>
      <c r="I98" s="31" t="n">
        <f aca="false">I85-I96</f>
        <v>39823.6997404953</v>
      </c>
      <c r="J98" s="31" t="n">
        <f aca="false">J85-J96</f>
        <v>42380.0660897915</v>
      </c>
      <c r="K98" s="31" t="n">
        <f aca="false">K85-K96</f>
        <v>39144.0020684339</v>
      </c>
      <c r="L98" s="31" t="n">
        <f aca="false">L85-L96</f>
        <v>35576.9671136175</v>
      </c>
      <c r="M98" s="31" t="n">
        <f aca="false">M85-M96</f>
        <v>31655.7975557784</v>
      </c>
      <c r="N98" s="31" t="n">
        <f aca="false">N85-N96</f>
        <v>27355.8539127733</v>
      </c>
      <c r="O98" s="31" t="n">
        <f aca="false">O85-O96</f>
        <v>22650.9296818046</v>
      </c>
      <c r="P98" s="31" t="n">
        <f aca="false">P85-P96</f>
        <v>17513.1545523305</v>
      </c>
      <c r="Q98" s="31" t="n">
        <f aca="false">Q85-Q96</f>
        <v>11912.8916998477</v>
      </c>
      <c r="R98" s="31" t="n">
        <f aca="false">R85-R96</f>
        <v>5818.6287997234</v>
      </c>
      <c r="S98" s="31" t="n">
        <f aca="false">S85-S96</f>
        <v>-803.137621723145</v>
      </c>
      <c r="T98" s="31" t="n">
        <f aca="false">T85-T96</f>
        <v>-7988.02490500035</v>
      </c>
      <c r="U98" s="31" t="n">
        <f aca="false">U85-U96</f>
        <v>-15773.8944749298</v>
      </c>
      <c r="V98" s="31" t="n">
        <f aca="false">V85-V96</f>
        <v>-24200.9900149231</v>
      </c>
      <c r="W98" s="31" t="n">
        <f aca="false">W85-W96</f>
        <v>-33312.0840829643</v>
      </c>
    </row>
    <row r="99" customFormat="false" ht="15" hidden="false" customHeight="false" outlineLevel="0" collapsed="false">
      <c r="A99" s="11" t="s">
        <v>444</v>
      </c>
      <c r="C99" s="91" t="n">
        <v>0</v>
      </c>
      <c r="D99" s="91" t="n">
        <f aca="false">IFERROR(D98/D85,0)</f>
        <v>-0.0393267646709881</v>
      </c>
      <c r="E99" s="91" t="n">
        <f aca="false">IFERROR(E98/E85,0)</f>
        <v>0.168163274183615</v>
      </c>
      <c r="F99" s="91" t="n">
        <f aca="false">IFERROR(F98/F85,0)</f>
        <v>0.267157599772646</v>
      </c>
      <c r="G99" s="91" t="n">
        <f aca="false">IFERROR(G98/G85,0)</f>
        <v>0.271871684255833</v>
      </c>
      <c r="H99" s="91" t="n">
        <f aca="false">IFERROR(H98/H85,0)</f>
        <v>0.287103179207127</v>
      </c>
      <c r="I99" s="91" t="n">
        <f aca="false">IFERROR(I98/I85,0)</f>
        <v>0.301891038383139</v>
      </c>
      <c r="J99" s="91" t="n">
        <f aca="false">IFERROR(J98/J85,0)</f>
        <v>0.302827838449694</v>
      </c>
      <c r="K99" s="91" t="n">
        <f aca="false">IFERROR(K98/K85,0)</f>
        <v>0.26364828052412</v>
      </c>
      <c r="L99" s="91" t="n">
        <f aca="false">IFERROR(L98/L85,0)</f>
        <v>0.225867731729825</v>
      </c>
      <c r="M99" s="91" t="n">
        <f aca="false">IFERROR(M98/M85,0)</f>
        <v>0.189436682098367</v>
      </c>
      <c r="N99" s="91" t="n">
        <f aca="false">IFERROR(N98/N85,0)</f>
        <v>0.154307361441494</v>
      </c>
      <c r="O99" s="91" t="n">
        <f aca="false">IFERROR(O98/O85,0)</f>
        <v>0.120433678560473</v>
      </c>
      <c r="P99" s="91" t="n">
        <f aca="false">IFERROR(P98/P85,0)</f>
        <v>0.0877711625698266</v>
      </c>
      <c r="Q99" s="91" t="n">
        <f aca="false">IFERROR(Q98/Q85,0)</f>
        <v>0.0562769062621969</v>
      </c>
      <c r="R99" s="91" t="n">
        <f aca="false">IFERROR(R98/R85,0)</f>
        <v>0.02590951144361</v>
      </c>
      <c r="S99" s="91" t="n">
        <f aca="false">IFERROR(S98/S85,0)</f>
        <v>-0.00337096382916088</v>
      </c>
      <c r="T99" s="91" t="n">
        <f aca="false">IFERROR(T98/T85,0)</f>
        <v>-0.0316030561750559</v>
      </c>
      <c r="U99" s="91" t="n">
        <f aca="false">IFERROR(U98/U85,0)</f>
        <v>-0.0588239460426713</v>
      </c>
      <c r="V99" s="91" t="n">
        <f aca="false">IFERROR(V98/V85,0)</f>
        <v>-0.0850695051531484</v>
      </c>
      <c r="W99" s="91" t="n">
        <f aca="false">IFERROR(W98/W85,0)</f>
        <v>-0.110374342291321</v>
      </c>
    </row>
    <row r="101" customFormat="false" ht="15" hidden="false" customHeight="false" outlineLevel="0" collapsed="false">
      <c r="A101" s="9" t="s">
        <v>445</v>
      </c>
      <c r="B101" s="10"/>
      <c r="C101" s="10"/>
      <c r="D101" s="10"/>
      <c r="E101" s="10"/>
      <c r="F101" s="10"/>
      <c r="G101" s="10"/>
      <c r="H101" s="10"/>
      <c r="I101" s="10"/>
      <c r="J101" s="10"/>
      <c r="K101" s="10"/>
      <c r="L101" s="10"/>
      <c r="M101" s="10"/>
      <c r="N101" s="10"/>
      <c r="O101" s="10"/>
      <c r="P101" s="10"/>
      <c r="Q101" s="10"/>
      <c r="R101" s="10"/>
      <c r="S101" s="10"/>
      <c r="T101" s="10"/>
      <c r="U101" s="10"/>
      <c r="V101" s="10"/>
      <c r="W101" s="10"/>
    </row>
    <row r="102" customFormat="false" ht="15" hidden="false" customHeight="false" outlineLevel="0" collapsed="false">
      <c r="A102" s="11" t="s">
        <v>446</v>
      </c>
      <c r="B102" s="66" t="n">
        <f aca="false">C102+NPV(Hurdle,D102:W102)</f>
        <v>1162734.14692871</v>
      </c>
      <c r="C102" s="95" t="n">
        <f aca="false">S_Coll_Lo!$B$14</f>
        <v>1162734.14692871</v>
      </c>
      <c r="D102" s="95" t="n">
        <f aca="false">0</f>
        <v>0</v>
      </c>
      <c r="E102" s="95" t="n">
        <f aca="false">0</f>
        <v>0</v>
      </c>
      <c r="F102" s="95" t="n">
        <f aca="false">0</f>
        <v>0</v>
      </c>
      <c r="G102" s="95" t="n">
        <f aca="false">0</f>
        <v>0</v>
      </c>
      <c r="H102" s="95" t="n">
        <f aca="false">0</f>
        <v>0</v>
      </c>
      <c r="I102" s="95" t="n">
        <f aca="false">0</f>
        <v>0</v>
      </c>
      <c r="J102" s="95" t="n">
        <f aca="false">0</f>
        <v>0</v>
      </c>
      <c r="K102" s="95" t="n">
        <f aca="false">0</f>
        <v>0</v>
      </c>
      <c r="L102" s="95" t="n">
        <f aca="false">0</f>
        <v>0</v>
      </c>
      <c r="M102" s="95" t="n">
        <f aca="false">0</f>
        <v>0</v>
      </c>
      <c r="N102" s="95" t="n">
        <f aca="false">0</f>
        <v>0</v>
      </c>
      <c r="O102" s="95" t="n">
        <f aca="false">0</f>
        <v>0</v>
      </c>
      <c r="P102" s="95" t="n">
        <f aca="false">0</f>
        <v>0</v>
      </c>
      <c r="Q102" s="95" t="n">
        <f aca="false">0</f>
        <v>0</v>
      </c>
      <c r="R102" s="95" t="n">
        <f aca="false">0</f>
        <v>0</v>
      </c>
      <c r="S102" s="95" t="n">
        <f aca="false">0</f>
        <v>0</v>
      </c>
      <c r="T102" s="95" t="n">
        <f aca="false">0</f>
        <v>0</v>
      </c>
      <c r="U102" s="95" t="n">
        <f aca="false">0</f>
        <v>0</v>
      </c>
      <c r="V102" s="95" t="n">
        <f aca="false">0</f>
        <v>0</v>
      </c>
      <c r="W102" s="95" t="n">
        <f aca="false">0</f>
        <v>0</v>
      </c>
    </row>
    <row r="103" customFormat="false" ht="15" hidden="false" customHeight="false" outlineLevel="0" collapsed="false">
      <c r="A103" s="11" t="s">
        <v>447</v>
      </c>
      <c r="B103" s="66" t="n">
        <f aca="false">C103+NPV(Hurdle,D103:W103)</f>
        <v>123132.446168426</v>
      </c>
      <c r="C103" s="95" t="n">
        <v>0</v>
      </c>
      <c r="D103" s="95" t="n">
        <f aca="false">IF(AND(D41=1,MOD(D39,BattLife)=0,D39&lt;Life),BESS_kWh*C_BattRepl*LevCapex*$B$7*D44,0)</f>
        <v>0</v>
      </c>
      <c r="E103" s="95" t="n">
        <f aca="false">IF(AND(E41=1,MOD(E39,BattLife)=0,E39&lt;Life),BESS_kWh*C_BattRepl*LevCapex*$B$7*E44,0)</f>
        <v>0</v>
      </c>
      <c r="F103" s="95" t="n">
        <f aca="false">IF(AND(F41=1,MOD(F39,BattLife)=0,F39&lt;Life),BESS_kWh*C_BattRepl*LevCapex*$B$7*F44,0)</f>
        <v>0</v>
      </c>
      <c r="G103" s="95" t="n">
        <f aca="false">IF(AND(G41=1,MOD(G39,BattLife)=0,G39&lt;Life),BESS_kWh*C_BattRepl*LevCapex*$B$7*G44,0)</f>
        <v>0</v>
      </c>
      <c r="H103" s="95" t="n">
        <f aca="false">IF(AND(H41=1,MOD(H39,BattLife)=0,H39&lt;Life),BESS_kWh*C_BattRepl*LevCapex*$B$7*H44,0)</f>
        <v>0</v>
      </c>
      <c r="I103" s="95" t="n">
        <f aca="false">IF(AND(I41=1,MOD(I39,BattLife)=0,I39&lt;Life),BESS_kWh*C_BattRepl*LevCapex*$B$7*I44,0)</f>
        <v>0</v>
      </c>
      <c r="J103" s="95" t="n">
        <f aca="false">IF(AND(J41=1,MOD(J39,BattLife)=0,J39&lt;Life),BESS_kWh*C_BattRepl*LevCapex*$B$7*J44,0)</f>
        <v>0</v>
      </c>
      <c r="K103" s="95" t="n">
        <f aca="false">IF(AND(K41=1,MOD(K39,BattLife)=0,K39&lt;Life),BESS_kWh*C_BattRepl*LevCapex*$B$7*K44,0)</f>
        <v>165903.437704701</v>
      </c>
      <c r="L103" s="95" t="n">
        <f aca="false">IF(AND(L41=1,MOD(L39,BattLife)=0,L39&lt;Life),BESS_kWh*C_BattRepl*LevCapex*$B$7*L44,0)</f>
        <v>0</v>
      </c>
      <c r="M103" s="95" t="n">
        <f aca="false">IF(AND(M41=1,MOD(M39,BattLife)=0,M39&lt;Life),BESS_kWh*C_BattRepl*LevCapex*$B$7*M44,0)</f>
        <v>0</v>
      </c>
      <c r="N103" s="95" t="n">
        <f aca="false">IF(AND(N41=1,MOD(N39,BattLife)=0,N39&lt;Life),BESS_kWh*C_BattRepl*LevCapex*$B$7*N44,0)</f>
        <v>0</v>
      </c>
      <c r="O103" s="95" t="n">
        <f aca="false">IF(AND(O41=1,MOD(O39,BattLife)=0,O39&lt;Life),BESS_kWh*C_BattRepl*LevCapex*$B$7*O44,0)</f>
        <v>0</v>
      </c>
      <c r="P103" s="95" t="n">
        <f aca="false">IF(AND(P41=1,MOD(P39,BattLife)=0,P39&lt;Life),BESS_kWh*C_BattRepl*LevCapex*$B$7*P44,0)</f>
        <v>0</v>
      </c>
      <c r="Q103" s="95" t="n">
        <f aca="false">IF(AND(Q41=1,MOD(Q39,BattLife)=0,Q39&lt;Life),BESS_kWh*C_BattRepl*LevCapex*$B$7*Q44,0)</f>
        <v>0</v>
      </c>
      <c r="R103" s="95" t="n">
        <f aca="false">IF(AND(R41=1,MOD(R39,BattLife)=0,R39&lt;Life),BESS_kWh*C_BattRepl*LevCapex*$B$7*R44,0)</f>
        <v>0</v>
      </c>
      <c r="S103" s="95" t="n">
        <f aca="false">IF(AND(S41=1,MOD(S39,BattLife)=0,S39&lt;Life),BESS_kWh*C_BattRepl*LevCapex*$B$7*S44,0)</f>
        <v>210161.51128367</v>
      </c>
      <c r="T103" s="95" t="n">
        <f aca="false">IF(AND(T41=1,MOD(T39,BattLife)=0,T39&lt;Life),BESS_kWh*C_BattRepl*LevCapex*$B$7*T44,0)</f>
        <v>0</v>
      </c>
      <c r="U103" s="95" t="n">
        <f aca="false">IF(AND(U41=1,MOD(U39,BattLife)=0,U39&lt;Life),BESS_kWh*C_BattRepl*LevCapex*$B$7*U44,0)</f>
        <v>0</v>
      </c>
      <c r="V103" s="95" t="n">
        <f aca="false">IF(AND(V41=1,MOD(V39,BattLife)=0,V39&lt;Life),BESS_kWh*C_BattRepl*LevCapex*$B$7*V44,0)</f>
        <v>0</v>
      </c>
      <c r="W103" s="95" t="n">
        <f aca="false">IF(AND(W41=1,MOD(W39,BattLife)=0,W39&lt;Life),BESS_kWh*C_BattRepl*LevCapex*$B$7*W44,0)</f>
        <v>0</v>
      </c>
    </row>
    <row r="104" customFormat="false" ht="15" hidden="false" customHeight="false" outlineLevel="0" collapsed="false">
      <c r="A104" s="11" t="s">
        <v>448</v>
      </c>
      <c r="B104" s="66" t="n">
        <f aca="false">SUM(C104:W104)</f>
        <v>376064.948988371</v>
      </c>
      <c r="C104" s="95" t="n">
        <v>0</v>
      </c>
      <c r="D104" s="95" t="n">
        <f aca="false">IF(AND(UseMRA=1,D41=1,CEILING(D39,BattLife)&lt;Life),BESS_kWh*C_BattRepl*LevCapex*$B$7*(1+CostEsc)^(CEILING(D39,BattLife)-1)/BattLife,0)</f>
        <v>20737.9297130877</v>
      </c>
      <c r="E104" s="95" t="n">
        <f aca="false">IF(AND(UseMRA=1,E41=1,CEILING(E39,BattLife)&lt;Life),BESS_kWh*C_BattRepl*LevCapex*$B$7*(1+CostEsc)^(CEILING(E39,BattLife)-1)/BattLife,0)</f>
        <v>20737.9297130877</v>
      </c>
      <c r="F104" s="95" t="n">
        <f aca="false">IF(AND(UseMRA=1,F41=1,CEILING(F39,BattLife)&lt;Life),BESS_kWh*C_BattRepl*LevCapex*$B$7*(1+CostEsc)^(CEILING(F39,BattLife)-1)/BattLife,0)</f>
        <v>20737.9297130877</v>
      </c>
      <c r="G104" s="95" t="n">
        <f aca="false">IF(AND(UseMRA=1,G41=1,CEILING(G39,BattLife)&lt;Life),BESS_kWh*C_BattRepl*LevCapex*$B$7*(1+CostEsc)^(CEILING(G39,BattLife)-1)/BattLife,0)</f>
        <v>20737.9297130877</v>
      </c>
      <c r="H104" s="95" t="n">
        <f aca="false">IF(AND(UseMRA=1,H41=1,CEILING(H39,BattLife)&lt;Life),BESS_kWh*C_BattRepl*LevCapex*$B$7*(1+CostEsc)^(CEILING(H39,BattLife)-1)/BattLife,0)</f>
        <v>20737.9297130877</v>
      </c>
      <c r="I104" s="95" t="n">
        <f aca="false">IF(AND(UseMRA=1,I41=1,CEILING(I39,BattLife)&lt;Life),BESS_kWh*C_BattRepl*LevCapex*$B$7*(1+CostEsc)^(CEILING(I39,BattLife)-1)/BattLife,0)</f>
        <v>20737.9297130877</v>
      </c>
      <c r="J104" s="95" t="n">
        <f aca="false">IF(AND(UseMRA=1,J41=1,CEILING(J39,BattLife)&lt;Life),BESS_kWh*C_BattRepl*LevCapex*$B$7*(1+CostEsc)^(CEILING(J39,BattLife)-1)/BattLife,0)</f>
        <v>20737.9297130877</v>
      </c>
      <c r="K104" s="95" t="n">
        <f aca="false">IF(AND(UseMRA=1,K41=1,CEILING(K39,BattLife)&lt;Life),BESS_kWh*C_BattRepl*LevCapex*$B$7*(1+CostEsc)^(CEILING(K39,BattLife)-1)/BattLife,0)</f>
        <v>20737.9297130877</v>
      </c>
      <c r="L104" s="95" t="n">
        <f aca="false">IF(AND(UseMRA=1,L41=1,CEILING(L39,BattLife)&lt;Life),BESS_kWh*C_BattRepl*LevCapex*$B$7*(1+CostEsc)^(CEILING(L39,BattLife)-1)/BattLife,0)</f>
        <v>26270.1889104587</v>
      </c>
      <c r="M104" s="95" t="n">
        <f aca="false">IF(AND(UseMRA=1,M41=1,CEILING(M39,BattLife)&lt;Life),BESS_kWh*C_BattRepl*LevCapex*$B$7*(1+CostEsc)^(CEILING(M39,BattLife)-1)/BattLife,0)</f>
        <v>26270.1889104587</v>
      </c>
      <c r="N104" s="95" t="n">
        <f aca="false">IF(AND(UseMRA=1,N41=1,CEILING(N39,BattLife)&lt;Life),BESS_kWh*C_BattRepl*LevCapex*$B$7*(1+CostEsc)^(CEILING(N39,BattLife)-1)/BattLife,0)</f>
        <v>26270.1889104587</v>
      </c>
      <c r="O104" s="95" t="n">
        <f aca="false">IF(AND(UseMRA=1,O41=1,CEILING(O39,BattLife)&lt;Life),BESS_kWh*C_BattRepl*LevCapex*$B$7*(1+CostEsc)^(CEILING(O39,BattLife)-1)/BattLife,0)</f>
        <v>26270.1889104587</v>
      </c>
      <c r="P104" s="95" t="n">
        <f aca="false">IF(AND(UseMRA=1,P41=1,CEILING(P39,BattLife)&lt;Life),BESS_kWh*C_BattRepl*LevCapex*$B$7*(1+CostEsc)^(CEILING(P39,BattLife)-1)/BattLife,0)</f>
        <v>26270.1889104587</v>
      </c>
      <c r="Q104" s="95" t="n">
        <f aca="false">IF(AND(UseMRA=1,Q41=1,CEILING(Q39,BattLife)&lt;Life),BESS_kWh*C_BattRepl*LevCapex*$B$7*(1+CostEsc)^(CEILING(Q39,BattLife)-1)/BattLife,0)</f>
        <v>26270.1889104587</v>
      </c>
      <c r="R104" s="95" t="n">
        <f aca="false">IF(AND(UseMRA=1,R41=1,CEILING(R39,BattLife)&lt;Life),BESS_kWh*C_BattRepl*LevCapex*$B$7*(1+CostEsc)^(CEILING(R39,BattLife)-1)/BattLife,0)</f>
        <v>26270.1889104587</v>
      </c>
      <c r="S104" s="95" t="n">
        <f aca="false">IF(AND(UseMRA=1,S41=1,CEILING(S39,BattLife)&lt;Life),BESS_kWh*C_BattRepl*LevCapex*$B$7*(1+CostEsc)^(CEILING(S39,BattLife)-1)/BattLife,0)</f>
        <v>26270.1889104587</v>
      </c>
      <c r="T104" s="95" t="n">
        <f aca="false">IF(AND(UseMRA=1,T41=1,CEILING(T39,BattLife)&lt;Life),BESS_kWh*C_BattRepl*LevCapex*$B$7*(1+CostEsc)^(CEILING(T39,BattLife)-1)/BattLife,0)</f>
        <v>0</v>
      </c>
      <c r="U104" s="95" t="n">
        <f aca="false">IF(AND(UseMRA=1,U41=1,CEILING(U39,BattLife)&lt;Life),BESS_kWh*C_BattRepl*LevCapex*$B$7*(1+CostEsc)^(CEILING(U39,BattLife)-1)/BattLife,0)</f>
        <v>0</v>
      </c>
      <c r="V104" s="95" t="n">
        <f aca="false">IF(AND(UseMRA=1,V41=1,CEILING(V39,BattLife)&lt;Life),BESS_kWh*C_BattRepl*LevCapex*$B$7*(1+CostEsc)^(CEILING(V39,BattLife)-1)/BattLife,0)</f>
        <v>0</v>
      </c>
      <c r="W104" s="95" t="n">
        <f aca="false">IF(AND(UseMRA=1,W41=1,CEILING(W39,BattLife)&lt;Life),BESS_kWh*C_BattRepl*LevCapex*$B$7*(1+CostEsc)^(CEILING(W39,BattLife)-1)/BattLife,0)</f>
        <v>0</v>
      </c>
    </row>
    <row r="105" customFormat="false" ht="15" hidden="false" customHeight="false" outlineLevel="0" collapsed="false">
      <c r="A105" s="11" t="s">
        <v>449</v>
      </c>
      <c r="B105" s="66" t="n">
        <f aca="false">SUM(C105:W105)</f>
        <v>376064.948988371</v>
      </c>
      <c r="C105" s="95" t="n">
        <v>0</v>
      </c>
      <c r="D105" s="95" t="n">
        <f aca="false">IF(UseMRA=1,D104,D103)</f>
        <v>20737.9297130877</v>
      </c>
      <c r="E105" s="95" t="n">
        <f aca="false">IF(UseMRA=1,E104,E103)</f>
        <v>20737.9297130877</v>
      </c>
      <c r="F105" s="95" t="n">
        <f aca="false">IF(UseMRA=1,F104,F103)</f>
        <v>20737.9297130877</v>
      </c>
      <c r="G105" s="95" t="n">
        <f aca="false">IF(UseMRA=1,G104,G103)</f>
        <v>20737.9297130877</v>
      </c>
      <c r="H105" s="95" t="n">
        <f aca="false">IF(UseMRA=1,H104,H103)</f>
        <v>20737.9297130877</v>
      </c>
      <c r="I105" s="95" t="n">
        <f aca="false">IF(UseMRA=1,I104,I103)</f>
        <v>20737.9297130877</v>
      </c>
      <c r="J105" s="95" t="n">
        <f aca="false">IF(UseMRA=1,J104,J103)</f>
        <v>20737.9297130877</v>
      </c>
      <c r="K105" s="95" t="n">
        <f aca="false">IF(UseMRA=1,K104,K103)</f>
        <v>20737.9297130877</v>
      </c>
      <c r="L105" s="95" t="n">
        <f aca="false">IF(UseMRA=1,L104,L103)</f>
        <v>26270.1889104587</v>
      </c>
      <c r="M105" s="95" t="n">
        <f aca="false">IF(UseMRA=1,M104,M103)</f>
        <v>26270.1889104587</v>
      </c>
      <c r="N105" s="95" t="n">
        <f aca="false">IF(UseMRA=1,N104,N103)</f>
        <v>26270.1889104587</v>
      </c>
      <c r="O105" s="95" t="n">
        <f aca="false">IF(UseMRA=1,O104,O103)</f>
        <v>26270.1889104587</v>
      </c>
      <c r="P105" s="95" t="n">
        <f aca="false">IF(UseMRA=1,P104,P103)</f>
        <v>26270.1889104587</v>
      </c>
      <c r="Q105" s="95" t="n">
        <f aca="false">IF(UseMRA=1,Q104,Q103)</f>
        <v>26270.1889104587</v>
      </c>
      <c r="R105" s="95" t="n">
        <f aca="false">IF(UseMRA=1,R104,R103)</f>
        <v>26270.1889104587</v>
      </c>
      <c r="S105" s="95" t="n">
        <f aca="false">IF(UseMRA=1,S104,S103)</f>
        <v>26270.1889104587</v>
      </c>
      <c r="T105" s="95" t="n">
        <f aca="false">IF(UseMRA=1,T104,T103)</f>
        <v>0</v>
      </c>
      <c r="U105" s="95" t="n">
        <f aca="false">IF(UseMRA=1,U104,U103)</f>
        <v>0</v>
      </c>
      <c r="V105" s="95" t="n">
        <f aca="false">IF(UseMRA=1,V104,V103)</f>
        <v>0</v>
      </c>
      <c r="W105" s="95" t="n">
        <f aca="false">IF(UseMRA=1,W104,W103)</f>
        <v>0</v>
      </c>
    </row>
    <row r="106" customFormat="false" ht="15" hidden="false" customHeight="false" outlineLevel="0" collapsed="false">
      <c r="A106" s="11" t="s">
        <v>175</v>
      </c>
      <c r="B106" s="66" t="n">
        <f aca="false">SUM(C106:W106)</f>
        <v>600000</v>
      </c>
      <c r="C106" s="95" t="n">
        <f aca="false">Grant</f>
        <v>600000</v>
      </c>
      <c r="D106" s="95" t="n">
        <f aca="false">0</f>
        <v>0</v>
      </c>
      <c r="E106" s="95" t="n">
        <f aca="false">0</f>
        <v>0</v>
      </c>
      <c r="F106" s="95" t="n">
        <f aca="false">0</f>
        <v>0</v>
      </c>
      <c r="G106" s="95" t="n">
        <f aca="false">0</f>
        <v>0</v>
      </c>
      <c r="H106" s="95" t="n">
        <f aca="false">0</f>
        <v>0</v>
      </c>
      <c r="I106" s="95" t="n">
        <f aca="false">0</f>
        <v>0</v>
      </c>
      <c r="J106" s="95" t="n">
        <f aca="false">0</f>
        <v>0</v>
      </c>
      <c r="K106" s="95" t="n">
        <f aca="false">0</f>
        <v>0</v>
      </c>
      <c r="L106" s="95" t="n">
        <f aca="false">0</f>
        <v>0</v>
      </c>
      <c r="M106" s="95" t="n">
        <f aca="false">0</f>
        <v>0</v>
      </c>
      <c r="N106" s="95" t="n">
        <f aca="false">0</f>
        <v>0</v>
      </c>
      <c r="O106" s="95" t="n">
        <f aca="false">0</f>
        <v>0</v>
      </c>
      <c r="P106" s="95" t="n">
        <f aca="false">0</f>
        <v>0</v>
      </c>
      <c r="Q106" s="95" t="n">
        <f aca="false">0</f>
        <v>0</v>
      </c>
      <c r="R106" s="95" t="n">
        <f aca="false">0</f>
        <v>0</v>
      </c>
      <c r="S106" s="95" t="n">
        <f aca="false">0</f>
        <v>0</v>
      </c>
      <c r="T106" s="95" t="n">
        <f aca="false">0</f>
        <v>0</v>
      </c>
      <c r="U106" s="95" t="n">
        <f aca="false">0</f>
        <v>0</v>
      </c>
      <c r="V106" s="95" t="n">
        <f aca="false">0</f>
        <v>0</v>
      </c>
      <c r="W106" s="95" t="n">
        <f aca="false">0</f>
        <v>0</v>
      </c>
    </row>
    <row r="107" customFormat="false" ht="15" hidden="false" customHeight="false" outlineLevel="0" collapsed="false">
      <c r="A107" s="11" t="s">
        <v>450</v>
      </c>
      <c r="B107" s="66" t="n">
        <f aca="false">SUM(C107:W107)</f>
        <v>252000</v>
      </c>
      <c r="C107" s="95" t="n">
        <v>0</v>
      </c>
      <c r="D107" s="95" t="n">
        <f aca="false">D54*Seg1_RBF+D55*Seg2_RBF+D56*Seg3_RBF+D57*Seg4_RBF+D58*Seg5_RBF</f>
        <v>151200</v>
      </c>
      <c r="E107" s="95" t="n">
        <f aca="false">E54*Seg1_RBF+E55*Seg2_RBF+E56*Seg3_RBF+E57*Seg4_RBF+E58*Seg5_RBF</f>
        <v>63000</v>
      </c>
      <c r="F107" s="95" t="n">
        <f aca="false">F54*Seg1_RBF+F55*Seg2_RBF+F56*Seg3_RBF+F57*Seg4_RBF+F58*Seg5_RBF</f>
        <v>37800</v>
      </c>
      <c r="G107" s="95" t="n">
        <f aca="false">G54*Seg1_RBF+G55*Seg2_RBF+G56*Seg3_RBF+G57*Seg4_RBF+G58*Seg5_RBF</f>
        <v>0</v>
      </c>
      <c r="H107" s="95" t="n">
        <f aca="false">H54*Seg1_RBF+H55*Seg2_RBF+H56*Seg3_RBF+H57*Seg4_RBF+H58*Seg5_RBF</f>
        <v>0</v>
      </c>
      <c r="I107" s="95" t="n">
        <f aca="false">I54*Seg1_RBF+I55*Seg2_RBF+I56*Seg3_RBF+I57*Seg4_RBF+I58*Seg5_RBF</f>
        <v>0</v>
      </c>
      <c r="J107" s="95" t="n">
        <f aca="false">J54*Seg1_RBF+J55*Seg2_RBF+J56*Seg3_RBF+J57*Seg4_RBF+J58*Seg5_RBF</f>
        <v>0</v>
      </c>
      <c r="K107" s="95" t="n">
        <f aca="false">K54*Seg1_RBF+K55*Seg2_RBF+K56*Seg3_RBF+K57*Seg4_RBF+K58*Seg5_RBF</f>
        <v>0</v>
      </c>
      <c r="L107" s="95" t="n">
        <f aca="false">L54*Seg1_RBF+L55*Seg2_RBF+L56*Seg3_RBF+L57*Seg4_RBF+L58*Seg5_RBF</f>
        <v>0</v>
      </c>
      <c r="M107" s="95" t="n">
        <f aca="false">M54*Seg1_RBF+M55*Seg2_RBF+M56*Seg3_RBF+M57*Seg4_RBF+M58*Seg5_RBF</f>
        <v>0</v>
      </c>
      <c r="N107" s="95" t="n">
        <f aca="false">N54*Seg1_RBF+N55*Seg2_RBF+N56*Seg3_RBF+N57*Seg4_RBF+N58*Seg5_RBF</f>
        <v>0</v>
      </c>
      <c r="O107" s="95" t="n">
        <f aca="false">O54*Seg1_RBF+O55*Seg2_RBF+O56*Seg3_RBF+O57*Seg4_RBF+O58*Seg5_RBF</f>
        <v>0</v>
      </c>
      <c r="P107" s="95" t="n">
        <f aca="false">P54*Seg1_RBF+P55*Seg2_RBF+P56*Seg3_RBF+P57*Seg4_RBF+P58*Seg5_RBF</f>
        <v>0</v>
      </c>
      <c r="Q107" s="95" t="n">
        <f aca="false">Q54*Seg1_RBF+Q55*Seg2_RBF+Q56*Seg3_RBF+Q57*Seg4_RBF+Q58*Seg5_RBF</f>
        <v>0</v>
      </c>
      <c r="R107" s="95" t="n">
        <f aca="false">R54*Seg1_RBF+R55*Seg2_RBF+R56*Seg3_RBF+R57*Seg4_RBF+R58*Seg5_RBF</f>
        <v>0</v>
      </c>
      <c r="S107" s="95" t="n">
        <f aca="false">S54*Seg1_RBF+S55*Seg2_RBF+S56*Seg3_RBF+S57*Seg4_RBF+S58*Seg5_RBF</f>
        <v>0</v>
      </c>
      <c r="T107" s="95" t="n">
        <f aca="false">T54*Seg1_RBF+T55*Seg2_RBF+T56*Seg3_RBF+T57*Seg4_RBF+T58*Seg5_RBF</f>
        <v>0</v>
      </c>
      <c r="U107" s="95" t="n">
        <f aca="false">U54*Seg1_RBF+U55*Seg2_RBF+U56*Seg3_RBF+U57*Seg4_RBF+U58*Seg5_RBF</f>
        <v>0</v>
      </c>
      <c r="V107" s="95" t="n">
        <f aca="false">V54*Seg1_RBF+V55*Seg2_RBF+V56*Seg3_RBF+V57*Seg4_RBF+V58*Seg5_RBF</f>
        <v>0</v>
      </c>
      <c r="W107" s="95" t="n">
        <f aca="false">W54*Seg1_RBF+W55*Seg2_RBF+W56*Seg3_RBF+W57*Seg4_RBF+W58*Seg5_RBF</f>
        <v>0</v>
      </c>
    </row>
    <row r="108" customFormat="false" ht="15" hidden="false" customHeight="false" outlineLevel="0" collapsed="false">
      <c r="A108" s="11" t="s">
        <v>451</v>
      </c>
      <c r="B108" s="66" t="n">
        <f aca="false">SUM(C108:W108)</f>
        <v>252000</v>
      </c>
      <c r="C108" s="95" t="n">
        <v>0</v>
      </c>
      <c r="D108" s="95" t="n">
        <f aca="false">IF(D39-RBFLag&gt;=1,INDEX($C$107:$W$107,1,D39-RBFLag+1),0)</f>
        <v>151200</v>
      </c>
      <c r="E108" s="95" t="n">
        <f aca="false">IF(E39-RBFLag&gt;=1,INDEX($C$107:$W$107,1,E39-RBFLag+1),0)</f>
        <v>63000</v>
      </c>
      <c r="F108" s="95" t="n">
        <f aca="false">IF(F39-RBFLag&gt;=1,INDEX($C$107:$W$107,1,F39-RBFLag+1),0)</f>
        <v>37800</v>
      </c>
      <c r="G108" s="95" t="n">
        <f aca="false">IF(G39-RBFLag&gt;=1,INDEX($C$107:$W$107,1,G39-RBFLag+1),0)</f>
        <v>0</v>
      </c>
      <c r="H108" s="95" t="n">
        <f aca="false">IF(H39-RBFLag&gt;=1,INDEX($C$107:$W$107,1,H39-RBFLag+1),0)</f>
        <v>0</v>
      </c>
      <c r="I108" s="95" t="n">
        <f aca="false">IF(I39-RBFLag&gt;=1,INDEX($C$107:$W$107,1,I39-RBFLag+1),0)</f>
        <v>0</v>
      </c>
      <c r="J108" s="95" t="n">
        <f aca="false">IF(J39-RBFLag&gt;=1,INDEX($C$107:$W$107,1,J39-RBFLag+1),0)</f>
        <v>0</v>
      </c>
      <c r="K108" s="95" t="n">
        <f aca="false">IF(K39-RBFLag&gt;=1,INDEX($C$107:$W$107,1,K39-RBFLag+1),0)</f>
        <v>0</v>
      </c>
      <c r="L108" s="95" t="n">
        <f aca="false">IF(L39-RBFLag&gt;=1,INDEX($C$107:$W$107,1,L39-RBFLag+1),0)</f>
        <v>0</v>
      </c>
      <c r="M108" s="95" t="n">
        <f aca="false">IF(M39-RBFLag&gt;=1,INDEX($C$107:$W$107,1,M39-RBFLag+1),0)</f>
        <v>0</v>
      </c>
      <c r="N108" s="95" t="n">
        <f aca="false">IF(N39-RBFLag&gt;=1,INDEX($C$107:$W$107,1,N39-RBFLag+1),0)</f>
        <v>0</v>
      </c>
      <c r="O108" s="95" t="n">
        <f aca="false">IF(O39-RBFLag&gt;=1,INDEX($C$107:$W$107,1,O39-RBFLag+1),0)</f>
        <v>0</v>
      </c>
      <c r="P108" s="95" t="n">
        <f aca="false">IF(P39-RBFLag&gt;=1,INDEX($C$107:$W$107,1,P39-RBFLag+1),0)</f>
        <v>0</v>
      </c>
      <c r="Q108" s="95" t="n">
        <f aca="false">IF(Q39-RBFLag&gt;=1,INDEX($C$107:$W$107,1,Q39-RBFLag+1),0)</f>
        <v>0</v>
      </c>
      <c r="R108" s="95" t="n">
        <f aca="false">IF(R39-RBFLag&gt;=1,INDEX($C$107:$W$107,1,R39-RBFLag+1),0)</f>
        <v>0</v>
      </c>
      <c r="S108" s="95" t="n">
        <f aca="false">IF(S39-RBFLag&gt;=1,INDEX($C$107:$W$107,1,S39-RBFLag+1),0)</f>
        <v>0</v>
      </c>
      <c r="T108" s="95" t="n">
        <f aca="false">IF(T39-RBFLag&gt;=1,INDEX($C$107:$W$107,1,T39-RBFLag+1),0)</f>
        <v>0</v>
      </c>
      <c r="U108" s="95" t="n">
        <f aca="false">IF(U39-RBFLag&gt;=1,INDEX($C$107:$W$107,1,U39-RBFLag+1),0)</f>
        <v>0</v>
      </c>
      <c r="V108" s="95" t="n">
        <f aca="false">IF(V39-RBFLag&gt;=1,INDEX($C$107:$W$107,1,V39-RBFLag+1),0)</f>
        <v>0</v>
      </c>
      <c r="W108" s="95" t="n">
        <f aca="false">IF(W39-RBFLag&gt;=1,INDEX($C$107:$W$107,1,W39-RBFLag+1),0)</f>
        <v>0</v>
      </c>
    </row>
    <row r="109" customFormat="false" ht="15" hidden="false" customHeight="false" outlineLevel="0" collapsed="false">
      <c r="A109" s="11" t="s">
        <v>452</v>
      </c>
      <c r="B109" s="76" t="n">
        <f aca="false">SUM(C109:W109)</f>
        <v>970</v>
      </c>
      <c r="C109" s="93" t="n">
        <v>0</v>
      </c>
      <c r="D109" s="93" t="n">
        <f aca="false">IF(D39-RBFLag&gt;=1,INDEX($C$59:$W$59,1,D39-RBFLag+1),0)</f>
        <v>582</v>
      </c>
      <c r="E109" s="93" t="n">
        <f aca="false">IF(E39-RBFLag&gt;=1,INDEX($C$59:$W$59,1,E39-RBFLag+1),0)</f>
        <v>242.5</v>
      </c>
      <c r="F109" s="93" t="n">
        <f aca="false">IF(F39-RBFLag&gt;=1,INDEX($C$59:$W$59,1,F39-RBFLag+1),0)</f>
        <v>145.5</v>
      </c>
      <c r="G109" s="93" t="n">
        <f aca="false">IF(G39-RBFLag&gt;=1,INDEX($C$59:$W$59,1,G39-RBFLag+1),0)</f>
        <v>0</v>
      </c>
      <c r="H109" s="93" t="n">
        <f aca="false">IF(H39-RBFLag&gt;=1,INDEX($C$59:$W$59,1,H39-RBFLag+1),0)</f>
        <v>0</v>
      </c>
      <c r="I109" s="93" t="n">
        <f aca="false">IF(I39-RBFLag&gt;=1,INDEX($C$59:$W$59,1,I39-RBFLag+1),0)</f>
        <v>0</v>
      </c>
      <c r="J109" s="93" t="n">
        <f aca="false">IF(J39-RBFLag&gt;=1,INDEX($C$59:$W$59,1,J39-RBFLag+1),0)</f>
        <v>0</v>
      </c>
      <c r="K109" s="93" t="n">
        <f aca="false">IF(K39-RBFLag&gt;=1,INDEX($C$59:$W$59,1,K39-RBFLag+1),0)</f>
        <v>0</v>
      </c>
      <c r="L109" s="93" t="n">
        <f aca="false">IF(L39-RBFLag&gt;=1,INDEX($C$59:$W$59,1,L39-RBFLag+1),0)</f>
        <v>0</v>
      </c>
      <c r="M109" s="93" t="n">
        <f aca="false">IF(M39-RBFLag&gt;=1,INDEX($C$59:$W$59,1,M39-RBFLag+1),0)</f>
        <v>0</v>
      </c>
      <c r="N109" s="93" t="n">
        <f aca="false">IF(N39-RBFLag&gt;=1,INDEX($C$59:$W$59,1,N39-RBFLag+1),0)</f>
        <v>0</v>
      </c>
      <c r="O109" s="93" t="n">
        <f aca="false">IF(O39-RBFLag&gt;=1,INDEX($C$59:$W$59,1,O39-RBFLag+1),0)</f>
        <v>0</v>
      </c>
      <c r="P109" s="93" t="n">
        <f aca="false">IF(P39-RBFLag&gt;=1,INDEX($C$59:$W$59,1,P39-RBFLag+1),0)</f>
        <v>0</v>
      </c>
      <c r="Q109" s="93" t="n">
        <f aca="false">IF(Q39-RBFLag&gt;=1,INDEX($C$59:$W$59,1,Q39-RBFLag+1),0)</f>
        <v>0</v>
      </c>
      <c r="R109" s="93" t="n">
        <f aca="false">IF(R39-RBFLag&gt;=1,INDEX($C$59:$W$59,1,R39-RBFLag+1),0)</f>
        <v>0</v>
      </c>
      <c r="S109" s="93" t="n">
        <f aca="false">IF(S39-RBFLag&gt;=1,INDEX($C$59:$W$59,1,S39-RBFLag+1),0)</f>
        <v>0</v>
      </c>
      <c r="T109" s="93" t="n">
        <f aca="false">IF(T39-RBFLag&gt;=1,INDEX($C$59:$W$59,1,T39-RBFLag+1),0)</f>
        <v>0</v>
      </c>
      <c r="U109" s="93" t="n">
        <f aca="false">IF(U39-RBFLag&gt;=1,INDEX($C$59:$W$59,1,U39-RBFLag+1),0)</f>
        <v>0</v>
      </c>
      <c r="V109" s="93" t="n">
        <f aca="false">IF(V39-RBFLag&gt;=1,INDEX($C$59:$W$59,1,V39-RBFLag+1),0)</f>
        <v>0</v>
      </c>
      <c r="W109" s="93" t="n">
        <f aca="false">IF(W39-RBFLag&gt;=1,INDEX($C$59:$W$59,1,W39-RBFLag+1),0)</f>
        <v>0</v>
      </c>
    </row>
    <row r="111" customFormat="false" ht="15" hidden="false" customHeight="false" outlineLevel="0" collapsed="false">
      <c r="A111" s="9" t="s">
        <v>453</v>
      </c>
      <c r="B111" s="10"/>
      <c r="C111" s="10"/>
      <c r="D111" s="10"/>
      <c r="E111" s="10"/>
      <c r="F111" s="10"/>
      <c r="G111" s="10"/>
      <c r="H111" s="10"/>
      <c r="I111" s="10"/>
      <c r="J111" s="10"/>
      <c r="K111" s="10"/>
      <c r="L111" s="10"/>
      <c r="M111" s="10"/>
      <c r="N111" s="10"/>
      <c r="O111" s="10"/>
      <c r="P111" s="10"/>
      <c r="Q111" s="10"/>
      <c r="R111" s="10"/>
      <c r="S111" s="10"/>
      <c r="T111" s="10"/>
      <c r="U111" s="10"/>
      <c r="V111" s="10"/>
      <c r="W111" s="10"/>
    </row>
    <row r="112" customFormat="false" ht="15" hidden="false" customHeight="false" outlineLevel="0" collapsed="false">
      <c r="A112" s="11" t="s">
        <v>454</v>
      </c>
      <c r="C112" s="95" t="n">
        <v>0</v>
      </c>
      <c r="D112" s="95" t="n">
        <f aca="false">C116</f>
        <v>112546.829385741</v>
      </c>
      <c r="E112" s="95" t="n">
        <f aca="false">D116</f>
        <v>112546.829385741</v>
      </c>
      <c r="F112" s="95" t="n">
        <f aca="false">E116</f>
        <v>112546.829385741</v>
      </c>
      <c r="G112" s="95" t="n">
        <f aca="false">F116</f>
        <v>102705.282458945</v>
      </c>
      <c r="H112" s="95" t="n">
        <f aca="false">G116</f>
        <v>91879.5808394692</v>
      </c>
      <c r="I112" s="95" t="n">
        <f aca="false">H116</f>
        <v>79971.3090580457</v>
      </c>
      <c r="J112" s="95" t="n">
        <f aca="false">I116</f>
        <v>66872.2100984798</v>
      </c>
      <c r="K112" s="95" t="n">
        <f aca="false">J116</f>
        <v>52463.2012429573</v>
      </c>
      <c r="L112" s="95" t="n">
        <f aca="false">K116</f>
        <v>36613.2915018826</v>
      </c>
      <c r="M112" s="95" t="n">
        <f aca="false">L116</f>
        <v>19178.3907867004</v>
      </c>
      <c r="N112" s="95" t="n">
        <f aca="false">M116</f>
        <v>0</v>
      </c>
      <c r="O112" s="95" t="n">
        <f aca="false">N116</f>
        <v>0</v>
      </c>
      <c r="P112" s="95" t="n">
        <f aca="false">O116</f>
        <v>0</v>
      </c>
      <c r="Q112" s="95" t="n">
        <f aca="false">P116</f>
        <v>0</v>
      </c>
      <c r="R112" s="95" t="n">
        <f aca="false">Q116</f>
        <v>0</v>
      </c>
      <c r="S112" s="95" t="n">
        <f aca="false">R116</f>
        <v>0</v>
      </c>
      <c r="T112" s="95" t="n">
        <f aca="false">S116</f>
        <v>0</v>
      </c>
      <c r="U112" s="95" t="n">
        <f aca="false">T116</f>
        <v>0</v>
      </c>
      <c r="V112" s="95" t="n">
        <f aca="false">U116</f>
        <v>0</v>
      </c>
      <c r="W112" s="95" t="n">
        <f aca="false">V116</f>
        <v>0</v>
      </c>
    </row>
    <row r="113" customFormat="false" ht="15" hidden="false" customHeight="false" outlineLevel="0" collapsed="false">
      <c r="A113" s="11" t="s">
        <v>455</v>
      </c>
      <c r="B113" s="66" t="n">
        <f aca="false">SUM(C113:W113)</f>
        <v>112546.829385741</v>
      </c>
      <c r="C113" s="95" t="n">
        <f aca="false">S_Coll_Lo!$B$16</f>
        <v>112546.829385741</v>
      </c>
      <c r="D113" s="95" t="n">
        <f aca="false">0</f>
        <v>0</v>
      </c>
      <c r="E113" s="95" t="n">
        <f aca="false">0</f>
        <v>0</v>
      </c>
      <c r="F113" s="95" t="n">
        <f aca="false">0</f>
        <v>0</v>
      </c>
      <c r="G113" s="95" t="n">
        <f aca="false">0</f>
        <v>0</v>
      </c>
      <c r="H113" s="95" t="n">
        <f aca="false">0</f>
        <v>0</v>
      </c>
      <c r="I113" s="95" t="n">
        <f aca="false">0</f>
        <v>0</v>
      </c>
      <c r="J113" s="95" t="n">
        <f aca="false">0</f>
        <v>0</v>
      </c>
      <c r="K113" s="95" t="n">
        <f aca="false">0</f>
        <v>0</v>
      </c>
      <c r="L113" s="95" t="n">
        <f aca="false">0</f>
        <v>0</v>
      </c>
      <c r="M113" s="95" t="n">
        <f aca="false">0</f>
        <v>0</v>
      </c>
      <c r="N113" s="95" t="n">
        <f aca="false">0</f>
        <v>0</v>
      </c>
      <c r="O113" s="95" t="n">
        <f aca="false">0</f>
        <v>0</v>
      </c>
      <c r="P113" s="95" t="n">
        <f aca="false">0</f>
        <v>0</v>
      </c>
      <c r="Q113" s="95" t="n">
        <f aca="false">0</f>
        <v>0</v>
      </c>
      <c r="R113" s="95" t="n">
        <f aca="false">0</f>
        <v>0</v>
      </c>
      <c r="S113" s="95" t="n">
        <f aca="false">0</f>
        <v>0</v>
      </c>
      <c r="T113" s="95" t="n">
        <f aca="false">0</f>
        <v>0</v>
      </c>
      <c r="U113" s="95" t="n">
        <f aca="false">0</f>
        <v>0</v>
      </c>
      <c r="V113" s="95" t="n">
        <f aca="false">0</f>
        <v>0</v>
      </c>
      <c r="W113" s="95" t="n">
        <f aca="false">0</f>
        <v>0</v>
      </c>
    </row>
    <row r="114" customFormat="false" ht="15" hidden="false" customHeight="false" outlineLevel="0" collapsed="false">
      <c r="A114" s="11" t="s">
        <v>456</v>
      </c>
      <c r="B114" s="66" t="n">
        <f aca="false">SUM(C114:W114)</f>
        <v>78732.3754143705</v>
      </c>
      <c r="C114" s="95" t="n">
        <v>0</v>
      </c>
      <c r="D114" s="95" t="n">
        <f aca="false">D112*SenRate*$B$11</f>
        <v>11254.6829385742</v>
      </c>
      <c r="E114" s="95" t="n">
        <f aca="false">E112*SenRate*$B$11</f>
        <v>11254.6829385742</v>
      </c>
      <c r="F114" s="95" t="n">
        <f aca="false">F112*SenRate*$B$11</f>
        <v>11254.6829385742</v>
      </c>
      <c r="G114" s="95" t="n">
        <f aca="false">G112*SenRate*$B$11</f>
        <v>10270.5282458945</v>
      </c>
      <c r="H114" s="95" t="n">
        <f aca="false">H112*SenRate*$B$11</f>
        <v>9187.95808394693</v>
      </c>
      <c r="I114" s="95" t="n">
        <f aca="false">I112*SenRate*$B$11</f>
        <v>7997.13090580457</v>
      </c>
      <c r="J114" s="95" t="n">
        <f aca="false">J112*SenRate*$B$11</f>
        <v>6687.22100984798</v>
      </c>
      <c r="K114" s="95" t="n">
        <f aca="false">K112*SenRate*$B$11</f>
        <v>5246.32012429573</v>
      </c>
      <c r="L114" s="95" t="n">
        <f aca="false">L112*SenRate*$B$11</f>
        <v>3661.32915018826</v>
      </c>
      <c r="M114" s="95" t="n">
        <f aca="false">M112*SenRate*$B$11</f>
        <v>1917.83907867004</v>
      </c>
      <c r="N114" s="95" t="n">
        <f aca="false">N112*SenRate*$B$11</f>
        <v>0</v>
      </c>
      <c r="O114" s="95" t="n">
        <f aca="false">O112*SenRate*$B$11</f>
        <v>0</v>
      </c>
      <c r="P114" s="95" t="n">
        <f aca="false">P112*SenRate*$B$11</f>
        <v>0</v>
      </c>
      <c r="Q114" s="95" t="n">
        <f aca="false">Q112*SenRate*$B$11</f>
        <v>0</v>
      </c>
      <c r="R114" s="95" t="n">
        <f aca="false">R112*SenRate*$B$11</f>
        <v>0</v>
      </c>
      <c r="S114" s="95" t="n">
        <f aca="false">S112*SenRate*$B$11</f>
        <v>0</v>
      </c>
      <c r="T114" s="95" t="n">
        <f aca="false">T112*SenRate*$B$11</f>
        <v>0</v>
      </c>
      <c r="U114" s="95" t="n">
        <f aca="false">U112*SenRate*$B$11</f>
        <v>0</v>
      </c>
      <c r="V114" s="95" t="n">
        <f aca="false">V112*SenRate*$B$11</f>
        <v>0</v>
      </c>
      <c r="W114" s="95" t="n">
        <f aca="false">W112*SenRate*$B$11</f>
        <v>0</v>
      </c>
    </row>
    <row r="115" customFormat="false" ht="15" hidden="false" customHeight="false" outlineLevel="0" collapsed="false">
      <c r="A115" s="11" t="s">
        <v>457</v>
      </c>
      <c r="B115" s="66" t="n">
        <f aca="false">SUM(C115:W115)</f>
        <v>112546.829385742</v>
      </c>
      <c r="C115" s="95" t="n">
        <v>0</v>
      </c>
      <c r="D115" s="95" t="n">
        <f aca="false">IF(AND(D39&gt;SenGrace,D39&lt;=SenTenor),PMT(SenRate*$B$11,SenTenor-SenGrace,-S_Coll_Lo!$B$16)-D114,0)</f>
        <v>0</v>
      </c>
      <c r="E115" s="95" t="n">
        <f aca="false">IF(AND(E39&gt;SenGrace,E39&lt;=SenTenor),PMT(SenRate*$B$11,SenTenor-SenGrace,-S_Coll_Lo!$B$16)-E114,0)</f>
        <v>0</v>
      </c>
      <c r="F115" s="95" t="n">
        <f aca="false">IF(AND(F39&gt;SenGrace,F39&lt;=SenTenor),PMT(SenRate*$B$11,SenTenor-SenGrace,-S_Coll_Lo!$B$16)-F114,0)</f>
        <v>9841.54692679631</v>
      </c>
      <c r="G115" s="95" t="n">
        <f aca="false">IF(AND(G39&gt;SenGrace,G39&lt;=SenTenor),PMT(SenRate*$B$11,SenTenor-SenGrace,-S_Coll_Lo!$B$16)-G114,0)</f>
        <v>10825.7016194759</v>
      </c>
      <c r="H115" s="95" t="n">
        <f aca="false">IF(AND(H39&gt;SenGrace,H39&lt;=SenTenor),PMT(SenRate*$B$11,SenTenor-SenGrace,-S_Coll_Lo!$B$16)-H114,0)</f>
        <v>11908.2717814235</v>
      </c>
      <c r="I115" s="95" t="n">
        <f aca="false">IF(AND(I39&gt;SenGrace,I39&lt;=SenTenor),PMT(SenRate*$B$11,SenTenor-SenGrace,-S_Coll_Lo!$B$16)-I114,0)</f>
        <v>13099.0989595659</v>
      </c>
      <c r="J115" s="95" t="n">
        <f aca="false">IF(AND(J39&gt;SenGrace,J39&lt;=SenTenor),PMT(SenRate*$B$11,SenTenor-SenGrace,-S_Coll_Lo!$B$16)-J114,0)</f>
        <v>14409.0088555225</v>
      </c>
      <c r="K115" s="95" t="n">
        <f aca="false">IF(AND(K39&gt;SenGrace,K39&lt;=SenTenor),PMT(SenRate*$B$11,SenTenor-SenGrace,-S_Coll_Lo!$B$16)-K114,0)</f>
        <v>15849.9097410747</v>
      </c>
      <c r="L115" s="95" t="n">
        <f aca="false">IF(AND(L39&gt;SenGrace,L39&lt;=SenTenor),PMT(SenRate*$B$11,SenTenor-SenGrace,-S_Coll_Lo!$B$16)-L114,0)</f>
        <v>17434.9007151822</v>
      </c>
      <c r="M115" s="95" t="n">
        <f aca="false">IF(AND(M39&gt;SenGrace,M39&lt;=SenTenor),PMT(SenRate*$B$11,SenTenor-SenGrace,-S_Coll_Lo!$B$16)-M114,0)</f>
        <v>19178.3907867004</v>
      </c>
      <c r="N115" s="95" t="n">
        <f aca="false">IF(AND(N39&gt;SenGrace,N39&lt;=SenTenor),PMT(SenRate*$B$11,SenTenor-SenGrace,-S_Coll_Lo!$B$16)-N114,0)</f>
        <v>0</v>
      </c>
      <c r="O115" s="95" t="n">
        <f aca="false">IF(AND(O39&gt;SenGrace,O39&lt;=SenTenor),PMT(SenRate*$B$11,SenTenor-SenGrace,-S_Coll_Lo!$B$16)-O114,0)</f>
        <v>0</v>
      </c>
      <c r="P115" s="95" t="n">
        <f aca="false">IF(AND(P39&gt;SenGrace,P39&lt;=SenTenor),PMT(SenRate*$B$11,SenTenor-SenGrace,-S_Coll_Lo!$B$16)-P114,0)</f>
        <v>0</v>
      </c>
      <c r="Q115" s="95" t="n">
        <f aca="false">IF(AND(Q39&gt;SenGrace,Q39&lt;=SenTenor),PMT(SenRate*$B$11,SenTenor-SenGrace,-S_Coll_Lo!$B$16)-Q114,0)</f>
        <v>0</v>
      </c>
      <c r="R115" s="95" t="n">
        <f aca="false">IF(AND(R39&gt;SenGrace,R39&lt;=SenTenor),PMT(SenRate*$B$11,SenTenor-SenGrace,-S_Coll_Lo!$B$16)-R114,0)</f>
        <v>0</v>
      </c>
      <c r="S115" s="95" t="n">
        <f aca="false">IF(AND(S39&gt;SenGrace,S39&lt;=SenTenor),PMT(SenRate*$B$11,SenTenor-SenGrace,-S_Coll_Lo!$B$16)-S114,0)</f>
        <v>0</v>
      </c>
      <c r="T115" s="95" t="n">
        <f aca="false">IF(AND(T39&gt;SenGrace,T39&lt;=SenTenor),PMT(SenRate*$B$11,SenTenor-SenGrace,-S_Coll_Lo!$B$16)-T114,0)</f>
        <v>0</v>
      </c>
      <c r="U115" s="95" t="n">
        <f aca="false">IF(AND(U39&gt;SenGrace,U39&lt;=SenTenor),PMT(SenRate*$B$11,SenTenor-SenGrace,-S_Coll_Lo!$B$16)-U114,0)</f>
        <v>0</v>
      </c>
      <c r="V115" s="95" t="n">
        <f aca="false">IF(AND(V39&gt;SenGrace,V39&lt;=SenTenor),PMT(SenRate*$B$11,SenTenor-SenGrace,-S_Coll_Lo!$B$16)-V114,0)</f>
        <v>0</v>
      </c>
      <c r="W115" s="95" t="n">
        <f aca="false">IF(AND(W39&gt;SenGrace,W39&lt;=SenTenor),PMT(SenRate*$B$11,SenTenor-SenGrace,-S_Coll_Lo!$B$16)-W114,0)</f>
        <v>0</v>
      </c>
    </row>
    <row r="116" customFormat="false" ht="15" hidden="false" customHeight="false" outlineLevel="0" collapsed="false">
      <c r="A116" s="11" t="s">
        <v>458</v>
      </c>
      <c r="C116" s="95" t="n">
        <f aca="false">0+C113-0</f>
        <v>112546.829385741</v>
      </c>
      <c r="D116" s="95" t="n">
        <f aca="false">D112+D113-D115</f>
        <v>112546.829385741</v>
      </c>
      <c r="E116" s="95" t="n">
        <f aca="false">E112+E113-E115</f>
        <v>112546.829385741</v>
      </c>
      <c r="F116" s="95" t="n">
        <f aca="false">F112+F113-F115</f>
        <v>102705.282458945</v>
      </c>
      <c r="G116" s="95" t="n">
        <f aca="false">G112+G113-G115</f>
        <v>91879.5808394692</v>
      </c>
      <c r="H116" s="95" t="n">
        <f aca="false">H112+H113-H115</f>
        <v>79971.3090580457</v>
      </c>
      <c r="I116" s="95" t="n">
        <f aca="false">I112+I113-I115</f>
        <v>66872.2100984798</v>
      </c>
      <c r="J116" s="95" t="n">
        <f aca="false">J112+J113-J115</f>
        <v>52463.2012429573</v>
      </c>
      <c r="K116" s="95" t="n">
        <f aca="false">K112+K113-K115</f>
        <v>36613.2915018826</v>
      </c>
      <c r="L116" s="95" t="n">
        <f aca="false">L112+L113-L115</f>
        <v>19178.3907867004</v>
      </c>
      <c r="M116" s="95" t="n">
        <f aca="false">M112+M113-M115</f>
        <v>0</v>
      </c>
      <c r="N116" s="95" t="n">
        <f aca="false">N112+N113-N115</f>
        <v>0</v>
      </c>
      <c r="O116" s="95" t="n">
        <f aca="false">O112+O113-O115</f>
        <v>0</v>
      </c>
      <c r="P116" s="95" t="n">
        <f aca="false">P112+P113-P115</f>
        <v>0</v>
      </c>
      <c r="Q116" s="95" t="n">
        <f aca="false">Q112+Q113-Q115</f>
        <v>0</v>
      </c>
      <c r="R116" s="95" t="n">
        <f aca="false">R112+R113-R115</f>
        <v>0</v>
      </c>
      <c r="S116" s="95" t="n">
        <f aca="false">S112+S113-S115</f>
        <v>0</v>
      </c>
      <c r="T116" s="95" t="n">
        <f aca="false">T112+T113-T115</f>
        <v>0</v>
      </c>
      <c r="U116" s="95" t="n">
        <f aca="false">U112+U113-U115</f>
        <v>0</v>
      </c>
      <c r="V116" s="95" t="n">
        <f aca="false">V112+V113-V115</f>
        <v>0</v>
      </c>
      <c r="W116" s="95" t="n">
        <f aca="false">W112+W113-W115</f>
        <v>0</v>
      </c>
    </row>
    <row r="118" customFormat="false" ht="15" hidden="false" customHeight="false" outlineLevel="0" collapsed="false">
      <c r="A118" s="9" t="s">
        <v>459</v>
      </c>
      <c r="B118" s="10"/>
      <c r="C118" s="10"/>
      <c r="D118" s="10"/>
      <c r="E118" s="10"/>
      <c r="F118" s="10"/>
      <c r="G118" s="10"/>
      <c r="H118" s="10"/>
      <c r="I118" s="10"/>
      <c r="J118" s="10"/>
      <c r="K118" s="10"/>
      <c r="L118" s="10"/>
      <c r="M118" s="10"/>
      <c r="N118" s="10"/>
      <c r="O118" s="10"/>
      <c r="P118" s="10"/>
      <c r="Q118" s="10"/>
      <c r="R118" s="10"/>
      <c r="S118" s="10"/>
      <c r="T118" s="10"/>
      <c r="U118" s="10"/>
      <c r="V118" s="10"/>
      <c r="W118" s="10"/>
    </row>
    <row r="119" customFormat="false" ht="15" hidden="false" customHeight="false" outlineLevel="0" collapsed="false">
      <c r="A119" s="11" t="s">
        <v>454</v>
      </c>
      <c r="C119" s="95" t="n">
        <v>0</v>
      </c>
      <c r="D119" s="95" t="n">
        <f aca="false">C123</f>
        <v>112546.829385741</v>
      </c>
      <c r="E119" s="95" t="n">
        <f aca="false">D123</f>
        <v>112546.829385741</v>
      </c>
      <c r="F119" s="95" t="n">
        <f aca="false">E123</f>
        <v>112546.829385741</v>
      </c>
      <c r="G119" s="95" t="n">
        <f aca="false">F123</f>
        <v>112546.829385741</v>
      </c>
      <c r="H119" s="95" t="n">
        <f aca="false">G123</f>
        <v>112546.829385741</v>
      </c>
      <c r="I119" s="95" t="n">
        <f aca="false">H123</f>
        <v>112546.829385741</v>
      </c>
      <c r="J119" s="95" t="n">
        <f aca="false">I123</f>
        <v>102729.312441619</v>
      </c>
      <c r="K119" s="95" t="n">
        <f aca="false">J123</f>
        <v>92617.2699891724</v>
      </c>
      <c r="L119" s="95" t="n">
        <f aca="false">K123</f>
        <v>82201.8662631527</v>
      </c>
      <c r="M119" s="95" t="n">
        <f aca="false">L123</f>
        <v>71474.0004253523</v>
      </c>
      <c r="N119" s="95" t="n">
        <f aca="false">M123</f>
        <v>60424.2986124179</v>
      </c>
      <c r="O119" s="95" t="n">
        <f aca="false">N123</f>
        <v>49043.1057450955</v>
      </c>
      <c r="P119" s="95" t="n">
        <f aca="false">O123</f>
        <v>37320.4770917535</v>
      </c>
      <c r="Q119" s="95" t="n">
        <f aca="false">P123</f>
        <v>25246.1695788111</v>
      </c>
      <c r="R119" s="95" t="n">
        <f aca="false">Q123</f>
        <v>12809.6328404805</v>
      </c>
      <c r="S119" s="95" t="n">
        <f aca="false">R123</f>
        <v>0</v>
      </c>
      <c r="T119" s="95" t="n">
        <f aca="false">S123</f>
        <v>0</v>
      </c>
      <c r="U119" s="95" t="n">
        <f aca="false">T123</f>
        <v>0</v>
      </c>
      <c r="V119" s="95" t="n">
        <f aca="false">U123</f>
        <v>0</v>
      </c>
      <c r="W119" s="95" t="n">
        <f aca="false">V123</f>
        <v>0</v>
      </c>
    </row>
    <row r="120" customFormat="false" ht="15" hidden="false" customHeight="false" outlineLevel="0" collapsed="false">
      <c r="A120" s="11" t="s">
        <v>455</v>
      </c>
      <c r="B120" s="66" t="n">
        <f aca="false">SUM(C120:W120)</f>
        <v>112546.829385741</v>
      </c>
      <c r="C120" s="95" t="n">
        <f aca="false">S_Coll_Lo!$B$17</f>
        <v>112546.829385741</v>
      </c>
      <c r="D120" s="95" t="n">
        <f aca="false">0</f>
        <v>0</v>
      </c>
      <c r="E120" s="95" t="n">
        <f aca="false">0</f>
        <v>0</v>
      </c>
      <c r="F120" s="95" t="n">
        <f aca="false">0</f>
        <v>0</v>
      </c>
      <c r="G120" s="95" t="n">
        <f aca="false">0</f>
        <v>0</v>
      </c>
      <c r="H120" s="95" t="n">
        <f aca="false">0</f>
        <v>0</v>
      </c>
      <c r="I120" s="95" t="n">
        <f aca="false">0</f>
        <v>0</v>
      </c>
      <c r="J120" s="95" t="n">
        <f aca="false">0</f>
        <v>0</v>
      </c>
      <c r="K120" s="95" t="n">
        <f aca="false">0</f>
        <v>0</v>
      </c>
      <c r="L120" s="95" t="n">
        <f aca="false">0</f>
        <v>0</v>
      </c>
      <c r="M120" s="95" t="n">
        <f aca="false">0</f>
        <v>0</v>
      </c>
      <c r="N120" s="95" t="n">
        <f aca="false">0</f>
        <v>0</v>
      </c>
      <c r="O120" s="95" t="n">
        <f aca="false">0</f>
        <v>0</v>
      </c>
      <c r="P120" s="95" t="n">
        <f aca="false">0</f>
        <v>0</v>
      </c>
      <c r="Q120" s="95" t="n">
        <f aca="false">0</f>
        <v>0</v>
      </c>
      <c r="R120" s="95" t="n">
        <f aca="false">0</f>
        <v>0</v>
      </c>
      <c r="S120" s="95" t="n">
        <f aca="false">0</f>
        <v>0</v>
      </c>
      <c r="T120" s="95" t="n">
        <f aca="false">0</f>
        <v>0</v>
      </c>
      <c r="U120" s="95" t="n">
        <f aca="false">0</f>
        <v>0</v>
      </c>
      <c r="V120" s="95" t="n">
        <f aca="false">0</f>
        <v>0</v>
      </c>
      <c r="W120" s="95" t="n">
        <f aca="false">0</f>
        <v>0</v>
      </c>
    </row>
    <row r="121" customFormat="false" ht="15" hidden="false" customHeight="false" outlineLevel="0" collapsed="false">
      <c r="A121" s="11" t="s">
        <v>456</v>
      </c>
      <c r="B121" s="66" t="n">
        <f aca="false">SUM(C121:W121)</f>
        <v>36274.4132790691</v>
      </c>
      <c r="C121" s="95" t="n">
        <v>0</v>
      </c>
      <c r="D121" s="95" t="n">
        <f aca="false">D119*ConRate*$B$11</f>
        <v>3376.40488157224</v>
      </c>
      <c r="E121" s="95" t="n">
        <f aca="false">E119*ConRate*$B$11</f>
        <v>3376.40488157224</v>
      </c>
      <c r="F121" s="95" t="n">
        <f aca="false">F119*ConRate*$B$11</f>
        <v>3376.40488157224</v>
      </c>
      <c r="G121" s="95" t="n">
        <f aca="false">G119*ConRate*$B$11</f>
        <v>3376.40488157224</v>
      </c>
      <c r="H121" s="95" t="n">
        <f aca="false">H119*ConRate*$B$11</f>
        <v>3376.40488157224</v>
      </c>
      <c r="I121" s="95" t="n">
        <f aca="false">I119*ConRate*$B$11</f>
        <v>3376.40488157224</v>
      </c>
      <c r="J121" s="95" t="n">
        <f aca="false">J119*ConRate*$B$11</f>
        <v>3081.87937324856</v>
      </c>
      <c r="K121" s="95" t="n">
        <f aca="false">K119*ConRate*$B$11</f>
        <v>2778.51809967517</v>
      </c>
      <c r="L121" s="95" t="n">
        <f aca="false">L119*ConRate*$B$11</f>
        <v>2466.05598789458</v>
      </c>
      <c r="M121" s="95" t="n">
        <f aca="false">M119*ConRate*$B$11</f>
        <v>2144.22001276057</v>
      </c>
      <c r="N121" s="95" t="n">
        <f aca="false">N119*ConRate*$B$11</f>
        <v>1812.72895837254</v>
      </c>
      <c r="O121" s="95" t="n">
        <f aca="false">O119*ConRate*$B$11</f>
        <v>1471.29317235287</v>
      </c>
      <c r="P121" s="95" t="n">
        <f aca="false">P119*ConRate*$B$11</f>
        <v>1119.6143127526</v>
      </c>
      <c r="Q121" s="95" t="n">
        <f aca="false">Q119*ConRate*$B$11</f>
        <v>757.385087364333</v>
      </c>
      <c r="R121" s="95" t="n">
        <f aca="false">R119*ConRate*$B$11</f>
        <v>384.288985214415</v>
      </c>
      <c r="S121" s="95" t="n">
        <f aca="false">S119*ConRate*$B$11</f>
        <v>0</v>
      </c>
      <c r="T121" s="95" t="n">
        <f aca="false">T119*ConRate*$B$11</f>
        <v>0</v>
      </c>
      <c r="U121" s="95" t="n">
        <f aca="false">U119*ConRate*$B$11</f>
        <v>0</v>
      </c>
      <c r="V121" s="95" t="n">
        <f aca="false">V119*ConRate*$B$11</f>
        <v>0</v>
      </c>
      <c r="W121" s="95" t="n">
        <f aca="false">W119*ConRate*$B$11</f>
        <v>0</v>
      </c>
    </row>
    <row r="122" customFormat="false" ht="15" hidden="false" customHeight="false" outlineLevel="0" collapsed="false">
      <c r="A122" s="11" t="s">
        <v>457</v>
      </c>
      <c r="B122" s="66" t="n">
        <f aca="false">SUM(C122:W122)</f>
        <v>112546.829385742</v>
      </c>
      <c r="C122" s="95" t="n">
        <v>0</v>
      </c>
      <c r="D122" s="95" t="n">
        <f aca="false">IF(AND(D39&gt;ConGrace,D39&lt;=ConTenor),PMT(ConRate*$B$11,ConTenor-ConGrace,-S_Coll_Lo!$B$17)-D121,0)</f>
        <v>0</v>
      </c>
      <c r="E122" s="95" t="n">
        <f aca="false">IF(AND(E39&gt;ConGrace,E39&lt;=ConTenor),PMT(ConRate*$B$11,ConTenor-ConGrace,-S_Coll_Lo!$B$17)-E121,0)</f>
        <v>0</v>
      </c>
      <c r="F122" s="95" t="n">
        <f aca="false">IF(AND(F39&gt;ConGrace,F39&lt;=ConTenor),PMT(ConRate*$B$11,ConTenor-ConGrace,-S_Coll_Lo!$B$17)-F121,0)</f>
        <v>0</v>
      </c>
      <c r="G122" s="95" t="n">
        <f aca="false">IF(AND(G39&gt;ConGrace,G39&lt;=ConTenor),PMT(ConRate*$B$11,ConTenor-ConGrace,-S_Coll_Lo!$B$17)-G121,0)</f>
        <v>0</v>
      </c>
      <c r="H122" s="95" t="n">
        <f aca="false">IF(AND(H39&gt;ConGrace,H39&lt;=ConTenor),PMT(ConRate*$B$11,ConTenor-ConGrace,-S_Coll_Lo!$B$17)-H121,0)</f>
        <v>0</v>
      </c>
      <c r="I122" s="95" t="n">
        <f aca="false">IF(AND(I39&gt;ConGrace,I39&lt;=ConTenor),PMT(ConRate*$B$11,ConTenor-ConGrace,-S_Coll_Lo!$B$17)-I121,0)</f>
        <v>9817.51694412269</v>
      </c>
      <c r="J122" s="95" t="n">
        <f aca="false">IF(AND(J39&gt;ConGrace,J39&lt;=ConTenor),PMT(ConRate*$B$11,ConTenor-ConGrace,-S_Coll_Lo!$B$17)-J121,0)</f>
        <v>10112.0424524464</v>
      </c>
      <c r="K122" s="95" t="n">
        <f aca="false">IF(AND(K39&gt;ConGrace,K39&lt;=ConTenor),PMT(ConRate*$B$11,ConTenor-ConGrace,-S_Coll_Lo!$B$17)-K121,0)</f>
        <v>10415.4037260198</v>
      </c>
      <c r="L122" s="95" t="n">
        <f aca="false">IF(AND(L39&gt;ConGrace,L39&lt;=ConTenor),PMT(ConRate*$B$11,ConTenor-ConGrace,-S_Coll_Lo!$B$17)-L121,0)</f>
        <v>10727.8658378004</v>
      </c>
      <c r="M122" s="95" t="n">
        <f aca="false">IF(AND(M39&gt;ConGrace,M39&lt;=ConTenor),PMT(ConRate*$B$11,ConTenor-ConGrace,-S_Coll_Lo!$B$17)-M121,0)</f>
        <v>11049.7018129344</v>
      </c>
      <c r="N122" s="95" t="n">
        <f aca="false">IF(AND(N39&gt;ConGrace,N39&lt;=ConTenor),PMT(ConRate*$B$11,ConTenor-ConGrace,-S_Coll_Lo!$B$17)-N121,0)</f>
        <v>11381.1928673224</v>
      </c>
      <c r="O122" s="95" t="n">
        <f aca="false">IF(AND(O39&gt;ConGrace,O39&lt;=ConTenor),PMT(ConRate*$B$11,ConTenor-ConGrace,-S_Coll_Lo!$B$17)-O121,0)</f>
        <v>11722.6286533421</v>
      </c>
      <c r="P122" s="95" t="n">
        <f aca="false">IF(AND(P39&gt;ConGrace,P39&lt;=ConTenor),PMT(ConRate*$B$11,ConTenor-ConGrace,-S_Coll_Lo!$B$17)-P121,0)</f>
        <v>12074.3075129423</v>
      </c>
      <c r="Q122" s="95" t="n">
        <f aca="false">IF(AND(Q39&gt;ConGrace,Q39&lt;=ConTenor),PMT(ConRate*$B$11,ConTenor-ConGrace,-S_Coll_Lo!$B$17)-Q121,0)</f>
        <v>12436.5367383306</v>
      </c>
      <c r="R122" s="95" t="n">
        <f aca="false">IF(AND(R39&gt;ConGrace,R39&lt;=ConTenor),PMT(ConRate*$B$11,ConTenor-ConGrace,-S_Coll_Lo!$B$17)-R121,0)</f>
        <v>12809.6328404805</v>
      </c>
      <c r="S122" s="95" t="n">
        <f aca="false">IF(AND(S39&gt;ConGrace,S39&lt;=ConTenor),PMT(ConRate*$B$11,ConTenor-ConGrace,-S_Coll_Lo!$B$17)-S121,0)</f>
        <v>0</v>
      </c>
      <c r="T122" s="95" t="n">
        <f aca="false">IF(AND(T39&gt;ConGrace,T39&lt;=ConTenor),PMT(ConRate*$B$11,ConTenor-ConGrace,-S_Coll_Lo!$B$17)-T121,0)</f>
        <v>0</v>
      </c>
      <c r="U122" s="95" t="n">
        <f aca="false">IF(AND(U39&gt;ConGrace,U39&lt;=ConTenor),PMT(ConRate*$B$11,ConTenor-ConGrace,-S_Coll_Lo!$B$17)-U121,0)</f>
        <v>0</v>
      </c>
      <c r="V122" s="95" t="n">
        <f aca="false">IF(AND(V39&gt;ConGrace,V39&lt;=ConTenor),PMT(ConRate*$B$11,ConTenor-ConGrace,-S_Coll_Lo!$B$17)-V121,0)</f>
        <v>0</v>
      </c>
      <c r="W122" s="95" t="n">
        <f aca="false">IF(AND(W39&gt;ConGrace,W39&lt;=ConTenor),PMT(ConRate*$B$11,ConTenor-ConGrace,-S_Coll_Lo!$B$17)-W121,0)</f>
        <v>0</v>
      </c>
    </row>
    <row r="123" customFormat="false" ht="15" hidden="false" customHeight="false" outlineLevel="0" collapsed="false">
      <c r="A123" s="11" t="s">
        <v>458</v>
      </c>
      <c r="C123" s="95" t="n">
        <f aca="false">0+C120-0</f>
        <v>112546.829385741</v>
      </c>
      <c r="D123" s="95" t="n">
        <f aca="false">D119+D120-D122</f>
        <v>112546.829385741</v>
      </c>
      <c r="E123" s="95" t="n">
        <f aca="false">E119+E120-E122</f>
        <v>112546.829385741</v>
      </c>
      <c r="F123" s="95" t="n">
        <f aca="false">F119+F120-F122</f>
        <v>112546.829385741</v>
      </c>
      <c r="G123" s="95" t="n">
        <f aca="false">G119+G120-G122</f>
        <v>112546.829385741</v>
      </c>
      <c r="H123" s="95" t="n">
        <f aca="false">H119+H120-H122</f>
        <v>112546.829385741</v>
      </c>
      <c r="I123" s="95" t="n">
        <f aca="false">I119+I120-I122</f>
        <v>102729.312441619</v>
      </c>
      <c r="J123" s="95" t="n">
        <f aca="false">J119+J120-J122</f>
        <v>92617.2699891724</v>
      </c>
      <c r="K123" s="95" t="n">
        <f aca="false">K119+K120-K122</f>
        <v>82201.8662631527</v>
      </c>
      <c r="L123" s="95" t="n">
        <f aca="false">L119+L120-L122</f>
        <v>71474.0004253523</v>
      </c>
      <c r="M123" s="95" t="n">
        <f aca="false">M119+M120-M122</f>
        <v>60424.2986124179</v>
      </c>
      <c r="N123" s="95" t="n">
        <f aca="false">N119+N120-N122</f>
        <v>49043.1057450955</v>
      </c>
      <c r="O123" s="95" t="n">
        <f aca="false">O119+O120-O122</f>
        <v>37320.4770917535</v>
      </c>
      <c r="P123" s="95" t="n">
        <f aca="false">P119+P120-P122</f>
        <v>25246.1695788111</v>
      </c>
      <c r="Q123" s="95" t="n">
        <f aca="false">Q119+Q120-Q122</f>
        <v>12809.6328404805</v>
      </c>
      <c r="R123" s="95" t="n">
        <f aca="false">R119+R120-R122</f>
        <v>0</v>
      </c>
      <c r="S123" s="95" t="n">
        <f aca="false">S119+S120-S122</f>
        <v>0</v>
      </c>
      <c r="T123" s="95" t="n">
        <f aca="false">T119+T120-T122</f>
        <v>0</v>
      </c>
      <c r="U123" s="95" t="n">
        <f aca="false">U119+U120-U122</f>
        <v>0</v>
      </c>
      <c r="V123" s="95" t="n">
        <f aca="false">V119+V120-V122</f>
        <v>0</v>
      </c>
      <c r="W123" s="95" t="n">
        <f aca="false">W119+W120-W122</f>
        <v>0</v>
      </c>
    </row>
    <row r="125" customFormat="false" ht="15" hidden="false" customHeight="false" outlineLevel="0" collapsed="false">
      <c r="A125" s="16" t="s">
        <v>460</v>
      </c>
      <c r="B125" s="66" t="n">
        <f aca="false">SUM(C125:W125)</f>
        <v>340100.447464923</v>
      </c>
      <c r="C125" s="31" t="n">
        <v>0</v>
      </c>
      <c r="D125" s="31" t="n">
        <f aca="false">D114+D115+D121+D122</f>
        <v>14631.0878201464</v>
      </c>
      <c r="E125" s="31" t="n">
        <f aca="false">E114+E115+E121+E122</f>
        <v>14631.0878201464</v>
      </c>
      <c r="F125" s="31" t="n">
        <f aca="false">F114+F115+F121+F122</f>
        <v>24472.6347469427</v>
      </c>
      <c r="G125" s="31" t="n">
        <f aca="false">G114+G115+G121+G122</f>
        <v>24472.6347469427</v>
      </c>
      <c r="H125" s="31" t="n">
        <f aca="false">H114+H115+H121+H122</f>
        <v>24472.6347469427</v>
      </c>
      <c r="I125" s="31" t="n">
        <f aca="false">I114+I115+I121+I122</f>
        <v>34290.1516910654</v>
      </c>
      <c r="J125" s="31" t="n">
        <f aca="false">J114+J115+J121+J122</f>
        <v>34290.1516910654</v>
      </c>
      <c r="K125" s="31" t="n">
        <f aca="false">K114+K115+K121+K122</f>
        <v>34290.1516910654</v>
      </c>
      <c r="L125" s="31" t="n">
        <f aca="false">L114+L115+L121+L122</f>
        <v>34290.1516910654</v>
      </c>
      <c r="M125" s="31" t="n">
        <f aca="false">M114+M115+M121+M122</f>
        <v>34290.1516910654</v>
      </c>
      <c r="N125" s="31" t="n">
        <f aca="false">N114+N115+N121+N122</f>
        <v>13193.9218256949</v>
      </c>
      <c r="O125" s="31" t="n">
        <f aca="false">O114+O115+O121+O122</f>
        <v>13193.9218256949</v>
      </c>
      <c r="P125" s="31" t="n">
        <f aca="false">P114+P115+P121+P122</f>
        <v>13193.9218256949</v>
      </c>
      <c r="Q125" s="31" t="n">
        <f aca="false">Q114+Q115+Q121+Q122</f>
        <v>13193.9218256949</v>
      </c>
      <c r="R125" s="31" t="n">
        <f aca="false">R114+R115+R121+R122</f>
        <v>13193.9218256949</v>
      </c>
      <c r="S125" s="31" t="n">
        <f aca="false">S114+S115+S121+S122</f>
        <v>0</v>
      </c>
      <c r="T125" s="31" t="n">
        <f aca="false">T114+T115+T121+T122</f>
        <v>0</v>
      </c>
      <c r="U125" s="31" t="n">
        <f aca="false">U114+U115+U121+U122</f>
        <v>0</v>
      </c>
      <c r="V125" s="31" t="n">
        <f aca="false">V114+V115+V121+V122</f>
        <v>0</v>
      </c>
      <c r="W125" s="31" t="n">
        <f aca="false">W114+W115+W121+W122</f>
        <v>0</v>
      </c>
    </row>
    <row r="126" customFormat="false" ht="15" hidden="false" customHeight="false" outlineLevel="0" collapsed="false">
      <c r="A126" s="11" t="s">
        <v>461</v>
      </c>
      <c r="C126" s="96" t="n">
        <v>0</v>
      </c>
      <c r="D126" s="96" t="n">
        <f aca="false">IF(D39&lt;=SenGrace,SenRate*$B$11,IF(D39&lt;=SenTenor,PMT(SenRate*$B$11,SenTenor-SenGrace,-1),0))</f>
        <v>0.1</v>
      </c>
      <c r="E126" s="96" t="n">
        <f aca="false">IF(E39&lt;=SenGrace,SenRate*$B$11,IF(E39&lt;=SenTenor,PMT(SenRate*$B$11,SenTenor-SenGrace,-1),0))</f>
        <v>0.1</v>
      </c>
      <c r="F126" s="96" t="n">
        <f aca="false">IF(F39&lt;=SenGrace,SenRate*$B$11,IF(F39&lt;=SenTenor,PMT(SenRate*$B$11,SenTenor-SenGrace,-1),0))</f>
        <v>0.187444017574813</v>
      </c>
      <c r="G126" s="96" t="n">
        <f aca="false">IF(G39&lt;=SenGrace,SenRate*$B$11,IF(G39&lt;=SenTenor,PMT(SenRate*$B$11,SenTenor-SenGrace,-1),0))</f>
        <v>0.187444017574813</v>
      </c>
      <c r="H126" s="96" t="n">
        <f aca="false">IF(H39&lt;=SenGrace,SenRate*$B$11,IF(H39&lt;=SenTenor,PMT(SenRate*$B$11,SenTenor-SenGrace,-1),0))</f>
        <v>0.187444017574813</v>
      </c>
      <c r="I126" s="96" t="n">
        <f aca="false">IF(I39&lt;=SenGrace,SenRate*$B$11,IF(I39&lt;=SenTenor,PMT(SenRate*$B$11,SenTenor-SenGrace,-1),0))</f>
        <v>0.187444017574813</v>
      </c>
      <c r="J126" s="96" t="n">
        <f aca="false">IF(J39&lt;=SenGrace,SenRate*$B$11,IF(J39&lt;=SenTenor,PMT(SenRate*$B$11,SenTenor-SenGrace,-1),0))</f>
        <v>0.187444017574813</v>
      </c>
      <c r="K126" s="96" t="n">
        <f aca="false">IF(K39&lt;=SenGrace,SenRate*$B$11,IF(K39&lt;=SenTenor,PMT(SenRate*$B$11,SenTenor-SenGrace,-1),0))</f>
        <v>0.187444017574813</v>
      </c>
      <c r="L126" s="96" t="n">
        <f aca="false">IF(L39&lt;=SenGrace,SenRate*$B$11,IF(L39&lt;=SenTenor,PMT(SenRate*$B$11,SenTenor-SenGrace,-1),0))</f>
        <v>0.187444017574813</v>
      </c>
      <c r="M126" s="96" t="n">
        <f aca="false">IF(M39&lt;=SenGrace,SenRate*$B$11,IF(M39&lt;=SenTenor,PMT(SenRate*$B$11,SenTenor-SenGrace,-1),0))</f>
        <v>0.187444017574813</v>
      </c>
      <c r="N126" s="96" t="n">
        <f aca="false">IF(N39&lt;=SenGrace,SenRate*$B$11,IF(N39&lt;=SenTenor,PMT(SenRate*$B$11,SenTenor-SenGrace,-1),0))</f>
        <v>0</v>
      </c>
      <c r="O126" s="96" t="n">
        <f aca="false">IF(O39&lt;=SenGrace,SenRate*$B$11,IF(O39&lt;=SenTenor,PMT(SenRate*$B$11,SenTenor-SenGrace,-1),0))</f>
        <v>0</v>
      </c>
      <c r="P126" s="96" t="n">
        <f aca="false">IF(P39&lt;=SenGrace,SenRate*$B$11,IF(P39&lt;=SenTenor,PMT(SenRate*$B$11,SenTenor-SenGrace,-1),0))</f>
        <v>0</v>
      </c>
      <c r="Q126" s="96" t="n">
        <f aca="false">IF(Q39&lt;=SenGrace,SenRate*$B$11,IF(Q39&lt;=SenTenor,PMT(SenRate*$B$11,SenTenor-SenGrace,-1),0))</f>
        <v>0</v>
      </c>
      <c r="R126" s="96" t="n">
        <f aca="false">IF(R39&lt;=SenGrace,SenRate*$B$11,IF(R39&lt;=SenTenor,PMT(SenRate*$B$11,SenTenor-SenGrace,-1),0))</f>
        <v>0</v>
      </c>
      <c r="S126" s="96" t="n">
        <f aca="false">IF(S39&lt;=SenGrace,SenRate*$B$11,IF(S39&lt;=SenTenor,PMT(SenRate*$B$11,SenTenor-SenGrace,-1),0))</f>
        <v>0</v>
      </c>
      <c r="T126" s="96" t="n">
        <f aca="false">IF(T39&lt;=SenGrace,SenRate*$B$11,IF(T39&lt;=SenTenor,PMT(SenRate*$B$11,SenTenor-SenGrace,-1),0))</f>
        <v>0</v>
      </c>
      <c r="U126" s="96" t="n">
        <f aca="false">IF(U39&lt;=SenGrace,SenRate*$B$11,IF(U39&lt;=SenTenor,PMT(SenRate*$B$11,SenTenor-SenGrace,-1),0))</f>
        <v>0</v>
      </c>
      <c r="V126" s="96" t="n">
        <f aca="false">IF(V39&lt;=SenGrace,SenRate*$B$11,IF(V39&lt;=SenTenor,PMT(SenRate*$B$11,SenTenor-SenGrace,-1),0))</f>
        <v>0</v>
      </c>
      <c r="W126" s="96" t="n">
        <f aca="false">IF(W39&lt;=SenGrace,SenRate*$B$11,IF(W39&lt;=SenTenor,PMT(SenRate*$B$11,SenTenor-SenGrace,-1),0))</f>
        <v>0</v>
      </c>
    </row>
    <row r="127" customFormat="false" ht="15" hidden="false" customHeight="false" outlineLevel="0" collapsed="false">
      <c r="A127" s="11" t="s">
        <v>462</v>
      </c>
      <c r="C127" s="95" t="n">
        <v>0</v>
      </c>
      <c r="D127" s="95" t="n">
        <f aca="false">IF(D126&gt;0,(D147/MinDSCR-D121-D122)/D126,1000000000000)</f>
        <v>949886.787176455</v>
      </c>
      <c r="E127" s="95" t="n">
        <f aca="false">IF(E126&gt;0,(E147/MinDSCR-E121-E122)/E126,1000000000000)</f>
        <v>409546.431276955</v>
      </c>
      <c r="F127" s="95" t="n">
        <f aca="false">IF(F126&gt;0,(F147/MinDSCR-F121-F122)/F126,1000000000000)</f>
        <v>175018.820730135</v>
      </c>
      <c r="G127" s="95" t="n">
        <f aca="false">IF(G126&gt;0,(G147/MinDSCR-G121-G122)/G126,1000000000000)</f>
        <v>27648.0357383255</v>
      </c>
      <c r="H127" s="95" t="n">
        <f aca="false">IF(H126&gt;0,(H147/MinDSCR-H121-H122)/H126,1000000000000)</f>
        <v>43383.8344223788</v>
      </c>
      <c r="I127" s="95" t="n">
        <f aca="false">IF(I126&gt;0,(I147/MinDSCR-I121-I122)/I126,1000000000000)</f>
        <v>7935.38120391454</v>
      </c>
      <c r="J127" s="95" t="n">
        <f aca="false">IF(J126&gt;0,(J147/MinDSCR-J121-J122)/J126,1000000000000)</f>
        <v>18426.17028722</v>
      </c>
      <c r="K127" s="95" t="n">
        <f aca="false">IF(K126&gt;0,(K147/MinDSCR-K121-K122)/K126,1000000000000)</f>
        <v>5146.04511365774</v>
      </c>
      <c r="L127" s="95" t="n">
        <f aca="false">IF(L126&gt;0,(L147/MinDSCR-L121-L122)/L126,1000000000000)</f>
        <v>-32195.5416209018</v>
      </c>
      <c r="M127" s="95" t="n">
        <f aca="false">IF(M126&gt;0,(M147/MinDSCR-M121-M122)/M126,1000000000000)</f>
        <v>-48287.1956213127</v>
      </c>
      <c r="N127" s="95" t="n">
        <f aca="false">IF(N126&gt;0,(N147/MinDSCR-N121-N122)/N126,1000000000000)</f>
        <v>1000000000000</v>
      </c>
      <c r="O127" s="95" t="n">
        <f aca="false">IF(O126&gt;0,(O147/MinDSCR-O121-O122)/O126,1000000000000)</f>
        <v>1000000000000</v>
      </c>
      <c r="P127" s="95" t="n">
        <f aca="false">IF(P126&gt;0,(P147/MinDSCR-P121-P122)/P126,1000000000000)</f>
        <v>1000000000000</v>
      </c>
      <c r="Q127" s="95" t="n">
        <f aca="false">IF(Q126&gt;0,(Q147/MinDSCR-Q121-Q122)/Q126,1000000000000)</f>
        <v>1000000000000</v>
      </c>
      <c r="R127" s="95" t="n">
        <f aca="false">IF(R126&gt;0,(R147/MinDSCR-R121-R122)/R126,1000000000000)</f>
        <v>1000000000000</v>
      </c>
      <c r="S127" s="95" t="n">
        <f aca="false">IF(S126&gt;0,(S147/MinDSCR-S121-S122)/S126,1000000000000)</f>
        <v>1000000000000</v>
      </c>
      <c r="T127" s="95" t="n">
        <f aca="false">IF(T126&gt;0,(T147/MinDSCR-T121-T122)/T126,1000000000000)</f>
        <v>1000000000000</v>
      </c>
      <c r="U127" s="95" t="n">
        <f aca="false">IF(U126&gt;0,(U147/MinDSCR-U121-U122)/U126,1000000000000)</f>
        <v>1000000000000</v>
      </c>
      <c r="V127" s="95" t="n">
        <f aca="false">IF(V126&gt;0,(V147/MinDSCR-V121-V122)/V126,1000000000000)</f>
        <v>1000000000000</v>
      </c>
      <c r="W127" s="95" t="n">
        <f aca="false">IF(W126&gt;0,(W147/MinDSCR-W121-W122)/W126,1000000000000)</f>
        <v>1000000000000</v>
      </c>
    </row>
    <row r="128" customFormat="false" ht="15" hidden="false" customHeight="false" outlineLevel="0" collapsed="false">
      <c r="A128" s="11" t="s">
        <v>463</v>
      </c>
      <c r="C128" s="95" t="n">
        <f aca="false">DSRAPct*D125</f>
        <v>7315.5439100732</v>
      </c>
      <c r="D128" s="95" t="n">
        <f aca="false">DSRAPct*E125</f>
        <v>7315.5439100732</v>
      </c>
      <c r="E128" s="95" t="n">
        <f aca="false">DSRAPct*F125</f>
        <v>12236.3173734714</v>
      </c>
      <c r="F128" s="95" t="n">
        <f aca="false">DSRAPct*G125</f>
        <v>12236.3173734714</v>
      </c>
      <c r="G128" s="95" t="n">
        <f aca="false">DSRAPct*H125</f>
        <v>12236.3173734714</v>
      </c>
      <c r="H128" s="95" t="n">
        <f aca="false">DSRAPct*I125</f>
        <v>17145.0758455327</v>
      </c>
      <c r="I128" s="95" t="n">
        <f aca="false">DSRAPct*J125</f>
        <v>17145.0758455327</v>
      </c>
      <c r="J128" s="95" t="n">
        <f aca="false">DSRAPct*K125</f>
        <v>17145.0758455327</v>
      </c>
      <c r="K128" s="95" t="n">
        <f aca="false">DSRAPct*L125</f>
        <v>17145.0758455327</v>
      </c>
      <c r="L128" s="95" t="n">
        <f aca="false">DSRAPct*M125</f>
        <v>17145.0758455327</v>
      </c>
      <c r="M128" s="95" t="n">
        <f aca="false">DSRAPct*N125</f>
        <v>6596.96091284747</v>
      </c>
      <c r="N128" s="95" t="n">
        <f aca="false">DSRAPct*O125</f>
        <v>6596.96091284747</v>
      </c>
      <c r="O128" s="95" t="n">
        <f aca="false">DSRAPct*P125</f>
        <v>6596.96091284747</v>
      </c>
      <c r="P128" s="95" t="n">
        <f aca="false">DSRAPct*Q125</f>
        <v>6596.96091284747</v>
      </c>
      <c r="Q128" s="95" t="n">
        <f aca="false">DSRAPct*R125</f>
        <v>6596.96091284747</v>
      </c>
      <c r="R128" s="95" t="n">
        <f aca="false">DSRAPct*S125</f>
        <v>0</v>
      </c>
      <c r="S128" s="95" t="n">
        <f aca="false">DSRAPct*T125</f>
        <v>0</v>
      </c>
      <c r="T128" s="95" t="n">
        <f aca="false">DSRAPct*U125</f>
        <v>0</v>
      </c>
      <c r="U128" s="95" t="n">
        <f aca="false">DSRAPct*V125</f>
        <v>0</v>
      </c>
      <c r="V128" s="95" t="n">
        <f aca="false">DSRAPct*W125</f>
        <v>0</v>
      </c>
      <c r="W128" s="95" t="n">
        <f aca="false">0</f>
        <v>0</v>
      </c>
    </row>
    <row r="129" customFormat="false" ht="15" hidden="false" customHeight="false" outlineLevel="0" collapsed="false">
      <c r="A129" s="11" t="s">
        <v>464</v>
      </c>
      <c r="B129" s="66" t="n">
        <f aca="false">SUM(C129:W129)</f>
        <v>0</v>
      </c>
      <c r="C129" s="95" t="n">
        <f aca="false">C128</f>
        <v>7315.5439100732</v>
      </c>
      <c r="D129" s="95" t="n">
        <f aca="false">D128-C128</f>
        <v>0</v>
      </c>
      <c r="E129" s="95" t="n">
        <f aca="false">E128-D128</f>
        <v>4920.77346339816</v>
      </c>
      <c r="F129" s="95" t="n">
        <f aca="false">F128-E128</f>
        <v>0</v>
      </c>
      <c r="G129" s="95" t="n">
        <f aca="false">G128-F128</f>
        <v>0</v>
      </c>
      <c r="H129" s="95" t="n">
        <f aca="false">H128-G128</f>
        <v>4908.75847206135</v>
      </c>
      <c r="I129" s="95" t="n">
        <f aca="false">I128-H128</f>
        <v>0</v>
      </c>
      <c r="J129" s="95" t="n">
        <f aca="false">J128-I128</f>
        <v>0</v>
      </c>
      <c r="K129" s="95" t="n">
        <f aca="false">K128-J128</f>
        <v>0</v>
      </c>
      <c r="L129" s="95" t="n">
        <f aca="false">L128-K128</f>
        <v>0</v>
      </c>
      <c r="M129" s="95" t="n">
        <f aca="false">M128-L128</f>
        <v>-10548.1149326852</v>
      </c>
      <c r="N129" s="95" t="n">
        <f aca="false">N128-M128</f>
        <v>0</v>
      </c>
      <c r="O129" s="95" t="n">
        <f aca="false">O128-N128</f>
        <v>0</v>
      </c>
      <c r="P129" s="95" t="n">
        <f aca="false">P128-O128</f>
        <v>0</v>
      </c>
      <c r="Q129" s="95" t="n">
        <f aca="false">Q128-P128</f>
        <v>0</v>
      </c>
      <c r="R129" s="95" t="n">
        <f aca="false">R128-Q128</f>
        <v>-6596.96091284747</v>
      </c>
      <c r="S129" s="95" t="n">
        <f aca="false">S128-R128</f>
        <v>0</v>
      </c>
      <c r="T129" s="95" t="n">
        <f aca="false">T128-S128</f>
        <v>0</v>
      </c>
      <c r="U129" s="95" t="n">
        <f aca="false">U128-T128</f>
        <v>0</v>
      </c>
      <c r="V129" s="95" t="n">
        <f aca="false">V128-U128</f>
        <v>0</v>
      </c>
      <c r="W129" s="95" t="n">
        <f aca="false">W128-V128</f>
        <v>0</v>
      </c>
    </row>
    <row r="131" customFormat="false" ht="15" hidden="false" customHeight="false" outlineLevel="0" collapsed="false">
      <c r="A131" s="9" t="s">
        <v>465</v>
      </c>
      <c r="B131" s="10"/>
      <c r="C131" s="10"/>
      <c r="D131" s="10"/>
      <c r="E131" s="10"/>
      <c r="F131" s="10"/>
      <c r="G131" s="10"/>
      <c r="H131" s="10"/>
      <c r="I131" s="10"/>
      <c r="J131" s="10"/>
      <c r="K131" s="10"/>
      <c r="L131" s="10"/>
      <c r="M131" s="10"/>
      <c r="N131" s="10"/>
      <c r="O131" s="10"/>
      <c r="P131" s="10"/>
      <c r="Q131" s="10"/>
      <c r="R131" s="10"/>
      <c r="S131" s="10"/>
      <c r="T131" s="10"/>
      <c r="U131" s="10"/>
      <c r="V131" s="10"/>
      <c r="W131" s="10"/>
    </row>
    <row r="132" customFormat="false" ht="15" hidden="false" customHeight="false" outlineLevel="0" collapsed="false">
      <c r="A132" s="11" t="s">
        <v>466</v>
      </c>
      <c r="B132" s="66" t="n">
        <f aca="false">SUM(C132:W132)</f>
        <v>1162734.14692871</v>
      </c>
      <c r="C132" s="95" t="n">
        <v>0</v>
      </c>
      <c r="D132" s="95" t="n">
        <f aca="false">IF(D39&lt;=MIN(DepYears,Life),S_Coll_Lo!$B$14/DepYears,0)</f>
        <v>77515.6097952472</v>
      </c>
      <c r="E132" s="95" t="n">
        <f aca="false">IF(E39&lt;=MIN(DepYears,Life),S_Coll_Lo!$B$14/DepYears,0)</f>
        <v>77515.6097952472</v>
      </c>
      <c r="F132" s="95" t="n">
        <f aca="false">IF(F39&lt;=MIN(DepYears,Life),S_Coll_Lo!$B$14/DepYears,0)</f>
        <v>77515.6097952472</v>
      </c>
      <c r="G132" s="95" t="n">
        <f aca="false">IF(G39&lt;=MIN(DepYears,Life),S_Coll_Lo!$B$14/DepYears,0)</f>
        <v>77515.6097952472</v>
      </c>
      <c r="H132" s="95" t="n">
        <f aca="false">IF(H39&lt;=MIN(DepYears,Life),S_Coll_Lo!$B$14/DepYears,0)</f>
        <v>77515.6097952472</v>
      </c>
      <c r="I132" s="95" t="n">
        <f aca="false">IF(I39&lt;=MIN(DepYears,Life),S_Coll_Lo!$B$14/DepYears,0)</f>
        <v>77515.6097952472</v>
      </c>
      <c r="J132" s="95" t="n">
        <f aca="false">IF(J39&lt;=MIN(DepYears,Life),S_Coll_Lo!$B$14/DepYears,0)</f>
        <v>77515.6097952472</v>
      </c>
      <c r="K132" s="95" t="n">
        <f aca="false">IF(K39&lt;=MIN(DepYears,Life),S_Coll_Lo!$B$14/DepYears,0)</f>
        <v>77515.6097952472</v>
      </c>
      <c r="L132" s="95" t="n">
        <f aca="false">IF(L39&lt;=MIN(DepYears,Life),S_Coll_Lo!$B$14/DepYears,0)</f>
        <v>77515.6097952472</v>
      </c>
      <c r="M132" s="95" t="n">
        <f aca="false">IF(M39&lt;=MIN(DepYears,Life),S_Coll_Lo!$B$14/DepYears,0)</f>
        <v>77515.6097952472</v>
      </c>
      <c r="N132" s="95" t="n">
        <f aca="false">IF(N39&lt;=MIN(DepYears,Life),S_Coll_Lo!$B$14/DepYears,0)</f>
        <v>77515.6097952472</v>
      </c>
      <c r="O132" s="95" t="n">
        <f aca="false">IF(O39&lt;=MIN(DepYears,Life),S_Coll_Lo!$B$14/DepYears,0)</f>
        <v>77515.6097952472</v>
      </c>
      <c r="P132" s="95" t="n">
        <f aca="false">IF(P39&lt;=MIN(DepYears,Life),S_Coll_Lo!$B$14/DepYears,0)</f>
        <v>77515.6097952472</v>
      </c>
      <c r="Q132" s="95" t="n">
        <f aca="false">IF(Q39&lt;=MIN(DepYears,Life),S_Coll_Lo!$B$14/DepYears,0)</f>
        <v>77515.6097952472</v>
      </c>
      <c r="R132" s="95" t="n">
        <f aca="false">IF(R39&lt;=MIN(DepYears,Life),S_Coll_Lo!$B$14/DepYears,0)</f>
        <v>77515.6097952472</v>
      </c>
      <c r="S132" s="95" t="n">
        <f aca="false">IF(S39&lt;=MIN(DepYears,Life),S_Coll_Lo!$B$14/DepYears,0)</f>
        <v>0</v>
      </c>
      <c r="T132" s="95" t="n">
        <f aca="false">IF(T39&lt;=MIN(DepYears,Life),S_Coll_Lo!$B$14/DepYears,0)</f>
        <v>0</v>
      </c>
      <c r="U132" s="95" t="n">
        <f aca="false">IF(U39&lt;=MIN(DepYears,Life),S_Coll_Lo!$B$14/DepYears,0)</f>
        <v>0</v>
      </c>
      <c r="V132" s="95" t="n">
        <f aca="false">IF(V39&lt;=MIN(DepYears,Life),S_Coll_Lo!$B$14/DepYears,0)</f>
        <v>0</v>
      </c>
      <c r="W132" s="95" t="n">
        <f aca="false">IF(W39&lt;=MIN(DepYears,Life),S_Coll_Lo!$B$14/DepYears,0)</f>
        <v>0</v>
      </c>
    </row>
    <row r="133" customFormat="false" ht="15" hidden="false" customHeight="false" outlineLevel="0" collapsed="false">
      <c r="A133" s="11" t="s">
        <v>467</v>
      </c>
      <c r="B133" s="66" t="n">
        <f aca="false">SUM(C133:W133)</f>
        <v>-860660.739083122</v>
      </c>
      <c r="C133" s="95" t="n">
        <v>0</v>
      </c>
      <c r="D133" s="95" t="n">
        <f aca="false">D98-D132</f>
        <v>-80103.0714031764</v>
      </c>
      <c r="E133" s="95" t="n">
        <f aca="false">E98-E132</f>
        <v>-62147.3176701114</v>
      </c>
      <c r="F133" s="95" t="n">
        <f aca="false">F98-F132</f>
        <v>-47540.2535545942</v>
      </c>
      <c r="G133" s="95" t="n">
        <f aca="false">G98-G132</f>
        <v>-45651.1571702187</v>
      </c>
      <c r="H133" s="95" t="n">
        <f aca="false">H98-H132</f>
        <v>-41816.7014476051</v>
      </c>
      <c r="I133" s="95" t="n">
        <f aca="false">I98-I132</f>
        <v>-37691.9100547519</v>
      </c>
      <c r="J133" s="95" t="n">
        <f aca="false">J98-J132</f>
        <v>-35135.5437054557</v>
      </c>
      <c r="K133" s="95" t="n">
        <f aca="false">K98-K132</f>
        <v>-38371.6077268133</v>
      </c>
      <c r="L133" s="95" t="n">
        <f aca="false">L98-L132</f>
        <v>-41938.6426816296</v>
      </c>
      <c r="M133" s="95" t="n">
        <f aca="false">M98-M132</f>
        <v>-45859.8122394687</v>
      </c>
      <c r="N133" s="95" t="n">
        <f aca="false">N98-N132</f>
        <v>-50159.7558824739</v>
      </c>
      <c r="O133" s="95" t="n">
        <f aca="false">O98-O132</f>
        <v>-54864.6801134426</v>
      </c>
      <c r="P133" s="95" t="n">
        <f aca="false">P98-P132</f>
        <v>-60002.4552429166</v>
      </c>
      <c r="Q133" s="95" t="n">
        <f aca="false">Q98-Q132</f>
        <v>-65602.7180953995</v>
      </c>
      <c r="R133" s="95" t="n">
        <f aca="false">R98-R132</f>
        <v>-71696.9809955238</v>
      </c>
      <c r="S133" s="95" t="n">
        <f aca="false">S98-S132</f>
        <v>-803.137621723145</v>
      </c>
      <c r="T133" s="95" t="n">
        <f aca="false">T98-T132</f>
        <v>-7988.02490500035</v>
      </c>
      <c r="U133" s="95" t="n">
        <f aca="false">U98-U132</f>
        <v>-15773.8944749298</v>
      </c>
      <c r="V133" s="95" t="n">
        <f aca="false">V98-V132</f>
        <v>-24200.9900149231</v>
      </c>
      <c r="W133" s="95" t="n">
        <f aca="false">W98-W132</f>
        <v>-33312.0840829643</v>
      </c>
    </row>
    <row r="134" customFormat="false" ht="15" hidden="false" customHeight="false" outlineLevel="0" collapsed="false">
      <c r="A134" s="11" t="s">
        <v>468</v>
      </c>
      <c r="C134" s="95" t="n">
        <v>0</v>
      </c>
      <c r="D134" s="95" t="n">
        <f aca="false">0</f>
        <v>0</v>
      </c>
      <c r="E134" s="95" t="n">
        <f aca="false">D136</f>
        <v>80103.0714031764</v>
      </c>
      <c r="F134" s="95" t="n">
        <f aca="false">E136</f>
        <v>142250.389073288</v>
      </c>
      <c r="G134" s="95" t="n">
        <f aca="false">F136</f>
        <v>189790.642627882</v>
      </c>
      <c r="H134" s="95" t="n">
        <f aca="false">G136</f>
        <v>235441.799798101</v>
      </c>
      <c r="I134" s="95" t="n">
        <f aca="false">H136</f>
        <v>277258.501245706</v>
      </c>
      <c r="J134" s="95" t="n">
        <f aca="false">I136</f>
        <v>314950.411300458</v>
      </c>
      <c r="K134" s="95" t="n">
        <f aca="false">J136</f>
        <v>350085.955005913</v>
      </c>
      <c r="L134" s="95" t="n">
        <f aca="false">K136</f>
        <v>388457.562732727</v>
      </c>
      <c r="M134" s="95" t="n">
        <f aca="false">L136</f>
        <v>430396.205414356</v>
      </c>
      <c r="N134" s="95" t="n">
        <f aca="false">M136</f>
        <v>476256.017653825</v>
      </c>
      <c r="O134" s="95" t="n">
        <f aca="false">N136</f>
        <v>526415.773536299</v>
      </c>
      <c r="P134" s="95" t="n">
        <f aca="false">O136</f>
        <v>581280.453649741</v>
      </c>
      <c r="Q134" s="95" t="n">
        <f aca="false">P136</f>
        <v>641282.908892658</v>
      </c>
      <c r="R134" s="95" t="n">
        <f aca="false">Q136</f>
        <v>706885.626988057</v>
      </c>
      <c r="S134" s="95" t="n">
        <f aca="false">R136</f>
        <v>778582.607983581</v>
      </c>
      <c r="T134" s="95" t="n">
        <f aca="false">S136</f>
        <v>779385.745605304</v>
      </c>
      <c r="U134" s="95" t="n">
        <f aca="false">T136</f>
        <v>787373.770510305</v>
      </c>
      <c r="V134" s="95" t="n">
        <f aca="false">U136</f>
        <v>803147.664985234</v>
      </c>
      <c r="W134" s="95" t="n">
        <f aca="false">V136</f>
        <v>827348.655000157</v>
      </c>
    </row>
    <row r="135" customFormat="false" ht="15" hidden="false" customHeight="false" outlineLevel="0" collapsed="false">
      <c r="A135" s="11" t="s">
        <v>469</v>
      </c>
      <c r="C135" s="95" t="n">
        <v>0</v>
      </c>
      <c r="D135" s="95" t="n">
        <f aca="false">MIN(D134,MAX(D133,0))</f>
        <v>0</v>
      </c>
      <c r="E135" s="95" t="n">
        <f aca="false">MIN(E134,MAX(E133,0))</f>
        <v>0</v>
      </c>
      <c r="F135" s="95" t="n">
        <f aca="false">MIN(F134,MAX(F133,0))</f>
        <v>0</v>
      </c>
      <c r="G135" s="95" t="n">
        <f aca="false">MIN(G134,MAX(G133,0))</f>
        <v>0</v>
      </c>
      <c r="H135" s="95" t="n">
        <f aca="false">MIN(H134,MAX(H133,0))</f>
        <v>0</v>
      </c>
      <c r="I135" s="95" t="n">
        <f aca="false">MIN(I134,MAX(I133,0))</f>
        <v>0</v>
      </c>
      <c r="J135" s="95" t="n">
        <f aca="false">MIN(J134,MAX(J133,0))</f>
        <v>0</v>
      </c>
      <c r="K135" s="95" t="n">
        <f aca="false">MIN(K134,MAX(K133,0))</f>
        <v>0</v>
      </c>
      <c r="L135" s="95" t="n">
        <f aca="false">MIN(L134,MAX(L133,0))</f>
        <v>0</v>
      </c>
      <c r="M135" s="95" t="n">
        <f aca="false">MIN(M134,MAX(M133,0))</f>
        <v>0</v>
      </c>
      <c r="N135" s="95" t="n">
        <f aca="false">MIN(N134,MAX(N133,0))</f>
        <v>0</v>
      </c>
      <c r="O135" s="95" t="n">
        <f aca="false">MIN(O134,MAX(O133,0))</f>
        <v>0</v>
      </c>
      <c r="P135" s="95" t="n">
        <f aca="false">MIN(P134,MAX(P133,0))</f>
        <v>0</v>
      </c>
      <c r="Q135" s="95" t="n">
        <f aca="false">MIN(Q134,MAX(Q133,0))</f>
        <v>0</v>
      </c>
      <c r="R135" s="95" t="n">
        <f aca="false">MIN(R134,MAX(R133,0))</f>
        <v>0</v>
      </c>
      <c r="S135" s="95" t="n">
        <f aca="false">MIN(S134,MAX(S133,0))</f>
        <v>0</v>
      </c>
      <c r="T135" s="95" t="n">
        <f aca="false">MIN(T134,MAX(T133,0))</f>
        <v>0</v>
      </c>
      <c r="U135" s="95" t="n">
        <f aca="false">MIN(U134,MAX(U133,0))</f>
        <v>0</v>
      </c>
      <c r="V135" s="95" t="n">
        <f aca="false">MIN(V134,MAX(V133,0))</f>
        <v>0</v>
      </c>
      <c r="W135" s="95" t="n">
        <f aca="false">MIN(W134,MAX(W133,0))</f>
        <v>0</v>
      </c>
    </row>
    <row r="136" customFormat="false" ht="15" hidden="false" customHeight="false" outlineLevel="0" collapsed="false">
      <c r="A136" s="11" t="s">
        <v>470</v>
      </c>
      <c r="C136" s="95" t="n">
        <v>0</v>
      </c>
      <c r="D136" s="95" t="n">
        <f aca="false">D134-D135+MAX(-D133,0)</f>
        <v>80103.0714031764</v>
      </c>
      <c r="E136" s="95" t="n">
        <f aca="false">E134-E135+MAX(-E133,0)</f>
        <v>142250.389073288</v>
      </c>
      <c r="F136" s="95" t="n">
        <f aca="false">F134-F135+MAX(-F133,0)</f>
        <v>189790.642627882</v>
      </c>
      <c r="G136" s="95" t="n">
        <f aca="false">G134-G135+MAX(-G133,0)</f>
        <v>235441.799798101</v>
      </c>
      <c r="H136" s="95" t="n">
        <f aca="false">H134-H135+MAX(-H133,0)</f>
        <v>277258.501245706</v>
      </c>
      <c r="I136" s="95" t="n">
        <f aca="false">I134-I135+MAX(-I133,0)</f>
        <v>314950.411300458</v>
      </c>
      <c r="J136" s="95" t="n">
        <f aca="false">J134-J135+MAX(-J133,0)</f>
        <v>350085.955005913</v>
      </c>
      <c r="K136" s="95" t="n">
        <f aca="false">K134-K135+MAX(-K133,0)</f>
        <v>388457.562732727</v>
      </c>
      <c r="L136" s="95" t="n">
        <f aca="false">L134-L135+MAX(-L133,0)</f>
        <v>430396.205414356</v>
      </c>
      <c r="M136" s="95" t="n">
        <f aca="false">M134-M135+MAX(-M133,0)</f>
        <v>476256.017653825</v>
      </c>
      <c r="N136" s="95" t="n">
        <f aca="false">N134-N135+MAX(-N133,0)</f>
        <v>526415.773536299</v>
      </c>
      <c r="O136" s="95" t="n">
        <f aca="false">O134-O135+MAX(-O133,0)</f>
        <v>581280.453649741</v>
      </c>
      <c r="P136" s="95" t="n">
        <f aca="false">P134-P135+MAX(-P133,0)</f>
        <v>641282.908892658</v>
      </c>
      <c r="Q136" s="95" t="n">
        <f aca="false">Q134-Q135+MAX(-Q133,0)</f>
        <v>706885.626988057</v>
      </c>
      <c r="R136" s="95" t="n">
        <f aca="false">R134-R135+MAX(-R133,0)</f>
        <v>778582.607983581</v>
      </c>
      <c r="S136" s="95" t="n">
        <f aca="false">S134-S135+MAX(-S133,0)</f>
        <v>779385.745605304</v>
      </c>
      <c r="T136" s="95" t="n">
        <f aca="false">T134-T135+MAX(-T133,0)</f>
        <v>787373.770510305</v>
      </c>
      <c r="U136" s="95" t="n">
        <f aca="false">U134-U135+MAX(-U133,0)</f>
        <v>803147.664985234</v>
      </c>
      <c r="V136" s="95" t="n">
        <f aca="false">V134-V135+MAX(-V133,0)</f>
        <v>827348.655000157</v>
      </c>
      <c r="W136" s="95" t="n">
        <f aca="false">W134-W135+MAX(-W133,0)</f>
        <v>860660.739083122</v>
      </c>
    </row>
    <row r="137" customFormat="false" ht="15" hidden="false" customHeight="false" outlineLevel="0" collapsed="false">
      <c r="A137" s="11" t="s">
        <v>471</v>
      </c>
      <c r="B137" s="66" t="n">
        <f aca="false">SUM(C137:W137)</f>
        <v>0</v>
      </c>
      <c r="C137" s="95" t="n">
        <v>0</v>
      </c>
      <c r="D137" s="95" t="n">
        <f aca="false">(MAX(D133,0)-D135)*TaxRate</f>
        <v>0</v>
      </c>
      <c r="E137" s="95" t="n">
        <f aca="false">(MAX(E133,0)-E135)*TaxRate</f>
        <v>0</v>
      </c>
      <c r="F137" s="95" t="n">
        <f aca="false">(MAX(F133,0)-F135)*TaxRate</f>
        <v>0</v>
      </c>
      <c r="G137" s="95" t="n">
        <f aca="false">(MAX(G133,0)-G135)*TaxRate</f>
        <v>0</v>
      </c>
      <c r="H137" s="95" t="n">
        <f aca="false">(MAX(H133,0)-H135)*TaxRate</f>
        <v>0</v>
      </c>
      <c r="I137" s="95" t="n">
        <f aca="false">(MAX(I133,0)-I135)*TaxRate</f>
        <v>0</v>
      </c>
      <c r="J137" s="95" t="n">
        <f aca="false">(MAX(J133,0)-J135)*TaxRate</f>
        <v>0</v>
      </c>
      <c r="K137" s="95" t="n">
        <f aca="false">(MAX(K133,0)-K135)*TaxRate</f>
        <v>0</v>
      </c>
      <c r="L137" s="95" t="n">
        <f aca="false">(MAX(L133,0)-L135)*TaxRate</f>
        <v>0</v>
      </c>
      <c r="M137" s="95" t="n">
        <f aca="false">(MAX(M133,0)-M135)*TaxRate</f>
        <v>0</v>
      </c>
      <c r="N137" s="95" t="n">
        <f aca="false">(MAX(N133,0)-N135)*TaxRate</f>
        <v>0</v>
      </c>
      <c r="O137" s="95" t="n">
        <f aca="false">(MAX(O133,0)-O135)*TaxRate</f>
        <v>0</v>
      </c>
      <c r="P137" s="95" t="n">
        <f aca="false">(MAX(P133,0)-P135)*TaxRate</f>
        <v>0</v>
      </c>
      <c r="Q137" s="95" t="n">
        <f aca="false">(MAX(Q133,0)-Q135)*TaxRate</f>
        <v>0</v>
      </c>
      <c r="R137" s="95" t="n">
        <f aca="false">(MAX(R133,0)-R135)*TaxRate</f>
        <v>0</v>
      </c>
      <c r="S137" s="95" t="n">
        <f aca="false">(MAX(S133,0)-S135)*TaxRate</f>
        <v>0</v>
      </c>
      <c r="T137" s="95" t="n">
        <f aca="false">(MAX(T133,0)-T135)*TaxRate</f>
        <v>0</v>
      </c>
      <c r="U137" s="95" t="n">
        <f aca="false">(MAX(U133,0)-U135)*TaxRate</f>
        <v>0</v>
      </c>
      <c r="V137" s="95" t="n">
        <f aca="false">(MAX(V133,0)-V135)*TaxRate</f>
        <v>0</v>
      </c>
      <c r="W137" s="95" t="n">
        <f aca="false">(MAX(W133,0)-W135)*TaxRate</f>
        <v>0</v>
      </c>
    </row>
    <row r="138" customFormat="false" ht="15" hidden="false" customHeight="false" outlineLevel="0" collapsed="false">
      <c r="A138" s="11" t="s">
        <v>472</v>
      </c>
      <c r="B138" s="66" t="n">
        <f aca="false">SUM(C138:W138)</f>
        <v>-975667.527776561</v>
      </c>
      <c r="C138" s="95" t="n">
        <v>0</v>
      </c>
      <c r="D138" s="95" t="n">
        <f aca="false">D98-D132-D114-D121</f>
        <v>-94734.1592233228</v>
      </c>
      <c r="E138" s="95" t="n">
        <f aca="false">E98-E132-E114-E121</f>
        <v>-76778.4054902578</v>
      </c>
      <c r="F138" s="95" t="n">
        <f aca="false">F98-F132-F114-F121</f>
        <v>-62171.3413747405</v>
      </c>
      <c r="G138" s="95" t="n">
        <f aca="false">G98-G132-G114-G121</f>
        <v>-59298.0902976854</v>
      </c>
      <c r="H138" s="95" t="n">
        <f aca="false">H98-H132-H114-H121</f>
        <v>-54381.0644131242</v>
      </c>
      <c r="I138" s="95" t="n">
        <f aca="false">I98-I132-I114-I121</f>
        <v>-49065.4458421287</v>
      </c>
      <c r="J138" s="95" t="n">
        <f aca="false">J98-J132-J114-J121</f>
        <v>-44904.6440885522</v>
      </c>
      <c r="K138" s="95" t="n">
        <f aca="false">K98-K132-K114-K121</f>
        <v>-46396.4459507842</v>
      </c>
      <c r="L138" s="95" t="n">
        <f aca="false">L98-L132-L114-L121</f>
        <v>-48066.0278197125</v>
      </c>
      <c r="M138" s="95" t="n">
        <f aca="false">M98-M132-M114-M121</f>
        <v>-49921.8713308993</v>
      </c>
      <c r="N138" s="95" t="n">
        <f aca="false">N98-N132-N114-N121</f>
        <v>-51972.4848408464</v>
      </c>
      <c r="O138" s="95" t="n">
        <f aca="false">O98-O132-O114-O121</f>
        <v>-56335.9732857954</v>
      </c>
      <c r="P138" s="95" t="n">
        <f aca="false">P98-P132-P114-P121</f>
        <v>-61122.0695556692</v>
      </c>
      <c r="Q138" s="95" t="n">
        <f aca="false">Q98-Q132-Q114-Q121</f>
        <v>-66360.1031827638</v>
      </c>
      <c r="R138" s="95" t="n">
        <f aca="false">R98-R132-R114-R121</f>
        <v>-72081.2699807382</v>
      </c>
      <c r="S138" s="95" t="n">
        <f aca="false">S98-S132-S114-S121</f>
        <v>-803.137621723145</v>
      </c>
      <c r="T138" s="95" t="n">
        <f aca="false">T98-T132-T114-T121</f>
        <v>-7988.02490500035</v>
      </c>
      <c r="U138" s="95" t="n">
        <f aca="false">U98-U132-U114-U121</f>
        <v>-15773.8944749298</v>
      </c>
      <c r="V138" s="95" t="n">
        <f aca="false">V98-V132-V114-V121</f>
        <v>-24200.9900149231</v>
      </c>
      <c r="W138" s="95" t="n">
        <f aca="false">W98-W132-W114-W121</f>
        <v>-33312.0840829643</v>
      </c>
    </row>
    <row r="139" customFormat="false" ht="15" hidden="false" customHeight="false" outlineLevel="0" collapsed="false">
      <c r="A139" s="11" t="s">
        <v>468</v>
      </c>
      <c r="C139" s="95" t="n">
        <v>0</v>
      </c>
      <c r="D139" s="95" t="n">
        <f aca="false">0</f>
        <v>0</v>
      </c>
      <c r="E139" s="95" t="n">
        <f aca="false">D141</f>
        <v>94734.1592233228</v>
      </c>
      <c r="F139" s="95" t="n">
        <f aca="false">E141</f>
        <v>171512.564713581</v>
      </c>
      <c r="G139" s="95" t="n">
        <f aca="false">F141</f>
        <v>233683.906088321</v>
      </c>
      <c r="H139" s="95" t="n">
        <f aca="false">G141</f>
        <v>292981.996386007</v>
      </c>
      <c r="I139" s="95" t="n">
        <f aca="false">H141</f>
        <v>347363.060799131</v>
      </c>
      <c r="J139" s="95" t="n">
        <f aca="false">I141</f>
        <v>396428.50664126</v>
      </c>
      <c r="K139" s="95" t="n">
        <f aca="false">J141</f>
        <v>441333.150729812</v>
      </c>
      <c r="L139" s="95" t="n">
        <f aca="false">K141</f>
        <v>487729.596680596</v>
      </c>
      <c r="M139" s="95" t="n">
        <f aca="false">L141</f>
        <v>535795.624500308</v>
      </c>
      <c r="N139" s="95" t="n">
        <f aca="false">M141</f>
        <v>585717.495831208</v>
      </c>
      <c r="O139" s="95" t="n">
        <f aca="false">N141</f>
        <v>637689.980672054</v>
      </c>
      <c r="P139" s="95" t="n">
        <f aca="false">O141</f>
        <v>694025.953957849</v>
      </c>
      <c r="Q139" s="95" t="n">
        <f aca="false">P141</f>
        <v>755148.023513519</v>
      </c>
      <c r="R139" s="95" t="n">
        <f aca="false">Q141</f>
        <v>821508.126696282</v>
      </c>
      <c r="S139" s="95" t="n">
        <f aca="false">R141</f>
        <v>893589.396677021</v>
      </c>
      <c r="T139" s="95" t="n">
        <f aca="false">S141</f>
        <v>894392.534298744</v>
      </c>
      <c r="U139" s="95" t="n">
        <f aca="false">T141</f>
        <v>902380.559203744</v>
      </c>
      <c r="V139" s="95" t="n">
        <f aca="false">U141</f>
        <v>918154.453678674</v>
      </c>
      <c r="W139" s="95" t="n">
        <f aca="false">V141</f>
        <v>942355.443693597</v>
      </c>
    </row>
    <row r="140" customFormat="false" ht="15" hidden="false" customHeight="false" outlineLevel="0" collapsed="false">
      <c r="A140" s="11" t="s">
        <v>469</v>
      </c>
      <c r="C140" s="95" t="n">
        <v>0</v>
      </c>
      <c r="D140" s="95" t="n">
        <f aca="false">MIN(D139,MAX(D138,0))</f>
        <v>0</v>
      </c>
      <c r="E140" s="95" t="n">
        <f aca="false">MIN(E139,MAX(E138,0))</f>
        <v>0</v>
      </c>
      <c r="F140" s="95" t="n">
        <f aca="false">MIN(F139,MAX(F138,0))</f>
        <v>0</v>
      </c>
      <c r="G140" s="95" t="n">
        <f aca="false">MIN(G139,MAX(G138,0))</f>
        <v>0</v>
      </c>
      <c r="H140" s="95" t="n">
        <f aca="false">MIN(H139,MAX(H138,0))</f>
        <v>0</v>
      </c>
      <c r="I140" s="95" t="n">
        <f aca="false">MIN(I139,MAX(I138,0))</f>
        <v>0</v>
      </c>
      <c r="J140" s="95" t="n">
        <f aca="false">MIN(J139,MAX(J138,0))</f>
        <v>0</v>
      </c>
      <c r="K140" s="95" t="n">
        <f aca="false">MIN(K139,MAX(K138,0))</f>
        <v>0</v>
      </c>
      <c r="L140" s="95" t="n">
        <f aca="false">MIN(L139,MAX(L138,0))</f>
        <v>0</v>
      </c>
      <c r="M140" s="95" t="n">
        <f aca="false">MIN(M139,MAX(M138,0))</f>
        <v>0</v>
      </c>
      <c r="N140" s="95" t="n">
        <f aca="false">MIN(N139,MAX(N138,0))</f>
        <v>0</v>
      </c>
      <c r="O140" s="95" t="n">
        <f aca="false">MIN(O139,MAX(O138,0))</f>
        <v>0</v>
      </c>
      <c r="P140" s="95" t="n">
        <f aca="false">MIN(P139,MAX(P138,0))</f>
        <v>0</v>
      </c>
      <c r="Q140" s="95" t="n">
        <f aca="false">MIN(Q139,MAX(Q138,0))</f>
        <v>0</v>
      </c>
      <c r="R140" s="95" t="n">
        <f aca="false">MIN(R139,MAX(R138,0))</f>
        <v>0</v>
      </c>
      <c r="S140" s="95" t="n">
        <f aca="false">MIN(S139,MAX(S138,0))</f>
        <v>0</v>
      </c>
      <c r="T140" s="95" t="n">
        <f aca="false">MIN(T139,MAX(T138,0))</f>
        <v>0</v>
      </c>
      <c r="U140" s="95" t="n">
        <f aca="false">MIN(U139,MAX(U138,0))</f>
        <v>0</v>
      </c>
      <c r="V140" s="95" t="n">
        <f aca="false">MIN(V139,MAX(V138,0))</f>
        <v>0</v>
      </c>
      <c r="W140" s="95" t="n">
        <f aca="false">MIN(W139,MAX(W138,0))</f>
        <v>0</v>
      </c>
    </row>
    <row r="141" customFormat="false" ht="15" hidden="false" customHeight="false" outlineLevel="0" collapsed="false">
      <c r="A141" s="11" t="s">
        <v>470</v>
      </c>
      <c r="C141" s="95" t="n">
        <v>0</v>
      </c>
      <c r="D141" s="95" t="n">
        <f aca="false">D139-D140+MAX(-D138,0)</f>
        <v>94734.1592233228</v>
      </c>
      <c r="E141" s="95" t="n">
        <f aca="false">E139-E140+MAX(-E138,0)</f>
        <v>171512.564713581</v>
      </c>
      <c r="F141" s="95" t="n">
        <f aca="false">F139-F140+MAX(-F138,0)</f>
        <v>233683.906088321</v>
      </c>
      <c r="G141" s="95" t="n">
        <f aca="false">G139-G140+MAX(-G138,0)</f>
        <v>292981.996386007</v>
      </c>
      <c r="H141" s="95" t="n">
        <f aca="false">H139-H140+MAX(-H138,0)</f>
        <v>347363.060799131</v>
      </c>
      <c r="I141" s="95" t="n">
        <f aca="false">I139-I140+MAX(-I138,0)</f>
        <v>396428.50664126</v>
      </c>
      <c r="J141" s="95" t="n">
        <f aca="false">J139-J140+MAX(-J138,0)</f>
        <v>441333.150729812</v>
      </c>
      <c r="K141" s="95" t="n">
        <f aca="false">K139-K140+MAX(-K138,0)</f>
        <v>487729.596680596</v>
      </c>
      <c r="L141" s="95" t="n">
        <f aca="false">L139-L140+MAX(-L138,0)</f>
        <v>535795.624500308</v>
      </c>
      <c r="M141" s="95" t="n">
        <f aca="false">M139-M140+MAX(-M138,0)</f>
        <v>585717.495831208</v>
      </c>
      <c r="N141" s="95" t="n">
        <f aca="false">N139-N140+MAX(-N138,0)</f>
        <v>637689.980672054</v>
      </c>
      <c r="O141" s="95" t="n">
        <f aca="false">O139-O140+MAX(-O138,0)</f>
        <v>694025.953957849</v>
      </c>
      <c r="P141" s="95" t="n">
        <f aca="false">P139-P140+MAX(-P138,0)</f>
        <v>755148.023513519</v>
      </c>
      <c r="Q141" s="95" t="n">
        <f aca="false">Q139-Q140+MAX(-Q138,0)</f>
        <v>821508.126696282</v>
      </c>
      <c r="R141" s="95" t="n">
        <f aca="false">R139-R140+MAX(-R138,0)</f>
        <v>893589.396677021</v>
      </c>
      <c r="S141" s="95" t="n">
        <f aca="false">S139-S140+MAX(-S138,0)</f>
        <v>894392.534298744</v>
      </c>
      <c r="T141" s="95" t="n">
        <f aca="false">T139-T140+MAX(-T138,0)</f>
        <v>902380.559203744</v>
      </c>
      <c r="U141" s="95" t="n">
        <f aca="false">U139-U140+MAX(-U138,0)</f>
        <v>918154.453678674</v>
      </c>
      <c r="V141" s="95" t="n">
        <f aca="false">V139-V140+MAX(-V138,0)</f>
        <v>942355.443693597</v>
      </c>
      <c r="W141" s="95" t="n">
        <f aca="false">W139-W140+MAX(-W138,0)</f>
        <v>975667.527776561</v>
      </c>
    </row>
    <row r="142" customFormat="false" ht="15" hidden="false" customHeight="false" outlineLevel="0" collapsed="false">
      <c r="A142" s="11" t="s">
        <v>473</v>
      </c>
      <c r="B142" s="66" t="n">
        <f aca="false">SUM(C142:W142)</f>
        <v>0</v>
      </c>
      <c r="C142" s="95" t="n">
        <v>0</v>
      </c>
      <c r="D142" s="95" t="n">
        <f aca="false">(MAX(D138,0)-D140)*TaxRate</f>
        <v>0</v>
      </c>
      <c r="E142" s="95" t="n">
        <f aca="false">(MAX(E138,0)-E140)*TaxRate</f>
        <v>0</v>
      </c>
      <c r="F142" s="95" t="n">
        <f aca="false">(MAX(F138,0)-F140)*TaxRate</f>
        <v>0</v>
      </c>
      <c r="G142" s="95" t="n">
        <f aca="false">(MAX(G138,0)-G140)*TaxRate</f>
        <v>0</v>
      </c>
      <c r="H142" s="95" t="n">
        <f aca="false">(MAX(H138,0)-H140)*TaxRate</f>
        <v>0</v>
      </c>
      <c r="I142" s="95" t="n">
        <f aca="false">(MAX(I138,0)-I140)*TaxRate</f>
        <v>0</v>
      </c>
      <c r="J142" s="95" t="n">
        <f aca="false">(MAX(J138,0)-J140)*TaxRate</f>
        <v>0</v>
      </c>
      <c r="K142" s="95" t="n">
        <f aca="false">(MAX(K138,0)-K140)*TaxRate</f>
        <v>0</v>
      </c>
      <c r="L142" s="95" t="n">
        <f aca="false">(MAX(L138,0)-L140)*TaxRate</f>
        <v>0</v>
      </c>
      <c r="M142" s="95" t="n">
        <f aca="false">(MAX(M138,0)-M140)*TaxRate</f>
        <v>0</v>
      </c>
      <c r="N142" s="95" t="n">
        <f aca="false">(MAX(N138,0)-N140)*TaxRate</f>
        <v>0</v>
      </c>
      <c r="O142" s="95" t="n">
        <f aca="false">(MAX(O138,0)-O140)*TaxRate</f>
        <v>0</v>
      </c>
      <c r="P142" s="95" t="n">
        <f aca="false">(MAX(P138,0)-P140)*TaxRate</f>
        <v>0</v>
      </c>
      <c r="Q142" s="95" t="n">
        <f aca="false">(MAX(Q138,0)-Q140)*TaxRate</f>
        <v>0</v>
      </c>
      <c r="R142" s="95" t="n">
        <f aca="false">(MAX(R138,0)-R140)*TaxRate</f>
        <v>0</v>
      </c>
      <c r="S142" s="95" t="n">
        <f aca="false">(MAX(S138,0)-S140)*TaxRate</f>
        <v>0</v>
      </c>
      <c r="T142" s="95" t="n">
        <f aca="false">(MAX(T138,0)-T140)*TaxRate</f>
        <v>0</v>
      </c>
      <c r="U142" s="95" t="n">
        <f aca="false">(MAX(U138,0)-U140)*TaxRate</f>
        <v>0</v>
      </c>
      <c r="V142" s="95" t="n">
        <f aca="false">(MAX(V138,0)-V140)*TaxRate</f>
        <v>0</v>
      </c>
      <c r="W142" s="95" t="n">
        <f aca="false">(MAX(W138,0)-W140)*TaxRate</f>
        <v>0</v>
      </c>
    </row>
    <row r="144" customFormat="false" ht="15" hidden="false" customHeight="false" outlineLevel="0" collapsed="false">
      <c r="A144" s="9" t="s">
        <v>474</v>
      </c>
      <c r="B144" s="10"/>
      <c r="C144" s="10"/>
      <c r="D144" s="10"/>
      <c r="E144" s="10"/>
      <c r="F144" s="10"/>
      <c r="G144" s="10"/>
      <c r="H144" s="10"/>
      <c r="I144" s="10"/>
      <c r="J144" s="10"/>
      <c r="K144" s="10"/>
      <c r="L144" s="10"/>
      <c r="M144" s="10"/>
      <c r="N144" s="10"/>
      <c r="O144" s="10"/>
      <c r="P144" s="10"/>
      <c r="Q144" s="10"/>
      <c r="R144" s="10"/>
      <c r="S144" s="10"/>
      <c r="T144" s="10"/>
      <c r="U144" s="10"/>
      <c r="V144" s="10"/>
      <c r="W144" s="10"/>
    </row>
    <row r="145" customFormat="false" ht="15" hidden="false" customHeight="false" outlineLevel="0" collapsed="false">
      <c r="A145" s="16" t="s">
        <v>475</v>
      </c>
      <c r="B145" s="66" t="n">
        <f aca="false">C145+NPV(Hurdle,D145:W145)</f>
        <v>-1106378.58324186</v>
      </c>
      <c r="C145" s="31" t="n">
        <f aca="false">-C102+C98-C103-C137</f>
        <v>-1162734.14692871</v>
      </c>
      <c r="D145" s="31" t="n">
        <f aca="false">-D102+D98-D103-D137</f>
        <v>-2587.46160792928</v>
      </c>
      <c r="E145" s="31" t="n">
        <f aca="false">-E102+E98-E103-E137</f>
        <v>15368.2921251357</v>
      </c>
      <c r="F145" s="31" t="n">
        <f aca="false">-F102+F98-F103-F137</f>
        <v>29975.356240653</v>
      </c>
      <c r="G145" s="31" t="n">
        <f aca="false">-G102+G98-G103-G137</f>
        <v>31864.4526250285</v>
      </c>
      <c r="H145" s="31" t="n">
        <f aca="false">-H102+H98-H103-H137</f>
        <v>35698.9083476421</v>
      </c>
      <c r="I145" s="31" t="n">
        <f aca="false">-I102+I98-I103-I137</f>
        <v>39823.6997404953</v>
      </c>
      <c r="J145" s="31" t="n">
        <f aca="false">-J102+J98-J103-J137</f>
        <v>42380.0660897915</v>
      </c>
      <c r="K145" s="31" t="n">
        <f aca="false">-K102+K98-K103-K137</f>
        <v>-126759.435636267</v>
      </c>
      <c r="L145" s="31" t="n">
        <f aca="false">-L102+L98-L103-L137</f>
        <v>35576.9671136175</v>
      </c>
      <c r="M145" s="31" t="n">
        <f aca="false">-M102+M98-M103-M137</f>
        <v>31655.7975557784</v>
      </c>
      <c r="N145" s="31" t="n">
        <f aca="false">-N102+N98-N103-N137</f>
        <v>27355.8539127733</v>
      </c>
      <c r="O145" s="31" t="n">
        <f aca="false">-O102+O98-O103-O137</f>
        <v>22650.9296818046</v>
      </c>
      <c r="P145" s="31" t="n">
        <f aca="false">-P102+P98-P103-P137</f>
        <v>17513.1545523305</v>
      </c>
      <c r="Q145" s="31" t="n">
        <f aca="false">-Q102+Q98-Q103-Q137</f>
        <v>11912.8916998477</v>
      </c>
      <c r="R145" s="31" t="n">
        <f aca="false">-R102+R98-R103-R137</f>
        <v>5818.6287997234</v>
      </c>
      <c r="S145" s="31" t="n">
        <f aca="false">-S102+S98-S103-S137</f>
        <v>-210964.648905393</v>
      </c>
      <c r="T145" s="31" t="n">
        <f aca="false">-T102+T98-T103-T137</f>
        <v>-7988.02490500035</v>
      </c>
      <c r="U145" s="31" t="n">
        <f aca="false">-U102+U98-U103-U137</f>
        <v>-15773.8944749298</v>
      </c>
      <c r="V145" s="31" t="n">
        <f aca="false">-V102+V98-V103-V137</f>
        <v>-24200.9900149231</v>
      </c>
      <c r="W145" s="31" t="n">
        <f aca="false">-W102+W98-W103-W137</f>
        <v>-33312.0840829643</v>
      </c>
    </row>
    <row r="146" customFormat="false" ht="15" hidden="false" customHeight="false" outlineLevel="0" collapsed="false">
      <c r="A146" s="16" t="s">
        <v>476</v>
      </c>
      <c r="B146" s="66" t="n">
        <f aca="false">C146+NPV(Hurdle,D146:W146)</f>
        <v>-288458.222610756</v>
      </c>
      <c r="C146" s="31" t="n">
        <f aca="false">C145+C106+C108</f>
        <v>-562734.146928707</v>
      </c>
      <c r="D146" s="31" t="n">
        <f aca="false">D145+D106+D108</f>
        <v>148612.538392071</v>
      </c>
      <c r="E146" s="31" t="n">
        <f aca="false">E145+E106+E108</f>
        <v>78368.2921251357</v>
      </c>
      <c r="F146" s="31" t="n">
        <f aca="false">F145+F106+F108</f>
        <v>67775.356240653</v>
      </c>
      <c r="G146" s="31" t="n">
        <f aca="false">G145+G106+G108</f>
        <v>31864.4526250285</v>
      </c>
      <c r="H146" s="31" t="n">
        <f aca="false">H145+H106+H108</f>
        <v>35698.9083476421</v>
      </c>
      <c r="I146" s="31" t="n">
        <f aca="false">I145+I106+I108</f>
        <v>39823.6997404953</v>
      </c>
      <c r="J146" s="31" t="n">
        <f aca="false">J145+J106+J108</f>
        <v>42380.0660897915</v>
      </c>
      <c r="K146" s="31" t="n">
        <f aca="false">K145+K106+K108</f>
        <v>-126759.435636267</v>
      </c>
      <c r="L146" s="31" t="n">
        <f aca="false">L145+L106+L108</f>
        <v>35576.9671136175</v>
      </c>
      <c r="M146" s="31" t="n">
        <f aca="false">M145+M106+M108</f>
        <v>31655.7975557784</v>
      </c>
      <c r="N146" s="31" t="n">
        <f aca="false">N145+N106+N108</f>
        <v>27355.8539127733</v>
      </c>
      <c r="O146" s="31" t="n">
        <f aca="false">O145+O106+O108</f>
        <v>22650.9296818046</v>
      </c>
      <c r="P146" s="31" t="n">
        <f aca="false">P145+P106+P108</f>
        <v>17513.1545523305</v>
      </c>
      <c r="Q146" s="31" t="n">
        <f aca="false">Q145+Q106+Q108</f>
        <v>11912.8916998477</v>
      </c>
      <c r="R146" s="31" t="n">
        <f aca="false">R145+R106+R108</f>
        <v>5818.6287997234</v>
      </c>
      <c r="S146" s="31" t="n">
        <f aca="false">S145+S106+S108</f>
        <v>-210964.648905393</v>
      </c>
      <c r="T146" s="31" t="n">
        <f aca="false">T145+T106+T108</f>
        <v>-7988.02490500035</v>
      </c>
      <c r="U146" s="31" t="n">
        <f aca="false">U145+U106+U108</f>
        <v>-15773.8944749298</v>
      </c>
      <c r="V146" s="31" t="n">
        <f aca="false">V145+V106+V108</f>
        <v>-24200.9900149231</v>
      </c>
      <c r="W146" s="31" t="n">
        <f aca="false">W145+W106+W108</f>
        <v>-33312.0840829643</v>
      </c>
    </row>
    <row r="147" customFormat="false" ht="15" hidden="false" customHeight="false" outlineLevel="0" collapsed="false">
      <c r="A147" s="11" t="s">
        <v>243</v>
      </c>
      <c r="B147" s="66" t="n">
        <f aca="false">SUM(C147:W147)</f>
        <v>178008.458857214</v>
      </c>
      <c r="C147" s="95" t="n">
        <v>0</v>
      </c>
      <c r="D147" s="95" t="n">
        <f aca="false">D98-D105-D142+D108</f>
        <v>127874.608678983</v>
      </c>
      <c r="E147" s="95" t="n">
        <f aca="false">E98-E105-E142+E108</f>
        <v>57630.362412048</v>
      </c>
      <c r="F147" s="95" t="n">
        <f aca="false">F98-F105-F142+F108</f>
        <v>47037.4265275653</v>
      </c>
      <c r="G147" s="95" t="n">
        <f aca="false">G98-G105-G142+G108</f>
        <v>11126.5229119408</v>
      </c>
      <c r="H147" s="95" t="n">
        <f aca="false">H98-H105-H142+H108</f>
        <v>14960.9786345544</v>
      </c>
      <c r="I147" s="95" t="n">
        <f aca="false">I98-I105-I142+I108</f>
        <v>19085.7700274076</v>
      </c>
      <c r="J147" s="95" t="n">
        <f aca="false">J98-J105-J142+J108</f>
        <v>21642.1363767038</v>
      </c>
      <c r="K147" s="95" t="n">
        <f aca="false">K98-K105-K142+K108</f>
        <v>18406.0723553462</v>
      </c>
      <c r="L147" s="95" t="n">
        <f aca="false">L98-L105-L142+L108</f>
        <v>9306.77820315878</v>
      </c>
      <c r="M147" s="95" t="n">
        <f aca="false">M98-M105-M142+M108</f>
        <v>5385.6086453197</v>
      </c>
      <c r="N147" s="95" t="n">
        <f aca="false">N98-N105-N142+N108</f>
        <v>1085.66500231457</v>
      </c>
      <c r="O147" s="95" t="n">
        <f aca="false">O98-O105-O142+O108</f>
        <v>-3619.25922865413</v>
      </c>
      <c r="P147" s="95" t="n">
        <f aca="false">P98-P105-P142+P108</f>
        <v>-8757.03435812821</v>
      </c>
      <c r="Q147" s="95" t="n">
        <f aca="false">Q98-Q105-Q142+Q108</f>
        <v>-14357.297210611</v>
      </c>
      <c r="R147" s="95" t="n">
        <f aca="false">R98-R105-R142+R108</f>
        <v>-20451.5601107353</v>
      </c>
      <c r="S147" s="95" t="n">
        <f aca="false">S98-S105-S142+S108</f>
        <v>-27073.3265321819</v>
      </c>
      <c r="T147" s="95" t="n">
        <f aca="false">T98-T105-T142+T108</f>
        <v>-7988.02490500035</v>
      </c>
      <c r="U147" s="95" t="n">
        <f aca="false">U98-U105-U142+U108</f>
        <v>-15773.8944749298</v>
      </c>
      <c r="V147" s="95" t="n">
        <f aca="false">V98-V105-V142+V108</f>
        <v>-24200.9900149231</v>
      </c>
      <c r="W147" s="95" t="n">
        <f aca="false">W98-W105-W142+W108</f>
        <v>-33312.0840829643</v>
      </c>
    </row>
    <row r="148" customFormat="false" ht="15" hidden="false" customHeight="false" outlineLevel="0" collapsed="false">
      <c r="A148" s="11" t="s">
        <v>477</v>
      </c>
      <c r="C148" s="97" t="n">
        <v>0</v>
      </c>
      <c r="D148" s="97" t="n">
        <f aca="false">IF(D125&gt;0,D147/D125,"")</f>
        <v>8.73992489491486</v>
      </c>
      <c r="E148" s="97" t="n">
        <f aca="false">IF(E125&gt;0,E147/E125,"")</f>
        <v>3.93889799039368</v>
      </c>
      <c r="F148" s="97" t="n">
        <f aca="false">IF(F125&gt;0,F147/F125,"")</f>
        <v>1.92204178315707</v>
      </c>
      <c r="G148" s="97" t="n">
        <f aca="false">IF(G125&gt;0,G147/G125,"")</f>
        <v>0.454651615038336</v>
      </c>
      <c r="H148" s="97" t="n">
        <f aca="false">IF(H125&gt;0,H147/H125,"")</f>
        <v>0.611335019267734</v>
      </c>
      <c r="I148" s="97" t="n">
        <f aca="false">IF(I125&gt;0,I147/I125,"")</f>
        <v>0.556596255372664</v>
      </c>
      <c r="J148" s="97" t="n">
        <f aca="false">IF(J125&gt;0,J147/J125,"")</f>
        <v>0.631147291843065</v>
      </c>
      <c r="K148" s="97" t="n">
        <f aca="false">IF(K125&gt;0,K147/K125,"")</f>
        <v>0.536774305379993</v>
      </c>
      <c r="L148" s="97" t="n">
        <f aca="false">IF(L125&gt;0,L147/L125,"")</f>
        <v>0.271412570204049</v>
      </c>
      <c r="M148" s="97" t="n">
        <f aca="false">IF(M125&gt;0,M147/M125,"")</f>
        <v>0.157059924780763</v>
      </c>
      <c r="N148" s="97" t="n">
        <f aca="false">IF(N125&gt;0,N147/N125,"")</f>
        <v>0.0822852383587916</v>
      </c>
      <c r="O148" s="97" t="n">
        <f aca="false">IF(O125&gt;0,O147/O125,"")</f>
        <v>-0.274312617314867</v>
      </c>
      <c r="P148" s="97" t="n">
        <f aca="false">IF(P125&gt;0,P147/P125,"")</f>
        <v>-0.66371731421616</v>
      </c>
      <c r="Q148" s="97" t="n">
        <f aca="false">IF(Q125&gt;0,Q147/Q125,"")</f>
        <v>-1.08817510064751</v>
      </c>
      <c r="R148" s="97" t="n">
        <f aca="false">IF(R125&gt;0,R147/R125,"")</f>
        <v>-1.55007437370944</v>
      </c>
      <c r="S148" s="97" t="str">
        <f aca="false">IF(S125&gt;0,S147/S125,"")</f>
        <v/>
      </c>
      <c r="T148" s="97" t="str">
        <f aca="false">IF(T125&gt;0,T147/T125,"")</f>
        <v/>
      </c>
      <c r="U148" s="97" t="str">
        <f aca="false">IF(U125&gt;0,U147/U125,"")</f>
        <v/>
      </c>
      <c r="V148" s="97" t="str">
        <f aca="false">IF(V125&gt;0,V147/V125,"")</f>
        <v/>
      </c>
      <c r="W148" s="97" t="str">
        <f aca="false">IF(W125&gt;0,W147/W125,"")</f>
        <v/>
      </c>
    </row>
    <row r="149" customFormat="false" ht="15" hidden="false" customHeight="false" outlineLevel="0" collapsed="false">
      <c r="A149" s="16" t="s">
        <v>478</v>
      </c>
      <c r="B149" s="66" t="n">
        <f aca="false">C149+NPV(Hurdle,D149:W149)</f>
        <v>-300717.198327881</v>
      </c>
      <c r="C149" s="31" t="n">
        <f aca="false">-S_Coll_Lo!$B$18-C129</f>
        <v>-344956.032067298</v>
      </c>
      <c r="D149" s="31" t="n">
        <f aca="false">D147-D125-D129</f>
        <v>113243.520858837</v>
      </c>
      <c r="E149" s="31" t="n">
        <f aca="false">E147-E125-E129</f>
        <v>38078.5011285035</v>
      </c>
      <c r="F149" s="31" t="n">
        <f aca="false">F147-F125-F129</f>
        <v>22564.7917806226</v>
      </c>
      <c r="G149" s="31" t="n">
        <f aca="false">G147-G125-G129</f>
        <v>-13346.1118350019</v>
      </c>
      <c r="H149" s="31" t="n">
        <f aca="false">H147-H125-H129</f>
        <v>-14420.4145844496</v>
      </c>
      <c r="I149" s="31" t="n">
        <f aca="false">I147-I125-I129</f>
        <v>-15204.3816636578</v>
      </c>
      <c r="J149" s="31" t="n">
        <f aca="false">J147-J125-J129</f>
        <v>-12648.0153143616</v>
      </c>
      <c r="K149" s="31" t="n">
        <f aca="false">K147-K125-K129</f>
        <v>-15884.0793357192</v>
      </c>
      <c r="L149" s="31" t="n">
        <f aca="false">L147-L125-L129</f>
        <v>-24983.3734879066</v>
      </c>
      <c r="M149" s="31" t="n">
        <f aca="false">M147-M125-M129</f>
        <v>-18356.4281130605</v>
      </c>
      <c r="N149" s="31" t="n">
        <f aca="false">N147-N125-N129</f>
        <v>-12108.2568233804</v>
      </c>
      <c r="O149" s="31" t="n">
        <f aca="false">O147-O125-O129</f>
        <v>-16813.1810543491</v>
      </c>
      <c r="P149" s="31" t="n">
        <f aca="false">P147-P125-P129</f>
        <v>-21950.9561838232</v>
      </c>
      <c r="Q149" s="31" t="n">
        <f aca="false">Q147-Q125-Q129</f>
        <v>-27551.219036306</v>
      </c>
      <c r="R149" s="31" t="n">
        <f aca="false">R147-R125-R129</f>
        <v>-27048.5210235828</v>
      </c>
      <c r="S149" s="31" t="n">
        <f aca="false">S147-S125-S129</f>
        <v>-27073.3265321819</v>
      </c>
      <c r="T149" s="31" t="n">
        <f aca="false">T147-T125-T129</f>
        <v>-7988.02490500035</v>
      </c>
      <c r="U149" s="31" t="n">
        <f aca="false">U147-U125-U129</f>
        <v>-15773.8944749298</v>
      </c>
      <c r="V149" s="31" t="n">
        <f aca="false">V147-V125-V129</f>
        <v>-24200.9900149231</v>
      </c>
      <c r="W149" s="31" t="n">
        <f aca="false">W147-W125-W129</f>
        <v>-33312.0840829643</v>
      </c>
    </row>
    <row r="150" customFormat="false" ht="15" hidden="false" customHeight="false" outlineLevel="0" collapsed="false">
      <c r="A150" s="11" t="s">
        <v>479</v>
      </c>
      <c r="C150" s="95" t="n">
        <f aca="false">C149</f>
        <v>-344956.032067298</v>
      </c>
      <c r="D150" s="95" t="n">
        <f aca="false">C150+D149</f>
        <v>-231712.511208461</v>
      </c>
      <c r="E150" s="95" t="n">
        <f aca="false">D150+E149</f>
        <v>-193634.010079957</v>
      </c>
      <c r="F150" s="95" t="n">
        <f aca="false">E150+F149</f>
        <v>-171069.218299335</v>
      </c>
      <c r="G150" s="95" t="n">
        <f aca="false">F150+G149</f>
        <v>-184415.330134337</v>
      </c>
      <c r="H150" s="95" t="n">
        <f aca="false">G150+H149</f>
        <v>-198835.744718786</v>
      </c>
      <c r="I150" s="95" t="n">
        <f aca="false">H150+I149</f>
        <v>-214040.126382444</v>
      </c>
      <c r="J150" s="95" t="n">
        <f aca="false">I150+J149</f>
        <v>-226688.141696806</v>
      </c>
      <c r="K150" s="95" t="n">
        <f aca="false">J150+K149</f>
        <v>-242572.221032525</v>
      </c>
      <c r="L150" s="95" t="n">
        <f aca="false">K150+L149</f>
        <v>-267555.594520431</v>
      </c>
      <c r="M150" s="95" t="n">
        <f aca="false">L150+M149</f>
        <v>-285912.022633492</v>
      </c>
      <c r="N150" s="95" t="n">
        <f aca="false">M150+N149</f>
        <v>-298020.279456872</v>
      </c>
      <c r="O150" s="95" t="n">
        <f aca="false">N150+O149</f>
        <v>-314833.460511221</v>
      </c>
      <c r="P150" s="95" t="n">
        <f aca="false">O150+P149</f>
        <v>-336784.416695045</v>
      </c>
      <c r="Q150" s="95" t="n">
        <f aca="false">P150+Q149</f>
        <v>-364335.63573135</v>
      </c>
      <c r="R150" s="95" t="n">
        <f aca="false">Q150+R149</f>
        <v>-391384.156754933</v>
      </c>
      <c r="S150" s="95" t="n">
        <f aca="false">R150+S149</f>
        <v>-418457.483287115</v>
      </c>
      <c r="T150" s="95" t="n">
        <f aca="false">S150+T149</f>
        <v>-426445.508192115</v>
      </c>
      <c r="U150" s="95" t="n">
        <f aca="false">T150+U149</f>
        <v>-442219.402667045</v>
      </c>
      <c r="V150" s="95" t="n">
        <f aca="false">U150+V149</f>
        <v>-466420.392681968</v>
      </c>
      <c r="W150" s="95" t="n">
        <f aca="false">V150+W149</f>
        <v>-499732.476764933</v>
      </c>
    </row>
    <row r="152" customFormat="false" ht="15" hidden="false" customHeight="false" outlineLevel="0" collapsed="false">
      <c r="A152" s="9" t="s">
        <v>480</v>
      </c>
      <c r="B152" s="10"/>
      <c r="C152" s="10"/>
      <c r="D152" s="10"/>
      <c r="E152" s="10"/>
      <c r="F152" s="10"/>
      <c r="G152" s="10"/>
      <c r="H152" s="10"/>
      <c r="I152" s="10"/>
      <c r="J152" s="10"/>
      <c r="K152" s="10"/>
      <c r="L152" s="10"/>
      <c r="M152" s="10"/>
      <c r="N152" s="10"/>
      <c r="O152" s="10"/>
      <c r="P152" s="10"/>
      <c r="Q152" s="10"/>
      <c r="R152" s="10"/>
      <c r="S152" s="10"/>
      <c r="T152" s="10"/>
      <c r="U152" s="10"/>
      <c r="V152" s="10"/>
      <c r="W152" s="10"/>
    </row>
    <row r="153" customFormat="false" ht="15" hidden="false" customHeight="false" outlineLevel="0" collapsed="false">
      <c r="A153" s="11" t="s">
        <v>481</v>
      </c>
      <c r="B153" s="66" t="n">
        <f aca="false">C153+NPV(Hurdle,D153:W153)</f>
        <v>2323238.80329335</v>
      </c>
      <c r="C153" s="95" t="n">
        <f aca="false">C102+C96-C93+C103</f>
        <v>1162734.14692871</v>
      </c>
      <c r="D153" s="95" t="n">
        <f aca="false">D102+D96-D93+D103</f>
        <v>66407.5541247933</v>
      </c>
      <c r="E153" s="95" t="n">
        <f aca="false">E102+E96-E93+E103</f>
        <v>73279.1455139807</v>
      </c>
      <c r="F153" s="95" t="n">
        <f aca="false">F102+F96-F93+F103</f>
        <v>78859.6369550395</v>
      </c>
      <c r="G153" s="95" t="n">
        <f aca="false">G102+G96-G93+G103</f>
        <v>81823.4407312817</v>
      </c>
      <c r="H153" s="95" t="n">
        <f aca="false">H102+H96-H93+H103</f>
        <v>84912.5777140674</v>
      </c>
      <c r="I153" s="95" t="n">
        <f aca="false">I102+I96-I93+I103</f>
        <v>88133.0258223723</v>
      </c>
      <c r="J153" s="95" t="n">
        <f aca="false">J102+J96-J93+J103</f>
        <v>93369.2240598548</v>
      </c>
      <c r="K153" s="95" t="n">
        <f aca="false">K102+K96-K93+K103</f>
        <v>270775.857556027</v>
      </c>
      <c r="L153" s="95" t="n">
        <f aca="false">L102+L96-L93+L103</f>
        <v>117210.054901056</v>
      </c>
      <c r="M153" s="95" t="n">
        <f aca="false">M102+M96-M93+M103</f>
        <v>130435.954099588</v>
      </c>
      <c r="N153" s="95" t="n">
        <f aca="false">N102+N96-N93+N103</f>
        <v>144607.285418405</v>
      </c>
      <c r="O153" s="95" t="n">
        <f aca="false">O102+O96-O93+O103</f>
        <v>159784.764834643</v>
      </c>
      <c r="P153" s="95" t="n">
        <f aca="false">P102+P96-P93+P103</f>
        <v>176032.873760168</v>
      </c>
      <c r="Q153" s="95" t="n">
        <f aca="false">Q102+Q96-Q93+Q103</f>
        <v>193420.089736882</v>
      </c>
      <c r="R153" s="95" t="n">
        <f aca="false">R102+R96-R93+R103</f>
        <v>212019.131206504</v>
      </c>
      <c r="S153" s="95" t="n">
        <f aca="false">S102+S96-S93+S103</f>
        <v>442068.728495999</v>
      </c>
      <c r="T153" s="95" t="n">
        <f aca="false">T102+T96-T93+T103</f>
        <v>253166.342942675</v>
      </c>
      <c r="U153" s="95" t="n">
        <f aca="false">U102+U96-U93+U103</f>
        <v>275883.572081098</v>
      </c>
      <c r="V153" s="95" t="n">
        <f aca="false">V102+V96-V93+V103</f>
        <v>300151.346987308</v>
      </c>
      <c r="W153" s="95" t="n">
        <f aca="false">W102+W96-W93+W103</f>
        <v>326067.817794967</v>
      </c>
    </row>
    <row r="154" customFormat="false" ht="15" hidden="false" customHeight="false" outlineLevel="0" collapsed="false">
      <c r="A154" s="11" t="s">
        <v>482</v>
      </c>
      <c r="B154" s="76" t="n">
        <f aca="false">C154+NPV(Hurdle,D154:W154)</f>
        <v>3504620.16232003</v>
      </c>
      <c r="C154" s="93" t="n">
        <f aca="false">C66</f>
        <v>0</v>
      </c>
      <c r="D154" s="93" t="n">
        <f aca="false">D66</f>
        <v>211139.712</v>
      </c>
      <c r="E154" s="93" t="n">
        <f aca="false">E66</f>
        <v>308088.02976</v>
      </c>
      <c r="F154" s="93" t="n">
        <f aca="false">F66</f>
        <v>373330.200768</v>
      </c>
      <c r="G154" s="93" t="n">
        <f aca="false">G66</f>
        <v>384530.10679104</v>
      </c>
      <c r="H154" s="93" t="n">
        <f aca="false">H66</f>
        <v>396066.009994771</v>
      </c>
      <c r="I154" s="93" t="n">
        <f aca="false">I66</f>
        <v>407947.990294614</v>
      </c>
      <c r="J154" s="93" t="n">
        <f aca="false">J66</f>
        <v>420186.430003453</v>
      </c>
      <c r="K154" s="93" t="n">
        <f aca="false">K66</f>
        <v>432792.022903556</v>
      </c>
      <c r="L154" s="93" t="n">
        <f aca="false">L66</f>
        <v>445775.783590663</v>
      </c>
      <c r="M154" s="93" t="n">
        <f aca="false">M66</f>
        <v>459149.057098383</v>
      </c>
      <c r="N154" s="93" t="n">
        <f aca="false">N66</f>
        <v>472923.528811335</v>
      </c>
      <c r="O154" s="93" t="n">
        <f aca="false">O66</f>
        <v>487111.234675675</v>
      </c>
      <c r="P154" s="93" t="n">
        <f aca="false">P66</f>
        <v>501724.571715945</v>
      </c>
      <c r="Q154" s="93" t="n">
        <f aca="false">Q66</f>
        <v>516776.308867423</v>
      </c>
      <c r="R154" s="93" t="n">
        <f aca="false">R66</f>
        <v>532279.598133446</v>
      </c>
      <c r="S154" s="93" t="n">
        <f aca="false">S66</f>
        <v>548247.986077449</v>
      </c>
      <c r="T154" s="93" t="n">
        <f aca="false">T66</f>
        <v>564695.425659773</v>
      </c>
      <c r="U154" s="93" t="n">
        <f aca="false">U66</f>
        <v>581636.288429566</v>
      </c>
      <c r="V154" s="93" t="n">
        <f aca="false">V66</f>
        <v>599085.377082453</v>
      </c>
      <c r="W154" s="93" t="n">
        <f aca="false">W66</f>
        <v>617057.938394927</v>
      </c>
    </row>
    <row r="155" customFormat="false" ht="15" hidden="false" customHeight="false" outlineLevel="0" collapsed="false">
      <c r="A155" s="11" t="s">
        <v>483</v>
      </c>
      <c r="B155" s="66" t="n">
        <f aca="false">C155+NPV(Hurdle,D155:W155)</f>
        <v>1244550.2938559</v>
      </c>
      <c r="C155" s="95" t="n">
        <f aca="false">C83</f>
        <v>0</v>
      </c>
      <c r="D155" s="95" t="n">
        <f aca="false">D83</f>
        <v>58893.9098112</v>
      </c>
      <c r="E155" s="95" t="n">
        <f aca="false">E83</f>
        <v>88514.1109681613</v>
      </c>
      <c r="F155" s="95" t="n">
        <f aca="false">F83</f>
        <v>110476.023913085</v>
      </c>
      <c r="G155" s="95" t="n">
        <f aca="false">G83</f>
        <v>117204.013769392</v>
      </c>
      <c r="H155" s="95" t="n">
        <f aca="false">H83</f>
        <v>124341.738207948</v>
      </c>
      <c r="I155" s="95" t="n">
        <f aca="false">I83</f>
        <v>131914.150064812</v>
      </c>
      <c r="J155" s="95" t="n">
        <f aca="false">J83</f>
        <v>139947.721803759</v>
      </c>
      <c r="K155" s="95" t="n">
        <f aca="false">K83</f>
        <v>148470.538061608</v>
      </c>
      <c r="L155" s="95" t="n">
        <f aca="false">L83</f>
        <v>157512.39382956</v>
      </c>
      <c r="M155" s="95" t="n">
        <f aca="false">M83</f>
        <v>167104.89861378</v>
      </c>
      <c r="N155" s="95" t="n">
        <f aca="false">N83</f>
        <v>177281.586939359</v>
      </c>
      <c r="O155" s="95" t="n">
        <f aca="false">O83</f>
        <v>188078.035583966</v>
      </c>
      <c r="P155" s="95" t="n">
        <f aca="false">P83</f>
        <v>199531.98795103</v>
      </c>
      <c r="Q155" s="95" t="n">
        <f aca="false">Q83</f>
        <v>211683.486017248</v>
      </c>
      <c r="R155" s="95" t="n">
        <f aca="false">R83</f>
        <v>224575.010315698</v>
      </c>
      <c r="S155" s="95" t="n">
        <f aca="false">S83</f>
        <v>238251.628443924</v>
      </c>
      <c r="T155" s="95" t="n">
        <f aca="false">T83</f>
        <v>252761.152616159</v>
      </c>
      <c r="U155" s="95" t="n">
        <f aca="false">U83</f>
        <v>268154.306810483</v>
      </c>
      <c r="V155" s="95" t="n">
        <f aca="false">V83</f>
        <v>284484.904095242</v>
      </c>
      <c r="W155" s="95" t="n">
        <f aca="false">W83</f>
        <v>301810.034754642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7" t="s">
        <v>392</v>
      </c>
    </row>
    <row r="2" customFormat="false" ht="15" hidden="false" customHeight="false" outlineLevel="0" collapsed="false">
      <c r="A2" s="8" t="s">
        <v>393</v>
      </c>
    </row>
    <row r="4" customFormat="false" ht="15" hidden="false" customHeight="false" outlineLevel="0" collapsed="false">
      <c r="A4" s="9" t="s">
        <v>394</v>
      </c>
      <c r="B4" s="10"/>
    </row>
    <row r="5" customFormat="false" ht="15" hidden="false" customHeight="false" outlineLevel="0" collapsed="false">
      <c r="A5" s="11" t="s">
        <v>67</v>
      </c>
      <c r="B5" s="67" t="n">
        <v>1</v>
      </c>
    </row>
    <row r="6" customFormat="false" ht="15" hidden="false" customHeight="false" outlineLevel="0" collapsed="false">
      <c r="A6" s="11" t="s">
        <v>333</v>
      </c>
      <c r="B6" s="67" t="n">
        <v>1</v>
      </c>
    </row>
    <row r="7" customFormat="false" ht="15" hidden="false" customHeight="false" outlineLevel="0" collapsed="false">
      <c r="A7" s="11" t="s">
        <v>69</v>
      </c>
      <c r="B7" s="67" t="n">
        <v>1</v>
      </c>
    </row>
    <row r="8" customFormat="false" ht="15" hidden="false" customHeight="false" outlineLevel="0" collapsed="false">
      <c r="A8" s="11" t="s">
        <v>70</v>
      </c>
      <c r="B8" s="67" t="n">
        <v>1</v>
      </c>
    </row>
    <row r="9" customFormat="false" ht="15" hidden="false" customHeight="false" outlineLevel="0" collapsed="false">
      <c r="A9" s="11" t="s">
        <v>395</v>
      </c>
      <c r="B9" s="67" t="n">
        <f aca="false">1+SensDelta</f>
        <v>1.2</v>
      </c>
    </row>
    <row r="10" customFormat="false" ht="15" hidden="false" customHeight="false" outlineLevel="0" collapsed="false">
      <c r="A10" s="11" t="s">
        <v>72</v>
      </c>
      <c r="B10" s="67" t="n">
        <v>1</v>
      </c>
    </row>
    <row r="11" customFormat="false" ht="15" hidden="false" customHeight="false" outlineLevel="0" collapsed="false">
      <c r="A11" s="11" t="s">
        <v>334</v>
      </c>
      <c r="B11" s="67" t="n">
        <v>1</v>
      </c>
    </row>
    <row r="13" customFormat="false" ht="15" hidden="false" customHeight="false" outlineLevel="0" collapsed="false">
      <c r="A13" s="9" t="s">
        <v>396</v>
      </c>
      <c r="B13" s="10"/>
    </row>
    <row r="14" customFormat="false" ht="15" hidden="false" customHeight="false" outlineLevel="0" collapsed="false">
      <c r="A14" s="11" t="s">
        <v>397</v>
      </c>
      <c r="B14" s="66" t="n">
        <f aca="false">TotalCapexBase*LevCapex*$B$7</f>
        <v>1162734.14692871</v>
      </c>
    </row>
    <row r="15" customFormat="false" ht="15" hidden="false" customHeight="false" outlineLevel="0" collapsed="false">
      <c r="A15" s="11" t="s">
        <v>398</v>
      </c>
      <c r="B15" s="66" t="n">
        <f aca="false">HardCapexBase*LevCapex*$B$7</f>
        <v>1011073.17124235</v>
      </c>
    </row>
    <row r="16" customFormat="false" ht="15" hidden="false" customHeight="false" outlineLevel="0" collapsed="false">
      <c r="A16" s="11" t="s">
        <v>252</v>
      </c>
      <c r="B16" s="66" t="n">
        <f aca="false">MAX(0,S_Coll_Hi!$B$14-Grant)*SenPct</f>
        <v>112546.829385741</v>
      </c>
    </row>
    <row r="17" customFormat="false" ht="15" hidden="false" customHeight="false" outlineLevel="0" collapsed="false">
      <c r="A17" s="11" t="s">
        <v>254</v>
      </c>
      <c r="B17" s="66" t="n">
        <f aca="false">MAX(0,S_Coll_Hi!$B$14-Grant)*ConPct</f>
        <v>112546.829385741</v>
      </c>
    </row>
    <row r="18" customFormat="false" ht="15" hidden="false" customHeight="false" outlineLevel="0" collapsed="false">
      <c r="A18" s="11" t="s">
        <v>399</v>
      </c>
      <c r="B18" s="66" t="n">
        <f aca="false">MAX(0,S_Coll_Hi!$B$14-Grant-S_Coll_Hi!$B$16-S_Coll_Hi!$B$17)</f>
        <v>337640.488157224</v>
      </c>
    </row>
    <row r="19" customFormat="false" ht="15" hidden="false" customHeight="false" outlineLevel="0" collapsed="false">
      <c r="A19" s="11" t="s">
        <v>400</v>
      </c>
      <c r="B19" s="66" t="n">
        <f aca="false">C128</f>
        <v>7315.5439100732</v>
      </c>
    </row>
    <row r="20" customFormat="false" ht="15" hidden="false" customHeight="false" outlineLevel="0" collapsed="false">
      <c r="A20" s="11" t="s">
        <v>401</v>
      </c>
      <c r="B20" s="66" t="n">
        <f aca="false">$B$145</f>
        <v>-691147.081921861</v>
      </c>
    </row>
    <row r="21" customFormat="false" ht="15" hidden="false" customHeight="false" outlineLevel="0" collapsed="false">
      <c r="A21" s="11" t="s">
        <v>402</v>
      </c>
      <c r="B21" s="66" t="n">
        <f aca="false">$B$146</f>
        <v>126773.278709244</v>
      </c>
    </row>
    <row r="22" customFormat="false" ht="15" hidden="false" customHeight="false" outlineLevel="0" collapsed="false">
      <c r="A22" s="11" t="s">
        <v>403</v>
      </c>
      <c r="B22" s="68" t="n">
        <f aca="false">IFERROR(IRR($C$145:$W$145),"n/a")</f>
        <v>-0.00748891522330516</v>
      </c>
    </row>
    <row r="23" customFormat="false" ht="15" hidden="false" customHeight="false" outlineLevel="0" collapsed="false">
      <c r="A23" s="11" t="s">
        <v>404</v>
      </c>
      <c r="B23" s="68" t="n">
        <f aca="false">IFERROR(IRR($C$146:$W$146),"n/a")</f>
        <v>0.143839589539844</v>
      </c>
    </row>
    <row r="24" customFormat="false" ht="15" hidden="false" customHeight="false" outlineLevel="0" collapsed="false">
      <c r="A24" s="11" t="s">
        <v>390</v>
      </c>
      <c r="B24" s="66" t="n">
        <f aca="false">MAX(0,-$B$145)</f>
        <v>691147.081921861</v>
      </c>
    </row>
    <row r="25" customFormat="false" ht="15" hidden="false" customHeight="false" outlineLevel="0" collapsed="false">
      <c r="A25" s="11" t="s">
        <v>262</v>
      </c>
      <c r="B25" s="68" t="n">
        <f aca="false">IFERROR(IRR($C$149:$W$149),"n/a")</f>
        <v>0.159593307845574</v>
      </c>
    </row>
    <row r="26" customFormat="false" ht="15" hidden="false" customHeight="false" outlineLevel="0" collapsed="false">
      <c r="A26" s="11" t="s">
        <v>264</v>
      </c>
      <c r="B26" s="66" t="n">
        <f aca="false">C149+NPV(TargetEqIRR,D149:W149)</f>
        <v>14794.3358924484</v>
      </c>
    </row>
    <row r="27" customFormat="false" ht="15" hidden="false" customHeight="false" outlineLevel="0" collapsed="false">
      <c r="A27" s="11" t="s">
        <v>258</v>
      </c>
      <c r="B27" s="67" t="n">
        <f aca="false">IF((S_Coll_Hi!$B$16+S_Coll_Hi!$B$17)&gt;0,MIN($D$148:$W$148),"no debt")</f>
        <v>1.85263733417388</v>
      </c>
    </row>
    <row r="28" customFormat="false" ht="15" hidden="false" customHeight="false" outlineLevel="0" collapsed="false">
      <c r="A28" s="11" t="s">
        <v>260</v>
      </c>
      <c r="B28" s="67" t="n">
        <f aca="false">IF((S_Coll_Hi!$B$16+S_Coll_Hi!$B$17)&gt;0,AVERAGE($D$148:$W$148),"no debt")</f>
        <v>3.78640646812454</v>
      </c>
    </row>
    <row r="29" customFormat="false" ht="15" hidden="false" customHeight="false" outlineLevel="0" collapsed="false">
      <c r="A29" s="11" t="s">
        <v>405</v>
      </c>
      <c r="B29" s="87" t="n">
        <f aca="false">IFERROR($B$153/$B$154,0)</f>
        <v>0.662907446653331</v>
      </c>
    </row>
    <row r="30" customFormat="false" ht="15" hidden="false" customHeight="false" outlineLevel="0" collapsed="false">
      <c r="A30" s="11" t="s">
        <v>261</v>
      </c>
      <c r="B30" s="87" t="n">
        <f aca="false">IFERROR($B$155/$B$154,0)</f>
        <v>0.482495961004337</v>
      </c>
    </row>
    <row r="31" customFormat="false" ht="15" hidden="false" customHeight="false" outlineLevel="0" collapsed="false">
      <c r="A31" s="11" t="s">
        <v>406</v>
      </c>
      <c r="B31" s="77" t="n">
        <f aca="false">NPV(Hurdle,D109:W109)</f>
        <v>838.820435762584</v>
      </c>
    </row>
    <row r="32" customFormat="false" ht="15" hidden="false" customHeight="false" outlineLevel="0" collapsed="false">
      <c r="A32" s="11" t="s">
        <v>407</v>
      </c>
      <c r="B32" s="66" t="n">
        <f aca="false">NPV(Hurdle,D108:W108)</f>
        <v>217920.360631104</v>
      </c>
    </row>
    <row r="33" customFormat="false" ht="15" hidden="false" customHeight="false" outlineLevel="0" collapsed="false">
      <c r="A33" s="11" t="s">
        <v>408</v>
      </c>
      <c r="B33" s="77" t="n">
        <f aca="false">NPV(TargetEqIRR,D109:W109)</f>
        <v>785.120407660064</v>
      </c>
    </row>
    <row r="34" customFormat="false" ht="15" hidden="false" customHeight="false" outlineLevel="0" collapsed="false">
      <c r="A34" s="11" t="s">
        <v>409</v>
      </c>
      <c r="B34" s="66" t="n">
        <f aca="false">NPV(TargetEqIRR,D108:W108)</f>
        <v>203969.425495192</v>
      </c>
    </row>
    <row r="35" customFormat="false" ht="15" hidden="false" customHeight="false" outlineLevel="0" collapsed="false">
      <c r="A35" s="11" t="s">
        <v>410</v>
      </c>
      <c r="B35" s="66" t="n">
        <f aca="false">MAX(0,MIN($D$127:$W$127))</f>
        <v>190313.712139681</v>
      </c>
    </row>
    <row r="36" customFormat="false" ht="15" hidden="false" customHeight="false" outlineLevel="0" collapsed="false">
      <c r="A36" s="11" t="s">
        <v>266</v>
      </c>
      <c r="B36" s="88" t="n">
        <f aca="false">IFERROR(MATCH(TRUE(),INDEX($C$150:$W$150&gt;=0,0),0)-1,"&gt; life")</f>
        <v>6</v>
      </c>
    </row>
    <row r="39" customFormat="false" ht="15" hidden="false" customHeight="false" outlineLevel="0" collapsed="false">
      <c r="A39" s="16" t="s">
        <v>411</v>
      </c>
      <c r="B39" s="74" t="s">
        <v>412</v>
      </c>
      <c r="C39" s="89" t="n">
        <v>0</v>
      </c>
      <c r="D39" s="89" t="n">
        <v>1</v>
      </c>
      <c r="E39" s="89" t="n">
        <v>2</v>
      </c>
      <c r="F39" s="89" t="n">
        <v>3</v>
      </c>
      <c r="G39" s="89" t="n">
        <v>4</v>
      </c>
      <c r="H39" s="89" t="n">
        <v>5</v>
      </c>
      <c r="I39" s="89" t="n">
        <v>6</v>
      </c>
      <c r="J39" s="89" t="n">
        <v>7</v>
      </c>
      <c r="K39" s="89" t="n">
        <v>8</v>
      </c>
      <c r="L39" s="89" t="n">
        <v>9</v>
      </c>
      <c r="M39" s="89" t="n">
        <v>10</v>
      </c>
      <c r="N39" s="89" t="n">
        <v>11</v>
      </c>
      <c r="O39" s="89" t="n">
        <v>12</v>
      </c>
      <c r="P39" s="89" t="n">
        <v>13</v>
      </c>
      <c r="Q39" s="89" t="n">
        <v>14</v>
      </c>
      <c r="R39" s="89" t="n">
        <v>15</v>
      </c>
      <c r="S39" s="89" t="n">
        <v>16</v>
      </c>
      <c r="T39" s="89" t="n">
        <v>17</v>
      </c>
      <c r="U39" s="89" t="n">
        <v>18</v>
      </c>
      <c r="V39" s="89" t="n">
        <v>19</v>
      </c>
      <c r="W39" s="89" t="n">
        <v>20</v>
      </c>
    </row>
    <row r="40" customFormat="false" ht="15" hidden="false" customHeight="false" outlineLevel="0" collapsed="false">
      <c r="A40" s="11" t="s">
        <v>413</v>
      </c>
      <c r="C40" s="90" t="n">
        <f aca="false">StartYear-1+C39</f>
        <v>2026</v>
      </c>
      <c r="D40" s="90" t="n">
        <f aca="false">StartYear-1+D39</f>
        <v>2027</v>
      </c>
      <c r="E40" s="90" t="n">
        <f aca="false">StartYear-1+E39</f>
        <v>2028</v>
      </c>
      <c r="F40" s="90" t="n">
        <f aca="false">StartYear-1+F39</f>
        <v>2029</v>
      </c>
      <c r="G40" s="90" t="n">
        <f aca="false">StartYear-1+G39</f>
        <v>2030</v>
      </c>
      <c r="H40" s="90" t="n">
        <f aca="false">StartYear-1+H39</f>
        <v>2031</v>
      </c>
      <c r="I40" s="90" t="n">
        <f aca="false">StartYear-1+I39</f>
        <v>2032</v>
      </c>
      <c r="J40" s="90" t="n">
        <f aca="false">StartYear-1+J39</f>
        <v>2033</v>
      </c>
      <c r="K40" s="90" t="n">
        <f aca="false">StartYear-1+K39</f>
        <v>2034</v>
      </c>
      <c r="L40" s="90" t="n">
        <f aca="false">StartYear-1+L39</f>
        <v>2035</v>
      </c>
      <c r="M40" s="90" t="n">
        <f aca="false">StartYear-1+M39</f>
        <v>2036</v>
      </c>
      <c r="N40" s="90" t="n">
        <f aca="false">StartYear-1+N39</f>
        <v>2037</v>
      </c>
      <c r="O40" s="90" t="n">
        <f aca="false">StartYear-1+O39</f>
        <v>2038</v>
      </c>
      <c r="P40" s="90" t="n">
        <f aca="false">StartYear-1+P39</f>
        <v>2039</v>
      </c>
      <c r="Q40" s="90" t="n">
        <f aca="false">StartYear-1+Q39</f>
        <v>2040</v>
      </c>
      <c r="R40" s="90" t="n">
        <f aca="false">StartYear-1+R39</f>
        <v>2041</v>
      </c>
      <c r="S40" s="90" t="n">
        <f aca="false">StartYear-1+S39</f>
        <v>2042</v>
      </c>
      <c r="T40" s="90" t="n">
        <f aca="false">StartYear-1+T39</f>
        <v>2043</v>
      </c>
      <c r="U40" s="90" t="n">
        <f aca="false">StartYear-1+U39</f>
        <v>2044</v>
      </c>
      <c r="V40" s="90" t="n">
        <f aca="false">StartYear-1+V39</f>
        <v>2045</v>
      </c>
      <c r="W40" s="90" t="n">
        <f aca="false">StartYear-1+W39</f>
        <v>2046</v>
      </c>
    </row>
    <row r="41" customFormat="false" ht="15" hidden="false" customHeight="false" outlineLevel="0" collapsed="false">
      <c r="A41" s="11" t="s">
        <v>414</v>
      </c>
      <c r="C41" s="90" t="n">
        <f aca="false">IF(AND(C39&gt;=1,C39&lt;=Life),1,0)</f>
        <v>0</v>
      </c>
      <c r="D41" s="90" t="n">
        <f aca="false">IF(AND(D39&gt;=1,D39&lt;=Life),1,0)</f>
        <v>1</v>
      </c>
      <c r="E41" s="90" t="n">
        <f aca="false">IF(AND(E39&gt;=1,E39&lt;=Life),1,0)</f>
        <v>1</v>
      </c>
      <c r="F41" s="90" t="n">
        <f aca="false">IF(AND(F39&gt;=1,F39&lt;=Life),1,0)</f>
        <v>1</v>
      </c>
      <c r="G41" s="90" t="n">
        <f aca="false">IF(AND(G39&gt;=1,G39&lt;=Life),1,0)</f>
        <v>1</v>
      </c>
      <c r="H41" s="90" t="n">
        <f aca="false">IF(AND(H39&gt;=1,H39&lt;=Life),1,0)</f>
        <v>1</v>
      </c>
      <c r="I41" s="90" t="n">
        <f aca="false">IF(AND(I39&gt;=1,I39&lt;=Life),1,0)</f>
        <v>1</v>
      </c>
      <c r="J41" s="90" t="n">
        <f aca="false">IF(AND(J39&gt;=1,J39&lt;=Life),1,0)</f>
        <v>1</v>
      </c>
      <c r="K41" s="90" t="n">
        <f aca="false">IF(AND(K39&gt;=1,K39&lt;=Life),1,0)</f>
        <v>1</v>
      </c>
      <c r="L41" s="90" t="n">
        <f aca="false">IF(AND(L39&gt;=1,L39&lt;=Life),1,0)</f>
        <v>1</v>
      </c>
      <c r="M41" s="90" t="n">
        <f aca="false">IF(AND(M39&gt;=1,M39&lt;=Life),1,0)</f>
        <v>1</v>
      </c>
      <c r="N41" s="90" t="n">
        <f aca="false">IF(AND(N39&gt;=1,N39&lt;=Life),1,0)</f>
        <v>1</v>
      </c>
      <c r="O41" s="90" t="n">
        <f aca="false">IF(AND(O39&gt;=1,O39&lt;=Life),1,0)</f>
        <v>1</v>
      </c>
      <c r="P41" s="90" t="n">
        <f aca="false">IF(AND(P39&gt;=1,P39&lt;=Life),1,0)</f>
        <v>1</v>
      </c>
      <c r="Q41" s="90" t="n">
        <f aca="false">IF(AND(Q39&gt;=1,Q39&lt;=Life),1,0)</f>
        <v>1</v>
      </c>
      <c r="R41" s="90" t="n">
        <f aca="false">IF(AND(R39&gt;=1,R39&lt;=Life),1,0)</f>
        <v>1</v>
      </c>
      <c r="S41" s="90" t="n">
        <f aca="false">IF(AND(S39&gt;=1,S39&lt;=Life),1,0)</f>
        <v>1</v>
      </c>
      <c r="T41" s="90" t="n">
        <f aca="false">IF(AND(T39&gt;=1,T39&lt;=Life),1,0)</f>
        <v>1</v>
      </c>
      <c r="U41" s="90" t="n">
        <f aca="false">IF(AND(U39&gt;=1,U39&lt;=Life),1,0)</f>
        <v>1</v>
      </c>
      <c r="V41" s="90" t="n">
        <f aca="false">IF(AND(V39&gt;=1,V39&lt;=Life),1,0)</f>
        <v>1</v>
      </c>
      <c r="W41" s="90" t="n">
        <f aca="false">IF(AND(W39&gt;=1,W39&lt;=Life),1,0)</f>
        <v>1</v>
      </c>
    </row>
    <row r="42" customFormat="false" ht="15" hidden="false" customHeight="false" outlineLevel="0" collapsed="false">
      <c r="A42" s="11" t="s">
        <v>415</v>
      </c>
      <c r="C42" s="91" t="n">
        <v>0</v>
      </c>
      <c r="D42" s="91" t="n">
        <f aca="false">IF(D39=1,Ramp1,IF(D39=2,Ramp2,Ramp3))*D41</f>
        <v>0.6</v>
      </c>
      <c r="E42" s="91" t="n">
        <f aca="false">IF(E39=1,Ramp1,IF(E39=2,Ramp2,Ramp3))*E41</f>
        <v>0.85</v>
      </c>
      <c r="F42" s="91" t="n">
        <f aca="false">IF(F39=1,Ramp1,IF(F39=2,Ramp2,Ramp3))*F41</f>
        <v>1</v>
      </c>
      <c r="G42" s="91" t="n">
        <f aca="false">IF(G39=1,Ramp1,IF(G39=2,Ramp2,Ramp3))*G41</f>
        <v>1</v>
      </c>
      <c r="H42" s="91" t="n">
        <f aca="false">IF(H39=1,Ramp1,IF(H39=2,Ramp2,Ramp3))*H41</f>
        <v>1</v>
      </c>
      <c r="I42" s="91" t="n">
        <f aca="false">IF(I39=1,Ramp1,IF(I39=2,Ramp2,Ramp3))*I41</f>
        <v>1</v>
      </c>
      <c r="J42" s="91" t="n">
        <f aca="false">IF(J39=1,Ramp1,IF(J39=2,Ramp2,Ramp3))*J41</f>
        <v>1</v>
      </c>
      <c r="K42" s="91" t="n">
        <f aca="false">IF(K39=1,Ramp1,IF(K39=2,Ramp2,Ramp3))*K41</f>
        <v>1</v>
      </c>
      <c r="L42" s="91" t="n">
        <f aca="false">IF(L39=1,Ramp1,IF(L39=2,Ramp2,Ramp3))*L41</f>
        <v>1</v>
      </c>
      <c r="M42" s="91" t="n">
        <f aca="false">IF(M39=1,Ramp1,IF(M39=2,Ramp2,Ramp3))*M41</f>
        <v>1</v>
      </c>
      <c r="N42" s="91" t="n">
        <f aca="false">IF(N39=1,Ramp1,IF(N39=2,Ramp2,Ramp3))*N41</f>
        <v>1</v>
      </c>
      <c r="O42" s="91" t="n">
        <f aca="false">IF(O39=1,Ramp1,IF(O39=2,Ramp2,Ramp3))*O41</f>
        <v>1</v>
      </c>
      <c r="P42" s="91" t="n">
        <f aca="false">IF(P39=1,Ramp1,IF(P39=2,Ramp2,Ramp3))*P41</f>
        <v>1</v>
      </c>
      <c r="Q42" s="91" t="n">
        <f aca="false">IF(Q39=1,Ramp1,IF(Q39=2,Ramp2,Ramp3))*Q41</f>
        <v>1</v>
      </c>
      <c r="R42" s="91" t="n">
        <f aca="false">IF(R39=1,Ramp1,IF(R39=2,Ramp2,Ramp3))*R41</f>
        <v>1</v>
      </c>
      <c r="S42" s="91" t="n">
        <f aca="false">IF(S39=1,Ramp1,IF(S39=2,Ramp2,Ramp3))*S41</f>
        <v>1</v>
      </c>
      <c r="T42" s="91" t="n">
        <f aca="false">IF(T39=1,Ramp1,IF(T39=2,Ramp2,Ramp3))*T41</f>
        <v>1</v>
      </c>
      <c r="U42" s="91" t="n">
        <f aca="false">IF(U39=1,Ramp1,IF(U39=2,Ramp2,Ramp3))*U41</f>
        <v>1</v>
      </c>
      <c r="V42" s="91" t="n">
        <f aca="false">IF(V39=1,Ramp1,IF(V39=2,Ramp2,Ramp3))*V41</f>
        <v>1</v>
      </c>
      <c r="W42" s="91" t="n">
        <f aca="false">IF(W39=1,Ramp1,IF(W39=2,Ramp2,Ramp3))*W41</f>
        <v>1</v>
      </c>
    </row>
    <row r="43" customFormat="false" ht="15" hidden="false" customHeight="false" outlineLevel="0" collapsed="false">
      <c r="A43" s="11" t="s">
        <v>416</v>
      </c>
      <c r="C43" s="92" t="n">
        <v>0</v>
      </c>
      <c r="D43" s="92" t="n">
        <f aca="false">(1+TariffEsc)^(D39-1)</f>
        <v>1</v>
      </c>
      <c r="E43" s="92" t="n">
        <f aca="false">(1+TariffEsc)^(E39-1)</f>
        <v>1.03</v>
      </c>
      <c r="F43" s="92" t="n">
        <f aca="false">(1+TariffEsc)^(F39-1)</f>
        <v>1.0609</v>
      </c>
      <c r="G43" s="92" t="n">
        <f aca="false">(1+TariffEsc)^(G39-1)</f>
        <v>1.092727</v>
      </c>
      <c r="H43" s="92" t="n">
        <f aca="false">(1+TariffEsc)^(H39-1)</f>
        <v>1.12550881</v>
      </c>
      <c r="I43" s="92" t="n">
        <f aca="false">(1+TariffEsc)^(I39-1)</f>
        <v>1.1592740743</v>
      </c>
      <c r="J43" s="92" t="n">
        <f aca="false">(1+TariffEsc)^(J39-1)</f>
        <v>1.194052296529</v>
      </c>
      <c r="K43" s="92" t="n">
        <f aca="false">(1+TariffEsc)^(K39-1)</f>
        <v>1.22987386542487</v>
      </c>
      <c r="L43" s="92" t="n">
        <f aca="false">(1+TariffEsc)^(L39-1)</f>
        <v>1.26677008138762</v>
      </c>
      <c r="M43" s="92" t="n">
        <f aca="false">(1+TariffEsc)^(M39-1)</f>
        <v>1.30477318382925</v>
      </c>
      <c r="N43" s="92" t="n">
        <f aca="false">(1+TariffEsc)^(N39-1)</f>
        <v>1.34391637934412</v>
      </c>
      <c r="O43" s="92" t="n">
        <f aca="false">(1+TariffEsc)^(O39-1)</f>
        <v>1.38423387072445</v>
      </c>
      <c r="P43" s="92" t="n">
        <f aca="false">(1+TariffEsc)^(P39-1)</f>
        <v>1.42576088684618</v>
      </c>
      <c r="Q43" s="92" t="n">
        <f aca="false">(1+TariffEsc)^(Q39-1)</f>
        <v>1.46853371345156</v>
      </c>
      <c r="R43" s="92" t="n">
        <f aca="false">(1+TariffEsc)^(R39-1)</f>
        <v>1.51258972485511</v>
      </c>
      <c r="S43" s="92" t="n">
        <f aca="false">(1+TariffEsc)^(S39-1)</f>
        <v>1.55796741660077</v>
      </c>
      <c r="T43" s="92" t="n">
        <f aca="false">(1+TariffEsc)^(T39-1)</f>
        <v>1.60470643909879</v>
      </c>
      <c r="U43" s="92" t="n">
        <f aca="false">(1+TariffEsc)^(U39-1)</f>
        <v>1.65284763227175</v>
      </c>
      <c r="V43" s="92" t="n">
        <f aca="false">(1+TariffEsc)^(V39-1)</f>
        <v>1.7024330612399</v>
      </c>
      <c r="W43" s="92" t="n">
        <f aca="false">(1+TariffEsc)^(W39-1)</f>
        <v>1.7535060530771</v>
      </c>
    </row>
    <row r="44" customFormat="false" ht="15" hidden="false" customHeight="false" outlineLevel="0" collapsed="false">
      <c r="A44" s="11" t="s">
        <v>417</v>
      </c>
      <c r="C44" s="92" t="n">
        <v>0</v>
      </c>
      <c r="D44" s="92" t="n">
        <f aca="false">(1+CostEsc)^(D39-1)</f>
        <v>1</v>
      </c>
      <c r="E44" s="92" t="n">
        <f aca="false">(1+CostEsc)^(E39-1)</f>
        <v>1.03</v>
      </c>
      <c r="F44" s="92" t="n">
        <f aca="false">(1+CostEsc)^(F39-1)</f>
        <v>1.0609</v>
      </c>
      <c r="G44" s="92" t="n">
        <f aca="false">(1+CostEsc)^(G39-1)</f>
        <v>1.092727</v>
      </c>
      <c r="H44" s="92" t="n">
        <f aca="false">(1+CostEsc)^(H39-1)</f>
        <v>1.12550881</v>
      </c>
      <c r="I44" s="92" t="n">
        <f aca="false">(1+CostEsc)^(I39-1)</f>
        <v>1.1592740743</v>
      </c>
      <c r="J44" s="92" t="n">
        <f aca="false">(1+CostEsc)^(J39-1)</f>
        <v>1.194052296529</v>
      </c>
      <c r="K44" s="92" t="n">
        <f aca="false">(1+CostEsc)^(K39-1)</f>
        <v>1.22987386542487</v>
      </c>
      <c r="L44" s="92" t="n">
        <f aca="false">(1+CostEsc)^(L39-1)</f>
        <v>1.26677008138762</v>
      </c>
      <c r="M44" s="92" t="n">
        <f aca="false">(1+CostEsc)^(M39-1)</f>
        <v>1.30477318382925</v>
      </c>
      <c r="N44" s="92" t="n">
        <f aca="false">(1+CostEsc)^(N39-1)</f>
        <v>1.34391637934412</v>
      </c>
      <c r="O44" s="92" t="n">
        <f aca="false">(1+CostEsc)^(O39-1)</f>
        <v>1.38423387072445</v>
      </c>
      <c r="P44" s="92" t="n">
        <f aca="false">(1+CostEsc)^(P39-1)</f>
        <v>1.42576088684618</v>
      </c>
      <c r="Q44" s="92" t="n">
        <f aca="false">(1+CostEsc)^(Q39-1)</f>
        <v>1.46853371345156</v>
      </c>
      <c r="R44" s="92" t="n">
        <f aca="false">(1+CostEsc)^(R39-1)</f>
        <v>1.51258972485511</v>
      </c>
      <c r="S44" s="92" t="n">
        <f aca="false">(1+CostEsc)^(S39-1)</f>
        <v>1.55796741660077</v>
      </c>
      <c r="T44" s="92" t="n">
        <f aca="false">(1+CostEsc)^(T39-1)</f>
        <v>1.60470643909879</v>
      </c>
      <c r="U44" s="92" t="n">
        <f aca="false">(1+CostEsc)^(U39-1)</f>
        <v>1.65284763227175</v>
      </c>
      <c r="V44" s="92" t="n">
        <f aca="false">(1+CostEsc)^(V39-1)</f>
        <v>1.7024330612399</v>
      </c>
      <c r="W44" s="92" t="n">
        <f aca="false">(1+CostEsc)^(W39-1)</f>
        <v>1.7535060530771</v>
      </c>
    </row>
    <row r="45" customFormat="false" ht="15" hidden="false" customHeight="false" outlineLevel="0" collapsed="false">
      <c r="A45" s="11" t="s">
        <v>418</v>
      </c>
      <c r="C45" s="92" t="n">
        <v>0</v>
      </c>
      <c r="D45" s="92" t="n">
        <f aca="false">(1+DemandGrowth)^(D39-1)*LevDemand*$B$6</f>
        <v>1</v>
      </c>
      <c r="E45" s="92" t="n">
        <f aca="false">(1+DemandGrowth)^(E39-1)*LevDemand*$B$6</f>
        <v>1.03</v>
      </c>
      <c r="F45" s="92" t="n">
        <f aca="false">(1+DemandGrowth)^(F39-1)*LevDemand*$B$6</f>
        <v>1.0609</v>
      </c>
      <c r="G45" s="92" t="n">
        <f aca="false">(1+DemandGrowth)^(G39-1)*LevDemand*$B$6</f>
        <v>1.092727</v>
      </c>
      <c r="H45" s="92" t="n">
        <f aca="false">(1+DemandGrowth)^(H39-1)*LevDemand*$B$6</f>
        <v>1.12550881</v>
      </c>
      <c r="I45" s="92" t="n">
        <f aca="false">(1+DemandGrowth)^(I39-1)*LevDemand*$B$6</f>
        <v>1.1592740743</v>
      </c>
      <c r="J45" s="92" t="n">
        <f aca="false">(1+DemandGrowth)^(J39-1)*LevDemand*$B$6</f>
        <v>1.194052296529</v>
      </c>
      <c r="K45" s="92" t="n">
        <f aca="false">(1+DemandGrowth)^(K39-1)*LevDemand*$B$6</f>
        <v>1.22987386542487</v>
      </c>
      <c r="L45" s="92" t="n">
        <f aca="false">(1+DemandGrowth)^(L39-1)*LevDemand*$B$6</f>
        <v>1.26677008138762</v>
      </c>
      <c r="M45" s="92" t="n">
        <f aca="false">(1+DemandGrowth)^(M39-1)*LevDemand*$B$6</f>
        <v>1.30477318382925</v>
      </c>
      <c r="N45" s="92" t="n">
        <f aca="false">(1+DemandGrowth)^(N39-1)*LevDemand*$B$6</f>
        <v>1.34391637934412</v>
      </c>
      <c r="O45" s="92" t="n">
        <f aca="false">(1+DemandGrowth)^(O39-1)*LevDemand*$B$6</f>
        <v>1.38423387072445</v>
      </c>
      <c r="P45" s="92" t="n">
        <f aca="false">(1+DemandGrowth)^(P39-1)*LevDemand*$B$6</f>
        <v>1.42576088684618</v>
      </c>
      <c r="Q45" s="92" t="n">
        <f aca="false">(1+DemandGrowth)^(Q39-1)*LevDemand*$B$6</f>
        <v>1.46853371345156</v>
      </c>
      <c r="R45" s="92" t="n">
        <f aca="false">(1+DemandGrowth)^(R39-1)*LevDemand*$B$6</f>
        <v>1.51258972485511</v>
      </c>
      <c r="S45" s="92" t="n">
        <f aca="false">(1+DemandGrowth)^(S39-1)*LevDemand*$B$6</f>
        <v>1.55796741660077</v>
      </c>
      <c r="T45" s="92" t="n">
        <f aca="false">(1+DemandGrowth)^(T39-1)*LevDemand*$B$6</f>
        <v>1.60470643909879</v>
      </c>
      <c r="U45" s="92" t="n">
        <f aca="false">(1+DemandGrowth)^(U39-1)*LevDemand*$B$6</f>
        <v>1.65284763227175</v>
      </c>
      <c r="V45" s="92" t="n">
        <f aca="false">(1+DemandGrowth)^(V39-1)*LevDemand*$B$6</f>
        <v>1.7024330612399</v>
      </c>
      <c r="W45" s="92" t="n">
        <f aca="false">(1+DemandGrowth)^(W39-1)*LevDemand*$B$6</f>
        <v>1.7535060530771</v>
      </c>
    </row>
    <row r="47" customFormat="false" ht="15" hidden="false" customHeight="false" outlineLevel="0" collapsed="false">
      <c r="A47" s="9" t="s">
        <v>419</v>
      </c>
      <c r="B47" s="10"/>
      <c r="C47" s="10"/>
      <c r="D47" s="10"/>
      <c r="E47" s="10"/>
      <c r="F47" s="10"/>
      <c r="G47" s="10"/>
      <c r="H47" s="10"/>
      <c r="I47" s="10"/>
      <c r="J47" s="10"/>
      <c r="K47" s="10"/>
      <c r="L47" s="10"/>
      <c r="M47" s="10"/>
      <c r="N47" s="10"/>
      <c r="O47" s="10"/>
      <c r="P47" s="10"/>
      <c r="Q47" s="10"/>
      <c r="R47" s="10"/>
      <c r="S47" s="10"/>
      <c r="T47" s="10"/>
      <c r="U47" s="10"/>
      <c r="V47" s="10"/>
      <c r="W47" s="10"/>
    </row>
    <row r="48" customFormat="false" ht="15" hidden="false" customHeight="false" outlineLevel="0" collapsed="false">
      <c r="A48" s="11" t="str">
        <f aca="false">"Connections - "&amp;Seg1_Name</f>
        <v>Connections - Households</v>
      </c>
      <c r="C48" s="93" t="n">
        <v>0</v>
      </c>
      <c r="D48" s="93" t="n">
        <f aca="false">Seg1_N*D42</f>
        <v>480</v>
      </c>
      <c r="E48" s="93" t="n">
        <f aca="false">Seg1_N*E42</f>
        <v>680</v>
      </c>
      <c r="F48" s="93" t="n">
        <f aca="false">Seg1_N*F42</f>
        <v>800</v>
      </c>
      <c r="G48" s="93" t="n">
        <f aca="false">Seg1_N*G42</f>
        <v>800</v>
      </c>
      <c r="H48" s="93" t="n">
        <f aca="false">Seg1_N*H42</f>
        <v>800</v>
      </c>
      <c r="I48" s="93" t="n">
        <f aca="false">Seg1_N*I42</f>
        <v>800</v>
      </c>
      <c r="J48" s="93" t="n">
        <f aca="false">Seg1_N*J42</f>
        <v>800</v>
      </c>
      <c r="K48" s="93" t="n">
        <f aca="false">Seg1_N*K42</f>
        <v>800</v>
      </c>
      <c r="L48" s="93" t="n">
        <f aca="false">Seg1_N*L42</f>
        <v>800</v>
      </c>
      <c r="M48" s="93" t="n">
        <f aca="false">Seg1_N*M42</f>
        <v>800</v>
      </c>
      <c r="N48" s="93" t="n">
        <f aca="false">Seg1_N*N42</f>
        <v>800</v>
      </c>
      <c r="O48" s="93" t="n">
        <f aca="false">Seg1_N*O42</f>
        <v>800</v>
      </c>
      <c r="P48" s="93" t="n">
        <f aca="false">Seg1_N*P42</f>
        <v>800</v>
      </c>
      <c r="Q48" s="93" t="n">
        <f aca="false">Seg1_N*Q42</f>
        <v>800</v>
      </c>
      <c r="R48" s="93" t="n">
        <f aca="false">Seg1_N*R42</f>
        <v>800</v>
      </c>
      <c r="S48" s="93" t="n">
        <f aca="false">Seg1_N*S42</f>
        <v>800</v>
      </c>
      <c r="T48" s="93" t="n">
        <f aca="false">Seg1_N*T42</f>
        <v>800</v>
      </c>
      <c r="U48" s="93" t="n">
        <f aca="false">Seg1_N*U42</f>
        <v>800</v>
      </c>
      <c r="V48" s="93" t="n">
        <f aca="false">Seg1_N*V42</f>
        <v>800</v>
      </c>
      <c r="W48" s="93" t="n">
        <f aca="false">Seg1_N*W42</f>
        <v>800</v>
      </c>
    </row>
    <row r="49" customFormat="false" ht="15" hidden="false" customHeight="false" outlineLevel="0" collapsed="false">
      <c r="A49" s="11" t="str">
        <f aca="false">"Connections - "&amp;Seg2_Name</f>
        <v>Connections - Productive users (mills, welding, cold rooms)</v>
      </c>
      <c r="C49" s="93" t="n">
        <v>0</v>
      </c>
      <c r="D49" s="93" t="n">
        <f aca="false">Seg2_N*D42</f>
        <v>36</v>
      </c>
      <c r="E49" s="93" t="n">
        <f aca="false">Seg2_N*E42</f>
        <v>51</v>
      </c>
      <c r="F49" s="93" t="n">
        <f aca="false">Seg2_N*F42</f>
        <v>60</v>
      </c>
      <c r="G49" s="93" t="n">
        <f aca="false">Seg2_N*G42</f>
        <v>60</v>
      </c>
      <c r="H49" s="93" t="n">
        <f aca="false">Seg2_N*H42</f>
        <v>60</v>
      </c>
      <c r="I49" s="93" t="n">
        <f aca="false">Seg2_N*I42</f>
        <v>60</v>
      </c>
      <c r="J49" s="93" t="n">
        <f aca="false">Seg2_N*J42</f>
        <v>60</v>
      </c>
      <c r="K49" s="93" t="n">
        <f aca="false">Seg2_N*K42</f>
        <v>60</v>
      </c>
      <c r="L49" s="93" t="n">
        <f aca="false">Seg2_N*L42</f>
        <v>60</v>
      </c>
      <c r="M49" s="93" t="n">
        <f aca="false">Seg2_N*M42</f>
        <v>60</v>
      </c>
      <c r="N49" s="93" t="n">
        <f aca="false">Seg2_N*N42</f>
        <v>60</v>
      </c>
      <c r="O49" s="93" t="n">
        <f aca="false">Seg2_N*O42</f>
        <v>60</v>
      </c>
      <c r="P49" s="93" t="n">
        <f aca="false">Seg2_N*P42</f>
        <v>60</v>
      </c>
      <c r="Q49" s="93" t="n">
        <f aca="false">Seg2_N*Q42</f>
        <v>60</v>
      </c>
      <c r="R49" s="93" t="n">
        <f aca="false">Seg2_N*R42</f>
        <v>60</v>
      </c>
      <c r="S49" s="93" t="n">
        <f aca="false">Seg2_N*S42</f>
        <v>60</v>
      </c>
      <c r="T49" s="93" t="n">
        <f aca="false">Seg2_N*T42</f>
        <v>60</v>
      </c>
      <c r="U49" s="93" t="n">
        <f aca="false">Seg2_N*U42</f>
        <v>60</v>
      </c>
      <c r="V49" s="93" t="n">
        <f aca="false">Seg2_N*V42</f>
        <v>60</v>
      </c>
      <c r="W49" s="93" t="n">
        <f aca="false">Seg2_N*W42</f>
        <v>60</v>
      </c>
    </row>
    <row r="50" customFormat="false" ht="15" hidden="false" customHeight="false" outlineLevel="0" collapsed="false">
      <c r="A50" s="11" t="str">
        <f aca="false">"Connections - "&amp;Seg3_Name</f>
        <v>Connections - Commercial (shops, bars, kiosks)</v>
      </c>
      <c r="C50" s="93" t="n">
        <v>0</v>
      </c>
      <c r="D50" s="93" t="n">
        <f aca="false">Seg3_N*D42</f>
        <v>60</v>
      </c>
      <c r="E50" s="93" t="n">
        <f aca="false">Seg3_N*E42</f>
        <v>85</v>
      </c>
      <c r="F50" s="93" t="n">
        <f aca="false">Seg3_N*F42</f>
        <v>100</v>
      </c>
      <c r="G50" s="93" t="n">
        <f aca="false">Seg3_N*G42</f>
        <v>100</v>
      </c>
      <c r="H50" s="93" t="n">
        <f aca="false">Seg3_N*H42</f>
        <v>100</v>
      </c>
      <c r="I50" s="93" t="n">
        <f aca="false">Seg3_N*I42</f>
        <v>100</v>
      </c>
      <c r="J50" s="93" t="n">
        <f aca="false">Seg3_N*J42</f>
        <v>100</v>
      </c>
      <c r="K50" s="93" t="n">
        <f aca="false">Seg3_N*K42</f>
        <v>100</v>
      </c>
      <c r="L50" s="93" t="n">
        <f aca="false">Seg3_N*L42</f>
        <v>100</v>
      </c>
      <c r="M50" s="93" t="n">
        <f aca="false">Seg3_N*M42</f>
        <v>100</v>
      </c>
      <c r="N50" s="93" t="n">
        <f aca="false">Seg3_N*N42</f>
        <v>100</v>
      </c>
      <c r="O50" s="93" t="n">
        <f aca="false">Seg3_N*O42</f>
        <v>100</v>
      </c>
      <c r="P50" s="93" t="n">
        <f aca="false">Seg3_N*P42</f>
        <v>100</v>
      </c>
      <c r="Q50" s="93" t="n">
        <f aca="false">Seg3_N*Q42</f>
        <v>100</v>
      </c>
      <c r="R50" s="93" t="n">
        <f aca="false">Seg3_N*R42</f>
        <v>100</v>
      </c>
      <c r="S50" s="93" t="n">
        <f aca="false">Seg3_N*S42</f>
        <v>100</v>
      </c>
      <c r="T50" s="93" t="n">
        <f aca="false">Seg3_N*T42</f>
        <v>100</v>
      </c>
      <c r="U50" s="93" t="n">
        <f aca="false">Seg3_N*U42</f>
        <v>100</v>
      </c>
      <c r="V50" s="93" t="n">
        <f aca="false">Seg3_N*V42</f>
        <v>100</v>
      </c>
      <c r="W50" s="93" t="n">
        <f aca="false">Seg3_N*W42</f>
        <v>100</v>
      </c>
    </row>
    <row r="51" customFormat="false" ht="15" hidden="false" customHeight="false" outlineLevel="0" collapsed="false">
      <c r="A51" s="11" t="str">
        <f aca="false">"Connections - "&amp;Seg4_Name</f>
        <v>Connections - Institutions (health centre, school, water)</v>
      </c>
      <c r="C51" s="93" t="n">
        <v>0</v>
      </c>
      <c r="D51" s="93" t="n">
        <f aca="false">Seg4_N*D42</f>
        <v>6</v>
      </c>
      <c r="E51" s="93" t="n">
        <f aca="false">Seg4_N*E42</f>
        <v>8.5</v>
      </c>
      <c r="F51" s="93" t="n">
        <f aca="false">Seg4_N*F42</f>
        <v>10</v>
      </c>
      <c r="G51" s="93" t="n">
        <f aca="false">Seg4_N*G42</f>
        <v>10</v>
      </c>
      <c r="H51" s="93" t="n">
        <f aca="false">Seg4_N*H42</f>
        <v>10</v>
      </c>
      <c r="I51" s="93" t="n">
        <f aca="false">Seg4_N*I42</f>
        <v>10</v>
      </c>
      <c r="J51" s="93" t="n">
        <f aca="false">Seg4_N*J42</f>
        <v>10</v>
      </c>
      <c r="K51" s="93" t="n">
        <f aca="false">Seg4_N*K42</f>
        <v>10</v>
      </c>
      <c r="L51" s="93" t="n">
        <f aca="false">Seg4_N*L42</f>
        <v>10</v>
      </c>
      <c r="M51" s="93" t="n">
        <f aca="false">Seg4_N*M42</f>
        <v>10</v>
      </c>
      <c r="N51" s="93" t="n">
        <f aca="false">Seg4_N*N42</f>
        <v>10</v>
      </c>
      <c r="O51" s="93" t="n">
        <f aca="false">Seg4_N*O42</f>
        <v>10</v>
      </c>
      <c r="P51" s="93" t="n">
        <f aca="false">Seg4_N*P42</f>
        <v>10</v>
      </c>
      <c r="Q51" s="93" t="n">
        <f aca="false">Seg4_N*Q42</f>
        <v>10</v>
      </c>
      <c r="R51" s="93" t="n">
        <f aca="false">Seg4_N*R42</f>
        <v>10</v>
      </c>
      <c r="S51" s="93" t="n">
        <f aca="false">Seg4_N*S42</f>
        <v>10</v>
      </c>
      <c r="T51" s="93" t="n">
        <f aca="false">Seg4_N*T42</f>
        <v>10</v>
      </c>
      <c r="U51" s="93" t="n">
        <f aca="false">Seg4_N*U42</f>
        <v>10</v>
      </c>
      <c r="V51" s="93" t="n">
        <f aca="false">Seg4_N*V42</f>
        <v>10</v>
      </c>
      <c r="W51" s="93" t="n">
        <f aca="false">Seg4_N*W42</f>
        <v>10</v>
      </c>
    </row>
    <row r="52" customFormat="false" ht="15" hidden="false" customHeight="false" outlineLevel="0" collapsed="false">
      <c r="A52" s="11" t="str">
        <f aca="false">"Connections - "&amp;Seg5_Name</f>
        <v>Connections - Other / custom</v>
      </c>
      <c r="C52" s="93" t="n">
        <v>0</v>
      </c>
      <c r="D52" s="93" t="n">
        <f aca="false">Seg5_N*D42</f>
        <v>0</v>
      </c>
      <c r="E52" s="93" t="n">
        <f aca="false">Seg5_N*E42</f>
        <v>0</v>
      </c>
      <c r="F52" s="93" t="n">
        <f aca="false">Seg5_N*F42</f>
        <v>0</v>
      </c>
      <c r="G52" s="93" t="n">
        <f aca="false">Seg5_N*G42</f>
        <v>0</v>
      </c>
      <c r="H52" s="93" t="n">
        <f aca="false">Seg5_N*H42</f>
        <v>0</v>
      </c>
      <c r="I52" s="93" t="n">
        <f aca="false">Seg5_N*I42</f>
        <v>0</v>
      </c>
      <c r="J52" s="93" t="n">
        <f aca="false">Seg5_N*J42</f>
        <v>0</v>
      </c>
      <c r="K52" s="93" t="n">
        <f aca="false">Seg5_N*K42</f>
        <v>0</v>
      </c>
      <c r="L52" s="93" t="n">
        <f aca="false">Seg5_N*L42</f>
        <v>0</v>
      </c>
      <c r="M52" s="93" t="n">
        <f aca="false">Seg5_N*M42</f>
        <v>0</v>
      </c>
      <c r="N52" s="93" t="n">
        <f aca="false">Seg5_N*N42</f>
        <v>0</v>
      </c>
      <c r="O52" s="93" t="n">
        <f aca="false">Seg5_N*O42</f>
        <v>0</v>
      </c>
      <c r="P52" s="93" t="n">
        <f aca="false">Seg5_N*P42</f>
        <v>0</v>
      </c>
      <c r="Q52" s="93" t="n">
        <f aca="false">Seg5_N*Q42</f>
        <v>0</v>
      </c>
      <c r="R52" s="93" t="n">
        <f aca="false">Seg5_N*R42</f>
        <v>0</v>
      </c>
      <c r="S52" s="93" t="n">
        <f aca="false">Seg5_N*S42</f>
        <v>0</v>
      </c>
      <c r="T52" s="93" t="n">
        <f aca="false">Seg5_N*T42</f>
        <v>0</v>
      </c>
      <c r="U52" s="93" t="n">
        <f aca="false">Seg5_N*U42</f>
        <v>0</v>
      </c>
      <c r="V52" s="93" t="n">
        <f aca="false">Seg5_N*V42</f>
        <v>0</v>
      </c>
      <c r="W52" s="93" t="n">
        <f aca="false">Seg5_N*W42</f>
        <v>0</v>
      </c>
    </row>
    <row r="53" customFormat="false" ht="15" hidden="false" customHeight="false" outlineLevel="0" collapsed="false">
      <c r="A53" s="16" t="s">
        <v>420</v>
      </c>
      <c r="C53" s="29" t="n">
        <f aca="false">C48+C49+C50+C51+C52</f>
        <v>0</v>
      </c>
      <c r="D53" s="29" t="n">
        <f aca="false">D48+D49+D50+D51+D52</f>
        <v>582</v>
      </c>
      <c r="E53" s="29" t="n">
        <f aca="false">E48+E49+E50+E51+E52</f>
        <v>824.5</v>
      </c>
      <c r="F53" s="29" t="n">
        <f aca="false">F48+F49+F50+F51+F52</f>
        <v>970</v>
      </c>
      <c r="G53" s="29" t="n">
        <f aca="false">G48+G49+G50+G51+G52</f>
        <v>970</v>
      </c>
      <c r="H53" s="29" t="n">
        <f aca="false">H48+H49+H50+H51+H52</f>
        <v>970</v>
      </c>
      <c r="I53" s="29" t="n">
        <f aca="false">I48+I49+I50+I51+I52</f>
        <v>970</v>
      </c>
      <c r="J53" s="29" t="n">
        <f aca="false">J48+J49+J50+J51+J52</f>
        <v>970</v>
      </c>
      <c r="K53" s="29" t="n">
        <f aca="false">K48+K49+K50+K51+K52</f>
        <v>970</v>
      </c>
      <c r="L53" s="29" t="n">
        <f aca="false">L48+L49+L50+L51+L52</f>
        <v>970</v>
      </c>
      <c r="M53" s="29" t="n">
        <f aca="false">M48+M49+M50+M51+M52</f>
        <v>970</v>
      </c>
      <c r="N53" s="29" t="n">
        <f aca="false">N48+N49+N50+N51+N52</f>
        <v>970</v>
      </c>
      <c r="O53" s="29" t="n">
        <f aca="false">O48+O49+O50+O51+O52</f>
        <v>970</v>
      </c>
      <c r="P53" s="29" t="n">
        <f aca="false">P48+P49+P50+P51+P52</f>
        <v>970</v>
      </c>
      <c r="Q53" s="29" t="n">
        <f aca="false">Q48+Q49+Q50+Q51+Q52</f>
        <v>970</v>
      </c>
      <c r="R53" s="29" t="n">
        <f aca="false">R48+R49+R50+R51+R52</f>
        <v>970</v>
      </c>
      <c r="S53" s="29" t="n">
        <f aca="false">S48+S49+S50+S51+S52</f>
        <v>970</v>
      </c>
      <c r="T53" s="29" t="n">
        <f aca="false">T48+T49+T50+T51+T52</f>
        <v>970</v>
      </c>
      <c r="U53" s="29" t="n">
        <f aca="false">U48+U49+U50+U51+U52</f>
        <v>970</v>
      </c>
      <c r="V53" s="29" t="n">
        <f aca="false">V48+V49+V50+V51+V52</f>
        <v>970</v>
      </c>
      <c r="W53" s="29" t="n">
        <f aca="false">W48+W49+W50+W51+W52</f>
        <v>970</v>
      </c>
    </row>
    <row r="54" customFormat="false" ht="15" hidden="false" customHeight="false" outlineLevel="0" collapsed="false">
      <c r="A54" s="11" t="str">
        <f aca="false">"New connections - "&amp;Seg1_Name</f>
        <v>New connections - Households</v>
      </c>
      <c r="B54" s="77" t="n">
        <f aca="false">SUM(C54:W54)</f>
        <v>800</v>
      </c>
      <c r="C54" s="94" t="n">
        <v>0</v>
      </c>
      <c r="D54" s="94" t="n">
        <f aca="false">MAX(0,D48-C48)</f>
        <v>480</v>
      </c>
      <c r="E54" s="94" t="n">
        <f aca="false">MAX(0,E48-D48)</f>
        <v>200</v>
      </c>
      <c r="F54" s="94" t="n">
        <f aca="false">MAX(0,F48-E48)</f>
        <v>120</v>
      </c>
      <c r="G54" s="94" t="n">
        <f aca="false">MAX(0,G48-F48)</f>
        <v>0</v>
      </c>
      <c r="H54" s="94" t="n">
        <f aca="false">MAX(0,H48-G48)</f>
        <v>0</v>
      </c>
      <c r="I54" s="94" t="n">
        <f aca="false">MAX(0,I48-H48)</f>
        <v>0</v>
      </c>
      <c r="J54" s="94" t="n">
        <f aca="false">MAX(0,J48-I48)</f>
        <v>0</v>
      </c>
      <c r="K54" s="94" t="n">
        <f aca="false">MAX(0,K48-J48)</f>
        <v>0</v>
      </c>
      <c r="L54" s="94" t="n">
        <f aca="false">MAX(0,L48-K48)</f>
        <v>0</v>
      </c>
      <c r="M54" s="94" t="n">
        <f aca="false">MAX(0,M48-L48)</f>
        <v>0</v>
      </c>
      <c r="N54" s="94" t="n">
        <f aca="false">MAX(0,N48-M48)</f>
        <v>0</v>
      </c>
      <c r="O54" s="94" t="n">
        <f aca="false">MAX(0,O48-N48)</f>
        <v>0</v>
      </c>
      <c r="P54" s="94" t="n">
        <f aca="false">MAX(0,P48-O48)</f>
        <v>0</v>
      </c>
      <c r="Q54" s="94" t="n">
        <f aca="false">MAX(0,Q48-P48)</f>
        <v>0</v>
      </c>
      <c r="R54" s="94" t="n">
        <f aca="false">MAX(0,R48-Q48)</f>
        <v>0</v>
      </c>
      <c r="S54" s="94" t="n">
        <f aca="false">MAX(0,S48-R48)</f>
        <v>0</v>
      </c>
      <c r="T54" s="94" t="n">
        <f aca="false">MAX(0,T48-S48)</f>
        <v>0</v>
      </c>
      <c r="U54" s="94" t="n">
        <f aca="false">MAX(0,U48-T48)</f>
        <v>0</v>
      </c>
      <c r="V54" s="94" t="n">
        <f aca="false">MAX(0,V48-U48)</f>
        <v>0</v>
      </c>
      <c r="W54" s="94" t="n">
        <f aca="false">MAX(0,W48-V48)</f>
        <v>0</v>
      </c>
    </row>
    <row r="55" customFormat="false" ht="15" hidden="false" customHeight="false" outlineLevel="0" collapsed="false">
      <c r="A55" s="11" t="str">
        <f aca="false">"New connections - "&amp;Seg2_Name</f>
        <v>New connections - Productive users (mills, welding, cold rooms)</v>
      </c>
      <c r="B55" s="77" t="n">
        <f aca="false">SUM(C55:W55)</f>
        <v>60</v>
      </c>
      <c r="C55" s="94" t="n">
        <v>0</v>
      </c>
      <c r="D55" s="94" t="n">
        <f aca="false">MAX(0,D49-C49)</f>
        <v>36</v>
      </c>
      <c r="E55" s="94" t="n">
        <f aca="false">MAX(0,E49-D49)</f>
        <v>15</v>
      </c>
      <c r="F55" s="94" t="n">
        <f aca="false">MAX(0,F49-E49)</f>
        <v>9</v>
      </c>
      <c r="G55" s="94" t="n">
        <f aca="false">MAX(0,G49-F49)</f>
        <v>0</v>
      </c>
      <c r="H55" s="94" t="n">
        <f aca="false">MAX(0,H49-G49)</f>
        <v>0</v>
      </c>
      <c r="I55" s="94" t="n">
        <f aca="false">MAX(0,I49-H49)</f>
        <v>0</v>
      </c>
      <c r="J55" s="94" t="n">
        <f aca="false">MAX(0,J49-I49)</f>
        <v>0</v>
      </c>
      <c r="K55" s="94" t="n">
        <f aca="false">MAX(0,K49-J49)</f>
        <v>0</v>
      </c>
      <c r="L55" s="94" t="n">
        <f aca="false">MAX(0,L49-K49)</f>
        <v>0</v>
      </c>
      <c r="M55" s="94" t="n">
        <f aca="false">MAX(0,M49-L49)</f>
        <v>0</v>
      </c>
      <c r="N55" s="94" t="n">
        <f aca="false">MAX(0,N49-M49)</f>
        <v>0</v>
      </c>
      <c r="O55" s="94" t="n">
        <f aca="false">MAX(0,O49-N49)</f>
        <v>0</v>
      </c>
      <c r="P55" s="94" t="n">
        <f aca="false">MAX(0,P49-O49)</f>
        <v>0</v>
      </c>
      <c r="Q55" s="94" t="n">
        <f aca="false">MAX(0,Q49-P49)</f>
        <v>0</v>
      </c>
      <c r="R55" s="94" t="n">
        <f aca="false">MAX(0,R49-Q49)</f>
        <v>0</v>
      </c>
      <c r="S55" s="94" t="n">
        <f aca="false">MAX(0,S49-R49)</f>
        <v>0</v>
      </c>
      <c r="T55" s="94" t="n">
        <f aca="false">MAX(0,T49-S49)</f>
        <v>0</v>
      </c>
      <c r="U55" s="94" t="n">
        <f aca="false">MAX(0,U49-T49)</f>
        <v>0</v>
      </c>
      <c r="V55" s="94" t="n">
        <f aca="false">MAX(0,V49-U49)</f>
        <v>0</v>
      </c>
      <c r="W55" s="94" t="n">
        <f aca="false">MAX(0,W49-V49)</f>
        <v>0</v>
      </c>
    </row>
    <row r="56" customFormat="false" ht="15" hidden="false" customHeight="false" outlineLevel="0" collapsed="false">
      <c r="A56" s="11" t="str">
        <f aca="false">"New connections - "&amp;Seg3_Name</f>
        <v>New connections - Commercial (shops, bars, kiosks)</v>
      </c>
      <c r="B56" s="77" t="n">
        <f aca="false">SUM(C56:W56)</f>
        <v>100</v>
      </c>
      <c r="C56" s="94" t="n">
        <v>0</v>
      </c>
      <c r="D56" s="94" t="n">
        <f aca="false">MAX(0,D50-C50)</f>
        <v>60</v>
      </c>
      <c r="E56" s="94" t="n">
        <f aca="false">MAX(0,E50-D50)</f>
        <v>25</v>
      </c>
      <c r="F56" s="94" t="n">
        <f aca="false">MAX(0,F50-E50)</f>
        <v>15</v>
      </c>
      <c r="G56" s="94" t="n">
        <f aca="false">MAX(0,G50-F50)</f>
        <v>0</v>
      </c>
      <c r="H56" s="94" t="n">
        <f aca="false">MAX(0,H50-G50)</f>
        <v>0</v>
      </c>
      <c r="I56" s="94" t="n">
        <f aca="false">MAX(0,I50-H50)</f>
        <v>0</v>
      </c>
      <c r="J56" s="94" t="n">
        <f aca="false">MAX(0,J50-I50)</f>
        <v>0</v>
      </c>
      <c r="K56" s="94" t="n">
        <f aca="false">MAX(0,K50-J50)</f>
        <v>0</v>
      </c>
      <c r="L56" s="94" t="n">
        <f aca="false">MAX(0,L50-K50)</f>
        <v>0</v>
      </c>
      <c r="M56" s="94" t="n">
        <f aca="false">MAX(0,M50-L50)</f>
        <v>0</v>
      </c>
      <c r="N56" s="94" t="n">
        <f aca="false">MAX(0,N50-M50)</f>
        <v>0</v>
      </c>
      <c r="O56" s="94" t="n">
        <f aca="false">MAX(0,O50-N50)</f>
        <v>0</v>
      </c>
      <c r="P56" s="94" t="n">
        <f aca="false">MAX(0,P50-O50)</f>
        <v>0</v>
      </c>
      <c r="Q56" s="94" t="n">
        <f aca="false">MAX(0,Q50-P50)</f>
        <v>0</v>
      </c>
      <c r="R56" s="94" t="n">
        <f aca="false">MAX(0,R50-Q50)</f>
        <v>0</v>
      </c>
      <c r="S56" s="94" t="n">
        <f aca="false">MAX(0,S50-R50)</f>
        <v>0</v>
      </c>
      <c r="T56" s="94" t="n">
        <f aca="false">MAX(0,T50-S50)</f>
        <v>0</v>
      </c>
      <c r="U56" s="94" t="n">
        <f aca="false">MAX(0,U50-T50)</f>
        <v>0</v>
      </c>
      <c r="V56" s="94" t="n">
        <f aca="false">MAX(0,V50-U50)</f>
        <v>0</v>
      </c>
      <c r="W56" s="94" t="n">
        <f aca="false">MAX(0,W50-V50)</f>
        <v>0</v>
      </c>
    </row>
    <row r="57" customFormat="false" ht="15" hidden="false" customHeight="false" outlineLevel="0" collapsed="false">
      <c r="A57" s="11" t="str">
        <f aca="false">"New connections - "&amp;Seg4_Name</f>
        <v>New connections - Institutions (health centre, school, water)</v>
      </c>
      <c r="B57" s="77" t="n">
        <f aca="false">SUM(C57:W57)</f>
        <v>10</v>
      </c>
      <c r="C57" s="94" t="n">
        <v>0</v>
      </c>
      <c r="D57" s="94" t="n">
        <f aca="false">MAX(0,D51-C51)</f>
        <v>6</v>
      </c>
      <c r="E57" s="94" t="n">
        <f aca="false">MAX(0,E51-D51)</f>
        <v>2.5</v>
      </c>
      <c r="F57" s="94" t="n">
        <f aca="false">MAX(0,F51-E51)</f>
        <v>1.5</v>
      </c>
      <c r="G57" s="94" t="n">
        <f aca="false">MAX(0,G51-F51)</f>
        <v>0</v>
      </c>
      <c r="H57" s="94" t="n">
        <f aca="false">MAX(0,H51-G51)</f>
        <v>0</v>
      </c>
      <c r="I57" s="94" t="n">
        <f aca="false">MAX(0,I51-H51)</f>
        <v>0</v>
      </c>
      <c r="J57" s="94" t="n">
        <f aca="false">MAX(0,J51-I51)</f>
        <v>0</v>
      </c>
      <c r="K57" s="94" t="n">
        <f aca="false">MAX(0,K51-J51)</f>
        <v>0</v>
      </c>
      <c r="L57" s="94" t="n">
        <f aca="false">MAX(0,L51-K51)</f>
        <v>0</v>
      </c>
      <c r="M57" s="94" t="n">
        <f aca="false">MAX(0,M51-L51)</f>
        <v>0</v>
      </c>
      <c r="N57" s="94" t="n">
        <f aca="false">MAX(0,N51-M51)</f>
        <v>0</v>
      </c>
      <c r="O57" s="94" t="n">
        <f aca="false">MAX(0,O51-N51)</f>
        <v>0</v>
      </c>
      <c r="P57" s="94" t="n">
        <f aca="false">MAX(0,P51-O51)</f>
        <v>0</v>
      </c>
      <c r="Q57" s="94" t="n">
        <f aca="false">MAX(0,Q51-P51)</f>
        <v>0</v>
      </c>
      <c r="R57" s="94" t="n">
        <f aca="false">MAX(0,R51-Q51)</f>
        <v>0</v>
      </c>
      <c r="S57" s="94" t="n">
        <f aca="false">MAX(0,S51-R51)</f>
        <v>0</v>
      </c>
      <c r="T57" s="94" t="n">
        <f aca="false">MAX(0,T51-S51)</f>
        <v>0</v>
      </c>
      <c r="U57" s="94" t="n">
        <f aca="false">MAX(0,U51-T51)</f>
        <v>0</v>
      </c>
      <c r="V57" s="94" t="n">
        <f aca="false">MAX(0,V51-U51)</f>
        <v>0</v>
      </c>
      <c r="W57" s="94" t="n">
        <f aca="false">MAX(0,W51-V51)</f>
        <v>0</v>
      </c>
    </row>
    <row r="58" customFormat="false" ht="15" hidden="false" customHeight="false" outlineLevel="0" collapsed="false">
      <c r="A58" s="11" t="str">
        <f aca="false">"New connections - "&amp;Seg5_Name</f>
        <v>New connections - Other / custom</v>
      </c>
      <c r="B58" s="77" t="n">
        <f aca="false">SUM(C58:W58)</f>
        <v>0</v>
      </c>
      <c r="C58" s="94" t="n">
        <v>0</v>
      </c>
      <c r="D58" s="94" t="n">
        <f aca="false">MAX(0,D52-C52)</f>
        <v>0</v>
      </c>
      <c r="E58" s="94" t="n">
        <f aca="false">MAX(0,E52-D52)</f>
        <v>0</v>
      </c>
      <c r="F58" s="94" t="n">
        <f aca="false">MAX(0,F52-E52)</f>
        <v>0</v>
      </c>
      <c r="G58" s="94" t="n">
        <f aca="false">MAX(0,G52-F52)</f>
        <v>0</v>
      </c>
      <c r="H58" s="94" t="n">
        <f aca="false">MAX(0,H52-G52)</f>
        <v>0</v>
      </c>
      <c r="I58" s="94" t="n">
        <f aca="false">MAX(0,I52-H52)</f>
        <v>0</v>
      </c>
      <c r="J58" s="94" t="n">
        <f aca="false">MAX(0,J52-I52)</f>
        <v>0</v>
      </c>
      <c r="K58" s="94" t="n">
        <f aca="false">MAX(0,K52-J52)</f>
        <v>0</v>
      </c>
      <c r="L58" s="94" t="n">
        <f aca="false">MAX(0,L52-K52)</f>
        <v>0</v>
      </c>
      <c r="M58" s="94" t="n">
        <f aca="false">MAX(0,M52-L52)</f>
        <v>0</v>
      </c>
      <c r="N58" s="94" t="n">
        <f aca="false">MAX(0,N52-M52)</f>
        <v>0</v>
      </c>
      <c r="O58" s="94" t="n">
        <f aca="false">MAX(0,O52-N52)</f>
        <v>0</v>
      </c>
      <c r="P58" s="94" t="n">
        <f aca="false">MAX(0,P52-O52)</f>
        <v>0</v>
      </c>
      <c r="Q58" s="94" t="n">
        <f aca="false">MAX(0,Q52-P52)</f>
        <v>0</v>
      </c>
      <c r="R58" s="94" t="n">
        <f aca="false">MAX(0,R52-Q52)</f>
        <v>0</v>
      </c>
      <c r="S58" s="94" t="n">
        <f aca="false">MAX(0,S52-R52)</f>
        <v>0</v>
      </c>
      <c r="T58" s="94" t="n">
        <f aca="false">MAX(0,T52-S52)</f>
        <v>0</v>
      </c>
      <c r="U58" s="94" t="n">
        <f aca="false">MAX(0,U52-T52)</f>
        <v>0</v>
      </c>
      <c r="V58" s="94" t="n">
        <f aca="false">MAX(0,V52-U52)</f>
        <v>0</v>
      </c>
      <c r="W58" s="94" t="n">
        <f aca="false">MAX(0,W52-V52)</f>
        <v>0</v>
      </c>
    </row>
    <row r="59" customFormat="false" ht="15" hidden="false" customHeight="false" outlineLevel="0" collapsed="false">
      <c r="A59" s="16" t="s">
        <v>421</v>
      </c>
      <c r="B59" s="76" t="n">
        <f aca="false">SUM(C59:W59)</f>
        <v>970</v>
      </c>
      <c r="C59" s="29" t="n">
        <f aca="false">C54+C55+C56+C57+C58</f>
        <v>0</v>
      </c>
      <c r="D59" s="29" t="n">
        <f aca="false">D54+D55+D56+D57+D58</f>
        <v>582</v>
      </c>
      <c r="E59" s="29" t="n">
        <f aca="false">E54+E55+E56+E57+E58</f>
        <v>242.5</v>
      </c>
      <c r="F59" s="29" t="n">
        <f aca="false">F54+F55+F56+F57+F58</f>
        <v>145.5</v>
      </c>
      <c r="G59" s="29" t="n">
        <f aca="false">G54+G55+G56+G57+G58</f>
        <v>0</v>
      </c>
      <c r="H59" s="29" t="n">
        <f aca="false">H54+H55+H56+H57+H58</f>
        <v>0</v>
      </c>
      <c r="I59" s="29" t="n">
        <f aca="false">I54+I55+I56+I57+I58</f>
        <v>0</v>
      </c>
      <c r="J59" s="29" t="n">
        <f aca="false">J54+J55+J56+J57+J58</f>
        <v>0</v>
      </c>
      <c r="K59" s="29" t="n">
        <f aca="false">K54+K55+K56+K57+K58</f>
        <v>0</v>
      </c>
      <c r="L59" s="29" t="n">
        <f aca="false">L54+L55+L56+L57+L58</f>
        <v>0</v>
      </c>
      <c r="M59" s="29" t="n">
        <f aca="false">M54+M55+M56+M57+M58</f>
        <v>0</v>
      </c>
      <c r="N59" s="29" t="n">
        <f aca="false">N54+N55+N56+N57+N58</f>
        <v>0</v>
      </c>
      <c r="O59" s="29" t="n">
        <f aca="false">O54+O55+O56+O57+O58</f>
        <v>0</v>
      </c>
      <c r="P59" s="29" t="n">
        <f aca="false">P54+P55+P56+P57+P58</f>
        <v>0</v>
      </c>
      <c r="Q59" s="29" t="n">
        <f aca="false">Q54+Q55+Q56+Q57+Q58</f>
        <v>0</v>
      </c>
      <c r="R59" s="29" t="n">
        <f aca="false">R54+R55+R56+R57+R58</f>
        <v>0</v>
      </c>
      <c r="S59" s="29" t="n">
        <f aca="false">S54+S55+S56+S57+S58</f>
        <v>0</v>
      </c>
      <c r="T59" s="29" t="n">
        <f aca="false">T54+T55+T56+T57+T58</f>
        <v>0</v>
      </c>
      <c r="U59" s="29" t="n">
        <f aca="false">U54+U55+U56+U57+U58</f>
        <v>0</v>
      </c>
      <c r="V59" s="29" t="n">
        <f aca="false">V54+V55+V56+V57+V58</f>
        <v>0</v>
      </c>
      <c r="W59" s="29" t="n">
        <f aca="false">W54+W55+W56+W57+W58</f>
        <v>0</v>
      </c>
    </row>
    <row r="61" customFormat="false" ht="15" hidden="false" customHeight="false" outlineLevel="0" collapsed="false">
      <c r="A61" s="11" t="str">
        <f aca="false">"Energy sold (kWh) - "&amp;Seg1_Name</f>
        <v>Energy sold (kWh) - Households</v>
      </c>
      <c r="B61" s="76" t="n">
        <f aca="false">SUM(C61:W61)</f>
        <v>3789485.92641319</v>
      </c>
      <c r="C61" s="93" t="n">
        <v>0</v>
      </c>
      <c r="D61" s="93" t="n">
        <f aca="false">D48*Seg1_kWh*12*D45</f>
        <v>86400</v>
      </c>
      <c r="E61" s="93" t="n">
        <f aca="false">E48*Seg1_kWh*12*E45</f>
        <v>126072</v>
      </c>
      <c r="F61" s="93" t="n">
        <f aca="false">F48*Seg1_kWh*12*F45</f>
        <v>152769.6</v>
      </c>
      <c r="G61" s="93" t="n">
        <f aca="false">G48*Seg1_kWh*12*G45</f>
        <v>157352.688</v>
      </c>
      <c r="H61" s="93" t="n">
        <f aca="false">H48*Seg1_kWh*12*H45</f>
        <v>162073.26864</v>
      </c>
      <c r="I61" s="93" t="n">
        <f aca="false">I48*Seg1_kWh*12*I45</f>
        <v>166935.4666992</v>
      </c>
      <c r="J61" s="93" t="n">
        <f aca="false">J48*Seg1_kWh*12*J45</f>
        <v>171943.530700176</v>
      </c>
      <c r="K61" s="93" t="n">
        <f aca="false">K48*Seg1_kWh*12*K45</f>
        <v>177101.836621181</v>
      </c>
      <c r="L61" s="93" t="n">
        <f aca="false">L48*Seg1_kWh*12*L45</f>
        <v>182414.891719817</v>
      </c>
      <c r="M61" s="93" t="n">
        <f aca="false">M48*Seg1_kWh*12*M45</f>
        <v>187887.338471411</v>
      </c>
      <c r="N61" s="93" t="n">
        <f aca="false">N48*Seg1_kWh*12*N45</f>
        <v>193523.958625554</v>
      </c>
      <c r="O61" s="93" t="n">
        <f aca="false">O48*Seg1_kWh*12*O45</f>
        <v>199329.67738432</v>
      </c>
      <c r="P61" s="93" t="n">
        <f aca="false">P48*Seg1_kWh*12*P45</f>
        <v>205309.56770585</v>
      </c>
      <c r="Q61" s="93" t="n">
        <f aca="false">Q48*Seg1_kWh*12*Q45</f>
        <v>211468.854737025</v>
      </c>
      <c r="R61" s="93" t="n">
        <f aca="false">R48*Seg1_kWh*12*R45</f>
        <v>217812.920379136</v>
      </c>
      <c r="S61" s="93" t="n">
        <f aca="false">S48*Seg1_kWh*12*S45</f>
        <v>224347.30799051</v>
      </c>
      <c r="T61" s="93" t="n">
        <f aca="false">T48*Seg1_kWh*12*T45</f>
        <v>231077.727230226</v>
      </c>
      <c r="U61" s="93" t="n">
        <f aca="false">U48*Seg1_kWh*12*U45</f>
        <v>238010.059047132</v>
      </c>
      <c r="V61" s="93" t="n">
        <f aca="false">V48*Seg1_kWh*12*V45</f>
        <v>245150.360818546</v>
      </c>
      <c r="W61" s="93" t="n">
        <f aca="false">W48*Seg1_kWh*12*W45</f>
        <v>252504.871643103</v>
      </c>
    </row>
    <row r="62" customFormat="false" ht="15" hidden="false" customHeight="false" outlineLevel="0" collapsed="false">
      <c r="A62" s="11" t="str">
        <f aca="false">"Energy sold (kWh) - "&amp;Seg2_Name</f>
        <v>Energy sold (kWh) - Productive users (mills, welding, cold rooms)</v>
      </c>
      <c r="B62" s="76" t="n">
        <f aca="false">SUM(C62:W62)</f>
        <v>2944733.72369716</v>
      </c>
      <c r="C62" s="93" t="n">
        <v>0</v>
      </c>
      <c r="D62" s="93" t="n">
        <f aca="false">D49*Seg2_kWh*12*D45</f>
        <v>67139.712</v>
      </c>
      <c r="E62" s="93" t="n">
        <f aca="false">E49*Seg2_kWh*12*E45</f>
        <v>97968.02976</v>
      </c>
      <c r="F62" s="93" t="n">
        <f aca="false">F49*Seg2_kWh*12*F45</f>
        <v>118714.200768</v>
      </c>
      <c r="G62" s="93" t="n">
        <f aca="false">G49*Seg2_kWh*12*G45</f>
        <v>122275.62679104</v>
      </c>
      <c r="H62" s="93" t="n">
        <f aca="false">H49*Seg2_kWh*12*H45</f>
        <v>125943.895594771</v>
      </c>
      <c r="I62" s="93" t="n">
        <f aca="false">I49*Seg2_kWh*12*I45</f>
        <v>129722.212462614</v>
      </c>
      <c r="J62" s="93" t="n">
        <f aca="false">J49*Seg2_kWh*12*J45</f>
        <v>133613.878836493</v>
      </c>
      <c r="K62" s="93" t="n">
        <f aca="false">K49*Seg2_kWh*12*K45</f>
        <v>137622.295201588</v>
      </c>
      <c r="L62" s="93" t="n">
        <f aca="false">L49*Seg2_kWh*12*L45</f>
        <v>141750.964057635</v>
      </c>
      <c r="M62" s="93" t="n">
        <f aca="false">M49*Seg2_kWh*12*M45</f>
        <v>146003.492979364</v>
      </c>
      <c r="N62" s="93" t="n">
        <f aca="false">N49*Seg2_kWh*12*N45</f>
        <v>150383.597768745</v>
      </c>
      <c r="O62" s="93" t="n">
        <f aca="false">O49*Seg2_kWh*12*O45</f>
        <v>154895.105701808</v>
      </c>
      <c r="P62" s="93" t="n">
        <f aca="false">P49*Seg2_kWh*12*P45</f>
        <v>159541.958872862</v>
      </c>
      <c r="Q62" s="93" t="n">
        <f aca="false">Q49*Seg2_kWh*12*Q45</f>
        <v>164328.217639048</v>
      </c>
      <c r="R62" s="93" t="n">
        <f aca="false">R49*Seg2_kWh*12*R45</f>
        <v>169258.064168219</v>
      </c>
      <c r="S62" s="93" t="n">
        <f aca="false">S49*Seg2_kWh*12*S45</f>
        <v>174335.806093266</v>
      </c>
      <c r="T62" s="93" t="n">
        <f aca="false">T49*Seg2_kWh*12*T45</f>
        <v>179565.880276064</v>
      </c>
      <c r="U62" s="93" t="n">
        <f aca="false">U49*Seg2_kWh*12*U45</f>
        <v>184952.856684346</v>
      </c>
      <c r="V62" s="93" t="n">
        <f aca="false">V49*Seg2_kWh*12*V45</f>
        <v>190501.442384876</v>
      </c>
      <c r="W62" s="93" t="n">
        <f aca="false">W49*Seg2_kWh*12*W45</f>
        <v>196216.485656422</v>
      </c>
    </row>
    <row r="63" customFormat="false" ht="15" hidden="false" customHeight="false" outlineLevel="0" collapsed="false">
      <c r="A63" s="11" t="str">
        <f aca="false">"Energy sold (kWh) - "&amp;Seg3_Name</f>
        <v>Energy sold (kWh) - Commercial (shops, bars, kiosks)</v>
      </c>
      <c r="B63" s="76" t="n">
        <f aca="false">SUM(C63:W63)</f>
        <v>1578952.46933883</v>
      </c>
      <c r="C63" s="93" t="n">
        <v>0</v>
      </c>
      <c r="D63" s="93" t="n">
        <f aca="false">D50*Seg3_kWh*12*D45</f>
        <v>36000</v>
      </c>
      <c r="E63" s="93" t="n">
        <f aca="false">E50*Seg3_kWh*12*E45</f>
        <v>52530</v>
      </c>
      <c r="F63" s="93" t="n">
        <f aca="false">F50*Seg3_kWh*12*F45</f>
        <v>63654</v>
      </c>
      <c r="G63" s="93" t="n">
        <f aca="false">G50*Seg3_kWh*12*G45</f>
        <v>65563.62</v>
      </c>
      <c r="H63" s="93" t="n">
        <f aca="false">H50*Seg3_kWh*12*H45</f>
        <v>67530.5286</v>
      </c>
      <c r="I63" s="93" t="n">
        <f aca="false">I50*Seg3_kWh*12*I45</f>
        <v>69556.444458</v>
      </c>
      <c r="J63" s="93" t="n">
        <f aca="false">J50*Seg3_kWh*12*J45</f>
        <v>71643.13779174</v>
      </c>
      <c r="K63" s="93" t="n">
        <f aca="false">K50*Seg3_kWh*12*K45</f>
        <v>73792.4319254922</v>
      </c>
      <c r="L63" s="93" t="n">
        <f aca="false">L50*Seg3_kWh*12*L45</f>
        <v>76006.204883257</v>
      </c>
      <c r="M63" s="93" t="n">
        <f aca="false">M50*Seg3_kWh*12*M45</f>
        <v>78286.3910297547</v>
      </c>
      <c r="N63" s="93" t="n">
        <f aca="false">N50*Seg3_kWh*12*N45</f>
        <v>80634.9827606473</v>
      </c>
      <c r="O63" s="93" t="n">
        <f aca="false">O50*Seg3_kWh*12*O45</f>
        <v>83054.0322434668</v>
      </c>
      <c r="P63" s="93" t="n">
        <f aca="false">P50*Seg3_kWh*12*P45</f>
        <v>85545.6532107708</v>
      </c>
      <c r="Q63" s="93" t="n">
        <f aca="false">Q50*Seg3_kWh*12*Q45</f>
        <v>88112.0228070939</v>
      </c>
      <c r="R63" s="93" t="n">
        <f aca="false">R50*Seg3_kWh*12*R45</f>
        <v>90755.3834913067</v>
      </c>
      <c r="S63" s="93" t="n">
        <f aca="false">S50*Seg3_kWh*12*S45</f>
        <v>93478.0449960459</v>
      </c>
      <c r="T63" s="93" t="n">
        <f aca="false">T50*Seg3_kWh*12*T45</f>
        <v>96282.3863459273</v>
      </c>
      <c r="U63" s="93" t="n">
        <f aca="false">U50*Seg3_kWh*12*U45</f>
        <v>99170.8579363051</v>
      </c>
      <c r="V63" s="93" t="n">
        <f aca="false">V50*Seg3_kWh*12*V45</f>
        <v>102145.983674394</v>
      </c>
      <c r="W63" s="93" t="n">
        <f aca="false">W50*Seg3_kWh*12*W45</f>
        <v>105210.363184626</v>
      </c>
    </row>
    <row r="64" customFormat="false" ht="15" hidden="false" customHeight="false" outlineLevel="0" collapsed="false">
      <c r="A64" s="11" t="str">
        <f aca="false">"Energy sold (kWh) - "&amp;Seg4_Name</f>
        <v>Energy sold (kWh) - Institutions (health centre, school, water)</v>
      </c>
      <c r="B64" s="76" t="n">
        <f aca="false">SUM(C64:W64)</f>
        <v>947371.481603297</v>
      </c>
      <c r="C64" s="93" t="n">
        <v>0</v>
      </c>
      <c r="D64" s="93" t="n">
        <f aca="false">D51*Seg4_kWh*12*D45</f>
        <v>21600</v>
      </c>
      <c r="E64" s="93" t="n">
        <f aca="false">E51*Seg4_kWh*12*E45</f>
        <v>31518</v>
      </c>
      <c r="F64" s="93" t="n">
        <f aca="false">F51*Seg4_kWh*12*F45</f>
        <v>38192.4</v>
      </c>
      <c r="G64" s="93" t="n">
        <f aca="false">G51*Seg4_kWh*12*G45</f>
        <v>39338.172</v>
      </c>
      <c r="H64" s="93" t="n">
        <f aca="false">H51*Seg4_kWh*12*H45</f>
        <v>40518.31716</v>
      </c>
      <c r="I64" s="93" t="n">
        <f aca="false">I51*Seg4_kWh*12*I45</f>
        <v>41733.8666748</v>
      </c>
      <c r="J64" s="93" t="n">
        <f aca="false">J51*Seg4_kWh*12*J45</f>
        <v>42985.882675044</v>
      </c>
      <c r="K64" s="93" t="n">
        <f aca="false">K51*Seg4_kWh*12*K45</f>
        <v>44275.4591552953</v>
      </c>
      <c r="L64" s="93" t="n">
        <f aca="false">L51*Seg4_kWh*12*L45</f>
        <v>45603.7229299542</v>
      </c>
      <c r="M64" s="93" t="n">
        <f aca="false">M51*Seg4_kWh*12*M45</f>
        <v>46971.8346178528</v>
      </c>
      <c r="N64" s="93" t="n">
        <f aca="false">N51*Seg4_kWh*12*N45</f>
        <v>48380.9896563884</v>
      </c>
      <c r="O64" s="93" t="n">
        <f aca="false">O51*Seg4_kWh*12*O45</f>
        <v>49832.4193460801</v>
      </c>
      <c r="P64" s="93" t="n">
        <f aca="false">P51*Seg4_kWh*12*P45</f>
        <v>51327.3919264625</v>
      </c>
      <c r="Q64" s="93" t="n">
        <f aca="false">Q51*Seg4_kWh*12*Q45</f>
        <v>52867.2136842563</v>
      </c>
      <c r="R64" s="93" t="n">
        <f aca="false">R51*Seg4_kWh*12*R45</f>
        <v>54453.230094784</v>
      </c>
      <c r="S64" s="93" t="n">
        <f aca="false">S51*Seg4_kWh*12*S45</f>
        <v>56086.8269976275</v>
      </c>
      <c r="T64" s="93" t="n">
        <f aca="false">T51*Seg4_kWh*12*T45</f>
        <v>57769.4318075564</v>
      </c>
      <c r="U64" s="93" t="n">
        <f aca="false">U51*Seg4_kWh*12*U45</f>
        <v>59502.5147617831</v>
      </c>
      <c r="V64" s="93" t="n">
        <f aca="false">V51*Seg4_kWh*12*V45</f>
        <v>61287.5902046366</v>
      </c>
      <c r="W64" s="93" t="n">
        <f aca="false">W51*Seg4_kWh*12*W45</f>
        <v>63126.2179107757</v>
      </c>
    </row>
    <row r="65" customFormat="false" ht="15" hidden="false" customHeight="false" outlineLevel="0" collapsed="false">
      <c r="A65" s="11" t="str">
        <f aca="false">"Energy sold (kWh) - "&amp;Seg5_Name</f>
        <v>Energy sold (kWh) - Other / custom</v>
      </c>
      <c r="B65" s="76" t="n">
        <f aca="false">SUM(C65:W65)</f>
        <v>0</v>
      </c>
      <c r="C65" s="93" t="n">
        <v>0</v>
      </c>
      <c r="D65" s="93" t="n">
        <f aca="false">D52*Seg5_kWh*12*D45</f>
        <v>0</v>
      </c>
      <c r="E65" s="93" t="n">
        <f aca="false">E52*Seg5_kWh*12*E45</f>
        <v>0</v>
      </c>
      <c r="F65" s="93" t="n">
        <f aca="false">F52*Seg5_kWh*12*F45</f>
        <v>0</v>
      </c>
      <c r="G65" s="93" t="n">
        <f aca="false">G52*Seg5_kWh*12*G45</f>
        <v>0</v>
      </c>
      <c r="H65" s="93" t="n">
        <f aca="false">H52*Seg5_kWh*12*H45</f>
        <v>0</v>
      </c>
      <c r="I65" s="93" t="n">
        <f aca="false">I52*Seg5_kWh*12*I45</f>
        <v>0</v>
      </c>
      <c r="J65" s="93" t="n">
        <f aca="false">J52*Seg5_kWh*12*J45</f>
        <v>0</v>
      </c>
      <c r="K65" s="93" t="n">
        <f aca="false">K52*Seg5_kWh*12*K45</f>
        <v>0</v>
      </c>
      <c r="L65" s="93" t="n">
        <f aca="false">L52*Seg5_kWh*12*L45</f>
        <v>0</v>
      </c>
      <c r="M65" s="93" t="n">
        <f aca="false">M52*Seg5_kWh*12*M45</f>
        <v>0</v>
      </c>
      <c r="N65" s="93" t="n">
        <f aca="false">N52*Seg5_kWh*12*N45</f>
        <v>0</v>
      </c>
      <c r="O65" s="93" t="n">
        <f aca="false">O52*Seg5_kWh*12*O45</f>
        <v>0</v>
      </c>
      <c r="P65" s="93" t="n">
        <f aca="false">P52*Seg5_kWh*12*P45</f>
        <v>0</v>
      </c>
      <c r="Q65" s="93" t="n">
        <f aca="false">Q52*Seg5_kWh*12*Q45</f>
        <v>0</v>
      </c>
      <c r="R65" s="93" t="n">
        <f aca="false">R52*Seg5_kWh*12*R45</f>
        <v>0</v>
      </c>
      <c r="S65" s="93" t="n">
        <f aca="false">S52*Seg5_kWh*12*S45</f>
        <v>0</v>
      </c>
      <c r="T65" s="93" t="n">
        <f aca="false">T52*Seg5_kWh*12*T45</f>
        <v>0</v>
      </c>
      <c r="U65" s="93" t="n">
        <f aca="false">U52*Seg5_kWh*12*U45</f>
        <v>0</v>
      </c>
      <c r="V65" s="93" t="n">
        <f aca="false">V52*Seg5_kWh*12*V45</f>
        <v>0</v>
      </c>
      <c r="W65" s="93" t="n">
        <f aca="false">W52*Seg5_kWh*12*W45</f>
        <v>0</v>
      </c>
    </row>
    <row r="66" customFormat="false" ht="15" hidden="false" customHeight="false" outlineLevel="0" collapsed="false">
      <c r="A66" s="16" t="s">
        <v>422</v>
      </c>
      <c r="B66" s="76" t="n">
        <f aca="false">SUM(C66:W66)</f>
        <v>9260543.60105247</v>
      </c>
      <c r="C66" s="29" t="n">
        <f aca="false">C61+C62+C63+C64+C65</f>
        <v>0</v>
      </c>
      <c r="D66" s="29" t="n">
        <f aca="false">D61+D62+D63+D64+D65</f>
        <v>211139.712</v>
      </c>
      <c r="E66" s="29" t="n">
        <f aca="false">E61+E62+E63+E64+E65</f>
        <v>308088.02976</v>
      </c>
      <c r="F66" s="29" t="n">
        <f aca="false">F61+F62+F63+F64+F65</f>
        <v>373330.200768</v>
      </c>
      <c r="G66" s="29" t="n">
        <f aca="false">G61+G62+G63+G64+G65</f>
        <v>384530.10679104</v>
      </c>
      <c r="H66" s="29" t="n">
        <f aca="false">H61+H62+H63+H64+H65</f>
        <v>396066.009994771</v>
      </c>
      <c r="I66" s="29" t="n">
        <f aca="false">I61+I62+I63+I64+I65</f>
        <v>407947.990294614</v>
      </c>
      <c r="J66" s="29" t="n">
        <f aca="false">J61+J62+J63+J64+J65</f>
        <v>420186.430003453</v>
      </c>
      <c r="K66" s="29" t="n">
        <f aca="false">K61+K62+K63+K64+K65</f>
        <v>432792.022903556</v>
      </c>
      <c r="L66" s="29" t="n">
        <f aca="false">L61+L62+L63+L64+L65</f>
        <v>445775.783590663</v>
      </c>
      <c r="M66" s="29" t="n">
        <f aca="false">M61+M62+M63+M64+M65</f>
        <v>459149.057098383</v>
      </c>
      <c r="N66" s="29" t="n">
        <f aca="false">N61+N62+N63+N64+N65</f>
        <v>472923.528811335</v>
      </c>
      <c r="O66" s="29" t="n">
        <f aca="false">O61+O62+O63+O64+O65</f>
        <v>487111.234675675</v>
      </c>
      <c r="P66" s="29" t="n">
        <f aca="false">P61+P62+P63+P64+P65</f>
        <v>501724.571715945</v>
      </c>
      <c r="Q66" s="29" t="n">
        <f aca="false">Q61+Q62+Q63+Q64+Q65</f>
        <v>516776.308867423</v>
      </c>
      <c r="R66" s="29" t="n">
        <f aca="false">R61+R62+R63+R64+R65</f>
        <v>532279.598133446</v>
      </c>
      <c r="S66" s="29" t="n">
        <f aca="false">S61+S62+S63+S64+S65</f>
        <v>548247.986077449</v>
      </c>
      <c r="T66" s="29" t="n">
        <f aca="false">T61+T62+T63+T64+T65</f>
        <v>564695.425659773</v>
      </c>
      <c r="U66" s="29" t="n">
        <f aca="false">U61+U62+U63+U64+U65</f>
        <v>581636.288429566</v>
      </c>
      <c r="V66" s="29" t="n">
        <f aca="false">V61+V62+V63+V64+V65</f>
        <v>599085.377082453</v>
      </c>
      <c r="W66" s="29" t="n">
        <f aca="false">W61+W62+W63+W64+W65</f>
        <v>617057.938394927</v>
      </c>
    </row>
    <row r="68" customFormat="false" ht="15" hidden="false" customHeight="false" outlineLevel="0" collapsed="false">
      <c r="A68" s="9" t="s">
        <v>423</v>
      </c>
      <c r="B68" s="10"/>
      <c r="C68" s="10"/>
      <c r="D68" s="10"/>
      <c r="E68" s="10"/>
      <c r="F68" s="10"/>
      <c r="G68" s="10"/>
      <c r="H68" s="10"/>
      <c r="I68" s="10"/>
      <c r="J68" s="10"/>
      <c r="K68" s="10"/>
      <c r="L68" s="10"/>
      <c r="M68" s="10"/>
      <c r="N68" s="10"/>
      <c r="O68" s="10"/>
      <c r="P68" s="10"/>
      <c r="Q68" s="10"/>
      <c r="R68" s="10"/>
      <c r="S68" s="10"/>
      <c r="T68" s="10"/>
      <c r="U68" s="10"/>
      <c r="V68" s="10"/>
      <c r="W68" s="10"/>
    </row>
    <row r="69" customFormat="false" ht="15" hidden="false" customHeight="false" outlineLevel="0" collapsed="false">
      <c r="A69" s="11" t="s">
        <v>424</v>
      </c>
      <c r="B69" s="76" t="n">
        <f aca="false">SUM(C69:W69)</f>
        <v>10523345.001196</v>
      </c>
      <c r="C69" s="93" t="n">
        <v>0</v>
      </c>
      <c r="D69" s="93" t="n">
        <f aca="false">D66/(1-Losses)</f>
        <v>239931.490909091</v>
      </c>
      <c r="E69" s="93" t="n">
        <f aca="false">E66/(1-Losses)</f>
        <v>350100.033818182</v>
      </c>
      <c r="F69" s="93" t="n">
        <f aca="false">F66/(1-Losses)</f>
        <v>424238.864509091</v>
      </c>
      <c r="G69" s="93" t="n">
        <f aca="false">G66/(1-Losses)</f>
        <v>436966.030444364</v>
      </c>
      <c r="H69" s="93" t="n">
        <f aca="false">H66/(1-Losses)</f>
        <v>450075.011357695</v>
      </c>
      <c r="I69" s="93" t="n">
        <f aca="false">I66/(1-Losses)</f>
        <v>463577.261698425</v>
      </c>
      <c r="J69" s="93" t="n">
        <f aca="false">J66/(1-Losses)</f>
        <v>477484.579549378</v>
      </c>
      <c r="K69" s="93" t="n">
        <f aca="false">K66/(1-Losses)</f>
        <v>491809.11693586</v>
      </c>
      <c r="L69" s="93" t="n">
        <f aca="false">L66/(1-Losses)</f>
        <v>506563.390443935</v>
      </c>
      <c r="M69" s="93" t="n">
        <f aca="false">M66/(1-Losses)</f>
        <v>521760.292157253</v>
      </c>
      <c r="N69" s="93" t="n">
        <f aca="false">N66/(1-Losses)</f>
        <v>537413.100921971</v>
      </c>
      <c r="O69" s="93" t="n">
        <f aca="false">O66/(1-Losses)</f>
        <v>553535.49394963</v>
      </c>
      <c r="P69" s="93" t="n">
        <f aca="false">P66/(1-Losses)</f>
        <v>570141.558768119</v>
      </c>
      <c r="Q69" s="93" t="n">
        <f aca="false">Q66/(1-Losses)</f>
        <v>587245.805531163</v>
      </c>
      <c r="R69" s="93" t="n">
        <f aca="false">R66/(1-Losses)</f>
        <v>604863.179697098</v>
      </c>
      <c r="S69" s="93" t="n">
        <f aca="false">S66/(1-Losses)</f>
        <v>623009.07508801</v>
      </c>
      <c r="T69" s="93" t="n">
        <f aca="false">T66/(1-Losses)</f>
        <v>641699.347340651</v>
      </c>
      <c r="U69" s="93" t="n">
        <f aca="false">U66/(1-Losses)</f>
        <v>660950.327760871</v>
      </c>
      <c r="V69" s="93" t="n">
        <f aca="false">V66/(1-Losses)</f>
        <v>680778.837593697</v>
      </c>
      <c r="W69" s="93" t="n">
        <f aca="false">W66/(1-Losses)</f>
        <v>701202.202721508</v>
      </c>
    </row>
    <row r="70" customFormat="false" ht="15" hidden="false" customHeight="false" outlineLevel="0" collapsed="false">
      <c r="A70" s="11" t="s">
        <v>425</v>
      </c>
      <c r="B70" s="76" t="n">
        <f aca="false">SUM(C70:W70)</f>
        <v>8722537.45034705</v>
      </c>
      <c r="C70" s="93" t="n">
        <v>0</v>
      </c>
      <c r="D70" s="93" t="n">
        <f aca="false">PV_kWp*SpecYield*(1-Degradation)^(D39-1)*D41</f>
        <v>457206.277768167</v>
      </c>
      <c r="E70" s="93" t="n">
        <f aca="false">PV_kWp*SpecYield*(1-Degradation)^(E39-1)*E41</f>
        <v>454920.246379326</v>
      </c>
      <c r="F70" s="93" t="n">
        <f aca="false">PV_kWp*SpecYield*(1-Degradation)^(F39-1)*F41</f>
        <v>452645.64514743</v>
      </c>
      <c r="G70" s="93" t="n">
        <f aca="false">PV_kWp*SpecYield*(1-Degradation)^(G39-1)*G41</f>
        <v>450382.416921693</v>
      </c>
      <c r="H70" s="93" t="n">
        <f aca="false">PV_kWp*SpecYield*(1-Degradation)^(H39-1)*H41</f>
        <v>448130.504837084</v>
      </c>
      <c r="I70" s="93" t="n">
        <f aca="false">PV_kWp*SpecYield*(1-Degradation)^(I39-1)*I41</f>
        <v>445889.852312899</v>
      </c>
      <c r="J70" s="93" t="n">
        <f aca="false">PV_kWp*SpecYield*(1-Degradation)^(J39-1)*J41</f>
        <v>443660.403051334</v>
      </c>
      <c r="K70" s="93" t="n">
        <f aca="false">PV_kWp*SpecYield*(1-Degradation)^(K39-1)*K41</f>
        <v>441442.101036078</v>
      </c>
      <c r="L70" s="93" t="n">
        <f aca="false">PV_kWp*SpecYield*(1-Degradation)^(L39-1)*L41</f>
        <v>439234.890530897</v>
      </c>
      <c r="M70" s="93" t="n">
        <f aca="false">PV_kWp*SpecYield*(1-Degradation)^(M39-1)*M41</f>
        <v>437038.716078243</v>
      </c>
      <c r="N70" s="93" t="n">
        <f aca="false">PV_kWp*SpecYield*(1-Degradation)^(N39-1)*N41</f>
        <v>434853.522497851</v>
      </c>
      <c r="O70" s="93" t="n">
        <f aca="false">PV_kWp*SpecYield*(1-Degradation)^(O39-1)*O41</f>
        <v>432679.254885362</v>
      </c>
      <c r="P70" s="93" t="n">
        <f aca="false">PV_kWp*SpecYield*(1-Degradation)^(P39-1)*P41</f>
        <v>430515.858610935</v>
      </c>
      <c r="Q70" s="93" t="n">
        <f aca="false">PV_kWp*SpecYield*(1-Degradation)^(Q39-1)*Q41</f>
        <v>428363.279317881</v>
      </c>
      <c r="R70" s="93" t="n">
        <f aca="false">PV_kWp*SpecYield*(1-Degradation)^(R39-1)*R41</f>
        <v>426221.462921291</v>
      </c>
      <c r="S70" s="93" t="n">
        <f aca="false">PV_kWp*SpecYield*(1-Degradation)^(S39-1)*S41</f>
        <v>424090.355606685</v>
      </c>
      <c r="T70" s="93" t="n">
        <f aca="false">PV_kWp*SpecYield*(1-Degradation)^(T39-1)*T41</f>
        <v>421969.903828651</v>
      </c>
      <c r="U70" s="93" t="n">
        <f aca="false">PV_kWp*SpecYield*(1-Degradation)^(U39-1)*U41</f>
        <v>419860.054309508</v>
      </c>
      <c r="V70" s="93" t="n">
        <f aca="false">PV_kWp*SpecYield*(1-Degradation)^(V39-1)*V41</f>
        <v>417760.754037961</v>
      </c>
      <c r="W70" s="93" t="n">
        <f aca="false">PV_kWp*SpecYield*(1-Degradation)^(W39-1)*W41</f>
        <v>415671.950267771</v>
      </c>
    </row>
    <row r="71" customFormat="false" ht="15" hidden="false" customHeight="false" outlineLevel="0" collapsed="false">
      <c r="A71" s="11" t="s">
        <v>426</v>
      </c>
      <c r="B71" s="76" t="n">
        <f aca="false">SUM(C71:W71)</f>
        <v>7903453.19236348</v>
      </c>
      <c r="C71" s="93" t="n">
        <v>0</v>
      </c>
      <c r="D71" s="93" t="n">
        <f aca="false">MIN(D70/StorageFactor,D69*SolarFraction)</f>
        <v>215938.341818182</v>
      </c>
      <c r="E71" s="93" t="n">
        <f aca="false">MIN(E70/StorageFactor,E69*SolarFraction)</f>
        <v>315090.030436364</v>
      </c>
      <c r="F71" s="93" t="n">
        <f aca="false">MIN(F70/StorageFactor,F69*SolarFraction)</f>
        <v>381814.978058182</v>
      </c>
      <c r="G71" s="93" t="n">
        <f aca="false">MIN(G70/StorageFactor,G69*SolarFraction)</f>
        <v>393269.427399927</v>
      </c>
      <c r="H71" s="93" t="n">
        <f aca="false">MIN(H70/StorageFactor,H69*SolarFraction)</f>
        <v>405067.510221925</v>
      </c>
      <c r="I71" s="93" t="n">
        <f aca="false">MIN(I70/StorageFactor,I69*SolarFraction)</f>
        <v>417219.535528583</v>
      </c>
      <c r="J71" s="93" t="n">
        <f aca="false">MIN(J70/StorageFactor,J69*SolarFraction)</f>
        <v>426078.172123344</v>
      </c>
      <c r="K71" s="93" t="n">
        <f aca="false">MIN(K70/StorageFactor,K69*SolarFraction)</f>
        <v>423947.781262727</v>
      </c>
      <c r="L71" s="93" t="n">
        <f aca="false">MIN(L70/StorageFactor,L69*SolarFraction)</f>
        <v>421828.042356414</v>
      </c>
      <c r="M71" s="93" t="n">
        <f aca="false">MIN(M70/StorageFactor,M69*SolarFraction)</f>
        <v>419718.902144632</v>
      </c>
      <c r="N71" s="93" t="n">
        <f aca="false">MIN(N70/StorageFactor,N69*SolarFraction)</f>
        <v>417620.307633909</v>
      </c>
      <c r="O71" s="93" t="n">
        <f aca="false">MIN(O70/StorageFactor,O69*SolarFraction)</f>
        <v>415532.206095739</v>
      </c>
      <c r="P71" s="93" t="n">
        <f aca="false">MIN(P70/StorageFactor,P69*SolarFraction)</f>
        <v>413454.54506526</v>
      </c>
      <c r="Q71" s="93" t="n">
        <f aca="false">MIN(Q70/StorageFactor,Q69*SolarFraction)</f>
        <v>411387.272339934</v>
      </c>
      <c r="R71" s="93" t="n">
        <f aca="false">MIN(R70/StorageFactor,R69*SolarFraction)</f>
        <v>409330.335978234</v>
      </c>
      <c r="S71" s="93" t="n">
        <f aca="false">MIN(S70/StorageFactor,S69*SolarFraction)</f>
        <v>407283.684298343</v>
      </c>
      <c r="T71" s="93" t="n">
        <f aca="false">MIN(T70/StorageFactor,T69*SolarFraction)</f>
        <v>405247.265876851</v>
      </c>
      <c r="U71" s="93" t="n">
        <f aca="false">MIN(U70/StorageFactor,U69*SolarFraction)</f>
        <v>403221.029547467</v>
      </c>
      <c r="V71" s="93" t="n">
        <f aca="false">MIN(V70/StorageFactor,V69*SolarFraction)</f>
        <v>401204.92439973</v>
      </c>
      <c r="W71" s="93" t="n">
        <f aca="false">MIN(W70/StorageFactor,W69*SolarFraction)</f>
        <v>399198.899777731</v>
      </c>
    </row>
    <row r="72" customFormat="false" ht="15" hidden="false" customHeight="false" outlineLevel="0" collapsed="false">
      <c r="A72" s="11" t="s">
        <v>427</v>
      </c>
      <c r="B72" s="76" t="n">
        <f aca="false">SUM(C72:W72)</f>
        <v>2619891.80883251</v>
      </c>
      <c r="C72" s="93" t="n">
        <v>0</v>
      </c>
      <c r="D72" s="93" t="n">
        <f aca="false">D69-D71</f>
        <v>23993.1490909091</v>
      </c>
      <c r="E72" s="93" t="n">
        <f aca="false">E69-E71</f>
        <v>35010.0033818182</v>
      </c>
      <c r="F72" s="93" t="n">
        <f aca="false">F69-F71</f>
        <v>42423.8864509091</v>
      </c>
      <c r="G72" s="93" t="n">
        <f aca="false">G69-G71</f>
        <v>43696.6030444364</v>
      </c>
      <c r="H72" s="93" t="n">
        <f aca="false">H69-H71</f>
        <v>45007.5011357695</v>
      </c>
      <c r="I72" s="93" t="n">
        <f aca="false">I69-I71</f>
        <v>46357.7261698425</v>
      </c>
      <c r="J72" s="93" t="n">
        <f aca="false">J69-J71</f>
        <v>51406.407426034</v>
      </c>
      <c r="K72" s="93" t="n">
        <f aca="false">K69-K71</f>
        <v>67861.3356731322</v>
      </c>
      <c r="L72" s="93" t="n">
        <f aca="false">L69-L71</f>
        <v>84735.3480875216</v>
      </c>
      <c r="M72" s="93" t="n">
        <f aca="false">M69-M71</f>
        <v>102041.390012622</v>
      </c>
      <c r="N72" s="93" t="n">
        <f aca="false">N69-N71</f>
        <v>119792.793288062</v>
      </c>
      <c r="O72" s="93" t="n">
        <f aca="false">O69-O71</f>
        <v>138003.287853891</v>
      </c>
      <c r="P72" s="93" t="n">
        <f aca="false">P69-P71</f>
        <v>156687.013702859</v>
      </c>
      <c r="Q72" s="93" t="n">
        <f aca="false">Q69-Q71</f>
        <v>175858.533191229</v>
      </c>
      <c r="R72" s="93" t="n">
        <f aca="false">R69-R71</f>
        <v>195532.843718863</v>
      </c>
      <c r="S72" s="93" t="n">
        <f aca="false">S69-S71</f>
        <v>215725.390789667</v>
      </c>
      <c r="T72" s="93" t="n">
        <f aca="false">T69-T71</f>
        <v>236452.0814638</v>
      </c>
      <c r="U72" s="93" t="n">
        <f aca="false">U69-U71</f>
        <v>257729.298213403</v>
      </c>
      <c r="V72" s="93" t="n">
        <f aca="false">V69-V71</f>
        <v>279573.913193967</v>
      </c>
      <c r="W72" s="93" t="n">
        <f aca="false">W69-W71</f>
        <v>302003.302943776</v>
      </c>
    </row>
    <row r="73" customFormat="false" ht="15" hidden="false" customHeight="false" outlineLevel="0" collapsed="false">
      <c r="A73" s="11" t="s">
        <v>428</v>
      </c>
      <c r="C73" s="91" t="n">
        <v>0</v>
      </c>
      <c r="D73" s="91" t="n">
        <f aca="false">IFERROR(D71/D69,0)</f>
        <v>0.9</v>
      </c>
      <c r="E73" s="91" t="n">
        <f aca="false">IFERROR(E71/E69,0)</f>
        <v>0.9</v>
      </c>
      <c r="F73" s="91" t="n">
        <f aca="false">IFERROR(F71/F69,0)</f>
        <v>0.9</v>
      </c>
      <c r="G73" s="91" t="n">
        <f aca="false">IFERROR(G71/G69,0)</f>
        <v>0.9</v>
      </c>
      <c r="H73" s="91" t="n">
        <f aca="false">IFERROR(H71/H69,0)</f>
        <v>0.9</v>
      </c>
      <c r="I73" s="91" t="n">
        <f aca="false">IFERROR(I71/I69,0)</f>
        <v>0.9</v>
      </c>
      <c r="J73" s="91" t="n">
        <f aca="false">IFERROR(J71/J69,0)</f>
        <v>0.892339125434065</v>
      </c>
      <c r="K73" s="91" t="n">
        <f aca="false">IFERROR(K71/K69,0)</f>
        <v>0.862016922142616</v>
      </c>
      <c r="L73" s="91" t="n">
        <f aca="false">IFERROR(L71/L69,0)</f>
        <v>0.83272508498243</v>
      </c>
      <c r="M73" s="91" t="n">
        <f aca="false">IFERROR(M71/M69,0)</f>
        <v>0.804428601512153</v>
      </c>
      <c r="N73" s="91" t="n">
        <f aca="false">IFERROR(N71/N69,0)</f>
        <v>0.777093649033585</v>
      </c>
      <c r="O73" s="91" t="n">
        <f aca="false">IFERROR(O71/O69,0)</f>
        <v>0.750687554163511</v>
      </c>
      <c r="P73" s="91" t="n">
        <f aca="false">IFERROR(P71/P69,0)</f>
        <v>0.725178753779314</v>
      </c>
      <c r="Q73" s="91" t="n">
        <f aca="false">IFERROR(Q71/Q69,0)</f>
        <v>0.700536757291668</v>
      </c>
      <c r="R73" s="91" t="n">
        <f aca="false">IFERROR(R71/R69,0)</f>
        <v>0.676732110199232</v>
      </c>
      <c r="S73" s="91" t="n">
        <f aca="false">IFERROR(S71/S69,0)</f>
        <v>0.653736358881783</v>
      </c>
      <c r="T73" s="91" t="n">
        <f aca="false">IFERROR(T71/T69,0)</f>
        <v>0.631522016589683</v>
      </c>
      <c r="U73" s="91" t="n">
        <f aca="false">IFERROR(U71/U69,0)</f>
        <v>0.610062530589063</v>
      </c>
      <c r="V73" s="91" t="n">
        <f aca="false">IFERROR(V71/V69,0)</f>
        <v>0.589332250423415</v>
      </c>
      <c r="W73" s="91" t="n">
        <f aca="false">IFERROR(W71/W69,0)</f>
        <v>0.569306397253687</v>
      </c>
    </row>
    <row r="74" customFormat="false" ht="15" hidden="false" customHeight="false" outlineLevel="0" collapsed="false">
      <c r="A74" s="11" t="s">
        <v>429</v>
      </c>
      <c r="B74" s="76" t="n">
        <f aca="false">SUM(C74:W74)</f>
        <v>873297.269610837</v>
      </c>
      <c r="C74" s="93" t="n">
        <v>0</v>
      </c>
      <c r="D74" s="93" t="n">
        <f aca="false">D72/DieselEff</f>
        <v>7997.71636363636</v>
      </c>
      <c r="E74" s="93" t="n">
        <f aca="false">E72/DieselEff</f>
        <v>11670.0011272727</v>
      </c>
      <c r="F74" s="93" t="n">
        <f aca="false">F72/DieselEff</f>
        <v>14141.2954836364</v>
      </c>
      <c r="G74" s="93" t="n">
        <f aca="false">G72/DieselEff</f>
        <v>14565.5343481455</v>
      </c>
      <c r="H74" s="93" t="n">
        <f aca="false">H72/DieselEff</f>
        <v>15002.5003785898</v>
      </c>
      <c r="I74" s="93" t="n">
        <f aca="false">I72/DieselEff</f>
        <v>15452.5753899475</v>
      </c>
      <c r="J74" s="93" t="n">
        <f aca="false">J72/DieselEff</f>
        <v>17135.4691420114</v>
      </c>
      <c r="K74" s="93" t="n">
        <f aca="false">K72/DieselEff</f>
        <v>22620.4452243774</v>
      </c>
      <c r="L74" s="93" t="n">
        <f aca="false">L72/DieselEff</f>
        <v>28245.1160291739</v>
      </c>
      <c r="M74" s="93" t="n">
        <f aca="false">M72/DieselEff</f>
        <v>34013.7966708739</v>
      </c>
      <c r="N74" s="93" t="n">
        <f aca="false">N72/DieselEff</f>
        <v>39930.9310960208</v>
      </c>
      <c r="O74" s="93" t="n">
        <f aca="false">O72/DieselEff</f>
        <v>46001.0959512971</v>
      </c>
      <c r="P74" s="93" t="n">
        <f aca="false">P72/DieselEff</f>
        <v>52229.0045676196</v>
      </c>
      <c r="Q74" s="93" t="n">
        <f aca="false">Q72/DieselEff</f>
        <v>58619.5110637429</v>
      </c>
      <c r="R74" s="93" t="n">
        <f aca="false">R72/DieselEff</f>
        <v>65177.6145729544</v>
      </c>
      <c r="S74" s="93" t="n">
        <f aca="false">S72/DieselEff</f>
        <v>71908.4635965558</v>
      </c>
      <c r="T74" s="93" t="n">
        <f aca="false">T72/DieselEff</f>
        <v>78817.3604879332</v>
      </c>
      <c r="U74" s="93" t="n">
        <f aca="false">U72/DieselEff</f>
        <v>85909.7660711344</v>
      </c>
      <c r="V74" s="93" t="n">
        <f aca="false">V72/DieselEff</f>
        <v>93191.3043979889</v>
      </c>
      <c r="W74" s="93" t="n">
        <f aca="false">W72/DieselEff</f>
        <v>100667.767647925</v>
      </c>
    </row>
    <row r="76" customFormat="false" ht="15" hidden="false" customHeight="false" outlineLevel="0" collapsed="false">
      <c r="A76" s="9" t="s">
        <v>430</v>
      </c>
      <c r="B76" s="10"/>
      <c r="C76" s="10"/>
      <c r="D76" s="10"/>
      <c r="E76" s="10"/>
      <c r="F76" s="10"/>
      <c r="G76" s="10"/>
      <c r="H76" s="10"/>
      <c r="I76" s="10"/>
      <c r="J76" s="10"/>
      <c r="K76" s="10"/>
      <c r="L76" s="10"/>
      <c r="M76" s="10"/>
      <c r="N76" s="10"/>
      <c r="O76" s="10"/>
      <c r="P76" s="10"/>
      <c r="Q76" s="10"/>
      <c r="R76" s="10"/>
      <c r="S76" s="10"/>
      <c r="T76" s="10"/>
      <c r="U76" s="10"/>
      <c r="V76" s="10"/>
      <c r="W76" s="10"/>
    </row>
    <row r="77" customFormat="false" ht="15" hidden="false" customHeight="false" outlineLevel="0" collapsed="false">
      <c r="A77" s="11" t="str">
        <f aca="false">"Billed revenue - "&amp;Seg1_Name</f>
        <v>Billed revenue - Households</v>
      </c>
      <c r="B77" s="66" t="n">
        <f aca="false">SUM(C77:W77)</f>
        <v>2107258.13958533</v>
      </c>
      <c r="C77" s="95" t="n">
        <v>0</v>
      </c>
      <c r="D77" s="95" t="n">
        <f aca="false">D61*Seg1_Tariff*LevTariff*$B$5*D43</f>
        <v>34560</v>
      </c>
      <c r="E77" s="95" t="n">
        <f aca="false">E61*Seg1_Tariff*LevTariff*$B$5*E43</f>
        <v>51941.664</v>
      </c>
      <c r="F77" s="95" t="n">
        <f aca="false">F61*Seg1_Tariff*LevTariff*$B$5*F43</f>
        <v>64829.307456</v>
      </c>
      <c r="G77" s="95" t="n">
        <f aca="false">G61*Seg1_Tariff*LevTariff*$B$5*G43</f>
        <v>68777.4122800704</v>
      </c>
      <c r="H77" s="95" t="n">
        <f aca="false">H61*Seg1_Tariff*LevTariff*$B$5*H43</f>
        <v>72965.9566879267</v>
      </c>
      <c r="I77" s="95" t="n">
        <f aca="false">I61*Seg1_Tariff*LevTariff*$B$5*I43</f>
        <v>77409.5834502214</v>
      </c>
      <c r="J77" s="95" t="n">
        <f aca="false">J61*Seg1_Tariff*LevTariff*$B$5*J43</f>
        <v>82123.8270823399</v>
      </c>
      <c r="K77" s="95" t="n">
        <f aca="false">K61*Seg1_Tariff*LevTariff*$B$5*K43</f>
        <v>87125.1681516545</v>
      </c>
      <c r="L77" s="95" t="n">
        <f aca="false">L61*Seg1_Tariff*LevTariff*$B$5*L43</f>
        <v>92431.0908920902</v>
      </c>
      <c r="M77" s="95" t="n">
        <f aca="false">M61*Seg1_Tariff*LevTariff*$B$5*M43</f>
        <v>98060.1443274185</v>
      </c>
      <c r="N77" s="95" t="n">
        <f aca="false">N61*Seg1_Tariff*LevTariff*$B$5*N43</f>
        <v>104032.007116958</v>
      </c>
      <c r="O77" s="95" t="n">
        <f aca="false">O61*Seg1_Tariff*LevTariff*$B$5*O43</f>
        <v>110367.556350381</v>
      </c>
      <c r="P77" s="95" t="n">
        <f aca="false">P61*Seg1_Tariff*LevTariff*$B$5*P43</f>
        <v>117088.940532119</v>
      </c>
      <c r="Q77" s="95" t="n">
        <f aca="false">Q61*Seg1_Tariff*LevTariff*$B$5*Q43</f>
        <v>124219.657010525</v>
      </c>
      <c r="R77" s="95" t="n">
        <f aca="false">R61*Seg1_Tariff*LevTariff*$B$5*R43</f>
        <v>131784.634122466</v>
      </c>
      <c r="S77" s="95" t="n">
        <f aca="false">S61*Seg1_Tariff*LevTariff*$B$5*S43</f>
        <v>139810.318340525</v>
      </c>
      <c r="T77" s="95" t="n">
        <f aca="false">T61*Seg1_Tariff*LevTariff*$B$5*T43</f>
        <v>148324.766727463</v>
      </c>
      <c r="U77" s="95" t="n">
        <f aca="false">U61*Seg1_Tariff*LevTariff*$B$5*U43</f>
        <v>157357.745021165</v>
      </c>
      <c r="V77" s="95" t="n">
        <f aca="false">V61*Seg1_Tariff*LevTariff*$B$5*V43</f>
        <v>166940.831692954</v>
      </c>
      <c r="W77" s="95" t="n">
        <f aca="false">W61*Seg1_Tariff*LevTariff*$B$5*W43</f>
        <v>177107.528343055</v>
      </c>
    </row>
    <row r="78" customFormat="false" ht="15" hidden="false" customHeight="false" outlineLevel="0" collapsed="false">
      <c r="A78" s="11" t="str">
        <f aca="false">"Billed revenue - "&amp;Seg2_Name</f>
        <v>Billed revenue - Productive users (mills, welding, cold rooms)</v>
      </c>
      <c r="B78" s="66" t="n">
        <f aca="false">SUM(C78:W78)</f>
        <v>1432819.63572035</v>
      </c>
      <c r="C78" s="95" t="n">
        <v>0</v>
      </c>
      <c r="D78" s="95" t="n">
        <f aca="false">D62*Seg2_Tariff*LevTariff*$B$5*D43</f>
        <v>23498.8992</v>
      </c>
      <c r="E78" s="95" t="n">
        <f aca="false">E62*Seg2_Tariff*LevTariff*$B$5*E43</f>
        <v>35317.47472848</v>
      </c>
      <c r="F78" s="95" t="n">
        <f aca="false">F62*Seg2_Tariff*LevTariff*$B$5*F43</f>
        <v>44080.3634581699</v>
      </c>
      <c r="G78" s="95" t="n">
        <f aca="false">G62*Seg2_Tariff*LevTariff*$B$5*G43</f>
        <v>46764.8575927725</v>
      </c>
      <c r="H78" s="95" t="n">
        <f aca="false">H62*Seg2_Tariff*LevTariff*$B$5*H43</f>
        <v>49612.8374201723</v>
      </c>
      <c r="I78" s="95" t="n">
        <f aca="false">I62*Seg2_Tariff*LevTariff*$B$5*I43</f>
        <v>52634.2592190608</v>
      </c>
      <c r="J78" s="95" t="n">
        <f aca="false">J62*Seg2_Tariff*LevTariff*$B$5*J43</f>
        <v>55839.6856055016</v>
      </c>
      <c r="K78" s="95" t="n">
        <f aca="false">K62*Seg2_Tariff*LevTariff*$B$5*K43</f>
        <v>59240.3224588767</v>
      </c>
      <c r="L78" s="95" t="n">
        <f aca="false">L62*Seg2_Tariff*LevTariff*$B$5*L43</f>
        <v>62848.0580966223</v>
      </c>
      <c r="M78" s="95" t="n">
        <f aca="false">M62*Seg2_Tariff*LevTariff*$B$5*M43</f>
        <v>66675.5048347066</v>
      </c>
      <c r="N78" s="95" t="n">
        <f aca="false">N62*Seg2_Tariff*LevTariff*$B$5*N43</f>
        <v>70736.0430791402</v>
      </c>
      <c r="O78" s="95" t="n">
        <f aca="false">O62*Seg2_Tariff*LevTariff*$B$5*O43</f>
        <v>75043.8681026598</v>
      </c>
      <c r="P78" s="95" t="n">
        <f aca="false">P62*Seg2_Tariff*LevTariff*$B$5*P43</f>
        <v>79614.0396701118</v>
      </c>
      <c r="Q78" s="95" t="n">
        <f aca="false">Q62*Seg2_Tariff*LevTariff*$B$5*Q43</f>
        <v>84462.5346860216</v>
      </c>
      <c r="R78" s="95" t="n">
        <f aca="false">R62*Seg2_Tariff*LevTariff*$B$5*R43</f>
        <v>89606.3030484004</v>
      </c>
      <c r="S78" s="95" t="n">
        <f aca="false">S62*Seg2_Tariff*LevTariff*$B$5*S43</f>
        <v>95063.3269040479</v>
      </c>
      <c r="T78" s="95" t="n">
        <f aca="false">T62*Seg2_Tariff*LevTariff*$B$5*T43</f>
        <v>100852.683512504</v>
      </c>
      <c r="U78" s="95" t="n">
        <f aca="false">U62*Seg2_Tariff*LevTariff*$B$5*U43</f>
        <v>106994.611938416</v>
      </c>
      <c r="V78" s="95" t="n">
        <f aca="false">V62*Seg2_Tariff*LevTariff*$B$5*V43</f>
        <v>113510.583805466</v>
      </c>
      <c r="W78" s="95" t="n">
        <f aca="false">W62*Seg2_Tariff*LevTariff*$B$5*W43</f>
        <v>120423.378359218</v>
      </c>
    </row>
    <row r="79" customFormat="false" ht="15" hidden="false" customHeight="false" outlineLevel="0" collapsed="false">
      <c r="A79" s="11" t="str">
        <f aca="false">"Billed revenue - "&amp;Seg3_Name</f>
        <v>Billed revenue - Commercial (shops, bars, kiosks)</v>
      </c>
      <c r="B79" s="66" t="n">
        <f aca="false">SUM(C79:W79)</f>
        <v>878024.224827222</v>
      </c>
      <c r="C79" s="95" t="n">
        <v>0</v>
      </c>
      <c r="D79" s="95" t="n">
        <f aca="false">D63*Seg3_Tariff*LevTariff*$B$5*D43</f>
        <v>14400</v>
      </c>
      <c r="E79" s="95" t="n">
        <f aca="false">E63*Seg3_Tariff*LevTariff*$B$5*E43</f>
        <v>21642.36</v>
      </c>
      <c r="F79" s="95" t="n">
        <f aca="false">F63*Seg3_Tariff*LevTariff*$B$5*F43</f>
        <v>27012.21144</v>
      </c>
      <c r="G79" s="95" t="n">
        <f aca="false">G63*Seg3_Tariff*LevTariff*$B$5*G43</f>
        <v>28657.255116696</v>
      </c>
      <c r="H79" s="95" t="n">
        <f aca="false">H63*Seg3_Tariff*LevTariff*$B$5*H43</f>
        <v>30402.4819533028</v>
      </c>
      <c r="I79" s="95" t="n">
        <f aca="false">I63*Seg3_Tariff*LevTariff*$B$5*I43</f>
        <v>32253.9931042589</v>
      </c>
      <c r="J79" s="95" t="n">
        <f aca="false">J63*Seg3_Tariff*LevTariff*$B$5*J43</f>
        <v>34218.2612843083</v>
      </c>
      <c r="K79" s="95" t="n">
        <f aca="false">K63*Seg3_Tariff*LevTariff*$B$5*K43</f>
        <v>36302.1533965227</v>
      </c>
      <c r="L79" s="95" t="n">
        <f aca="false">L63*Seg3_Tariff*LevTariff*$B$5*L43</f>
        <v>38512.9545383709</v>
      </c>
      <c r="M79" s="95" t="n">
        <f aca="false">M63*Seg3_Tariff*LevTariff*$B$5*M43</f>
        <v>40858.3934697577</v>
      </c>
      <c r="N79" s="95" t="n">
        <f aca="false">N63*Seg3_Tariff*LevTariff*$B$5*N43</f>
        <v>43346.669632066</v>
      </c>
      <c r="O79" s="95" t="n">
        <f aca="false">O63*Seg3_Tariff*LevTariff*$B$5*O43</f>
        <v>45986.4818126588</v>
      </c>
      <c r="P79" s="95" t="n">
        <f aca="false">P63*Seg3_Tariff*LevTariff*$B$5*P43</f>
        <v>48787.0585550497</v>
      </c>
      <c r="Q79" s="95" t="n">
        <f aca="false">Q63*Seg3_Tariff*LevTariff*$B$5*Q43</f>
        <v>51758.1904210522</v>
      </c>
      <c r="R79" s="95" t="n">
        <f aca="false">R63*Seg3_Tariff*LevTariff*$B$5*R43</f>
        <v>54910.2642176943</v>
      </c>
      <c r="S79" s="95" t="n">
        <f aca="false">S63*Seg3_Tariff*LevTariff*$B$5*S43</f>
        <v>58254.2993085519</v>
      </c>
      <c r="T79" s="95" t="n">
        <f aca="false">T63*Seg3_Tariff*LevTariff*$B$5*T43</f>
        <v>61801.9861364427</v>
      </c>
      <c r="U79" s="95" t="n">
        <f aca="false">U63*Seg3_Tariff*LevTariff*$B$5*U43</f>
        <v>65565.7270921521</v>
      </c>
      <c r="V79" s="95" t="n">
        <f aca="false">V63*Seg3_Tariff*LevTariff*$B$5*V43</f>
        <v>69558.6798720642</v>
      </c>
      <c r="W79" s="95" t="n">
        <f aca="false">W63*Seg3_Tariff*LevTariff*$B$5*W43</f>
        <v>73794.8034762729</v>
      </c>
    </row>
    <row r="80" customFormat="false" ht="15" hidden="false" customHeight="false" outlineLevel="0" collapsed="false">
      <c r="A80" s="11" t="str">
        <f aca="false">"Billed revenue - "&amp;Seg4_Name</f>
        <v>Billed revenue - Institutions (health centre, school, water)</v>
      </c>
      <c r="B80" s="66" t="n">
        <f aca="false">SUM(C80:W80)</f>
        <v>460962.718034292</v>
      </c>
      <c r="C80" s="95" t="n">
        <v>0</v>
      </c>
      <c r="D80" s="95" t="n">
        <f aca="false">D64*Seg4_Tariff*LevTariff*$B$5*D43</f>
        <v>7560</v>
      </c>
      <c r="E80" s="95" t="n">
        <f aca="false">E64*Seg4_Tariff*LevTariff*$B$5*E43</f>
        <v>11362.239</v>
      </c>
      <c r="F80" s="95" t="n">
        <f aca="false">F64*Seg4_Tariff*LevTariff*$B$5*F43</f>
        <v>14181.411006</v>
      </c>
      <c r="G80" s="95" t="n">
        <f aca="false">G64*Seg4_Tariff*LevTariff*$B$5*G43</f>
        <v>15045.0589362654</v>
      </c>
      <c r="H80" s="95" t="n">
        <f aca="false">H64*Seg4_Tariff*LevTariff*$B$5*H43</f>
        <v>15961.303025484</v>
      </c>
      <c r="I80" s="95" t="n">
        <f aca="false">I64*Seg4_Tariff*LevTariff*$B$5*I43</f>
        <v>16933.3463797359</v>
      </c>
      <c r="J80" s="95" t="n">
        <f aca="false">J64*Seg4_Tariff*LevTariff*$B$5*J43</f>
        <v>17964.5871742619</v>
      </c>
      <c r="K80" s="95" t="n">
        <f aca="false">K64*Seg4_Tariff*LevTariff*$B$5*K43</f>
        <v>19058.6305331744</v>
      </c>
      <c r="L80" s="95" t="n">
        <f aca="false">L64*Seg4_Tariff*LevTariff*$B$5*L43</f>
        <v>20219.3011326447</v>
      </c>
      <c r="M80" s="95" t="n">
        <f aca="false">M64*Seg4_Tariff*LevTariff*$B$5*M43</f>
        <v>21450.6565716228</v>
      </c>
      <c r="N80" s="95" t="n">
        <f aca="false">N64*Seg4_Tariff*LevTariff*$B$5*N43</f>
        <v>22757.0015568346</v>
      </c>
      <c r="O80" s="95" t="n">
        <f aca="false">O64*Seg4_Tariff*LevTariff*$B$5*O43</f>
        <v>24142.9029516459</v>
      </c>
      <c r="P80" s="95" t="n">
        <f aca="false">P64*Seg4_Tariff*LevTariff*$B$5*P43</f>
        <v>25613.2057414011</v>
      </c>
      <c r="Q80" s="95" t="n">
        <f aca="false">Q64*Seg4_Tariff*LevTariff*$B$5*Q43</f>
        <v>27173.0499710524</v>
      </c>
      <c r="R80" s="95" t="n">
        <f aca="false">R64*Seg4_Tariff*LevTariff*$B$5*R43</f>
        <v>28827.8887142895</v>
      </c>
      <c r="S80" s="95" t="n">
        <f aca="false">S64*Seg4_Tariff*LevTariff*$B$5*S43</f>
        <v>30583.5071369897</v>
      </c>
      <c r="T80" s="95" t="n">
        <f aca="false">T64*Seg4_Tariff*LevTariff*$B$5*T43</f>
        <v>32446.0427216324</v>
      </c>
      <c r="U80" s="95" t="n">
        <f aca="false">U64*Seg4_Tariff*LevTariff*$B$5*U43</f>
        <v>34422.0067233798</v>
      </c>
      <c r="V80" s="95" t="n">
        <f aca="false">V64*Seg4_Tariff*LevTariff*$B$5*V43</f>
        <v>36518.3069328337</v>
      </c>
      <c r="W80" s="95" t="n">
        <f aca="false">W64*Seg4_Tariff*LevTariff*$B$5*W43</f>
        <v>38742.2718250432</v>
      </c>
    </row>
    <row r="81" customFormat="false" ht="15" hidden="false" customHeight="false" outlineLevel="0" collapsed="false">
      <c r="A81" s="11" t="str">
        <f aca="false">"Billed revenue - "&amp;Seg5_Name</f>
        <v>Billed revenue - Other / custom</v>
      </c>
      <c r="B81" s="66" t="n">
        <f aca="false">SUM(C81:W81)</f>
        <v>0</v>
      </c>
      <c r="C81" s="95" t="n">
        <v>0</v>
      </c>
      <c r="D81" s="95" t="n">
        <f aca="false">D65*Seg5_Tariff*LevTariff*$B$5*D43</f>
        <v>0</v>
      </c>
      <c r="E81" s="95" t="n">
        <f aca="false">E65*Seg5_Tariff*LevTariff*$B$5*E43</f>
        <v>0</v>
      </c>
      <c r="F81" s="95" t="n">
        <f aca="false">F65*Seg5_Tariff*LevTariff*$B$5*F43</f>
        <v>0</v>
      </c>
      <c r="G81" s="95" t="n">
        <f aca="false">G65*Seg5_Tariff*LevTariff*$B$5*G43</f>
        <v>0</v>
      </c>
      <c r="H81" s="95" t="n">
        <f aca="false">H65*Seg5_Tariff*LevTariff*$B$5*H43</f>
        <v>0</v>
      </c>
      <c r="I81" s="95" t="n">
        <f aca="false">I65*Seg5_Tariff*LevTariff*$B$5*I43</f>
        <v>0</v>
      </c>
      <c r="J81" s="95" t="n">
        <f aca="false">J65*Seg5_Tariff*LevTariff*$B$5*J43</f>
        <v>0</v>
      </c>
      <c r="K81" s="95" t="n">
        <f aca="false">K65*Seg5_Tariff*LevTariff*$B$5*K43</f>
        <v>0</v>
      </c>
      <c r="L81" s="95" t="n">
        <f aca="false">L65*Seg5_Tariff*LevTariff*$B$5*L43</f>
        <v>0</v>
      </c>
      <c r="M81" s="95" t="n">
        <f aca="false">M65*Seg5_Tariff*LevTariff*$B$5*M43</f>
        <v>0</v>
      </c>
      <c r="N81" s="95" t="n">
        <f aca="false">N65*Seg5_Tariff*LevTariff*$B$5*N43</f>
        <v>0</v>
      </c>
      <c r="O81" s="95" t="n">
        <f aca="false">O65*Seg5_Tariff*LevTariff*$B$5*O43</f>
        <v>0</v>
      </c>
      <c r="P81" s="95" t="n">
        <f aca="false">P65*Seg5_Tariff*LevTariff*$B$5*P43</f>
        <v>0</v>
      </c>
      <c r="Q81" s="95" t="n">
        <f aca="false">Q65*Seg5_Tariff*LevTariff*$B$5*Q43</f>
        <v>0</v>
      </c>
      <c r="R81" s="95" t="n">
        <f aca="false">R65*Seg5_Tariff*LevTariff*$B$5*R43</f>
        <v>0</v>
      </c>
      <c r="S81" s="95" t="n">
        <f aca="false">S65*Seg5_Tariff*LevTariff*$B$5*S43</f>
        <v>0</v>
      </c>
      <c r="T81" s="95" t="n">
        <f aca="false">T65*Seg5_Tariff*LevTariff*$B$5*T43</f>
        <v>0</v>
      </c>
      <c r="U81" s="95" t="n">
        <f aca="false">U65*Seg5_Tariff*LevTariff*$B$5*U43</f>
        <v>0</v>
      </c>
      <c r="V81" s="95" t="n">
        <f aca="false">V65*Seg5_Tariff*LevTariff*$B$5*V43</f>
        <v>0</v>
      </c>
      <c r="W81" s="95" t="n">
        <f aca="false">W65*Seg5_Tariff*LevTariff*$B$5*W43</f>
        <v>0</v>
      </c>
    </row>
    <row r="82" customFormat="false" ht="15" hidden="false" customHeight="false" outlineLevel="0" collapsed="false">
      <c r="A82" s="16" t="s">
        <v>431</v>
      </c>
      <c r="B82" s="66" t="n">
        <f aca="false">SUM(C82:W82)</f>
        <v>4879064.7181672</v>
      </c>
      <c r="C82" s="31" t="n">
        <f aca="false">C77+C78+C79+C80+C81</f>
        <v>0</v>
      </c>
      <c r="D82" s="31" t="n">
        <f aca="false">D77+D78+D79+D80+D81</f>
        <v>80018.8992</v>
      </c>
      <c r="E82" s="31" t="n">
        <f aca="false">E77+E78+E79+E80+E81</f>
        <v>120263.73772848</v>
      </c>
      <c r="F82" s="31" t="n">
        <f aca="false">F77+F78+F79+F80+F81</f>
        <v>150103.29336017</v>
      </c>
      <c r="G82" s="31" t="n">
        <f aca="false">G77+G78+G79+G80+G81</f>
        <v>159244.583925804</v>
      </c>
      <c r="H82" s="31" t="n">
        <f aca="false">H77+H78+H79+H80+H81</f>
        <v>168942.579086886</v>
      </c>
      <c r="I82" s="31" t="n">
        <f aca="false">I77+I78+I79+I80+I81</f>
        <v>179231.182153277</v>
      </c>
      <c r="J82" s="31" t="n">
        <f aca="false">J77+J78+J79+J80+J81</f>
        <v>190146.361146412</v>
      </c>
      <c r="K82" s="31" t="n">
        <f aca="false">K77+K78+K79+K80+K81</f>
        <v>201726.274540228</v>
      </c>
      <c r="L82" s="31" t="n">
        <f aca="false">L77+L78+L79+L80+L81</f>
        <v>214011.404659728</v>
      </c>
      <c r="M82" s="31" t="n">
        <f aca="false">M77+M78+M79+M80+M81</f>
        <v>227044.699203506</v>
      </c>
      <c r="N82" s="31" t="n">
        <f aca="false">N77+N78+N79+N80+N81</f>
        <v>240871.721384999</v>
      </c>
      <c r="O82" s="31" t="n">
        <f aca="false">O77+O78+O79+O80+O81</f>
        <v>255540.809217346</v>
      </c>
      <c r="P82" s="31" t="n">
        <f aca="false">P77+P78+P79+P80+P81</f>
        <v>271103.244498682</v>
      </c>
      <c r="Q82" s="31" t="n">
        <f aca="false">Q77+Q78+Q79+Q80+Q81</f>
        <v>287613.432088652</v>
      </c>
      <c r="R82" s="31" t="n">
        <f aca="false">R77+R78+R79+R80+R81</f>
        <v>305129.090102851</v>
      </c>
      <c r="S82" s="31" t="n">
        <f aca="false">S77+S78+S79+S80+S81</f>
        <v>323711.451690114</v>
      </c>
      <c r="T82" s="31" t="n">
        <f aca="false">T77+T78+T79+T80+T81</f>
        <v>343425.479098042</v>
      </c>
      <c r="U82" s="31" t="n">
        <f aca="false">U77+U78+U79+U80+U81</f>
        <v>364340.090775113</v>
      </c>
      <c r="V82" s="31" t="n">
        <f aca="false">V77+V78+V79+V80+V81</f>
        <v>386528.402303317</v>
      </c>
      <c r="W82" s="31" t="n">
        <f aca="false">W77+W78+W79+W80+W81</f>
        <v>410067.982003589</v>
      </c>
    </row>
    <row r="83" customFormat="false" ht="15" hidden="false" customHeight="false" outlineLevel="0" collapsed="false">
      <c r="A83" s="11" t="s">
        <v>432</v>
      </c>
      <c r="B83" s="66" t="n">
        <f aca="false">SUM(C83:W83)</f>
        <v>4879064.7181672</v>
      </c>
      <c r="C83" s="95" t="n">
        <v>0</v>
      </c>
      <c r="D83" s="95" t="n">
        <f aca="false">D82*MIN(1,Collection*LevColl*$B$9)</f>
        <v>80018.8992</v>
      </c>
      <c r="E83" s="95" t="n">
        <f aca="false">E82*MIN(1,Collection*LevColl*$B$9)</f>
        <v>120263.73772848</v>
      </c>
      <c r="F83" s="95" t="n">
        <f aca="false">F82*MIN(1,Collection*LevColl*$B$9)</f>
        <v>150103.29336017</v>
      </c>
      <c r="G83" s="95" t="n">
        <f aca="false">G82*MIN(1,Collection*LevColl*$B$9)</f>
        <v>159244.583925804</v>
      </c>
      <c r="H83" s="95" t="n">
        <f aca="false">H82*MIN(1,Collection*LevColl*$B$9)</f>
        <v>168942.579086886</v>
      </c>
      <c r="I83" s="95" t="n">
        <f aca="false">I82*MIN(1,Collection*LevColl*$B$9)</f>
        <v>179231.182153277</v>
      </c>
      <c r="J83" s="95" t="n">
        <f aca="false">J82*MIN(1,Collection*LevColl*$B$9)</f>
        <v>190146.361146412</v>
      </c>
      <c r="K83" s="95" t="n">
        <f aca="false">K82*MIN(1,Collection*LevColl*$B$9)</f>
        <v>201726.274540228</v>
      </c>
      <c r="L83" s="95" t="n">
        <f aca="false">L82*MIN(1,Collection*LevColl*$B$9)</f>
        <v>214011.404659728</v>
      </c>
      <c r="M83" s="95" t="n">
        <f aca="false">M82*MIN(1,Collection*LevColl*$B$9)</f>
        <v>227044.699203506</v>
      </c>
      <c r="N83" s="95" t="n">
        <f aca="false">N82*MIN(1,Collection*LevColl*$B$9)</f>
        <v>240871.721384999</v>
      </c>
      <c r="O83" s="95" t="n">
        <f aca="false">O82*MIN(1,Collection*LevColl*$B$9)</f>
        <v>255540.809217346</v>
      </c>
      <c r="P83" s="95" t="n">
        <f aca="false">P82*MIN(1,Collection*LevColl*$B$9)</f>
        <v>271103.244498682</v>
      </c>
      <c r="Q83" s="95" t="n">
        <f aca="false">Q82*MIN(1,Collection*LevColl*$B$9)</f>
        <v>287613.432088652</v>
      </c>
      <c r="R83" s="95" t="n">
        <f aca="false">R82*MIN(1,Collection*LevColl*$B$9)</f>
        <v>305129.090102851</v>
      </c>
      <c r="S83" s="95" t="n">
        <f aca="false">S82*MIN(1,Collection*LevColl*$B$9)</f>
        <v>323711.451690114</v>
      </c>
      <c r="T83" s="95" t="n">
        <f aca="false">T82*MIN(1,Collection*LevColl*$B$9)</f>
        <v>343425.479098042</v>
      </c>
      <c r="U83" s="95" t="n">
        <f aca="false">U82*MIN(1,Collection*LevColl*$B$9)</f>
        <v>364340.090775113</v>
      </c>
      <c r="V83" s="95" t="n">
        <f aca="false">V82*MIN(1,Collection*LevColl*$B$9)</f>
        <v>386528.402303317</v>
      </c>
      <c r="W83" s="95" t="n">
        <f aca="false">W82*MIN(1,Collection*LevColl*$B$9)</f>
        <v>410067.982003589</v>
      </c>
    </row>
    <row r="84" customFormat="false" ht="15" hidden="false" customHeight="false" outlineLevel="0" collapsed="false">
      <c r="A84" s="11" t="s">
        <v>433</v>
      </c>
      <c r="B84" s="66" t="n">
        <f aca="false">SUM(C84:W84)</f>
        <v>11500</v>
      </c>
      <c r="C84" s="95" t="n">
        <v>0</v>
      </c>
      <c r="D84" s="95" t="n">
        <f aca="false">D54*Seg1_Fee+D55*Seg2_Fee+D56*Seg3_Fee+D57*Seg4_Fee+D58*Seg5_Fee</f>
        <v>6900</v>
      </c>
      <c r="E84" s="95" t="n">
        <f aca="false">E54*Seg1_Fee+E55*Seg2_Fee+E56*Seg3_Fee+E57*Seg4_Fee+E58*Seg5_Fee</f>
        <v>2875</v>
      </c>
      <c r="F84" s="95" t="n">
        <f aca="false">F54*Seg1_Fee+F55*Seg2_Fee+F56*Seg3_Fee+F57*Seg4_Fee+F58*Seg5_Fee</f>
        <v>1725</v>
      </c>
      <c r="G84" s="95" t="n">
        <f aca="false">G54*Seg1_Fee+G55*Seg2_Fee+G56*Seg3_Fee+G57*Seg4_Fee+G58*Seg5_Fee</f>
        <v>0</v>
      </c>
      <c r="H84" s="95" t="n">
        <f aca="false">H54*Seg1_Fee+H55*Seg2_Fee+H56*Seg3_Fee+H57*Seg4_Fee+H58*Seg5_Fee</f>
        <v>0</v>
      </c>
      <c r="I84" s="95" t="n">
        <f aca="false">I54*Seg1_Fee+I55*Seg2_Fee+I56*Seg3_Fee+I57*Seg4_Fee+I58*Seg5_Fee</f>
        <v>0</v>
      </c>
      <c r="J84" s="95" t="n">
        <f aca="false">J54*Seg1_Fee+J55*Seg2_Fee+J56*Seg3_Fee+J57*Seg4_Fee+J58*Seg5_Fee</f>
        <v>0</v>
      </c>
      <c r="K84" s="95" t="n">
        <f aca="false">K54*Seg1_Fee+K55*Seg2_Fee+K56*Seg3_Fee+K57*Seg4_Fee+K58*Seg5_Fee</f>
        <v>0</v>
      </c>
      <c r="L84" s="95" t="n">
        <f aca="false">L54*Seg1_Fee+L55*Seg2_Fee+L56*Seg3_Fee+L57*Seg4_Fee+L58*Seg5_Fee</f>
        <v>0</v>
      </c>
      <c r="M84" s="95" t="n">
        <f aca="false">M54*Seg1_Fee+M55*Seg2_Fee+M56*Seg3_Fee+M57*Seg4_Fee+M58*Seg5_Fee</f>
        <v>0</v>
      </c>
      <c r="N84" s="95" t="n">
        <f aca="false">N54*Seg1_Fee+N55*Seg2_Fee+N56*Seg3_Fee+N57*Seg4_Fee+N58*Seg5_Fee</f>
        <v>0</v>
      </c>
      <c r="O84" s="95" t="n">
        <f aca="false">O54*Seg1_Fee+O55*Seg2_Fee+O56*Seg3_Fee+O57*Seg4_Fee+O58*Seg5_Fee</f>
        <v>0</v>
      </c>
      <c r="P84" s="95" t="n">
        <f aca="false">P54*Seg1_Fee+P55*Seg2_Fee+P56*Seg3_Fee+P57*Seg4_Fee+P58*Seg5_Fee</f>
        <v>0</v>
      </c>
      <c r="Q84" s="95" t="n">
        <f aca="false">Q54*Seg1_Fee+Q55*Seg2_Fee+Q56*Seg3_Fee+Q57*Seg4_Fee+Q58*Seg5_Fee</f>
        <v>0</v>
      </c>
      <c r="R84" s="95" t="n">
        <f aca="false">R54*Seg1_Fee+R55*Seg2_Fee+R56*Seg3_Fee+R57*Seg4_Fee+R58*Seg5_Fee</f>
        <v>0</v>
      </c>
      <c r="S84" s="95" t="n">
        <f aca="false">S54*Seg1_Fee+S55*Seg2_Fee+S56*Seg3_Fee+S57*Seg4_Fee+S58*Seg5_Fee</f>
        <v>0</v>
      </c>
      <c r="T84" s="95" t="n">
        <f aca="false">T54*Seg1_Fee+T55*Seg2_Fee+T56*Seg3_Fee+T57*Seg4_Fee+T58*Seg5_Fee</f>
        <v>0</v>
      </c>
      <c r="U84" s="95" t="n">
        <f aca="false">U54*Seg1_Fee+U55*Seg2_Fee+U56*Seg3_Fee+U57*Seg4_Fee+U58*Seg5_Fee</f>
        <v>0</v>
      </c>
      <c r="V84" s="95" t="n">
        <f aca="false">V54*Seg1_Fee+V55*Seg2_Fee+V56*Seg3_Fee+V57*Seg4_Fee+V58*Seg5_Fee</f>
        <v>0</v>
      </c>
      <c r="W84" s="95" t="n">
        <f aca="false">W54*Seg1_Fee+W55*Seg2_Fee+W56*Seg3_Fee+W57*Seg4_Fee+W58*Seg5_Fee</f>
        <v>0</v>
      </c>
    </row>
    <row r="85" customFormat="false" ht="15" hidden="false" customHeight="false" outlineLevel="0" collapsed="false">
      <c r="A85" s="16" t="s">
        <v>434</v>
      </c>
      <c r="B85" s="66" t="n">
        <f aca="false">SUM(C85:W85)</f>
        <v>4890564.7181672</v>
      </c>
      <c r="C85" s="31" t="n">
        <f aca="false">C83+C84</f>
        <v>0</v>
      </c>
      <c r="D85" s="31" t="n">
        <f aca="false">D83+D84</f>
        <v>86918.8992</v>
      </c>
      <c r="E85" s="31" t="n">
        <f aca="false">E83+E84</f>
        <v>123138.73772848</v>
      </c>
      <c r="F85" s="31" t="n">
        <f aca="false">F83+F84</f>
        <v>151828.29336017</v>
      </c>
      <c r="G85" s="31" t="n">
        <f aca="false">G83+G84</f>
        <v>159244.583925804</v>
      </c>
      <c r="H85" s="31" t="n">
        <f aca="false">H83+H84</f>
        <v>168942.579086886</v>
      </c>
      <c r="I85" s="31" t="n">
        <f aca="false">I83+I84</f>
        <v>179231.182153277</v>
      </c>
      <c r="J85" s="31" t="n">
        <f aca="false">J83+J84</f>
        <v>190146.361146412</v>
      </c>
      <c r="K85" s="31" t="n">
        <f aca="false">K83+K84</f>
        <v>201726.274540228</v>
      </c>
      <c r="L85" s="31" t="n">
        <f aca="false">L83+L84</f>
        <v>214011.404659728</v>
      </c>
      <c r="M85" s="31" t="n">
        <f aca="false">M83+M84</f>
        <v>227044.699203506</v>
      </c>
      <c r="N85" s="31" t="n">
        <f aca="false">N83+N84</f>
        <v>240871.721384999</v>
      </c>
      <c r="O85" s="31" t="n">
        <f aca="false">O83+O84</f>
        <v>255540.809217346</v>
      </c>
      <c r="P85" s="31" t="n">
        <f aca="false">P83+P84</f>
        <v>271103.244498682</v>
      </c>
      <c r="Q85" s="31" t="n">
        <f aca="false">Q83+Q84</f>
        <v>287613.432088652</v>
      </c>
      <c r="R85" s="31" t="n">
        <f aca="false">R83+R84</f>
        <v>305129.090102851</v>
      </c>
      <c r="S85" s="31" t="n">
        <f aca="false">S83+S84</f>
        <v>323711.451690114</v>
      </c>
      <c r="T85" s="31" t="n">
        <f aca="false">T83+T84</f>
        <v>343425.479098042</v>
      </c>
      <c r="U85" s="31" t="n">
        <f aca="false">U83+U84</f>
        <v>364340.090775113</v>
      </c>
      <c r="V85" s="31" t="n">
        <f aca="false">V83+V84</f>
        <v>386528.402303317</v>
      </c>
      <c r="W85" s="31" t="n">
        <f aca="false">W83+W84</f>
        <v>410067.982003589</v>
      </c>
    </row>
    <row r="87" customFormat="false" ht="15" hidden="false" customHeight="false" outlineLevel="0" collapsed="false">
      <c r="A87" s="9" t="s">
        <v>435</v>
      </c>
      <c r="B87" s="10"/>
      <c r="C87" s="10"/>
      <c r="D87" s="10"/>
      <c r="E87" s="10"/>
      <c r="F87" s="10"/>
      <c r="G87" s="10"/>
      <c r="H87" s="10"/>
      <c r="I87" s="10"/>
      <c r="J87" s="10"/>
      <c r="K87" s="10"/>
      <c r="L87" s="10"/>
      <c r="M87" s="10"/>
      <c r="N87" s="10"/>
      <c r="O87" s="10"/>
      <c r="P87" s="10"/>
      <c r="Q87" s="10"/>
      <c r="R87" s="10"/>
      <c r="S87" s="10"/>
      <c r="T87" s="10"/>
      <c r="U87" s="10"/>
      <c r="V87" s="10"/>
      <c r="W87" s="10"/>
    </row>
    <row r="88" customFormat="false" ht="15" hidden="false" customHeight="false" outlineLevel="0" collapsed="false">
      <c r="A88" s="11" t="s">
        <v>162</v>
      </c>
      <c r="B88" s="66" t="n">
        <f aca="false">SUM(C88:W88)</f>
        <v>679197.868676078</v>
      </c>
      <c r="C88" s="95" t="n">
        <v>0</v>
      </c>
      <c r="D88" s="95" t="n">
        <f aca="false">S_Coll_Hi!$B$15*O_FixedPct*D44*LevOpex*$B$8*D41</f>
        <v>25276.8292810589</v>
      </c>
      <c r="E88" s="95" t="n">
        <f aca="false">S_Coll_Hi!$B$15*O_FixedPct*E44*LevOpex*$B$8*E41</f>
        <v>26035.1341594906</v>
      </c>
      <c r="F88" s="95" t="n">
        <f aca="false">S_Coll_Hi!$B$15*O_FixedPct*F44*LevOpex*$B$8*F41</f>
        <v>26816.1881842753</v>
      </c>
      <c r="G88" s="95" t="n">
        <f aca="false">S_Coll_Hi!$B$15*O_FixedPct*G44*LevOpex*$B$8*G41</f>
        <v>27620.6738298036</v>
      </c>
      <c r="H88" s="95" t="n">
        <f aca="false">S_Coll_Hi!$B$15*O_FixedPct*H44*LevOpex*$B$8*H41</f>
        <v>28449.2940446977</v>
      </c>
      <c r="I88" s="95" t="n">
        <f aca="false">S_Coll_Hi!$B$15*O_FixedPct*I44*LevOpex*$B$8*I41</f>
        <v>29302.7728660386</v>
      </c>
      <c r="J88" s="95" t="n">
        <f aca="false">S_Coll_Hi!$B$15*O_FixedPct*J44*LevOpex*$B$8*J41</f>
        <v>30181.8560520198</v>
      </c>
      <c r="K88" s="95" t="n">
        <f aca="false">S_Coll_Hi!$B$15*O_FixedPct*K44*LevOpex*$B$8*K41</f>
        <v>31087.3117335804</v>
      </c>
      <c r="L88" s="95" t="n">
        <f aca="false">S_Coll_Hi!$B$15*O_FixedPct*L44*LevOpex*$B$8*L41</f>
        <v>32019.9310855878</v>
      </c>
      <c r="M88" s="95" t="n">
        <f aca="false">S_Coll_Hi!$B$15*O_FixedPct*M44*LevOpex*$B$8*M41</f>
        <v>32980.5290181554</v>
      </c>
      <c r="N88" s="95" t="n">
        <f aca="false">S_Coll_Hi!$B$15*O_FixedPct*N44*LevOpex*$B$8*N41</f>
        <v>33969.9448887001</v>
      </c>
      <c r="O88" s="95" t="n">
        <f aca="false">S_Coll_Hi!$B$15*O_FixedPct*O44*LevOpex*$B$8*O41</f>
        <v>34989.0432353611</v>
      </c>
      <c r="P88" s="95" t="n">
        <f aca="false">S_Coll_Hi!$B$15*O_FixedPct*P44*LevOpex*$B$8*P41</f>
        <v>36038.7145324219</v>
      </c>
      <c r="Q88" s="95" t="n">
        <f aca="false">S_Coll_Hi!$B$15*O_FixedPct*Q44*LevOpex*$B$8*Q41</f>
        <v>37119.8759683946</v>
      </c>
      <c r="R88" s="95" t="n">
        <f aca="false">S_Coll_Hi!$B$15*O_FixedPct*R44*LevOpex*$B$8*R41</f>
        <v>38233.4722474465</v>
      </c>
      <c r="S88" s="95" t="n">
        <f aca="false">S_Coll_Hi!$B$15*O_FixedPct*S44*LevOpex*$B$8*S41</f>
        <v>39380.4764148698</v>
      </c>
      <c r="T88" s="95" t="n">
        <f aca="false">S_Coll_Hi!$B$15*O_FixedPct*T44*LevOpex*$B$8*T41</f>
        <v>40561.8907073159</v>
      </c>
      <c r="U88" s="95" t="n">
        <f aca="false">S_Coll_Hi!$B$15*O_FixedPct*U44*LevOpex*$B$8*U41</f>
        <v>41778.7474285354</v>
      </c>
      <c r="V88" s="95" t="n">
        <f aca="false">S_Coll_Hi!$B$15*O_FixedPct*V44*LevOpex*$B$8*V41</f>
        <v>43032.1098513915</v>
      </c>
      <c r="W88" s="95" t="n">
        <f aca="false">S_Coll_Hi!$B$15*O_FixedPct*W44*LevOpex*$B$8*W41</f>
        <v>44323.0731469332</v>
      </c>
    </row>
    <row r="89" customFormat="false" ht="15" hidden="false" customHeight="false" outlineLevel="0" collapsed="false">
      <c r="A89" s="11" t="s">
        <v>436</v>
      </c>
      <c r="B89" s="66" t="n">
        <f aca="false">SUM(C89:W89)</f>
        <v>483666.740801648</v>
      </c>
      <c r="C89" s="95" t="n">
        <v>0</v>
      </c>
      <c r="D89" s="95" t="n">
        <f aca="false">O_Staff*D44*LevOpex*$B$8*D41</f>
        <v>18000</v>
      </c>
      <c r="E89" s="95" t="n">
        <f aca="false">O_Staff*E44*LevOpex*$B$8*E41</f>
        <v>18540</v>
      </c>
      <c r="F89" s="95" t="n">
        <f aca="false">O_Staff*F44*LevOpex*$B$8*F41</f>
        <v>19096.2</v>
      </c>
      <c r="G89" s="95" t="n">
        <f aca="false">O_Staff*G44*LevOpex*$B$8*G41</f>
        <v>19669.086</v>
      </c>
      <c r="H89" s="95" t="n">
        <f aca="false">O_Staff*H44*LevOpex*$B$8*H41</f>
        <v>20259.15858</v>
      </c>
      <c r="I89" s="95" t="n">
        <f aca="false">O_Staff*I44*LevOpex*$B$8*I41</f>
        <v>20866.9333374</v>
      </c>
      <c r="J89" s="95" t="n">
        <f aca="false">O_Staff*J44*LevOpex*$B$8*J41</f>
        <v>21492.941337522</v>
      </c>
      <c r="K89" s="95" t="n">
        <f aca="false">O_Staff*K44*LevOpex*$B$8*K41</f>
        <v>22137.7295776477</v>
      </c>
      <c r="L89" s="95" t="n">
        <f aca="false">O_Staff*L44*LevOpex*$B$8*L41</f>
        <v>22801.8614649771</v>
      </c>
      <c r="M89" s="95" t="n">
        <f aca="false">O_Staff*M44*LevOpex*$B$8*M41</f>
        <v>23485.9173089264</v>
      </c>
      <c r="N89" s="95" t="n">
        <f aca="false">O_Staff*N44*LevOpex*$B$8*N41</f>
        <v>24190.4948281942</v>
      </c>
      <c r="O89" s="95" t="n">
        <f aca="false">O_Staff*O44*LevOpex*$B$8*O41</f>
        <v>24916.20967304</v>
      </c>
      <c r="P89" s="95" t="n">
        <f aca="false">O_Staff*P44*LevOpex*$B$8*P41</f>
        <v>25663.6959632312</v>
      </c>
      <c r="Q89" s="95" t="n">
        <f aca="false">O_Staff*Q44*LevOpex*$B$8*Q41</f>
        <v>26433.6068421282</v>
      </c>
      <c r="R89" s="95" t="n">
        <f aca="false">O_Staff*R44*LevOpex*$B$8*R41</f>
        <v>27226.615047392</v>
      </c>
      <c r="S89" s="95" t="n">
        <f aca="false">O_Staff*S44*LevOpex*$B$8*S41</f>
        <v>28043.4134988138</v>
      </c>
      <c r="T89" s="95" t="n">
        <f aca="false">O_Staff*T44*LevOpex*$B$8*T41</f>
        <v>28884.7159037782</v>
      </c>
      <c r="U89" s="95" t="n">
        <f aca="false">O_Staff*U44*LevOpex*$B$8*U41</f>
        <v>29751.2573808915</v>
      </c>
      <c r="V89" s="95" t="n">
        <f aca="false">O_Staff*V44*LevOpex*$B$8*V41</f>
        <v>30643.7951023183</v>
      </c>
      <c r="W89" s="95" t="n">
        <f aca="false">O_Staff*W44*LevOpex*$B$8*W41</f>
        <v>31563.1089553878</v>
      </c>
    </row>
    <row r="90" customFormat="false" ht="15" hidden="false" customHeight="false" outlineLevel="0" collapsed="false">
      <c r="A90" s="11" t="s">
        <v>165</v>
      </c>
      <c r="B90" s="66" t="n">
        <f aca="false">SUM(C90:W90)</f>
        <v>156215.509795498</v>
      </c>
      <c r="C90" s="95" t="n">
        <v>0</v>
      </c>
      <c r="D90" s="95" t="n">
        <f aca="false">S_Coll_Hi!$B$14*O_InsPct*D44*LevOpex*$B$8*D41</f>
        <v>5813.67073464354</v>
      </c>
      <c r="E90" s="95" t="n">
        <f aca="false">S_Coll_Hi!$B$14*O_InsPct*E44*LevOpex*$B$8*E41</f>
        <v>5988.08085668284</v>
      </c>
      <c r="F90" s="95" t="n">
        <f aca="false">S_Coll_Hi!$B$14*O_InsPct*F44*LevOpex*$B$8*F41</f>
        <v>6167.72328238333</v>
      </c>
      <c r="G90" s="95" t="n">
        <f aca="false">S_Coll_Hi!$B$14*O_InsPct*G44*LevOpex*$B$8*G41</f>
        <v>6352.75498085483</v>
      </c>
      <c r="H90" s="95" t="n">
        <f aca="false">S_Coll_Hi!$B$14*O_InsPct*H44*LevOpex*$B$8*H41</f>
        <v>6543.33763028047</v>
      </c>
      <c r="I90" s="95" t="n">
        <f aca="false">S_Coll_Hi!$B$14*O_InsPct*I44*LevOpex*$B$8*I41</f>
        <v>6739.63775918889</v>
      </c>
      <c r="J90" s="95" t="n">
        <f aca="false">S_Coll_Hi!$B$14*O_InsPct*J44*LevOpex*$B$8*J41</f>
        <v>6941.82689196455</v>
      </c>
      <c r="K90" s="95" t="n">
        <f aca="false">S_Coll_Hi!$B$14*O_InsPct*K44*LevOpex*$B$8*K41</f>
        <v>7150.08169872349</v>
      </c>
      <c r="L90" s="95" t="n">
        <f aca="false">S_Coll_Hi!$B$14*O_InsPct*L44*LevOpex*$B$8*L41</f>
        <v>7364.5841496852</v>
      </c>
      <c r="M90" s="95" t="n">
        <f aca="false">S_Coll_Hi!$B$14*O_InsPct*M44*LevOpex*$B$8*M41</f>
        <v>7585.52167417575</v>
      </c>
      <c r="N90" s="95" t="n">
        <f aca="false">S_Coll_Hi!$B$14*O_InsPct*N44*LevOpex*$B$8*N41</f>
        <v>7813.08732440103</v>
      </c>
      <c r="O90" s="95" t="n">
        <f aca="false">S_Coll_Hi!$B$14*O_InsPct*O44*LevOpex*$B$8*O41</f>
        <v>8047.47994413306</v>
      </c>
      <c r="P90" s="95" t="n">
        <f aca="false">S_Coll_Hi!$B$14*O_InsPct*P44*LevOpex*$B$8*P41</f>
        <v>8288.90434245705</v>
      </c>
      <c r="Q90" s="95" t="n">
        <f aca="false">S_Coll_Hi!$B$14*O_InsPct*Q44*LevOpex*$B$8*Q41</f>
        <v>8537.57147273076</v>
      </c>
      <c r="R90" s="95" t="n">
        <f aca="false">S_Coll_Hi!$B$14*O_InsPct*R44*LevOpex*$B$8*R41</f>
        <v>8793.69861691268</v>
      </c>
      <c r="S90" s="95" t="n">
        <f aca="false">S_Coll_Hi!$B$14*O_InsPct*S44*LevOpex*$B$8*S41</f>
        <v>9057.50957542006</v>
      </c>
      <c r="T90" s="95" t="n">
        <f aca="false">S_Coll_Hi!$B$14*O_InsPct*T44*LevOpex*$B$8*T41</f>
        <v>9329.23486268267</v>
      </c>
      <c r="U90" s="95" t="n">
        <f aca="false">S_Coll_Hi!$B$14*O_InsPct*U44*LevOpex*$B$8*U41</f>
        <v>9609.11190856315</v>
      </c>
      <c r="V90" s="95" t="n">
        <f aca="false">S_Coll_Hi!$B$14*O_InsPct*V44*LevOpex*$B$8*V41</f>
        <v>9897.38526582004</v>
      </c>
      <c r="W90" s="95" t="n">
        <f aca="false">S_Coll_Hi!$B$14*O_InsPct*W44*LevOpex*$B$8*W41</f>
        <v>10194.3068237946</v>
      </c>
    </row>
    <row r="91" customFormat="false" ht="15" hidden="false" customHeight="false" outlineLevel="0" collapsed="false">
      <c r="A91" s="11" t="s">
        <v>437</v>
      </c>
      <c r="B91" s="66" t="n">
        <f aca="false">SUM(C91:W91)</f>
        <v>80611.1234669414</v>
      </c>
      <c r="C91" s="95" t="n">
        <v>0</v>
      </c>
      <c r="D91" s="95" t="n">
        <f aca="false">O_Fees*D44*LevOpex*$B$8*D41</f>
        <v>3000</v>
      </c>
      <c r="E91" s="95" t="n">
        <f aca="false">O_Fees*E44*LevOpex*$B$8*E41</f>
        <v>3090</v>
      </c>
      <c r="F91" s="95" t="n">
        <f aca="false">O_Fees*F44*LevOpex*$B$8*F41</f>
        <v>3182.7</v>
      </c>
      <c r="G91" s="95" t="n">
        <f aca="false">O_Fees*G44*LevOpex*$B$8*G41</f>
        <v>3278.181</v>
      </c>
      <c r="H91" s="95" t="n">
        <f aca="false">O_Fees*H44*LevOpex*$B$8*H41</f>
        <v>3376.52643</v>
      </c>
      <c r="I91" s="95" t="n">
        <f aca="false">O_Fees*I44*LevOpex*$B$8*I41</f>
        <v>3477.8222229</v>
      </c>
      <c r="J91" s="95" t="n">
        <f aca="false">O_Fees*J44*LevOpex*$B$8*J41</f>
        <v>3582.156889587</v>
      </c>
      <c r="K91" s="95" t="n">
        <f aca="false">O_Fees*K44*LevOpex*$B$8*K41</f>
        <v>3689.62159627461</v>
      </c>
      <c r="L91" s="95" t="n">
        <f aca="false">O_Fees*L44*LevOpex*$B$8*L41</f>
        <v>3800.31024416285</v>
      </c>
      <c r="M91" s="95" t="n">
        <f aca="false">O_Fees*M44*LevOpex*$B$8*M41</f>
        <v>3914.31955148773</v>
      </c>
      <c r="N91" s="95" t="n">
        <f aca="false">O_Fees*N44*LevOpex*$B$8*N41</f>
        <v>4031.74913803237</v>
      </c>
      <c r="O91" s="95" t="n">
        <f aca="false">O_Fees*O44*LevOpex*$B$8*O41</f>
        <v>4152.70161217334</v>
      </c>
      <c r="P91" s="95" t="n">
        <f aca="false">O_Fees*P44*LevOpex*$B$8*P41</f>
        <v>4277.28266053854</v>
      </c>
      <c r="Q91" s="95" t="n">
        <f aca="false">O_Fees*Q44*LevOpex*$B$8*Q41</f>
        <v>4405.60114035469</v>
      </c>
      <c r="R91" s="95" t="n">
        <f aca="false">O_Fees*R44*LevOpex*$B$8*R41</f>
        <v>4537.76917456534</v>
      </c>
      <c r="S91" s="95" t="n">
        <f aca="false">O_Fees*S44*LevOpex*$B$8*S41</f>
        <v>4673.9022498023</v>
      </c>
      <c r="T91" s="95" t="n">
        <f aca="false">O_Fees*T44*LevOpex*$B$8*T41</f>
        <v>4814.11931729637</v>
      </c>
      <c r="U91" s="95" t="n">
        <f aca="false">O_Fees*U44*LevOpex*$B$8*U41</f>
        <v>4958.54289681526</v>
      </c>
      <c r="V91" s="95" t="n">
        <f aca="false">O_Fees*V44*LevOpex*$B$8*V41</f>
        <v>5107.29918371971</v>
      </c>
      <c r="W91" s="95" t="n">
        <f aca="false">O_Fees*W44*LevOpex*$B$8*W41</f>
        <v>5260.51815923131</v>
      </c>
    </row>
    <row r="92" customFormat="false" ht="15" hidden="false" customHeight="false" outlineLevel="0" collapsed="false">
      <c r="A92" s="11" t="s">
        <v>438</v>
      </c>
      <c r="B92" s="66" t="n">
        <f aca="false">SUM(C92:W92)</f>
        <v>107481.497955922</v>
      </c>
      <c r="C92" s="95" t="n">
        <v>0</v>
      </c>
      <c r="D92" s="95" t="n">
        <f aca="false">O_MRV*D44*LevOpex*$B$8*D41</f>
        <v>4000</v>
      </c>
      <c r="E92" s="95" t="n">
        <f aca="false">O_MRV*E44*LevOpex*$B$8*E41</f>
        <v>4120</v>
      </c>
      <c r="F92" s="95" t="n">
        <f aca="false">O_MRV*F44*LevOpex*$B$8*F41</f>
        <v>4243.6</v>
      </c>
      <c r="G92" s="95" t="n">
        <f aca="false">O_MRV*G44*LevOpex*$B$8*G41</f>
        <v>4370.908</v>
      </c>
      <c r="H92" s="95" t="n">
        <f aca="false">O_MRV*H44*LevOpex*$B$8*H41</f>
        <v>4502.03524</v>
      </c>
      <c r="I92" s="95" t="n">
        <f aca="false">O_MRV*I44*LevOpex*$B$8*I41</f>
        <v>4637.0962972</v>
      </c>
      <c r="J92" s="95" t="n">
        <f aca="false">O_MRV*J44*LevOpex*$B$8*J41</f>
        <v>4776.209186116</v>
      </c>
      <c r="K92" s="95" t="n">
        <f aca="false">O_MRV*K44*LevOpex*$B$8*K41</f>
        <v>4919.49546169948</v>
      </c>
      <c r="L92" s="95" t="n">
        <f aca="false">O_MRV*L44*LevOpex*$B$8*L41</f>
        <v>5067.08032555047</v>
      </c>
      <c r="M92" s="95" t="n">
        <f aca="false">O_MRV*M44*LevOpex*$B$8*M41</f>
        <v>5219.09273531698</v>
      </c>
      <c r="N92" s="95" t="n">
        <f aca="false">O_MRV*N44*LevOpex*$B$8*N41</f>
        <v>5375.66551737649</v>
      </c>
      <c r="O92" s="95" t="n">
        <f aca="false">O_MRV*O44*LevOpex*$B$8*O41</f>
        <v>5536.93548289778</v>
      </c>
      <c r="P92" s="95" t="n">
        <f aca="false">O_MRV*P44*LevOpex*$B$8*P41</f>
        <v>5703.04354738472</v>
      </c>
      <c r="Q92" s="95" t="n">
        <f aca="false">O_MRV*Q44*LevOpex*$B$8*Q41</f>
        <v>5874.13485380626</v>
      </c>
      <c r="R92" s="95" t="n">
        <f aca="false">O_MRV*R44*LevOpex*$B$8*R41</f>
        <v>6050.35889942045</v>
      </c>
      <c r="S92" s="95" t="n">
        <f aca="false">O_MRV*S44*LevOpex*$B$8*S41</f>
        <v>6231.86966640306</v>
      </c>
      <c r="T92" s="95" t="n">
        <f aca="false">O_MRV*T44*LevOpex*$B$8*T41</f>
        <v>6418.82575639515</v>
      </c>
      <c r="U92" s="95" t="n">
        <f aca="false">O_MRV*U44*LevOpex*$B$8*U41</f>
        <v>6611.39052908701</v>
      </c>
      <c r="V92" s="95" t="n">
        <f aca="false">O_MRV*V44*LevOpex*$B$8*V41</f>
        <v>6809.73224495962</v>
      </c>
      <c r="W92" s="95" t="n">
        <f aca="false">O_MRV*W44*LevOpex*$B$8*W41</f>
        <v>7014.02421230841</v>
      </c>
    </row>
    <row r="93" customFormat="false" ht="15" hidden="false" customHeight="false" outlineLevel="0" collapsed="false">
      <c r="A93" s="11" t="s">
        <v>439</v>
      </c>
      <c r="B93" s="66" t="n">
        <f aca="false">SUM(C93:W93)</f>
        <v>146716.941545016</v>
      </c>
      <c r="C93" s="95" t="n">
        <v>0</v>
      </c>
      <c r="D93" s="95" t="n">
        <f aca="false">D85*O_CustPct</f>
        <v>2607.566976</v>
      </c>
      <c r="E93" s="95" t="n">
        <f aca="false">E85*O_CustPct</f>
        <v>3694.1621318544</v>
      </c>
      <c r="F93" s="95" t="n">
        <f aca="false">F85*O_CustPct</f>
        <v>4554.8488008051</v>
      </c>
      <c r="G93" s="95" t="n">
        <f aca="false">G85*O_CustPct</f>
        <v>4777.33751777413</v>
      </c>
      <c r="H93" s="95" t="n">
        <f aca="false">H85*O_CustPct</f>
        <v>5068.27737260657</v>
      </c>
      <c r="I93" s="95" t="n">
        <f aca="false">I85*O_CustPct</f>
        <v>5376.93546459831</v>
      </c>
      <c r="J93" s="95" t="n">
        <f aca="false">J85*O_CustPct</f>
        <v>5704.39083439235</v>
      </c>
      <c r="K93" s="95" t="n">
        <f aca="false">K85*O_CustPct</f>
        <v>6051.78823620685</v>
      </c>
      <c r="L93" s="95" t="n">
        <f aca="false">L85*O_CustPct</f>
        <v>6420.34213979184</v>
      </c>
      <c r="M93" s="95" t="n">
        <f aca="false">M85*O_CustPct</f>
        <v>6811.34097610517</v>
      </c>
      <c r="N93" s="95" t="n">
        <f aca="false">N85*O_CustPct</f>
        <v>7226.15164154997</v>
      </c>
      <c r="O93" s="95" t="n">
        <f aca="false">O85*O_CustPct</f>
        <v>7666.22427652037</v>
      </c>
      <c r="P93" s="95" t="n">
        <f aca="false">P85*O_CustPct</f>
        <v>8133.09733496046</v>
      </c>
      <c r="Q93" s="95" t="n">
        <f aca="false">Q85*O_CustPct</f>
        <v>8628.40296265955</v>
      </c>
      <c r="R93" s="95" t="n">
        <f aca="false">R85*O_CustPct</f>
        <v>9153.87270308552</v>
      </c>
      <c r="S93" s="95" t="n">
        <f aca="false">S85*O_CustPct</f>
        <v>9711.34355070342</v>
      </c>
      <c r="T93" s="95" t="n">
        <f aca="false">T85*O_CustPct</f>
        <v>10302.7643729413</v>
      </c>
      <c r="U93" s="95" t="n">
        <f aca="false">U85*O_CustPct</f>
        <v>10930.2027232534</v>
      </c>
      <c r="V93" s="95" t="n">
        <f aca="false">V85*O_CustPct</f>
        <v>11595.8520690995</v>
      </c>
      <c r="W93" s="95" t="n">
        <f aca="false">W85*O_CustPct</f>
        <v>12302.0394601077</v>
      </c>
    </row>
    <row r="94" customFormat="false" ht="15" hidden="false" customHeight="false" outlineLevel="0" collapsed="false">
      <c r="A94" s="11" t="s">
        <v>440</v>
      </c>
      <c r="B94" s="66" t="n">
        <f aca="false">SUM(C94:W94)</f>
        <v>117570.051282715</v>
      </c>
      <c r="C94" s="95" t="n">
        <v>0</v>
      </c>
      <c r="D94" s="95" t="n">
        <f aca="false">D72*O_DieselOM*D44*LevOpex*$B$8</f>
        <v>719.794472727272</v>
      </c>
      <c r="E94" s="95" t="n">
        <f aca="false">E72*O_DieselOM*E44*LevOpex*$B$8</f>
        <v>1081.80910449818</v>
      </c>
      <c r="F94" s="95" t="n">
        <f aca="false">F72*O_DieselOM*F44*LevOpex*$B$8</f>
        <v>1350.22503407308</v>
      </c>
      <c r="G94" s="95" t="n">
        <f aca="false">G72*O_DieselOM*G44*LevOpex*$B$8</f>
        <v>1432.45373864813</v>
      </c>
      <c r="H94" s="95" t="n">
        <f aca="false">H72*O_DieselOM*H44*LevOpex*$B$8</f>
        <v>1519.69017133181</v>
      </c>
      <c r="I94" s="95" t="n">
        <f aca="false">I72*O_DieselOM*I44*LevOpex*$B$8</f>
        <v>1612.23930276591</v>
      </c>
      <c r="J94" s="95" t="n">
        <f aca="false">J72*O_DieselOM*J44*LevOpex*$B$8</f>
        <v>1841.45816530084</v>
      </c>
      <c r="K94" s="95" t="n">
        <f aca="false">K72*O_DieselOM*K44*LevOpex*$B$8</f>
        <v>2503.82649651629</v>
      </c>
      <c r="L94" s="95" t="n">
        <f aca="false">L72*O_DieselOM*L44*LevOpex*$B$8</f>
        <v>3220.20611379713</v>
      </c>
      <c r="M94" s="95" t="n">
        <f aca="false">M72*O_DieselOM*M44*LevOpex*$B$8</f>
        <v>3994.2260798739</v>
      </c>
      <c r="N94" s="95" t="n">
        <f aca="false">N72*O_DieselOM*N44*LevOpex*$B$8</f>
        <v>4829.74491081635</v>
      </c>
      <c r="O94" s="95" t="n">
        <f aca="false">O72*O_DieselOM*O44*LevOpex*$B$8</f>
        <v>5730.86475956075</v>
      </c>
      <c r="P94" s="95" t="n">
        <f aca="false">P72*O_DieselOM*P44*LevOpex*$B$8</f>
        <v>6701.94646842802</v>
      </c>
      <c r="Q94" s="95" t="n">
        <f aca="false">Q72*O_DieselOM*Q44*LevOpex*$B$8</f>
        <v>7747.62554368381</v>
      </c>
      <c r="R94" s="95" t="n">
        <f aca="false">R72*O_DieselOM*R44*LevOpex*$B$8</f>
        <v>8872.82910842559</v>
      </c>
      <c r="S94" s="95" t="n">
        <f aca="false">S72*O_DieselOM*S44*LevOpex*$B$8</f>
        <v>10082.7938935131</v>
      </c>
      <c r="T94" s="95" t="n">
        <f aca="false">T72*O_DieselOM*T44*LevOpex*$B$8</f>
        <v>11383.0853298981</v>
      </c>
      <c r="U94" s="95" t="n">
        <f aca="false">U72*O_DieselOM*U44*LevOpex*$B$8</f>
        <v>12779.6178095725</v>
      </c>
      <c r="V94" s="95" t="n">
        <f aca="false">V72*O_DieselOM*V44*LevOpex*$B$8</f>
        <v>14278.6761864487</v>
      </c>
      <c r="W94" s="95" t="n">
        <f aca="false">W72*O_DieselOM*W44*LevOpex*$B$8</f>
        <v>15886.9385928357</v>
      </c>
    </row>
    <row r="95" customFormat="false" ht="15" hidden="false" customHeight="false" outlineLevel="0" collapsed="false">
      <c r="A95" s="11" t="s">
        <v>441</v>
      </c>
      <c r="B95" s="66" t="n">
        <f aca="false">SUM(C95:W95)</f>
        <v>1567600.68376954</v>
      </c>
      <c r="C95" s="95" t="n">
        <v>0</v>
      </c>
      <c r="D95" s="95" t="n">
        <f aca="false">D74*FuelPrice*LevFuel*$B$10*D44</f>
        <v>9597.25963636363</v>
      </c>
      <c r="E95" s="95" t="n">
        <f aca="false">E74*FuelPrice*LevFuel*$B$10*E44</f>
        <v>14424.1213933091</v>
      </c>
      <c r="F95" s="95" t="n">
        <f aca="false">F74*FuelPrice*LevFuel*$B$10*F44</f>
        <v>18003.0004543078</v>
      </c>
      <c r="G95" s="95" t="n">
        <f aca="false">G74*FuelPrice*LevFuel*$B$10*G44</f>
        <v>19099.3831819751</v>
      </c>
      <c r="H95" s="95" t="n">
        <f aca="false">H74*FuelPrice*LevFuel*$B$10*H44</f>
        <v>20262.5356177574</v>
      </c>
      <c r="I95" s="95" t="n">
        <f aca="false">I74*FuelPrice*LevFuel*$B$10*I44</f>
        <v>21496.5240368788</v>
      </c>
      <c r="J95" s="95" t="n">
        <f aca="false">J74*FuelPrice*LevFuel*$B$10*J44</f>
        <v>24552.7755373446</v>
      </c>
      <c r="K95" s="95" t="n">
        <f aca="false">K74*FuelPrice*LevFuel*$B$10*K44</f>
        <v>33384.3532868839</v>
      </c>
      <c r="L95" s="95" t="n">
        <f aca="false">L74*FuelPrice*LevFuel*$B$10*L44</f>
        <v>42936.0815172951</v>
      </c>
      <c r="M95" s="95" t="n">
        <f aca="false">M74*FuelPrice*LevFuel*$B$10*M44</f>
        <v>53256.3477316521</v>
      </c>
      <c r="N95" s="95" t="n">
        <f aca="false">N74*FuelPrice*LevFuel*$B$10*N44</f>
        <v>64396.5988108847</v>
      </c>
      <c r="O95" s="95" t="n">
        <f aca="false">O74*FuelPrice*LevFuel*$B$10*O44</f>
        <v>76411.5301274767</v>
      </c>
      <c r="P95" s="95" t="n">
        <f aca="false">P74*FuelPrice*LevFuel*$B$10*P44</f>
        <v>89359.2862457069</v>
      </c>
      <c r="Q95" s="95" t="n">
        <f aca="false">Q74*FuelPrice*LevFuel*$B$10*Q44</f>
        <v>103301.673915784</v>
      </c>
      <c r="R95" s="95" t="n">
        <f aca="false">R74*FuelPrice*LevFuel*$B$10*R44</f>
        <v>118304.388112341</v>
      </c>
      <c r="S95" s="95" t="n">
        <f aca="false">S74*FuelPrice*LevFuel*$B$10*S44</f>
        <v>134437.251913507</v>
      </c>
      <c r="T95" s="95" t="n">
        <f aca="false">T74*FuelPrice*LevFuel*$B$10*T44</f>
        <v>151774.471065308</v>
      </c>
      <c r="U95" s="95" t="n">
        <f aca="false">U74*FuelPrice*LevFuel*$B$10*U44</f>
        <v>170394.904127634</v>
      </c>
      <c r="V95" s="95" t="n">
        <f aca="false">V74*FuelPrice*LevFuel*$B$10*V44</f>
        <v>190382.34915265</v>
      </c>
      <c r="W95" s="95" t="n">
        <f aca="false">W74*FuelPrice*LevFuel*$B$10*W44</f>
        <v>211825.847904476</v>
      </c>
    </row>
    <row r="96" customFormat="false" ht="15" hidden="false" customHeight="false" outlineLevel="0" collapsed="false">
      <c r="A96" s="16" t="s">
        <v>442</v>
      </c>
      <c r="B96" s="66" t="n">
        <f aca="false">SUM(C96:W96)</f>
        <v>3339060.41729336</v>
      </c>
      <c r="C96" s="31" t="n">
        <f aca="false">C88+C89+C90+C91+C92+C93+C94+C95</f>
        <v>0</v>
      </c>
      <c r="D96" s="31" t="n">
        <f aca="false">D88+D89+D90+D91+D92+D93+D94+D95</f>
        <v>69015.1211007933</v>
      </c>
      <c r="E96" s="31" t="n">
        <f aca="false">E88+E89+E90+E91+E92+E93+E94+E95</f>
        <v>76973.3076458351</v>
      </c>
      <c r="F96" s="31" t="n">
        <f aca="false">F88+F89+F90+F91+F92+F93+F94+F95</f>
        <v>83414.4857558446</v>
      </c>
      <c r="G96" s="31" t="n">
        <f aca="false">G88+G89+G90+G91+G92+G93+G94+G95</f>
        <v>86600.7782490558</v>
      </c>
      <c r="H96" s="31" t="n">
        <f aca="false">H88+H89+H90+H91+H92+H93+H94+H95</f>
        <v>89980.855086674</v>
      </c>
      <c r="I96" s="31" t="n">
        <f aca="false">I88+I89+I90+I91+I92+I93+I94+I95</f>
        <v>93509.9612869706</v>
      </c>
      <c r="J96" s="31" t="n">
        <f aca="false">J88+J89+J90+J91+J92+J93+J94+J95</f>
        <v>99073.6148942471</v>
      </c>
      <c r="K96" s="31" t="n">
        <f aca="false">K88+K89+K90+K91+K92+K93+K94+K95</f>
        <v>110924.208087533</v>
      </c>
      <c r="L96" s="31" t="n">
        <f aca="false">L88+L89+L90+L91+L92+L93+L94+L95</f>
        <v>123630.397040847</v>
      </c>
      <c r="M96" s="31" t="n">
        <f aca="false">M88+M89+M90+M91+M92+M93+M94+M95</f>
        <v>137247.295075693</v>
      </c>
      <c r="N96" s="31" t="n">
        <f aca="false">N88+N89+N90+N91+N92+N93+N94+N95</f>
        <v>151833.437059955</v>
      </c>
      <c r="O96" s="31" t="n">
        <f aca="false">O88+O89+O90+O91+O92+O93+O94+O95</f>
        <v>167450.989111163</v>
      </c>
      <c r="P96" s="31" t="n">
        <f aca="false">P88+P89+P90+P91+P92+P93+P94+P95</f>
        <v>184165.971095129</v>
      </c>
      <c r="Q96" s="31" t="n">
        <f aca="false">Q88+Q89+Q90+Q91+Q92+Q93+Q94+Q95</f>
        <v>202048.492699542</v>
      </c>
      <c r="R96" s="31" t="n">
        <f aca="false">R88+R89+R90+R91+R92+R93+R94+R95</f>
        <v>221173.003909589</v>
      </c>
      <c r="S96" s="31" t="n">
        <f aca="false">S88+S89+S90+S91+S92+S93+S94+S95</f>
        <v>241618.560763033</v>
      </c>
      <c r="T96" s="31" t="n">
        <f aca="false">T88+T89+T90+T91+T92+T93+T94+T95</f>
        <v>263469.107315616</v>
      </c>
      <c r="U96" s="31" t="n">
        <f aca="false">U88+U89+U90+U91+U92+U93+U94+U95</f>
        <v>286813.774804352</v>
      </c>
      <c r="V96" s="31" t="n">
        <f aca="false">V88+V89+V90+V91+V92+V93+V94+V95</f>
        <v>311747.199056407</v>
      </c>
      <c r="W96" s="31" t="n">
        <f aca="false">W88+W89+W90+W91+W92+W93+W94+W95</f>
        <v>338369.857255075</v>
      </c>
    </row>
    <row r="98" customFormat="false" ht="15" hidden="false" customHeight="false" outlineLevel="0" collapsed="false">
      <c r="A98" s="16" t="s">
        <v>443</v>
      </c>
      <c r="B98" s="66" t="n">
        <f aca="false">SUM(C98:W98)</f>
        <v>1551504.30087384</v>
      </c>
      <c r="C98" s="31" t="n">
        <f aca="false">C85-C96</f>
        <v>0</v>
      </c>
      <c r="D98" s="31" t="n">
        <f aca="false">D85-D96</f>
        <v>17903.7780992067</v>
      </c>
      <c r="E98" s="31" t="n">
        <f aca="false">E85-E96</f>
        <v>46165.4300826449</v>
      </c>
      <c r="F98" s="31" t="n">
        <f aca="false">F85-F96</f>
        <v>68413.8076043253</v>
      </c>
      <c r="G98" s="31" t="n">
        <f aca="false">G85-G96</f>
        <v>72643.8056767484</v>
      </c>
      <c r="H98" s="31" t="n">
        <f aca="false">H85-H96</f>
        <v>78961.7240002118</v>
      </c>
      <c r="I98" s="31" t="n">
        <f aca="false">I85-I96</f>
        <v>85721.2208663065</v>
      </c>
      <c r="J98" s="31" t="n">
        <f aca="false">J85-J96</f>
        <v>91072.7462521646</v>
      </c>
      <c r="K98" s="31" t="n">
        <f aca="false">K85-K96</f>
        <v>90802.0664526956</v>
      </c>
      <c r="L98" s="31" t="n">
        <f aca="false">L85-L96</f>
        <v>90381.0076188807</v>
      </c>
      <c r="M98" s="31" t="n">
        <f aca="false">M85-M96</f>
        <v>89797.4041278121</v>
      </c>
      <c r="N98" s="31" t="n">
        <f aca="false">N85-N96</f>
        <v>89038.2843250438</v>
      </c>
      <c r="O98" s="31" t="n">
        <f aca="false">O85-O96</f>
        <v>88089.8201061824</v>
      </c>
      <c r="P98" s="31" t="n">
        <f aca="false">P85-P96</f>
        <v>86937.2734035529</v>
      </c>
      <c r="Q98" s="31" t="n">
        <f aca="false">Q85-Q96</f>
        <v>85564.9393891096</v>
      </c>
      <c r="R98" s="31" t="n">
        <f aca="false">R85-R96</f>
        <v>83956.0861932614</v>
      </c>
      <c r="S98" s="31" t="n">
        <f aca="false">S85-S96</f>
        <v>82092.8909270812</v>
      </c>
      <c r="T98" s="31" t="n">
        <f aca="false">T85-T96</f>
        <v>79956.3717824262</v>
      </c>
      <c r="U98" s="31" t="n">
        <f aca="false">U85-U96</f>
        <v>77526.3159707611</v>
      </c>
      <c r="V98" s="31" t="n">
        <f aca="false">V85-V96</f>
        <v>74781.2032469104</v>
      </c>
      <c r="W98" s="31" t="n">
        <f aca="false">W85-W96</f>
        <v>71698.1247485148</v>
      </c>
    </row>
    <row r="99" customFormat="false" ht="15" hidden="false" customHeight="false" outlineLevel="0" collapsed="false">
      <c r="A99" s="11" t="s">
        <v>444</v>
      </c>
      <c r="C99" s="91" t="n">
        <v>0</v>
      </c>
      <c r="D99" s="91" t="n">
        <f aca="false">IFERROR(D98/D85,0)</f>
        <v>0.205982568394133</v>
      </c>
      <c r="E99" s="91" t="n">
        <f aca="false">IFERROR(E98/E85,0)</f>
        <v>0.374905825203758</v>
      </c>
      <c r="F99" s="91" t="n">
        <f aca="false">IFERROR(F98/F85,0)</f>
        <v>0.450599859158219</v>
      </c>
      <c r="G99" s="91" t="n">
        <f aca="false">IFERROR(G98/G85,0)</f>
        <v>0.456177559612293</v>
      </c>
      <c r="H99" s="91" t="n">
        <f aca="false">IFERROR(H98/H85,0)</f>
        <v>0.467387939896445</v>
      </c>
      <c r="I99" s="91" t="n">
        <f aca="false">IFERROR(I98/I85,0)</f>
        <v>0.47827180424999</v>
      </c>
      <c r="J99" s="91" t="n">
        <f aca="false">IFERROR(J98/J85,0)</f>
        <v>0.478961289098975</v>
      </c>
      <c r="K99" s="91" t="n">
        <f aca="false">IFERROR(K98/K85,0)</f>
        <v>0.450125134465753</v>
      </c>
      <c r="L99" s="91" t="n">
        <f aca="false">IFERROR(L98/L85,0)</f>
        <v>0.422318650553151</v>
      </c>
      <c r="M99" s="91" t="n">
        <f aca="false">IFERROR(M98/M85,0)</f>
        <v>0.395505398024398</v>
      </c>
      <c r="N99" s="91" t="n">
        <f aca="false">IFERROR(N98/N85,0)</f>
        <v>0.369650218020939</v>
      </c>
      <c r="O99" s="91" t="n">
        <f aca="false">IFERROR(O98/O85,0)</f>
        <v>0.344719187420508</v>
      </c>
      <c r="P99" s="91" t="n">
        <f aca="false">IFERROR(P98/P85,0)</f>
        <v>0.320679575651392</v>
      </c>
      <c r="Q99" s="91" t="n">
        <f aca="false">IFERROR(Q98/Q85,0)</f>
        <v>0.297499803008977</v>
      </c>
      <c r="R99" s="91" t="n">
        <f aca="false">IFERROR(R98/R85,0)</f>
        <v>0.275149400422497</v>
      </c>
      <c r="S99" s="91" t="n">
        <f aca="false">IFERROR(S98/S85,0)</f>
        <v>0.253598970621737</v>
      </c>
      <c r="T99" s="91" t="n">
        <f aca="false">IFERROR(T98/T85,0)</f>
        <v>0.232820150655159</v>
      </c>
      <c r="U99" s="91" t="n">
        <f aca="false">IFERROR(U98/U85,0)</f>
        <v>0.212785575712594</v>
      </c>
      <c r="V99" s="91" t="n">
        <f aca="false">IFERROR(V98/V85,0)</f>
        <v>0.193468844207283</v>
      </c>
      <c r="W99" s="91" t="n">
        <f aca="false">IFERROR(W98/W85,0)</f>
        <v>0.174844484073588</v>
      </c>
    </row>
    <row r="101" customFormat="false" ht="15" hidden="false" customHeight="false" outlineLevel="0" collapsed="false">
      <c r="A101" s="9" t="s">
        <v>445</v>
      </c>
      <c r="B101" s="10"/>
      <c r="C101" s="10"/>
      <c r="D101" s="10"/>
      <c r="E101" s="10"/>
      <c r="F101" s="10"/>
      <c r="G101" s="10"/>
      <c r="H101" s="10"/>
      <c r="I101" s="10"/>
      <c r="J101" s="10"/>
      <c r="K101" s="10"/>
      <c r="L101" s="10"/>
      <c r="M101" s="10"/>
      <c r="N101" s="10"/>
      <c r="O101" s="10"/>
      <c r="P101" s="10"/>
      <c r="Q101" s="10"/>
      <c r="R101" s="10"/>
      <c r="S101" s="10"/>
      <c r="T101" s="10"/>
      <c r="U101" s="10"/>
      <c r="V101" s="10"/>
      <c r="W101" s="10"/>
    </row>
    <row r="102" customFormat="false" ht="15" hidden="false" customHeight="false" outlineLevel="0" collapsed="false">
      <c r="A102" s="11" t="s">
        <v>446</v>
      </c>
      <c r="B102" s="66" t="n">
        <f aca="false">C102+NPV(Hurdle,D102:W102)</f>
        <v>1162734.14692871</v>
      </c>
      <c r="C102" s="95" t="n">
        <f aca="false">S_Coll_Hi!$B$14</f>
        <v>1162734.14692871</v>
      </c>
      <c r="D102" s="95" t="n">
        <f aca="false">0</f>
        <v>0</v>
      </c>
      <c r="E102" s="95" t="n">
        <f aca="false">0</f>
        <v>0</v>
      </c>
      <c r="F102" s="95" t="n">
        <f aca="false">0</f>
        <v>0</v>
      </c>
      <c r="G102" s="95" t="n">
        <f aca="false">0</f>
        <v>0</v>
      </c>
      <c r="H102" s="95" t="n">
        <f aca="false">0</f>
        <v>0</v>
      </c>
      <c r="I102" s="95" t="n">
        <f aca="false">0</f>
        <v>0</v>
      </c>
      <c r="J102" s="95" t="n">
        <f aca="false">0</f>
        <v>0</v>
      </c>
      <c r="K102" s="95" t="n">
        <f aca="false">0</f>
        <v>0</v>
      </c>
      <c r="L102" s="95" t="n">
        <f aca="false">0</f>
        <v>0</v>
      </c>
      <c r="M102" s="95" t="n">
        <f aca="false">0</f>
        <v>0</v>
      </c>
      <c r="N102" s="95" t="n">
        <f aca="false">0</f>
        <v>0</v>
      </c>
      <c r="O102" s="95" t="n">
        <f aca="false">0</f>
        <v>0</v>
      </c>
      <c r="P102" s="95" t="n">
        <f aca="false">0</f>
        <v>0</v>
      </c>
      <c r="Q102" s="95" t="n">
        <f aca="false">0</f>
        <v>0</v>
      </c>
      <c r="R102" s="95" t="n">
        <f aca="false">0</f>
        <v>0</v>
      </c>
      <c r="S102" s="95" t="n">
        <f aca="false">0</f>
        <v>0</v>
      </c>
      <c r="T102" s="95" t="n">
        <f aca="false">0</f>
        <v>0</v>
      </c>
      <c r="U102" s="95" t="n">
        <f aca="false">0</f>
        <v>0</v>
      </c>
      <c r="V102" s="95" t="n">
        <f aca="false">0</f>
        <v>0</v>
      </c>
      <c r="W102" s="95" t="n">
        <f aca="false">0</f>
        <v>0</v>
      </c>
    </row>
    <row r="103" customFormat="false" ht="15" hidden="false" customHeight="false" outlineLevel="0" collapsed="false">
      <c r="A103" s="11" t="s">
        <v>447</v>
      </c>
      <c r="B103" s="66" t="n">
        <f aca="false">C103+NPV(Hurdle,D103:W103)</f>
        <v>123132.446168426</v>
      </c>
      <c r="C103" s="95" t="n">
        <v>0</v>
      </c>
      <c r="D103" s="95" t="n">
        <f aca="false">IF(AND(D41=1,MOD(D39,BattLife)=0,D39&lt;Life),BESS_kWh*C_BattRepl*LevCapex*$B$7*D44,0)</f>
        <v>0</v>
      </c>
      <c r="E103" s="95" t="n">
        <f aca="false">IF(AND(E41=1,MOD(E39,BattLife)=0,E39&lt;Life),BESS_kWh*C_BattRepl*LevCapex*$B$7*E44,0)</f>
        <v>0</v>
      </c>
      <c r="F103" s="95" t="n">
        <f aca="false">IF(AND(F41=1,MOD(F39,BattLife)=0,F39&lt;Life),BESS_kWh*C_BattRepl*LevCapex*$B$7*F44,0)</f>
        <v>0</v>
      </c>
      <c r="G103" s="95" t="n">
        <f aca="false">IF(AND(G41=1,MOD(G39,BattLife)=0,G39&lt;Life),BESS_kWh*C_BattRepl*LevCapex*$B$7*G44,0)</f>
        <v>0</v>
      </c>
      <c r="H103" s="95" t="n">
        <f aca="false">IF(AND(H41=1,MOD(H39,BattLife)=0,H39&lt;Life),BESS_kWh*C_BattRepl*LevCapex*$B$7*H44,0)</f>
        <v>0</v>
      </c>
      <c r="I103" s="95" t="n">
        <f aca="false">IF(AND(I41=1,MOD(I39,BattLife)=0,I39&lt;Life),BESS_kWh*C_BattRepl*LevCapex*$B$7*I44,0)</f>
        <v>0</v>
      </c>
      <c r="J103" s="95" t="n">
        <f aca="false">IF(AND(J41=1,MOD(J39,BattLife)=0,J39&lt;Life),BESS_kWh*C_BattRepl*LevCapex*$B$7*J44,0)</f>
        <v>0</v>
      </c>
      <c r="K103" s="95" t="n">
        <f aca="false">IF(AND(K41=1,MOD(K39,BattLife)=0,K39&lt;Life),BESS_kWh*C_BattRepl*LevCapex*$B$7*K44,0)</f>
        <v>165903.437704701</v>
      </c>
      <c r="L103" s="95" t="n">
        <f aca="false">IF(AND(L41=1,MOD(L39,BattLife)=0,L39&lt;Life),BESS_kWh*C_BattRepl*LevCapex*$B$7*L44,0)</f>
        <v>0</v>
      </c>
      <c r="M103" s="95" t="n">
        <f aca="false">IF(AND(M41=1,MOD(M39,BattLife)=0,M39&lt;Life),BESS_kWh*C_BattRepl*LevCapex*$B$7*M44,0)</f>
        <v>0</v>
      </c>
      <c r="N103" s="95" t="n">
        <f aca="false">IF(AND(N41=1,MOD(N39,BattLife)=0,N39&lt;Life),BESS_kWh*C_BattRepl*LevCapex*$B$7*N44,0)</f>
        <v>0</v>
      </c>
      <c r="O103" s="95" t="n">
        <f aca="false">IF(AND(O41=1,MOD(O39,BattLife)=0,O39&lt;Life),BESS_kWh*C_BattRepl*LevCapex*$B$7*O44,0)</f>
        <v>0</v>
      </c>
      <c r="P103" s="95" t="n">
        <f aca="false">IF(AND(P41=1,MOD(P39,BattLife)=0,P39&lt;Life),BESS_kWh*C_BattRepl*LevCapex*$B$7*P44,0)</f>
        <v>0</v>
      </c>
      <c r="Q103" s="95" t="n">
        <f aca="false">IF(AND(Q41=1,MOD(Q39,BattLife)=0,Q39&lt;Life),BESS_kWh*C_BattRepl*LevCapex*$B$7*Q44,0)</f>
        <v>0</v>
      </c>
      <c r="R103" s="95" t="n">
        <f aca="false">IF(AND(R41=1,MOD(R39,BattLife)=0,R39&lt;Life),BESS_kWh*C_BattRepl*LevCapex*$B$7*R44,0)</f>
        <v>0</v>
      </c>
      <c r="S103" s="95" t="n">
        <f aca="false">IF(AND(S41=1,MOD(S39,BattLife)=0,S39&lt;Life),BESS_kWh*C_BattRepl*LevCapex*$B$7*S44,0)</f>
        <v>210161.51128367</v>
      </c>
      <c r="T103" s="95" t="n">
        <f aca="false">IF(AND(T41=1,MOD(T39,BattLife)=0,T39&lt;Life),BESS_kWh*C_BattRepl*LevCapex*$B$7*T44,0)</f>
        <v>0</v>
      </c>
      <c r="U103" s="95" t="n">
        <f aca="false">IF(AND(U41=1,MOD(U39,BattLife)=0,U39&lt;Life),BESS_kWh*C_BattRepl*LevCapex*$B$7*U44,0)</f>
        <v>0</v>
      </c>
      <c r="V103" s="95" t="n">
        <f aca="false">IF(AND(V41=1,MOD(V39,BattLife)=0,V39&lt;Life),BESS_kWh*C_BattRepl*LevCapex*$B$7*V44,0)</f>
        <v>0</v>
      </c>
      <c r="W103" s="95" t="n">
        <f aca="false">IF(AND(W41=1,MOD(W39,BattLife)=0,W39&lt;Life),BESS_kWh*C_BattRepl*LevCapex*$B$7*W44,0)</f>
        <v>0</v>
      </c>
    </row>
    <row r="104" customFormat="false" ht="15" hidden="false" customHeight="false" outlineLevel="0" collapsed="false">
      <c r="A104" s="11" t="s">
        <v>448</v>
      </c>
      <c r="B104" s="66" t="n">
        <f aca="false">SUM(C104:W104)</f>
        <v>376064.948988371</v>
      </c>
      <c r="C104" s="95" t="n">
        <v>0</v>
      </c>
      <c r="D104" s="95" t="n">
        <f aca="false">IF(AND(UseMRA=1,D41=1,CEILING(D39,BattLife)&lt;Life),BESS_kWh*C_BattRepl*LevCapex*$B$7*(1+CostEsc)^(CEILING(D39,BattLife)-1)/BattLife,0)</f>
        <v>20737.9297130877</v>
      </c>
      <c r="E104" s="95" t="n">
        <f aca="false">IF(AND(UseMRA=1,E41=1,CEILING(E39,BattLife)&lt;Life),BESS_kWh*C_BattRepl*LevCapex*$B$7*(1+CostEsc)^(CEILING(E39,BattLife)-1)/BattLife,0)</f>
        <v>20737.9297130877</v>
      </c>
      <c r="F104" s="95" t="n">
        <f aca="false">IF(AND(UseMRA=1,F41=1,CEILING(F39,BattLife)&lt;Life),BESS_kWh*C_BattRepl*LevCapex*$B$7*(1+CostEsc)^(CEILING(F39,BattLife)-1)/BattLife,0)</f>
        <v>20737.9297130877</v>
      </c>
      <c r="G104" s="95" t="n">
        <f aca="false">IF(AND(UseMRA=1,G41=1,CEILING(G39,BattLife)&lt;Life),BESS_kWh*C_BattRepl*LevCapex*$B$7*(1+CostEsc)^(CEILING(G39,BattLife)-1)/BattLife,0)</f>
        <v>20737.9297130877</v>
      </c>
      <c r="H104" s="95" t="n">
        <f aca="false">IF(AND(UseMRA=1,H41=1,CEILING(H39,BattLife)&lt;Life),BESS_kWh*C_BattRepl*LevCapex*$B$7*(1+CostEsc)^(CEILING(H39,BattLife)-1)/BattLife,0)</f>
        <v>20737.9297130877</v>
      </c>
      <c r="I104" s="95" t="n">
        <f aca="false">IF(AND(UseMRA=1,I41=1,CEILING(I39,BattLife)&lt;Life),BESS_kWh*C_BattRepl*LevCapex*$B$7*(1+CostEsc)^(CEILING(I39,BattLife)-1)/BattLife,0)</f>
        <v>20737.9297130877</v>
      </c>
      <c r="J104" s="95" t="n">
        <f aca="false">IF(AND(UseMRA=1,J41=1,CEILING(J39,BattLife)&lt;Life),BESS_kWh*C_BattRepl*LevCapex*$B$7*(1+CostEsc)^(CEILING(J39,BattLife)-1)/BattLife,0)</f>
        <v>20737.9297130877</v>
      </c>
      <c r="K104" s="95" t="n">
        <f aca="false">IF(AND(UseMRA=1,K41=1,CEILING(K39,BattLife)&lt;Life),BESS_kWh*C_BattRepl*LevCapex*$B$7*(1+CostEsc)^(CEILING(K39,BattLife)-1)/BattLife,0)</f>
        <v>20737.9297130877</v>
      </c>
      <c r="L104" s="95" t="n">
        <f aca="false">IF(AND(UseMRA=1,L41=1,CEILING(L39,BattLife)&lt;Life),BESS_kWh*C_BattRepl*LevCapex*$B$7*(1+CostEsc)^(CEILING(L39,BattLife)-1)/BattLife,0)</f>
        <v>26270.1889104587</v>
      </c>
      <c r="M104" s="95" t="n">
        <f aca="false">IF(AND(UseMRA=1,M41=1,CEILING(M39,BattLife)&lt;Life),BESS_kWh*C_BattRepl*LevCapex*$B$7*(1+CostEsc)^(CEILING(M39,BattLife)-1)/BattLife,0)</f>
        <v>26270.1889104587</v>
      </c>
      <c r="N104" s="95" t="n">
        <f aca="false">IF(AND(UseMRA=1,N41=1,CEILING(N39,BattLife)&lt;Life),BESS_kWh*C_BattRepl*LevCapex*$B$7*(1+CostEsc)^(CEILING(N39,BattLife)-1)/BattLife,0)</f>
        <v>26270.1889104587</v>
      </c>
      <c r="O104" s="95" t="n">
        <f aca="false">IF(AND(UseMRA=1,O41=1,CEILING(O39,BattLife)&lt;Life),BESS_kWh*C_BattRepl*LevCapex*$B$7*(1+CostEsc)^(CEILING(O39,BattLife)-1)/BattLife,0)</f>
        <v>26270.1889104587</v>
      </c>
      <c r="P104" s="95" t="n">
        <f aca="false">IF(AND(UseMRA=1,P41=1,CEILING(P39,BattLife)&lt;Life),BESS_kWh*C_BattRepl*LevCapex*$B$7*(1+CostEsc)^(CEILING(P39,BattLife)-1)/BattLife,0)</f>
        <v>26270.1889104587</v>
      </c>
      <c r="Q104" s="95" t="n">
        <f aca="false">IF(AND(UseMRA=1,Q41=1,CEILING(Q39,BattLife)&lt;Life),BESS_kWh*C_BattRepl*LevCapex*$B$7*(1+CostEsc)^(CEILING(Q39,BattLife)-1)/BattLife,0)</f>
        <v>26270.1889104587</v>
      </c>
      <c r="R104" s="95" t="n">
        <f aca="false">IF(AND(UseMRA=1,R41=1,CEILING(R39,BattLife)&lt;Life),BESS_kWh*C_BattRepl*LevCapex*$B$7*(1+CostEsc)^(CEILING(R39,BattLife)-1)/BattLife,0)</f>
        <v>26270.1889104587</v>
      </c>
      <c r="S104" s="95" t="n">
        <f aca="false">IF(AND(UseMRA=1,S41=1,CEILING(S39,BattLife)&lt;Life),BESS_kWh*C_BattRepl*LevCapex*$B$7*(1+CostEsc)^(CEILING(S39,BattLife)-1)/BattLife,0)</f>
        <v>26270.1889104587</v>
      </c>
      <c r="T104" s="95" t="n">
        <f aca="false">IF(AND(UseMRA=1,T41=1,CEILING(T39,BattLife)&lt;Life),BESS_kWh*C_BattRepl*LevCapex*$B$7*(1+CostEsc)^(CEILING(T39,BattLife)-1)/BattLife,0)</f>
        <v>0</v>
      </c>
      <c r="U104" s="95" t="n">
        <f aca="false">IF(AND(UseMRA=1,U41=1,CEILING(U39,BattLife)&lt;Life),BESS_kWh*C_BattRepl*LevCapex*$B$7*(1+CostEsc)^(CEILING(U39,BattLife)-1)/BattLife,0)</f>
        <v>0</v>
      </c>
      <c r="V104" s="95" t="n">
        <f aca="false">IF(AND(UseMRA=1,V41=1,CEILING(V39,BattLife)&lt;Life),BESS_kWh*C_BattRepl*LevCapex*$B$7*(1+CostEsc)^(CEILING(V39,BattLife)-1)/BattLife,0)</f>
        <v>0</v>
      </c>
      <c r="W104" s="95" t="n">
        <f aca="false">IF(AND(UseMRA=1,W41=1,CEILING(W39,BattLife)&lt;Life),BESS_kWh*C_BattRepl*LevCapex*$B$7*(1+CostEsc)^(CEILING(W39,BattLife)-1)/BattLife,0)</f>
        <v>0</v>
      </c>
    </row>
    <row r="105" customFormat="false" ht="15" hidden="false" customHeight="false" outlineLevel="0" collapsed="false">
      <c r="A105" s="11" t="s">
        <v>449</v>
      </c>
      <c r="B105" s="66" t="n">
        <f aca="false">SUM(C105:W105)</f>
        <v>376064.948988371</v>
      </c>
      <c r="C105" s="95" t="n">
        <v>0</v>
      </c>
      <c r="D105" s="95" t="n">
        <f aca="false">IF(UseMRA=1,D104,D103)</f>
        <v>20737.9297130877</v>
      </c>
      <c r="E105" s="95" t="n">
        <f aca="false">IF(UseMRA=1,E104,E103)</f>
        <v>20737.9297130877</v>
      </c>
      <c r="F105" s="95" t="n">
        <f aca="false">IF(UseMRA=1,F104,F103)</f>
        <v>20737.9297130877</v>
      </c>
      <c r="G105" s="95" t="n">
        <f aca="false">IF(UseMRA=1,G104,G103)</f>
        <v>20737.9297130877</v>
      </c>
      <c r="H105" s="95" t="n">
        <f aca="false">IF(UseMRA=1,H104,H103)</f>
        <v>20737.9297130877</v>
      </c>
      <c r="I105" s="95" t="n">
        <f aca="false">IF(UseMRA=1,I104,I103)</f>
        <v>20737.9297130877</v>
      </c>
      <c r="J105" s="95" t="n">
        <f aca="false">IF(UseMRA=1,J104,J103)</f>
        <v>20737.9297130877</v>
      </c>
      <c r="K105" s="95" t="n">
        <f aca="false">IF(UseMRA=1,K104,K103)</f>
        <v>20737.9297130877</v>
      </c>
      <c r="L105" s="95" t="n">
        <f aca="false">IF(UseMRA=1,L104,L103)</f>
        <v>26270.1889104587</v>
      </c>
      <c r="M105" s="95" t="n">
        <f aca="false">IF(UseMRA=1,M104,M103)</f>
        <v>26270.1889104587</v>
      </c>
      <c r="N105" s="95" t="n">
        <f aca="false">IF(UseMRA=1,N104,N103)</f>
        <v>26270.1889104587</v>
      </c>
      <c r="O105" s="95" t="n">
        <f aca="false">IF(UseMRA=1,O104,O103)</f>
        <v>26270.1889104587</v>
      </c>
      <c r="P105" s="95" t="n">
        <f aca="false">IF(UseMRA=1,P104,P103)</f>
        <v>26270.1889104587</v>
      </c>
      <c r="Q105" s="95" t="n">
        <f aca="false">IF(UseMRA=1,Q104,Q103)</f>
        <v>26270.1889104587</v>
      </c>
      <c r="R105" s="95" t="n">
        <f aca="false">IF(UseMRA=1,R104,R103)</f>
        <v>26270.1889104587</v>
      </c>
      <c r="S105" s="95" t="n">
        <f aca="false">IF(UseMRA=1,S104,S103)</f>
        <v>26270.1889104587</v>
      </c>
      <c r="T105" s="95" t="n">
        <f aca="false">IF(UseMRA=1,T104,T103)</f>
        <v>0</v>
      </c>
      <c r="U105" s="95" t="n">
        <f aca="false">IF(UseMRA=1,U104,U103)</f>
        <v>0</v>
      </c>
      <c r="V105" s="95" t="n">
        <f aca="false">IF(UseMRA=1,V104,V103)</f>
        <v>0</v>
      </c>
      <c r="W105" s="95" t="n">
        <f aca="false">IF(UseMRA=1,W104,W103)</f>
        <v>0</v>
      </c>
    </row>
    <row r="106" customFormat="false" ht="15" hidden="false" customHeight="false" outlineLevel="0" collapsed="false">
      <c r="A106" s="11" t="s">
        <v>175</v>
      </c>
      <c r="B106" s="66" t="n">
        <f aca="false">SUM(C106:W106)</f>
        <v>600000</v>
      </c>
      <c r="C106" s="95" t="n">
        <f aca="false">Grant</f>
        <v>600000</v>
      </c>
      <c r="D106" s="95" t="n">
        <f aca="false">0</f>
        <v>0</v>
      </c>
      <c r="E106" s="95" t="n">
        <f aca="false">0</f>
        <v>0</v>
      </c>
      <c r="F106" s="95" t="n">
        <f aca="false">0</f>
        <v>0</v>
      </c>
      <c r="G106" s="95" t="n">
        <f aca="false">0</f>
        <v>0</v>
      </c>
      <c r="H106" s="95" t="n">
        <f aca="false">0</f>
        <v>0</v>
      </c>
      <c r="I106" s="95" t="n">
        <f aca="false">0</f>
        <v>0</v>
      </c>
      <c r="J106" s="95" t="n">
        <f aca="false">0</f>
        <v>0</v>
      </c>
      <c r="K106" s="95" t="n">
        <f aca="false">0</f>
        <v>0</v>
      </c>
      <c r="L106" s="95" t="n">
        <f aca="false">0</f>
        <v>0</v>
      </c>
      <c r="M106" s="95" t="n">
        <f aca="false">0</f>
        <v>0</v>
      </c>
      <c r="N106" s="95" t="n">
        <f aca="false">0</f>
        <v>0</v>
      </c>
      <c r="O106" s="95" t="n">
        <f aca="false">0</f>
        <v>0</v>
      </c>
      <c r="P106" s="95" t="n">
        <f aca="false">0</f>
        <v>0</v>
      </c>
      <c r="Q106" s="95" t="n">
        <f aca="false">0</f>
        <v>0</v>
      </c>
      <c r="R106" s="95" t="n">
        <f aca="false">0</f>
        <v>0</v>
      </c>
      <c r="S106" s="95" t="n">
        <f aca="false">0</f>
        <v>0</v>
      </c>
      <c r="T106" s="95" t="n">
        <f aca="false">0</f>
        <v>0</v>
      </c>
      <c r="U106" s="95" t="n">
        <f aca="false">0</f>
        <v>0</v>
      </c>
      <c r="V106" s="95" t="n">
        <f aca="false">0</f>
        <v>0</v>
      </c>
      <c r="W106" s="95" t="n">
        <f aca="false">0</f>
        <v>0</v>
      </c>
    </row>
    <row r="107" customFormat="false" ht="15" hidden="false" customHeight="false" outlineLevel="0" collapsed="false">
      <c r="A107" s="11" t="s">
        <v>450</v>
      </c>
      <c r="B107" s="66" t="n">
        <f aca="false">SUM(C107:W107)</f>
        <v>252000</v>
      </c>
      <c r="C107" s="95" t="n">
        <v>0</v>
      </c>
      <c r="D107" s="95" t="n">
        <f aca="false">D54*Seg1_RBF+D55*Seg2_RBF+D56*Seg3_RBF+D57*Seg4_RBF+D58*Seg5_RBF</f>
        <v>151200</v>
      </c>
      <c r="E107" s="95" t="n">
        <f aca="false">E54*Seg1_RBF+E55*Seg2_RBF+E56*Seg3_RBF+E57*Seg4_RBF+E58*Seg5_RBF</f>
        <v>63000</v>
      </c>
      <c r="F107" s="95" t="n">
        <f aca="false">F54*Seg1_RBF+F55*Seg2_RBF+F56*Seg3_RBF+F57*Seg4_RBF+F58*Seg5_RBF</f>
        <v>37800</v>
      </c>
      <c r="G107" s="95" t="n">
        <f aca="false">G54*Seg1_RBF+G55*Seg2_RBF+G56*Seg3_RBF+G57*Seg4_RBF+G58*Seg5_RBF</f>
        <v>0</v>
      </c>
      <c r="H107" s="95" t="n">
        <f aca="false">H54*Seg1_RBF+H55*Seg2_RBF+H56*Seg3_RBF+H57*Seg4_RBF+H58*Seg5_RBF</f>
        <v>0</v>
      </c>
      <c r="I107" s="95" t="n">
        <f aca="false">I54*Seg1_RBF+I55*Seg2_RBF+I56*Seg3_RBF+I57*Seg4_RBF+I58*Seg5_RBF</f>
        <v>0</v>
      </c>
      <c r="J107" s="95" t="n">
        <f aca="false">J54*Seg1_RBF+J55*Seg2_RBF+J56*Seg3_RBF+J57*Seg4_RBF+J58*Seg5_RBF</f>
        <v>0</v>
      </c>
      <c r="K107" s="95" t="n">
        <f aca="false">K54*Seg1_RBF+K55*Seg2_RBF+K56*Seg3_RBF+K57*Seg4_RBF+K58*Seg5_RBF</f>
        <v>0</v>
      </c>
      <c r="L107" s="95" t="n">
        <f aca="false">L54*Seg1_RBF+L55*Seg2_RBF+L56*Seg3_RBF+L57*Seg4_RBF+L58*Seg5_RBF</f>
        <v>0</v>
      </c>
      <c r="M107" s="95" t="n">
        <f aca="false">M54*Seg1_RBF+M55*Seg2_RBF+M56*Seg3_RBF+M57*Seg4_RBF+M58*Seg5_RBF</f>
        <v>0</v>
      </c>
      <c r="N107" s="95" t="n">
        <f aca="false">N54*Seg1_RBF+N55*Seg2_RBF+N56*Seg3_RBF+N57*Seg4_RBF+N58*Seg5_RBF</f>
        <v>0</v>
      </c>
      <c r="O107" s="95" t="n">
        <f aca="false">O54*Seg1_RBF+O55*Seg2_RBF+O56*Seg3_RBF+O57*Seg4_RBF+O58*Seg5_RBF</f>
        <v>0</v>
      </c>
      <c r="P107" s="95" t="n">
        <f aca="false">P54*Seg1_RBF+P55*Seg2_RBF+P56*Seg3_RBF+P57*Seg4_RBF+P58*Seg5_RBF</f>
        <v>0</v>
      </c>
      <c r="Q107" s="95" t="n">
        <f aca="false">Q54*Seg1_RBF+Q55*Seg2_RBF+Q56*Seg3_RBF+Q57*Seg4_RBF+Q58*Seg5_RBF</f>
        <v>0</v>
      </c>
      <c r="R107" s="95" t="n">
        <f aca="false">R54*Seg1_RBF+R55*Seg2_RBF+R56*Seg3_RBF+R57*Seg4_RBF+R58*Seg5_RBF</f>
        <v>0</v>
      </c>
      <c r="S107" s="95" t="n">
        <f aca="false">S54*Seg1_RBF+S55*Seg2_RBF+S56*Seg3_RBF+S57*Seg4_RBF+S58*Seg5_RBF</f>
        <v>0</v>
      </c>
      <c r="T107" s="95" t="n">
        <f aca="false">T54*Seg1_RBF+T55*Seg2_RBF+T56*Seg3_RBF+T57*Seg4_RBF+T58*Seg5_RBF</f>
        <v>0</v>
      </c>
      <c r="U107" s="95" t="n">
        <f aca="false">U54*Seg1_RBF+U55*Seg2_RBF+U56*Seg3_RBF+U57*Seg4_RBF+U58*Seg5_RBF</f>
        <v>0</v>
      </c>
      <c r="V107" s="95" t="n">
        <f aca="false">V54*Seg1_RBF+V55*Seg2_RBF+V56*Seg3_RBF+V57*Seg4_RBF+V58*Seg5_RBF</f>
        <v>0</v>
      </c>
      <c r="W107" s="95" t="n">
        <f aca="false">W54*Seg1_RBF+W55*Seg2_RBF+W56*Seg3_RBF+W57*Seg4_RBF+W58*Seg5_RBF</f>
        <v>0</v>
      </c>
    </row>
    <row r="108" customFormat="false" ht="15" hidden="false" customHeight="false" outlineLevel="0" collapsed="false">
      <c r="A108" s="11" t="s">
        <v>451</v>
      </c>
      <c r="B108" s="66" t="n">
        <f aca="false">SUM(C108:W108)</f>
        <v>252000</v>
      </c>
      <c r="C108" s="95" t="n">
        <v>0</v>
      </c>
      <c r="D108" s="95" t="n">
        <f aca="false">IF(D39-RBFLag&gt;=1,INDEX($C$107:$W$107,1,D39-RBFLag+1),0)</f>
        <v>151200</v>
      </c>
      <c r="E108" s="95" t="n">
        <f aca="false">IF(E39-RBFLag&gt;=1,INDEX($C$107:$W$107,1,E39-RBFLag+1),0)</f>
        <v>63000</v>
      </c>
      <c r="F108" s="95" t="n">
        <f aca="false">IF(F39-RBFLag&gt;=1,INDEX($C$107:$W$107,1,F39-RBFLag+1),0)</f>
        <v>37800</v>
      </c>
      <c r="G108" s="95" t="n">
        <f aca="false">IF(G39-RBFLag&gt;=1,INDEX($C$107:$W$107,1,G39-RBFLag+1),0)</f>
        <v>0</v>
      </c>
      <c r="H108" s="95" t="n">
        <f aca="false">IF(H39-RBFLag&gt;=1,INDEX($C$107:$W$107,1,H39-RBFLag+1),0)</f>
        <v>0</v>
      </c>
      <c r="I108" s="95" t="n">
        <f aca="false">IF(I39-RBFLag&gt;=1,INDEX($C$107:$W$107,1,I39-RBFLag+1),0)</f>
        <v>0</v>
      </c>
      <c r="J108" s="95" t="n">
        <f aca="false">IF(J39-RBFLag&gt;=1,INDEX($C$107:$W$107,1,J39-RBFLag+1),0)</f>
        <v>0</v>
      </c>
      <c r="K108" s="95" t="n">
        <f aca="false">IF(K39-RBFLag&gt;=1,INDEX($C$107:$W$107,1,K39-RBFLag+1),0)</f>
        <v>0</v>
      </c>
      <c r="L108" s="95" t="n">
        <f aca="false">IF(L39-RBFLag&gt;=1,INDEX($C$107:$W$107,1,L39-RBFLag+1),0)</f>
        <v>0</v>
      </c>
      <c r="M108" s="95" t="n">
        <f aca="false">IF(M39-RBFLag&gt;=1,INDEX($C$107:$W$107,1,M39-RBFLag+1),0)</f>
        <v>0</v>
      </c>
      <c r="N108" s="95" t="n">
        <f aca="false">IF(N39-RBFLag&gt;=1,INDEX($C$107:$W$107,1,N39-RBFLag+1),0)</f>
        <v>0</v>
      </c>
      <c r="O108" s="95" t="n">
        <f aca="false">IF(O39-RBFLag&gt;=1,INDEX($C$107:$W$107,1,O39-RBFLag+1),0)</f>
        <v>0</v>
      </c>
      <c r="P108" s="95" t="n">
        <f aca="false">IF(P39-RBFLag&gt;=1,INDEX($C$107:$W$107,1,P39-RBFLag+1),0)</f>
        <v>0</v>
      </c>
      <c r="Q108" s="95" t="n">
        <f aca="false">IF(Q39-RBFLag&gt;=1,INDEX($C$107:$W$107,1,Q39-RBFLag+1),0)</f>
        <v>0</v>
      </c>
      <c r="R108" s="95" t="n">
        <f aca="false">IF(R39-RBFLag&gt;=1,INDEX($C$107:$W$107,1,R39-RBFLag+1),0)</f>
        <v>0</v>
      </c>
      <c r="S108" s="95" t="n">
        <f aca="false">IF(S39-RBFLag&gt;=1,INDEX($C$107:$W$107,1,S39-RBFLag+1),0)</f>
        <v>0</v>
      </c>
      <c r="T108" s="95" t="n">
        <f aca="false">IF(T39-RBFLag&gt;=1,INDEX($C$107:$W$107,1,T39-RBFLag+1),0)</f>
        <v>0</v>
      </c>
      <c r="U108" s="95" t="n">
        <f aca="false">IF(U39-RBFLag&gt;=1,INDEX($C$107:$W$107,1,U39-RBFLag+1),0)</f>
        <v>0</v>
      </c>
      <c r="V108" s="95" t="n">
        <f aca="false">IF(V39-RBFLag&gt;=1,INDEX($C$107:$W$107,1,V39-RBFLag+1),0)</f>
        <v>0</v>
      </c>
      <c r="W108" s="95" t="n">
        <f aca="false">IF(W39-RBFLag&gt;=1,INDEX($C$107:$W$107,1,W39-RBFLag+1),0)</f>
        <v>0</v>
      </c>
    </row>
    <row r="109" customFormat="false" ht="15" hidden="false" customHeight="false" outlineLevel="0" collapsed="false">
      <c r="A109" s="11" t="s">
        <v>452</v>
      </c>
      <c r="B109" s="76" t="n">
        <f aca="false">SUM(C109:W109)</f>
        <v>970</v>
      </c>
      <c r="C109" s="93" t="n">
        <v>0</v>
      </c>
      <c r="D109" s="93" t="n">
        <f aca="false">IF(D39-RBFLag&gt;=1,INDEX($C$59:$W$59,1,D39-RBFLag+1),0)</f>
        <v>582</v>
      </c>
      <c r="E109" s="93" t="n">
        <f aca="false">IF(E39-RBFLag&gt;=1,INDEX($C$59:$W$59,1,E39-RBFLag+1),0)</f>
        <v>242.5</v>
      </c>
      <c r="F109" s="93" t="n">
        <f aca="false">IF(F39-RBFLag&gt;=1,INDEX($C$59:$W$59,1,F39-RBFLag+1),0)</f>
        <v>145.5</v>
      </c>
      <c r="G109" s="93" t="n">
        <f aca="false">IF(G39-RBFLag&gt;=1,INDEX($C$59:$W$59,1,G39-RBFLag+1),0)</f>
        <v>0</v>
      </c>
      <c r="H109" s="93" t="n">
        <f aca="false">IF(H39-RBFLag&gt;=1,INDEX($C$59:$W$59,1,H39-RBFLag+1),0)</f>
        <v>0</v>
      </c>
      <c r="I109" s="93" t="n">
        <f aca="false">IF(I39-RBFLag&gt;=1,INDEX($C$59:$W$59,1,I39-RBFLag+1),0)</f>
        <v>0</v>
      </c>
      <c r="J109" s="93" t="n">
        <f aca="false">IF(J39-RBFLag&gt;=1,INDEX($C$59:$W$59,1,J39-RBFLag+1),0)</f>
        <v>0</v>
      </c>
      <c r="K109" s="93" t="n">
        <f aca="false">IF(K39-RBFLag&gt;=1,INDEX($C$59:$W$59,1,K39-RBFLag+1),0)</f>
        <v>0</v>
      </c>
      <c r="L109" s="93" t="n">
        <f aca="false">IF(L39-RBFLag&gt;=1,INDEX($C$59:$W$59,1,L39-RBFLag+1),0)</f>
        <v>0</v>
      </c>
      <c r="M109" s="93" t="n">
        <f aca="false">IF(M39-RBFLag&gt;=1,INDEX($C$59:$W$59,1,M39-RBFLag+1),0)</f>
        <v>0</v>
      </c>
      <c r="N109" s="93" t="n">
        <f aca="false">IF(N39-RBFLag&gt;=1,INDEX($C$59:$W$59,1,N39-RBFLag+1),0)</f>
        <v>0</v>
      </c>
      <c r="O109" s="93" t="n">
        <f aca="false">IF(O39-RBFLag&gt;=1,INDEX($C$59:$W$59,1,O39-RBFLag+1),0)</f>
        <v>0</v>
      </c>
      <c r="P109" s="93" t="n">
        <f aca="false">IF(P39-RBFLag&gt;=1,INDEX($C$59:$W$59,1,P39-RBFLag+1),0)</f>
        <v>0</v>
      </c>
      <c r="Q109" s="93" t="n">
        <f aca="false">IF(Q39-RBFLag&gt;=1,INDEX($C$59:$W$59,1,Q39-RBFLag+1),0)</f>
        <v>0</v>
      </c>
      <c r="R109" s="93" t="n">
        <f aca="false">IF(R39-RBFLag&gt;=1,INDEX($C$59:$W$59,1,R39-RBFLag+1),0)</f>
        <v>0</v>
      </c>
      <c r="S109" s="93" t="n">
        <f aca="false">IF(S39-RBFLag&gt;=1,INDEX($C$59:$W$59,1,S39-RBFLag+1),0)</f>
        <v>0</v>
      </c>
      <c r="T109" s="93" t="n">
        <f aca="false">IF(T39-RBFLag&gt;=1,INDEX($C$59:$W$59,1,T39-RBFLag+1),0)</f>
        <v>0</v>
      </c>
      <c r="U109" s="93" t="n">
        <f aca="false">IF(U39-RBFLag&gt;=1,INDEX($C$59:$W$59,1,U39-RBFLag+1),0)</f>
        <v>0</v>
      </c>
      <c r="V109" s="93" t="n">
        <f aca="false">IF(V39-RBFLag&gt;=1,INDEX($C$59:$W$59,1,V39-RBFLag+1),0)</f>
        <v>0</v>
      </c>
      <c r="W109" s="93" t="n">
        <f aca="false">IF(W39-RBFLag&gt;=1,INDEX($C$59:$W$59,1,W39-RBFLag+1),0)</f>
        <v>0</v>
      </c>
    </row>
    <row r="111" customFormat="false" ht="15" hidden="false" customHeight="false" outlineLevel="0" collapsed="false">
      <c r="A111" s="9" t="s">
        <v>453</v>
      </c>
      <c r="B111" s="10"/>
      <c r="C111" s="10"/>
      <c r="D111" s="10"/>
      <c r="E111" s="10"/>
      <c r="F111" s="10"/>
      <c r="G111" s="10"/>
      <c r="H111" s="10"/>
      <c r="I111" s="10"/>
      <c r="J111" s="10"/>
      <c r="K111" s="10"/>
      <c r="L111" s="10"/>
      <c r="M111" s="10"/>
      <c r="N111" s="10"/>
      <c r="O111" s="10"/>
      <c r="P111" s="10"/>
      <c r="Q111" s="10"/>
      <c r="R111" s="10"/>
      <c r="S111" s="10"/>
      <c r="T111" s="10"/>
      <c r="U111" s="10"/>
      <c r="V111" s="10"/>
      <c r="W111" s="10"/>
    </row>
    <row r="112" customFormat="false" ht="15" hidden="false" customHeight="false" outlineLevel="0" collapsed="false">
      <c r="A112" s="11" t="s">
        <v>454</v>
      </c>
      <c r="C112" s="95" t="n">
        <v>0</v>
      </c>
      <c r="D112" s="95" t="n">
        <f aca="false">C116</f>
        <v>112546.829385741</v>
      </c>
      <c r="E112" s="95" t="n">
        <f aca="false">D116</f>
        <v>112546.829385741</v>
      </c>
      <c r="F112" s="95" t="n">
        <f aca="false">E116</f>
        <v>112546.829385741</v>
      </c>
      <c r="G112" s="95" t="n">
        <f aca="false">F116</f>
        <v>102705.282458945</v>
      </c>
      <c r="H112" s="95" t="n">
        <f aca="false">G116</f>
        <v>91879.5808394692</v>
      </c>
      <c r="I112" s="95" t="n">
        <f aca="false">H116</f>
        <v>79971.3090580457</v>
      </c>
      <c r="J112" s="95" t="n">
        <f aca="false">I116</f>
        <v>66872.2100984798</v>
      </c>
      <c r="K112" s="95" t="n">
        <f aca="false">J116</f>
        <v>52463.2012429573</v>
      </c>
      <c r="L112" s="95" t="n">
        <f aca="false">K116</f>
        <v>36613.2915018826</v>
      </c>
      <c r="M112" s="95" t="n">
        <f aca="false">L116</f>
        <v>19178.3907867004</v>
      </c>
      <c r="N112" s="95" t="n">
        <f aca="false">M116</f>
        <v>0</v>
      </c>
      <c r="O112" s="95" t="n">
        <f aca="false">N116</f>
        <v>0</v>
      </c>
      <c r="P112" s="95" t="n">
        <f aca="false">O116</f>
        <v>0</v>
      </c>
      <c r="Q112" s="95" t="n">
        <f aca="false">P116</f>
        <v>0</v>
      </c>
      <c r="R112" s="95" t="n">
        <f aca="false">Q116</f>
        <v>0</v>
      </c>
      <c r="S112" s="95" t="n">
        <f aca="false">R116</f>
        <v>0</v>
      </c>
      <c r="T112" s="95" t="n">
        <f aca="false">S116</f>
        <v>0</v>
      </c>
      <c r="U112" s="95" t="n">
        <f aca="false">T116</f>
        <v>0</v>
      </c>
      <c r="V112" s="95" t="n">
        <f aca="false">U116</f>
        <v>0</v>
      </c>
      <c r="W112" s="95" t="n">
        <f aca="false">V116</f>
        <v>0</v>
      </c>
    </row>
    <row r="113" customFormat="false" ht="15" hidden="false" customHeight="false" outlineLevel="0" collapsed="false">
      <c r="A113" s="11" t="s">
        <v>455</v>
      </c>
      <c r="B113" s="66" t="n">
        <f aca="false">SUM(C113:W113)</f>
        <v>112546.829385741</v>
      </c>
      <c r="C113" s="95" t="n">
        <f aca="false">S_Coll_Hi!$B$16</f>
        <v>112546.829385741</v>
      </c>
      <c r="D113" s="95" t="n">
        <f aca="false">0</f>
        <v>0</v>
      </c>
      <c r="E113" s="95" t="n">
        <f aca="false">0</f>
        <v>0</v>
      </c>
      <c r="F113" s="95" t="n">
        <f aca="false">0</f>
        <v>0</v>
      </c>
      <c r="G113" s="95" t="n">
        <f aca="false">0</f>
        <v>0</v>
      </c>
      <c r="H113" s="95" t="n">
        <f aca="false">0</f>
        <v>0</v>
      </c>
      <c r="I113" s="95" t="n">
        <f aca="false">0</f>
        <v>0</v>
      </c>
      <c r="J113" s="95" t="n">
        <f aca="false">0</f>
        <v>0</v>
      </c>
      <c r="K113" s="95" t="n">
        <f aca="false">0</f>
        <v>0</v>
      </c>
      <c r="L113" s="95" t="n">
        <f aca="false">0</f>
        <v>0</v>
      </c>
      <c r="M113" s="95" t="n">
        <f aca="false">0</f>
        <v>0</v>
      </c>
      <c r="N113" s="95" t="n">
        <f aca="false">0</f>
        <v>0</v>
      </c>
      <c r="O113" s="95" t="n">
        <f aca="false">0</f>
        <v>0</v>
      </c>
      <c r="P113" s="95" t="n">
        <f aca="false">0</f>
        <v>0</v>
      </c>
      <c r="Q113" s="95" t="n">
        <f aca="false">0</f>
        <v>0</v>
      </c>
      <c r="R113" s="95" t="n">
        <f aca="false">0</f>
        <v>0</v>
      </c>
      <c r="S113" s="95" t="n">
        <f aca="false">0</f>
        <v>0</v>
      </c>
      <c r="T113" s="95" t="n">
        <f aca="false">0</f>
        <v>0</v>
      </c>
      <c r="U113" s="95" t="n">
        <f aca="false">0</f>
        <v>0</v>
      </c>
      <c r="V113" s="95" t="n">
        <f aca="false">0</f>
        <v>0</v>
      </c>
      <c r="W113" s="95" t="n">
        <f aca="false">0</f>
        <v>0</v>
      </c>
    </row>
    <row r="114" customFormat="false" ht="15" hidden="false" customHeight="false" outlineLevel="0" collapsed="false">
      <c r="A114" s="11" t="s">
        <v>456</v>
      </c>
      <c r="B114" s="66" t="n">
        <f aca="false">SUM(C114:W114)</f>
        <v>78732.3754143705</v>
      </c>
      <c r="C114" s="95" t="n">
        <v>0</v>
      </c>
      <c r="D114" s="95" t="n">
        <f aca="false">D112*SenRate*$B$11</f>
        <v>11254.6829385742</v>
      </c>
      <c r="E114" s="95" t="n">
        <f aca="false">E112*SenRate*$B$11</f>
        <v>11254.6829385742</v>
      </c>
      <c r="F114" s="95" t="n">
        <f aca="false">F112*SenRate*$B$11</f>
        <v>11254.6829385742</v>
      </c>
      <c r="G114" s="95" t="n">
        <f aca="false">G112*SenRate*$B$11</f>
        <v>10270.5282458945</v>
      </c>
      <c r="H114" s="95" t="n">
        <f aca="false">H112*SenRate*$B$11</f>
        <v>9187.95808394693</v>
      </c>
      <c r="I114" s="95" t="n">
        <f aca="false">I112*SenRate*$B$11</f>
        <v>7997.13090580457</v>
      </c>
      <c r="J114" s="95" t="n">
        <f aca="false">J112*SenRate*$B$11</f>
        <v>6687.22100984798</v>
      </c>
      <c r="K114" s="95" t="n">
        <f aca="false">K112*SenRate*$B$11</f>
        <v>5246.32012429573</v>
      </c>
      <c r="L114" s="95" t="n">
        <f aca="false">L112*SenRate*$B$11</f>
        <v>3661.32915018826</v>
      </c>
      <c r="M114" s="95" t="n">
        <f aca="false">M112*SenRate*$B$11</f>
        <v>1917.83907867004</v>
      </c>
      <c r="N114" s="95" t="n">
        <f aca="false">N112*SenRate*$B$11</f>
        <v>0</v>
      </c>
      <c r="O114" s="95" t="n">
        <f aca="false">O112*SenRate*$B$11</f>
        <v>0</v>
      </c>
      <c r="P114" s="95" t="n">
        <f aca="false">P112*SenRate*$B$11</f>
        <v>0</v>
      </c>
      <c r="Q114" s="95" t="n">
        <f aca="false">Q112*SenRate*$B$11</f>
        <v>0</v>
      </c>
      <c r="R114" s="95" t="n">
        <f aca="false">R112*SenRate*$B$11</f>
        <v>0</v>
      </c>
      <c r="S114" s="95" t="n">
        <f aca="false">S112*SenRate*$B$11</f>
        <v>0</v>
      </c>
      <c r="T114" s="95" t="n">
        <f aca="false">T112*SenRate*$B$11</f>
        <v>0</v>
      </c>
      <c r="U114" s="95" t="n">
        <f aca="false">U112*SenRate*$B$11</f>
        <v>0</v>
      </c>
      <c r="V114" s="95" t="n">
        <f aca="false">V112*SenRate*$B$11</f>
        <v>0</v>
      </c>
      <c r="W114" s="95" t="n">
        <f aca="false">W112*SenRate*$B$11</f>
        <v>0</v>
      </c>
    </row>
    <row r="115" customFormat="false" ht="15" hidden="false" customHeight="false" outlineLevel="0" collapsed="false">
      <c r="A115" s="11" t="s">
        <v>457</v>
      </c>
      <c r="B115" s="66" t="n">
        <f aca="false">SUM(C115:W115)</f>
        <v>112546.829385742</v>
      </c>
      <c r="C115" s="95" t="n">
        <v>0</v>
      </c>
      <c r="D115" s="95" t="n">
        <f aca="false">IF(AND(D39&gt;SenGrace,D39&lt;=SenTenor),PMT(SenRate*$B$11,SenTenor-SenGrace,-S_Coll_Hi!$B$16)-D114,0)</f>
        <v>0</v>
      </c>
      <c r="E115" s="95" t="n">
        <f aca="false">IF(AND(E39&gt;SenGrace,E39&lt;=SenTenor),PMT(SenRate*$B$11,SenTenor-SenGrace,-S_Coll_Hi!$B$16)-E114,0)</f>
        <v>0</v>
      </c>
      <c r="F115" s="95" t="n">
        <f aca="false">IF(AND(F39&gt;SenGrace,F39&lt;=SenTenor),PMT(SenRate*$B$11,SenTenor-SenGrace,-S_Coll_Hi!$B$16)-F114,0)</f>
        <v>9841.54692679631</v>
      </c>
      <c r="G115" s="95" t="n">
        <f aca="false">IF(AND(G39&gt;SenGrace,G39&lt;=SenTenor),PMT(SenRate*$B$11,SenTenor-SenGrace,-S_Coll_Hi!$B$16)-G114,0)</f>
        <v>10825.7016194759</v>
      </c>
      <c r="H115" s="95" t="n">
        <f aca="false">IF(AND(H39&gt;SenGrace,H39&lt;=SenTenor),PMT(SenRate*$B$11,SenTenor-SenGrace,-S_Coll_Hi!$B$16)-H114,0)</f>
        <v>11908.2717814235</v>
      </c>
      <c r="I115" s="95" t="n">
        <f aca="false">IF(AND(I39&gt;SenGrace,I39&lt;=SenTenor),PMT(SenRate*$B$11,SenTenor-SenGrace,-S_Coll_Hi!$B$16)-I114,0)</f>
        <v>13099.0989595659</v>
      </c>
      <c r="J115" s="95" t="n">
        <f aca="false">IF(AND(J39&gt;SenGrace,J39&lt;=SenTenor),PMT(SenRate*$B$11,SenTenor-SenGrace,-S_Coll_Hi!$B$16)-J114,0)</f>
        <v>14409.0088555225</v>
      </c>
      <c r="K115" s="95" t="n">
        <f aca="false">IF(AND(K39&gt;SenGrace,K39&lt;=SenTenor),PMT(SenRate*$B$11,SenTenor-SenGrace,-S_Coll_Hi!$B$16)-K114,0)</f>
        <v>15849.9097410747</v>
      </c>
      <c r="L115" s="95" t="n">
        <f aca="false">IF(AND(L39&gt;SenGrace,L39&lt;=SenTenor),PMT(SenRate*$B$11,SenTenor-SenGrace,-S_Coll_Hi!$B$16)-L114,0)</f>
        <v>17434.9007151822</v>
      </c>
      <c r="M115" s="95" t="n">
        <f aca="false">IF(AND(M39&gt;SenGrace,M39&lt;=SenTenor),PMT(SenRate*$B$11,SenTenor-SenGrace,-S_Coll_Hi!$B$16)-M114,0)</f>
        <v>19178.3907867004</v>
      </c>
      <c r="N115" s="95" t="n">
        <f aca="false">IF(AND(N39&gt;SenGrace,N39&lt;=SenTenor),PMT(SenRate*$B$11,SenTenor-SenGrace,-S_Coll_Hi!$B$16)-N114,0)</f>
        <v>0</v>
      </c>
      <c r="O115" s="95" t="n">
        <f aca="false">IF(AND(O39&gt;SenGrace,O39&lt;=SenTenor),PMT(SenRate*$B$11,SenTenor-SenGrace,-S_Coll_Hi!$B$16)-O114,0)</f>
        <v>0</v>
      </c>
      <c r="P115" s="95" t="n">
        <f aca="false">IF(AND(P39&gt;SenGrace,P39&lt;=SenTenor),PMT(SenRate*$B$11,SenTenor-SenGrace,-S_Coll_Hi!$B$16)-P114,0)</f>
        <v>0</v>
      </c>
      <c r="Q115" s="95" t="n">
        <f aca="false">IF(AND(Q39&gt;SenGrace,Q39&lt;=SenTenor),PMT(SenRate*$B$11,SenTenor-SenGrace,-S_Coll_Hi!$B$16)-Q114,0)</f>
        <v>0</v>
      </c>
      <c r="R115" s="95" t="n">
        <f aca="false">IF(AND(R39&gt;SenGrace,R39&lt;=SenTenor),PMT(SenRate*$B$11,SenTenor-SenGrace,-S_Coll_Hi!$B$16)-R114,0)</f>
        <v>0</v>
      </c>
      <c r="S115" s="95" t="n">
        <f aca="false">IF(AND(S39&gt;SenGrace,S39&lt;=SenTenor),PMT(SenRate*$B$11,SenTenor-SenGrace,-S_Coll_Hi!$B$16)-S114,0)</f>
        <v>0</v>
      </c>
      <c r="T115" s="95" t="n">
        <f aca="false">IF(AND(T39&gt;SenGrace,T39&lt;=SenTenor),PMT(SenRate*$B$11,SenTenor-SenGrace,-S_Coll_Hi!$B$16)-T114,0)</f>
        <v>0</v>
      </c>
      <c r="U115" s="95" t="n">
        <f aca="false">IF(AND(U39&gt;SenGrace,U39&lt;=SenTenor),PMT(SenRate*$B$11,SenTenor-SenGrace,-S_Coll_Hi!$B$16)-U114,0)</f>
        <v>0</v>
      </c>
      <c r="V115" s="95" t="n">
        <f aca="false">IF(AND(V39&gt;SenGrace,V39&lt;=SenTenor),PMT(SenRate*$B$11,SenTenor-SenGrace,-S_Coll_Hi!$B$16)-V114,0)</f>
        <v>0</v>
      </c>
      <c r="W115" s="95" t="n">
        <f aca="false">IF(AND(W39&gt;SenGrace,W39&lt;=SenTenor),PMT(SenRate*$B$11,SenTenor-SenGrace,-S_Coll_Hi!$B$16)-W114,0)</f>
        <v>0</v>
      </c>
    </row>
    <row r="116" customFormat="false" ht="15" hidden="false" customHeight="false" outlineLevel="0" collapsed="false">
      <c r="A116" s="11" t="s">
        <v>458</v>
      </c>
      <c r="C116" s="95" t="n">
        <f aca="false">0+C113-0</f>
        <v>112546.829385741</v>
      </c>
      <c r="D116" s="95" t="n">
        <f aca="false">D112+D113-D115</f>
        <v>112546.829385741</v>
      </c>
      <c r="E116" s="95" t="n">
        <f aca="false">E112+E113-E115</f>
        <v>112546.829385741</v>
      </c>
      <c r="F116" s="95" t="n">
        <f aca="false">F112+F113-F115</f>
        <v>102705.282458945</v>
      </c>
      <c r="G116" s="95" t="n">
        <f aca="false">G112+G113-G115</f>
        <v>91879.5808394692</v>
      </c>
      <c r="H116" s="95" t="n">
        <f aca="false">H112+H113-H115</f>
        <v>79971.3090580457</v>
      </c>
      <c r="I116" s="95" t="n">
        <f aca="false">I112+I113-I115</f>
        <v>66872.2100984798</v>
      </c>
      <c r="J116" s="95" t="n">
        <f aca="false">J112+J113-J115</f>
        <v>52463.2012429573</v>
      </c>
      <c r="K116" s="95" t="n">
        <f aca="false">K112+K113-K115</f>
        <v>36613.2915018826</v>
      </c>
      <c r="L116" s="95" t="n">
        <f aca="false">L112+L113-L115</f>
        <v>19178.3907867004</v>
      </c>
      <c r="M116" s="95" t="n">
        <f aca="false">M112+M113-M115</f>
        <v>0</v>
      </c>
      <c r="N116" s="95" t="n">
        <f aca="false">N112+N113-N115</f>
        <v>0</v>
      </c>
      <c r="O116" s="95" t="n">
        <f aca="false">O112+O113-O115</f>
        <v>0</v>
      </c>
      <c r="P116" s="95" t="n">
        <f aca="false">P112+P113-P115</f>
        <v>0</v>
      </c>
      <c r="Q116" s="95" t="n">
        <f aca="false">Q112+Q113-Q115</f>
        <v>0</v>
      </c>
      <c r="R116" s="95" t="n">
        <f aca="false">R112+R113-R115</f>
        <v>0</v>
      </c>
      <c r="S116" s="95" t="n">
        <f aca="false">S112+S113-S115</f>
        <v>0</v>
      </c>
      <c r="T116" s="95" t="n">
        <f aca="false">T112+T113-T115</f>
        <v>0</v>
      </c>
      <c r="U116" s="95" t="n">
        <f aca="false">U112+U113-U115</f>
        <v>0</v>
      </c>
      <c r="V116" s="95" t="n">
        <f aca="false">V112+V113-V115</f>
        <v>0</v>
      </c>
      <c r="W116" s="95" t="n">
        <f aca="false">W112+W113-W115</f>
        <v>0</v>
      </c>
    </row>
    <row r="118" customFormat="false" ht="15" hidden="false" customHeight="false" outlineLevel="0" collapsed="false">
      <c r="A118" s="9" t="s">
        <v>459</v>
      </c>
      <c r="B118" s="10"/>
      <c r="C118" s="10"/>
      <c r="D118" s="10"/>
      <c r="E118" s="10"/>
      <c r="F118" s="10"/>
      <c r="G118" s="10"/>
      <c r="H118" s="10"/>
      <c r="I118" s="10"/>
      <c r="J118" s="10"/>
      <c r="K118" s="10"/>
      <c r="L118" s="10"/>
      <c r="M118" s="10"/>
      <c r="N118" s="10"/>
      <c r="O118" s="10"/>
      <c r="P118" s="10"/>
      <c r="Q118" s="10"/>
      <c r="R118" s="10"/>
      <c r="S118" s="10"/>
      <c r="T118" s="10"/>
      <c r="U118" s="10"/>
      <c r="V118" s="10"/>
      <c r="W118" s="10"/>
    </row>
    <row r="119" customFormat="false" ht="15" hidden="false" customHeight="false" outlineLevel="0" collapsed="false">
      <c r="A119" s="11" t="s">
        <v>454</v>
      </c>
      <c r="C119" s="95" t="n">
        <v>0</v>
      </c>
      <c r="D119" s="95" t="n">
        <f aca="false">C123</f>
        <v>112546.829385741</v>
      </c>
      <c r="E119" s="95" t="n">
        <f aca="false">D123</f>
        <v>112546.829385741</v>
      </c>
      <c r="F119" s="95" t="n">
        <f aca="false">E123</f>
        <v>112546.829385741</v>
      </c>
      <c r="G119" s="95" t="n">
        <f aca="false">F123</f>
        <v>112546.829385741</v>
      </c>
      <c r="H119" s="95" t="n">
        <f aca="false">G123</f>
        <v>112546.829385741</v>
      </c>
      <c r="I119" s="95" t="n">
        <f aca="false">H123</f>
        <v>112546.829385741</v>
      </c>
      <c r="J119" s="95" t="n">
        <f aca="false">I123</f>
        <v>102729.312441619</v>
      </c>
      <c r="K119" s="95" t="n">
        <f aca="false">J123</f>
        <v>92617.2699891724</v>
      </c>
      <c r="L119" s="95" t="n">
        <f aca="false">K123</f>
        <v>82201.8662631527</v>
      </c>
      <c r="M119" s="95" t="n">
        <f aca="false">L123</f>
        <v>71474.0004253523</v>
      </c>
      <c r="N119" s="95" t="n">
        <f aca="false">M123</f>
        <v>60424.2986124179</v>
      </c>
      <c r="O119" s="95" t="n">
        <f aca="false">N123</f>
        <v>49043.1057450955</v>
      </c>
      <c r="P119" s="95" t="n">
        <f aca="false">O123</f>
        <v>37320.4770917535</v>
      </c>
      <c r="Q119" s="95" t="n">
        <f aca="false">P123</f>
        <v>25246.1695788111</v>
      </c>
      <c r="R119" s="95" t="n">
        <f aca="false">Q123</f>
        <v>12809.6328404805</v>
      </c>
      <c r="S119" s="95" t="n">
        <f aca="false">R123</f>
        <v>0</v>
      </c>
      <c r="T119" s="95" t="n">
        <f aca="false">S123</f>
        <v>0</v>
      </c>
      <c r="U119" s="95" t="n">
        <f aca="false">T123</f>
        <v>0</v>
      </c>
      <c r="V119" s="95" t="n">
        <f aca="false">U123</f>
        <v>0</v>
      </c>
      <c r="W119" s="95" t="n">
        <f aca="false">V123</f>
        <v>0</v>
      </c>
    </row>
    <row r="120" customFormat="false" ht="15" hidden="false" customHeight="false" outlineLevel="0" collapsed="false">
      <c r="A120" s="11" t="s">
        <v>455</v>
      </c>
      <c r="B120" s="66" t="n">
        <f aca="false">SUM(C120:W120)</f>
        <v>112546.829385741</v>
      </c>
      <c r="C120" s="95" t="n">
        <f aca="false">S_Coll_Hi!$B$17</f>
        <v>112546.829385741</v>
      </c>
      <c r="D120" s="95" t="n">
        <f aca="false">0</f>
        <v>0</v>
      </c>
      <c r="E120" s="95" t="n">
        <f aca="false">0</f>
        <v>0</v>
      </c>
      <c r="F120" s="95" t="n">
        <f aca="false">0</f>
        <v>0</v>
      </c>
      <c r="G120" s="95" t="n">
        <f aca="false">0</f>
        <v>0</v>
      </c>
      <c r="H120" s="95" t="n">
        <f aca="false">0</f>
        <v>0</v>
      </c>
      <c r="I120" s="95" t="n">
        <f aca="false">0</f>
        <v>0</v>
      </c>
      <c r="J120" s="95" t="n">
        <f aca="false">0</f>
        <v>0</v>
      </c>
      <c r="K120" s="95" t="n">
        <f aca="false">0</f>
        <v>0</v>
      </c>
      <c r="L120" s="95" t="n">
        <f aca="false">0</f>
        <v>0</v>
      </c>
      <c r="M120" s="95" t="n">
        <f aca="false">0</f>
        <v>0</v>
      </c>
      <c r="N120" s="95" t="n">
        <f aca="false">0</f>
        <v>0</v>
      </c>
      <c r="O120" s="95" t="n">
        <f aca="false">0</f>
        <v>0</v>
      </c>
      <c r="P120" s="95" t="n">
        <f aca="false">0</f>
        <v>0</v>
      </c>
      <c r="Q120" s="95" t="n">
        <f aca="false">0</f>
        <v>0</v>
      </c>
      <c r="R120" s="95" t="n">
        <f aca="false">0</f>
        <v>0</v>
      </c>
      <c r="S120" s="95" t="n">
        <f aca="false">0</f>
        <v>0</v>
      </c>
      <c r="T120" s="95" t="n">
        <f aca="false">0</f>
        <v>0</v>
      </c>
      <c r="U120" s="95" t="n">
        <f aca="false">0</f>
        <v>0</v>
      </c>
      <c r="V120" s="95" t="n">
        <f aca="false">0</f>
        <v>0</v>
      </c>
      <c r="W120" s="95" t="n">
        <f aca="false">0</f>
        <v>0</v>
      </c>
    </row>
    <row r="121" customFormat="false" ht="15" hidden="false" customHeight="false" outlineLevel="0" collapsed="false">
      <c r="A121" s="11" t="s">
        <v>456</v>
      </c>
      <c r="B121" s="66" t="n">
        <f aca="false">SUM(C121:W121)</f>
        <v>36274.4132790691</v>
      </c>
      <c r="C121" s="95" t="n">
        <v>0</v>
      </c>
      <c r="D121" s="95" t="n">
        <f aca="false">D119*ConRate*$B$11</f>
        <v>3376.40488157224</v>
      </c>
      <c r="E121" s="95" t="n">
        <f aca="false">E119*ConRate*$B$11</f>
        <v>3376.40488157224</v>
      </c>
      <c r="F121" s="95" t="n">
        <f aca="false">F119*ConRate*$B$11</f>
        <v>3376.40488157224</v>
      </c>
      <c r="G121" s="95" t="n">
        <f aca="false">G119*ConRate*$B$11</f>
        <v>3376.40488157224</v>
      </c>
      <c r="H121" s="95" t="n">
        <f aca="false">H119*ConRate*$B$11</f>
        <v>3376.40488157224</v>
      </c>
      <c r="I121" s="95" t="n">
        <f aca="false">I119*ConRate*$B$11</f>
        <v>3376.40488157224</v>
      </c>
      <c r="J121" s="95" t="n">
        <f aca="false">J119*ConRate*$B$11</f>
        <v>3081.87937324856</v>
      </c>
      <c r="K121" s="95" t="n">
        <f aca="false">K119*ConRate*$B$11</f>
        <v>2778.51809967517</v>
      </c>
      <c r="L121" s="95" t="n">
        <f aca="false">L119*ConRate*$B$11</f>
        <v>2466.05598789458</v>
      </c>
      <c r="M121" s="95" t="n">
        <f aca="false">M119*ConRate*$B$11</f>
        <v>2144.22001276057</v>
      </c>
      <c r="N121" s="95" t="n">
        <f aca="false">N119*ConRate*$B$11</f>
        <v>1812.72895837254</v>
      </c>
      <c r="O121" s="95" t="n">
        <f aca="false">O119*ConRate*$B$11</f>
        <v>1471.29317235287</v>
      </c>
      <c r="P121" s="95" t="n">
        <f aca="false">P119*ConRate*$B$11</f>
        <v>1119.6143127526</v>
      </c>
      <c r="Q121" s="95" t="n">
        <f aca="false">Q119*ConRate*$B$11</f>
        <v>757.385087364333</v>
      </c>
      <c r="R121" s="95" t="n">
        <f aca="false">R119*ConRate*$B$11</f>
        <v>384.288985214415</v>
      </c>
      <c r="S121" s="95" t="n">
        <f aca="false">S119*ConRate*$B$11</f>
        <v>0</v>
      </c>
      <c r="T121" s="95" t="n">
        <f aca="false">T119*ConRate*$B$11</f>
        <v>0</v>
      </c>
      <c r="U121" s="95" t="n">
        <f aca="false">U119*ConRate*$B$11</f>
        <v>0</v>
      </c>
      <c r="V121" s="95" t="n">
        <f aca="false">V119*ConRate*$B$11</f>
        <v>0</v>
      </c>
      <c r="W121" s="95" t="n">
        <f aca="false">W119*ConRate*$B$11</f>
        <v>0</v>
      </c>
    </row>
    <row r="122" customFormat="false" ht="15" hidden="false" customHeight="false" outlineLevel="0" collapsed="false">
      <c r="A122" s="11" t="s">
        <v>457</v>
      </c>
      <c r="B122" s="66" t="n">
        <f aca="false">SUM(C122:W122)</f>
        <v>112546.829385742</v>
      </c>
      <c r="C122" s="95" t="n">
        <v>0</v>
      </c>
      <c r="D122" s="95" t="n">
        <f aca="false">IF(AND(D39&gt;ConGrace,D39&lt;=ConTenor),PMT(ConRate*$B$11,ConTenor-ConGrace,-S_Coll_Hi!$B$17)-D121,0)</f>
        <v>0</v>
      </c>
      <c r="E122" s="95" t="n">
        <f aca="false">IF(AND(E39&gt;ConGrace,E39&lt;=ConTenor),PMT(ConRate*$B$11,ConTenor-ConGrace,-S_Coll_Hi!$B$17)-E121,0)</f>
        <v>0</v>
      </c>
      <c r="F122" s="95" t="n">
        <f aca="false">IF(AND(F39&gt;ConGrace,F39&lt;=ConTenor),PMT(ConRate*$B$11,ConTenor-ConGrace,-S_Coll_Hi!$B$17)-F121,0)</f>
        <v>0</v>
      </c>
      <c r="G122" s="95" t="n">
        <f aca="false">IF(AND(G39&gt;ConGrace,G39&lt;=ConTenor),PMT(ConRate*$B$11,ConTenor-ConGrace,-S_Coll_Hi!$B$17)-G121,0)</f>
        <v>0</v>
      </c>
      <c r="H122" s="95" t="n">
        <f aca="false">IF(AND(H39&gt;ConGrace,H39&lt;=ConTenor),PMT(ConRate*$B$11,ConTenor-ConGrace,-S_Coll_Hi!$B$17)-H121,0)</f>
        <v>0</v>
      </c>
      <c r="I122" s="95" t="n">
        <f aca="false">IF(AND(I39&gt;ConGrace,I39&lt;=ConTenor),PMT(ConRate*$B$11,ConTenor-ConGrace,-S_Coll_Hi!$B$17)-I121,0)</f>
        <v>9817.51694412269</v>
      </c>
      <c r="J122" s="95" t="n">
        <f aca="false">IF(AND(J39&gt;ConGrace,J39&lt;=ConTenor),PMT(ConRate*$B$11,ConTenor-ConGrace,-S_Coll_Hi!$B$17)-J121,0)</f>
        <v>10112.0424524464</v>
      </c>
      <c r="K122" s="95" t="n">
        <f aca="false">IF(AND(K39&gt;ConGrace,K39&lt;=ConTenor),PMT(ConRate*$B$11,ConTenor-ConGrace,-S_Coll_Hi!$B$17)-K121,0)</f>
        <v>10415.4037260198</v>
      </c>
      <c r="L122" s="95" t="n">
        <f aca="false">IF(AND(L39&gt;ConGrace,L39&lt;=ConTenor),PMT(ConRate*$B$11,ConTenor-ConGrace,-S_Coll_Hi!$B$17)-L121,0)</f>
        <v>10727.8658378004</v>
      </c>
      <c r="M122" s="95" t="n">
        <f aca="false">IF(AND(M39&gt;ConGrace,M39&lt;=ConTenor),PMT(ConRate*$B$11,ConTenor-ConGrace,-S_Coll_Hi!$B$17)-M121,0)</f>
        <v>11049.7018129344</v>
      </c>
      <c r="N122" s="95" t="n">
        <f aca="false">IF(AND(N39&gt;ConGrace,N39&lt;=ConTenor),PMT(ConRate*$B$11,ConTenor-ConGrace,-S_Coll_Hi!$B$17)-N121,0)</f>
        <v>11381.1928673224</v>
      </c>
      <c r="O122" s="95" t="n">
        <f aca="false">IF(AND(O39&gt;ConGrace,O39&lt;=ConTenor),PMT(ConRate*$B$11,ConTenor-ConGrace,-S_Coll_Hi!$B$17)-O121,0)</f>
        <v>11722.6286533421</v>
      </c>
      <c r="P122" s="95" t="n">
        <f aca="false">IF(AND(P39&gt;ConGrace,P39&lt;=ConTenor),PMT(ConRate*$B$11,ConTenor-ConGrace,-S_Coll_Hi!$B$17)-P121,0)</f>
        <v>12074.3075129423</v>
      </c>
      <c r="Q122" s="95" t="n">
        <f aca="false">IF(AND(Q39&gt;ConGrace,Q39&lt;=ConTenor),PMT(ConRate*$B$11,ConTenor-ConGrace,-S_Coll_Hi!$B$17)-Q121,0)</f>
        <v>12436.5367383306</v>
      </c>
      <c r="R122" s="95" t="n">
        <f aca="false">IF(AND(R39&gt;ConGrace,R39&lt;=ConTenor),PMT(ConRate*$B$11,ConTenor-ConGrace,-S_Coll_Hi!$B$17)-R121,0)</f>
        <v>12809.6328404805</v>
      </c>
      <c r="S122" s="95" t="n">
        <f aca="false">IF(AND(S39&gt;ConGrace,S39&lt;=ConTenor),PMT(ConRate*$B$11,ConTenor-ConGrace,-S_Coll_Hi!$B$17)-S121,0)</f>
        <v>0</v>
      </c>
      <c r="T122" s="95" t="n">
        <f aca="false">IF(AND(T39&gt;ConGrace,T39&lt;=ConTenor),PMT(ConRate*$B$11,ConTenor-ConGrace,-S_Coll_Hi!$B$17)-T121,0)</f>
        <v>0</v>
      </c>
      <c r="U122" s="95" t="n">
        <f aca="false">IF(AND(U39&gt;ConGrace,U39&lt;=ConTenor),PMT(ConRate*$B$11,ConTenor-ConGrace,-S_Coll_Hi!$B$17)-U121,0)</f>
        <v>0</v>
      </c>
      <c r="V122" s="95" t="n">
        <f aca="false">IF(AND(V39&gt;ConGrace,V39&lt;=ConTenor),PMT(ConRate*$B$11,ConTenor-ConGrace,-S_Coll_Hi!$B$17)-V121,0)</f>
        <v>0</v>
      </c>
      <c r="W122" s="95" t="n">
        <f aca="false">IF(AND(W39&gt;ConGrace,W39&lt;=ConTenor),PMT(ConRate*$B$11,ConTenor-ConGrace,-S_Coll_Hi!$B$17)-W121,0)</f>
        <v>0</v>
      </c>
    </row>
    <row r="123" customFormat="false" ht="15" hidden="false" customHeight="false" outlineLevel="0" collapsed="false">
      <c r="A123" s="11" t="s">
        <v>458</v>
      </c>
      <c r="C123" s="95" t="n">
        <f aca="false">0+C120-0</f>
        <v>112546.829385741</v>
      </c>
      <c r="D123" s="95" t="n">
        <f aca="false">D119+D120-D122</f>
        <v>112546.829385741</v>
      </c>
      <c r="E123" s="95" t="n">
        <f aca="false">E119+E120-E122</f>
        <v>112546.829385741</v>
      </c>
      <c r="F123" s="95" t="n">
        <f aca="false">F119+F120-F122</f>
        <v>112546.829385741</v>
      </c>
      <c r="G123" s="95" t="n">
        <f aca="false">G119+G120-G122</f>
        <v>112546.829385741</v>
      </c>
      <c r="H123" s="95" t="n">
        <f aca="false">H119+H120-H122</f>
        <v>112546.829385741</v>
      </c>
      <c r="I123" s="95" t="n">
        <f aca="false">I119+I120-I122</f>
        <v>102729.312441619</v>
      </c>
      <c r="J123" s="95" t="n">
        <f aca="false">J119+J120-J122</f>
        <v>92617.2699891724</v>
      </c>
      <c r="K123" s="95" t="n">
        <f aca="false">K119+K120-K122</f>
        <v>82201.8662631527</v>
      </c>
      <c r="L123" s="95" t="n">
        <f aca="false">L119+L120-L122</f>
        <v>71474.0004253523</v>
      </c>
      <c r="M123" s="95" t="n">
        <f aca="false">M119+M120-M122</f>
        <v>60424.2986124179</v>
      </c>
      <c r="N123" s="95" t="n">
        <f aca="false">N119+N120-N122</f>
        <v>49043.1057450955</v>
      </c>
      <c r="O123" s="95" t="n">
        <f aca="false">O119+O120-O122</f>
        <v>37320.4770917535</v>
      </c>
      <c r="P123" s="95" t="n">
        <f aca="false">P119+P120-P122</f>
        <v>25246.1695788111</v>
      </c>
      <c r="Q123" s="95" t="n">
        <f aca="false">Q119+Q120-Q122</f>
        <v>12809.6328404805</v>
      </c>
      <c r="R123" s="95" t="n">
        <f aca="false">R119+R120-R122</f>
        <v>0</v>
      </c>
      <c r="S123" s="95" t="n">
        <f aca="false">S119+S120-S122</f>
        <v>0</v>
      </c>
      <c r="T123" s="95" t="n">
        <f aca="false">T119+T120-T122</f>
        <v>0</v>
      </c>
      <c r="U123" s="95" t="n">
        <f aca="false">U119+U120-U122</f>
        <v>0</v>
      </c>
      <c r="V123" s="95" t="n">
        <f aca="false">V119+V120-V122</f>
        <v>0</v>
      </c>
      <c r="W123" s="95" t="n">
        <f aca="false">W119+W120-W122</f>
        <v>0</v>
      </c>
    </row>
    <row r="125" customFormat="false" ht="15" hidden="false" customHeight="false" outlineLevel="0" collapsed="false">
      <c r="A125" s="16" t="s">
        <v>460</v>
      </c>
      <c r="B125" s="66" t="n">
        <f aca="false">SUM(C125:W125)</f>
        <v>340100.447464923</v>
      </c>
      <c r="C125" s="31" t="n">
        <v>0</v>
      </c>
      <c r="D125" s="31" t="n">
        <f aca="false">D114+D115+D121+D122</f>
        <v>14631.0878201464</v>
      </c>
      <c r="E125" s="31" t="n">
        <f aca="false">E114+E115+E121+E122</f>
        <v>14631.0878201464</v>
      </c>
      <c r="F125" s="31" t="n">
        <f aca="false">F114+F115+F121+F122</f>
        <v>24472.6347469427</v>
      </c>
      <c r="G125" s="31" t="n">
        <f aca="false">G114+G115+G121+G122</f>
        <v>24472.6347469427</v>
      </c>
      <c r="H125" s="31" t="n">
        <f aca="false">H114+H115+H121+H122</f>
        <v>24472.6347469427</v>
      </c>
      <c r="I125" s="31" t="n">
        <f aca="false">I114+I115+I121+I122</f>
        <v>34290.1516910654</v>
      </c>
      <c r="J125" s="31" t="n">
        <f aca="false">J114+J115+J121+J122</f>
        <v>34290.1516910654</v>
      </c>
      <c r="K125" s="31" t="n">
        <f aca="false">K114+K115+K121+K122</f>
        <v>34290.1516910654</v>
      </c>
      <c r="L125" s="31" t="n">
        <f aca="false">L114+L115+L121+L122</f>
        <v>34290.1516910654</v>
      </c>
      <c r="M125" s="31" t="n">
        <f aca="false">M114+M115+M121+M122</f>
        <v>34290.1516910654</v>
      </c>
      <c r="N125" s="31" t="n">
        <f aca="false">N114+N115+N121+N122</f>
        <v>13193.9218256949</v>
      </c>
      <c r="O125" s="31" t="n">
        <f aca="false">O114+O115+O121+O122</f>
        <v>13193.9218256949</v>
      </c>
      <c r="P125" s="31" t="n">
        <f aca="false">P114+P115+P121+P122</f>
        <v>13193.9218256949</v>
      </c>
      <c r="Q125" s="31" t="n">
        <f aca="false">Q114+Q115+Q121+Q122</f>
        <v>13193.9218256949</v>
      </c>
      <c r="R125" s="31" t="n">
        <f aca="false">R114+R115+R121+R122</f>
        <v>13193.9218256949</v>
      </c>
      <c r="S125" s="31" t="n">
        <f aca="false">S114+S115+S121+S122</f>
        <v>0</v>
      </c>
      <c r="T125" s="31" t="n">
        <f aca="false">T114+T115+T121+T122</f>
        <v>0</v>
      </c>
      <c r="U125" s="31" t="n">
        <f aca="false">U114+U115+U121+U122</f>
        <v>0</v>
      </c>
      <c r="V125" s="31" t="n">
        <f aca="false">V114+V115+V121+V122</f>
        <v>0</v>
      </c>
      <c r="W125" s="31" t="n">
        <f aca="false">W114+W115+W121+W122</f>
        <v>0</v>
      </c>
    </row>
    <row r="126" customFormat="false" ht="15" hidden="false" customHeight="false" outlineLevel="0" collapsed="false">
      <c r="A126" s="11" t="s">
        <v>461</v>
      </c>
      <c r="C126" s="96" t="n">
        <v>0</v>
      </c>
      <c r="D126" s="96" t="n">
        <f aca="false">IF(D39&lt;=SenGrace,SenRate*$B$11,IF(D39&lt;=SenTenor,PMT(SenRate*$B$11,SenTenor-SenGrace,-1),0))</f>
        <v>0.1</v>
      </c>
      <c r="E126" s="96" t="n">
        <f aca="false">IF(E39&lt;=SenGrace,SenRate*$B$11,IF(E39&lt;=SenTenor,PMT(SenRate*$B$11,SenTenor-SenGrace,-1),0))</f>
        <v>0.1</v>
      </c>
      <c r="F126" s="96" t="n">
        <f aca="false">IF(F39&lt;=SenGrace,SenRate*$B$11,IF(F39&lt;=SenTenor,PMT(SenRate*$B$11,SenTenor-SenGrace,-1),0))</f>
        <v>0.187444017574813</v>
      </c>
      <c r="G126" s="96" t="n">
        <f aca="false">IF(G39&lt;=SenGrace,SenRate*$B$11,IF(G39&lt;=SenTenor,PMT(SenRate*$B$11,SenTenor-SenGrace,-1),0))</f>
        <v>0.187444017574813</v>
      </c>
      <c r="H126" s="96" t="n">
        <f aca="false">IF(H39&lt;=SenGrace,SenRate*$B$11,IF(H39&lt;=SenTenor,PMT(SenRate*$B$11,SenTenor-SenGrace,-1),0))</f>
        <v>0.187444017574813</v>
      </c>
      <c r="I126" s="96" t="n">
        <f aca="false">IF(I39&lt;=SenGrace,SenRate*$B$11,IF(I39&lt;=SenTenor,PMT(SenRate*$B$11,SenTenor-SenGrace,-1),0))</f>
        <v>0.187444017574813</v>
      </c>
      <c r="J126" s="96" t="n">
        <f aca="false">IF(J39&lt;=SenGrace,SenRate*$B$11,IF(J39&lt;=SenTenor,PMT(SenRate*$B$11,SenTenor-SenGrace,-1),0))</f>
        <v>0.187444017574813</v>
      </c>
      <c r="K126" s="96" t="n">
        <f aca="false">IF(K39&lt;=SenGrace,SenRate*$B$11,IF(K39&lt;=SenTenor,PMT(SenRate*$B$11,SenTenor-SenGrace,-1),0))</f>
        <v>0.187444017574813</v>
      </c>
      <c r="L126" s="96" t="n">
        <f aca="false">IF(L39&lt;=SenGrace,SenRate*$B$11,IF(L39&lt;=SenTenor,PMT(SenRate*$B$11,SenTenor-SenGrace,-1),0))</f>
        <v>0.187444017574813</v>
      </c>
      <c r="M126" s="96" t="n">
        <f aca="false">IF(M39&lt;=SenGrace,SenRate*$B$11,IF(M39&lt;=SenTenor,PMT(SenRate*$B$11,SenTenor-SenGrace,-1),0))</f>
        <v>0.187444017574813</v>
      </c>
      <c r="N126" s="96" t="n">
        <f aca="false">IF(N39&lt;=SenGrace,SenRate*$B$11,IF(N39&lt;=SenTenor,PMT(SenRate*$B$11,SenTenor-SenGrace,-1),0))</f>
        <v>0</v>
      </c>
      <c r="O126" s="96" t="n">
        <f aca="false">IF(O39&lt;=SenGrace,SenRate*$B$11,IF(O39&lt;=SenTenor,PMT(SenRate*$B$11,SenTenor-SenGrace,-1),0))</f>
        <v>0</v>
      </c>
      <c r="P126" s="96" t="n">
        <f aca="false">IF(P39&lt;=SenGrace,SenRate*$B$11,IF(P39&lt;=SenTenor,PMT(SenRate*$B$11,SenTenor-SenGrace,-1),0))</f>
        <v>0</v>
      </c>
      <c r="Q126" s="96" t="n">
        <f aca="false">IF(Q39&lt;=SenGrace,SenRate*$B$11,IF(Q39&lt;=SenTenor,PMT(SenRate*$B$11,SenTenor-SenGrace,-1),0))</f>
        <v>0</v>
      </c>
      <c r="R126" s="96" t="n">
        <f aca="false">IF(R39&lt;=SenGrace,SenRate*$B$11,IF(R39&lt;=SenTenor,PMT(SenRate*$B$11,SenTenor-SenGrace,-1),0))</f>
        <v>0</v>
      </c>
      <c r="S126" s="96" t="n">
        <f aca="false">IF(S39&lt;=SenGrace,SenRate*$B$11,IF(S39&lt;=SenTenor,PMT(SenRate*$B$11,SenTenor-SenGrace,-1),0))</f>
        <v>0</v>
      </c>
      <c r="T126" s="96" t="n">
        <f aca="false">IF(T39&lt;=SenGrace,SenRate*$B$11,IF(T39&lt;=SenTenor,PMT(SenRate*$B$11,SenTenor-SenGrace,-1),0))</f>
        <v>0</v>
      </c>
      <c r="U126" s="96" t="n">
        <f aca="false">IF(U39&lt;=SenGrace,SenRate*$B$11,IF(U39&lt;=SenTenor,PMT(SenRate*$B$11,SenTenor-SenGrace,-1),0))</f>
        <v>0</v>
      </c>
      <c r="V126" s="96" t="n">
        <f aca="false">IF(V39&lt;=SenGrace,SenRate*$B$11,IF(V39&lt;=SenTenor,PMT(SenRate*$B$11,SenTenor-SenGrace,-1),0))</f>
        <v>0</v>
      </c>
      <c r="W126" s="96" t="n">
        <f aca="false">IF(W39&lt;=SenGrace,SenRate*$B$11,IF(W39&lt;=SenTenor,PMT(SenRate*$B$11,SenTenor-SenGrace,-1),0))</f>
        <v>0</v>
      </c>
    </row>
    <row r="127" customFormat="false" ht="15" hidden="false" customHeight="false" outlineLevel="0" collapsed="false">
      <c r="A127" s="11" t="s">
        <v>462</v>
      </c>
      <c r="C127" s="95" t="n">
        <v>0</v>
      </c>
      <c r="D127" s="95" t="n">
        <f aca="false">IF(D126&gt;0,(D147/MinDSCR-D121-D122)/D126,1000000000000)</f>
        <v>1107511.70800058</v>
      </c>
      <c r="E127" s="95" t="n">
        <f aca="false">IF(E126&gt;0,(E147/MinDSCR-E121-E122)/E126,1000000000000)</f>
        <v>646447.492488564</v>
      </c>
      <c r="F127" s="95" t="n">
        <f aca="false">IF(F126&gt;0,(F147/MinDSCR-F121-F122)/F126,1000000000000)</f>
        <v>332762.129335415</v>
      </c>
      <c r="G127" s="95" t="n">
        <f aca="false">IF(G126&gt;0,(G147/MinDSCR-G121-G122)/G126,1000000000000)</f>
        <v>194997.911837666</v>
      </c>
      <c r="H127" s="95" t="n">
        <f aca="false">IF(H126&gt;0,(H147/MinDSCR-H121-H122)/H126,1000000000000)</f>
        <v>220925.317976169</v>
      </c>
      <c r="I127" s="95" t="n">
        <f aca="false">IF(I126&gt;0,(I147/MinDSCR-I121-I122)/I126,1000000000000)</f>
        <v>196289.141106131</v>
      </c>
      <c r="J127" s="95" t="n">
        <f aca="false">IF(J126&gt;0,(J147/MinDSCR-J121-J122)/J126,1000000000000)</f>
        <v>218250.674167481</v>
      </c>
      <c r="K127" s="95" t="n">
        <f aca="false">IF(K126&gt;0,(K147/MinDSCR-K121-K122)/K126,1000000000000)</f>
        <v>217139.861280227</v>
      </c>
      <c r="L127" s="95" t="n">
        <f aca="false">IF(L126&gt;0,(L147/MinDSCR-L121-L122)/L126,1000000000000)</f>
        <v>192708.697950211</v>
      </c>
      <c r="M127" s="95" t="n">
        <f aca="false">IF(M126&gt;0,(M147/MinDSCR-M121-M122)/M126,1000000000000)</f>
        <v>190313.712139681</v>
      </c>
      <c r="N127" s="95" t="n">
        <f aca="false">IF(N126&gt;0,(N147/MinDSCR-N121-N122)/N126,1000000000000)</f>
        <v>1000000000000</v>
      </c>
      <c r="O127" s="95" t="n">
        <f aca="false">IF(O126&gt;0,(O147/MinDSCR-O121-O122)/O126,1000000000000)</f>
        <v>1000000000000</v>
      </c>
      <c r="P127" s="95" t="n">
        <f aca="false">IF(P126&gt;0,(P147/MinDSCR-P121-P122)/P126,1000000000000)</f>
        <v>1000000000000</v>
      </c>
      <c r="Q127" s="95" t="n">
        <f aca="false">IF(Q126&gt;0,(Q147/MinDSCR-Q121-Q122)/Q126,1000000000000)</f>
        <v>1000000000000</v>
      </c>
      <c r="R127" s="95" t="n">
        <f aca="false">IF(R126&gt;0,(R147/MinDSCR-R121-R122)/R126,1000000000000)</f>
        <v>1000000000000</v>
      </c>
      <c r="S127" s="95" t="n">
        <f aca="false">IF(S126&gt;0,(S147/MinDSCR-S121-S122)/S126,1000000000000)</f>
        <v>1000000000000</v>
      </c>
      <c r="T127" s="95" t="n">
        <f aca="false">IF(T126&gt;0,(T147/MinDSCR-T121-T122)/T126,1000000000000)</f>
        <v>1000000000000</v>
      </c>
      <c r="U127" s="95" t="n">
        <f aca="false">IF(U126&gt;0,(U147/MinDSCR-U121-U122)/U126,1000000000000)</f>
        <v>1000000000000</v>
      </c>
      <c r="V127" s="95" t="n">
        <f aca="false">IF(V126&gt;0,(V147/MinDSCR-V121-V122)/V126,1000000000000)</f>
        <v>1000000000000</v>
      </c>
      <c r="W127" s="95" t="n">
        <f aca="false">IF(W126&gt;0,(W147/MinDSCR-W121-W122)/W126,1000000000000)</f>
        <v>1000000000000</v>
      </c>
    </row>
    <row r="128" customFormat="false" ht="15" hidden="false" customHeight="false" outlineLevel="0" collapsed="false">
      <c r="A128" s="11" t="s">
        <v>463</v>
      </c>
      <c r="C128" s="95" t="n">
        <f aca="false">DSRAPct*D125</f>
        <v>7315.5439100732</v>
      </c>
      <c r="D128" s="95" t="n">
        <f aca="false">DSRAPct*E125</f>
        <v>7315.5439100732</v>
      </c>
      <c r="E128" s="95" t="n">
        <f aca="false">DSRAPct*F125</f>
        <v>12236.3173734714</v>
      </c>
      <c r="F128" s="95" t="n">
        <f aca="false">DSRAPct*G125</f>
        <v>12236.3173734714</v>
      </c>
      <c r="G128" s="95" t="n">
        <f aca="false">DSRAPct*H125</f>
        <v>12236.3173734714</v>
      </c>
      <c r="H128" s="95" t="n">
        <f aca="false">DSRAPct*I125</f>
        <v>17145.0758455327</v>
      </c>
      <c r="I128" s="95" t="n">
        <f aca="false">DSRAPct*J125</f>
        <v>17145.0758455327</v>
      </c>
      <c r="J128" s="95" t="n">
        <f aca="false">DSRAPct*K125</f>
        <v>17145.0758455327</v>
      </c>
      <c r="K128" s="95" t="n">
        <f aca="false">DSRAPct*L125</f>
        <v>17145.0758455327</v>
      </c>
      <c r="L128" s="95" t="n">
        <f aca="false">DSRAPct*M125</f>
        <v>17145.0758455327</v>
      </c>
      <c r="M128" s="95" t="n">
        <f aca="false">DSRAPct*N125</f>
        <v>6596.96091284747</v>
      </c>
      <c r="N128" s="95" t="n">
        <f aca="false">DSRAPct*O125</f>
        <v>6596.96091284747</v>
      </c>
      <c r="O128" s="95" t="n">
        <f aca="false">DSRAPct*P125</f>
        <v>6596.96091284747</v>
      </c>
      <c r="P128" s="95" t="n">
        <f aca="false">DSRAPct*Q125</f>
        <v>6596.96091284747</v>
      </c>
      <c r="Q128" s="95" t="n">
        <f aca="false">DSRAPct*R125</f>
        <v>6596.96091284747</v>
      </c>
      <c r="R128" s="95" t="n">
        <f aca="false">DSRAPct*S125</f>
        <v>0</v>
      </c>
      <c r="S128" s="95" t="n">
        <f aca="false">DSRAPct*T125</f>
        <v>0</v>
      </c>
      <c r="T128" s="95" t="n">
        <f aca="false">DSRAPct*U125</f>
        <v>0</v>
      </c>
      <c r="U128" s="95" t="n">
        <f aca="false">DSRAPct*V125</f>
        <v>0</v>
      </c>
      <c r="V128" s="95" t="n">
        <f aca="false">DSRAPct*W125</f>
        <v>0</v>
      </c>
      <c r="W128" s="95" t="n">
        <f aca="false">0</f>
        <v>0</v>
      </c>
    </row>
    <row r="129" customFormat="false" ht="15" hidden="false" customHeight="false" outlineLevel="0" collapsed="false">
      <c r="A129" s="11" t="s">
        <v>464</v>
      </c>
      <c r="B129" s="66" t="n">
        <f aca="false">SUM(C129:W129)</f>
        <v>0</v>
      </c>
      <c r="C129" s="95" t="n">
        <f aca="false">C128</f>
        <v>7315.5439100732</v>
      </c>
      <c r="D129" s="95" t="n">
        <f aca="false">D128-C128</f>
        <v>0</v>
      </c>
      <c r="E129" s="95" t="n">
        <f aca="false">E128-D128</f>
        <v>4920.77346339816</v>
      </c>
      <c r="F129" s="95" t="n">
        <f aca="false">F128-E128</f>
        <v>0</v>
      </c>
      <c r="G129" s="95" t="n">
        <f aca="false">G128-F128</f>
        <v>0</v>
      </c>
      <c r="H129" s="95" t="n">
        <f aca="false">H128-G128</f>
        <v>4908.75847206135</v>
      </c>
      <c r="I129" s="95" t="n">
        <f aca="false">I128-H128</f>
        <v>0</v>
      </c>
      <c r="J129" s="95" t="n">
        <f aca="false">J128-I128</f>
        <v>0</v>
      </c>
      <c r="K129" s="95" t="n">
        <f aca="false">K128-J128</f>
        <v>0</v>
      </c>
      <c r="L129" s="95" t="n">
        <f aca="false">L128-K128</f>
        <v>0</v>
      </c>
      <c r="M129" s="95" t="n">
        <f aca="false">M128-L128</f>
        <v>-10548.1149326852</v>
      </c>
      <c r="N129" s="95" t="n">
        <f aca="false">N128-M128</f>
        <v>0</v>
      </c>
      <c r="O129" s="95" t="n">
        <f aca="false">O128-N128</f>
        <v>0</v>
      </c>
      <c r="P129" s="95" t="n">
        <f aca="false">P128-O128</f>
        <v>0</v>
      </c>
      <c r="Q129" s="95" t="n">
        <f aca="false">Q128-P128</f>
        <v>0</v>
      </c>
      <c r="R129" s="95" t="n">
        <f aca="false">R128-Q128</f>
        <v>-6596.96091284747</v>
      </c>
      <c r="S129" s="95" t="n">
        <f aca="false">S128-R128</f>
        <v>0</v>
      </c>
      <c r="T129" s="95" t="n">
        <f aca="false">T128-S128</f>
        <v>0</v>
      </c>
      <c r="U129" s="95" t="n">
        <f aca="false">U128-T128</f>
        <v>0</v>
      </c>
      <c r="V129" s="95" t="n">
        <f aca="false">V128-U128</f>
        <v>0</v>
      </c>
      <c r="W129" s="95" t="n">
        <f aca="false">W128-V128</f>
        <v>0</v>
      </c>
    </row>
    <row r="131" customFormat="false" ht="15" hidden="false" customHeight="false" outlineLevel="0" collapsed="false">
      <c r="A131" s="9" t="s">
        <v>465</v>
      </c>
      <c r="B131" s="10"/>
      <c r="C131" s="10"/>
      <c r="D131" s="10"/>
      <c r="E131" s="10"/>
      <c r="F131" s="10"/>
      <c r="G131" s="10"/>
      <c r="H131" s="10"/>
      <c r="I131" s="10"/>
      <c r="J131" s="10"/>
      <c r="K131" s="10"/>
      <c r="L131" s="10"/>
      <c r="M131" s="10"/>
      <c r="N131" s="10"/>
      <c r="O131" s="10"/>
      <c r="P131" s="10"/>
      <c r="Q131" s="10"/>
      <c r="R131" s="10"/>
      <c r="S131" s="10"/>
      <c r="T131" s="10"/>
      <c r="U131" s="10"/>
      <c r="V131" s="10"/>
      <c r="W131" s="10"/>
    </row>
    <row r="132" customFormat="false" ht="15" hidden="false" customHeight="false" outlineLevel="0" collapsed="false">
      <c r="A132" s="11" t="s">
        <v>466</v>
      </c>
      <c r="B132" s="66" t="n">
        <f aca="false">SUM(C132:W132)</f>
        <v>1162734.14692871</v>
      </c>
      <c r="C132" s="95" t="n">
        <v>0</v>
      </c>
      <c r="D132" s="95" t="n">
        <f aca="false">IF(D39&lt;=MIN(DepYears,Life),S_Coll_Hi!$B$14/DepYears,0)</f>
        <v>77515.6097952472</v>
      </c>
      <c r="E132" s="95" t="n">
        <f aca="false">IF(E39&lt;=MIN(DepYears,Life),S_Coll_Hi!$B$14/DepYears,0)</f>
        <v>77515.6097952472</v>
      </c>
      <c r="F132" s="95" t="n">
        <f aca="false">IF(F39&lt;=MIN(DepYears,Life),S_Coll_Hi!$B$14/DepYears,0)</f>
        <v>77515.6097952472</v>
      </c>
      <c r="G132" s="95" t="n">
        <f aca="false">IF(G39&lt;=MIN(DepYears,Life),S_Coll_Hi!$B$14/DepYears,0)</f>
        <v>77515.6097952472</v>
      </c>
      <c r="H132" s="95" t="n">
        <f aca="false">IF(H39&lt;=MIN(DepYears,Life),S_Coll_Hi!$B$14/DepYears,0)</f>
        <v>77515.6097952472</v>
      </c>
      <c r="I132" s="95" t="n">
        <f aca="false">IF(I39&lt;=MIN(DepYears,Life),S_Coll_Hi!$B$14/DepYears,0)</f>
        <v>77515.6097952472</v>
      </c>
      <c r="J132" s="95" t="n">
        <f aca="false">IF(J39&lt;=MIN(DepYears,Life),S_Coll_Hi!$B$14/DepYears,0)</f>
        <v>77515.6097952472</v>
      </c>
      <c r="K132" s="95" t="n">
        <f aca="false">IF(K39&lt;=MIN(DepYears,Life),S_Coll_Hi!$B$14/DepYears,0)</f>
        <v>77515.6097952472</v>
      </c>
      <c r="L132" s="95" t="n">
        <f aca="false">IF(L39&lt;=MIN(DepYears,Life),S_Coll_Hi!$B$14/DepYears,0)</f>
        <v>77515.6097952472</v>
      </c>
      <c r="M132" s="95" t="n">
        <f aca="false">IF(M39&lt;=MIN(DepYears,Life),S_Coll_Hi!$B$14/DepYears,0)</f>
        <v>77515.6097952472</v>
      </c>
      <c r="N132" s="95" t="n">
        <f aca="false">IF(N39&lt;=MIN(DepYears,Life),S_Coll_Hi!$B$14/DepYears,0)</f>
        <v>77515.6097952472</v>
      </c>
      <c r="O132" s="95" t="n">
        <f aca="false">IF(O39&lt;=MIN(DepYears,Life),S_Coll_Hi!$B$14/DepYears,0)</f>
        <v>77515.6097952472</v>
      </c>
      <c r="P132" s="95" t="n">
        <f aca="false">IF(P39&lt;=MIN(DepYears,Life),S_Coll_Hi!$B$14/DepYears,0)</f>
        <v>77515.6097952472</v>
      </c>
      <c r="Q132" s="95" t="n">
        <f aca="false">IF(Q39&lt;=MIN(DepYears,Life),S_Coll_Hi!$B$14/DepYears,0)</f>
        <v>77515.6097952472</v>
      </c>
      <c r="R132" s="95" t="n">
        <f aca="false">IF(R39&lt;=MIN(DepYears,Life),S_Coll_Hi!$B$14/DepYears,0)</f>
        <v>77515.6097952472</v>
      </c>
      <c r="S132" s="95" t="n">
        <f aca="false">IF(S39&lt;=MIN(DepYears,Life),S_Coll_Hi!$B$14/DepYears,0)</f>
        <v>0</v>
      </c>
      <c r="T132" s="95" t="n">
        <f aca="false">IF(T39&lt;=MIN(DepYears,Life),S_Coll_Hi!$B$14/DepYears,0)</f>
        <v>0</v>
      </c>
      <c r="U132" s="95" t="n">
        <f aca="false">IF(U39&lt;=MIN(DepYears,Life),S_Coll_Hi!$B$14/DepYears,0)</f>
        <v>0</v>
      </c>
      <c r="V132" s="95" t="n">
        <f aca="false">IF(V39&lt;=MIN(DepYears,Life),S_Coll_Hi!$B$14/DepYears,0)</f>
        <v>0</v>
      </c>
      <c r="W132" s="95" t="n">
        <f aca="false">IF(W39&lt;=MIN(DepYears,Life),S_Coll_Hi!$B$14/DepYears,0)</f>
        <v>0</v>
      </c>
    </row>
    <row r="133" customFormat="false" ht="15" hidden="false" customHeight="false" outlineLevel="0" collapsed="false">
      <c r="A133" s="11" t="s">
        <v>467</v>
      </c>
      <c r="B133" s="66" t="n">
        <f aca="false">SUM(C133:W133)</f>
        <v>388770.153945133</v>
      </c>
      <c r="C133" s="95" t="n">
        <v>0</v>
      </c>
      <c r="D133" s="95" t="n">
        <f aca="false">D98-D132</f>
        <v>-59611.8316960405</v>
      </c>
      <c r="E133" s="95" t="n">
        <f aca="false">E98-E132</f>
        <v>-31350.1797126023</v>
      </c>
      <c r="F133" s="95" t="n">
        <f aca="false">F98-F132</f>
        <v>-9101.80219092185</v>
      </c>
      <c r="G133" s="95" t="n">
        <f aca="false">G98-G132</f>
        <v>-4871.80411849874</v>
      </c>
      <c r="H133" s="95" t="n">
        <f aca="false">H98-H132</f>
        <v>1446.11420496464</v>
      </c>
      <c r="I133" s="95" t="n">
        <f aca="false">I98-I132</f>
        <v>8205.61107105935</v>
      </c>
      <c r="J133" s="95" t="n">
        <f aca="false">J98-J132</f>
        <v>13557.1364569174</v>
      </c>
      <c r="K133" s="95" t="n">
        <f aca="false">K98-K132</f>
        <v>13286.4566574484</v>
      </c>
      <c r="L133" s="95" t="n">
        <f aca="false">L98-L132</f>
        <v>12865.3978236335</v>
      </c>
      <c r="M133" s="95" t="n">
        <f aca="false">M98-M132</f>
        <v>12281.794332565</v>
      </c>
      <c r="N133" s="95" t="n">
        <f aca="false">N98-N132</f>
        <v>11522.6745297967</v>
      </c>
      <c r="O133" s="95" t="n">
        <f aca="false">O98-O132</f>
        <v>10574.2103109353</v>
      </c>
      <c r="P133" s="95" t="n">
        <f aca="false">P98-P132</f>
        <v>9421.66360830578</v>
      </c>
      <c r="Q133" s="95" t="n">
        <f aca="false">Q98-Q132</f>
        <v>8049.32959386239</v>
      </c>
      <c r="R133" s="95" t="n">
        <f aca="false">R98-R132</f>
        <v>6440.47639801419</v>
      </c>
      <c r="S133" s="95" t="n">
        <f aca="false">S98-S132</f>
        <v>82092.8909270812</v>
      </c>
      <c r="T133" s="95" t="n">
        <f aca="false">T98-T132</f>
        <v>79956.3717824262</v>
      </c>
      <c r="U133" s="95" t="n">
        <f aca="false">U98-U132</f>
        <v>77526.3159707611</v>
      </c>
      <c r="V133" s="95" t="n">
        <f aca="false">V98-V132</f>
        <v>74781.2032469104</v>
      </c>
      <c r="W133" s="95" t="n">
        <f aca="false">W98-W132</f>
        <v>71698.1247485148</v>
      </c>
    </row>
    <row r="134" customFormat="false" ht="15" hidden="false" customHeight="false" outlineLevel="0" collapsed="false">
      <c r="A134" s="11" t="s">
        <v>468</v>
      </c>
      <c r="C134" s="95" t="n">
        <v>0</v>
      </c>
      <c r="D134" s="95" t="n">
        <f aca="false">0</f>
        <v>0</v>
      </c>
      <c r="E134" s="95" t="n">
        <f aca="false">D136</f>
        <v>59611.8316960405</v>
      </c>
      <c r="F134" s="95" t="n">
        <f aca="false">E136</f>
        <v>90962.0114086427</v>
      </c>
      <c r="G134" s="95" t="n">
        <f aca="false">F136</f>
        <v>100063.813599565</v>
      </c>
      <c r="H134" s="95" t="n">
        <f aca="false">G136</f>
        <v>104935.617718063</v>
      </c>
      <c r="I134" s="95" t="n">
        <f aca="false">H136</f>
        <v>103489.503513099</v>
      </c>
      <c r="J134" s="95" t="n">
        <f aca="false">I136</f>
        <v>95283.8924420393</v>
      </c>
      <c r="K134" s="95" t="n">
        <f aca="false">J136</f>
        <v>81726.7559851219</v>
      </c>
      <c r="L134" s="95" t="n">
        <f aca="false">K136</f>
        <v>68440.2993276735</v>
      </c>
      <c r="M134" s="95" t="n">
        <f aca="false">L136</f>
        <v>55574.90150404</v>
      </c>
      <c r="N134" s="95" t="n">
        <f aca="false">M136</f>
        <v>43293.107171475</v>
      </c>
      <c r="O134" s="95" t="n">
        <f aca="false">N136</f>
        <v>31770.4326416784</v>
      </c>
      <c r="P134" s="95" t="n">
        <f aca="false">O136</f>
        <v>21196.2223307431</v>
      </c>
      <c r="Q134" s="95" t="n">
        <f aca="false">P136</f>
        <v>11774.5587224373</v>
      </c>
      <c r="R134" s="95" t="n">
        <f aca="false">Q136</f>
        <v>3725.22912857495</v>
      </c>
      <c r="S134" s="95" t="n">
        <f aca="false">R136</f>
        <v>0</v>
      </c>
      <c r="T134" s="95" t="n">
        <f aca="false">S136</f>
        <v>0</v>
      </c>
      <c r="U134" s="95" t="n">
        <f aca="false">T136</f>
        <v>0</v>
      </c>
      <c r="V134" s="95" t="n">
        <f aca="false">U136</f>
        <v>0</v>
      </c>
      <c r="W134" s="95" t="n">
        <f aca="false">V136</f>
        <v>0</v>
      </c>
    </row>
    <row r="135" customFormat="false" ht="15" hidden="false" customHeight="false" outlineLevel="0" collapsed="false">
      <c r="A135" s="11" t="s">
        <v>469</v>
      </c>
      <c r="C135" s="95" t="n">
        <v>0</v>
      </c>
      <c r="D135" s="95" t="n">
        <f aca="false">MIN(D134,MAX(D133,0))</f>
        <v>0</v>
      </c>
      <c r="E135" s="95" t="n">
        <f aca="false">MIN(E134,MAX(E133,0))</f>
        <v>0</v>
      </c>
      <c r="F135" s="95" t="n">
        <f aca="false">MIN(F134,MAX(F133,0))</f>
        <v>0</v>
      </c>
      <c r="G135" s="95" t="n">
        <f aca="false">MIN(G134,MAX(G133,0))</f>
        <v>0</v>
      </c>
      <c r="H135" s="95" t="n">
        <f aca="false">MIN(H134,MAX(H133,0))</f>
        <v>1446.11420496464</v>
      </c>
      <c r="I135" s="95" t="n">
        <f aca="false">MIN(I134,MAX(I133,0))</f>
        <v>8205.61107105935</v>
      </c>
      <c r="J135" s="95" t="n">
        <f aca="false">MIN(J134,MAX(J133,0))</f>
        <v>13557.1364569174</v>
      </c>
      <c r="K135" s="95" t="n">
        <f aca="false">MIN(K134,MAX(K133,0))</f>
        <v>13286.4566574484</v>
      </c>
      <c r="L135" s="95" t="n">
        <f aca="false">MIN(L134,MAX(L133,0))</f>
        <v>12865.3978236335</v>
      </c>
      <c r="M135" s="95" t="n">
        <f aca="false">MIN(M134,MAX(M133,0))</f>
        <v>12281.794332565</v>
      </c>
      <c r="N135" s="95" t="n">
        <f aca="false">MIN(N134,MAX(N133,0))</f>
        <v>11522.6745297967</v>
      </c>
      <c r="O135" s="95" t="n">
        <f aca="false">MIN(O134,MAX(O133,0))</f>
        <v>10574.2103109353</v>
      </c>
      <c r="P135" s="95" t="n">
        <f aca="false">MIN(P134,MAX(P133,0))</f>
        <v>9421.66360830578</v>
      </c>
      <c r="Q135" s="95" t="n">
        <f aca="false">MIN(Q134,MAX(Q133,0))</f>
        <v>8049.32959386239</v>
      </c>
      <c r="R135" s="95" t="n">
        <f aca="false">MIN(R134,MAX(R133,0))</f>
        <v>3725.22912857495</v>
      </c>
      <c r="S135" s="95" t="n">
        <f aca="false">MIN(S134,MAX(S133,0))</f>
        <v>0</v>
      </c>
      <c r="T135" s="95" t="n">
        <f aca="false">MIN(T134,MAX(T133,0))</f>
        <v>0</v>
      </c>
      <c r="U135" s="95" t="n">
        <f aca="false">MIN(U134,MAX(U133,0))</f>
        <v>0</v>
      </c>
      <c r="V135" s="95" t="n">
        <f aca="false">MIN(V134,MAX(V133,0))</f>
        <v>0</v>
      </c>
      <c r="W135" s="95" t="n">
        <f aca="false">MIN(W134,MAX(W133,0))</f>
        <v>0</v>
      </c>
    </row>
    <row r="136" customFormat="false" ht="15" hidden="false" customHeight="false" outlineLevel="0" collapsed="false">
      <c r="A136" s="11" t="s">
        <v>470</v>
      </c>
      <c r="C136" s="95" t="n">
        <v>0</v>
      </c>
      <c r="D136" s="95" t="n">
        <f aca="false">D134-D135+MAX(-D133,0)</f>
        <v>59611.8316960405</v>
      </c>
      <c r="E136" s="95" t="n">
        <f aca="false">E134-E135+MAX(-E133,0)</f>
        <v>90962.0114086427</v>
      </c>
      <c r="F136" s="95" t="n">
        <f aca="false">F134-F135+MAX(-F133,0)</f>
        <v>100063.813599565</v>
      </c>
      <c r="G136" s="95" t="n">
        <f aca="false">G134-G135+MAX(-G133,0)</f>
        <v>104935.617718063</v>
      </c>
      <c r="H136" s="95" t="n">
        <f aca="false">H134-H135+MAX(-H133,0)</f>
        <v>103489.503513099</v>
      </c>
      <c r="I136" s="95" t="n">
        <f aca="false">I134-I135+MAX(-I133,0)</f>
        <v>95283.8924420393</v>
      </c>
      <c r="J136" s="95" t="n">
        <f aca="false">J134-J135+MAX(-J133,0)</f>
        <v>81726.7559851219</v>
      </c>
      <c r="K136" s="95" t="n">
        <f aca="false">K134-K135+MAX(-K133,0)</f>
        <v>68440.2993276735</v>
      </c>
      <c r="L136" s="95" t="n">
        <f aca="false">L134-L135+MAX(-L133,0)</f>
        <v>55574.90150404</v>
      </c>
      <c r="M136" s="95" t="n">
        <f aca="false">M134-M135+MAX(-M133,0)</f>
        <v>43293.107171475</v>
      </c>
      <c r="N136" s="95" t="n">
        <f aca="false">N134-N135+MAX(-N133,0)</f>
        <v>31770.4326416784</v>
      </c>
      <c r="O136" s="95" t="n">
        <f aca="false">O134-O135+MAX(-O133,0)</f>
        <v>21196.2223307431</v>
      </c>
      <c r="P136" s="95" t="n">
        <f aca="false">P134-P135+MAX(-P133,0)</f>
        <v>11774.5587224373</v>
      </c>
      <c r="Q136" s="95" t="n">
        <f aca="false">Q134-Q135+MAX(-Q133,0)</f>
        <v>3725.22912857495</v>
      </c>
      <c r="R136" s="95" t="n">
        <f aca="false">R134-R135+MAX(-R133,0)</f>
        <v>0</v>
      </c>
      <c r="S136" s="95" t="n">
        <f aca="false">S134-S135+MAX(-S133,0)</f>
        <v>0</v>
      </c>
      <c r="T136" s="95" t="n">
        <f aca="false">T134-T135+MAX(-T133,0)</f>
        <v>0</v>
      </c>
      <c r="U136" s="95" t="n">
        <f aca="false">U134-U135+MAX(-U133,0)</f>
        <v>0</v>
      </c>
      <c r="V136" s="95" t="n">
        <f aca="false">V134-V135+MAX(-V133,0)</f>
        <v>0</v>
      </c>
      <c r="W136" s="95" t="n">
        <f aca="false">W134-W135+MAX(-W133,0)</f>
        <v>0</v>
      </c>
    </row>
    <row r="137" customFormat="false" ht="15" hidden="false" customHeight="false" outlineLevel="0" collapsed="false">
      <c r="A137" s="11" t="s">
        <v>471</v>
      </c>
      <c r="B137" s="66" t="n">
        <f aca="false">SUM(C137:W137)</f>
        <v>97192.5384862832</v>
      </c>
      <c r="C137" s="95" t="n">
        <v>0</v>
      </c>
      <c r="D137" s="95" t="n">
        <f aca="false">(MAX(D133,0)-D135)*TaxRate</f>
        <v>0</v>
      </c>
      <c r="E137" s="95" t="n">
        <f aca="false">(MAX(E133,0)-E135)*TaxRate</f>
        <v>0</v>
      </c>
      <c r="F137" s="95" t="n">
        <f aca="false">(MAX(F133,0)-F135)*TaxRate</f>
        <v>0</v>
      </c>
      <c r="G137" s="95" t="n">
        <f aca="false">(MAX(G133,0)-G135)*TaxRate</f>
        <v>0</v>
      </c>
      <c r="H137" s="95" t="n">
        <f aca="false">(MAX(H133,0)-H135)*TaxRate</f>
        <v>0</v>
      </c>
      <c r="I137" s="95" t="n">
        <f aca="false">(MAX(I133,0)-I135)*TaxRate</f>
        <v>0</v>
      </c>
      <c r="J137" s="95" t="n">
        <f aca="false">(MAX(J133,0)-J135)*TaxRate</f>
        <v>0</v>
      </c>
      <c r="K137" s="95" t="n">
        <f aca="false">(MAX(K133,0)-K135)*TaxRate</f>
        <v>0</v>
      </c>
      <c r="L137" s="95" t="n">
        <f aca="false">(MAX(L133,0)-L135)*TaxRate</f>
        <v>0</v>
      </c>
      <c r="M137" s="95" t="n">
        <f aca="false">(MAX(M133,0)-M135)*TaxRate</f>
        <v>0</v>
      </c>
      <c r="N137" s="95" t="n">
        <f aca="false">(MAX(N133,0)-N135)*TaxRate</f>
        <v>0</v>
      </c>
      <c r="O137" s="95" t="n">
        <f aca="false">(MAX(O133,0)-O135)*TaxRate</f>
        <v>0</v>
      </c>
      <c r="P137" s="95" t="n">
        <f aca="false">(MAX(P133,0)-P135)*TaxRate</f>
        <v>0</v>
      </c>
      <c r="Q137" s="95" t="n">
        <f aca="false">(MAX(Q133,0)-Q135)*TaxRate</f>
        <v>0</v>
      </c>
      <c r="R137" s="95" t="n">
        <f aca="false">(MAX(R133,0)-R135)*TaxRate</f>
        <v>678.811817359809</v>
      </c>
      <c r="S137" s="95" t="n">
        <f aca="false">(MAX(S133,0)-S135)*TaxRate</f>
        <v>20523.2227317703</v>
      </c>
      <c r="T137" s="95" t="n">
        <f aca="false">(MAX(T133,0)-T135)*TaxRate</f>
        <v>19989.0929456066</v>
      </c>
      <c r="U137" s="95" t="n">
        <f aca="false">(MAX(U133,0)-U135)*TaxRate</f>
        <v>19381.5789926903</v>
      </c>
      <c r="V137" s="95" t="n">
        <f aca="false">(MAX(V133,0)-V135)*TaxRate</f>
        <v>18695.3008117276</v>
      </c>
      <c r="W137" s="95" t="n">
        <f aca="false">(MAX(W133,0)-W135)*TaxRate</f>
        <v>17924.5311871287</v>
      </c>
    </row>
    <row r="138" customFormat="false" ht="15" hidden="false" customHeight="false" outlineLevel="0" collapsed="false">
      <c r="A138" s="11" t="s">
        <v>472</v>
      </c>
      <c r="B138" s="66" t="n">
        <f aca="false">SUM(C138:W138)</f>
        <v>273763.365251693</v>
      </c>
      <c r="C138" s="95" t="n">
        <v>0</v>
      </c>
      <c r="D138" s="95" t="n">
        <f aca="false">D98-D132-D114-D121</f>
        <v>-74242.9195161868</v>
      </c>
      <c r="E138" s="95" t="n">
        <f aca="false">E98-E132-E114-E121</f>
        <v>-45981.2675327487</v>
      </c>
      <c r="F138" s="95" t="n">
        <f aca="false">F98-F132-F114-F121</f>
        <v>-23732.8900110682</v>
      </c>
      <c r="G138" s="95" t="n">
        <f aca="false">G98-G132-G114-G121</f>
        <v>-18518.7372459655</v>
      </c>
      <c r="H138" s="95" t="n">
        <f aca="false">H98-H132-H114-H121</f>
        <v>-11118.2487605545</v>
      </c>
      <c r="I138" s="95" t="n">
        <f aca="false">I98-I132-I114-I121</f>
        <v>-3167.92471631747</v>
      </c>
      <c r="J138" s="95" t="n">
        <f aca="false">J98-J132-J114-J121</f>
        <v>3788.03607382089</v>
      </c>
      <c r="K138" s="95" t="n">
        <f aca="false">K98-K132-K114-K121</f>
        <v>5261.61843347748</v>
      </c>
      <c r="L138" s="95" t="n">
        <f aca="false">L98-L132-L114-L121</f>
        <v>6738.01268555065</v>
      </c>
      <c r="M138" s="95" t="n">
        <f aca="false">M98-M132-M114-M121</f>
        <v>8219.73524113436</v>
      </c>
      <c r="N138" s="95" t="n">
        <f aca="false">N98-N132-N114-N121</f>
        <v>9709.94557142412</v>
      </c>
      <c r="O138" s="95" t="n">
        <f aca="false">O98-O132-O114-O121</f>
        <v>9102.9171385824</v>
      </c>
      <c r="P138" s="95" t="n">
        <f aca="false">P98-P132-P114-P121</f>
        <v>8302.04929555318</v>
      </c>
      <c r="Q138" s="95" t="n">
        <f aca="false">Q98-Q132-Q114-Q121</f>
        <v>7291.94450649806</v>
      </c>
      <c r="R138" s="95" t="n">
        <f aca="false">R98-R132-R114-R121</f>
        <v>6056.18741279977</v>
      </c>
      <c r="S138" s="95" t="n">
        <f aca="false">S98-S132-S114-S121</f>
        <v>82092.8909270812</v>
      </c>
      <c r="T138" s="95" t="n">
        <f aca="false">T98-T132-T114-T121</f>
        <v>79956.3717824262</v>
      </c>
      <c r="U138" s="95" t="n">
        <f aca="false">U98-U132-U114-U121</f>
        <v>77526.3159707611</v>
      </c>
      <c r="V138" s="95" t="n">
        <f aca="false">V98-V132-V114-V121</f>
        <v>74781.2032469104</v>
      </c>
      <c r="W138" s="95" t="n">
        <f aca="false">W98-W132-W114-W121</f>
        <v>71698.1247485148</v>
      </c>
    </row>
    <row r="139" customFormat="false" ht="15" hidden="false" customHeight="false" outlineLevel="0" collapsed="false">
      <c r="A139" s="11" t="s">
        <v>468</v>
      </c>
      <c r="C139" s="95" t="n">
        <v>0</v>
      </c>
      <c r="D139" s="95" t="n">
        <f aca="false">0</f>
        <v>0</v>
      </c>
      <c r="E139" s="95" t="n">
        <f aca="false">D141</f>
        <v>74242.9195161868</v>
      </c>
      <c r="F139" s="95" t="n">
        <f aca="false">E141</f>
        <v>120224.187048936</v>
      </c>
      <c r="G139" s="95" t="n">
        <f aca="false">F141</f>
        <v>143957.077060004</v>
      </c>
      <c r="H139" s="95" t="n">
        <f aca="false">G141</f>
        <v>162475.814305969</v>
      </c>
      <c r="I139" s="95" t="n">
        <f aca="false">H141</f>
        <v>173594.063066524</v>
      </c>
      <c r="J139" s="95" t="n">
        <f aca="false">I141</f>
        <v>176761.987782841</v>
      </c>
      <c r="K139" s="95" t="n">
        <f aca="false">J141</f>
        <v>172973.95170902</v>
      </c>
      <c r="L139" s="95" t="n">
        <f aca="false">K141</f>
        <v>167712.333275543</v>
      </c>
      <c r="M139" s="95" t="n">
        <f aca="false">L141</f>
        <v>160974.320589992</v>
      </c>
      <c r="N139" s="95" t="n">
        <f aca="false">M141</f>
        <v>152754.585348858</v>
      </c>
      <c r="O139" s="95" t="n">
        <f aca="false">N141</f>
        <v>143044.639777434</v>
      </c>
      <c r="P139" s="95" t="n">
        <f aca="false">O141</f>
        <v>133941.722638851</v>
      </c>
      <c r="Q139" s="95" t="n">
        <f aca="false">P141</f>
        <v>125639.673343298</v>
      </c>
      <c r="R139" s="95" t="n">
        <f aca="false">Q141</f>
        <v>118347.7288368</v>
      </c>
      <c r="S139" s="95" t="n">
        <f aca="false">R141</f>
        <v>112291.541424</v>
      </c>
      <c r="T139" s="95" t="n">
        <f aca="false">S141</f>
        <v>30198.6504969192</v>
      </c>
      <c r="U139" s="95" t="n">
        <f aca="false">T141</f>
        <v>0</v>
      </c>
      <c r="V139" s="95" t="n">
        <f aca="false">U141</f>
        <v>0</v>
      </c>
      <c r="W139" s="95" t="n">
        <f aca="false">V141</f>
        <v>0</v>
      </c>
    </row>
    <row r="140" customFormat="false" ht="15" hidden="false" customHeight="false" outlineLevel="0" collapsed="false">
      <c r="A140" s="11" t="s">
        <v>469</v>
      </c>
      <c r="C140" s="95" t="n">
        <v>0</v>
      </c>
      <c r="D140" s="95" t="n">
        <f aca="false">MIN(D139,MAX(D138,0))</f>
        <v>0</v>
      </c>
      <c r="E140" s="95" t="n">
        <f aca="false">MIN(E139,MAX(E138,0))</f>
        <v>0</v>
      </c>
      <c r="F140" s="95" t="n">
        <f aca="false">MIN(F139,MAX(F138,0))</f>
        <v>0</v>
      </c>
      <c r="G140" s="95" t="n">
        <f aca="false">MIN(G139,MAX(G138,0))</f>
        <v>0</v>
      </c>
      <c r="H140" s="95" t="n">
        <f aca="false">MIN(H139,MAX(H138,0))</f>
        <v>0</v>
      </c>
      <c r="I140" s="95" t="n">
        <f aca="false">MIN(I139,MAX(I138,0))</f>
        <v>0</v>
      </c>
      <c r="J140" s="95" t="n">
        <f aca="false">MIN(J139,MAX(J138,0))</f>
        <v>3788.03607382089</v>
      </c>
      <c r="K140" s="95" t="n">
        <f aca="false">MIN(K139,MAX(K138,0))</f>
        <v>5261.61843347748</v>
      </c>
      <c r="L140" s="95" t="n">
        <f aca="false">MIN(L139,MAX(L138,0))</f>
        <v>6738.01268555065</v>
      </c>
      <c r="M140" s="95" t="n">
        <f aca="false">MIN(M139,MAX(M138,0))</f>
        <v>8219.73524113436</v>
      </c>
      <c r="N140" s="95" t="n">
        <f aca="false">MIN(N139,MAX(N138,0))</f>
        <v>9709.94557142412</v>
      </c>
      <c r="O140" s="95" t="n">
        <f aca="false">MIN(O139,MAX(O138,0))</f>
        <v>9102.9171385824</v>
      </c>
      <c r="P140" s="95" t="n">
        <f aca="false">MIN(P139,MAX(P138,0))</f>
        <v>8302.04929555318</v>
      </c>
      <c r="Q140" s="95" t="n">
        <f aca="false">MIN(Q139,MAX(Q138,0))</f>
        <v>7291.94450649806</v>
      </c>
      <c r="R140" s="95" t="n">
        <f aca="false">MIN(R139,MAX(R138,0))</f>
        <v>6056.18741279977</v>
      </c>
      <c r="S140" s="95" t="n">
        <f aca="false">MIN(S139,MAX(S138,0))</f>
        <v>82092.8909270812</v>
      </c>
      <c r="T140" s="95" t="n">
        <f aca="false">MIN(T139,MAX(T138,0))</f>
        <v>30198.6504969192</v>
      </c>
      <c r="U140" s="95" t="n">
        <f aca="false">MIN(U139,MAX(U138,0))</f>
        <v>0</v>
      </c>
      <c r="V140" s="95" t="n">
        <f aca="false">MIN(V139,MAX(V138,0))</f>
        <v>0</v>
      </c>
      <c r="W140" s="95" t="n">
        <f aca="false">MIN(W139,MAX(W138,0))</f>
        <v>0</v>
      </c>
    </row>
    <row r="141" customFormat="false" ht="15" hidden="false" customHeight="false" outlineLevel="0" collapsed="false">
      <c r="A141" s="11" t="s">
        <v>470</v>
      </c>
      <c r="C141" s="95" t="n">
        <v>0</v>
      </c>
      <c r="D141" s="95" t="n">
        <f aca="false">D139-D140+MAX(-D138,0)</f>
        <v>74242.9195161868</v>
      </c>
      <c r="E141" s="95" t="n">
        <f aca="false">E139-E140+MAX(-E138,0)</f>
        <v>120224.187048936</v>
      </c>
      <c r="F141" s="95" t="n">
        <f aca="false">F139-F140+MAX(-F138,0)</f>
        <v>143957.077060004</v>
      </c>
      <c r="G141" s="95" t="n">
        <f aca="false">G139-G140+MAX(-G138,0)</f>
        <v>162475.814305969</v>
      </c>
      <c r="H141" s="95" t="n">
        <f aca="false">H139-H140+MAX(-H138,0)</f>
        <v>173594.063066524</v>
      </c>
      <c r="I141" s="95" t="n">
        <f aca="false">I139-I140+MAX(-I138,0)</f>
        <v>176761.987782841</v>
      </c>
      <c r="J141" s="95" t="n">
        <f aca="false">J139-J140+MAX(-J138,0)</f>
        <v>172973.95170902</v>
      </c>
      <c r="K141" s="95" t="n">
        <f aca="false">K139-K140+MAX(-K138,0)</f>
        <v>167712.333275543</v>
      </c>
      <c r="L141" s="95" t="n">
        <f aca="false">L139-L140+MAX(-L138,0)</f>
        <v>160974.320589992</v>
      </c>
      <c r="M141" s="95" t="n">
        <f aca="false">M139-M140+MAX(-M138,0)</f>
        <v>152754.585348858</v>
      </c>
      <c r="N141" s="95" t="n">
        <f aca="false">N139-N140+MAX(-N138,0)</f>
        <v>143044.639777434</v>
      </c>
      <c r="O141" s="95" t="n">
        <f aca="false">O139-O140+MAX(-O138,0)</f>
        <v>133941.722638851</v>
      </c>
      <c r="P141" s="95" t="n">
        <f aca="false">P139-P140+MAX(-P138,0)</f>
        <v>125639.673343298</v>
      </c>
      <c r="Q141" s="95" t="n">
        <f aca="false">Q139-Q140+MAX(-Q138,0)</f>
        <v>118347.7288368</v>
      </c>
      <c r="R141" s="95" t="n">
        <f aca="false">R139-R140+MAX(-R138,0)</f>
        <v>112291.541424</v>
      </c>
      <c r="S141" s="95" t="n">
        <f aca="false">S139-S140+MAX(-S138,0)</f>
        <v>30198.6504969192</v>
      </c>
      <c r="T141" s="95" t="n">
        <f aca="false">T139-T140+MAX(-T138,0)</f>
        <v>0</v>
      </c>
      <c r="U141" s="95" t="n">
        <f aca="false">U139-U140+MAX(-U138,0)</f>
        <v>0</v>
      </c>
      <c r="V141" s="95" t="n">
        <f aca="false">V139-V140+MAX(-V138,0)</f>
        <v>0</v>
      </c>
      <c r="W141" s="95" t="n">
        <f aca="false">W139-W140+MAX(-W138,0)</f>
        <v>0</v>
      </c>
    </row>
    <row r="142" customFormat="false" ht="15" hidden="false" customHeight="false" outlineLevel="0" collapsed="false">
      <c r="A142" s="11" t="s">
        <v>473</v>
      </c>
      <c r="B142" s="66" t="n">
        <f aca="false">SUM(C142:W142)</f>
        <v>68440.8413129233</v>
      </c>
      <c r="C142" s="95" t="n">
        <v>0</v>
      </c>
      <c r="D142" s="95" t="n">
        <f aca="false">(MAX(D138,0)-D140)*TaxRate</f>
        <v>0</v>
      </c>
      <c r="E142" s="95" t="n">
        <f aca="false">(MAX(E138,0)-E140)*TaxRate</f>
        <v>0</v>
      </c>
      <c r="F142" s="95" t="n">
        <f aca="false">(MAX(F138,0)-F140)*TaxRate</f>
        <v>0</v>
      </c>
      <c r="G142" s="95" t="n">
        <f aca="false">(MAX(G138,0)-G140)*TaxRate</f>
        <v>0</v>
      </c>
      <c r="H142" s="95" t="n">
        <f aca="false">(MAX(H138,0)-H140)*TaxRate</f>
        <v>0</v>
      </c>
      <c r="I142" s="95" t="n">
        <f aca="false">(MAX(I138,0)-I140)*TaxRate</f>
        <v>0</v>
      </c>
      <c r="J142" s="95" t="n">
        <f aca="false">(MAX(J138,0)-J140)*TaxRate</f>
        <v>0</v>
      </c>
      <c r="K142" s="95" t="n">
        <f aca="false">(MAX(K138,0)-K140)*TaxRate</f>
        <v>0</v>
      </c>
      <c r="L142" s="95" t="n">
        <f aca="false">(MAX(L138,0)-L140)*TaxRate</f>
        <v>0</v>
      </c>
      <c r="M142" s="95" t="n">
        <f aca="false">(MAX(M138,0)-M140)*TaxRate</f>
        <v>0</v>
      </c>
      <c r="N142" s="95" t="n">
        <f aca="false">(MAX(N138,0)-N140)*TaxRate</f>
        <v>0</v>
      </c>
      <c r="O142" s="95" t="n">
        <f aca="false">(MAX(O138,0)-O140)*TaxRate</f>
        <v>0</v>
      </c>
      <c r="P142" s="95" t="n">
        <f aca="false">(MAX(P138,0)-P140)*TaxRate</f>
        <v>0</v>
      </c>
      <c r="Q142" s="95" t="n">
        <f aca="false">(MAX(Q138,0)-Q140)*TaxRate</f>
        <v>0</v>
      </c>
      <c r="R142" s="95" t="n">
        <f aca="false">(MAX(R138,0)-R140)*TaxRate</f>
        <v>0</v>
      </c>
      <c r="S142" s="95" t="n">
        <f aca="false">(MAX(S138,0)-S140)*TaxRate</f>
        <v>0</v>
      </c>
      <c r="T142" s="95" t="n">
        <f aca="false">(MAX(T138,0)-T140)*TaxRate</f>
        <v>12439.4303213768</v>
      </c>
      <c r="U142" s="95" t="n">
        <f aca="false">(MAX(U138,0)-U140)*TaxRate</f>
        <v>19381.5789926903</v>
      </c>
      <c r="V142" s="95" t="n">
        <f aca="false">(MAX(V138,0)-V140)*TaxRate</f>
        <v>18695.3008117276</v>
      </c>
      <c r="W142" s="95" t="n">
        <f aca="false">(MAX(W138,0)-W140)*TaxRate</f>
        <v>17924.5311871287</v>
      </c>
    </row>
    <row r="144" customFormat="false" ht="15" hidden="false" customHeight="false" outlineLevel="0" collapsed="false">
      <c r="A144" s="9" t="s">
        <v>474</v>
      </c>
      <c r="B144" s="10"/>
      <c r="C144" s="10"/>
      <c r="D144" s="10"/>
      <c r="E144" s="10"/>
      <c r="F144" s="10"/>
      <c r="G144" s="10"/>
      <c r="H144" s="10"/>
      <c r="I144" s="10"/>
      <c r="J144" s="10"/>
      <c r="K144" s="10"/>
      <c r="L144" s="10"/>
      <c r="M144" s="10"/>
      <c r="N144" s="10"/>
      <c r="O144" s="10"/>
      <c r="P144" s="10"/>
      <c r="Q144" s="10"/>
      <c r="R144" s="10"/>
      <c r="S144" s="10"/>
      <c r="T144" s="10"/>
      <c r="U144" s="10"/>
      <c r="V144" s="10"/>
      <c r="W144" s="10"/>
    </row>
    <row r="145" customFormat="false" ht="15" hidden="false" customHeight="false" outlineLevel="0" collapsed="false">
      <c r="A145" s="16" t="s">
        <v>475</v>
      </c>
      <c r="B145" s="66" t="n">
        <f aca="false">C145+NPV(Hurdle,D145:W145)</f>
        <v>-691147.081921861</v>
      </c>
      <c r="C145" s="31" t="n">
        <f aca="false">-C102+C98-C103-C137</f>
        <v>-1162734.14692871</v>
      </c>
      <c r="D145" s="31" t="n">
        <f aca="false">-D102+D98-D103-D137</f>
        <v>17903.7780992067</v>
      </c>
      <c r="E145" s="31" t="n">
        <f aca="false">-E102+E98-E103-E137</f>
        <v>46165.4300826449</v>
      </c>
      <c r="F145" s="31" t="n">
        <f aca="false">-F102+F98-F103-F137</f>
        <v>68413.8076043253</v>
      </c>
      <c r="G145" s="31" t="n">
        <f aca="false">-G102+G98-G103-G137</f>
        <v>72643.8056767484</v>
      </c>
      <c r="H145" s="31" t="n">
        <f aca="false">-H102+H98-H103-H137</f>
        <v>78961.7240002118</v>
      </c>
      <c r="I145" s="31" t="n">
        <f aca="false">-I102+I98-I103-I137</f>
        <v>85721.2208663065</v>
      </c>
      <c r="J145" s="31" t="n">
        <f aca="false">-J102+J98-J103-J137</f>
        <v>91072.7462521646</v>
      </c>
      <c r="K145" s="31" t="n">
        <f aca="false">-K102+K98-K103-K137</f>
        <v>-75101.3712520058</v>
      </c>
      <c r="L145" s="31" t="n">
        <f aca="false">-L102+L98-L103-L137</f>
        <v>90381.0076188807</v>
      </c>
      <c r="M145" s="31" t="n">
        <f aca="false">-M102+M98-M103-M137</f>
        <v>89797.4041278121</v>
      </c>
      <c r="N145" s="31" t="n">
        <f aca="false">-N102+N98-N103-N137</f>
        <v>89038.2843250438</v>
      </c>
      <c r="O145" s="31" t="n">
        <f aca="false">-O102+O98-O103-O137</f>
        <v>88089.8201061824</v>
      </c>
      <c r="P145" s="31" t="n">
        <f aca="false">-P102+P98-P103-P137</f>
        <v>86937.2734035529</v>
      </c>
      <c r="Q145" s="31" t="n">
        <f aca="false">-Q102+Q98-Q103-Q137</f>
        <v>85564.9393891096</v>
      </c>
      <c r="R145" s="31" t="n">
        <f aca="false">-R102+R98-R103-R137</f>
        <v>83277.2743759015</v>
      </c>
      <c r="S145" s="31" t="n">
        <f aca="false">-S102+S98-S103-S137</f>
        <v>-148591.843088359</v>
      </c>
      <c r="T145" s="31" t="n">
        <f aca="false">-T102+T98-T103-T137</f>
        <v>59967.2788368197</v>
      </c>
      <c r="U145" s="31" t="n">
        <f aca="false">-U102+U98-U103-U137</f>
        <v>58144.7369780708</v>
      </c>
      <c r="V145" s="31" t="n">
        <f aca="false">-V102+V98-V103-V137</f>
        <v>56085.9024351828</v>
      </c>
      <c r="W145" s="31" t="n">
        <f aca="false">-W102+W98-W103-W137</f>
        <v>53773.5935613861</v>
      </c>
    </row>
    <row r="146" customFormat="false" ht="15" hidden="false" customHeight="false" outlineLevel="0" collapsed="false">
      <c r="A146" s="16" t="s">
        <v>476</v>
      </c>
      <c r="B146" s="66" t="n">
        <f aca="false">C146+NPV(Hurdle,D146:W146)</f>
        <v>126773.278709244</v>
      </c>
      <c r="C146" s="31" t="n">
        <f aca="false">C145+C106+C108</f>
        <v>-562734.146928707</v>
      </c>
      <c r="D146" s="31" t="n">
        <f aca="false">D145+D106+D108</f>
        <v>169103.778099207</v>
      </c>
      <c r="E146" s="31" t="n">
        <f aca="false">E145+E106+E108</f>
        <v>109165.430082645</v>
      </c>
      <c r="F146" s="31" t="n">
        <f aca="false">F145+F106+F108</f>
        <v>106213.807604325</v>
      </c>
      <c r="G146" s="31" t="n">
        <f aca="false">G145+G106+G108</f>
        <v>72643.8056767484</v>
      </c>
      <c r="H146" s="31" t="n">
        <f aca="false">H145+H106+H108</f>
        <v>78961.7240002118</v>
      </c>
      <c r="I146" s="31" t="n">
        <f aca="false">I145+I106+I108</f>
        <v>85721.2208663065</v>
      </c>
      <c r="J146" s="31" t="n">
        <f aca="false">J145+J106+J108</f>
        <v>91072.7462521646</v>
      </c>
      <c r="K146" s="31" t="n">
        <f aca="false">K145+K106+K108</f>
        <v>-75101.3712520058</v>
      </c>
      <c r="L146" s="31" t="n">
        <f aca="false">L145+L106+L108</f>
        <v>90381.0076188807</v>
      </c>
      <c r="M146" s="31" t="n">
        <f aca="false">M145+M106+M108</f>
        <v>89797.4041278121</v>
      </c>
      <c r="N146" s="31" t="n">
        <f aca="false">N145+N106+N108</f>
        <v>89038.2843250438</v>
      </c>
      <c r="O146" s="31" t="n">
        <f aca="false">O145+O106+O108</f>
        <v>88089.8201061824</v>
      </c>
      <c r="P146" s="31" t="n">
        <f aca="false">P145+P106+P108</f>
        <v>86937.2734035529</v>
      </c>
      <c r="Q146" s="31" t="n">
        <f aca="false">Q145+Q106+Q108</f>
        <v>85564.9393891096</v>
      </c>
      <c r="R146" s="31" t="n">
        <f aca="false">R145+R106+R108</f>
        <v>83277.2743759015</v>
      </c>
      <c r="S146" s="31" t="n">
        <f aca="false">S145+S106+S108</f>
        <v>-148591.843088359</v>
      </c>
      <c r="T146" s="31" t="n">
        <f aca="false">T145+T106+T108</f>
        <v>59967.2788368197</v>
      </c>
      <c r="U146" s="31" t="n">
        <f aca="false">U145+U106+U108</f>
        <v>58144.7369780708</v>
      </c>
      <c r="V146" s="31" t="n">
        <f aca="false">V145+V106+V108</f>
        <v>56085.9024351828</v>
      </c>
      <c r="W146" s="31" t="n">
        <f aca="false">W145+W106+W108</f>
        <v>53773.5935613861</v>
      </c>
    </row>
    <row r="147" customFormat="false" ht="15" hidden="false" customHeight="false" outlineLevel="0" collapsed="false">
      <c r="A147" s="11" t="s">
        <v>243</v>
      </c>
      <c r="B147" s="66" t="n">
        <f aca="false">SUM(C147:W147)</f>
        <v>1358998.51057255</v>
      </c>
      <c r="C147" s="95" t="n">
        <v>0</v>
      </c>
      <c r="D147" s="95" t="n">
        <f aca="false">D98-D105-D142+D108</f>
        <v>148365.848386119</v>
      </c>
      <c r="E147" s="95" t="n">
        <f aca="false">E98-E105-E142+E108</f>
        <v>88427.5003695572</v>
      </c>
      <c r="F147" s="95" t="n">
        <f aca="false">F98-F105-F142+F108</f>
        <v>85475.8778912376</v>
      </c>
      <c r="G147" s="95" t="n">
        <f aca="false">G98-G105-G142+G108</f>
        <v>51905.8759636608</v>
      </c>
      <c r="H147" s="95" t="n">
        <f aca="false">H98-H105-H142+H108</f>
        <v>58223.7942871241</v>
      </c>
      <c r="I147" s="95" t="n">
        <f aca="false">I98-I105-I142+I108</f>
        <v>64983.2911532188</v>
      </c>
      <c r="J147" s="95" t="n">
        <f aca="false">J98-J105-J142+J108</f>
        <v>70334.8165390769</v>
      </c>
      <c r="K147" s="95" t="n">
        <f aca="false">K98-K105-K142+K108</f>
        <v>70064.1367396079</v>
      </c>
      <c r="L147" s="95" t="n">
        <f aca="false">L98-L105-L142+L108</f>
        <v>64110.8187084219</v>
      </c>
      <c r="M147" s="95" t="n">
        <f aca="false">M98-M105-M142+M108</f>
        <v>63527.2152173534</v>
      </c>
      <c r="N147" s="95" t="n">
        <f aca="false">N98-N105-N142+N108</f>
        <v>62768.0954145851</v>
      </c>
      <c r="O147" s="95" t="n">
        <f aca="false">O98-O105-O142+O108</f>
        <v>61819.6311957237</v>
      </c>
      <c r="P147" s="95" t="n">
        <f aca="false">P98-P105-P142+P108</f>
        <v>60667.0844930942</v>
      </c>
      <c r="Q147" s="95" t="n">
        <f aca="false">Q98-Q105-Q142+Q108</f>
        <v>59294.7504786508</v>
      </c>
      <c r="R147" s="95" t="n">
        <f aca="false">R98-R105-R142+R108</f>
        <v>57685.8972828026</v>
      </c>
      <c r="S147" s="95" t="n">
        <f aca="false">S98-S105-S142+S108</f>
        <v>55822.7020166225</v>
      </c>
      <c r="T147" s="95" t="n">
        <f aca="false">T98-T105-T142+T108</f>
        <v>67516.9414610494</v>
      </c>
      <c r="U147" s="95" t="n">
        <f aca="false">U98-U105-U142+U108</f>
        <v>58144.7369780708</v>
      </c>
      <c r="V147" s="95" t="n">
        <f aca="false">V98-V105-V142+V108</f>
        <v>56085.9024351828</v>
      </c>
      <c r="W147" s="95" t="n">
        <f aca="false">W98-W105-W142+W108</f>
        <v>53773.5935613861</v>
      </c>
    </row>
    <row r="148" customFormat="false" ht="15" hidden="false" customHeight="false" outlineLevel="0" collapsed="false">
      <c r="A148" s="11" t="s">
        <v>477</v>
      </c>
      <c r="C148" s="97" t="n">
        <v>0</v>
      </c>
      <c r="D148" s="97" t="n">
        <f aca="false">IF(D125&gt;0,D147/D125,"")</f>
        <v>10.1404523170058</v>
      </c>
      <c r="E148" s="97" t="n">
        <f aca="false">IF(E125&gt;0,E147/E125,"")</f>
        <v>6.04380900836343</v>
      </c>
      <c r="F148" s="97" t="n">
        <f aca="false">IF(F125&gt;0,F147/F125,"")</f>
        <v>3.49271252462573</v>
      </c>
      <c r="G148" s="97" t="n">
        <f aca="false">IF(G125&gt;0,G147/G125,"")</f>
        <v>2.12097620466244</v>
      </c>
      <c r="H148" s="97" t="n">
        <f aca="false">IF(H125&gt;0,H147/H125,"")</f>
        <v>2.37913877639995</v>
      </c>
      <c r="I148" s="97" t="n">
        <f aca="false">IF(I125&gt;0,I147/I125,"")</f>
        <v>1.89510071984169</v>
      </c>
      <c r="J148" s="97" t="n">
        <f aca="false">IF(J125&gt;0,J147/J125,"")</f>
        <v>2.05116667819826</v>
      </c>
      <c r="K148" s="97" t="n">
        <f aca="false">IF(K125&gt;0,K147/K125,"")</f>
        <v>2.04327287236422</v>
      </c>
      <c r="L148" s="97" t="n">
        <f aca="false">IF(L125&gt;0,L147/L125,"")</f>
        <v>1.86965689991761</v>
      </c>
      <c r="M148" s="97" t="n">
        <f aca="false">IF(M125&gt;0,M147/M125,"")</f>
        <v>1.85263733417388</v>
      </c>
      <c r="N148" s="97" t="n">
        <f aca="false">IF(N125&gt;0,N147/N125,"")</f>
        <v>4.75734934948192</v>
      </c>
      <c r="O148" s="97" t="n">
        <f aca="false">IF(O125&gt;0,O147/O125,"")</f>
        <v>4.68546289817566</v>
      </c>
      <c r="P148" s="97" t="n">
        <f aca="false">IF(P125&gt;0,P147/P125,"")</f>
        <v>4.59810853016774</v>
      </c>
      <c r="Q148" s="97" t="n">
        <f aca="false">IF(Q125&gt;0,Q147/Q125,"")</f>
        <v>4.49409593765936</v>
      </c>
      <c r="R148" s="97" t="n">
        <f aca="false">IF(R125&gt;0,R147/R125,"")</f>
        <v>4.37215697083033</v>
      </c>
      <c r="S148" s="97" t="str">
        <f aca="false">IF(S125&gt;0,S147/S125,"")</f>
        <v/>
      </c>
      <c r="T148" s="97" t="str">
        <f aca="false">IF(T125&gt;0,T147/T125,"")</f>
        <v/>
      </c>
      <c r="U148" s="97" t="str">
        <f aca="false">IF(U125&gt;0,U147/U125,"")</f>
        <v/>
      </c>
      <c r="V148" s="97" t="str">
        <f aca="false">IF(V125&gt;0,V147/V125,"")</f>
        <v/>
      </c>
      <c r="W148" s="97" t="str">
        <f aca="false">IF(W125&gt;0,W147/W125,"")</f>
        <v/>
      </c>
    </row>
    <row r="149" customFormat="false" ht="15" hidden="false" customHeight="false" outlineLevel="0" collapsed="false">
      <c r="A149" s="16" t="s">
        <v>478</v>
      </c>
      <c r="B149" s="66" t="n">
        <f aca="false">C149+NPV(Hurdle,D149:W149)</f>
        <v>120636.916873156</v>
      </c>
      <c r="C149" s="31" t="n">
        <f aca="false">-S_Coll_Hi!$B$18-C129</f>
        <v>-344956.032067298</v>
      </c>
      <c r="D149" s="31" t="n">
        <f aca="false">D147-D125-D129</f>
        <v>133734.760565973</v>
      </c>
      <c r="E149" s="31" t="n">
        <f aca="false">E147-E125-E129</f>
        <v>68875.6390860127</v>
      </c>
      <c r="F149" s="31" t="n">
        <f aca="false">F147-F125-F129</f>
        <v>61003.2431442949</v>
      </c>
      <c r="G149" s="31" t="n">
        <f aca="false">G147-G125-G129</f>
        <v>27433.241216718</v>
      </c>
      <c r="H149" s="31" t="n">
        <f aca="false">H147-H125-H129</f>
        <v>28842.4010681201</v>
      </c>
      <c r="I149" s="31" t="n">
        <f aca="false">I147-I125-I129</f>
        <v>30693.1394621534</v>
      </c>
      <c r="J149" s="31" t="n">
        <f aca="false">J147-J125-J129</f>
        <v>36044.6648480115</v>
      </c>
      <c r="K149" s="31" t="n">
        <f aca="false">K147-K125-K129</f>
        <v>35773.9850485425</v>
      </c>
      <c r="L149" s="31" t="n">
        <f aca="false">L147-L125-L129</f>
        <v>29820.6670173565</v>
      </c>
      <c r="M149" s="31" t="n">
        <f aca="false">M147-M125-M129</f>
        <v>39785.1784589732</v>
      </c>
      <c r="N149" s="31" t="n">
        <f aca="false">N147-N125-N129</f>
        <v>49574.1735888901</v>
      </c>
      <c r="O149" s="31" t="n">
        <f aca="false">O147-O125-O129</f>
        <v>48625.7093700287</v>
      </c>
      <c r="P149" s="31" t="n">
        <f aca="false">P147-P125-P129</f>
        <v>47473.1626673993</v>
      </c>
      <c r="Q149" s="31" t="n">
        <f aca="false">Q147-Q125-Q129</f>
        <v>46100.8286529559</v>
      </c>
      <c r="R149" s="31" t="n">
        <f aca="false">R147-R125-R129</f>
        <v>51088.9363699551</v>
      </c>
      <c r="S149" s="31" t="n">
        <f aca="false">S147-S125-S129</f>
        <v>55822.7020166225</v>
      </c>
      <c r="T149" s="31" t="n">
        <f aca="false">T147-T125-T129</f>
        <v>67516.9414610494</v>
      </c>
      <c r="U149" s="31" t="n">
        <f aca="false">U147-U125-U129</f>
        <v>58144.7369780708</v>
      </c>
      <c r="V149" s="31" t="n">
        <f aca="false">V147-V125-V129</f>
        <v>56085.9024351828</v>
      </c>
      <c r="W149" s="31" t="n">
        <f aca="false">W147-W125-W129</f>
        <v>53773.5935613861</v>
      </c>
    </row>
    <row r="150" customFormat="false" ht="15" hidden="false" customHeight="false" outlineLevel="0" collapsed="false">
      <c r="A150" s="11" t="s">
        <v>479</v>
      </c>
      <c r="C150" s="95" t="n">
        <f aca="false">C149</f>
        <v>-344956.032067298</v>
      </c>
      <c r="D150" s="95" t="n">
        <f aca="false">C150+D149</f>
        <v>-211221.271501325</v>
      </c>
      <c r="E150" s="95" t="n">
        <f aca="false">D150+E149</f>
        <v>-142345.632415312</v>
      </c>
      <c r="F150" s="95" t="n">
        <f aca="false">E150+F149</f>
        <v>-81342.3892710173</v>
      </c>
      <c r="G150" s="95" t="n">
        <f aca="false">F150+G149</f>
        <v>-53909.1480542992</v>
      </c>
      <c r="H150" s="95" t="n">
        <f aca="false">G150+H149</f>
        <v>-25066.7469861792</v>
      </c>
      <c r="I150" s="95" t="n">
        <f aca="false">H150+I149</f>
        <v>5626.39247597428</v>
      </c>
      <c r="J150" s="95" t="n">
        <f aca="false">I150+J149</f>
        <v>41671.0573239858</v>
      </c>
      <c r="K150" s="95" t="n">
        <f aca="false">J150+K149</f>
        <v>77445.0423725283</v>
      </c>
      <c r="L150" s="95" t="n">
        <f aca="false">K150+L149</f>
        <v>107265.709389885</v>
      </c>
      <c r="M150" s="95" t="n">
        <f aca="false">L150+M149</f>
        <v>147050.887848858</v>
      </c>
      <c r="N150" s="95" t="n">
        <f aca="false">M150+N149</f>
        <v>196625.061437748</v>
      </c>
      <c r="O150" s="95" t="n">
        <f aca="false">N150+O149</f>
        <v>245250.770807777</v>
      </c>
      <c r="P150" s="95" t="n">
        <f aca="false">O150+P149</f>
        <v>292723.933475176</v>
      </c>
      <c r="Q150" s="95" t="n">
        <f aca="false">P150+Q149</f>
        <v>338824.762128132</v>
      </c>
      <c r="R150" s="95" t="n">
        <f aca="false">Q150+R149</f>
        <v>389913.698498087</v>
      </c>
      <c r="S150" s="95" t="n">
        <f aca="false">R150+S149</f>
        <v>445736.40051471</v>
      </c>
      <c r="T150" s="95" t="n">
        <f aca="false">S150+T149</f>
        <v>513253.341975759</v>
      </c>
      <c r="U150" s="95" t="n">
        <f aca="false">T150+U149</f>
        <v>571398.07895383</v>
      </c>
      <c r="V150" s="95" t="n">
        <f aca="false">U150+V149</f>
        <v>627483.981389013</v>
      </c>
      <c r="W150" s="95" t="n">
        <f aca="false">V150+W149</f>
        <v>681257.574950399</v>
      </c>
    </row>
    <row r="152" customFormat="false" ht="15" hidden="false" customHeight="false" outlineLevel="0" collapsed="false">
      <c r="A152" s="9" t="s">
        <v>480</v>
      </c>
      <c r="B152" s="10"/>
      <c r="C152" s="10"/>
      <c r="D152" s="10"/>
      <c r="E152" s="10"/>
      <c r="F152" s="10"/>
      <c r="G152" s="10"/>
      <c r="H152" s="10"/>
      <c r="I152" s="10"/>
      <c r="J152" s="10"/>
      <c r="K152" s="10"/>
      <c r="L152" s="10"/>
      <c r="M152" s="10"/>
      <c r="N152" s="10"/>
      <c r="O152" s="10"/>
      <c r="P152" s="10"/>
      <c r="Q152" s="10"/>
      <c r="R152" s="10"/>
      <c r="S152" s="10"/>
      <c r="T152" s="10"/>
      <c r="U152" s="10"/>
      <c r="V152" s="10"/>
      <c r="W152" s="10"/>
    </row>
    <row r="153" customFormat="false" ht="15" hidden="false" customHeight="false" outlineLevel="0" collapsed="false">
      <c r="A153" s="11" t="s">
        <v>481</v>
      </c>
      <c r="B153" s="66" t="n">
        <f aca="false">C153+NPV(Hurdle,D153:W153)</f>
        <v>2323238.80329335</v>
      </c>
      <c r="C153" s="95" t="n">
        <f aca="false">C102+C96-C93+C103</f>
        <v>1162734.14692871</v>
      </c>
      <c r="D153" s="95" t="n">
        <f aca="false">D102+D96-D93+D103</f>
        <v>66407.5541247933</v>
      </c>
      <c r="E153" s="95" t="n">
        <f aca="false">E102+E96-E93+E103</f>
        <v>73279.1455139807</v>
      </c>
      <c r="F153" s="95" t="n">
        <f aca="false">F102+F96-F93+F103</f>
        <v>78859.6369550395</v>
      </c>
      <c r="G153" s="95" t="n">
        <f aca="false">G102+G96-G93+G103</f>
        <v>81823.4407312817</v>
      </c>
      <c r="H153" s="95" t="n">
        <f aca="false">H102+H96-H93+H103</f>
        <v>84912.5777140674</v>
      </c>
      <c r="I153" s="95" t="n">
        <f aca="false">I102+I96-I93+I103</f>
        <v>88133.0258223723</v>
      </c>
      <c r="J153" s="95" t="n">
        <f aca="false">J102+J96-J93+J103</f>
        <v>93369.2240598548</v>
      </c>
      <c r="K153" s="95" t="n">
        <f aca="false">K102+K96-K93+K103</f>
        <v>270775.857556027</v>
      </c>
      <c r="L153" s="95" t="n">
        <f aca="false">L102+L96-L93+L103</f>
        <v>117210.054901056</v>
      </c>
      <c r="M153" s="95" t="n">
        <f aca="false">M102+M96-M93+M103</f>
        <v>130435.954099588</v>
      </c>
      <c r="N153" s="95" t="n">
        <f aca="false">N102+N96-N93+N103</f>
        <v>144607.285418405</v>
      </c>
      <c r="O153" s="95" t="n">
        <f aca="false">O102+O96-O93+O103</f>
        <v>159784.764834643</v>
      </c>
      <c r="P153" s="95" t="n">
        <f aca="false">P102+P96-P93+P103</f>
        <v>176032.873760168</v>
      </c>
      <c r="Q153" s="95" t="n">
        <f aca="false">Q102+Q96-Q93+Q103</f>
        <v>193420.089736882</v>
      </c>
      <c r="R153" s="95" t="n">
        <f aca="false">R102+R96-R93+R103</f>
        <v>212019.131206504</v>
      </c>
      <c r="S153" s="95" t="n">
        <f aca="false">S102+S96-S93+S103</f>
        <v>442068.728495999</v>
      </c>
      <c r="T153" s="95" t="n">
        <f aca="false">T102+T96-T93+T103</f>
        <v>253166.342942675</v>
      </c>
      <c r="U153" s="95" t="n">
        <f aca="false">U102+U96-U93+U103</f>
        <v>275883.572081098</v>
      </c>
      <c r="V153" s="95" t="n">
        <f aca="false">V102+V96-V93+V103</f>
        <v>300151.346987307</v>
      </c>
      <c r="W153" s="95" t="n">
        <f aca="false">W102+W96-W93+W103</f>
        <v>326067.817794967</v>
      </c>
    </row>
    <row r="154" customFormat="false" ht="15" hidden="false" customHeight="false" outlineLevel="0" collapsed="false">
      <c r="A154" s="11" t="s">
        <v>482</v>
      </c>
      <c r="B154" s="76" t="n">
        <f aca="false">C154+NPV(Hurdle,D154:W154)</f>
        <v>3504620.16232003</v>
      </c>
      <c r="C154" s="93" t="n">
        <f aca="false">C66</f>
        <v>0</v>
      </c>
      <c r="D154" s="93" t="n">
        <f aca="false">D66</f>
        <v>211139.712</v>
      </c>
      <c r="E154" s="93" t="n">
        <f aca="false">E66</f>
        <v>308088.02976</v>
      </c>
      <c r="F154" s="93" t="n">
        <f aca="false">F66</f>
        <v>373330.200768</v>
      </c>
      <c r="G154" s="93" t="n">
        <f aca="false">G66</f>
        <v>384530.10679104</v>
      </c>
      <c r="H154" s="93" t="n">
        <f aca="false">H66</f>
        <v>396066.009994771</v>
      </c>
      <c r="I154" s="93" t="n">
        <f aca="false">I66</f>
        <v>407947.990294614</v>
      </c>
      <c r="J154" s="93" t="n">
        <f aca="false">J66</f>
        <v>420186.430003453</v>
      </c>
      <c r="K154" s="93" t="n">
        <f aca="false">K66</f>
        <v>432792.022903556</v>
      </c>
      <c r="L154" s="93" t="n">
        <f aca="false">L66</f>
        <v>445775.783590663</v>
      </c>
      <c r="M154" s="93" t="n">
        <f aca="false">M66</f>
        <v>459149.057098383</v>
      </c>
      <c r="N154" s="93" t="n">
        <f aca="false">N66</f>
        <v>472923.528811335</v>
      </c>
      <c r="O154" s="93" t="n">
        <f aca="false">O66</f>
        <v>487111.234675675</v>
      </c>
      <c r="P154" s="93" t="n">
        <f aca="false">P66</f>
        <v>501724.571715945</v>
      </c>
      <c r="Q154" s="93" t="n">
        <f aca="false">Q66</f>
        <v>516776.308867423</v>
      </c>
      <c r="R154" s="93" t="n">
        <f aca="false">R66</f>
        <v>532279.598133446</v>
      </c>
      <c r="S154" s="93" t="n">
        <f aca="false">S66</f>
        <v>548247.986077449</v>
      </c>
      <c r="T154" s="93" t="n">
        <f aca="false">T66</f>
        <v>564695.425659773</v>
      </c>
      <c r="U154" s="93" t="n">
        <f aca="false">U66</f>
        <v>581636.288429566</v>
      </c>
      <c r="V154" s="93" t="n">
        <f aca="false">V66</f>
        <v>599085.377082453</v>
      </c>
      <c r="W154" s="93" t="n">
        <f aca="false">W66</f>
        <v>617057.938394927</v>
      </c>
    </row>
    <row r="155" customFormat="false" ht="15" hidden="false" customHeight="false" outlineLevel="0" collapsed="false">
      <c r="A155" s="11" t="s">
        <v>483</v>
      </c>
      <c r="B155" s="66" t="n">
        <f aca="false">C155+NPV(Hurdle,D155:W155)</f>
        <v>1690965.07317378</v>
      </c>
      <c r="C155" s="95" t="n">
        <f aca="false">C83</f>
        <v>0</v>
      </c>
      <c r="D155" s="95" t="n">
        <f aca="false">D83</f>
        <v>80018.8992</v>
      </c>
      <c r="E155" s="95" t="n">
        <f aca="false">E83</f>
        <v>120263.73772848</v>
      </c>
      <c r="F155" s="95" t="n">
        <f aca="false">F83</f>
        <v>150103.29336017</v>
      </c>
      <c r="G155" s="95" t="n">
        <f aca="false">G83</f>
        <v>159244.583925804</v>
      </c>
      <c r="H155" s="95" t="n">
        <f aca="false">H83</f>
        <v>168942.579086886</v>
      </c>
      <c r="I155" s="95" t="n">
        <f aca="false">I83</f>
        <v>179231.182153277</v>
      </c>
      <c r="J155" s="95" t="n">
        <f aca="false">J83</f>
        <v>190146.361146412</v>
      </c>
      <c r="K155" s="95" t="n">
        <f aca="false">K83</f>
        <v>201726.274540228</v>
      </c>
      <c r="L155" s="95" t="n">
        <f aca="false">L83</f>
        <v>214011.404659728</v>
      </c>
      <c r="M155" s="95" t="n">
        <f aca="false">M83</f>
        <v>227044.699203506</v>
      </c>
      <c r="N155" s="95" t="n">
        <f aca="false">N83</f>
        <v>240871.721384999</v>
      </c>
      <c r="O155" s="95" t="n">
        <f aca="false">O83</f>
        <v>255540.809217346</v>
      </c>
      <c r="P155" s="95" t="n">
        <f aca="false">P83</f>
        <v>271103.244498682</v>
      </c>
      <c r="Q155" s="95" t="n">
        <f aca="false">Q83</f>
        <v>287613.432088652</v>
      </c>
      <c r="R155" s="95" t="n">
        <f aca="false">R83</f>
        <v>305129.090102851</v>
      </c>
      <c r="S155" s="95" t="n">
        <f aca="false">S83</f>
        <v>323711.451690114</v>
      </c>
      <c r="T155" s="95" t="n">
        <f aca="false">T83</f>
        <v>343425.479098042</v>
      </c>
      <c r="U155" s="95" t="n">
        <f aca="false">U83</f>
        <v>364340.090775113</v>
      </c>
      <c r="V155" s="95" t="n">
        <f aca="false">V83</f>
        <v>386528.402303317</v>
      </c>
      <c r="W155" s="95" t="n">
        <f aca="false">W83</f>
        <v>410067.982003589</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7" t="s">
        <v>392</v>
      </c>
    </row>
    <row r="2" customFormat="false" ht="15" hidden="false" customHeight="false" outlineLevel="0" collapsed="false">
      <c r="A2" s="8" t="s">
        <v>393</v>
      </c>
    </row>
    <row r="4" customFormat="false" ht="15" hidden="false" customHeight="false" outlineLevel="0" collapsed="false">
      <c r="A4" s="9" t="s">
        <v>394</v>
      </c>
      <c r="B4" s="10"/>
    </row>
    <row r="5" customFormat="false" ht="15" hidden="false" customHeight="false" outlineLevel="0" collapsed="false">
      <c r="A5" s="11" t="s">
        <v>67</v>
      </c>
      <c r="B5" s="67" t="n">
        <v>1</v>
      </c>
    </row>
    <row r="6" customFormat="false" ht="15" hidden="false" customHeight="false" outlineLevel="0" collapsed="false">
      <c r="A6" s="11" t="s">
        <v>333</v>
      </c>
      <c r="B6" s="67" t="n">
        <v>1</v>
      </c>
    </row>
    <row r="7" customFormat="false" ht="15" hidden="false" customHeight="false" outlineLevel="0" collapsed="false">
      <c r="A7" s="11" t="s">
        <v>69</v>
      </c>
      <c r="B7" s="67" t="n">
        <v>1</v>
      </c>
    </row>
    <row r="8" customFormat="false" ht="15" hidden="false" customHeight="false" outlineLevel="0" collapsed="false">
      <c r="A8" s="11" t="s">
        <v>70</v>
      </c>
      <c r="B8" s="67" t="n">
        <v>1</v>
      </c>
    </row>
    <row r="9" customFormat="false" ht="15" hidden="false" customHeight="false" outlineLevel="0" collapsed="false">
      <c r="A9" s="11" t="s">
        <v>395</v>
      </c>
      <c r="B9" s="67" t="n">
        <v>1</v>
      </c>
    </row>
    <row r="10" customFormat="false" ht="15" hidden="false" customHeight="false" outlineLevel="0" collapsed="false">
      <c r="A10" s="11" t="s">
        <v>72</v>
      </c>
      <c r="B10" s="67" t="n">
        <f aca="false">1-SensDelta</f>
        <v>0.8</v>
      </c>
    </row>
    <row r="11" customFormat="false" ht="15" hidden="false" customHeight="false" outlineLevel="0" collapsed="false">
      <c r="A11" s="11" t="s">
        <v>334</v>
      </c>
      <c r="B11" s="67" t="n">
        <v>1</v>
      </c>
    </row>
    <row r="13" customFormat="false" ht="15" hidden="false" customHeight="false" outlineLevel="0" collapsed="false">
      <c r="A13" s="9" t="s">
        <v>396</v>
      </c>
      <c r="B13" s="10"/>
    </row>
    <row r="14" customFormat="false" ht="15" hidden="false" customHeight="false" outlineLevel="0" collapsed="false">
      <c r="A14" s="11" t="s">
        <v>397</v>
      </c>
      <c r="B14" s="66" t="n">
        <f aca="false">TotalCapexBase*LevCapex*$B$7</f>
        <v>1162734.14692871</v>
      </c>
    </row>
    <row r="15" customFormat="false" ht="15" hidden="false" customHeight="false" outlineLevel="0" collapsed="false">
      <c r="A15" s="11" t="s">
        <v>398</v>
      </c>
      <c r="B15" s="66" t="n">
        <f aca="false">HardCapexBase*LevCapex*$B$7</f>
        <v>1011073.17124235</v>
      </c>
    </row>
    <row r="16" customFormat="false" ht="15" hidden="false" customHeight="false" outlineLevel="0" collapsed="false">
      <c r="A16" s="11" t="s">
        <v>252</v>
      </c>
      <c r="B16" s="66" t="n">
        <f aca="false">MAX(0,S_Fuel_Lo!$B$14-Grant)*SenPct</f>
        <v>112546.829385741</v>
      </c>
    </row>
    <row r="17" customFormat="false" ht="15" hidden="false" customHeight="false" outlineLevel="0" collapsed="false">
      <c r="A17" s="11" t="s">
        <v>254</v>
      </c>
      <c r="B17" s="66" t="n">
        <f aca="false">MAX(0,S_Fuel_Lo!$B$14-Grant)*ConPct</f>
        <v>112546.829385741</v>
      </c>
    </row>
    <row r="18" customFormat="false" ht="15" hidden="false" customHeight="false" outlineLevel="0" collapsed="false">
      <c r="A18" s="11" t="s">
        <v>399</v>
      </c>
      <c r="B18" s="66" t="n">
        <f aca="false">MAX(0,S_Fuel_Lo!$B$14-Grant-S_Fuel_Lo!$B$16-S_Fuel_Lo!$B$17)</f>
        <v>337640.488157224</v>
      </c>
    </row>
    <row r="19" customFormat="false" ht="15" hidden="false" customHeight="false" outlineLevel="0" collapsed="false">
      <c r="A19" s="11" t="s">
        <v>400</v>
      </c>
      <c r="B19" s="66" t="n">
        <f aca="false">C128</f>
        <v>7315.5439100732</v>
      </c>
    </row>
    <row r="20" customFormat="false" ht="15" hidden="false" customHeight="false" outlineLevel="0" collapsed="false">
      <c r="A20" s="11" t="s">
        <v>401</v>
      </c>
      <c r="B20" s="66" t="n">
        <f aca="false">$B$145</f>
        <v>-734542.679849077</v>
      </c>
    </row>
    <row r="21" customFormat="false" ht="15" hidden="false" customHeight="false" outlineLevel="0" collapsed="false">
      <c r="A21" s="11" t="s">
        <v>402</v>
      </c>
      <c r="B21" s="66" t="n">
        <f aca="false">$B$146</f>
        <v>83377.6807820271</v>
      </c>
    </row>
    <row r="22" customFormat="false" ht="15" hidden="false" customHeight="false" outlineLevel="0" collapsed="false">
      <c r="A22" s="11" t="s">
        <v>403</v>
      </c>
      <c r="B22" s="68" t="n">
        <f aca="false">IFERROR(IRR($C$145:$W$145),"n/a")</f>
        <v>-0.0112929142322487</v>
      </c>
    </row>
    <row r="23" customFormat="false" ht="15" hidden="false" customHeight="false" outlineLevel="0" collapsed="false">
      <c r="A23" s="11" t="s">
        <v>404</v>
      </c>
      <c r="B23" s="68" t="n">
        <f aca="false">IFERROR(IRR($C$146:$W$146),"n/a")</f>
        <v>0.128201786283632</v>
      </c>
    </row>
    <row r="24" customFormat="false" ht="15" hidden="false" customHeight="false" outlineLevel="0" collapsed="false">
      <c r="A24" s="11" t="s">
        <v>390</v>
      </c>
      <c r="B24" s="66" t="n">
        <f aca="false">MAX(0,-$B$145)</f>
        <v>734542.679849077</v>
      </c>
    </row>
    <row r="25" customFormat="false" ht="15" hidden="false" customHeight="false" outlineLevel="0" collapsed="false">
      <c r="A25" s="11" t="s">
        <v>262</v>
      </c>
      <c r="B25" s="68" t="n">
        <f aca="false">IFERROR(IRR($C$149:$W$149),"n/a")</f>
        <v>0.136010571911</v>
      </c>
    </row>
    <row r="26" customFormat="false" ht="15" hidden="false" customHeight="false" outlineLevel="0" collapsed="false">
      <c r="A26" s="11" t="s">
        <v>264</v>
      </c>
      <c r="B26" s="66" t="n">
        <f aca="false">C149+NPV(TargetEqIRR,D149:W149)</f>
        <v>-22376.0496553639</v>
      </c>
    </row>
    <row r="27" customFormat="false" ht="15" hidden="false" customHeight="false" outlineLevel="0" collapsed="false">
      <c r="A27" s="11" t="s">
        <v>258</v>
      </c>
      <c r="B27" s="67" t="n">
        <f aca="false">IF((S_Fuel_Lo!$B$16+S_Fuel_Lo!$B$17)&gt;0,MIN($D$148:$W$148),"no debt")</f>
        <v>1.61487346933868</v>
      </c>
    </row>
    <row r="28" customFormat="false" ht="15" hidden="false" customHeight="false" outlineLevel="0" collapsed="false">
      <c r="A28" s="11" t="s">
        <v>260</v>
      </c>
      <c r="B28" s="67" t="n">
        <f aca="false">IF((S_Fuel_Lo!$B$16+S_Fuel_Lo!$B$17)&gt;0,AVERAGE($D$148:$W$148),"no debt")</f>
        <v>3.50640352834706</v>
      </c>
    </row>
    <row r="29" customFormat="false" ht="15" hidden="false" customHeight="false" outlineLevel="0" collapsed="false">
      <c r="A29" s="11" t="s">
        <v>405</v>
      </c>
      <c r="B29" s="87" t="n">
        <f aca="false">IFERROR($B$153/$B$154,0)</f>
        <v>0.638955012697822</v>
      </c>
    </row>
    <row r="30" customFormat="false" ht="15" hidden="false" customHeight="false" outlineLevel="0" collapsed="false">
      <c r="A30" s="11" t="s">
        <v>261</v>
      </c>
      <c r="B30" s="87" t="n">
        <f aca="false">IFERROR($B$155/$B$154,0)</f>
        <v>0.44389628412399</v>
      </c>
    </row>
    <row r="31" customFormat="false" ht="15" hidden="false" customHeight="false" outlineLevel="0" collapsed="false">
      <c r="A31" s="11" t="s">
        <v>406</v>
      </c>
      <c r="B31" s="77" t="n">
        <f aca="false">NPV(Hurdle,D109:W109)</f>
        <v>838.820435762584</v>
      </c>
    </row>
    <row r="32" customFormat="false" ht="15" hidden="false" customHeight="false" outlineLevel="0" collapsed="false">
      <c r="A32" s="11" t="s">
        <v>407</v>
      </c>
      <c r="B32" s="66" t="n">
        <f aca="false">NPV(Hurdle,D108:W108)</f>
        <v>217920.360631104</v>
      </c>
    </row>
    <row r="33" customFormat="false" ht="15" hidden="false" customHeight="false" outlineLevel="0" collapsed="false">
      <c r="A33" s="11" t="s">
        <v>408</v>
      </c>
      <c r="B33" s="77" t="n">
        <f aca="false">NPV(TargetEqIRR,D109:W109)</f>
        <v>785.120407660064</v>
      </c>
    </row>
    <row r="34" customFormat="false" ht="15" hidden="false" customHeight="false" outlineLevel="0" collapsed="false">
      <c r="A34" s="11" t="s">
        <v>409</v>
      </c>
      <c r="B34" s="66" t="n">
        <f aca="false">NPV(TargetEqIRR,D108:W108)</f>
        <v>203969.425495192</v>
      </c>
    </row>
    <row r="35" customFormat="false" ht="15" hidden="false" customHeight="false" outlineLevel="0" collapsed="false">
      <c r="A35" s="11" t="s">
        <v>410</v>
      </c>
      <c r="B35" s="66" t="n">
        <f aca="false">MAX(0,MIN($D$127:$W$127))</f>
        <v>156855.685588864</v>
      </c>
    </row>
    <row r="36" customFormat="false" ht="15" hidden="false" customHeight="false" outlineLevel="0" collapsed="false">
      <c r="A36" s="11" t="s">
        <v>266</v>
      </c>
      <c r="B36" s="88" t="n">
        <f aca="false">IFERROR(MATCH(TRUE(),INDEX($C$150:$W$150&gt;=0,0),0)-1,"&gt; life")</f>
        <v>8</v>
      </c>
    </row>
    <row r="39" customFormat="false" ht="15" hidden="false" customHeight="false" outlineLevel="0" collapsed="false">
      <c r="A39" s="16" t="s">
        <v>411</v>
      </c>
      <c r="B39" s="74" t="s">
        <v>412</v>
      </c>
      <c r="C39" s="89" t="n">
        <v>0</v>
      </c>
      <c r="D39" s="89" t="n">
        <v>1</v>
      </c>
      <c r="E39" s="89" t="n">
        <v>2</v>
      </c>
      <c r="F39" s="89" t="n">
        <v>3</v>
      </c>
      <c r="G39" s="89" t="n">
        <v>4</v>
      </c>
      <c r="H39" s="89" t="n">
        <v>5</v>
      </c>
      <c r="I39" s="89" t="n">
        <v>6</v>
      </c>
      <c r="J39" s="89" t="n">
        <v>7</v>
      </c>
      <c r="K39" s="89" t="n">
        <v>8</v>
      </c>
      <c r="L39" s="89" t="n">
        <v>9</v>
      </c>
      <c r="M39" s="89" t="n">
        <v>10</v>
      </c>
      <c r="N39" s="89" t="n">
        <v>11</v>
      </c>
      <c r="O39" s="89" t="n">
        <v>12</v>
      </c>
      <c r="P39" s="89" t="n">
        <v>13</v>
      </c>
      <c r="Q39" s="89" t="n">
        <v>14</v>
      </c>
      <c r="R39" s="89" t="n">
        <v>15</v>
      </c>
      <c r="S39" s="89" t="n">
        <v>16</v>
      </c>
      <c r="T39" s="89" t="n">
        <v>17</v>
      </c>
      <c r="U39" s="89" t="n">
        <v>18</v>
      </c>
      <c r="V39" s="89" t="n">
        <v>19</v>
      </c>
      <c r="W39" s="89" t="n">
        <v>20</v>
      </c>
    </row>
    <row r="40" customFormat="false" ht="15" hidden="false" customHeight="false" outlineLevel="0" collapsed="false">
      <c r="A40" s="11" t="s">
        <v>413</v>
      </c>
      <c r="C40" s="90" t="n">
        <f aca="false">StartYear-1+C39</f>
        <v>2026</v>
      </c>
      <c r="D40" s="90" t="n">
        <f aca="false">StartYear-1+D39</f>
        <v>2027</v>
      </c>
      <c r="E40" s="90" t="n">
        <f aca="false">StartYear-1+E39</f>
        <v>2028</v>
      </c>
      <c r="F40" s="90" t="n">
        <f aca="false">StartYear-1+F39</f>
        <v>2029</v>
      </c>
      <c r="G40" s="90" t="n">
        <f aca="false">StartYear-1+G39</f>
        <v>2030</v>
      </c>
      <c r="H40" s="90" t="n">
        <f aca="false">StartYear-1+H39</f>
        <v>2031</v>
      </c>
      <c r="I40" s="90" t="n">
        <f aca="false">StartYear-1+I39</f>
        <v>2032</v>
      </c>
      <c r="J40" s="90" t="n">
        <f aca="false">StartYear-1+J39</f>
        <v>2033</v>
      </c>
      <c r="K40" s="90" t="n">
        <f aca="false">StartYear-1+K39</f>
        <v>2034</v>
      </c>
      <c r="L40" s="90" t="n">
        <f aca="false">StartYear-1+L39</f>
        <v>2035</v>
      </c>
      <c r="M40" s="90" t="n">
        <f aca="false">StartYear-1+M39</f>
        <v>2036</v>
      </c>
      <c r="N40" s="90" t="n">
        <f aca="false">StartYear-1+N39</f>
        <v>2037</v>
      </c>
      <c r="O40" s="90" t="n">
        <f aca="false">StartYear-1+O39</f>
        <v>2038</v>
      </c>
      <c r="P40" s="90" t="n">
        <f aca="false">StartYear-1+P39</f>
        <v>2039</v>
      </c>
      <c r="Q40" s="90" t="n">
        <f aca="false">StartYear-1+Q39</f>
        <v>2040</v>
      </c>
      <c r="R40" s="90" t="n">
        <f aca="false">StartYear-1+R39</f>
        <v>2041</v>
      </c>
      <c r="S40" s="90" t="n">
        <f aca="false">StartYear-1+S39</f>
        <v>2042</v>
      </c>
      <c r="T40" s="90" t="n">
        <f aca="false">StartYear-1+T39</f>
        <v>2043</v>
      </c>
      <c r="U40" s="90" t="n">
        <f aca="false">StartYear-1+U39</f>
        <v>2044</v>
      </c>
      <c r="V40" s="90" t="n">
        <f aca="false">StartYear-1+V39</f>
        <v>2045</v>
      </c>
      <c r="W40" s="90" t="n">
        <f aca="false">StartYear-1+W39</f>
        <v>2046</v>
      </c>
    </row>
    <row r="41" customFormat="false" ht="15" hidden="false" customHeight="false" outlineLevel="0" collapsed="false">
      <c r="A41" s="11" t="s">
        <v>414</v>
      </c>
      <c r="C41" s="90" t="n">
        <f aca="false">IF(AND(C39&gt;=1,C39&lt;=Life),1,0)</f>
        <v>0</v>
      </c>
      <c r="D41" s="90" t="n">
        <f aca="false">IF(AND(D39&gt;=1,D39&lt;=Life),1,0)</f>
        <v>1</v>
      </c>
      <c r="E41" s="90" t="n">
        <f aca="false">IF(AND(E39&gt;=1,E39&lt;=Life),1,0)</f>
        <v>1</v>
      </c>
      <c r="F41" s="90" t="n">
        <f aca="false">IF(AND(F39&gt;=1,F39&lt;=Life),1,0)</f>
        <v>1</v>
      </c>
      <c r="G41" s="90" t="n">
        <f aca="false">IF(AND(G39&gt;=1,G39&lt;=Life),1,0)</f>
        <v>1</v>
      </c>
      <c r="H41" s="90" t="n">
        <f aca="false">IF(AND(H39&gt;=1,H39&lt;=Life),1,0)</f>
        <v>1</v>
      </c>
      <c r="I41" s="90" t="n">
        <f aca="false">IF(AND(I39&gt;=1,I39&lt;=Life),1,0)</f>
        <v>1</v>
      </c>
      <c r="J41" s="90" t="n">
        <f aca="false">IF(AND(J39&gt;=1,J39&lt;=Life),1,0)</f>
        <v>1</v>
      </c>
      <c r="K41" s="90" t="n">
        <f aca="false">IF(AND(K39&gt;=1,K39&lt;=Life),1,0)</f>
        <v>1</v>
      </c>
      <c r="L41" s="90" t="n">
        <f aca="false">IF(AND(L39&gt;=1,L39&lt;=Life),1,0)</f>
        <v>1</v>
      </c>
      <c r="M41" s="90" t="n">
        <f aca="false">IF(AND(M39&gt;=1,M39&lt;=Life),1,0)</f>
        <v>1</v>
      </c>
      <c r="N41" s="90" t="n">
        <f aca="false">IF(AND(N39&gt;=1,N39&lt;=Life),1,0)</f>
        <v>1</v>
      </c>
      <c r="O41" s="90" t="n">
        <f aca="false">IF(AND(O39&gt;=1,O39&lt;=Life),1,0)</f>
        <v>1</v>
      </c>
      <c r="P41" s="90" t="n">
        <f aca="false">IF(AND(P39&gt;=1,P39&lt;=Life),1,0)</f>
        <v>1</v>
      </c>
      <c r="Q41" s="90" t="n">
        <f aca="false">IF(AND(Q39&gt;=1,Q39&lt;=Life),1,0)</f>
        <v>1</v>
      </c>
      <c r="R41" s="90" t="n">
        <f aca="false">IF(AND(R39&gt;=1,R39&lt;=Life),1,0)</f>
        <v>1</v>
      </c>
      <c r="S41" s="90" t="n">
        <f aca="false">IF(AND(S39&gt;=1,S39&lt;=Life),1,0)</f>
        <v>1</v>
      </c>
      <c r="T41" s="90" t="n">
        <f aca="false">IF(AND(T39&gt;=1,T39&lt;=Life),1,0)</f>
        <v>1</v>
      </c>
      <c r="U41" s="90" t="n">
        <f aca="false">IF(AND(U39&gt;=1,U39&lt;=Life),1,0)</f>
        <v>1</v>
      </c>
      <c r="V41" s="90" t="n">
        <f aca="false">IF(AND(V39&gt;=1,V39&lt;=Life),1,0)</f>
        <v>1</v>
      </c>
      <c r="W41" s="90" t="n">
        <f aca="false">IF(AND(W39&gt;=1,W39&lt;=Life),1,0)</f>
        <v>1</v>
      </c>
    </row>
    <row r="42" customFormat="false" ht="15" hidden="false" customHeight="false" outlineLevel="0" collapsed="false">
      <c r="A42" s="11" t="s">
        <v>415</v>
      </c>
      <c r="C42" s="91" t="n">
        <v>0</v>
      </c>
      <c r="D42" s="91" t="n">
        <f aca="false">IF(D39=1,Ramp1,IF(D39=2,Ramp2,Ramp3))*D41</f>
        <v>0.6</v>
      </c>
      <c r="E42" s="91" t="n">
        <f aca="false">IF(E39=1,Ramp1,IF(E39=2,Ramp2,Ramp3))*E41</f>
        <v>0.85</v>
      </c>
      <c r="F42" s="91" t="n">
        <f aca="false">IF(F39=1,Ramp1,IF(F39=2,Ramp2,Ramp3))*F41</f>
        <v>1</v>
      </c>
      <c r="G42" s="91" t="n">
        <f aca="false">IF(G39=1,Ramp1,IF(G39=2,Ramp2,Ramp3))*G41</f>
        <v>1</v>
      </c>
      <c r="H42" s="91" t="n">
        <f aca="false">IF(H39=1,Ramp1,IF(H39=2,Ramp2,Ramp3))*H41</f>
        <v>1</v>
      </c>
      <c r="I42" s="91" t="n">
        <f aca="false">IF(I39=1,Ramp1,IF(I39=2,Ramp2,Ramp3))*I41</f>
        <v>1</v>
      </c>
      <c r="J42" s="91" t="n">
        <f aca="false">IF(J39=1,Ramp1,IF(J39=2,Ramp2,Ramp3))*J41</f>
        <v>1</v>
      </c>
      <c r="K42" s="91" t="n">
        <f aca="false">IF(K39=1,Ramp1,IF(K39=2,Ramp2,Ramp3))*K41</f>
        <v>1</v>
      </c>
      <c r="L42" s="91" t="n">
        <f aca="false">IF(L39=1,Ramp1,IF(L39=2,Ramp2,Ramp3))*L41</f>
        <v>1</v>
      </c>
      <c r="M42" s="91" t="n">
        <f aca="false">IF(M39=1,Ramp1,IF(M39=2,Ramp2,Ramp3))*M41</f>
        <v>1</v>
      </c>
      <c r="N42" s="91" t="n">
        <f aca="false">IF(N39=1,Ramp1,IF(N39=2,Ramp2,Ramp3))*N41</f>
        <v>1</v>
      </c>
      <c r="O42" s="91" t="n">
        <f aca="false">IF(O39=1,Ramp1,IF(O39=2,Ramp2,Ramp3))*O41</f>
        <v>1</v>
      </c>
      <c r="P42" s="91" t="n">
        <f aca="false">IF(P39=1,Ramp1,IF(P39=2,Ramp2,Ramp3))*P41</f>
        <v>1</v>
      </c>
      <c r="Q42" s="91" t="n">
        <f aca="false">IF(Q39=1,Ramp1,IF(Q39=2,Ramp2,Ramp3))*Q41</f>
        <v>1</v>
      </c>
      <c r="R42" s="91" t="n">
        <f aca="false">IF(R39=1,Ramp1,IF(R39=2,Ramp2,Ramp3))*R41</f>
        <v>1</v>
      </c>
      <c r="S42" s="91" t="n">
        <f aca="false">IF(S39=1,Ramp1,IF(S39=2,Ramp2,Ramp3))*S41</f>
        <v>1</v>
      </c>
      <c r="T42" s="91" t="n">
        <f aca="false">IF(T39=1,Ramp1,IF(T39=2,Ramp2,Ramp3))*T41</f>
        <v>1</v>
      </c>
      <c r="U42" s="91" t="n">
        <f aca="false">IF(U39=1,Ramp1,IF(U39=2,Ramp2,Ramp3))*U41</f>
        <v>1</v>
      </c>
      <c r="V42" s="91" t="n">
        <f aca="false">IF(V39=1,Ramp1,IF(V39=2,Ramp2,Ramp3))*V41</f>
        <v>1</v>
      </c>
      <c r="W42" s="91" t="n">
        <f aca="false">IF(W39=1,Ramp1,IF(W39=2,Ramp2,Ramp3))*W41</f>
        <v>1</v>
      </c>
    </row>
    <row r="43" customFormat="false" ht="15" hidden="false" customHeight="false" outlineLevel="0" collapsed="false">
      <c r="A43" s="11" t="s">
        <v>416</v>
      </c>
      <c r="C43" s="92" t="n">
        <v>0</v>
      </c>
      <c r="D43" s="92" t="n">
        <f aca="false">(1+TariffEsc)^(D39-1)</f>
        <v>1</v>
      </c>
      <c r="E43" s="92" t="n">
        <f aca="false">(1+TariffEsc)^(E39-1)</f>
        <v>1.03</v>
      </c>
      <c r="F43" s="92" t="n">
        <f aca="false">(1+TariffEsc)^(F39-1)</f>
        <v>1.0609</v>
      </c>
      <c r="G43" s="92" t="n">
        <f aca="false">(1+TariffEsc)^(G39-1)</f>
        <v>1.092727</v>
      </c>
      <c r="H43" s="92" t="n">
        <f aca="false">(1+TariffEsc)^(H39-1)</f>
        <v>1.12550881</v>
      </c>
      <c r="I43" s="92" t="n">
        <f aca="false">(1+TariffEsc)^(I39-1)</f>
        <v>1.1592740743</v>
      </c>
      <c r="J43" s="92" t="n">
        <f aca="false">(1+TariffEsc)^(J39-1)</f>
        <v>1.194052296529</v>
      </c>
      <c r="K43" s="92" t="n">
        <f aca="false">(1+TariffEsc)^(K39-1)</f>
        <v>1.22987386542487</v>
      </c>
      <c r="L43" s="92" t="n">
        <f aca="false">(1+TariffEsc)^(L39-1)</f>
        <v>1.26677008138762</v>
      </c>
      <c r="M43" s="92" t="n">
        <f aca="false">(1+TariffEsc)^(M39-1)</f>
        <v>1.30477318382925</v>
      </c>
      <c r="N43" s="92" t="n">
        <f aca="false">(1+TariffEsc)^(N39-1)</f>
        <v>1.34391637934412</v>
      </c>
      <c r="O43" s="92" t="n">
        <f aca="false">(1+TariffEsc)^(O39-1)</f>
        <v>1.38423387072445</v>
      </c>
      <c r="P43" s="92" t="n">
        <f aca="false">(1+TariffEsc)^(P39-1)</f>
        <v>1.42576088684618</v>
      </c>
      <c r="Q43" s="92" t="n">
        <f aca="false">(1+TariffEsc)^(Q39-1)</f>
        <v>1.46853371345156</v>
      </c>
      <c r="R43" s="92" t="n">
        <f aca="false">(1+TariffEsc)^(R39-1)</f>
        <v>1.51258972485511</v>
      </c>
      <c r="S43" s="92" t="n">
        <f aca="false">(1+TariffEsc)^(S39-1)</f>
        <v>1.55796741660077</v>
      </c>
      <c r="T43" s="92" t="n">
        <f aca="false">(1+TariffEsc)^(T39-1)</f>
        <v>1.60470643909879</v>
      </c>
      <c r="U43" s="92" t="n">
        <f aca="false">(1+TariffEsc)^(U39-1)</f>
        <v>1.65284763227175</v>
      </c>
      <c r="V43" s="92" t="n">
        <f aca="false">(1+TariffEsc)^(V39-1)</f>
        <v>1.7024330612399</v>
      </c>
      <c r="W43" s="92" t="n">
        <f aca="false">(1+TariffEsc)^(W39-1)</f>
        <v>1.7535060530771</v>
      </c>
    </row>
    <row r="44" customFormat="false" ht="15" hidden="false" customHeight="false" outlineLevel="0" collapsed="false">
      <c r="A44" s="11" t="s">
        <v>417</v>
      </c>
      <c r="C44" s="92" t="n">
        <v>0</v>
      </c>
      <c r="D44" s="92" t="n">
        <f aca="false">(1+CostEsc)^(D39-1)</f>
        <v>1</v>
      </c>
      <c r="E44" s="92" t="n">
        <f aca="false">(1+CostEsc)^(E39-1)</f>
        <v>1.03</v>
      </c>
      <c r="F44" s="92" t="n">
        <f aca="false">(1+CostEsc)^(F39-1)</f>
        <v>1.0609</v>
      </c>
      <c r="G44" s="92" t="n">
        <f aca="false">(1+CostEsc)^(G39-1)</f>
        <v>1.092727</v>
      </c>
      <c r="H44" s="92" t="n">
        <f aca="false">(1+CostEsc)^(H39-1)</f>
        <v>1.12550881</v>
      </c>
      <c r="I44" s="92" t="n">
        <f aca="false">(1+CostEsc)^(I39-1)</f>
        <v>1.1592740743</v>
      </c>
      <c r="J44" s="92" t="n">
        <f aca="false">(1+CostEsc)^(J39-1)</f>
        <v>1.194052296529</v>
      </c>
      <c r="K44" s="92" t="n">
        <f aca="false">(1+CostEsc)^(K39-1)</f>
        <v>1.22987386542487</v>
      </c>
      <c r="L44" s="92" t="n">
        <f aca="false">(1+CostEsc)^(L39-1)</f>
        <v>1.26677008138762</v>
      </c>
      <c r="M44" s="92" t="n">
        <f aca="false">(1+CostEsc)^(M39-1)</f>
        <v>1.30477318382925</v>
      </c>
      <c r="N44" s="92" t="n">
        <f aca="false">(1+CostEsc)^(N39-1)</f>
        <v>1.34391637934412</v>
      </c>
      <c r="O44" s="92" t="n">
        <f aca="false">(1+CostEsc)^(O39-1)</f>
        <v>1.38423387072445</v>
      </c>
      <c r="P44" s="92" t="n">
        <f aca="false">(1+CostEsc)^(P39-1)</f>
        <v>1.42576088684618</v>
      </c>
      <c r="Q44" s="92" t="n">
        <f aca="false">(1+CostEsc)^(Q39-1)</f>
        <v>1.46853371345156</v>
      </c>
      <c r="R44" s="92" t="n">
        <f aca="false">(1+CostEsc)^(R39-1)</f>
        <v>1.51258972485511</v>
      </c>
      <c r="S44" s="92" t="n">
        <f aca="false">(1+CostEsc)^(S39-1)</f>
        <v>1.55796741660077</v>
      </c>
      <c r="T44" s="92" t="n">
        <f aca="false">(1+CostEsc)^(T39-1)</f>
        <v>1.60470643909879</v>
      </c>
      <c r="U44" s="92" t="n">
        <f aca="false">(1+CostEsc)^(U39-1)</f>
        <v>1.65284763227175</v>
      </c>
      <c r="V44" s="92" t="n">
        <f aca="false">(1+CostEsc)^(V39-1)</f>
        <v>1.7024330612399</v>
      </c>
      <c r="W44" s="92" t="n">
        <f aca="false">(1+CostEsc)^(W39-1)</f>
        <v>1.7535060530771</v>
      </c>
    </row>
    <row r="45" customFormat="false" ht="15" hidden="false" customHeight="false" outlineLevel="0" collapsed="false">
      <c r="A45" s="11" t="s">
        <v>418</v>
      </c>
      <c r="C45" s="92" t="n">
        <v>0</v>
      </c>
      <c r="D45" s="92" t="n">
        <f aca="false">(1+DemandGrowth)^(D39-1)*LevDemand*$B$6</f>
        <v>1</v>
      </c>
      <c r="E45" s="92" t="n">
        <f aca="false">(1+DemandGrowth)^(E39-1)*LevDemand*$B$6</f>
        <v>1.03</v>
      </c>
      <c r="F45" s="92" t="n">
        <f aca="false">(1+DemandGrowth)^(F39-1)*LevDemand*$B$6</f>
        <v>1.0609</v>
      </c>
      <c r="G45" s="92" t="n">
        <f aca="false">(1+DemandGrowth)^(G39-1)*LevDemand*$B$6</f>
        <v>1.092727</v>
      </c>
      <c r="H45" s="92" t="n">
        <f aca="false">(1+DemandGrowth)^(H39-1)*LevDemand*$B$6</f>
        <v>1.12550881</v>
      </c>
      <c r="I45" s="92" t="n">
        <f aca="false">(1+DemandGrowth)^(I39-1)*LevDemand*$B$6</f>
        <v>1.1592740743</v>
      </c>
      <c r="J45" s="92" t="n">
        <f aca="false">(1+DemandGrowth)^(J39-1)*LevDemand*$B$6</f>
        <v>1.194052296529</v>
      </c>
      <c r="K45" s="92" t="n">
        <f aca="false">(1+DemandGrowth)^(K39-1)*LevDemand*$B$6</f>
        <v>1.22987386542487</v>
      </c>
      <c r="L45" s="92" t="n">
        <f aca="false">(1+DemandGrowth)^(L39-1)*LevDemand*$B$6</f>
        <v>1.26677008138762</v>
      </c>
      <c r="M45" s="92" t="n">
        <f aca="false">(1+DemandGrowth)^(M39-1)*LevDemand*$B$6</f>
        <v>1.30477318382925</v>
      </c>
      <c r="N45" s="92" t="n">
        <f aca="false">(1+DemandGrowth)^(N39-1)*LevDemand*$B$6</f>
        <v>1.34391637934412</v>
      </c>
      <c r="O45" s="92" t="n">
        <f aca="false">(1+DemandGrowth)^(O39-1)*LevDemand*$B$6</f>
        <v>1.38423387072445</v>
      </c>
      <c r="P45" s="92" t="n">
        <f aca="false">(1+DemandGrowth)^(P39-1)*LevDemand*$B$6</f>
        <v>1.42576088684618</v>
      </c>
      <c r="Q45" s="92" t="n">
        <f aca="false">(1+DemandGrowth)^(Q39-1)*LevDemand*$B$6</f>
        <v>1.46853371345156</v>
      </c>
      <c r="R45" s="92" t="n">
        <f aca="false">(1+DemandGrowth)^(R39-1)*LevDemand*$B$6</f>
        <v>1.51258972485511</v>
      </c>
      <c r="S45" s="92" t="n">
        <f aca="false">(1+DemandGrowth)^(S39-1)*LevDemand*$B$6</f>
        <v>1.55796741660077</v>
      </c>
      <c r="T45" s="92" t="n">
        <f aca="false">(1+DemandGrowth)^(T39-1)*LevDemand*$B$6</f>
        <v>1.60470643909879</v>
      </c>
      <c r="U45" s="92" t="n">
        <f aca="false">(1+DemandGrowth)^(U39-1)*LevDemand*$B$6</f>
        <v>1.65284763227175</v>
      </c>
      <c r="V45" s="92" t="n">
        <f aca="false">(1+DemandGrowth)^(V39-1)*LevDemand*$B$6</f>
        <v>1.7024330612399</v>
      </c>
      <c r="W45" s="92" t="n">
        <f aca="false">(1+DemandGrowth)^(W39-1)*LevDemand*$B$6</f>
        <v>1.7535060530771</v>
      </c>
    </row>
    <row r="47" customFormat="false" ht="15" hidden="false" customHeight="false" outlineLevel="0" collapsed="false">
      <c r="A47" s="9" t="s">
        <v>419</v>
      </c>
      <c r="B47" s="10"/>
      <c r="C47" s="10"/>
      <c r="D47" s="10"/>
      <c r="E47" s="10"/>
      <c r="F47" s="10"/>
      <c r="G47" s="10"/>
      <c r="H47" s="10"/>
      <c r="I47" s="10"/>
      <c r="J47" s="10"/>
      <c r="K47" s="10"/>
      <c r="L47" s="10"/>
      <c r="M47" s="10"/>
      <c r="N47" s="10"/>
      <c r="O47" s="10"/>
      <c r="P47" s="10"/>
      <c r="Q47" s="10"/>
      <c r="R47" s="10"/>
      <c r="S47" s="10"/>
      <c r="T47" s="10"/>
      <c r="U47" s="10"/>
      <c r="V47" s="10"/>
      <c r="W47" s="10"/>
    </row>
    <row r="48" customFormat="false" ht="15" hidden="false" customHeight="false" outlineLevel="0" collapsed="false">
      <c r="A48" s="11" t="str">
        <f aca="false">"Connections - "&amp;Seg1_Name</f>
        <v>Connections - Households</v>
      </c>
      <c r="C48" s="93" t="n">
        <v>0</v>
      </c>
      <c r="D48" s="93" t="n">
        <f aca="false">Seg1_N*D42</f>
        <v>480</v>
      </c>
      <c r="E48" s="93" t="n">
        <f aca="false">Seg1_N*E42</f>
        <v>680</v>
      </c>
      <c r="F48" s="93" t="n">
        <f aca="false">Seg1_N*F42</f>
        <v>800</v>
      </c>
      <c r="G48" s="93" t="n">
        <f aca="false">Seg1_N*G42</f>
        <v>800</v>
      </c>
      <c r="H48" s="93" t="n">
        <f aca="false">Seg1_N*H42</f>
        <v>800</v>
      </c>
      <c r="I48" s="93" t="n">
        <f aca="false">Seg1_N*I42</f>
        <v>800</v>
      </c>
      <c r="J48" s="93" t="n">
        <f aca="false">Seg1_N*J42</f>
        <v>800</v>
      </c>
      <c r="K48" s="93" t="n">
        <f aca="false">Seg1_N*K42</f>
        <v>800</v>
      </c>
      <c r="L48" s="93" t="n">
        <f aca="false">Seg1_N*L42</f>
        <v>800</v>
      </c>
      <c r="M48" s="93" t="n">
        <f aca="false">Seg1_N*M42</f>
        <v>800</v>
      </c>
      <c r="N48" s="93" t="n">
        <f aca="false">Seg1_N*N42</f>
        <v>800</v>
      </c>
      <c r="O48" s="93" t="n">
        <f aca="false">Seg1_N*O42</f>
        <v>800</v>
      </c>
      <c r="P48" s="93" t="n">
        <f aca="false">Seg1_N*P42</f>
        <v>800</v>
      </c>
      <c r="Q48" s="93" t="n">
        <f aca="false">Seg1_N*Q42</f>
        <v>800</v>
      </c>
      <c r="R48" s="93" t="n">
        <f aca="false">Seg1_N*R42</f>
        <v>800</v>
      </c>
      <c r="S48" s="93" t="n">
        <f aca="false">Seg1_N*S42</f>
        <v>800</v>
      </c>
      <c r="T48" s="93" t="n">
        <f aca="false">Seg1_N*T42</f>
        <v>800</v>
      </c>
      <c r="U48" s="93" t="n">
        <f aca="false">Seg1_N*U42</f>
        <v>800</v>
      </c>
      <c r="V48" s="93" t="n">
        <f aca="false">Seg1_N*V42</f>
        <v>800</v>
      </c>
      <c r="W48" s="93" t="n">
        <f aca="false">Seg1_N*W42</f>
        <v>800</v>
      </c>
    </row>
    <row r="49" customFormat="false" ht="15" hidden="false" customHeight="false" outlineLevel="0" collapsed="false">
      <c r="A49" s="11" t="str">
        <f aca="false">"Connections - "&amp;Seg2_Name</f>
        <v>Connections - Productive users (mills, welding, cold rooms)</v>
      </c>
      <c r="C49" s="93" t="n">
        <v>0</v>
      </c>
      <c r="D49" s="93" t="n">
        <f aca="false">Seg2_N*D42</f>
        <v>36</v>
      </c>
      <c r="E49" s="93" t="n">
        <f aca="false">Seg2_N*E42</f>
        <v>51</v>
      </c>
      <c r="F49" s="93" t="n">
        <f aca="false">Seg2_N*F42</f>
        <v>60</v>
      </c>
      <c r="G49" s="93" t="n">
        <f aca="false">Seg2_N*G42</f>
        <v>60</v>
      </c>
      <c r="H49" s="93" t="n">
        <f aca="false">Seg2_N*H42</f>
        <v>60</v>
      </c>
      <c r="I49" s="93" t="n">
        <f aca="false">Seg2_N*I42</f>
        <v>60</v>
      </c>
      <c r="J49" s="93" t="n">
        <f aca="false">Seg2_N*J42</f>
        <v>60</v>
      </c>
      <c r="K49" s="93" t="n">
        <f aca="false">Seg2_N*K42</f>
        <v>60</v>
      </c>
      <c r="L49" s="93" t="n">
        <f aca="false">Seg2_N*L42</f>
        <v>60</v>
      </c>
      <c r="M49" s="93" t="n">
        <f aca="false">Seg2_N*M42</f>
        <v>60</v>
      </c>
      <c r="N49" s="93" t="n">
        <f aca="false">Seg2_N*N42</f>
        <v>60</v>
      </c>
      <c r="O49" s="93" t="n">
        <f aca="false">Seg2_N*O42</f>
        <v>60</v>
      </c>
      <c r="P49" s="93" t="n">
        <f aca="false">Seg2_N*P42</f>
        <v>60</v>
      </c>
      <c r="Q49" s="93" t="n">
        <f aca="false">Seg2_N*Q42</f>
        <v>60</v>
      </c>
      <c r="R49" s="93" t="n">
        <f aca="false">Seg2_N*R42</f>
        <v>60</v>
      </c>
      <c r="S49" s="93" t="n">
        <f aca="false">Seg2_N*S42</f>
        <v>60</v>
      </c>
      <c r="T49" s="93" t="n">
        <f aca="false">Seg2_N*T42</f>
        <v>60</v>
      </c>
      <c r="U49" s="93" t="n">
        <f aca="false">Seg2_N*U42</f>
        <v>60</v>
      </c>
      <c r="V49" s="93" t="n">
        <f aca="false">Seg2_N*V42</f>
        <v>60</v>
      </c>
      <c r="W49" s="93" t="n">
        <f aca="false">Seg2_N*W42</f>
        <v>60</v>
      </c>
    </row>
    <row r="50" customFormat="false" ht="15" hidden="false" customHeight="false" outlineLevel="0" collapsed="false">
      <c r="A50" s="11" t="str">
        <f aca="false">"Connections - "&amp;Seg3_Name</f>
        <v>Connections - Commercial (shops, bars, kiosks)</v>
      </c>
      <c r="C50" s="93" t="n">
        <v>0</v>
      </c>
      <c r="D50" s="93" t="n">
        <f aca="false">Seg3_N*D42</f>
        <v>60</v>
      </c>
      <c r="E50" s="93" t="n">
        <f aca="false">Seg3_N*E42</f>
        <v>85</v>
      </c>
      <c r="F50" s="93" t="n">
        <f aca="false">Seg3_N*F42</f>
        <v>100</v>
      </c>
      <c r="G50" s="93" t="n">
        <f aca="false">Seg3_N*G42</f>
        <v>100</v>
      </c>
      <c r="H50" s="93" t="n">
        <f aca="false">Seg3_N*H42</f>
        <v>100</v>
      </c>
      <c r="I50" s="93" t="n">
        <f aca="false">Seg3_N*I42</f>
        <v>100</v>
      </c>
      <c r="J50" s="93" t="n">
        <f aca="false">Seg3_N*J42</f>
        <v>100</v>
      </c>
      <c r="K50" s="93" t="n">
        <f aca="false">Seg3_N*K42</f>
        <v>100</v>
      </c>
      <c r="L50" s="93" t="n">
        <f aca="false">Seg3_N*L42</f>
        <v>100</v>
      </c>
      <c r="M50" s="93" t="n">
        <f aca="false">Seg3_N*M42</f>
        <v>100</v>
      </c>
      <c r="N50" s="93" t="n">
        <f aca="false">Seg3_N*N42</f>
        <v>100</v>
      </c>
      <c r="O50" s="93" t="n">
        <f aca="false">Seg3_N*O42</f>
        <v>100</v>
      </c>
      <c r="P50" s="93" t="n">
        <f aca="false">Seg3_N*P42</f>
        <v>100</v>
      </c>
      <c r="Q50" s="93" t="n">
        <f aca="false">Seg3_N*Q42</f>
        <v>100</v>
      </c>
      <c r="R50" s="93" t="n">
        <f aca="false">Seg3_N*R42</f>
        <v>100</v>
      </c>
      <c r="S50" s="93" t="n">
        <f aca="false">Seg3_N*S42</f>
        <v>100</v>
      </c>
      <c r="T50" s="93" t="n">
        <f aca="false">Seg3_N*T42</f>
        <v>100</v>
      </c>
      <c r="U50" s="93" t="n">
        <f aca="false">Seg3_N*U42</f>
        <v>100</v>
      </c>
      <c r="V50" s="93" t="n">
        <f aca="false">Seg3_N*V42</f>
        <v>100</v>
      </c>
      <c r="W50" s="93" t="n">
        <f aca="false">Seg3_N*W42</f>
        <v>100</v>
      </c>
    </row>
    <row r="51" customFormat="false" ht="15" hidden="false" customHeight="false" outlineLevel="0" collapsed="false">
      <c r="A51" s="11" t="str">
        <f aca="false">"Connections - "&amp;Seg4_Name</f>
        <v>Connections - Institutions (health centre, school, water)</v>
      </c>
      <c r="C51" s="93" t="n">
        <v>0</v>
      </c>
      <c r="D51" s="93" t="n">
        <f aca="false">Seg4_N*D42</f>
        <v>6</v>
      </c>
      <c r="E51" s="93" t="n">
        <f aca="false">Seg4_N*E42</f>
        <v>8.5</v>
      </c>
      <c r="F51" s="93" t="n">
        <f aca="false">Seg4_N*F42</f>
        <v>10</v>
      </c>
      <c r="G51" s="93" t="n">
        <f aca="false">Seg4_N*G42</f>
        <v>10</v>
      </c>
      <c r="H51" s="93" t="n">
        <f aca="false">Seg4_N*H42</f>
        <v>10</v>
      </c>
      <c r="I51" s="93" t="n">
        <f aca="false">Seg4_N*I42</f>
        <v>10</v>
      </c>
      <c r="J51" s="93" t="n">
        <f aca="false">Seg4_N*J42</f>
        <v>10</v>
      </c>
      <c r="K51" s="93" t="n">
        <f aca="false">Seg4_N*K42</f>
        <v>10</v>
      </c>
      <c r="L51" s="93" t="n">
        <f aca="false">Seg4_N*L42</f>
        <v>10</v>
      </c>
      <c r="M51" s="93" t="n">
        <f aca="false">Seg4_N*M42</f>
        <v>10</v>
      </c>
      <c r="N51" s="93" t="n">
        <f aca="false">Seg4_N*N42</f>
        <v>10</v>
      </c>
      <c r="O51" s="93" t="n">
        <f aca="false">Seg4_N*O42</f>
        <v>10</v>
      </c>
      <c r="P51" s="93" t="n">
        <f aca="false">Seg4_N*P42</f>
        <v>10</v>
      </c>
      <c r="Q51" s="93" t="n">
        <f aca="false">Seg4_N*Q42</f>
        <v>10</v>
      </c>
      <c r="R51" s="93" t="n">
        <f aca="false">Seg4_N*R42</f>
        <v>10</v>
      </c>
      <c r="S51" s="93" t="n">
        <f aca="false">Seg4_N*S42</f>
        <v>10</v>
      </c>
      <c r="T51" s="93" t="n">
        <f aca="false">Seg4_N*T42</f>
        <v>10</v>
      </c>
      <c r="U51" s="93" t="n">
        <f aca="false">Seg4_N*U42</f>
        <v>10</v>
      </c>
      <c r="V51" s="93" t="n">
        <f aca="false">Seg4_N*V42</f>
        <v>10</v>
      </c>
      <c r="W51" s="93" t="n">
        <f aca="false">Seg4_N*W42</f>
        <v>10</v>
      </c>
    </row>
    <row r="52" customFormat="false" ht="15" hidden="false" customHeight="false" outlineLevel="0" collapsed="false">
      <c r="A52" s="11" t="str">
        <f aca="false">"Connections - "&amp;Seg5_Name</f>
        <v>Connections - Other / custom</v>
      </c>
      <c r="C52" s="93" t="n">
        <v>0</v>
      </c>
      <c r="D52" s="93" t="n">
        <f aca="false">Seg5_N*D42</f>
        <v>0</v>
      </c>
      <c r="E52" s="93" t="n">
        <f aca="false">Seg5_N*E42</f>
        <v>0</v>
      </c>
      <c r="F52" s="93" t="n">
        <f aca="false">Seg5_N*F42</f>
        <v>0</v>
      </c>
      <c r="G52" s="93" t="n">
        <f aca="false">Seg5_N*G42</f>
        <v>0</v>
      </c>
      <c r="H52" s="93" t="n">
        <f aca="false">Seg5_N*H42</f>
        <v>0</v>
      </c>
      <c r="I52" s="93" t="n">
        <f aca="false">Seg5_N*I42</f>
        <v>0</v>
      </c>
      <c r="J52" s="93" t="n">
        <f aca="false">Seg5_N*J42</f>
        <v>0</v>
      </c>
      <c r="K52" s="93" t="n">
        <f aca="false">Seg5_N*K42</f>
        <v>0</v>
      </c>
      <c r="L52" s="93" t="n">
        <f aca="false">Seg5_N*L42</f>
        <v>0</v>
      </c>
      <c r="M52" s="93" t="n">
        <f aca="false">Seg5_N*M42</f>
        <v>0</v>
      </c>
      <c r="N52" s="93" t="n">
        <f aca="false">Seg5_N*N42</f>
        <v>0</v>
      </c>
      <c r="O52" s="93" t="n">
        <f aca="false">Seg5_N*O42</f>
        <v>0</v>
      </c>
      <c r="P52" s="93" t="n">
        <f aca="false">Seg5_N*P42</f>
        <v>0</v>
      </c>
      <c r="Q52" s="93" t="n">
        <f aca="false">Seg5_N*Q42</f>
        <v>0</v>
      </c>
      <c r="R52" s="93" t="n">
        <f aca="false">Seg5_N*R42</f>
        <v>0</v>
      </c>
      <c r="S52" s="93" t="n">
        <f aca="false">Seg5_N*S42</f>
        <v>0</v>
      </c>
      <c r="T52" s="93" t="n">
        <f aca="false">Seg5_N*T42</f>
        <v>0</v>
      </c>
      <c r="U52" s="93" t="n">
        <f aca="false">Seg5_N*U42</f>
        <v>0</v>
      </c>
      <c r="V52" s="93" t="n">
        <f aca="false">Seg5_N*V42</f>
        <v>0</v>
      </c>
      <c r="W52" s="93" t="n">
        <f aca="false">Seg5_N*W42</f>
        <v>0</v>
      </c>
    </row>
    <row r="53" customFormat="false" ht="15" hidden="false" customHeight="false" outlineLevel="0" collapsed="false">
      <c r="A53" s="16" t="s">
        <v>420</v>
      </c>
      <c r="C53" s="29" t="n">
        <f aca="false">C48+C49+C50+C51+C52</f>
        <v>0</v>
      </c>
      <c r="D53" s="29" t="n">
        <f aca="false">D48+D49+D50+D51+D52</f>
        <v>582</v>
      </c>
      <c r="E53" s="29" t="n">
        <f aca="false">E48+E49+E50+E51+E52</f>
        <v>824.5</v>
      </c>
      <c r="F53" s="29" t="n">
        <f aca="false">F48+F49+F50+F51+F52</f>
        <v>970</v>
      </c>
      <c r="G53" s="29" t="n">
        <f aca="false">G48+G49+G50+G51+G52</f>
        <v>970</v>
      </c>
      <c r="H53" s="29" t="n">
        <f aca="false">H48+H49+H50+H51+H52</f>
        <v>970</v>
      </c>
      <c r="I53" s="29" t="n">
        <f aca="false">I48+I49+I50+I51+I52</f>
        <v>970</v>
      </c>
      <c r="J53" s="29" t="n">
        <f aca="false">J48+J49+J50+J51+J52</f>
        <v>970</v>
      </c>
      <c r="K53" s="29" t="n">
        <f aca="false">K48+K49+K50+K51+K52</f>
        <v>970</v>
      </c>
      <c r="L53" s="29" t="n">
        <f aca="false">L48+L49+L50+L51+L52</f>
        <v>970</v>
      </c>
      <c r="M53" s="29" t="n">
        <f aca="false">M48+M49+M50+M51+M52</f>
        <v>970</v>
      </c>
      <c r="N53" s="29" t="n">
        <f aca="false">N48+N49+N50+N51+N52</f>
        <v>970</v>
      </c>
      <c r="O53" s="29" t="n">
        <f aca="false">O48+O49+O50+O51+O52</f>
        <v>970</v>
      </c>
      <c r="P53" s="29" t="n">
        <f aca="false">P48+P49+P50+P51+P52</f>
        <v>970</v>
      </c>
      <c r="Q53" s="29" t="n">
        <f aca="false">Q48+Q49+Q50+Q51+Q52</f>
        <v>970</v>
      </c>
      <c r="R53" s="29" t="n">
        <f aca="false">R48+R49+R50+R51+R52</f>
        <v>970</v>
      </c>
      <c r="S53" s="29" t="n">
        <f aca="false">S48+S49+S50+S51+S52</f>
        <v>970</v>
      </c>
      <c r="T53" s="29" t="n">
        <f aca="false">T48+T49+T50+T51+T52</f>
        <v>970</v>
      </c>
      <c r="U53" s="29" t="n">
        <f aca="false">U48+U49+U50+U51+U52</f>
        <v>970</v>
      </c>
      <c r="V53" s="29" t="n">
        <f aca="false">V48+V49+V50+V51+V52</f>
        <v>970</v>
      </c>
      <c r="W53" s="29" t="n">
        <f aca="false">W48+W49+W50+W51+W52</f>
        <v>970</v>
      </c>
    </row>
    <row r="54" customFormat="false" ht="15" hidden="false" customHeight="false" outlineLevel="0" collapsed="false">
      <c r="A54" s="11" t="str">
        <f aca="false">"New connections - "&amp;Seg1_Name</f>
        <v>New connections - Households</v>
      </c>
      <c r="B54" s="77" t="n">
        <f aca="false">SUM(C54:W54)</f>
        <v>800</v>
      </c>
      <c r="C54" s="94" t="n">
        <v>0</v>
      </c>
      <c r="D54" s="94" t="n">
        <f aca="false">MAX(0,D48-C48)</f>
        <v>480</v>
      </c>
      <c r="E54" s="94" t="n">
        <f aca="false">MAX(0,E48-D48)</f>
        <v>200</v>
      </c>
      <c r="F54" s="94" t="n">
        <f aca="false">MAX(0,F48-E48)</f>
        <v>120</v>
      </c>
      <c r="G54" s="94" t="n">
        <f aca="false">MAX(0,G48-F48)</f>
        <v>0</v>
      </c>
      <c r="H54" s="94" t="n">
        <f aca="false">MAX(0,H48-G48)</f>
        <v>0</v>
      </c>
      <c r="I54" s="94" t="n">
        <f aca="false">MAX(0,I48-H48)</f>
        <v>0</v>
      </c>
      <c r="J54" s="94" t="n">
        <f aca="false">MAX(0,J48-I48)</f>
        <v>0</v>
      </c>
      <c r="K54" s="94" t="n">
        <f aca="false">MAX(0,K48-J48)</f>
        <v>0</v>
      </c>
      <c r="L54" s="94" t="n">
        <f aca="false">MAX(0,L48-K48)</f>
        <v>0</v>
      </c>
      <c r="M54" s="94" t="n">
        <f aca="false">MAX(0,M48-L48)</f>
        <v>0</v>
      </c>
      <c r="N54" s="94" t="n">
        <f aca="false">MAX(0,N48-M48)</f>
        <v>0</v>
      </c>
      <c r="O54" s="94" t="n">
        <f aca="false">MAX(0,O48-N48)</f>
        <v>0</v>
      </c>
      <c r="P54" s="94" t="n">
        <f aca="false">MAX(0,P48-O48)</f>
        <v>0</v>
      </c>
      <c r="Q54" s="94" t="n">
        <f aca="false">MAX(0,Q48-P48)</f>
        <v>0</v>
      </c>
      <c r="R54" s="94" t="n">
        <f aca="false">MAX(0,R48-Q48)</f>
        <v>0</v>
      </c>
      <c r="S54" s="94" t="n">
        <f aca="false">MAX(0,S48-R48)</f>
        <v>0</v>
      </c>
      <c r="T54" s="94" t="n">
        <f aca="false">MAX(0,T48-S48)</f>
        <v>0</v>
      </c>
      <c r="U54" s="94" t="n">
        <f aca="false">MAX(0,U48-T48)</f>
        <v>0</v>
      </c>
      <c r="V54" s="94" t="n">
        <f aca="false">MAX(0,V48-U48)</f>
        <v>0</v>
      </c>
      <c r="W54" s="94" t="n">
        <f aca="false">MAX(0,W48-V48)</f>
        <v>0</v>
      </c>
    </row>
    <row r="55" customFormat="false" ht="15" hidden="false" customHeight="false" outlineLevel="0" collapsed="false">
      <c r="A55" s="11" t="str">
        <f aca="false">"New connections - "&amp;Seg2_Name</f>
        <v>New connections - Productive users (mills, welding, cold rooms)</v>
      </c>
      <c r="B55" s="77" t="n">
        <f aca="false">SUM(C55:W55)</f>
        <v>60</v>
      </c>
      <c r="C55" s="94" t="n">
        <v>0</v>
      </c>
      <c r="D55" s="94" t="n">
        <f aca="false">MAX(0,D49-C49)</f>
        <v>36</v>
      </c>
      <c r="E55" s="94" t="n">
        <f aca="false">MAX(0,E49-D49)</f>
        <v>15</v>
      </c>
      <c r="F55" s="94" t="n">
        <f aca="false">MAX(0,F49-E49)</f>
        <v>9</v>
      </c>
      <c r="G55" s="94" t="n">
        <f aca="false">MAX(0,G49-F49)</f>
        <v>0</v>
      </c>
      <c r="H55" s="94" t="n">
        <f aca="false">MAX(0,H49-G49)</f>
        <v>0</v>
      </c>
      <c r="I55" s="94" t="n">
        <f aca="false">MAX(0,I49-H49)</f>
        <v>0</v>
      </c>
      <c r="J55" s="94" t="n">
        <f aca="false">MAX(0,J49-I49)</f>
        <v>0</v>
      </c>
      <c r="K55" s="94" t="n">
        <f aca="false">MAX(0,K49-J49)</f>
        <v>0</v>
      </c>
      <c r="L55" s="94" t="n">
        <f aca="false">MAX(0,L49-K49)</f>
        <v>0</v>
      </c>
      <c r="M55" s="94" t="n">
        <f aca="false">MAX(0,M49-L49)</f>
        <v>0</v>
      </c>
      <c r="N55" s="94" t="n">
        <f aca="false">MAX(0,N49-M49)</f>
        <v>0</v>
      </c>
      <c r="O55" s="94" t="n">
        <f aca="false">MAX(0,O49-N49)</f>
        <v>0</v>
      </c>
      <c r="P55" s="94" t="n">
        <f aca="false">MAX(0,P49-O49)</f>
        <v>0</v>
      </c>
      <c r="Q55" s="94" t="n">
        <f aca="false">MAX(0,Q49-P49)</f>
        <v>0</v>
      </c>
      <c r="R55" s="94" t="n">
        <f aca="false">MAX(0,R49-Q49)</f>
        <v>0</v>
      </c>
      <c r="S55" s="94" t="n">
        <f aca="false">MAX(0,S49-R49)</f>
        <v>0</v>
      </c>
      <c r="T55" s="94" t="n">
        <f aca="false">MAX(0,T49-S49)</f>
        <v>0</v>
      </c>
      <c r="U55" s="94" t="n">
        <f aca="false">MAX(0,U49-T49)</f>
        <v>0</v>
      </c>
      <c r="V55" s="94" t="n">
        <f aca="false">MAX(0,V49-U49)</f>
        <v>0</v>
      </c>
      <c r="W55" s="94" t="n">
        <f aca="false">MAX(0,W49-V49)</f>
        <v>0</v>
      </c>
    </row>
    <row r="56" customFormat="false" ht="15" hidden="false" customHeight="false" outlineLevel="0" collapsed="false">
      <c r="A56" s="11" t="str">
        <f aca="false">"New connections - "&amp;Seg3_Name</f>
        <v>New connections - Commercial (shops, bars, kiosks)</v>
      </c>
      <c r="B56" s="77" t="n">
        <f aca="false">SUM(C56:W56)</f>
        <v>100</v>
      </c>
      <c r="C56" s="94" t="n">
        <v>0</v>
      </c>
      <c r="D56" s="94" t="n">
        <f aca="false">MAX(0,D50-C50)</f>
        <v>60</v>
      </c>
      <c r="E56" s="94" t="n">
        <f aca="false">MAX(0,E50-D50)</f>
        <v>25</v>
      </c>
      <c r="F56" s="94" t="n">
        <f aca="false">MAX(0,F50-E50)</f>
        <v>15</v>
      </c>
      <c r="G56" s="94" t="n">
        <f aca="false">MAX(0,G50-F50)</f>
        <v>0</v>
      </c>
      <c r="H56" s="94" t="n">
        <f aca="false">MAX(0,H50-G50)</f>
        <v>0</v>
      </c>
      <c r="I56" s="94" t="n">
        <f aca="false">MAX(0,I50-H50)</f>
        <v>0</v>
      </c>
      <c r="J56" s="94" t="n">
        <f aca="false">MAX(0,J50-I50)</f>
        <v>0</v>
      </c>
      <c r="K56" s="94" t="n">
        <f aca="false">MAX(0,K50-J50)</f>
        <v>0</v>
      </c>
      <c r="L56" s="94" t="n">
        <f aca="false">MAX(0,L50-K50)</f>
        <v>0</v>
      </c>
      <c r="M56" s="94" t="n">
        <f aca="false">MAX(0,M50-L50)</f>
        <v>0</v>
      </c>
      <c r="N56" s="94" t="n">
        <f aca="false">MAX(0,N50-M50)</f>
        <v>0</v>
      </c>
      <c r="O56" s="94" t="n">
        <f aca="false">MAX(0,O50-N50)</f>
        <v>0</v>
      </c>
      <c r="P56" s="94" t="n">
        <f aca="false">MAX(0,P50-O50)</f>
        <v>0</v>
      </c>
      <c r="Q56" s="94" t="n">
        <f aca="false">MAX(0,Q50-P50)</f>
        <v>0</v>
      </c>
      <c r="R56" s="94" t="n">
        <f aca="false">MAX(0,R50-Q50)</f>
        <v>0</v>
      </c>
      <c r="S56" s="94" t="n">
        <f aca="false">MAX(0,S50-R50)</f>
        <v>0</v>
      </c>
      <c r="T56" s="94" t="n">
        <f aca="false">MAX(0,T50-S50)</f>
        <v>0</v>
      </c>
      <c r="U56" s="94" t="n">
        <f aca="false">MAX(0,U50-T50)</f>
        <v>0</v>
      </c>
      <c r="V56" s="94" t="n">
        <f aca="false">MAX(0,V50-U50)</f>
        <v>0</v>
      </c>
      <c r="W56" s="94" t="n">
        <f aca="false">MAX(0,W50-V50)</f>
        <v>0</v>
      </c>
    </row>
    <row r="57" customFormat="false" ht="15" hidden="false" customHeight="false" outlineLevel="0" collapsed="false">
      <c r="A57" s="11" t="str">
        <f aca="false">"New connections - "&amp;Seg4_Name</f>
        <v>New connections - Institutions (health centre, school, water)</v>
      </c>
      <c r="B57" s="77" t="n">
        <f aca="false">SUM(C57:W57)</f>
        <v>10</v>
      </c>
      <c r="C57" s="94" t="n">
        <v>0</v>
      </c>
      <c r="D57" s="94" t="n">
        <f aca="false">MAX(0,D51-C51)</f>
        <v>6</v>
      </c>
      <c r="E57" s="94" t="n">
        <f aca="false">MAX(0,E51-D51)</f>
        <v>2.5</v>
      </c>
      <c r="F57" s="94" t="n">
        <f aca="false">MAX(0,F51-E51)</f>
        <v>1.5</v>
      </c>
      <c r="G57" s="94" t="n">
        <f aca="false">MAX(0,G51-F51)</f>
        <v>0</v>
      </c>
      <c r="H57" s="94" t="n">
        <f aca="false">MAX(0,H51-G51)</f>
        <v>0</v>
      </c>
      <c r="I57" s="94" t="n">
        <f aca="false">MAX(0,I51-H51)</f>
        <v>0</v>
      </c>
      <c r="J57" s="94" t="n">
        <f aca="false">MAX(0,J51-I51)</f>
        <v>0</v>
      </c>
      <c r="K57" s="94" t="n">
        <f aca="false">MAX(0,K51-J51)</f>
        <v>0</v>
      </c>
      <c r="L57" s="94" t="n">
        <f aca="false">MAX(0,L51-K51)</f>
        <v>0</v>
      </c>
      <c r="M57" s="94" t="n">
        <f aca="false">MAX(0,M51-L51)</f>
        <v>0</v>
      </c>
      <c r="N57" s="94" t="n">
        <f aca="false">MAX(0,N51-M51)</f>
        <v>0</v>
      </c>
      <c r="O57" s="94" t="n">
        <f aca="false">MAX(0,O51-N51)</f>
        <v>0</v>
      </c>
      <c r="P57" s="94" t="n">
        <f aca="false">MAX(0,P51-O51)</f>
        <v>0</v>
      </c>
      <c r="Q57" s="94" t="n">
        <f aca="false">MAX(0,Q51-P51)</f>
        <v>0</v>
      </c>
      <c r="R57" s="94" t="n">
        <f aca="false">MAX(0,R51-Q51)</f>
        <v>0</v>
      </c>
      <c r="S57" s="94" t="n">
        <f aca="false">MAX(0,S51-R51)</f>
        <v>0</v>
      </c>
      <c r="T57" s="94" t="n">
        <f aca="false">MAX(0,T51-S51)</f>
        <v>0</v>
      </c>
      <c r="U57" s="94" t="n">
        <f aca="false">MAX(0,U51-T51)</f>
        <v>0</v>
      </c>
      <c r="V57" s="94" t="n">
        <f aca="false">MAX(0,V51-U51)</f>
        <v>0</v>
      </c>
      <c r="W57" s="94" t="n">
        <f aca="false">MAX(0,W51-V51)</f>
        <v>0</v>
      </c>
    </row>
    <row r="58" customFormat="false" ht="15" hidden="false" customHeight="false" outlineLevel="0" collapsed="false">
      <c r="A58" s="11" t="str">
        <f aca="false">"New connections - "&amp;Seg5_Name</f>
        <v>New connections - Other / custom</v>
      </c>
      <c r="B58" s="77" t="n">
        <f aca="false">SUM(C58:W58)</f>
        <v>0</v>
      </c>
      <c r="C58" s="94" t="n">
        <v>0</v>
      </c>
      <c r="D58" s="94" t="n">
        <f aca="false">MAX(0,D52-C52)</f>
        <v>0</v>
      </c>
      <c r="E58" s="94" t="n">
        <f aca="false">MAX(0,E52-D52)</f>
        <v>0</v>
      </c>
      <c r="F58" s="94" t="n">
        <f aca="false">MAX(0,F52-E52)</f>
        <v>0</v>
      </c>
      <c r="G58" s="94" t="n">
        <f aca="false">MAX(0,G52-F52)</f>
        <v>0</v>
      </c>
      <c r="H58" s="94" t="n">
        <f aca="false">MAX(0,H52-G52)</f>
        <v>0</v>
      </c>
      <c r="I58" s="94" t="n">
        <f aca="false">MAX(0,I52-H52)</f>
        <v>0</v>
      </c>
      <c r="J58" s="94" t="n">
        <f aca="false">MAX(0,J52-I52)</f>
        <v>0</v>
      </c>
      <c r="K58" s="94" t="n">
        <f aca="false">MAX(0,K52-J52)</f>
        <v>0</v>
      </c>
      <c r="L58" s="94" t="n">
        <f aca="false">MAX(0,L52-K52)</f>
        <v>0</v>
      </c>
      <c r="M58" s="94" t="n">
        <f aca="false">MAX(0,M52-L52)</f>
        <v>0</v>
      </c>
      <c r="N58" s="94" t="n">
        <f aca="false">MAX(0,N52-M52)</f>
        <v>0</v>
      </c>
      <c r="O58" s="94" t="n">
        <f aca="false">MAX(0,O52-N52)</f>
        <v>0</v>
      </c>
      <c r="P58" s="94" t="n">
        <f aca="false">MAX(0,P52-O52)</f>
        <v>0</v>
      </c>
      <c r="Q58" s="94" t="n">
        <f aca="false">MAX(0,Q52-P52)</f>
        <v>0</v>
      </c>
      <c r="R58" s="94" t="n">
        <f aca="false">MAX(0,R52-Q52)</f>
        <v>0</v>
      </c>
      <c r="S58" s="94" t="n">
        <f aca="false">MAX(0,S52-R52)</f>
        <v>0</v>
      </c>
      <c r="T58" s="94" t="n">
        <f aca="false">MAX(0,T52-S52)</f>
        <v>0</v>
      </c>
      <c r="U58" s="94" t="n">
        <f aca="false">MAX(0,U52-T52)</f>
        <v>0</v>
      </c>
      <c r="V58" s="94" t="n">
        <f aca="false">MAX(0,V52-U52)</f>
        <v>0</v>
      </c>
      <c r="W58" s="94" t="n">
        <f aca="false">MAX(0,W52-V52)</f>
        <v>0</v>
      </c>
    </row>
    <row r="59" customFormat="false" ht="15" hidden="false" customHeight="false" outlineLevel="0" collapsed="false">
      <c r="A59" s="16" t="s">
        <v>421</v>
      </c>
      <c r="B59" s="76" t="n">
        <f aca="false">SUM(C59:W59)</f>
        <v>970</v>
      </c>
      <c r="C59" s="29" t="n">
        <f aca="false">C54+C55+C56+C57+C58</f>
        <v>0</v>
      </c>
      <c r="D59" s="29" t="n">
        <f aca="false">D54+D55+D56+D57+D58</f>
        <v>582</v>
      </c>
      <c r="E59" s="29" t="n">
        <f aca="false">E54+E55+E56+E57+E58</f>
        <v>242.5</v>
      </c>
      <c r="F59" s="29" t="n">
        <f aca="false">F54+F55+F56+F57+F58</f>
        <v>145.5</v>
      </c>
      <c r="G59" s="29" t="n">
        <f aca="false">G54+G55+G56+G57+G58</f>
        <v>0</v>
      </c>
      <c r="H59" s="29" t="n">
        <f aca="false">H54+H55+H56+H57+H58</f>
        <v>0</v>
      </c>
      <c r="I59" s="29" t="n">
        <f aca="false">I54+I55+I56+I57+I58</f>
        <v>0</v>
      </c>
      <c r="J59" s="29" t="n">
        <f aca="false">J54+J55+J56+J57+J58</f>
        <v>0</v>
      </c>
      <c r="K59" s="29" t="n">
        <f aca="false">K54+K55+K56+K57+K58</f>
        <v>0</v>
      </c>
      <c r="L59" s="29" t="n">
        <f aca="false">L54+L55+L56+L57+L58</f>
        <v>0</v>
      </c>
      <c r="M59" s="29" t="n">
        <f aca="false">M54+M55+M56+M57+M58</f>
        <v>0</v>
      </c>
      <c r="N59" s="29" t="n">
        <f aca="false">N54+N55+N56+N57+N58</f>
        <v>0</v>
      </c>
      <c r="O59" s="29" t="n">
        <f aca="false">O54+O55+O56+O57+O58</f>
        <v>0</v>
      </c>
      <c r="P59" s="29" t="n">
        <f aca="false">P54+P55+P56+P57+P58</f>
        <v>0</v>
      </c>
      <c r="Q59" s="29" t="n">
        <f aca="false">Q54+Q55+Q56+Q57+Q58</f>
        <v>0</v>
      </c>
      <c r="R59" s="29" t="n">
        <f aca="false">R54+R55+R56+R57+R58</f>
        <v>0</v>
      </c>
      <c r="S59" s="29" t="n">
        <f aca="false">S54+S55+S56+S57+S58</f>
        <v>0</v>
      </c>
      <c r="T59" s="29" t="n">
        <f aca="false">T54+T55+T56+T57+T58</f>
        <v>0</v>
      </c>
      <c r="U59" s="29" t="n">
        <f aca="false">U54+U55+U56+U57+U58</f>
        <v>0</v>
      </c>
      <c r="V59" s="29" t="n">
        <f aca="false">V54+V55+V56+V57+V58</f>
        <v>0</v>
      </c>
      <c r="W59" s="29" t="n">
        <f aca="false">W54+W55+W56+W57+W58</f>
        <v>0</v>
      </c>
    </row>
    <row r="61" customFormat="false" ht="15" hidden="false" customHeight="false" outlineLevel="0" collapsed="false">
      <c r="A61" s="11" t="str">
        <f aca="false">"Energy sold (kWh) - "&amp;Seg1_Name</f>
        <v>Energy sold (kWh) - Households</v>
      </c>
      <c r="B61" s="76" t="n">
        <f aca="false">SUM(C61:W61)</f>
        <v>3789485.92641319</v>
      </c>
      <c r="C61" s="93" t="n">
        <v>0</v>
      </c>
      <c r="D61" s="93" t="n">
        <f aca="false">D48*Seg1_kWh*12*D45</f>
        <v>86400</v>
      </c>
      <c r="E61" s="93" t="n">
        <f aca="false">E48*Seg1_kWh*12*E45</f>
        <v>126072</v>
      </c>
      <c r="F61" s="93" t="n">
        <f aca="false">F48*Seg1_kWh*12*F45</f>
        <v>152769.6</v>
      </c>
      <c r="G61" s="93" t="n">
        <f aca="false">G48*Seg1_kWh*12*G45</f>
        <v>157352.688</v>
      </c>
      <c r="H61" s="93" t="n">
        <f aca="false">H48*Seg1_kWh*12*H45</f>
        <v>162073.26864</v>
      </c>
      <c r="I61" s="93" t="n">
        <f aca="false">I48*Seg1_kWh*12*I45</f>
        <v>166935.4666992</v>
      </c>
      <c r="J61" s="93" t="n">
        <f aca="false">J48*Seg1_kWh*12*J45</f>
        <v>171943.530700176</v>
      </c>
      <c r="K61" s="93" t="n">
        <f aca="false">K48*Seg1_kWh*12*K45</f>
        <v>177101.836621181</v>
      </c>
      <c r="L61" s="93" t="n">
        <f aca="false">L48*Seg1_kWh*12*L45</f>
        <v>182414.891719817</v>
      </c>
      <c r="M61" s="93" t="n">
        <f aca="false">M48*Seg1_kWh*12*M45</f>
        <v>187887.338471411</v>
      </c>
      <c r="N61" s="93" t="n">
        <f aca="false">N48*Seg1_kWh*12*N45</f>
        <v>193523.958625554</v>
      </c>
      <c r="O61" s="93" t="n">
        <f aca="false">O48*Seg1_kWh*12*O45</f>
        <v>199329.67738432</v>
      </c>
      <c r="P61" s="93" t="n">
        <f aca="false">P48*Seg1_kWh*12*P45</f>
        <v>205309.56770585</v>
      </c>
      <c r="Q61" s="93" t="n">
        <f aca="false">Q48*Seg1_kWh*12*Q45</f>
        <v>211468.854737025</v>
      </c>
      <c r="R61" s="93" t="n">
        <f aca="false">R48*Seg1_kWh*12*R45</f>
        <v>217812.920379136</v>
      </c>
      <c r="S61" s="93" t="n">
        <f aca="false">S48*Seg1_kWh*12*S45</f>
        <v>224347.30799051</v>
      </c>
      <c r="T61" s="93" t="n">
        <f aca="false">T48*Seg1_kWh*12*T45</f>
        <v>231077.727230226</v>
      </c>
      <c r="U61" s="93" t="n">
        <f aca="false">U48*Seg1_kWh*12*U45</f>
        <v>238010.059047132</v>
      </c>
      <c r="V61" s="93" t="n">
        <f aca="false">V48*Seg1_kWh*12*V45</f>
        <v>245150.360818546</v>
      </c>
      <c r="W61" s="93" t="n">
        <f aca="false">W48*Seg1_kWh*12*W45</f>
        <v>252504.871643103</v>
      </c>
    </row>
    <row r="62" customFormat="false" ht="15" hidden="false" customHeight="false" outlineLevel="0" collapsed="false">
      <c r="A62" s="11" t="str">
        <f aca="false">"Energy sold (kWh) - "&amp;Seg2_Name</f>
        <v>Energy sold (kWh) - Productive users (mills, welding, cold rooms)</v>
      </c>
      <c r="B62" s="76" t="n">
        <f aca="false">SUM(C62:W62)</f>
        <v>2944733.72369716</v>
      </c>
      <c r="C62" s="93" t="n">
        <v>0</v>
      </c>
      <c r="D62" s="93" t="n">
        <f aca="false">D49*Seg2_kWh*12*D45</f>
        <v>67139.712</v>
      </c>
      <c r="E62" s="93" t="n">
        <f aca="false">E49*Seg2_kWh*12*E45</f>
        <v>97968.02976</v>
      </c>
      <c r="F62" s="93" t="n">
        <f aca="false">F49*Seg2_kWh*12*F45</f>
        <v>118714.200768</v>
      </c>
      <c r="G62" s="93" t="n">
        <f aca="false">G49*Seg2_kWh*12*G45</f>
        <v>122275.62679104</v>
      </c>
      <c r="H62" s="93" t="n">
        <f aca="false">H49*Seg2_kWh*12*H45</f>
        <v>125943.895594771</v>
      </c>
      <c r="I62" s="93" t="n">
        <f aca="false">I49*Seg2_kWh*12*I45</f>
        <v>129722.212462614</v>
      </c>
      <c r="J62" s="93" t="n">
        <f aca="false">J49*Seg2_kWh*12*J45</f>
        <v>133613.878836493</v>
      </c>
      <c r="K62" s="93" t="n">
        <f aca="false">K49*Seg2_kWh*12*K45</f>
        <v>137622.295201588</v>
      </c>
      <c r="L62" s="93" t="n">
        <f aca="false">L49*Seg2_kWh*12*L45</f>
        <v>141750.964057635</v>
      </c>
      <c r="M62" s="93" t="n">
        <f aca="false">M49*Seg2_kWh*12*M45</f>
        <v>146003.492979364</v>
      </c>
      <c r="N62" s="93" t="n">
        <f aca="false">N49*Seg2_kWh*12*N45</f>
        <v>150383.597768745</v>
      </c>
      <c r="O62" s="93" t="n">
        <f aca="false">O49*Seg2_kWh*12*O45</f>
        <v>154895.105701808</v>
      </c>
      <c r="P62" s="93" t="n">
        <f aca="false">P49*Seg2_kWh*12*P45</f>
        <v>159541.958872862</v>
      </c>
      <c r="Q62" s="93" t="n">
        <f aca="false">Q49*Seg2_kWh*12*Q45</f>
        <v>164328.217639048</v>
      </c>
      <c r="R62" s="93" t="n">
        <f aca="false">R49*Seg2_kWh*12*R45</f>
        <v>169258.064168219</v>
      </c>
      <c r="S62" s="93" t="n">
        <f aca="false">S49*Seg2_kWh*12*S45</f>
        <v>174335.806093266</v>
      </c>
      <c r="T62" s="93" t="n">
        <f aca="false">T49*Seg2_kWh*12*T45</f>
        <v>179565.880276064</v>
      </c>
      <c r="U62" s="93" t="n">
        <f aca="false">U49*Seg2_kWh*12*U45</f>
        <v>184952.856684346</v>
      </c>
      <c r="V62" s="93" t="n">
        <f aca="false">V49*Seg2_kWh*12*V45</f>
        <v>190501.442384876</v>
      </c>
      <c r="W62" s="93" t="n">
        <f aca="false">W49*Seg2_kWh*12*W45</f>
        <v>196216.485656422</v>
      </c>
    </row>
    <row r="63" customFormat="false" ht="15" hidden="false" customHeight="false" outlineLevel="0" collapsed="false">
      <c r="A63" s="11" t="str">
        <f aca="false">"Energy sold (kWh) - "&amp;Seg3_Name</f>
        <v>Energy sold (kWh) - Commercial (shops, bars, kiosks)</v>
      </c>
      <c r="B63" s="76" t="n">
        <f aca="false">SUM(C63:W63)</f>
        <v>1578952.46933883</v>
      </c>
      <c r="C63" s="93" t="n">
        <v>0</v>
      </c>
      <c r="D63" s="93" t="n">
        <f aca="false">D50*Seg3_kWh*12*D45</f>
        <v>36000</v>
      </c>
      <c r="E63" s="93" t="n">
        <f aca="false">E50*Seg3_kWh*12*E45</f>
        <v>52530</v>
      </c>
      <c r="F63" s="93" t="n">
        <f aca="false">F50*Seg3_kWh*12*F45</f>
        <v>63654</v>
      </c>
      <c r="G63" s="93" t="n">
        <f aca="false">G50*Seg3_kWh*12*G45</f>
        <v>65563.62</v>
      </c>
      <c r="H63" s="93" t="n">
        <f aca="false">H50*Seg3_kWh*12*H45</f>
        <v>67530.5286</v>
      </c>
      <c r="I63" s="93" t="n">
        <f aca="false">I50*Seg3_kWh*12*I45</f>
        <v>69556.444458</v>
      </c>
      <c r="J63" s="93" t="n">
        <f aca="false">J50*Seg3_kWh*12*J45</f>
        <v>71643.13779174</v>
      </c>
      <c r="K63" s="93" t="n">
        <f aca="false">K50*Seg3_kWh*12*K45</f>
        <v>73792.4319254922</v>
      </c>
      <c r="L63" s="93" t="n">
        <f aca="false">L50*Seg3_kWh*12*L45</f>
        <v>76006.204883257</v>
      </c>
      <c r="M63" s="93" t="n">
        <f aca="false">M50*Seg3_kWh*12*M45</f>
        <v>78286.3910297547</v>
      </c>
      <c r="N63" s="93" t="n">
        <f aca="false">N50*Seg3_kWh*12*N45</f>
        <v>80634.9827606473</v>
      </c>
      <c r="O63" s="93" t="n">
        <f aca="false">O50*Seg3_kWh*12*O45</f>
        <v>83054.0322434668</v>
      </c>
      <c r="P63" s="93" t="n">
        <f aca="false">P50*Seg3_kWh*12*P45</f>
        <v>85545.6532107708</v>
      </c>
      <c r="Q63" s="93" t="n">
        <f aca="false">Q50*Seg3_kWh*12*Q45</f>
        <v>88112.0228070939</v>
      </c>
      <c r="R63" s="93" t="n">
        <f aca="false">R50*Seg3_kWh*12*R45</f>
        <v>90755.3834913067</v>
      </c>
      <c r="S63" s="93" t="n">
        <f aca="false">S50*Seg3_kWh*12*S45</f>
        <v>93478.0449960459</v>
      </c>
      <c r="T63" s="93" t="n">
        <f aca="false">T50*Seg3_kWh*12*T45</f>
        <v>96282.3863459273</v>
      </c>
      <c r="U63" s="93" t="n">
        <f aca="false">U50*Seg3_kWh*12*U45</f>
        <v>99170.8579363051</v>
      </c>
      <c r="V63" s="93" t="n">
        <f aca="false">V50*Seg3_kWh*12*V45</f>
        <v>102145.983674394</v>
      </c>
      <c r="W63" s="93" t="n">
        <f aca="false">W50*Seg3_kWh*12*W45</f>
        <v>105210.363184626</v>
      </c>
    </row>
    <row r="64" customFormat="false" ht="15" hidden="false" customHeight="false" outlineLevel="0" collapsed="false">
      <c r="A64" s="11" t="str">
        <f aca="false">"Energy sold (kWh) - "&amp;Seg4_Name</f>
        <v>Energy sold (kWh) - Institutions (health centre, school, water)</v>
      </c>
      <c r="B64" s="76" t="n">
        <f aca="false">SUM(C64:W64)</f>
        <v>947371.481603297</v>
      </c>
      <c r="C64" s="93" t="n">
        <v>0</v>
      </c>
      <c r="D64" s="93" t="n">
        <f aca="false">D51*Seg4_kWh*12*D45</f>
        <v>21600</v>
      </c>
      <c r="E64" s="93" t="n">
        <f aca="false">E51*Seg4_kWh*12*E45</f>
        <v>31518</v>
      </c>
      <c r="F64" s="93" t="n">
        <f aca="false">F51*Seg4_kWh*12*F45</f>
        <v>38192.4</v>
      </c>
      <c r="G64" s="93" t="n">
        <f aca="false">G51*Seg4_kWh*12*G45</f>
        <v>39338.172</v>
      </c>
      <c r="H64" s="93" t="n">
        <f aca="false">H51*Seg4_kWh*12*H45</f>
        <v>40518.31716</v>
      </c>
      <c r="I64" s="93" t="n">
        <f aca="false">I51*Seg4_kWh*12*I45</f>
        <v>41733.8666748</v>
      </c>
      <c r="J64" s="93" t="n">
        <f aca="false">J51*Seg4_kWh*12*J45</f>
        <v>42985.882675044</v>
      </c>
      <c r="K64" s="93" t="n">
        <f aca="false">K51*Seg4_kWh*12*K45</f>
        <v>44275.4591552953</v>
      </c>
      <c r="L64" s="93" t="n">
        <f aca="false">L51*Seg4_kWh*12*L45</f>
        <v>45603.7229299542</v>
      </c>
      <c r="M64" s="93" t="n">
        <f aca="false">M51*Seg4_kWh*12*M45</f>
        <v>46971.8346178528</v>
      </c>
      <c r="N64" s="93" t="n">
        <f aca="false">N51*Seg4_kWh*12*N45</f>
        <v>48380.9896563884</v>
      </c>
      <c r="O64" s="93" t="n">
        <f aca="false">O51*Seg4_kWh*12*O45</f>
        <v>49832.4193460801</v>
      </c>
      <c r="P64" s="93" t="n">
        <f aca="false">P51*Seg4_kWh*12*P45</f>
        <v>51327.3919264625</v>
      </c>
      <c r="Q64" s="93" t="n">
        <f aca="false">Q51*Seg4_kWh*12*Q45</f>
        <v>52867.2136842563</v>
      </c>
      <c r="R64" s="93" t="n">
        <f aca="false">R51*Seg4_kWh*12*R45</f>
        <v>54453.230094784</v>
      </c>
      <c r="S64" s="93" t="n">
        <f aca="false">S51*Seg4_kWh*12*S45</f>
        <v>56086.8269976275</v>
      </c>
      <c r="T64" s="93" t="n">
        <f aca="false">T51*Seg4_kWh*12*T45</f>
        <v>57769.4318075564</v>
      </c>
      <c r="U64" s="93" t="n">
        <f aca="false">U51*Seg4_kWh*12*U45</f>
        <v>59502.5147617831</v>
      </c>
      <c r="V64" s="93" t="n">
        <f aca="false">V51*Seg4_kWh*12*V45</f>
        <v>61287.5902046366</v>
      </c>
      <c r="W64" s="93" t="n">
        <f aca="false">W51*Seg4_kWh*12*W45</f>
        <v>63126.2179107757</v>
      </c>
    </row>
    <row r="65" customFormat="false" ht="15" hidden="false" customHeight="false" outlineLevel="0" collapsed="false">
      <c r="A65" s="11" t="str">
        <f aca="false">"Energy sold (kWh) - "&amp;Seg5_Name</f>
        <v>Energy sold (kWh) - Other / custom</v>
      </c>
      <c r="B65" s="76" t="n">
        <f aca="false">SUM(C65:W65)</f>
        <v>0</v>
      </c>
      <c r="C65" s="93" t="n">
        <v>0</v>
      </c>
      <c r="D65" s="93" t="n">
        <f aca="false">D52*Seg5_kWh*12*D45</f>
        <v>0</v>
      </c>
      <c r="E65" s="93" t="n">
        <f aca="false">E52*Seg5_kWh*12*E45</f>
        <v>0</v>
      </c>
      <c r="F65" s="93" t="n">
        <f aca="false">F52*Seg5_kWh*12*F45</f>
        <v>0</v>
      </c>
      <c r="G65" s="93" t="n">
        <f aca="false">G52*Seg5_kWh*12*G45</f>
        <v>0</v>
      </c>
      <c r="H65" s="93" t="n">
        <f aca="false">H52*Seg5_kWh*12*H45</f>
        <v>0</v>
      </c>
      <c r="I65" s="93" t="n">
        <f aca="false">I52*Seg5_kWh*12*I45</f>
        <v>0</v>
      </c>
      <c r="J65" s="93" t="n">
        <f aca="false">J52*Seg5_kWh*12*J45</f>
        <v>0</v>
      </c>
      <c r="K65" s="93" t="n">
        <f aca="false">K52*Seg5_kWh*12*K45</f>
        <v>0</v>
      </c>
      <c r="L65" s="93" t="n">
        <f aca="false">L52*Seg5_kWh*12*L45</f>
        <v>0</v>
      </c>
      <c r="M65" s="93" t="n">
        <f aca="false">M52*Seg5_kWh*12*M45</f>
        <v>0</v>
      </c>
      <c r="N65" s="93" t="n">
        <f aca="false">N52*Seg5_kWh*12*N45</f>
        <v>0</v>
      </c>
      <c r="O65" s="93" t="n">
        <f aca="false">O52*Seg5_kWh*12*O45</f>
        <v>0</v>
      </c>
      <c r="P65" s="93" t="n">
        <f aca="false">P52*Seg5_kWh*12*P45</f>
        <v>0</v>
      </c>
      <c r="Q65" s="93" t="n">
        <f aca="false">Q52*Seg5_kWh*12*Q45</f>
        <v>0</v>
      </c>
      <c r="R65" s="93" t="n">
        <f aca="false">R52*Seg5_kWh*12*R45</f>
        <v>0</v>
      </c>
      <c r="S65" s="93" t="n">
        <f aca="false">S52*Seg5_kWh*12*S45</f>
        <v>0</v>
      </c>
      <c r="T65" s="93" t="n">
        <f aca="false">T52*Seg5_kWh*12*T45</f>
        <v>0</v>
      </c>
      <c r="U65" s="93" t="n">
        <f aca="false">U52*Seg5_kWh*12*U45</f>
        <v>0</v>
      </c>
      <c r="V65" s="93" t="n">
        <f aca="false">V52*Seg5_kWh*12*V45</f>
        <v>0</v>
      </c>
      <c r="W65" s="93" t="n">
        <f aca="false">W52*Seg5_kWh*12*W45</f>
        <v>0</v>
      </c>
    </row>
    <row r="66" customFormat="false" ht="15" hidden="false" customHeight="false" outlineLevel="0" collapsed="false">
      <c r="A66" s="16" t="s">
        <v>422</v>
      </c>
      <c r="B66" s="76" t="n">
        <f aca="false">SUM(C66:W66)</f>
        <v>9260543.60105247</v>
      </c>
      <c r="C66" s="29" t="n">
        <f aca="false">C61+C62+C63+C64+C65</f>
        <v>0</v>
      </c>
      <c r="D66" s="29" t="n">
        <f aca="false">D61+D62+D63+D64+D65</f>
        <v>211139.712</v>
      </c>
      <c r="E66" s="29" t="n">
        <f aca="false">E61+E62+E63+E64+E65</f>
        <v>308088.02976</v>
      </c>
      <c r="F66" s="29" t="n">
        <f aca="false">F61+F62+F63+F64+F65</f>
        <v>373330.200768</v>
      </c>
      <c r="G66" s="29" t="n">
        <f aca="false">G61+G62+G63+G64+G65</f>
        <v>384530.10679104</v>
      </c>
      <c r="H66" s="29" t="n">
        <f aca="false">H61+H62+H63+H64+H65</f>
        <v>396066.009994771</v>
      </c>
      <c r="I66" s="29" t="n">
        <f aca="false">I61+I62+I63+I64+I65</f>
        <v>407947.990294614</v>
      </c>
      <c r="J66" s="29" t="n">
        <f aca="false">J61+J62+J63+J64+J65</f>
        <v>420186.430003453</v>
      </c>
      <c r="K66" s="29" t="n">
        <f aca="false">K61+K62+K63+K64+K65</f>
        <v>432792.022903556</v>
      </c>
      <c r="L66" s="29" t="n">
        <f aca="false">L61+L62+L63+L64+L65</f>
        <v>445775.783590663</v>
      </c>
      <c r="M66" s="29" t="n">
        <f aca="false">M61+M62+M63+M64+M65</f>
        <v>459149.057098383</v>
      </c>
      <c r="N66" s="29" t="n">
        <f aca="false">N61+N62+N63+N64+N65</f>
        <v>472923.528811335</v>
      </c>
      <c r="O66" s="29" t="n">
        <f aca="false">O61+O62+O63+O64+O65</f>
        <v>487111.234675675</v>
      </c>
      <c r="P66" s="29" t="n">
        <f aca="false">P61+P62+P63+P64+P65</f>
        <v>501724.571715945</v>
      </c>
      <c r="Q66" s="29" t="n">
        <f aca="false">Q61+Q62+Q63+Q64+Q65</f>
        <v>516776.308867423</v>
      </c>
      <c r="R66" s="29" t="n">
        <f aca="false">R61+R62+R63+R64+R65</f>
        <v>532279.598133446</v>
      </c>
      <c r="S66" s="29" t="n">
        <f aca="false">S61+S62+S63+S64+S65</f>
        <v>548247.986077449</v>
      </c>
      <c r="T66" s="29" t="n">
        <f aca="false">T61+T62+T63+T64+T65</f>
        <v>564695.425659773</v>
      </c>
      <c r="U66" s="29" t="n">
        <f aca="false">U61+U62+U63+U64+U65</f>
        <v>581636.288429566</v>
      </c>
      <c r="V66" s="29" t="n">
        <f aca="false">V61+V62+V63+V64+V65</f>
        <v>599085.377082453</v>
      </c>
      <c r="W66" s="29" t="n">
        <f aca="false">W61+W62+W63+W64+W65</f>
        <v>617057.938394927</v>
      </c>
    </row>
    <row r="68" customFormat="false" ht="15" hidden="false" customHeight="false" outlineLevel="0" collapsed="false">
      <c r="A68" s="9" t="s">
        <v>423</v>
      </c>
      <c r="B68" s="10"/>
      <c r="C68" s="10"/>
      <c r="D68" s="10"/>
      <c r="E68" s="10"/>
      <c r="F68" s="10"/>
      <c r="G68" s="10"/>
      <c r="H68" s="10"/>
      <c r="I68" s="10"/>
      <c r="J68" s="10"/>
      <c r="K68" s="10"/>
      <c r="L68" s="10"/>
      <c r="M68" s="10"/>
      <c r="N68" s="10"/>
      <c r="O68" s="10"/>
      <c r="P68" s="10"/>
      <c r="Q68" s="10"/>
      <c r="R68" s="10"/>
      <c r="S68" s="10"/>
      <c r="T68" s="10"/>
      <c r="U68" s="10"/>
      <c r="V68" s="10"/>
      <c r="W68" s="10"/>
    </row>
    <row r="69" customFormat="false" ht="15" hidden="false" customHeight="false" outlineLevel="0" collapsed="false">
      <c r="A69" s="11" t="s">
        <v>424</v>
      </c>
      <c r="B69" s="76" t="n">
        <f aca="false">SUM(C69:W69)</f>
        <v>10523345.001196</v>
      </c>
      <c r="C69" s="93" t="n">
        <v>0</v>
      </c>
      <c r="D69" s="93" t="n">
        <f aca="false">D66/(1-Losses)</f>
        <v>239931.490909091</v>
      </c>
      <c r="E69" s="93" t="n">
        <f aca="false">E66/(1-Losses)</f>
        <v>350100.033818182</v>
      </c>
      <c r="F69" s="93" t="n">
        <f aca="false">F66/(1-Losses)</f>
        <v>424238.864509091</v>
      </c>
      <c r="G69" s="93" t="n">
        <f aca="false">G66/(1-Losses)</f>
        <v>436966.030444364</v>
      </c>
      <c r="H69" s="93" t="n">
        <f aca="false">H66/(1-Losses)</f>
        <v>450075.011357695</v>
      </c>
      <c r="I69" s="93" t="n">
        <f aca="false">I66/(1-Losses)</f>
        <v>463577.261698425</v>
      </c>
      <c r="J69" s="93" t="n">
        <f aca="false">J66/(1-Losses)</f>
        <v>477484.579549378</v>
      </c>
      <c r="K69" s="93" t="n">
        <f aca="false">K66/(1-Losses)</f>
        <v>491809.11693586</v>
      </c>
      <c r="L69" s="93" t="n">
        <f aca="false">L66/(1-Losses)</f>
        <v>506563.390443935</v>
      </c>
      <c r="M69" s="93" t="n">
        <f aca="false">M66/(1-Losses)</f>
        <v>521760.292157253</v>
      </c>
      <c r="N69" s="93" t="n">
        <f aca="false">N66/(1-Losses)</f>
        <v>537413.100921971</v>
      </c>
      <c r="O69" s="93" t="n">
        <f aca="false">O66/(1-Losses)</f>
        <v>553535.49394963</v>
      </c>
      <c r="P69" s="93" t="n">
        <f aca="false">P66/(1-Losses)</f>
        <v>570141.558768119</v>
      </c>
      <c r="Q69" s="93" t="n">
        <f aca="false">Q66/(1-Losses)</f>
        <v>587245.805531163</v>
      </c>
      <c r="R69" s="93" t="n">
        <f aca="false">R66/(1-Losses)</f>
        <v>604863.179697098</v>
      </c>
      <c r="S69" s="93" t="n">
        <f aca="false">S66/(1-Losses)</f>
        <v>623009.07508801</v>
      </c>
      <c r="T69" s="93" t="n">
        <f aca="false">T66/(1-Losses)</f>
        <v>641699.347340651</v>
      </c>
      <c r="U69" s="93" t="n">
        <f aca="false">U66/(1-Losses)</f>
        <v>660950.327760871</v>
      </c>
      <c r="V69" s="93" t="n">
        <f aca="false">V66/(1-Losses)</f>
        <v>680778.837593697</v>
      </c>
      <c r="W69" s="93" t="n">
        <f aca="false">W66/(1-Losses)</f>
        <v>701202.202721508</v>
      </c>
    </row>
    <row r="70" customFormat="false" ht="15" hidden="false" customHeight="false" outlineLevel="0" collapsed="false">
      <c r="A70" s="11" t="s">
        <v>425</v>
      </c>
      <c r="B70" s="76" t="n">
        <f aca="false">SUM(C70:W70)</f>
        <v>8722537.45034705</v>
      </c>
      <c r="C70" s="93" t="n">
        <v>0</v>
      </c>
      <c r="D70" s="93" t="n">
        <f aca="false">PV_kWp*SpecYield*(1-Degradation)^(D39-1)*D41</f>
        <v>457206.277768167</v>
      </c>
      <c r="E70" s="93" t="n">
        <f aca="false">PV_kWp*SpecYield*(1-Degradation)^(E39-1)*E41</f>
        <v>454920.246379326</v>
      </c>
      <c r="F70" s="93" t="n">
        <f aca="false">PV_kWp*SpecYield*(1-Degradation)^(F39-1)*F41</f>
        <v>452645.64514743</v>
      </c>
      <c r="G70" s="93" t="n">
        <f aca="false">PV_kWp*SpecYield*(1-Degradation)^(G39-1)*G41</f>
        <v>450382.416921693</v>
      </c>
      <c r="H70" s="93" t="n">
        <f aca="false">PV_kWp*SpecYield*(1-Degradation)^(H39-1)*H41</f>
        <v>448130.504837084</v>
      </c>
      <c r="I70" s="93" t="n">
        <f aca="false">PV_kWp*SpecYield*(1-Degradation)^(I39-1)*I41</f>
        <v>445889.852312899</v>
      </c>
      <c r="J70" s="93" t="n">
        <f aca="false">PV_kWp*SpecYield*(1-Degradation)^(J39-1)*J41</f>
        <v>443660.403051334</v>
      </c>
      <c r="K70" s="93" t="n">
        <f aca="false">PV_kWp*SpecYield*(1-Degradation)^(K39-1)*K41</f>
        <v>441442.101036078</v>
      </c>
      <c r="L70" s="93" t="n">
        <f aca="false">PV_kWp*SpecYield*(1-Degradation)^(L39-1)*L41</f>
        <v>439234.890530897</v>
      </c>
      <c r="M70" s="93" t="n">
        <f aca="false">PV_kWp*SpecYield*(1-Degradation)^(M39-1)*M41</f>
        <v>437038.716078243</v>
      </c>
      <c r="N70" s="93" t="n">
        <f aca="false">PV_kWp*SpecYield*(1-Degradation)^(N39-1)*N41</f>
        <v>434853.522497851</v>
      </c>
      <c r="O70" s="93" t="n">
        <f aca="false">PV_kWp*SpecYield*(1-Degradation)^(O39-1)*O41</f>
        <v>432679.254885362</v>
      </c>
      <c r="P70" s="93" t="n">
        <f aca="false">PV_kWp*SpecYield*(1-Degradation)^(P39-1)*P41</f>
        <v>430515.858610935</v>
      </c>
      <c r="Q70" s="93" t="n">
        <f aca="false">PV_kWp*SpecYield*(1-Degradation)^(Q39-1)*Q41</f>
        <v>428363.279317881</v>
      </c>
      <c r="R70" s="93" t="n">
        <f aca="false">PV_kWp*SpecYield*(1-Degradation)^(R39-1)*R41</f>
        <v>426221.462921291</v>
      </c>
      <c r="S70" s="93" t="n">
        <f aca="false">PV_kWp*SpecYield*(1-Degradation)^(S39-1)*S41</f>
        <v>424090.355606685</v>
      </c>
      <c r="T70" s="93" t="n">
        <f aca="false">PV_kWp*SpecYield*(1-Degradation)^(T39-1)*T41</f>
        <v>421969.903828651</v>
      </c>
      <c r="U70" s="93" t="n">
        <f aca="false">PV_kWp*SpecYield*(1-Degradation)^(U39-1)*U41</f>
        <v>419860.054309508</v>
      </c>
      <c r="V70" s="93" t="n">
        <f aca="false">PV_kWp*SpecYield*(1-Degradation)^(V39-1)*V41</f>
        <v>417760.754037961</v>
      </c>
      <c r="W70" s="93" t="n">
        <f aca="false">PV_kWp*SpecYield*(1-Degradation)^(W39-1)*W41</f>
        <v>415671.950267771</v>
      </c>
    </row>
    <row r="71" customFormat="false" ht="15" hidden="false" customHeight="false" outlineLevel="0" collapsed="false">
      <c r="A71" s="11" t="s">
        <v>426</v>
      </c>
      <c r="B71" s="76" t="n">
        <f aca="false">SUM(C71:W71)</f>
        <v>7903453.19236348</v>
      </c>
      <c r="C71" s="93" t="n">
        <v>0</v>
      </c>
      <c r="D71" s="93" t="n">
        <f aca="false">MIN(D70/StorageFactor,D69*SolarFraction)</f>
        <v>215938.341818182</v>
      </c>
      <c r="E71" s="93" t="n">
        <f aca="false">MIN(E70/StorageFactor,E69*SolarFraction)</f>
        <v>315090.030436364</v>
      </c>
      <c r="F71" s="93" t="n">
        <f aca="false">MIN(F70/StorageFactor,F69*SolarFraction)</f>
        <v>381814.978058182</v>
      </c>
      <c r="G71" s="93" t="n">
        <f aca="false">MIN(G70/StorageFactor,G69*SolarFraction)</f>
        <v>393269.427399927</v>
      </c>
      <c r="H71" s="93" t="n">
        <f aca="false">MIN(H70/StorageFactor,H69*SolarFraction)</f>
        <v>405067.510221925</v>
      </c>
      <c r="I71" s="93" t="n">
        <f aca="false">MIN(I70/StorageFactor,I69*SolarFraction)</f>
        <v>417219.535528583</v>
      </c>
      <c r="J71" s="93" t="n">
        <f aca="false">MIN(J70/StorageFactor,J69*SolarFraction)</f>
        <v>426078.172123344</v>
      </c>
      <c r="K71" s="93" t="n">
        <f aca="false">MIN(K70/StorageFactor,K69*SolarFraction)</f>
        <v>423947.781262727</v>
      </c>
      <c r="L71" s="93" t="n">
        <f aca="false">MIN(L70/StorageFactor,L69*SolarFraction)</f>
        <v>421828.042356414</v>
      </c>
      <c r="M71" s="93" t="n">
        <f aca="false">MIN(M70/StorageFactor,M69*SolarFraction)</f>
        <v>419718.902144632</v>
      </c>
      <c r="N71" s="93" t="n">
        <f aca="false">MIN(N70/StorageFactor,N69*SolarFraction)</f>
        <v>417620.307633909</v>
      </c>
      <c r="O71" s="93" t="n">
        <f aca="false">MIN(O70/StorageFactor,O69*SolarFraction)</f>
        <v>415532.206095739</v>
      </c>
      <c r="P71" s="93" t="n">
        <f aca="false">MIN(P70/StorageFactor,P69*SolarFraction)</f>
        <v>413454.54506526</v>
      </c>
      <c r="Q71" s="93" t="n">
        <f aca="false">MIN(Q70/StorageFactor,Q69*SolarFraction)</f>
        <v>411387.272339934</v>
      </c>
      <c r="R71" s="93" t="n">
        <f aca="false">MIN(R70/StorageFactor,R69*SolarFraction)</f>
        <v>409330.335978234</v>
      </c>
      <c r="S71" s="93" t="n">
        <f aca="false">MIN(S70/StorageFactor,S69*SolarFraction)</f>
        <v>407283.684298343</v>
      </c>
      <c r="T71" s="93" t="n">
        <f aca="false">MIN(T70/StorageFactor,T69*SolarFraction)</f>
        <v>405247.265876851</v>
      </c>
      <c r="U71" s="93" t="n">
        <f aca="false">MIN(U70/StorageFactor,U69*SolarFraction)</f>
        <v>403221.029547467</v>
      </c>
      <c r="V71" s="93" t="n">
        <f aca="false">MIN(V70/StorageFactor,V69*SolarFraction)</f>
        <v>401204.92439973</v>
      </c>
      <c r="W71" s="93" t="n">
        <f aca="false">MIN(W70/StorageFactor,W69*SolarFraction)</f>
        <v>399198.899777731</v>
      </c>
    </row>
    <row r="72" customFormat="false" ht="15" hidden="false" customHeight="false" outlineLevel="0" collapsed="false">
      <c r="A72" s="11" t="s">
        <v>427</v>
      </c>
      <c r="B72" s="76" t="n">
        <f aca="false">SUM(C72:W72)</f>
        <v>2619891.80883251</v>
      </c>
      <c r="C72" s="93" t="n">
        <v>0</v>
      </c>
      <c r="D72" s="93" t="n">
        <f aca="false">D69-D71</f>
        <v>23993.1490909091</v>
      </c>
      <c r="E72" s="93" t="n">
        <f aca="false">E69-E71</f>
        <v>35010.0033818182</v>
      </c>
      <c r="F72" s="93" t="n">
        <f aca="false">F69-F71</f>
        <v>42423.8864509091</v>
      </c>
      <c r="G72" s="93" t="n">
        <f aca="false">G69-G71</f>
        <v>43696.6030444364</v>
      </c>
      <c r="H72" s="93" t="n">
        <f aca="false">H69-H71</f>
        <v>45007.5011357695</v>
      </c>
      <c r="I72" s="93" t="n">
        <f aca="false">I69-I71</f>
        <v>46357.7261698425</v>
      </c>
      <c r="J72" s="93" t="n">
        <f aca="false">J69-J71</f>
        <v>51406.407426034</v>
      </c>
      <c r="K72" s="93" t="n">
        <f aca="false">K69-K71</f>
        <v>67861.3356731322</v>
      </c>
      <c r="L72" s="93" t="n">
        <f aca="false">L69-L71</f>
        <v>84735.3480875216</v>
      </c>
      <c r="M72" s="93" t="n">
        <f aca="false">M69-M71</f>
        <v>102041.390012622</v>
      </c>
      <c r="N72" s="93" t="n">
        <f aca="false">N69-N71</f>
        <v>119792.793288062</v>
      </c>
      <c r="O72" s="93" t="n">
        <f aca="false">O69-O71</f>
        <v>138003.287853891</v>
      </c>
      <c r="P72" s="93" t="n">
        <f aca="false">P69-P71</f>
        <v>156687.013702859</v>
      </c>
      <c r="Q72" s="93" t="n">
        <f aca="false">Q69-Q71</f>
        <v>175858.533191229</v>
      </c>
      <c r="R72" s="93" t="n">
        <f aca="false">R69-R71</f>
        <v>195532.843718863</v>
      </c>
      <c r="S72" s="93" t="n">
        <f aca="false">S69-S71</f>
        <v>215725.390789667</v>
      </c>
      <c r="T72" s="93" t="n">
        <f aca="false">T69-T71</f>
        <v>236452.0814638</v>
      </c>
      <c r="U72" s="93" t="n">
        <f aca="false">U69-U71</f>
        <v>257729.298213403</v>
      </c>
      <c r="V72" s="93" t="n">
        <f aca="false">V69-V71</f>
        <v>279573.913193967</v>
      </c>
      <c r="W72" s="93" t="n">
        <f aca="false">W69-W71</f>
        <v>302003.302943776</v>
      </c>
    </row>
    <row r="73" customFormat="false" ht="15" hidden="false" customHeight="false" outlineLevel="0" collapsed="false">
      <c r="A73" s="11" t="s">
        <v>428</v>
      </c>
      <c r="C73" s="91" t="n">
        <v>0</v>
      </c>
      <c r="D73" s="91" t="n">
        <f aca="false">IFERROR(D71/D69,0)</f>
        <v>0.9</v>
      </c>
      <c r="E73" s="91" t="n">
        <f aca="false">IFERROR(E71/E69,0)</f>
        <v>0.9</v>
      </c>
      <c r="F73" s="91" t="n">
        <f aca="false">IFERROR(F71/F69,0)</f>
        <v>0.9</v>
      </c>
      <c r="G73" s="91" t="n">
        <f aca="false">IFERROR(G71/G69,0)</f>
        <v>0.9</v>
      </c>
      <c r="H73" s="91" t="n">
        <f aca="false">IFERROR(H71/H69,0)</f>
        <v>0.9</v>
      </c>
      <c r="I73" s="91" t="n">
        <f aca="false">IFERROR(I71/I69,0)</f>
        <v>0.9</v>
      </c>
      <c r="J73" s="91" t="n">
        <f aca="false">IFERROR(J71/J69,0)</f>
        <v>0.892339125434065</v>
      </c>
      <c r="K73" s="91" t="n">
        <f aca="false">IFERROR(K71/K69,0)</f>
        <v>0.862016922142616</v>
      </c>
      <c r="L73" s="91" t="n">
        <f aca="false">IFERROR(L71/L69,0)</f>
        <v>0.83272508498243</v>
      </c>
      <c r="M73" s="91" t="n">
        <f aca="false">IFERROR(M71/M69,0)</f>
        <v>0.804428601512153</v>
      </c>
      <c r="N73" s="91" t="n">
        <f aca="false">IFERROR(N71/N69,0)</f>
        <v>0.777093649033585</v>
      </c>
      <c r="O73" s="91" t="n">
        <f aca="false">IFERROR(O71/O69,0)</f>
        <v>0.750687554163511</v>
      </c>
      <c r="P73" s="91" t="n">
        <f aca="false">IFERROR(P71/P69,0)</f>
        <v>0.725178753779314</v>
      </c>
      <c r="Q73" s="91" t="n">
        <f aca="false">IFERROR(Q71/Q69,0)</f>
        <v>0.700536757291668</v>
      </c>
      <c r="R73" s="91" t="n">
        <f aca="false">IFERROR(R71/R69,0)</f>
        <v>0.676732110199232</v>
      </c>
      <c r="S73" s="91" t="n">
        <f aca="false">IFERROR(S71/S69,0)</f>
        <v>0.653736358881783</v>
      </c>
      <c r="T73" s="91" t="n">
        <f aca="false">IFERROR(T71/T69,0)</f>
        <v>0.631522016589683</v>
      </c>
      <c r="U73" s="91" t="n">
        <f aca="false">IFERROR(U71/U69,0)</f>
        <v>0.610062530589063</v>
      </c>
      <c r="V73" s="91" t="n">
        <f aca="false">IFERROR(V71/V69,0)</f>
        <v>0.589332250423415</v>
      </c>
      <c r="W73" s="91" t="n">
        <f aca="false">IFERROR(W71/W69,0)</f>
        <v>0.569306397253687</v>
      </c>
    </row>
    <row r="74" customFormat="false" ht="15" hidden="false" customHeight="false" outlineLevel="0" collapsed="false">
      <c r="A74" s="11" t="s">
        <v>429</v>
      </c>
      <c r="B74" s="76" t="n">
        <f aca="false">SUM(C74:W74)</f>
        <v>873297.269610837</v>
      </c>
      <c r="C74" s="93" t="n">
        <v>0</v>
      </c>
      <c r="D74" s="93" t="n">
        <f aca="false">D72/DieselEff</f>
        <v>7997.71636363636</v>
      </c>
      <c r="E74" s="93" t="n">
        <f aca="false">E72/DieselEff</f>
        <v>11670.0011272727</v>
      </c>
      <c r="F74" s="93" t="n">
        <f aca="false">F72/DieselEff</f>
        <v>14141.2954836364</v>
      </c>
      <c r="G74" s="93" t="n">
        <f aca="false">G72/DieselEff</f>
        <v>14565.5343481455</v>
      </c>
      <c r="H74" s="93" t="n">
        <f aca="false">H72/DieselEff</f>
        <v>15002.5003785898</v>
      </c>
      <c r="I74" s="93" t="n">
        <f aca="false">I72/DieselEff</f>
        <v>15452.5753899475</v>
      </c>
      <c r="J74" s="93" t="n">
        <f aca="false">J72/DieselEff</f>
        <v>17135.4691420114</v>
      </c>
      <c r="K74" s="93" t="n">
        <f aca="false">K72/DieselEff</f>
        <v>22620.4452243774</v>
      </c>
      <c r="L74" s="93" t="n">
        <f aca="false">L72/DieselEff</f>
        <v>28245.1160291739</v>
      </c>
      <c r="M74" s="93" t="n">
        <f aca="false">M72/DieselEff</f>
        <v>34013.7966708739</v>
      </c>
      <c r="N74" s="93" t="n">
        <f aca="false">N72/DieselEff</f>
        <v>39930.9310960208</v>
      </c>
      <c r="O74" s="93" t="n">
        <f aca="false">O72/DieselEff</f>
        <v>46001.0959512971</v>
      </c>
      <c r="P74" s="93" t="n">
        <f aca="false">P72/DieselEff</f>
        <v>52229.0045676196</v>
      </c>
      <c r="Q74" s="93" t="n">
        <f aca="false">Q72/DieselEff</f>
        <v>58619.5110637429</v>
      </c>
      <c r="R74" s="93" t="n">
        <f aca="false">R72/DieselEff</f>
        <v>65177.6145729544</v>
      </c>
      <c r="S74" s="93" t="n">
        <f aca="false">S72/DieselEff</f>
        <v>71908.4635965558</v>
      </c>
      <c r="T74" s="93" t="n">
        <f aca="false">T72/DieselEff</f>
        <v>78817.3604879332</v>
      </c>
      <c r="U74" s="93" t="n">
        <f aca="false">U72/DieselEff</f>
        <v>85909.7660711344</v>
      </c>
      <c r="V74" s="93" t="n">
        <f aca="false">V72/DieselEff</f>
        <v>93191.3043979889</v>
      </c>
      <c r="W74" s="93" t="n">
        <f aca="false">W72/DieselEff</f>
        <v>100667.767647925</v>
      </c>
    </row>
    <row r="76" customFormat="false" ht="15" hidden="false" customHeight="false" outlineLevel="0" collapsed="false">
      <c r="A76" s="9" t="s">
        <v>430</v>
      </c>
      <c r="B76" s="10"/>
      <c r="C76" s="10"/>
      <c r="D76" s="10"/>
      <c r="E76" s="10"/>
      <c r="F76" s="10"/>
      <c r="G76" s="10"/>
      <c r="H76" s="10"/>
      <c r="I76" s="10"/>
      <c r="J76" s="10"/>
      <c r="K76" s="10"/>
      <c r="L76" s="10"/>
      <c r="M76" s="10"/>
      <c r="N76" s="10"/>
      <c r="O76" s="10"/>
      <c r="P76" s="10"/>
      <c r="Q76" s="10"/>
      <c r="R76" s="10"/>
      <c r="S76" s="10"/>
      <c r="T76" s="10"/>
      <c r="U76" s="10"/>
      <c r="V76" s="10"/>
      <c r="W76" s="10"/>
    </row>
    <row r="77" customFormat="false" ht="15" hidden="false" customHeight="false" outlineLevel="0" collapsed="false">
      <c r="A77" s="11" t="str">
        <f aca="false">"Billed revenue - "&amp;Seg1_Name</f>
        <v>Billed revenue - Households</v>
      </c>
      <c r="B77" s="66" t="n">
        <f aca="false">SUM(C77:W77)</f>
        <v>2107258.13958533</v>
      </c>
      <c r="C77" s="95" t="n">
        <v>0</v>
      </c>
      <c r="D77" s="95" t="n">
        <f aca="false">D61*Seg1_Tariff*LevTariff*$B$5*D43</f>
        <v>34560</v>
      </c>
      <c r="E77" s="95" t="n">
        <f aca="false">E61*Seg1_Tariff*LevTariff*$B$5*E43</f>
        <v>51941.664</v>
      </c>
      <c r="F77" s="95" t="n">
        <f aca="false">F61*Seg1_Tariff*LevTariff*$B$5*F43</f>
        <v>64829.307456</v>
      </c>
      <c r="G77" s="95" t="n">
        <f aca="false">G61*Seg1_Tariff*LevTariff*$B$5*G43</f>
        <v>68777.4122800704</v>
      </c>
      <c r="H77" s="95" t="n">
        <f aca="false">H61*Seg1_Tariff*LevTariff*$B$5*H43</f>
        <v>72965.9566879267</v>
      </c>
      <c r="I77" s="95" t="n">
        <f aca="false">I61*Seg1_Tariff*LevTariff*$B$5*I43</f>
        <v>77409.5834502214</v>
      </c>
      <c r="J77" s="95" t="n">
        <f aca="false">J61*Seg1_Tariff*LevTariff*$B$5*J43</f>
        <v>82123.8270823399</v>
      </c>
      <c r="K77" s="95" t="n">
        <f aca="false">K61*Seg1_Tariff*LevTariff*$B$5*K43</f>
        <v>87125.1681516545</v>
      </c>
      <c r="L77" s="95" t="n">
        <f aca="false">L61*Seg1_Tariff*LevTariff*$B$5*L43</f>
        <v>92431.0908920902</v>
      </c>
      <c r="M77" s="95" t="n">
        <f aca="false">M61*Seg1_Tariff*LevTariff*$B$5*M43</f>
        <v>98060.1443274185</v>
      </c>
      <c r="N77" s="95" t="n">
        <f aca="false">N61*Seg1_Tariff*LevTariff*$B$5*N43</f>
        <v>104032.007116958</v>
      </c>
      <c r="O77" s="95" t="n">
        <f aca="false">O61*Seg1_Tariff*LevTariff*$B$5*O43</f>
        <v>110367.556350381</v>
      </c>
      <c r="P77" s="95" t="n">
        <f aca="false">P61*Seg1_Tariff*LevTariff*$B$5*P43</f>
        <v>117088.940532119</v>
      </c>
      <c r="Q77" s="95" t="n">
        <f aca="false">Q61*Seg1_Tariff*LevTariff*$B$5*Q43</f>
        <v>124219.657010525</v>
      </c>
      <c r="R77" s="95" t="n">
        <f aca="false">R61*Seg1_Tariff*LevTariff*$B$5*R43</f>
        <v>131784.634122466</v>
      </c>
      <c r="S77" s="95" t="n">
        <f aca="false">S61*Seg1_Tariff*LevTariff*$B$5*S43</f>
        <v>139810.318340525</v>
      </c>
      <c r="T77" s="95" t="n">
        <f aca="false">T61*Seg1_Tariff*LevTariff*$B$5*T43</f>
        <v>148324.766727463</v>
      </c>
      <c r="U77" s="95" t="n">
        <f aca="false">U61*Seg1_Tariff*LevTariff*$B$5*U43</f>
        <v>157357.745021165</v>
      </c>
      <c r="V77" s="95" t="n">
        <f aca="false">V61*Seg1_Tariff*LevTariff*$B$5*V43</f>
        <v>166940.831692954</v>
      </c>
      <c r="W77" s="95" t="n">
        <f aca="false">W61*Seg1_Tariff*LevTariff*$B$5*W43</f>
        <v>177107.528343055</v>
      </c>
    </row>
    <row r="78" customFormat="false" ht="15" hidden="false" customHeight="false" outlineLevel="0" collapsed="false">
      <c r="A78" s="11" t="str">
        <f aca="false">"Billed revenue - "&amp;Seg2_Name</f>
        <v>Billed revenue - Productive users (mills, welding, cold rooms)</v>
      </c>
      <c r="B78" s="66" t="n">
        <f aca="false">SUM(C78:W78)</f>
        <v>1432819.63572035</v>
      </c>
      <c r="C78" s="95" t="n">
        <v>0</v>
      </c>
      <c r="D78" s="95" t="n">
        <f aca="false">D62*Seg2_Tariff*LevTariff*$B$5*D43</f>
        <v>23498.8992</v>
      </c>
      <c r="E78" s="95" t="n">
        <f aca="false">E62*Seg2_Tariff*LevTariff*$B$5*E43</f>
        <v>35317.47472848</v>
      </c>
      <c r="F78" s="95" t="n">
        <f aca="false">F62*Seg2_Tariff*LevTariff*$B$5*F43</f>
        <v>44080.3634581699</v>
      </c>
      <c r="G78" s="95" t="n">
        <f aca="false">G62*Seg2_Tariff*LevTariff*$B$5*G43</f>
        <v>46764.8575927725</v>
      </c>
      <c r="H78" s="95" t="n">
        <f aca="false">H62*Seg2_Tariff*LevTariff*$B$5*H43</f>
        <v>49612.8374201723</v>
      </c>
      <c r="I78" s="95" t="n">
        <f aca="false">I62*Seg2_Tariff*LevTariff*$B$5*I43</f>
        <v>52634.2592190608</v>
      </c>
      <c r="J78" s="95" t="n">
        <f aca="false">J62*Seg2_Tariff*LevTariff*$B$5*J43</f>
        <v>55839.6856055016</v>
      </c>
      <c r="K78" s="95" t="n">
        <f aca="false">K62*Seg2_Tariff*LevTariff*$B$5*K43</f>
        <v>59240.3224588767</v>
      </c>
      <c r="L78" s="95" t="n">
        <f aca="false">L62*Seg2_Tariff*LevTariff*$B$5*L43</f>
        <v>62848.0580966223</v>
      </c>
      <c r="M78" s="95" t="n">
        <f aca="false">M62*Seg2_Tariff*LevTariff*$B$5*M43</f>
        <v>66675.5048347066</v>
      </c>
      <c r="N78" s="95" t="n">
        <f aca="false">N62*Seg2_Tariff*LevTariff*$B$5*N43</f>
        <v>70736.0430791402</v>
      </c>
      <c r="O78" s="95" t="n">
        <f aca="false">O62*Seg2_Tariff*LevTariff*$B$5*O43</f>
        <v>75043.8681026598</v>
      </c>
      <c r="P78" s="95" t="n">
        <f aca="false">P62*Seg2_Tariff*LevTariff*$B$5*P43</f>
        <v>79614.0396701118</v>
      </c>
      <c r="Q78" s="95" t="n">
        <f aca="false">Q62*Seg2_Tariff*LevTariff*$B$5*Q43</f>
        <v>84462.5346860216</v>
      </c>
      <c r="R78" s="95" t="n">
        <f aca="false">R62*Seg2_Tariff*LevTariff*$B$5*R43</f>
        <v>89606.3030484004</v>
      </c>
      <c r="S78" s="95" t="n">
        <f aca="false">S62*Seg2_Tariff*LevTariff*$B$5*S43</f>
        <v>95063.3269040479</v>
      </c>
      <c r="T78" s="95" t="n">
        <f aca="false">T62*Seg2_Tariff*LevTariff*$B$5*T43</f>
        <v>100852.683512504</v>
      </c>
      <c r="U78" s="95" t="n">
        <f aca="false">U62*Seg2_Tariff*LevTariff*$B$5*U43</f>
        <v>106994.611938416</v>
      </c>
      <c r="V78" s="95" t="n">
        <f aca="false">V62*Seg2_Tariff*LevTariff*$B$5*V43</f>
        <v>113510.583805466</v>
      </c>
      <c r="W78" s="95" t="n">
        <f aca="false">W62*Seg2_Tariff*LevTariff*$B$5*W43</f>
        <v>120423.378359218</v>
      </c>
    </row>
    <row r="79" customFormat="false" ht="15" hidden="false" customHeight="false" outlineLevel="0" collapsed="false">
      <c r="A79" s="11" t="str">
        <f aca="false">"Billed revenue - "&amp;Seg3_Name</f>
        <v>Billed revenue - Commercial (shops, bars, kiosks)</v>
      </c>
      <c r="B79" s="66" t="n">
        <f aca="false">SUM(C79:W79)</f>
        <v>878024.224827222</v>
      </c>
      <c r="C79" s="95" t="n">
        <v>0</v>
      </c>
      <c r="D79" s="95" t="n">
        <f aca="false">D63*Seg3_Tariff*LevTariff*$B$5*D43</f>
        <v>14400</v>
      </c>
      <c r="E79" s="95" t="n">
        <f aca="false">E63*Seg3_Tariff*LevTariff*$B$5*E43</f>
        <v>21642.36</v>
      </c>
      <c r="F79" s="95" t="n">
        <f aca="false">F63*Seg3_Tariff*LevTariff*$B$5*F43</f>
        <v>27012.21144</v>
      </c>
      <c r="G79" s="95" t="n">
        <f aca="false">G63*Seg3_Tariff*LevTariff*$B$5*G43</f>
        <v>28657.255116696</v>
      </c>
      <c r="H79" s="95" t="n">
        <f aca="false">H63*Seg3_Tariff*LevTariff*$B$5*H43</f>
        <v>30402.4819533028</v>
      </c>
      <c r="I79" s="95" t="n">
        <f aca="false">I63*Seg3_Tariff*LevTariff*$B$5*I43</f>
        <v>32253.9931042589</v>
      </c>
      <c r="J79" s="95" t="n">
        <f aca="false">J63*Seg3_Tariff*LevTariff*$B$5*J43</f>
        <v>34218.2612843083</v>
      </c>
      <c r="K79" s="95" t="n">
        <f aca="false">K63*Seg3_Tariff*LevTariff*$B$5*K43</f>
        <v>36302.1533965227</v>
      </c>
      <c r="L79" s="95" t="n">
        <f aca="false">L63*Seg3_Tariff*LevTariff*$B$5*L43</f>
        <v>38512.9545383709</v>
      </c>
      <c r="M79" s="95" t="n">
        <f aca="false">M63*Seg3_Tariff*LevTariff*$B$5*M43</f>
        <v>40858.3934697577</v>
      </c>
      <c r="N79" s="95" t="n">
        <f aca="false">N63*Seg3_Tariff*LevTariff*$B$5*N43</f>
        <v>43346.669632066</v>
      </c>
      <c r="O79" s="95" t="n">
        <f aca="false">O63*Seg3_Tariff*LevTariff*$B$5*O43</f>
        <v>45986.4818126588</v>
      </c>
      <c r="P79" s="95" t="n">
        <f aca="false">P63*Seg3_Tariff*LevTariff*$B$5*P43</f>
        <v>48787.0585550497</v>
      </c>
      <c r="Q79" s="95" t="n">
        <f aca="false">Q63*Seg3_Tariff*LevTariff*$B$5*Q43</f>
        <v>51758.1904210522</v>
      </c>
      <c r="R79" s="95" t="n">
        <f aca="false">R63*Seg3_Tariff*LevTariff*$B$5*R43</f>
        <v>54910.2642176943</v>
      </c>
      <c r="S79" s="95" t="n">
        <f aca="false">S63*Seg3_Tariff*LevTariff*$B$5*S43</f>
        <v>58254.2993085519</v>
      </c>
      <c r="T79" s="95" t="n">
        <f aca="false">T63*Seg3_Tariff*LevTariff*$B$5*T43</f>
        <v>61801.9861364427</v>
      </c>
      <c r="U79" s="95" t="n">
        <f aca="false">U63*Seg3_Tariff*LevTariff*$B$5*U43</f>
        <v>65565.7270921521</v>
      </c>
      <c r="V79" s="95" t="n">
        <f aca="false">V63*Seg3_Tariff*LevTariff*$B$5*V43</f>
        <v>69558.6798720642</v>
      </c>
      <c r="W79" s="95" t="n">
        <f aca="false">W63*Seg3_Tariff*LevTariff*$B$5*W43</f>
        <v>73794.8034762729</v>
      </c>
    </row>
    <row r="80" customFormat="false" ht="15" hidden="false" customHeight="false" outlineLevel="0" collapsed="false">
      <c r="A80" s="11" t="str">
        <f aca="false">"Billed revenue - "&amp;Seg4_Name</f>
        <v>Billed revenue - Institutions (health centre, school, water)</v>
      </c>
      <c r="B80" s="66" t="n">
        <f aca="false">SUM(C80:W80)</f>
        <v>460962.718034292</v>
      </c>
      <c r="C80" s="95" t="n">
        <v>0</v>
      </c>
      <c r="D80" s="95" t="n">
        <f aca="false">D64*Seg4_Tariff*LevTariff*$B$5*D43</f>
        <v>7560</v>
      </c>
      <c r="E80" s="95" t="n">
        <f aca="false">E64*Seg4_Tariff*LevTariff*$B$5*E43</f>
        <v>11362.239</v>
      </c>
      <c r="F80" s="95" t="n">
        <f aca="false">F64*Seg4_Tariff*LevTariff*$B$5*F43</f>
        <v>14181.411006</v>
      </c>
      <c r="G80" s="95" t="n">
        <f aca="false">G64*Seg4_Tariff*LevTariff*$B$5*G43</f>
        <v>15045.0589362654</v>
      </c>
      <c r="H80" s="95" t="n">
        <f aca="false">H64*Seg4_Tariff*LevTariff*$B$5*H43</f>
        <v>15961.303025484</v>
      </c>
      <c r="I80" s="95" t="n">
        <f aca="false">I64*Seg4_Tariff*LevTariff*$B$5*I43</f>
        <v>16933.3463797359</v>
      </c>
      <c r="J80" s="95" t="n">
        <f aca="false">J64*Seg4_Tariff*LevTariff*$B$5*J43</f>
        <v>17964.5871742619</v>
      </c>
      <c r="K80" s="95" t="n">
        <f aca="false">K64*Seg4_Tariff*LevTariff*$B$5*K43</f>
        <v>19058.6305331744</v>
      </c>
      <c r="L80" s="95" t="n">
        <f aca="false">L64*Seg4_Tariff*LevTariff*$B$5*L43</f>
        <v>20219.3011326447</v>
      </c>
      <c r="M80" s="95" t="n">
        <f aca="false">M64*Seg4_Tariff*LevTariff*$B$5*M43</f>
        <v>21450.6565716228</v>
      </c>
      <c r="N80" s="95" t="n">
        <f aca="false">N64*Seg4_Tariff*LevTariff*$B$5*N43</f>
        <v>22757.0015568346</v>
      </c>
      <c r="O80" s="95" t="n">
        <f aca="false">O64*Seg4_Tariff*LevTariff*$B$5*O43</f>
        <v>24142.9029516459</v>
      </c>
      <c r="P80" s="95" t="n">
        <f aca="false">P64*Seg4_Tariff*LevTariff*$B$5*P43</f>
        <v>25613.2057414011</v>
      </c>
      <c r="Q80" s="95" t="n">
        <f aca="false">Q64*Seg4_Tariff*LevTariff*$B$5*Q43</f>
        <v>27173.0499710524</v>
      </c>
      <c r="R80" s="95" t="n">
        <f aca="false">R64*Seg4_Tariff*LevTariff*$B$5*R43</f>
        <v>28827.8887142895</v>
      </c>
      <c r="S80" s="95" t="n">
        <f aca="false">S64*Seg4_Tariff*LevTariff*$B$5*S43</f>
        <v>30583.5071369897</v>
      </c>
      <c r="T80" s="95" t="n">
        <f aca="false">T64*Seg4_Tariff*LevTariff*$B$5*T43</f>
        <v>32446.0427216324</v>
      </c>
      <c r="U80" s="95" t="n">
        <f aca="false">U64*Seg4_Tariff*LevTariff*$B$5*U43</f>
        <v>34422.0067233798</v>
      </c>
      <c r="V80" s="95" t="n">
        <f aca="false">V64*Seg4_Tariff*LevTariff*$B$5*V43</f>
        <v>36518.3069328337</v>
      </c>
      <c r="W80" s="95" t="n">
        <f aca="false">W64*Seg4_Tariff*LevTariff*$B$5*W43</f>
        <v>38742.2718250432</v>
      </c>
    </row>
    <row r="81" customFormat="false" ht="15" hidden="false" customHeight="false" outlineLevel="0" collapsed="false">
      <c r="A81" s="11" t="str">
        <f aca="false">"Billed revenue - "&amp;Seg5_Name</f>
        <v>Billed revenue - Other / custom</v>
      </c>
      <c r="B81" s="66" t="n">
        <f aca="false">SUM(C81:W81)</f>
        <v>0</v>
      </c>
      <c r="C81" s="95" t="n">
        <v>0</v>
      </c>
      <c r="D81" s="95" t="n">
        <f aca="false">D65*Seg5_Tariff*LevTariff*$B$5*D43</f>
        <v>0</v>
      </c>
      <c r="E81" s="95" t="n">
        <f aca="false">E65*Seg5_Tariff*LevTariff*$B$5*E43</f>
        <v>0</v>
      </c>
      <c r="F81" s="95" t="n">
        <f aca="false">F65*Seg5_Tariff*LevTariff*$B$5*F43</f>
        <v>0</v>
      </c>
      <c r="G81" s="95" t="n">
        <f aca="false">G65*Seg5_Tariff*LevTariff*$B$5*G43</f>
        <v>0</v>
      </c>
      <c r="H81" s="95" t="n">
        <f aca="false">H65*Seg5_Tariff*LevTariff*$B$5*H43</f>
        <v>0</v>
      </c>
      <c r="I81" s="95" t="n">
        <f aca="false">I65*Seg5_Tariff*LevTariff*$B$5*I43</f>
        <v>0</v>
      </c>
      <c r="J81" s="95" t="n">
        <f aca="false">J65*Seg5_Tariff*LevTariff*$B$5*J43</f>
        <v>0</v>
      </c>
      <c r="K81" s="95" t="n">
        <f aca="false">K65*Seg5_Tariff*LevTariff*$B$5*K43</f>
        <v>0</v>
      </c>
      <c r="L81" s="95" t="n">
        <f aca="false">L65*Seg5_Tariff*LevTariff*$B$5*L43</f>
        <v>0</v>
      </c>
      <c r="M81" s="95" t="n">
        <f aca="false">M65*Seg5_Tariff*LevTariff*$B$5*M43</f>
        <v>0</v>
      </c>
      <c r="N81" s="95" t="n">
        <f aca="false">N65*Seg5_Tariff*LevTariff*$B$5*N43</f>
        <v>0</v>
      </c>
      <c r="O81" s="95" t="n">
        <f aca="false">O65*Seg5_Tariff*LevTariff*$B$5*O43</f>
        <v>0</v>
      </c>
      <c r="P81" s="95" t="n">
        <f aca="false">P65*Seg5_Tariff*LevTariff*$B$5*P43</f>
        <v>0</v>
      </c>
      <c r="Q81" s="95" t="n">
        <f aca="false">Q65*Seg5_Tariff*LevTariff*$B$5*Q43</f>
        <v>0</v>
      </c>
      <c r="R81" s="95" t="n">
        <f aca="false">R65*Seg5_Tariff*LevTariff*$B$5*R43</f>
        <v>0</v>
      </c>
      <c r="S81" s="95" t="n">
        <f aca="false">S65*Seg5_Tariff*LevTariff*$B$5*S43</f>
        <v>0</v>
      </c>
      <c r="T81" s="95" t="n">
        <f aca="false">T65*Seg5_Tariff*LevTariff*$B$5*T43</f>
        <v>0</v>
      </c>
      <c r="U81" s="95" t="n">
        <f aca="false">U65*Seg5_Tariff*LevTariff*$B$5*U43</f>
        <v>0</v>
      </c>
      <c r="V81" s="95" t="n">
        <f aca="false">V65*Seg5_Tariff*LevTariff*$B$5*V43</f>
        <v>0</v>
      </c>
      <c r="W81" s="95" t="n">
        <f aca="false">W65*Seg5_Tariff*LevTariff*$B$5*W43</f>
        <v>0</v>
      </c>
    </row>
    <row r="82" customFormat="false" ht="15" hidden="false" customHeight="false" outlineLevel="0" collapsed="false">
      <c r="A82" s="16" t="s">
        <v>431</v>
      </c>
      <c r="B82" s="66" t="n">
        <f aca="false">SUM(C82:W82)</f>
        <v>4879064.7181672</v>
      </c>
      <c r="C82" s="31" t="n">
        <f aca="false">C77+C78+C79+C80+C81</f>
        <v>0</v>
      </c>
      <c r="D82" s="31" t="n">
        <f aca="false">D77+D78+D79+D80+D81</f>
        <v>80018.8992</v>
      </c>
      <c r="E82" s="31" t="n">
        <f aca="false">E77+E78+E79+E80+E81</f>
        <v>120263.73772848</v>
      </c>
      <c r="F82" s="31" t="n">
        <f aca="false">F77+F78+F79+F80+F81</f>
        <v>150103.29336017</v>
      </c>
      <c r="G82" s="31" t="n">
        <f aca="false">G77+G78+G79+G80+G81</f>
        <v>159244.583925804</v>
      </c>
      <c r="H82" s="31" t="n">
        <f aca="false">H77+H78+H79+H80+H81</f>
        <v>168942.579086886</v>
      </c>
      <c r="I82" s="31" t="n">
        <f aca="false">I77+I78+I79+I80+I81</f>
        <v>179231.182153277</v>
      </c>
      <c r="J82" s="31" t="n">
        <f aca="false">J77+J78+J79+J80+J81</f>
        <v>190146.361146412</v>
      </c>
      <c r="K82" s="31" t="n">
        <f aca="false">K77+K78+K79+K80+K81</f>
        <v>201726.274540228</v>
      </c>
      <c r="L82" s="31" t="n">
        <f aca="false">L77+L78+L79+L80+L81</f>
        <v>214011.404659728</v>
      </c>
      <c r="M82" s="31" t="n">
        <f aca="false">M77+M78+M79+M80+M81</f>
        <v>227044.699203506</v>
      </c>
      <c r="N82" s="31" t="n">
        <f aca="false">N77+N78+N79+N80+N81</f>
        <v>240871.721384999</v>
      </c>
      <c r="O82" s="31" t="n">
        <f aca="false">O77+O78+O79+O80+O81</f>
        <v>255540.809217346</v>
      </c>
      <c r="P82" s="31" t="n">
        <f aca="false">P77+P78+P79+P80+P81</f>
        <v>271103.244498682</v>
      </c>
      <c r="Q82" s="31" t="n">
        <f aca="false">Q77+Q78+Q79+Q80+Q81</f>
        <v>287613.432088652</v>
      </c>
      <c r="R82" s="31" t="n">
        <f aca="false">R77+R78+R79+R80+R81</f>
        <v>305129.090102851</v>
      </c>
      <c r="S82" s="31" t="n">
        <f aca="false">S77+S78+S79+S80+S81</f>
        <v>323711.451690114</v>
      </c>
      <c r="T82" s="31" t="n">
        <f aca="false">T77+T78+T79+T80+T81</f>
        <v>343425.479098042</v>
      </c>
      <c r="U82" s="31" t="n">
        <f aca="false">U77+U78+U79+U80+U81</f>
        <v>364340.090775113</v>
      </c>
      <c r="V82" s="31" t="n">
        <f aca="false">V77+V78+V79+V80+V81</f>
        <v>386528.402303317</v>
      </c>
      <c r="W82" s="31" t="n">
        <f aca="false">W77+W78+W79+W80+W81</f>
        <v>410067.982003589</v>
      </c>
    </row>
    <row r="83" customFormat="false" ht="15" hidden="false" customHeight="false" outlineLevel="0" collapsed="false">
      <c r="A83" s="11" t="s">
        <v>432</v>
      </c>
      <c r="B83" s="66" t="n">
        <f aca="false">SUM(C83:W83)</f>
        <v>4488739.54071382</v>
      </c>
      <c r="C83" s="95" t="n">
        <v>0</v>
      </c>
      <c r="D83" s="95" t="n">
        <f aca="false">D82*MIN(1,Collection*LevColl*$B$9)</f>
        <v>73617.387264</v>
      </c>
      <c r="E83" s="95" t="n">
        <f aca="false">E82*MIN(1,Collection*LevColl*$B$9)</f>
        <v>110642.638710202</v>
      </c>
      <c r="F83" s="95" t="n">
        <f aca="false">F82*MIN(1,Collection*LevColl*$B$9)</f>
        <v>138095.029891356</v>
      </c>
      <c r="G83" s="95" t="n">
        <f aca="false">G82*MIN(1,Collection*LevColl*$B$9)</f>
        <v>146505.01721174</v>
      </c>
      <c r="H83" s="95" t="n">
        <f aca="false">H82*MIN(1,Collection*LevColl*$B$9)</f>
        <v>155427.172759935</v>
      </c>
      <c r="I83" s="95" t="n">
        <f aca="false">I82*MIN(1,Collection*LevColl*$B$9)</f>
        <v>164892.687581015</v>
      </c>
      <c r="J83" s="95" t="n">
        <f aca="false">J82*MIN(1,Collection*LevColl*$B$9)</f>
        <v>174934.652254699</v>
      </c>
      <c r="K83" s="95" t="n">
        <f aca="false">K82*MIN(1,Collection*LevColl*$B$9)</f>
        <v>185588.17257701</v>
      </c>
      <c r="L83" s="95" t="n">
        <f aca="false">L82*MIN(1,Collection*LevColl*$B$9)</f>
        <v>196890.49228695</v>
      </c>
      <c r="M83" s="95" t="n">
        <f aca="false">M82*MIN(1,Collection*LevColl*$B$9)</f>
        <v>208881.123267225</v>
      </c>
      <c r="N83" s="95" t="n">
        <f aca="false">N82*MIN(1,Collection*LevColl*$B$9)</f>
        <v>221601.983674199</v>
      </c>
      <c r="O83" s="95" t="n">
        <f aca="false">O82*MIN(1,Collection*LevColl*$B$9)</f>
        <v>235097.544479958</v>
      </c>
      <c r="P83" s="95" t="n">
        <f aca="false">P82*MIN(1,Collection*LevColl*$B$9)</f>
        <v>249414.984938787</v>
      </c>
      <c r="Q83" s="95" t="n">
        <f aca="false">Q82*MIN(1,Collection*LevColl*$B$9)</f>
        <v>264604.357521559</v>
      </c>
      <c r="R83" s="95" t="n">
        <f aca="false">R82*MIN(1,Collection*LevColl*$B$9)</f>
        <v>280718.762894623</v>
      </c>
      <c r="S83" s="95" t="n">
        <f aca="false">S82*MIN(1,Collection*LevColl*$B$9)</f>
        <v>297814.535554905</v>
      </c>
      <c r="T83" s="95" t="n">
        <f aca="false">T82*MIN(1,Collection*LevColl*$B$9)</f>
        <v>315951.440770199</v>
      </c>
      <c r="U83" s="95" t="n">
        <f aca="false">U82*MIN(1,Collection*LevColl*$B$9)</f>
        <v>335192.883513104</v>
      </c>
      <c r="V83" s="95" t="n">
        <f aca="false">V82*MIN(1,Collection*LevColl*$B$9)</f>
        <v>355606.130119052</v>
      </c>
      <c r="W83" s="95" t="n">
        <f aca="false">W82*MIN(1,Collection*LevColl*$B$9)</f>
        <v>377262.543443302</v>
      </c>
    </row>
    <row r="84" customFormat="false" ht="15" hidden="false" customHeight="false" outlineLevel="0" collapsed="false">
      <c r="A84" s="11" t="s">
        <v>433</v>
      </c>
      <c r="B84" s="66" t="n">
        <f aca="false">SUM(C84:W84)</f>
        <v>11500</v>
      </c>
      <c r="C84" s="95" t="n">
        <v>0</v>
      </c>
      <c r="D84" s="95" t="n">
        <f aca="false">D54*Seg1_Fee+D55*Seg2_Fee+D56*Seg3_Fee+D57*Seg4_Fee+D58*Seg5_Fee</f>
        <v>6900</v>
      </c>
      <c r="E84" s="95" t="n">
        <f aca="false">E54*Seg1_Fee+E55*Seg2_Fee+E56*Seg3_Fee+E57*Seg4_Fee+E58*Seg5_Fee</f>
        <v>2875</v>
      </c>
      <c r="F84" s="95" t="n">
        <f aca="false">F54*Seg1_Fee+F55*Seg2_Fee+F56*Seg3_Fee+F57*Seg4_Fee+F58*Seg5_Fee</f>
        <v>1725</v>
      </c>
      <c r="G84" s="95" t="n">
        <f aca="false">G54*Seg1_Fee+G55*Seg2_Fee+G56*Seg3_Fee+G57*Seg4_Fee+G58*Seg5_Fee</f>
        <v>0</v>
      </c>
      <c r="H84" s="95" t="n">
        <f aca="false">H54*Seg1_Fee+H55*Seg2_Fee+H56*Seg3_Fee+H57*Seg4_Fee+H58*Seg5_Fee</f>
        <v>0</v>
      </c>
      <c r="I84" s="95" t="n">
        <f aca="false">I54*Seg1_Fee+I55*Seg2_Fee+I56*Seg3_Fee+I57*Seg4_Fee+I58*Seg5_Fee</f>
        <v>0</v>
      </c>
      <c r="J84" s="95" t="n">
        <f aca="false">J54*Seg1_Fee+J55*Seg2_Fee+J56*Seg3_Fee+J57*Seg4_Fee+J58*Seg5_Fee</f>
        <v>0</v>
      </c>
      <c r="K84" s="95" t="n">
        <f aca="false">K54*Seg1_Fee+K55*Seg2_Fee+K56*Seg3_Fee+K57*Seg4_Fee+K58*Seg5_Fee</f>
        <v>0</v>
      </c>
      <c r="L84" s="95" t="n">
        <f aca="false">L54*Seg1_Fee+L55*Seg2_Fee+L56*Seg3_Fee+L57*Seg4_Fee+L58*Seg5_Fee</f>
        <v>0</v>
      </c>
      <c r="M84" s="95" t="n">
        <f aca="false">M54*Seg1_Fee+M55*Seg2_Fee+M56*Seg3_Fee+M57*Seg4_Fee+M58*Seg5_Fee</f>
        <v>0</v>
      </c>
      <c r="N84" s="95" t="n">
        <f aca="false">N54*Seg1_Fee+N55*Seg2_Fee+N56*Seg3_Fee+N57*Seg4_Fee+N58*Seg5_Fee</f>
        <v>0</v>
      </c>
      <c r="O84" s="95" t="n">
        <f aca="false">O54*Seg1_Fee+O55*Seg2_Fee+O56*Seg3_Fee+O57*Seg4_Fee+O58*Seg5_Fee</f>
        <v>0</v>
      </c>
      <c r="P84" s="95" t="n">
        <f aca="false">P54*Seg1_Fee+P55*Seg2_Fee+P56*Seg3_Fee+P57*Seg4_Fee+P58*Seg5_Fee</f>
        <v>0</v>
      </c>
      <c r="Q84" s="95" t="n">
        <f aca="false">Q54*Seg1_Fee+Q55*Seg2_Fee+Q56*Seg3_Fee+Q57*Seg4_Fee+Q58*Seg5_Fee</f>
        <v>0</v>
      </c>
      <c r="R84" s="95" t="n">
        <f aca="false">R54*Seg1_Fee+R55*Seg2_Fee+R56*Seg3_Fee+R57*Seg4_Fee+R58*Seg5_Fee</f>
        <v>0</v>
      </c>
      <c r="S84" s="95" t="n">
        <f aca="false">S54*Seg1_Fee+S55*Seg2_Fee+S56*Seg3_Fee+S57*Seg4_Fee+S58*Seg5_Fee</f>
        <v>0</v>
      </c>
      <c r="T84" s="95" t="n">
        <f aca="false">T54*Seg1_Fee+T55*Seg2_Fee+T56*Seg3_Fee+T57*Seg4_Fee+T58*Seg5_Fee</f>
        <v>0</v>
      </c>
      <c r="U84" s="95" t="n">
        <f aca="false">U54*Seg1_Fee+U55*Seg2_Fee+U56*Seg3_Fee+U57*Seg4_Fee+U58*Seg5_Fee</f>
        <v>0</v>
      </c>
      <c r="V84" s="95" t="n">
        <f aca="false">V54*Seg1_Fee+V55*Seg2_Fee+V56*Seg3_Fee+V57*Seg4_Fee+V58*Seg5_Fee</f>
        <v>0</v>
      </c>
      <c r="W84" s="95" t="n">
        <f aca="false">W54*Seg1_Fee+W55*Seg2_Fee+W56*Seg3_Fee+W57*Seg4_Fee+W58*Seg5_Fee</f>
        <v>0</v>
      </c>
    </row>
    <row r="85" customFormat="false" ht="15" hidden="false" customHeight="false" outlineLevel="0" collapsed="false">
      <c r="A85" s="16" t="s">
        <v>434</v>
      </c>
      <c r="B85" s="66" t="n">
        <f aca="false">SUM(C85:W85)</f>
        <v>4500239.54071382</v>
      </c>
      <c r="C85" s="31" t="n">
        <f aca="false">C83+C84</f>
        <v>0</v>
      </c>
      <c r="D85" s="31" t="n">
        <f aca="false">D83+D84</f>
        <v>80517.387264</v>
      </c>
      <c r="E85" s="31" t="n">
        <f aca="false">E83+E84</f>
        <v>113517.638710202</v>
      </c>
      <c r="F85" s="31" t="n">
        <f aca="false">F83+F84</f>
        <v>139820.029891356</v>
      </c>
      <c r="G85" s="31" t="n">
        <f aca="false">G83+G84</f>
        <v>146505.01721174</v>
      </c>
      <c r="H85" s="31" t="n">
        <f aca="false">H83+H84</f>
        <v>155427.172759935</v>
      </c>
      <c r="I85" s="31" t="n">
        <f aca="false">I83+I84</f>
        <v>164892.687581015</v>
      </c>
      <c r="J85" s="31" t="n">
        <f aca="false">J83+J84</f>
        <v>174934.652254699</v>
      </c>
      <c r="K85" s="31" t="n">
        <f aca="false">K83+K84</f>
        <v>185588.17257701</v>
      </c>
      <c r="L85" s="31" t="n">
        <f aca="false">L83+L84</f>
        <v>196890.49228695</v>
      </c>
      <c r="M85" s="31" t="n">
        <f aca="false">M83+M84</f>
        <v>208881.123267225</v>
      </c>
      <c r="N85" s="31" t="n">
        <f aca="false">N83+N84</f>
        <v>221601.983674199</v>
      </c>
      <c r="O85" s="31" t="n">
        <f aca="false">O83+O84</f>
        <v>235097.544479958</v>
      </c>
      <c r="P85" s="31" t="n">
        <f aca="false">P83+P84</f>
        <v>249414.984938787</v>
      </c>
      <c r="Q85" s="31" t="n">
        <f aca="false">Q83+Q84</f>
        <v>264604.357521559</v>
      </c>
      <c r="R85" s="31" t="n">
        <f aca="false">R83+R84</f>
        <v>280718.762894623</v>
      </c>
      <c r="S85" s="31" t="n">
        <f aca="false">S83+S84</f>
        <v>297814.535554905</v>
      </c>
      <c r="T85" s="31" t="n">
        <f aca="false">T83+T84</f>
        <v>315951.440770199</v>
      </c>
      <c r="U85" s="31" t="n">
        <f aca="false">U83+U84</f>
        <v>335192.883513104</v>
      </c>
      <c r="V85" s="31" t="n">
        <f aca="false">V83+V84</f>
        <v>355606.130119052</v>
      </c>
      <c r="W85" s="31" t="n">
        <f aca="false">W83+W84</f>
        <v>377262.543443302</v>
      </c>
    </row>
    <row r="87" customFormat="false" ht="15" hidden="false" customHeight="false" outlineLevel="0" collapsed="false">
      <c r="A87" s="9" t="s">
        <v>435</v>
      </c>
      <c r="B87" s="10"/>
      <c r="C87" s="10"/>
      <c r="D87" s="10"/>
      <c r="E87" s="10"/>
      <c r="F87" s="10"/>
      <c r="G87" s="10"/>
      <c r="H87" s="10"/>
      <c r="I87" s="10"/>
      <c r="J87" s="10"/>
      <c r="K87" s="10"/>
      <c r="L87" s="10"/>
      <c r="M87" s="10"/>
      <c r="N87" s="10"/>
      <c r="O87" s="10"/>
      <c r="P87" s="10"/>
      <c r="Q87" s="10"/>
      <c r="R87" s="10"/>
      <c r="S87" s="10"/>
      <c r="T87" s="10"/>
      <c r="U87" s="10"/>
      <c r="V87" s="10"/>
      <c r="W87" s="10"/>
    </row>
    <row r="88" customFormat="false" ht="15" hidden="false" customHeight="false" outlineLevel="0" collapsed="false">
      <c r="A88" s="11" t="s">
        <v>162</v>
      </c>
      <c r="B88" s="66" t="n">
        <f aca="false">SUM(C88:W88)</f>
        <v>679197.868676078</v>
      </c>
      <c r="C88" s="95" t="n">
        <v>0</v>
      </c>
      <c r="D88" s="95" t="n">
        <f aca="false">S_Fuel_Lo!$B$15*O_FixedPct*D44*LevOpex*$B$8*D41</f>
        <v>25276.8292810589</v>
      </c>
      <c r="E88" s="95" t="n">
        <f aca="false">S_Fuel_Lo!$B$15*O_FixedPct*E44*LevOpex*$B$8*E41</f>
        <v>26035.1341594906</v>
      </c>
      <c r="F88" s="95" t="n">
        <f aca="false">S_Fuel_Lo!$B$15*O_FixedPct*F44*LevOpex*$B$8*F41</f>
        <v>26816.1881842753</v>
      </c>
      <c r="G88" s="95" t="n">
        <f aca="false">S_Fuel_Lo!$B$15*O_FixedPct*G44*LevOpex*$B$8*G41</f>
        <v>27620.6738298036</v>
      </c>
      <c r="H88" s="95" t="n">
        <f aca="false">S_Fuel_Lo!$B$15*O_FixedPct*H44*LevOpex*$B$8*H41</f>
        <v>28449.2940446977</v>
      </c>
      <c r="I88" s="95" t="n">
        <f aca="false">S_Fuel_Lo!$B$15*O_FixedPct*I44*LevOpex*$B$8*I41</f>
        <v>29302.7728660386</v>
      </c>
      <c r="J88" s="95" t="n">
        <f aca="false">S_Fuel_Lo!$B$15*O_FixedPct*J44*LevOpex*$B$8*J41</f>
        <v>30181.8560520198</v>
      </c>
      <c r="K88" s="95" t="n">
        <f aca="false">S_Fuel_Lo!$B$15*O_FixedPct*K44*LevOpex*$B$8*K41</f>
        <v>31087.3117335804</v>
      </c>
      <c r="L88" s="95" t="n">
        <f aca="false">S_Fuel_Lo!$B$15*O_FixedPct*L44*LevOpex*$B$8*L41</f>
        <v>32019.9310855878</v>
      </c>
      <c r="M88" s="95" t="n">
        <f aca="false">S_Fuel_Lo!$B$15*O_FixedPct*M44*LevOpex*$B$8*M41</f>
        <v>32980.5290181554</v>
      </c>
      <c r="N88" s="95" t="n">
        <f aca="false">S_Fuel_Lo!$B$15*O_FixedPct*N44*LevOpex*$B$8*N41</f>
        <v>33969.9448887001</v>
      </c>
      <c r="O88" s="95" t="n">
        <f aca="false">S_Fuel_Lo!$B$15*O_FixedPct*O44*LevOpex*$B$8*O41</f>
        <v>34989.0432353611</v>
      </c>
      <c r="P88" s="95" t="n">
        <f aca="false">S_Fuel_Lo!$B$15*O_FixedPct*P44*LevOpex*$B$8*P41</f>
        <v>36038.7145324219</v>
      </c>
      <c r="Q88" s="95" t="n">
        <f aca="false">S_Fuel_Lo!$B$15*O_FixedPct*Q44*LevOpex*$B$8*Q41</f>
        <v>37119.8759683946</v>
      </c>
      <c r="R88" s="95" t="n">
        <f aca="false">S_Fuel_Lo!$B$15*O_FixedPct*R44*LevOpex*$B$8*R41</f>
        <v>38233.4722474465</v>
      </c>
      <c r="S88" s="95" t="n">
        <f aca="false">S_Fuel_Lo!$B$15*O_FixedPct*S44*LevOpex*$B$8*S41</f>
        <v>39380.4764148698</v>
      </c>
      <c r="T88" s="95" t="n">
        <f aca="false">S_Fuel_Lo!$B$15*O_FixedPct*T44*LevOpex*$B$8*T41</f>
        <v>40561.8907073159</v>
      </c>
      <c r="U88" s="95" t="n">
        <f aca="false">S_Fuel_Lo!$B$15*O_FixedPct*U44*LevOpex*$B$8*U41</f>
        <v>41778.7474285354</v>
      </c>
      <c r="V88" s="95" t="n">
        <f aca="false">S_Fuel_Lo!$B$15*O_FixedPct*V44*LevOpex*$B$8*V41</f>
        <v>43032.1098513915</v>
      </c>
      <c r="W88" s="95" t="n">
        <f aca="false">S_Fuel_Lo!$B$15*O_FixedPct*W44*LevOpex*$B$8*W41</f>
        <v>44323.0731469332</v>
      </c>
    </row>
    <row r="89" customFormat="false" ht="15" hidden="false" customHeight="false" outlineLevel="0" collapsed="false">
      <c r="A89" s="11" t="s">
        <v>436</v>
      </c>
      <c r="B89" s="66" t="n">
        <f aca="false">SUM(C89:W89)</f>
        <v>483666.740801648</v>
      </c>
      <c r="C89" s="95" t="n">
        <v>0</v>
      </c>
      <c r="D89" s="95" t="n">
        <f aca="false">O_Staff*D44*LevOpex*$B$8*D41</f>
        <v>18000</v>
      </c>
      <c r="E89" s="95" t="n">
        <f aca="false">O_Staff*E44*LevOpex*$B$8*E41</f>
        <v>18540</v>
      </c>
      <c r="F89" s="95" t="n">
        <f aca="false">O_Staff*F44*LevOpex*$B$8*F41</f>
        <v>19096.2</v>
      </c>
      <c r="G89" s="95" t="n">
        <f aca="false">O_Staff*G44*LevOpex*$B$8*G41</f>
        <v>19669.086</v>
      </c>
      <c r="H89" s="95" t="n">
        <f aca="false">O_Staff*H44*LevOpex*$B$8*H41</f>
        <v>20259.15858</v>
      </c>
      <c r="I89" s="95" t="n">
        <f aca="false">O_Staff*I44*LevOpex*$B$8*I41</f>
        <v>20866.9333374</v>
      </c>
      <c r="J89" s="95" t="n">
        <f aca="false">O_Staff*J44*LevOpex*$B$8*J41</f>
        <v>21492.941337522</v>
      </c>
      <c r="K89" s="95" t="n">
        <f aca="false">O_Staff*K44*LevOpex*$B$8*K41</f>
        <v>22137.7295776477</v>
      </c>
      <c r="L89" s="95" t="n">
        <f aca="false">O_Staff*L44*LevOpex*$B$8*L41</f>
        <v>22801.8614649771</v>
      </c>
      <c r="M89" s="95" t="n">
        <f aca="false">O_Staff*M44*LevOpex*$B$8*M41</f>
        <v>23485.9173089264</v>
      </c>
      <c r="N89" s="95" t="n">
        <f aca="false">O_Staff*N44*LevOpex*$B$8*N41</f>
        <v>24190.4948281942</v>
      </c>
      <c r="O89" s="95" t="n">
        <f aca="false">O_Staff*O44*LevOpex*$B$8*O41</f>
        <v>24916.20967304</v>
      </c>
      <c r="P89" s="95" t="n">
        <f aca="false">O_Staff*P44*LevOpex*$B$8*P41</f>
        <v>25663.6959632312</v>
      </c>
      <c r="Q89" s="95" t="n">
        <f aca="false">O_Staff*Q44*LevOpex*$B$8*Q41</f>
        <v>26433.6068421282</v>
      </c>
      <c r="R89" s="95" t="n">
        <f aca="false">O_Staff*R44*LevOpex*$B$8*R41</f>
        <v>27226.615047392</v>
      </c>
      <c r="S89" s="95" t="n">
        <f aca="false">O_Staff*S44*LevOpex*$B$8*S41</f>
        <v>28043.4134988138</v>
      </c>
      <c r="T89" s="95" t="n">
        <f aca="false">O_Staff*T44*LevOpex*$B$8*T41</f>
        <v>28884.7159037782</v>
      </c>
      <c r="U89" s="95" t="n">
        <f aca="false">O_Staff*U44*LevOpex*$B$8*U41</f>
        <v>29751.2573808915</v>
      </c>
      <c r="V89" s="95" t="n">
        <f aca="false">O_Staff*V44*LevOpex*$B$8*V41</f>
        <v>30643.7951023183</v>
      </c>
      <c r="W89" s="95" t="n">
        <f aca="false">O_Staff*W44*LevOpex*$B$8*W41</f>
        <v>31563.1089553878</v>
      </c>
    </row>
    <row r="90" customFormat="false" ht="15" hidden="false" customHeight="false" outlineLevel="0" collapsed="false">
      <c r="A90" s="11" t="s">
        <v>165</v>
      </c>
      <c r="B90" s="66" t="n">
        <f aca="false">SUM(C90:W90)</f>
        <v>156215.509795498</v>
      </c>
      <c r="C90" s="95" t="n">
        <v>0</v>
      </c>
      <c r="D90" s="95" t="n">
        <f aca="false">S_Fuel_Lo!$B$14*O_InsPct*D44*LevOpex*$B$8*D41</f>
        <v>5813.67073464354</v>
      </c>
      <c r="E90" s="95" t="n">
        <f aca="false">S_Fuel_Lo!$B$14*O_InsPct*E44*LevOpex*$B$8*E41</f>
        <v>5988.08085668284</v>
      </c>
      <c r="F90" s="95" t="n">
        <f aca="false">S_Fuel_Lo!$B$14*O_InsPct*F44*LevOpex*$B$8*F41</f>
        <v>6167.72328238333</v>
      </c>
      <c r="G90" s="95" t="n">
        <f aca="false">S_Fuel_Lo!$B$14*O_InsPct*G44*LevOpex*$B$8*G41</f>
        <v>6352.75498085483</v>
      </c>
      <c r="H90" s="95" t="n">
        <f aca="false">S_Fuel_Lo!$B$14*O_InsPct*H44*LevOpex*$B$8*H41</f>
        <v>6543.33763028047</v>
      </c>
      <c r="I90" s="95" t="n">
        <f aca="false">S_Fuel_Lo!$B$14*O_InsPct*I44*LevOpex*$B$8*I41</f>
        <v>6739.63775918889</v>
      </c>
      <c r="J90" s="95" t="n">
        <f aca="false">S_Fuel_Lo!$B$14*O_InsPct*J44*LevOpex*$B$8*J41</f>
        <v>6941.82689196455</v>
      </c>
      <c r="K90" s="95" t="n">
        <f aca="false">S_Fuel_Lo!$B$14*O_InsPct*K44*LevOpex*$B$8*K41</f>
        <v>7150.08169872349</v>
      </c>
      <c r="L90" s="95" t="n">
        <f aca="false">S_Fuel_Lo!$B$14*O_InsPct*L44*LevOpex*$B$8*L41</f>
        <v>7364.5841496852</v>
      </c>
      <c r="M90" s="95" t="n">
        <f aca="false">S_Fuel_Lo!$B$14*O_InsPct*M44*LevOpex*$B$8*M41</f>
        <v>7585.52167417575</v>
      </c>
      <c r="N90" s="95" t="n">
        <f aca="false">S_Fuel_Lo!$B$14*O_InsPct*N44*LevOpex*$B$8*N41</f>
        <v>7813.08732440103</v>
      </c>
      <c r="O90" s="95" t="n">
        <f aca="false">S_Fuel_Lo!$B$14*O_InsPct*O44*LevOpex*$B$8*O41</f>
        <v>8047.47994413306</v>
      </c>
      <c r="P90" s="95" t="n">
        <f aca="false">S_Fuel_Lo!$B$14*O_InsPct*P44*LevOpex*$B$8*P41</f>
        <v>8288.90434245705</v>
      </c>
      <c r="Q90" s="95" t="n">
        <f aca="false">S_Fuel_Lo!$B$14*O_InsPct*Q44*LevOpex*$B$8*Q41</f>
        <v>8537.57147273076</v>
      </c>
      <c r="R90" s="95" t="n">
        <f aca="false">S_Fuel_Lo!$B$14*O_InsPct*R44*LevOpex*$B$8*R41</f>
        <v>8793.69861691268</v>
      </c>
      <c r="S90" s="95" t="n">
        <f aca="false">S_Fuel_Lo!$B$14*O_InsPct*S44*LevOpex*$B$8*S41</f>
        <v>9057.50957542006</v>
      </c>
      <c r="T90" s="95" t="n">
        <f aca="false">S_Fuel_Lo!$B$14*O_InsPct*T44*LevOpex*$B$8*T41</f>
        <v>9329.23486268267</v>
      </c>
      <c r="U90" s="95" t="n">
        <f aca="false">S_Fuel_Lo!$B$14*O_InsPct*U44*LevOpex*$B$8*U41</f>
        <v>9609.11190856315</v>
      </c>
      <c r="V90" s="95" t="n">
        <f aca="false">S_Fuel_Lo!$B$14*O_InsPct*V44*LevOpex*$B$8*V41</f>
        <v>9897.38526582004</v>
      </c>
      <c r="W90" s="95" t="n">
        <f aca="false">S_Fuel_Lo!$B$14*O_InsPct*W44*LevOpex*$B$8*W41</f>
        <v>10194.3068237946</v>
      </c>
    </row>
    <row r="91" customFormat="false" ht="15" hidden="false" customHeight="false" outlineLevel="0" collapsed="false">
      <c r="A91" s="11" t="s">
        <v>437</v>
      </c>
      <c r="B91" s="66" t="n">
        <f aca="false">SUM(C91:W91)</f>
        <v>80611.1234669414</v>
      </c>
      <c r="C91" s="95" t="n">
        <v>0</v>
      </c>
      <c r="D91" s="95" t="n">
        <f aca="false">O_Fees*D44*LevOpex*$B$8*D41</f>
        <v>3000</v>
      </c>
      <c r="E91" s="95" t="n">
        <f aca="false">O_Fees*E44*LevOpex*$B$8*E41</f>
        <v>3090</v>
      </c>
      <c r="F91" s="95" t="n">
        <f aca="false">O_Fees*F44*LevOpex*$B$8*F41</f>
        <v>3182.7</v>
      </c>
      <c r="G91" s="95" t="n">
        <f aca="false">O_Fees*G44*LevOpex*$B$8*G41</f>
        <v>3278.181</v>
      </c>
      <c r="H91" s="95" t="n">
        <f aca="false">O_Fees*H44*LevOpex*$B$8*H41</f>
        <v>3376.52643</v>
      </c>
      <c r="I91" s="95" t="n">
        <f aca="false">O_Fees*I44*LevOpex*$B$8*I41</f>
        <v>3477.8222229</v>
      </c>
      <c r="J91" s="95" t="n">
        <f aca="false">O_Fees*J44*LevOpex*$B$8*J41</f>
        <v>3582.156889587</v>
      </c>
      <c r="K91" s="95" t="n">
        <f aca="false">O_Fees*K44*LevOpex*$B$8*K41</f>
        <v>3689.62159627461</v>
      </c>
      <c r="L91" s="95" t="n">
        <f aca="false">O_Fees*L44*LevOpex*$B$8*L41</f>
        <v>3800.31024416285</v>
      </c>
      <c r="M91" s="95" t="n">
        <f aca="false">O_Fees*M44*LevOpex*$B$8*M41</f>
        <v>3914.31955148773</v>
      </c>
      <c r="N91" s="95" t="n">
        <f aca="false">O_Fees*N44*LevOpex*$B$8*N41</f>
        <v>4031.74913803237</v>
      </c>
      <c r="O91" s="95" t="n">
        <f aca="false">O_Fees*O44*LevOpex*$B$8*O41</f>
        <v>4152.70161217334</v>
      </c>
      <c r="P91" s="95" t="n">
        <f aca="false">O_Fees*P44*LevOpex*$B$8*P41</f>
        <v>4277.28266053854</v>
      </c>
      <c r="Q91" s="95" t="n">
        <f aca="false">O_Fees*Q44*LevOpex*$B$8*Q41</f>
        <v>4405.60114035469</v>
      </c>
      <c r="R91" s="95" t="n">
        <f aca="false">O_Fees*R44*LevOpex*$B$8*R41</f>
        <v>4537.76917456534</v>
      </c>
      <c r="S91" s="95" t="n">
        <f aca="false">O_Fees*S44*LevOpex*$B$8*S41</f>
        <v>4673.9022498023</v>
      </c>
      <c r="T91" s="95" t="n">
        <f aca="false">O_Fees*T44*LevOpex*$B$8*T41</f>
        <v>4814.11931729637</v>
      </c>
      <c r="U91" s="95" t="n">
        <f aca="false">O_Fees*U44*LevOpex*$B$8*U41</f>
        <v>4958.54289681526</v>
      </c>
      <c r="V91" s="95" t="n">
        <f aca="false">O_Fees*V44*LevOpex*$B$8*V41</f>
        <v>5107.29918371971</v>
      </c>
      <c r="W91" s="95" t="n">
        <f aca="false">O_Fees*W44*LevOpex*$B$8*W41</f>
        <v>5260.51815923131</v>
      </c>
    </row>
    <row r="92" customFormat="false" ht="15" hidden="false" customHeight="false" outlineLevel="0" collapsed="false">
      <c r="A92" s="11" t="s">
        <v>438</v>
      </c>
      <c r="B92" s="66" t="n">
        <f aca="false">SUM(C92:W92)</f>
        <v>107481.497955922</v>
      </c>
      <c r="C92" s="95" t="n">
        <v>0</v>
      </c>
      <c r="D92" s="95" t="n">
        <f aca="false">O_MRV*D44*LevOpex*$B$8*D41</f>
        <v>4000</v>
      </c>
      <c r="E92" s="95" t="n">
        <f aca="false">O_MRV*E44*LevOpex*$B$8*E41</f>
        <v>4120</v>
      </c>
      <c r="F92" s="95" t="n">
        <f aca="false">O_MRV*F44*LevOpex*$B$8*F41</f>
        <v>4243.6</v>
      </c>
      <c r="G92" s="95" t="n">
        <f aca="false">O_MRV*G44*LevOpex*$B$8*G41</f>
        <v>4370.908</v>
      </c>
      <c r="H92" s="95" t="n">
        <f aca="false">O_MRV*H44*LevOpex*$B$8*H41</f>
        <v>4502.03524</v>
      </c>
      <c r="I92" s="95" t="n">
        <f aca="false">O_MRV*I44*LevOpex*$B$8*I41</f>
        <v>4637.0962972</v>
      </c>
      <c r="J92" s="95" t="n">
        <f aca="false">O_MRV*J44*LevOpex*$B$8*J41</f>
        <v>4776.209186116</v>
      </c>
      <c r="K92" s="95" t="n">
        <f aca="false">O_MRV*K44*LevOpex*$B$8*K41</f>
        <v>4919.49546169948</v>
      </c>
      <c r="L92" s="95" t="n">
        <f aca="false">O_MRV*L44*LevOpex*$B$8*L41</f>
        <v>5067.08032555047</v>
      </c>
      <c r="M92" s="95" t="n">
        <f aca="false">O_MRV*M44*LevOpex*$B$8*M41</f>
        <v>5219.09273531698</v>
      </c>
      <c r="N92" s="95" t="n">
        <f aca="false">O_MRV*N44*LevOpex*$B$8*N41</f>
        <v>5375.66551737649</v>
      </c>
      <c r="O92" s="95" t="n">
        <f aca="false">O_MRV*O44*LevOpex*$B$8*O41</f>
        <v>5536.93548289778</v>
      </c>
      <c r="P92" s="95" t="n">
        <f aca="false">O_MRV*P44*LevOpex*$B$8*P41</f>
        <v>5703.04354738472</v>
      </c>
      <c r="Q92" s="95" t="n">
        <f aca="false">O_MRV*Q44*LevOpex*$B$8*Q41</f>
        <v>5874.13485380626</v>
      </c>
      <c r="R92" s="95" t="n">
        <f aca="false">O_MRV*R44*LevOpex*$B$8*R41</f>
        <v>6050.35889942045</v>
      </c>
      <c r="S92" s="95" t="n">
        <f aca="false">O_MRV*S44*LevOpex*$B$8*S41</f>
        <v>6231.86966640306</v>
      </c>
      <c r="T92" s="95" t="n">
        <f aca="false">O_MRV*T44*LevOpex*$B$8*T41</f>
        <v>6418.82575639515</v>
      </c>
      <c r="U92" s="95" t="n">
        <f aca="false">O_MRV*U44*LevOpex*$B$8*U41</f>
        <v>6611.39052908701</v>
      </c>
      <c r="V92" s="95" t="n">
        <f aca="false">O_MRV*V44*LevOpex*$B$8*V41</f>
        <v>6809.73224495962</v>
      </c>
      <c r="W92" s="95" t="n">
        <f aca="false">O_MRV*W44*LevOpex*$B$8*W41</f>
        <v>7014.02421230841</v>
      </c>
    </row>
    <row r="93" customFormat="false" ht="15" hidden="false" customHeight="false" outlineLevel="0" collapsed="false">
      <c r="A93" s="11" t="s">
        <v>439</v>
      </c>
      <c r="B93" s="66" t="n">
        <f aca="false">SUM(C93:W93)</f>
        <v>135007.186221415</v>
      </c>
      <c r="C93" s="95" t="n">
        <v>0</v>
      </c>
      <c r="D93" s="95" t="n">
        <f aca="false">D85*O_CustPct</f>
        <v>2415.52161792</v>
      </c>
      <c r="E93" s="95" t="n">
        <f aca="false">E85*O_CustPct</f>
        <v>3405.52916130605</v>
      </c>
      <c r="F93" s="95" t="n">
        <f aca="false">F85*O_CustPct</f>
        <v>4194.60089674069</v>
      </c>
      <c r="G93" s="95" t="n">
        <f aca="false">G85*O_CustPct</f>
        <v>4395.1505163522</v>
      </c>
      <c r="H93" s="95" t="n">
        <f aca="false">H85*O_CustPct</f>
        <v>4662.81518279805</v>
      </c>
      <c r="I93" s="95" t="n">
        <f aca="false">I85*O_CustPct</f>
        <v>4946.78062743045</v>
      </c>
      <c r="J93" s="95" t="n">
        <f aca="false">J85*O_CustPct</f>
        <v>5248.03956764096</v>
      </c>
      <c r="K93" s="95" t="n">
        <f aca="false">K85*O_CustPct</f>
        <v>5567.6451773103</v>
      </c>
      <c r="L93" s="95" t="n">
        <f aca="false">L85*O_CustPct</f>
        <v>5906.7147686085</v>
      </c>
      <c r="M93" s="95" t="n">
        <f aca="false">M85*O_CustPct</f>
        <v>6266.43369801675</v>
      </c>
      <c r="N93" s="95" t="n">
        <f aca="false">N85*O_CustPct</f>
        <v>6648.05951022597</v>
      </c>
      <c r="O93" s="95" t="n">
        <f aca="false">O85*O_CustPct</f>
        <v>7052.92633439874</v>
      </c>
      <c r="P93" s="95" t="n">
        <f aca="false">P85*O_CustPct</f>
        <v>7482.44954816362</v>
      </c>
      <c r="Q93" s="95" t="n">
        <f aca="false">Q85*O_CustPct</f>
        <v>7938.13072564678</v>
      </c>
      <c r="R93" s="95" t="n">
        <f aca="false">R85*O_CustPct</f>
        <v>8421.56288683868</v>
      </c>
      <c r="S93" s="95" t="n">
        <f aca="false">S85*O_CustPct</f>
        <v>8934.43606664715</v>
      </c>
      <c r="T93" s="95" t="n">
        <f aca="false">T85*O_CustPct</f>
        <v>9478.54322310596</v>
      </c>
      <c r="U93" s="95" t="n">
        <f aca="false">U85*O_CustPct</f>
        <v>10055.7865053931</v>
      </c>
      <c r="V93" s="95" t="n">
        <f aca="false">V85*O_CustPct</f>
        <v>10668.1839035716</v>
      </c>
      <c r="W93" s="95" t="n">
        <f aca="false">W85*O_CustPct</f>
        <v>11317.8763032991</v>
      </c>
    </row>
    <row r="94" customFormat="false" ht="15" hidden="false" customHeight="false" outlineLevel="0" collapsed="false">
      <c r="A94" s="11" t="s">
        <v>440</v>
      </c>
      <c r="B94" s="66" t="n">
        <f aca="false">SUM(C94:W94)</f>
        <v>117570.051282715</v>
      </c>
      <c r="C94" s="95" t="n">
        <v>0</v>
      </c>
      <c r="D94" s="95" t="n">
        <f aca="false">D72*O_DieselOM*D44*LevOpex*$B$8</f>
        <v>719.794472727272</v>
      </c>
      <c r="E94" s="95" t="n">
        <f aca="false">E72*O_DieselOM*E44*LevOpex*$B$8</f>
        <v>1081.80910449818</v>
      </c>
      <c r="F94" s="95" t="n">
        <f aca="false">F72*O_DieselOM*F44*LevOpex*$B$8</f>
        <v>1350.22503407308</v>
      </c>
      <c r="G94" s="95" t="n">
        <f aca="false">G72*O_DieselOM*G44*LevOpex*$B$8</f>
        <v>1432.45373864813</v>
      </c>
      <c r="H94" s="95" t="n">
        <f aca="false">H72*O_DieselOM*H44*LevOpex*$B$8</f>
        <v>1519.69017133181</v>
      </c>
      <c r="I94" s="95" t="n">
        <f aca="false">I72*O_DieselOM*I44*LevOpex*$B$8</f>
        <v>1612.23930276591</v>
      </c>
      <c r="J94" s="95" t="n">
        <f aca="false">J72*O_DieselOM*J44*LevOpex*$B$8</f>
        <v>1841.45816530084</v>
      </c>
      <c r="K94" s="95" t="n">
        <f aca="false">K72*O_DieselOM*K44*LevOpex*$B$8</f>
        <v>2503.82649651629</v>
      </c>
      <c r="L94" s="95" t="n">
        <f aca="false">L72*O_DieselOM*L44*LevOpex*$B$8</f>
        <v>3220.20611379713</v>
      </c>
      <c r="M94" s="95" t="n">
        <f aca="false">M72*O_DieselOM*M44*LevOpex*$B$8</f>
        <v>3994.2260798739</v>
      </c>
      <c r="N94" s="95" t="n">
        <f aca="false">N72*O_DieselOM*N44*LevOpex*$B$8</f>
        <v>4829.74491081635</v>
      </c>
      <c r="O94" s="95" t="n">
        <f aca="false">O72*O_DieselOM*O44*LevOpex*$B$8</f>
        <v>5730.86475956075</v>
      </c>
      <c r="P94" s="95" t="n">
        <f aca="false">P72*O_DieselOM*P44*LevOpex*$B$8</f>
        <v>6701.94646842802</v>
      </c>
      <c r="Q94" s="95" t="n">
        <f aca="false">Q72*O_DieselOM*Q44*LevOpex*$B$8</f>
        <v>7747.62554368381</v>
      </c>
      <c r="R94" s="95" t="n">
        <f aca="false">R72*O_DieselOM*R44*LevOpex*$B$8</f>
        <v>8872.82910842559</v>
      </c>
      <c r="S94" s="95" t="n">
        <f aca="false">S72*O_DieselOM*S44*LevOpex*$B$8</f>
        <v>10082.7938935131</v>
      </c>
      <c r="T94" s="95" t="n">
        <f aca="false">T72*O_DieselOM*T44*LevOpex*$B$8</f>
        <v>11383.0853298981</v>
      </c>
      <c r="U94" s="95" t="n">
        <f aca="false">U72*O_DieselOM*U44*LevOpex*$B$8</f>
        <v>12779.6178095725</v>
      </c>
      <c r="V94" s="95" t="n">
        <f aca="false">V72*O_DieselOM*V44*LevOpex*$B$8</f>
        <v>14278.6761864487</v>
      </c>
      <c r="W94" s="95" t="n">
        <f aca="false">W72*O_DieselOM*W44*LevOpex*$B$8</f>
        <v>15886.9385928357</v>
      </c>
    </row>
    <row r="95" customFormat="false" ht="15" hidden="false" customHeight="false" outlineLevel="0" collapsed="false">
      <c r="A95" s="11" t="s">
        <v>441</v>
      </c>
      <c r="B95" s="66" t="n">
        <f aca="false">SUM(C95:W95)</f>
        <v>1254080.54701563</v>
      </c>
      <c r="C95" s="95" t="n">
        <v>0</v>
      </c>
      <c r="D95" s="95" t="n">
        <f aca="false">D74*FuelPrice*LevFuel*$B$10*D44</f>
        <v>7677.80770909091</v>
      </c>
      <c r="E95" s="95" t="n">
        <f aca="false">E74*FuelPrice*LevFuel*$B$10*E44</f>
        <v>11539.2971146473</v>
      </c>
      <c r="F95" s="95" t="n">
        <f aca="false">F74*FuelPrice*LevFuel*$B$10*F44</f>
        <v>14402.4003634462</v>
      </c>
      <c r="G95" s="95" t="n">
        <f aca="false">G74*FuelPrice*LevFuel*$B$10*G44</f>
        <v>15279.5065455801</v>
      </c>
      <c r="H95" s="95" t="n">
        <f aca="false">H74*FuelPrice*LevFuel*$B$10*H44</f>
        <v>16210.0284942059</v>
      </c>
      <c r="I95" s="95" t="n">
        <f aca="false">I74*FuelPrice*LevFuel*$B$10*I44</f>
        <v>17197.2192295031</v>
      </c>
      <c r="J95" s="95" t="n">
        <f aca="false">J74*FuelPrice*LevFuel*$B$10*J44</f>
        <v>19642.2204298756</v>
      </c>
      <c r="K95" s="95" t="n">
        <f aca="false">K74*FuelPrice*LevFuel*$B$10*K44</f>
        <v>26707.4826295071</v>
      </c>
      <c r="L95" s="95" t="n">
        <f aca="false">L74*FuelPrice*LevFuel*$B$10*L44</f>
        <v>34348.8652138361</v>
      </c>
      <c r="M95" s="95" t="n">
        <f aca="false">M74*FuelPrice*LevFuel*$B$10*M44</f>
        <v>42605.0781853217</v>
      </c>
      <c r="N95" s="95" t="n">
        <f aca="false">N74*FuelPrice*LevFuel*$B$10*N44</f>
        <v>51517.2790487078</v>
      </c>
      <c r="O95" s="95" t="n">
        <f aca="false">O74*FuelPrice*LevFuel*$B$10*O44</f>
        <v>61129.2241019813</v>
      </c>
      <c r="P95" s="95" t="n">
        <f aca="false">P74*FuelPrice*LevFuel*$B$10*P44</f>
        <v>71487.4289965656</v>
      </c>
      <c r="Q95" s="95" t="n">
        <f aca="false">Q74*FuelPrice*LevFuel*$B$10*Q44</f>
        <v>82641.3391326273</v>
      </c>
      <c r="R95" s="95" t="n">
        <f aca="false">R74*FuelPrice*LevFuel*$B$10*R44</f>
        <v>94643.510489873</v>
      </c>
      <c r="S95" s="95" t="n">
        <f aca="false">S74*FuelPrice*LevFuel*$B$10*S44</f>
        <v>107549.801530806</v>
      </c>
      <c r="T95" s="95" t="n">
        <f aca="false">T74*FuelPrice*LevFuel*$B$10*T44</f>
        <v>121419.576852247</v>
      </c>
      <c r="U95" s="95" t="n">
        <f aca="false">U74*FuelPrice*LevFuel*$B$10*U44</f>
        <v>136315.923302107</v>
      </c>
      <c r="V95" s="95" t="n">
        <f aca="false">V74*FuelPrice*LevFuel*$B$10*V44</f>
        <v>152305.87932212</v>
      </c>
      <c r="W95" s="95" t="n">
        <f aca="false">W74*FuelPrice*LevFuel*$B$10*W44</f>
        <v>169460.678323581</v>
      </c>
    </row>
    <row r="96" customFormat="false" ht="15" hidden="false" customHeight="false" outlineLevel="0" collapsed="false">
      <c r="A96" s="16" t="s">
        <v>442</v>
      </c>
      <c r="B96" s="66" t="n">
        <f aca="false">SUM(C96:W96)</f>
        <v>3013830.52521585</v>
      </c>
      <c r="C96" s="31" t="n">
        <f aca="false">C88+C89+C90+C91+C92+C93+C94+C95</f>
        <v>0</v>
      </c>
      <c r="D96" s="31" t="n">
        <f aca="false">D88+D89+D90+D91+D92+D93+D94+D95</f>
        <v>66903.6238154406</v>
      </c>
      <c r="E96" s="31" t="n">
        <f aca="false">E88+E89+E90+E91+E92+E93+E94+E95</f>
        <v>73799.850396625</v>
      </c>
      <c r="F96" s="31" t="n">
        <f aca="false">F88+F89+F90+F91+F92+F93+F94+F95</f>
        <v>79453.6377609187</v>
      </c>
      <c r="G96" s="31" t="n">
        <f aca="false">G88+G89+G90+G91+G92+G93+G94+G95</f>
        <v>82398.7146112389</v>
      </c>
      <c r="H96" s="31" t="n">
        <f aca="false">H88+H89+H90+H91+H92+H93+H94+H95</f>
        <v>85522.885773314</v>
      </c>
      <c r="I96" s="31" t="n">
        <f aca="false">I88+I89+I90+I91+I92+I93+I94+I95</f>
        <v>88780.501642427</v>
      </c>
      <c r="J96" s="31" t="n">
        <f aca="false">J88+J89+J90+J91+J92+J93+J94+J95</f>
        <v>93706.7085200268</v>
      </c>
      <c r="K96" s="31" t="n">
        <f aca="false">K88+K89+K90+K91+K92+K93+K94+K95</f>
        <v>103763.194371259</v>
      </c>
      <c r="L96" s="31" t="n">
        <f aca="false">L88+L89+L90+L91+L92+L93+L94+L95</f>
        <v>114529.553366205</v>
      </c>
      <c r="M96" s="31" t="n">
        <f aca="false">M88+M89+M90+M91+M92+M93+M94+M95</f>
        <v>126051.118251275</v>
      </c>
      <c r="N96" s="31" t="n">
        <f aca="false">N88+N89+N90+N91+N92+N93+N94+N95</f>
        <v>138376.025166454</v>
      </c>
      <c r="O96" s="31" t="n">
        <f aca="false">O88+O89+O90+O91+O92+O93+O94+O95</f>
        <v>151555.385143546</v>
      </c>
      <c r="P96" s="31" t="n">
        <f aca="false">P88+P89+P90+P91+P92+P93+P94+P95</f>
        <v>165643.466059191</v>
      </c>
      <c r="Q96" s="31" t="n">
        <f aca="false">Q88+Q89+Q90+Q91+Q92+Q93+Q94+Q95</f>
        <v>180697.885679372</v>
      </c>
      <c r="R96" s="31" t="n">
        <f aca="false">R88+R89+R90+R91+R92+R93+R94+R95</f>
        <v>196779.816470874</v>
      </c>
      <c r="S96" s="31" t="n">
        <f aca="false">S88+S89+S90+S91+S92+S93+S94+S95</f>
        <v>213954.202896275</v>
      </c>
      <c r="T96" s="31" t="n">
        <f aca="false">T88+T89+T90+T91+T92+T93+T94+T95</f>
        <v>232289.991952719</v>
      </c>
      <c r="U96" s="31" t="n">
        <f aca="false">U88+U89+U90+U91+U92+U93+U94+U95</f>
        <v>251860.377760965</v>
      </c>
      <c r="V96" s="31" t="n">
        <f aca="false">V88+V89+V90+V91+V92+V93+V94+V95</f>
        <v>272743.061060349</v>
      </c>
      <c r="W96" s="31" t="n">
        <f aca="false">W88+W89+W90+W91+W92+W93+W94+W95</f>
        <v>295020.524517371</v>
      </c>
    </row>
    <row r="98" customFormat="false" ht="15" hidden="false" customHeight="false" outlineLevel="0" collapsed="false">
      <c r="A98" s="16" t="s">
        <v>443</v>
      </c>
      <c r="B98" s="66" t="n">
        <f aca="false">SUM(C98:W98)</f>
        <v>1486409.01549797</v>
      </c>
      <c r="C98" s="31" t="n">
        <f aca="false">C85-C96</f>
        <v>0</v>
      </c>
      <c r="D98" s="31" t="n">
        <f aca="false">D85-D96</f>
        <v>13613.7634485594</v>
      </c>
      <c r="E98" s="31" t="n">
        <f aca="false">E85-E96</f>
        <v>39717.7883135766</v>
      </c>
      <c r="F98" s="31" t="n">
        <f aca="false">F85-F96</f>
        <v>60366.3921304377</v>
      </c>
      <c r="G98" s="31" t="n">
        <f aca="false">G85-G96</f>
        <v>64106.302600501</v>
      </c>
      <c r="H98" s="31" t="n">
        <f aca="false">H85-H96</f>
        <v>69904.286986621</v>
      </c>
      <c r="I98" s="31" t="n">
        <f aca="false">I85-I96</f>
        <v>76112.185938588</v>
      </c>
      <c r="J98" s="31" t="n">
        <f aca="false">J85-J96</f>
        <v>81227.943734672</v>
      </c>
      <c r="K98" s="31" t="n">
        <f aca="false">K85-K96</f>
        <v>81824.9782057506</v>
      </c>
      <c r="L98" s="31" t="n">
        <f aca="false">L85-L96</f>
        <v>82360.9389207448</v>
      </c>
      <c r="M98" s="31" t="n">
        <f aca="false">M85-M96</f>
        <v>82830.0050159505</v>
      </c>
      <c r="N98" s="31" t="n">
        <f aca="false">N85-N96</f>
        <v>83225.9585077449</v>
      </c>
      <c r="O98" s="31" t="n">
        <f aca="false">O85-O96</f>
        <v>83542.1593364117</v>
      </c>
      <c r="P98" s="31" t="n">
        <f aca="false">P85-P96</f>
        <v>83771.5188795966</v>
      </c>
      <c r="Q98" s="31" t="n">
        <f aca="false">Q85-Q96</f>
        <v>83906.4718421871</v>
      </c>
      <c r="R98" s="31" t="n">
        <f aca="false">R85-R96</f>
        <v>83938.9464237484</v>
      </c>
      <c r="S98" s="31" t="n">
        <f aca="false">S85-S96</f>
        <v>83860.3326586299</v>
      </c>
      <c r="T98" s="31" t="n">
        <f aca="false">T85-T96</f>
        <v>83661.4488174798</v>
      </c>
      <c r="U98" s="31" t="n">
        <f aca="false">U85-U96</f>
        <v>83332.505752139</v>
      </c>
      <c r="V98" s="31" t="n">
        <f aca="false">V85-V96</f>
        <v>82863.0690587029</v>
      </c>
      <c r="W98" s="31" t="n">
        <f aca="false">W85-W96</f>
        <v>82242.0189259314</v>
      </c>
    </row>
    <row r="99" customFormat="false" ht="15" hidden="false" customHeight="false" outlineLevel="0" collapsed="false">
      <c r="A99" s="11" t="s">
        <v>444</v>
      </c>
      <c r="C99" s="91" t="n">
        <v>0</v>
      </c>
      <c r="D99" s="91" t="n">
        <f aca="false">IFERROR(D98/D85,0)</f>
        <v>0.169078554473243</v>
      </c>
      <c r="E99" s="91" t="n">
        <f aca="false">IFERROR(E98/E85,0)</f>
        <v>0.349882086738713</v>
      </c>
      <c r="F99" s="91" t="n">
        <f aca="false">IFERROR(F98/F85,0)</f>
        <v>0.431743521849794</v>
      </c>
      <c r="G99" s="91" t="n">
        <f aca="false">IFERROR(G98/G85,0)</f>
        <v>0.437570697717812</v>
      </c>
      <c r="H99" s="91" t="n">
        <f aca="false">IFERROR(H98/H85,0)</f>
        <v>0.449755893678846</v>
      </c>
      <c r="I99" s="91" t="n">
        <f aca="false">IFERROR(I98/I85,0)</f>
        <v>0.461586181019656</v>
      </c>
      <c r="J99" s="91" t="n">
        <f aca="false">IFERROR(J98/J85,0)</f>
        <v>0.464333067735527</v>
      </c>
      <c r="K99" s="91" t="n">
        <f aca="false">IFERROR(K98/K85,0)</f>
        <v>0.440895435681912</v>
      </c>
      <c r="L99" s="91" t="n">
        <f aca="false">IFERROR(L98/L85,0)</f>
        <v>0.418308359962406</v>
      </c>
      <c r="M99" s="91" t="n">
        <f aca="false">IFERROR(M98/M85,0)</f>
        <v>0.396541361518746</v>
      </c>
      <c r="N99" s="91" t="n">
        <f aca="false">IFERROR(N98/N85,0)</f>
        <v>0.375565042910917</v>
      </c>
      <c r="O99" s="91" t="n">
        <f aca="false">IFERROR(O98/O85,0)</f>
        <v>0.355351050225596</v>
      </c>
      <c r="P99" s="91" t="n">
        <f aca="false">IFERROR(P98/P85,0)</f>
        <v>0.335872036317931</v>
      </c>
      <c r="Q99" s="91" t="n">
        <f aca="false">IFERROR(Q98/Q85,0)</f>
        <v>0.317101625340204</v>
      </c>
      <c r="R99" s="91" t="n">
        <f aca="false">IFERROR(R98/R85,0)</f>
        <v>0.299014378512553</v>
      </c>
      <c r="S99" s="91" t="n">
        <f aca="false">IFERROR(S98/S85,0)</f>
        <v>0.281585761092475</v>
      </c>
      <c r="T99" s="91" t="n">
        <f aca="false">IFERROR(T98/T85,0)</f>
        <v>0.264792110501339</v>
      </c>
      <c r="U99" s="91" t="n">
        <f aca="false">IFERROR(U98/U85,0)</f>
        <v>0.248610605567589</v>
      </c>
      <c r="V99" s="91" t="n">
        <f aca="false">IFERROR(V98/V85,0)</f>
        <v>0.233019236847693</v>
      </c>
      <c r="W99" s="91" t="n">
        <f aca="false">IFERROR(W98/W85,0)</f>
        <v>0.217996777987294</v>
      </c>
    </row>
    <row r="101" customFormat="false" ht="15" hidden="false" customHeight="false" outlineLevel="0" collapsed="false">
      <c r="A101" s="9" t="s">
        <v>445</v>
      </c>
      <c r="B101" s="10"/>
      <c r="C101" s="10"/>
      <c r="D101" s="10"/>
      <c r="E101" s="10"/>
      <c r="F101" s="10"/>
      <c r="G101" s="10"/>
      <c r="H101" s="10"/>
      <c r="I101" s="10"/>
      <c r="J101" s="10"/>
      <c r="K101" s="10"/>
      <c r="L101" s="10"/>
      <c r="M101" s="10"/>
      <c r="N101" s="10"/>
      <c r="O101" s="10"/>
      <c r="P101" s="10"/>
      <c r="Q101" s="10"/>
      <c r="R101" s="10"/>
      <c r="S101" s="10"/>
      <c r="T101" s="10"/>
      <c r="U101" s="10"/>
      <c r="V101" s="10"/>
      <c r="W101" s="10"/>
    </row>
    <row r="102" customFormat="false" ht="15" hidden="false" customHeight="false" outlineLevel="0" collapsed="false">
      <c r="A102" s="11" t="s">
        <v>446</v>
      </c>
      <c r="B102" s="66" t="n">
        <f aca="false">C102+NPV(Hurdle,D102:W102)</f>
        <v>1162734.14692871</v>
      </c>
      <c r="C102" s="95" t="n">
        <f aca="false">S_Fuel_Lo!$B$14</f>
        <v>1162734.14692871</v>
      </c>
      <c r="D102" s="95" t="n">
        <f aca="false">0</f>
        <v>0</v>
      </c>
      <c r="E102" s="95" t="n">
        <f aca="false">0</f>
        <v>0</v>
      </c>
      <c r="F102" s="95" t="n">
        <f aca="false">0</f>
        <v>0</v>
      </c>
      <c r="G102" s="95" t="n">
        <f aca="false">0</f>
        <v>0</v>
      </c>
      <c r="H102" s="95" t="n">
        <f aca="false">0</f>
        <v>0</v>
      </c>
      <c r="I102" s="95" t="n">
        <f aca="false">0</f>
        <v>0</v>
      </c>
      <c r="J102" s="95" t="n">
        <f aca="false">0</f>
        <v>0</v>
      </c>
      <c r="K102" s="95" t="n">
        <f aca="false">0</f>
        <v>0</v>
      </c>
      <c r="L102" s="95" t="n">
        <f aca="false">0</f>
        <v>0</v>
      </c>
      <c r="M102" s="95" t="n">
        <f aca="false">0</f>
        <v>0</v>
      </c>
      <c r="N102" s="95" t="n">
        <f aca="false">0</f>
        <v>0</v>
      </c>
      <c r="O102" s="95" t="n">
        <f aca="false">0</f>
        <v>0</v>
      </c>
      <c r="P102" s="95" t="n">
        <f aca="false">0</f>
        <v>0</v>
      </c>
      <c r="Q102" s="95" t="n">
        <f aca="false">0</f>
        <v>0</v>
      </c>
      <c r="R102" s="95" t="n">
        <f aca="false">0</f>
        <v>0</v>
      </c>
      <c r="S102" s="95" t="n">
        <f aca="false">0</f>
        <v>0</v>
      </c>
      <c r="T102" s="95" t="n">
        <f aca="false">0</f>
        <v>0</v>
      </c>
      <c r="U102" s="95" t="n">
        <f aca="false">0</f>
        <v>0</v>
      </c>
      <c r="V102" s="95" t="n">
        <f aca="false">0</f>
        <v>0</v>
      </c>
      <c r="W102" s="95" t="n">
        <f aca="false">0</f>
        <v>0</v>
      </c>
    </row>
    <row r="103" customFormat="false" ht="15" hidden="false" customHeight="false" outlineLevel="0" collapsed="false">
      <c r="A103" s="11" t="s">
        <v>447</v>
      </c>
      <c r="B103" s="66" t="n">
        <f aca="false">C103+NPV(Hurdle,D103:W103)</f>
        <v>123132.446168426</v>
      </c>
      <c r="C103" s="95" t="n">
        <v>0</v>
      </c>
      <c r="D103" s="95" t="n">
        <f aca="false">IF(AND(D41=1,MOD(D39,BattLife)=0,D39&lt;Life),BESS_kWh*C_BattRepl*LevCapex*$B$7*D44,0)</f>
        <v>0</v>
      </c>
      <c r="E103" s="95" t="n">
        <f aca="false">IF(AND(E41=1,MOD(E39,BattLife)=0,E39&lt;Life),BESS_kWh*C_BattRepl*LevCapex*$B$7*E44,0)</f>
        <v>0</v>
      </c>
      <c r="F103" s="95" t="n">
        <f aca="false">IF(AND(F41=1,MOD(F39,BattLife)=0,F39&lt;Life),BESS_kWh*C_BattRepl*LevCapex*$B$7*F44,0)</f>
        <v>0</v>
      </c>
      <c r="G103" s="95" t="n">
        <f aca="false">IF(AND(G41=1,MOD(G39,BattLife)=0,G39&lt;Life),BESS_kWh*C_BattRepl*LevCapex*$B$7*G44,0)</f>
        <v>0</v>
      </c>
      <c r="H103" s="95" t="n">
        <f aca="false">IF(AND(H41=1,MOD(H39,BattLife)=0,H39&lt;Life),BESS_kWh*C_BattRepl*LevCapex*$B$7*H44,0)</f>
        <v>0</v>
      </c>
      <c r="I103" s="95" t="n">
        <f aca="false">IF(AND(I41=1,MOD(I39,BattLife)=0,I39&lt;Life),BESS_kWh*C_BattRepl*LevCapex*$B$7*I44,0)</f>
        <v>0</v>
      </c>
      <c r="J103" s="95" t="n">
        <f aca="false">IF(AND(J41=1,MOD(J39,BattLife)=0,J39&lt;Life),BESS_kWh*C_BattRepl*LevCapex*$B$7*J44,0)</f>
        <v>0</v>
      </c>
      <c r="K103" s="95" t="n">
        <f aca="false">IF(AND(K41=1,MOD(K39,BattLife)=0,K39&lt;Life),BESS_kWh*C_BattRepl*LevCapex*$B$7*K44,0)</f>
        <v>165903.437704701</v>
      </c>
      <c r="L103" s="95" t="n">
        <f aca="false">IF(AND(L41=1,MOD(L39,BattLife)=0,L39&lt;Life),BESS_kWh*C_BattRepl*LevCapex*$B$7*L44,0)</f>
        <v>0</v>
      </c>
      <c r="M103" s="95" t="n">
        <f aca="false">IF(AND(M41=1,MOD(M39,BattLife)=0,M39&lt;Life),BESS_kWh*C_BattRepl*LevCapex*$B$7*M44,0)</f>
        <v>0</v>
      </c>
      <c r="N103" s="95" t="n">
        <f aca="false">IF(AND(N41=1,MOD(N39,BattLife)=0,N39&lt;Life),BESS_kWh*C_BattRepl*LevCapex*$B$7*N44,0)</f>
        <v>0</v>
      </c>
      <c r="O103" s="95" t="n">
        <f aca="false">IF(AND(O41=1,MOD(O39,BattLife)=0,O39&lt;Life),BESS_kWh*C_BattRepl*LevCapex*$B$7*O44,0)</f>
        <v>0</v>
      </c>
      <c r="P103" s="95" t="n">
        <f aca="false">IF(AND(P41=1,MOD(P39,BattLife)=0,P39&lt;Life),BESS_kWh*C_BattRepl*LevCapex*$B$7*P44,0)</f>
        <v>0</v>
      </c>
      <c r="Q103" s="95" t="n">
        <f aca="false">IF(AND(Q41=1,MOD(Q39,BattLife)=0,Q39&lt;Life),BESS_kWh*C_BattRepl*LevCapex*$B$7*Q44,0)</f>
        <v>0</v>
      </c>
      <c r="R103" s="95" t="n">
        <f aca="false">IF(AND(R41=1,MOD(R39,BattLife)=0,R39&lt;Life),BESS_kWh*C_BattRepl*LevCapex*$B$7*R44,0)</f>
        <v>0</v>
      </c>
      <c r="S103" s="95" t="n">
        <f aca="false">IF(AND(S41=1,MOD(S39,BattLife)=0,S39&lt;Life),BESS_kWh*C_BattRepl*LevCapex*$B$7*S44,0)</f>
        <v>210161.51128367</v>
      </c>
      <c r="T103" s="95" t="n">
        <f aca="false">IF(AND(T41=1,MOD(T39,BattLife)=0,T39&lt;Life),BESS_kWh*C_BattRepl*LevCapex*$B$7*T44,0)</f>
        <v>0</v>
      </c>
      <c r="U103" s="95" t="n">
        <f aca="false">IF(AND(U41=1,MOD(U39,BattLife)=0,U39&lt;Life),BESS_kWh*C_BattRepl*LevCapex*$B$7*U44,0)</f>
        <v>0</v>
      </c>
      <c r="V103" s="95" t="n">
        <f aca="false">IF(AND(V41=1,MOD(V39,BattLife)=0,V39&lt;Life),BESS_kWh*C_BattRepl*LevCapex*$B$7*V44,0)</f>
        <v>0</v>
      </c>
      <c r="W103" s="95" t="n">
        <f aca="false">IF(AND(W41=1,MOD(W39,BattLife)=0,W39&lt;Life),BESS_kWh*C_BattRepl*LevCapex*$B$7*W44,0)</f>
        <v>0</v>
      </c>
    </row>
    <row r="104" customFormat="false" ht="15" hidden="false" customHeight="false" outlineLevel="0" collapsed="false">
      <c r="A104" s="11" t="s">
        <v>448</v>
      </c>
      <c r="B104" s="66" t="n">
        <f aca="false">SUM(C104:W104)</f>
        <v>376064.948988371</v>
      </c>
      <c r="C104" s="95" t="n">
        <v>0</v>
      </c>
      <c r="D104" s="95" t="n">
        <f aca="false">IF(AND(UseMRA=1,D41=1,CEILING(D39,BattLife)&lt;Life),BESS_kWh*C_BattRepl*LevCapex*$B$7*(1+CostEsc)^(CEILING(D39,BattLife)-1)/BattLife,0)</f>
        <v>20737.9297130877</v>
      </c>
      <c r="E104" s="95" t="n">
        <f aca="false">IF(AND(UseMRA=1,E41=1,CEILING(E39,BattLife)&lt;Life),BESS_kWh*C_BattRepl*LevCapex*$B$7*(1+CostEsc)^(CEILING(E39,BattLife)-1)/BattLife,0)</f>
        <v>20737.9297130877</v>
      </c>
      <c r="F104" s="95" t="n">
        <f aca="false">IF(AND(UseMRA=1,F41=1,CEILING(F39,BattLife)&lt;Life),BESS_kWh*C_BattRepl*LevCapex*$B$7*(1+CostEsc)^(CEILING(F39,BattLife)-1)/BattLife,0)</f>
        <v>20737.9297130877</v>
      </c>
      <c r="G104" s="95" t="n">
        <f aca="false">IF(AND(UseMRA=1,G41=1,CEILING(G39,BattLife)&lt;Life),BESS_kWh*C_BattRepl*LevCapex*$B$7*(1+CostEsc)^(CEILING(G39,BattLife)-1)/BattLife,0)</f>
        <v>20737.9297130877</v>
      </c>
      <c r="H104" s="95" t="n">
        <f aca="false">IF(AND(UseMRA=1,H41=1,CEILING(H39,BattLife)&lt;Life),BESS_kWh*C_BattRepl*LevCapex*$B$7*(1+CostEsc)^(CEILING(H39,BattLife)-1)/BattLife,0)</f>
        <v>20737.9297130877</v>
      </c>
      <c r="I104" s="95" t="n">
        <f aca="false">IF(AND(UseMRA=1,I41=1,CEILING(I39,BattLife)&lt;Life),BESS_kWh*C_BattRepl*LevCapex*$B$7*(1+CostEsc)^(CEILING(I39,BattLife)-1)/BattLife,0)</f>
        <v>20737.9297130877</v>
      </c>
      <c r="J104" s="95" t="n">
        <f aca="false">IF(AND(UseMRA=1,J41=1,CEILING(J39,BattLife)&lt;Life),BESS_kWh*C_BattRepl*LevCapex*$B$7*(1+CostEsc)^(CEILING(J39,BattLife)-1)/BattLife,0)</f>
        <v>20737.9297130877</v>
      </c>
      <c r="K104" s="95" t="n">
        <f aca="false">IF(AND(UseMRA=1,K41=1,CEILING(K39,BattLife)&lt;Life),BESS_kWh*C_BattRepl*LevCapex*$B$7*(1+CostEsc)^(CEILING(K39,BattLife)-1)/BattLife,0)</f>
        <v>20737.9297130877</v>
      </c>
      <c r="L104" s="95" t="n">
        <f aca="false">IF(AND(UseMRA=1,L41=1,CEILING(L39,BattLife)&lt;Life),BESS_kWh*C_BattRepl*LevCapex*$B$7*(1+CostEsc)^(CEILING(L39,BattLife)-1)/BattLife,0)</f>
        <v>26270.1889104587</v>
      </c>
      <c r="M104" s="95" t="n">
        <f aca="false">IF(AND(UseMRA=1,M41=1,CEILING(M39,BattLife)&lt;Life),BESS_kWh*C_BattRepl*LevCapex*$B$7*(1+CostEsc)^(CEILING(M39,BattLife)-1)/BattLife,0)</f>
        <v>26270.1889104587</v>
      </c>
      <c r="N104" s="95" t="n">
        <f aca="false">IF(AND(UseMRA=1,N41=1,CEILING(N39,BattLife)&lt;Life),BESS_kWh*C_BattRepl*LevCapex*$B$7*(1+CostEsc)^(CEILING(N39,BattLife)-1)/BattLife,0)</f>
        <v>26270.1889104587</v>
      </c>
      <c r="O104" s="95" t="n">
        <f aca="false">IF(AND(UseMRA=1,O41=1,CEILING(O39,BattLife)&lt;Life),BESS_kWh*C_BattRepl*LevCapex*$B$7*(1+CostEsc)^(CEILING(O39,BattLife)-1)/BattLife,0)</f>
        <v>26270.1889104587</v>
      </c>
      <c r="P104" s="95" t="n">
        <f aca="false">IF(AND(UseMRA=1,P41=1,CEILING(P39,BattLife)&lt;Life),BESS_kWh*C_BattRepl*LevCapex*$B$7*(1+CostEsc)^(CEILING(P39,BattLife)-1)/BattLife,0)</f>
        <v>26270.1889104587</v>
      </c>
      <c r="Q104" s="95" t="n">
        <f aca="false">IF(AND(UseMRA=1,Q41=1,CEILING(Q39,BattLife)&lt;Life),BESS_kWh*C_BattRepl*LevCapex*$B$7*(1+CostEsc)^(CEILING(Q39,BattLife)-1)/BattLife,0)</f>
        <v>26270.1889104587</v>
      </c>
      <c r="R104" s="95" t="n">
        <f aca="false">IF(AND(UseMRA=1,R41=1,CEILING(R39,BattLife)&lt;Life),BESS_kWh*C_BattRepl*LevCapex*$B$7*(1+CostEsc)^(CEILING(R39,BattLife)-1)/BattLife,0)</f>
        <v>26270.1889104587</v>
      </c>
      <c r="S104" s="95" t="n">
        <f aca="false">IF(AND(UseMRA=1,S41=1,CEILING(S39,BattLife)&lt;Life),BESS_kWh*C_BattRepl*LevCapex*$B$7*(1+CostEsc)^(CEILING(S39,BattLife)-1)/BattLife,0)</f>
        <v>26270.1889104587</v>
      </c>
      <c r="T104" s="95" t="n">
        <f aca="false">IF(AND(UseMRA=1,T41=1,CEILING(T39,BattLife)&lt;Life),BESS_kWh*C_BattRepl*LevCapex*$B$7*(1+CostEsc)^(CEILING(T39,BattLife)-1)/BattLife,0)</f>
        <v>0</v>
      </c>
      <c r="U104" s="95" t="n">
        <f aca="false">IF(AND(UseMRA=1,U41=1,CEILING(U39,BattLife)&lt;Life),BESS_kWh*C_BattRepl*LevCapex*$B$7*(1+CostEsc)^(CEILING(U39,BattLife)-1)/BattLife,0)</f>
        <v>0</v>
      </c>
      <c r="V104" s="95" t="n">
        <f aca="false">IF(AND(UseMRA=1,V41=1,CEILING(V39,BattLife)&lt;Life),BESS_kWh*C_BattRepl*LevCapex*$B$7*(1+CostEsc)^(CEILING(V39,BattLife)-1)/BattLife,0)</f>
        <v>0</v>
      </c>
      <c r="W104" s="95" t="n">
        <f aca="false">IF(AND(UseMRA=1,W41=1,CEILING(W39,BattLife)&lt;Life),BESS_kWh*C_BattRepl*LevCapex*$B$7*(1+CostEsc)^(CEILING(W39,BattLife)-1)/BattLife,0)</f>
        <v>0</v>
      </c>
    </row>
    <row r="105" customFormat="false" ht="15" hidden="false" customHeight="false" outlineLevel="0" collapsed="false">
      <c r="A105" s="11" t="s">
        <v>449</v>
      </c>
      <c r="B105" s="66" t="n">
        <f aca="false">SUM(C105:W105)</f>
        <v>376064.948988371</v>
      </c>
      <c r="C105" s="95" t="n">
        <v>0</v>
      </c>
      <c r="D105" s="95" t="n">
        <f aca="false">IF(UseMRA=1,D104,D103)</f>
        <v>20737.9297130877</v>
      </c>
      <c r="E105" s="95" t="n">
        <f aca="false">IF(UseMRA=1,E104,E103)</f>
        <v>20737.9297130877</v>
      </c>
      <c r="F105" s="95" t="n">
        <f aca="false">IF(UseMRA=1,F104,F103)</f>
        <v>20737.9297130877</v>
      </c>
      <c r="G105" s="95" t="n">
        <f aca="false">IF(UseMRA=1,G104,G103)</f>
        <v>20737.9297130877</v>
      </c>
      <c r="H105" s="95" t="n">
        <f aca="false">IF(UseMRA=1,H104,H103)</f>
        <v>20737.9297130877</v>
      </c>
      <c r="I105" s="95" t="n">
        <f aca="false">IF(UseMRA=1,I104,I103)</f>
        <v>20737.9297130877</v>
      </c>
      <c r="J105" s="95" t="n">
        <f aca="false">IF(UseMRA=1,J104,J103)</f>
        <v>20737.9297130877</v>
      </c>
      <c r="K105" s="95" t="n">
        <f aca="false">IF(UseMRA=1,K104,K103)</f>
        <v>20737.9297130877</v>
      </c>
      <c r="L105" s="95" t="n">
        <f aca="false">IF(UseMRA=1,L104,L103)</f>
        <v>26270.1889104587</v>
      </c>
      <c r="M105" s="95" t="n">
        <f aca="false">IF(UseMRA=1,M104,M103)</f>
        <v>26270.1889104587</v>
      </c>
      <c r="N105" s="95" t="n">
        <f aca="false">IF(UseMRA=1,N104,N103)</f>
        <v>26270.1889104587</v>
      </c>
      <c r="O105" s="95" t="n">
        <f aca="false">IF(UseMRA=1,O104,O103)</f>
        <v>26270.1889104587</v>
      </c>
      <c r="P105" s="95" t="n">
        <f aca="false">IF(UseMRA=1,P104,P103)</f>
        <v>26270.1889104587</v>
      </c>
      <c r="Q105" s="95" t="n">
        <f aca="false">IF(UseMRA=1,Q104,Q103)</f>
        <v>26270.1889104587</v>
      </c>
      <c r="R105" s="95" t="n">
        <f aca="false">IF(UseMRA=1,R104,R103)</f>
        <v>26270.1889104587</v>
      </c>
      <c r="S105" s="95" t="n">
        <f aca="false">IF(UseMRA=1,S104,S103)</f>
        <v>26270.1889104587</v>
      </c>
      <c r="T105" s="95" t="n">
        <f aca="false">IF(UseMRA=1,T104,T103)</f>
        <v>0</v>
      </c>
      <c r="U105" s="95" t="n">
        <f aca="false">IF(UseMRA=1,U104,U103)</f>
        <v>0</v>
      </c>
      <c r="V105" s="95" t="n">
        <f aca="false">IF(UseMRA=1,V104,V103)</f>
        <v>0</v>
      </c>
      <c r="W105" s="95" t="n">
        <f aca="false">IF(UseMRA=1,W104,W103)</f>
        <v>0</v>
      </c>
    </row>
    <row r="106" customFormat="false" ht="15" hidden="false" customHeight="false" outlineLevel="0" collapsed="false">
      <c r="A106" s="11" t="s">
        <v>175</v>
      </c>
      <c r="B106" s="66" t="n">
        <f aca="false">SUM(C106:W106)</f>
        <v>600000</v>
      </c>
      <c r="C106" s="95" t="n">
        <f aca="false">Grant</f>
        <v>600000</v>
      </c>
      <c r="D106" s="95" t="n">
        <f aca="false">0</f>
        <v>0</v>
      </c>
      <c r="E106" s="95" t="n">
        <f aca="false">0</f>
        <v>0</v>
      </c>
      <c r="F106" s="95" t="n">
        <f aca="false">0</f>
        <v>0</v>
      </c>
      <c r="G106" s="95" t="n">
        <f aca="false">0</f>
        <v>0</v>
      </c>
      <c r="H106" s="95" t="n">
        <f aca="false">0</f>
        <v>0</v>
      </c>
      <c r="I106" s="95" t="n">
        <f aca="false">0</f>
        <v>0</v>
      </c>
      <c r="J106" s="95" t="n">
        <f aca="false">0</f>
        <v>0</v>
      </c>
      <c r="K106" s="95" t="n">
        <f aca="false">0</f>
        <v>0</v>
      </c>
      <c r="L106" s="95" t="n">
        <f aca="false">0</f>
        <v>0</v>
      </c>
      <c r="M106" s="95" t="n">
        <f aca="false">0</f>
        <v>0</v>
      </c>
      <c r="N106" s="95" t="n">
        <f aca="false">0</f>
        <v>0</v>
      </c>
      <c r="O106" s="95" t="n">
        <f aca="false">0</f>
        <v>0</v>
      </c>
      <c r="P106" s="95" t="n">
        <f aca="false">0</f>
        <v>0</v>
      </c>
      <c r="Q106" s="95" t="n">
        <f aca="false">0</f>
        <v>0</v>
      </c>
      <c r="R106" s="95" t="n">
        <f aca="false">0</f>
        <v>0</v>
      </c>
      <c r="S106" s="95" t="n">
        <f aca="false">0</f>
        <v>0</v>
      </c>
      <c r="T106" s="95" t="n">
        <f aca="false">0</f>
        <v>0</v>
      </c>
      <c r="U106" s="95" t="n">
        <f aca="false">0</f>
        <v>0</v>
      </c>
      <c r="V106" s="95" t="n">
        <f aca="false">0</f>
        <v>0</v>
      </c>
      <c r="W106" s="95" t="n">
        <f aca="false">0</f>
        <v>0</v>
      </c>
    </row>
    <row r="107" customFormat="false" ht="15" hidden="false" customHeight="false" outlineLevel="0" collapsed="false">
      <c r="A107" s="11" t="s">
        <v>450</v>
      </c>
      <c r="B107" s="66" t="n">
        <f aca="false">SUM(C107:W107)</f>
        <v>252000</v>
      </c>
      <c r="C107" s="95" t="n">
        <v>0</v>
      </c>
      <c r="D107" s="95" t="n">
        <f aca="false">D54*Seg1_RBF+D55*Seg2_RBF+D56*Seg3_RBF+D57*Seg4_RBF+D58*Seg5_RBF</f>
        <v>151200</v>
      </c>
      <c r="E107" s="95" t="n">
        <f aca="false">E54*Seg1_RBF+E55*Seg2_RBF+E56*Seg3_RBF+E57*Seg4_RBF+E58*Seg5_RBF</f>
        <v>63000</v>
      </c>
      <c r="F107" s="95" t="n">
        <f aca="false">F54*Seg1_RBF+F55*Seg2_RBF+F56*Seg3_RBF+F57*Seg4_RBF+F58*Seg5_RBF</f>
        <v>37800</v>
      </c>
      <c r="G107" s="95" t="n">
        <f aca="false">G54*Seg1_RBF+G55*Seg2_RBF+G56*Seg3_RBF+G57*Seg4_RBF+G58*Seg5_RBF</f>
        <v>0</v>
      </c>
      <c r="H107" s="95" t="n">
        <f aca="false">H54*Seg1_RBF+H55*Seg2_RBF+H56*Seg3_RBF+H57*Seg4_RBF+H58*Seg5_RBF</f>
        <v>0</v>
      </c>
      <c r="I107" s="95" t="n">
        <f aca="false">I54*Seg1_RBF+I55*Seg2_RBF+I56*Seg3_RBF+I57*Seg4_RBF+I58*Seg5_RBF</f>
        <v>0</v>
      </c>
      <c r="J107" s="95" t="n">
        <f aca="false">J54*Seg1_RBF+J55*Seg2_RBF+J56*Seg3_RBF+J57*Seg4_RBF+J58*Seg5_RBF</f>
        <v>0</v>
      </c>
      <c r="K107" s="95" t="n">
        <f aca="false">K54*Seg1_RBF+K55*Seg2_RBF+K56*Seg3_RBF+K57*Seg4_RBF+K58*Seg5_RBF</f>
        <v>0</v>
      </c>
      <c r="L107" s="95" t="n">
        <f aca="false">L54*Seg1_RBF+L55*Seg2_RBF+L56*Seg3_RBF+L57*Seg4_RBF+L58*Seg5_RBF</f>
        <v>0</v>
      </c>
      <c r="M107" s="95" t="n">
        <f aca="false">M54*Seg1_RBF+M55*Seg2_RBF+M56*Seg3_RBF+M57*Seg4_RBF+M58*Seg5_RBF</f>
        <v>0</v>
      </c>
      <c r="N107" s="95" t="n">
        <f aca="false">N54*Seg1_RBF+N55*Seg2_RBF+N56*Seg3_RBF+N57*Seg4_RBF+N58*Seg5_RBF</f>
        <v>0</v>
      </c>
      <c r="O107" s="95" t="n">
        <f aca="false">O54*Seg1_RBF+O55*Seg2_RBF+O56*Seg3_RBF+O57*Seg4_RBF+O58*Seg5_RBF</f>
        <v>0</v>
      </c>
      <c r="P107" s="95" t="n">
        <f aca="false">P54*Seg1_RBF+P55*Seg2_RBF+P56*Seg3_RBF+P57*Seg4_RBF+P58*Seg5_RBF</f>
        <v>0</v>
      </c>
      <c r="Q107" s="95" t="n">
        <f aca="false">Q54*Seg1_RBF+Q55*Seg2_RBF+Q56*Seg3_RBF+Q57*Seg4_RBF+Q58*Seg5_RBF</f>
        <v>0</v>
      </c>
      <c r="R107" s="95" t="n">
        <f aca="false">R54*Seg1_RBF+R55*Seg2_RBF+R56*Seg3_RBF+R57*Seg4_RBF+R58*Seg5_RBF</f>
        <v>0</v>
      </c>
      <c r="S107" s="95" t="n">
        <f aca="false">S54*Seg1_RBF+S55*Seg2_RBF+S56*Seg3_RBF+S57*Seg4_RBF+S58*Seg5_RBF</f>
        <v>0</v>
      </c>
      <c r="T107" s="95" t="n">
        <f aca="false">T54*Seg1_RBF+T55*Seg2_RBF+T56*Seg3_RBF+T57*Seg4_RBF+T58*Seg5_RBF</f>
        <v>0</v>
      </c>
      <c r="U107" s="95" t="n">
        <f aca="false">U54*Seg1_RBF+U55*Seg2_RBF+U56*Seg3_RBF+U57*Seg4_RBF+U58*Seg5_RBF</f>
        <v>0</v>
      </c>
      <c r="V107" s="95" t="n">
        <f aca="false">V54*Seg1_RBF+V55*Seg2_RBF+V56*Seg3_RBF+V57*Seg4_RBF+V58*Seg5_RBF</f>
        <v>0</v>
      </c>
      <c r="W107" s="95" t="n">
        <f aca="false">W54*Seg1_RBF+W55*Seg2_RBF+W56*Seg3_RBF+W57*Seg4_RBF+W58*Seg5_RBF</f>
        <v>0</v>
      </c>
    </row>
    <row r="108" customFormat="false" ht="15" hidden="false" customHeight="false" outlineLevel="0" collapsed="false">
      <c r="A108" s="11" t="s">
        <v>451</v>
      </c>
      <c r="B108" s="66" t="n">
        <f aca="false">SUM(C108:W108)</f>
        <v>252000</v>
      </c>
      <c r="C108" s="95" t="n">
        <v>0</v>
      </c>
      <c r="D108" s="95" t="n">
        <f aca="false">IF(D39-RBFLag&gt;=1,INDEX($C$107:$W$107,1,D39-RBFLag+1),0)</f>
        <v>151200</v>
      </c>
      <c r="E108" s="95" t="n">
        <f aca="false">IF(E39-RBFLag&gt;=1,INDEX($C$107:$W$107,1,E39-RBFLag+1),0)</f>
        <v>63000</v>
      </c>
      <c r="F108" s="95" t="n">
        <f aca="false">IF(F39-RBFLag&gt;=1,INDEX($C$107:$W$107,1,F39-RBFLag+1),0)</f>
        <v>37800</v>
      </c>
      <c r="G108" s="95" t="n">
        <f aca="false">IF(G39-RBFLag&gt;=1,INDEX($C$107:$W$107,1,G39-RBFLag+1),0)</f>
        <v>0</v>
      </c>
      <c r="H108" s="95" t="n">
        <f aca="false">IF(H39-RBFLag&gt;=1,INDEX($C$107:$W$107,1,H39-RBFLag+1),0)</f>
        <v>0</v>
      </c>
      <c r="I108" s="95" t="n">
        <f aca="false">IF(I39-RBFLag&gt;=1,INDEX($C$107:$W$107,1,I39-RBFLag+1),0)</f>
        <v>0</v>
      </c>
      <c r="J108" s="95" t="n">
        <f aca="false">IF(J39-RBFLag&gt;=1,INDEX($C$107:$W$107,1,J39-RBFLag+1),0)</f>
        <v>0</v>
      </c>
      <c r="K108" s="95" t="n">
        <f aca="false">IF(K39-RBFLag&gt;=1,INDEX($C$107:$W$107,1,K39-RBFLag+1),0)</f>
        <v>0</v>
      </c>
      <c r="L108" s="95" t="n">
        <f aca="false">IF(L39-RBFLag&gt;=1,INDEX($C$107:$W$107,1,L39-RBFLag+1),0)</f>
        <v>0</v>
      </c>
      <c r="M108" s="95" t="n">
        <f aca="false">IF(M39-RBFLag&gt;=1,INDEX($C$107:$W$107,1,M39-RBFLag+1),0)</f>
        <v>0</v>
      </c>
      <c r="N108" s="95" t="n">
        <f aca="false">IF(N39-RBFLag&gt;=1,INDEX($C$107:$W$107,1,N39-RBFLag+1),0)</f>
        <v>0</v>
      </c>
      <c r="O108" s="95" t="n">
        <f aca="false">IF(O39-RBFLag&gt;=1,INDEX($C$107:$W$107,1,O39-RBFLag+1),0)</f>
        <v>0</v>
      </c>
      <c r="P108" s="95" t="n">
        <f aca="false">IF(P39-RBFLag&gt;=1,INDEX($C$107:$W$107,1,P39-RBFLag+1),0)</f>
        <v>0</v>
      </c>
      <c r="Q108" s="95" t="n">
        <f aca="false">IF(Q39-RBFLag&gt;=1,INDEX($C$107:$W$107,1,Q39-RBFLag+1),0)</f>
        <v>0</v>
      </c>
      <c r="R108" s="95" t="n">
        <f aca="false">IF(R39-RBFLag&gt;=1,INDEX($C$107:$W$107,1,R39-RBFLag+1),0)</f>
        <v>0</v>
      </c>
      <c r="S108" s="95" t="n">
        <f aca="false">IF(S39-RBFLag&gt;=1,INDEX($C$107:$W$107,1,S39-RBFLag+1),0)</f>
        <v>0</v>
      </c>
      <c r="T108" s="95" t="n">
        <f aca="false">IF(T39-RBFLag&gt;=1,INDEX($C$107:$W$107,1,T39-RBFLag+1),0)</f>
        <v>0</v>
      </c>
      <c r="U108" s="95" t="n">
        <f aca="false">IF(U39-RBFLag&gt;=1,INDEX($C$107:$W$107,1,U39-RBFLag+1),0)</f>
        <v>0</v>
      </c>
      <c r="V108" s="95" t="n">
        <f aca="false">IF(V39-RBFLag&gt;=1,INDEX($C$107:$W$107,1,V39-RBFLag+1),0)</f>
        <v>0</v>
      </c>
      <c r="W108" s="95" t="n">
        <f aca="false">IF(W39-RBFLag&gt;=1,INDEX($C$107:$W$107,1,W39-RBFLag+1),0)</f>
        <v>0</v>
      </c>
    </row>
    <row r="109" customFormat="false" ht="15" hidden="false" customHeight="false" outlineLevel="0" collapsed="false">
      <c r="A109" s="11" t="s">
        <v>452</v>
      </c>
      <c r="B109" s="76" t="n">
        <f aca="false">SUM(C109:W109)</f>
        <v>970</v>
      </c>
      <c r="C109" s="93" t="n">
        <v>0</v>
      </c>
      <c r="D109" s="93" t="n">
        <f aca="false">IF(D39-RBFLag&gt;=1,INDEX($C$59:$W$59,1,D39-RBFLag+1),0)</f>
        <v>582</v>
      </c>
      <c r="E109" s="93" t="n">
        <f aca="false">IF(E39-RBFLag&gt;=1,INDEX($C$59:$W$59,1,E39-RBFLag+1),0)</f>
        <v>242.5</v>
      </c>
      <c r="F109" s="93" t="n">
        <f aca="false">IF(F39-RBFLag&gt;=1,INDEX($C$59:$W$59,1,F39-RBFLag+1),0)</f>
        <v>145.5</v>
      </c>
      <c r="G109" s="93" t="n">
        <f aca="false">IF(G39-RBFLag&gt;=1,INDEX($C$59:$W$59,1,G39-RBFLag+1),0)</f>
        <v>0</v>
      </c>
      <c r="H109" s="93" t="n">
        <f aca="false">IF(H39-RBFLag&gt;=1,INDEX($C$59:$W$59,1,H39-RBFLag+1),0)</f>
        <v>0</v>
      </c>
      <c r="I109" s="93" t="n">
        <f aca="false">IF(I39-RBFLag&gt;=1,INDEX($C$59:$W$59,1,I39-RBFLag+1),0)</f>
        <v>0</v>
      </c>
      <c r="J109" s="93" t="n">
        <f aca="false">IF(J39-RBFLag&gt;=1,INDEX($C$59:$W$59,1,J39-RBFLag+1),0)</f>
        <v>0</v>
      </c>
      <c r="K109" s="93" t="n">
        <f aca="false">IF(K39-RBFLag&gt;=1,INDEX($C$59:$W$59,1,K39-RBFLag+1),0)</f>
        <v>0</v>
      </c>
      <c r="L109" s="93" t="n">
        <f aca="false">IF(L39-RBFLag&gt;=1,INDEX($C$59:$W$59,1,L39-RBFLag+1),0)</f>
        <v>0</v>
      </c>
      <c r="M109" s="93" t="n">
        <f aca="false">IF(M39-RBFLag&gt;=1,INDEX($C$59:$W$59,1,M39-RBFLag+1),0)</f>
        <v>0</v>
      </c>
      <c r="N109" s="93" t="n">
        <f aca="false">IF(N39-RBFLag&gt;=1,INDEX($C$59:$W$59,1,N39-RBFLag+1),0)</f>
        <v>0</v>
      </c>
      <c r="O109" s="93" t="n">
        <f aca="false">IF(O39-RBFLag&gt;=1,INDEX($C$59:$W$59,1,O39-RBFLag+1),0)</f>
        <v>0</v>
      </c>
      <c r="P109" s="93" t="n">
        <f aca="false">IF(P39-RBFLag&gt;=1,INDEX($C$59:$W$59,1,P39-RBFLag+1),0)</f>
        <v>0</v>
      </c>
      <c r="Q109" s="93" t="n">
        <f aca="false">IF(Q39-RBFLag&gt;=1,INDEX($C$59:$W$59,1,Q39-RBFLag+1),0)</f>
        <v>0</v>
      </c>
      <c r="R109" s="93" t="n">
        <f aca="false">IF(R39-RBFLag&gt;=1,INDEX($C$59:$W$59,1,R39-RBFLag+1),0)</f>
        <v>0</v>
      </c>
      <c r="S109" s="93" t="n">
        <f aca="false">IF(S39-RBFLag&gt;=1,INDEX($C$59:$W$59,1,S39-RBFLag+1),0)</f>
        <v>0</v>
      </c>
      <c r="T109" s="93" t="n">
        <f aca="false">IF(T39-RBFLag&gt;=1,INDEX($C$59:$W$59,1,T39-RBFLag+1),0)</f>
        <v>0</v>
      </c>
      <c r="U109" s="93" t="n">
        <f aca="false">IF(U39-RBFLag&gt;=1,INDEX($C$59:$W$59,1,U39-RBFLag+1),0)</f>
        <v>0</v>
      </c>
      <c r="V109" s="93" t="n">
        <f aca="false">IF(V39-RBFLag&gt;=1,INDEX($C$59:$W$59,1,V39-RBFLag+1),0)</f>
        <v>0</v>
      </c>
      <c r="W109" s="93" t="n">
        <f aca="false">IF(W39-RBFLag&gt;=1,INDEX($C$59:$W$59,1,W39-RBFLag+1),0)</f>
        <v>0</v>
      </c>
    </row>
    <row r="111" customFormat="false" ht="15" hidden="false" customHeight="false" outlineLevel="0" collapsed="false">
      <c r="A111" s="9" t="s">
        <v>453</v>
      </c>
      <c r="B111" s="10"/>
      <c r="C111" s="10"/>
      <c r="D111" s="10"/>
      <c r="E111" s="10"/>
      <c r="F111" s="10"/>
      <c r="G111" s="10"/>
      <c r="H111" s="10"/>
      <c r="I111" s="10"/>
      <c r="J111" s="10"/>
      <c r="K111" s="10"/>
      <c r="L111" s="10"/>
      <c r="M111" s="10"/>
      <c r="N111" s="10"/>
      <c r="O111" s="10"/>
      <c r="P111" s="10"/>
      <c r="Q111" s="10"/>
      <c r="R111" s="10"/>
      <c r="S111" s="10"/>
      <c r="T111" s="10"/>
      <c r="U111" s="10"/>
      <c r="V111" s="10"/>
      <c r="W111" s="10"/>
    </row>
    <row r="112" customFormat="false" ht="15" hidden="false" customHeight="false" outlineLevel="0" collapsed="false">
      <c r="A112" s="11" t="s">
        <v>454</v>
      </c>
      <c r="C112" s="95" t="n">
        <v>0</v>
      </c>
      <c r="D112" s="95" t="n">
        <f aca="false">C116</f>
        <v>112546.829385741</v>
      </c>
      <c r="E112" s="95" t="n">
        <f aca="false">D116</f>
        <v>112546.829385741</v>
      </c>
      <c r="F112" s="95" t="n">
        <f aca="false">E116</f>
        <v>112546.829385741</v>
      </c>
      <c r="G112" s="95" t="n">
        <f aca="false">F116</f>
        <v>102705.282458945</v>
      </c>
      <c r="H112" s="95" t="n">
        <f aca="false">G116</f>
        <v>91879.5808394692</v>
      </c>
      <c r="I112" s="95" t="n">
        <f aca="false">H116</f>
        <v>79971.3090580457</v>
      </c>
      <c r="J112" s="95" t="n">
        <f aca="false">I116</f>
        <v>66872.2100984798</v>
      </c>
      <c r="K112" s="95" t="n">
        <f aca="false">J116</f>
        <v>52463.2012429573</v>
      </c>
      <c r="L112" s="95" t="n">
        <f aca="false">K116</f>
        <v>36613.2915018826</v>
      </c>
      <c r="M112" s="95" t="n">
        <f aca="false">L116</f>
        <v>19178.3907867004</v>
      </c>
      <c r="N112" s="95" t="n">
        <f aca="false">M116</f>
        <v>0</v>
      </c>
      <c r="O112" s="95" t="n">
        <f aca="false">N116</f>
        <v>0</v>
      </c>
      <c r="P112" s="95" t="n">
        <f aca="false">O116</f>
        <v>0</v>
      </c>
      <c r="Q112" s="95" t="n">
        <f aca="false">P116</f>
        <v>0</v>
      </c>
      <c r="R112" s="95" t="n">
        <f aca="false">Q116</f>
        <v>0</v>
      </c>
      <c r="S112" s="95" t="n">
        <f aca="false">R116</f>
        <v>0</v>
      </c>
      <c r="T112" s="95" t="n">
        <f aca="false">S116</f>
        <v>0</v>
      </c>
      <c r="U112" s="95" t="n">
        <f aca="false">T116</f>
        <v>0</v>
      </c>
      <c r="V112" s="95" t="n">
        <f aca="false">U116</f>
        <v>0</v>
      </c>
      <c r="W112" s="95" t="n">
        <f aca="false">V116</f>
        <v>0</v>
      </c>
    </row>
    <row r="113" customFormat="false" ht="15" hidden="false" customHeight="false" outlineLevel="0" collapsed="false">
      <c r="A113" s="11" t="s">
        <v>455</v>
      </c>
      <c r="B113" s="66" t="n">
        <f aca="false">SUM(C113:W113)</f>
        <v>112546.829385741</v>
      </c>
      <c r="C113" s="95" t="n">
        <f aca="false">S_Fuel_Lo!$B$16</f>
        <v>112546.829385741</v>
      </c>
      <c r="D113" s="95" t="n">
        <f aca="false">0</f>
        <v>0</v>
      </c>
      <c r="E113" s="95" t="n">
        <f aca="false">0</f>
        <v>0</v>
      </c>
      <c r="F113" s="95" t="n">
        <f aca="false">0</f>
        <v>0</v>
      </c>
      <c r="G113" s="95" t="n">
        <f aca="false">0</f>
        <v>0</v>
      </c>
      <c r="H113" s="95" t="n">
        <f aca="false">0</f>
        <v>0</v>
      </c>
      <c r="I113" s="95" t="n">
        <f aca="false">0</f>
        <v>0</v>
      </c>
      <c r="J113" s="95" t="n">
        <f aca="false">0</f>
        <v>0</v>
      </c>
      <c r="K113" s="95" t="n">
        <f aca="false">0</f>
        <v>0</v>
      </c>
      <c r="L113" s="95" t="n">
        <f aca="false">0</f>
        <v>0</v>
      </c>
      <c r="M113" s="95" t="n">
        <f aca="false">0</f>
        <v>0</v>
      </c>
      <c r="N113" s="95" t="n">
        <f aca="false">0</f>
        <v>0</v>
      </c>
      <c r="O113" s="95" t="n">
        <f aca="false">0</f>
        <v>0</v>
      </c>
      <c r="P113" s="95" t="n">
        <f aca="false">0</f>
        <v>0</v>
      </c>
      <c r="Q113" s="95" t="n">
        <f aca="false">0</f>
        <v>0</v>
      </c>
      <c r="R113" s="95" t="n">
        <f aca="false">0</f>
        <v>0</v>
      </c>
      <c r="S113" s="95" t="n">
        <f aca="false">0</f>
        <v>0</v>
      </c>
      <c r="T113" s="95" t="n">
        <f aca="false">0</f>
        <v>0</v>
      </c>
      <c r="U113" s="95" t="n">
        <f aca="false">0</f>
        <v>0</v>
      </c>
      <c r="V113" s="95" t="n">
        <f aca="false">0</f>
        <v>0</v>
      </c>
      <c r="W113" s="95" t="n">
        <f aca="false">0</f>
        <v>0</v>
      </c>
    </row>
    <row r="114" customFormat="false" ht="15" hidden="false" customHeight="false" outlineLevel="0" collapsed="false">
      <c r="A114" s="11" t="s">
        <v>456</v>
      </c>
      <c r="B114" s="66" t="n">
        <f aca="false">SUM(C114:W114)</f>
        <v>78732.3754143705</v>
      </c>
      <c r="C114" s="95" t="n">
        <v>0</v>
      </c>
      <c r="D114" s="95" t="n">
        <f aca="false">D112*SenRate*$B$11</f>
        <v>11254.6829385742</v>
      </c>
      <c r="E114" s="95" t="n">
        <f aca="false">E112*SenRate*$B$11</f>
        <v>11254.6829385742</v>
      </c>
      <c r="F114" s="95" t="n">
        <f aca="false">F112*SenRate*$B$11</f>
        <v>11254.6829385742</v>
      </c>
      <c r="G114" s="95" t="n">
        <f aca="false">G112*SenRate*$B$11</f>
        <v>10270.5282458945</v>
      </c>
      <c r="H114" s="95" t="n">
        <f aca="false">H112*SenRate*$B$11</f>
        <v>9187.95808394693</v>
      </c>
      <c r="I114" s="95" t="n">
        <f aca="false">I112*SenRate*$B$11</f>
        <v>7997.13090580457</v>
      </c>
      <c r="J114" s="95" t="n">
        <f aca="false">J112*SenRate*$B$11</f>
        <v>6687.22100984798</v>
      </c>
      <c r="K114" s="95" t="n">
        <f aca="false">K112*SenRate*$B$11</f>
        <v>5246.32012429573</v>
      </c>
      <c r="L114" s="95" t="n">
        <f aca="false">L112*SenRate*$B$11</f>
        <v>3661.32915018826</v>
      </c>
      <c r="M114" s="95" t="n">
        <f aca="false">M112*SenRate*$B$11</f>
        <v>1917.83907867004</v>
      </c>
      <c r="N114" s="95" t="n">
        <f aca="false">N112*SenRate*$B$11</f>
        <v>0</v>
      </c>
      <c r="O114" s="95" t="n">
        <f aca="false">O112*SenRate*$B$11</f>
        <v>0</v>
      </c>
      <c r="P114" s="95" t="n">
        <f aca="false">P112*SenRate*$B$11</f>
        <v>0</v>
      </c>
      <c r="Q114" s="95" t="n">
        <f aca="false">Q112*SenRate*$B$11</f>
        <v>0</v>
      </c>
      <c r="R114" s="95" t="n">
        <f aca="false">R112*SenRate*$B$11</f>
        <v>0</v>
      </c>
      <c r="S114" s="95" t="n">
        <f aca="false">S112*SenRate*$B$11</f>
        <v>0</v>
      </c>
      <c r="T114" s="95" t="n">
        <f aca="false">T112*SenRate*$B$11</f>
        <v>0</v>
      </c>
      <c r="U114" s="95" t="n">
        <f aca="false">U112*SenRate*$B$11</f>
        <v>0</v>
      </c>
      <c r="V114" s="95" t="n">
        <f aca="false">V112*SenRate*$B$11</f>
        <v>0</v>
      </c>
      <c r="W114" s="95" t="n">
        <f aca="false">W112*SenRate*$B$11</f>
        <v>0</v>
      </c>
    </row>
    <row r="115" customFormat="false" ht="15" hidden="false" customHeight="false" outlineLevel="0" collapsed="false">
      <c r="A115" s="11" t="s">
        <v>457</v>
      </c>
      <c r="B115" s="66" t="n">
        <f aca="false">SUM(C115:W115)</f>
        <v>112546.829385742</v>
      </c>
      <c r="C115" s="95" t="n">
        <v>0</v>
      </c>
      <c r="D115" s="95" t="n">
        <f aca="false">IF(AND(D39&gt;SenGrace,D39&lt;=SenTenor),PMT(SenRate*$B$11,SenTenor-SenGrace,-S_Fuel_Lo!$B$16)-D114,0)</f>
        <v>0</v>
      </c>
      <c r="E115" s="95" t="n">
        <f aca="false">IF(AND(E39&gt;SenGrace,E39&lt;=SenTenor),PMT(SenRate*$B$11,SenTenor-SenGrace,-S_Fuel_Lo!$B$16)-E114,0)</f>
        <v>0</v>
      </c>
      <c r="F115" s="95" t="n">
        <f aca="false">IF(AND(F39&gt;SenGrace,F39&lt;=SenTenor),PMT(SenRate*$B$11,SenTenor-SenGrace,-S_Fuel_Lo!$B$16)-F114,0)</f>
        <v>9841.54692679631</v>
      </c>
      <c r="G115" s="95" t="n">
        <f aca="false">IF(AND(G39&gt;SenGrace,G39&lt;=SenTenor),PMT(SenRate*$B$11,SenTenor-SenGrace,-S_Fuel_Lo!$B$16)-G114,0)</f>
        <v>10825.7016194759</v>
      </c>
      <c r="H115" s="95" t="n">
        <f aca="false">IF(AND(H39&gt;SenGrace,H39&lt;=SenTenor),PMT(SenRate*$B$11,SenTenor-SenGrace,-S_Fuel_Lo!$B$16)-H114,0)</f>
        <v>11908.2717814235</v>
      </c>
      <c r="I115" s="95" t="n">
        <f aca="false">IF(AND(I39&gt;SenGrace,I39&lt;=SenTenor),PMT(SenRate*$B$11,SenTenor-SenGrace,-S_Fuel_Lo!$B$16)-I114,0)</f>
        <v>13099.0989595659</v>
      </c>
      <c r="J115" s="95" t="n">
        <f aca="false">IF(AND(J39&gt;SenGrace,J39&lt;=SenTenor),PMT(SenRate*$B$11,SenTenor-SenGrace,-S_Fuel_Lo!$B$16)-J114,0)</f>
        <v>14409.0088555225</v>
      </c>
      <c r="K115" s="95" t="n">
        <f aca="false">IF(AND(K39&gt;SenGrace,K39&lt;=SenTenor),PMT(SenRate*$B$11,SenTenor-SenGrace,-S_Fuel_Lo!$B$16)-K114,0)</f>
        <v>15849.9097410747</v>
      </c>
      <c r="L115" s="95" t="n">
        <f aca="false">IF(AND(L39&gt;SenGrace,L39&lt;=SenTenor),PMT(SenRate*$B$11,SenTenor-SenGrace,-S_Fuel_Lo!$B$16)-L114,0)</f>
        <v>17434.9007151822</v>
      </c>
      <c r="M115" s="95" t="n">
        <f aca="false">IF(AND(M39&gt;SenGrace,M39&lt;=SenTenor),PMT(SenRate*$B$11,SenTenor-SenGrace,-S_Fuel_Lo!$B$16)-M114,0)</f>
        <v>19178.3907867004</v>
      </c>
      <c r="N115" s="95" t="n">
        <f aca="false">IF(AND(N39&gt;SenGrace,N39&lt;=SenTenor),PMT(SenRate*$B$11,SenTenor-SenGrace,-S_Fuel_Lo!$B$16)-N114,0)</f>
        <v>0</v>
      </c>
      <c r="O115" s="95" t="n">
        <f aca="false">IF(AND(O39&gt;SenGrace,O39&lt;=SenTenor),PMT(SenRate*$B$11,SenTenor-SenGrace,-S_Fuel_Lo!$B$16)-O114,0)</f>
        <v>0</v>
      </c>
      <c r="P115" s="95" t="n">
        <f aca="false">IF(AND(P39&gt;SenGrace,P39&lt;=SenTenor),PMT(SenRate*$B$11,SenTenor-SenGrace,-S_Fuel_Lo!$B$16)-P114,0)</f>
        <v>0</v>
      </c>
      <c r="Q115" s="95" t="n">
        <f aca="false">IF(AND(Q39&gt;SenGrace,Q39&lt;=SenTenor),PMT(SenRate*$B$11,SenTenor-SenGrace,-S_Fuel_Lo!$B$16)-Q114,0)</f>
        <v>0</v>
      </c>
      <c r="R115" s="95" t="n">
        <f aca="false">IF(AND(R39&gt;SenGrace,R39&lt;=SenTenor),PMT(SenRate*$B$11,SenTenor-SenGrace,-S_Fuel_Lo!$B$16)-R114,0)</f>
        <v>0</v>
      </c>
      <c r="S115" s="95" t="n">
        <f aca="false">IF(AND(S39&gt;SenGrace,S39&lt;=SenTenor),PMT(SenRate*$B$11,SenTenor-SenGrace,-S_Fuel_Lo!$B$16)-S114,0)</f>
        <v>0</v>
      </c>
      <c r="T115" s="95" t="n">
        <f aca="false">IF(AND(T39&gt;SenGrace,T39&lt;=SenTenor),PMT(SenRate*$B$11,SenTenor-SenGrace,-S_Fuel_Lo!$B$16)-T114,0)</f>
        <v>0</v>
      </c>
      <c r="U115" s="95" t="n">
        <f aca="false">IF(AND(U39&gt;SenGrace,U39&lt;=SenTenor),PMT(SenRate*$B$11,SenTenor-SenGrace,-S_Fuel_Lo!$B$16)-U114,0)</f>
        <v>0</v>
      </c>
      <c r="V115" s="95" t="n">
        <f aca="false">IF(AND(V39&gt;SenGrace,V39&lt;=SenTenor),PMT(SenRate*$B$11,SenTenor-SenGrace,-S_Fuel_Lo!$B$16)-V114,0)</f>
        <v>0</v>
      </c>
      <c r="W115" s="95" t="n">
        <f aca="false">IF(AND(W39&gt;SenGrace,W39&lt;=SenTenor),PMT(SenRate*$B$11,SenTenor-SenGrace,-S_Fuel_Lo!$B$16)-W114,0)</f>
        <v>0</v>
      </c>
    </row>
    <row r="116" customFormat="false" ht="15" hidden="false" customHeight="false" outlineLevel="0" collapsed="false">
      <c r="A116" s="11" t="s">
        <v>458</v>
      </c>
      <c r="C116" s="95" t="n">
        <f aca="false">0+C113-0</f>
        <v>112546.829385741</v>
      </c>
      <c r="D116" s="95" t="n">
        <f aca="false">D112+D113-D115</f>
        <v>112546.829385741</v>
      </c>
      <c r="E116" s="95" t="n">
        <f aca="false">E112+E113-E115</f>
        <v>112546.829385741</v>
      </c>
      <c r="F116" s="95" t="n">
        <f aca="false">F112+F113-F115</f>
        <v>102705.282458945</v>
      </c>
      <c r="G116" s="95" t="n">
        <f aca="false">G112+G113-G115</f>
        <v>91879.5808394692</v>
      </c>
      <c r="H116" s="95" t="n">
        <f aca="false">H112+H113-H115</f>
        <v>79971.3090580457</v>
      </c>
      <c r="I116" s="95" t="n">
        <f aca="false">I112+I113-I115</f>
        <v>66872.2100984798</v>
      </c>
      <c r="J116" s="95" t="n">
        <f aca="false">J112+J113-J115</f>
        <v>52463.2012429573</v>
      </c>
      <c r="K116" s="95" t="n">
        <f aca="false">K112+K113-K115</f>
        <v>36613.2915018826</v>
      </c>
      <c r="L116" s="95" t="n">
        <f aca="false">L112+L113-L115</f>
        <v>19178.3907867004</v>
      </c>
      <c r="M116" s="95" t="n">
        <f aca="false">M112+M113-M115</f>
        <v>0</v>
      </c>
      <c r="N116" s="95" t="n">
        <f aca="false">N112+N113-N115</f>
        <v>0</v>
      </c>
      <c r="O116" s="95" t="n">
        <f aca="false">O112+O113-O115</f>
        <v>0</v>
      </c>
      <c r="P116" s="95" t="n">
        <f aca="false">P112+P113-P115</f>
        <v>0</v>
      </c>
      <c r="Q116" s="95" t="n">
        <f aca="false">Q112+Q113-Q115</f>
        <v>0</v>
      </c>
      <c r="R116" s="95" t="n">
        <f aca="false">R112+R113-R115</f>
        <v>0</v>
      </c>
      <c r="S116" s="95" t="n">
        <f aca="false">S112+S113-S115</f>
        <v>0</v>
      </c>
      <c r="T116" s="95" t="n">
        <f aca="false">T112+T113-T115</f>
        <v>0</v>
      </c>
      <c r="U116" s="95" t="n">
        <f aca="false">U112+U113-U115</f>
        <v>0</v>
      </c>
      <c r="V116" s="95" t="n">
        <f aca="false">V112+V113-V115</f>
        <v>0</v>
      </c>
      <c r="W116" s="95" t="n">
        <f aca="false">W112+W113-W115</f>
        <v>0</v>
      </c>
    </row>
    <row r="118" customFormat="false" ht="15" hidden="false" customHeight="false" outlineLevel="0" collapsed="false">
      <c r="A118" s="9" t="s">
        <v>459</v>
      </c>
      <c r="B118" s="10"/>
      <c r="C118" s="10"/>
      <c r="D118" s="10"/>
      <c r="E118" s="10"/>
      <c r="F118" s="10"/>
      <c r="G118" s="10"/>
      <c r="H118" s="10"/>
      <c r="I118" s="10"/>
      <c r="J118" s="10"/>
      <c r="K118" s="10"/>
      <c r="L118" s="10"/>
      <c r="M118" s="10"/>
      <c r="N118" s="10"/>
      <c r="O118" s="10"/>
      <c r="P118" s="10"/>
      <c r="Q118" s="10"/>
      <c r="R118" s="10"/>
      <c r="S118" s="10"/>
      <c r="T118" s="10"/>
      <c r="U118" s="10"/>
      <c r="V118" s="10"/>
      <c r="W118" s="10"/>
    </row>
    <row r="119" customFormat="false" ht="15" hidden="false" customHeight="false" outlineLevel="0" collapsed="false">
      <c r="A119" s="11" t="s">
        <v>454</v>
      </c>
      <c r="C119" s="95" t="n">
        <v>0</v>
      </c>
      <c r="D119" s="95" t="n">
        <f aca="false">C123</f>
        <v>112546.829385741</v>
      </c>
      <c r="E119" s="95" t="n">
        <f aca="false">D123</f>
        <v>112546.829385741</v>
      </c>
      <c r="F119" s="95" t="n">
        <f aca="false">E123</f>
        <v>112546.829385741</v>
      </c>
      <c r="G119" s="95" t="n">
        <f aca="false">F123</f>
        <v>112546.829385741</v>
      </c>
      <c r="H119" s="95" t="n">
        <f aca="false">G123</f>
        <v>112546.829385741</v>
      </c>
      <c r="I119" s="95" t="n">
        <f aca="false">H123</f>
        <v>112546.829385741</v>
      </c>
      <c r="J119" s="95" t="n">
        <f aca="false">I123</f>
        <v>102729.312441619</v>
      </c>
      <c r="K119" s="95" t="n">
        <f aca="false">J123</f>
        <v>92617.2699891724</v>
      </c>
      <c r="L119" s="95" t="n">
        <f aca="false">K123</f>
        <v>82201.8662631527</v>
      </c>
      <c r="M119" s="95" t="n">
        <f aca="false">L123</f>
        <v>71474.0004253523</v>
      </c>
      <c r="N119" s="95" t="n">
        <f aca="false">M123</f>
        <v>60424.2986124179</v>
      </c>
      <c r="O119" s="95" t="n">
        <f aca="false">N123</f>
        <v>49043.1057450955</v>
      </c>
      <c r="P119" s="95" t="n">
        <f aca="false">O123</f>
        <v>37320.4770917535</v>
      </c>
      <c r="Q119" s="95" t="n">
        <f aca="false">P123</f>
        <v>25246.1695788111</v>
      </c>
      <c r="R119" s="95" t="n">
        <f aca="false">Q123</f>
        <v>12809.6328404805</v>
      </c>
      <c r="S119" s="95" t="n">
        <f aca="false">R123</f>
        <v>0</v>
      </c>
      <c r="T119" s="95" t="n">
        <f aca="false">S123</f>
        <v>0</v>
      </c>
      <c r="U119" s="95" t="n">
        <f aca="false">T123</f>
        <v>0</v>
      </c>
      <c r="V119" s="95" t="n">
        <f aca="false">U123</f>
        <v>0</v>
      </c>
      <c r="W119" s="95" t="n">
        <f aca="false">V123</f>
        <v>0</v>
      </c>
    </row>
    <row r="120" customFormat="false" ht="15" hidden="false" customHeight="false" outlineLevel="0" collapsed="false">
      <c r="A120" s="11" t="s">
        <v>455</v>
      </c>
      <c r="B120" s="66" t="n">
        <f aca="false">SUM(C120:W120)</f>
        <v>112546.829385741</v>
      </c>
      <c r="C120" s="95" t="n">
        <f aca="false">S_Fuel_Lo!$B$17</f>
        <v>112546.829385741</v>
      </c>
      <c r="D120" s="95" t="n">
        <f aca="false">0</f>
        <v>0</v>
      </c>
      <c r="E120" s="95" t="n">
        <f aca="false">0</f>
        <v>0</v>
      </c>
      <c r="F120" s="95" t="n">
        <f aca="false">0</f>
        <v>0</v>
      </c>
      <c r="G120" s="95" t="n">
        <f aca="false">0</f>
        <v>0</v>
      </c>
      <c r="H120" s="95" t="n">
        <f aca="false">0</f>
        <v>0</v>
      </c>
      <c r="I120" s="95" t="n">
        <f aca="false">0</f>
        <v>0</v>
      </c>
      <c r="J120" s="95" t="n">
        <f aca="false">0</f>
        <v>0</v>
      </c>
      <c r="K120" s="95" t="n">
        <f aca="false">0</f>
        <v>0</v>
      </c>
      <c r="L120" s="95" t="n">
        <f aca="false">0</f>
        <v>0</v>
      </c>
      <c r="M120" s="95" t="n">
        <f aca="false">0</f>
        <v>0</v>
      </c>
      <c r="N120" s="95" t="n">
        <f aca="false">0</f>
        <v>0</v>
      </c>
      <c r="O120" s="95" t="n">
        <f aca="false">0</f>
        <v>0</v>
      </c>
      <c r="P120" s="95" t="n">
        <f aca="false">0</f>
        <v>0</v>
      </c>
      <c r="Q120" s="95" t="n">
        <f aca="false">0</f>
        <v>0</v>
      </c>
      <c r="R120" s="95" t="n">
        <f aca="false">0</f>
        <v>0</v>
      </c>
      <c r="S120" s="95" t="n">
        <f aca="false">0</f>
        <v>0</v>
      </c>
      <c r="T120" s="95" t="n">
        <f aca="false">0</f>
        <v>0</v>
      </c>
      <c r="U120" s="95" t="n">
        <f aca="false">0</f>
        <v>0</v>
      </c>
      <c r="V120" s="95" t="n">
        <f aca="false">0</f>
        <v>0</v>
      </c>
      <c r="W120" s="95" t="n">
        <f aca="false">0</f>
        <v>0</v>
      </c>
    </row>
    <row r="121" customFormat="false" ht="15" hidden="false" customHeight="false" outlineLevel="0" collapsed="false">
      <c r="A121" s="11" t="s">
        <v>456</v>
      </c>
      <c r="B121" s="66" t="n">
        <f aca="false">SUM(C121:W121)</f>
        <v>36274.4132790691</v>
      </c>
      <c r="C121" s="95" t="n">
        <v>0</v>
      </c>
      <c r="D121" s="95" t="n">
        <f aca="false">D119*ConRate*$B$11</f>
        <v>3376.40488157224</v>
      </c>
      <c r="E121" s="95" t="n">
        <f aca="false">E119*ConRate*$B$11</f>
        <v>3376.40488157224</v>
      </c>
      <c r="F121" s="95" t="n">
        <f aca="false">F119*ConRate*$B$11</f>
        <v>3376.40488157224</v>
      </c>
      <c r="G121" s="95" t="n">
        <f aca="false">G119*ConRate*$B$11</f>
        <v>3376.40488157224</v>
      </c>
      <c r="H121" s="95" t="n">
        <f aca="false">H119*ConRate*$B$11</f>
        <v>3376.40488157224</v>
      </c>
      <c r="I121" s="95" t="n">
        <f aca="false">I119*ConRate*$B$11</f>
        <v>3376.40488157224</v>
      </c>
      <c r="J121" s="95" t="n">
        <f aca="false">J119*ConRate*$B$11</f>
        <v>3081.87937324856</v>
      </c>
      <c r="K121" s="95" t="n">
        <f aca="false">K119*ConRate*$B$11</f>
        <v>2778.51809967517</v>
      </c>
      <c r="L121" s="95" t="n">
        <f aca="false">L119*ConRate*$B$11</f>
        <v>2466.05598789458</v>
      </c>
      <c r="M121" s="95" t="n">
        <f aca="false">M119*ConRate*$B$11</f>
        <v>2144.22001276057</v>
      </c>
      <c r="N121" s="95" t="n">
        <f aca="false">N119*ConRate*$B$11</f>
        <v>1812.72895837254</v>
      </c>
      <c r="O121" s="95" t="n">
        <f aca="false">O119*ConRate*$B$11</f>
        <v>1471.29317235287</v>
      </c>
      <c r="P121" s="95" t="n">
        <f aca="false">P119*ConRate*$B$11</f>
        <v>1119.6143127526</v>
      </c>
      <c r="Q121" s="95" t="n">
        <f aca="false">Q119*ConRate*$B$11</f>
        <v>757.385087364333</v>
      </c>
      <c r="R121" s="95" t="n">
        <f aca="false">R119*ConRate*$B$11</f>
        <v>384.288985214415</v>
      </c>
      <c r="S121" s="95" t="n">
        <f aca="false">S119*ConRate*$B$11</f>
        <v>0</v>
      </c>
      <c r="T121" s="95" t="n">
        <f aca="false">T119*ConRate*$B$11</f>
        <v>0</v>
      </c>
      <c r="U121" s="95" t="n">
        <f aca="false">U119*ConRate*$B$11</f>
        <v>0</v>
      </c>
      <c r="V121" s="95" t="n">
        <f aca="false">V119*ConRate*$B$11</f>
        <v>0</v>
      </c>
      <c r="W121" s="95" t="n">
        <f aca="false">W119*ConRate*$B$11</f>
        <v>0</v>
      </c>
    </row>
    <row r="122" customFormat="false" ht="15" hidden="false" customHeight="false" outlineLevel="0" collapsed="false">
      <c r="A122" s="11" t="s">
        <v>457</v>
      </c>
      <c r="B122" s="66" t="n">
        <f aca="false">SUM(C122:W122)</f>
        <v>112546.829385742</v>
      </c>
      <c r="C122" s="95" t="n">
        <v>0</v>
      </c>
      <c r="D122" s="95" t="n">
        <f aca="false">IF(AND(D39&gt;ConGrace,D39&lt;=ConTenor),PMT(ConRate*$B$11,ConTenor-ConGrace,-S_Fuel_Lo!$B$17)-D121,0)</f>
        <v>0</v>
      </c>
      <c r="E122" s="95" t="n">
        <f aca="false">IF(AND(E39&gt;ConGrace,E39&lt;=ConTenor),PMT(ConRate*$B$11,ConTenor-ConGrace,-S_Fuel_Lo!$B$17)-E121,0)</f>
        <v>0</v>
      </c>
      <c r="F122" s="95" t="n">
        <f aca="false">IF(AND(F39&gt;ConGrace,F39&lt;=ConTenor),PMT(ConRate*$B$11,ConTenor-ConGrace,-S_Fuel_Lo!$B$17)-F121,0)</f>
        <v>0</v>
      </c>
      <c r="G122" s="95" t="n">
        <f aca="false">IF(AND(G39&gt;ConGrace,G39&lt;=ConTenor),PMT(ConRate*$B$11,ConTenor-ConGrace,-S_Fuel_Lo!$B$17)-G121,0)</f>
        <v>0</v>
      </c>
      <c r="H122" s="95" t="n">
        <f aca="false">IF(AND(H39&gt;ConGrace,H39&lt;=ConTenor),PMT(ConRate*$B$11,ConTenor-ConGrace,-S_Fuel_Lo!$B$17)-H121,0)</f>
        <v>0</v>
      </c>
      <c r="I122" s="95" t="n">
        <f aca="false">IF(AND(I39&gt;ConGrace,I39&lt;=ConTenor),PMT(ConRate*$B$11,ConTenor-ConGrace,-S_Fuel_Lo!$B$17)-I121,0)</f>
        <v>9817.51694412269</v>
      </c>
      <c r="J122" s="95" t="n">
        <f aca="false">IF(AND(J39&gt;ConGrace,J39&lt;=ConTenor),PMT(ConRate*$B$11,ConTenor-ConGrace,-S_Fuel_Lo!$B$17)-J121,0)</f>
        <v>10112.0424524464</v>
      </c>
      <c r="K122" s="95" t="n">
        <f aca="false">IF(AND(K39&gt;ConGrace,K39&lt;=ConTenor),PMT(ConRate*$B$11,ConTenor-ConGrace,-S_Fuel_Lo!$B$17)-K121,0)</f>
        <v>10415.4037260198</v>
      </c>
      <c r="L122" s="95" t="n">
        <f aca="false">IF(AND(L39&gt;ConGrace,L39&lt;=ConTenor),PMT(ConRate*$B$11,ConTenor-ConGrace,-S_Fuel_Lo!$B$17)-L121,0)</f>
        <v>10727.8658378004</v>
      </c>
      <c r="M122" s="95" t="n">
        <f aca="false">IF(AND(M39&gt;ConGrace,M39&lt;=ConTenor),PMT(ConRate*$B$11,ConTenor-ConGrace,-S_Fuel_Lo!$B$17)-M121,0)</f>
        <v>11049.7018129344</v>
      </c>
      <c r="N122" s="95" t="n">
        <f aca="false">IF(AND(N39&gt;ConGrace,N39&lt;=ConTenor),PMT(ConRate*$B$11,ConTenor-ConGrace,-S_Fuel_Lo!$B$17)-N121,0)</f>
        <v>11381.1928673224</v>
      </c>
      <c r="O122" s="95" t="n">
        <f aca="false">IF(AND(O39&gt;ConGrace,O39&lt;=ConTenor),PMT(ConRate*$B$11,ConTenor-ConGrace,-S_Fuel_Lo!$B$17)-O121,0)</f>
        <v>11722.6286533421</v>
      </c>
      <c r="P122" s="95" t="n">
        <f aca="false">IF(AND(P39&gt;ConGrace,P39&lt;=ConTenor),PMT(ConRate*$B$11,ConTenor-ConGrace,-S_Fuel_Lo!$B$17)-P121,0)</f>
        <v>12074.3075129423</v>
      </c>
      <c r="Q122" s="95" t="n">
        <f aca="false">IF(AND(Q39&gt;ConGrace,Q39&lt;=ConTenor),PMT(ConRate*$B$11,ConTenor-ConGrace,-S_Fuel_Lo!$B$17)-Q121,0)</f>
        <v>12436.5367383306</v>
      </c>
      <c r="R122" s="95" t="n">
        <f aca="false">IF(AND(R39&gt;ConGrace,R39&lt;=ConTenor),PMT(ConRate*$B$11,ConTenor-ConGrace,-S_Fuel_Lo!$B$17)-R121,0)</f>
        <v>12809.6328404805</v>
      </c>
      <c r="S122" s="95" t="n">
        <f aca="false">IF(AND(S39&gt;ConGrace,S39&lt;=ConTenor),PMT(ConRate*$B$11,ConTenor-ConGrace,-S_Fuel_Lo!$B$17)-S121,0)</f>
        <v>0</v>
      </c>
      <c r="T122" s="95" t="n">
        <f aca="false">IF(AND(T39&gt;ConGrace,T39&lt;=ConTenor),PMT(ConRate*$B$11,ConTenor-ConGrace,-S_Fuel_Lo!$B$17)-T121,0)</f>
        <v>0</v>
      </c>
      <c r="U122" s="95" t="n">
        <f aca="false">IF(AND(U39&gt;ConGrace,U39&lt;=ConTenor),PMT(ConRate*$B$11,ConTenor-ConGrace,-S_Fuel_Lo!$B$17)-U121,0)</f>
        <v>0</v>
      </c>
      <c r="V122" s="95" t="n">
        <f aca="false">IF(AND(V39&gt;ConGrace,V39&lt;=ConTenor),PMT(ConRate*$B$11,ConTenor-ConGrace,-S_Fuel_Lo!$B$17)-V121,0)</f>
        <v>0</v>
      </c>
      <c r="W122" s="95" t="n">
        <f aca="false">IF(AND(W39&gt;ConGrace,W39&lt;=ConTenor),PMT(ConRate*$B$11,ConTenor-ConGrace,-S_Fuel_Lo!$B$17)-W121,0)</f>
        <v>0</v>
      </c>
    </row>
    <row r="123" customFormat="false" ht="15" hidden="false" customHeight="false" outlineLevel="0" collapsed="false">
      <c r="A123" s="11" t="s">
        <v>458</v>
      </c>
      <c r="C123" s="95" t="n">
        <f aca="false">0+C120-0</f>
        <v>112546.829385741</v>
      </c>
      <c r="D123" s="95" t="n">
        <f aca="false">D119+D120-D122</f>
        <v>112546.829385741</v>
      </c>
      <c r="E123" s="95" t="n">
        <f aca="false">E119+E120-E122</f>
        <v>112546.829385741</v>
      </c>
      <c r="F123" s="95" t="n">
        <f aca="false">F119+F120-F122</f>
        <v>112546.829385741</v>
      </c>
      <c r="G123" s="95" t="n">
        <f aca="false">G119+G120-G122</f>
        <v>112546.829385741</v>
      </c>
      <c r="H123" s="95" t="n">
        <f aca="false">H119+H120-H122</f>
        <v>112546.829385741</v>
      </c>
      <c r="I123" s="95" t="n">
        <f aca="false">I119+I120-I122</f>
        <v>102729.312441619</v>
      </c>
      <c r="J123" s="95" t="n">
        <f aca="false">J119+J120-J122</f>
        <v>92617.2699891724</v>
      </c>
      <c r="K123" s="95" t="n">
        <f aca="false">K119+K120-K122</f>
        <v>82201.8662631527</v>
      </c>
      <c r="L123" s="95" t="n">
        <f aca="false">L119+L120-L122</f>
        <v>71474.0004253523</v>
      </c>
      <c r="M123" s="95" t="n">
        <f aca="false">M119+M120-M122</f>
        <v>60424.2986124179</v>
      </c>
      <c r="N123" s="95" t="n">
        <f aca="false">N119+N120-N122</f>
        <v>49043.1057450955</v>
      </c>
      <c r="O123" s="95" t="n">
        <f aca="false">O119+O120-O122</f>
        <v>37320.4770917535</v>
      </c>
      <c r="P123" s="95" t="n">
        <f aca="false">P119+P120-P122</f>
        <v>25246.1695788111</v>
      </c>
      <c r="Q123" s="95" t="n">
        <f aca="false">Q119+Q120-Q122</f>
        <v>12809.6328404805</v>
      </c>
      <c r="R123" s="95" t="n">
        <f aca="false">R119+R120-R122</f>
        <v>0</v>
      </c>
      <c r="S123" s="95" t="n">
        <f aca="false">S119+S120-S122</f>
        <v>0</v>
      </c>
      <c r="T123" s="95" t="n">
        <f aca="false">T119+T120-T122</f>
        <v>0</v>
      </c>
      <c r="U123" s="95" t="n">
        <f aca="false">U119+U120-U122</f>
        <v>0</v>
      </c>
      <c r="V123" s="95" t="n">
        <f aca="false">V119+V120-V122</f>
        <v>0</v>
      </c>
      <c r="W123" s="95" t="n">
        <f aca="false">W119+W120-W122</f>
        <v>0</v>
      </c>
    </row>
    <row r="125" customFormat="false" ht="15" hidden="false" customHeight="false" outlineLevel="0" collapsed="false">
      <c r="A125" s="16" t="s">
        <v>460</v>
      </c>
      <c r="B125" s="66" t="n">
        <f aca="false">SUM(C125:W125)</f>
        <v>340100.447464923</v>
      </c>
      <c r="C125" s="31" t="n">
        <v>0</v>
      </c>
      <c r="D125" s="31" t="n">
        <f aca="false">D114+D115+D121+D122</f>
        <v>14631.0878201464</v>
      </c>
      <c r="E125" s="31" t="n">
        <f aca="false">E114+E115+E121+E122</f>
        <v>14631.0878201464</v>
      </c>
      <c r="F125" s="31" t="n">
        <f aca="false">F114+F115+F121+F122</f>
        <v>24472.6347469427</v>
      </c>
      <c r="G125" s="31" t="n">
        <f aca="false">G114+G115+G121+G122</f>
        <v>24472.6347469427</v>
      </c>
      <c r="H125" s="31" t="n">
        <f aca="false">H114+H115+H121+H122</f>
        <v>24472.6347469427</v>
      </c>
      <c r="I125" s="31" t="n">
        <f aca="false">I114+I115+I121+I122</f>
        <v>34290.1516910654</v>
      </c>
      <c r="J125" s="31" t="n">
        <f aca="false">J114+J115+J121+J122</f>
        <v>34290.1516910654</v>
      </c>
      <c r="K125" s="31" t="n">
        <f aca="false">K114+K115+K121+K122</f>
        <v>34290.1516910654</v>
      </c>
      <c r="L125" s="31" t="n">
        <f aca="false">L114+L115+L121+L122</f>
        <v>34290.1516910654</v>
      </c>
      <c r="M125" s="31" t="n">
        <f aca="false">M114+M115+M121+M122</f>
        <v>34290.1516910654</v>
      </c>
      <c r="N125" s="31" t="n">
        <f aca="false">N114+N115+N121+N122</f>
        <v>13193.9218256949</v>
      </c>
      <c r="O125" s="31" t="n">
        <f aca="false">O114+O115+O121+O122</f>
        <v>13193.9218256949</v>
      </c>
      <c r="P125" s="31" t="n">
        <f aca="false">P114+P115+P121+P122</f>
        <v>13193.9218256949</v>
      </c>
      <c r="Q125" s="31" t="n">
        <f aca="false">Q114+Q115+Q121+Q122</f>
        <v>13193.9218256949</v>
      </c>
      <c r="R125" s="31" t="n">
        <f aca="false">R114+R115+R121+R122</f>
        <v>13193.9218256949</v>
      </c>
      <c r="S125" s="31" t="n">
        <f aca="false">S114+S115+S121+S122</f>
        <v>0</v>
      </c>
      <c r="T125" s="31" t="n">
        <f aca="false">T114+T115+T121+T122</f>
        <v>0</v>
      </c>
      <c r="U125" s="31" t="n">
        <f aca="false">U114+U115+U121+U122</f>
        <v>0</v>
      </c>
      <c r="V125" s="31" t="n">
        <f aca="false">V114+V115+V121+V122</f>
        <v>0</v>
      </c>
      <c r="W125" s="31" t="n">
        <f aca="false">W114+W115+W121+W122</f>
        <v>0</v>
      </c>
    </row>
    <row r="126" customFormat="false" ht="15" hidden="false" customHeight="false" outlineLevel="0" collapsed="false">
      <c r="A126" s="11" t="s">
        <v>461</v>
      </c>
      <c r="C126" s="96" t="n">
        <v>0</v>
      </c>
      <c r="D126" s="96" t="n">
        <f aca="false">IF(D39&lt;=SenGrace,SenRate*$B$11,IF(D39&lt;=SenTenor,PMT(SenRate*$B$11,SenTenor-SenGrace,-1),0))</f>
        <v>0.1</v>
      </c>
      <c r="E126" s="96" t="n">
        <f aca="false">IF(E39&lt;=SenGrace,SenRate*$B$11,IF(E39&lt;=SenTenor,PMT(SenRate*$B$11,SenTenor-SenGrace,-1),0))</f>
        <v>0.1</v>
      </c>
      <c r="F126" s="96" t="n">
        <f aca="false">IF(F39&lt;=SenGrace,SenRate*$B$11,IF(F39&lt;=SenTenor,PMT(SenRate*$B$11,SenTenor-SenGrace,-1),0))</f>
        <v>0.187444017574813</v>
      </c>
      <c r="G126" s="96" t="n">
        <f aca="false">IF(G39&lt;=SenGrace,SenRate*$B$11,IF(G39&lt;=SenTenor,PMT(SenRate*$B$11,SenTenor-SenGrace,-1),0))</f>
        <v>0.187444017574813</v>
      </c>
      <c r="H126" s="96" t="n">
        <f aca="false">IF(H39&lt;=SenGrace,SenRate*$B$11,IF(H39&lt;=SenTenor,PMT(SenRate*$B$11,SenTenor-SenGrace,-1),0))</f>
        <v>0.187444017574813</v>
      </c>
      <c r="I126" s="96" t="n">
        <f aca="false">IF(I39&lt;=SenGrace,SenRate*$B$11,IF(I39&lt;=SenTenor,PMT(SenRate*$B$11,SenTenor-SenGrace,-1),0))</f>
        <v>0.187444017574813</v>
      </c>
      <c r="J126" s="96" t="n">
        <f aca="false">IF(J39&lt;=SenGrace,SenRate*$B$11,IF(J39&lt;=SenTenor,PMT(SenRate*$B$11,SenTenor-SenGrace,-1),0))</f>
        <v>0.187444017574813</v>
      </c>
      <c r="K126" s="96" t="n">
        <f aca="false">IF(K39&lt;=SenGrace,SenRate*$B$11,IF(K39&lt;=SenTenor,PMT(SenRate*$B$11,SenTenor-SenGrace,-1),0))</f>
        <v>0.187444017574813</v>
      </c>
      <c r="L126" s="96" t="n">
        <f aca="false">IF(L39&lt;=SenGrace,SenRate*$B$11,IF(L39&lt;=SenTenor,PMT(SenRate*$B$11,SenTenor-SenGrace,-1),0))</f>
        <v>0.187444017574813</v>
      </c>
      <c r="M126" s="96" t="n">
        <f aca="false">IF(M39&lt;=SenGrace,SenRate*$B$11,IF(M39&lt;=SenTenor,PMT(SenRate*$B$11,SenTenor-SenGrace,-1),0))</f>
        <v>0.187444017574813</v>
      </c>
      <c r="N126" s="96" t="n">
        <f aca="false">IF(N39&lt;=SenGrace,SenRate*$B$11,IF(N39&lt;=SenTenor,PMT(SenRate*$B$11,SenTenor-SenGrace,-1),0))</f>
        <v>0</v>
      </c>
      <c r="O126" s="96" t="n">
        <f aca="false">IF(O39&lt;=SenGrace,SenRate*$B$11,IF(O39&lt;=SenTenor,PMT(SenRate*$B$11,SenTenor-SenGrace,-1),0))</f>
        <v>0</v>
      </c>
      <c r="P126" s="96" t="n">
        <f aca="false">IF(P39&lt;=SenGrace,SenRate*$B$11,IF(P39&lt;=SenTenor,PMT(SenRate*$B$11,SenTenor-SenGrace,-1),0))</f>
        <v>0</v>
      </c>
      <c r="Q126" s="96" t="n">
        <f aca="false">IF(Q39&lt;=SenGrace,SenRate*$B$11,IF(Q39&lt;=SenTenor,PMT(SenRate*$B$11,SenTenor-SenGrace,-1),0))</f>
        <v>0</v>
      </c>
      <c r="R126" s="96" t="n">
        <f aca="false">IF(R39&lt;=SenGrace,SenRate*$B$11,IF(R39&lt;=SenTenor,PMT(SenRate*$B$11,SenTenor-SenGrace,-1),0))</f>
        <v>0</v>
      </c>
      <c r="S126" s="96" t="n">
        <f aca="false">IF(S39&lt;=SenGrace,SenRate*$B$11,IF(S39&lt;=SenTenor,PMT(SenRate*$B$11,SenTenor-SenGrace,-1),0))</f>
        <v>0</v>
      </c>
      <c r="T126" s="96" t="n">
        <f aca="false">IF(T39&lt;=SenGrace,SenRate*$B$11,IF(T39&lt;=SenTenor,PMT(SenRate*$B$11,SenTenor-SenGrace,-1),0))</f>
        <v>0</v>
      </c>
      <c r="U126" s="96" t="n">
        <f aca="false">IF(U39&lt;=SenGrace,SenRate*$B$11,IF(U39&lt;=SenTenor,PMT(SenRate*$B$11,SenTenor-SenGrace,-1),0))</f>
        <v>0</v>
      </c>
      <c r="V126" s="96" t="n">
        <f aca="false">IF(V39&lt;=SenGrace,SenRate*$B$11,IF(V39&lt;=SenTenor,PMT(SenRate*$B$11,SenTenor-SenGrace,-1),0))</f>
        <v>0</v>
      </c>
      <c r="W126" s="96" t="n">
        <f aca="false">IF(W39&lt;=SenGrace,SenRate*$B$11,IF(W39&lt;=SenTenor,PMT(SenRate*$B$11,SenTenor-SenGrace,-1),0))</f>
        <v>0</v>
      </c>
    </row>
    <row r="127" customFormat="false" ht="15" hidden="false" customHeight="false" outlineLevel="0" collapsed="false">
      <c r="A127" s="11" t="s">
        <v>462</v>
      </c>
      <c r="C127" s="95" t="n">
        <v>0</v>
      </c>
      <c r="D127" s="95" t="n">
        <f aca="false">IF(D126&gt;0,(D147/MinDSCR-D121-D122)/D126,1000000000000)</f>
        <v>1074511.59530329</v>
      </c>
      <c r="E127" s="95" t="n">
        <f aca="false">IF(E126&gt;0,(E147/MinDSCR-E121-E122)/E126,1000000000000)</f>
        <v>596850.248111116</v>
      </c>
      <c r="F127" s="95" t="n">
        <f aca="false">IF(F126&gt;0,(F147/MinDSCR-F121-F122)/F126,1000000000000)</f>
        <v>299737.231153068</v>
      </c>
      <c r="G127" s="95" t="n">
        <f aca="false">IF(G126&gt;0,(G147/MinDSCR-G121-G122)/G126,1000000000000)</f>
        <v>159961.797356015</v>
      </c>
      <c r="H127" s="95" t="n">
        <f aca="false">IF(H126&gt;0,(H147/MinDSCR-H121-H122)/H126,1000000000000)</f>
        <v>183755.504122585</v>
      </c>
      <c r="I127" s="95" t="n">
        <f aca="false">IF(I126&gt;0,(I147/MinDSCR-I121-I122)/I126,1000000000000)</f>
        <v>156855.685588864</v>
      </c>
      <c r="J127" s="95" t="n">
        <f aca="false">IF(J126&gt;0,(J147/MinDSCR-J121-J122)/J126,1000000000000)</f>
        <v>177849.678118443</v>
      </c>
      <c r="K127" s="95" t="n">
        <f aca="false">IF(K126&gt;0,(K147/MinDSCR-K121-K122)/K126,1000000000000)</f>
        <v>180299.781842142</v>
      </c>
      <c r="L127" s="95" t="n">
        <f aca="false">IF(L126&gt;0,(L147/MinDSCR-L121-L122)/L126,1000000000000)</f>
        <v>159796.025175854</v>
      </c>
      <c r="M127" s="95" t="n">
        <f aca="false">IF(M126&gt;0,(M147/MinDSCR-M121-M122)/M126,1000000000000)</f>
        <v>161720.973637286</v>
      </c>
      <c r="N127" s="95" t="n">
        <f aca="false">IF(N126&gt;0,(N147/MinDSCR-N121-N122)/N126,1000000000000)</f>
        <v>1000000000000</v>
      </c>
      <c r="O127" s="95" t="n">
        <f aca="false">IF(O126&gt;0,(O147/MinDSCR-O121-O122)/O126,1000000000000)</f>
        <v>1000000000000</v>
      </c>
      <c r="P127" s="95" t="n">
        <f aca="false">IF(P126&gt;0,(P147/MinDSCR-P121-P122)/P126,1000000000000)</f>
        <v>1000000000000</v>
      </c>
      <c r="Q127" s="95" t="n">
        <f aca="false">IF(Q126&gt;0,(Q147/MinDSCR-Q121-Q122)/Q126,1000000000000)</f>
        <v>1000000000000</v>
      </c>
      <c r="R127" s="95" t="n">
        <f aca="false">IF(R126&gt;0,(R147/MinDSCR-R121-R122)/R126,1000000000000)</f>
        <v>1000000000000</v>
      </c>
      <c r="S127" s="95" t="n">
        <f aca="false">IF(S126&gt;0,(S147/MinDSCR-S121-S122)/S126,1000000000000)</f>
        <v>1000000000000</v>
      </c>
      <c r="T127" s="95" t="n">
        <f aca="false">IF(T126&gt;0,(T147/MinDSCR-T121-T122)/T126,1000000000000)</f>
        <v>1000000000000</v>
      </c>
      <c r="U127" s="95" t="n">
        <f aca="false">IF(U126&gt;0,(U147/MinDSCR-U121-U122)/U126,1000000000000)</f>
        <v>1000000000000</v>
      </c>
      <c r="V127" s="95" t="n">
        <f aca="false">IF(V126&gt;0,(V147/MinDSCR-V121-V122)/V126,1000000000000)</f>
        <v>1000000000000</v>
      </c>
      <c r="W127" s="95" t="n">
        <f aca="false">IF(W126&gt;0,(W147/MinDSCR-W121-W122)/W126,1000000000000)</f>
        <v>1000000000000</v>
      </c>
    </row>
    <row r="128" customFormat="false" ht="15" hidden="false" customHeight="false" outlineLevel="0" collapsed="false">
      <c r="A128" s="11" t="s">
        <v>463</v>
      </c>
      <c r="C128" s="95" t="n">
        <f aca="false">DSRAPct*D125</f>
        <v>7315.5439100732</v>
      </c>
      <c r="D128" s="95" t="n">
        <f aca="false">DSRAPct*E125</f>
        <v>7315.5439100732</v>
      </c>
      <c r="E128" s="95" t="n">
        <f aca="false">DSRAPct*F125</f>
        <v>12236.3173734714</v>
      </c>
      <c r="F128" s="95" t="n">
        <f aca="false">DSRAPct*G125</f>
        <v>12236.3173734714</v>
      </c>
      <c r="G128" s="95" t="n">
        <f aca="false">DSRAPct*H125</f>
        <v>12236.3173734714</v>
      </c>
      <c r="H128" s="95" t="n">
        <f aca="false">DSRAPct*I125</f>
        <v>17145.0758455327</v>
      </c>
      <c r="I128" s="95" t="n">
        <f aca="false">DSRAPct*J125</f>
        <v>17145.0758455327</v>
      </c>
      <c r="J128" s="95" t="n">
        <f aca="false">DSRAPct*K125</f>
        <v>17145.0758455327</v>
      </c>
      <c r="K128" s="95" t="n">
        <f aca="false">DSRAPct*L125</f>
        <v>17145.0758455327</v>
      </c>
      <c r="L128" s="95" t="n">
        <f aca="false">DSRAPct*M125</f>
        <v>17145.0758455327</v>
      </c>
      <c r="M128" s="95" t="n">
        <f aca="false">DSRAPct*N125</f>
        <v>6596.96091284747</v>
      </c>
      <c r="N128" s="95" t="n">
        <f aca="false">DSRAPct*O125</f>
        <v>6596.96091284747</v>
      </c>
      <c r="O128" s="95" t="n">
        <f aca="false">DSRAPct*P125</f>
        <v>6596.96091284747</v>
      </c>
      <c r="P128" s="95" t="n">
        <f aca="false">DSRAPct*Q125</f>
        <v>6596.96091284747</v>
      </c>
      <c r="Q128" s="95" t="n">
        <f aca="false">DSRAPct*R125</f>
        <v>6596.96091284747</v>
      </c>
      <c r="R128" s="95" t="n">
        <f aca="false">DSRAPct*S125</f>
        <v>0</v>
      </c>
      <c r="S128" s="95" t="n">
        <f aca="false">DSRAPct*T125</f>
        <v>0</v>
      </c>
      <c r="T128" s="95" t="n">
        <f aca="false">DSRAPct*U125</f>
        <v>0</v>
      </c>
      <c r="U128" s="95" t="n">
        <f aca="false">DSRAPct*V125</f>
        <v>0</v>
      </c>
      <c r="V128" s="95" t="n">
        <f aca="false">DSRAPct*W125</f>
        <v>0</v>
      </c>
      <c r="W128" s="95" t="n">
        <f aca="false">0</f>
        <v>0</v>
      </c>
    </row>
    <row r="129" customFormat="false" ht="15" hidden="false" customHeight="false" outlineLevel="0" collapsed="false">
      <c r="A129" s="11" t="s">
        <v>464</v>
      </c>
      <c r="B129" s="66" t="n">
        <f aca="false">SUM(C129:W129)</f>
        <v>0</v>
      </c>
      <c r="C129" s="95" t="n">
        <f aca="false">C128</f>
        <v>7315.5439100732</v>
      </c>
      <c r="D129" s="95" t="n">
        <f aca="false">D128-C128</f>
        <v>0</v>
      </c>
      <c r="E129" s="95" t="n">
        <f aca="false">E128-D128</f>
        <v>4920.77346339816</v>
      </c>
      <c r="F129" s="95" t="n">
        <f aca="false">F128-E128</f>
        <v>0</v>
      </c>
      <c r="G129" s="95" t="n">
        <f aca="false">G128-F128</f>
        <v>0</v>
      </c>
      <c r="H129" s="95" t="n">
        <f aca="false">H128-G128</f>
        <v>4908.75847206135</v>
      </c>
      <c r="I129" s="95" t="n">
        <f aca="false">I128-H128</f>
        <v>0</v>
      </c>
      <c r="J129" s="95" t="n">
        <f aca="false">J128-I128</f>
        <v>0</v>
      </c>
      <c r="K129" s="95" t="n">
        <f aca="false">K128-J128</f>
        <v>0</v>
      </c>
      <c r="L129" s="95" t="n">
        <f aca="false">L128-K128</f>
        <v>0</v>
      </c>
      <c r="M129" s="95" t="n">
        <f aca="false">M128-L128</f>
        <v>-10548.1149326852</v>
      </c>
      <c r="N129" s="95" t="n">
        <f aca="false">N128-M128</f>
        <v>0</v>
      </c>
      <c r="O129" s="95" t="n">
        <f aca="false">O128-N128</f>
        <v>0</v>
      </c>
      <c r="P129" s="95" t="n">
        <f aca="false">P128-O128</f>
        <v>0</v>
      </c>
      <c r="Q129" s="95" t="n">
        <f aca="false">Q128-P128</f>
        <v>0</v>
      </c>
      <c r="R129" s="95" t="n">
        <f aca="false">R128-Q128</f>
        <v>-6596.96091284747</v>
      </c>
      <c r="S129" s="95" t="n">
        <f aca="false">S128-R128</f>
        <v>0</v>
      </c>
      <c r="T129" s="95" t="n">
        <f aca="false">T128-S128</f>
        <v>0</v>
      </c>
      <c r="U129" s="95" t="n">
        <f aca="false">U128-T128</f>
        <v>0</v>
      </c>
      <c r="V129" s="95" t="n">
        <f aca="false">V128-U128</f>
        <v>0</v>
      </c>
      <c r="W129" s="95" t="n">
        <f aca="false">W128-V128</f>
        <v>0</v>
      </c>
    </row>
    <row r="131" customFormat="false" ht="15" hidden="false" customHeight="false" outlineLevel="0" collapsed="false">
      <c r="A131" s="9" t="s">
        <v>465</v>
      </c>
      <c r="B131" s="10"/>
      <c r="C131" s="10"/>
      <c r="D131" s="10"/>
      <c r="E131" s="10"/>
      <c r="F131" s="10"/>
      <c r="G131" s="10"/>
      <c r="H131" s="10"/>
      <c r="I131" s="10"/>
      <c r="J131" s="10"/>
      <c r="K131" s="10"/>
      <c r="L131" s="10"/>
      <c r="M131" s="10"/>
      <c r="N131" s="10"/>
      <c r="O131" s="10"/>
      <c r="P131" s="10"/>
      <c r="Q131" s="10"/>
      <c r="R131" s="10"/>
      <c r="S131" s="10"/>
      <c r="T131" s="10"/>
      <c r="U131" s="10"/>
      <c r="V131" s="10"/>
      <c r="W131" s="10"/>
    </row>
    <row r="132" customFormat="false" ht="15" hidden="false" customHeight="false" outlineLevel="0" collapsed="false">
      <c r="A132" s="11" t="s">
        <v>466</v>
      </c>
      <c r="B132" s="66" t="n">
        <f aca="false">SUM(C132:W132)</f>
        <v>1162734.14692871</v>
      </c>
      <c r="C132" s="95" t="n">
        <v>0</v>
      </c>
      <c r="D132" s="95" t="n">
        <f aca="false">IF(D39&lt;=MIN(DepYears,Life),S_Fuel_Lo!$B$14/DepYears,0)</f>
        <v>77515.6097952472</v>
      </c>
      <c r="E132" s="95" t="n">
        <f aca="false">IF(E39&lt;=MIN(DepYears,Life),S_Fuel_Lo!$B$14/DepYears,0)</f>
        <v>77515.6097952472</v>
      </c>
      <c r="F132" s="95" t="n">
        <f aca="false">IF(F39&lt;=MIN(DepYears,Life),S_Fuel_Lo!$B$14/DepYears,0)</f>
        <v>77515.6097952472</v>
      </c>
      <c r="G132" s="95" t="n">
        <f aca="false">IF(G39&lt;=MIN(DepYears,Life),S_Fuel_Lo!$B$14/DepYears,0)</f>
        <v>77515.6097952472</v>
      </c>
      <c r="H132" s="95" t="n">
        <f aca="false">IF(H39&lt;=MIN(DepYears,Life),S_Fuel_Lo!$B$14/DepYears,0)</f>
        <v>77515.6097952472</v>
      </c>
      <c r="I132" s="95" t="n">
        <f aca="false">IF(I39&lt;=MIN(DepYears,Life),S_Fuel_Lo!$B$14/DepYears,0)</f>
        <v>77515.6097952472</v>
      </c>
      <c r="J132" s="95" t="n">
        <f aca="false">IF(J39&lt;=MIN(DepYears,Life),S_Fuel_Lo!$B$14/DepYears,0)</f>
        <v>77515.6097952472</v>
      </c>
      <c r="K132" s="95" t="n">
        <f aca="false">IF(K39&lt;=MIN(DepYears,Life),S_Fuel_Lo!$B$14/DepYears,0)</f>
        <v>77515.6097952472</v>
      </c>
      <c r="L132" s="95" t="n">
        <f aca="false">IF(L39&lt;=MIN(DepYears,Life),S_Fuel_Lo!$B$14/DepYears,0)</f>
        <v>77515.6097952472</v>
      </c>
      <c r="M132" s="95" t="n">
        <f aca="false">IF(M39&lt;=MIN(DepYears,Life),S_Fuel_Lo!$B$14/DepYears,0)</f>
        <v>77515.6097952472</v>
      </c>
      <c r="N132" s="95" t="n">
        <f aca="false">IF(N39&lt;=MIN(DepYears,Life),S_Fuel_Lo!$B$14/DepYears,0)</f>
        <v>77515.6097952472</v>
      </c>
      <c r="O132" s="95" t="n">
        <f aca="false">IF(O39&lt;=MIN(DepYears,Life),S_Fuel_Lo!$B$14/DepYears,0)</f>
        <v>77515.6097952472</v>
      </c>
      <c r="P132" s="95" t="n">
        <f aca="false">IF(P39&lt;=MIN(DepYears,Life),S_Fuel_Lo!$B$14/DepYears,0)</f>
        <v>77515.6097952472</v>
      </c>
      <c r="Q132" s="95" t="n">
        <f aca="false">IF(Q39&lt;=MIN(DepYears,Life),S_Fuel_Lo!$B$14/DepYears,0)</f>
        <v>77515.6097952472</v>
      </c>
      <c r="R132" s="95" t="n">
        <f aca="false">IF(R39&lt;=MIN(DepYears,Life),S_Fuel_Lo!$B$14/DepYears,0)</f>
        <v>77515.6097952472</v>
      </c>
      <c r="S132" s="95" t="n">
        <f aca="false">IF(S39&lt;=MIN(DepYears,Life),S_Fuel_Lo!$B$14/DepYears,0)</f>
        <v>0</v>
      </c>
      <c r="T132" s="95" t="n">
        <f aca="false">IF(T39&lt;=MIN(DepYears,Life),S_Fuel_Lo!$B$14/DepYears,0)</f>
        <v>0</v>
      </c>
      <c r="U132" s="95" t="n">
        <f aca="false">IF(U39&lt;=MIN(DepYears,Life),S_Fuel_Lo!$B$14/DepYears,0)</f>
        <v>0</v>
      </c>
      <c r="V132" s="95" t="n">
        <f aca="false">IF(V39&lt;=MIN(DepYears,Life),S_Fuel_Lo!$B$14/DepYears,0)</f>
        <v>0</v>
      </c>
      <c r="W132" s="95" t="n">
        <f aca="false">IF(W39&lt;=MIN(DepYears,Life),S_Fuel_Lo!$B$14/DepYears,0)</f>
        <v>0</v>
      </c>
    </row>
    <row r="133" customFormat="false" ht="15" hidden="false" customHeight="false" outlineLevel="0" collapsed="false">
      <c r="A133" s="11" t="s">
        <v>467</v>
      </c>
      <c r="B133" s="66" t="n">
        <f aca="false">SUM(C133:W133)</f>
        <v>323674.868569266</v>
      </c>
      <c r="C133" s="95" t="n">
        <v>0</v>
      </c>
      <c r="D133" s="95" t="n">
        <f aca="false">D98-D132</f>
        <v>-63901.8463466877</v>
      </c>
      <c r="E133" s="95" t="n">
        <f aca="false">E98-E132</f>
        <v>-37797.8214816705</v>
      </c>
      <c r="F133" s="95" t="n">
        <f aca="false">F98-F132</f>
        <v>-17149.2176648095</v>
      </c>
      <c r="G133" s="95" t="n">
        <f aca="false">G98-G132</f>
        <v>-13409.3071947461</v>
      </c>
      <c r="H133" s="95" t="n">
        <f aca="false">H98-H132</f>
        <v>-7611.3228086262</v>
      </c>
      <c r="I133" s="95" t="n">
        <f aca="false">I98-I132</f>
        <v>-1403.42385665918</v>
      </c>
      <c r="J133" s="95" t="n">
        <f aca="false">J98-J132</f>
        <v>3712.33393942482</v>
      </c>
      <c r="K133" s="95" t="n">
        <f aca="false">K98-K132</f>
        <v>4309.36841050346</v>
      </c>
      <c r="L133" s="95" t="n">
        <f aca="false">L98-L132</f>
        <v>4845.32912549764</v>
      </c>
      <c r="M133" s="95" t="n">
        <f aca="false">M98-M132</f>
        <v>5314.39522070337</v>
      </c>
      <c r="N133" s="95" t="n">
        <f aca="false">N98-N132</f>
        <v>5710.3487124977</v>
      </c>
      <c r="O133" s="95" t="n">
        <f aca="false">O98-O132</f>
        <v>6026.54954116458</v>
      </c>
      <c r="P133" s="95" t="n">
        <f aca="false">P98-P132</f>
        <v>6255.90908434948</v>
      </c>
      <c r="Q133" s="95" t="n">
        <f aca="false">Q98-Q132</f>
        <v>6390.86204693989</v>
      </c>
      <c r="R133" s="95" t="n">
        <f aca="false">R98-R132</f>
        <v>6423.3366285012</v>
      </c>
      <c r="S133" s="95" t="n">
        <f aca="false">S98-S132</f>
        <v>83860.3326586299</v>
      </c>
      <c r="T133" s="95" t="n">
        <f aca="false">T98-T132</f>
        <v>83661.4488174798</v>
      </c>
      <c r="U133" s="95" t="n">
        <f aca="false">U98-U132</f>
        <v>83332.505752139</v>
      </c>
      <c r="V133" s="95" t="n">
        <f aca="false">V98-V132</f>
        <v>82863.0690587029</v>
      </c>
      <c r="W133" s="95" t="n">
        <f aca="false">W98-W132</f>
        <v>82242.0189259314</v>
      </c>
    </row>
    <row r="134" customFormat="false" ht="15" hidden="false" customHeight="false" outlineLevel="0" collapsed="false">
      <c r="A134" s="11" t="s">
        <v>468</v>
      </c>
      <c r="C134" s="95" t="n">
        <v>0</v>
      </c>
      <c r="D134" s="95" t="n">
        <f aca="false">0</f>
        <v>0</v>
      </c>
      <c r="E134" s="95" t="n">
        <f aca="false">D136</f>
        <v>63901.8463466877</v>
      </c>
      <c r="F134" s="95" t="n">
        <f aca="false">E136</f>
        <v>101699.667828358</v>
      </c>
      <c r="G134" s="95" t="n">
        <f aca="false">F136</f>
        <v>118848.885493168</v>
      </c>
      <c r="H134" s="95" t="n">
        <f aca="false">G136</f>
        <v>132258.192687914</v>
      </c>
      <c r="I134" s="95" t="n">
        <f aca="false">H136</f>
        <v>139869.51549654</v>
      </c>
      <c r="J134" s="95" t="n">
        <f aca="false">I136</f>
        <v>141272.939353199</v>
      </c>
      <c r="K134" s="95" t="n">
        <f aca="false">J136</f>
        <v>137560.605413774</v>
      </c>
      <c r="L134" s="95" t="n">
        <f aca="false">K136</f>
        <v>133251.237003271</v>
      </c>
      <c r="M134" s="95" t="n">
        <f aca="false">L136</f>
        <v>128405.907877773</v>
      </c>
      <c r="N134" s="95" t="n">
        <f aca="false">M136</f>
        <v>123091.51265707</v>
      </c>
      <c r="O134" s="95" t="n">
        <f aca="false">N136</f>
        <v>117381.163944572</v>
      </c>
      <c r="P134" s="95" t="n">
        <f aca="false">O136</f>
        <v>111354.614403408</v>
      </c>
      <c r="Q134" s="95" t="n">
        <f aca="false">P136</f>
        <v>105098.705319058</v>
      </c>
      <c r="R134" s="95" t="n">
        <f aca="false">Q136</f>
        <v>98707.8432721183</v>
      </c>
      <c r="S134" s="95" t="n">
        <f aca="false">R136</f>
        <v>92284.5066436171</v>
      </c>
      <c r="T134" s="95" t="n">
        <f aca="false">S136</f>
        <v>8424.1739849872</v>
      </c>
      <c r="U134" s="95" t="n">
        <f aca="false">T136</f>
        <v>0</v>
      </c>
      <c r="V134" s="95" t="n">
        <f aca="false">U136</f>
        <v>0</v>
      </c>
      <c r="W134" s="95" t="n">
        <f aca="false">V136</f>
        <v>0</v>
      </c>
    </row>
    <row r="135" customFormat="false" ht="15" hidden="false" customHeight="false" outlineLevel="0" collapsed="false">
      <c r="A135" s="11" t="s">
        <v>469</v>
      </c>
      <c r="C135" s="95" t="n">
        <v>0</v>
      </c>
      <c r="D135" s="95" t="n">
        <f aca="false">MIN(D134,MAX(D133,0))</f>
        <v>0</v>
      </c>
      <c r="E135" s="95" t="n">
        <f aca="false">MIN(E134,MAX(E133,0))</f>
        <v>0</v>
      </c>
      <c r="F135" s="95" t="n">
        <f aca="false">MIN(F134,MAX(F133,0))</f>
        <v>0</v>
      </c>
      <c r="G135" s="95" t="n">
        <f aca="false">MIN(G134,MAX(G133,0))</f>
        <v>0</v>
      </c>
      <c r="H135" s="95" t="n">
        <f aca="false">MIN(H134,MAX(H133,0))</f>
        <v>0</v>
      </c>
      <c r="I135" s="95" t="n">
        <f aca="false">MIN(I134,MAX(I133,0))</f>
        <v>0</v>
      </c>
      <c r="J135" s="95" t="n">
        <f aca="false">MIN(J134,MAX(J133,0))</f>
        <v>3712.33393942482</v>
      </c>
      <c r="K135" s="95" t="n">
        <f aca="false">MIN(K134,MAX(K133,0))</f>
        <v>4309.36841050346</v>
      </c>
      <c r="L135" s="95" t="n">
        <f aca="false">MIN(L134,MAX(L133,0))</f>
        <v>4845.32912549764</v>
      </c>
      <c r="M135" s="95" t="n">
        <f aca="false">MIN(M134,MAX(M133,0))</f>
        <v>5314.39522070337</v>
      </c>
      <c r="N135" s="95" t="n">
        <f aca="false">MIN(N134,MAX(N133,0))</f>
        <v>5710.3487124977</v>
      </c>
      <c r="O135" s="95" t="n">
        <f aca="false">MIN(O134,MAX(O133,0))</f>
        <v>6026.54954116458</v>
      </c>
      <c r="P135" s="95" t="n">
        <f aca="false">MIN(P134,MAX(P133,0))</f>
        <v>6255.90908434948</v>
      </c>
      <c r="Q135" s="95" t="n">
        <f aca="false">MIN(Q134,MAX(Q133,0))</f>
        <v>6390.86204693989</v>
      </c>
      <c r="R135" s="95" t="n">
        <f aca="false">MIN(R134,MAX(R133,0))</f>
        <v>6423.3366285012</v>
      </c>
      <c r="S135" s="95" t="n">
        <f aca="false">MIN(S134,MAX(S133,0))</f>
        <v>83860.3326586299</v>
      </c>
      <c r="T135" s="95" t="n">
        <f aca="false">MIN(T134,MAX(T133,0))</f>
        <v>8424.1739849872</v>
      </c>
      <c r="U135" s="95" t="n">
        <f aca="false">MIN(U134,MAX(U133,0))</f>
        <v>0</v>
      </c>
      <c r="V135" s="95" t="n">
        <f aca="false">MIN(V134,MAX(V133,0))</f>
        <v>0</v>
      </c>
      <c r="W135" s="95" t="n">
        <f aca="false">MIN(W134,MAX(W133,0))</f>
        <v>0</v>
      </c>
    </row>
    <row r="136" customFormat="false" ht="15" hidden="false" customHeight="false" outlineLevel="0" collapsed="false">
      <c r="A136" s="11" t="s">
        <v>470</v>
      </c>
      <c r="C136" s="95" t="n">
        <v>0</v>
      </c>
      <c r="D136" s="95" t="n">
        <f aca="false">D134-D135+MAX(-D133,0)</f>
        <v>63901.8463466877</v>
      </c>
      <c r="E136" s="95" t="n">
        <f aca="false">E134-E135+MAX(-E133,0)</f>
        <v>101699.667828358</v>
      </c>
      <c r="F136" s="95" t="n">
        <f aca="false">F134-F135+MAX(-F133,0)</f>
        <v>118848.885493168</v>
      </c>
      <c r="G136" s="95" t="n">
        <f aca="false">G134-G135+MAX(-G133,0)</f>
        <v>132258.192687914</v>
      </c>
      <c r="H136" s="95" t="n">
        <f aca="false">H134-H135+MAX(-H133,0)</f>
        <v>139869.51549654</v>
      </c>
      <c r="I136" s="95" t="n">
        <f aca="false">I134-I135+MAX(-I133,0)</f>
        <v>141272.939353199</v>
      </c>
      <c r="J136" s="95" t="n">
        <f aca="false">J134-J135+MAX(-J133,0)</f>
        <v>137560.605413774</v>
      </c>
      <c r="K136" s="95" t="n">
        <f aca="false">K134-K135+MAX(-K133,0)</f>
        <v>133251.237003271</v>
      </c>
      <c r="L136" s="95" t="n">
        <f aca="false">L134-L135+MAX(-L133,0)</f>
        <v>128405.907877773</v>
      </c>
      <c r="M136" s="95" t="n">
        <f aca="false">M134-M135+MAX(-M133,0)</f>
        <v>123091.51265707</v>
      </c>
      <c r="N136" s="95" t="n">
        <f aca="false">N134-N135+MAX(-N133,0)</f>
        <v>117381.163944572</v>
      </c>
      <c r="O136" s="95" t="n">
        <f aca="false">O134-O135+MAX(-O133,0)</f>
        <v>111354.614403408</v>
      </c>
      <c r="P136" s="95" t="n">
        <f aca="false">P134-P135+MAX(-P133,0)</f>
        <v>105098.705319058</v>
      </c>
      <c r="Q136" s="95" t="n">
        <f aca="false">Q134-Q135+MAX(-Q133,0)</f>
        <v>98707.8432721183</v>
      </c>
      <c r="R136" s="95" t="n">
        <f aca="false">R134-R135+MAX(-R133,0)</f>
        <v>92284.5066436171</v>
      </c>
      <c r="S136" s="95" t="n">
        <f aca="false">S134-S135+MAX(-S133,0)</f>
        <v>8424.1739849872</v>
      </c>
      <c r="T136" s="95" t="n">
        <f aca="false">T134-T135+MAX(-T133,0)</f>
        <v>0</v>
      </c>
      <c r="U136" s="95" t="n">
        <f aca="false">U134-U135+MAX(-U133,0)</f>
        <v>0</v>
      </c>
      <c r="V136" s="95" t="n">
        <f aca="false">V134-V135+MAX(-V133,0)</f>
        <v>0</v>
      </c>
      <c r="W136" s="95" t="n">
        <f aca="false">W134-W135+MAX(-W133,0)</f>
        <v>0</v>
      </c>
    </row>
    <row r="137" customFormat="false" ht="15" hidden="false" customHeight="false" outlineLevel="0" collapsed="false">
      <c r="A137" s="11" t="s">
        <v>471</v>
      </c>
      <c r="B137" s="66" t="n">
        <f aca="false">SUM(C137:W137)</f>
        <v>80918.7171423165</v>
      </c>
      <c r="C137" s="95" t="n">
        <v>0</v>
      </c>
      <c r="D137" s="95" t="n">
        <f aca="false">(MAX(D133,0)-D135)*TaxRate</f>
        <v>0</v>
      </c>
      <c r="E137" s="95" t="n">
        <f aca="false">(MAX(E133,0)-E135)*TaxRate</f>
        <v>0</v>
      </c>
      <c r="F137" s="95" t="n">
        <f aca="false">(MAX(F133,0)-F135)*TaxRate</f>
        <v>0</v>
      </c>
      <c r="G137" s="95" t="n">
        <f aca="false">(MAX(G133,0)-G135)*TaxRate</f>
        <v>0</v>
      </c>
      <c r="H137" s="95" t="n">
        <f aca="false">(MAX(H133,0)-H135)*TaxRate</f>
        <v>0</v>
      </c>
      <c r="I137" s="95" t="n">
        <f aca="false">(MAX(I133,0)-I135)*TaxRate</f>
        <v>0</v>
      </c>
      <c r="J137" s="95" t="n">
        <f aca="false">(MAX(J133,0)-J135)*TaxRate</f>
        <v>0</v>
      </c>
      <c r="K137" s="95" t="n">
        <f aca="false">(MAX(K133,0)-K135)*TaxRate</f>
        <v>0</v>
      </c>
      <c r="L137" s="95" t="n">
        <f aca="false">(MAX(L133,0)-L135)*TaxRate</f>
        <v>0</v>
      </c>
      <c r="M137" s="95" t="n">
        <f aca="false">(MAX(M133,0)-M135)*TaxRate</f>
        <v>0</v>
      </c>
      <c r="N137" s="95" t="n">
        <f aca="false">(MAX(N133,0)-N135)*TaxRate</f>
        <v>0</v>
      </c>
      <c r="O137" s="95" t="n">
        <f aca="false">(MAX(O133,0)-O135)*TaxRate</f>
        <v>0</v>
      </c>
      <c r="P137" s="95" t="n">
        <f aca="false">(MAX(P133,0)-P135)*TaxRate</f>
        <v>0</v>
      </c>
      <c r="Q137" s="95" t="n">
        <f aca="false">(MAX(Q133,0)-Q135)*TaxRate</f>
        <v>0</v>
      </c>
      <c r="R137" s="95" t="n">
        <f aca="false">(MAX(R133,0)-R135)*TaxRate</f>
        <v>0</v>
      </c>
      <c r="S137" s="95" t="n">
        <f aca="false">(MAX(S133,0)-S135)*TaxRate</f>
        <v>0</v>
      </c>
      <c r="T137" s="95" t="n">
        <f aca="false">(MAX(T133,0)-T135)*TaxRate</f>
        <v>18809.3187081232</v>
      </c>
      <c r="U137" s="95" t="n">
        <f aca="false">(MAX(U133,0)-U135)*TaxRate</f>
        <v>20833.1264380347</v>
      </c>
      <c r="V137" s="95" t="n">
        <f aca="false">(MAX(V133,0)-V135)*TaxRate</f>
        <v>20715.7672646757</v>
      </c>
      <c r="W137" s="95" t="n">
        <f aca="false">(MAX(W133,0)-W135)*TaxRate</f>
        <v>20560.5047314829</v>
      </c>
    </row>
    <row r="138" customFormat="false" ht="15" hidden="false" customHeight="false" outlineLevel="0" collapsed="false">
      <c r="A138" s="11" t="s">
        <v>472</v>
      </c>
      <c r="B138" s="66" t="n">
        <f aca="false">SUM(C138:W138)</f>
        <v>208668.079875826</v>
      </c>
      <c r="C138" s="95" t="n">
        <v>0</v>
      </c>
      <c r="D138" s="95" t="n">
        <f aca="false">D98-D132-D114-D121</f>
        <v>-78532.9341668341</v>
      </c>
      <c r="E138" s="95" t="n">
        <f aca="false">E98-E132-E114-E121</f>
        <v>-52428.9093018169</v>
      </c>
      <c r="F138" s="95" t="n">
        <f aca="false">F98-F132-F114-F121</f>
        <v>-31780.3054849559</v>
      </c>
      <c r="G138" s="95" t="n">
        <f aca="false">G98-G132-G114-G121</f>
        <v>-27056.2403222129</v>
      </c>
      <c r="H138" s="95" t="n">
        <f aca="false">H98-H132-H114-H121</f>
        <v>-20175.6857741454</v>
      </c>
      <c r="I138" s="95" t="n">
        <f aca="false">I98-I132-I114-I121</f>
        <v>-12776.959644036</v>
      </c>
      <c r="J138" s="95" t="n">
        <f aca="false">J98-J132-J114-J121</f>
        <v>-6056.76644367173</v>
      </c>
      <c r="K138" s="95" t="n">
        <f aca="false">K98-K132-K114-K121</f>
        <v>-3715.46981346744</v>
      </c>
      <c r="L138" s="95" t="n">
        <f aca="false">L98-L132-L114-L121</f>
        <v>-1282.05601258521</v>
      </c>
      <c r="M138" s="95" t="n">
        <f aca="false">M98-M132-M114-M121</f>
        <v>1252.33612927276</v>
      </c>
      <c r="N138" s="95" t="n">
        <f aca="false">N98-N132-N114-N121</f>
        <v>3897.61975412516</v>
      </c>
      <c r="O138" s="95" t="n">
        <f aca="false">O98-O132-O114-O121</f>
        <v>4555.25636881172</v>
      </c>
      <c r="P138" s="95" t="n">
        <f aca="false">P98-P132-P114-P121</f>
        <v>5136.29477159688</v>
      </c>
      <c r="Q138" s="95" t="n">
        <f aca="false">Q98-Q132-Q114-Q121</f>
        <v>5633.47695957556</v>
      </c>
      <c r="R138" s="95" t="n">
        <f aca="false">R98-R132-R114-R121</f>
        <v>6039.04764328679</v>
      </c>
      <c r="S138" s="95" t="n">
        <f aca="false">S98-S132-S114-S121</f>
        <v>83860.3326586299</v>
      </c>
      <c r="T138" s="95" t="n">
        <f aca="false">T98-T132-T114-T121</f>
        <v>83661.4488174798</v>
      </c>
      <c r="U138" s="95" t="n">
        <f aca="false">U98-U132-U114-U121</f>
        <v>83332.505752139</v>
      </c>
      <c r="V138" s="95" t="n">
        <f aca="false">V98-V132-V114-V121</f>
        <v>82863.0690587029</v>
      </c>
      <c r="W138" s="95" t="n">
        <f aca="false">W98-W132-W114-W121</f>
        <v>82242.0189259314</v>
      </c>
    </row>
    <row r="139" customFormat="false" ht="15" hidden="false" customHeight="false" outlineLevel="0" collapsed="false">
      <c r="A139" s="11" t="s">
        <v>468</v>
      </c>
      <c r="C139" s="95" t="n">
        <v>0</v>
      </c>
      <c r="D139" s="95" t="n">
        <f aca="false">0</f>
        <v>0</v>
      </c>
      <c r="E139" s="95" t="n">
        <f aca="false">D141</f>
        <v>78532.9341668341</v>
      </c>
      <c r="F139" s="95" t="n">
        <f aca="false">E141</f>
        <v>130961.843468651</v>
      </c>
      <c r="G139" s="95" t="n">
        <f aca="false">F141</f>
        <v>162742.148953607</v>
      </c>
      <c r="H139" s="95" t="n">
        <f aca="false">G141</f>
        <v>189798.38927582</v>
      </c>
      <c r="I139" s="95" t="n">
        <f aca="false">H141</f>
        <v>209974.075049965</v>
      </c>
      <c r="J139" s="95" t="n">
        <f aca="false">I141</f>
        <v>222751.034694001</v>
      </c>
      <c r="K139" s="95" t="n">
        <f aca="false">J141</f>
        <v>228807.801137673</v>
      </c>
      <c r="L139" s="95" t="n">
        <f aca="false">K141</f>
        <v>232523.27095114</v>
      </c>
      <c r="M139" s="95" t="n">
        <f aca="false">L141</f>
        <v>233805.326963726</v>
      </c>
      <c r="N139" s="95" t="n">
        <f aca="false">M141</f>
        <v>232552.990834453</v>
      </c>
      <c r="O139" s="95" t="n">
        <f aca="false">N141</f>
        <v>228655.371080328</v>
      </c>
      <c r="P139" s="95" t="n">
        <f aca="false">O141</f>
        <v>224100.114711516</v>
      </c>
      <c r="Q139" s="95" t="n">
        <f aca="false">P141</f>
        <v>218963.819939919</v>
      </c>
      <c r="R139" s="95" t="n">
        <f aca="false">Q141</f>
        <v>213330.342980343</v>
      </c>
      <c r="S139" s="95" t="n">
        <f aca="false">R141</f>
        <v>207291.295337057</v>
      </c>
      <c r="T139" s="95" t="n">
        <f aca="false">S141</f>
        <v>123430.962678427</v>
      </c>
      <c r="U139" s="95" t="n">
        <f aca="false">T141</f>
        <v>39769.513860947</v>
      </c>
      <c r="V139" s="95" t="n">
        <f aca="false">U141</f>
        <v>0</v>
      </c>
      <c r="W139" s="95" t="n">
        <f aca="false">V141</f>
        <v>0</v>
      </c>
    </row>
    <row r="140" customFormat="false" ht="15" hidden="false" customHeight="false" outlineLevel="0" collapsed="false">
      <c r="A140" s="11" t="s">
        <v>469</v>
      </c>
      <c r="C140" s="95" t="n">
        <v>0</v>
      </c>
      <c r="D140" s="95" t="n">
        <f aca="false">MIN(D139,MAX(D138,0))</f>
        <v>0</v>
      </c>
      <c r="E140" s="95" t="n">
        <f aca="false">MIN(E139,MAX(E138,0))</f>
        <v>0</v>
      </c>
      <c r="F140" s="95" t="n">
        <f aca="false">MIN(F139,MAX(F138,0))</f>
        <v>0</v>
      </c>
      <c r="G140" s="95" t="n">
        <f aca="false">MIN(G139,MAX(G138,0))</f>
        <v>0</v>
      </c>
      <c r="H140" s="95" t="n">
        <f aca="false">MIN(H139,MAX(H138,0))</f>
        <v>0</v>
      </c>
      <c r="I140" s="95" t="n">
        <f aca="false">MIN(I139,MAX(I138,0))</f>
        <v>0</v>
      </c>
      <c r="J140" s="95" t="n">
        <f aca="false">MIN(J139,MAX(J138,0))</f>
        <v>0</v>
      </c>
      <c r="K140" s="95" t="n">
        <f aca="false">MIN(K139,MAX(K138,0))</f>
        <v>0</v>
      </c>
      <c r="L140" s="95" t="n">
        <f aca="false">MIN(L139,MAX(L138,0))</f>
        <v>0</v>
      </c>
      <c r="M140" s="95" t="n">
        <f aca="false">MIN(M139,MAX(M138,0))</f>
        <v>1252.33612927276</v>
      </c>
      <c r="N140" s="95" t="n">
        <f aca="false">MIN(N139,MAX(N138,0))</f>
        <v>3897.61975412516</v>
      </c>
      <c r="O140" s="95" t="n">
        <f aca="false">MIN(O139,MAX(O138,0))</f>
        <v>4555.25636881172</v>
      </c>
      <c r="P140" s="95" t="n">
        <f aca="false">MIN(P139,MAX(P138,0))</f>
        <v>5136.29477159688</v>
      </c>
      <c r="Q140" s="95" t="n">
        <f aca="false">MIN(Q139,MAX(Q138,0))</f>
        <v>5633.47695957556</v>
      </c>
      <c r="R140" s="95" t="n">
        <f aca="false">MIN(R139,MAX(R138,0))</f>
        <v>6039.04764328679</v>
      </c>
      <c r="S140" s="95" t="n">
        <f aca="false">MIN(S139,MAX(S138,0))</f>
        <v>83860.3326586299</v>
      </c>
      <c r="T140" s="95" t="n">
        <f aca="false">MIN(T139,MAX(T138,0))</f>
        <v>83661.4488174798</v>
      </c>
      <c r="U140" s="95" t="n">
        <f aca="false">MIN(U139,MAX(U138,0))</f>
        <v>39769.513860947</v>
      </c>
      <c r="V140" s="95" t="n">
        <f aca="false">MIN(V139,MAX(V138,0))</f>
        <v>0</v>
      </c>
      <c r="W140" s="95" t="n">
        <f aca="false">MIN(W139,MAX(W138,0))</f>
        <v>0</v>
      </c>
    </row>
    <row r="141" customFormat="false" ht="15" hidden="false" customHeight="false" outlineLevel="0" collapsed="false">
      <c r="A141" s="11" t="s">
        <v>470</v>
      </c>
      <c r="C141" s="95" t="n">
        <v>0</v>
      </c>
      <c r="D141" s="95" t="n">
        <f aca="false">D139-D140+MAX(-D138,0)</f>
        <v>78532.9341668341</v>
      </c>
      <c r="E141" s="95" t="n">
        <f aca="false">E139-E140+MAX(-E138,0)</f>
        <v>130961.843468651</v>
      </c>
      <c r="F141" s="95" t="n">
        <f aca="false">F139-F140+MAX(-F138,0)</f>
        <v>162742.148953607</v>
      </c>
      <c r="G141" s="95" t="n">
        <f aca="false">G139-G140+MAX(-G138,0)</f>
        <v>189798.38927582</v>
      </c>
      <c r="H141" s="95" t="n">
        <f aca="false">H139-H140+MAX(-H138,0)</f>
        <v>209974.075049965</v>
      </c>
      <c r="I141" s="95" t="n">
        <f aca="false">I139-I140+MAX(-I138,0)</f>
        <v>222751.034694001</v>
      </c>
      <c r="J141" s="95" t="n">
        <f aca="false">J139-J140+MAX(-J138,0)</f>
        <v>228807.801137673</v>
      </c>
      <c r="K141" s="95" t="n">
        <f aca="false">K139-K140+MAX(-K138,0)</f>
        <v>232523.27095114</v>
      </c>
      <c r="L141" s="95" t="n">
        <f aca="false">L139-L140+MAX(-L138,0)</f>
        <v>233805.326963726</v>
      </c>
      <c r="M141" s="95" t="n">
        <f aca="false">M139-M140+MAX(-M138,0)</f>
        <v>232552.990834453</v>
      </c>
      <c r="N141" s="95" t="n">
        <f aca="false">N139-N140+MAX(-N138,0)</f>
        <v>228655.371080328</v>
      </c>
      <c r="O141" s="95" t="n">
        <f aca="false">O139-O140+MAX(-O138,0)</f>
        <v>224100.114711516</v>
      </c>
      <c r="P141" s="95" t="n">
        <f aca="false">P139-P140+MAX(-P138,0)</f>
        <v>218963.819939919</v>
      </c>
      <c r="Q141" s="95" t="n">
        <f aca="false">Q139-Q140+MAX(-Q138,0)</f>
        <v>213330.342980343</v>
      </c>
      <c r="R141" s="95" t="n">
        <f aca="false">R139-R140+MAX(-R138,0)</f>
        <v>207291.295337057</v>
      </c>
      <c r="S141" s="95" t="n">
        <f aca="false">S139-S140+MAX(-S138,0)</f>
        <v>123430.962678427</v>
      </c>
      <c r="T141" s="95" t="n">
        <f aca="false">T139-T140+MAX(-T138,0)</f>
        <v>39769.513860947</v>
      </c>
      <c r="U141" s="95" t="n">
        <f aca="false">U139-U140+MAX(-U138,0)</f>
        <v>0</v>
      </c>
      <c r="V141" s="95" t="n">
        <f aca="false">V139-V140+MAX(-V138,0)</f>
        <v>0</v>
      </c>
      <c r="W141" s="95" t="n">
        <f aca="false">W139-W140+MAX(-W138,0)</f>
        <v>0</v>
      </c>
    </row>
    <row r="142" customFormat="false" ht="15" hidden="false" customHeight="false" outlineLevel="0" collapsed="false">
      <c r="A142" s="11" t="s">
        <v>473</v>
      </c>
      <c r="B142" s="66" t="n">
        <f aca="false">SUM(C142:W142)</f>
        <v>52167.0199689566</v>
      </c>
      <c r="C142" s="95" t="n">
        <v>0</v>
      </c>
      <c r="D142" s="95" t="n">
        <f aca="false">(MAX(D138,0)-D140)*TaxRate</f>
        <v>0</v>
      </c>
      <c r="E142" s="95" t="n">
        <f aca="false">(MAX(E138,0)-E140)*TaxRate</f>
        <v>0</v>
      </c>
      <c r="F142" s="95" t="n">
        <f aca="false">(MAX(F138,0)-F140)*TaxRate</f>
        <v>0</v>
      </c>
      <c r="G142" s="95" t="n">
        <f aca="false">(MAX(G138,0)-G140)*TaxRate</f>
        <v>0</v>
      </c>
      <c r="H142" s="95" t="n">
        <f aca="false">(MAX(H138,0)-H140)*TaxRate</f>
        <v>0</v>
      </c>
      <c r="I142" s="95" t="n">
        <f aca="false">(MAX(I138,0)-I140)*TaxRate</f>
        <v>0</v>
      </c>
      <c r="J142" s="95" t="n">
        <f aca="false">(MAX(J138,0)-J140)*TaxRate</f>
        <v>0</v>
      </c>
      <c r="K142" s="95" t="n">
        <f aca="false">(MAX(K138,0)-K140)*TaxRate</f>
        <v>0</v>
      </c>
      <c r="L142" s="95" t="n">
        <f aca="false">(MAX(L138,0)-L140)*TaxRate</f>
        <v>0</v>
      </c>
      <c r="M142" s="95" t="n">
        <f aca="false">(MAX(M138,0)-M140)*TaxRate</f>
        <v>0</v>
      </c>
      <c r="N142" s="95" t="n">
        <f aca="false">(MAX(N138,0)-N140)*TaxRate</f>
        <v>0</v>
      </c>
      <c r="O142" s="95" t="n">
        <f aca="false">(MAX(O138,0)-O140)*TaxRate</f>
        <v>0</v>
      </c>
      <c r="P142" s="95" t="n">
        <f aca="false">(MAX(P138,0)-P140)*TaxRate</f>
        <v>0</v>
      </c>
      <c r="Q142" s="95" t="n">
        <f aca="false">(MAX(Q138,0)-Q140)*TaxRate</f>
        <v>0</v>
      </c>
      <c r="R142" s="95" t="n">
        <f aca="false">(MAX(R138,0)-R140)*TaxRate</f>
        <v>0</v>
      </c>
      <c r="S142" s="95" t="n">
        <f aca="false">(MAX(S138,0)-S140)*TaxRate</f>
        <v>0</v>
      </c>
      <c r="T142" s="95" t="n">
        <f aca="false">(MAX(T138,0)-T140)*TaxRate</f>
        <v>0</v>
      </c>
      <c r="U142" s="95" t="n">
        <f aca="false">(MAX(U138,0)-U140)*TaxRate</f>
        <v>10890.747972798</v>
      </c>
      <c r="V142" s="95" t="n">
        <f aca="false">(MAX(V138,0)-V140)*TaxRate</f>
        <v>20715.7672646757</v>
      </c>
      <c r="W142" s="95" t="n">
        <f aca="false">(MAX(W138,0)-W140)*TaxRate</f>
        <v>20560.5047314829</v>
      </c>
    </row>
    <row r="144" customFormat="false" ht="15" hidden="false" customHeight="false" outlineLevel="0" collapsed="false">
      <c r="A144" s="9" t="s">
        <v>474</v>
      </c>
      <c r="B144" s="10"/>
      <c r="C144" s="10"/>
      <c r="D144" s="10"/>
      <c r="E144" s="10"/>
      <c r="F144" s="10"/>
      <c r="G144" s="10"/>
      <c r="H144" s="10"/>
      <c r="I144" s="10"/>
      <c r="J144" s="10"/>
      <c r="K144" s="10"/>
      <c r="L144" s="10"/>
      <c r="M144" s="10"/>
      <c r="N144" s="10"/>
      <c r="O144" s="10"/>
      <c r="P144" s="10"/>
      <c r="Q144" s="10"/>
      <c r="R144" s="10"/>
      <c r="S144" s="10"/>
      <c r="T144" s="10"/>
      <c r="U144" s="10"/>
      <c r="V144" s="10"/>
      <c r="W144" s="10"/>
    </row>
    <row r="145" customFormat="false" ht="15" hidden="false" customHeight="false" outlineLevel="0" collapsed="false">
      <c r="A145" s="16" t="s">
        <v>475</v>
      </c>
      <c r="B145" s="66" t="n">
        <f aca="false">C145+NPV(Hurdle,D145:W145)</f>
        <v>-734542.679849077</v>
      </c>
      <c r="C145" s="31" t="n">
        <f aca="false">-C102+C98-C103-C137</f>
        <v>-1162734.14692871</v>
      </c>
      <c r="D145" s="31" t="n">
        <f aca="false">-D102+D98-D103-D137</f>
        <v>13613.7634485594</v>
      </c>
      <c r="E145" s="31" t="n">
        <f aca="false">-E102+E98-E103-E137</f>
        <v>39717.7883135766</v>
      </c>
      <c r="F145" s="31" t="n">
        <f aca="false">-F102+F98-F103-F137</f>
        <v>60366.3921304377</v>
      </c>
      <c r="G145" s="31" t="n">
        <f aca="false">-G102+G98-G103-G137</f>
        <v>64106.302600501</v>
      </c>
      <c r="H145" s="31" t="n">
        <f aca="false">-H102+H98-H103-H137</f>
        <v>69904.286986621</v>
      </c>
      <c r="I145" s="31" t="n">
        <f aca="false">-I102+I98-I103-I137</f>
        <v>76112.185938588</v>
      </c>
      <c r="J145" s="31" t="n">
        <f aca="false">-J102+J98-J103-J137</f>
        <v>81227.943734672</v>
      </c>
      <c r="K145" s="31" t="n">
        <f aca="false">-K102+K98-K103-K137</f>
        <v>-84078.4594989508</v>
      </c>
      <c r="L145" s="31" t="n">
        <f aca="false">-L102+L98-L103-L137</f>
        <v>82360.9389207448</v>
      </c>
      <c r="M145" s="31" t="n">
        <f aca="false">-M102+M98-M103-M137</f>
        <v>82830.0050159505</v>
      </c>
      <c r="N145" s="31" t="n">
        <f aca="false">-N102+N98-N103-N137</f>
        <v>83225.9585077449</v>
      </c>
      <c r="O145" s="31" t="n">
        <f aca="false">-O102+O98-O103-O137</f>
        <v>83542.1593364117</v>
      </c>
      <c r="P145" s="31" t="n">
        <f aca="false">-P102+P98-P103-P137</f>
        <v>83771.5188795966</v>
      </c>
      <c r="Q145" s="31" t="n">
        <f aca="false">-Q102+Q98-Q103-Q137</f>
        <v>83906.4718421871</v>
      </c>
      <c r="R145" s="31" t="n">
        <f aca="false">-R102+R98-R103-R137</f>
        <v>83938.9464237484</v>
      </c>
      <c r="S145" s="31" t="n">
        <f aca="false">-S102+S98-S103-S137</f>
        <v>-126301.17862504</v>
      </c>
      <c r="T145" s="31" t="n">
        <f aca="false">-T102+T98-T103-T137</f>
        <v>64852.1301093567</v>
      </c>
      <c r="U145" s="31" t="n">
        <f aca="false">-U102+U98-U103-U137</f>
        <v>62499.3793141042</v>
      </c>
      <c r="V145" s="31" t="n">
        <f aca="false">-V102+V98-V103-V137</f>
        <v>62147.3017940272</v>
      </c>
      <c r="W145" s="31" t="n">
        <f aca="false">-W102+W98-W103-W137</f>
        <v>61681.5141944486</v>
      </c>
    </row>
    <row r="146" customFormat="false" ht="15" hidden="false" customHeight="false" outlineLevel="0" collapsed="false">
      <c r="A146" s="16" t="s">
        <v>476</v>
      </c>
      <c r="B146" s="66" t="n">
        <f aca="false">C146+NPV(Hurdle,D146:W146)</f>
        <v>83377.6807820271</v>
      </c>
      <c r="C146" s="31" t="n">
        <f aca="false">C145+C106+C108</f>
        <v>-562734.146928707</v>
      </c>
      <c r="D146" s="31" t="n">
        <f aca="false">D145+D106+D108</f>
        <v>164813.763448559</v>
      </c>
      <c r="E146" s="31" t="n">
        <f aca="false">E145+E106+E108</f>
        <v>102717.788313577</v>
      </c>
      <c r="F146" s="31" t="n">
        <f aca="false">F145+F106+F108</f>
        <v>98166.3921304377</v>
      </c>
      <c r="G146" s="31" t="n">
        <f aca="false">G145+G106+G108</f>
        <v>64106.302600501</v>
      </c>
      <c r="H146" s="31" t="n">
        <f aca="false">H145+H106+H108</f>
        <v>69904.286986621</v>
      </c>
      <c r="I146" s="31" t="n">
        <f aca="false">I145+I106+I108</f>
        <v>76112.185938588</v>
      </c>
      <c r="J146" s="31" t="n">
        <f aca="false">J145+J106+J108</f>
        <v>81227.943734672</v>
      </c>
      <c r="K146" s="31" t="n">
        <f aca="false">K145+K106+K108</f>
        <v>-84078.4594989508</v>
      </c>
      <c r="L146" s="31" t="n">
        <f aca="false">L145+L106+L108</f>
        <v>82360.9389207448</v>
      </c>
      <c r="M146" s="31" t="n">
        <f aca="false">M145+M106+M108</f>
        <v>82830.0050159505</v>
      </c>
      <c r="N146" s="31" t="n">
        <f aca="false">N145+N106+N108</f>
        <v>83225.9585077449</v>
      </c>
      <c r="O146" s="31" t="n">
        <f aca="false">O145+O106+O108</f>
        <v>83542.1593364117</v>
      </c>
      <c r="P146" s="31" t="n">
        <f aca="false">P145+P106+P108</f>
        <v>83771.5188795966</v>
      </c>
      <c r="Q146" s="31" t="n">
        <f aca="false">Q145+Q106+Q108</f>
        <v>83906.4718421871</v>
      </c>
      <c r="R146" s="31" t="n">
        <f aca="false">R145+R106+R108</f>
        <v>83938.9464237484</v>
      </c>
      <c r="S146" s="31" t="n">
        <f aca="false">S145+S106+S108</f>
        <v>-126301.17862504</v>
      </c>
      <c r="T146" s="31" t="n">
        <f aca="false">T145+T106+T108</f>
        <v>64852.1301093567</v>
      </c>
      <c r="U146" s="31" t="n">
        <f aca="false">U145+U106+U108</f>
        <v>62499.3793141042</v>
      </c>
      <c r="V146" s="31" t="n">
        <f aca="false">V145+V106+V108</f>
        <v>62147.3017940272</v>
      </c>
      <c r="W146" s="31" t="n">
        <f aca="false">W145+W106+W108</f>
        <v>61681.5141944486</v>
      </c>
    </row>
    <row r="147" customFormat="false" ht="15" hidden="false" customHeight="false" outlineLevel="0" collapsed="false">
      <c r="A147" s="11" t="s">
        <v>243</v>
      </c>
      <c r="B147" s="66" t="n">
        <f aca="false">SUM(C147:W147)</f>
        <v>1310177.04654065</v>
      </c>
      <c r="C147" s="95" t="n">
        <v>0</v>
      </c>
      <c r="D147" s="95" t="n">
        <f aca="false">D98-D105-D142+D108</f>
        <v>144075.833735472</v>
      </c>
      <c r="E147" s="95" t="n">
        <f aca="false">E98-E105-E142+E108</f>
        <v>81979.858600489</v>
      </c>
      <c r="F147" s="95" t="n">
        <f aca="false">F98-F105-F142+F108</f>
        <v>77428.46241735</v>
      </c>
      <c r="G147" s="95" t="n">
        <f aca="false">G98-G105-G142+G108</f>
        <v>43368.3728874134</v>
      </c>
      <c r="H147" s="95" t="n">
        <f aca="false">H98-H105-H142+H108</f>
        <v>49166.3572735333</v>
      </c>
      <c r="I147" s="95" t="n">
        <f aca="false">I98-I105-I142+I108</f>
        <v>55374.2562255003</v>
      </c>
      <c r="J147" s="95" t="n">
        <f aca="false">J98-J105-J142+J108</f>
        <v>60490.0140215843</v>
      </c>
      <c r="K147" s="95" t="n">
        <f aca="false">K98-K105-K142+K108</f>
        <v>61087.048492663</v>
      </c>
      <c r="L147" s="95" t="n">
        <f aca="false">L98-L105-L142+L108</f>
        <v>56090.7500102861</v>
      </c>
      <c r="M147" s="95" t="n">
        <f aca="false">M98-M105-M142+M108</f>
        <v>56559.8161054918</v>
      </c>
      <c r="N147" s="95" t="n">
        <f aca="false">N98-N105-N142+N108</f>
        <v>56955.7695972861</v>
      </c>
      <c r="O147" s="95" t="n">
        <f aca="false">O98-O105-O142+O108</f>
        <v>57271.970425953</v>
      </c>
      <c r="P147" s="95" t="n">
        <f aca="false">P98-P105-P142+P108</f>
        <v>57501.3299691379</v>
      </c>
      <c r="Q147" s="95" t="n">
        <f aca="false">Q98-Q105-Q142+Q108</f>
        <v>57636.2829317283</v>
      </c>
      <c r="R147" s="95" t="n">
        <f aca="false">R98-R105-R142+R108</f>
        <v>57668.7575132896</v>
      </c>
      <c r="S147" s="95" t="n">
        <f aca="false">S98-S105-S142+S108</f>
        <v>57590.1437481711</v>
      </c>
      <c r="T147" s="95" t="n">
        <f aca="false">T98-T105-T142+T108</f>
        <v>83661.4488174798</v>
      </c>
      <c r="U147" s="95" t="n">
        <f aca="false">U98-U105-U142+U108</f>
        <v>72441.757779341</v>
      </c>
      <c r="V147" s="95" t="n">
        <f aca="false">V98-V105-V142+V108</f>
        <v>62147.3017940272</v>
      </c>
      <c r="W147" s="95" t="n">
        <f aca="false">W98-W105-W142+W108</f>
        <v>61681.5141944486</v>
      </c>
    </row>
    <row r="148" customFormat="false" ht="15" hidden="false" customHeight="false" outlineLevel="0" collapsed="false">
      <c r="A148" s="11" t="s">
        <v>477</v>
      </c>
      <c r="C148" s="97" t="n">
        <v>0</v>
      </c>
      <c r="D148" s="97" t="n">
        <f aca="false">IF(D125&gt;0,D147/D125,"")</f>
        <v>9.84724003481719</v>
      </c>
      <c r="E148" s="97" t="n">
        <f aca="false">IF(E125&gt;0,E147/E125,"")</f>
        <v>5.60312805228372</v>
      </c>
      <c r="F148" s="97" t="n">
        <f aca="false">IF(F125&gt;0,F147/F125,"")</f>
        <v>3.16387929693687</v>
      </c>
      <c r="G148" s="97" t="n">
        <f aca="false">IF(G125&gt;0,G147/G125,"")</f>
        <v>1.77211703340733</v>
      </c>
      <c r="H148" s="97" t="n">
        <f aca="false">IF(H125&gt;0,H147/H125,"")</f>
        <v>2.00903408161541</v>
      </c>
      <c r="I148" s="97" t="n">
        <f aca="false">IF(I125&gt;0,I147/I125,"")</f>
        <v>1.61487346933868</v>
      </c>
      <c r="J148" s="97" t="n">
        <f aca="false">IF(J125&gt;0,J147/J125,"")</f>
        <v>1.76406376287176</v>
      </c>
      <c r="K148" s="97" t="n">
        <f aca="false">IF(K125&gt;0,K147/K125,"")</f>
        <v>1.78147501483873</v>
      </c>
      <c r="L148" s="97" t="n">
        <f aca="false">IF(L125&gt;0,L147/L125,"")</f>
        <v>1.63576850040302</v>
      </c>
      <c r="M148" s="97" t="n">
        <f aca="false">IF(M125&gt;0,M147/M125,"")</f>
        <v>1.64944782440927</v>
      </c>
      <c r="N148" s="97" t="n">
        <f aca="false">IF(N125&gt;0,N147/N125,"")</f>
        <v>4.31681878593261</v>
      </c>
      <c r="O148" s="97" t="n">
        <f aca="false">IF(O125&gt;0,O147/O125,"")</f>
        <v>4.34078442957096</v>
      </c>
      <c r="P148" s="97" t="n">
        <f aca="false">IF(P125&gt;0,P147/P125,"")</f>
        <v>4.35816815718546</v>
      </c>
      <c r="Q148" s="97" t="n">
        <f aca="false">IF(Q125&gt;0,Q147/Q125,"")</f>
        <v>4.36839657632976</v>
      </c>
      <c r="R148" s="97" t="n">
        <f aca="false">IF(R125&gt;0,R147/R125,"")</f>
        <v>4.37085790526519</v>
      </c>
      <c r="S148" s="97" t="str">
        <f aca="false">IF(S125&gt;0,S147/S125,"")</f>
        <v/>
      </c>
      <c r="T148" s="97" t="str">
        <f aca="false">IF(T125&gt;0,T147/T125,"")</f>
        <v/>
      </c>
      <c r="U148" s="97" t="str">
        <f aca="false">IF(U125&gt;0,U147/U125,"")</f>
        <v/>
      </c>
      <c r="V148" s="97" t="str">
        <f aca="false">IF(V125&gt;0,V147/V125,"")</f>
        <v/>
      </c>
      <c r="W148" s="97" t="str">
        <f aca="false">IF(W125&gt;0,W147/W125,"")</f>
        <v/>
      </c>
    </row>
    <row r="149" customFormat="false" ht="15" hidden="false" customHeight="false" outlineLevel="0" collapsed="false">
      <c r="A149" s="16" t="s">
        <v>478</v>
      </c>
      <c r="B149" s="66" t="n">
        <f aca="false">C149+NPV(Hurdle,D149:W149)</f>
        <v>76628.2526565254</v>
      </c>
      <c r="C149" s="31" t="n">
        <f aca="false">-S_Fuel_Lo!$B$18-C129</f>
        <v>-344956.032067298</v>
      </c>
      <c r="D149" s="31" t="n">
        <f aca="false">D147-D125-D129</f>
        <v>129444.745915325</v>
      </c>
      <c r="E149" s="31" t="n">
        <f aca="false">E147-E125-E129</f>
        <v>62427.9973169444</v>
      </c>
      <c r="F149" s="31" t="n">
        <f aca="false">F147-F125-F129</f>
        <v>52955.8276704073</v>
      </c>
      <c r="G149" s="31" t="n">
        <f aca="false">G147-G125-G129</f>
        <v>18895.7381404707</v>
      </c>
      <c r="H149" s="31" t="n">
        <f aca="false">H147-H125-H129</f>
        <v>19784.9640545292</v>
      </c>
      <c r="I149" s="31" t="n">
        <f aca="false">I147-I125-I129</f>
        <v>21084.1045344349</v>
      </c>
      <c r="J149" s="31" t="n">
        <f aca="false">J147-J125-J129</f>
        <v>26199.8623305189</v>
      </c>
      <c r="K149" s="31" t="n">
        <f aca="false">K147-K125-K129</f>
        <v>26796.8968015975</v>
      </c>
      <c r="L149" s="31" t="n">
        <f aca="false">L147-L125-L129</f>
        <v>21800.5983192207</v>
      </c>
      <c r="M149" s="31" t="n">
        <f aca="false">M147-M125-M129</f>
        <v>32817.7793471116</v>
      </c>
      <c r="N149" s="31" t="n">
        <f aca="false">N147-N125-N129</f>
        <v>43761.8477715912</v>
      </c>
      <c r="O149" s="31" t="n">
        <f aca="false">O147-O125-O129</f>
        <v>44078.0486002581</v>
      </c>
      <c r="P149" s="31" t="n">
        <f aca="false">P147-P125-P129</f>
        <v>44307.408143443</v>
      </c>
      <c r="Q149" s="31" t="n">
        <f aca="false">Q147-Q125-Q129</f>
        <v>44442.3611060334</v>
      </c>
      <c r="R149" s="31" t="n">
        <f aca="false">R147-R125-R129</f>
        <v>51071.7966004422</v>
      </c>
      <c r="S149" s="31" t="n">
        <f aca="false">S147-S125-S129</f>
        <v>57590.1437481711</v>
      </c>
      <c r="T149" s="31" t="n">
        <f aca="false">T147-T125-T129</f>
        <v>83661.4488174798</v>
      </c>
      <c r="U149" s="31" t="n">
        <f aca="false">U147-U125-U129</f>
        <v>72441.757779341</v>
      </c>
      <c r="V149" s="31" t="n">
        <f aca="false">V147-V125-V129</f>
        <v>62147.3017940272</v>
      </c>
      <c r="W149" s="31" t="n">
        <f aca="false">W147-W125-W129</f>
        <v>61681.5141944486</v>
      </c>
    </row>
    <row r="150" customFormat="false" ht="15" hidden="false" customHeight="false" outlineLevel="0" collapsed="false">
      <c r="A150" s="11" t="s">
        <v>479</v>
      </c>
      <c r="C150" s="95" t="n">
        <f aca="false">C149</f>
        <v>-344956.032067298</v>
      </c>
      <c r="D150" s="95" t="n">
        <f aca="false">C150+D149</f>
        <v>-215511.286151972</v>
      </c>
      <c r="E150" s="95" t="n">
        <f aca="false">D150+E149</f>
        <v>-153083.288835028</v>
      </c>
      <c r="F150" s="95" t="n">
        <f aca="false">E150+F149</f>
        <v>-100127.46116462</v>
      </c>
      <c r="G150" s="95" t="n">
        <f aca="false">F150+G149</f>
        <v>-81231.7230241498</v>
      </c>
      <c r="H150" s="95" t="n">
        <f aca="false">G150+H149</f>
        <v>-61446.7589696206</v>
      </c>
      <c r="I150" s="95" t="n">
        <f aca="false">H150+I149</f>
        <v>-40362.6544351857</v>
      </c>
      <c r="J150" s="95" t="n">
        <f aca="false">I150+J149</f>
        <v>-14162.7921046668</v>
      </c>
      <c r="K150" s="95" t="n">
        <f aca="false">J150+K149</f>
        <v>12634.1046969308</v>
      </c>
      <c r="L150" s="95" t="n">
        <f aca="false">K150+L149</f>
        <v>34434.7030161514</v>
      </c>
      <c r="M150" s="95" t="n">
        <f aca="false">L150+M149</f>
        <v>67252.4823632631</v>
      </c>
      <c r="N150" s="95" t="n">
        <f aca="false">M150+N149</f>
        <v>111014.330134854</v>
      </c>
      <c r="O150" s="95" t="n">
        <f aca="false">N150+O149</f>
        <v>155092.378735112</v>
      </c>
      <c r="P150" s="95" t="n">
        <f aca="false">O150+P149</f>
        <v>199399.786878555</v>
      </c>
      <c r="Q150" s="95" t="n">
        <f aca="false">P150+Q149</f>
        <v>243842.147984589</v>
      </c>
      <c r="R150" s="95" t="n">
        <f aca="false">Q150+R149</f>
        <v>294913.944585031</v>
      </c>
      <c r="S150" s="95" t="n">
        <f aca="false">R150+S149</f>
        <v>352504.088333202</v>
      </c>
      <c r="T150" s="95" t="n">
        <f aca="false">S150+T149</f>
        <v>436165.537150682</v>
      </c>
      <c r="U150" s="95" t="n">
        <f aca="false">T150+U149</f>
        <v>508607.294930023</v>
      </c>
      <c r="V150" s="95" t="n">
        <f aca="false">U150+V149</f>
        <v>570754.59672405</v>
      </c>
      <c r="W150" s="95" t="n">
        <f aca="false">V150+W149</f>
        <v>632436.110918499</v>
      </c>
    </row>
    <row r="152" customFormat="false" ht="15" hidden="false" customHeight="false" outlineLevel="0" collapsed="false">
      <c r="A152" s="9" t="s">
        <v>480</v>
      </c>
      <c r="B152" s="10"/>
      <c r="C152" s="10"/>
      <c r="D152" s="10"/>
      <c r="E152" s="10"/>
      <c r="F152" s="10"/>
      <c r="G152" s="10"/>
      <c r="H152" s="10"/>
      <c r="I152" s="10"/>
      <c r="J152" s="10"/>
      <c r="K152" s="10"/>
      <c r="L152" s="10"/>
      <c r="M152" s="10"/>
      <c r="N152" s="10"/>
      <c r="O152" s="10"/>
      <c r="P152" s="10"/>
      <c r="Q152" s="10"/>
      <c r="R152" s="10"/>
      <c r="S152" s="10"/>
      <c r="T152" s="10"/>
      <c r="U152" s="10"/>
      <c r="V152" s="10"/>
      <c r="W152" s="10"/>
    </row>
    <row r="153" customFormat="false" ht="15" hidden="false" customHeight="false" outlineLevel="0" collapsed="false">
      <c r="A153" s="11" t="s">
        <v>481</v>
      </c>
      <c r="B153" s="66" t="n">
        <f aca="false">C153+NPV(Hurdle,D153:W153)</f>
        <v>2239294.62031624</v>
      </c>
      <c r="C153" s="95" t="n">
        <f aca="false">C102+C96-C93+C103</f>
        <v>1162734.14692871</v>
      </c>
      <c r="D153" s="95" t="n">
        <f aca="false">D102+D96-D93+D103</f>
        <v>64488.1021975206</v>
      </c>
      <c r="E153" s="95" t="n">
        <f aca="false">E102+E96-E93+E103</f>
        <v>70394.3212353189</v>
      </c>
      <c r="F153" s="95" t="n">
        <f aca="false">F102+F96-F93+F103</f>
        <v>75259.036864178</v>
      </c>
      <c r="G153" s="95" t="n">
        <f aca="false">G102+G96-G93+G103</f>
        <v>78003.5640948867</v>
      </c>
      <c r="H153" s="95" t="n">
        <f aca="false">H102+H96-H93+H103</f>
        <v>80860.0705905159</v>
      </c>
      <c r="I153" s="95" t="n">
        <f aca="false">I102+I96-I93+I103</f>
        <v>83833.7210149965</v>
      </c>
      <c r="J153" s="95" t="n">
        <f aca="false">J102+J96-J93+J103</f>
        <v>88458.6689523859</v>
      </c>
      <c r="K153" s="95" t="n">
        <f aca="false">K102+K96-K93+K103</f>
        <v>264098.98689865</v>
      </c>
      <c r="L153" s="95" t="n">
        <f aca="false">L102+L96-L93+L103</f>
        <v>108622.838597597</v>
      </c>
      <c r="M153" s="95" t="n">
        <f aca="false">M102+M96-M93+M103</f>
        <v>119784.684553258</v>
      </c>
      <c r="N153" s="95" t="n">
        <f aca="false">N102+N96-N93+N103</f>
        <v>131727.965656228</v>
      </c>
      <c r="O153" s="95" t="n">
        <f aca="false">O102+O96-O93+O103</f>
        <v>144502.458809147</v>
      </c>
      <c r="P153" s="95" t="n">
        <f aca="false">P102+P96-P93+P103</f>
        <v>158161.016511027</v>
      </c>
      <c r="Q153" s="95" t="n">
        <f aca="false">Q102+Q96-Q93+Q103</f>
        <v>172759.754953726</v>
      </c>
      <c r="R153" s="95" t="n">
        <f aca="false">R102+R96-R93+R103</f>
        <v>188358.253584035</v>
      </c>
      <c r="S153" s="95" t="n">
        <f aca="false">S102+S96-S93+S103</f>
        <v>415181.278113298</v>
      </c>
      <c r="T153" s="95" t="n">
        <f aca="false">T102+T96-T93+T103</f>
        <v>222811.448729613</v>
      </c>
      <c r="U153" s="95" t="n">
        <f aca="false">U102+U96-U93+U103</f>
        <v>241804.591255572</v>
      </c>
      <c r="V153" s="95" t="n">
        <f aca="false">V102+V96-V93+V103</f>
        <v>262074.877156778</v>
      </c>
      <c r="W153" s="95" t="n">
        <f aca="false">W102+W96-W93+W103</f>
        <v>283702.648214072</v>
      </c>
    </row>
    <row r="154" customFormat="false" ht="15" hidden="false" customHeight="false" outlineLevel="0" collapsed="false">
      <c r="A154" s="11" t="s">
        <v>482</v>
      </c>
      <c r="B154" s="76" t="n">
        <f aca="false">C154+NPV(Hurdle,D154:W154)</f>
        <v>3504620.16232003</v>
      </c>
      <c r="C154" s="93" t="n">
        <f aca="false">C66</f>
        <v>0</v>
      </c>
      <c r="D154" s="93" t="n">
        <f aca="false">D66</f>
        <v>211139.712</v>
      </c>
      <c r="E154" s="93" t="n">
        <f aca="false">E66</f>
        <v>308088.02976</v>
      </c>
      <c r="F154" s="93" t="n">
        <f aca="false">F66</f>
        <v>373330.200768</v>
      </c>
      <c r="G154" s="93" t="n">
        <f aca="false">G66</f>
        <v>384530.10679104</v>
      </c>
      <c r="H154" s="93" t="n">
        <f aca="false">H66</f>
        <v>396066.009994771</v>
      </c>
      <c r="I154" s="93" t="n">
        <f aca="false">I66</f>
        <v>407947.990294614</v>
      </c>
      <c r="J154" s="93" t="n">
        <f aca="false">J66</f>
        <v>420186.430003453</v>
      </c>
      <c r="K154" s="93" t="n">
        <f aca="false">K66</f>
        <v>432792.022903556</v>
      </c>
      <c r="L154" s="93" t="n">
        <f aca="false">L66</f>
        <v>445775.783590663</v>
      </c>
      <c r="M154" s="93" t="n">
        <f aca="false">M66</f>
        <v>459149.057098383</v>
      </c>
      <c r="N154" s="93" t="n">
        <f aca="false">N66</f>
        <v>472923.528811335</v>
      </c>
      <c r="O154" s="93" t="n">
        <f aca="false">O66</f>
        <v>487111.234675675</v>
      </c>
      <c r="P154" s="93" t="n">
        <f aca="false">P66</f>
        <v>501724.571715945</v>
      </c>
      <c r="Q154" s="93" t="n">
        <f aca="false">Q66</f>
        <v>516776.308867423</v>
      </c>
      <c r="R154" s="93" t="n">
        <f aca="false">R66</f>
        <v>532279.598133446</v>
      </c>
      <c r="S154" s="93" t="n">
        <f aca="false">S66</f>
        <v>548247.986077449</v>
      </c>
      <c r="T154" s="93" t="n">
        <f aca="false">T66</f>
        <v>564695.425659773</v>
      </c>
      <c r="U154" s="93" t="n">
        <f aca="false">U66</f>
        <v>581636.288429566</v>
      </c>
      <c r="V154" s="93" t="n">
        <f aca="false">V66</f>
        <v>599085.377082453</v>
      </c>
      <c r="W154" s="93" t="n">
        <f aca="false">W66</f>
        <v>617057.938394927</v>
      </c>
    </row>
    <row r="155" customFormat="false" ht="15" hidden="false" customHeight="false" outlineLevel="0" collapsed="false">
      <c r="A155" s="11" t="s">
        <v>483</v>
      </c>
      <c r="B155" s="66" t="n">
        <f aca="false">C155+NPV(Hurdle,D155:W155)</f>
        <v>1555687.86731988</v>
      </c>
      <c r="C155" s="95" t="n">
        <f aca="false">C83</f>
        <v>0</v>
      </c>
      <c r="D155" s="95" t="n">
        <f aca="false">D83</f>
        <v>73617.387264</v>
      </c>
      <c r="E155" s="95" t="n">
        <f aca="false">E83</f>
        <v>110642.638710202</v>
      </c>
      <c r="F155" s="95" t="n">
        <f aca="false">F83</f>
        <v>138095.029891356</v>
      </c>
      <c r="G155" s="95" t="n">
        <f aca="false">G83</f>
        <v>146505.01721174</v>
      </c>
      <c r="H155" s="95" t="n">
        <f aca="false">H83</f>
        <v>155427.172759935</v>
      </c>
      <c r="I155" s="95" t="n">
        <f aca="false">I83</f>
        <v>164892.687581015</v>
      </c>
      <c r="J155" s="95" t="n">
        <f aca="false">J83</f>
        <v>174934.652254699</v>
      </c>
      <c r="K155" s="95" t="n">
        <f aca="false">K83</f>
        <v>185588.17257701</v>
      </c>
      <c r="L155" s="95" t="n">
        <f aca="false">L83</f>
        <v>196890.49228695</v>
      </c>
      <c r="M155" s="95" t="n">
        <f aca="false">M83</f>
        <v>208881.123267225</v>
      </c>
      <c r="N155" s="95" t="n">
        <f aca="false">N83</f>
        <v>221601.983674199</v>
      </c>
      <c r="O155" s="95" t="n">
        <f aca="false">O83</f>
        <v>235097.544479958</v>
      </c>
      <c r="P155" s="95" t="n">
        <f aca="false">P83</f>
        <v>249414.984938787</v>
      </c>
      <c r="Q155" s="95" t="n">
        <f aca="false">Q83</f>
        <v>264604.357521559</v>
      </c>
      <c r="R155" s="95" t="n">
        <f aca="false">R83</f>
        <v>280718.762894623</v>
      </c>
      <c r="S155" s="95" t="n">
        <f aca="false">S83</f>
        <v>297814.535554905</v>
      </c>
      <c r="T155" s="95" t="n">
        <f aca="false">T83</f>
        <v>315951.440770199</v>
      </c>
      <c r="U155" s="95" t="n">
        <f aca="false">U83</f>
        <v>335192.883513104</v>
      </c>
      <c r="V155" s="95" t="n">
        <f aca="false">V83</f>
        <v>355606.130119052</v>
      </c>
      <c r="W155" s="95"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7" t="s">
        <v>392</v>
      </c>
    </row>
    <row r="2" customFormat="false" ht="15" hidden="false" customHeight="false" outlineLevel="0" collapsed="false">
      <c r="A2" s="8" t="s">
        <v>393</v>
      </c>
    </row>
    <row r="4" customFormat="false" ht="15" hidden="false" customHeight="false" outlineLevel="0" collapsed="false">
      <c r="A4" s="9" t="s">
        <v>394</v>
      </c>
      <c r="B4" s="10"/>
    </row>
    <row r="5" customFormat="false" ht="15" hidden="false" customHeight="false" outlineLevel="0" collapsed="false">
      <c r="A5" s="11" t="s">
        <v>67</v>
      </c>
      <c r="B5" s="67" t="n">
        <v>1</v>
      </c>
    </row>
    <row r="6" customFormat="false" ht="15" hidden="false" customHeight="false" outlineLevel="0" collapsed="false">
      <c r="A6" s="11" t="s">
        <v>333</v>
      </c>
      <c r="B6" s="67" t="n">
        <v>1</v>
      </c>
    </row>
    <row r="7" customFormat="false" ht="15" hidden="false" customHeight="false" outlineLevel="0" collapsed="false">
      <c r="A7" s="11" t="s">
        <v>69</v>
      </c>
      <c r="B7" s="67" t="n">
        <v>1</v>
      </c>
    </row>
    <row r="8" customFormat="false" ht="15" hidden="false" customHeight="false" outlineLevel="0" collapsed="false">
      <c r="A8" s="11" t="s">
        <v>70</v>
      </c>
      <c r="B8" s="67" t="n">
        <v>1</v>
      </c>
    </row>
    <row r="9" customFormat="false" ht="15" hidden="false" customHeight="false" outlineLevel="0" collapsed="false">
      <c r="A9" s="11" t="s">
        <v>395</v>
      </c>
      <c r="B9" s="67" t="n">
        <v>1</v>
      </c>
    </row>
    <row r="10" customFormat="false" ht="15" hidden="false" customHeight="false" outlineLevel="0" collapsed="false">
      <c r="A10" s="11" t="s">
        <v>72</v>
      </c>
      <c r="B10" s="67" t="n">
        <f aca="false">1+SensDelta</f>
        <v>1.2</v>
      </c>
    </row>
    <row r="11" customFormat="false" ht="15" hidden="false" customHeight="false" outlineLevel="0" collapsed="false">
      <c r="A11" s="11" t="s">
        <v>334</v>
      </c>
      <c r="B11" s="67" t="n">
        <v>1</v>
      </c>
    </row>
    <row r="13" customFormat="false" ht="15" hidden="false" customHeight="false" outlineLevel="0" collapsed="false">
      <c r="A13" s="9" t="s">
        <v>396</v>
      </c>
      <c r="B13" s="10"/>
    </row>
    <row r="14" customFormat="false" ht="15" hidden="false" customHeight="false" outlineLevel="0" collapsed="false">
      <c r="A14" s="11" t="s">
        <v>397</v>
      </c>
      <c r="B14" s="66" t="n">
        <f aca="false">TotalCapexBase*LevCapex*$B$7</f>
        <v>1162734.14692871</v>
      </c>
    </row>
    <row r="15" customFormat="false" ht="15" hidden="false" customHeight="false" outlineLevel="0" collapsed="false">
      <c r="A15" s="11" t="s">
        <v>398</v>
      </c>
      <c r="B15" s="66" t="n">
        <f aca="false">HardCapexBase*LevCapex*$B$7</f>
        <v>1011073.17124235</v>
      </c>
    </row>
    <row r="16" customFormat="false" ht="15" hidden="false" customHeight="false" outlineLevel="0" collapsed="false">
      <c r="A16" s="11" t="s">
        <v>252</v>
      </c>
      <c r="B16" s="66" t="n">
        <f aca="false">MAX(0,S_Fuel_Hi!$B$14-Grant)*SenPct</f>
        <v>112546.829385741</v>
      </c>
    </row>
    <row r="17" customFormat="false" ht="15" hidden="false" customHeight="false" outlineLevel="0" collapsed="false">
      <c r="A17" s="11" t="s">
        <v>254</v>
      </c>
      <c r="B17" s="66" t="n">
        <f aca="false">MAX(0,S_Fuel_Hi!$B$14-Grant)*ConPct</f>
        <v>112546.829385741</v>
      </c>
    </row>
    <row r="18" customFormat="false" ht="15" hidden="false" customHeight="false" outlineLevel="0" collapsed="false">
      <c r="A18" s="11" t="s">
        <v>399</v>
      </c>
      <c r="B18" s="66" t="n">
        <f aca="false">MAX(0,S_Fuel_Hi!$B$14-Grant-S_Fuel_Hi!$B$16-S_Fuel_Hi!$B$17)</f>
        <v>337640.488157224</v>
      </c>
    </row>
    <row r="19" customFormat="false" ht="15" hidden="false" customHeight="false" outlineLevel="0" collapsed="false">
      <c r="A19" s="11" t="s">
        <v>400</v>
      </c>
      <c r="B19" s="66" t="n">
        <f aca="false">C128</f>
        <v>7315.5439100732</v>
      </c>
    </row>
    <row r="20" customFormat="false" ht="15" hidden="false" customHeight="false" outlineLevel="0" collapsed="false">
      <c r="A20" s="11" t="s">
        <v>401</v>
      </c>
      <c r="B20" s="66" t="n">
        <f aca="false">$B$145</f>
        <v>-888519.319958922</v>
      </c>
    </row>
    <row r="21" customFormat="false" ht="15" hidden="false" customHeight="false" outlineLevel="0" collapsed="false">
      <c r="A21" s="11" t="s">
        <v>402</v>
      </c>
      <c r="B21" s="66" t="n">
        <f aca="false">$B$146</f>
        <v>-70598.9593278171</v>
      </c>
    </row>
    <row r="22" customFormat="false" ht="15" hidden="false" customHeight="false" outlineLevel="0" collapsed="false">
      <c r="A22" s="11" t="s">
        <v>403</v>
      </c>
      <c r="B22" s="68" t="n">
        <f aca="false">IFERROR(IRR($C$145:$W$145),"n/a")</f>
        <v>-0.255453752517032</v>
      </c>
    </row>
    <row r="23" customFormat="false" ht="15" hidden="false" customHeight="false" outlineLevel="0" collapsed="false">
      <c r="A23" s="11" t="s">
        <v>404</v>
      </c>
      <c r="B23" s="68" t="n">
        <f aca="false">IFERROR(IRR($C$146:$W$146),"n/a")</f>
        <v>0.0632916202688305</v>
      </c>
    </row>
    <row r="24" customFormat="false" ht="15" hidden="false" customHeight="false" outlineLevel="0" collapsed="false">
      <c r="A24" s="11" t="s">
        <v>390</v>
      </c>
      <c r="B24" s="66" t="n">
        <f aca="false">MAX(0,-$B$145)</f>
        <v>888519.319958922</v>
      </c>
    </row>
    <row r="25" customFormat="false" ht="15" hidden="false" customHeight="false" outlineLevel="0" collapsed="false">
      <c r="A25" s="11" t="s">
        <v>262</v>
      </c>
      <c r="B25" s="68" t="n">
        <f aca="false">IFERROR(IRR($C$149:$W$149),"n/a")</f>
        <v>0.0295460934241899</v>
      </c>
    </row>
    <row r="26" customFormat="false" ht="15" hidden="false" customHeight="false" outlineLevel="0" collapsed="false">
      <c r="A26" s="11" t="s">
        <v>264</v>
      </c>
      <c r="B26" s="66" t="n">
        <f aca="false">C149+NPV(TargetEqIRR,D149:W149)</f>
        <v>-117677.961698638</v>
      </c>
    </row>
    <row r="27" customFormat="false" ht="15" hidden="false" customHeight="false" outlineLevel="0" collapsed="false">
      <c r="A27" s="11" t="s">
        <v>258</v>
      </c>
      <c r="B27" s="67" t="n">
        <f aca="false">IF((S_Fuel_Hi!$B$16+S_Fuel_Hi!$B$17)&gt;0,MIN($D$148:$W$148),"no debt")</f>
        <v>0.784224918492585</v>
      </c>
    </row>
    <row r="28" customFormat="false" ht="15" hidden="false" customHeight="false" outlineLevel="0" collapsed="false">
      <c r="A28" s="11" t="s">
        <v>260</v>
      </c>
      <c r="B28" s="67" t="n">
        <f aca="false">IF((S_Fuel_Hi!$B$16+S_Fuel_Hi!$B$17)&gt;0,AVERAGE($D$148:$W$148),"no debt")</f>
        <v>2.35043972955675</v>
      </c>
    </row>
    <row r="29" customFormat="false" ht="15" hidden="false" customHeight="false" outlineLevel="0" collapsed="false">
      <c r="A29" s="11" t="s">
        <v>405</v>
      </c>
      <c r="B29" s="87" t="n">
        <f aca="false">IFERROR($B$153/$B$154,0)</f>
        <v>0.68685988060884</v>
      </c>
    </row>
    <row r="30" customFormat="false" ht="15" hidden="false" customHeight="false" outlineLevel="0" collapsed="false">
      <c r="A30" s="11" t="s">
        <v>261</v>
      </c>
      <c r="B30" s="87" t="n">
        <f aca="false">IFERROR($B$155/$B$154,0)</f>
        <v>0.44389628412399</v>
      </c>
    </row>
    <row r="31" customFormat="false" ht="15" hidden="false" customHeight="false" outlineLevel="0" collapsed="false">
      <c r="A31" s="11" t="s">
        <v>406</v>
      </c>
      <c r="B31" s="77" t="n">
        <f aca="false">NPV(Hurdle,D109:W109)</f>
        <v>838.820435762584</v>
      </c>
    </row>
    <row r="32" customFormat="false" ht="15" hidden="false" customHeight="false" outlineLevel="0" collapsed="false">
      <c r="A32" s="11" t="s">
        <v>407</v>
      </c>
      <c r="B32" s="66" t="n">
        <f aca="false">NPV(Hurdle,D108:W108)</f>
        <v>217920.360631104</v>
      </c>
    </row>
    <row r="33" customFormat="false" ht="15" hidden="false" customHeight="false" outlineLevel="0" collapsed="false">
      <c r="A33" s="11" t="s">
        <v>408</v>
      </c>
      <c r="B33" s="77" t="n">
        <f aca="false">NPV(TargetEqIRR,D109:W109)</f>
        <v>785.120407660064</v>
      </c>
    </row>
    <row r="34" customFormat="false" ht="15" hidden="false" customHeight="false" outlineLevel="0" collapsed="false">
      <c r="A34" s="11" t="s">
        <v>409</v>
      </c>
      <c r="B34" s="66" t="n">
        <f aca="false">NPV(TargetEqIRR,D108:W108)</f>
        <v>203969.425495192</v>
      </c>
    </row>
    <row r="35" customFormat="false" ht="15" hidden="false" customHeight="false" outlineLevel="0" collapsed="false">
      <c r="A35" s="11" t="s">
        <v>410</v>
      </c>
      <c r="B35" s="66" t="n">
        <f aca="false">MAX(0,MIN($D$127:$W$127))</f>
        <v>74299.8398778383</v>
      </c>
    </row>
    <row r="36" customFormat="false" ht="15" hidden="false" customHeight="false" outlineLevel="0" collapsed="false">
      <c r="A36" s="11" t="s">
        <v>266</v>
      </c>
      <c r="B36" s="88" t="n">
        <f aca="false">IFERROR(MATCH(TRUE(),INDEX($C$150:$W$150&gt;=0,0),0)-1,"&gt; life")</f>
        <v>13</v>
      </c>
    </row>
    <row r="39" customFormat="false" ht="15" hidden="false" customHeight="false" outlineLevel="0" collapsed="false">
      <c r="A39" s="16" t="s">
        <v>411</v>
      </c>
      <c r="B39" s="74" t="s">
        <v>412</v>
      </c>
      <c r="C39" s="89" t="n">
        <v>0</v>
      </c>
      <c r="D39" s="89" t="n">
        <v>1</v>
      </c>
      <c r="E39" s="89" t="n">
        <v>2</v>
      </c>
      <c r="F39" s="89" t="n">
        <v>3</v>
      </c>
      <c r="G39" s="89" t="n">
        <v>4</v>
      </c>
      <c r="H39" s="89" t="n">
        <v>5</v>
      </c>
      <c r="I39" s="89" t="n">
        <v>6</v>
      </c>
      <c r="J39" s="89" t="n">
        <v>7</v>
      </c>
      <c r="K39" s="89" t="n">
        <v>8</v>
      </c>
      <c r="L39" s="89" t="n">
        <v>9</v>
      </c>
      <c r="M39" s="89" t="n">
        <v>10</v>
      </c>
      <c r="N39" s="89" t="n">
        <v>11</v>
      </c>
      <c r="O39" s="89" t="n">
        <v>12</v>
      </c>
      <c r="P39" s="89" t="n">
        <v>13</v>
      </c>
      <c r="Q39" s="89" t="n">
        <v>14</v>
      </c>
      <c r="R39" s="89" t="n">
        <v>15</v>
      </c>
      <c r="S39" s="89" t="n">
        <v>16</v>
      </c>
      <c r="T39" s="89" t="n">
        <v>17</v>
      </c>
      <c r="U39" s="89" t="n">
        <v>18</v>
      </c>
      <c r="V39" s="89" t="n">
        <v>19</v>
      </c>
      <c r="W39" s="89" t="n">
        <v>20</v>
      </c>
    </row>
    <row r="40" customFormat="false" ht="15" hidden="false" customHeight="false" outlineLevel="0" collapsed="false">
      <c r="A40" s="11" t="s">
        <v>413</v>
      </c>
      <c r="C40" s="90" t="n">
        <f aca="false">StartYear-1+C39</f>
        <v>2026</v>
      </c>
      <c r="D40" s="90" t="n">
        <f aca="false">StartYear-1+D39</f>
        <v>2027</v>
      </c>
      <c r="E40" s="90" t="n">
        <f aca="false">StartYear-1+E39</f>
        <v>2028</v>
      </c>
      <c r="F40" s="90" t="n">
        <f aca="false">StartYear-1+F39</f>
        <v>2029</v>
      </c>
      <c r="G40" s="90" t="n">
        <f aca="false">StartYear-1+G39</f>
        <v>2030</v>
      </c>
      <c r="H40" s="90" t="n">
        <f aca="false">StartYear-1+H39</f>
        <v>2031</v>
      </c>
      <c r="I40" s="90" t="n">
        <f aca="false">StartYear-1+I39</f>
        <v>2032</v>
      </c>
      <c r="J40" s="90" t="n">
        <f aca="false">StartYear-1+J39</f>
        <v>2033</v>
      </c>
      <c r="K40" s="90" t="n">
        <f aca="false">StartYear-1+K39</f>
        <v>2034</v>
      </c>
      <c r="L40" s="90" t="n">
        <f aca="false">StartYear-1+L39</f>
        <v>2035</v>
      </c>
      <c r="M40" s="90" t="n">
        <f aca="false">StartYear-1+M39</f>
        <v>2036</v>
      </c>
      <c r="N40" s="90" t="n">
        <f aca="false">StartYear-1+N39</f>
        <v>2037</v>
      </c>
      <c r="O40" s="90" t="n">
        <f aca="false">StartYear-1+O39</f>
        <v>2038</v>
      </c>
      <c r="P40" s="90" t="n">
        <f aca="false">StartYear-1+P39</f>
        <v>2039</v>
      </c>
      <c r="Q40" s="90" t="n">
        <f aca="false">StartYear-1+Q39</f>
        <v>2040</v>
      </c>
      <c r="R40" s="90" t="n">
        <f aca="false">StartYear-1+R39</f>
        <v>2041</v>
      </c>
      <c r="S40" s="90" t="n">
        <f aca="false">StartYear-1+S39</f>
        <v>2042</v>
      </c>
      <c r="T40" s="90" t="n">
        <f aca="false">StartYear-1+T39</f>
        <v>2043</v>
      </c>
      <c r="U40" s="90" t="n">
        <f aca="false">StartYear-1+U39</f>
        <v>2044</v>
      </c>
      <c r="V40" s="90" t="n">
        <f aca="false">StartYear-1+V39</f>
        <v>2045</v>
      </c>
      <c r="W40" s="90" t="n">
        <f aca="false">StartYear-1+W39</f>
        <v>2046</v>
      </c>
    </row>
    <row r="41" customFormat="false" ht="15" hidden="false" customHeight="false" outlineLevel="0" collapsed="false">
      <c r="A41" s="11" t="s">
        <v>414</v>
      </c>
      <c r="C41" s="90" t="n">
        <f aca="false">IF(AND(C39&gt;=1,C39&lt;=Life),1,0)</f>
        <v>0</v>
      </c>
      <c r="D41" s="90" t="n">
        <f aca="false">IF(AND(D39&gt;=1,D39&lt;=Life),1,0)</f>
        <v>1</v>
      </c>
      <c r="E41" s="90" t="n">
        <f aca="false">IF(AND(E39&gt;=1,E39&lt;=Life),1,0)</f>
        <v>1</v>
      </c>
      <c r="F41" s="90" t="n">
        <f aca="false">IF(AND(F39&gt;=1,F39&lt;=Life),1,0)</f>
        <v>1</v>
      </c>
      <c r="G41" s="90" t="n">
        <f aca="false">IF(AND(G39&gt;=1,G39&lt;=Life),1,0)</f>
        <v>1</v>
      </c>
      <c r="H41" s="90" t="n">
        <f aca="false">IF(AND(H39&gt;=1,H39&lt;=Life),1,0)</f>
        <v>1</v>
      </c>
      <c r="I41" s="90" t="n">
        <f aca="false">IF(AND(I39&gt;=1,I39&lt;=Life),1,0)</f>
        <v>1</v>
      </c>
      <c r="J41" s="90" t="n">
        <f aca="false">IF(AND(J39&gt;=1,J39&lt;=Life),1,0)</f>
        <v>1</v>
      </c>
      <c r="K41" s="90" t="n">
        <f aca="false">IF(AND(K39&gt;=1,K39&lt;=Life),1,0)</f>
        <v>1</v>
      </c>
      <c r="L41" s="90" t="n">
        <f aca="false">IF(AND(L39&gt;=1,L39&lt;=Life),1,0)</f>
        <v>1</v>
      </c>
      <c r="M41" s="90" t="n">
        <f aca="false">IF(AND(M39&gt;=1,M39&lt;=Life),1,0)</f>
        <v>1</v>
      </c>
      <c r="N41" s="90" t="n">
        <f aca="false">IF(AND(N39&gt;=1,N39&lt;=Life),1,0)</f>
        <v>1</v>
      </c>
      <c r="O41" s="90" t="n">
        <f aca="false">IF(AND(O39&gt;=1,O39&lt;=Life),1,0)</f>
        <v>1</v>
      </c>
      <c r="P41" s="90" t="n">
        <f aca="false">IF(AND(P39&gt;=1,P39&lt;=Life),1,0)</f>
        <v>1</v>
      </c>
      <c r="Q41" s="90" t="n">
        <f aca="false">IF(AND(Q39&gt;=1,Q39&lt;=Life),1,0)</f>
        <v>1</v>
      </c>
      <c r="R41" s="90" t="n">
        <f aca="false">IF(AND(R39&gt;=1,R39&lt;=Life),1,0)</f>
        <v>1</v>
      </c>
      <c r="S41" s="90" t="n">
        <f aca="false">IF(AND(S39&gt;=1,S39&lt;=Life),1,0)</f>
        <v>1</v>
      </c>
      <c r="T41" s="90" t="n">
        <f aca="false">IF(AND(T39&gt;=1,T39&lt;=Life),1,0)</f>
        <v>1</v>
      </c>
      <c r="U41" s="90" t="n">
        <f aca="false">IF(AND(U39&gt;=1,U39&lt;=Life),1,0)</f>
        <v>1</v>
      </c>
      <c r="V41" s="90" t="n">
        <f aca="false">IF(AND(V39&gt;=1,V39&lt;=Life),1,0)</f>
        <v>1</v>
      </c>
      <c r="W41" s="90" t="n">
        <f aca="false">IF(AND(W39&gt;=1,W39&lt;=Life),1,0)</f>
        <v>1</v>
      </c>
    </row>
    <row r="42" customFormat="false" ht="15" hidden="false" customHeight="false" outlineLevel="0" collapsed="false">
      <c r="A42" s="11" t="s">
        <v>415</v>
      </c>
      <c r="C42" s="91" t="n">
        <v>0</v>
      </c>
      <c r="D42" s="91" t="n">
        <f aca="false">IF(D39=1,Ramp1,IF(D39=2,Ramp2,Ramp3))*D41</f>
        <v>0.6</v>
      </c>
      <c r="E42" s="91" t="n">
        <f aca="false">IF(E39=1,Ramp1,IF(E39=2,Ramp2,Ramp3))*E41</f>
        <v>0.85</v>
      </c>
      <c r="F42" s="91" t="n">
        <f aca="false">IF(F39=1,Ramp1,IF(F39=2,Ramp2,Ramp3))*F41</f>
        <v>1</v>
      </c>
      <c r="G42" s="91" t="n">
        <f aca="false">IF(G39=1,Ramp1,IF(G39=2,Ramp2,Ramp3))*G41</f>
        <v>1</v>
      </c>
      <c r="H42" s="91" t="n">
        <f aca="false">IF(H39=1,Ramp1,IF(H39=2,Ramp2,Ramp3))*H41</f>
        <v>1</v>
      </c>
      <c r="I42" s="91" t="n">
        <f aca="false">IF(I39=1,Ramp1,IF(I39=2,Ramp2,Ramp3))*I41</f>
        <v>1</v>
      </c>
      <c r="J42" s="91" t="n">
        <f aca="false">IF(J39=1,Ramp1,IF(J39=2,Ramp2,Ramp3))*J41</f>
        <v>1</v>
      </c>
      <c r="K42" s="91" t="n">
        <f aca="false">IF(K39=1,Ramp1,IF(K39=2,Ramp2,Ramp3))*K41</f>
        <v>1</v>
      </c>
      <c r="L42" s="91" t="n">
        <f aca="false">IF(L39=1,Ramp1,IF(L39=2,Ramp2,Ramp3))*L41</f>
        <v>1</v>
      </c>
      <c r="M42" s="91" t="n">
        <f aca="false">IF(M39=1,Ramp1,IF(M39=2,Ramp2,Ramp3))*M41</f>
        <v>1</v>
      </c>
      <c r="N42" s="91" t="n">
        <f aca="false">IF(N39=1,Ramp1,IF(N39=2,Ramp2,Ramp3))*N41</f>
        <v>1</v>
      </c>
      <c r="O42" s="91" t="n">
        <f aca="false">IF(O39=1,Ramp1,IF(O39=2,Ramp2,Ramp3))*O41</f>
        <v>1</v>
      </c>
      <c r="P42" s="91" t="n">
        <f aca="false">IF(P39=1,Ramp1,IF(P39=2,Ramp2,Ramp3))*P41</f>
        <v>1</v>
      </c>
      <c r="Q42" s="91" t="n">
        <f aca="false">IF(Q39=1,Ramp1,IF(Q39=2,Ramp2,Ramp3))*Q41</f>
        <v>1</v>
      </c>
      <c r="R42" s="91" t="n">
        <f aca="false">IF(R39=1,Ramp1,IF(R39=2,Ramp2,Ramp3))*R41</f>
        <v>1</v>
      </c>
      <c r="S42" s="91" t="n">
        <f aca="false">IF(S39=1,Ramp1,IF(S39=2,Ramp2,Ramp3))*S41</f>
        <v>1</v>
      </c>
      <c r="T42" s="91" t="n">
        <f aca="false">IF(T39=1,Ramp1,IF(T39=2,Ramp2,Ramp3))*T41</f>
        <v>1</v>
      </c>
      <c r="U42" s="91" t="n">
        <f aca="false">IF(U39=1,Ramp1,IF(U39=2,Ramp2,Ramp3))*U41</f>
        <v>1</v>
      </c>
      <c r="V42" s="91" t="n">
        <f aca="false">IF(V39=1,Ramp1,IF(V39=2,Ramp2,Ramp3))*V41</f>
        <v>1</v>
      </c>
      <c r="W42" s="91" t="n">
        <f aca="false">IF(W39=1,Ramp1,IF(W39=2,Ramp2,Ramp3))*W41</f>
        <v>1</v>
      </c>
    </row>
    <row r="43" customFormat="false" ht="15" hidden="false" customHeight="false" outlineLevel="0" collapsed="false">
      <c r="A43" s="11" t="s">
        <v>416</v>
      </c>
      <c r="C43" s="92" t="n">
        <v>0</v>
      </c>
      <c r="D43" s="92" t="n">
        <f aca="false">(1+TariffEsc)^(D39-1)</f>
        <v>1</v>
      </c>
      <c r="E43" s="92" t="n">
        <f aca="false">(1+TariffEsc)^(E39-1)</f>
        <v>1.03</v>
      </c>
      <c r="F43" s="92" t="n">
        <f aca="false">(1+TariffEsc)^(F39-1)</f>
        <v>1.0609</v>
      </c>
      <c r="G43" s="92" t="n">
        <f aca="false">(1+TariffEsc)^(G39-1)</f>
        <v>1.092727</v>
      </c>
      <c r="H43" s="92" t="n">
        <f aca="false">(1+TariffEsc)^(H39-1)</f>
        <v>1.12550881</v>
      </c>
      <c r="I43" s="92" t="n">
        <f aca="false">(1+TariffEsc)^(I39-1)</f>
        <v>1.1592740743</v>
      </c>
      <c r="J43" s="92" t="n">
        <f aca="false">(1+TariffEsc)^(J39-1)</f>
        <v>1.194052296529</v>
      </c>
      <c r="K43" s="92" t="n">
        <f aca="false">(1+TariffEsc)^(K39-1)</f>
        <v>1.22987386542487</v>
      </c>
      <c r="L43" s="92" t="n">
        <f aca="false">(1+TariffEsc)^(L39-1)</f>
        <v>1.26677008138762</v>
      </c>
      <c r="M43" s="92" t="n">
        <f aca="false">(1+TariffEsc)^(M39-1)</f>
        <v>1.30477318382925</v>
      </c>
      <c r="N43" s="92" t="n">
        <f aca="false">(1+TariffEsc)^(N39-1)</f>
        <v>1.34391637934412</v>
      </c>
      <c r="O43" s="92" t="n">
        <f aca="false">(1+TariffEsc)^(O39-1)</f>
        <v>1.38423387072445</v>
      </c>
      <c r="P43" s="92" t="n">
        <f aca="false">(1+TariffEsc)^(P39-1)</f>
        <v>1.42576088684618</v>
      </c>
      <c r="Q43" s="92" t="n">
        <f aca="false">(1+TariffEsc)^(Q39-1)</f>
        <v>1.46853371345156</v>
      </c>
      <c r="R43" s="92" t="n">
        <f aca="false">(1+TariffEsc)^(R39-1)</f>
        <v>1.51258972485511</v>
      </c>
      <c r="S43" s="92" t="n">
        <f aca="false">(1+TariffEsc)^(S39-1)</f>
        <v>1.55796741660077</v>
      </c>
      <c r="T43" s="92" t="n">
        <f aca="false">(1+TariffEsc)^(T39-1)</f>
        <v>1.60470643909879</v>
      </c>
      <c r="U43" s="92" t="n">
        <f aca="false">(1+TariffEsc)^(U39-1)</f>
        <v>1.65284763227175</v>
      </c>
      <c r="V43" s="92" t="n">
        <f aca="false">(1+TariffEsc)^(V39-1)</f>
        <v>1.7024330612399</v>
      </c>
      <c r="W43" s="92" t="n">
        <f aca="false">(1+TariffEsc)^(W39-1)</f>
        <v>1.7535060530771</v>
      </c>
    </row>
    <row r="44" customFormat="false" ht="15" hidden="false" customHeight="false" outlineLevel="0" collapsed="false">
      <c r="A44" s="11" t="s">
        <v>417</v>
      </c>
      <c r="C44" s="92" t="n">
        <v>0</v>
      </c>
      <c r="D44" s="92" t="n">
        <f aca="false">(1+CostEsc)^(D39-1)</f>
        <v>1</v>
      </c>
      <c r="E44" s="92" t="n">
        <f aca="false">(1+CostEsc)^(E39-1)</f>
        <v>1.03</v>
      </c>
      <c r="F44" s="92" t="n">
        <f aca="false">(1+CostEsc)^(F39-1)</f>
        <v>1.0609</v>
      </c>
      <c r="G44" s="92" t="n">
        <f aca="false">(1+CostEsc)^(G39-1)</f>
        <v>1.092727</v>
      </c>
      <c r="H44" s="92" t="n">
        <f aca="false">(1+CostEsc)^(H39-1)</f>
        <v>1.12550881</v>
      </c>
      <c r="I44" s="92" t="n">
        <f aca="false">(1+CostEsc)^(I39-1)</f>
        <v>1.1592740743</v>
      </c>
      <c r="J44" s="92" t="n">
        <f aca="false">(1+CostEsc)^(J39-1)</f>
        <v>1.194052296529</v>
      </c>
      <c r="K44" s="92" t="n">
        <f aca="false">(1+CostEsc)^(K39-1)</f>
        <v>1.22987386542487</v>
      </c>
      <c r="L44" s="92" t="n">
        <f aca="false">(1+CostEsc)^(L39-1)</f>
        <v>1.26677008138762</v>
      </c>
      <c r="M44" s="92" t="n">
        <f aca="false">(1+CostEsc)^(M39-1)</f>
        <v>1.30477318382925</v>
      </c>
      <c r="N44" s="92" t="n">
        <f aca="false">(1+CostEsc)^(N39-1)</f>
        <v>1.34391637934412</v>
      </c>
      <c r="O44" s="92" t="n">
        <f aca="false">(1+CostEsc)^(O39-1)</f>
        <v>1.38423387072445</v>
      </c>
      <c r="P44" s="92" t="n">
        <f aca="false">(1+CostEsc)^(P39-1)</f>
        <v>1.42576088684618</v>
      </c>
      <c r="Q44" s="92" t="n">
        <f aca="false">(1+CostEsc)^(Q39-1)</f>
        <v>1.46853371345156</v>
      </c>
      <c r="R44" s="92" t="n">
        <f aca="false">(1+CostEsc)^(R39-1)</f>
        <v>1.51258972485511</v>
      </c>
      <c r="S44" s="92" t="n">
        <f aca="false">(1+CostEsc)^(S39-1)</f>
        <v>1.55796741660077</v>
      </c>
      <c r="T44" s="92" t="n">
        <f aca="false">(1+CostEsc)^(T39-1)</f>
        <v>1.60470643909879</v>
      </c>
      <c r="U44" s="92" t="n">
        <f aca="false">(1+CostEsc)^(U39-1)</f>
        <v>1.65284763227175</v>
      </c>
      <c r="V44" s="92" t="n">
        <f aca="false">(1+CostEsc)^(V39-1)</f>
        <v>1.7024330612399</v>
      </c>
      <c r="W44" s="92" t="n">
        <f aca="false">(1+CostEsc)^(W39-1)</f>
        <v>1.7535060530771</v>
      </c>
    </row>
    <row r="45" customFormat="false" ht="15" hidden="false" customHeight="false" outlineLevel="0" collapsed="false">
      <c r="A45" s="11" t="s">
        <v>418</v>
      </c>
      <c r="C45" s="92" t="n">
        <v>0</v>
      </c>
      <c r="D45" s="92" t="n">
        <f aca="false">(1+DemandGrowth)^(D39-1)*LevDemand*$B$6</f>
        <v>1</v>
      </c>
      <c r="E45" s="92" t="n">
        <f aca="false">(1+DemandGrowth)^(E39-1)*LevDemand*$B$6</f>
        <v>1.03</v>
      </c>
      <c r="F45" s="92" t="n">
        <f aca="false">(1+DemandGrowth)^(F39-1)*LevDemand*$B$6</f>
        <v>1.0609</v>
      </c>
      <c r="G45" s="92" t="n">
        <f aca="false">(1+DemandGrowth)^(G39-1)*LevDemand*$B$6</f>
        <v>1.092727</v>
      </c>
      <c r="H45" s="92" t="n">
        <f aca="false">(1+DemandGrowth)^(H39-1)*LevDemand*$B$6</f>
        <v>1.12550881</v>
      </c>
      <c r="I45" s="92" t="n">
        <f aca="false">(1+DemandGrowth)^(I39-1)*LevDemand*$B$6</f>
        <v>1.1592740743</v>
      </c>
      <c r="J45" s="92" t="n">
        <f aca="false">(1+DemandGrowth)^(J39-1)*LevDemand*$B$6</f>
        <v>1.194052296529</v>
      </c>
      <c r="K45" s="92" t="n">
        <f aca="false">(1+DemandGrowth)^(K39-1)*LevDemand*$B$6</f>
        <v>1.22987386542487</v>
      </c>
      <c r="L45" s="92" t="n">
        <f aca="false">(1+DemandGrowth)^(L39-1)*LevDemand*$B$6</f>
        <v>1.26677008138762</v>
      </c>
      <c r="M45" s="92" t="n">
        <f aca="false">(1+DemandGrowth)^(M39-1)*LevDemand*$B$6</f>
        <v>1.30477318382925</v>
      </c>
      <c r="N45" s="92" t="n">
        <f aca="false">(1+DemandGrowth)^(N39-1)*LevDemand*$B$6</f>
        <v>1.34391637934412</v>
      </c>
      <c r="O45" s="92" t="n">
        <f aca="false">(1+DemandGrowth)^(O39-1)*LevDemand*$B$6</f>
        <v>1.38423387072445</v>
      </c>
      <c r="P45" s="92" t="n">
        <f aca="false">(1+DemandGrowth)^(P39-1)*LevDemand*$B$6</f>
        <v>1.42576088684618</v>
      </c>
      <c r="Q45" s="92" t="n">
        <f aca="false">(1+DemandGrowth)^(Q39-1)*LevDemand*$B$6</f>
        <v>1.46853371345156</v>
      </c>
      <c r="R45" s="92" t="n">
        <f aca="false">(1+DemandGrowth)^(R39-1)*LevDemand*$B$6</f>
        <v>1.51258972485511</v>
      </c>
      <c r="S45" s="92" t="n">
        <f aca="false">(1+DemandGrowth)^(S39-1)*LevDemand*$B$6</f>
        <v>1.55796741660077</v>
      </c>
      <c r="T45" s="92" t="n">
        <f aca="false">(1+DemandGrowth)^(T39-1)*LevDemand*$B$6</f>
        <v>1.60470643909879</v>
      </c>
      <c r="U45" s="92" t="n">
        <f aca="false">(1+DemandGrowth)^(U39-1)*LevDemand*$B$6</f>
        <v>1.65284763227175</v>
      </c>
      <c r="V45" s="92" t="n">
        <f aca="false">(1+DemandGrowth)^(V39-1)*LevDemand*$B$6</f>
        <v>1.7024330612399</v>
      </c>
      <c r="W45" s="92" t="n">
        <f aca="false">(1+DemandGrowth)^(W39-1)*LevDemand*$B$6</f>
        <v>1.7535060530771</v>
      </c>
    </row>
    <row r="47" customFormat="false" ht="15" hidden="false" customHeight="false" outlineLevel="0" collapsed="false">
      <c r="A47" s="9" t="s">
        <v>419</v>
      </c>
      <c r="B47" s="10"/>
      <c r="C47" s="10"/>
      <c r="D47" s="10"/>
      <c r="E47" s="10"/>
      <c r="F47" s="10"/>
      <c r="G47" s="10"/>
      <c r="H47" s="10"/>
      <c r="I47" s="10"/>
      <c r="J47" s="10"/>
      <c r="K47" s="10"/>
      <c r="L47" s="10"/>
      <c r="M47" s="10"/>
      <c r="N47" s="10"/>
      <c r="O47" s="10"/>
      <c r="P47" s="10"/>
      <c r="Q47" s="10"/>
      <c r="R47" s="10"/>
      <c r="S47" s="10"/>
      <c r="T47" s="10"/>
      <c r="U47" s="10"/>
      <c r="V47" s="10"/>
      <c r="W47" s="10"/>
    </row>
    <row r="48" customFormat="false" ht="15" hidden="false" customHeight="false" outlineLevel="0" collapsed="false">
      <c r="A48" s="11" t="str">
        <f aca="false">"Connections - "&amp;Seg1_Name</f>
        <v>Connections - Households</v>
      </c>
      <c r="C48" s="93" t="n">
        <v>0</v>
      </c>
      <c r="D48" s="93" t="n">
        <f aca="false">Seg1_N*D42</f>
        <v>480</v>
      </c>
      <c r="E48" s="93" t="n">
        <f aca="false">Seg1_N*E42</f>
        <v>680</v>
      </c>
      <c r="F48" s="93" t="n">
        <f aca="false">Seg1_N*F42</f>
        <v>800</v>
      </c>
      <c r="G48" s="93" t="n">
        <f aca="false">Seg1_N*G42</f>
        <v>800</v>
      </c>
      <c r="H48" s="93" t="n">
        <f aca="false">Seg1_N*H42</f>
        <v>800</v>
      </c>
      <c r="I48" s="93" t="n">
        <f aca="false">Seg1_N*I42</f>
        <v>800</v>
      </c>
      <c r="J48" s="93" t="n">
        <f aca="false">Seg1_N*J42</f>
        <v>800</v>
      </c>
      <c r="K48" s="93" t="n">
        <f aca="false">Seg1_N*K42</f>
        <v>800</v>
      </c>
      <c r="L48" s="93" t="n">
        <f aca="false">Seg1_N*L42</f>
        <v>800</v>
      </c>
      <c r="M48" s="93" t="n">
        <f aca="false">Seg1_N*M42</f>
        <v>800</v>
      </c>
      <c r="N48" s="93" t="n">
        <f aca="false">Seg1_N*N42</f>
        <v>800</v>
      </c>
      <c r="O48" s="93" t="n">
        <f aca="false">Seg1_N*O42</f>
        <v>800</v>
      </c>
      <c r="P48" s="93" t="n">
        <f aca="false">Seg1_N*P42</f>
        <v>800</v>
      </c>
      <c r="Q48" s="93" t="n">
        <f aca="false">Seg1_N*Q42</f>
        <v>800</v>
      </c>
      <c r="R48" s="93" t="n">
        <f aca="false">Seg1_N*R42</f>
        <v>800</v>
      </c>
      <c r="S48" s="93" t="n">
        <f aca="false">Seg1_N*S42</f>
        <v>800</v>
      </c>
      <c r="T48" s="93" t="n">
        <f aca="false">Seg1_N*T42</f>
        <v>800</v>
      </c>
      <c r="U48" s="93" t="n">
        <f aca="false">Seg1_N*U42</f>
        <v>800</v>
      </c>
      <c r="V48" s="93" t="n">
        <f aca="false">Seg1_N*V42</f>
        <v>800</v>
      </c>
      <c r="W48" s="93" t="n">
        <f aca="false">Seg1_N*W42</f>
        <v>800</v>
      </c>
    </row>
    <row r="49" customFormat="false" ht="15" hidden="false" customHeight="false" outlineLevel="0" collapsed="false">
      <c r="A49" s="11" t="str">
        <f aca="false">"Connections - "&amp;Seg2_Name</f>
        <v>Connections - Productive users (mills, welding, cold rooms)</v>
      </c>
      <c r="C49" s="93" t="n">
        <v>0</v>
      </c>
      <c r="D49" s="93" t="n">
        <f aca="false">Seg2_N*D42</f>
        <v>36</v>
      </c>
      <c r="E49" s="93" t="n">
        <f aca="false">Seg2_N*E42</f>
        <v>51</v>
      </c>
      <c r="F49" s="93" t="n">
        <f aca="false">Seg2_N*F42</f>
        <v>60</v>
      </c>
      <c r="G49" s="93" t="n">
        <f aca="false">Seg2_N*G42</f>
        <v>60</v>
      </c>
      <c r="H49" s="93" t="n">
        <f aca="false">Seg2_N*H42</f>
        <v>60</v>
      </c>
      <c r="I49" s="93" t="n">
        <f aca="false">Seg2_N*I42</f>
        <v>60</v>
      </c>
      <c r="J49" s="93" t="n">
        <f aca="false">Seg2_N*J42</f>
        <v>60</v>
      </c>
      <c r="K49" s="93" t="n">
        <f aca="false">Seg2_N*K42</f>
        <v>60</v>
      </c>
      <c r="L49" s="93" t="n">
        <f aca="false">Seg2_N*L42</f>
        <v>60</v>
      </c>
      <c r="M49" s="93" t="n">
        <f aca="false">Seg2_N*M42</f>
        <v>60</v>
      </c>
      <c r="N49" s="93" t="n">
        <f aca="false">Seg2_N*N42</f>
        <v>60</v>
      </c>
      <c r="O49" s="93" t="n">
        <f aca="false">Seg2_N*O42</f>
        <v>60</v>
      </c>
      <c r="P49" s="93" t="n">
        <f aca="false">Seg2_N*P42</f>
        <v>60</v>
      </c>
      <c r="Q49" s="93" t="n">
        <f aca="false">Seg2_N*Q42</f>
        <v>60</v>
      </c>
      <c r="R49" s="93" t="n">
        <f aca="false">Seg2_N*R42</f>
        <v>60</v>
      </c>
      <c r="S49" s="93" t="n">
        <f aca="false">Seg2_N*S42</f>
        <v>60</v>
      </c>
      <c r="T49" s="93" t="n">
        <f aca="false">Seg2_N*T42</f>
        <v>60</v>
      </c>
      <c r="U49" s="93" t="n">
        <f aca="false">Seg2_N*U42</f>
        <v>60</v>
      </c>
      <c r="V49" s="93" t="n">
        <f aca="false">Seg2_N*V42</f>
        <v>60</v>
      </c>
      <c r="W49" s="93" t="n">
        <f aca="false">Seg2_N*W42</f>
        <v>60</v>
      </c>
    </row>
    <row r="50" customFormat="false" ht="15" hidden="false" customHeight="false" outlineLevel="0" collapsed="false">
      <c r="A50" s="11" t="str">
        <f aca="false">"Connections - "&amp;Seg3_Name</f>
        <v>Connections - Commercial (shops, bars, kiosks)</v>
      </c>
      <c r="C50" s="93" t="n">
        <v>0</v>
      </c>
      <c r="D50" s="93" t="n">
        <f aca="false">Seg3_N*D42</f>
        <v>60</v>
      </c>
      <c r="E50" s="93" t="n">
        <f aca="false">Seg3_N*E42</f>
        <v>85</v>
      </c>
      <c r="F50" s="93" t="n">
        <f aca="false">Seg3_N*F42</f>
        <v>100</v>
      </c>
      <c r="G50" s="93" t="n">
        <f aca="false">Seg3_N*G42</f>
        <v>100</v>
      </c>
      <c r="H50" s="93" t="n">
        <f aca="false">Seg3_N*H42</f>
        <v>100</v>
      </c>
      <c r="I50" s="93" t="n">
        <f aca="false">Seg3_N*I42</f>
        <v>100</v>
      </c>
      <c r="J50" s="93" t="n">
        <f aca="false">Seg3_N*J42</f>
        <v>100</v>
      </c>
      <c r="K50" s="93" t="n">
        <f aca="false">Seg3_N*K42</f>
        <v>100</v>
      </c>
      <c r="L50" s="93" t="n">
        <f aca="false">Seg3_N*L42</f>
        <v>100</v>
      </c>
      <c r="M50" s="93" t="n">
        <f aca="false">Seg3_N*M42</f>
        <v>100</v>
      </c>
      <c r="N50" s="93" t="n">
        <f aca="false">Seg3_N*N42</f>
        <v>100</v>
      </c>
      <c r="O50" s="93" t="n">
        <f aca="false">Seg3_N*O42</f>
        <v>100</v>
      </c>
      <c r="P50" s="93" t="n">
        <f aca="false">Seg3_N*P42</f>
        <v>100</v>
      </c>
      <c r="Q50" s="93" t="n">
        <f aca="false">Seg3_N*Q42</f>
        <v>100</v>
      </c>
      <c r="R50" s="93" t="n">
        <f aca="false">Seg3_N*R42</f>
        <v>100</v>
      </c>
      <c r="S50" s="93" t="n">
        <f aca="false">Seg3_N*S42</f>
        <v>100</v>
      </c>
      <c r="T50" s="93" t="n">
        <f aca="false">Seg3_N*T42</f>
        <v>100</v>
      </c>
      <c r="U50" s="93" t="n">
        <f aca="false">Seg3_N*U42</f>
        <v>100</v>
      </c>
      <c r="V50" s="93" t="n">
        <f aca="false">Seg3_N*V42</f>
        <v>100</v>
      </c>
      <c r="W50" s="93" t="n">
        <f aca="false">Seg3_N*W42</f>
        <v>100</v>
      </c>
    </row>
    <row r="51" customFormat="false" ht="15" hidden="false" customHeight="false" outlineLevel="0" collapsed="false">
      <c r="A51" s="11" t="str">
        <f aca="false">"Connections - "&amp;Seg4_Name</f>
        <v>Connections - Institutions (health centre, school, water)</v>
      </c>
      <c r="C51" s="93" t="n">
        <v>0</v>
      </c>
      <c r="D51" s="93" t="n">
        <f aca="false">Seg4_N*D42</f>
        <v>6</v>
      </c>
      <c r="E51" s="93" t="n">
        <f aca="false">Seg4_N*E42</f>
        <v>8.5</v>
      </c>
      <c r="F51" s="93" t="n">
        <f aca="false">Seg4_N*F42</f>
        <v>10</v>
      </c>
      <c r="G51" s="93" t="n">
        <f aca="false">Seg4_N*G42</f>
        <v>10</v>
      </c>
      <c r="H51" s="93" t="n">
        <f aca="false">Seg4_N*H42</f>
        <v>10</v>
      </c>
      <c r="I51" s="93" t="n">
        <f aca="false">Seg4_N*I42</f>
        <v>10</v>
      </c>
      <c r="J51" s="93" t="n">
        <f aca="false">Seg4_N*J42</f>
        <v>10</v>
      </c>
      <c r="K51" s="93" t="n">
        <f aca="false">Seg4_N*K42</f>
        <v>10</v>
      </c>
      <c r="L51" s="93" t="n">
        <f aca="false">Seg4_N*L42</f>
        <v>10</v>
      </c>
      <c r="M51" s="93" t="n">
        <f aca="false">Seg4_N*M42</f>
        <v>10</v>
      </c>
      <c r="N51" s="93" t="n">
        <f aca="false">Seg4_N*N42</f>
        <v>10</v>
      </c>
      <c r="O51" s="93" t="n">
        <f aca="false">Seg4_N*O42</f>
        <v>10</v>
      </c>
      <c r="P51" s="93" t="n">
        <f aca="false">Seg4_N*P42</f>
        <v>10</v>
      </c>
      <c r="Q51" s="93" t="n">
        <f aca="false">Seg4_N*Q42</f>
        <v>10</v>
      </c>
      <c r="R51" s="93" t="n">
        <f aca="false">Seg4_N*R42</f>
        <v>10</v>
      </c>
      <c r="S51" s="93" t="n">
        <f aca="false">Seg4_N*S42</f>
        <v>10</v>
      </c>
      <c r="T51" s="93" t="n">
        <f aca="false">Seg4_N*T42</f>
        <v>10</v>
      </c>
      <c r="U51" s="93" t="n">
        <f aca="false">Seg4_N*U42</f>
        <v>10</v>
      </c>
      <c r="V51" s="93" t="n">
        <f aca="false">Seg4_N*V42</f>
        <v>10</v>
      </c>
      <c r="W51" s="93" t="n">
        <f aca="false">Seg4_N*W42</f>
        <v>10</v>
      </c>
    </row>
    <row r="52" customFormat="false" ht="15" hidden="false" customHeight="false" outlineLevel="0" collapsed="false">
      <c r="A52" s="11" t="str">
        <f aca="false">"Connections - "&amp;Seg5_Name</f>
        <v>Connections - Other / custom</v>
      </c>
      <c r="C52" s="93" t="n">
        <v>0</v>
      </c>
      <c r="D52" s="93" t="n">
        <f aca="false">Seg5_N*D42</f>
        <v>0</v>
      </c>
      <c r="E52" s="93" t="n">
        <f aca="false">Seg5_N*E42</f>
        <v>0</v>
      </c>
      <c r="F52" s="93" t="n">
        <f aca="false">Seg5_N*F42</f>
        <v>0</v>
      </c>
      <c r="G52" s="93" t="n">
        <f aca="false">Seg5_N*G42</f>
        <v>0</v>
      </c>
      <c r="H52" s="93" t="n">
        <f aca="false">Seg5_N*H42</f>
        <v>0</v>
      </c>
      <c r="I52" s="93" t="n">
        <f aca="false">Seg5_N*I42</f>
        <v>0</v>
      </c>
      <c r="J52" s="93" t="n">
        <f aca="false">Seg5_N*J42</f>
        <v>0</v>
      </c>
      <c r="K52" s="93" t="n">
        <f aca="false">Seg5_N*K42</f>
        <v>0</v>
      </c>
      <c r="L52" s="93" t="n">
        <f aca="false">Seg5_N*L42</f>
        <v>0</v>
      </c>
      <c r="M52" s="93" t="n">
        <f aca="false">Seg5_N*M42</f>
        <v>0</v>
      </c>
      <c r="N52" s="93" t="n">
        <f aca="false">Seg5_N*N42</f>
        <v>0</v>
      </c>
      <c r="O52" s="93" t="n">
        <f aca="false">Seg5_N*O42</f>
        <v>0</v>
      </c>
      <c r="P52" s="93" t="n">
        <f aca="false">Seg5_N*P42</f>
        <v>0</v>
      </c>
      <c r="Q52" s="93" t="n">
        <f aca="false">Seg5_N*Q42</f>
        <v>0</v>
      </c>
      <c r="R52" s="93" t="n">
        <f aca="false">Seg5_N*R42</f>
        <v>0</v>
      </c>
      <c r="S52" s="93" t="n">
        <f aca="false">Seg5_N*S42</f>
        <v>0</v>
      </c>
      <c r="T52" s="93" t="n">
        <f aca="false">Seg5_N*T42</f>
        <v>0</v>
      </c>
      <c r="U52" s="93" t="n">
        <f aca="false">Seg5_N*U42</f>
        <v>0</v>
      </c>
      <c r="V52" s="93" t="n">
        <f aca="false">Seg5_N*V42</f>
        <v>0</v>
      </c>
      <c r="W52" s="93" t="n">
        <f aca="false">Seg5_N*W42</f>
        <v>0</v>
      </c>
    </row>
    <row r="53" customFormat="false" ht="15" hidden="false" customHeight="false" outlineLevel="0" collapsed="false">
      <c r="A53" s="16" t="s">
        <v>420</v>
      </c>
      <c r="C53" s="29" t="n">
        <f aca="false">C48+C49+C50+C51+C52</f>
        <v>0</v>
      </c>
      <c r="D53" s="29" t="n">
        <f aca="false">D48+D49+D50+D51+D52</f>
        <v>582</v>
      </c>
      <c r="E53" s="29" t="n">
        <f aca="false">E48+E49+E50+E51+E52</f>
        <v>824.5</v>
      </c>
      <c r="F53" s="29" t="n">
        <f aca="false">F48+F49+F50+F51+F52</f>
        <v>970</v>
      </c>
      <c r="G53" s="29" t="n">
        <f aca="false">G48+G49+G50+G51+G52</f>
        <v>970</v>
      </c>
      <c r="H53" s="29" t="n">
        <f aca="false">H48+H49+H50+H51+H52</f>
        <v>970</v>
      </c>
      <c r="I53" s="29" t="n">
        <f aca="false">I48+I49+I50+I51+I52</f>
        <v>970</v>
      </c>
      <c r="J53" s="29" t="n">
        <f aca="false">J48+J49+J50+J51+J52</f>
        <v>970</v>
      </c>
      <c r="K53" s="29" t="n">
        <f aca="false">K48+K49+K50+K51+K52</f>
        <v>970</v>
      </c>
      <c r="L53" s="29" t="n">
        <f aca="false">L48+L49+L50+L51+L52</f>
        <v>970</v>
      </c>
      <c r="M53" s="29" t="n">
        <f aca="false">M48+M49+M50+M51+M52</f>
        <v>970</v>
      </c>
      <c r="N53" s="29" t="n">
        <f aca="false">N48+N49+N50+N51+N52</f>
        <v>970</v>
      </c>
      <c r="O53" s="29" t="n">
        <f aca="false">O48+O49+O50+O51+O52</f>
        <v>970</v>
      </c>
      <c r="P53" s="29" t="n">
        <f aca="false">P48+P49+P50+P51+P52</f>
        <v>970</v>
      </c>
      <c r="Q53" s="29" t="n">
        <f aca="false">Q48+Q49+Q50+Q51+Q52</f>
        <v>970</v>
      </c>
      <c r="R53" s="29" t="n">
        <f aca="false">R48+R49+R50+R51+R52</f>
        <v>970</v>
      </c>
      <c r="S53" s="29" t="n">
        <f aca="false">S48+S49+S50+S51+S52</f>
        <v>970</v>
      </c>
      <c r="T53" s="29" t="n">
        <f aca="false">T48+T49+T50+T51+T52</f>
        <v>970</v>
      </c>
      <c r="U53" s="29" t="n">
        <f aca="false">U48+U49+U50+U51+U52</f>
        <v>970</v>
      </c>
      <c r="V53" s="29" t="n">
        <f aca="false">V48+V49+V50+V51+V52</f>
        <v>970</v>
      </c>
      <c r="W53" s="29" t="n">
        <f aca="false">W48+W49+W50+W51+W52</f>
        <v>970</v>
      </c>
    </row>
    <row r="54" customFormat="false" ht="15" hidden="false" customHeight="false" outlineLevel="0" collapsed="false">
      <c r="A54" s="11" t="str">
        <f aca="false">"New connections - "&amp;Seg1_Name</f>
        <v>New connections - Households</v>
      </c>
      <c r="B54" s="77" t="n">
        <f aca="false">SUM(C54:W54)</f>
        <v>800</v>
      </c>
      <c r="C54" s="94" t="n">
        <v>0</v>
      </c>
      <c r="D54" s="94" t="n">
        <f aca="false">MAX(0,D48-C48)</f>
        <v>480</v>
      </c>
      <c r="E54" s="94" t="n">
        <f aca="false">MAX(0,E48-D48)</f>
        <v>200</v>
      </c>
      <c r="F54" s="94" t="n">
        <f aca="false">MAX(0,F48-E48)</f>
        <v>120</v>
      </c>
      <c r="G54" s="94" t="n">
        <f aca="false">MAX(0,G48-F48)</f>
        <v>0</v>
      </c>
      <c r="H54" s="94" t="n">
        <f aca="false">MAX(0,H48-G48)</f>
        <v>0</v>
      </c>
      <c r="I54" s="94" t="n">
        <f aca="false">MAX(0,I48-H48)</f>
        <v>0</v>
      </c>
      <c r="J54" s="94" t="n">
        <f aca="false">MAX(0,J48-I48)</f>
        <v>0</v>
      </c>
      <c r="K54" s="94" t="n">
        <f aca="false">MAX(0,K48-J48)</f>
        <v>0</v>
      </c>
      <c r="L54" s="94" t="n">
        <f aca="false">MAX(0,L48-K48)</f>
        <v>0</v>
      </c>
      <c r="M54" s="94" t="n">
        <f aca="false">MAX(0,M48-L48)</f>
        <v>0</v>
      </c>
      <c r="N54" s="94" t="n">
        <f aca="false">MAX(0,N48-M48)</f>
        <v>0</v>
      </c>
      <c r="O54" s="94" t="n">
        <f aca="false">MAX(0,O48-N48)</f>
        <v>0</v>
      </c>
      <c r="P54" s="94" t="n">
        <f aca="false">MAX(0,P48-O48)</f>
        <v>0</v>
      </c>
      <c r="Q54" s="94" t="n">
        <f aca="false">MAX(0,Q48-P48)</f>
        <v>0</v>
      </c>
      <c r="R54" s="94" t="n">
        <f aca="false">MAX(0,R48-Q48)</f>
        <v>0</v>
      </c>
      <c r="S54" s="94" t="n">
        <f aca="false">MAX(0,S48-R48)</f>
        <v>0</v>
      </c>
      <c r="T54" s="94" t="n">
        <f aca="false">MAX(0,T48-S48)</f>
        <v>0</v>
      </c>
      <c r="U54" s="94" t="n">
        <f aca="false">MAX(0,U48-T48)</f>
        <v>0</v>
      </c>
      <c r="V54" s="94" t="n">
        <f aca="false">MAX(0,V48-U48)</f>
        <v>0</v>
      </c>
      <c r="W54" s="94" t="n">
        <f aca="false">MAX(0,W48-V48)</f>
        <v>0</v>
      </c>
    </row>
    <row r="55" customFormat="false" ht="15" hidden="false" customHeight="false" outlineLevel="0" collapsed="false">
      <c r="A55" s="11" t="str">
        <f aca="false">"New connections - "&amp;Seg2_Name</f>
        <v>New connections - Productive users (mills, welding, cold rooms)</v>
      </c>
      <c r="B55" s="77" t="n">
        <f aca="false">SUM(C55:W55)</f>
        <v>60</v>
      </c>
      <c r="C55" s="94" t="n">
        <v>0</v>
      </c>
      <c r="D55" s="94" t="n">
        <f aca="false">MAX(0,D49-C49)</f>
        <v>36</v>
      </c>
      <c r="E55" s="94" t="n">
        <f aca="false">MAX(0,E49-D49)</f>
        <v>15</v>
      </c>
      <c r="F55" s="94" t="n">
        <f aca="false">MAX(0,F49-E49)</f>
        <v>9</v>
      </c>
      <c r="G55" s="94" t="n">
        <f aca="false">MAX(0,G49-F49)</f>
        <v>0</v>
      </c>
      <c r="H55" s="94" t="n">
        <f aca="false">MAX(0,H49-G49)</f>
        <v>0</v>
      </c>
      <c r="I55" s="94" t="n">
        <f aca="false">MAX(0,I49-H49)</f>
        <v>0</v>
      </c>
      <c r="J55" s="94" t="n">
        <f aca="false">MAX(0,J49-I49)</f>
        <v>0</v>
      </c>
      <c r="K55" s="94" t="n">
        <f aca="false">MAX(0,K49-J49)</f>
        <v>0</v>
      </c>
      <c r="L55" s="94" t="n">
        <f aca="false">MAX(0,L49-K49)</f>
        <v>0</v>
      </c>
      <c r="M55" s="94" t="n">
        <f aca="false">MAX(0,M49-L49)</f>
        <v>0</v>
      </c>
      <c r="N55" s="94" t="n">
        <f aca="false">MAX(0,N49-M49)</f>
        <v>0</v>
      </c>
      <c r="O55" s="94" t="n">
        <f aca="false">MAX(0,O49-N49)</f>
        <v>0</v>
      </c>
      <c r="P55" s="94" t="n">
        <f aca="false">MAX(0,P49-O49)</f>
        <v>0</v>
      </c>
      <c r="Q55" s="94" t="n">
        <f aca="false">MAX(0,Q49-P49)</f>
        <v>0</v>
      </c>
      <c r="R55" s="94" t="n">
        <f aca="false">MAX(0,R49-Q49)</f>
        <v>0</v>
      </c>
      <c r="S55" s="94" t="n">
        <f aca="false">MAX(0,S49-R49)</f>
        <v>0</v>
      </c>
      <c r="T55" s="94" t="n">
        <f aca="false">MAX(0,T49-S49)</f>
        <v>0</v>
      </c>
      <c r="U55" s="94" t="n">
        <f aca="false">MAX(0,U49-T49)</f>
        <v>0</v>
      </c>
      <c r="V55" s="94" t="n">
        <f aca="false">MAX(0,V49-U49)</f>
        <v>0</v>
      </c>
      <c r="W55" s="94" t="n">
        <f aca="false">MAX(0,W49-V49)</f>
        <v>0</v>
      </c>
    </row>
    <row r="56" customFormat="false" ht="15" hidden="false" customHeight="false" outlineLevel="0" collapsed="false">
      <c r="A56" s="11" t="str">
        <f aca="false">"New connections - "&amp;Seg3_Name</f>
        <v>New connections - Commercial (shops, bars, kiosks)</v>
      </c>
      <c r="B56" s="77" t="n">
        <f aca="false">SUM(C56:W56)</f>
        <v>100</v>
      </c>
      <c r="C56" s="94" t="n">
        <v>0</v>
      </c>
      <c r="D56" s="94" t="n">
        <f aca="false">MAX(0,D50-C50)</f>
        <v>60</v>
      </c>
      <c r="E56" s="94" t="n">
        <f aca="false">MAX(0,E50-D50)</f>
        <v>25</v>
      </c>
      <c r="F56" s="94" t="n">
        <f aca="false">MAX(0,F50-E50)</f>
        <v>15</v>
      </c>
      <c r="G56" s="94" t="n">
        <f aca="false">MAX(0,G50-F50)</f>
        <v>0</v>
      </c>
      <c r="H56" s="94" t="n">
        <f aca="false">MAX(0,H50-G50)</f>
        <v>0</v>
      </c>
      <c r="I56" s="94" t="n">
        <f aca="false">MAX(0,I50-H50)</f>
        <v>0</v>
      </c>
      <c r="J56" s="94" t="n">
        <f aca="false">MAX(0,J50-I50)</f>
        <v>0</v>
      </c>
      <c r="K56" s="94" t="n">
        <f aca="false">MAX(0,K50-J50)</f>
        <v>0</v>
      </c>
      <c r="L56" s="94" t="n">
        <f aca="false">MAX(0,L50-K50)</f>
        <v>0</v>
      </c>
      <c r="M56" s="94" t="n">
        <f aca="false">MAX(0,M50-L50)</f>
        <v>0</v>
      </c>
      <c r="N56" s="94" t="n">
        <f aca="false">MAX(0,N50-M50)</f>
        <v>0</v>
      </c>
      <c r="O56" s="94" t="n">
        <f aca="false">MAX(0,O50-N50)</f>
        <v>0</v>
      </c>
      <c r="P56" s="94" t="n">
        <f aca="false">MAX(0,P50-O50)</f>
        <v>0</v>
      </c>
      <c r="Q56" s="94" t="n">
        <f aca="false">MAX(0,Q50-P50)</f>
        <v>0</v>
      </c>
      <c r="R56" s="94" t="n">
        <f aca="false">MAX(0,R50-Q50)</f>
        <v>0</v>
      </c>
      <c r="S56" s="94" t="n">
        <f aca="false">MAX(0,S50-R50)</f>
        <v>0</v>
      </c>
      <c r="T56" s="94" t="n">
        <f aca="false">MAX(0,T50-S50)</f>
        <v>0</v>
      </c>
      <c r="U56" s="94" t="n">
        <f aca="false">MAX(0,U50-T50)</f>
        <v>0</v>
      </c>
      <c r="V56" s="94" t="n">
        <f aca="false">MAX(0,V50-U50)</f>
        <v>0</v>
      </c>
      <c r="W56" s="94" t="n">
        <f aca="false">MAX(0,W50-V50)</f>
        <v>0</v>
      </c>
    </row>
    <row r="57" customFormat="false" ht="15" hidden="false" customHeight="false" outlineLevel="0" collapsed="false">
      <c r="A57" s="11" t="str">
        <f aca="false">"New connections - "&amp;Seg4_Name</f>
        <v>New connections - Institutions (health centre, school, water)</v>
      </c>
      <c r="B57" s="77" t="n">
        <f aca="false">SUM(C57:W57)</f>
        <v>10</v>
      </c>
      <c r="C57" s="94" t="n">
        <v>0</v>
      </c>
      <c r="D57" s="94" t="n">
        <f aca="false">MAX(0,D51-C51)</f>
        <v>6</v>
      </c>
      <c r="E57" s="94" t="n">
        <f aca="false">MAX(0,E51-D51)</f>
        <v>2.5</v>
      </c>
      <c r="F57" s="94" t="n">
        <f aca="false">MAX(0,F51-E51)</f>
        <v>1.5</v>
      </c>
      <c r="G57" s="94" t="n">
        <f aca="false">MAX(0,G51-F51)</f>
        <v>0</v>
      </c>
      <c r="H57" s="94" t="n">
        <f aca="false">MAX(0,H51-G51)</f>
        <v>0</v>
      </c>
      <c r="I57" s="94" t="n">
        <f aca="false">MAX(0,I51-H51)</f>
        <v>0</v>
      </c>
      <c r="J57" s="94" t="n">
        <f aca="false">MAX(0,J51-I51)</f>
        <v>0</v>
      </c>
      <c r="K57" s="94" t="n">
        <f aca="false">MAX(0,K51-J51)</f>
        <v>0</v>
      </c>
      <c r="L57" s="94" t="n">
        <f aca="false">MAX(0,L51-K51)</f>
        <v>0</v>
      </c>
      <c r="M57" s="94" t="n">
        <f aca="false">MAX(0,M51-L51)</f>
        <v>0</v>
      </c>
      <c r="N57" s="94" t="n">
        <f aca="false">MAX(0,N51-M51)</f>
        <v>0</v>
      </c>
      <c r="O57" s="94" t="n">
        <f aca="false">MAX(0,O51-N51)</f>
        <v>0</v>
      </c>
      <c r="P57" s="94" t="n">
        <f aca="false">MAX(0,P51-O51)</f>
        <v>0</v>
      </c>
      <c r="Q57" s="94" t="n">
        <f aca="false">MAX(0,Q51-P51)</f>
        <v>0</v>
      </c>
      <c r="R57" s="94" t="n">
        <f aca="false">MAX(0,R51-Q51)</f>
        <v>0</v>
      </c>
      <c r="S57" s="94" t="n">
        <f aca="false">MAX(0,S51-R51)</f>
        <v>0</v>
      </c>
      <c r="T57" s="94" t="n">
        <f aca="false">MAX(0,T51-S51)</f>
        <v>0</v>
      </c>
      <c r="U57" s="94" t="n">
        <f aca="false">MAX(0,U51-T51)</f>
        <v>0</v>
      </c>
      <c r="V57" s="94" t="n">
        <f aca="false">MAX(0,V51-U51)</f>
        <v>0</v>
      </c>
      <c r="W57" s="94" t="n">
        <f aca="false">MAX(0,W51-V51)</f>
        <v>0</v>
      </c>
    </row>
    <row r="58" customFormat="false" ht="15" hidden="false" customHeight="false" outlineLevel="0" collapsed="false">
      <c r="A58" s="11" t="str">
        <f aca="false">"New connections - "&amp;Seg5_Name</f>
        <v>New connections - Other / custom</v>
      </c>
      <c r="B58" s="77" t="n">
        <f aca="false">SUM(C58:W58)</f>
        <v>0</v>
      </c>
      <c r="C58" s="94" t="n">
        <v>0</v>
      </c>
      <c r="D58" s="94" t="n">
        <f aca="false">MAX(0,D52-C52)</f>
        <v>0</v>
      </c>
      <c r="E58" s="94" t="n">
        <f aca="false">MAX(0,E52-D52)</f>
        <v>0</v>
      </c>
      <c r="F58" s="94" t="n">
        <f aca="false">MAX(0,F52-E52)</f>
        <v>0</v>
      </c>
      <c r="G58" s="94" t="n">
        <f aca="false">MAX(0,G52-F52)</f>
        <v>0</v>
      </c>
      <c r="H58" s="94" t="n">
        <f aca="false">MAX(0,H52-G52)</f>
        <v>0</v>
      </c>
      <c r="I58" s="94" t="n">
        <f aca="false">MAX(0,I52-H52)</f>
        <v>0</v>
      </c>
      <c r="J58" s="94" t="n">
        <f aca="false">MAX(0,J52-I52)</f>
        <v>0</v>
      </c>
      <c r="K58" s="94" t="n">
        <f aca="false">MAX(0,K52-J52)</f>
        <v>0</v>
      </c>
      <c r="L58" s="94" t="n">
        <f aca="false">MAX(0,L52-K52)</f>
        <v>0</v>
      </c>
      <c r="M58" s="94" t="n">
        <f aca="false">MAX(0,M52-L52)</f>
        <v>0</v>
      </c>
      <c r="N58" s="94" t="n">
        <f aca="false">MAX(0,N52-M52)</f>
        <v>0</v>
      </c>
      <c r="O58" s="94" t="n">
        <f aca="false">MAX(0,O52-N52)</f>
        <v>0</v>
      </c>
      <c r="P58" s="94" t="n">
        <f aca="false">MAX(0,P52-O52)</f>
        <v>0</v>
      </c>
      <c r="Q58" s="94" t="n">
        <f aca="false">MAX(0,Q52-P52)</f>
        <v>0</v>
      </c>
      <c r="R58" s="94" t="n">
        <f aca="false">MAX(0,R52-Q52)</f>
        <v>0</v>
      </c>
      <c r="S58" s="94" t="n">
        <f aca="false">MAX(0,S52-R52)</f>
        <v>0</v>
      </c>
      <c r="T58" s="94" t="n">
        <f aca="false">MAX(0,T52-S52)</f>
        <v>0</v>
      </c>
      <c r="U58" s="94" t="n">
        <f aca="false">MAX(0,U52-T52)</f>
        <v>0</v>
      </c>
      <c r="V58" s="94" t="n">
        <f aca="false">MAX(0,V52-U52)</f>
        <v>0</v>
      </c>
      <c r="W58" s="94" t="n">
        <f aca="false">MAX(0,W52-V52)</f>
        <v>0</v>
      </c>
    </row>
    <row r="59" customFormat="false" ht="15" hidden="false" customHeight="false" outlineLevel="0" collapsed="false">
      <c r="A59" s="16" t="s">
        <v>421</v>
      </c>
      <c r="B59" s="76" t="n">
        <f aca="false">SUM(C59:W59)</f>
        <v>970</v>
      </c>
      <c r="C59" s="29" t="n">
        <f aca="false">C54+C55+C56+C57+C58</f>
        <v>0</v>
      </c>
      <c r="D59" s="29" t="n">
        <f aca="false">D54+D55+D56+D57+D58</f>
        <v>582</v>
      </c>
      <c r="E59" s="29" t="n">
        <f aca="false">E54+E55+E56+E57+E58</f>
        <v>242.5</v>
      </c>
      <c r="F59" s="29" t="n">
        <f aca="false">F54+F55+F56+F57+F58</f>
        <v>145.5</v>
      </c>
      <c r="G59" s="29" t="n">
        <f aca="false">G54+G55+G56+G57+G58</f>
        <v>0</v>
      </c>
      <c r="H59" s="29" t="n">
        <f aca="false">H54+H55+H56+H57+H58</f>
        <v>0</v>
      </c>
      <c r="I59" s="29" t="n">
        <f aca="false">I54+I55+I56+I57+I58</f>
        <v>0</v>
      </c>
      <c r="J59" s="29" t="n">
        <f aca="false">J54+J55+J56+J57+J58</f>
        <v>0</v>
      </c>
      <c r="K59" s="29" t="n">
        <f aca="false">K54+K55+K56+K57+K58</f>
        <v>0</v>
      </c>
      <c r="L59" s="29" t="n">
        <f aca="false">L54+L55+L56+L57+L58</f>
        <v>0</v>
      </c>
      <c r="M59" s="29" t="n">
        <f aca="false">M54+M55+M56+M57+M58</f>
        <v>0</v>
      </c>
      <c r="N59" s="29" t="n">
        <f aca="false">N54+N55+N56+N57+N58</f>
        <v>0</v>
      </c>
      <c r="O59" s="29" t="n">
        <f aca="false">O54+O55+O56+O57+O58</f>
        <v>0</v>
      </c>
      <c r="P59" s="29" t="n">
        <f aca="false">P54+P55+P56+P57+P58</f>
        <v>0</v>
      </c>
      <c r="Q59" s="29" t="n">
        <f aca="false">Q54+Q55+Q56+Q57+Q58</f>
        <v>0</v>
      </c>
      <c r="R59" s="29" t="n">
        <f aca="false">R54+R55+R56+R57+R58</f>
        <v>0</v>
      </c>
      <c r="S59" s="29" t="n">
        <f aca="false">S54+S55+S56+S57+S58</f>
        <v>0</v>
      </c>
      <c r="T59" s="29" t="n">
        <f aca="false">T54+T55+T56+T57+T58</f>
        <v>0</v>
      </c>
      <c r="U59" s="29" t="n">
        <f aca="false">U54+U55+U56+U57+U58</f>
        <v>0</v>
      </c>
      <c r="V59" s="29" t="n">
        <f aca="false">V54+V55+V56+V57+V58</f>
        <v>0</v>
      </c>
      <c r="W59" s="29" t="n">
        <f aca="false">W54+W55+W56+W57+W58</f>
        <v>0</v>
      </c>
    </row>
    <row r="61" customFormat="false" ht="15" hidden="false" customHeight="false" outlineLevel="0" collapsed="false">
      <c r="A61" s="11" t="str">
        <f aca="false">"Energy sold (kWh) - "&amp;Seg1_Name</f>
        <v>Energy sold (kWh) - Households</v>
      </c>
      <c r="B61" s="76" t="n">
        <f aca="false">SUM(C61:W61)</f>
        <v>3789485.92641319</v>
      </c>
      <c r="C61" s="93" t="n">
        <v>0</v>
      </c>
      <c r="D61" s="93" t="n">
        <f aca="false">D48*Seg1_kWh*12*D45</f>
        <v>86400</v>
      </c>
      <c r="E61" s="93" t="n">
        <f aca="false">E48*Seg1_kWh*12*E45</f>
        <v>126072</v>
      </c>
      <c r="F61" s="93" t="n">
        <f aca="false">F48*Seg1_kWh*12*F45</f>
        <v>152769.6</v>
      </c>
      <c r="G61" s="93" t="n">
        <f aca="false">G48*Seg1_kWh*12*G45</f>
        <v>157352.688</v>
      </c>
      <c r="H61" s="93" t="n">
        <f aca="false">H48*Seg1_kWh*12*H45</f>
        <v>162073.26864</v>
      </c>
      <c r="I61" s="93" t="n">
        <f aca="false">I48*Seg1_kWh*12*I45</f>
        <v>166935.4666992</v>
      </c>
      <c r="J61" s="93" t="n">
        <f aca="false">J48*Seg1_kWh*12*J45</f>
        <v>171943.530700176</v>
      </c>
      <c r="K61" s="93" t="n">
        <f aca="false">K48*Seg1_kWh*12*K45</f>
        <v>177101.836621181</v>
      </c>
      <c r="L61" s="93" t="n">
        <f aca="false">L48*Seg1_kWh*12*L45</f>
        <v>182414.891719817</v>
      </c>
      <c r="M61" s="93" t="n">
        <f aca="false">M48*Seg1_kWh*12*M45</f>
        <v>187887.338471411</v>
      </c>
      <c r="N61" s="93" t="n">
        <f aca="false">N48*Seg1_kWh*12*N45</f>
        <v>193523.958625554</v>
      </c>
      <c r="O61" s="93" t="n">
        <f aca="false">O48*Seg1_kWh*12*O45</f>
        <v>199329.67738432</v>
      </c>
      <c r="P61" s="93" t="n">
        <f aca="false">P48*Seg1_kWh*12*P45</f>
        <v>205309.56770585</v>
      </c>
      <c r="Q61" s="93" t="n">
        <f aca="false">Q48*Seg1_kWh*12*Q45</f>
        <v>211468.854737025</v>
      </c>
      <c r="R61" s="93" t="n">
        <f aca="false">R48*Seg1_kWh*12*R45</f>
        <v>217812.920379136</v>
      </c>
      <c r="S61" s="93" t="n">
        <f aca="false">S48*Seg1_kWh*12*S45</f>
        <v>224347.30799051</v>
      </c>
      <c r="T61" s="93" t="n">
        <f aca="false">T48*Seg1_kWh*12*T45</f>
        <v>231077.727230226</v>
      </c>
      <c r="U61" s="93" t="n">
        <f aca="false">U48*Seg1_kWh*12*U45</f>
        <v>238010.059047132</v>
      </c>
      <c r="V61" s="93" t="n">
        <f aca="false">V48*Seg1_kWh*12*V45</f>
        <v>245150.360818546</v>
      </c>
      <c r="W61" s="93" t="n">
        <f aca="false">W48*Seg1_kWh*12*W45</f>
        <v>252504.871643103</v>
      </c>
    </row>
    <row r="62" customFormat="false" ht="15" hidden="false" customHeight="false" outlineLevel="0" collapsed="false">
      <c r="A62" s="11" t="str">
        <f aca="false">"Energy sold (kWh) - "&amp;Seg2_Name</f>
        <v>Energy sold (kWh) - Productive users (mills, welding, cold rooms)</v>
      </c>
      <c r="B62" s="76" t="n">
        <f aca="false">SUM(C62:W62)</f>
        <v>2944733.72369716</v>
      </c>
      <c r="C62" s="93" t="n">
        <v>0</v>
      </c>
      <c r="D62" s="93" t="n">
        <f aca="false">D49*Seg2_kWh*12*D45</f>
        <v>67139.712</v>
      </c>
      <c r="E62" s="93" t="n">
        <f aca="false">E49*Seg2_kWh*12*E45</f>
        <v>97968.02976</v>
      </c>
      <c r="F62" s="93" t="n">
        <f aca="false">F49*Seg2_kWh*12*F45</f>
        <v>118714.200768</v>
      </c>
      <c r="G62" s="93" t="n">
        <f aca="false">G49*Seg2_kWh*12*G45</f>
        <v>122275.62679104</v>
      </c>
      <c r="H62" s="93" t="n">
        <f aca="false">H49*Seg2_kWh*12*H45</f>
        <v>125943.895594771</v>
      </c>
      <c r="I62" s="93" t="n">
        <f aca="false">I49*Seg2_kWh*12*I45</f>
        <v>129722.212462614</v>
      </c>
      <c r="J62" s="93" t="n">
        <f aca="false">J49*Seg2_kWh*12*J45</f>
        <v>133613.878836493</v>
      </c>
      <c r="K62" s="93" t="n">
        <f aca="false">K49*Seg2_kWh*12*K45</f>
        <v>137622.295201588</v>
      </c>
      <c r="L62" s="93" t="n">
        <f aca="false">L49*Seg2_kWh*12*L45</f>
        <v>141750.964057635</v>
      </c>
      <c r="M62" s="93" t="n">
        <f aca="false">M49*Seg2_kWh*12*M45</f>
        <v>146003.492979364</v>
      </c>
      <c r="N62" s="93" t="n">
        <f aca="false">N49*Seg2_kWh*12*N45</f>
        <v>150383.597768745</v>
      </c>
      <c r="O62" s="93" t="n">
        <f aca="false">O49*Seg2_kWh*12*O45</f>
        <v>154895.105701808</v>
      </c>
      <c r="P62" s="93" t="n">
        <f aca="false">P49*Seg2_kWh*12*P45</f>
        <v>159541.958872862</v>
      </c>
      <c r="Q62" s="93" t="n">
        <f aca="false">Q49*Seg2_kWh*12*Q45</f>
        <v>164328.217639048</v>
      </c>
      <c r="R62" s="93" t="n">
        <f aca="false">R49*Seg2_kWh*12*R45</f>
        <v>169258.064168219</v>
      </c>
      <c r="S62" s="93" t="n">
        <f aca="false">S49*Seg2_kWh*12*S45</f>
        <v>174335.806093266</v>
      </c>
      <c r="T62" s="93" t="n">
        <f aca="false">T49*Seg2_kWh*12*T45</f>
        <v>179565.880276064</v>
      </c>
      <c r="U62" s="93" t="n">
        <f aca="false">U49*Seg2_kWh*12*U45</f>
        <v>184952.856684346</v>
      </c>
      <c r="V62" s="93" t="n">
        <f aca="false">V49*Seg2_kWh*12*V45</f>
        <v>190501.442384876</v>
      </c>
      <c r="W62" s="93" t="n">
        <f aca="false">W49*Seg2_kWh*12*W45</f>
        <v>196216.485656422</v>
      </c>
    </row>
    <row r="63" customFormat="false" ht="15" hidden="false" customHeight="false" outlineLevel="0" collapsed="false">
      <c r="A63" s="11" t="str">
        <f aca="false">"Energy sold (kWh) - "&amp;Seg3_Name</f>
        <v>Energy sold (kWh) - Commercial (shops, bars, kiosks)</v>
      </c>
      <c r="B63" s="76" t="n">
        <f aca="false">SUM(C63:W63)</f>
        <v>1578952.46933883</v>
      </c>
      <c r="C63" s="93" t="n">
        <v>0</v>
      </c>
      <c r="D63" s="93" t="n">
        <f aca="false">D50*Seg3_kWh*12*D45</f>
        <v>36000</v>
      </c>
      <c r="E63" s="93" t="n">
        <f aca="false">E50*Seg3_kWh*12*E45</f>
        <v>52530</v>
      </c>
      <c r="F63" s="93" t="n">
        <f aca="false">F50*Seg3_kWh*12*F45</f>
        <v>63654</v>
      </c>
      <c r="G63" s="93" t="n">
        <f aca="false">G50*Seg3_kWh*12*G45</f>
        <v>65563.62</v>
      </c>
      <c r="H63" s="93" t="n">
        <f aca="false">H50*Seg3_kWh*12*H45</f>
        <v>67530.5286</v>
      </c>
      <c r="I63" s="93" t="n">
        <f aca="false">I50*Seg3_kWh*12*I45</f>
        <v>69556.444458</v>
      </c>
      <c r="J63" s="93" t="n">
        <f aca="false">J50*Seg3_kWh*12*J45</f>
        <v>71643.13779174</v>
      </c>
      <c r="K63" s="93" t="n">
        <f aca="false">K50*Seg3_kWh*12*K45</f>
        <v>73792.4319254922</v>
      </c>
      <c r="L63" s="93" t="n">
        <f aca="false">L50*Seg3_kWh*12*L45</f>
        <v>76006.204883257</v>
      </c>
      <c r="M63" s="93" t="n">
        <f aca="false">M50*Seg3_kWh*12*M45</f>
        <v>78286.3910297547</v>
      </c>
      <c r="N63" s="93" t="n">
        <f aca="false">N50*Seg3_kWh*12*N45</f>
        <v>80634.9827606473</v>
      </c>
      <c r="O63" s="93" t="n">
        <f aca="false">O50*Seg3_kWh*12*O45</f>
        <v>83054.0322434668</v>
      </c>
      <c r="P63" s="93" t="n">
        <f aca="false">P50*Seg3_kWh*12*P45</f>
        <v>85545.6532107708</v>
      </c>
      <c r="Q63" s="93" t="n">
        <f aca="false">Q50*Seg3_kWh*12*Q45</f>
        <v>88112.0228070939</v>
      </c>
      <c r="R63" s="93" t="n">
        <f aca="false">R50*Seg3_kWh*12*R45</f>
        <v>90755.3834913067</v>
      </c>
      <c r="S63" s="93" t="n">
        <f aca="false">S50*Seg3_kWh*12*S45</f>
        <v>93478.0449960459</v>
      </c>
      <c r="T63" s="93" t="n">
        <f aca="false">T50*Seg3_kWh*12*T45</f>
        <v>96282.3863459273</v>
      </c>
      <c r="U63" s="93" t="n">
        <f aca="false">U50*Seg3_kWh*12*U45</f>
        <v>99170.8579363051</v>
      </c>
      <c r="V63" s="93" t="n">
        <f aca="false">V50*Seg3_kWh*12*V45</f>
        <v>102145.983674394</v>
      </c>
      <c r="W63" s="93" t="n">
        <f aca="false">W50*Seg3_kWh*12*W45</f>
        <v>105210.363184626</v>
      </c>
    </row>
    <row r="64" customFormat="false" ht="15" hidden="false" customHeight="false" outlineLevel="0" collapsed="false">
      <c r="A64" s="11" t="str">
        <f aca="false">"Energy sold (kWh) - "&amp;Seg4_Name</f>
        <v>Energy sold (kWh) - Institutions (health centre, school, water)</v>
      </c>
      <c r="B64" s="76" t="n">
        <f aca="false">SUM(C64:W64)</f>
        <v>947371.481603297</v>
      </c>
      <c r="C64" s="93" t="n">
        <v>0</v>
      </c>
      <c r="D64" s="93" t="n">
        <f aca="false">D51*Seg4_kWh*12*D45</f>
        <v>21600</v>
      </c>
      <c r="E64" s="93" t="n">
        <f aca="false">E51*Seg4_kWh*12*E45</f>
        <v>31518</v>
      </c>
      <c r="F64" s="93" t="n">
        <f aca="false">F51*Seg4_kWh*12*F45</f>
        <v>38192.4</v>
      </c>
      <c r="G64" s="93" t="n">
        <f aca="false">G51*Seg4_kWh*12*G45</f>
        <v>39338.172</v>
      </c>
      <c r="H64" s="93" t="n">
        <f aca="false">H51*Seg4_kWh*12*H45</f>
        <v>40518.31716</v>
      </c>
      <c r="I64" s="93" t="n">
        <f aca="false">I51*Seg4_kWh*12*I45</f>
        <v>41733.8666748</v>
      </c>
      <c r="J64" s="93" t="n">
        <f aca="false">J51*Seg4_kWh*12*J45</f>
        <v>42985.882675044</v>
      </c>
      <c r="K64" s="93" t="n">
        <f aca="false">K51*Seg4_kWh*12*K45</f>
        <v>44275.4591552953</v>
      </c>
      <c r="L64" s="93" t="n">
        <f aca="false">L51*Seg4_kWh*12*L45</f>
        <v>45603.7229299542</v>
      </c>
      <c r="M64" s="93" t="n">
        <f aca="false">M51*Seg4_kWh*12*M45</f>
        <v>46971.8346178528</v>
      </c>
      <c r="N64" s="93" t="n">
        <f aca="false">N51*Seg4_kWh*12*N45</f>
        <v>48380.9896563884</v>
      </c>
      <c r="O64" s="93" t="n">
        <f aca="false">O51*Seg4_kWh*12*O45</f>
        <v>49832.4193460801</v>
      </c>
      <c r="P64" s="93" t="n">
        <f aca="false">P51*Seg4_kWh*12*P45</f>
        <v>51327.3919264625</v>
      </c>
      <c r="Q64" s="93" t="n">
        <f aca="false">Q51*Seg4_kWh*12*Q45</f>
        <v>52867.2136842563</v>
      </c>
      <c r="R64" s="93" t="n">
        <f aca="false">R51*Seg4_kWh*12*R45</f>
        <v>54453.230094784</v>
      </c>
      <c r="S64" s="93" t="n">
        <f aca="false">S51*Seg4_kWh*12*S45</f>
        <v>56086.8269976275</v>
      </c>
      <c r="T64" s="93" t="n">
        <f aca="false">T51*Seg4_kWh*12*T45</f>
        <v>57769.4318075564</v>
      </c>
      <c r="U64" s="93" t="n">
        <f aca="false">U51*Seg4_kWh*12*U45</f>
        <v>59502.5147617831</v>
      </c>
      <c r="V64" s="93" t="n">
        <f aca="false">V51*Seg4_kWh*12*V45</f>
        <v>61287.5902046366</v>
      </c>
      <c r="W64" s="93" t="n">
        <f aca="false">W51*Seg4_kWh*12*W45</f>
        <v>63126.2179107757</v>
      </c>
    </row>
    <row r="65" customFormat="false" ht="15" hidden="false" customHeight="false" outlineLevel="0" collapsed="false">
      <c r="A65" s="11" t="str">
        <f aca="false">"Energy sold (kWh) - "&amp;Seg5_Name</f>
        <v>Energy sold (kWh) - Other / custom</v>
      </c>
      <c r="B65" s="76" t="n">
        <f aca="false">SUM(C65:W65)</f>
        <v>0</v>
      </c>
      <c r="C65" s="93" t="n">
        <v>0</v>
      </c>
      <c r="D65" s="93" t="n">
        <f aca="false">D52*Seg5_kWh*12*D45</f>
        <v>0</v>
      </c>
      <c r="E65" s="93" t="n">
        <f aca="false">E52*Seg5_kWh*12*E45</f>
        <v>0</v>
      </c>
      <c r="F65" s="93" t="n">
        <f aca="false">F52*Seg5_kWh*12*F45</f>
        <v>0</v>
      </c>
      <c r="G65" s="93" t="n">
        <f aca="false">G52*Seg5_kWh*12*G45</f>
        <v>0</v>
      </c>
      <c r="H65" s="93" t="n">
        <f aca="false">H52*Seg5_kWh*12*H45</f>
        <v>0</v>
      </c>
      <c r="I65" s="93" t="n">
        <f aca="false">I52*Seg5_kWh*12*I45</f>
        <v>0</v>
      </c>
      <c r="J65" s="93" t="n">
        <f aca="false">J52*Seg5_kWh*12*J45</f>
        <v>0</v>
      </c>
      <c r="K65" s="93" t="n">
        <f aca="false">K52*Seg5_kWh*12*K45</f>
        <v>0</v>
      </c>
      <c r="L65" s="93" t="n">
        <f aca="false">L52*Seg5_kWh*12*L45</f>
        <v>0</v>
      </c>
      <c r="M65" s="93" t="n">
        <f aca="false">M52*Seg5_kWh*12*M45</f>
        <v>0</v>
      </c>
      <c r="N65" s="93" t="n">
        <f aca="false">N52*Seg5_kWh*12*N45</f>
        <v>0</v>
      </c>
      <c r="O65" s="93" t="n">
        <f aca="false">O52*Seg5_kWh*12*O45</f>
        <v>0</v>
      </c>
      <c r="P65" s="93" t="n">
        <f aca="false">P52*Seg5_kWh*12*P45</f>
        <v>0</v>
      </c>
      <c r="Q65" s="93" t="n">
        <f aca="false">Q52*Seg5_kWh*12*Q45</f>
        <v>0</v>
      </c>
      <c r="R65" s="93" t="n">
        <f aca="false">R52*Seg5_kWh*12*R45</f>
        <v>0</v>
      </c>
      <c r="S65" s="93" t="n">
        <f aca="false">S52*Seg5_kWh*12*S45</f>
        <v>0</v>
      </c>
      <c r="T65" s="93" t="n">
        <f aca="false">T52*Seg5_kWh*12*T45</f>
        <v>0</v>
      </c>
      <c r="U65" s="93" t="n">
        <f aca="false">U52*Seg5_kWh*12*U45</f>
        <v>0</v>
      </c>
      <c r="V65" s="93" t="n">
        <f aca="false">V52*Seg5_kWh*12*V45</f>
        <v>0</v>
      </c>
      <c r="W65" s="93" t="n">
        <f aca="false">W52*Seg5_kWh*12*W45</f>
        <v>0</v>
      </c>
    </row>
    <row r="66" customFormat="false" ht="15" hidden="false" customHeight="false" outlineLevel="0" collapsed="false">
      <c r="A66" s="16" t="s">
        <v>422</v>
      </c>
      <c r="B66" s="76" t="n">
        <f aca="false">SUM(C66:W66)</f>
        <v>9260543.60105247</v>
      </c>
      <c r="C66" s="29" t="n">
        <f aca="false">C61+C62+C63+C64+C65</f>
        <v>0</v>
      </c>
      <c r="D66" s="29" t="n">
        <f aca="false">D61+D62+D63+D64+D65</f>
        <v>211139.712</v>
      </c>
      <c r="E66" s="29" t="n">
        <f aca="false">E61+E62+E63+E64+E65</f>
        <v>308088.02976</v>
      </c>
      <c r="F66" s="29" t="n">
        <f aca="false">F61+F62+F63+F64+F65</f>
        <v>373330.200768</v>
      </c>
      <c r="G66" s="29" t="n">
        <f aca="false">G61+G62+G63+G64+G65</f>
        <v>384530.10679104</v>
      </c>
      <c r="H66" s="29" t="n">
        <f aca="false">H61+H62+H63+H64+H65</f>
        <v>396066.009994771</v>
      </c>
      <c r="I66" s="29" t="n">
        <f aca="false">I61+I62+I63+I64+I65</f>
        <v>407947.990294614</v>
      </c>
      <c r="J66" s="29" t="n">
        <f aca="false">J61+J62+J63+J64+J65</f>
        <v>420186.430003453</v>
      </c>
      <c r="K66" s="29" t="n">
        <f aca="false">K61+K62+K63+K64+K65</f>
        <v>432792.022903556</v>
      </c>
      <c r="L66" s="29" t="n">
        <f aca="false">L61+L62+L63+L64+L65</f>
        <v>445775.783590663</v>
      </c>
      <c r="M66" s="29" t="n">
        <f aca="false">M61+M62+M63+M64+M65</f>
        <v>459149.057098383</v>
      </c>
      <c r="N66" s="29" t="n">
        <f aca="false">N61+N62+N63+N64+N65</f>
        <v>472923.528811335</v>
      </c>
      <c r="O66" s="29" t="n">
        <f aca="false">O61+O62+O63+O64+O65</f>
        <v>487111.234675675</v>
      </c>
      <c r="P66" s="29" t="n">
        <f aca="false">P61+P62+P63+P64+P65</f>
        <v>501724.571715945</v>
      </c>
      <c r="Q66" s="29" t="n">
        <f aca="false">Q61+Q62+Q63+Q64+Q65</f>
        <v>516776.308867423</v>
      </c>
      <c r="R66" s="29" t="n">
        <f aca="false">R61+R62+R63+R64+R65</f>
        <v>532279.598133446</v>
      </c>
      <c r="S66" s="29" t="n">
        <f aca="false">S61+S62+S63+S64+S65</f>
        <v>548247.986077449</v>
      </c>
      <c r="T66" s="29" t="n">
        <f aca="false">T61+T62+T63+T64+T65</f>
        <v>564695.425659773</v>
      </c>
      <c r="U66" s="29" t="n">
        <f aca="false">U61+U62+U63+U64+U65</f>
        <v>581636.288429566</v>
      </c>
      <c r="V66" s="29" t="n">
        <f aca="false">V61+V62+V63+V64+V65</f>
        <v>599085.377082453</v>
      </c>
      <c r="W66" s="29" t="n">
        <f aca="false">W61+W62+W63+W64+W65</f>
        <v>617057.938394927</v>
      </c>
    </row>
    <row r="68" customFormat="false" ht="15" hidden="false" customHeight="false" outlineLevel="0" collapsed="false">
      <c r="A68" s="9" t="s">
        <v>423</v>
      </c>
      <c r="B68" s="10"/>
      <c r="C68" s="10"/>
      <c r="D68" s="10"/>
      <c r="E68" s="10"/>
      <c r="F68" s="10"/>
      <c r="G68" s="10"/>
      <c r="H68" s="10"/>
      <c r="I68" s="10"/>
      <c r="J68" s="10"/>
      <c r="K68" s="10"/>
      <c r="L68" s="10"/>
      <c r="M68" s="10"/>
      <c r="N68" s="10"/>
      <c r="O68" s="10"/>
      <c r="P68" s="10"/>
      <c r="Q68" s="10"/>
      <c r="R68" s="10"/>
      <c r="S68" s="10"/>
      <c r="T68" s="10"/>
      <c r="U68" s="10"/>
      <c r="V68" s="10"/>
      <c r="W68" s="10"/>
    </row>
    <row r="69" customFormat="false" ht="15" hidden="false" customHeight="false" outlineLevel="0" collapsed="false">
      <c r="A69" s="11" t="s">
        <v>424</v>
      </c>
      <c r="B69" s="76" t="n">
        <f aca="false">SUM(C69:W69)</f>
        <v>10523345.001196</v>
      </c>
      <c r="C69" s="93" t="n">
        <v>0</v>
      </c>
      <c r="D69" s="93" t="n">
        <f aca="false">D66/(1-Losses)</f>
        <v>239931.490909091</v>
      </c>
      <c r="E69" s="93" t="n">
        <f aca="false">E66/(1-Losses)</f>
        <v>350100.033818182</v>
      </c>
      <c r="F69" s="93" t="n">
        <f aca="false">F66/(1-Losses)</f>
        <v>424238.864509091</v>
      </c>
      <c r="G69" s="93" t="n">
        <f aca="false">G66/(1-Losses)</f>
        <v>436966.030444364</v>
      </c>
      <c r="H69" s="93" t="n">
        <f aca="false">H66/(1-Losses)</f>
        <v>450075.011357695</v>
      </c>
      <c r="I69" s="93" t="n">
        <f aca="false">I66/(1-Losses)</f>
        <v>463577.261698425</v>
      </c>
      <c r="J69" s="93" t="n">
        <f aca="false">J66/(1-Losses)</f>
        <v>477484.579549378</v>
      </c>
      <c r="K69" s="93" t="n">
        <f aca="false">K66/(1-Losses)</f>
        <v>491809.11693586</v>
      </c>
      <c r="L69" s="93" t="n">
        <f aca="false">L66/(1-Losses)</f>
        <v>506563.390443935</v>
      </c>
      <c r="M69" s="93" t="n">
        <f aca="false">M66/(1-Losses)</f>
        <v>521760.292157253</v>
      </c>
      <c r="N69" s="93" t="n">
        <f aca="false">N66/(1-Losses)</f>
        <v>537413.100921971</v>
      </c>
      <c r="O69" s="93" t="n">
        <f aca="false">O66/(1-Losses)</f>
        <v>553535.49394963</v>
      </c>
      <c r="P69" s="93" t="n">
        <f aca="false">P66/(1-Losses)</f>
        <v>570141.558768119</v>
      </c>
      <c r="Q69" s="93" t="n">
        <f aca="false">Q66/(1-Losses)</f>
        <v>587245.805531163</v>
      </c>
      <c r="R69" s="93" t="n">
        <f aca="false">R66/(1-Losses)</f>
        <v>604863.179697098</v>
      </c>
      <c r="S69" s="93" t="n">
        <f aca="false">S66/(1-Losses)</f>
        <v>623009.07508801</v>
      </c>
      <c r="T69" s="93" t="n">
        <f aca="false">T66/(1-Losses)</f>
        <v>641699.347340651</v>
      </c>
      <c r="U69" s="93" t="n">
        <f aca="false">U66/(1-Losses)</f>
        <v>660950.327760871</v>
      </c>
      <c r="V69" s="93" t="n">
        <f aca="false">V66/(1-Losses)</f>
        <v>680778.837593697</v>
      </c>
      <c r="W69" s="93" t="n">
        <f aca="false">W66/(1-Losses)</f>
        <v>701202.202721508</v>
      </c>
    </row>
    <row r="70" customFormat="false" ht="15" hidden="false" customHeight="false" outlineLevel="0" collapsed="false">
      <c r="A70" s="11" t="s">
        <v>425</v>
      </c>
      <c r="B70" s="76" t="n">
        <f aca="false">SUM(C70:W70)</f>
        <v>8722537.45034705</v>
      </c>
      <c r="C70" s="93" t="n">
        <v>0</v>
      </c>
      <c r="D70" s="93" t="n">
        <f aca="false">PV_kWp*SpecYield*(1-Degradation)^(D39-1)*D41</f>
        <v>457206.277768167</v>
      </c>
      <c r="E70" s="93" t="n">
        <f aca="false">PV_kWp*SpecYield*(1-Degradation)^(E39-1)*E41</f>
        <v>454920.246379326</v>
      </c>
      <c r="F70" s="93" t="n">
        <f aca="false">PV_kWp*SpecYield*(1-Degradation)^(F39-1)*F41</f>
        <v>452645.64514743</v>
      </c>
      <c r="G70" s="93" t="n">
        <f aca="false">PV_kWp*SpecYield*(1-Degradation)^(G39-1)*G41</f>
        <v>450382.416921693</v>
      </c>
      <c r="H70" s="93" t="n">
        <f aca="false">PV_kWp*SpecYield*(1-Degradation)^(H39-1)*H41</f>
        <v>448130.504837084</v>
      </c>
      <c r="I70" s="93" t="n">
        <f aca="false">PV_kWp*SpecYield*(1-Degradation)^(I39-1)*I41</f>
        <v>445889.852312899</v>
      </c>
      <c r="J70" s="93" t="n">
        <f aca="false">PV_kWp*SpecYield*(1-Degradation)^(J39-1)*J41</f>
        <v>443660.403051334</v>
      </c>
      <c r="K70" s="93" t="n">
        <f aca="false">PV_kWp*SpecYield*(1-Degradation)^(K39-1)*K41</f>
        <v>441442.101036078</v>
      </c>
      <c r="L70" s="93" t="n">
        <f aca="false">PV_kWp*SpecYield*(1-Degradation)^(L39-1)*L41</f>
        <v>439234.890530897</v>
      </c>
      <c r="M70" s="93" t="n">
        <f aca="false">PV_kWp*SpecYield*(1-Degradation)^(M39-1)*M41</f>
        <v>437038.716078243</v>
      </c>
      <c r="N70" s="93" t="n">
        <f aca="false">PV_kWp*SpecYield*(1-Degradation)^(N39-1)*N41</f>
        <v>434853.522497851</v>
      </c>
      <c r="O70" s="93" t="n">
        <f aca="false">PV_kWp*SpecYield*(1-Degradation)^(O39-1)*O41</f>
        <v>432679.254885362</v>
      </c>
      <c r="P70" s="93" t="n">
        <f aca="false">PV_kWp*SpecYield*(1-Degradation)^(P39-1)*P41</f>
        <v>430515.858610935</v>
      </c>
      <c r="Q70" s="93" t="n">
        <f aca="false">PV_kWp*SpecYield*(1-Degradation)^(Q39-1)*Q41</f>
        <v>428363.279317881</v>
      </c>
      <c r="R70" s="93" t="n">
        <f aca="false">PV_kWp*SpecYield*(1-Degradation)^(R39-1)*R41</f>
        <v>426221.462921291</v>
      </c>
      <c r="S70" s="93" t="n">
        <f aca="false">PV_kWp*SpecYield*(1-Degradation)^(S39-1)*S41</f>
        <v>424090.355606685</v>
      </c>
      <c r="T70" s="93" t="n">
        <f aca="false">PV_kWp*SpecYield*(1-Degradation)^(T39-1)*T41</f>
        <v>421969.903828651</v>
      </c>
      <c r="U70" s="93" t="n">
        <f aca="false">PV_kWp*SpecYield*(1-Degradation)^(U39-1)*U41</f>
        <v>419860.054309508</v>
      </c>
      <c r="V70" s="93" t="n">
        <f aca="false">PV_kWp*SpecYield*(1-Degradation)^(V39-1)*V41</f>
        <v>417760.754037961</v>
      </c>
      <c r="W70" s="93" t="n">
        <f aca="false">PV_kWp*SpecYield*(1-Degradation)^(W39-1)*W41</f>
        <v>415671.950267771</v>
      </c>
    </row>
    <row r="71" customFormat="false" ht="15" hidden="false" customHeight="false" outlineLevel="0" collapsed="false">
      <c r="A71" s="11" t="s">
        <v>426</v>
      </c>
      <c r="B71" s="76" t="n">
        <f aca="false">SUM(C71:W71)</f>
        <v>7903453.19236348</v>
      </c>
      <c r="C71" s="93" t="n">
        <v>0</v>
      </c>
      <c r="D71" s="93" t="n">
        <f aca="false">MIN(D70/StorageFactor,D69*SolarFraction)</f>
        <v>215938.341818182</v>
      </c>
      <c r="E71" s="93" t="n">
        <f aca="false">MIN(E70/StorageFactor,E69*SolarFraction)</f>
        <v>315090.030436364</v>
      </c>
      <c r="F71" s="93" t="n">
        <f aca="false">MIN(F70/StorageFactor,F69*SolarFraction)</f>
        <v>381814.978058182</v>
      </c>
      <c r="G71" s="93" t="n">
        <f aca="false">MIN(G70/StorageFactor,G69*SolarFraction)</f>
        <v>393269.427399927</v>
      </c>
      <c r="H71" s="93" t="n">
        <f aca="false">MIN(H70/StorageFactor,H69*SolarFraction)</f>
        <v>405067.510221925</v>
      </c>
      <c r="I71" s="93" t="n">
        <f aca="false">MIN(I70/StorageFactor,I69*SolarFraction)</f>
        <v>417219.535528583</v>
      </c>
      <c r="J71" s="93" t="n">
        <f aca="false">MIN(J70/StorageFactor,J69*SolarFraction)</f>
        <v>426078.172123344</v>
      </c>
      <c r="K71" s="93" t="n">
        <f aca="false">MIN(K70/StorageFactor,K69*SolarFraction)</f>
        <v>423947.781262727</v>
      </c>
      <c r="L71" s="93" t="n">
        <f aca="false">MIN(L70/StorageFactor,L69*SolarFraction)</f>
        <v>421828.042356414</v>
      </c>
      <c r="M71" s="93" t="n">
        <f aca="false">MIN(M70/StorageFactor,M69*SolarFraction)</f>
        <v>419718.902144632</v>
      </c>
      <c r="N71" s="93" t="n">
        <f aca="false">MIN(N70/StorageFactor,N69*SolarFraction)</f>
        <v>417620.307633909</v>
      </c>
      <c r="O71" s="93" t="n">
        <f aca="false">MIN(O70/StorageFactor,O69*SolarFraction)</f>
        <v>415532.206095739</v>
      </c>
      <c r="P71" s="93" t="n">
        <f aca="false">MIN(P70/StorageFactor,P69*SolarFraction)</f>
        <v>413454.54506526</v>
      </c>
      <c r="Q71" s="93" t="n">
        <f aca="false">MIN(Q70/StorageFactor,Q69*SolarFraction)</f>
        <v>411387.272339934</v>
      </c>
      <c r="R71" s="93" t="n">
        <f aca="false">MIN(R70/StorageFactor,R69*SolarFraction)</f>
        <v>409330.335978234</v>
      </c>
      <c r="S71" s="93" t="n">
        <f aca="false">MIN(S70/StorageFactor,S69*SolarFraction)</f>
        <v>407283.684298343</v>
      </c>
      <c r="T71" s="93" t="n">
        <f aca="false">MIN(T70/StorageFactor,T69*SolarFraction)</f>
        <v>405247.265876851</v>
      </c>
      <c r="U71" s="93" t="n">
        <f aca="false">MIN(U70/StorageFactor,U69*SolarFraction)</f>
        <v>403221.029547467</v>
      </c>
      <c r="V71" s="93" t="n">
        <f aca="false">MIN(V70/StorageFactor,V69*SolarFraction)</f>
        <v>401204.92439973</v>
      </c>
      <c r="W71" s="93" t="n">
        <f aca="false">MIN(W70/StorageFactor,W69*SolarFraction)</f>
        <v>399198.899777731</v>
      </c>
    </row>
    <row r="72" customFormat="false" ht="15" hidden="false" customHeight="false" outlineLevel="0" collapsed="false">
      <c r="A72" s="11" t="s">
        <v>427</v>
      </c>
      <c r="B72" s="76" t="n">
        <f aca="false">SUM(C72:W72)</f>
        <v>2619891.80883251</v>
      </c>
      <c r="C72" s="93" t="n">
        <v>0</v>
      </c>
      <c r="D72" s="93" t="n">
        <f aca="false">D69-D71</f>
        <v>23993.1490909091</v>
      </c>
      <c r="E72" s="93" t="n">
        <f aca="false">E69-E71</f>
        <v>35010.0033818182</v>
      </c>
      <c r="F72" s="93" t="n">
        <f aca="false">F69-F71</f>
        <v>42423.8864509091</v>
      </c>
      <c r="G72" s="93" t="n">
        <f aca="false">G69-G71</f>
        <v>43696.6030444364</v>
      </c>
      <c r="H72" s="93" t="n">
        <f aca="false">H69-H71</f>
        <v>45007.5011357695</v>
      </c>
      <c r="I72" s="93" t="n">
        <f aca="false">I69-I71</f>
        <v>46357.7261698425</v>
      </c>
      <c r="J72" s="93" t="n">
        <f aca="false">J69-J71</f>
        <v>51406.407426034</v>
      </c>
      <c r="K72" s="93" t="n">
        <f aca="false">K69-K71</f>
        <v>67861.3356731322</v>
      </c>
      <c r="L72" s="93" t="n">
        <f aca="false">L69-L71</f>
        <v>84735.3480875216</v>
      </c>
      <c r="M72" s="93" t="n">
        <f aca="false">M69-M71</f>
        <v>102041.390012622</v>
      </c>
      <c r="N72" s="93" t="n">
        <f aca="false">N69-N71</f>
        <v>119792.793288062</v>
      </c>
      <c r="O72" s="93" t="n">
        <f aca="false">O69-O71</f>
        <v>138003.287853891</v>
      </c>
      <c r="P72" s="93" t="n">
        <f aca="false">P69-P71</f>
        <v>156687.013702859</v>
      </c>
      <c r="Q72" s="93" t="n">
        <f aca="false">Q69-Q71</f>
        <v>175858.533191229</v>
      </c>
      <c r="R72" s="93" t="n">
        <f aca="false">R69-R71</f>
        <v>195532.843718863</v>
      </c>
      <c r="S72" s="93" t="n">
        <f aca="false">S69-S71</f>
        <v>215725.390789667</v>
      </c>
      <c r="T72" s="93" t="n">
        <f aca="false">T69-T71</f>
        <v>236452.0814638</v>
      </c>
      <c r="U72" s="93" t="n">
        <f aca="false">U69-U71</f>
        <v>257729.298213403</v>
      </c>
      <c r="V72" s="93" t="n">
        <f aca="false">V69-V71</f>
        <v>279573.913193967</v>
      </c>
      <c r="W72" s="93" t="n">
        <f aca="false">W69-W71</f>
        <v>302003.302943776</v>
      </c>
    </row>
    <row r="73" customFormat="false" ht="15" hidden="false" customHeight="false" outlineLevel="0" collapsed="false">
      <c r="A73" s="11" t="s">
        <v>428</v>
      </c>
      <c r="C73" s="91" t="n">
        <v>0</v>
      </c>
      <c r="D73" s="91" t="n">
        <f aca="false">IFERROR(D71/D69,0)</f>
        <v>0.9</v>
      </c>
      <c r="E73" s="91" t="n">
        <f aca="false">IFERROR(E71/E69,0)</f>
        <v>0.9</v>
      </c>
      <c r="F73" s="91" t="n">
        <f aca="false">IFERROR(F71/F69,0)</f>
        <v>0.9</v>
      </c>
      <c r="G73" s="91" t="n">
        <f aca="false">IFERROR(G71/G69,0)</f>
        <v>0.9</v>
      </c>
      <c r="H73" s="91" t="n">
        <f aca="false">IFERROR(H71/H69,0)</f>
        <v>0.9</v>
      </c>
      <c r="I73" s="91" t="n">
        <f aca="false">IFERROR(I71/I69,0)</f>
        <v>0.9</v>
      </c>
      <c r="J73" s="91" t="n">
        <f aca="false">IFERROR(J71/J69,0)</f>
        <v>0.892339125434065</v>
      </c>
      <c r="K73" s="91" t="n">
        <f aca="false">IFERROR(K71/K69,0)</f>
        <v>0.862016922142616</v>
      </c>
      <c r="L73" s="91" t="n">
        <f aca="false">IFERROR(L71/L69,0)</f>
        <v>0.83272508498243</v>
      </c>
      <c r="M73" s="91" t="n">
        <f aca="false">IFERROR(M71/M69,0)</f>
        <v>0.804428601512153</v>
      </c>
      <c r="N73" s="91" t="n">
        <f aca="false">IFERROR(N71/N69,0)</f>
        <v>0.777093649033585</v>
      </c>
      <c r="O73" s="91" t="n">
        <f aca="false">IFERROR(O71/O69,0)</f>
        <v>0.750687554163511</v>
      </c>
      <c r="P73" s="91" t="n">
        <f aca="false">IFERROR(P71/P69,0)</f>
        <v>0.725178753779314</v>
      </c>
      <c r="Q73" s="91" t="n">
        <f aca="false">IFERROR(Q71/Q69,0)</f>
        <v>0.700536757291668</v>
      </c>
      <c r="R73" s="91" t="n">
        <f aca="false">IFERROR(R71/R69,0)</f>
        <v>0.676732110199232</v>
      </c>
      <c r="S73" s="91" t="n">
        <f aca="false">IFERROR(S71/S69,0)</f>
        <v>0.653736358881783</v>
      </c>
      <c r="T73" s="91" t="n">
        <f aca="false">IFERROR(T71/T69,0)</f>
        <v>0.631522016589683</v>
      </c>
      <c r="U73" s="91" t="n">
        <f aca="false">IFERROR(U71/U69,0)</f>
        <v>0.610062530589063</v>
      </c>
      <c r="V73" s="91" t="n">
        <f aca="false">IFERROR(V71/V69,0)</f>
        <v>0.589332250423415</v>
      </c>
      <c r="W73" s="91" t="n">
        <f aca="false">IFERROR(W71/W69,0)</f>
        <v>0.569306397253687</v>
      </c>
    </row>
    <row r="74" customFormat="false" ht="15" hidden="false" customHeight="false" outlineLevel="0" collapsed="false">
      <c r="A74" s="11" t="s">
        <v>429</v>
      </c>
      <c r="B74" s="76" t="n">
        <f aca="false">SUM(C74:W74)</f>
        <v>873297.269610837</v>
      </c>
      <c r="C74" s="93" t="n">
        <v>0</v>
      </c>
      <c r="D74" s="93" t="n">
        <f aca="false">D72/DieselEff</f>
        <v>7997.71636363636</v>
      </c>
      <c r="E74" s="93" t="n">
        <f aca="false">E72/DieselEff</f>
        <v>11670.0011272727</v>
      </c>
      <c r="F74" s="93" t="n">
        <f aca="false">F72/DieselEff</f>
        <v>14141.2954836364</v>
      </c>
      <c r="G74" s="93" t="n">
        <f aca="false">G72/DieselEff</f>
        <v>14565.5343481455</v>
      </c>
      <c r="H74" s="93" t="n">
        <f aca="false">H72/DieselEff</f>
        <v>15002.5003785898</v>
      </c>
      <c r="I74" s="93" t="n">
        <f aca="false">I72/DieselEff</f>
        <v>15452.5753899475</v>
      </c>
      <c r="J74" s="93" t="n">
        <f aca="false">J72/DieselEff</f>
        <v>17135.4691420114</v>
      </c>
      <c r="K74" s="93" t="n">
        <f aca="false">K72/DieselEff</f>
        <v>22620.4452243774</v>
      </c>
      <c r="L74" s="93" t="n">
        <f aca="false">L72/DieselEff</f>
        <v>28245.1160291739</v>
      </c>
      <c r="M74" s="93" t="n">
        <f aca="false">M72/DieselEff</f>
        <v>34013.7966708739</v>
      </c>
      <c r="N74" s="93" t="n">
        <f aca="false">N72/DieselEff</f>
        <v>39930.9310960208</v>
      </c>
      <c r="O74" s="93" t="n">
        <f aca="false">O72/DieselEff</f>
        <v>46001.0959512971</v>
      </c>
      <c r="P74" s="93" t="n">
        <f aca="false">P72/DieselEff</f>
        <v>52229.0045676196</v>
      </c>
      <c r="Q74" s="93" t="n">
        <f aca="false">Q72/DieselEff</f>
        <v>58619.5110637429</v>
      </c>
      <c r="R74" s="93" t="n">
        <f aca="false">R72/DieselEff</f>
        <v>65177.6145729544</v>
      </c>
      <c r="S74" s="93" t="n">
        <f aca="false">S72/DieselEff</f>
        <v>71908.4635965558</v>
      </c>
      <c r="T74" s="93" t="n">
        <f aca="false">T72/DieselEff</f>
        <v>78817.3604879332</v>
      </c>
      <c r="U74" s="93" t="n">
        <f aca="false">U72/DieselEff</f>
        <v>85909.7660711344</v>
      </c>
      <c r="V74" s="93" t="n">
        <f aca="false">V72/DieselEff</f>
        <v>93191.3043979889</v>
      </c>
      <c r="W74" s="93" t="n">
        <f aca="false">W72/DieselEff</f>
        <v>100667.767647925</v>
      </c>
    </row>
    <row r="76" customFormat="false" ht="15" hidden="false" customHeight="false" outlineLevel="0" collapsed="false">
      <c r="A76" s="9" t="s">
        <v>430</v>
      </c>
      <c r="B76" s="10"/>
      <c r="C76" s="10"/>
      <c r="D76" s="10"/>
      <c r="E76" s="10"/>
      <c r="F76" s="10"/>
      <c r="G76" s="10"/>
      <c r="H76" s="10"/>
      <c r="I76" s="10"/>
      <c r="J76" s="10"/>
      <c r="K76" s="10"/>
      <c r="L76" s="10"/>
      <c r="M76" s="10"/>
      <c r="N76" s="10"/>
      <c r="O76" s="10"/>
      <c r="P76" s="10"/>
      <c r="Q76" s="10"/>
      <c r="R76" s="10"/>
      <c r="S76" s="10"/>
      <c r="T76" s="10"/>
      <c r="U76" s="10"/>
      <c r="V76" s="10"/>
      <c r="W76" s="10"/>
    </row>
    <row r="77" customFormat="false" ht="15" hidden="false" customHeight="false" outlineLevel="0" collapsed="false">
      <c r="A77" s="11" t="str">
        <f aca="false">"Billed revenue - "&amp;Seg1_Name</f>
        <v>Billed revenue - Households</v>
      </c>
      <c r="B77" s="66" t="n">
        <f aca="false">SUM(C77:W77)</f>
        <v>2107258.13958533</v>
      </c>
      <c r="C77" s="95" t="n">
        <v>0</v>
      </c>
      <c r="D77" s="95" t="n">
        <f aca="false">D61*Seg1_Tariff*LevTariff*$B$5*D43</f>
        <v>34560</v>
      </c>
      <c r="E77" s="95" t="n">
        <f aca="false">E61*Seg1_Tariff*LevTariff*$B$5*E43</f>
        <v>51941.664</v>
      </c>
      <c r="F77" s="95" t="n">
        <f aca="false">F61*Seg1_Tariff*LevTariff*$B$5*F43</f>
        <v>64829.307456</v>
      </c>
      <c r="G77" s="95" t="n">
        <f aca="false">G61*Seg1_Tariff*LevTariff*$B$5*G43</f>
        <v>68777.4122800704</v>
      </c>
      <c r="H77" s="95" t="n">
        <f aca="false">H61*Seg1_Tariff*LevTariff*$B$5*H43</f>
        <v>72965.9566879267</v>
      </c>
      <c r="I77" s="95" t="n">
        <f aca="false">I61*Seg1_Tariff*LevTariff*$B$5*I43</f>
        <v>77409.5834502214</v>
      </c>
      <c r="J77" s="95" t="n">
        <f aca="false">J61*Seg1_Tariff*LevTariff*$B$5*J43</f>
        <v>82123.8270823399</v>
      </c>
      <c r="K77" s="95" t="n">
        <f aca="false">K61*Seg1_Tariff*LevTariff*$B$5*K43</f>
        <v>87125.1681516545</v>
      </c>
      <c r="L77" s="95" t="n">
        <f aca="false">L61*Seg1_Tariff*LevTariff*$B$5*L43</f>
        <v>92431.0908920902</v>
      </c>
      <c r="M77" s="95" t="n">
        <f aca="false">M61*Seg1_Tariff*LevTariff*$B$5*M43</f>
        <v>98060.1443274185</v>
      </c>
      <c r="N77" s="95" t="n">
        <f aca="false">N61*Seg1_Tariff*LevTariff*$B$5*N43</f>
        <v>104032.007116958</v>
      </c>
      <c r="O77" s="95" t="n">
        <f aca="false">O61*Seg1_Tariff*LevTariff*$B$5*O43</f>
        <v>110367.556350381</v>
      </c>
      <c r="P77" s="95" t="n">
        <f aca="false">P61*Seg1_Tariff*LevTariff*$B$5*P43</f>
        <v>117088.940532119</v>
      </c>
      <c r="Q77" s="95" t="n">
        <f aca="false">Q61*Seg1_Tariff*LevTariff*$B$5*Q43</f>
        <v>124219.657010525</v>
      </c>
      <c r="R77" s="95" t="n">
        <f aca="false">R61*Seg1_Tariff*LevTariff*$B$5*R43</f>
        <v>131784.634122466</v>
      </c>
      <c r="S77" s="95" t="n">
        <f aca="false">S61*Seg1_Tariff*LevTariff*$B$5*S43</f>
        <v>139810.318340525</v>
      </c>
      <c r="T77" s="95" t="n">
        <f aca="false">T61*Seg1_Tariff*LevTariff*$B$5*T43</f>
        <v>148324.766727463</v>
      </c>
      <c r="U77" s="95" t="n">
        <f aca="false">U61*Seg1_Tariff*LevTariff*$B$5*U43</f>
        <v>157357.745021165</v>
      </c>
      <c r="V77" s="95" t="n">
        <f aca="false">V61*Seg1_Tariff*LevTariff*$B$5*V43</f>
        <v>166940.831692954</v>
      </c>
      <c r="W77" s="95" t="n">
        <f aca="false">W61*Seg1_Tariff*LevTariff*$B$5*W43</f>
        <v>177107.528343055</v>
      </c>
    </row>
    <row r="78" customFormat="false" ht="15" hidden="false" customHeight="false" outlineLevel="0" collapsed="false">
      <c r="A78" s="11" t="str">
        <f aca="false">"Billed revenue - "&amp;Seg2_Name</f>
        <v>Billed revenue - Productive users (mills, welding, cold rooms)</v>
      </c>
      <c r="B78" s="66" t="n">
        <f aca="false">SUM(C78:W78)</f>
        <v>1432819.63572035</v>
      </c>
      <c r="C78" s="95" t="n">
        <v>0</v>
      </c>
      <c r="D78" s="95" t="n">
        <f aca="false">D62*Seg2_Tariff*LevTariff*$B$5*D43</f>
        <v>23498.8992</v>
      </c>
      <c r="E78" s="95" t="n">
        <f aca="false">E62*Seg2_Tariff*LevTariff*$B$5*E43</f>
        <v>35317.47472848</v>
      </c>
      <c r="F78" s="95" t="n">
        <f aca="false">F62*Seg2_Tariff*LevTariff*$B$5*F43</f>
        <v>44080.3634581699</v>
      </c>
      <c r="G78" s="95" t="n">
        <f aca="false">G62*Seg2_Tariff*LevTariff*$B$5*G43</f>
        <v>46764.8575927725</v>
      </c>
      <c r="H78" s="95" t="n">
        <f aca="false">H62*Seg2_Tariff*LevTariff*$B$5*H43</f>
        <v>49612.8374201723</v>
      </c>
      <c r="I78" s="95" t="n">
        <f aca="false">I62*Seg2_Tariff*LevTariff*$B$5*I43</f>
        <v>52634.2592190608</v>
      </c>
      <c r="J78" s="95" t="n">
        <f aca="false">J62*Seg2_Tariff*LevTariff*$B$5*J43</f>
        <v>55839.6856055016</v>
      </c>
      <c r="K78" s="95" t="n">
        <f aca="false">K62*Seg2_Tariff*LevTariff*$B$5*K43</f>
        <v>59240.3224588767</v>
      </c>
      <c r="L78" s="95" t="n">
        <f aca="false">L62*Seg2_Tariff*LevTariff*$B$5*L43</f>
        <v>62848.0580966223</v>
      </c>
      <c r="M78" s="95" t="n">
        <f aca="false">M62*Seg2_Tariff*LevTariff*$B$5*M43</f>
        <v>66675.5048347066</v>
      </c>
      <c r="N78" s="95" t="n">
        <f aca="false">N62*Seg2_Tariff*LevTariff*$B$5*N43</f>
        <v>70736.0430791402</v>
      </c>
      <c r="O78" s="95" t="n">
        <f aca="false">O62*Seg2_Tariff*LevTariff*$B$5*O43</f>
        <v>75043.8681026598</v>
      </c>
      <c r="P78" s="95" t="n">
        <f aca="false">P62*Seg2_Tariff*LevTariff*$B$5*P43</f>
        <v>79614.0396701118</v>
      </c>
      <c r="Q78" s="95" t="n">
        <f aca="false">Q62*Seg2_Tariff*LevTariff*$B$5*Q43</f>
        <v>84462.5346860216</v>
      </c>
      <c r="R78" s="95" t="n">
        <f aca="false">R62*Seg2_Tariff*LevTariff*$B$5*R43</f>
        <v>89606.3030484004</v>
      </c>
      <c r="S78" s="95" t="n">
        <f aca="false">S62*Seg2_Tariff*LevTariff*$B$5*S43</f>
        <v>95063.3269040479</v>
      </c>
      <c r="T78" s="95" t="n">
        <f aca="false">T62*Seg2_Tariff*LevTariff*$B$5*T43</f>
        <v>100852.683512504</v>
      </c>
      <c r="U78" s="95" t="n">
        <f aca="false">U62*Seg2_Tariff*LevTariff*$B$5*U43</f>
        <v>106994.611938416</v>
      </c>
      <c r="V78" s="95" t="n">
        <f aca="false">V62*Seg2_Tariff*LevTariff*$B$5*V43</f>
        <v>113510.583805466</v>
      </c>
      <c r="W78" s="95" t="n">
        <f aca="false">W62*Seg2_Tariff*LevTariff*$B$5*W43</f>
        <v>120423.378359218</v>
      </c>
    </row>
    <row r="79" customFormat="false" ht="15" hidden="false" customHeight="false" outlineLevel="0" collapsed="false">
      <c r="A79" s="11" t="str">
        <f aca="false">"Billed revenue - "&amp;Seg3_Name</f>
        <v>Billed revenue - Commercial (shops, bars, kiosks)</v>
      </c>
      <c r="B79" s="66" t="n">
        <f aca="false">SUM(C79:W79)</f>
        <v>878024.224827222</v>
      </c>
      <c r="C79" s="95" t="n">
        <v>0</v>
      </c>
      <c r="D79" s="95" t="n">
        <f aca="false">D63*Seg3_Tariff*LevTariff*$B$5*D43</f>
        <v>14400</v>
      </c>
      <c r="E79" s="95" t="n">
        <f aca="false">E63*Seg3_Tariff*LevTariff*$B$5*E43</f>
        <v>21642.36</v>
      </c>
      <c r="F79" s="95" t="n">
        <f aca="false">F63*Seg3_Tariff*LevTariff*$B$5*F43</f>
        <v>27012.21144</v>
      </c>
      <c r="G79" s="95" t="n">
        <f aca="false">G63*Seg3_Tariff*LevTariff*$B$5*G43</f>
        <v>28657.255116696</v>
      </c>
      <c r="H79" s="95" t="n">
        <f aca="false">H63*Seg3_Tariff*LevTariff*$B$5*H43</f>
        <v>30402.4819533028</v>
      </c>
      <c r="I79" s="95" t="n">
        <f aca="false">I63*Seg3_Tariff*LevTariff*$B$5*I43</f>
        <v>32253.9931042589</v>
      </c>
      <c r="J79" s="95" t="n">
        <f aca="false">J63*Seg3_Tariff*LevTariff*$B$5*J43</f>
        <v>34218.2612843083</v>
      </c>
      <c r="K79" s="95" t="n">
        <f aca="false">K63*Seg3_Tariff*LevTariff*$B$5*K43</f>
        <v>36302.1533965227</v>
      </c>
      <c r="L79" s="95" t="n">
        <f aca="false">L63*Seg3_Tariff*LevTariff*$B$5*L43</f>
        <v>38512.9545383709</v>
      </c>
      <c r="M79" s="95" t="n">
        <f aca="false">M63*Seg3_Tariff*LevTariff*$B$5*M43</f>
        <v>40858.3934697577</v>
      </c>
      <c r="N79" s="95" t="n">
        <f aca="false">N63*Seg3_Tariff*LevTariff*$B$5*N43</f>
        <v>43346.669632066</v>
      </c>
      <c r="O79" s="95" t="n">
        <f aca="false">O63*Seg3_Tariff*LevTariff*$B$5*O43</f>
        <v>45986.4818126588</v>
      </c>
      <c r="P79" s="95" t="n">
        <f aca="false">P63*Seg3_Tariff*LevTariff*$B$5*P43</f>
        <v>48787.0585550497</v>
      </c>
      <c r="Q79" s="95" t="n">
        <f aca="false">Q63*Seg3_Tariff*LevTariff*$B$5*Q43</f>
        <v>51758.1904210522</v>
      </c>
      <c r="R79" s="95" t="n">
        <f aca="false">R63*Seg3_Tariff*LevTariff*$B$5*R43</f>
        <v>54910.2642176943</v>
      </c>
      <c r="S79" s="95" t="n">
        <f aca="false">S63*Seg3_Tariff*LevTariff*$B$5*S43</f>
        <v>58254.2993085519</v>
      </c>
      <c r="T79" s="95" t="n">
        <f aca="false">T63*Seg3_Tariff*LevTariff*$B$5*T43</f>
        <v>61801.9861364427</v>
      </c>
      <c r="U79" s="95" t="n">
        <f aca="false">U63*Seg3_Tariff*LevTariff*$B$5*U43</f>
        <v>65565.7270921521</v>
      </c>
      <c r="V79" s="95" t="n">
        <f aca="false">V63*Seg3_Tariff*LevTariff*$B$5*V43</f>
        <v>69558.6798720642</v>
      </c>
      <c r="W79" s="95" t="n">
        <f aca="false">W63*Seg3_Tariff*LevTariff*$B$5*W43</f>
        <v>73794.8034762729</v>
      </c>
    </row>
    <row r="80" customFormat="false" ht="15" hidden="false" customHeight="false" outlineLevel="0" collapsed="false">
      <c r="A80" s="11" t="str">
        <f aca="false">"Billed revenue - "&amp;Seg4_Name</f>
        <v>Billed revenue - Institutions (health centre, school, water)</v>
      </c>
      <c r="B80" s="66" t="n">
        <f aca="false">SUM(C80:W80)</f>
        <v>460962.718034292</v>
      </c>
      <c r="C80" s="95" t="n">
        <v>0</v>
      </c>
      <c r="D80" s="95" t="n">
        <f aca="false">D64*Seg4_Tariff*LevTariff*$B$5*D43</f>
        <v>7560</v>
      </c>
      <c r="E80" s="95" t="n">
        <f aca="false">E64*Seg4_Tariff*LevTariff*$B$5*E43</f>
        <v>11362.239</v>
      </c>
      <c r="F80" s="95" t="n">
        <f aca="false">F64*Seg4_Tariff*LevTariff*$B$5*F43</f>
        <v>14181.411006</v>
      </c>
      <c r="G80" s="95" t="n">
        <f aca="false">G64*Seg4_Tariff*LevTariff*$B$5*G43</f>
        <v>15045.0589362654</v>
      </c>
      <c r="H80" s="95" t="n">
        <f aca="false">H64*Seg4_Tariff*LevTariff*$B$5*H43</f>
        <v>15961.303025484</v>
      </c>
      <c r="I80" s="95" t="n">
        <f aca="false">I64*Seg4_Tariff*LevTariff*$B$5*I43</f>
        <v>16933.3463797359</v>
      </c>
      <c r="J80" s="95" t="n">
        <f aca="false">J64*Seg4_Tariff*LevTariff*$B$5*J43</f>
        <v>17964.5871742619</v>
      </c>
      <c r="K80" s="95" t="n">
        <f aca="false">K64*Seg4_Tariff*LevTariff*$B$5*K43</f>
        <v>19058.6305331744</v>
      </c>
      <c r="L80" s="95" t="n">
        <f aca="false">L64*Seg4_Tariff*LevTariff*$B$5*L43</f>
        <v>20219.3011326447</v>
      </c>
      <c r="M80" s="95" t="n">
        <f aca="false">M64*Seg4_Tariff*LevTariff*$B$5*M43</f>
        <v>21450.6565716228</v>
      </c>
      <c r="N80" s="95" t="n">
        <f aca="false">N64*Seg4_Tariff*LevTariff*$B$5*N43</f>
        <v>22757.0015568346</v>
      </c>
      <c r="O80" s="95" t="n">
        <f aca="false">O64*Seg4_Tariff*LevTariff*$B$5*O43</f>
        <v>24142.9029516459</v>
      </c>
      <c r="P80" s="95" t="n">
        <f aca="false">P64*Seg4_Tariff*LevTariff*$B$5*P43</f>
        <v>25613.2057414011</v>
      </c>
      <c r="Q80" s="95" t="n">
        <f aca="false">Q64*Seg4_Tariff*LevTariff*$B$5*Q43</f>
        <v>27173.0499710524</v>
      </c>
      <c r="R80" s="95" t="n">
        <f aca="false">R64*Seg4_Tariff*LevTariff*$B$5*R43</f>
        <v>28827.8887142895</v>
      </c>
      <c r="S80" s="95" t="n">
        <f aca="false">S64*Seg4_Tariff*LevTariff*$B$5*S43</f>
        <v>30583.5071369897</v>
      </c>
      <c r="T80" s="95" t="n">
        <f aca="false">T64*Seg4_Tariff*LevTariff*$B$5*T43</f>
        <v>32446.0427216324</v>
      </c>
      <c r="U80" s="95" t="n">
        <f aca="false">U64*Seg4_Tariff*LevTariff*$B$5*U43</f>
        <v>34422.0067233798</v>
      </c>
      <c r="V80" s="95" t="n">
        <f aca="false">V64*Seg4_Tariff*LevTariff*$B$5*V43</f>
        <v>36518.3069328337</v>
      </c>
      <c r="W80" s="95" t="n">
        <f aca="false">W64*Seg4_Tariff*LevTariff*$B$5*W43</f>
        <v>38742.2718250432</v>
      </c>
    </row>
    <row r="81" customFormat="false" ht="15" hidden="false" customHeight="false" outlineLevel="0" collapsed="false">
      <c r="A81" s="11" t="str">
        <f aca="false">"Billed revenue - "&amp;Seg5_Name</f>
        <v>Billed revenue - Other / custom</v>
      </c>
      <c r="B81" s="66" t="n">
        <f aca="false">SUM(C81:W81)</f>
        <v>0</v>
      </c>
      <c r="C81" s="95" t="n">
        <v>0</v>
      </c>
      <c r="D81" s="95" t="n">
        <f aca="false">D65*Seg5_Tariff*LevTariff*$B$5*D43</f>
        <v>0</v>
      </c>
      <c r="E81" s="95" t="n">
        <f aca="false">E65*Seg5_Tariff*LevTariff*$B$5*E43</f>
        <v>0</v>
      </c>
      <c r="F81" s="95" t="n">
        <f aca="false">F65*Seg5_Tariff*LevTariff*$B$5*F43</f>
        <v>0</v>
      </c>
      <c r="G81" s="95" t="n">
        <f aca="false">G65*Seg5_Tariff*LevTariff*$B$5*G43</f>
        <v>0</v>
      </c>
      <c r="H81" s="95" t="n">
        <f aca="false">H65*Seg5_Tariff*LevTariff*$B$5*H43</f>
        <v>0</v>
      </c>
      <c r="I81" s="95" t="n">
        <f aca="false">I65*Seg5_Tariff*LevTariff*$B$5*I43</f>
        <v>0</v>
      </c>
      <c r="J81" s="95" t="n">
        <f aca="false">J65*Seg5_Tariff*LevTariff*$B$5*J43</f>
        <v>0</v>
      </c>
      <c r="K81" s="95" t="n">
        <f aca="false">K65*Seg5_Tariff*LevTariff*$B$5*K43</f>
        <v>0</v>
      </c>
      <c r="L81" s="95" t="n">
        <f aca="false">L65*Seg5_Tariff*LevTariff*$B$5*L43</f>
        <v>0</v>
      </c>
      <c r="M81" s="95" t="n">
        <f aca="false">M65*Seg5_Tariff*LevTariff*$B$5*M43</f>
        <v>0</v>
      </c>
      <c r="N81" s="95" t="n">
        <f aca="false">N65*Seg5_Tariff*LevTariff*$B$5*N43</f>
        <v>0</v>
      </c>
      <c r="O81" s="95" t="n">
        <f aca="false">O65*Seg5_Tariff*LevTariff*$B$5*O43</f>
        <v>0</v>
      </c>
      <c r="P81" s="95" t="n">
        <f aca="false">P65*Seg5_Tariff*LevTariff*$B$5*P43</f>
        <v>0</v>
      </c>
      <c r="Q81" s="95" t="n">
        <f aca="false">Q65*Seg5_Tariff*LevTariff*$B$5*Q43</f>
        <v>0</v>
      </c>
      <c r="R81" s="95" t="n">
        <f aca="false">R65*Seg5_Tariff*LevTariff*$B$5*R43</f>
        <v>0</v>
      </c>
      <c r="S81" s="95" t="n">
        <f aca="false">S65*Seg5_Tariff*LevTariff*$B$5*S43</f>
        <v>0</v>
      </c>
      <c r="T81" s="95" t="n">
        <f aca="false">T65*Seg5_Tariff*LevTariff*$B$5*T43</f>
        <v>0</v>
      </c>
      <c r="U81" s="95" t="n">
        <f aca="false">U65*Seg5_Tariff*LevTariff*$B$5*U43</f>
        <v>0</v>
      </c>
      <c r="V81" s="95" t="n">
        <f aca="false">V65*Seg5_Tariff*LevTariff*$B$5*V43</f>
        <v>0</v>
      </c>
      <c r="W81" s="95" t="n">
        <f aca="false">W65*Seg5_Tariff*LevTariff*$B$5*W43</f>
        <v>0</v>
      </c>
    </row>
    <row r="82" customFormat="false" ht="15" hidden="false" customHeight="false" outlineLevel="0" collapsed="false">
      <c r="A82" s="16" t="s">
        <v>431</v>
      </c>
      <c r="B82" s="66" t="n">
        <f aca="false">SUM(C82:W82)</f>
        <v>4879064.7181672</v>
      </c>
      <c r="C82" s="31" t="n">
        <f aca="false">C77+C78+C79+C80+C81</f>
        <v>0</v>
      </c>
      <c r="D82" s="31" t="n">
        <f aca="false">D77+D78+D79+D80+D81</f>
        <v>80018.8992</v>
      </c>
      <c r="E82" s="31" t="n">
        <f aca="false">E77+E78+E79+E80+E81</f>
        <v>120263.73772848</v>
      </c>
      <c r="F82" s="31" t="n">
        <f aca="false">F77+F78+F79+F80+F81</f>
        <v>150103.29336017</v>
      </c>
      <c r="G82" s="31" t="n">
        <f aca="false">G77+G78+G79+G80+G81</f>
        <v>159244.583925804</v>
      </c>
      <c r="H82" s="31" t="n">
        <f aca="false">H77+H78+H79+H80+H81</f>
        <v>168942.579086886</v>
      </c>
      <c r="I82" s="31" t="n">
        <f aca="false">I77+I78+I79+I80+I81</f>
        <v>179231.182153277</v>
      </c>
      <c r="J82" s="31" t="n">
        <f aca="false">J77+J78+J79+J80+J81</f>
        <v>190146.361146412</v>
      </c>
      <c r="K82" s="31" t="n">
        <f aca="false">K77+K78+K79+K80+K81</f>
        <v>201726.274540228</v>
      </c>
      <c r="L82" s="31" t="n">
        <f aca="false">L77+L78+L79+L80+L81</f>
        <v>214011.404659728</v>
      </c>
      <c r="M82" s="31" t="n">
        <f aca="false">M77+M78+M79+M80+M81</f>
        <v>227044.699203506</v>
      </c>
      <c r="N82" s="31" t="n">
        <f aca="false">N77+N78+N79+N80+N81</f>
        <v>240871.721384999</v>
      </c>
      <c r="O82" s="31" t="n">
        <f aca="false">O77+O78+O79+O80+O81</f>
        <v>255540.809217346</v>
      </c>
      <c r="P82" s="31" t="n">
        <f aca="false">P77+P78+P79+P80+P81</f>
        <v>271103.244498682</v>
      </c>
      <c r="Q82" s="31" t="n">
        <f aca="false">Q77+Q78+Q79+Q80+Q81</f>
        <v>287613.432088652</v>
      </c>
      <c r="R82" s="31" t="n">
        <f aca="false">R77+R78+R79+R80+R81</f>
        <v>305129.090102851</v>
      </c>
      <c r="S82" s="31" t="n">
        <f aca="false">S77+S78+S79+S80+S81</f>
        <v>323711.451690114</v>
      </c>
      <c r="T82" s="31" t="n">
        <f aca="false">T77+T78+T79+T80+T81</f>
        <v>343425.479098042</v>
      </c>
      <c r="U82" s="31" t="n">
        <f aca="false">U77+U78+U79+U80+U81</f>
        <v>364340.090775113</v>
      </c>
      <c r="V82" s="31" t="n">
        <f aca="false">V77+V78+V79+V80+V81</f>
        <v>386528.402303317</v>
      </c>
      <c r="W82" s="31" t="n">
        <f aca="false">W77+W78+W79+W80+W81</f>
        <v>410067.982003589</v>
      </c>
    </row>
    <row r="83" customFormat="false" ht="15" hidden="false" customHeight="false" outlineLevel="0" collapsed="false">
      <c r="A83" s="11" t="s">
        <v>432</v>
      </c>
      <c r="B83" s="66" t="n">
        <f aca="false">SUM(C83:W83)</f>
        <v>4488739.54071382</v>
      </c>
      <c r="C83" s="95" t="n">
        <v>0</v>
      </c>
      <c r="D83" s="95" t="n">
        <f aca="false">D82*MIN(1,Collection*LevColl*$B$9)</f>
        <v>73617.387264</v>
      </c>
      <c r="E83" s="95" t="n">
        <f aca="false">E82*MIN(1,Collection*LevColl*$B$9)</f>
        <v>110642.638710202</v>
      </c>
      <c r="F83" s="95" t="n">
        <f aca="false">F82*MIN(1,Collection*LevColl*$B$9)</f>
        <v>138095.029891356</v>
      </c>
      <c r="G83" s="95" t="n">
        <f aca="false">G82*MIN(1,Collection*LevColl*$B$9)</f>
        <v>146505.01721174</v>
      </c>
      <c r="H83" s="95" t="n">
        <f aca="false">H82*MIN(1,Collection*LevColl*$B$9)</f>
        <v>155427.172759935</v>
      </c>
      <c r="I83" s="95" t="n">
        <f aca="false">I82*MIN(1,Collection*LevColl*$B$9)</f>
        <v>164892.687581015</v>
      </c>
      <c r="J83" s="95" t="n">
        <f aca="false">J82*MIN(1,Collection*LevColl*$B$9)</f>
        <v>174934.652254699</v>
      </c>
      <c r="K83" s="95" t="n">
        <f aca="false">K82*MIN(1,Collection*LevColl*$B$9)</f>
        <v>185588.17257701</v>
      </c>
      <c r="L83" s="95" t="n">
        <f aca="false">L82*MIN(1,Collection*LevColl*$B$9)</f>
        <v>196890.49228695</v>
      </c>
      <c r="M83" s="95" t="n">
        <f aca="false">M82*MIN(1,Collection*LevColl*$B$9)</f>
        <v>208881.123267225</v>
      </c>
      <c r="N83" s="95" t="n">
        <f aca="false">N82*MIN(1,Collection*LevColl*$B$9)</f>
        <v>221601.983674199</v>
      </c>
      <c r="O83" s="95" t="n">
        <f aca="false">O82*MIN(1,Collection*LevColl*$B$9)</f>
        <v>235097.544479958</v>
      </c>
      <c r="P83" s="95" t="n">
        <f aca="false">P82*MIN(1,Collection*LevColl*$B$9)</f>
        <v>249414.984938787</v>
      </c>
      <c r="Q83" s="95" t="n">
        <f aca="false">Q82*MIN(1,Collection*LevColl*$B$9)</f>
        <v>264604.357521559</v>
      </c>
      <c r="R83" s="95" t="n">
        <f aca="false">R82*MIN(1,Collection*LevColl*$B$9)</f>
        <v>280718.762894623</v>
      </c>
      <c r="S83" s="95" t="n">
        <f aca="false">S82*MIN(1,Collection*LevColl*$B$9)</f>
        <v>297814.535554905</v>
      </c>
      <c r="T83" s="95" t="n">
        <f aca="false">T82*MIN(1,Collection*LevColl*$B$9)</f>
        <v>315951.440770199</v>
      </c>
      <c r="U83" s="95" t="n">
        <f aca="false">U82*MIN(1,Collection*LevColl*$B$9)</f>
        <v>335192.883513104</v>
      </c>
      <c r="V83" s="95" t="n">
        <f aca="false">V82*MIN(1,Collection*LevColl*$B$9)</f>
        <v>355606.130119052</v>
      </c>
      <c r="W83" s="95" t="n">
        <f aca="false">W82*MIN(1,Collection*LevColl*$B$9)</f>
        <v>377262.543443302</v>
      </c>
    </row>
    <row r="84" customFormat="false" ht="15" hidden="false" customHeight="false" outlineLevel="0" collapsed="false">
      <c r="A84" s="11" t="s">
        <v>433</v>
      </c>
      <c r="B84" s="66" t="n">
        <f aca="false">SUM(C84:W84)</f>
        <v>11500</v>
      </c>
      <c r="C84" s="95" t="n">
        <v>0</v>
      </c>
      <c r="D84" s="95" t="n">
        <f aca="false">D54*Seg1_Fee+D55*Seg2_Fee+D56*Seg3_Fee+D57*Seg4_Fee+D58*Seg5_Fee</f>
        <v>6900</v>
      </c>
      <c r="E84" s="95" t="n">
        <f aca="false">E54*Seg1_Fee+E55*Seg2_Fee+E56*Seg3_Fee+E57*Seg4_Fee+E58*Seg5_Fee</f>
        <v>2875</v>
      </c>
      <c r="F84" s="95" t="n">
        <f aca="false">F54*Seg1_Fee+F55*Seg2_Fee+F56*Seg3_Fee+F57*Seg4_Fee+F58*Seg5_Fee</f>
        <v>1725</v>
      </c>
      <c r="G84" s="95" t="n">
        <f aca="false">G54*Seg1_Fee+G55*Seg2_Fee+G56*Seg3_Fee+G57*Seg4_Fee+G58*Seg5_Fee</f>
        <v>0</v>
      </c>
      <c r="H84" s="95" t="n">
        <f aca="false">H54*Seg1_Fee+H55*Seg2_Fee+H56*Seg3_Fee+H57*Seg4_Fee+H58*Seg5_Fee</f>
        <v>0</v>
      </c>
      <c r="I84" s="95" t="n">
        <f aca="false">I54*Seg1_Fee+I55*Seg2_Fee+I56*Seg3_Fee+I57*Seg4_Fee+I58*Seg5_Fee</f>
        <v>0</v>
      </c>
      <c r="J84" s="95" t="n">
        <f aca="false">J54*Seg1_Fee+J55*Seg2_Fee+J56*Seg3_Fee+J57*Seg4_Fee+J58*Seg5_Fee</f>
        <v>0</v>
      </c>
      <c r="K84" s="95" t="n">
        <f aca="false">K54*Seg1_Fee+K55*Seg2_Fee+K56*Seg3_Fee+K57*Seg4_Fee+K58*Seg5_Fee</f>
        <v>0</v>
      </c>
      <c r="L84" s="95" t="n">
        <f aca="false">L54*Seg1_Fee+L55*Seg2_Fee+L56*Seg3_Fee+L57*Seg4_Fee+L58*Seg5_Fee</f>
        <v>0</v>
      </c>
      <c r="M84" s="95" t="n">
        <f aca="false">M54*Seg1_Fee+M55*Seg2_Fee+M56*Seg3_Fee+M57*Seg4_Fee+M58*Seg5_Fee</f>
        <v>0</v>
      </c>
      <c r="N84" s="95" t="n">
        <f aca="false">N54*Seg1_Fee+N55*Seg2_Fee+N56*Seg3_Fee+N57*Seg4_Fee+N58*Seg5_Fee</f>
        <v>0</v>
      </c>
      <c r="O84" s="95" t="n">
        <f aca="false">O54*Seg1_Fee+O55*Seg2_Fee+O56*Seg3_Fee+O57*Seg4_Fee+O58*Seg5_Fee</f>
        <v>0</v>
      </c>
      <c r="P84" s="95" t="n">
        <f aca="false">P54*Seg1_Fee+P55*Seg2_Fee+P56*Seg3_Fee+P57*Seg4_Fee+P58*Seg5_Fee</f>
        <v>0</v>
      </c>
      <c r="Q84" s="95" t="n">
        <f aca="false">Q54*Seg1_Fee+Q55*Seg2_Fee+Q56*Seg3_Fee+Q57*Seg4_Fee+Q58*Seg5_Fee</f>
        <v>0</v>
      </c>
      <c r="R84" s="95" t="n">
        <f aca="false">R54*Seg1_Fee+R55*Seg2_Fee+R56*Seg3_Fee+R57*Seg4_Fee+R58*Seg5_Fee</f>
        <v>0</v>
      </c>
      <c r="S84" s="95" t="n">
        <f aca="false">S54*Seg1_Fee+S55*Seg2_Fee+S56*Seg3_Fee+S57*Seg4_Fee+S58*Seg5_Fee</f>
        <v>0</v>
      </c>
      <c r="T84" s="95" t="n">
        <f aca="false">T54*Seg1_Fee+T55*Seg2_Fee+T56*Seg3_Fee+T57*Seg4_Fee+T58*Seg5_Fee</f>
        <v>0</v>
      </c>
      <c r="U84" s="95" t="n">
        <f aca="false">U54*Seg1_Fee+U55*Seg2_Fee+U56*Seg3_Fee+U57*Seg4_Fee+U58*Seg5_Fee</f>
        <v>0</v>
      </c>
      <c r="V84" s="95" t="n">
        <f aca="false">V54*Seg1_Fee+V55*Seg2_Fee+V56*Seg3_Fee+V57*Seg4_Fee+V58*Seg5_Fee</f>
        <v>0</v>
      </c>
      <c r="W84" s="95" t="n">
        <f aca="false">W54*Seg1_Fee+W55*Seg2_Fee+W56*Seg3_Fee+W57*Seg4_Fee+W58*Seg5_Fee</f>
        <v>0</v>
      </c>
    </row>
    <row r="85" customFormat="false" ht="15" hidden="false" customHeight="false" outlineLevel="0" collapsed="false">
      <c r="A85" s="16" t="s">
        <v>434</v>
      </c>
      <c r="B85" s="66" t="n">
        <f aca="false">SUM(C85:W85)</f>
        <v>4500239.54071382</v>
      </c>
      <c r="C85" s="31" t="n">
        <f aca="false">C83+C84</f>
        <v>0</v>
      </c>
      <c r="D85" s="31" t="n">
        <f aca="false">D83+D84</f>
        <v>80517.387264</v>
      </c>
      <c r="E85" s="31" t="n">
        <f aca="false">E83+E84</f>
        <v>113517.638710202</v>
      </c>
      <c r="F85" s="31" t="n">
        <f aca="false">F83+F84</f>
        <v>139820.029891356</v>
      </c>
      <c r="G85" s="31" t="n">
        <f aca="false">G83+G84</f>
        <v>146505.01721174</v>
      </c>
      <c r="H85" s="31" t="n">
        <f aca="false">H83+H84</f>
        <v>155427.172759935</v>
      </c>
      <c r="I85" s="31" t="n">
        <f aca="false">I83+I84</f>
        <v>164892.687581015</v>
      </c>
      <c r="J85" s="31" t="n">
        <f aca="false">J83+J84</f>
        <v>174934.652254699</v>
      </c>
      <c r="K85" s="31" t="n">
        <f aca="false">K83+K84</f>
        <v>185588.17257701</v>
      </c>
      <c r="L85" s="31" t="n">
        <f aca="false">L83+L84</f>
        <v>196890.49228695</v>
      </c>
      <c r="M85" s="31" t="n">
        <f aca="false">M83+M84</f>
        <v>208881.123267225</v>
      </c>
      <c r="N85" s="31" t="n">
        <f aca="false">N83+N84</f>
        <v>221601.983674199</v>
      </c>
      <c r="O85" s="31" t="n">
        <f aca="false">O83+O84</f>
        <v>235097.544479958</v>
      </c>
      <c r="P85" s="31" t="n">
        <f aca="false">P83+P84</f>
        <v>249414.984938787</v>
      </c>
      <c r="Q85" s="31" t="n">
        <f aca="false">Q83+Q84</f>
        <v>264604.357521559</v>
      </c>
      <c r="R85" s="31" t="n">
        <f aca="false">R83+R84</f>
        <v>280718.762894623</v>
      </c>
      <c r="S85" s="31" t="n">
        <f aca="false">S83+S84</f>
        <v>297814.535554905</v>
      </c>
      <c r="T85" s="31" t="n">
        <f aca="false">T83+T84</f>
        <v>315951.440770199</v>
      </c>
      <c r="U85" s="31" t="n">
        <f aca="false">U83+U84</f>
        <v>335192.883513104</v>
      </c>
      <c r="V85" s="31" t="n">
        <f aca="false">V83+V84</f>
        <v>355606.130119052</v>
      </c>
      <c r="W85" s="31" t="n">
        <f aca="false">W83+W84</f>
        <v>377262.543443302</v>
      </c>
    </row>
    <row r="87" customFormat="false" ht="15" hidden="false" customHeight="false" outlineLevel="0" collapsed="false">
      <c r="A87" s="9" t="s">
        <v>435</v>
      </c>
      <c r="B87" s="10"/>
      <c r="C87" s="10"/>
      <c r="D87" s="10"/>
      <c r="E87" s="10"/>
      <c r="F87" s="10"/>
      <c r="G87" s="10"/>
      <c r="H87" s="10"/>
      <c r="I87" s="10"/>
      <c r="J87" s="10"/>
      <c r="K87" s="10"/>
      <c r="L87" s="10"/>
      <c r="M87" s="10"/>
      <c r="N87" s="10"/>
      <c r="O87" s="10"/>
      <c r="P87" s="10"/>
      <c r="Q87" s="10"/>
      <c r="R87" s="10"/>
      <c r="S87" s="10"/>
      <c r="T87" s="10"/>
      <c r="U87" s="10"/>
      <c r="V87" s="10"/>
      <c r="W87" s="10"/>
    </row>
    <row r="88" customFormat="false" ht="15" hidden="false" customHeight="false" outlineLevel="0" collapsed="false">
      <c r="A88" s="11" t="s">
        <v>162</v>
      </c>
      <c r="B88" s="66" t="n">
        <f aca="false">SUM(C88:W88)</f>
        <v>679197.868676078</v>
      </c>
      <c r="C88" s="95" t="n">
        <v>0</v>
      </c>
      <c r="D88" s="95" t="n">
        <f aca="false">S_Fuel_Hi!$B$15*O_FixedPct*D44*LevOpex*$B$8*D41</f>
        <v>25276.8292810589</v>
      </c>
      <c r="E88" s="95" t="n">
        <f aca="false">S_Fuel_Hi!$B$15*O_FixedPct*E44*LevOpex*$B$8*E41</f>
        <v>26035.1341594906</v>
      </c>
      <c r="F88" s="95" t="n">
        <f aca="false">S_Fuel_Hi!$B$15*O_FixedPct*F44*LevOpex*$B$8*F41</f>
        <v>26816.1881842753</v>
      </c>
      <c r="G88" s="95" t="n">
        <f aca="false">S_Fuel_Hi!$B$15*O_FixedPct*G44*LevOpex*$B$8*G41</f>
        <v>27620.6738298036</v>
      </c>
      <c r="H88" s="95" t="n">
        <f aca="false">S_Fuel_Hi!$B$15*O_FixedPct*H44*LevOpex*$B$8*H41</f>
        <v>28449.2940446977</v>
      </c>
      <c r="I88" s="95" t="n">
        <f aca="false">S_Fuel_Hi!$B$15*O_FixedPct*I44*LevOpex*$B$8*I41</f>
        <v>29302.7728660386</v>
      </c>
      <c r="J88" s="95" t="n">
        <f aca="false">S_Fuel_Hi!$B$15*O_FixedPct*J44*LevOpex*$B$8*J41</f>
        <v>30181.8560520198</v>
      </c>
      <c r="K88" s="95" t="n">
        <f aca="false">S_Fuel_Hi!$B$15*O_FixedPct*K44*LevOpex*$B$8*K41</f>
        <v>31087.3117335804</v>
      </c>
      <c r="L88" s="95" t="n">
        <f aca="false">S_Fuel_Hi!$B$15*O_FixedPct*L44*LevOpex*$B$8*L41</f>
        <v>32019.9310855878</v>
      </c>
      <c r="M88" s="95" t="n">
        <f aca="false">S_Fuel_Hi!$B$15*O_FixedPct*M44*LevOpex*$B$8*M41</f>
        <v>32980.5290181554</v>
      </c>
      <c r="N88" s="95" t="n">
        <f aca="false">S_Fuel_Hi!$B$15*O_FixedPct*N44*LevOpex*$B$8*N41</f>
        <v>33969.9448887001</v>
      </c>
      <c r="O88" s="95" t="n">
        <f aca="false">S_Fuel_Hi!$B$15*O_FixedPct*O44*LevOpex*$B$8*O41</f>
        <v>34989.0432353611</v>
      </c>
      <c r="P88" s="95" t="n">
        <f aca="false">S_Fuel_Hi!$B$15*O_FixedPct*P44*LevOpex*$B$8*P41</f>
        <v>36038.7145324219</v>
      </c>
      <c r="Q88" s="95" t="n">
        <f aca="false">S_Fuel_Hi!$B$15*O_FixedPct*Q44*LevOpex*$B$8*Q41</f>
        <v>37119.8759683946</v>
      </c>
      <c r="R88" s="95" t="n">
        <f aca="false">S_Fuel_Hi!$B$15*O_FixedPct*R44*LevOpex*$B$8*R41</f>
        <v>38233.4722474465</v>
      </c>
      <c r="S88" s="95" t="n">
        <f aca="false">S_Fuel_Hi!$B$15*O_FixedPct*S44*LevOpex*$B$8*S41</f>
        <v>39380.4764148698</v>
      </c>
      <c r="T88" s="95" t="n">
        <f aca="false">S_Fuel_Hi!$B$15*O_FixedPct*T44*LevOpex*$B$8*T41</f>
        <v>40561.8907073159</v>
      </c>
      <c r="U88" s="95" t="n">
        <f aca="false">S_Fuel_Hi!$B$15*O_FixedPct*U44*LevOpex*$B$8*U41</f>
        <v>41778.7474285354</v>
      </c>
      <c r="V88" s="95" t="n">
        <f aca="false">S_Fuel_Hi!$B$15*O_FixedPct*V44*LevOpex*$B$8*V41</f>
        <v>43032.1098513915</v>
      </c>
      <c r="W88" s="95" t="n">
        <f aca="false">S_Fuel_Hi!$B$15*O_FixedPct*W44*LevOpex*$B$8*W41</f>
        <v>44323.0731469332</v>
      </c>
    </row>
    <row r="89" customFormat="false" ht="15" hidden="false" customHeight="false" outlineLevel="0" collapsed="false">
      <c r="A89" s="11" t="s">
        <v>436</v>
      </c>
      <c r="B89" s="66" t="n">
        <f aca="false">SUM(C89:W89)</f>
        <v>483666.740801648</v>
      </c>
      <c r="C89" s="95" t="n">
        <v>0</v>
      </c>
      <c r="D89" s="95" t="n">
        <f aca="false">O_Staff*D44*LevOpex*$B$8*D41</f>
        <v>18000</v>
      </c>
      <c r="E89" s="95" t="n">
        <f aca="false">O_Staff*E44*LevOpex*$B$8*E41</f>
        <v>18540</v>
      </c>
      <c r="F89" s="95" t="n">
        <f aca="false">O_Staff*F44*LevOpex*$B$8*F41</f>
        <v>19096.2</v>
      </c>
      <c r="G89" s="95" t="n">
        <f aca="false">O_Staff*G44*LevOpex*$B$8*G41</f>
        <v>19669.086</v>
      </c>
      <c r="H89" s="95" t="n">
        <f aca="false">O_Staff*H44*LevOpex*$B$8*H41</f>
        <v>20259.15858</v>
      </c>
      <c r="I89" s="95" t="n">
        <f aca="false">O_Staff*I44*LevOpex*$B$8*I41</f>
        <v>20866.9333374</v>
      </c>
      <c r="J89" s="95" t="n">
        <f aca="false">O_Staff*J44*LevOpex*$B$8*J41</f>
        <v>21492.941337522</v>
      </c>
      <c r="K89" s="95" t="n">
        <f aca="false">O_Staff*K44*LevOpex*$B$8*K41</f>
        <v>22137.7295776477</v>
      </c>
      <c r="L89" s="95" t="n">
        <f aca="false">O_Staff*L44*LevOpex*$B$8*L41</f>
        <v>22801.8614649771</v>
      </c>
      <c r="M89" s="95" t="n">
        <f aca="false">O_Staff*M44*LevOpex*$B$8*M41</f>
        <v>23485.9173089264</v>
      </c>
      <c r="N89" s="95" t="n">
        <f aca="false">O_Staff*N44*LevOpex*$B$8*N41</f>
        <v>24190.4948281942</v>
      </c>
      <c r="O89" s="95" t="n">
        <f aca="false">O_Staff*O44*LevOpex*$B$8*O41</f>
        <v>24916.20967304</v>
      </c>
      <c r="P89" s="95" t="n">
        <f aca="false">O_Staff*P44*LevOpex*$B$8*P41</f>
        <v>25663.6959632312</v>
      </c>
      <c r="Q89" s="95" t="n">
        <f aca="false">O_Staff*Q44*LevOpex*$B$8*Q41</f>
        <v>26433.6068421282</v>
      </c>
      <c r="R89" s="95" t="n">
        <f aca="false">O_Staff*R44*LevOpex*$B$8*R41</f>
        <v>27226.615047392</v>
      </c>
      <c r="S89" s="95" t="n">
        <f aca="false">O_Staff*S44*LevOpex*$B$8*S41</f>
        <v>28043.4134988138</v>
      </c>
      <c r="T89" s="95" t="n">
        <f aca="false">O_Staff*T44*LevOpex*$B$8*T41</f>
        <v>28884.7159037782</v>
      </c>
      <c r="U89" s="95" t="n">
        <f aca="false">O_Staff*U44*LevOpex*$B$8*U41</f>
        <v>29751.2573808915</v>
      </c>
      <c r="V89" s="95" t="n">
        <f aca="false">O_Staff*V44*LevOpex*$B$8*V41</f>
        <v>30643.7951023183</v>
      </c>
      <c r="W89" s="95" t="n">
        <f aca="false">O_Staff*W44*LevOpex*$B$8*W41</f>
        <v>31563.1089553878</v>
      </c>
    </row>
    <row r="90" customFormat="false" ht="15" hidden="false" customHeight="false" outlineLevel="0" collapsed="false">
      <c r="A90" s="11" t="s">
        <v>165</v>
      </c>
      <c r="B90" s="66" t="n">
        <f aca="false">SUM(C90:W90)</f>
        <v>156215.509795498</v>
      </c>
      <c r="C90" s="95" t="n">
        <v>0</v>
      </c>
      <c r="D90" s="95" t="n">
        <f aca="false">S_Fuel_Hi!$B$14*O_InsPct*D44*LevOpex*$B$8*D41</f>
        <v>5813.67073464354</v>
      </c>
      <c r="E90" s="95" t="n">
        <f aca="false">S_Fuel_Hi!$B$14*O_InsPct*E44*LevOpex*$B$8*E41</f>
        <v>5988.08085668284</v>
      </c>
      <c r="F90" s="95" t="n">
        <f aca="false">S_Fuel_Hi!$B$14*O_InsPct*F44*LevOpex*$B$8*F41</f>
        <v>6167.72328238333</v>
      </c>
      <c r="G90" s="95" t="n">
        <f aca="false">S_Fuel_Hi!$B$14*O_InsPct*G44*LevOpex*$B$8*G41</f>
        <v>6352.75498085483</v>
      </c>
      <c r="H90" s="95" t="n">
        <f aca="false">S_Fuel_Hi!$B$14*O_InsPct*H44*LevOpex*$B$8*H41</f>
        <v>6543.33763028047</v>
      </c>
      <c r="I90" s="95" t="n">
        <f aca="false">S_Fuel_Hi!$B$14*O_InsPct*I44*LevOpex*$B$8*I41</f>
        <v>6739.63775918889</v>
      </c>
      <c r="J90" s="95" t="n">
        <f aca="false">S_Fuel_Hi!$B$14*O_InsPct*J44*LevOpex*$B$8*J41</f>
        <v>6941.82689196455</v>
      </c>
      <c r="K90" s="95" t="n">
        <f aca="false">S_Fuel_Hi!$B$14*O_InsPct*K44*LevOpex*$B$8*K41</f>
        <v>7150.08169872349</v>
      </c>
      <c r="L90" s="95" t="n">
        <f aca="false">S_Fuel_Hi!$B$14*O_InsPct*L44*LevOpex*$B$8*L41</f>
        <v>7364.5841496852</v>
      </c>
      <c r="M90" s="95" t="n">
        <f aca="false">S_Fuel_Hi!$B$14*O_InsPct*M44*LevOpex*$B$8*M41</f>
        <v>7585.52167417575</v>
      </c>
      <c r="N90" s="95" t="n">
        <f aca="false">S_Fuel_Hi!$B$14*O_InsPct*N44*LevOpex*$B$8*N41</f>
        <v>7813.08732440103</v>
      </c>
      <c r="O90" s="95" t="n">
        <f aca="false">S_Fuel_Hi!$B$14*O_InsPct*O44*LevOpex*$B$8*O41</f>
        <v>8047.47994413306</v>
      </c>
      <c r="P90" s="95" t="n">
        <f aca="false">S_Fuel_Hi!$B$14*O_InsPct*P44*LevOpex*$B$8*P41</f>
        <v>8288.90434245705</v>
      </c>
      <c r="Q90" s="95" t="n">
        <f aca="false">S_Fuel_Hi!$B$14*O_InsPct*Q44*LevOpex*$B$8*Q41</f>
        <v>8537.57147273076</v>
      </c>
      <c r="R90" s="95" t="n">
        <f aca="false">S_Fuel_Hi!$B$14*O_InsPct*R44*LevOpex*$B$8*R41</f>
        <v>8793.69861691268</v>
      </c>
      <c r="S90" s="95" t="n">
        <f aca="false">S_Fuel_Hi!$B$14*O_InsPct*S44*LevOpex*$B$8*S41</f>
        <v>9057.50957542006</v>
      </c>
      <c r="T90" s="95" t="n">
        <f aca="false">S_Fuel_Hi!$B$14*O_InsPct*T44*LevOpex*$B$8*T41</f>
        <v>9329.23486268267</v>
      </c>
      <c r="U90" s="95" t="n">
        <f aca="false">S_Fuel_Hi!$B$14*O_InsPct*U44*LevOpex*$B$8*U41</f>
        <v>9609.11190856315</v>
      </c>
      <c r="V90" s="95" t="n">
        <f aca="false">S_Fuel_Hi!$B$14*O_InsPct*V44*LevOpex*$B$8*V41</f>
        <v>9897.38526582004</v>
      </c>
      <c r="W90" s="95" t="n">
        <f aca="false">S_Fuel_Hi!$B$14*O_InsPct*W44*LevOpex*$B$8*W41</f>
        <v>10194.3068237946</v>
      </c>
    </row>
    <row r="91" customFormat="false" ht="15" hidden="false" customHeight="false" outlineLevel="0" collapsed="false">
      <c r="A91" s="11" t="s">
        <v>437</v>
      </c>
      <c r="B91" s="66" t="n">
        <f aca="false">SUM(C91:W91)</f>
        <v>80611.1234669414</v>
      </c>
      <c r="C91" s="95" t="n">
        <v>0</v>
      </c>
      <c r="D91" s="95" t="n">
        <f aca="false">O_Fees*D44*LevOpex*$B$8*D41</f>
        <v>3000</v>
      </c>
      <c r="E91" s="95" t="n">
        <f aca="false">O_Fees*E44*LevOpex*$B$8*E41</f>
        <v>3090</v>
      </c>
      <c r="F91" s="95" t="n">
        <f aca="false">O_Fees*F44*LevOpex*$B$8*F41</f>
        <v>3182.7</v>
      </c>
      <c r="G91" s="95" t="n">
        <f aca="false">O_Fees*G44*LevOpex*$B$8*G41</f>
        <v>3278.181</v>
      </c>
      <c r="H91" s="95" t="n">
        <f aca="false">O_Fees*H44*LevOpex*$B$8*H41</f>
        <v>3376.52643</v>
      </c>
      <c r="I91" s="95" t="n">
        <f aca="false">O_Fees*I44*LevOpex*$B$8*I41</f>
        <v>3477.8222229</v>
      </c>
      <c r="J91" s="95" t="n">
        <f aca="false">O_Fees*J44*LevOpex*$B$8*J41</f>
        <v>3582.156889587</v>
      </c>
      <c r="K91" s="95" t="n">
        <f aca="false">O_Fees*K44*LevOpex*$B$8*K41</f>
        <v>3689.62159627461</v>
      </c>
      <c r="L91" s="95" t="n">
        <f aca="false">O_Fees*L44*LevOpex*$B$8*L41</f>
        <v>3800.31024416285</v>
      </c>
      <c r="M91" s="95" t="n">
        <f aca="false">O_Fees*M44*LevOpex*$B$8*M41</f>
        <v>3914.31955148773</v>
      </c>
      <c r="N91" s="95" t="n">
        <f aca="false">O_Fees*N44*LevOpex*$B$8*N41</f>
        <v>4031.74913803237</v>
      </c>
      <c r="O91" s="95" t="n">
        <f aca="false">O_Fees*O44*LevOpex*$B$8*O41</f>
        <v>4152.70161217334</v>
      </c>
      <c r="P91" s="95" t="n">
        <f aca="false">O_Fees*P44*LevOpex*$B$8*P41</f>
        <v>4277.28266053854</v>
      </c>
      <c r="Q91" s="95" t="n">
        <f aca="false">O_Fees*Q44*LevOpex*$B$8*Q41</f>
        <v>4405.60114035469</v>
      </c>
      <c r="R91" s="95" t="n">
        <f aca="false">O_Fees*R44*LevOpex*$B$8*R41</f>
        <v>4537.76917456534</v>
      </c>
      <c r="S91" s="95" t="n">
        <f aca="false">O_Fees*S44*LevOpex*$B$8*S41</f>
        <v>4673.9022498023</v>
      </c>
      <c r="T91" s="95" t="n">
        <f aca="false">O_Fees*T44*LevOpex*$B$8*T41</f>
        <v>4814.11931729637</v>
      </c>
      <c r="U91" s="95" t="n">
        <f aca="false">O_Fees*U44*LevOpex*$B$8*U41</f>
        <v>4958.54289681526</v>
      </c>
      <c r="V91" s="95" t="n">
        <f aca="false">O_Fees*V44*LevOpex*$B$8*V41</f>
        <v>5107.29918371971</v>
      </c>
      <c r="W91" s="95" t="n">
        <f aca="false">O_Fees*W44*LevOpex*$B$8*W41</f>
        <v>5260.51815923131</v>
      </c>
    </row>
    <row r="92" customFormat="false" ht="15" hidden="false" customHeight="false" outlineLevel="0" collapsed="false">
      <c r="A92" s="11" t="s">
        <v>438</v>
      </c>
      <c r="B92" s="66" t="n">
        <f aca="false">SUM(C92:W92)</f>
        <v>107481.497955922</v>
      </c>
      <c r="C92" s="95" t="n">
        <v>0</v>
      </c>
      <c r="D92" s="95" t="n">
        <f aca="false">O_MRV*D44*LevOpex*$B$8*D41</f>
        <v>4000</v>
      </c>
      <c r="E92" s="95" t="n">
        <f aca="false">O_MRV*E44*LevOpex*$B$8*E41</f>
        <v>4120</v>
      </c>
      <c r="F92" s="95" t="n">
        <f aca="false">O_MRV*F44*LevOpex*$B$8*F41</f>
        <v>4243.6</v>
      </c>
      <c r="G92" s="95" t="n">
        <f aca="false">O_MRV*G44*LevOpex*$B$8*G41</f>
        <v>4370.908</v>
      </c>
      <c r="H92" s="95" t="n">
        <f aca="false">O_MRV*H44*LevOpex*$B$8*H41</f>
        <v>4502.03524</v>
      </c>
      <c r="I92" s="95" t="n">
        <f aca="false">O_MRV*I44*LevOpex*$B$8*I41</f>
        <v>4637.0962972</v>
      </c>
      <c r="J92" s="95" t="n">
        <f aca="false">O_MRV*J44*LevOpex*$B$8*J41</f>
        <v>4776.209186116</v>
      </c>
      <c r="K92" s="95" t="n">
        <f aca="false">O_MRV*K44*LevOpex*$B$8*K41</f>
        <v>4919.49546169948</v>
      </c>
      <c r="L92" s="95" t="n">
        <f aca="false">O_MRV*L44*LevOpex*$B$8*L41</f>
        <v>5067.08032555047</v>
      </c>
      <c r="M92" s="95" t="n">
        <f aca="false">O_MRV*M44*LevOpex*$B$8*M41</f>
        <v>5219.09273531698</v>
      </c>
      <c r="N92" s="95" t="n">
        <f aca="false">O_MRV*N44*LevOpex*$B$8*N41</f>
        <v>5375.66551737649</v>
      </c>
      <c r="O92" s="95" t="n">
        <f aca="false">O_MRV*O44*LevOpex*$B$8*O41</f>
        <v>5536.93548289778</v>
      </c>
      <c r="P92" s="95" t="n">
        <f aca="false">O_MRV*P44*LevOpex*$B$8*P41</f>
        <v>5703.04354738472</v>
      </c>
      <c r="Q92" s="95" t="n">
        <f aca="false">O_MRV*Q44*LevOpex*$B$8*Q41</f>
        <v>5874.13485380626</v>
      </c>
      <c r="R92" s="95" t="n">
        <f aca="false">O_MRV*R44*LevOpex*$B$8*R41</f>
        <v>6050.35889942045</v>
      </c>
      <c r="S92" s="95" t="n">
        <f aca="false">O_MRV*S44*LevOpex*$B$8*S41</f>
        <v>6231.86966640306</v>
      </c>
      <c r="T92" s="95" t="n">
        <f aca="false">O_MRV*T44*LevOpex*$B$8*T41</f>
        <v>6418.82575639515</v>
      </c>
      <c r="U92" s="95" t="n">
        <f aca="false">O_MRV*U44*LevOpex*$B$8*U41</f>
        <v>6611.39052908701</v>
      </c>
      <c r="V92" s="95" t="n">
        <f aca="false">O_MRV*V44*LevOpex*$B$8*V41</f>
        <v>6809.73224495962</v>
      </c>
      <c r="W92" s="95" t="n">
        <f aca="false">O_MRV*W44*LevOpex*$B$8*W41</f>
        <v>7014.02421230841</v>
      </c>
    </row>
    <row r="93" customFormat="false" ht="15" hidden="false" customHeight="false" outlineLevel="0" collapsed="false">
      <c r="A93" s="11" t="s">
        <v>439</v>
      </c>
      <c r="B93" s="66" t="n">
        <f aca="false">SUM(C93:W93)</f>
        <v>135007.186221415</v>
      </c>
      <c r="C93" s="95" t="n">
        <v>0</v>
      </c>
      <c r="D93" s="95" t="n">
        <f aca="false">D85*O_CustPct</f>
        <v>2415.52161792</v>
      </c>
      <c r="E93" s="95" t="n">
        <f aca="false">E85*O_CustPct</f>
        <v>3405.52916130605</v>
      </c>
      <c r="F93" s="95" t="n">
        <f aca="false">F85*O_CustPct</f>
        <v>4194.60089674069</v>
      </c>
      <c r="G93" s="95" t="n">
        <f aca="false">G85*O_CustPct</f>
        <v>4395.1505163522</v>
      </c>
      <c r="H93" s="95" t="n">
        <f aca="false">H85*O_CustPct</f>
        <v>4662.81518279805</v>
      </c>
      <c r="I93" s="95" t="n">
        <f aca="false">I85*O_CustPct</f>
        <v>4946.78062743045</v>
      </c>
      <c r="J93" s="95" t="n">
        <f aca="false">J85*O_CustPct</f>
        <v>5248.03956764096</v>
      </c>
      <c r="K93" s="95" t="n">
        <f aca="false">K85*O_CustPct</f>
        <v>5567.6451773103</v>
      </c>
      <c r="L93" s="95" t="n">
        <f aca="false">L85*O_CustPct</f>
        <v>5906.7147686085</v>
      </c>
      <c r="M93" s="95" t="n">
        <f aca="false">M85*O_CustPct</f>
        <v>6266.43369801675</v>
      </c>
      <c r="N93" s="95" t="n">
        <f aca="false">N85*O_CustPct</f>
        <v>6648.05951022597</v>
      </c>
      <c r="O93" s="95" t="n">
        <f aca="false">O85*O_CustPct</f>
        <v>7052.92633439874</v>
      </c>
      <c r="P93" s="95" t="n">
        <f aca="false">P85*O_CustPct</f>
        <v>7482.44954816362</v>
      </c>
      <c r="Q93" s="95" t="n">
        <f aca="false">Q85*O_CustPct</f>
        <v>7938.13072564678</v>
      </c>
      <c r="R93" s="95" t="n">
        <f aca="false">R85*O_CustPct</f>
        <v>8421.56288683868</v>
      </c>
      <c r="S93" s="95" t="n">
        <f aca="false">S85*O_CustPct</f>
        <v>8934.43606664715</v>
      </c>
      <c r="T93" s="95" t="n">
        <f aca="false">T85*O_CustPct</f>
        <v>9478.54322310596</v>
      </c>
      <c r="U93" s="95" t="n">
        <f aca="false">U85*O_CustPct</f>
        <v>10055.7865053931</v>
      </c>
      <c r="V93" s="95" t="n">
        <f aca="false">V85*O_CustPct</f>
        <v>10668.1839035716</v>
      </c>
      <c r="W93" s="95" t="n">
        <f aca="false">W85*O_CustPct</f>
        <v>11317.8763032991</v>
      </c>
    </row>
    <row r="94" customFormat="false" ht="15" hidden="false" customHeight="false" outlineLevel="0" collapsed="false">
      <c r="A94" s="11" t="s">
        <v>440</v>
      </c>
      <c r="B94" s="66" t="n">
        <f aca="false">SUM(C94:W94)</f>
        <v>117570.051282715</v>
      </c>
      <c r="C94" s="95" t="n">
        <v>0</v>
      </c>
      <c r="D94" s="95" t="n">
        <f aca="false">D72*O_DieselOM*D44*LevOpex*$B$8</f>
        <v>719.794472727272</v>
      </c>
      <c r="E94" s="95" t="n">
        <f aca="false">E72*O_DieselOM*E44*LevOpex*$B$8</f>
        <v>1081.80910449818</v>
      </c>
      <c r="F94" s="95" t="n">
        <f aca="false">F72*O_DieselOM*F44*LevOpex*$B$8</f>
        <v>1350.22503407308</v>
      </c>
      <c r="G94" s="95" t="n">
        <f aca="false">G72*O_DieselOM*G44*LevOpex*$B$8</f>
        <v>1432.45373864813</v>
      </c>
      <c r="H94" s="95" t="n">
        <f aca="false">H72*O_DieselOM*H44*LevOpex*$B$8</f>
        <v>1519.69017133181</v>
      </c>
      <c r="I94" s="95" t="n">
        <f aca="false">I72*O_DieselOM*I44*LevOpex*$B$8</f>
        <v>1612.23930276591</v>
      </c>
      <c r="J94" s="95" t="n">
        <f aca="false">J72*O_DieselOM*J44*LevOpex*$B$8</f>
        <v>1841.45816530084</v>
      </c>
      <c r="K94" s="95" t="n">
        <f aca="false">K72*O_DieselOM*K44*LevOpex*$B$8</f>
        <v>2503.82649651629</v>
      </c>
      <c r="L94" s="95" t="n">
        <f aca="false">L72*O_DieselOM*L44*LevOpex*$B$8</f>
        <v>3220.20611379713</v>
      </c>
      <c r="M94" s="95" t="n">
        <f aca="false">M72*O_DieselOM*M44*LevOpex*$B$8</f>
        <v>3994.2260798739</v>
      </c>
      <c r="N94" s="95" t="n">
        <f aca="false">N72*O_DieselOM*N44*LevOpex*$B$8</f>
        <v>4829.74491081635</v>
      </c>
      <c r="O94" s="95" t="n">
        <f aca="false">O72*O_DieselOM*O44*LevOpex*$B$8</f>
        <v>5730.86475956075</v>
      </c>
      <c r="P94" s="95" t="n">
        <f aca="false">P72*O_DieselOM*P44*LevOpex*$B$8</f>
        <v>6701.94646842802</v>
      </c>
      <c r="Q94" s="95" t="n">
        <f aca="false">Q72*O_DieselOM*Q44*LevOpex*$B$8</f>
        <v>7747.62554368381</v>
      </c>
      <c r="R94" s="95" t="n">
        <f aca="false">R72*O_DieselOM*R44*LevOpex*$B$8</f>
        <v>8872.82910842559</v>
      </c>
      <c r="S94" s="95" t="n">
        <f aca="false">S72*O_DieselOM*S44*LevOpex*$B$8</f>
        <v>10082.7938935131</v>
      </c>
      <c r="T94" s="95" t="n">
        <f aca="false">T72*O_DieselOM*T44*LevOpex*$B$8</f>
        <v>11383.0853298981</v>
      </c>
      <c r="U94" s="95" t="n">
        <f aca="false">U72*O_DieselOM*U44*LevOpex*$B$8</f>
        <v>12779.6178095725</v>
      </c>
      <c r="V94" s="95" t="n">
        <f aca="false">V72*O_DieselOM*V44*LevOpex*$B$8</f>
        <v>14278.6761864487</v>
      </c>
      <c r="W94" s="95" t="n">
        <f aca="false">W72*O_DieselOM*W44*LevOpex*$B$8</f>
        <v>15886.9385928357</v>
      </c>
    </row>
    <row r="95" customFormat="false" ht="15" hidden="false" customHeight="false" outlineLevel="0" collapsed="false">
      <c r="A95" s="11" t="s">
        <v>441</v>
      </c>
      <c r="B95" s="66" t="n">
        <f aca="false">SUM(C95:W95)</f>
        <v>1881120.82052344</v>
      </c>
      <c r="C95" s="95" t="n">
        <v>0</v>
      </c>
      <c r="D95" s="95" t="n">
        <f aca="false">D74*FuelPrice*LevFuel*$B$10*D44</f>
        <v>11516.7115636364</v>
      </c>
      <c r="E95" s="95" t="n">
        <f aca="false">E74*FuelPrice*LevFuel*$B$10*E44</f>
        <v>17308.9456719709</v>
      </c>
      <c r="F95" s="95" t="n">
        <f aca="false">F74*FuelPrice*LevFuel*$B$10*F44</f>
        <v>21603.6005451693</v>
      </c>
      <c r="G95" s="95" t="n">
        <f aca="false">G74*FuelPrice*LevFuel*$B$10*G44</f>
        <v>22919.2598183702</v>
      </c>
      <c r="H95" s="95" t="n">
        <f aca="false">H74*FuelPrice*LevFuel*$B$10*H44</f>
        <v>24315.0427413089</v>
      </c>
      <c r="I95" s="95" t="n">
        <f aca="false">I74*FuelPrice*LevFuel*$B$10*I44</f>
        <v>25795.8288442546</v>
      </c>
      <c r="J95" s="95" t="n">
        <f aca="false">J74*FuelPrice*LevFuel*$B$10*J44</f>
        <v>29463.3306448135</v>
      </c>
      <c r="K95" s="95" t="n">
        <f aca="false">K74*FuelPrice*LevFuel*$B$10*K44</f>
        <v>40061.2239442606</v>
      </c>
      <c r="L95" s="95" t="n">
        <f aca="false">L74*FuelPrice*LevFuel*$B$10*L44</f>
        <v>51523.2978207541</v>
      </c>
      <c r="M95" s="95" t="n">
        <f aca="false">M74*FuelPrice*LevFuel*$B$10*M44</f>
        <v>63907.6172779825</v>
      </c>
      <c r="N95" s="95" t="n">
        <f aca="false">N74*FuelPrice*LevFuel*$B$10*N44</f>
        <v>77275.9185730616</v>
      </c>
      <c r="O95" s="95" t="n">
        <f aca="false">O74*FuelPrice*LevFuel*$B$10*O44</f>
        <v>91693.836152972</v>
      </c>
      <c r="P95" s="95" t="n">
        <f aca="false">P74*FuelPrice*LevFuel*$B$10*P44</f>
        <v>107231.143494848</v>
      </c>
      <c r="Q95" s="95" t="n">
        <f aca="false">Q74*FuelPrice*LevFuel*$B$10*Q44</f>
        <v>123962.008698941</v>
      </c>
      <c r="R95" s="95" t="n">
        <f aca="false">R74*FuelPrice*LevFuel*$B$10*R44</f>
        <v>141965.265734809</v>
      </c>
      <c r="S95" s="95" t="n">
        <f aca="false">S74*FuelPrice*LevFuel*$B$10*S44</f>
        <v>161324.702296209</v>
      </c>
      <c r="T95" s="95" t="n">
        <f aca="false">T74*FuelPrice*LevFuel*$B$10*T44</f>
        <v>182129.36527837</v>
      </c>
      <c r="U95" s="95" t="n">
        <f aca="false">U74*FuelPrice*LevFuel*$B$10*U44</f>
        <v>204473.88495316</v>
      </c>
      <c r="V95" s="95" t="n">
        <f aca="false">V74*FuelPrice*LevFuel*$B$10*V44</f>
        <v>228458.81898318</v>
      </c>
      <c r="W95" s="95" t="n">
        <f aca="false">W74*FuelPrice*LevFuel*$B$10*W44</f>
        <v>254191.017485371</v>
      </c>
    </row>
    <row r="96" customFormat="false" ht="15" hidden="false" customHeight="false" outlineLevel="0" collapsed="false">
      <c r="A96" s="16" t="s">
        <v>442</v>
      </c>
      <c r="B96" s="66" t="n">
        <f aca="false">SUM(C96:W96)</f>
        <v>3640870.79872366</v>
      </c>
      <c r="C96" s="31" t="n">
        <f aca="false">C88+C89+C90+C91+C92+C93+C94+C95</f>
        <v>0</v>
      </c>
      <c r="D96" s="31" t="n">
        <f aca="false">D88+D89+D90+D91+D92+D93+D94+D95</f>
        <v>70742.527669986</v>
      </c>
      <c r="E96" s="31" t="n">
        <f aca="false">E88+E89+E90+E91+E92+E93+E94+E95</f>
        <v>79569.4989539486</v>
      </c>
      <c r="F96" s="31" t="n">
        <f aca="false">F88+F89+F90+F91+F92+F93+F94+F95</f>
        <v>86654.8379426418</v>
      </c>
      <c r="G96" s="31" t="n">
        <f aca="false">G88+G89+G90+G91+G92+G93+G94+G95</f>
        <v>90038.4678840289</v>
      </c>
      <c r="H96" s="31" t="n">
        <f aca="false">H88+H89+H90+H91+H92+H93+H94+H95</f>
        <v>93627.9000204169</v>
      </c>
      <c r="I96" s="31" t="n">
        <f aca="false">I88+I89+I90+I91+I92+I93+I94+I95</f>
        <v>97379.1112571785</v>
      </c>
      <c r="J96" s="31" t="n">
        <f aca="false">J88+J89+J90+J91+J92+J93+J94+J95</f>
        <v>103527.818734965</v>
      </c>
      <c r="K96" s="31" t="n">
        <f aca="false">K88+K89+K90+K91+K92+K93+K94+K95</f>
        <v>117116.935686013</v>
      </c>
      <c r="L96" s="31" t="n">
        <f aca="false">L88+L89+L90+L91+L92+L93+L94+L95</f>
        <v>131703.985973123</v>
      </c>
      <c r="M96" s="31" t="n">
        <f aca="false">M88+M89+M90+M91+M92+M93+M94+M95</f>
        <v>147353.657343935</v>
      </c>
      <c r="N96" s="31" t="n">
        <f aca="false">N88+N89+N90+N91+N92+N93+N94+N95</f>
        <v>164134.664690808</v>
      </c>
      <c r="O96" s="31" t="n">
        <f aca="false">O88+O89+O90+O91+O92+O93+O94+O95</f>
        <v>182119.997194537</v>
      </c>
      <c r="P96" s="31" t="n">
        <f aca="false">P88+P89+P90+P91+P92+P93+P94+P95</f>
        <v>201387.180557473</v>
      </c>
      <c r="Q96" s="31" t="n">
        <f aca="false">Q88+Q89+Q90+Q91+Q92+Q93+Q94+Q95</f>
        <v>222018.555245686</v>
      </c>
      <c r="R96" s="31" t="n">
        <f aca="false">R88+R89+R90+R91+R92+R93+R94+R95</f>
        <v>244101.571715811</v>
      </c>
      <c r="S96" s="31" t="n">
        <f aca="false">S88+S89+S90+S91+S92+S93+S94+S95</f>
        <v>267729.103661678</v>
      </c>
      <c r="T96" s="31" t="n">
        <f aca="false">T88+T89+T90+T91+T92+T93+T94+T95</f>
        <v>292999.780378842</v>
      </c>
      <c r="U96" s="31" t="n">
        <f aca="false">U88+U89+U90+U91+U92+U93+U94+U95</f>
        <v>320018.339412018</v>
      </c>
      <c r="V96" s="31" t="n">
        <f aca="false">V88+V89+V90+V91+V92+V93+V94+V95</f>
        <v>348896.000721409</v>
      </c>
      <c r="W96" s="31" t="n">
        <f aca="false">W88+W89+W90+W91+W92+W93+W94+W95</f>
        <v>379750.863679161</v>
      </c>
    </row>
    <row r="98" customFormat="false" ht="15" hidden="false" customHeight="false" outlineLevel="0" collapsed="false">
      <c r="A98" s="16" t="s">
        <v>443</v>
      </c>
      <c r="B98" s="66" t="n">
        <f aca="false">SUM(C98:W98)</f>
        <v>859368.741990159</v>
      </c>
      <c r="C98" s="31" t="n">
        <f aca="false">C85-C96</f>
        <v>0</v>
      </c>
      <c r="D98" s="31" t="n">
        <f aca="false">D85-D96</f>
        <v>9774.85959401399</v>
      </c>
      <c r="E98" s="31" t="n">
        <f aca="false">E85-E96</f>
        <v>33948.139756253</v>
      </c>
      <c r="F98" s="31" t="n">
        <f aca="false">F85-F96</f>
        <v>53165.1919487146</v>
      </c>
      <c r="G98" s="31" t="n">
        <f aca="false">G85-G96</f>
        <v>56466.549327711</v>
      </c>
      <c r="H98" s="31" t="n">
        <f aca="false">H85-H96</f>
        <v>61799.272739518</v>
      </c>
      <c r="I98" s="31" t="n">
        <f aca="false">I85-I96</f>
        <v>67513.5763238365</v>
      </c>
      <c r="J98" s="31" t="n">
        <f aca="false">J85-J96</f>
        <v>71406.8335197342</v>
      </c>
      <c r="K98" s="31" t="n">
        <f aca="false">K85-K96</f>
        <v>68471.2368909971</v>
      </c>
      <c r="L98" s="31" t="n">
        <f aca="false">L85-L96</f>
        <v>65186.5063138268</v>
      </c>
      <c r="M98" s="31" t="n">
        <f aca="false">M85-M96</f>
        <v>61527.4659232897</v>
      </c>
      <c r="N98" s="31" t="n">
        <f aca="false">N85-N96</f>
        <v>57467.318983391</v>
      </c>
      <c r="O98" s="31" t="n">
        <f aca="false">O85-O96</f>
        <v>52977.5472854211</v>
      </c>
      <c r="P98" s="31" t="n">
        <f aca="false">P85-P96</f>
        <v>48027.8043813139</v>
      </c>
      <c r="Q98" s="31" t="n">
        <f aca="false">Q85-Q96</f>
        <v>42585.8022758734</v>
      </c>
      <c r="R98" s="31" t="n">
        <f aca="false">R85-R96</f>
        <v>36617.1911788119</v>
      </c>
      <c r="S98" s="31" t="n">
        <f aca="false">S85-S96</f>
        <v>30085.4318932269</v>
      </c>
      <c r="T98" s="31" t="n">
        <f aca="false">T85-T96</f>
        <v>22951.6603913566</v>
      </c>
      <c r="U98" s="31" t="n">
        <f aca="false">U85-U96</f>
        <v>15174.5441010856</v>
      </c>
      <c r="V98" s="31" t="n">
        <f aca="false">V85-V96</f>
        <v>6710.12939764309</v>
      </c>
      <c r="W98" s="31" t="n">
        <f aca="false">W85-W96</f>
        <v>-2488.3202358589</v>
      </c>
    </row>
    <row r="99" customFormat="false" ht="15" hidden="false" customHeight="false" outlineLevel="0" collapsed="false">
      <c r="A99" s="11" t="s">
        <v>444</v>
      </c>
      <c r="C99" s="91" t="n">
        <v>0</v>
      </c>
      <c r="D99" s="91" t="n">
        <f aca="false">IFERROR(D98/D85,0)</f>
        <v>0.12140060583392</v>
      </c>
      <c r="E99" s="91" t="n">
        <f aca="false">IFERROR(E98/E85,0)</f>
        <v>0.299056077469326</v>
      </c>
      <c r="F99" s="91" t="n">
        <f aca="false">IFERROR(F98/F85,0)</f>
        <v>0.380240170095982</v>
      </c>
      <c r="G99" s="91" t="n">
        <f aca="false">IFERROR(G98/G85,0)</f>
        <v>0.385423997091522</v>
      </c>
      <c r="H99" s="91" t="n">
        <f aca="false">IFERROR(H98/H85,0)</f>
        <v>0.397609193052556</v>
      </c>
      <c r="I99" s="91" t="n">
        <f aca="false">IFERROR(I98/I85,0)</f>
        <v>0.409439480393366</v>
      </c>
      <c r="J99" s="91" t="n">
        <f aca="false">IFERROR(J98/J85,0)</f>
        <v>0.408191473783984</v>
      </c>
      <c r="K99" s="91" t="n">
        <f aca="false">IFERROR(K98/K85,0)</f>
        <v>0.368941813156681</v>
      </c>
      <c r="L99" s="91" t="n">
        <f aca="false">IFERROR(L98/L85,0)</f>
        <v>0.331080010805313</v>
      </c>
      <c r="M99" s="91" t="n">
        <f aca="false">IFERROR(M98/M85,0)</f>
        <v>0.29455732983864</v>
      </c>
      <c r="N99" s="91" t="n">
        <f aca="false">IFERROR(N98/N85,0)</f>
        <v>0.259326735395473</v>
      </c>
      <c r="O99" s="91" t="n">
        <f aca="false">IFERROR(O98/O85,0)</f>
        <v>0.225342835471161</v>
      </c>
      <c r="P99" s="91" t="n">
        <f aca="false">IFERROR(P98/P85,0)</f>
        <v>0.192561823793791</v>
      </c>
      <c r="Q99" s="91" t="n">
        <f aca="false">IFERROR(Q98/Q85,0)</f>
        <v>0.16094142467931</v>
      </c>
      <c r="R99" s="91" t="n">
        <f aca="false">IFERROR(R98/R85,0)</f>
        <v>0.130440839797222</v>
      </c>
      <c r="S99" s="91" t="n">
        <f aca="false">IFERROR(S98/S85,0)</f>
        <v>0.101020696780867</v>
      </c>
      <c r="T99" s="91" t="n">
        <f aca="false">IFERROR(T98/T85,0)</f>
        <v>0.0726429996185712</v>
      </c>
      <c r="U99" s="91" t="n">
        <f aca="false">IFERROR(U98/U85,0)</f>
        <v>0.0452710807641368</v>
      </c>
      <c r="V99" s="91" t="n">
        <f aca="false">IFERROR(V98/V85,0)</f>
        <v>0.0188695549072695</v>
      </c>
      <c r="W99" s="91" t="n">
        <f aca="false">IFERROR(W98/W85,0)</f>
        <v>-0.00659572565340791</v>
      </c>
    </row>
    <row r="101" customFormat="false" ht="15" hidden="false" customHeight="false" outlineLevel="0" collapsed="false">
      <c r="A101" s="9" t="s">
        <v>445</v>
      </c>
      <c r="B101" s="10"/>
      <c r="C101" s="10"/>
      <c r="D101" s="10"/>
      <c r="E101" s="10"/>
      <c r="F101" s="10"/>
      <c r="G101" s="10"/>
      <c r="H101" s="10"/>
      <c r="I101" s="10"/>
      <c r="J101" s="10"/>
      <c r="K101" s="10"/>
      <c r="L101" s="10"/>
      <c r="M101" s="10"/>
      <c r="N101" s="10"/>
      <c r="O101" s="10"/>
      <c r="P101" s="10"/>
      <c r="Q101" s="10"/>
      <c r="R101" s="10"/>
      <c r="S101" s="10"/>
      <c r="T101" s="10"/>
      <c r="U101" s="10"/>
      <c r="V101" s="10"/>
      <c r="W101" s="10"/>
    </row>
    <row r="102" customFormat="false" ht="15" hidden="false" customHeight="false" outlineLevel="0" collapsed="false">
      <c r="A102" s="11" t="s">
        <v>446</v>
      </c>
      <c r="B102" s="66" t="n">
        <f aca="false">C102+NPV(Hurdle,D102:W102)</f>
        <v>1162734.14692871</v>
      </c>
      <c r="C102" s="95" t="n">
        <f aca="false">S_Fuel_Hi!$B$14</f>
        <v>1162734.14692871</v>
      </c>
      <c r="D102" s="95" t="n">
        <f aca="false">0</f>
        <v>0</v>
      </c>
      <c r="E102" s="95" t="n">
        <f aca="false">0</f>
        <v>0</v>
      </c>
      <c r="F102" s="95" t="n">
        <f aca="false">0</f>
        <v>0</v>
      </c>
      <c r="G102" s="95" t="n">
        <f aca="false">0</f>
        <v>0</v>
      </c>
      <c r="H102" s="95" t="n">
        <f aca="false">0</f>
        <v>0</v>
      </c>
      <c r="I102" s="95" t="n">
        <f aca="false">0</f>
        <v>0</v>
      </c>
      <c r="J102" s="95" t="n">
        <f aca="false">0</f>
        <v>0</v>
      </c>
      <c r="K102" s="95" t="n">
        <f aca="false">0</f>
        <v>0</v>
      </c>
      <c r="L102" s="95" t="n">
        <f aca="false">0</f>
        <v>0</v>
      </c>
      <c r="M102" s="95" t="n">
        <f aca="false">0</f>
        <v>0</v>
      </c>
      <c r="N102" s="95" t="n">
        <f aca="false">0</f>
        <v>0</v>
      </c>
      <c r="O102" s="95" t="n">
        <f aca="false">0</f>
        <v>0</v>
      </c>
      <c r="P102" s="95" t="n">
        <f aca="false">0</f>
        <v>0</v>
      </c>
      <c r="Q102" s="95" t="n">
        <f aca="false">0</f>
        <v>0</v>
      </c>
      <c r="R102" s="95" t="n">
        <f aca="false">0</f>
        <v>0</v>
      </c>
      <c r="S102" s="95" t="n">
        <f aca="false">0</f>
        <v>0</v>
      </c>
      <c r="T102" s="95" t="n">
        <f aca="false">0</f>
        <v>0</v>
      </c>
      <c r="U102" s="95" t="n">
        <f aca="false">0</f>
        <v>0</v>
      </c>
      <c r="V102" s="95" t="n">
        <f aca="false">0</f>
        <v>0</v>
      </c>
      <c r="W102" s="95" t="n">
        <f aca="false">0</f>
        <v>0</v>
      </c>
    </row>
    <row r="103" customFormat="false" ht="15" hidden="false" customHeight="false" outlineLevel="0" collapsed="false">
      <c r="A103" s="11" t="s">
        <v>447</v>
      </c>
      <c r="B103" s="66" t="n">
        <f aca="false">C103+NPV(Hurdle,D103:W103)</f>
        <v>123132.446168426</v>
      </c>
      <c r="C103" s="95" t="n">
        <v>0</v>
      </c>
      <c r="D103" s="95" t="n">
        <f aca="false">IF(AND(D41=1,MOD(D39,BattLife)=0,D39&lt;Life),BESS_kWh*C_BattRepl*LevCapex*$B$7*D44,0)</f>
        <v>0</v>
      </c>
      <c r="E103" s="95" t="n">
        <f aca="false">IF(AND(E41=1,MOD(E39,BattLife)=0,E39&lt;Life),BESS_kWh*C_BattRepl*LevCapex*$B$7*E44,0)</f>
        <v>0</v>
      </c>
      <c r="F103" s="95" t="n">
        <f aca="false">IF(AND(F41=1,MOD(F39,BattLife)=0,F39&lt;Life),BESS_kWh*C_BattRepl*LevCapex*$B$7*F44,0)</f>
        <v>0</v>
      </c>
      <c r="G103" s="95" t="n">
        <f aca="false">IF(AND(G41=1,MOD(G39,BattLife)=0,G39&lt;Life),BESS_kWh*C_BattRepl*LevCapex*$B$7*G44,0)</f>
        <v>0</v>
      </c>
      <c r="H103" s="95" t="n">
        <f aca="false">IF(AND(H41=1,MOD(H39,BattLife)=0,H39&lt;Life),BESS_kWh*C_BattRepl*LevCapex*$B$7*H44,0)</f>
        <v>0</v>
      </c>
      <c r="I103" s="95" t="n">
        <f aca="false">IF(AND(I41=1,MOD(I39,BattLife)=0,I39&lt;Life),BESS_kWh*C_BattRepl*LevCapex*$B$7*I44,0)</f>
        <v>0</v>
      </c>
      <c r="J103" s="95" t="n">
        <f aca="false">IF(AND(J41=1,MOD(J39,BattLife)=0,J39&lt;Life),BESS_kWh*C_BattRepl*LevCapex*$B$7*J44,0)</f>
        <v>0</v>
      </c>
      <c r="K103" s="95" t="n">
        <f aca="false">IF(AND(K41=1,MOD(K39,BattLife)=0,K39&lt;Life),BESS_kWh*C_BattRepl*LevCapex*$B$7*K44,0)</f>
        <v>165903.437704701</v>
      </c>
      <c r="L103" s="95" t="n">
        <f aca="false">IF(AND(L41=1,MOD(L39,BattLife)=0,L39&lt;Life),BESS_kWh*C_BattRepl*LevCapex*$B$7*L44,0)</f>
        <v>0</v>
      </c>
      <c r="M103" s="95" t="n">
        <f aca="false">IF(AND(M41=1,MOD(M39,BattLife)=0,M39&lt;Life),BESS_kWh*C_BattRepl*LevCapex*$B$7*M44,0)</f>
        <v>0</v>
      </c>
      <c r="N103" s="95" t="n">
        <f aca="false">IF(AND(N41=1,MOD(N39,BattLife)=0,N39&lt;Life),BESS_kWh*C_BattRepl*LevCapex*$B$7*N44,0)</f>
        <v>0</v>
      </c>
      <c r="O103" s="95" t="n">
        <f aca="false">IF(AND(O41=1,MOD(O39,BattLife)=0,O39&lt;Life),BESS_kWh*C_BattRepl*LevCapex*$B$7*O44,0)</f>
        <v>0</v>
      </c>
      <c r="P103" s="95" t="n">
        <f aca="false">IF(AND(P41=1,MOD(P39,BattLife)=0,P39&lt;Life),BESS_kWh*C_BattRepl*LevCapex*$B$7*P44,0)</f>
        <v>0</v>
      </c>
      <c r="Q103" s="95" t="n">
        <f aca="false">IF(AND(Q41=1,MOD(Q39,BattLife)=0,Q39&lt;Life),BESS_kWh*C_BattRepl*LevCapex*$B$7*Q44,0)</f>
        <v>0</v>
      </c>
      <c r="R103" s="95" t="n">
        <f aca="false">IF(AND(R41=1,MOD(R39,BattLife)=0,R39&lt;Life),BESS_kWh*C_BattRepl*LevCapex*$B$7*R44,0)</f>
        <v>0</v>
      </c>
      <c r="S103" s="95" t="n">
        <f aca="false">IF(AND(S41=1,MOD(S39,BattLife)=0,S39&lt;Life),BESS_kWh*C_BattRepl*LevCapex*$B$7*S44,0)</f>
        <v>210161.51128367</v>
      </c>
      <c r="T103" s="95" t="n">
        <f aca="false">IF(AND(T41=1,MOD(T39,BattLife)=0,T39&lt;Life),BESS_kWh*C_BattRepl*LevCapex*$B$7*T44,0)</f>
        <v>0</v>
      </c>
      <c r="U103" s="95" t="n">
        <f aca="false">IF(AND(U41=1,MOD(U39,BattLife)=0,U39&lt;Life),BESS_kWh*C_BattRepl*LevCapex*$B$7*U44,0)</f>
        <v>0</v>
      </c>
      <c r="V103" s="95" t="n">
        <f aca="false">IF(AND(V41=1,MOD(V39,BattLife)=0,V39&lt;Life),BESS_kWh*C_BattRepl*LevCapex*$B$7*V44,0)</f>
        <v>0</v>
      </c>
      <c r="W103" s="95" t="n">
        <f aca="false">IF(AND(W41=1,MOD(W39,BattLife)=0,W39&lt;Life),BESS_kWh*C_BattRepl*LevCapex*$B$7*W44,0)</f>
        <v>0</v>
      </c>
    </row>
    <row r="104" customFormat="false" ht="15" hidden="false" customHeight="false" outlineLevel="0" collapsed="false">
      <c r="A104" s="11" t="s">
        <v>448</v>
      </c>
      <c r="B104" s="66" t="n">
        <f aca="false">SUM(C104:W104)</f>
        <v>376064.948988371</v>
      </c>
      <c r="C104" s="95" t="n">
        <v>0</v>
      </c>
      <c r="D104" s="95" t="n">
        <f aca="false">IF(AND(UseMRA=1,D41=1,CEILING(D39,BattLife)&lt;Life),BESS_kWh*C_BattRepl*LevCapex*$B$7*(1+CostEsc)^(CEILING(D39,BattLife)-1)/BattLife,0)</f>
        <v>20737.9297130877</v>
      </c>
      <c r="E104" s="95" t="n">
        <f aca="false">IF(AND(UseMRA=1,E41=1,CEILING(E39,BattLife)&lt;Life),BESS_kWh*C_BattRepl*LevCapex*$B$7*(1+CostEsc)^(CEILING(E39,BattLife)-1)/BattLife,0)</f>
        <v>20737.9297130877</v>
      </c>
      <c r="F104" s="95" t="n">
        <f aca="false">IF(AND(UseMRA=1,F41=1,CEILING(F39,BattLife)&lt;Life),BESS_kWh*C_BattRepl*LevCapex*$B$7*(1+CostEsc)^(CEILING(F39,BattLife)-1)/BattLife,0)</f>
        <v>20737.9297130877</v>
      </c>
      <c r="G104" s="95" t="n">
        <f aca="false">IF(AND(UseMRA=1,G41=1,CEILING(G39,BattLife)&lt;Life),BESS_kWh*C_BattRepl*LevCapex*$B$7*(1+CostEsc)^(CEILING(G39,BattLife)-1)/BattLife,0)</f>
        <v>20737.9297130877</v>
      </c>
      <c r="H104" s="95" t="n">
        <f aca="false">IF(AND(UseMRA=1,H41=1,CEILING(H39,BattLife)&lt;Life),BESS_kWh*C_BattRepl*LevCapex*$B$7*(1+CostEsc)^(CEILING(H39,BattLife)-1)/BattLife,0)</f>
        <v>20737.9297130877</v>
      </c>
      <c r="I104" s="95" t="n">
        <f aca="false">IF(AND(UseMRA=1,I41=1,CEILING(I39,BattLife)&lt;Life),BESS_kWh*C_BattRepl*LevCapex*$B$7*(1+CostEsc)^(CEILING(I39,BattLife)-1)/BattLife,0)</f>
        <v>20737.9297130877</v>
      </c>
      <c r="J104" s="95" t="n">
        <f aca="false">IF(AND(UseMRA=1,J41=1,CEILING(J39,BattLife)&lt;Life),BESS_kWh*C_BattRepl*LevCapex*$B$7*(1+CostEsc)^(CEILING(J39,BattLife)-1)/BattLife,0)</f>
        <v>20737.9297130877</v>
      </c>
      <c r="K104" s="95" t="n">
        <f aca="false">IF(AND(UseMRA=1,K41=1,CEILING(K39,BattLife)&lt;Life),BESS_kWh*C_BattRepl*LevCapex*$B$7*(1+CostEsc)^(CEILING(K39,BattLife)-1)/BattLife,0)</f>
        <v>20737.9297130877</v>
      </c>
      <c r="L104" s="95" t="n">
        <f aca="false">IF(AND(UseMRA=1,L41=1,CEILING(L39,BattLife)&lt;Life),BESS_kWh*C_BattRepl*LevCapex*$B$7*(1+CostEsc)^(CEILING(L39,BattLife)-1)/BattLife,0)</f>
        <v>26270.1889104587</v>
      </c>
      <c r="M104" s="95" t="n">
        <f aca="false">IF(AND(UseMRA=1,M41=1,CEILING(M39,BattLife)&lt;Life),BESS_kWh*C_BattRepl*LevCapex*$B$7*(1+CostEsc)^(CEILING(M39,BattLife)-1)/BattLife,0)</f>
        <v>26270.1889104587</v>
      </c>
      <c r="N104" s="95" t="n">
        <f aca="false">IF(AND(UseMRA=1,N41=1,CEILING(N39,BattLife)&lt;Life),BESS_kWh*C_BattRepl*LevCapex*$B$7*(1+CostEsc)^(CEILING(N39,BattLife)-1)/BattLife,0)</f>
        <v>26270.1889104587</v>
      </c>
      <c r="O104" s="95" t="n">
        <f aca="false">IF(AND(UseMRA=1,O41=1,CEILING(O39,BattLife)&lt;Life),BESS_kWh*C_BattRepl*LevCapex*$B$7*(1+CostEsc)^(CEILING(O39,BattLife)-1)/BattLife,0)</f>
        <v>26270.1889104587</v>
      </c>
      <c r="P104" s="95" t="n">
        <f aca="false">IF(AND(UseMRA=1,P41=1,CEILING(P39,BattLife)&lt;Life),BESS_kWh*C_BattRepl*LevCapex*$B$7*(1+CostEsc)^(CEILING(P39,BattLife)-1)/BattLife,0)</f>
        <v>26270.1889104587</v>
      </c>
      <c r="Q104" s="95" t="n">
        <f aca="false">IF(AND(UseMRA=1,Q41=1,CEILING(Q39,BattLife)&lt;Life),BESS_kWh*C_BattRepl*LevCapex*$B$7*(1+CostEsc)^(CEILING(Q39,BattLife)-1)/BattLife,0)</f>
        <v>26270.1889104587</v>
      </c>
      <c r="R104" s="95" t="n">
        <f aca="false">IF(AND(UseMRA=1,R41=1,CEILING(R39,BattLife)&lt;Life),BESS_kWh*C_BattRepl*LevCapex*$B$7*(1+CostEsc)^(CEILING(R39,BattLife)-1)/BattLife,0)</f>
        <v>26270.1889104587</v>
      </c>
      <c r="S104" s="95" t="n">
        <f aca="false">IF(AND(UseMRA=1,S41=1,CEILING(S39,BattLife)&lt;Life),BESS_kWh*C_BattRepl*LevCapex*$B$7*(1+CostEsc)^(CEILING(S39,BattLife)-1)/BattLife,0)</f>
        <v>26270.1889104587</v>
      </c>
      <c r="T104" s="95" t="n">
        <f aca="false">IF(AND(UseMRA=1,T41=1,CEILING(T39,BattLife)&lt;Life),BESS_kWh*C_BattRepl*LevCapex*$B$7*(1+CostEsc)^(CEILING(T39,BattLife)-1)/BattLife,0)</f>
        <v>0</v>
      </c>
      <c r="U104" s="95" t="n">
        <f aca="false">IF(AND(UseMRA=1,U41=1,CEILING(U39,BattLife)&lt;Life),BESS_kWh*C_BattRepl*LevCapex*$B$7*(1+CostEsc)^(CEILING(U39,BattLife)-1)/BattLife,0)</f>
        <v>0</v>
      </c>
      <c r="V104" s="95" t="n">
        <f aca="false">IF(AND(UseMRA=1,V41=1,CEILING(V39,BattLife)&lt;Life),BESS_kWh*C_BattRepl*LevCapex*$B$7*(1+CostEsc)^(CEILING(V39,BattLife)-1)/BattLife,0)</f>
        <v>0</v>
      </c>
      <c r="W104" s="95" t="n">
        <f aca="false">IF(AND(UseMRA=1,W41=1,CEILING(W39,BattLife)&lt;Life),BESS_kWh*C_BattRepl*LevCapex*$B$7*(1+CostEsc)^(CEILING(W39,BattLife)-1)/BattLife,0)</f>
        <v>0</v>
      </c>
    </row>
    <row r="105" customFormat="false" ht="15" hidden="false" customHeight="false" outlineLevel="0" collapsed="false">
      <c r="A105" s="11" t="s">
        <v>449</v>
      </c>
      <c r="B105" s="66" t="n">
        <f aca="false">SUM(C105:W105)</f>
        <v>376064.948988371</v>
      </c>
      <c r="C105" s="95" t="n">
        <v>0</v>
      </c>
      <c r="D105" s="95" t="n">
        <f aca="false">IF(UseMRA=1,D104,D103)</f>
        <v>20737.9297130877</v>
      </c>
      <c r="E105" s="95" t="n">
        <f aca="false">IF(UseMRA=1,E104,E103)</f>
        <v>20737.9297130877</v>
      </c>
      <c r="F105" s="95" t="n">
        <f aca="false">IF(UseMRA=1,F104,F103)</f>
        <v>20737.9297130877</v>
      </c>
      <c r="G105" s="95" t="n">
        <f aca="false">IF(UseMRA=1,G104,G103)</f>
        <v>20737.9297130877</v>
      </c>
      <c r="H105" s="95" t="n">
        <f aca="false">IF(UseMRA=1,H104,H103)</f>
        <v>20737.9297130877</v>
      </c>
      <c r="I105" s="95" t="n">
        <f aca="false">IF(UseMRA=1,I104,I103)</f>
        <v>20737.9297130877</v>
      </c>
      <c r="J105" s="95" t="n">
        <f aca="false">IF(UseMRA=1,J104,J103)</f>
        <v>20737.9297130877</v>
      </c>
      <c r="K105" s="95" t="n">
        <f aca="false">IF(UseMRA=1,K104,K103)</f>
        <v>20737.9297130877</v>
      </c>
      <c r="L105" s="95" t="n">
        <f aca="false">IF(UseMRA=1,L104,L103)</f>
        <v>26270.1889104587</v>
      </c>
      <c r="M105" s="95" t="n">
        <f aca="false">IF(UseMRA=1,M104,M103)</f>
        <v>26270.1889104587</v>
      </c>
      <c r="N105" s="95" t="n">
        <f aca="false">IF(UseMRA=1,N104,N103)</f>
        <v>26270.1889104587</v>
      </c>
      <c r="O105" s="95" t="n">
        <f aca="false">IF(UseMRA=1,O104,O103)</f>
        <v>26270.1889104587</v>
      </c>
      <c r="P105" s="95" t="n">
        <f aca="false">IF(UseMRA=1,P104,P103)</f>
        <v>26270.1889104587</v>
      </c>
      <c r="Q105" s="95" t="n">
        <f aca="false">IF(UseMRA=1,Q104,Q103)</f>
        <v>26270.1889104587</v>
      </c>
      <c r="R105" s="95" t="n">
        <f aca="false">IF(UseMRA=1,R104,R103)</f>
        <v>26270.1889104587</v>
      </c>
      <c r="S105" s="95" t="n">
        <f aca="false">IF(UseMRA=1,S104,S103)</f>
        <v>26270.1889104587</v>
      </c>
      <c r="T105" s="95" t="n">
        <f aca="false">IF(UseMRA=1,T104,T103)</f>
        <v>0</v>
      </c>
      <c r="U105" s="95" t="n">
        <f aca="false">IF(UseMRA=1,U104,U103)</f>
        <v>0</v>
      </c>
      <c r="V105" s="95" t="n">
        <f aca="false">IF(UseMRA=1,V104,V103)</f>
        <v>0</v>
      </c>
      <c r="W105" s="95" t="n">
        <f aca="false">IF(UseMRA=1,W104,W103)</f>
        <v>0</v>
      </c>
    </row>
    <row r="106" customFormat="false" ht="15" hidden="false" customHeight="false" outlineLevel="0" collapsed="false">
      <c r="A106" s="11" t="s">
        <v>175</v>
      </c>
      <c r="B106" s="66" t="n">
        <f aca="false">SUM(C106:W106)</f>
        <v>600000</v>
      </c>
      <c r="C106" s="95" t="n">
        <f aca="false">Grant</f>
        <v>600000</v>
      </c>
      <c r="D106" s="95" t="n">
        <f aca="false">0</f>
        <v>0</v>
      </c>
      <c r="E106" s="95" t="n">
        <f aca="false">0</f>
        <v>0</v>
      </c>
      <c r="F106" s="95" t="n">
        <f aca="false">0</f>
        <v>0</v>
      </c>
      <c r="G106" s="95" t="n">
        <f aca="false">0</f>
        <v>0</v>
      </c>
      <c r="H106" s="95" t="n">
        <f aca="false">0</f>
        <v>0</v>
      </c>
      <c r="I106" s="95" t="n">
        <f aca="false">0</f>
        <v>0</v>
      </c>
      <c r="J106" s="95" t="n">
        <f aca="false">0</f>
        <v>0</v>
      </c>
      <c r="K106" s="95" t="n">
        <f aca="false">0</f>
        <v>0</v>
      </c>
      <c r="L106" s="95" t="n">
        <f aca="false">0</f>
        <v>0</v>
      </c>
      <c r="M106" s="95" t="n">
        <f aca="false">0</f>
        <v>0</v>
      </c>
      <c r="N106" s="95" t="n">
        <f aca="false">0</f>
        <v>0</v>
      </c>
      <c r="O106" s="95" t="n">
        <f aca="false">0</f>
        <v>0</v>
      </c>
      <c r="P106" s="95" t="n">
        <f aca="false">0</f>
        <v>0</v>
      </c>
      <c r="Q106" s="95" t="n">
        <f aca="false">0</f>
        <v>0</v>
      </c>
      <c r="R106" s="95" t="n">
        <f aca="false">0</f>
        <v>0</v>
      </c>
      <c r="S106" s="95" t="n">
        <f aca="false">0</f>
        <v>0</v>
      </c>
      <c r="T106" s="95" t="n">
        <f aca="false">0</f>
        <v>0</v>
      </c>
      <c r="U106" s="95" t="n">
        <f aca="false">0</f>
        <v>0</v>
      </c>
      <c r="V106" s="95" t="n">
        <f aca="false">0</f>
        <v>0</v>
      </c>
      <c r="W106" s="95" t="n">
        <f aca="false">0</f>
        <v>0</v>
      </c>
    </row>
    <row r="107" customFormat="false" ht="15" hidden="false" customHeight="false" outlineLevel="0" collapsed="false">
      <c r="A107" s="11" t="s">
        <v>450</v>
      </c>
      <c r="B107" s="66" t="n">
        <f aca="false">SUM(C107:W107)</f>
        <v>252000</v>
      </c>
      <c r="C107" s="95" t="n">
        <v>0</v>
      </c>
      <c r="D107" s="95" t="n">
        <f aca="false">D54*Seg1_RBF+D55*Seg2_RBF+D56*Seg3_RBF+D57*Seg4_RBF+D58*Seg5_RBF</f>
        <v>151200</v>
      </c>
      <c r="E107" s="95" t="n">
        <f aca="false">E54*Seg1_RBF+E55*Seg2_RBF+E56*Seg3_RBF+E57*Seg4_RBF+E58*Seg5_RBF</f>
        <v>63000</v>
      </c>
      <c r="F107" s="95" t="n">
        <f aca="false">F54*Seg1_RBF+F55*Seg2_RBF+F56*Seg3_RBF+F57*Seg4_RBF+F58*Seg5_RBF</f>
        <v>37800</v>
      </c>
      <c r="G107" s="95" t="n">
        <f aca="false">G54*Seg1_RBF+G55*Seg2_RBF+G56*Seg3_RBF+G57*Seg4_RBF+G58*Seg5_RBF</f>
        <v>0</v>
      </c>
      <c r="H107" s="95" t="n">
        <f aca="false">H54*Seg1_RBF+H55*Seg2_RBF+H56*Seg3_RBF+H57*Seg4_RBF+H58*Seg5_RBF</f>
        <v>0</v>
      </c>
      <c r="I107" s="95" t="n">
        <f aca="false">I54*Seg1_RBF+I55*Seg2_RBF+I56*Seg3_RBF+I57*Seg4_RBF+I58*Seg5_RBF</f>
        <v>0</v>
      </c>
      <c r="J107" s="95" t="n">
        <f aca="false">J54*Seg1_RBF+J55*Seg2_RBF+J56*Seg3_RBF+J57*Seg4_RBF+J58*Seg5_RBF</f>
        <v>0</v>
      </c>
      <c r="K107" s="95" t="n">
        <f aca="false">K54*Seg1_RBF+K55*Seg2_RBF+K56*Seg3_RBF+K57*Seg4_RBF+K58*Seg5_RBF</f>
        <v>0</v>
      </c>
      <c r="L107" s="95" t="n">
        <f aca="false">L54*Seg1_RBF+L55*Seg2_RBF+L56*Seg3_RBF+L57*Seg4_RBF+L58*Seg5_RBF</f>
        <v>0</v>
      </c>
      <c r="M107" s="95" t="n">
        <f aca="false">M54*Seg1_RBF+M55*Seg2_RBF+M56*Seg3_RBF+M57*Seg4_RBF+M58*Seg5_RBF</f>
        <v>0</v>
      </c>
      <c r="N107" s="95" t="n">
        <f aca="false">N54*Seg1_RBF+N55*Seg2_RBF+N56*Seg3_RBF+N57*Seg4_RBF+N58*Seg5_RBF</f>
        <v>0</v>
      </c>
      <c r="O107" s="95" t="n">
        <f aca="false">O54*Seg1_RBF+O55*Seg2_RBF+O56*Seg3_RBF+O57*Seg4_RBF+O58*Seg5_RBF</f>
        <v>0</v>
      </c>
      <c r="P107" s="95" t="n">
        <f aca="false">P54*Seg1_RBF+P55*Seg2_RBF+P56*Seg3_RBF+P57*Seg4_RBF+P58*Seg5_RBF</f>
        <v>0</v>
      </c>
      <c r="Q107" s="95" t="n">
        <f aca="false">Q54*Seg1_RBF+Q55*Seg2_RBF+Q56*Seg3_RBF+Q57*Seg4_RBF+Q58*Seg5_RBF</f>
        <v>0</v>
      </c>
      <c r="R107" s="95" t="n">
        <f aca="false">R54*Seg1_RBF+R55*Seg2_RBF+R56*Seg3_RBF+R57*Seg4_RBF+R58*Seg5_RBF</f>
        <v>0</v>
      </c>
      <c r="S107" s="95" t="n">
        <f aca="false">S54*Seg1_RBF+S55*Seg2_RBF+S56*Seg3_RBF+S57*Seg4_RBF+S58*Seg5_RBF</f>
        <v>0</v>
      </c>
      <c r="T107" s="95" t="n">
        <f aca="false">T54*Seg1_RBF+T55*Seg2_RBF+T56*Seg3_RBF+T57*Seg4_RBF+T58*Seg5_RBF</f>
        <v>0</v>
      </c>
      <c r="U107" s="95" t="n">
        <f aca="false">U54*Seg1_RBF+U55*Seg2_RBF+U56*Seg3_RBF+U57*Seg4_RBF+U58*Seg5_RBF</f>
        <v>0</v>
      </c>
      <c r="V107" s="95" t="n">
        <f aca="false">V54*Seg1_RBF+V55*Seg2_RBF+V56*Seg3_RBF+V57*Seg4_RBF+V58*Seg5_RBF</f>
        <v>0</v>
      </c>
      <c r="W107" s="95" t="n">
        <f aca="false">W54*Seg1_RBF+W55*Seg2_RBF+W56*Seg3_RBF+W57*Seg4_RBF+W58*Seg5_RBF</f>
        <v>0</v>
      </c>
    </row>
    <row r="108" customFormat="false" ht="15" hidden="false" customHeight="false" outlineLevel="0" collapsed="false">
      <c r="A108" s="11" t="s">
        <v>451</v>
      </c>
      <c r="B108" s="66" t="n">
        <f aca="false">SUM(C108:W108)</f>
        <v>252000</v>
      </c>
      <c r="C108" s="95" t="n">
        <v>0</v>
      </c>
      <c r="D108" s="95" t="n">
        <f aca="false">IF(D39-RBFLag&gt;=1,INDEX($C$107:$W$107,1,D39-RBFLag+1),0)</f>
        <v>151200</v>
      </c>
      <c r="E108" s="95" t="n">
        <f aca="false">IF(E39-RBFLag&gt;=1,INDEX($C$107:$W$107,1,E39-RBFLag+1),0)</f>
        <v>63000</v>
      </c>
      <c r="F108" s="95" t="n">
        <f aca="false">IF(F39-RBFLag&gt;=1,INDEX($C$107:$W$107,1,F39-RBFLag+1),0)</f>
        <v>37800</v>
      </c>
      <c r="G108" s="95" t="n">
        <f aca="false">IF(G39-RBFLag&gt;=1,INDEX($C$107:$W$107,1,G39-RBFLag+1),0)</f>
        <v>0</v>
      </c>
      <c r="H108" s="95" t="n">
        <f aca="false">IF(H39-RBFLag&gt;=1,INDEX($C$107:$W$107,1,H39-RBFLag+1),0)</f>
        <v>0</v>
      </c>
      <c r="I108" s="95" t="n">
        <f aca="false">IF(I39-RBFLag&gt;=1,INDEX($C$107:$W$107,1,I39-RBFLag+1),0)</f>
        <v>0</v>
      </c>
      <c r="J108" s="95" t="n">
        <f aca="false">IF(J39-RBFLag&gt;=1,INDEX($C$107:$W$107,1,J39-RBFLag+1),0)</f>
        <v>0</v>
      </c>
      <c r="K108" s="95" t="n">
        <f aca="false">IF(K39-RBFLag&gt;=1,INDEX($C$107:$W$107,1,K39-RBFLag+1),0)</f>
        <v>0</v>
      </c>
      <c r="L108" s="95" t="n">
        <f aca="false">IF(L39-RBFLag&gt;=1,INDEX($C$107:$W$107,1,L39-RBFLag+1),0)</f>
        <v>0</v>
      </c>
      <c r="M108" s="95" t="n">
        <f aca="false">IF(M39-RBFLag&gt;=1,INDEX($C$107:$W$107,1,M39-RBFLag+1),0)</f>
        <v>0</v>
      </c>
      <c r="N108" s="95" t="n">
        <f aca="false">IF(N39-RBFLag&gt;=1,INDEX($C$107:$W$107,1,N39-RBFLag+1),0)</f>
        <v>0</v>
      </c>
      <c r="O108" s="95" t="n">
        <f aca="false">IF(O39-RBFLag&gt;=1,INDEX($C$107:$W$107,1,O39-RBFLag+1),0)</f>
        <v>0</v>
      </c>
      <c r="P108" s="95" t="n">
        <f aca="false">IF(P39-RBFLag&gt;=1,INDEX($C$107:$W$107,1,P39-RBFLag+1),0)</f>
        <v>0</v>
      </c>
      <c r="Q108" s="95" t="n">
        <f aca="false">IF(Q39-RBFLag&gt;=1,INDEX($C$107:$W$107,1,Q39-RBFLag+1),0)</f>
        <v>0</v>
      </c>
      <c r="R108" s="95" t="n">
        <f aca="false">IF(R39-RBFLag&gt;=1,INDEX($C$107:$W$107,1,R39-RBFLag+1),0)</f>
        <v>0</v>
      </c>
      <c r="S108" s="95" t="n">
        <f aca="false">IF(S39-RBFLag&gt;=1,INDEX($C$107:$W$107,1,S39-RBFLag+1),0)</f>
        <v>0</v>
      </c>
      <c r="T108" s="95" t="n">
        <f aca="false">IF(T39-RBFLag&gt;=1,INDEX($C$107:$W$107,1,T39-RBFLag+1),0)</f>
        <v>0</v>
      </c>
      <c r="U108" s="95" t="n">
        <f aca="false">IF(U39-RBFLag&gt;=1,INDEX($C$107:$W$107,1,U39-RBFLag+1),0)</f>
        <v>0</v>
      </c>
      <c r="V108" s="95" t="n">
        <f aca="false">IF(V39-RBFLag&gt;=1,INDEX($C$107:$W$107,1,V39-RBFLag+1),0)</f>
        <v>0</v>
      </c>
      <c r="W108" s="95" t="n">
        <f aca="false">IF(W39-RBFLag&gt;=1,INDEX($C$107:$W$107,1,W39-RBFLag+1),0)</f>
        <v>0</v>
      </c>
    </row>
    <row r="109" customFormat="false" ht="15" hidden="false" customHeight="false" outlineLevel="0" collapsed="false">
      <c r="A109" s="11" t="s">
        <v>452</v>
      </c>
      <c r="B109" s="76" t="n">
        <f aca="false">SUM(C109:W109)</f>
        <v>970</v>
      </c>
      <c r="C109" s="93" t="n">
        <v>0</v>
      </c>
      <c r="D109" s="93" t="n">
        <f aca="false">IF(D39-RBFLag&gt;=1,INDEX($C$59:$W$59,1,D39-RBFLag+1),0)</f>
        <v>582</v>
      </c>
      <c r="E109" s="93" t="n">
        <f aca="false">IF(E39-RBFLag&gt;=1,INDEX($C$59:$W$59,1,E39-RBFLag+1),0)</f>
        <v>242.5</v>
      </c>
      <c r="F109" s="93" t="n">
        <f aca="false">IF(F39-RBFLag&gt;=1,INDEX($C$59:$W$59,1,F39-RBFLag+1),0)</f>
        <v>145.5</v>
      </c>
      <c r="G109" s="93" t="n">
        <f aca="false">IF(G39-RBFLag&gt;=1,INDEX($C$59:$W$59,1,G39-RBFLag+1),0)</f>
        <v>0</v>
      </c>
      <c r="H109" s="93" t="n">
        <f aca="false">IF(H39-RBFLag&gt;=1,INDEX($C$59:$W$59,1,H39-RBFLag+1),0)</f>
        <v>0</v>
      </c>
      <c r="I109" s="93" t="n">
        <f aca="false">IF(I39-RBFLag&gt;=1,INDEX($C$59:$W$59,1,I39-RBFLag+1),0)</f>
        <v>0</v>
      </c>
      <c r="J109" s="93" t="n">
        <f aca="false">IF(J39-RBFLag&gt;=1,INDEX($C$59:$W$59,1,J39-RBFLag+1),0)</f>
        <v>0</v>
      </c>
      <c r="K109" s="93" t="n">
        <f aca="false">IF(K39-RBFLag&gt;=1,INDEX($C$59:$W$59,1,K39-RBFLag+1),0)</f>
        <v>0</v>
      </c>
      <c r="L109" s="93" t="n">
        <f aca="false">IF(L39-RBFLag&gt;=1,INDEX($C$59:$W$59,1,L39-RBFLag+1),0)</f>
        <v>0</v>
      </c>
      <c r="M109" s="93" t="n">
        <f aca="false">IF(M39-RBFLag&gt;=1,INDEX($C$59:$W$59,1,M39-RBFLag+1),0)</f>
        <v>0</v>
      </c>
      <c r="N109" s="93" t="n">
        <f aca="false">IF(N39-RBFLag&gt;=1,INDEX($C$59:$W$59,1,N39-RBFLag+1),0)</f>
        <v>0</v>
      </c>
      <c r="O109" s="93" t="n">
        <f aca="false">IF(O39-RBFLag&gt;=1,INDEX($C$59:$W$59,1,O39-RBFLag+1),0)</f>
        <v>0</v>
      </c>
      <c r="P109" s="93" t="n">
        <f aca="false">IF(P39-RBFLag&gt;=1,INDEX($C$59:$W$59,1,P39-RBFLag+1),0)</f>
        <v>0</v>
      </c>
      <c r="Q109" s="93" t="n">
        <f aca="false">IF(Q39-RBFLag&gt;=1,INDEX($C$59:$W$59,1,Q39-RBFLag+1),0)</f>
        <v>0</v>
      </c>
      <c r="R109" s="93" t="n">
        <f aca="false">IF(R39-RBFLag&gt;=1,INDEX($C$59:$W$59,1,R39-RBFLag+1),0)</f>
        <v>0</v>
      </c>
      <c r="S109" s="93" t="n">
        <f aca="false">IF(S39-RBFLag&gt;=1,INDEX($C$59:$W$59,1,S39-RBFLag+1),0)</f>
        <v>0</v>
      </c>
      <c r="T109" s="93" t="n">
        <f aca="false">IF(T39-RBFLag&gt;=1,INDEX($C$59:$W$59,1,T39-RBFLag+1),0)</f>
        <v>0</v>
      </c>
      <c r="U109" s="93" t="n">
        <f aca="false">IF(U39-RBFLag&gt;=1,INDEX($C$59:$W$59,1,U39-RBFLag+1),0)</f>
        <v>0</v>
      </c>
      <c r="V109" s="93" t="n">
        <f aca="false">IF(V39-RBFLag&gt;=1,INDEX($C$59:$W$59,1,V39-RBFLag+1),0)</f>
        <v>0</v>
      </c>
      <c r="W109" s="93" t="n">
        <f aca="false">IF(W39-RBFLag&gt;=1,INDEX($C$59:$W$59,1,W39-RBFLag+1),0)</f>
        <v>0</v>
      </c>
    </row>
    <row r="111" customFormat="false" ht="15" hidden="false" customHeight="false" outlineLevel="0" collapsed="false">
      <c r="A111" s="9" t="s">
        <v>453</v>
      </c>
      <c r="B111" s="10"/>
      <c r="C111" s="10"/>
      <c r="D111" s="10"/>
      <c r="E111" s="10"/>
      <c r="F111" s="10"/>
      <c r="G111" s="10"/>
      <c r="H111" s="10"/>
      <c r="I111" s="10"/>
      <c r="J111" s="10"/>
      <c r="K111" s="10"/>
      <c r="L111" s="10"/>
      <c r="M111" s="10"/>
      <c r="N111" s="10"/>
      <c r="O111" s="10"/>
      <c r="P111" s="10"/>
      <c r="Q111" s="10"/>
      <c r="R111" s="10"/>
      <c r="S111" s="10"/>
      <c r="T111" s="10"/>
      <c r="U111" s="10"/>
      <c r="V111" s="10"/>
      <c r="W111" s="10"/>
    </row>
    <row r="112" customFormat="false" ht="15" hidden="false" customHeight="false" outlineLevel="0" collapsed="false">
      <c r="A112" s="11" t="s">
        <v>454</v>
      </c>
      <c r="C112" s="95" t="n">
        <v>0</v>
      </c>
      <c r="D112" s="95" t="n">
        <f aca="false">C116</f>
        <v>112546.829385741</v>
      </c>
      <c r="E112" s="95" t="n">
        <f aca="false">D116</f>
        <v>112546.829385741</v>
      </c>
      <c r="F112" s="95" t="n">
        <f aca="false">E116</f>
        <v>112546.829385741</v>
      </c>
      <c r="G112" s="95" t="n">
        <f aca="false">F116</f>
        <v>102705.282458945</v>
      </c>
      <c r="H112" s="95" t="n">
        <f aca="false">G116</f>
        <v>91879.5808394692</v>
      </c>
      <c r="I112" s="95" t="n">
        <f aca="false">H116</f>
        <v>79971.3090580457</v>
      </c>
      <c r="J112" s="95" t="n">
        <f aca="false">I116</f>
        <v>66872.2100984798</v>
      </c>
      <c r="K112" s="95" t="n">
        <f aca="false">J116</f>
        <v>52463.2012429573</v>
      </c>
      <c r="L112" s="95" t="n">
        <f aca="false">K116</f>
        <v>36613.2915018826</v>
      </c>
      <c r="M112" s="95" t="n">
        <f aca="false">L116</f>
        <v>19178.3907867004</v>
      </c>
      <c r="N112" s="95" t="n">
        <f aca="false">M116</f>
        <v>0</v>
      </c>
      <c r="O112" s="95" t="n">
        <f aca="false">N116</f>
        <v>0</v>
      </c>
      <c r="P112" s="95" t="n">
        <f aca="false">O116</f>
        <v>0</v>
      </c>
      <c r="Q112" s="95" t="n">
        <f aca="false">P116</f>
        <v>0</v>
      </c>
      <c r="R112" s="95" t="n">
        <f aca="false">Q116</f>
        <v>0</v>
      </c>
      <c r="S112" s="95" t="n">
        <f aca="false">R116</f>
        <v>0</v>
      </c>
      <c r="T112" s="95" t="n">
        <f aca="false">S116</f>
        <v>0</v>
      </c>
      <c r="U112" s="95" t="n">
        <f aca="false">T116</f>
        <v>0</v>
      </c>
      <c r="V112" s="95" t="n">
        <f aca="false">U116</f>
        <v>0</v>
      </c>
      <c r="W112" s="95" t="n">
        <f aca="false">V116</f>
        <v>0</v>
      </c>
    </row>
    <row r="113" customFormat="false" ht="15" hidden="false" customHeight="false" outlineLevel="0" collapsed="false">
      <c r="A113" s="11" t="s">
        <v>455</v>
      </c>
      <c r="B113" s="66" t="n">
        <f aca="false">SUM(C113:W113)</f>
        <v>112546.829385741</v>
      </c>
      <c r="C113" s="95" t="n">
        <f aca="false">S_Fuel_Hi!$B$16</f>
        <v>112546.829385741</v>
      </c>
      <c r="D113" s="95" t="n">
        <f aca="false">0</f>
        <v>0</v>
      </c>
      <c r="E113" s="95" t="n">
        <f aca="false">0</f>
        <v>0</v>
      </c>
      <c r="F113" s="95" t="n">
        <f aca="false">0</f>
        <v>0</v>
      </c>
      <c r="G113" s="95" t="n">
        <f aca="false">0</f>
        <v>0</v>
      </c>
      <c r="H113" s="95" t="n">
        <f aca="false">0</f>
        <v>0</v>
      </c>
      <c r="I113" s="95" t="n">
        <f aca="false">0</f>
        <v>0</v>
      </c>
      <c r="J113" s="95" t="n">
        <f aca="false">0</f>
        <v>0</v>
      </c>
      <c r="K113" s="95" t="n">
        <f aca="false">0</f>
        <v>0</v>
      </c>
      <c r="L113" s="95" t="n">
        <f aca="false">0</f>
        <v>0</v>
      </c>
      <c r="M113" s="95" t="n">
        <f aca="false">0</f>
        <v>0</v>
      </c>
      <c r="N113" s="95" t="n">
        <f aca="false">0</f>
        <v>0</v>
      </c>
      <c r="O113" s="95" t="n">
        <f aca="false">0</f>
        <v>0</v>
      </c>
      <c r="P113" s="95" t="n">
        <f aca="false">0</f>
        <v>0</v>
      </c>
      <c r="Q113" s="95" t="n">
        <f aca="false">0</f>
        <v>0</v>
      </c>
      <c r="R113" s="95" t="n">
        <f aca="false">0</f>
        <v>0</v>
      </c>
      <c r="S113" s="95" t="n">
        <f aca="false">0</f>
        <v>0</v>
      </c>
      <c r="T113" s="95" t="n">
        <f aca="false">0</f>
        <v>0</v>
      </c>
      <c r="U113" s="95" t="n">
        <f aca="false">0</f>
        <v>0</v>
      </c>
      <c r="V113" s="95" t="n">
        <f aca="false">0</f>
        <v>0</v>
      </c>
      <c r="W113" s="95" t="n">
        <f aca="false">0</f>
        <v>0</v>
      </c>
    </row>
    <row r="114" customFormat="false" ht="15" hidden="false" customHeight="false" outlineLevel="0" collapsed="false">
      <c r="A114" s="11" t="s">
        <v>456</v>
      </c>
      <c r="B114" s="66" t="n">
        <f aca="false">SUM(C114:W114)</f>
        <v>78732.3754143705</v>
      </c>
      <c r="C114" s="95" t="n">
        <v>0</v>
      </c>
      <c r="D114" s="95" t="n">
        <f aca="false">D112*SenRate*$B$11</f>
        <v>11254.6829385742</v>
      </c>
      <c r="E114" s="95" t="n">
        <f aca="false">E112*SenRate*$B$11</f>
        <v>11254.6829385742</v>
      </c>
      <c r="F114" s="95" t="n">
        <f aca="false">F112*SenRate*$B$11</f>
        <v>11254.6829385742</v>
      </c>
      <c r="G114" s="95" t="n">
        <f aca="false">G112*SenRate*$B$11</f>
        <v>10270.5282458945</v>
      </c>
      <c r="H114" s="95" t="n">
        <f aca="false">H112*SenRate*$B$11</f>
        <v>9187.95808394693</v>
      </c>
      <c r="I114" s="95" t="n">
        <f aca="false">I112*SenRate*$B$11</f>
        <v>7997.13090580457</v>
      </c>
      <c r="J114" s="95" t="n">
        <f aca="false">J112*SenRate*$B$11</f>
        <v>6687.22100984798</v>
      </c>
      <c r="K114" s="95" t="n">
        <f aca="false">K112*SenRate*$B$11</f>
        <v>5246.32012429573</v>
      </c>
      <c r="L114" s="95" t="n">
        <f aca="false">L112*SenRate*$B$11</f>
        <v>3661.32915018826</v>
      </c>
      <c r="M114" s="95" t="n">
        <f aca="false">M112*SenRate*$B$11</f>
        <v>1917.83907867004</v>
      </c>
      <c r="N114" s="95" t="n">
        <f aca="false">N112*SenRate*$B$11</f>
        <v>0</v>
      </c>
      <c r="O114" s="95" t="n">
        <f aca="false">O112*SenRate*$B$11</f>
        <v>0</v>
      </c>
      <c r="P114" s="95" t="n">
        <f aca="false">P112*SenRate*$B$11</f>
        <v>0</v>
      </c>
      <c r="Q114" s="95" t="n">
        <f aca="false">Q112*SenRate*$B$11</f>
        <v>0</v>
      </c>
      <c r="R114" s="95" t="n">
        <f aca="false">R112*SenRate*$B$11</f>
        <v>0</v>
      </c>
      <c r="S114" s="95" t="n">
        <f aca="false">S112*SenRate*$B$11</f>
        <v>0</v>
      </c>
      <c r="T114" s="95" t="n">
        <f aca="false">T112*SenRate*$B$11</f>
        <v>0</v>
      </c>
      <c r="U114" s="95" t="n">
        <f aca="false">U112*SenRate*$B$11</f>
        <v>0</v>
      </c>
      <c r="V114" s="95" t="n">
        <f aca="false">V112*SenRate*$B$11</f>
        <v>0</v>
      </c>
      <c r="W114" s="95" t="n">
        <f aca="false">W112*SenRate*$B$11</f>
        <v>0</v>
      </c>
    </row>
    <row r="115" customFormat="false" ht="15" hidden="false" customHeight="false" outlineLevel="0" collapsed="false">
      <c r="A115" s="11" t="s">
        <v>457</v>
      </c>
      <c r="B115" s="66" t="n">
        <f aca="false">SUM(C115:W115)</f>
        <v>112546.829385742</v>
      </c>
      <c r="C115" s="95" t="n">
        <v>0</v>
      </c>
      <c r="D115" s="95" t="n">
        <f aca="false">IF(AND(D39&gt;SenGrace,D39&lt;=SenTenor),PMT(SenRate*$B$11,SenTenor-SenGrace,-S_Fuel_Hi!$B$16)-D114,0)</f>
        <v>0</v>
      </c>
      <c r="E115" s="95" t="n">
        <f aca="false">IF(AND(E39&gt;SenGrace,E39&lt;=SenTenor),PMT(SenRate*$B$11,SenTenor-SenGrace,-S_Fuel_Hi!$B$16)-E114,0)</f>
        <v>0</v>
      </c>
      <c r="F115" s="95" t="n">
        <f aca="false">IF(AND(F39&gt;SenGrace,F39&lt;=SenTenor),PMT(SenRate*$B$11,SenTenor-SenGrace,-S_Fuel_Hi!$B$16)-F114,0)</f>
        <v>9841.54692679631</v>
      </c>
      <c r="G115" s="95" t="n">
        <f aca="false">IF(AND(G39&gt;SenGrace,G39&lt;=SenTenor),PMT(SenRate*$B$11,SenTenor-SenGrace,-S_Fuel_Hi!$B$16)-G114,0)</f>
        <v>10825.7016194759</v>
      </c>
      <c r="H115" s="95" t="n">
        <f aca="false">IF(AND(H39&gt;SenGrace,H39&lt;=SenTenor),PMT(SenRate*$B$11,SenTenor-SenGrace,-S_Fuel_Hi!$B$16)-H114,0)</f>
        <v>11908.2717814235</v>
      </c>
      <c r="I115" s="95" t="n">
        <f aca="false">IF(AND(I39&gt;SenGrace,I39&lt;=SenTenor),PMT(SenRate*$B$11,SenTenor-SenGrace,-S_Fuel_Hi!$B$16)-I114,0)</f>
        <v>13099.0989595659</v>
      </c>
      <c r="J115" s="95" t="n">
        <f aca="false">IF(AND(J39&gt;SenGrace,J39&lt;=SenTenor),PMT(SenRate*$B$11,SenTenor-SenGrace,-S_Fuel_Hi!$B$16)-J114,0)</f>
        <v>14409.0088555225</v>
      </c>
      <c r="K115" s="95" t="n">
        <f aca="false">IF(AND(K39&gt;SenGrace,K39&lt;=SenTenor),PMT(SenRate*$B$11,SenTenor-SenGrace,-S_Fuel_Hi!$B$16)-K114,0)</f>
        <v>15849.9097410747</v>
      </c>
      <c r="L115" s="95" t="n">
        <f aca="false">IF(AND(L39&gt;SenGrace,L39&lt;=SenTenor),PMT(SenRate*$B$11,SenTenor-SenGrace,-S_Fuel_Hi!$B$16)-L114,0)</f>
        <v>17434.9007151822</v>
      </c>
      <c r="M115" s="95" t="n">
        <f aca="false">IF(AND(M39&gt;SenGrace,M39&lt;=SenTenor),PMT(SenRate*$B$11,SenTenor-SenGrace,-S_Fuel_Hi!$B$16)-M114,0)</f>
        <v>19178.3907867004</v>
      </c>
      <c r="N115" s="95" t="n">
        <f aca="false">IF(AND(N39&gt;SenGrace,N39&lt;=SenTenor),PMT(SenRate*$B$11,SenTenor-SenGrace,-S_Fuel_Hi!$B$16)-N114,0)</f>
        <v>0</v>
      </c>
      <c r="O115" s="95" t="n">
        <f aca="false">IF(AND(O39&gt;SenGrace,O39&lt;=SenTenor),PMT(SenRate*$B$11,SenTenor-SenGrace,-S_Fuel_Hi!$B$16)-O114,0)</f>
        <v>0</v>
      </c>
      <c r="P115" s="95" t="n">
        <f aca="false">IF(AND(P39&gt;SenGrace,P39&lt;=SenTenor),PMT(SenRate*$B$11,SenTenor-SenGrace,-S_Fuel_Hi!$B$16)-P114,0)</f>
        <v>0</v>
      </c>
      <c r="Q115" s="95" t="n">
        <f aca="false">IF(AND(Q39&gt;SenGrace,Q39&lt;=SenTenor),PMT(SenRate*$B$11,SenTenor-SenGrace,-S_Fuel_Hi!$B$16)-Q114,0)</f>
        <v>0</v>
      </c>
      <c r="R115" s="95" t="n">
        <f aca="false">IF(AND(R39&gt;SenGrace,R39&lt;=SenTenor),PMT(SenRate*$B$11,SenTenor-SenGrace,-S_Fuel_Hi!$B$16)-R114,0)</f>
        <v>0</v>
      </c>
      <c r="S115" s="95" t="n">
        <f aca="false">IF(AND(S39&gt;SenGrace,S39&lt;=SenTenor),PMT(SenRate*$B$11,SenTenor-SenGrace,-S_Fuel_Hi!$B$16)-S114,0)</f>
        <v>0</v>
      </c>
      <c r="T115" s="95" t="n">
        <f aca="false">IF(AND(T39&gt;SenGrace,T39&lt;=SenTenor),PMT(SenRate*$B$11,SenTenor-SenGrace,-S_Fuel_Hi!$B$16)-T114,0)</f>
        <v>0</v>
      </c>
      <c r="U115" s="95" t="n">
        <f aca="false">IF(AND(U39&gt;SenGrace,U39&lt;=SenTenor),PMT(SenRate*$B$11,SenTenor-SenGrace,-S_Fuel_Hi!$B$16)-U114,0)</f>
        <v>0</v>
      </c>
      <c r="V115" s="95" t="n">
        <f aca="false">IF(AND(V39&gt;SenGrace,V39&lt;=SenTenor),PMT(SenRate*$B$11,SenTenor-SenGrace,-S_Fuel_Hi!$B$16)-V114,0)</f>
        <v>0</v>
      </c>
      <c r="W115" s="95" t="n">
        <f aca="false">IF(AND(W39&gt;SenGrace,W39&lt;=SenTenor),PMT(SenRate*$B$11,SenTenor-SenGrace,-S_Fuel_Hi!$B$16)-W114,0)</f>
        <v>0</v>
      </c>
    </row>
    <row r="116" customFormat="false" ht="15" hidden="false" customHeight="false" outlineLevel="0" collapsed="false">
      <c r="A116" s="11" t="s">
        <v>458</v>
      </c>
      <c r="C116" s="95" t="n">
        <f aca="false">0+C113-0</f>
        <v>112546.829385741</v>
      </c>
      <c r="D116" s="95" t="n">
        <f aca="false">D112+D113-D115</f>
        <v>112546.829385741</v>
      </c>
      <c r="E116" s="95" t="n">
        <f aca="false">E112+E113-E115</f>
        <v>112546.829385741</v>
      </c>
      <c r="F116" s="95" t="n">
        <f aca="false">F112+F113-F115</f>
        <v>102705.282458945</v>
      </c>
      <c r="G116" s="95" t="n">
        <f aca="false">G112+G113-G115</f>
        <v>91879.5808394692</v>
      </c>
      <c r="H116" s="95" t="n">
        <f aca="false">H112+H113-H115</f>
        <v>79971.3090580457</v>
      </c>
      <c r="I116" s="95" t="n">
        <f aca="false">I112+I113-I115</f>
        <v>66872.2100984798</v>
      </c>
      <c r="J116" s="95" t="n">
        <f aca="false">J112+J113-J115</f>
        <v>52463.2012429573</v>
      </c>
      <c r="K116" s="95" t="n">
        <f aca="false">K112+K113-K115</f>
        <v>36613.2915018826</v>
      </c>
      <c r="L116" s="95" t="n">
        <f aca="false">L112+L113-L115</f>
        <v>19178.3907867004</v>
      </c>
      <c r="M116" s="95" t="n">
        <f aca="false">M112+M113-M115</f>
        <v>0</v>
      </c>
      <c r="N116" s="95" t="n">
        <f aca="false">N112+N113-N115</f>
        <v>0</v>
      </c>
      <c r="O116" s="95" t="n">
        <f aca="false">O112+O113-O115</f>
        <v>0</v>
      </c>
      <c r="P116" s="95" t="n">
        <f aca="false">P112+P113-P115</f>
        <v>0</v>
      </c>
      <c r="Q116" s="95" t="n">
        <f aca="false">Q112+Q113-Q115</f>
        <v>0</v>
      </c>
      <c r="R116" s="95" t="n">
        <f aca="false">R112+R113-R115</f>
        <v>0</v>
      </c>
      <c r="S116" s="95" t="n">
        <f aca="false">S112+S113-S115</f>
        <v>0</v>
      </c>
      <c r="T116" s="95" t="n">
        <f aca="false">T112+T113-T115</f>
        <v>0</v>
      </c>
      <c r="U116" s="95" t="n">
        <f aca="false">U112+U113-U115</f>
        <v>0</v>
      </c>
      <c r="V116" s="95" t="n">
        <f aca="false">V112+V113-V115</f>
        <v>0</v>
      </c>
      <c r="W116" s="95" t="n">
        <f aca="false">W112+W113-W115</f>
        <v>0</v>
      </c>
    </row>
    <row r="118" customFormat="false" ht="15" hidden="false" customHeight="false" outlineLevel="0" collapsed="false">
      <c r="A118" s="9" t="s">
        <v>459</v>
      </c>
      <c r="B118" s="10"/>
      <c r="C118" s="10"/>
      <c r="D118" s="10"/>
      <c r="E118" s="10"/>
      <c r="F118" s="10"/>
      <c r="G118" s="10"/>
      <c r="H118" s="10"/>
      <c r="I118" s="10"/>
      <c r="J118" s="10"/>
      <c r="K118" s="10"/>
      <c r="L118" s="10"/>
      <c r="M118" s="10"/>
      <c r="N118" s="10"/>
      <c r="O118" s="10"/>
      <c r="P118" s="10"/>
      <c r="Q118" s="10"/>
      <c r="R118" s="10"/>
      <c r="S118" s="10"/>
      <c r="T118" s="10"/>
      <c r="U118" s="10"/>
      <c r="V118" s="10"/>
      <c r="W118" s="10"/>
    </row>
    <row r="119" customFormat="false" ht="15" hidden="false" customHeight="false" outlineLevel="0" collapsed="false">
      <c r="A119" s="11" t="s">
        <v>454</v>
      </c>
      <c r="C119" s="95" t="n">
        <v>0</v>
      </c>
      <c r="D119" s="95" t="n">
        <f aca="false">C123</f>
        <v>112546.829385741</v>
      </c>
      <c r="E119" s="95" t="n">
        <f aca="false">D123</f>
        <v>112546.829385741</v>
      </c>
      <c r="F119" s="95" t="n">
        <f aca="false">E123</f>
        <v>112546.829385741</v>
      </c>
      <c r="G119" s="95" t="n">
        <f aca="false">F123</f>
        <v>112546.829385741</v>
      </c>
      <c r="H119" s="95" t="n">
        <f aca="false">G123</f>
        <v>112546.829385741</v>
      </c>
      <c r="I119" s="95" t="n">
        <f aca="false">H123</f>
        <v>112546.829385741</v>
      </c>
      <c r="J119" s="95" t="n">
        <f aca="false">I123</f>
        <v>102729.312441619</v>
      </c>
      <c r="K119" s="95" t="n">
        <f aca="false">J123</f>
        <v>92617.2699891724</v>
      </c>
      <c r="L119" s="95" t="n">
        <f aca="false">K123</f>
        <v>82201.8662631527</v>
      </c>
      <c r="M119" s="95" t="n">
        <f aca="false">L123</f>
        <v>71474.0004253523</v>
      </c>
      <c r="N119" s="95" t="n">
        <f aca="false">M123</f>
        <v>60424.2986124179</v>
      </c>
      <c r="O119" s="95" t="n">
        <f aca="false">N123</f>
        <v>49043.1057450955</v>
      </c>
      <c r="P119" s="95" t="n">
        <f aca="false">O123</f>
        <v>37320.4770917535</v>
      </c>
      <c r="Q119" s="95" t="n">
        <f aca="false">P123</f>
        <v>25246.1695788111</v>
      </c>
      <c r="R119" s="95" t="n">
        <f aca="false">Q123</f>
        <v>12809.6328404805</v>
      </c>
      <c r="S119" s="95" t="n">
        <f aca="false">R123</f>
        <v>0</v>
      </c>
      <c r="T119" s="95" t="n">
        <f aca="false">S123</f>
        <v>0</v>
      </c>
      <c r="U119" s="95" t="n">
        <f aca="false">T123</f>
        <v>0</v>
      </c>
      <c r="V119" s="95" t="n">
        <f aca="false">U123</f>
        <v>0</v>
      </c>
      <c r="W119" s="95" t="n">
        <f aca="false">V123</f>
        <v>0</v>
      </c>
    </row>
    <row r="120" customFormat="false" ht="15" hidden="false" customHeight="false" outlineLevel="0" collapsed="false">
      <c r="A120" s="11" t="s">
        <v>455</v>
      </c>
      <c r="B120" s="66" t="n">
        <f aca="false">SUM(C120:W120)</f>
        <v>112546.829385741</v>
      </c>
      <c r="C120" s="95" t="n">
        <f aca="false">S_Fuel_Hi!$B$17</f>
        <v>112546.829385741</v>
      </c>
      <c r="D120" s="95" t="n">
        <f aca="false">0</f>
        <v>0</v>
      </c>
      <c r="E120" s="95" t="n">
        <f aca="false">0</f>
        <v>0</v>
      </c>
      <c r="F120" s="95" t="n">
        <f aca="false">0</f>
        <v>0</v>
      </c>
      <c r="G120" s="95" t="n">
        <f aca="false">0</f>
        <v>0</v>
      </c>
      <c r="H120" s="95" t="n">
        <f aca="false">0</f>
        <v>0</v>
      </c>
      <c r="I120" s="95" t="n">
        <f aca="false">0</f>
        <v>0</v>
      </c>
      <c r="J120" s="95" t="n">
        <f aca="false">0</f>
        <v>0</v>
      </c>
      <c r="K120" s="95" t="n">
        <f aca="false">0</f>
        <v>0</v>
      </c>
      <c r="L120" s="95" t="n">
        <f aca="false">0</f>
        <v>0</v>
      </c>
      <c r="M120" s="95" t="n">
        <f aca="false">0</f>
        <v>0</v>
      </c>
      <c r="N120" s="95" t="n">
        <f aca="false">0</f>
        <v>0</v>
      </c>
      <c r="O120" s="95" t="n">
        <f aca="false">0</f>
        <v>0</v>
      </c>
      <c r="P120" s="95" t="n">
        <f aca="false">0</f>
        <v>0</v>
      </c>
      <c r="Q120" s="95" t="n">
        <f aca="false">0</f>
        <v>0</v>
      </c>
      <c r="R120" s="95" t="n">
        <f aca="false">0</f>
        <v>0</v>
      </c>
      <c r="S120" s="95" t="n">
        <f aca="false">0</f>
        <v>0</v>
      </c>
      <c r="T120" s="95" t="n">
        <f aca="false">0</f>
        <v>0</v>
      </c>
      <c r="U120" s="95" t="n">
        <f aca="false">0</f>
        <v>0</v>
      </c>
      <c r="V120" s="95" t="n">
        <f aca="false">0</f>
        <v>0</v>
      </c>
      <c r="W120" s="95" t="n">
        <f aca="false">0</f>
        <v>0</v>
      </c>
    </row>
    <row r="121" customFormat="false" ht="15" hidden="false" customHeight="false" outlineLevel="0" collapsed="false">
      <c r="A121" s="11" t="s">
        <v>456</v>
      </c>
      <c r="B121" s="66" t="n">
        <f aca="false">SUM(C121:W121)</f>
        <v>36274.4132790691</v>
      </c>
      <c r="C121" s="95" t="n">
        <v>0</v>
      </c>
      <c r="D121" s="95" t="n">
        <f aca="false">D119*ConRate*$B$11</f>
        <v>3376.40488157224</v>
      </c>
      <c r="E121" s="95" t="n">
        <f aca="false">E119*ConRate*$B$11</f>
        <v>3376.40488157224</v>
      </c>
      <c r="F121" s="95" t="n">
        <f aca="false">F119*ConRate*$B$11</f>
        <v>3376.40488157224</v>
      </c>
      <c r="G121" s="95" t="n">
        <f aca="false">G119*ConRate*$B$11</f>
        <v>3376.40488157224</v>
      </c>
      <c r="H121" s="95" t="n">
        <f aca="false">H119*ConRate*$B$11</f>
        <v>3376.40488157224</v>
      </c>
      <c r="I121" s="95" t="n">
        <f aca="false">I119*ConRate*$B$11</f>
        <v>3376.40488157224</v>
      </c>
      <c r="J121" s="95" t="n">
        <f aca="false">J119*ConRate*$B$11</f>
        <v>3081.87937324856</v>
      </c>
      <c r="K121" s="95" t="n">
        <f aca="false">K119*ConRate*$B$11</f>
        <v>2778.51809967517</v>
      </c>
      <c r="L121" s="95" t="n">
        <f aca="false">L119*ConRate*$B$11</f>
        <v>2466.05598789458</v>
      </c>
      <c r="M121" s="95" t="n">
        <f aca="false">M119*ConRate*$B$11</f>
        <v>2144.22001276057</v>
      </c>
      <c r="N121" s="95" t="n">
        <f aca="false">N119*ConRate*$B$11</f>
        <v>1812.72895837254</v>
      </c>
      <c r="O121" s="95" t="n">
        <f aca="false">O119*ConRate*$B$11</f>
        <v>1471.29317235287</v>
      </c>
      <c r="P121" s="95" t="n">
        <f aca="false">P119*ConRate*$B$11</f>
        <v>1119.6143127526</v>
      </c>
      <c r="Q121" s="95" t="n">
        <f aca="false">Q119*ConRate*$B$11</f>
        <v>757.385087364333</v>
      </c>
      <c r="R121" s="95" t="n">
        <f aca="false">R119*ConRate*$B$11</f>
        <v>384.288985214415</v>
      </c>
      <c r="S121" s="95" t="n">
        <f aca="false">S119*ConRate*$B$11</f>
        <v>0</v>
      </c>
      <c r="T121" s="95" t="n">
        <f aca="false">T119*ConRate*$B$11</f>
        <v>0</v>
      </c>
      <c r="U121" s="95" t="n">
        <f aca="false">U119*ConRate*$B$11</f>
        <v>0</v>
      </c>
      <c r="V121" s="95" t="n">
        <f aca="false">V119*ConRate*$B$11</f>
        <v>0</v>
      </c>
      <c r="W121" s="95" t="n">
        <f aca="false">W119*ConRate*$B$11</f>
        <v>0</v>
      </c>
    </row>
    <row r="122" customFormat="false" ht="15" hidden="false" customHeight="false" outlineLevel="0" collapsed="false">
      <c r="A122" s="11" t="s">
        <v>457</v>
      </c>
      <c r="B122" s="66" t="n">
        <f aca="false">SUM(C122:W122)</f>
        <v>112546.829385742</v>
      </c>
      <c r="C122" s="95" t="n">
        <v>0</v>
      </c>
      <c r="D122" s="95" t="n">
        <f aca="false">IF(AND(D39&gt;ConGrace,D39&lt;=ConTenor),PMT(ConRate*$B$11,ConTenor-ConGrace,-S_Fuel_Hi!$B$17)-D121,0)</f>
        <v>0</v>
      </c>
      <c r="E122" s="95" t="n">
        <f aca="false">IF(AND(E39&gt;ConGrace,E39&lt;=ConTenor),PMT(ConRate*$B$11,ConTenor-ConGrace,-S_Fuel_Hi!$B$17)-E121,0)</f>
        <v>0</v>
      </c>
      <c r="F122" s="95" t="n">
        <f aca="false">IF(AND(F39&gt;ConGrace,F39&lt;=ConTenor),PMT(ConRate*$B$11,ConTenor-ConGrace,-S_Fuel_Hi!$B$17)-F121,0)</f>
        <v>0</v>
      </c>
      <c r="G122" s="95" t="n">
        <f aca="false">IF(AND(G39&gt;ConGrace,G39&lt;=ConTenor),PMT(ConRate*$B$11,ConTenor-ConGrace,-S_Fuel_Hi!$B$17)-G121,0)</f>
        <v>0</v>
      </c>
      <c r="H122" s="95" t="n">
        <f aca="false">IF(AND(H39&gt;ConGrace,H39&lt;=ConTenor),PMT(ConRate*$B$11,ConTenor-ConGrace,-S_Fuel_Hi!$B$17)-H121,0)</f>
        <v>0</v>
      </c>
      <c r="I122" s="95" t="n">
        <f aca="false">IF(AND(I39&gt;ConGrace,I39&lt;=ConTenor),PMT(ConRate*$B$11,ConTenor-ConGrace,-S_Fuel_Hi!$B$17)-I121,0)</f>
        <v>9817.51694412269</v>
      </c>
      <c r="J122" s="95" t="n">
        <f aca="false">IF(AND(J39&gt;ConGrace,J39&lt;=ConTenor),PMT(ConRate*$B$11,ConTenor-ConGrace,-S_Fuel_Hi!$B$17)-J121,0)</f>
        <v>10112.0424524464</v>
      </c>
      <c r="K122" s="95" t="n">
        <f aca="false">IF(AND(K39&gt;ConGrace,K39&lt;=ConTenor),PMT(ConRate*$B$11,ConTenor-ConGrace,-S_Fuel_Hi!$B$17)-K121,0)</f>
        <v>10415.4037260198</v>
      </c>
      <c r="L122" s="95" t="n">
        <f aca="false">IF(AND(L39&gt;ConGrace,L39&lt;=ConTenor),PMT(ConRate*$B$11,ConTenor-ConGrace,-S_Fuel_Hi!$B$17)-L121,0)</f>
        <v>10727.8658378004</v>
      </c>
      <c r="M122" s="95" t="n">
        <f aca="false">IF(AND(M39&gt;ConGrace,M39&lt;=ConTenor),PMT(ConRate*$B$11,ConTenor-ConGrace,-S_Fuel_Hi!$B$17)-M121,0)</f>
        <v>11049.7018129344</v>
      </c>
      <c r="N122" s="95" t="n">
        <f aca="false">IF(AND(N39&gt;ConGrace,N39&lt;=ConTenor),PMT(ConRate*$B$11,ConTenor-ConGrace,-S_Fuel_Hi!$B$17)-N121,0)</f>
        <v>11381.1928673224</v>
      </c>
      <c r="O122" s="95" t="n">
        <f aca="false">IF(AND(O39&gt;ConGrace,O39&lt;=ConTenor),PMT(ConRate*$B$11,ConTenor-ConGrace,-S_Fuel_Hi!$B$17)-O121,0)</f>
        <v>11722.6286533421</v>
      </c>
      <c r="P122" s="95" t="n">
        <f aca="false">IF(AND(P39&gt;ConGrace,P39&lt;=ConTenor),PMT(ConRate*$B$11,ConTenor-ConGrace,-S_Fuel_Hi!$B$17)-P121,0)</f>
        <v>12074.3075129423</v>
      </c>
      <c r="Q122" s="95" t="n">
        <f aca="false">IF(AND(Q39&gt;ConGrace,Q39&lt;=ConTenor),PMT(ConRate*$B$11,ConTenor-ConGrace,-S_Fuel_Hi!$B$17)-Q121,0)</f>
        <v>12436.5367383306</v>
      </c>
      <c r="R122" s="95" t="n">
        <f aca="false">IF(AND(R39&gt;ConGrace,R39&lt;=ConTenor),PMT(ConRate*$B$11,ConTenor-ConGrace,-S_Fuel_Hi!$B$17)-R121,0)</f>
        <v>12809.6328404805</v>
      </c>
      <c r="S122" s="95" t="n">
        <f aca="false">IF(AND(S39&gt;ConGrace,S39&lt;=ConTenor),PMT(ConRate*$B$11,ConTenor-ConGrace,-S_Fuel_Hi!$B$17)-S121,0)</f>
        <v>0</v>
      </c>
      <c r="T122" s="95" t="n">
        <f aca="false">IF(AND(T39&gt;ConGrace,T39&lt;=ConTenor),PMT(ConRate*$B$11,ConTenor-ConGrace,-S_Fuel_Hi!$B$17)-T121,0)</f>
        <v>0</v>
      </c>
      <c r="U122" s="95" t="n">
        <f aca="false">IF(AND(U39&gt;ConGrace,U39&lt;=ConTenor),PMT(ConRate*$B$11,ConTenor-ConGrace,-S_Fuel_Hi!$B$17)-U121,0)</f>
        <v>0</v>
      </c>
      <c r="V122" s="95" t="n">
        <f aca="false">IF(AND(V39&gt;ConGrace,V39&lt;=ConTenor),PMT(ConRate*$B$11,ConTenor-ConGrace,-S_Fuel_Hi!$B$17)-V121,0)</f>
        <v>0</v>
      </c>
      <c r="W122" s="95" t="n">
        <f aca="false">IF(AND(W39&gt;ConGrace,W39&lt;=ConTenor),PMT(ConRate*$B$11,ConTenor-ConGrace,-S_Fuel_Hi!$B$17)-W121,0)</f>
        <v>0</v>
      </c>
    </row>
    <row r="123" customFormat="false" ht="15" hidden="false" customHeight="false" outlineLevel="0" collapsed="false">
      <c r="A123" s="11" t="s">
        <v>458</v>
      </c>
      <c r="C123" s="95" t="n">
        <f aca="false">0+C120-0</f>
        <v>112546.829385741</v>
      </c>
      <c r="D123" s="95" t="n">
        <f aca="false">D119+D120-D122</f>
        <v>112546.829385741</v>
      </c>
      <c r="E123" s="95" t="n">
        <f aca="false">E119+E120-E122</f>
        <v>112546.829385741</v>
      </c>
      <c r="F123" s="95" t="n">
        <f aca="false">F119+F120-F122</f>
        <v>112546.829385741</v>
      </c>
      <c r="G123" s="95" t="n">
        <f aca="false">G119+G120-G122</f>
        <v>112546.829385741</v>
      </c>
      <c r="H123" s="95" t="n">
        <f aca="false">H119+H120-H122</f>
        <v>112546.829385741</v>
      </c>
      <c r="I123" s="95" t="n">
        <f aca="false">I119+I120-I122</f>
        <v>102729.312441619</v>
      </c>
      <c r="J123" s="95" t="n">
        <f aca="false">J119+J120-J122</f>
        <v>92617.2699891724</v>
      </c>
      <c r="K123" s="95" t="n">
        <f aca="false">K119+K120-K122</f>
        <v>82201.8662631527</v>
      </c>
      <c r="L123" s="95" t="n">
        <f aca="false">L119+L120-L122</f>
        <v>71474.0004253523</v>
      </c>
      <c r="M123" s="95" t="n">
        <f aca="false">M119+M120-M122</f>
        <v>60424.2986124179</v>
      </c>
      <c r="N123" s="95" t="n">
        <f aca="false">N119+N120-N122</f>
        <v>49043.1057450955</v>
      </c>
      <c r="O123" s="95" t="n">
        <f aca="false">O119+O120-O122</f>
        <v>37320.4770917535</v>
      </c>
      <c r="P123" s="95" t="n">
        <f aca="false">P119+P120-P122</f>
        <v>25246.1695788111</v>
      </c>
      <c r="Q123" s="95" t="n">
        <f aca="false">Q119+Q120-Q122</f>
        <v>12809.6328404805</v>
      </c>
      <c r="R123" s="95" t="n">
        <f aca="false">R119+R120-R122</f>
        <v>0</v>
      </c>
      <c r="S123" s="95" t="n">
        <f aca="false">S119+S120-S122</f>
        <v>0</v>
      </c>
      <c r="T123" s="95" t="n">
        <f aca="false">T119+T120-T122</f>
        <v>0</v>
      </c>
      <c r="U123" s="95" t="n">
        <f aca="false">U119+U120-U122</f>
        <v>0</v>
      </c>
      <c r="V123" s="95" t="n">
        <f aca="false">V119+V120-V122</f>
        <v>0</v>
      </c>
      <c r="W123" s="95" t="n">
        <f aca="false">W119+W120-W122</f>
        <v>0</v>
      </c>
    </row>
    <row r="125" customFormat="false" ht="15" hidden="false" customHeight="false" outlineLevel="0" collapsed="false">
      <c r="A125" s="16" t="s">
        <v>460</v>
      </c>
      <c r="B125" s="66" t="n">
        <f aca="false">SUM(C125:W125)</f>
        <v>340100.447464923</v>
      </c>
      <c r="C125" s="31" t="n">
        <v>0</v>
      </c>
      <c r="D125" s="31" t="n">
        <f aca="false">D114+D115+D121+D122</f>
        <v>14631.0878201464</v>
      </c>
      <c r="E125" s="31" t="n">
        <f aca="false">E114+E115+E121+E122</f>
        <v>14631.0878201464</v>
      </c>
      <c r="F125" s="31" t="n">
        <f aca="false">F114+F115+F121+F122</f>
        <v>24472.6347469427</v>
      </c>
      <c r="G125" s="31" t="n">
        <f aca="false">G114+G115+G121+G122</f>
        <v>24472.6347469427</v>
      </c>
      <c r="H125" s="31" t="n">
        <f aca="false">H114+H115+H121+H122</f>
        <v>24472.6347469427</v>
      </c>
      <c r="I125" s="31" t="n">
        <f aca="false">I114+I115+I121+I122</f>
        <v>34290.1516910654</v>
      </c>
      <c r="J125" s="31" t="n">
        <f aca="false">J114+J115+J121+J122</f>
        <v>34290.1516910654</v>
      </c>
      <c r="K125" s="31" t="n">
        <f aca="false">K114+K115+K121+K122</f>
        <v>34290.1516910654</v>
      </c>
      <c r="L125" s="31" t="n">
        <f aca="false">L114+L115+L121+L122</f>
        <v>34290.1516910654</v>
      </c>
      <c r="M125" s="31" t="n">
        <f aca="false">M114+M115+M121+M122</f>
        <v>34290.1516910654</v>
      </c>
      <c r="N125" s="31" t="n">
        <f aca="false">N114+N115+N121+N122</f>
        <v>13193.9218256949</v>
      </c>
      <c r="O125" s="31" t="n">
        <f aca="false">O114+O115+O121+O122</f>
        <v>13193.9218256949</v>
      </c>
      <c r="P125" s="31" t="n">
        <f aca="false">P114+P115+P121+P122</f>
        <v>13193.9218256949</v>
      </c>
      <c r="Q125" s="31" t="n">
        <f aca="false">Q114+Q115+Q121+Q122</f>
        <v>13193.9218256949</v>
      </c>
      <c r="R125" s="31" t="n">
        <f aca="false">R114+R115+R121+R122</f>
        <v>13193.9218256949</v>
      </c>
      <c r="S125" s="31" t="n">
        <f aca="false">S114+S115+S121+S122</f>
        <v>0</v>
      </c>
      <c r="T125" s="31" t="n">
        <f aca="false">T114+T115+T121+T122</f>
        <v>0</v>
      </c>
      <c r="U125" s="31" t="n">
        <f aca="false">U114+U115+U121+U122</f>
        <v>0</v>
      </c>
      <c r="V125" s="31" t="n">
        <f aca="false">V114+V115+V121+V122</f>
        <v>0</v>
      </c>
      <c r="W125" s="31" t="n">
        <f aca="false">W114+W115+W121+W122</f>
        <v>0</v>
      </c>
    </row>
    <row r="126" customFormat="false" ht="15" hidden="false" customHeight="false" outlineLevel="0" collapsed="false">
      <c r="A126" s="11" t="s">
        <v>461</v>
      </c>
      <c r="C126" s="96" t="n">
        <v>0</v>
      </c>
      <c r="D126" s="96" t="n">
        <f aca="false">IF(D39&lt;=SenGrace,SenRate*$B$11,IF(D39&lt;=SenTenor,PMT(SenRate*$B$11,SenTenor-SenGrace,-1),0))</f>
        <v>0.1</v>
      </c>
      <c r="E126" s="96" t="n">
        <f aca="false">IF(E39&lt;=SenGrace,SenRate*$B$11,IF(E39&lt;=SenTenor,PMT(SenRate*$B$11,SenTenor-SenGrace,-1),0))</f>
        <v>0.1</v>
      </c>
      <c r="F126" s="96" t="n">
        <f aca="false">IF(F39&lt;=SenGrace,SenRate*$B$11,IF(F39&lt;=SenTenor,PMT(SenRate*$B$11,SenTenor-SenGrace,-1),0))</f>
        <v>0.187444017574813</v>
      </c>
      <c r="G126" s="96" t="n">
        <f aca="false">IF(G39&lt;=SenGrace,SenRate*$B$11,IF(G39&lt;=SenTenor,PMT(SenRate*$B$11,SenTenor-SenGrace,-1),0))</f>
        <v>0.187444017574813</v>
      </c>
      <c r="H126" s="96" t="n">
        <f aca="false">IF(H39&lt;=SenGrace,SenRate*$B$11,IF(H39&lt;=SenTenor,PMT(SenRate*$B$11,SenTenor-SenGrace,-1),0))</f>
        <v>0.187444017574813</v>
      </c>
      <c r="I126" s="96" t="n">
        <f aca="false">IF(I39&lt;=SenGrace,SenRate*$B$11,IF(I39&lt;=SenTenor,PMT(SenRate*$B$11,SenTenor-SenGrace,-1),0))</f>
        <v>0.187444017574813</v>
      </c>
      <c r="J126" s="96" t="n">
        <f aca="false">IF(J39&lt;=SenGrace,SenRate*$B$11,IF(J39&lt;=SenTenor,PMT(SenRate*$B$11,SenTenor-SenGrace,-1),0))</f>
        <v>0.187444017574813</v>
      </c>
      <c r="K126" s="96" t="n">
        <f aca="false">IF(K39&lt;=SenGrace,SenRate*$B$11,IF(K39&lt;=SenTenor,PMT(SenRate*$B$11,SenTenor-SenGrace,-1),0))</f>
        <v>0.187444017574813</v>
      </c>
      <c r="L126" s="96" t="n">
        <f aca="false">IF(L39&lt;=SenGrace,SenRate*$B$11,IF(L39&lt;=SenTenor,PMT(SenRate*$B$11,SenTenor-SenGrace,-1),0))</f>
        <v>0.187444017574813</v>
      </c>
      <c r="M126" s="96" t="n">
        <f aca="false">IF(M39&lt;=SenGrace,SenRate*$B$11,IF(M39&lt;=SenTenor,PMT(SenRate*$B$11,SenTenor-SenGrace,-1),0))</f>
        <v>0.187444017574813</v>
      </c>
      <c r="N126" s="96" t="n">
        <f aca="false">IF(N39&lt;=SenGrace,SenRate*$B$11,IF(N39&lt;=SenTenor,PMT(SenRate*$B$11,SenTenor-SenGrace,-1),0))</f>
        <v>0</v>
      </c>
      <c r="O126" s="96" t="n">
        <f aca="false">IF(O39&lt;=SenGrace,SenRate*$B$11,IF(O39&lt;=SenTenor,PMT(SenRate*$B$11,SenTenor-SenGrace,-1),0))</f>
        <v>0</v>
      </c>
      <c r="P126" s="96" t="n">
        <f aca="false">IF(P39&lt;=SenGrace,SenRate*$B$11,IF(P39&lt;=SenTenor,PMT(SenRate*$B$11,SenTenor-SenGrace,-1),0))</f>
        <v>0</v>
      </c>
      <c r="Q126" s="96" t="n">
        <f aca="false">IF(Q39&lt;=SenGrace,SenRate*$B$11,IF(Q39&lt;=SenTenor,PMT(SenRate*$B$11,SenTenor-SenGrace,-1),0))</f>
        <v>0</v>
      </c>
      <c r="R126" s="96" t="n">
        <f aca="false">IF(R39&lt;=SenGrace,SenRate*$B$11,IF(R39&lt;=SenTenor,PMT(SenRate*$B$11,SenTenor-SenGrace,-1),0))</f>
        <v>0</v>
      </c>
      <c r="S126" s="96" t="n">
        <f aca="false">IF(S39&lt;=SenGrace,SenRate*$B$11,IF(S39&lt;=SenTenor,PMT(SenRate*$B$11,SenTenor-SenGrace,-1),0))</f>
        <v>0</v>
      </c>
      <c r="T126" s="96" t="n">
        <f aca="false">IF(T39&lt;=SenGrace,SenRate*$B$11,IF(T39&lt;=SenTenor,PMT(SenRate*$B$11,SenTenor-SenGrace,-1),0))</f>
        <v>0</v>
      </c>
      <c r="U126" s="96" t="n">
        <f aca="false">IF(U39&lt;=SenGrace,SenRate*$B$11,IF(U39&lt;=SenTenor,PMT(SenRate*$B$11,SenTenor-SenGrace,-1),0))</f>
        <v>0</v>
      </c>
      <c r="V126" s="96" t="n">
        <f aca="false">IF(V39&lt;=SenGrace,SenRate*$B$11,IF(V39&lt;=SenTenor,PMT(SenRate*$B$11,SenTenor-SenGrace,-1),0))</f>
        <v>0</v>
      </c>
      <c r="W126" s="96" t="n">
        <f aca="false">IF(W39&lt;=SenGrace,SenRate*$B$11,IF(W39&lt;=SenTenor,PMT(SenRate*$B$11,SenTenor-SenGrace,-1),0))</f>
        <v>0</v>
      </c>
    </row>
    <row r="127" customFormat="false" ht="15" hidden="false" customHeight="false" outlineLevel="0" collapsed="false">
      <c r="A127" s="11" t="s">
        <v>462</v>
      </c>
      <c r="C127" s="95" t="n">
        <v>0</v>
      </c>
      <c r="D127" s="95" t="n">
        <f aca="false">IF(D126&gt;0,(D147/MinDSCR-D121-D122)/D126,1000000000000)</f>
        <v>1044981.56565294</v>
      </c>
      <c r="E127" s="95" t="n">
        <f aca="false">IF(E126&gt;0,(E147/MinDSCR-E121-E122)/E126,1000000000000)</f>
        <v>552468.336131703</v>
      </c>
      <c r="F127" s="95" t="n">
        <f aca="false">IF(F126&gt;0,(F147/MinDSCR-F121-F122)/F126,1000000000000)</f>
        <v>270185.02230244</v>
      </c>
      <c r="G127" s="95" t="n">
        <f aca="false">IF(G126&gt;0,(G147/MinDSCR-G121-G122)/G126,1000000000000)</f>
        <v>128609.858986384</v>
      </c>
      <c r="H127" s="95" t="n">
        <f aca="false">IF(H126&gt;0,(H147/MinDSCR-H121-H122)/H126,1000000000000)</f>
        <v>150494.232706244</v>
      </c>
      <c r="I127" s="95" t="n">
        <f aca="false">IF(I126&gt;0,(I147/MinDSCR-I121-I122)/I126,1000000000000)</f>
        <v>121568.802743267</v>
      </c>
      <c r="J127" s="95" t="n">
        <f aca="false">IF(J126&gt;0,(J147/MinDSCR-J121-J122)/J126,1000000000000)</f>
        <v>137545.910289088</v>
      </c>
      <c r="K127" s="95" t="n">
        <f aca="false">IF(K126&gt;0,(K147/MinDSCR-K121-K122)/K126,1000000000000)</f>
        <v>125498.8400113</v>
      </c>
      <c r="L127" s="95" t="n">
        <f aca="false">IF(L126&gt;0,(L147/MinDSCR-L121-L122)/L126,1000000000000)</f>
        <v>89315.7709845</v>
      </c>
      <c r="M127" s="95" t="n">
        <f aca="false">IF(M126&gt;0,(M147/MinDSCR-M121-M122)/M126,1000000000000)</f>
        <v>74299.8398778383</v>
      </c>
      <c r="N127" s="95" t="n">
        <f aca="false">IF(N126&gt;0,(N147/MinDSCR-N121-N122)/N126,1000000000000)</f>
        <v>1000000000000</v>
      </c>
      <c r="O127" s="95" t="n">
        <f aca="false">IF(O126&gt;0,(O147/MinDSCR-O121-O122)/O126,1000000000000)</f>
        <v>1000000000000</v>
      </c>
      <c r="P127" s="95" t="n">
        <f aca="false">IF(P126&gt;0,(P147/MinDSCR-P121-P122)/P126,1000000000000)</f>
        <v>1000000000000</v>
      </c>
      <c r="Q127" s="95" t="n">
        <f aca="false">IF(Q126&gt;0,(Q147/MinDSCR-Q121-Q122)/Q126,1000000000000)</f>
        <v>1000000000000</v>
      </c>
      <c r="R127" s="95" t="n">
        <f aca="false">IF(R126&gt;0,(R147/MinDSCR-R121-R122)/R126,1000000000000)</f>
        <v>1000000000000</v>
      </c>
      <c r="S127" s="95" t="n">
        <f aca="false">IF(S126&gt;0,(S147/MinDSCR-S121-S122)/S126,1000000000000)</f>
        <v>1000000000000</v>
      </c>
      <c r="T127" s="95" t="n">
        <f aca="false">IF(T126&gt;0,(T147/MinDSCR-T121-T122)/T126,1000000000000)</f>
        <v>1000000000000</v>
      </c>
      <c r="U127" s="95" t="n">
        <f aca="false">IF(U126&gt;0,(U147/MinDSCR-U121-U122)/U126,1000000000000)</f>
        <v>1000000000000</v>
      </c>
      <c r="V127" s="95" t="n">
        <f aca="false">IF(V126&gt;0,(V147/MinDSCR-V121-V122)/V126,1000000000000)</f>
        <v>1000000000000</v>
      </c>
      <c r="W127" s="95" t="n">
        <f aca="false">IF(W126&gt;0,(W147/MinDSCR-W121-W122)/W126,1000000000000)</f>
        <v>1000000000000</v>
      </c>
    </row>
    <row r="128" customFormat="false" ht="15" hidden="false" customHeight="false" outlineLevel="0" collapsed="false">
      <c r="A128" s="11" t="s">
        <v>463</v>
      </c>
      <c r="C128" s="95" t="n">
        <f aca="false">DSRAPct*D125</f>
        <v>7315.5439100732</v>
      </c>
      <c r="D128" s="95" t="n">
        <f aca="false">DSRAPct*E125</f>
        <v>7315.5439100732</v>
      </c>
      <c r="E128" s="95" t="n">
        <f aca="false">DSRAPct*F125</f>
        <v>12236.3173734714</v>
      </c>
      <c r="F128" s="95" t="n">
        <f aca="false">DSRAPct*G125</f>
        <v>12236.3173734714</v>
      </c>
      <c r="G128" s="95" t="n">
        <f aca="false">DSRAPct*H125</f>
        <v>12236.3173734714</v>
      </c>
      <c r="H128" s="95" t="n">
        <f aca="false">DSRAPct*I125</f>
        <v>17145.0758455327</v>
      </c>
      <c r="I128" s="95" t="n">
        <f aca="false">DSRAPct*J125</f>
        <v>17145.0758455327</v>
      </c>
      <c r="J128" s="95" t="n">
        <f aca="false">DSRAPct*K125</f>
        <v>17145.0758455327</v>
      </c>
      <c r="K128" s="95" t="n">
        <f aca="false">DSRAPct*L125</f>
        <v>17145.0758455327</v>
      </c>
      <c r="L128" s="95" t="n">
        <f aca="false">DSRAPct*M125</f>
        <v>17145.0758455327</v>
      </c>
      <c r="M128" s="95" t="n">
        <f aca="false">DSRAPct*N125</f>
        <v>6596.96091284747</v>
      </c>
      <c r="N128" s="95" t="n">
        <f aca="false">DSRAPct*O125</f>
        <v>6596.96091284747</v>
      </c>
      <c r="O128" s="95" t="n">
        <f aca="false">DSRAPct*P125</f>
        <v>6596.96091284747</v>
      </c>
      <c r="P128" s="95" t="n">
        <f aca="false">DSRAPct*Q125</f>
        <v>6596.96091284747</v>
      </c>
      <c r="Q128" s="95" t="n">
        <f aca="false">DSRAPct*R125</f>
        <v>6596.96091284747</v>
      </c>
      <c r="R128" s="95" t="n">
        <f aca="false">DSRAPct*S125</f>
        <v>0</v>
      </c>
      <c r="S128" s="95" t="n">
        <f aca="false">DSRAPct*T125</f>
        <v>0</v>
      </c>
      <c r="T128" s="95" t="n">
        <f aca="false">DSRAPct*U125</f>
        <v>0</v>
      </c>
      <c r="U128" s="95" t="n">
        <f aca="false">DSRAPct*V125</f>
        <v>0</v>
      </c>
      <c r="V128" s="95" t="n">
        <f aca="false">DSRAPct*W125</f>
        <v>0</v>
      </c>
      <c r="W128" s="95" t="n">
        <f aca="false">0</f>
        <v>0</v>
      </c>
    </row>
    <row r="129" customFormat="false" ht="15" hidden="false" customHeight="false" outlineLevel="0" collapsed="false">
      <c r="A129" s="11" t="s">
        <v>464</v>
      </c>
      <c r="B129" s="66" t="n">
        <f aca="false">SUM(C129:W129)</f>
        <v>0</v>
      </c>
      <c r="C129" s="95" t="n">
        <f aca="false">C128</f>
        <v>7315.5439100732</v>
      </c>
      <c r="D129" s="95" t="n">
        <f aca="false">D128-C128</f>
        <v>0</v>
      </c>
      <c r="E129" s="95" t="n">
        <f aca="false">E128-D128</f>
        <v>4920.77346339816</v>
      </c>
      <c r="F129" s="95" t="n">
        <f aca="false">F128-E128</f>
        <v>0</v>
      </c>
      <c r="G129" s="95" t="n">
        <f aca="false">G128-F128</f>
        <v>0</v>
      </c>
      <c r="H129" s="95" t="n">
        <f aca="false">H128-G128</f>
        <v>4908.75847206135</v>
      </c>
      <c r="I129" s="95" t="n">
        <f aca="false">I128-H128</f>
        <v>0</v>
      </c>
      <c r="J129" s="95" t="n">
        <f aca="false">J128-I128</f>
        <v>0</v>
      </c>
      <c r="K129" s="95" t="n">
        <f aca="false">K128-J128</f>
        <v>0</v>
      </c>
      <c r="L129" s="95" t="n">
        <f aca="false">L128-K128</f>
        <v>0</v>
      </c>
      <c r="M129" s="95" t="n">
        <f aca="false">M128-L128</f>
        <v>-10548.1149326852</v>
      </c>
      <c r="N129" s="95" t="n">
        <f aca="false">N128-M128</f>
        <v>0</v>
      </c>
      <c r="O129" s="95" t="n">
        <f aca="false">O128-N128</f>
        <v>0</v>
      </c>
      <c r="P129" s="95" t="n">
        <f aca="false">P128-O128</f>
        <v>0</v>
      </c>
      <c r="Q129" s="95" t="n">
        <f aca="false">Q128-P128</f>
        <v>0</v>
      </c>
      <c r="R129" s="95" t="n">
        <f aca="false">R128-Q128</f>
        <v>-6596.96091284747</v>
      </c>
      <c r="S129" s="95" t="n">
        <f aca="false">S128-R128</f>
        <v>0</v>
      </c>
      <c r="T129" s="95" t="n">
        <f aca="false">T128-S128</f>
        <v>0</v>
      </c>
      <c r="U129" s="95" t="n">
        <f aca="false">U128-T128</f>
        <v>0</v>
      </c>
      <c r="V129" s="95" t="n">
        <f aca="false">V128-U128</f>
        <v>0</v>
      </c>
      <c r="W129" s="95" t="n">
        <f aca="false">W128-V128</f>
        <v>0</v>
      </c>
    </row>
    <row r="131" customFormat="false" ht="15" hidden="false" customHeight="false" outlineLevel="0" collapsed="false">
      <c r="A131" s="9" t="s">
        <v>465</v>
      </c>
      <c r="B131" s="10"/>
      <c r="C131" s="10"/>
      <c r="D131" s="10"/>
      <c r="E131" s="10"/>
      <c r="F131" s="10"/>
      <c r="G131" s="10"/>
      <c r="H131" s="10"/>
      <c r="I131" s="10"/>
      <c r="J131" s="10"/>
      <c r="K131" s="10"/>
      <c r="L131" s="10"/>
      <c r="M131" s="10"/>
      <c r="N131" s="10"/>
      <c r="O131" s="10"/>
      <c r="P131" s="10"/>
      <c r="Q131" s="10"/>
      <c r="R131" s="10"/>
      <c r="S131" s="10"/>
      <c r="T131" s="10"/>
      <c r="U131" s="10"/>
      <c r="V131" s="10"/>
      <c r="W131" s="10"/>
    </row>
    <row r="132" customFormat="false" ht="15" hidden="false" customHeight="false" outlineLevel="0" collapsed="false">
      <c r="A132" s="11" t="s">
        <v>466</v>
      </c>
      <c r="B132" s="66" t="n">
        <f aca="false">SUM(C132:W132)</f>
        <v>1162734.14692871</v>
      </c>
      <c r="C132" s="95" t="n">
        <v>0</v>
      </c>
      <c r="D132" s="95" t="n">
        <f aca="false">IF(D39&lt;=MIN(DepYears,Life),S_Fuel_Hi!$B$14/DepYears,0)</f>
        <v>77515.6097952472</v>
      </c>
      <c r="E132" s="95" t="n">
        <f aca="false">IF(E39&lt;=MIN(DepYears,Life),S_Fuel_Hi!$B$14/DepYears,0)</f>
        <v>77515.6097952472</v>
      </c>
      <c r="F132" s="95" t="n">
        <f aca="false">IF(F39&lt;=MIN(DepYears,Life),S_Fuel_Hi!$B$14/DepYears,0)</f>
        <v>77515.6097952472</v>
      </c>
      <c r="G132" s="95" t="n">
        <f aca="false">IF(G39&lt;=MIN(DepYears,Life),S_Fuel_Hi!$B$14/DepYears,0)</f>
        <v>77515.6097952472</v>
      </c>
      <c r="H132" s="95" t="n">
        <f aca="false">IF(H39&lt;=MIN(DepYears,Life),S_Fuel_Hi!$B$14/DepYears,0)</f>
        <v>77515.6097952472</v>
      </c>
      <c r="I132" s="95" t="n">
        <f aca="false">IF(I39&lt;=MIN(DepYears,Life),S_Fuel_Hi!$B$14/DepYears,0)</f>
        <v>77515.6097952472</v>
      </c>
      <c r="J132" s="95" t="n">
        <f aca="false">IF(J39&lt;=MIN(DepYears,Life),S_Fuel_Hi!$B$14/DepYears,0)</f>
        <v>77515.6097952472</v>
      </c>
      <c r="K132" s="95" t="n">
        <f aca="false">IF(K39&lt;=MIN(DepYears,Life),S_Fuel_Hi!$B$14/DepYears,0)</f>
        <v>77515.6097952472</v>
      </c>
      <c r="L132" s="95" t="n">
        <f aca="false">IF(L39&lt;=MIN(DepYears,Life),S_Fuel_Hi!$B$14/DepYears,0)</f>
        <v>77515.6097952472</v>
      </c>
      <c r="M132" s="95" t="n">
        <f aca="false">IF(M39&lt;=MIN(DepYears,Life),S_Fuel_Hi!$B$14/DepYears,0)</f>
        <v>77515.6097952472</v>
      </c>
      <c r="N132" s="95" t="n">
        <f aca="false">IF(N39&lt;=MIN(DepYears,Life),S_Fuel_Hi!$B$14/DepYears,0)</f>
        <v>77515.6097952472</v>
      </c>
      <c r="O132" s="95" t="n">
        <f aca="false">IF(O39&lt;=MIN(DepYears,Life),S_Fuel_Hi!$B$14/DepYears,0)</f>
        <v>77515.6097952472</v>
      </c>
      <c r="P132" s="95" t="n">
        <f aca="false">IF(P39&lt;=MIN(DepYears,Life),S_Fuel_Hi!$B$14/DepYears,0)</f>
        <v>77515.6097952472</v>
      </c>
      <c r="Q132" s="95" t="n">
        <f aca="false">IF(Q39&lt;=MIN(DepYears,Life),S_Fuel_Hi!$B$14/DepYears,0)</f>
        <v>77515.6097952472</v>
      </c>
      <c r="R132" s="95" t="n">
        <f aca="false">IF(R39&lt;=MIN(DepYears,Life),S_Fuel_Hi!$B$14/DepYears,0)</f>
        <v>77515.6097952472</v>
      </c>
      <c r="S132" s="95" t="n">
        <f aca="false">IF(S39&lt;=MIN(DepYears,Life),S_Fuel_Hi!$B$14/DepYears,0)</f>
        <v>0</v>
      </c>
      <c r="T132" s="95" t="n">
        <f aca="false">IF(T39&lt;=MIN(DepYears,Life),S_Fuel_Hi!$B$14/DepYears,0)</f>
        <v>0</v>
      </c>
      <c r="U132" s="95" t="n">
        <f aca="false">IF(U39&lt;=MIN(DepYears,Life),S_Fuel_Hi!$B$14/DepYears,0)</f>
        <v>0</v>
      </c>
      <c r="V132" s="95" t="n">
        <f aca="false">IF(V39&lt;=MIN(DepYears,Life),S_Fuel_Hi!$B$14/DepYears,0)</f>
        <v>0</v>
      </c>
      <c r="W132" s="95" t="n">
        <f aca="false">IF(W39&lt;=MIN(DepYears,Life),S_Fuel_Hi!$B$14/DepYears,0)</f>
        <v>0</v>
      </c>
    </row>
    <row r="133" customFormat="false" ht="15" hidden="false" customHeight="false" outlineLevel="0" collapsed="false">
      <c r="A133" s="11" t="s">
        <v>467</v>
      </c>
      <c r="B133" s="66" t="n">
        <f aca="false">SUM(C133:W133)</f>
        <v>-303365.404938548</v>
      </c>
      <c r="C133" s="95" t="n">
        <v>0</v>
      </c>
      <c r="D133" s="95" t="n">
        <f aca="false">D98-D132</f>
        <v>-67740.7502012332</v>
      </c>
      <c r="E133" s="95" t="n">
        <f aca="false">E98-E132</f>
        <v>-43567.4700389942</v>
      </c>
      <c r="F133" s="95" t="n">
        <f aca="false">F98-F132</f>
        <v>-24350.4178465326</v>
      </c>
      <c r="G133" s="95" t="n">
        <f aca="false">G98-G132</f>
        <v>-21049.0604675362</v>
      </c>
      <c r="H133" s="95" t="n">
        <f aca="false">H98-H132</f>
        <v>-15716.3370557292</v>
      </c>
      <c r="I133" s="95" t="n">
        <f aca="false">I98-I132</f>
        <v>-10002.0334714107</v>
      </c>
      <c r="J133" s="95" t="n">
        <f aca="false">J98-J132</f>
        <v>-6108.776275513</v>
      </c>
      <c r="K133" s="95" t="n">
        <f aca="false">K98-K132</f>
        <v>-9044.37290425009</v>
      </c>
      <c r="L133" s="95" t="n">
        <f aca="false">L98-L132</f>
        <v>-12329.1034814204</v>
      </c>
      <c r="M133" s="95" t="n">
        <f aca="false">M98-M132</f>
        <v>-15988.1438719575</v>
      </c>
      <c r="N133" s="95" t="n">
        <f aca="false">N98-N132</f>
        <v>-20048.2908118562</v>
      </c>
      <c r="O133" s="95" t="n">
        <f aca="false">O98-O132</f>
        <v>-24538.0625098261</v>
      </c>
      <c r="P133" s="95" t="n">
        <f aca="false">P98-P132</f>
        <v>-29487.8054139333</v>
      </c>
      <c r="Q133" s="95" t="n">
        <f aca="false">Q98-Q132</f>
        <v>-34929.8075193738</v>
      </c>
      <c r="R133" s="95" t="n">
        <f aca="false">R98-R132</f>
        <v>-40898.4186164353</v>
      </c>
      <c r="S133" s="95" t="n">
        <f aca="false">S98-S132</f>
        <v>30085.4318932269</v>
      </c>
      <c r="T133" s="95" t="n">
        <f aca="false">T98-T132</f>
        <v>22951.6603913566</v>
      </c>
      <c r="U133" s="95" t="n">
        <f aca="false">U98-U132</f>
        <v>15174.5441010856</v>
      </c>
      <c r="V133" s="95" t="n">
        <f aca="false">V98-V132</f>
        <v>6710.12939764309</v>
      </c>
      <c r="W133" s="95" t="n">
        <f aca="false">W98-W132</f>
        <v>-2488.3202358589</v>
      </c>
    </row>
    <row r="134" customFormat="false" ht="15" hidden="false" customHeight="false" outlineLevel="0" collapsed="false">
      <c r="A134" s="11" t="s">
        <v>468</v>
      </c>
      <c r="C134" s="95" t="n">
        <v>0</v>
      </c>
      <c r="D134" s="95" t="n">
        <f aca="false">0</f>
        <v>0</v>
      </c>
      <c r="E134" s="95" t="n">
        <f aca="false">D136</f>
        <v>67740.7502012332</v>
      </c>
      <c r="F134" s="95" t="n">
        <f aca="false">E136</f>
        <v>111308.220240227</v>
      </c>
      <c r="G134" s="95" t="n">
        <f aca="false">F136</f>
        <v>135658.63808676</v>
      </c>
      <c r="H134" s="95" t="n">
        <f aca="false">G136</f>
        <v>156707.698554296</v>
      </c>
      <c r="I134" s="95" t="n">
        <f aca="false">H136</f>
        <v>172424.035610025</v>
      </c>
      <c r="J134" s="95" t="n">
        <f aca="false">I136</f>
        <v>182426.069081436</v>
      </c>
      <c r="K134" s="95" t="n">
        <f aca="false">J136</f>
        <v>188534.845356949</v>
      </c>
      <c r="L134" s="95" t="n">
        <f aca="false">K136</f>
        <v>197579.218261199</v>
      </c>
      <c r="M134" s="95" t="n">
        <f aca="false">L136</f>
        <v>209908.321742619</v>
      </c>
      <c r="N134" s="95" t="n">
        <f aca="false">M136</f>
        <v>225896.465614577</v>
      </c>
      <c r="O134" s="95" t="n">
        <f aca="false">N136</f>
        <v>245944.756426433</v>
      </c>
      <c r="P134" s="95" t="n">
        <f aca="false">O136</f>
        <v>270482.818936259</v>
      </c>
      <c r="Q134" s="95" t="n">
        <f aca="false">P136</f>
        <v>299970.624350192</v>
      </c>
      <c r="R134" s="95" t="n">
        <f aca="false">Q136</f>
        <v>334900.431869566</v>
      </c>
      <c r="S134" s="95" t="n">
        <f aca="false">R136</f>
        <v>375798.850486001</v>
      </c>
      <c r="T134" s="95" t="n">
        <f aca="false">S136</f>
        <v>345713.418592775</v>
      </c>
      <c r="U134" s="95" t="n">
        <f aca="false">T136</f>
        <v>322761.758201418</v>
      </c>
      <c r="V134" s="95" t="n">
        <f aca="false">U136</f>
        <v>307587.214100332</v>
      </c>
      <c r="W134" s="95" t="n">
        <f aca="false">V136</f>
        <v>300877.084702689</v>
      </c>
    </row>
    <row r="135" customFormat="false" ht="15" hidden="false" customHeight="false" outlineLevel="0" collapsed="false">
      <c r="A135" s="11" t="s">
        <v>469</v>
      </c>
      <c r="C135" s="95" t="n">
        <v>0</v>
      </c>
      <c r="D135" s="95" t="n">
        <f aca="false">MIN(D134,MAX(D133,0))</f>
        <v>0</v>
      </c>
      <c r="E135" s="95" t="n">
        <f aca="false">MIN(E134,MAX(E133,0))</f>
        <v>0</v>
      </c>
      <c r="F135" s="95" t="n">
        <f aca="false">MIN(F134,MAX(F133,0))</f>
        <v>0</v>
      </c>
      <c r="G135" s="95" t="n">
        <f aca="false">MIN(G134,MAX(G133,0))</f>
        <v>0</v>
      </c>
      <c r="H135" s="95" t="n">
        <f aca="false">MIN(H134,MAX(H133,0))</f>
        <v>0</v>
      </c>
      <c r="I135" s="95" t="n">
        <f aca="false">MIN(I134,MAX(I133,0))</f>
        <v>0</v>
      </c>
      <c r="J135" s="95" t="n">
        <f aca="false">MIN(J134,MAX(J133,0))</f>
        <v>0</v>
      </c>
      <c r="K135" s="95" t="n">
        <f aca="false">MIN(K134,MAX(K133,0))</f>
        <v>0</v>
      </c>
      <c r="L135" s="95" t="n">
        <f aca="false">MIN(L134,MAX(L133,0))</f>
        <v>0</v>
      </c>
      <c r="M135" s="95" t="n">
        <f aca="false">MIN(M134,MAX(M133,0))</f>
        <v>0</v>
      </c>
      <c r="N135" s="95" t="n">
        <f aca="false">MIN(N134,MAX(N133,0))</f>
        <v>0</v>
      </c>
      <c r="O135" s="95" t="n">
        <f aca="false">MIN(O134,MAX(O133,0))</f>
        <v>0</v>
      </c>
      <c r="P135" s="95" t="n">
        <f aca="false">MIN(P134,MAX(P133,0))</f>
        <v>0</v>
      </c>
      <c r="Q135" s="95" t="n">
        <f aca="false">MIN(Q134,MAX(Q133,0))</f>
        <v>0</v>
      </c>
      <c r="R135" s="95" t="n">
        <f aca="false">MIN(R134,MAX(R133,0))</f>
        <v>0</v>
      </c>
      <c r="S135" s="95" t="n">
        <f aca="false">MIN(S134,MAX(S133,0))</f>
        <v>30085.4318932269</v>
      </c>
      <c r="T135" s="95" t="n">
        <f aca="false">MIN(T134,MAX(T133,0))</f>
        <v>22951.6603913566</v>
      </c>
      <c r="U135" s="95" t="n">
        <f aca="false">MIN(U134,MAX(U133,0))</f>
        <v>15174.5441010856</v>
      </c>
      <c r="V135" s="95" t="n">
        <f aca="false">MIN(V134,MAX(V133,0))</f>
        <v>6710.12939764309</v>
      </c>
      <c r="W135" s="95" t="n">
        <f aca="false">MIN(W134,MAX(W133,0))</f>
        <v>0</v>
      </c>
    </row>
    <row r="136" customFormat="false" ht="15" hidden="false" customHeight="false" outlineLevel="0" collapsed="false">
      <c r="A136" s="11" t="s">
        <v>470</v>
      </c>
      <c r="C136" s="95" t="n">
        <v>0</v>
      </c>
      <c r="D136" s="95" t="n">
        <f aca="false">D134-D135+MAX(-D133,0)</f>
        <v>67740.7502012332</v>
      </c>
      <c r="E136" s="95" t="n">
        <f aca="false">E134-E135+MAX(-E133,0)</f>
        <v>111308.220240227</v>
      </c>
      <c r="F136" s="95" t="n">
        <f aca="false">F134-F135+MAX(-F133,0)</f>
        <v>135658.63808676</v>
      </c>
      <c r="G136" s="95" t="n">
        <f aca="false">G134-G135+MAX(-G133,0)</f>
        <v>156707.698554296</v>
      </c>
      <c r="H136" s="95" t="n">
        <f aca="false">H134-H135+MAX(-H133,0)</f>
        <v>172424.035610025</v>
      </c>
      <c r="I136" s="95" t="n">
        <f aca="false">I134-I135+MAX(-I133,0)</f>
        <v>182426.069081436</v>
      </c>
      <c r="J136" s="95" t="n">
        <f aca="false">J134-J135+MAX(-J133,0)</f>
        <v>188534.845356949</v>
      </c>
      <c r="K136" s="95" t="n">
        <f aca="false">K134-K135+MAX(-K133,0)</f>
        <v>197579.218261199</v>
      </c>
      <c r="L136" s="95" t="n">
        <f aca="false">L134-L135+MAX(-L133,0)</f>
        <v>209908.321742619</v>
      </c>
      <c r="M136" s="95" t="n">
        <f aca="false">M134-M135+MAX(-M133,0)</f>
        <v>225896.465614577</v>
      </c>
      <c r="N136" s="95" t="n">
        <f aca="false">N134-N135+MAX(-N133,0)</f>
        <v>245944.756426433</v>
      </c>
      <c r="O136" s="95" t="n">
        <f aca="false">O134-O135+MAX(-O133,0)</f>
        <v>270482.818936259</v>
      </c>
      <c r="P136" s="95" t="n">
        <f aca="false">P134-P135+MAX(-P133,0)</f>
        <v>299970.624350192</v>
      </c>
      <c r="Q136" s="95" t="n">
        <f aca="false">Q134-Q135+MAX(-Q133,0)</f>
        <v>334900.431869566</v>
      </c>
      <c r="R136" s="95" t="n">
        <f aca="false">R134-R135+MAX(-R133,0)</f>
        <v>375798.850486001</v>
      </c>
      <c r="S136" s="95" t="n">
        <f aca="false">S134-S135+MAX(-S133,0)</f>
        <v>345713.418592775</v>
      </c>
      <c r="T136" s="95" t="n">
        <f aca="false">T134-T135+MAX(-T133,0)</f>
        <v>322761.758201418</v>
      </c>
      <c r="U136" s="95" t="n">
        <f aca="false">U134-U135+MAX(-U133,0)</f>
        <v>307587.214100332</v>
      </c>
      <c r="V136" s="95" t="n">
        <f aca="false">V134-V135+MAX(-V133,0)</f>
        <v>300877.084702689</v>
      </c>
      <c r="W136" s="95" t="n">
        <f aca="false">W134-W135+MAX(-W133,0)</f>
        <v>303365.404938548</v>
      </c>
    </row>
    <row r="137" customFormat="false" ht="15" hidden="false" customHeight="false" outlineLevel="0" collapsed="false">
      <c r="A137" s="11" t="s">
        <v>471</v>
      </c>
      <c r="B137" s="66" t="n">
        <f aca="false">SUM(C137:W137)</f>
        <v>0</v>
      </c>
      <c r="C137" s="95" t="n">
        <v>0</v>
      </c>
      <c r="D137" s="95" t="n">
        <f aca="false">(MAX(D133,0)-D135)*TaxRate</f>
        <v>0</v>
      </c>
      <c r="E137" s="95" t="n">
        <f aca="false">(MAX(E133,0)-E135)*TaxRate</f>
        <v>0</v>
      </c>
      <c r="F137" s="95" t="n">
        <f aca="false">(MAX(F133,0)-F135)*TaxRate</f>
        <v>0</v>
      </c>
      <c r="G137" s="95" t="n">
        <f aca="false">(MAX(G133,0)-G135)*TaxRate</f>
        <v>0</v>
      </c>
      <c r="H137" s="95" t="n">
        <f aca="false">(MAX(H133,0)-H135)*TaxRate</f>
        <v>0</v>
      </c>
      <c r="I137" s="95" t="n">
        <f aca="false">(MAX(I133,0)-I135)*TaxRate</f>
        <v>0</v>
      </c>
      <c r="J137" s="95" t="n">
        <f aca="false">(MAX(J133,0)-J135)*TaxRate</f>
        <v>0</v>
      </c>
      <c r="K137" s="95" t="n">
        <f aca="false">(MAX(K133,0)-K135)*TaxRate</f>
        <v>0</v>
      </c>
      <c r="L137" s="95" t="n">
        <f aca="false">(MAX(L133,0)-L135)*TaxRate</f>
        <v>0</v>
      </c>
      <c r="M137" s="95" t="n">
        <f aca="false">(MAX(M133,0)-M135)*TaxRate</f>
        <v>0</v>
      </c>
      <c r="N137" s="95" t="n">
        <f aca="false">(MAX(N133,0)-N135)*TaxRate</f>
        <v>0</v>
      </c>
      <c r="O137" s="95" t="n">
        <f aca="false">(MAX(O133,0)-O135)*TaxRate</f>
        <v>0</v>
      </c>
      <c r="P137" s="95" t="n">
        <f aca="false">(MAX(P133,0)-P135)*TaxRate</f>
        <v>0</v>
      </c>
      <c r="Q137" s="95" t="n">
        <f aca="false">(MAX(Q133,0)-Q135)*TaxRate</f>
        <v>0</v>
      </c>
      <c r="R137" s="95" t="n">
        <f aca="false">(MAX(R133,0)-R135)*TaxRate</f>
        <v>0</v>
      </c>
      <c r="S137" s="95" t="n">
        <f aca="false">(MAX(S133,0)-S135)*TaxRate</f>
        <v>0</v>
      </c>
      <c r="T137" s="95" t="n">
        <f aca="false">(MAX(T133,0)-T135)*TaxRate</f>
        <v>0</v>
      </c>
      <c r="U137" s="95" t="n">
        <f aca="false">(MAX(U133,0)-U135)*TaxRate</f>
        <v>0</v>
      </c>
      <c r="V137" s="95" t="n">
        <f aca="false">(MAX(V133,0)-V135)*TaxRate</f>
        <v>0</v>
      </c>
      <c r="W137" s="95" t="n">
        <f aca="false">(MAX(W133,0)-W135)*TaxRate</f>
        <v>0</v>
      </c>
    </row>
    <row r="138" customFormat="false" ht="15" hidden="false" customHeight="false" outlineLevel="0" collapsed="false">
      <c r="A138" s="11" t="s">
        <v>472</v>
      </c>
      <c r="B138" s="66" t="n">
        <f aca="false">SUM(C138:W138)</f>
        <v>-418372.193631988</v>
      </c>
      <c r="C138" s="95" t="n">
        <v>0</v>
      </c>
      <c r="D138" s="95" t="n">
        <f aca="false">D98-D132-D114-D121</f>
        <v>-82371.8380213796</v>
      </c>
      <c r="E138" s="95" t="n">
        <f aca="false">E98-E132-E114-E121</f>
        <v>-58198.5578591406</v>
      </c>
      <c r="F138" s="95" t="n">
        <f aca="false">F98-F132-F114-F121</f>
        <v>-38981.505666679</v>
      </c>
      <c r="G138" s="95" t="n">
        <f aca="false">G98-G132-G114-G121</f>
        <v>-34695.9935950029</v>
      </c>
      <c r="H138" s="95" t="n">
        <f aca="false">H98-H132-H114-H121</f>
        <v>-28280.7000212483</v>
      </c>
      <c r="I138" s="95" t="n">
        <f aca="false">I98-I132-I114-I121</f>
        <v>-21375.5692587875</v>
      </c>
      <c r="J138" s="95" t="n">
        <f aca="false">J98-J132-J114-J121</f>
        <v>-15877.8766586095</v>
      </c>
      <c r="K138" s="95" t="n">
        <f aca="false">K98-K132-K114-K121</f>
        <v>-17069.211128221</v>
      </c>
      <c r="L138" s="95" t="n">
        <f aca="false">L98-L132-L114-L121</f>
        <v>-18456.4886195032</v>
      </c>
      <c r="M138" s="95" t="n">
        <f aca="false">M98-M132-M114-M121</f>
        <v>-20050.2029633881</v>
      </c>
      <c r="N138" s="95" t="n">
        <f aca="false">N98-N132-N114-N121</f>
        <v>-21861.0197702287</v>
      </c>
      <c r="O138" s="95" t="n">
        <f aca="false">O98-O132-O114-O121</f>
        <v>-26009.3556821789</v>
      </c>
      <c r="P138" s="95" t="n">
        <f aca="false">P98-P132-P114-P121</f>
        <v>-30607.4197266859</v>
      </c>
      <c r="Q138" s="95" t="n">
        <f aca="false">Q98-Q132-Q114-Q121</f>
        <v>-35687.1926067381</v>
      </c>
      <c r="R138" s="95" t="n">
        <f aca="false">R98-R132-R114-R121</f>
        <v>-41282.7076016497</v>
      </c>
      <c r="S138" s="95" t="n">
        <f aca="false">S98-S132-S114-S121</f>
        <v>30085.4318932269</v>
      </c>
      <c r="T138" s="95" t="n">
        <f aca="false">T98-T132-T114-T121</f>
        <v>22951.6603913566</v>
      </c>
      <c r="U138" s="95" t="n">
        <f aca="false">U98-U132-U114-U121</f>
        <v>15174.5441010856</v>
      </c>
      <c r="V138" s="95" t="n">
        <f aca="false">V98-V132-V114-V121</f>
        <v>6710.12939764309</v>
      </c>
      <c r="W138" s="95" t="n">
        <f aca="false">W98-W132-W114-W121</f>
        <v>-2488.3202358589</v>
      </c>
    </row>
    <row r="139" customFormat="false" ht="15" hidden="false" customHeight="false" outlineLevel="0" collapsed="false">
      <c r="A139" s="11" t="s">
        <v>468</v>
      </c>
      <c r="C139" s="95" t="n">
        <v>0</v>
      </c>
      <c r="D139" s="95" t="n">
        <f aca="false">0</f>
        <v>0</v>
      </c>
      <c r="E139" s="95" t="n">
        <f aca="false">D141</f>
        <v>82371.8380213796</v>
      </c>
      <c r="F139" s="95" t="n">
        <f aca="false">E141</f>
        <v>140570.39588052</v>
      </c>
      <c r="G139" s="95" t="n">
        <f aca="false">F141</f>
        <v>179551.901547199</v>
      </c>
      <c r="H139" s="95" t="n">
        <f aca="false">G141</f>
        <v>214247.895142202</v>
      </c>
      <c r="I139" s="95" t="n">
        <f aca="false">H141</f>
        <v>242528.59516345</v>
      </c>
      <c r="J139" s="95" t="n">
        <f aca="false">I141</f>
        <v>263904.164422238</v>
      </c>
      <c r="K139" s="95" t="n">
        <f aca="false">J141</f>
        <v>279782.041080847</v>
      </c>
      <c r="L139" s="95" t="n">
        <f aca="false">K141</f>
        <v>296851.252209068</v>
      </c>
      <c r="M139" s="95" t="n">
        <f aca="false">L141</f>
        <v>315307.740828572</v>
      </c>
      <c r="N139" s="95" t="n">
        <f aca="false">M141</f>
        <v>335357.94379196</v>
      </c>
      <c r="O139" s="95" t="n">
        <f aca="false">N141</f>
        <v>357218.963562188</v>
      </c>
      <c r="P139" s="95" t="n">
        <f aca="false">O141</f>
        <v>383228.319244367</v>
      </c>
      <c r="Q139" s="95" t="n">
        <f aca="false">P141</f>
        <v>413835.738971053</v>
      </c>
      <c r="R139" s="95" t="n">
        <f aca="false">Q141</f>
        <v>449522.931577791</v>
      </c>
      <c r="S139" s="95" t="n">
        <f aca="false">R141</f>
        <v>490805.639179441</v>
      </c>
      <c r="T139" s="95" t="n">
        <f aca="false">S141</f>
        <v>460720.207286214</v>
      </c>
      <c r="U139" s="95" t="n">
        <f aca="false">T141</f>
        <v>437768.546894858</v>
      </c>
      <c r="V139" s="95" t="n">
        <f aca="false">U141</f>
        <v>422594.002793772</v>
      </c>
      <c r="W139" s="95" t="n">
        <f aca="false">V141</f>
        <v>415883.873396129</v>
      </c>
    </row>
    <row r="140" customFormat="false" ht="15" hidden="false" customHeight="false" outlineLevel="0" collapsed="false">
      <c r="A140" s="11" t="s">
        <v>469</v>
      </c>
      <c r="C140" s="95" t="n">
        <v>0</v>
      </c>
      <c r="D140" s="95" t="n">
        <f aca="false">MIN(D139,MAX(D138,0))</f>
        <v>0</v>
      </c>
      <c r="E140" s="95" t="n">
        <f aca="false">MIN(E139,MAX(E138,0))</f>
        <v>0</v>
      </c>
      <c r="F140" s="95" t="n">
        <f aca="false">MIN(F139,MAX(F138,0))</f>
        <v>0</v>
      </c>
      <c r="G140" s="95" t="n">
        <f aca="false">MIN(G139,MAX(G138,0))</f>
        <v>0</v>
      </c>
      <c r="H140" s="95" t="n">
        <f aca="false">MIN(H139,MAX(H138,0))</f>
        <v>0</v>
      </c>
      <c r="I140" s="95" t="n">
        <f aca="false">MIN(I139,MAX(I138,0))</f>
        <v>0</v>
      </c>
      <c r="J140" s="95" t="n">
        <f aca="false">MIN(J139,MAX(J138,0))</f>
        <v>0</v>
      </c>
      <c r="K140" s="95" t="n">
        <f aca="false">MIN(K139,MAX(K138,0))</f>
        <v>0</v>
      </c>
      <c r="L140" s="95" t="n">
        <f aca="false">MIN(L139,MAX(L138,0))</f>
        <v>0</v>
      </c>
      <c r="M140" s="95" t="n">
        <f aca="false">MIN(M139,MAX(M138,0))</f>
        <v>0</v>
      </c>
      <c r="N140" s="95" t="n">
        <f aca="false">MIN(N139,MAX(N138,0))</f>
        <v>0</v>
      </c>
      <c r="O140" s="95" t="n">
        <f aca="false">MIN(O139,MAX(O138,0))</f>
        <v>0</v>
      </c>
      <c r="P140" s="95" t="n">
        <f aca="false">MIN(P139,MAX(P138,0))</f>
        <v>0</v>
      </c>
      <c r="Q140" s="95" t="n">
        <f aca="false">MIN(Q139,MAX(Q138,0))</f>
        <v>0</v>
      </c>
      <c r="R140" s="95" t="n">
        <f aca="false">MIN(R139,MAX(R138,0))</f>
        <v>0</v>
      </c>
      <c r="S140" s="95" t="n">
        <f aca="false">MIN(S139,MAX(S138,0))</f>
        <v>30085.4318932269</v>
      </c>
      <c r="T140" s="95" t="n">
        <f aca="false">MIN(T139,MAX(T138,0))</f>
        <v>22951.6603913566</v>
      </c>
      <c r="U140" s="95" t="n">
        <f aca="false">MIN(U139,MAX(U138,0))</f>
        <v>15174.5441010856</v>
      </c>
      <c r="V140" s="95" t="n">
        <f aca="false">MIN(V139,MAX(V138,0))</f>
        <v>6710.12939764309</v>
      </c>
      <c r="W140" s="95" t="n">
        <f aca="false">MIN(W139,MAX(W138,0))</f>
        <v>0</v>
      </c>
    </row>
    <row r="141" customFormat="false" ht="15" hidden="false" customHeight="false" outlineLevel="0" collapsed="false">
      <c r="A141" s="11" t="s">
        <v>470</v>
      </c>
      <c r="C141" s="95" t="n">
        <v>0</v>
      </c>
      <c r="D141" s="95" t="n">
        <f aca="false">D139-D140+MAX(-D138,0)</f>
        <v>82371.8380213796</v>
      </c>
      <c r="E141" s="95" t="n">
        <f aca="false">E139-E140+MAX(-E138,0)</f>
        <v>140570.39588052</v>
      </c>
      <c r="F141" s="95" t="n">
        <f aca="false">F139-F140+MAX(-F138,0)</f>
        <v>179551.901547199</v>
      </c>
      <c r="G141" s="95" t="n">
        <f aca="false">G139-G140+MAX(-G138,0)</f>
        <v>214247.895142202</v>
      </c>
      <c r="H141" s="95" t="n">
        <f aca="false">H139-H140+MAX(-H138,0)</f>
        <v>242528.59516345</v>
      </c>
      <c r="I141" s="95" t="n">
        <f aca="false">I139-I140+MAX(-I138,0)</f>
        <v>263904.164422238</v>
      </c>
      <c r="J141" s="95" t="n">
        <f aca="false">J139-J140+MAX(-J138,0)</f>
        <v>279782.041080847</v>
      </c>
      <c r="K141" s="95" t="n">
        <f aca="false">K139-K140+MAX(-K138,0)</f>
        <v>296851.252209068</v>
      </c>
      <c r="L141" s="95" t="n">
        <f aca="false">L139-L140+MAX(-L138,0)</f>
        <v>315307.740828572</v>
      </c>
      <c r="M141" s="95" t="n">
        <f aca="false">M139-M140+MAX(-M138,0)</f>
        <v>335357.94379196</v>
      </c>
      <c r="N141" s="95" t="n">
        <f aca="false">N139-N140+MAX(-N138,0)</f>
        <v>357218.963562188</v>
      </c>
      <c r="O141" s="95" t="n">
        <f aca="false">O139-O140+MAX(-O138,0)</f>
        <v>383228.319244367</v>
      </c>
      <c r="P141" s="95" t="n">
        <f aca="false">P139-P140+MAX(-P138,0)</f>
        <v>413835.738971053</v>
      </c>
      <c r="Q141" s="95" t="n">
        <f aca="false">Q139-Q140+MAX(-Q138,0)</f>
        <v>449522.931577791</v>
      </c>
      <c r="R141" s="95" t="n">
        <f aca="false">R139-R140+MAX(-R138,0)</f>
        <v>490805.639179441</v>
      </c>
      <c r="S141" s="95" t="n">
        <f aca="false">S139-S140+MAX(-S138,0)</f>
        <v>460720.207286214</v>
      </c>
      <c r="T141" s="95" t="n">
        <f aca="false">T139-T140+MAX(-T138,0)</f>
        <v>437768.546894858</v>
      </c>
      <c r="U141" s="95" t="n">
        <f aca="false">U139-U140+MAX(-U138,0)</f>
        <v>422594.002793772</v>
      </c>
      <c r="V141" s="95" t="n">
        <f aca="false">V139-V140+MAX(-V138,0)</f>
        <v>415883.873396129</v>
      </c>
      <c r="W141" s="95" t="n">
        <f aca="false">W139-W140+MAX(-W138,0)</f>
        <v>418372.193631988</v>
      </c>
    </row>
    <row r="142" customFormat="false" ht="15" hidden="false" customHeight="false" outlineLevel="0" collapsed="false">
      <c r="A142" s="11" t="s">
        <v>473</v>
      </c>
      <c r="B142" s="66" t="n">
        <f aca="false">SUM(C142:W142)</f>
        <v>0</v>
      </c>
      <c r="C142" s="95" t="n">
        <v>0</v>
      </c>
      <c r="D142" s="95" t="n">
        <f aca="false">(MAX(D138,0)-D140)*TaxRate</f>
        <v>0</v>
      </c>
      <c r="E142" s="95" t="n">
        <f aca="false">(MAX(E138,0)-E140)*TaxRate</f>
        <v>0</v>
      </c>
      <c r="F142" s="95" t="n">
        <f aca="false">(MAX(F138,0)-F140)*TaxRate</f>
        <v>0</v>
      </c>
      <c r="G142" s="95" t="n">
        <f aca="false">(MAX(G138,0)-G140)*TaxRate</f>
        <v>0</v>
      </c>
      <c r="H142" s="95" t="n">
        <f aca="false">(MAX(H138,0)-H140)*TaxRate</f>
        <v>0</v>
      </c>
      <c r="I142" s="95" t="n">
        <f aca="false">(MAX(I138,0)-I140)*TaxRate</f>
        <v>0</v>
      </c>
      <c r="J142" s="95" t="n">
        <f aca="false">(MAX(J138,0)-J140)*TaxRate</f>
        <v>0</v>
      </c>
      <c r="K142" s="95" t="n">
        <f aca="false">(MAX(K138,0)-K140)*TaxRate</f>
        <v>0</v>
      </c>
      <c r="L142" s="95" t="n">
        <f aca="false">(MAX(L138,0)-L140)*TaxRate</f>
        <v>0</v>
      </c>
      <c r="M142" s="95" t="n">
        <f aca="false">(MAX(M138,0)-M140)*TaxRate</f>
        <v>0</v>
      </c>
      <c r="N142" s="95" t="n">
        <f aca="false">(MAX(N138,0)-N140)*TaxRate</f>
        <v>0</v>
      </c>
      <c r="O142" s="95" t="n">
        <f aca="false">(MAX(O138,0)-O140)*TaxRate</f>
        <v>0</v>
      </c>
      <c r="P142" s="95" t="n">
        <f aca="false">(MAX(P138,0)-P140)*TaxRate</f>
        <v>0</v>
      </c>
      <c r="Q142" s="95" t="n">
        <f aca="false">(MAX(Q138,0)-Q140)*TaxRate</f>
        <v>0</v>
      </c>
      <c r="R142" s="95" t="n">
        <f aca="false">(MAX(R138,0)-R140)*TaxRate</f>
        <v>0</v>
      </c>
      <c r="S142" s="95" t="n">
        <f aca="false">(MAX(S138,0)-S140)*TaxRate</f>
        <v>0</v>
      </c>
      <c r="T142" s="95" t="n">
        <f aca="false">(MAX(T138,0)-T140)*TaxRate</f>
        <v>0</v>
      </c>
      <c r="U142" s="95" t="n">
        <f aca="false">(MAX(U138,0)-U140)*TaxRate</f>
        <v>0</v>
      </c>
      <c r="V142" s="95" t="n">
        <f aca="false">(MAX(V138,0)-V140)*TaxRate</f>
        <v>0</v>
      </c>
      <c r="W142" s="95" t="n">
        <f aca="false">(MAX(W138,0)-W140)*TaxRate</f>
        <v>0</v>
      </c>
    </row>
    <row r="144" customFormat="false" ht="15" hidden="false" customHeight="false" outlineLevel="0" collapsed="false">
      <c r="A144" s="9" t="s">
        <v>474</v>
      </c>
      <c r="B144" s="10"/>
      <c r="C144" s="10"/>
      <c r="D144" s="10"/>
      <c r="E144" s="10"/>
      <c r="F144" s="10"/>
      <c r="G144" s="10"/>
      <c r="H144" s="10"/>
      <c r="I144" s="10"/>
      <c r="J144" s="10"/>
      <c r="K144" s="10"/>
      <c r="L144" s="10"/>
      <c r="M144" s="10"/>
      <c r="N144" s="10"/>
      <c r="O144" s="10"/>
      <c r="P144" s="10"/>
      <c r="Q144" s="10"/>
      <c r="R144" s="10"/>
      <c r="S144" s="10"/>
      <c r="T144" s="10"/>
      <c r="U144" s="10"/>
      <c r="V144" s="10"/>
      <c r="W144" s="10"/>
    </row>
    <row r="145" customFormat="false" ht="15" hidden="false" customHeight="false" outlineLevel="0" collapsed="false">
      <c r="A145" s="16" t="s">
        <v>475</v>
      </c>
      <c r="B145" s="66" t="n">
        <f aca="false">C145+NPV(Hurdle,D145:W145)</f>
        <v>-888519.319958922</v>
      </c>
      <c r="C145" s="31" t="n">
        <f aca="false">-C102+C98-C103-C137</f>
        <v>-1162734.14692871</v>
      </c>
      <c r="D145" s="31" t="n">
        <f aca="false">-D102+D98-D103-D137</f>
        <v>9774.85959401399</v>
      </c>
      <c r="E145" s="31" t="n">
        <f aca="false">-E102+E98-E103-E137</f>
        <v>33948.139756253</v>
      </c>
      <c r="F145" s="31" t="n">
        <f aca="false">-F102+F98-F103-F137</f>
        <v>53165.1919487146</v>
      </c>
      <c r="G145" s="31" t="n">
        <f aca="false">-G102+G98-G103-G137</f>
        <v>56466.549327711</v>
      </c>
      <c r="H145" s="31" t="n">
        <f aca="false">-H102+H98-H103-H137</f>
        <v>61799.272739518</v>
      </c>
      <c r="I145" s="31" t="n">
        <f aca="false">-I102+I98-I103-I137</f>
        <v>67513.5763238365</v>
      </c>
      <c r="J145" s="31" t="n">
        <f aca="false">-J102+J98-J103-J137</f>
        <v>71406.8335197342</v>
      </c>
      <c r="K145" s="31" t="n">
        <f aca="false">-K102+K98-K103-K137</f>
        <v>-97432.2008137043</v>
      </c>
      <c r="L145" s="31" t="n">
        <f aca="false">-L102+L98-L103-L137</f>
        <v>65186.5063138268</v>
      </c>
      <c r="M145" s="31" t="n">
        <f aca="false">-M102+M98-M103-M137</f>
        <v>61527.4659232897</v>
      </c>
      <c r="N145" s="31" t="n">
        <f aca="false">-N102+N98-N103-N137</f>
        <v>57467.318983391</v>
      </c>
      <c r="O145" s="31" t="n">
        <f aca="false">-O102+O98-O103-O137</f>
        <v>52977.5472854211</v>
      </c>
      <c r="P145" s="31" t="n">
        <f aca="false">-P102+P98-P103-P137</f>
        <v>48027.8043813139</v>
      </c>
      <c r="Q145" s="31" t="n">
        <f aca="false">-Q102+Q98-Q103-Q137</f>
        <v>42585.8022758734</v>
      </c>
      <c r="R145" s="31" t="n">
        <f aca="false">-R102+R98-R103-R137</f>
        <v>36617.1911788119</v>
      </c>
      <c r="S145" s="31" t="n">
        <f aca="false">-S102+S98-S103-S137</f>
        <v>-180076.079390443</v>
      </c>
      <c r="T145" s="31" t="n">
        <f aca="false">-T102+T98-T103-T137</f>
        <v>22951.6603913566</v>
      </c>
      <c r="U145" s="31" t="n">
        <f aca="false">-U102+U98-U103-U137</f>
        <v>15174.5441010856</v>
      </c>
      <c r="V145" s="31" t="n">
        <f aca="false">-V102+V98-V103-V137</f>
        <v>6710.12939764309</v>
      </c>
      <c r="W145" s="31" t="n">
        <f aca="false">-W102+W98-W103-W137</f>
        <v>-2488.3202358589</v>
      </c>
    </row>
    <row r="146" customFormat="false" ht="15" hidden="false" customHeight="false" outlineLevel="0" collapsed="false">
      <c r="A146" s="16" t="s">
        <v>476</v>
      </c>
      <c r="B146" s="66" t="n">
        <f aca="false">C146+NPV(Hurdle,D146:W146)</f>
        <v>-70598.9593278171</v>
      </c>
      <c r="C146" s="31" t="n">
        <f aca="false">C145+C106+C108</f>
        <v>-562734.146928707</v>
      </c>
      <c r="D146" s="31" t="n">
        <f aca="false">D145+D106+D108</f>
        <v>160974.859594014</v>
      </c>
      <c r="E146" s="31" t="n">
        <f aca="false">E145+E106+E108</f>
        <v>96948.139756253</v>
      </c>
      <c r="F146" s="31" t="n">
        <f aca="false">F145+F106+F108</f>
        <v>90965.1919487146</v>
      </c>
      <c r="G146" s="31" t="n">
        <f aca="false">G145+G106+G108</f>
        <v>56466.549327711</v>
      </c>
      <c r="H146" s="31" t="n">
        <f aca="false">H145+H106+H108</f>
        <v>61799.272739518</v>
      </c>
      <c r="I146" s="31" t="n">
        <f aca="false">I145+I106+I108</f>
        <v>67513.5763238365</v>
      </c>
      <c r="J146" s="31" t="n">
        <f aca="false">J145+J106+J108</f>
        <v>71406.8335197342</v>
      </c>
      <c r="K146" s="31" t="n">
        <f aca="false">K145+K106+K108</f>
        <v>-97432.2008137043</v>
      </c>
      <c r="L146" s="31" t="n">
        <f aca="false">L145+L106+L108</f>
        <v>65186.5063138268</v>
      </c>
      <c r="M146" s="31" t="n">
        <f aca="false">M145+M106+M108</f>
        <v>61527.4659232897</v>
      </c>
      <c r="N146" s="31" t="n">
        <f aca="false">N145+N106+N108</f>
        <v>57467.318983391</v>
      </c>
      <c r="O146" s="31" t="n">
        <f aca="false">O145+O106+O108</f>
        <v>52977.5472854211</v>
      </c>
      <c r="P146" s="31" t="n">
        <f aca="false">P145+P106+P108</f>
        <v>48027.8043813139</v>
      </c>
      <c r="Q146" s="31" t="n">
        <f aca="false">Q145+Q106+Q108</f>
        <v>42585.8022758734</v>
      </c>
      <c r="R146" s="31" t="n">
        <f aca="false">R145+R106+R108</f>
        <v>36617.1911788119</v>
      </c>
      <c r="S146" s="31" t="n">
        <f aca="false">S145+S106+S108</f>
        <v>-180076.079390443</v>
      </c>
      <c r="T146" s="31" t="n">
        <f aca="false">T145+T106+T108</f>
        <v>22951.6603913566</v>
      </c>
      <c r="U146" s="31" t="n">
        <f aca="false">U145+U106+U108</f>
        <v>15174.5441010856</v>
      </c>
      <c r="V146" s="31" t="n">
        <f aca="false">V145+V106+V108</f>
        <v>6710.12939764309</v>
      </c>
      <c r="W146" s="31" t="n">
        <f aca="false">W145+W106+W108</f>
        <v>-2488.3202358589</v>
      </c>
    </row>
    <row r="147" customFormat="false" ht="15" hidden="false" customHeight="false" outlineLevel="0" collapsed="false">
      <c r="A147" s="11" t="s">
        <v>243</v>
      </c>
      <c r="B147" s="66" t="n">
        <f aca="false">SUM(C147:W147)</f>
        <v>735303.793001788</v>
      </c>
      <c r="C147" s="95" t="n">
        <v>0</v>
      </c>
      <c r="D147" s="95" t="n">
        <f aca="false">D98-D105-D142+D108</f>
        <v>140236.929880926</v>
      </c>
      <c r="E147" s="95" t="n">
        <f aca="false">E98-E105-E142+E108</f>
        <v>76210.2100431653</v>
      </c>
      <c r="F147" s="95" t="n">
        <f aca="false">F98-F105-F142+F108</f>
        <v>70227.2622356269</v>
      </c>
      <c r="G147" s="95" t="n">
        <f aca="false">G98-G105-G142+G108</f>
        <v>35728.6196146233</v>
      </c>
      <c r="H147" s="95" t="n">
        <f aca="false">H98-H105-H142+H108</f>
        <v>41061.3430264303</v>
      </c>
      <c r="I147" s="95" t="n">
        <f aca="false">I98-I105-I142+I108</f>
        <v>46775.6466107488</v>
      </c>
      <c r="J147" s="95" t="n">
        <f aca="false">J98-J105-J142+J108</f>
        <v>50668.9038066465</v>
      </c>
      <c r="K147" s="95" t="n">
        <f aca="false">K98-K105-K142+K108</f>
        <v>47733.3071779094</v>
      </c>
      <c r="L147" s="95" t="n">
        <f aca="false">L98-L105-L142+L108</f>
        <v>38916.317403368</v>
      </c>
      <c r="M147" s="95" t="n">
        <f aca="false">M98-M105-M142+M108</f>
        <v>35257.277012831</v>
      </c>
      <c r="N147" s="95" t="n">
        <f aca="false">N98-N105-N142+N108</f>
        <v>31197.1300729322</v>
      </c>
      <c r="O147" s="95" t="n">
        <f aca="false">O98-O105-O142+O108</f>
        <v>26707.3583749623</v>
      </c>
      <c r="P147" s="95" t="n">
        <f aca="false">P98-P105-P142+P108</f>
        <v>21757.6154708551</v>
      </c>
      <c r="Q147" s="95" t="n">
        <f aca="false">Q98-Q105-Q142+Q108</f>
        <v>16315.6133654146</v>
      </c>
      <c r="R147" s="95" t="n">
        <f aca="false">R98-R105-R142+R108</f>
        <v>10347.0022683532</v>
      </c>
      <c r="S147" s="95" t="n">
        <f aca="false">S98-S105-S142+S108</f>
        <v>3815.24298276818</v>
      </c>
      <c r="T147" s="95" t="n">
        <f aca="false">T98-T105-T142+T108</f>
        <v>22951.6603913566</v>
      </c>
      <c r="U147" s="95" t="n">
        <f aca="false">U98-U105-U142+U108</f>
        <v>15174.5441010856</v>
      </c>
      <c r="V147" s="95" t="n">
        <f aca="false">V98-V105-V142+V108</f>
        <v>6710.12939764309</v>
      </c>
      <c r="W147" s="95" t="n">
        <f aca="false">W98-W105-W142+W108</f>
        <v>-2488.3202358589</v>
      </c>
    </row>
    <row r="148" customFormat="false" ht="15" hidden="false" customHeight="false" outlineLevel="0" collapsed="false">
      <c r="A148" s="11" t="s">
        <v>477</v>
      </c>
      <c r="C148" s="97" t="n">
        <v>0</v>
      </c>
      <c r="D148" s="97" t="n">
        <f aca="false">IF(D125&gt;0,D147/D125,"")</f>
        <v>9.5848601009575</v>
      </c>
      <c r="E148" s="97" t="n">
        <f aca="false">IF(E125&gt;0,E147/E125,"")</f>
        <v>5.20878631718874</v>
      </c>
      <c r="F148" s="97" t="n">
        <f aca="false">IF(F125&gt;0,F147/F125,"")</f>
        <v>2.86962409081843</v>
      </c>
      <c r="G148" s="97" t="n">
        <f aca="false">IF(G125&gt;0,G147/G125,"")</f>
        <v>1.45994168523627</v>
      </c>
      <c r="H148" s="97" t="n">
        <f aca="false">IF(H125&gt;0,H147/H125,"")</f>
        <v>1.67784725474073</v>
      </c>
      <c r="I148" s="97" t="n">
        <f aca="false">IF(I125&gt;0,I147/I125,"")</f>
        <v>1.36411314339378</v>
      </c>
      <c r="J148" s="97" t="n">
        <f aca="false">IF(J125&gt;0,J147/J125,"")</f>
        <v>1.47765178361252</v>
      </c>
      <c r="K148" s="97" t="n">
        <f aca="false">IF(K125&gt;0,K147/K125,"")</f>
        <v>1.39204129535381</v>
      </c>
      <c r="L148" s="97" t="n">
        <f aca="false">IF(L125&gt;0,L147/L125,"")</f>
        <v>1.13491237233307</v>
      </c>
      <c r="M148" s="97" t="n">
        <f aca="false">IF(M125&gt;0,M147/M125,"")</f>
        <v>1.02820417157902</v>
      </c>
      <c r="N148" s="97" t="n">
        <f aca="false">IF(N125&gt;0,N147/N125,"")</f>
        <v>2.36450772447176</v>
      </c>
      <c r="O148" s="97" t="n">
        <f aca="false">IF(O125&gt;0,O147/O125,"")</f>
        <v>2.02421681193762</v>
      </c>
      <c r="P148" s="97" t="n">
        <f aca="false">IF(P125&gt;0,P147/P125,"")</f>
        <v>1.64906354291736</v>
      </c>
      <c r="Q148" s="97" t="n">
        <f aca="false">IF(Q125&gt;0,Q147/Q125,"")</f>
        <v>1.23660073031813</v>
      </c>
      <c r="R148" s="97" t="n">
        <f aca="false">IF(R125&gt;0,R147/R125,"")</f>
        <v>0.784224918492585</v>
      </c>
      <c r="S148" s="97" t="str">
        <f aca="false">IF(S125&gt;0,S147/S125,"")</f>
        <v/>
      </c>
      <c r="T148" s="97" t="str">
        <f aca="false">IF(T125&gt;0,T147/T125,"")</f>
        <v/>
      </c>
      <c r="U148" s="97" t="str">
        <f aca="false">IF(U125&gt;0,U147/U125,"")</f>
        <v/>
      </c>
      <c r="V148" s="97" t="str">
        <f aca="false">IF(V125&gt;0,V147/V125,"")</f>
        <v/>
      </c>
      <c r="W148" s="97" t="str">
        <f aca="false">IF(W125&gt;0,W147/W125,"")</f>
        <v/>
      </c>
    </row>
    <row r="149" customFormat="false" ht="15" hidden="false" customHeight="false" outlineLevel="0" collapsed="false">
      <c r="A149" s="16" t="s">
        <v>478</v>
      </c>
      <c r="B149" s="66" t="n">
        <f aca="false">C149+NPV(Hurdle,D149:W149)</f>
        <v>-82857.9350449414</v>
      </c>
      <c r="C149" s="31" t="n">
        <f aca="false">-S_Fuel_Hi!$B$18-C129</f>
        <v>-344956.032067298</v>
      </c>
      <c r="D149" s="31" t="n">
        <f aca="false">D147-D125-D129</f>
        <v>125605.84206078</v>
      </c>
      <c r="E149" s="31" t="n">
        <f aca="false">E147-E125-E129</f>
        <v>56658.3487596208</v>
      </c>
      <c r="F149" s="31" t="n">
        <f aca="false">F147-F125-F129</f>
        <v>45754.6274886842</v>
      </c>
      <c r="G149" s="31" t="n">
        <f aca="false">G147-G125-G129</f>
        <v>11255.9848676806</v>
      </c>
      <c r="H149" s="31" t="n">
        <f aca="false">H147-H125-H129</f>
        <v>11679.9498074263</v>
      </c>
      <c r="I149" s="31" t="n">
        <f aca="false">I147-I125-I129</f>
        <v>12485.4949196834</v>
      </c>
      <c r="J149" s="31" t="n">
        <f aca="false">J147-J125-J129</f>
        <v>16378.7521155811</v>
      </c>
      <c r="K149" s="31" t="n">
        <f aca="false">K147-K125-K129</f>
        <v>13443.155486844</v>
      </c>
      <c r="L149" s="31" t="n">
        <f aca="false">L147-L125-L129</f>
        <v>4626.16571230263</v>
      </c>
      <c r="M149" s="31" t="n">
        <f aca="false">M147-M125-M129</f>
        <v>11515.2402544508</v>
      </c>
      <c r="N149" s="31" t="n">
        <f aca="false">N147-N125-N129</f>
        <v>18003.2082472373</v>
      </c>
      <c r="O149" s="31" t="n">
        <f aca="false">O147-O125-O129</f>
        <v>13513.4365492674</v>
      </c>
      <c r="P149" s="31" t="n">
        <f aca="false">P147-P125-P129</f>
        <v>8563.6936451602</v>
      </c>
      <c r="Q149" s="31" t="n">
        <f aca="false">Q147-Q125-Q129</f>
        <v>3121.69153971969</v>
      </c>
      <c r="R149" s="31" t="n">
        <f aca="false">R147-R125-R129</f>
        <v>3750.04135550568</v>
      </c>
      <c r="S149" s="31" t="n">
        <f aca="false">S147-S125-S129</f>
        <v>3815.24298276818</v>
      </c>
      <c r="T149" s="31" t="n">
        <f aca="false">T147-T125-T129</f>
        <v>22951.6603913566</v>
      </c>
      <c r="U149" s="31" t="n">
        <f aca="false">U147-U125-U129</f>
        <v>15174.5441010856</v>
      </c>
      <c r="V149" s="31" t="n">
        <f aca="false">V147-V125-V129</f>
        <v>6710.12939764309</v>
      </c>
      <c r="W149" s="31" t="n">
        <f aca="false">W147-W125-W129</f>
        <v>-2488.3202358589</v>
      </c>
    </row>
    <row r="150" customFormat="false" ht="15" hidden="false" customHeight="false" outlineLevel="0" collapsed="false">
      <c r="A150" s="11" t="s">
        <v>479</v>
      </c>
      <c r="C150" s="95" t="n">
        <f aca="false">C149</f>
        <v>-344956.032067298</v>
      </c>
      <c r="D150" s="95" t="n">
        <f aca="false">C150+D149</f>
        <v>-219350.190006518</v>
      </c>
      <c r="E150" s="95" t="n">
        <f aca="false">D150+E149</f>
        <v>-162691.841246897</v>
      </c>
      <c r="F150" s="95" t="n">
        <f aca="false">E150+F149</f>
        <v>-116937.213758213</v>
      </c>
      <c r="G150" s="95" t="n">
        <f aca="false">F150+G149</f>
        <v>-105681.228890532</v>
      </c>
      <c r="H150" s="95" t="n">
        <f aca="false">G150+H149</f>
        <v>-94001.2790831058</v>
      </c>
      <c r="I150" s="95" t="n">
        <f aca="false">H150+I149</f>
        <v>-81515.7841634224</v>
      </c>
      <c r="J150" s="95" t="n">
        <f aca="false">I150+J149</f>
        <v>-65137.0320478413</v>
      </c>
      <c r="K150" s="95" t="n">
        <f aca="false">J150+K149</f>
        <v>-51693.8765609973</v>
      </c>
      <c r="L150" s="95" t="n">
        <f aca="false">K150+L149</f>
        <v>-47067.7108486946</v>
      </c>
      <c r="M150" s="95" t="n">
        <f aca="false">L150+M149</f>
        <v>-35552.4705942438</v>
      </c>
      <c r="N150" s="95" t="n">
        <f aca="false">M150+N149</f>
        <v>-17549.2623470066</v>
      </c>
      <c r="O150" s="95" t="n">
        <f aca="false">N150+O149</f>
        <v>-4035.82579773916</v>
      </c>
      <c r="P150" s="95" t="n">
        <f aca="false">O150+P149</f>
        <v>4527.86784742104</v>
      </c>
      <c r="Q150" s="95" t="n">
        <f aca="false">P150+Q149</f>
        <v>7649.55938714073</v>
      </c>
      <c r="R150" s="95" t="n">
        <f aca="false">Q150+R149</f>
        <v>11399.6007426464</v>
      </c>
      <c r="S150" s="95" t="n">
        <f aca="false">R150+S149</f>
        <v>15214.8437254146</v>
      </c>
      <c r="T150" s="95" t="n">
        <f aca="false">S150+T149</f>
        <v>38166.5041167712</v>
      </c>
      <c r="U150" s="95" t="n">
        <f aca="false">T150+U149</f>
        <v>53341.0482178568</v>
      </c>
      <c r="V150" s="95" t="n">
        <f aca="false">U150+V149</f>
        <v>60051.1776154999</v>
      </c>
      <c r="W150" s="95" t="n">
        <f aca="false">V150+W149</f>
        <v>57562.857379641</v>
      </c>
    </row>
    <row r="152" customFormat="false" ht="15" hidden="false" customHeight="false" outlineLevel="0" collapsed="false">
      <c r="A152" s="9" t="s">
        <v>480</v>
      </c>
      <c r="B152" s="10"/>
      <c r="C152" s="10"/>
      <c r="D152" s="10"/>
      <c r="E152" s="10"/>
      <c r="F152" s="10"/>
      <c r="G152" s="10"/>
      <c r="H152" s="10"/>
      <c r="I152" s="10"/>
      <c r="J152" s="10"/>
      <c r="K152" s="10"/>
      <c r="L152" s="10"/>
      <c r="M152" s="10"/>
      <c r="N152" s="10"/>
      <c r="O152" s="10"/>
      <c r="P152" s="10"/>
      <c r="Q152" s="10"/>
      <c r="R152" s="10"/>
      <c r="S152" s="10"/>
      <c r="T152" s="10"/>
      <c r="U152" s="10"/>
      <c r="V152" s="10"/>
      <c r="W152" s="10"/>
    </row>
    <row r="153" customFormat="false" ht="15" hidden="false" customHeight="false" outlineLevel="0" collapsed="false">
      <c r="A153" s="11" t="s">
        <v>481</v>
      </c>
      <c r="B153" s="66" t="n">
        <f aca="false">C153+NPV(Hurdle,D153:W153)</f>
        <v>2407182.98627047</v>
      </c>
      <c r="C153" s="95" t="n">
        <f aca="false">C102+C96-C93+C103</f>
        <v>1162734.14692871</v>
      </c>
      <c r="D153" s="95" t="n">
        <f aca="false">D102+D96-D93+D103</f>
        <v>68327.006052066</v>
      </c>
      <c r="E153" s="95" t="n">
        <f aca="false">E102+E96-E93+E103</f>
        <v>76163.9697926425</v>
      </c>
      <c r="F153" s="95" t="n">
        <f aca="false">F102+F96-F93+F103</f>
        <v>82460.2370459011</v>
      </c>
      <c r="G153" s="95" t="n">
        <f aca="false">G102+G96-G93+G103</f>
        <v>85643.3173676767</v>
      </c>
      <c r="H153" s="95" t="n">
        <f aca="false">H102+H96-H93+H103</f>
        <v>88965.0848376189</v>
      </c>
      <c r="I153" s="95" t="n">
        <f aca="false">I102+I96-I93+I103</f>
        <v>92432.330629748</v>
      </c>
      <c r="J153" s="95" t="n">
        <f aca="false">J102+J96-J93+J103</f>
        <v>98279.7791673237</v>
      </c>
      <c r="K153" s="95" t="n">
        <f aca="false">K102+K96-K93+K103</f>
        <v>277452.728213404</v>
      </c>
      <c r="L153" s="95" t="n">
        <f aca="false">L102+L96-L93+L103</f>
        <v>125797.271204515</v>
      </c>
      <c r="M153" s="95" t="n">
        <f aca="false">M102+M96-M93+M103</f>
        <v>141087.223645919</v>
      </c>
      <c r="N153" s="95" t="n">
        <f aca="false">N102+N96-N93+N103</f>
        <v>157486.605180582</v>
      </c>
      <c r="O153" s="95" t="n">
        <f aca="false">O102+O96-O93+O103</f>
        <v>175067.070860138</v>
      </c>
      <c r="P153" s="95" t="n">
        <f aca="false">P102+P96-P93+P103</f>
        <v>193904.73100931</v>
      </c>
      <c r="Q153" s="95" t="n">
        <f aca="false">Q102+Q96-Q93+Q103</f>
        <v>214080.424520039</v>
      </c>
      <c r="R153" s="95" t="n">
        <f aca="false">R102+R96-R93+R103</f>
        <v>235680.008828972</v>
      </c>
      <c r="S153" s="95" t="n">
        <f aca="false">S102+S96-S93+S103</f>
        <v>468956.178878701</v>
      </c>
      <c r="T153" s="95" t="n">
        <f aca="false">T102+T96-T93+T103</f>
        <v>283521.237155736</v>
      </c>
      <c r="U153" s="95" t="n">
        <f aca="false">U102+U96-U93+U103</f>
        <v>309962.552906625</v>
      </c>
      <c r="V153" s="95" t="n">
        <f aca="false">V102+V96-V93+V103</f>
        <v>338227.816817837</v>
      </c>
      <c r="W153" s="95" t="n">
        <f aca="false">W102+W96-W93+W103</f>
        <v>368432.987375862</v>
      </c>
    </row>
    <row r="154" customFormat="false" ht="15" hidden="false" customHeight="false" outlineLevel="0" collapsed="false">
      <c r="A154" s="11" t="s">
        <v>482</v>
      </c>
      <c r="B154" s="76" t="n">
        <f aca="false">C154+NPV(Hurdle,D154:W154)</f>
        <v>3504620.16232003</v>
      </c>
      <c r="C154" s="93" t="n">
        <f aca="false">C66</f>
        <v>0</v>
      </c>
      <c r="D154" s="93" t="n">
        <f aca="false">D66</f>
        <v>211139.712</v>
      </c>
      <c r="E154" s="93" t="n">
        <f aca="false">E66</f>
        <v>308088.02976</v>
      </c>
      <c r="F154" s="93" t="n">
        <f aca="false">F66</f>
        <v>373330.200768</v>
      </c>
      <c r="G154" s="93" t="n">
        <f aca="false">G66</f>
        <v>384530.10679104</v>
      </c>
      <c r="H154" s="93" t="n">
        <f aca="false">H66</f>
        <v>396066.009994771</v>
      </c>
      <c r="I154" s="93" t="n">
        <f aca="false">I66</f>
        <v>407947.990294614</v>
      </c>
      <c r="J154" s="93" t="n">
        <f aca="false">J66</f>
        <v>420186.430003453</v>
      </c>
      <c r="K154" s="93" t="n">
        <f aca="false">K66</f>
        <v>432792.022903556</v>
      </c>
      <c r="L154" s="93" t="n">
        <f aca="false">L66</f>
        <v>445775.783590663</v>
      </c>
      <c r="M154" s="93" t="n">
        <f aca="false">M66</f>
        <v>459149.057098383</v>
      </c>
      <c r="N154" s="93" t="n">
        <f aca="false">N66</f>
        <v>472923.528811335</v>
      </c>
      <c r="O154" s="93" t="n">
        <f aca="false">O66</f>
        <v>487111.234675675</v>
      </c>
      <c r="P154" s="93" t="n">
        <f aca="false">P66</f>
        <v>501724.571715945</v>
      </c>
      <c r="Q154" s="93" t="n">
        <f aca="false">Q66</f>
        <v>516776.308867423</v>
      </c>
      <c r="R154" s="93" t="n">
        <f aca="false">R66</f>
        <v>532279.598133446</v>
      </c>
      <c r="S154" s="93" t="n">
        <f aca="false">S66</f>
        <v>548247.986077449</v>
      </c>
      <c r="T154" s="93" t="n">
        <f aca="false">T66</f>
        <v>564695.425659773</v>
      </c>
      <c r="U154" s="93" t="n">
        <f aca="false">U66</f>
        <v>581636.288429566</v>
      </c>
      <c r="V154" s="93" t="n">
        <f aca="false">V66</f>
        <v>599085.377082453</v>
      </c>
      <c r="W154" s="93" t="n">
        <f aca="false">W66</f>
        <v>617057.938394927</v>
      </c>
    </row>
    <row r="155" customFormat="false" ht="15" hidden="false" customHeight="false" outlineLevel="0" collapsed="false">
      <c r="A155" s="11" t="s">
        <v>483</v>
      </c>
      <c r="B155" s="66" t="n">
        <f aca="false">C155+NPV(Hurdle,D155:W155)</f>
        <v>1555687.86731988</v>
      </c>
      <c r="C155" s="95" t="n">
        <f aca="false">C83</f>
        <v>0</v>
      </c>
      <c r="D155" s="95" t="n">
        <f aca="false">D83</f>
        <v>73617.387264</v>
      </c>
      <c r="E155" s="95" t="n">
        <f aca="false">E83</f>
        <v>110642.638710202</v>
      </c>
      <c r="F155" s="95" t="n">
        <f aca="false">F83</f>
        <v>138095.029891356</v>
      </c>
      <c r="G155" s="95" t="n">
        <f aca="false">G83</f>
        <v>146505.01721174</v>
      </c>
      <c r="H155" s="95" t="n">
        <f aca="false">H83</f>
        <v>155427.172759935</v>
      </c>
      <c r="I155" s="95" t="n">
        <f aca="false">I83</f>
        <v>164892.687581015</v>
      </c>
      <c r="J155" s="95" t="n">
        <f aca="false">J83</f>
        <v>174934.652254699</v>
      </c>
      <c r="K155" s="95" t="n">
        <f aca="false">K83</f>
        <v>185588.17257701</v>
      </c>
      <c r="L155" s="95" t="n">
        <f aca="false">L83</f>
        <v>196890.49228695</v>
      </c>
      <c r="M155" s="95" t="n">
        <f aca="false">M83</f>
        <v>208881.123267225</v>
      </c>
      <c r="N155" s="95" t="n">
        <f aca="false">N83</f>
        <v>221601.983674199</v>
      </c>
      <c r="O155" s="95" t="n">
        <f aca="false">O83</f>
        <v>235097.544479958</v>
      </c>
      <c r="P155" s="95" t="n">
        <f aca="false">P83</f>
        <v>249414.984938787</v>
      </c>
      <c r="Q155" s="95" t="n">
        <f aca="false">Q83</f>
        <v>264604.357521559</v>
      </c>
      <c r="R155" s="95" t="n">
        <f aca="false">R83</f>
        <v>280718.762894623</v>
      </c>
      <c r="S155" s="95" t="n">
        <f aca="false">S83</f>
        <v>297814.535554905</v>
      </c>
      <c r="T155" s="95" t="n">
        <f aca="false">T83</f>
        <v>315951.440770199</v>
      </c>
      <c r="U155" s="95" t="n">
        <f aca="false">U83</f>
        <v>335192.883513104</v>
      </c>
      <c r="V155" s="95" t="n">
        <f aca="false">V83</f>
        <v>355606.130119052</v>
      </c>
      <c r="W155" s="95"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7" t="s">
        <v>392</v>
      </c>
    </row>
    <row r="2" customFormat="false" ht="15" hidden="false" customHeight="false" outlineLevel="0" collapsed="false">
      <c r="A2" s="8" t="s">
        <v>393</v>
      </c>
    </row>
    <row r="4" customFormat="false" ht="15" hidden="false" customHeight="false" outlineLevel="0" collapsed="false">
      <c r="A4" s="9" t="s">
        <v>394</v>
      </c>
      <c r="B4" s="10"/>
    </row>
    <row r="5" customFormat="false" ht="15" hidden="false" customHeight="false" outlineLevel="0" collapsed="false">
      <c r="A5" s="11" t="s">
        <v>67</v>
      </c>
      <c r="B5" s="67" t="n">
        <v>1</v>
      </c>
    </row>
    <row r="6" customFormat="false" ht="15" hidden="false" customHeight="false" outlineLevel="0" collapsed="false">
      <c r="A6" s="11" t="s">
        <v>333</v>
      </c>
      <c r="B6" s="67" t="n">
        <v>1</v>
      </c>
    </row>
    <row r="7" customFormat="false" ht="15" hidden="false" customHeight="false" outlineLevel="0" collapsed="false">
      <c r="A7" s="11" t="s">
        <v>69</v>
      </c>
      <c r="B7" s="67" t="n">
        <v>1</v>
      </c>
    </row>
    <row r="8" customFormat="false" ht="15" hidden="false" customHeight="false" outlineLevel="0" collapsed="false">
      <c r="A8" s="11" t="s">
        <v>70</v>
      </c>
      <c r="B8" s="67" t="n">
        <v>1</v>
      </c>
    </row>
    <row r="9" customFormat="false" ht="15" hidden="false" customHeight="false" outlineLevel="0" collapsed="false">
      <c r="A9" s="11" t="s">
        <v>395</v>
      </c>
      <c r="B9" s="67" t="n">
        <v>1</v>
      </c>
    </row>
    <row r="10" customFormat="false" ht="15" hidden="false" customHeight="false" outlineLevel="0" collapsed="false">
      <c r="A10" s="11" t="s">
        <v>72</v>
      </c>
      <c r="B10" s="67" t="n">
        <v>1</v>
      </c>
    </row>
    <row r="11" customFormat="false" ht="15" hidden="false" customHeight="false" outlineLevel="0" collapsed="false">
      <c r="A11" s="11" t="s">
        <v>334</v>
      </c>
      <c r="B11" s="67" t="n">
        <f aca="false">1-SensDelta</f>
        <v>0.8</v>
      </c>
    </row>
    <row r="13" customFormat="false" ht="15" hidden="false" customHeight="false" outlineLevel="0" collapsed="false">
      <c r="A13" s="9" t="s">
        <v>396</v>
      </c>
      <c r="B13" s="10"/>
    </row>
    <row r="14" customFormat="false" ht="15" hidden="false" customHeight="false" outlineLevel="0" collapsed="false">
      <c r="A14" s="11" t="s">
        <v>397</v>
      </c>
      <c r="B14" s="66" t="n">
        <f aca="false">TotalCapexBase*LevCapex*$B$7</f>
        <v>1162734.14692871</v>
      </c>
    </row>
    <row r="15" customFormat="false" ht="15" hidden="false" customHeight="false" outlineLevel="0" collapsed="false">
      <c r="A15" s="11" t="s">
        <v>398</v>
      </c>
      <c r="B15" s="66" t="n">
        <f aca="false">HardCapexBase*LevCapex*$B$7</f>
        <v>1011073.17124235</v>
      </c>
    </row>
    <row r="16" customFormat="false" ht="15" hidden="false" customHeight="false" outlineLevel="0" collapsed="false">
      <c r="A16" s="11" t="s">
        <v>252</v>
      </c>
      <c r="B16" s="66" t="n">
        <f aca="false">MAX(0,S_Rate_Lo!$B$14-Grant)*SenPct</f>
        <v>112546.829385741</v>
      </c>
    </row>
    <row r="17" customFormat="false" ht="15" hidden="false" customHeight="false" outlineLevel="0" collapsed="false">
      <c r="A17" s="11" t="s">
        <v>254</v>
      </c>
      <c r="B17" s="66" t="n">
        <f aca="false">MAX(0,S_Rate_Lo!$B$14-Grant)*ConPct</f>
        <v>112546.829385741</v>
      </c>
    </row>
    <row r="18" customFormat="false" ht="15" hidden="false" customHeight="false" outlineLevel="0" collapsed="false">
      <c r="A18" s="11" t="s">
        <v>399</v>
      </c>
      <c r="B18" s="66" t="n">
        <f aca="false">MAX(0,S_Rate_Lo!$B$14-Grant-S_Rate_Lo!$B$16-S_Rate_Lo!$B$17)</f>
        <v>337640.488157224</v>
      </c>
    </row>
    <row r="19" customFormat="false" ht="15" hidden="false" customHeight="false" outlineLevel="0" collapsed="false">
      <c r="A19" s="11" t="s">
        <v>400</v>
      </c>
      <c r="B19" s="66" t="n">
        <f aca="false">C128</f>
        <v>5852.43512805856</v>
      </c>
    </row>
    <row r="20" customFormat="false" ht="15" hidden="false" customHeight="false" outlineLevel="0" collapsed="false">
      <c r="A20" s="11" t="s">
        <v>401</v>
      </c>
      <c r="B20" s="66" t="n">
        <f aca="false">$B$145</f>
        <v>-804952.496026467</v>
      </c>
    </row>
    <row r="21" customFormat="false" ht="15" hidden="false" customHeight="false" outlineLevel="0" collapsed="false">
      <c r="A21" s="11" t="s">
        <v>402</v>
      </c>
      <c r="B21" s="66" t="n">
        <f aca="false">$B$146</f>
        <v>12967.8646046378</v>
      </c>
    </row>
    <row r="22" customFormat="false" ht="15" hidden="false" customHeight="false" outlineLevel="0" collapsed="false">
      <c r="A22" s="11" t="s">
        <v>403</v>
      </c>
      <c r="B22" s="68" t="n">
        <f aca="false">IFERROR(IRR($C$145:$W$145),"n/a")</f>
        <v>-0.036858791966502</v>
      </c>
    </row>
    <row r="23" customFormat="false" ht="15" hidden="false" customHeight="false" outlineLevel="0" collapsed="false">
      <c r="A23" s="11" t="s">
        <v>404</v>
      </c>
      <c r="B23" s="68" t="n">
        <f aca="false">IFERROR(IRR($C$146:$W$146),"n/a")</f>
        <v>0.104999799483308</v>
      </c>
    </row>
    <row r="24" customFormat="false" ht="15" hidden="false" customHeight="false" outlineLevel="0" collapsed="false">
      <c r="A24" s="11" t="s">
        <v>390</v>
      </c>
      <c r="B24" s="66" t="n">
        <f aca="false">MAX(0,-$B$145)</f>
        <v>804952.496026467</v>
      </c>
    </row>
    <row r="25" customFormat="false" ht="15" hidden="false" customHeight="false" outlineLevel="0" collapsed="false">
      <c r="A25" s="11" t="s">
        <v>262</v>
      </c>
      <c r="B25" s="68" t="n">
        <f aca="false">IFERROR(IRR($C$149:$W$149),"n/a")</f>
        <v>0.109356405278428</v>
      </c>
    </row>
    <row r="26" customFormat="false" ht="15" hidden="false" customHeight="false" outlineLevel="0" collapsed="false">
      <c r="A26" s="11" t="s">
        <v>264</v>
      </c>
      <c r="B26" s="66" t="n">
        <f aca="false">C149+NPV(TargetEqIRR,D149:W149)</f>
        <v>-55275.7178271599</v>
      </c>
    </row>
    <row r="27" customFormat="false" ht="15" hidden="false" customHeight="false" outlineLevel="0" collapsed="false">
      <c r="A27" s="11" t="s">
        <v>258</v>
      </c>
      <c r="B27" s="67" t="n">
        <f aca="false">IF((S_Rate_Lo!$B$16+S_Rate_Lo!$B$17)&gt;0,MIN($D$148:$W$148),"no debt")</f>
        <v>1.41789710345006</v>
      </c>
    </row>
    <row r="28" customFormat="false" ht="15" hidden="false" customHeight="false" outlineLevel="0" collapsed="false">
      <c r="A28" s="11" t="s">
        <v>260</v>
      </c>
      <c r="B28" s="67" t="n">
        <f aca="false">IF((S_Rate_Lo!$B$16+S_Rate_Lo!$B$17)&gt;0,AVERAGE($D$148:$W$148),"no debt")</f>
        <v>3.28317469775489</v>
      </c>
    </row>
    <row r="29" customFormat="false" ht="15" hidden="false" customHeight="false" outlineLevel="0" collapsed="false">
      <c r="A29" s="11" t="s">
        <v>405</v>
      </c>
      <c r="B29" s="87" t="n">
        <f aca="false">IFERROR($B$153/$B$154,0)</f>
        <v>0.662907446653331</v>
      </c>
    </row>
    <row r="30" customFormat="false" ht="15" hidden="false" customHeight="false" outlineLevel="0" collapsed="false">
      <c r="A30" s="11" t="s">
        <v>261</v>
      </c>
      <c r="B30" s="87" t="n">
        <f aca="false">IFERROR($B$155/$B$154,0)</f>
        <v>0.44389628412399</v>
      </c>
    </row>
    <row r="31" customFormat="false" ht="15" hidden="false" customHeight="false" outlineLevel="0" collapsed="false">
      <c r="A31" s="11" t="s">
        <v>406</v>
      </c>
      <c r="B31" s="77" t="n">
        <f aca="false">NPV(Hurdle,D109:W109)</f>
        <v>838.820435762584</v>
      </c>
    </row>
    <row r="32" customFormat="false" ht="15" hidden="false" customHeight="false" outlineLevel="0" collapsed="false">
      <c r="A32" s="11" t="s">
        <v>407</v>
      </c>
      <c r="B32" s="66" t="n">
        <f aca="false">NPV(Hurdle,D108:W108)</f>
        <v>217920.360631104</v>
      </c>
    </row>
    <row r="33" customFormat="false" ht="15" hidden="false" customHeight="false" outlineLevel="0" collapsed="false">
      <c r="A33" s="11" t="s">
        <v>408</v>
      </c>
      <c r="B33" s="77" t="n">
        <f aca="false">NPV(TargetEqIRR,D109:W109)</f>
        <v>785.120407660064</v>
      </c>
    </row>
    <row r="34" customFormat="false" ht="15" hidden="false" customHeight="false" outlineLevel="0" collapsed="false">
      <c r="A34" s="11" t="s">
        <v>409</v>
      </c>
      <c r="B34" s="66" t="n">
        <f aca="false">NPV(TargetEqIRR,D108:W108)</f>
        <v>203969.425495192</v>
      </c>
    </row>
    <row r="35" customFormat="false" ht="15" hidden="false" customHeight="false" outlineLevel="0" collapsed="false">
      <c r="A35" s="11" t="s">
        <v>410</v>
      </c>
      <c r="B35" s="66" t="n">
        <f aca="false">MAX(0,MIN($D$127:$W$127))</f>
        <v>129421.003373409</v>
      </c>
    </row>
    <row r="36" customFormat="false" ht="15" hidden="false" customHeight="false" outlineLevel="0" collapsed="false">
      <c r="A36" s="11" t="s">
        <v>266</v>
      </c>
      <c r="B36" s="88" t="n">
        <f aca="false">IFERROR(MATCH(TRUE(),INDEX($C$150:$W$150&gt;=0,0),0)-1,"&gt; life")</f>
        <v>9</v>
      </c>
    </row>
    <row r="39" customFormat="false" ht="15" hidden="false" customHeight="false" outlineLevel="0" collapsed="false">
      <c r="A39" s="16" t="s">
        <v>411</v>
      </c>
      <c r="B39" s="74" t="s">
        <v>412</v>
      </c>
      <c r="C39" s="89" t="n">
        <v>0</v>
      </c>
      <c r="D39" s="89" t="n">
        <v>1</v>
      </c>
      <c r="E39" s="89" t="n">
        <v>2</v>
      </c>
      <c r="F39" s="89" t="n">
        <v>3</v>
      </c>
      <c r="G39" s="89" t="n">
        <v>4</v>
      </c>
      <c r="H39" s="89" t="n">
        <v>5</v>
      </c>
      <c r="I39" s="89" t="n">
        <v>6</v>
      </c>
      <c r="J39" s="89" t="n">
        <v>7</v>
      </c>
      <c r="K39" s="89" t="n">
        <v>8</v>
      </c>
      <c r="L39" s="89" t="n">
        <v>9</v>
      </c>
      <c r="M39" s="89" t="n">
        <v>10</v>
      </c>
      <c r="N39" s="89" t="n">
        <v>11</v>
      </c>
      <c r="O39" s="89" t="n">
        <v>12</v>
      </c>
      <c r="P39" s="89" t="n">
        <v>13</v>
      </c>
      <c r="Q39" s="89" t="n">
        <v>14</v>
      </c>
      <c r="R39" s="89" t="n">
        <v>15</v>
      </c>
      <c r="S39" s="89" t="n">
        <v>16</v>
      </c>
      <c r="T39" s="89" t="n">
        <v>17</v>
      </c>
      <c r="U39" s="89" t="n">
        <v>18</v>
      </c>
      <c r="V39" s="89" t="n">
        <v>19</v>
      </c>
      <c r="W39" s="89" t="n">
        <v>20</v>
      </c>
    </row>
    <row r="40" customFormat="false" ht="15" hidden="false" customHeight="false" outlineLevel="0" collapsed="false">
      <c r="A40" s="11" t="s">
        <v>413</v>
      </c>
      <c r="C40" s="90" t="n">
        <f aca="false">StartYear-1+C39</f>
        <v>2026</v>
      </c>
      <c r="D40" s="90" t="n">
        <f aca="false">StartYear-1+D39</f>
        <v>2027</v>
      </c>
      <c r="E40" s="90" t="n">
        <f aca="false">StartYear-1+E39</f>
        <v>2028</v>
      </c>
      <c r="F40" s="90" t="n">
        <f aca="false">StartYear-1+F39</f>
        <v>2029</v>
      </c>
      <c r="G40" s="90" t="n">
        <f aca="false">StartYear-1+G39</f>
        <v>2030</v>
      </c>
      <c r="H40" s="90" t="n">
        <f aca="false">StartYear-1+H39</f>
        <v>2031</v>
      </c>
      <c r="I40" s="90" t="n">
        <f aca="false">StartYear-1+I39</f>
        <v>2032</v>
      </c>
      <c r="J40" s="90" t="n">
        <f aca="false">StartYear-1+J39</f>
        <v>2033</v>
      </c>
      <c r="K40" s="90" t="n">
        <f aca="false">StartYear-1+K39</f>
        <v>2034</v>
      </c>
      <c r="L40" s="90" t="n">
        <f aca="false">StartYear-1+L39</f>
        <v>2035</v>
      </c>
      <c r="M40" s="90" t="n">
        <f aca="false">StartYear-1+M39</f>
        <v>2036</v>
      </c>
      <c r="N40" s="90" t="n">
        <f aca="false">StartYear-1+N39</f>
        <v>2037</v>
      </c>
      <c r="O40" s="90" t="n">
        <f aca="false">StartYear-1+O39</f>
        <v>2038</v>
      </c>
      <c r="P40" s="90" t="n">
        <f aca="false">StartYear-1+P39</f>
        <v>2039</v>
      </c>
      <c r="Q40" s="90" t="n">
        <f aca="false">StartYear-1+Q39</f>
        <v>2040</v>
      </c>
      <c r="R40" s="90" t="n">
        <f aca="false">StartYear-1+R39</f>
        <v>2041</v>
      </c>
      <c r="S40" s="90" t="n">
        <f aca="false">StartYear-1+S39</f>
        <v>2042</v>
      </c>
      <c r="T40" s="90" t="n">
        <f aca="false">StartYear-1+T39</f>
        <v>2043</v>
      </c>
      <c r="U40" s="90" t="n">
        <f aca="false">StartYear-1+U39</f>
        <v>2044</v>
      </c>
      <c r="V40" s="90" t="n">
        <f aca="false">StartYear-1+V39</f>
        <v>2045</v>
      </c>
      <c r="W40" s="90" t="n">
        <f aca="false">StartYear-1+W39</f>
        <v>2046</v>
      </c>
    </row>
    <row r="41" customFormat="false" ht="15" hidden="false" customHeight="false" outlineLevel="0" collapsed="false">
      <c r="A41" s="11" t="s">
        <v>414</v>
      </c>
      <c r="C41" s="90" t="n">
        <f aca="false">IF(AND(C39&gt;=1,C39&lt;=Life),1,0)</f>
        <v>0</v>
      </c>
      <c r="D41" s="90" t="n">
        <f aca="false">IF(AND(D39&gt;=1,D39&lt;=Life),1,0)</f>
        <v>1</v>
      </c>
      <c r="E41" s="90" t="n">
        <f aca="false">IF(AND(E39&gt;=1,E39&lt;=Life),1,0)</f>
        <v>1</v>
      </c>
      <c r="F41" s="90" t="n">
        <f aca="false">IF(AND(F39&gt;=1,F39&lt;=Life),1,0)</f>
        <v>1</v>
      </c>
      <c r="G41" s="90" t="n">
        <f aca="false">IF(AND(G39&gt;=1,G39&lt;=Life),1,0)</f>
        <v>1</v>
      </c>
      <c r="H41" s="90" t="n">
        <f aca="false">IF(AND(H39&gt;=1,H39&lt;=Life),1,0)</f>
        <v>1</v>
      </c>
      <c r="I41" s="90" t="n">
        <f aca="false">IF(AND(I39&gt;=1,I39&lt;=Life),1,0)</f>
        <v>1</v>
      </c>
      <c r="J41" s="90" t="n">
        <f aca="false">IF(AND(J39&gt;=1,J39&lt;=Life),1,0)</f>
        <v>1</v>
      </c>
      <c r="K41" s="90" t="n">
        <f aca="false">IF(AND(K39&gt;=1,K39&lt;=Life),1,0)</f>
        <v>1</v>
      </c>
      <c r="L41" s="90" t="n">
        <f aca="false">IF(AND(L39&gt;=1,L39&lt;=Life),1,0)</f>
        <v>1</v>
      </c>
      <c r="M41" s="90" t="n">
        <f aca="false">IF(AND(M39&gt;=1,M39&lt;=Life),1,0)</f>
        <v>1</v>
      </c>
      <c r="N41" s="90" t="n">
        <f aca="false">IF(AND(N39&gt;=1,N39&lt;=Life),1,0)</f>
        <v>1</v>
      </c>
      <c r="O41" s="90" t="n">
        <f aca="false">IF(AND(O39&gt;=1,O39&lt;=Life),1,0)</f>
        <v>1</v>
      </c>
      <c r="P41" s="90" t="n">
        <f aca="false">IF(AND(P39&gt;=1,P39&lt;=Life),1,0)</f>
        <v>1</v>
      </c>
      <c r="Q41" s="90" t="n">
        <f aca="false">IF(AND(Q39&gt;=1,Q39&lt;=Life),1,0)</f>
        <v>1</v>
      </c>
      <c r="R41" s="90" t="n">
        <f aca="false">IF(AND(R39&gt;=1,R39&lt;=Life),1,0)</f>
        <v>1</v>
      </c>
      <c r="S41" s="90" t="n">
        <f aca="false">IF(AND(S39&gt;=1,S39&lt;=Life),1,0)</f>
        <v>1</v>
      </c>
      <c r="T41" s="90" t="n">
        <f aca="false">IF(AND(T39&gt;=1,T39&lt;=Life),1,0)</f>
        <v>1</v>
      </c>
      <c r="U41" s="90" t="n">
        <f aca="false">IF(AND(U39&gt;=1,U39&lt;=Life),1,0)</f>
        <v>1</v>
      </c>
      <c r="V41" s="90" t="n">
        <f aca="false">IF(AND(V39&gt;=1,V39&lt;=Life),1,0)</f>
        <v>1</v>
      </c>
      <c r="W41" s="90" t="n">
        <f aca="false">IF(AND(W39&gt;=1,W39&lt;=Life),1,0)</f>
        <v>1</v>
      </c>
    </row>
    <row r="42" customFormat="false" ht="15" hidden="false" customHeight="false" outlineLevel="0" collapsed="false">
      <c r="A42" s="11" t="s">
        <v>415</v>
      </c>
      <c r="C42" s="91" t="n">
        <v>0</v>
      </c>
      <c r="D42" s="91" t="n">
        <f aca="false">IF(D39=1,Ramp1,IF(D39=2,Ramp2,Ramp3))*D41</f>
        <v>0.6</v>
      </c>
      <c r="E42" s="91" t="n">
        <f aca="false">IF(E39=1,Ramp1,IF(E39=2,Ramp2,Ramp3))*E41</f>
        <v>0.85</v>
      </c>
      <c r="F42" s="91" t="n">
        <f aca="false">IF(F39=1,Ramp1,IF(F39=2,Ramp2,Ramp3))*F41</f>
        <v>1</v>
      </c>
      <c r="G42" s="91" t="n">
        <f aca="false">IF(G39=1,Ramp1,IF(G39=2,Ramp2,Ramp3))*G41</f>
        <v>1</v>
      </c>
      <c r="H42" s="91" t="n">
        <f aca="false">IF(H39=1,Ramp1,IF(H39=2,Ramp2,Ramp3))*H41</f>
        <v>1</v>
      </c>
      <c r="I42" s="91" t="n">
        <f aca="false">IF(I39=1,Ramp1,IF(I39=2,Ramp2,Ramp3))*I41</f>
        <v>1</v>
      </c>
      <c r="J42" s="91" t="n">
        <f aca="false">IF(J39=1,Ramp1,IF(J39=2,Ramp2,Ramp3))*J41</f>
        <v>1</v>
      </c>
      <c r="K42" s="91" t="n">
        <f aca="false">IF(K39=1,Ramp1,IF(K39=2,Ramp2,Ramp3))*K41</f>
        <v>1</v>
      </c>
      <c r="L42" s="91" t="n">
        <f aca="false">IF(L39=1,Ramp1,IF(L39=2,Ramp2,Ramp3))*L41</f>
        <v>1</v>
      </c>
      <c r="M42" s="91" t="n">
        <f aca="false">IF(M39=1,Ramp1,IF(M39=2,Ramp2,Ramp3))*M41</f>
        <v>1</v>
      </c>
      <c r="N42" s="91" t="n">
        <f aca="false">IF(N39=1,Ramp1,IF(N39=2,Ramp2,Ramp3))*N41</f>
        <v>1</v>
      </c>
      <c r="O42" s="91" t="n">
        <f aca="false">IF(O39=1,Ramp1,IF(O39=2,Ramp2,Ramp3))*O41</f>
        <v>1</v>
      </c>
      <c r="P42" s="91" t="n">
        <f aca="false">IF(P39=1,Ramp1,IF(P39=2,Ramp2,Ramp3))*P41</f>
        <v>1</v>
      </c>
      <c r="Q42" s="91" t="n">
        <f aca="false">IF(Q39=1,Ramp1,IF(Q39=2,Ramp2,Ramp3))*Q41</f>
        <v>1</v>
      </c>
      <c r="R42" s="91" t="n">
        <f aca="false">IF(R39=1,Ramp1,IF(R39=2,Ramp2,Ramp3))*R41</f>
        <v>1</v>
      </c>
      <c r="S42" s="91" t="n">
        <f aca="false">IF(S39=1,Ramp1,IF(S39=2,Ramp2,Ramp3))*S41</f>
        <v>1</v>
      </c>
      <c r="T42" s="91" t="n">
        <f aca="false">IF(T39=1,Ramp1,IF(T39=2,Ramp2,Ramp3))*T41</f>
        <v>1</v>
      </c>
      <c r="U42" s="91" t="n">
        <f aca="false">IF(U39=1,Ramp1,IF(U39=2,Ramp2,Ramp3))*U41</f>
        <v>1</v>
      </c>
      <c r="V42" s="91" t="n">
        <f aca="false">IF(V39=1,Ramp1,IF(V39=2,Ramp2,Ramp3))*V41</f>
        <v>1</v>
      </c>
      <c r="W42" s="91" t="n">
        <f aca="false">IF(W39=1,Ramp1,IF(W39=2,Ramp2,Ramp3))*W41</f>
        <v>1</v>
      </c>
    </row>
    <row r="43" customFormat="false" ht="15" hidden="false" customHeight="false" outlineLevel="0" collapsed="false">
      <c r="A43" s="11" t="s">
        <v>416</v>
      </c>
      <c r="C43" s="92" t="n">
        <v>0</v>
      </c>
      <c r="D43" s="92" t="n">
        <f aca="false">(1+TariffEsc)^(D39-1)</f>
        <v>1</v>
      </c>
      <c r="E43" s="92" t="n">
        <f aca="false">(1+TariffEsc)^(E39-1)</f>
        <v>1.03</v>
      </c>
      <c r="F43" s="92" t="n">
        <f aca="false">(1+TariffEsc)^(F39-1)</f>
        <v>1.0609</v>
      </c>
      <c r="G43" s="92" t="n">
        <f aca="false">(1+TariffEsc)^(G39-1)</f>
        <v>1.092727</v>
      </c>
      <c r="H43" s="92" t="n">
        <f aca="false">(1+TariffEsc)^(H39-1)</f>
        <v>1.12550881</v>
      </c>
      <c r="I43" s="92" t="n">
        <f aca="false">(1+TariffEsc)^(I39-1)</f>
        <v>1.1592740743</v>
      </c>
      <c r="J43" s="92" t="n">
        <f aca="false">(1+TariffEsc)^(J39-1)</f>
        <v>1.194052296529</v>
      </c>
      <c r="K43" s="92" t="n">
        <f aca="false">(1+TariffEsc)^(K39-1)</f>
        <v>1.22987386542487</v>
      </c>
      <c r="L43" s="92" t="n">
        <f aca="false">(1+TariffEsc)^(L39-1)</f>
        <v>1.26677008138762</v>
      </c>
      <c r="M43" s="92" t="n">
        <f aca="false">(1+TariffEsc)^(M39-1)</f>
        <v>1.30477318382925</v>
      </c>
      <c r="N43" s="92" t="n">
        <f aca="false">(1+TariffEsc)^(N39-1)</f>
        <v>1.34391637934412</v>
      </c>
      <c r="O43" s="92" t="n">
        <f aca="false">(1+TariffEsc)^(O39-1)</f>
        <v>1.38423387072445</v>
      </c>
      <c r="P43" s="92" t="n">
        <f aca="false">(1+TariffEsc)^(P39-1)</f>
        <v>1.42576088684618</v>
      </c>
      <c r="Q43" s="92" t="n">
        <f aca="false">(1+TariffEsc)^(Q39-1)</f>
        <v>1.46853371345156</v>
      </c>
      <c r="R43" s="92" t="n">
        <f aca="false">(1+TariffEsc)^(R39-1)</f>
        <v>1.51258972485511</v>
      </c>
      <c r="S43" s="92" t="n">
        <f aca="false">(1+TariffEsc)^(S39-1)</f>
        <v>1.55796741660077</v>
      </c>
      <c r="T43" s="92" t="n">
        <f aca="false">(1+TariffEsc)^(T39-1)</f>
        <v>1.60470643909879</v>
      </c>
      <c r="U43" s="92" t="n">
        <f aca="false">(1+TariffEsc)^(U39-1)</f>
        <v>1.65284763227175</v>
      </c>
      <c r="V43" s="92" t="n">
        <f aca="false">(1+TariffEsc)^(V39-1)</f>
        <v>1.7024330612399</v>
      </c>
      <c r="W43" s="92" t="n">
        <f aca="false">(1+TariffEsc)^(W39-1)</f>
        <v>1.7535060530771</v>
      </c>
    </row>
    <row r="44" customFormat="false" ht="15" hidden="false" customHeight="false" outlineLevel="0" collapsed="false">
      <c r="A44" s="11" t="s">
        <v>417</v>
      </c>
      <c r="C44" s="92" t="n">
        <v>0</v>
      </c>
      <c r="D44" s="92" t="n">
        <f aca="false">(1+CostEsc)^(D39-1)</f>
        <v>1</v>
      </c>
      <c r="E44" s="92" t="n">
        <f aca="false">(1+CostEsc)^(E39-1)</f>
        <v>1.03</v>
      </c>
      <c r="F44" s="92" t="n">
        <f aca="false">(1+CostEsc)^(F39-1)</f>
        <v>1.0609</v>
      </c>
      <c r="G44" s="92" t="n">
        <f aca="false">(1+CostEsc)^(G39-1)</f>
        <v>1.092727</v>
      </c>
      <c r="H44" s="92" t="n">
        <f aca="false">(1+CostEsc)^(H39-1)</f>
        <v>1.12550881</v>
      </c>
      <c r="I44" s="92" t="n">
        <f aca="false">(1+CostEsc)^(I39-1)</f>
        <v>1.1592740743</v>
      </c>
      <c r="J44" s="92" t="n">
        <f aca="false">(1+CostEsc)^(J39-1)</f>
        <v>1.194052296529</v>
      </c>
      <c r="K44" s="92" t="n">
        <f aca="false">(1+CostEsc)^(K39-1)</f>
        <v>1.22987386542487</v>
      </c>
      <c r="L44" s="92" t="n">
        <f aca="false">(1+CostEsc)^(L39-1)</f>
        <v>1.26677008138762</v>
      </c>
      <c r="M44" s="92" t="n">
        <f aca="false">(1+CostEsc)^(M39-1)</f>
        <v>1.30477318382925</v>
      </c>
      <c r="N44" s="92" t="n">
        <f aca="false">(1+CostEsc)^(N39-1)</f>
        <v>1.34391637934412</v>
      </c>
      <c r="O44" s="92" t="n">
        <f aca="false">(1+CostEsc)^(O39-1)</f>
        <v>1.38423387072445</v>
      </c>
      <c r="P44" s="92" t="n">
        <f aca="false">(1+CostEsc)^(P39-1)</f>
        <v>1.42576088684618</v>
      </c>
      <c r="Q44" s="92" t="n">
        <f aca="false">(1+CostEsc)^(Q39-1)</f>
        <v>1.46853371345156</v>
      </c>
      <c r="R44" s="92" t="n">
        <f aca="false">(1+CostEsc)^(R39-1)</f>
        <v>1.51258972485511</v>
      </c>
      <c r="S44" s="92" t="n">
        <f aca="false">(1+CostEsc)^(S39-1)</f>
        <v>1.55796741660077</v>
      </c>
      <c r="T44" s="92" t="n">
        <f aca="false">(1+CostEsc)^(T39-1)</f>
        <v>1.60470643909879</v>
      </c>
      <c r="U44" s="92" t="n">
        <f aca="false">(1+CostEsc)^(U39-1)</f>
        <v>1.65284763227175</v>
      </c>
      <c r="V44" s="92" t="n">
        <f aca="false">(1+CostEsc)^(V39-1)</f>
        <v>1.7024330612399</v>
      </c>
      <c r="W44" s="92" t="n">
        <f aca="false">(1+CostEsc)^(W39-1)</f>
        <v>1.7535060530771</v>
      </c>
    </row>
    <row r="45" customFormat="false" ht="15" hidden="false" customHeight="false" outlineLevel="0" collapsed="false">
      <c r="A45" s="11" t="s">
        <v>418</v>
      </c>
      <c r="C45" s="92" t="n">
        <v>0</v>
      </c>
      <c r="D45" s="92" t="n">
        <f aca="false">(1+DemandGrowth)^(D39-1)*LevDemand*$B$6</f>
        <v>1</v>
      </c>
      <c r="E45" s="92" t="n">
        <f aca="false">(1+DemandGrowth)^(E39-1)*LevDemand*$B$6</f>
        <v>1.03</v>
      </c>
      <c r="F45" s="92" t="n">
        <f aca="false">(1+DemandGrowth)^(F39-1)*LevDemand*$B$6</f>
        <v>1.0609</v>
      </c>
      <c r="G45" s="92" t="n">
        <f aca="false">(1+DemandGrowth)^(G39-1)*LevDemand*$B$6</f>
        <v>1.092727</v>
      </c>
      <c r="H45" s="92" t="n">
        <f aca="false">(1+DemandGrowth)^(H39-1)*LevDemand*$B$6</f>
        <v>1.12550881</v>
      </c>
      <c r="I45" s="92" t="n">
        <f aca="false">(1+DemandGrowth)^(I39-1)*LevDemand*$B$6</f>
        <v>1.1592740743</v>
      </c>
      <c r="J45" s="92" t="n">
        <f aca="false">(1+DemandGrowth)^(J39-1)*LevDemand*$B$6</f>
        <v>1.194052296529</v>
      </c>
      <c r="K45" s="92" t="n">
        <f aca="false">(1+DemandGrowth)^(K39-1)*LevDemand*$B$6</f>
        <v>1.22987386542487</v>
      </c>
      <c r="L45" s="92" t="n">
        <f aca="false">(1+DemandGrowth)^(L39-1)*LevDemand*$B$6</f>
        <v>1.26677008138762</v>
      </c>
      <c r="M45" s="92" t="n">
        <f aca="false">(1+DemandGrowth)^(M39-1)*LevDemand*$B$6</f>
        <v>1.30477318382925</v>
      </c>
      <c r="N45" s="92" t="n">
        <f aca="false">(1+DemandGrowth)^(N39-1)*LevDemand*$B$6</f>
        <v>1.34391637934412</v>
      </c>
      <c r="O45" s="92" t="n">
        <f aca="false">(1+DemandGrowth)^(O39-1)*LevDemand*$B$6</f>
        <v>1.38423387072445</v>
      </c>
      <c r="P45" s="92" t="n">
        <f aca="false">(1+DemandGrowth)^(P39-1)*LevDemand*$B$6</f>
        <v>1.42576088684618</v>
      </c>
      <c r="Q45" s="92" t="n">
        <f aca="false">(1+DemandGrowth)^(Q39-1)*LevDemand*$B$6</f>
        <v>1.46853371345156</v>
      </c>
      <c r="R45" s="92" t="n">
        <f aca="false">(1+DemandGrowth)^(R39-1)*LevDemand*$B$6</f>
        <v>1.51258972485511</v>
      </c>
      <c r="S45" s="92" t="n">
        <f aca="false">(1+DemandGrowth)^(S39-1)*LevDemand*$B$6</f>
        <v>1.55796741660077</v>
      </c>
      <c r="T45" s="92" t="n">
        <f aca="false">(1+DemandGrowth)^(T39-1)*LevDemand*$B$6</f>
        <v>1.60470643909879</v>
      </c>
      <c r="U45" s="92" t="n">
        <f aca="false">(1+DemandGrowth)^(U39-1)*LevDemand*$B$6</f>
        <v>1.65284763227175</v>
      </c>
      <c r="V45" s="92" t="n">
        <f aca="false">(1+DemandGrowth)^(V39-1)*LevDemand*$B$6</f>
        <v>1.7024330612399</v>
      </c>
      <c r="W45" s="92" t="n">
        <f aca="false">(1+DemandGrowth)^(W39-1)*LevDemand*$B$6</f>
        <v>1.7535060530771</v>
      </c>
    </row>
    <row r="47" customFormat="false" ht="15" hidden="false" customHeight="false" outlineLevel="0" collapsed="false">
      <c r="A47" s="9" t="s">
        <v>419</v>
      </c>
      <c r="B47" s="10"/>
      <c r="C47" s="10"/>
      <c r="D47" s="10"/>
      <c r="E47" s="10"/>
      <c r="F47" s="10"/>
      <c r="G47" s="10"/>
      <c r="H47" s="10"/>
      <c r="I47" s="10"/>
      <c r="J47" s="10"/>
      <c r="K47" s="10"/>
      <c r="L47" s="10"/>
      <c r="M47" s="10"/>
      <c r="N47" s="10"/>
      <c r="O47" s="10"/>
      <c r="P47" s="10"/>
      <c r="Q47" s="10"/>
      <c r="R47" s="10"/>
      <c r="S47" s="10"/>
      <c r="T47" s="10"/>
      <c r="U47" s="10"/>
      <c r="V47" s="10"/>
      <c r="W47" s="10"/>
    </row>
    <row r="48" customFormat="false" ht="15" hidden="false" customHeight="false" outlineLevel="0" collapsed="false">
      <c r="A48" s="11" t="str">
        <f aca="false">"Connections - "&amp;Seg1_Name</f>
        <v>Connections - Households</v>
      </c>
      <c r="C48" s="93" t="n">
        <v>0</v>
      </c>
      <c r="D48" s="93" t="n">
        <f aca="false">Seg1_N*D42</f>
        <v>480</v>
      </c>
      <c r="E48" s="93" t="n">
        <f aca="false">Seg1_N*E42</f>
        <v>680</v>
      </c>
      <c r="F48" s="93" t="n">
        <f aca="false">Seg1_N*F42</f>
        <v>800</v>
      </c>
      <c r="G48" s="93" t="n">
        <f aca="false">Seg1_N*G42</f>
        <v>800</v>
      </c>
      <c r="H48" s="93" t="n">
        <f aca="false">Seg1_N*H42</f>
        <v>800</v>
      </c>
      <c r="I48" s="93" t="n">
        <f aca="false">Seg1_N*I42</f>
        <v>800</v>
      </c>
      <c r="J48" s="93" t="n">
        <f aca="false">Seg1_N*J42</f>
        <v>800</v>
      </c>
      <c r="K48" s="93" t="n">
        <f aca="false">Seg1_N*K42</f>
        <v>800</v>
      </c>
      <c r="L48" s="93" t="n">
        <f aca="false">Seg1_N*L42</f>
        <v>800</v>
      </c>
      <c r="M48" s="93" t="n">
        <f aca="false">Seg1_N*M42</f>
        <v>800</v>
      </c>
      <c r="N48" s="93" t="n">
        <f aca="false">Seg1_N*N42</f>
        <v>800</v>
      </c>
      <c r="O48" s="93" t="n">
        <f aca="false">Seg1_N*O42</f>
        <v>800</v>
      </c>
      <c r="P48" s="93" t="n">
        <f aca="false">Seg1_N*P42</f>
        <v>800</v>
      </c>
      <c r="Q48" s="93" t="n">
        <f aca="false">Seg1_N*Q42</f>
        <v>800</v>
      </c>
      <c r="R48" s="93" t="n">
        <f aca="false">Seg1_N*R42</f>
        <v>800</v>
      </c>
      <c r="S48" s="93" t="n">
        <f aca="false">Seg1_N*S42</f>
        <v>800</v>
      </c>
      <c r="T48" s="93" t="n">
        <f aca="false">Seg1_N*T42</f>
        <v>800</v>
      </c>
      <c r="U48" s="93" t="n">
        <f aca="false">Seg1_N*U42</f>
        <v>800</v>
      </c>
      <c r="V48" s="93" t="n">
        <f aca="false">Seg1_N*V42</f>
        <v>800</v>
      </c>
      <c r="W48" s="93" t="n">
        <f aca="false">Seg1_N*W42</f>
        <v>800</v>
      </c>
    </row>
    <row r="49" customFormat="false" ht="15" hidden="false" customHeight="false" outlineLevel="0" collapsed="false">
      <c r="A49" s="11" t="str">
        <f aca="false">"Connections - "&amp;Seg2_Name</f>
        <v>Connections - Productive users (mills, welding, cold rooms)</v>
      </c>
      <c r="C49" s="93" t="n">
        <v>0</v>
      </c>
      <c r="D49" s="93" t="n">
        <f aca="false">Seg2_N*D42</f>
        <v>36</v>
      </c>
      <c r="E49" s="93" t="n">
        <f aca="false">Seg2_N*E42</f>
        <v>51</v>
      </c>
      <c r="F49" s="93" t="n">
        <f aca="false">Seg2_N*F42</f>
        <v>60</v>
      </c>
      <c r="G49" s="93" t="n">
        <f aca="false">Seg2_N*G42</f>
        <v>60</v>
      </c>
      <c r="H49" s="93" t="n">
        <f aca="false">Seg2_N*H42</f>
        <v>60</v>
      </c>
      <c r="I49" s="93" t="n">
        <f aca="false">Seg2_N*I42</f>
        <v>60</v>
      </c>
      <c r="J49" s="93" t="n">
        <f aca="false">Seg2_N*J42</f>
        <v>60</v>
      </c>
      <c r="K49" s="93" t="n">
        <f aca="false">Seg2_N*K42</f>
        <v>60</v>
      </c>
      <c r="L49" s="93" t="n">
        <f aca="false">Seg2_N*L42</f>
        <v>60</v>
      </c>
      <c r="M49" s="93" t="n">
        <f aca="false">Seg2_N*M42</f>
        <v>60</v>
      </c>
      <c r="N49" s="93" t="n">
        <f aca="false">Seg2_N*N42</f>
        <v>60</v>
      </c>
      <c r="O49" s="93" t="n">
        <f aca="false">Seg2_N*O42</f>
        <v>60</v>
      </c>
      <c r="P49" s="93" t="n">
        <f aca="false">Seg2_N*P42</f>
        <v>60</v>
      </c>
      <c r="Q49" s="93" t="n">
        <f aca="false">Seg2_N*Q42</f>
        <v>60</v>
      </c>
      <c r="R49" s="93" t="n">
        <f aca="false">Seg2_N*R42</f>
        <v>60</v>
      </c>
      <c r="S49" s="93" t="n">
        <f aca="false">Seg2_N*S42</f>
        <v>60</v>
      </c>
      <c r="T49" s="93" t="n">
        <f aca="false">Seg2_N*T42</f>
        <v>60</v>
      </c>
      <c r="U49" s="93" t="n">
        <f aca="false">Seg2_N*U42</f>
        <v>60</v>
      </c>
      <c r="V49" s="93" t="n">
        <f aca="false">Seg2_N*V42</f>
        <v>60</v>
      </c>
      <c r="W49" s="93" t="n">
        <f aca="false">Seg2_N*W42</f>
        <v>60</v>
      </c>
    </row>
    <row r="50" customFormat="false" ht="15" hidden="false" customHeight="false" outlineLevel="0" collapsed="false">
      <c r="A50" s="11" t="str">
        <f aca="false">"Connections - "&amp;Seg3_Name</f>
        <v>Connections - Commercial (shops, bars, kiosks)</v>
      </c>
      <c r="C50" s="93" t="n">
        <v>0</v>
      </c>
      <c r="D50" s="93" t="n">
        <f aca="false">Seg3_N*D42</f>
        <v>60</v>
      </c>
      <c r="E50" s="93" t="n">
        <f aca="false">Seg3_N*E42</f>
        <v>85</v>
      </c>
      <c r="F50" s="93" t="n">
        <f aca="false">Seg3_N*F42</f>
        <v>100</v>
      </c>
      <c r="G50" s="93" t="n">
        <f aca="false">Seg3_N*G42</f>
        <v>100</v>
      </c>
      <c r="H50" s="93" t="n">
        <f aca="false">Seg3_N*H42</f>
        <v>100</v>
      </c>
      <c r="I50" s="93" t="n">
        <f aca="false">Seg3_N*I42</f>
        <v>100</v>
      </c>
      <c r="J50" s="93" t="n">
        <f aca="false">Seg3_N*J42</f>
        <v>100</v>
      </c>
      <c r="K50" s="93" t="n">
        <f aca="false">Seg3_N*K42</f>
        <v>100</v>
      </c>
      <c r="L50" s="93" t="n">
        <f aca="false">Seg3_N*L42</f>
        <v>100</v>
      </c>
      <c r="M50" s="93" t="n">
        <f aca="false">Seg3_N*M42</f>
        <v>100</v>
      </c>
      <c r="N50" s="93" t="n">
        <f aca="false">Seg3_N*N42</f>
        <v>100</v>
      </c>
      <c r="O50" s="93" t="n">
        <f aca="false">Seg3_N*O42</f>
        <v>100</v>
      </c>
      <c r="P50" s="93" t="n">
        <f aca="false">Seg3_N*P42</f>
        <v>100</v>
      </c>
      <c r="Q50" s="93" t="n">
        <f aca="false">Seg3_N*Q42</f>
        <v>100</v>
      </c>
      <c r="R50" s="93" t="n">
        <f aca="false">Seg3_N*R42</f>
        <v>100</v>
      </c>
      <c r="S50" s="93" t="n">
        <f aca="false">Seg3_N*S42</f>
        <v>100</v>
      </c>
      <c r="T50" s="93" t="n">
        <f aca="false">Seg3_N*T42</f>
        <v>100</v>
      </c>
      <c r="U50" s="93" t="n">
        <f aca="false">Seg3_N*U42</f>
        <v>100</v>
      </c>
      <c r="V50" s="93" t="n">
        <f aca="false">Seg3_N*V42</f>
        <v>100</v>
      </c>
      <c r="W50" s="93" t="n">
        <f aca="false">Seg3_N*W42</f>
        <v>100</v>
      </c>
    </row>
    <row r="51" customFormat="false" ht="15" hidden="false" customHeight="false" outlineLevel="0" collapsed="false">
      <c r="A51" s="11" t="str">
        <f aca="false">"Connections - "&amp;Seg4_Name</f>
        <v>Connections - Institutions (health centre, school, water)</v>
      </c>
      <c r="C51" s="93" t="n">
        <v>0</v>
      </c>
      <c r="D51" s="93" t="n">
        <f aca="false">Seg4_N*D42</f>
        <v>6</v>
      </c>
      <c r="E51" s="93" t="n">
        <f aca="false">Seg4_N*E42</f>
        <v>8.5</v>
      </c>
      <c r="F51" s="93" t="n">
        <f aca="false">Seg4_N*F42</f>
        <v>10</v>
      </c>
      <c r="G51" s="93" t="n">
        <f aca="false">Seg4_N*G42</f>
        <v>10</v>
      </c>
      <c r="H51" s="93" t="n">
        <f aca="false">Seg4_N*H42</f>
        <v>10</v>
      </c>
      <c r="I51" s="93" t="n">
        <f aca="false">Seg4_N*I42</f>
        <v>10</v>
      </c>
      <c r="J51" s="93" t="n">
        <f aca="false">Seg4_N*J42</f>
        <v>10</v>
      </c>
      <c r="K51" s="93" t="n">
        <f aca="false">Seg4_N*K42</f>
        <v>10</v>
      </c>
      <c r="L51" s="93" t="n">
        <f aca="false">Seg4_N*L42</f>
        <v>10</v>
      </c>
      <c r="M51" s="93" t="n">
        <f aca="false">Seg4_N*M42</f>
        <v>10</v>
      </c>
      <c r="N51" s="93" t="n">
        <f aca="false">Seg4_N*N42</f>
        <v>10</v>
      </c>
      <c r="O51" s="93" t="n">
        <f aca="false">Seg4_N*O42</f>
        <v>10</v>
      </c>
      <c r="P51" s="93" t="n">
        <f aca="false">Seg4_N*P42</f>
        <v>10</v>
      </c>
      <c r="Q51" s="93" t="n">
        <f aca="false">Seg4_N*Q42</f>
        <v>10</v>
      </c>
      <c r="R51" s="93" t="n">
        <f aca="false">Seg4_N*R42</f>
        <v>10</v>
      </c>
      <c r="S51" s="93" t="n">
        <f aca="false">Seg4_N*S42</f>
        <v>10</v>
      </c>
      <c r="T51" s="93" t="n">
        <f aca="false">Seg4_N*T42</f>
        <v>10</v>
      </c>
      <c r="U51" s="93" t="n">
        <f aca="false">Seg4_N*U42</f>
        <v>10</v>
      </c>
      <c r="V51" s="93" t="n">
        <f aca="false">Seg4_N*V42</f>
        <v>10</v>
      </c>
      <c r="W51" s="93" t="n">
        <f aca="false">Seg4_N*W42</f>
        <v>10</v>
      </c>
    </row>
    <row r="52" customFormat="false" ht="15" hidden="false" customHeight="false" outlineLevel="0" collapsed="false">
      <c r="A52" s="11" t="str">
        <f aca="false">"Connections - "&amp;Seg5_Name</f>
        <v>Connections - Other / custom</v>
      </c>
      <c r="C52" s="93" t="n">
        <v>0</v>
      </c>
      <c r="D52" s="93" t="n">
        <f aca="false">Seg5_N*D42</f>
        <v>0</v>
      </c>
      <c r="E52" s="93" t="n">
        <f aca="false">Seg5_N*E42</f>
        <v>0</v>
      </c>
      <c r="F52" s="93" t="n">
        <f aca="false">Seg5_N*F42</f>
        <v>0</v>
      </c>
      <c r="G52" s="93" t="n">
        <f aca="false">Seg5_N*G42</f>
        <v>0</v>
      </c>
      <c r="H52" s="93" t="n">
        <f aca="false">Seg5_N*H42</f>
        <v>0</v>
      </c>
      <c r="I52" s="93" t="n">
        <f aca="false">Seg5_N*I42</f>
        <v>0</v>
      </c>
      <c r="J52" s="93" t="n">
        <f aca="false">Seg5_N*J42</f>
        <v>0</v>
      </c>
      <c r="K52" s="93" t="n">
        <f aca="false">Seg5_N*K42</f>
        <v>0</v>
      </c>
      <c r="L52" s="93" t="n">
        <f aca="false">Seg5_N*L42</f>
        <v>0</v>
      </c>
      <c r="M52" s="93" t="n">
        <f aca="false">Seg5_N*M42</f>
        <v>0</v>
      </c>
      <c r="N52" s="93" t="n">
        <f aca="false">Seg5_N*N42</f>
        <v>0</v>
      </c>
      <c r="O52" s="93" t="n">
        <f aca="false">Seg5_N*O42</f>
        <v>0</v>
      </c>
      <c r="P52" s="93" t="n">
        <f aca="false">Seg5_N*P42</f>
        <v>0</v>
      </c>
      <c r="Q52" s="93" t="n">
        <f aca="false">Seg5_N*Q42</f>
        <v>0</v>
      </c>
      <c r="R52" s="93" t="n">
        <f aca="false">Seg5_N*R42</f>
        <v>0</v>
      </c>
      <c r="S52" s="93" t="n">
        <f aca="false">Seg5_N*S42</f>
        <v>0</v>
      </c>
      <c r="T52" s="93" t="n">
        <f aca="false">Seg5_N*T42</f>
        <v>0</v>
      </c>
      <c r="U52" s="93" t="n">
        <f aca="false">Seg5_N*U42</f>
        <v>0</v>
      </c>
      <c r="V52" s="93" t="n">
        <f aca="false">Seg5_N*V42</f>
        <v>0</v>
      </c>
      <c r="W52" s="93" t="n">
        <f aca="false">Seg5_N*W42</f>
        <v>0</v>
      </c>
    </row>
    <row r="53" customFormat="false" ht="15" hidden="false" customHeight="false" outlineLevel="0" collapsed="false">
      <c r="A53" s="16" t="s">
        <v>420</v>
      </c>
      <c r="C53" s="29" t="n">
        <f aca="false">C48+C49+C50+C51+C52</f>
        <v>0</v>
      </c>
      <c r="D53" s="29" t="n">
        <f aca="false">D48+D49+D50+D51+D52</f>
        <v>582</v>
      </c>
      <c r="E53" s="29" t="n">
        <f aca="false">E48+E49+E50+E51+E52</f>
        <v>824.5</v>
      </c>
      <c r="F53" s="29" t="n">
        <f aca="false">F48+F49+F50+F51+F52</f>
        <v>970</v>
      </c>
      <c r="G53" s="29" t="n">
        <f aca="false">G48+G49+G50+G51+G52</f>
        <v>970</v>
      </c>
      <c r="H53" s="29" t="n">
        <f aca="false">H48+H49+H50+H51+H52</f>
        <v>970</v>
      </c>
      <c r="I53" s="29" t="n">
        <f aca="false">I48+I49+I50+I51+I52</f>
        <v>970</v>
      </c>
      <c r="J53" s="29" t="n">
        <f aca="false">J48+J49+J50+J51+J52</f>
        <v>970</v>
      </c>
      <c r="K53" s="29" t="n">
        <f aca="false">K48+K49+K50+K51+K52</f>
        <v>970</v>
      </c>
      <c r="L53" s="29" t="n">
        <f aca="false">L48+L49+L50+L51+L52</f>
        <v>970</v>
      </c>
      <c r="M53" s="29" t="n">
        <f aca="false">M48+M49+M50+M51+M52</f>
        <v>970</v>
      </c>
      <c r="N53" s="29" t="n">
        <f aca="false">N48+N49+N50+N51+N52</f>
        <v>970</v>
      </c>
      <c r="O53" s="29" t="n">
        <f aca="false">O48+O49+O50+O51+O52</f>
        <v>970</v>
      </c>
      <c r="P53" s="29" t="n">
        <f aca="false">P48+P49+P50+P51+P52</f>
        <v>970</v>
      </c>
      <c r="Q53" s="29" t="n">
        <f aca="false">Q48+Q49+Q50+Q51+Q52</f>
        <v>970</v>
      </c>
      <c r="R53" s="29" t="n">
        <f aca="false">R48+R49+R50+R51+R52</f>
        <v>970</v>
      </c>
      <c r="S53" s="29" t="n">
        <f aca="false">S48+S49+S50+S51+S52</f>
        <v>970</v>
      </c>
      <c r="T53" s="29" t="n">
        <f aca="false">T48+T49+T50+T51+T52</f>
        <v>970</v>
      </c>
      <c r="U53" s="29" t="n">
        <f aca="false">U48+U49+U50+U51+U52</f>
        <v>970</v>
      </c>
      <c r="V53" s="29" t="n">
        <f aca="false">V48+V49+V50+V51+V52</f>
        <v>970</v>
      </c>
      <c r="W53" s="29" t="n">
        <f aca="false">W48+W49+W50+W51+W52</f>
        <v>970</v>
      </c>
    </row>
    <row r="54" customFormat="false" ht="15" hidden="false" customHeight="false" outlineLevel="0" collapsed="false">
      <c r="A54" s="11" t="str">
        <f aca="false">"New connections - "&amp;Seg1_Name</f>
        <v>New connections - Households</v>
      </c>
      <c r="B54" s="77" t="n">
        <f aca="false">SUM(C54:W54)</f>
        <v>800</v>
      </c>
      <c r="C54" s="94" t="n">
        <v>0</v>
      </c>
      <c r="D54" s="94" t="n">
        <f aca="false">MAX(0,D48-C48)</f>
        <v>480</v>
      </c>
      <c r="E54" s="94" t="n">
        <f aca="false">MAX(0,E48-D48)</f>
        <v>200</v>
      </c>
      <c r="F54" s="94" t="n">
        <f aca="false">MAX(0,F48-E48)</f>
        <v>120</v>
      </c>
      <c r="G54" s="94" t="n">
        <f aca="false">MAX(0,G48-F48)</f>
        <v>0</v>
      </c>
      <c r="H54" s="94" t="n">
        <f aca="false">MAX(0,H48-G48)</f>
        <v>0</v>
      </c>
      <c r="I54" s="94" t="n">
        <f aca="false">MAX(0,I48-H48)</f>
        <v>0</v>
      </c>
      <c r="J54" s="94" t="n">
        <f aca="false">MAX(0,J48-I48)</f>
        <v>0</v>
      </c>
      <c r="K54" s="94" t="n">
        <f aca="false">MAX(0,K48-J48)</f>
        <v>0</v>
      </c>
      <c r="L54" s="94" t="n">
        <f aca="false">MAX(0,L48-K48)</f>
        <v>0</v>
      </c>
      <c r="M54" s="94" t="n">
        <f aca="false">MAX(0,M48-L48)</f>
        <v>0</v>
      </c>
      <c r="N54" s="94" t="n">
        <f aca="false">MAX(0,N48-M48)</f>
        <v>0</v>
      </c>
      <c r="O54" s="94" t="n">
        <f aca="false">MAX(0,O48-N48)</f>
        <v>0</v>
      </c>
      <c r="P54" s="94" t="n">
        <f aca="false">MAX(0,P48-O48)</f>
        <v>0</v>
      </c>
      <c r="Q54" s="94" t="n">
        <f aca="false">MAX(0,Q48-P48)</f>
        <v>0</v>
      </c>
      <c r="R54" s="94" t="n">
        <f aca="false">MAX(0,R48-Q48)</f>
        <v>0</v>
      </c>
      <c r="S54" s="94" t="n">
        <f aca="false">MAX(0,S48-R48)</f>
        <v>0</v>
      </c>
      <c r="T54" s="94" t="n">
        <f aca="false">MAX(0,T48-S48)</f>
        <v>0</v>
      </c>
      <c r="U54" s="94" t="n">
        <f aca="false">MAX(0,U48-T48)</f>
        <v>0</v>
      </c>
      <c r="V54" s="94" t="n">
        <f aca="false">MAX(0,V48-U48)</f>
        <v>0</v>
      </c>
      <c r="W54" s="94" t="n">
        <f aca="false">MAX(0,W48-V48)</f>
        <v>0</v>
      </c>
    </row>
    <row r="55" customFormat="false" ht="15" hidden="false" customHeight="false" outlineLevel="0" collapsed="false">
      <c r="A55" s="11" t="str">
        <f aca="false">"New connections - "&amp;Seg2_Name</f>
        <v>New connections - Productive users (mills, welding, cold rooms)</v>
      </c>
      <c r="B55" s="77" t="n">
        <f aca="false">SUM(C55:W55)</f>
        <v>60</v>
      </c>
      <c r="C55" s="94" t="n">
        <v>0</v>
      </c>
      <c r="D55" s="94" t="n">
        <f aca="false">MAX(0,D49-C49)</f>
        <v>36</v>
      </c>
      <c r="E55" s="94" t="n">
        <f aca="false">MAX(0,E49-D49)</f>
        <v>15</v>
      </c>
      <c r="F55" s="94" t="n">
        <f aca="false">MAX(0,F49-E49)</f>
        <v>9</v>
      </c>
      <c r="G55" s="94" t="n">
        <f aca="false">MAX(0,G49-F49)</f>
        <v>0</v>
      </c>
      <c r="H55" s="94" t="n">
        <f aca="false">MAX(0,H49-G49)</f>
        <v>0</v>
      </c>
      <c r="I55" s="94" t="n">
        <f aca="false">MAX(0,I49-H49)</f>
        <v>0</v>
      </c>
      <c r="J55" s="94" t="n">
        <f aca="false">MAX(0,J49-I49)</f>
        <v>0</v>
      </c>
      <c r="K55" s="94" t="n">
        <f aca="false">MAX(0,K49-J49)</f>
        <v>0</v>
      </c>
      <c r="L55" s="94" t="n">
        <f aca="false">MAX(0,L49-K49)</f>
        <v>0</v>
      </c>
      <c r="M55" s="94" t="n">
        <f aca="false">MAX(0,M49-L49)</f>
        <v>0</v>
      </c>
      <c r="N55" s="94" t="n">
        <f aca="false">MAX(0,N49-M49)</f>
        <v>0</v>
      </c>
      <c r="O55" s="94" t="n">
        <f aca="false">MAX(0,O49-N49)</f>
        <v>0</v>
      </c>
      <c r="P55" s="94" t="n">
        <f aca="false">MAX(0,P49-O49)</f>
        <v>0</v>
      </c>
      <c r="Q55" s="94" t="n">
        <f aca="false">MAX(0,Q49-P49)</f>
        <v>0</v>
      </c>
      <c r="R55" s="94" t="n">
        <f aca="false">MAX(0,R49-Q49)</f>
        <v>0</v>
      </c>
      <c r="S55" s="94" t="n">
        <f aca="false">MAX(0,S49-R49)</f>
        <v>0</v>
      </c>
      <c r="T55" s="94" t="n">
        <f aca="false">MAX(0,T49-S49)</f>
        <v>0</v>
      </c>
      <c r="U55" s="94" t="n">
        <f aca="false">MAX(0,U49-T49)</f>
        <v>0</v>
      </c>
      <c r="V55" s="94" t="n">
        <f aca="false">MAX(0,V49-U49)</f>
        <v>0</v>
      </c>
      <c r="W55" s="94" t="n">
        <f aca="false">MAX(0,W49-V49)</f>
        <v>0</v>
      </c>
    </row>
    <row r="56" customFormat="false" ht="15" hidden="false" customHeight="false" outlineLevel="0" collapsed="false">
      <c r="A56" s="11" t="str">
        <f aca="false">"New connections - "&amp;Seg3_Name</f>
        <v>New connections - Commercial (shops, bars, kiosks)</v>
      </c>
      <c r="B56" s="77" t="n">
        <f aca="false">SUM(C56:W56)</f>
        <v>100</v>
      </c>
      <c r="C56" s="94" t="n">
        <v>0</v>
      </c>
      <c r="D56" s="94" t="n">
        <f aca="false">MAX(0,D50-C50)</f>
        <v>60</v>
      </c>
      <c r="E56" s="94" t="n">
        <f aca="false">MAX(0,E50-D50)</f>
        <v>25</v>
      </c>
      <c r="F56" s="94" t="n">
        <f aca="false">MAX(0,F50-E50)</f>
        <v>15</v>
      </c>
      <c r="G56" s="94" t="n">
        <f aca="false">MAX(0,G50-F50)</f>
        <v>0</v>
      </c>
      <c r="H56" s="94" t="n">
        <f aca="false">MAX(0,H50-G50)</f>
        <v>0</v>
      </c>
      <c r="I56" s="94" t="n">
        <f aca="false">MAX(0,I50-H50)</f>
        <v>0</v>
      </c>
      <c r="J56" s="94" t="n">
        <f aca="false">MAX(0,J50-I50)</f>
        <v>0</v>
      </c>
      <c r="K56" s="94" t="n">
        <f aca="false">MAX(0,K50-J50)</f>
        <v>0</v>
      </c>
      <c r="L56" s="94" t="n">
        <f aca="false">MAX(0,L50-K50)</f>
        <v>0</v>
      </c>
      <c r="M56" s="94" t="n">
        <f aca="false">MAX(0,M50-L50)</f>
        <v>0</v>
      </c>
      <c r="N56" s="94" t="n">
        <f aca="false">MAX(0,N50-M50)</f>
        <v>0</v>
      </c>
      <c r="O56" s="94" t="n">
        <f aca="false">MAX(0,O50-N50)</f>
        <v>0</v>
      </c>
      <c r="P56" s="94" t="n">
        <f aca="false">MAX(0,P50-O50)</f>
        <v>0</v>
      </c>
      <c r="Q56" s="94" t="n">
        <f aca="false">MAX(0,Q50-P50)</f>
        <v>0</v>
      </c>
      <c r="R56" s="94" t="n">
        <f aca="false">MAX(0,R50-Q50)</f>
        <v>0</v>
      </c>
      <c r="S56" s="94" t="n">
        <f aca="false">MAX(0,S50-R50)</f>
        <v>0</v>
      </c>
      <c r="T56" s="94" t="n">
        <f aca="false">MAX(0,T50-S50)</f>
        <v>0</v>
      </c>
      <c r="U56" s="94" t="n">
        <f aca="false">MAX(0,U50-T50)</f>
        <v>0</v>
      </c>
      <c r="V56" s="94" t="n">
        <f aca="false">MAX(0,V50-U50)</f>
        <v>0</v>
      </c>
      <c r="W56" s="94" t="n">
        <f aca="false">MAX(0,W50-V50)</f>
        <v>0</v>
      </c>
    </row>
    <row r="57" customFormat="false" ht="15" hidden="false" customHeight="false" outlineLevel="0" collapsed="false">
      <c r="A57" s="11" t="str">
        <f aca="false">"New connections - "&amp;Seg4_Name</f>
        <v>New connections - Institutions (health centre, school, water)</v>
      </c>
      <c r="B57" s="77" t="n">
        <f aca="false">SUM(C57:W57)</f>
        <v>10</v>
      </c>
      <c r="C57" s="94" t="n">
        <v>0</v>
      </c>
      <c r="D57" s="94" t="n">
        <f aca="false">MAX(0,D51-C51)</f>
        <v>6</v>
      </c>
      <c r="E57" s="94" t="n">
        <f aca="false">MAX(0,E51-D51)</f>
        <v>2.5</v>
      </c>
      <c r="F57" s="94" t="n">
        <f aca="false">MAX(0,F51-E51)</f>
        <v>1.5</v>
      </c>
      <c r="G57" s="94" t="n">
        <f aca="false">MAX(0,G51-F51)</f>
        <v>0</v>
      </c>
      <c r="H57" s="94" t="n">
        <f aca="false">MAX(0,H51-G51)</f>
        <v>0</v>
      </c>
      <c r="I57" s="94" t="n">
        <f aca="false">MAX(0,I51-H51)</f>
        <v>0</v>
      </c>
      <c r="J57" s="94" t="n">
        <f aca="false">MAX(0,J51-I51)</f>
        <v>0</v>
      </c>
      <c r="K57" s="94" t="n">
        <f aca="false">MAX(0,K51-J51)</f>
        <v>0</v>
      </c>
      <c r="L57" s="94" t="n">
        <f aca="false">MAX(0,L51-K51)</f>
        <v>0</v>
      </c>
      <c r="M57" s="94" t="n">
        <f aca="false">MAX(0,M51-L51)</f>
        <v>0</v>
      </c>
      <c r="N57" s="94" t="n">
        <f aca="false">MAX(0,N51-M51)</f>
        <v>0</v>
      </c>
      <c r="O57" s="94" t="n">
        <f aca="false">MAX(0,O51-N51)</f>
        <v>0</v>
      </c>
      <c r="P57" s="94" t="n">
        <f aca="false">MAX(0,P51-O51)</f>
        <v>0</v>
      </c>
      <c r="Q57" s="94" t="n">
        <f aca="false">MAX(0,Q51-P51)</f>
        <v>0</v>
      </c>
      <c r="R57" s="94" t="n">
        <f aca="false">MAX(0,R51-Q51)</f>
        <v>0</v>
      </c>
      <c r="S57" s="94" t="n">
        <f aca="false">MAX(0,S51-R51)</f>
        <v>0</v>
      </c>
      <c r="T57" s="94" t="n">
        <f aca="false">MAX(0,T51-S51)</f>
        <v>0</v>
      </c>
      <c r="U57" s="94" t="n">
        <f aca="false">MAX(0,U51-T51)</f>
        <v>0</v>
      </c>
      <c r="V57" s="94" t="n">
        <f aca="false">MAX(0,V51-U51)</f>
        <v>0</v>
      </c>
      <c r="W57" s="94" t="n">
        <f aca="false">MAX(0,W51-V51)</f>
        <v>0</v>
      </c>
    </row>
    <row r="58" customFormat="false" ht="15" hidden="false" customHeight="false" outlineLevel="0" collapsed="false">
      <c r="A58" s="11" t="str">
        <f aca="false">"New connections - "&amp;Seg5_Name</f>
        <v>New connections - Other / custom</v>
      </c>
      <c r="B58" s="77" t="n">
        <f aca="false">SUM(C58:W58)</f>
        <v>0</v>
      </c>
      <c r="C58" s="94" t="n">
        <v>0</v>
      </c>
      <c r="D58" s="94" t="n">
        <f aca="false">MAX(0,D52-C52)</f>
        <v>0</v>
      </c>
      <c r="E58" s="94" t="n">
        <f aca="false">MAX(0,E52-D52)</f>
        <v>0</v>
      </c>
      <c r="F58" s="94" t="n">
        <f aca="false">MAX(0,F52-E52)</f>
        <v>0</v>
      </c>
      <c r="G58" s="94" t="n">
        <f aca="false">MAX(0,G52-F52)</f>
        <v>0</v>
      </c>
      <c r="H58" s="94" t="n">
        <f aca="false">MAX(0,H52-G52)</f>
        <v>0</v>
      </c>
      <c r="I58" s="94" t="n">
        <f aca="false">MAX(0,I52-H52)</f>
        <v>0</v>
      </c>
      <c r="J58" s="94" t="n">
        <f aca="false">MAX(0,J52-I52)</f>
        <v>0</v>
      </c>
      <c r="K58" s="94" t="n">
        <f aca="false">MAX(0,K52-J52)</f>
        <v>0</v>
      </c>
      <c r="L58" s="94" t="n">
        <f aca="false">MAX(0,L52-K52)</f>
        <v>0</v>
      </c>
      <c r="M58" s="94" t="n">
        <f aca="false">MAX(0,M52-L52)</f>
        <v>0</v>
      </c>
      <c r="N58" s="94" t="n">
        <f aca="false">MAX(0,N52-M52)</f>
        <v>0</v>
      </c>
      <c r="O58" s="94" t="n">
        <f aca="false">MAX(0,O52-N52)</f>
        <v>0</v>
      </c>
      <c r="P58" s="94" t="n">
        <f aca="false">MAX(0,P52-O52)</f>
        <v>0</v>
      </c>
      <c r="Q58" s="94" t="n">
        <f aca="false">MAX(0,Q52-P52)</f>
        <v>0</v>
      </c>
      <c r="R58" s="94" t="n">
        <f aca="false">MAX(0,R52-Q52)</f>
        <v>0</v>
      </c>
      <c r="S58" s="94" t="n">
        <f aca="false">MAX(0,S52-R52)</f>
        <v>0</v>
      </c>
      <c r="T58" s="94" t="n">
        <f aca="false">MAX(0,T52-S52)</f>
        <v>0</v>
      </c>
      <c r="U58" s="94" t="n">
        <f aca="false">MAX(0,U52-T52)</f>
        <v>0</v>
      </c>
      <c r="V58" s="94" t="n">
        <f aca="false">MAX(0,V52-U52)</f>
        <v>0</v>
      </c>
      <c r="W58" s="94" t="n">
        <f aca="false">MAX(0,W52-V52)</f>
        <v>0</v>
      </c>
    </row>
    <row r="59" customFormat="false" ht="15" hidden="false" customHeight="false" outlineLevel="0" collapsed="false">
      <c r="A59" s="16" t="s">
        <v>421</v>
      </c>
      <c r="B59" s="76" t="n">
        <f aca="false">SUM(C59:W59)</f>
        <v>970</v>
      </c>
      <c r="C59" s="29" t="n">
        <f aca="false">C54+C55+C56+C57+C58</f>
        <v>0</v>
      </c>
      <c r="D59" s="29" t="n">
        <f aca="false">D54+D55+D56+D57+D58</f>
        <v>582</v>
      </c>
      <c r="E59" s="29" t="n">
        <f aca="false">E54+E55+E56+E57+E58</f>
        <v>242.5</v>
      </c>
      <c r="F59" s="29" t="n">
        <f aca="false">F54+F55+F56+F57+F58</f>
        <v>145.5</v>
      </c>
      <c r="G59" s="29" t="n">
        <f aca="false">G54+G55+G56+G57+G58</f>
        <v>0</v>
      </c>
      <c r="H59" s="29" t="n">
        <f aca="false">H54+H55+H56+H57+H58</f>
        <v>0</v>
      </c>
      <c r="I59" s="29" t="n">
        <f aca="false">I54+I55+I56+I57+I58</f>
        <v>0</v>
      </c>
      <c r="J59" s="29" t="n">
        <f aca="false">J54+J55+J56+J57+J58</f>
        <v>0</v>
      </c>
      <c r="K59" s="29" t="n">
        <f aca="false">K54+K55+K56+K57+K58</f>
        <v>0</v>
      </c>
      <c r="L59" s="29" t="n">
        <f aca="false">L54+L55+L56+L57+L58</f>
        <v>0</v>
      </c>
      <c r="M59" s="29" t="n">
        <f aca="false">M54+M55+M56+M57+M58</f>
        <v>0</v>
      </c>
      <c r="N59" s="29" t="n">
        <f aca="false">N54+N55+N56+N57+N58</f>
        <v>0</v>
      </c>
      <c r="O59" s="29" t="n">
        <f aca="false">O54+O55+O56+O57+O58</f>
        <v>0</v>
      </c>
      <c r="P59" s="29" t="n">
        <f aca="false">P54+P55+P56+P57+P58</f>
        <v>0</v>
      </c>
      <c r="Q59" s="29" t="n">
        <f aca="false">Q54+Q55+Q56+Q57+Q58</f>
        <v>0</v>
      </c>
      <c r="R59" s="29" t="n">
        <f aca="false">R54+R55+R56+R57+R58</f>
        <v>0</v>
      </c>
      <c r="S59" s="29" t="n">
        <f aca="false">S54+S55+S56+S57+S58</f>
        <v>0</v>
      </c>
      <c r="T59" s="29" t="n">
        <f aca="false">T54+T55+T56+T57+T58</f>
        <v>0</v>
      </c>
      <c r="U59" s="29" t="n">
        <f aca="false">U54+U55+U56+U57+U58</f>
        <v>0</v>
      </c>
      <c r="V59" s="29" t="n">
        <f aca="false">V54+V55+V56+V57+V58</f>
        <v>0</v>
      </c>
      <c r="W59" s="29" t="n">
        <f aca="false">W54+W55+W56+W57+W58</f>
        <v>0</v>
      </c>
    </row>
    <row r="61" customFormat="false" ht="15" hidden="false" customHeight="false" outlineLevel="0" collapsed="false">
      <c r="A61" s="11" t="str">
        <f aca="false">"Energy sold (kWh) - "&amp;Seg1_Name</f>
        <v>Energy sold (kWh) - Households</v>
      </c>
      <c r="B61" s="76" t="n">
        <f aca="false">SUM(C61:W61)</f>
        <v>3789485.92641319</v>
      </c>
      <c r="C61" s="93" t="n">
        <v>0</v>
      </c>
      <c r="D61" s="93" t="n">
        <f aca="false">D48*Seg1_kWh*12*D45</f>
        <v>86400</v>
      </c>
      <c r="E61" s="93" t="n">
        <f aca="false">E48*Seg1_kWh*12*E45</f>
        <v>126072</v>
      </c>
      <c r="F61" s="93" t="n">
        <f aca="false">F48*Seg1_kWh*12*F45</f>
        <v>152769.6</v>
      </c>
      <c r="G61" s="93" t="n">
        <f aca="false">G48*Seg1_kWh*12*G45</f>
        <v>157352.688</v>
      </c>
      <c r="H61" s="93" t="n">
        <f aca="false">H48*Seg1_kWh*12*H45</f>
        <v>162073.26864</v>
      </c>
      <c r="I61" s="93" t="n">
        <f aca="false">I48*Seg1_kWh*12*I45</f>
        <v>166935.4666992</v>
      </c>
      <c r="J61" s="93" t="n">
        <f aca="false">J48*Seg1_kWh*12*J45</f>
        <v>171943.530700176</v>
      </c>
      <c r="K61" s="93" t="n">
        <f aca="false">K48*Seg1_kWh*12*K45</f>
        <v>177101.836621181</v>
      </c>
      <c r="L61" s="93" t="n">
        <f aca="false">L48*Seg1_kWh*12*L45</f>
        <v>182414.891719817</v>
      </c>
      <c r="M61" s="93" t="n">
        <f aca="false">M48*Seg1_kWh*12*M45</f>
        <v>187887.338471411</v>
      </c>
      <c r="N61" s="93" t="n">
        <f aca="false">N48*Seg1_kWh*12*N45</f>
        <v>193523.958625554</v>
      </c>
      <c r="O61" s="93" t="n">
        <f aca="false">O48*Seg1_kWh*12*O45</f>
        <v>199329.67738432</v>
      </c>
      <c r="P61" s="93" t="n">
        <f aca="false">P48*Seg1_kWh*12*P45</f>
        <v>205309.56770585</v>
      </c>
      <c r="Q61" s="93" t="n">
        <f aca="false">Q48*Seg1_kWh*12*Q45</f>
        <v>211468.854737025</v>
      </c>
      <c r="R61" s="93" t="n">
        <f aca="false">R48*Seg1_kWh*12*R45</f>
        <v>217812.920379136</v>
      </c>
      <c r="S61" s="93" t="n">
        <f aca="false">S48*Seg1_kWh*12*S45</f>
        <v>224347.30799051</v>
      </c>
      <c r="T61" s="93" t="n">
        <f aca="false">T48*Seg1_kWh*12*T45</f>
        <v>231077.727230226</v>
      </c>
      <c r="U61" s="93" t="n">
        <f aca="false">U48*Seg1_kWh*12*U45</f>
        <v>238010.059047132</v>
      </c>
      <c r="V61" s="93" t="n">
        <f aca="false">V48*Seg1_kWh*12*V45</f>
        <v>245150.360818546</v>
      </c>
      <c r="W61" s="93" t="n">
        <f aca="false">W48*Seg1_kWh*12*W45</f>
        <v>252504.871643103</v>
      </c>
    </row>
    <row r="62" customFormat="false" ht="15" hidden="false" customHeight="false" outlineLevel="0" collapsed="false">
      <c r="A62" s="11" t="str">
        <f aca="false">"Energy sold (kWh) - "&amp;Seg2_Name</f>
        <v>Energy sold (kWh) - Productive users (mills, welding, cold rooms)</v>
      </c>
      <c r="B62" s="76" t="n">
        <f aca="false">SUM(C62:W62)</f>
        <v>2944733.72369716</v>
      </c>
      <c r="C62" s="93" t="n">
        <v>0</v>
      </c>
      <c r="D62" s="93" t="n">
        <f aca="false">D49*Seg2_kWh*12*D45</f>
        <v>67139.712</v>
      </c>
      <c r="E62" s="93" t="n">
        <f aca="false">E49*Seg2_kWh*12*E45</f>
        <v>97968.02976</v>
      </c>
      <c r="F62" s="93" t="n">
        <f aca="false">F49*Seg2_kWh*12*F45</f>
        <v>118714.200768</v>
      </c>
      <c r="G62" s="93" t="n">
        <f aca="false">G49*Seg2_kWh*12*G45</f>
        <v>122275.62679104</v>
      </c>
      <c r="H62" s="93" t="n">
        <f aca="false">H49*Seg2_kWh*12*H45</f>
        <v>125943.895594771</v>
      </c>
      <c r="I62" s="93" t="n">
        <f aca="false">I49*Seg2_kWh*12*I45</f>
        <v>129722.212462614</v>
      </c>
      <c r="J62" s="93" t="n">
        <f aca="false">J49*Seg2_kWh*12*J45</f>
        <v>133613.878836493</v>
      </c>
      <c r="K62" s="93" t="n">
        <f aca="false">K49*Seg2_kWh*12*K45</f>
        <v>137622.295201588</v>
      </c>
      <c r="L62" s="93" t="n">
        <f aca="false">L49*Seg2_kWh*12*L45</f>
        <v>141750.964057635</v>
      </c>
      <c r="M62" s="93" t="n">
        <f aca="false">M49*Seg2_kWh*12*M45</f>
        <v>146003.492979364</v>
      </c>
      <c r="N62" s="93" t="n">
        <f aca="false">N49*Seg2_kWh*12*N45</f>
        <v>150383.597768745</v>
      </c>
      <c r="O62" s="93" t="n">
        <f aca="false">O49*Seg2_kWh*12*O45</f>
        <v>154895.105701808</v>
      </c>
      <c r="P62" s="93" t="n">
        <f aca="false">P49*Seg2_kWh*12*P45</f>
        <v>159541.958872862</v>
      </c>
      <c r="Q62" s="93" t="n">
        <f aca="false">Q49*Seg2_kWh*12*Q45</f>
        <v>164328.217639048</v>
      </c>
      <c r="R62" s="93" t="n">
        <f aca="false">R49*Seg2_kWh*12*R45</f>
        <v>169258.064168219</v>
      </c>
      <c r="S62" s="93" t="n">
        <f aca="false">S49*Seg2_kWh*12*S45</f>
        <v>174335.806093266</v>
      </c>
      <c r="T62" s="93" t="n">
        <f aca="false">T49*Seg2_kWh*12*T45</f>
        <v>179565.880276064</v>
      </c>
      <c r="U62" s="93" t="n">
        <f aca="false">U49*Seg2_kWh*12*U45</f>
        <v>184952.856684346</v>
      </c>
      <c r="V62" s="93" t="n">
        <f aca="false">V49*Seg2_kWh*12*V45</f>
        <v>190501.442384876</v>
      </c>
      <c r="W62" s="93" t="n">
        <f aca="false">W49*Seg2_kWh*12*W45</f>
        <v>196216.485656422</v>
      </c>
    </row>
    <row r="63" customFormat="false" ht="15" hidden="false" customHeight="false" outlineLevel="0" collapsed="false">
      <c r="A63" s="11" t="str">
        <f aca="false">"Energy sold (kWh) - "&amp;Seg3_Name</f>
        <v>Energy sold (kWh) - Commercial (shops, bars, kiosks)</v>
      </c>
      <c r="B63" s="76" t="n">
        <f aca="false">SUM(C63:W63)</f>
        <v>1578952.46933883</v>
      </c>
      <c r="C63" s="93" t="n">
        <v>0</v>
      </c>
      <c r="D63" s="93" t="n">
        <f aca="false">D50*Seg3_kWh*12*D45</f>
        <v>36000</v>
      </c>
      <c r="E63" s="93" t="n">
        <f aca="false">E50*Seg3_kWh*12*E45</f>
        <v>52530</v>
      </c>
      <c r="F63" s="93" t="n">
        <f aca="false">F50*Seg3_kWh*12*F45</f>
        <v>63654</v>
      </c>
      <c r="G63" s="93" t="n">
        <f aca="false">G50*Seg3_kWh*12*G45</f>
        <v>65563.62</v>
      </c>
      <c r="H63" s="93" t="n">
        <f aca="false">H50*Seg3_kWh*12*H45</f>
        <v>67530.5286</v>
      </c>
      <c r="I63" s="93" t="n">
        <f aca="false">I50*Seg3_kWh*12*I45</f>
        <v>69556.444458</v>
      </c>
      <c r="J63" s="93" t="n">
        <f aca="false">J50*Seg3_kWh*12*J45</f>
        <v>71643.13779174</v>
      </c>
      <c r="K63" s="93" t="n">
        <f aca="false">K50*Seg3_kWh*12*K45</f>
        <v>73792.4319254922</v>
      </c>
      <c r="L63" s="93" t="n">
        <f aca="false">L50*Seg3_kWh*12*L45</f>
        <v>76006.204883257</v>
      </c>
      <c r="M63" s="93" t="n">
        <f aca="false">M50*Seg3_kWh*12*M45</f>
        <v>78286.3910297547</v>
      </c>
      <c r="N63" s="93" t="n">
        <f aca="false">N50*Seg3_kWh*12*N45</f>
        <v>80634.9827606473</v>
      </c>
      <c r="O63" s="93" t="n">
        <f aca="false">O50*Seg3_kWh*12*O45</f>
        <v>83054.0322434668</v>
      </c>
      <c r="P63" s="93" t="n">
        <f aca="false">P50*Seg3_kWh*12*P45</f>
        <v>85545.6532107708</v>
      </c>
      <c r="Q63" s="93" t="n">
        <f aca="false">Q50*Seg3_kWh*12*Q45</f>
        <v>88112.0228070939</v>
      </c>
      <c r="R63" s="93" t="n">
        <f aca="false">R50*Seg3_kWh*12*R45</f>
        <v>90755.3834913067</v>
      </c>
      <c r="S63" s="93" t="n">
        <f aca="false">S50*Seg3_kWh*12*S45</f>
        <v>93478.0449960459</v>
      </c>
      <c r="T63" s="93" t="n">
        <f aca="false">T50*Seg3_kWh*12*T45</f>
        <v>96282.3863459273</v>
      </c>
      <c r="U63" s="93" t="n">
        <f aca="false">U50*Seg3_kWh*12*U45</f>
        <v>99170.8579363051</v>
      </c>
      <c r="V63" s="93" t="n">
        <f aca="false">V50*Seg3_kWh*12*V45</f>
        <v>102145.983674394</v>
      </c>
      <c r="W63" s="93" t="n">
        <f aca="false">W50*Seg3_kWh*12*W45</f>
        <v>105210.363184626</v>
      </c>
    </row>
    <row r="64" customFormat="false" ht="15" hidden="false" customHeight="false" outlineLevel="0" collapsed="false">
      <c r="A64" s="11" t="str">
        <f aca="false">"Energy sold (kWh) - "&amp;Seg4_Name</f>
        <v>Energy sold (kWh) - Institutions (health centre, school, water)</v>
      </c>
      <c r="B64" s="76" t="n">
        <f aca="false">SUM(C64:W64)</f>
        <v>947371.481603297</v>
      </c>
      <c r="C64" s="93" t="n">
        <v>0</v>
      </c>
      <c r="D64" s="93" t="n">
        <f aca="false">D51*Seg4_kWh*12*D45</f>
        <v>21600</v>
      </c>
      <c r="E64" s="93" t="n">
        <f aca="false">E51*Seg4_kWh*12*E45</f>
        <v>31518</v>
      </c>
      <c r="F64" s="93" t="n">
        <f aca="false">F51*Seg4_kWh*12*F45</f>
        <v>38192.4</v>
      </c>
      <c r="G64" s="93" t="n">
        <f aca="false">G51*Seg4_kWh*12*G45</f>
        <v>39338.172</v>
      </c>
      <c r="H64" s="93" t="n">
        <f aca="false">H51*Seg4_kWh*12*H45</f>
        <v>40518.31716</v>
      </c>
      <c r="I64" s="93" t="n">
        <f aca="false">I51*Seg4_kWh*12*I45</f>
        <v>41733.8666748</v>
      </c>
      <c r="J64" s="93" t="n">
        <f aca="false">J51*Seg4_kWh*12*J45</f>
        <v>42985.882675044</v>
      </c>
      <c r="K64" s="93" t="n">
        <f aca="false">K51*Seg4_kWh*12*K45</f>
        <v>44275.4591552953</v>
      </c>
      <c r="L64" s="93" t="n">
        <f aca="false">L51*Seg4_kWh*12*L45</f>
        <v>45603.7229299542</v>
      </c>
      <c r="M64" s="93" t="n">
        <f aca="false">M51*Seg4_kWh*12*M45</f>
        <v>46971.8346178528</v>
      </c>
      <c r="N64" s="93" t="n">
        <f aca="false">N51*Seg4_kWh*12*N45</f>
        <v>48380.9896563884</v>
      </c>
      <c r="O64" s="93" t="n">
        <f aca="false">O51*Seg4_kWh*12*O45</f>
        <v>49832.4193460801</v>
      </c>
      <c r="P64" s="93" t="n">
        <f aca="false">P51*Seg4_kWh*12*P45</f>
        <v>51327.3919264625</v>
      </c>
      <c r="Q64" s="93" t="n">
        <f aca="false">Q51*Seg4_kWh*12*Q45</f>
        <v>52867.2136842563</v>
      </c>
      <c r="R64" s="93" t="n">
        <f aca="false">R51*Seg4_kWh*12*R45</f>
        <v>54453.230094784</v>
      </c>
      <c r="S64" s="93" t="n">
        <f aca="false">S51*Seg4_kWh*12*S45</f>
        <v>56086.8269976275</v>
      </c>
      <c r="T64" s="93" t="n">
        <f aca="false">T51*Seg4_kWh*12*T45</f>
        <v>57769.4318075564</v>
      </c>
      <c r="U64" s="93" t="n">
        <f aca="false">U51*Seg4_kWh*12*U45</f>
        <v>59502.5147617831</v>
      </c>
      <c r="V64" s="93" t="n">
        <f aca="false">V51*Seg4_kWh*12*V45</f>
        <v>61287.5902046366</v>
      </c>
      <c r="W64" s="93" t="n">
        <f aca="false">W51*Seg4_kWh*12*W45</f>
        <v>63126.2179107757</v>
      </c>
    </row>
    <row r="65" customFormat="false" ht="15" hidden="false" customHeight="false" outlineLevel="0" collapsed="false">
      <c r="A65" s="11" t="str">
        <f aca="false">"Energy sold (kWh) - "&amp;Seg5_Name</f>
        <v>Energy sold (kWh) - Other / custom</v>
      </c>
      <c r="B65" s="76" t="n">
        <f aca="false">SUM(C65:W65)</f>
        <v>0</v>
      </c>
      <c r="C65" s="93" t="n">
        <v>0</v>
      </c>
      <c r="D65" s="93" t="n">
        <f aca="false">D52*Seg5_kWh*12*D45</f>
        <v>0</v>
      </c>
      <c r="E65" s="93" t="n">
        <f aca="false">E52*Seg5_kWh*12*E45</f>
        <v>0</v>
      </c>
      <c r="F65" s="93" t="n">
        <f aca="false">F52*Seg5_kWh*12*F45</f>
        <v>0</v>
      </c>
      <c r="G65" s="93" t="n">
        <f aca="false">G52*Seg5_kWh*12*G45</f>
        <v>0</v>
      </c>
      <c r="H65" s="93" t="n">
        <f aca="false">H52*Seg5_kWh*12*H45</f>
        <v>0</v>
      </c>
      <c r="I65" s="93" t="n">
        <f aca="false">I52*Seg5_kWh*12*I45</f>
        <v>0</v>
      </c>
      <c r="J65" s="93" t="n">
        <f aca="false">J52*Seg5_kWh*12*J45</f>
        <v>0</v>
      </c>
      <c r="K65" s="93" t="n">
        <f aca="false">K52*Seg5_kWh*12*K45</f>
        <v>0</v>
      </c>
      <c r="L65" s="93" t="n">
        <f aca="false">L52*Seg5_kWh*12*L45</f>
        <v>0</v>
      </c>
      <c r="M65" s="93" t="n">
        <f aca="false">M52*Seg5_kWh*12*M45</f>
        <v>0</v>
      </c>
      <c r="N65" s="93" t="n">
        <f aca="false">N52*Seg5_kWh*12*N45</f>
        <v>0</v>
      </c>
      <c r="O65" s="93" t="n">
        <f aca="false">O52*Seg5_kWh*12*O45</f>
        <v>0</v>
      </c>
      <c r="P65" s="93" t="n">
        <f aca="false">P52*Seg5_kWh*12*P45</f>
        <v>0</v>
      </c>
      <c r="Q65" s="93" t="n">
        <f aca="false">Q52*Seg5_kWh*12*Q45</f>
        <v>0</v>
      </c>
      <c r="R65" s="93" t="n">
        <f aca="false">R52*Seg5_kWh*12*R45</f>
        <v>0</v>
      </c>
      <c r="S65" s="93" t="n">
        <f aca="false">S52*Seg5_kWh*12*S45</f>
        <v>0</v>
      </c>
      <c r="T65" s="93" t="n">
        <f aca="false">T52*Seg5_kWh*12*T45</f>
        <v>0</v>
      </c>
      <c r="U65" s="93" t="n">
        <f aca="false">U52*Seg5_kWh*12*U45</f>
        <v>0</v>
      </c>
      <c r="V65" s="93" t="n">
        <f aca="false">V52*Seg5_kWh*12*V45</f>
        <v>0</v>
      </c>
      <c r="W65" s="93" t="n">
        <f aca="false">W52*Seg5_kWh*12*W45</f>
        <v>0</v>
      </c>
    </row>
    <row r="66" customFormat="false" ht="15" hidden="false" customHeight="false" outlineLevel="0" collapsed="false">
      <c r="A66" s="16" t="s">
        <v>422</v>
      </c>
      <c r="B66" s="76" t="n">
        <f aca="false">SUM(C66:W66)</f>
        <v>9260543.60105247</v>
      </c>
      <c r="C66" s="29" t="n">
        <f aca="false">C61+C62+C63+C64+C65</f>
        <v>0</v>
      </c>
      <c r="D66" s="29" t="n">
        <f aca="false">D61+D62+D63+D64+D65</f>
        <v>211139.712</v>
      </c>
      <c r="E66" s="29" t="n">
        <f aca="false">E61+E62+E63+E64+E65</f>
        <v>308088.02976</v>
      </c>
      <c r="F66" s="29" t="n">
        <f aca="false">F61+F62+F63+F64+F65</f>
        <v>373330.200768</v>
      </c>
      <c r="G66" s="29" t="n">
        <f aca="false">G61+G62+G63+G64+G65</f>
        <v>384530.10679104</v>
      </c>
      <c r="H66" s="29" t="n">
        <f aca="false">H61+H62+H63+H64+H65</f>
        <v>396066.009994771</v>
      </c>
      <c r="I66" s="29" t="n">
        <f aca="false">I61+I62+I63+I64+I65</f>
        <v>407947.990294614</v>
      </c>
      <c r="J66" s="29" t="n">
        <f aca="false">J61+J62+J63+J64+J65</f>
        <v>420186.430003453</v>
      </c>
      <c r="K66" s="29" t="n">
        <f aca="false">K61+K62+K63+K64+K65</f>
        <v>432792.022903556</v>
      </c>
      <c r="L66" s="29" t="n">
        <f aca="false">L61+L62+L63+L64+L65</f>
        <v>445775.783590663</v>
      </c>
      <c r="M66" s="29" t="n">
        <f aca="false">M61+M62+M63+M64+M65</f>
        <v>459149.057098383</v>
      </c>
      <c r="N66" s="29" t="n">
        <f aca="false">N61+N62+N63+N64+N65</f>
        <v>472923.528811335</v>
      </c>
      <c r="O66" s="29" t="n">
        <f aca="false">O61+O62+O63+O64+O65</f>
        <v>487111.234675675</v>
      </c>
      <c r="P66" s="29" t="n">
        <f aca="false">P61+P62+P63+P64+P65</f>
        <v>501724.571715945</v>
      </c>
      <c r="Q66" s="29" t="n">
        <f aca="false">Q61+Q62+Q63+Q64+Q65</f>
        <v>516776.308867423</v>
      </c>
      <c r="R66" s="29" t="n">
        <f aca="false">R61+R62+R63+R64+R65</f>
        <v>532279.598133446</v>
      </c>
      <c r="S66" s="29" t="n">
        <f aca="false">S61+S62+S63+S64+S65</f>
        <v>548247.986077449</v>
      </c>
      <c r="T66" s="29" t="n">
        <f aca="false">T61+T62+T63+T64+T65</f>
        <v>564695.425659773</v>
      </c>
      <c r="U66" s="29" t="n">
        <f aca="false">U61+U62+U63+U64+U65</f>
        <v>581636.288429566</v>
      </c>
      <c r="V66" s="29" t="n">
        <f aca="false">V61+V62+V63+V64+V65</f>
        <v>599085.377082453</v>
      </c>
      <c r="W66" s="29" t="n">
        <f aca="false">W61+W62+W63+W64+W65</f>
        <v>617057.938394927</v>
      </c>
    </row>
    <row r="68" customFormat="false" ht="15" hidden="false" customHeight="false" outlineLevel="0" collapsed="false">
      <c r="A68" s="9" t="s">
        <v>423</v>
      </c>
      <c r="B68" s="10"/>
      <c r="C68" s="10"/>
      <c r="D68" s="10"/>
      <c r="E68" s="10"/>
      <c r="F68" s="10"/>
      <c r="G68" s="10"/>
      <c r="H68" s="10"/>
      <c r="I68" s="10"/>
      <c r="J68" s="10"/>
      <c r="K68" s="10"/>
      <c r="L68" s="10"/>
      <c r="M68" s="10"/>
      <c r="N68" s="10"/>
      <c r="O68" s="10"/>
      <c r="P68" s="10"/>
      <c r="Q68" s="10"/>
      <c r="R68" s="10"/>
      <c r="S68" s="10"/>
      <c r="T68" s="10"/>
      <c r="U68" s="10"/>
      <c r="V68" s="10"/>
      <c r="W68" s="10"/>
    </row>
    <row r="69" customFormat="false" ht="15" hidden="false" customHeight="false" outlineLevel="0" collapsed="false">
      <c r="A69" s="11" t="s">
        <v>424</v>
      </c>
      <c r="B69" s="76" t="n">
        <f aca="false">SUM(C69:W69)</f>
        <v>10523345.001196</v>
      </c>
      <c r="C69" s="93" t="n">
        <v>0</v>
      </c>
      <c r="D69" s="93" t="n">
        <f aca="false">D66/(1-Losses)</f>
        <v>239931.490909091</v>
      </c>
      <c r="E69" s="93" t="n">
        <f aca="false">E66/(1-Losses)</f>
        <v>350100.033818182</v>
      </c>
      <c r="F69" s="93" t="n">
        <f aca="false">F66/(1-Losses)</f>
        <v>424238.864509091</v>
      </c>
      <c r="G69" s="93" t="n">
        <f aca="false">G66/(1-Losses)</f>
        <v>436966.030444364</v>
      </c>
      <c r="H69" s="93" t="n">
        <f aca="false">H66/(1-Losses)</f>
        <v>450075.011357695</v>
      </c>
      <c r="I69" s="93" t="n">
        <f aca="false">I66/(1-Losses)</f>
        <v>463577.261698425</v>
      </c>
      <c r="J69" s="93" t="n">
        <f aca="false">J66/(1-Losses)</f>
        <v>477484.579549378</v>
      </c>
      <c r="K69" s="93" t="n">
        <f aca="false">K66/(1-Losses)</f>
        <v>491809.11693586</v>
      </c>
      <c r="L69" s="93" t="n">
        <f aca="false">L66/(1-Losses)</f>
        <v>506563.390443935</v>
      </c>
      <c r="M69" s="93" t="n">
        <f aca="false">M66/(1-Losses)</f>
        <v>521760.292157253</v>
      </c>
      <c r="N69" s="93" t="n">
        <f aca="false">N66/(1-Losses)</f>
        <v>537413.100921971</v>
      </c>
      <c r="O69" s="93" t="n">
        <f aca="false">O66/(1-Losses)</f>
        <v>553535.49394963</v>
      </c>
      <c r="P69" s="93" t="n">
        <f aca="false">P66/(1-Losses)</f>
        <v>570141.558768119</v>
      </c>
      <c r="Q69" s="93" t="n">
        <f aca="false">Q66/(1-Losses)</f>
        <v>587245.805531163</v>
      </c>
      <c r="R69" s="93" t="n">
        <f aca="false">R66/(1-Losses)</f>
        <v>604863.179697098</v>
      </c>
      <c r="S69" s="93" t="n">
        <f aca="false">S66/(1-Losses)</f>
        <v>623009.07508801</v>
      </c>
      <c r="T69" s="93" t="n">
        <f aca="false">T66/(1-Losses)</f>
        <v>641699.347340651</v>
      </c>
      <c r="U69" s="93" t="n">
        <f aca="false">U66/(1-Losses)</f>
        <v>660950.327760871</v>
      </c>
      <c r="V69" s="93" t="n">
        <f aca="false">V66/(1-Losses)</f>
        <v>680778.837593697</v>
      </c>
      <c r="W69" s="93" t="n">
        <f aca="false">W66/(1-Losses)</f>
        <v>701202.202721508</v>
      </c>
    </row>
    <row r="70" customFormat="false" ht="15" hidden="false" customHeight="false" outlineLevel="0" collapsed="false">
      <c r="A70" s="11" t="s">
        <v>425</v>
      </c>
      <c r="B70" s="76" t="n">
        <f aca="false">SUM(C70:W70)</f>
        <v>8722537.45034705</v>
      </c>
      <c r="C70" s="93" t="n">
        <v>0</v>
      </c>
      <c r="D70" s="93" t="n">
        <f aca="false">PV_kWp*SpecYield*(1-Degradation)^(D39-1)*D41</f>
        <v>457206.277768167</v>
      </c>
      <c r="E70" s="93" t="n">
        <f aca="false">PV_kWp*SpecYield*(1-Degradation)^(E39-1)*E41</f>
        <v>454920.246379326</v>
      </c>
      <c r="F70" s="93" t="n">
        <f aca="false">PV_kWp*SpecYield*(1-Degradation)^(F39-1)*F41</f>
        <v>452645.64514743</v>
      </c>
      <c r="G70" s="93" t="n">
        <f aca="false">PV_kWp*SpecYield*(1-Degradation)^(G39-1)*G41</f>
        <v>450382.416921693</v>
      </c>
      <c r="H70" s="93" t="n">
        <f aca="false">PV_kWp*SpecYield*(1-Degradation)^(H39-1)*H41</f>
        <v>448130.504837084</v>
      </c>
      <c r="I70" s="93" t="n">
        <f aca="false">PV_kWp*SpecYield*(1-Degradation)^(I39-1)*I41</f>
        <v>445889.852312899</v>
      </c>
      <c r="J70" s="93" t="n">
        <f aca="false">PV_kWp*SpecYield*(1-Degradation)^(J39-1)*J41</f>
        <v>443660.403051334</v>
      </c>
      <c r="K70" s="93" t="n">
        <f aca="false">PV_kWp*SpecYield*(1-Degradation)^(K39-1)*K41</f>
        <v>441442.101036078</v>
      </c>
      <c r="L70" s="93" t="n">
        <f aca="false">PV_kWp*SpecYield*(1-Degradation)^(L39-1)*L41</f>
        <v>439234.890530897</v>
      </c>
      <c r="M70" s="93" t="n">
        <f aca="false">PV_kWp*SpecYield*(1-Degradation)^(M39-1)*M41</f>
        <v>437038.716078243</v>
      </c>
      <c r="N70" s="93" t="n">
        <f aca="false">PV_kWp*SpecYield*(1-Degradation)^(N39-1)*N41</f>
        <v>434853.522497851</v>
      </c>
      <c r="O70" s="93" t="n">
        <f aca="false">PV_kWp*SpecYield*(1-Degradation)^(O39-1)*O41</f>
        <v>432679.254885362</v>
      </c>
      <c r="P70" s="93" t="n">
        <f aca="false">PV_kWp*SpecYield*(1-Degradation)^(P39-1)*P41</f>
        <v>430515.858610935</v>
      </c>
      <c r="Q70" s="93" t="n">
        <f aca="false">PV_kWp*SpecYield*(1-Degradation)^(Q39-1)*Q41</f>
        <v>428363.279317881</v>
      </c>
      <c r="R70" s="93" t="n">
        <f aca="false">PV_kWp*SpecYield*(1-Degradation)^(R39-1)*R41</f>
        <v>426221.462921291</v>
      </c>
      <c r="S70" s="93" t="n">
        <f aca="false">PV_kWp*SpecYield*(1-Degradation)^(S39-1)*S41</f>
        <v>424090.355606685</v>
      </c>
      <c r="T70" s="93" t="n">
        <f aca="false">PV_kWp*SpecYield*(1-Degradation)^(T39-1)*T41</f>
        <v>421969.903828651</v>
      </c>
      <c r="U70" s="93" t="n">
        <f aca="false">PV_kWp*SpecYield*(1-Degradation)^(U39-1)*U41</f>
        <v>419860.054309508</v>
      </c>
      <c r="V70" s="93" t="n">
        <f aca="false">PV_kWp*SpecYield*(1-Degradation)^(V39-1)*V41</f>
        <v>417760.754037961</v>
      </c>
      <c r="W70" s="93" t="n">
        <f aca="false">PV_kWp*SpecYield*(1-Degradation)^(W39-1)*W41</f>
        <v>415671.950267771</v>
      </c>
    </row>
    <row r="71" customFormat="false" ht="15" hidden="false" customHeight="false" outlineLevel="0" collapsed="false">
      <c r="A71" s="11" t="s">
        <v>426</v>
      </c>
      <c r="B71" s="76" t="n">
        <f aca="false">SUM(C71:W71)</f>
        <v>7903453.19236348</v>
      </c>
      <c r="C71" s="93" t="n">
        <v>0</v>
      </c>
      <c r="D71" s="93" t="n">
        <f aca="false">MIN(D70/StorageFactor,D69*SolarFraction)</f>
        <v>215938.341818182</v>
      </c>
      <c r="E71" s="93" t="n">
        <f aca="false">MIN(E70/StorageFactor,E69*SolarFraction)</f>
        <v>315090.030436364</v>
      </c>
      <c r="F71" s="93" t="n">
        <f aca="false">MIN(F70/StorageFactor,F69*SolarFraction)</f>
        <v>381814.978058182</v>
      </c>
      <c r="G71" s="93" t="n">
        <f aca="false">MIN(G70/StorageFactor,G69*SolarFraction)</f>
        <v>393269.427399927</v>
      </c>
      <c r="H71" s="93" t="n">
        <f aca="false">MIN(H70/StorageFactor,H69*SolarFraction)</f>
        <v>405067.510221925</v>
      </c>
      <c r="I71" s="93" t="n">
        <f aca="false">MIN(I70/StorageFactor,I69*SolarFraction)</f>
        <v>417219.535528583</v>
      </c>
      <c r="J71" s="93" t="n">
        <f aca="false">MIN(J70/StorageFactor,J69*SolarFraction)</f>
        <v>426078.172123344</v>
      </c>
      <c r="K71" s="93" t="n">
        <f aca="false">MIN(K70/StorageFactor,K69*SolarFraction)</f>
        <v>423947.781262727</v>
      </c>
      <c r="L71" s="93" t="n">
        <f aca="false">MIN(L70/StorageFactor,L69*SolarFraction)</f>
        <v>421828.042356414</v>
      </c>
      <c r="M71" s="93" t="n">
        <f aca="false">MIN(M70/StorageFactor,M69*SolarFraction)</f>
        <v>419718.902144632</v>
      </c>
      <c r="N71" s="93" t="n">
        <f aca="false">MIN(N70/StorageFactor,N69*SolarFraction)</f>
        <v>417620.307633909</v>
      </c>
      <c r="O71" s="93" t="n">
        <f aca="false">MIN(O70/StorageFactor,O69*SolarFraction)</f>
        <v>415532.206095739</v>
      </c>
      <c r="P71" s="93" t="n">
        <f aca="false">MIN(P70/StorageFactor,P69*SolarFraction)</f>
        <v>413454.54506526</v>
      </c>
      <c r="Q71" s="93" t="n">
        <f aca="false">MIN(Q70/StorageFactor,Q69*SolarFraction)</f>
        <v>411387.272339934</v>
      </c>
      <c r="R71" s="93" t="n">
        <f aca="false">MIN(R70/StorageFactor,R69*SolarFraction)</f>
        <v>409330.335978234</v>
      </c>
      <c r="S71" s="93" t="n">
        <f aca="false">MIN(S70/StorageFactor,S69*SolarFraction)</f>
        <v>407283.684298343</v>
      </c>
      <c r="T71" s="93" t="n">
        <f aca="false">MIN(T70/StorageFactor,T69*SolarFraction)</f>
        <v>405247.265876851</v>
      </c>
      <c r="U71" s="93" t="n">
        <f aca="false">MIN(U70/StorageFactor,U69*SolarFraction)</f>
        <v>403221.029547467</v>
      </c>
      <c r="V71" s="93" t="n">
        <f aca="false">MIN(V70/StorageFactor,V69*SolarFraction)</f>
        <v>401204.92439973</v>
      </c>
      <c r="W71" s="93" t="n">
        <f aca="false">MIN(W70/StorageFactor,W69*SolarFraction)</f>
        <v>399198.899777731</v>
      </c>
    </row>
    <row r="72" customFormat="false" ht="15" hidden="false" customHeight="false" outlineLevel="0" collapsed="false">
      <c r="A72" s="11" t="s">
        <v>427</v>
      </c>
      <c r="B72" s="76" t="n">
        <f aca="false">SUM(C72:W72)</f>
        <v>2619891.80883251</v>
      </c>
      <c r="C72" s="93" t="n">
        <v>0</v>
      </c>
      <c r="D72" s="93" t="n">
        <f aca="false">D69-D71</f>
        <v>23993.1490909091</v>
      </c>
      <c r="E72" s="93" t="n">
        <f aca="false">E69-E71</f>
        <v>35010.0033818182</v>
      </c>
      <c r="F72" s="93" t="n">
        <f aca="false">F69-F71</f>
        <v>42423.8864509091</v>
      </c>
      <c r="G72" s="93" t="n">
        <f aca="false">G69-G71</f>
        <v>43696.6030444364</v>
      </c>
      <c r="H72" s="93" t="n">
        <f aca="false">H69-H71</f>
        <v>45007.5011357695</v>
      </c>
      <c r="I72" s="93" t="n">
        <f aca="false">I69-I71</f>
        <v>46357.7261698425</v>
      </c>
      <c r="J72" s="93" t="n">
        <f aca="false">J69-J71</f>
        <v>51406.407426034</v>
      </c>
      <c r="K72" s="93" t="n">
        <f aca="false">K69-K71</f>
        <v>67861.3356731322</v>
      </c>
      <c r="L72" s="93" t="n">
        <f aca="false">L69-L71</f>
        <v>84735.3480875216</v>
      </c>
      <c r="M72" s="93" t="n">
        <f aca="false">M69-M71</f>
        <v>102041.390012622</v>
      </c>
      <c r="N72" s="93" t="n">
        <f aca="false">N69-N71</f>
        <v>119792.793288062</v>
      </c>
      <c r="O72" s="93" t="n">
        <f aca="false">O69-O71</f>
        <v>138003.287853891</v>
      </c>
      <c r="P72" s="93" t="n">
        <f aca="false">P69-P71</f>
        <v>156687.013702859</v>
      </c>
      <c r="Q72" s="93" t="n">
        <f aca="false">Q69-Q71</f>
        <v>175858.533191229</v>
      </c>
      <c r="R72" s="93" t="n">
        <f aca="false">R69-R71</f>
        <v>195532.843718863</v>
      </c>
      <c r="S72" s="93" t="n">
        <f aca="false">S69-S71</f>
        <v>215725.390789667</v>
      </c>
      <c r="T72" s="93" t="n">
        <f aca="false">T69-T71</f>
        <v>236452.0814638</v>
      </c>
      <c r="U72" s="93" t="n">
        <f aca="false">U69-U71</f>
        <v>257729.298213403</v>
      </c>
      <c r="V72" s="93" t="n">
        <f aca="false">V69-V71</f>
        <v>279573.913193967</v>
      </c>
      <c r="W72" s="93" t="n">
        <f aca="false">W69-W71</f>
        <v>302003.302943776</v>
      </c>
    </row>
    <row r="73" customFormat="false" ht="15" hidden="false" customHeight="false" outlineLevel="0" collapsed="false">
      <c r="A73" s="11" t="s">
        <v>428</v>
      </c>
      <c r="C73" s="91" t="n">
        <v>0</v>
      </c>
      <c r="D73" s="91" t="n">
        <f aca="false">IFERROR(D71/D69,0)</f>
        <v>0.9</v>
      </c>
      <c r="E73" s="91" t="n">
        <f aca="false">IFERROR(E71/E69,0)</f>
        <v>0.9</v>
      </c>
      <c r="F73" s="91" t="n">
        <f aca="false">IFERROR(F71/F69,0)</f>
        <v>0.9</v>
      </c>
      <c r="G73" s="91" t="n">
        <f aca="false">IFERROR(G71/G69,0)</f>
        <v>0.9</v>
      </c>
      <c r="H73" s="91" t="n">
        <f aca="false">IFERROR(H71/H69,0)</f>
        <v>0.9</v>
      </c>
      <c r="I73" s="91" t="n">
        <f aca="false">IFERROR(I71/I69,0)</f>
        <v>0.9</v>
      </c>
      <c r="J73" s="91" t="n">
        <f aca="false">IFERROR(J71/J69,0)</f>
        <v>0.892339125434065</v>
      </c>
      <c r="K73" s="91" t="n">
        <f aca="false">IFERROR(K71/K69,0)</f>
        <v>0.862016922142616</v>
      </c>
      <c r="L73" s="91" t="n">
        <f aca="false">IFERROR(L71/L69,0)</f>
        <v>0.83272508498243</v>
      </c>
      <c r="M73" s="91" t="n">
        <f aca="false">IFERROR(M71/M69,0)</f>
        <v>0.804428601512153</v>
      </c>
      <c r="N73" s="91" t="n">
        <f aca="false">IFERROR(N71/N69,0)</f>
        <v>0.777093649033585</v>
      </c>
      <c r="O73" s="91" t="n">
        <f aca="false">IFERROR(O71/O69,0)</f>
        <v>0.750687554163511</v>
      </c>
      <c r="P73" s="91" t="n">
        <f aca="false">IFERROR(P71/P69,0)</f>
        <v>0.725178753779314</v>
      </c>
      <c r="Q73" s="91" t="n">
        <f aca="false">IFERROR(Q71/Q69,0)</f>
        <v>0.700536757291668</v>
      </c>
      <c r="R73" s="91" t="n">
        <f aca="false">IFERROR(R71/R69,0)</f>
        <v>0.676732110199232</v>
      </c>
      <c r="S73" s="91" t="n">
        <f aca="false">IFERROR(S71/S69,0)</f>
        <v>0.653736358881783</v>
      </c>
      <c r="T73" s="91" t="n">
        <f aca="false">IFERROR(T71/T69,0)</f>
        <v>0.631522016589683</v>
      </c>
      <c r="U73" s="91" t="n">
        <f aca="false">IFERROR(U71/U69,0)</f>
        <v>0.610062530589063</v>
      </c>
      <c r="V73" s="91" t="n">
        <f aca="false">IFERROR(V71/V69,0)</f>
        <v>0.589332250423415</v>
      </c>
      <c r="W73" s="91" t="n">
        <f aca="false">IFERROR(W71/W69,0)</f>
        <v>0.569306397253687</v>
      </c>
    </row>
    <row r="74" customFormat="false" ht="15" hidden="false" customHeight="false" outlineLevel="0" collapsed="false">
      <c r="A74" s="11" t="s">
        <v>429</v>
      </c>
      <c r="B74" s="76" t="n">
        <f aca="false">SUM(C74:W74)</f>
        <v>873297.269610837</v>
      </c>
      <c r="C74" s="93" t="n">
        <v>0</v>
      </c>
      <c r="D74" s="93" t="n">
        <f aca="false">D72/DieselEff</f>
        <v>7997.71636363636</v>
      </c>
      <c r="E74" s="93" t="n">
        <f aca="false">E72/DieselEff</f>
        <v>11670.0011272727</v>
      </c>
      <c r="F74" s="93" t="n">
        <f aca="false">F72/DieselEff</f>
        <v>14141.2954836364</v>
      </c>
      <c r="G74" s="93" t="n">
        <f aca="false">G72/DieselEff</f>
        <v>14565.5343481455</v>
      </c>
      <c r="H74" s="93" t="n">
        <f aca="false">H72/DieselEff</f>
        <v>15002.5003785898</v>
      </c>
      <c r="I74" s="93" t="n">
        <f aca="false">I72/DieselEff</f>
        <v>15452.5753899475</v>
      </c>
      <c r="J74" s="93" t="n">
        <f aca="false">J72/DieselEff</f>
        <v>17135.4691420114</v>
      </c>
      <c r="K74" s="93" t="n">
        <f aca="false">K72/DieselEff</f>
        <v>22620.4452243774</v>
      </c>
      <c r="L74" s="93" t="n">
        <f aca="false">L72/DieselEff</f>
        <v>28245.1160291739</v>
      </c>
      <c r="M74" s="93" t="n">
        <f aca="false">M72/DieselEff</f>
        <v>34013.7966708739</v>
      </c>
      <c r="N74" s="93" t="n">
        <f aca="false">N72/DieselEff</f>
        <v>39930.9310960208</v>
      </c>
      <c r="O74" s="93" t="n">
        <f aca="false">O72/DieselEff</f>
        <v>46001.0959512971</v>
      </c>
      <c r="P74" s="93" t="n">
        <f aca="false">P72/DieselEff</f>
        <v>52229.0045676196</v>
      </c>
      <c r="Q74" s="93" t="n">
        <f aca="false">Q72/DieselEff</f>
        <v>58619.5110637429</v>
      </c>
      <c r="R74" s="93" t="n">
        <f aca="false">R72/DieselEff</f>
        <v>65177.6145729544</v>
      </c>
      <c r="S74" s="93" t="n">
        <f aca="false">S72/DieselEff</f>
        <v>71908.4635965558</v>
      </c>
      <c r="T74" s="93" t="n">
        <f aca="false">T72/DieselEff</f>
        <v>78817.3604879332</v>
      </c>
      <c r="U74" s="93" t="n">
        <f aca="false">U72/DieselEff</f>
        <v>85909.7660711344</v>
      </c>
      <c r="V74" s="93" t="n">
        <f aca="false">V72/DieselEff</f>
        <v>93191.3043979889</v>
      </c>
      <c r="W74" s="93" t="n">
        <f aca="false">W72/DieselEff</f>
        <v>100667.767647925</v>
      </c>
    </row>
    <row r="76" customFormat="false" ht="15" hidden="false" customHeight="false" outlineLevel="0" collapsed="false">
      <c r="A76" s="9" t="s">
        <v>430</v>
      </c>
      <c r="B76" s="10"/>
      <c r="C76" s="10"/>
      <c r="D76" s="10"/>
      <c r="E76" s="10"/>
      <c r="F76" s="10"/>
      <c r="G76" s="10"/>
      <c r="H76" s="10"/>
      <c r="I76" s="10"/>
      <c r="J76" s="10"/>
      <c r="K76" s="10"/>
      <c r="L76" s="10"/>
      <c r="M76" s="10"/>
      <c r="N76" s="10"/>
      <c r="O76" s="10"/>
      <c r="P76" s="10"/>
      <c r="Q76" s="10"/>
      <c r="R76" s="10"/>
      <c r="S76" s="10"/>
      <c r="T76" s="10"/>
      <c r="U76" s="10"/>
      <c r="V76" s="10"/>
      <c r="W76" s="10"/>
    </row>
    <row r="77" customFormat="false" ht="15" hidden="false" customHeight="false" outlineLevel="0" collapsed="false">
      <c r="A77" s="11" t="str">
        <f aca="false">"Billed revenue - "&amp;Seg1_Name</f>
        <v>Billed revenue - Households</v>
      </c>
      <c r="B77" s="66" t="n">
        <f aca="false">SUM(C77:W77)</f>
        <v>2107258.13958533</v>
      </c>
      <c r="C77" s="95" t="n">
        <v>0</v>
      </c>
      <c r="D77" s="95" t="n">
        <f aca="false">D61*Seg1_Tariff*LevTariff*$B$5*D43</f>
        <v>34560</v>
      </c>
      <c r="E77" s="95" t="n">
        <f aca="false">E61*Seg1_Tariff*LevTariff*$B$5*E43</f>
        <v>51941.664</v>
      </c>
      <c r="F77" s="95" t="n">
        <f aca="false">F61*Seg1_Tariff*LevTariff*$B$5*F43</f>
        <v>64829.307456</v>
      </c>
      <c r="G77" s="95" t="n">
        <f aca="false">G61*Seg1_Tariff*LevTariff*$B$5*G43</f>
        <v>68777.4122800704</v>
      </c>
      <c r="H77" s="95" t="n">
        <f aca="false">H61*Seg1_Tariff*LevTariff*$B$5*H43</f>
        <v>72965.9566879267</v>
      </c>
      <c r="I77" s="95" t="n">
        <f aca="false">I61*Seg1_Tariff*LevTariff*$B$5*I43</f>
        <v>77409.5834502214</v>
      </c>
      <c r="J77" s="95" t="n">
        <f aca="false">J61*Seg1_Tariff*LevTariff*$B$5*J43</f>
        <v>82123.8270823399</v>
      </c>
      <c r="K77" s="95" t="n">
        <f aca="false">K61*Seg1_Tariff*LevTariff*$B$5*K43</f>
        <v>87125.1681516545</v>
      </c>
      <c r="L77" s="95" t="n">
        <f aca="false">L61*Seg1_Tariff*LevTariff*$B$5*L43</f>
        <v>92431.0908920902</v>
      </c>
      <c r="M77" s="95" t="n">
        <f aca="false">M61*Seg1_Tariff*LevTariff*$B$5*M43</f>
        <v>98060.1443274185</v>
      </c>
      <c r="N77" s="95" t="n">
        <f aca="false">N61*Seg1_Tariff*LevTariff*$B$5*N43</f>
        <v>104032.007116958</v>
      </c>
      <c r="O77" s="95" t="n">
        <f aca="false">O61*Seg1_Tariff*LevTariff*$B$5*O43</f>
        <v>110367.556350381</v>
      </c>
      <c r="P77" s="95" t="n">
        <f aca="false">P61*Seg1_Tariff*LevTariff*$B$5*P43</f>
        <v>117088.940532119</v>
      </c>
      <c r="Q77" s="95" t="n">
        <f aca="false">Q61*Seg1_Tariff*LevTariff*$B$5*Q43</f>
        <v>124219.657010525</v>
      </c>
      <c r="R77" s="95" t="n">
        <f aca="false">R61*Seg1_Tariff*LevTariff*$B$5*R43</f>
        <v>131784.634122466</v>
      </c>
      <c r="S77" s="95" t="n">
        <f aca="false">S61*Seg1_Tariff*LevTariff*$B$5*S43</f>
        <v>139810.318340525</v>
      </c>
      <c r="T77" s="95" t="n">
        <f aca="false">T61*Seg1_Tariff*LevTariff*$B$5*T43</f>
        <v>148324.766727463</v>
      </c>
      <c r="U77" s="95" t="n">
        <f aca="false">U61*Seg1_Tariff*LevTariff*$B$5*U43</f>
        <v>157357.745021165</v>
      </c>
      <c r="V77" s="95" t="n">
        <f aca="false">V61*Seg1_Tariff*LevTariff*$B$5*V43</f>
        <v>166940.831692954</v>
      </c>
      <c r="W77" s="95" t="n">
        <f aca="false">W61*Seg1_Tariff*LevTariff*$B$5*W43</f>
        <v>177107.528343055</v>
      </c>
    </row>
    <row r="78" customFormat="false" ht="15" hidden="false" customHeight="false" outlineLevel="0" collapsed="false">
      <c r="A78" s="11" t="str">
        <f aca="false">"Billed revenue - "&amp;Seg2_Name</f>
        <v>Billed revenue - Productive users (mills, welding, cold rooms)</v>
      </c>
      <c r="B78" s="66" t="n">
        <f aca="false">SUM(C78:W78)</f>
        <v>1432819.63572035</v>
      </c>
      <c r="C78" s="95" t="n">
        <v>0</v>
      </c>
      <c r="D78" s="95" t="n">
        <f aca="false">D62*Seg2_Tariff*LevTariff*$B$5*D43</f>
        <v>23498.8992</v>
      </c>
      <c r="E78" s="95" t="n">
        <f aca="false">E62*Seg2_Tariff*LevTariff*$B$5*E43</f>
        <v>35317.47472848</v>
      </c>
      <c r="F78" s="95" t="n">
        <f aca="false">F62*Seg2_Tariff*LevTariff*$B$5*F43</f>
        <v>44080.3634581699</v>
      </c>
      <c r="G78" s="95" t="n">
        <f aca="false">G62*Seg2_Tariff*LevTariff*$B$5*G43</f>
        <v>46764.8575927725</v>
      </c>
      <c r="H78" s="95" t="n">
        <f aca="false">H62*Seg2_Tariff*LevTariff*$B$5*H43</f>
        <v>49612.8374201723</v>
      </c>
      <c r="I78" s="95" t="n">
        <f aca="false">I62*Seg2_Tariff*LevTariff*$B$5*I43</f>
        <v>52634.2592190608</v>
      </c>
      <c r="J78" s="95" t="n">
        <f aca="false">J62*Seg2_Tariff*LevTariff*$B$5*J43</f>
        <v>55839.6856055016</v>
      </c>
      <c r="K78" s="95" t="n">
        <f aca="false">K62*Seg2_Tariff*LevTariff*$B$5*K43</f>
        <v>59240.3224588767</v>
      </c>
      <c r="L78" s="95" t="n">
        <f aca="false">L62*Seg2_Tariff*LevTariff*$B$5*L43</f>
        <v>62848.0580966223</v>
      </c>
      <c r="M78" s="95" t="n">
        <f aca="false">M62*Seg2_Tariff*LevTariff*$B$5*M43</f>
        <v>66675.5048347066</v>
      </c>
      <c r="N78" s="95" t="n">
        <f aca="false">N62*Seg2_Tariff*LevTariff*$B$5*N43</f>
        <v>70736.0430791402</v>
      </c>
      <c r="O78" s="95" t="n">
        <f aca="false">O62*Seg2_Tariff*LevTariff*$B$5*O43</f>
        <v>75043.8681026598</v>
      </c>
      <c r="P78" s="95" t="n">
        <f aca="false">P62*Seg2_Tariff*LevTariff*$B$5*P43</f>
        <v>79614.0396701118</v>
      </c>
      <c r="Q78" s="95" t="n">
        <f aca="false">Q62*Seg2_Tariff*LevTariff*$B$5*Q43</f>
        <v>84462.5346860216</v>
      </c>
      <c r="R78" s="95" t="n">
        <f aca="false">R62*Seg2_Tariff*LevTariff*$B$5*R43</f>
        <v>89606.3030484004</v>
      </c>
      <c r="S78" s="95" t="n">
        <f aca="false">S62*Seg2_Tariff*LevTariff*$B$5*S43</f>
        <v>95063.3269040479</v>
      </c>
      <c r="T78" s="95" t="n">
        <f aca="false">T62*Seg2_Tariff*LevTariff*$B$5*T43</f>
        <v>100852.683512504</v>
      </c>
      <c r="U78" s="95" t="n">
        <f aca="false">U62*Seg2_Tariff*LevTariff*$B$5*U43</f>
        <v>106994.611938416</v>
      </c>
      <c r="V78" s="95" t="n">
        <f aca="false">V62*Seg2_Tariff*LevTariff*$B$5*V43</f>
        <v>113510.583805466</v>
      </c>
      <c r="W78" s="95" t="n">
        <f aca="false">W62*Seg2_Tariff*LevTariff*$B$5*W43</f>
        <v>120423.378359218</v>
      </c>
    </row>
    <row r="79" customFormat="false" ht="15" hidden="false" customHeight="false" outlineLevel="0" collapsed="false">
      <c r="A79" s="11" t="str">
        <f aca="false">"Billed revenue - "&amp;Seg3_Name</f>
        <v>Billed revenue - Commercial (shops, bars, kiosks)</v>
      </c>
      <c r="B79" s="66" t="n">
        <f aca="false">SUM(C79:W79)</f>
        <v>878024.224827222</v>
      </c>
      <c r="C79" s="95" t="n">
        <v>0</v>
      </c>
      <c r="D79" s="95" t="n">
        <f aca="false">D63*Seg3_Tariff*LevTariff*$B$5*D43</f>
        <v>14400</v>
      </c>
      <c r="E79" s="95" t="n">
        <f aca="false">E63*Seg3_Tariff*LevTariff*$B$5*E43</f>
        <v>21642.36</v>
      </c>
      <c r="F79" s="95" t="n">
        <f aca="false">F63*Seg3_Tariff*LevTariff*$B$5*F43</f>
        <v>27012.21144</v>
      </c>
      <c r="G79" s="95" t="n">
        <f aca="false">G63*Seg3_Tariff*LevTariff*$B$5*G43</f>
        <v>28657.255116696</v>
      </c>
      <c r="H79" s="95" t="n">
        <f aca="false">H63*Seg3_Tariff*LevTariff*$B$5*H43</f>
        <v>30402.4819533028</v>
      </c>
      <c r="I79" s="95" t="n">
        <f aca="false">I63*Seg3_Tariff*LevTariff*$B$5*I43</f>
        <v>32253.9931042589</v>
      </c>
      <c r="J79" s="95" t="n">
        <f aca="false">J63*Seg3_Tariff*LevTariff*$B$5*J43</f>
        <v>34218.2612843083</v>
      </c>
      <c r="K79" s="95" t="n">
        <f aca="false">K63*Seg3_Tariff*LevTariff*$B$5*K43</f>
        <v>36302.1533965227</v>
      </c>
      <c r="L79" s="95" t="n">
        <f aca="false">L63*Seg3_Tariff*LevTariff*$B$5*L43</f>
        <v>38512.9545383709</v>
      </c>
      <c r="M79" s="95" t="n">
        <f aca="false">M63*Seg3_Tariff*LevTariff*$B$5*M43</f>
        <v>40858.3934697577</v>
      </c>
      <c r="N79" s="95" t="n">
        <f aca="false">N63*Seg3_Tariff*LevTariff*$B$5*N43</f>
        <v>43346.669632066</v>
      </c>
      <c r="O79" s="95" t="n">
        <f aca="false">O63*Seg3_Tariff*LevTariff*$B$5*O43</f>
        <v>45986.4818126588</v>
      </c>
      <c r="P79" s="95" t="n">
        <f aca="false">P63*Seg3_Tariff*LevTariff*$B$5*P43</f>
        <v>48787.0585550497</v>
      </c>
      <c r="Q79" s="95" t="n">
        <f aca="false">Q63*Seg3_Tariff*LevTariff*$B$5*Q43</f>
        <v>51758.1904210522</v>
      </c>
      <c r="R79" s="95" t="n">
        <f aca="false">R63*Seg3_Tariff*LevTariff*$B$5*R43</f>
        <v>54910.2642176943</v>
      </c>
      <c r="S79" s="95" t="n">
        <f aca="false">S63*Seg3_Tariff*LevTariff*$B$5*S43</f>
        <v>58254.2993085519</v>
      </c>
      <c r="T79" s="95" t="n">
        <f aca="false">T63*Seg3_Tariff*LevTariff*$B$5*T43</f>
        <v>61801.9861364427</v>
      </c>
      <c r="U79" s="95" t="n">
        <f aca="false">U63*Seg3_Tariff*LevTariff*$B$5*U43</f>
        <v>65565.7270921521</v>
      </c>
      <c r="V79" s="95" t="n">
        <f aca="false">V63*Seg3_Tariff*LevTariff*$B$5*V43</f>
        <v>69558.6798720642</v>
      </c>
      <c r="W79" s="95" t="n">
        <f aca="false">W63*Seg3_Tariff*LevTariff*$B$5*W43</f>
        <v>73794.8034762729</v>
      </c>
    </row>
    <row r="80" customFormat="false" ht="15" hidden="false" customHeight="false" outlineLevel="0" collapsed="false">
      <c r="A80" s="11" t="str">
        <f aca="false">"Billed revenue - "&amp;Seg4_Name</f>
        <v>Billed revenue - Institutions (health centre, school, water)</v>
      </c>
      <c r="B80" s="66" t="n">
        <f aca="false">SUM(C80:W80)</f>
        <v>460962.718034292</v>
      </c>
      <c r="C80" s="95" t="n">
        <v>0</v>
      </c>
      <c r="D80" s="95" t="n">
        <f aca="false">D64*Seg4_Tariff*LevTariff*$B$5*D43</f>
        <v>7560</v>
      </c>
      <c r="E80" s="95" t="n">
        <f aca="false">E64*Seg4_Tariff*LevTariff*$B$5*E43</f>
        <v>11362.239</v>
      </c>
      <c r="F80" s="95" t="n">
        <f aca="false">F64*Seg4_Tariff*LevTariff*$B$5*F43</f>
        <v>14181.411006</v>
      </c>
      <c r="G80" s="95" t="n">
        <f aca="false">G64*Seg4_Tariff*LevTariff*$B$5*G43</f>
        <v>15045.0589362654</v>
      </c>
      <c r="H80" s="95" t="n">
        <f aca="false">H64*Seg4_Tariff*LevTariff*$B$5*H43</f>
        <v>15961.303025484</v>
      </c>
      <c r="I80" s="95" t="n">
        <f aca="false">I64*Seg4_Tariff*LevTariff*$B$5*I43</f>
        <v>16933.3463797359</v>
      </c>
      <c r="J80" s="95" t="n">
        <f aca="false">J64*Seg4_Tariff*LevTariff*$B$5*J43</f>
        <v>17964.5871742619</v>
      </c>
      <c r="K80" s="95" t="n">
        <f aca="false">K64*Seg4_Tariff*LevTariff*$B$5*K43</f>
        <v>19058.6305331744</v>
      </c>
      <c r="L80" s="95" t="n">
        <f aca="false">L64*Seg4_Tariff*LevTariff*$B$5*L43</f>
        <v>20219.3011326447</v>
      </c>
      <c r="M80" s="95" t="n">
        <f aca="false">M64*Seg4_Tariff*LevTariff*$B$5*M43</f>
        <v>21450.6565716228</v>
      </c>
      <c r="N80" s="95" t="n">
        <f aca="false">N64*Seg4_Tariff*LevTariff*$B$5*N43</f>
        <v>22757.0015568346</v>
      </c>
      <c r="O80" s="95" t="n">
        <f aca="false">O64*Seg4_Tariff*LevTariff*$B$5*O43</f>
        <v>24142.9029516459</v>
      </c>
      <c r="P80" s="95" t="n">
        <f aca="false">P64*Seg4_Tariff*LevTariff*$B$5*P43</f>
        <v>25613.2057414011</v>
      </c>
      <c r="Q80" s="95" t="n">
        <f aca="false">Q64*Seg4_Tariff*LevTariff*$B$5*Q43</f>
        <v>27173.0499710524</v>
      </c>
      <c r="R80" s="95" t="n">
        <f aca="false">R64*Seg4_Tariff*LevTariff*$B$5*R43</f>
        <v>28827.8887142895</v>
      </c>
      <c r="S80" s="95" t="n">
        <f aca="false">S64*Seg4_Tariff*LevTariff*$B$5*S43</f>
        <v>30583.5071369897</v>
      </c>
      <c r="T80" s="95" t="n">
        <f aca="false">T64*Seg4_Tariff*LevTariff*$B$5*T43</f>
        <v>32446.0427216324</v>
      </c>
      <c r="U80" s="95" t="n">
        <f aca="false">U64*Seg4_Tariff*LevTariff*$B$5*U43</f>
        <v>34422.0067233798</v>
      </c>
      <c r="V80" s="95" t="n">
        <f aca="false">V64*Seg4_Tariff*LevTariff*$B$5*V43</f>
        <v>36518.3069328337</v>
      </c>
      <c r="W80" s="95" t="n">
        <f aca="false">W64*Seg4_Tariff*LevTariff*$B$5*W43</f>
        <v>38742.2718250432</v>
      </c>
    </row>
    <row r="81" customFormat="false" ht="15" hidden="false" customHeight="false" outlineLevel="0" collapsed="false">
      <c r="A81" s="11" t="str">
        <f aca="false">"Billed revenue - "&amp;Seg5_Name</f>
        <v>Billed revenue - Other / custom</v>
      </c>
      <c r="B81" s="66" t="n">
        <f aca="false">SUM(C81:W81)</f>
        <v>0</v>
      </c>
      <c r="C81" s="95" t="n">
        <v>0</v>
      </c>
      <c r="D81" s="95" t="n">
        <f aca="false">D65*Seg5_Tariff*LevTariff*$B$5*D43</f>
        <v>0</v>
      </c>
      <c r="E81" s="95" t="n">
        <f aca="false">E65*Seg5_Tariff*LevTariff*$B$5*E43</f>
        <v>0</v>
      </c>
      <c r="F81" s="95" t="n">
        <f aca="false">F65*Seg5_Tariff*LevTariff*$B$5*F43</f>
        <v>0</v>
      </c>
      <c r="G81" s="95" t="n">
        <f aca="false">G65*Seg5_Tariff*LevTariff*$B$5*G43</f>
        <v>0</v>
      </c>
      <c r="H81" s="95" t="n">
        <f aca="false">H65*Seg5_Tariff*LevTariff*$B$5*H43</f>
        <v>0</v>
      </c>
      <c r="I81" s="95" t="n">
        <f aca="false">I65*Seg5_Tariff*LevTariff*$B$5*I43</f>
        <v>0</v>
      </c>
      <c r="J81" s="95" t="n">
        <f aca="false">J65*Seg5_Tariff*LevTariff*$B$5*J43</f>
        <v>0</v>
      </c>
      <c r="K81" s="95" t="n">
        <f aca="false">K65*Seg5_Tariff*LevTariff*$B$5*K43</f>
        <v>0</v>
      </c>
      <c r="L81" s="95" t="n">
        <f aca="false">L65*Seg5_Tariff*LevTariff*$B$5*L43</f>
        <v>0</v>
      </c>
      <c r="M81" s="95" t="n">
        <f aca="false">M65*Seg5_Tariff*LevTariff*$B$5*M43</f>
        <v>0</v>
      </c>
      <c r="N81" s="95" t="n">
        <f aca="false">N65*Seg5_Tariff*LevTariff*$B$5*N43</f>
        <v>0</v>
      </c>
      <c r="O81" s="95" t="n">
        <f aca="false">O65*Seg5_Tariff*LevTariff*$B$5*O43</f>
        <v>0</v>
      </c>
      <c r="P81" s="95" t="n">
        <f aca="false">P65*Seg5_Tariff*LevTariff*$B$5*P43</f>
        <v>0</v>
      </c>
      <c r="Q81" s="95" t="n">
        <f aca="false">Q65*Seg5_Tariff*LevTariff*$B$5*Q43</f>
        <v>0</v>
      </c>
      <c r="R81" s="95" t="n">
        <f aca="false">R65*Seg5_Tariff*LevTariff*$B$5*R43</f>
        <v>0</v>
      </c>
      <c r="S81" s="95" t="n">
        <f aca="false">S65*Seg5_Tariff*LevTariff*$B$5*S43</f>
        <v>0</v>
      </c>
      <c r="T81" s="95" t="n">
        <f aca="false">T65*Seg5_Tariff*LevTariff*$B$5*T43</f>
        <v>0</v>
      </c>
      <c r="U81" s="95" t="n">
        <f aca="false">U65*Seg5_Tariff*LevTariff*$B$5*U43</f>
        <v>0</v>
      </c>
      <c r="V81" s="95" t="n">
        <f aca="false">V65*Seg5_Tariff*LevTariff*$B$5*V43</f>
        <v>0</v>
      </c>
      <c r="W81" s="95" t="n">
        <f aca="false">W65*Seg5_Tariff*LevTariff*$B$5*W43</f>
        <v>0</v>
      </c>
    </row>
    <row r="82" customFormat="false" ht="15" hidden="false" customHeight="false" outlineLevel="0" collapsed="false">
      <c r="A82" s="16" t="s">
        <v>431</v>
      </c>
      <c r="B82" s="66" t="n">
        <f aca="false">SUM(C82:W82)</f>
        <v>4879064.7181672</v>
      </c>
      <c r="C82" s="31" t="n">
        <f aca="false">C77+C78+C79+C80+C81</f>
        <v>0</v>
      </c>
      <c r="D82" s="31" t="n">
        <f aca="false">D77+D78+D79+D80+D81</f>
        <v>80018.8992</v>
      </c>
      <c r="E82" s="31" t="n">
        <f aca="false">E77+E78+E79+E80+E81</f>
        <v>120263.73772848</v>
      </c>
      <c r="F82" s="31" t="n">
        <f aca="false">F77+F78+F79+F80+F81</f>
        <v>150103.29336017</v>
      </c>
      <c r="G82" s="31" t="n">
        <f aca="false">G77+G78+G79+G80+G81</f>
        <v>159244.583925804</v>
      </c>
      <c r="H82" s="31" t="n">
        <f aca="false">H77+H78+H79+H80+H81</f>
        <v>168942.579086886</v>
      </c>
      <c r="I82" s="31" t="n">
        <f aca="false">I77+I78+I79+I80+I81</f>
        <v>179231.182153277</v>
      </c>
      <c r="J82" s="31" t="n">
        <f aca="false">J77+J78+J79+J80+J81</f>
        <v>190146.361146412</v>
      </c>
      <c r="K82" s="31" t="n">
        <f aca="false">K77+K78+K79+K80+K81</f>
        <v>201726.274540228</v>
      </c>
      <c r="L82" s="31" t="n">
        <f aca="false">L77+L78+L79+L80+L81</f>
        <v>214011.404659728</v>
      </c>
      <c r="M82" s="31" t="n">
        <f aca="false">M77+M78+M79+M80+M81</f>
        <v>227044.699203506</v>
      </c>
      <c r="N82" s="31" t="n">
        <f aca="false">N77+N78+N79+N80+N81</f>
        <v>240871.721384999</v>
      </c>
      <c r="O82" s="31" t="n">
        <f aca="false">O77+O78+O79+O80+O81</f>
        <v>255540.809217346</v>
      </c>
      <c r="P82" s="31" t="n">
        <f aca="false">P77+P78+P79+P80+P81</f>
        <v>271103.244498682</v>
      </c>
      <c r="Q82" s="31" t="n">
        <f aca="false">Q77+Q78+Q79+Q80+Q81</f>
        <v>287613.432088652</v>
      </c>
      <c r="R82" s="31" t="n">
        <f aca="false">R77+R78+R79+R80+R81</f>
        <v>305129.090102851</v>
      </c>
      <c r="S82" s="31" t="n">
        <f aca="false">S77+S78+S79+S80+S81</f>
        <v>323711.451690114</v>
      </c>
      <c r="T82" s="31" t="n">
        <f aca="false">T77+T78+T79+T80+T81</f>
        <v>343425.479098042</v>
      </c>
      <c r="U82" s="31" t="n">
        <f aca="false">U77+U78+U79+U80+U81</f>
        <v>364340.090775113</v>
      </c>
      <c r="V82" s="31" t="n">
        <f aca="false">V77+V78+V79+V80+V81</f>
        <v>386528.402303317</v>
      </c>
      <c r="W82" s="31" t="n">
        <f aca="false">W77+W78+W79+W80+W81</f>
        <v>410067.982003589</v>
      </c>
    </row>
    <row r="83" customFormat="false" ht="15" hidden="false" customHeight="false" outlineLevel="0" collapsed="false">
      <c r="A83" s="11" t="s">
        <v>432</v>
      </c>
      <c r="B83" s="66" t="n">
        <f aca="false">SUM(C83:W83)</f>
        <v>4488739.54071382</v>
      </c>
      <c r="C83" s="95" t="n">
        <v>0</v>
      </c>
      <c r="D83" s="95" t="n">
        <f aca="false">D82*MIN(1,Collection*LevColl*$B$9)</f>
        <v>73617.387264</v>
      </c>
      <c r="E83" s="95" t="n">
        <f aca="false">E82*MIN(1,Collection*LevColl*$B$9)</f>
        <v>110642.638710202</v>
      </c>
      <c r="F83" s="95" t="n">
        <f aca="false">F82*MIN(1,Collection*LevColl*$B$9)</f>
        <v>138095.029891356</v>
      </c>
      <c r="G83" s="95" t="n">
        <f aca="false">G82*MIN(1,Collection*LevColl*$B$9)</f>
        <v>146505.01721174</v>
      </c>
      <c r="H83" s="95" t="n">
        <f aca="false">H82*MIN(1,Collection*LevColl*$B$9)</f>
        <v>155427.172759935</v>
      </c>
      <c r="I83" s="95" t="n">
        <f aca="false">I82*MIN(1,Collection*LevColl*$B$9)</f>
        <v>164892.687581015</v>
      </c>
      <c r="J83" s="95" t="n">
        <f aca="false">J82*MIN(1,Collection*LevColl*$B$9)</f>
        <v>174934.652254699</v>
      </c>
      <c r="K83" s="95" t="n">
        <f aca="false">K82*MIN(1,Collection*LevColl*$B$9)</f>
        <v>185588.17257701</v>
      </c>
      <c r="L83" s="95" t="n">
        <f aca="false">L82*MIN(1,Collection*LevColl*$B$9)</f>
        <v>196890.49228695</v>
      </c>
      <c r="M83" s="95" t="n">
        <f aca="false">M82*MIN(1,Collection*LevColl*$B$9)</f>
        <v>208881.123267225</v>
      </c>
      <c r="N83" s="95" t="n">
        <f aca="false">N82*MIN(1,Collection*LevColl*$B$9)</f>
        <v>221601.983674199</v>
      </c>
      <c r="O83" s="95" t="n">
        <f aca="false">O82*MIN(1,Collection*LevColl*$B$9)</f>
        <v>235097.544479958</v>
      </c>
      <c r="P83" s="95" t="n">
        <f aca="false">P82*MIN(1,Collection*LevColl*$B$9)</f>
        <v>249414.984938787</v>
      </c>
      <c r="Q83" s="95" t="n">
        <f aca="false">Q82*MIN(1,Collection*LevColl*$B$9)</f>
        <v>264604.357521559</v>
      </c>
      <c r="R83" s="95" t="n">
        <f aca="false">R82*MIN(1,Collection*LevColl*$B$9)</f>
        <v>280718.762894623</v>
      </c>
      <c r="S83" s="95" t="n">
        <f aca="false">S82*MIN(1,Collection*LevColl*$B$9)</f>
        <v>297814.535554905</v>
      </c>
      <c r="T83" s="95" t="n">
        <f aca="false">T82*MIN(1,Collection*LevColl*$B$9)</f>
        <v>315951.440770199</v>
      </c>
      <c r="U83" s="95" t="n">
        <f aca="false">U82*MIN(1,Collection*LevColl*$B$9)</f>
        <v>335192.883513104</v>
      </c>
      <c r="V83" s="95" t="n">
        <f aca="false">V82*MIN(1,Collection*LevColl*$B$9)</f>
        <v>355606.130119052</v>
      </c>
      <c r="W83" s="95" t="n">
        <f aca="false">W82*MIN(1,Collection*LevColl*$B$9)</f>
        <v>377262.543443302</v>
      </c>
    </row>
    <row r="84" customFormat="false" ht="15" hidden="false" customHeight="false" outlineLevel="0" collapsed="false">
      <c r="A84" s="11" t="s">
        <v>433</v>
      </c>
      <c r="B84" s="66" t="n">
        <f aca="false">SUM(C84:W84)</f>
        <v>11500</v>
      </c>
      <c r="C84" s="95" t="n">
        <v>0</v>
      </c>
      <c r="D84" s="95" t="n">
        <f aca="false">D54*Seg1_Fee+D55*Seg2_Fee+D56*Seg3_Fee+D57*Seg4_Fee+D58*Seg5_Fee</f>
        <v>6900</v>
      </c>
      <c r="E84" s="95" t="n">
        <f aca="false">E54*Seg1_Fee+E55*Seg2_Fee+E56*Seg3_Fee+E57*Seg4_Fee+E58*Seg5_Fee</f>
        <v>2875</v>
      </c>
      <c r="F84" s="95" t="n">
        <f aca="false">F54*Seg1_Fee+F55*Seg2_Fee+F56*Seg3_Fee+F57*Seg4_Fee+F58*Seg5_Fee</f>
        <v>1725</v>
      </c>
      <c r="G84" s="95" t="n">
        <f aca="false">G54*Seg1_Fee+G55*Seg2_Fee+G56*Seg3_Fee+G57*Seg4_Fee+G58*Seg5_Fee</f>
        <v>0</v>
      </c>
      <c r="H84" s="95" t="n">
        <f aca="false">H54*Seg1_Fee+H55*Seg2_Fee+H56*Seg3_Fee+H57*Seg4_Fee+H58*Seg5_Fee</f>
        <v>0</v>
      </c>
      <c r="I84" s="95" t="n">
        <f aca="false">I54*Seg1_Fee+I55*Seg2_Fee+I56*Seg3_Fee+I57*Seg4_Fee+I58*Seg5_Fee</f>
        <v>0</v>
      </c>
      <c r="J84" s="95" t="n">
        <f aca="false">J54*Seg1_Fee+J55*Seg2_Fee+J56*Seg3_Fee+J57*Seg4_Fee+J58*Seg5_Fee</f>
        <v>0</v>
      </c>
      <c r="K84" s="95" t="n">
        <f aca="false">K54*Seg1_Fee+K55*Seg2_Fee+K56*Seg3_Fee+K57*Seg4_Fee+K58*Seg5_Fee</f>
        <v>0</v>
      </c>
      <c r="L84" s="95" t="n">
        <f aca="false">L54*Seg1_Fee+L55*Seg2_Fee+L56*Seg3_Fee+L57*Seg4_Fee+L58*Seg5_Fee</f>
        <v>0</v>
      </c>
      <c r="M84" s="95" t="n">
        <f aca="false">M54*Seg1_Fee+M55*Seg2_Fee+M56*Seg3_Fee+M57*Seg4_Fee+M58*Seg5_Fee</f>
        <v>0</v>
      </c>
      <c r="N84" s="95" t="n">
        <f aca="false">N54*Seg1_Fee+N55*Seg2_Fee+N56*Seg3_Fee+N57*Seg4_Fee+N58*Seg5_Fee</f>
        <v>0</v>
      </c>
      <c r="O84" s="95" t="n">
        <f aca="false">O54*Seg1_Fee+O55*Seg2_Fee+O56*Seg3_Fee+O57*Seg4_Fee+O58*Seg5_Fee</f>
        <v>0</v>
      </c>
      <c r="P84" s="95" t="n">
        <f aca="false">P54*Seg1_Fee+P55*Seg2_Fee+P56*Seg3_Fee+P57*Seg4_Fee+P58*Seg5_Fee</f>
        <v>0</v>
      </c>
      <c r="Q84" s="95" t="n">
        <f aca="false">Q54*Seg1_Fee+Q55*Seg2_Fee+Q56*Seg3_Fee+Q57*Seg4_Fee+Q58*Seg5_Fee</f>
        <v>0</v>
      </c>
      <c r="R84" s="95" t="n">
        <f aca="false">R54*Seg1_Fee+R55*Seg2_Fee+R56*Seg3_Fee+R57*Seg4_Fee+R58*Seg5_Fee</f>
        <v>0</v>
      </c>
      <c r="S84" s="95" t="n">
        <f aca="false">S54*Seg1_Fee+S55*Seg2_Fee+S56*Seg3_Fee+S57*Seg4_Fee+S58*Seg5_Fee</f>
        <v>0</v>
      </c>
      <c r="T84" s="95" t="n">
        <f aca="false">T54*Seg1_Fee+T55*Seg2_Fee+T56*Seg3_Fee+T57*Seg4_Fee+T58*Seg5_Fee</f>
        <v>0</v>
      </c>
      <c r="U84" s="95" t="n">
        <f aca="false">U54*Seg1_Fee+U55*Seg2_Fee+U56*Seg3_Fee+U57*Seg4_Fee+U58*Seg5_Fee</f>
        <v>0</v>
      </c>
      <c r="V84" s="95" t="n">
        <f aca="false">V54*Seg1_Fee+V55*Seg2_Fee+V56*Seg3_Fee+V57*Seg4_Fee+V58*Seg5_Fee</f>
        <v>0</v>
      </c>
      <c r="W84" s="95" t="n">
        <f aca="false">W54*Seg1_Fee+W55*Seg2_Fee+W56*Seg3_Fee+W57*Seg4_Fee+W58*Seg5_Fee</f>
        <v>0</v>
      </c>
    </row>
    <row r="85" customFormat="false" ht="15" hidden="false" customHeight="false" outlineLevel="0" collapsed="false">
      <c r="A85" s="16" t="s">
        <v>434</v>
      </c>
      <c r="B85" s="66" t="n">
        <f aca="false">SUM(C85:W85)</f>
        <v>4500239.54071382</v>
      </c>
      <c r="C85" s="31" t="n">
        <f aca="false">C83+C84</f>
        <v>0</v>
      </c>
      <c r="D85" s="31" t="n">
        <f aca="false">D83+D84</f>
        <v>80517.387264</v>
      </c>
      <c r="E85" s="31" t="n">
        <f aca="false">E83+E84</f>
        <v>113517.638710202</v>
      </c>
      <c r="F85" s="31" t="n">
        <f aca="false">F83+F84</f>
        <v>139820.029891356</v>
      </c>
      <c r="G85" s="31" t="n">
        <f aca="false">G83+G84</f>
        <v>146505.01721174</v>
      </c>
      <c r="H85" s="31" t="n">
        <f aca="false">H83+H84</f>
        <v>155427.172759935</v>
      </c>
      <c r="I85" s="31" t="n">
        <f aca="false">I83+I84</f>
        <v>164892.687581015</v>
      </c>
      <c r="J85" s="31" t="n">
        <f aca="false">J83+J84</f>
        <v>174934.652254699</v>
      </c>
      <c r="K85" s="31" t="n">
        <f aca="false">K83+K84</f>
        <v>185588.17257701</v>
      </c>
      <c r="L85" s="31" t="n">
        <f aca="false">L83+L84</f>
        <v>196890.49228695</v>
      </c>
      <c r="M85" s="31" t="n">
        <f aca="false">M83+M84</f>
        <v>208881.123267225</v>
      </c>
      <c r="N85" s="31" t="n">
        <f aca="false">N83+N84</f>
        <v>221601.983674199</v>
      </c>
      <c r="O85" s="31" t="n">
        <f aca="false">O83+O84</f>
        <v>235097.544479958</v>
      </c>
      <c r="P85" s="31" t="n">
        <f aca="false">P83+P84</f>
        <v>249414.984938787</v>
      </c>
      <c r="Q85" s="31" t="n">
        <f aca="false">Q83+Q84</f>
        <v>264604.357521559</v>
      </c>
      <c r="R85" s="31" t="n">
        <f aca="false">R83+R84</f>
        <v>280718.762894623</v>
      </c>
      <c r="S85" s="31" t="n">
        <f aca="false">S83+S84</f>
        <v>297814.535554905</v>
      </c>
      <c r="T85" s="31" t="n">
        <f aca="false">T83+T84</f>
        <v>315951.440770199</v>
      </c>
      <c r="U85" s="31" t="n">
        <f aca="false">U83+U84</f>
        <v>335192.883513104</v>
      </c>
      <c r="V85" s="31" t="n">
        <f aca="false">V83+V84</f>
        <v>355606.130119052</v>
      </c>
      <c r="W85" s="31" t="n">
        <f aca="false">W83+W84</f>
        <v>377262.543443302</v>
      </c>
    </row>
    <row r="87" customFormat="false" ht="15" hidden="false" customHeight="false" outlineLevel="0" collapsed="false">
      <c r="A87" s="9" t="s">
        <v>435</v>
      </c>
      <c r="B87" s="10"/>
      <c r="C87" s="10"/>
      <c r="D87" s="10"/>
      <c r="E87" s="10"/>
      <c r="F87" s="10"/>
      <c r="G87" s="10"/>
      <c r="H87" s="10"/>
      <c r="I87" s="10"/>
      <c r="J87" s="10"/>
      <c r="K87" s="10"/>
      <c r="L87" s="10"/>
      <c r="M87" s="10"/>
      <c r="N87" s="10"/>
      <c r="O87" s="10"/>
      <c r="P87" s="10"/>
      <c r="Q87" s="10"/>
      <c r="R87" s="10"/>
      <c r="S87" s="10"/>
      <c r="T87" s="10"/>
      <c r="U87" s="10"/>
      <c r="V87" s="10"/>
      <c r="W87" s="10"/>
    </row>
    <row r="88" customFormat="false" ht="15" hidden="false" customHeight="false" outlineLevel="0" collapsed="false">
      <c r="A88" s="11" t="s">
        <v>162</v>
      </c>
      <c r="B88" s="66" t="n">
        <f aca="false">SUM(C88:W88)</f>
        <v>679197.868676078</v>
      </c>
      <c r="C88" s="95" t="n">
        <v>0</v>
      </c>
      <c r="D88" s="95" t="n">
        <f aca="false">S_Rate_Lo!$B$15*O_FixedPct*D44*LevOpex*$B$8*D41</f>
        <v>25276.8292810589</v>
      </c>
      <c r="E88" s="95" t="n">
        <f aca="false">S_Rate_Lo!$B$15*O_FixedPct*E44*LevOpex*$B$8*E41</f>
        <v>26035.1341594906</v>
      </c>
      <c r="F88" s="95" t="n">
        <f aca="false">S_Rate_Lo!$B$15*O_FixedPct*F44*LevOpex*$B$8*F41</f>
        <v>26816.1881842753</v>
      </c>
      <c r="G88" s="95" t="n">
        <f aca="false">S_Rate_Lo!$B$15*O_FixedPct*G44*LevOpex*$B$8*G41</f>
        <v>27620.6738298036</v>
      </c>
      <c r="H88" s="95" t="n">
        <f aca="false">S_Rate_Lo!$B$15*O_FixedPct*H44*LevOpex*$B$8*H41</f>
        <v>28449.2940446977</v>
      </c>
      <c r="I88" s="95" t="n">
        <f aca="false">S_Rate_Lo!$B$15*O_FixedPct*I44*LevOpex*$B$8*I41</f>
        <v>29302.7728660386</v>
      </c>
      <c r="J88" s="95" t="n">
        <f aca="false">S_Rate_Lo!$B$15*O_FixedPct*J44*LevOpex*$B$8*J41</f>
        <v>30181.8560520198</v>
      </c>
      <c r="K88" s="95" t="n">
        <f aca="false">S_Rate_Lo!$B$15*O_FixedPct*K44*LevOpex*$B$8*K41</f>
        <v>31087.3117335804</v>
      </c>
      <c r="L88" s="95" t="n">
        <f aca="false">S_Rate_Lo!$B$15*O_FixedPct*L44*LevOpex*$B$8*L41</f>
        <v>32019.9310855878</v>
      </c>
      <c r="M88" s="95" t="n">
        <f aca="false">S_Rate_Lo!$B$15*O_FixedPct*M44*LevOpex*$B$8*M41</f>
        <v>32980.5290181554</v>
      </c>
      <c r="N88" s="95" t="n">
        <f aca="false">S_Rate_Lo!$B$15*O_FixedPct*N44*LevOpex*$B$8*N41</f>
        <v>33969.9448887001</v>
      </c>
      <c r="O88" s="95" t="n">
        <f aca="false">S_Rate_Lo!$B$15*O_FixedPct*O44*LevOpex*$B$8*O41</f>
        <v>34989.0432353611</v>
      </c>
      <c r="P88" s="95" t="n">
        <f aca="false">S_Rate_Lo!$B$15*O_FixedPct*P44*LevOpex*$B$8*P41</f>
        <v>36038.7145324219</v>
      </c>
      <c r="Q88" s="95" t="n">
        <f aca="false">S_Rate_Lo!$B$15*O_FixedPct*Q44*LevOpex*$B$8*Q41</f>
        <v>37119.8759683946</v>
      </c>
      <c r="R88" s="95" t="n">
        <f aca="false">S_Rate_Lo!$B$15*O_FixedPct*R44*LevOpex*$B$8*R41</f>
        <v>38233.4722474465</v>
      </c>
      <c r="S88" s="95" t="n">
        <f aca="false">S_Rate_Lo!$B$15*O_FixedPct*S44*LevOpex*$B$8*S41</f>
        <v>39380.4764148698</v>
      </c>
      <c r="T88" s="95" t="n">
        <f aca="false">S_Rate_Lo!$B$15*O_FixedPct*T44*LevOpex*$B$8*T41</f>
        <v>40561.8907073159</v>
      </c>
      <c r="U88" s="95" t="n">
        <f aca="false">S_Rate_Lo!$B$15*O_FixedPct*U44*LevOpex*$B$8*U41</f>
        <v>41778.7474285354</v>
      </c>
      <c r="V88" s="95" t="n">
        <f aca="false">S_Rate_Lo!$B$15*O_FixedPct*V44*LevOpex*$B$8*V41</f>
        <v>43032.1098513915</v>
      </c>
      <c r="W88" s="95" t="n">
        <f aca="false">S_Rate_Lo!$B$15*O_FixedPct*W44*LevOpex*$B$8*W41</f>
        <v>44323.0731469332</v>
      </c>
    </row>
    <row r="89" customFormat="false" ht="15" hidden="false" customHeight="false" outlineLevel="0" collapsed="false">
      <c r="A89" s="11" t="s">
        <v>436</v>
      </c>
      <c r="B89" s="66" t="n">
        <f aca="false">SUM(C89:W89)</f>
        <v>483666.740801648</v>
      </c>
      <c r="C89" s="95" t="n">
        <v>0</v>
      </c>
      <c r="D89" s="95" t="n">
        <f aca="false">O_Staff*D44*LevOpex*$B$8*D41</f>
        <v>18000</v>
      </c>
      <c r="E89" s="95" t="n">
        <f aca="false">O_Staff*E44*LevOpex*$B$8*E41</f>
        <v>18540</v>
      </c>
      <c r="F89" s="95" t="n">
        <f aca="false">O_Staff*F44*LevOpex*$B$8*F41</f>
        <v>19096.2</v>
      </c>
      <c r="G89" s="95" t="n">
        <f aca="false">O_Staff*G44*LevOpex*$B$8*G41</f>
        <v>19669.086</v>
      </c>
      <c r="H89" s="95" t="n">
        <f aca="false">O_Staff*H44*LevOpex*$B$8*H41</f>
        <v>20259.15858</v>
      </c>
      <c r="I89" s="95" t="n">
        <f aca="false">O_Staff*I44*LevOpex*$B$8*I41</f>
        <v>20866.9333374</v>
      </c>
      <c r="J89" s="95" t="n">
        <f aca="false">O_Staff*J44*LevOpex*$B$8*J41</f>
        <v>21492.941337522</v>
      </c>
      <c r="K89" s="95" t="n">
        <f aca="false">O_Staff*K44*LevOpex*$B$8*K41</f>
        <v>22137.7295776477</v>
      </c>
      <c r="L89" s="95" t="n">
        <f aca="false">O_Staff*L44*LevOpex*$B$8*L41</f>
        <v>22801.8614649771</v>
      </c>
      <c r="M89" s="95" t="n">
        <f aca="false">O_Staff*M44*LevOpex*$B$8*M41</f>
        <v>23485.9173089264</v>
      </c>
      <c r="N89" s="95" t="n">
        <f aca="false">O_Staff*N44*LevOpex*$B$8*N41</f>
        <v>24190.4948281942</v>
      </c>
      <c r="O89" s="95" t="n">
        <f aca="false">O_Staff*O44*LevOpex*$B$8*O41</f>
        <v>24916.20967304</v>
      </c>
      <c r="P89" s="95" t="n">
        <f aca="false">O_Staff*P44*LevOpex*$B$8*P41</f>
        <v>25663.6959632312</v>
      </c>
      <c r="Q89" s="95" t="n">
        <f aca="false">O_Staff*Q44*LevOpex*$B$8*Q41</f>
        <v>26433.6068421282</v>
      </c>
      <c r="R89" s="95" t="n">
        <f aca="false">O_Staff*R44*LevOpex*$B$8*R41</f>
        <v>27226.615047392</v>
      </c>
      <c r="S89" s="95" t="n">
        <f aca="false">O_Staff*S44*LevOpex*$B$8*S41</f>
        <v>28043.4134988138</v>
      </c>
      <c r="T89" s="95" t="n">
        <f aca="false">O_Staff*T44*LevOpex*$B$8*T41</f>
        <v>28884.7159037782</v>
      </c>
      <c r="U89" s="95" t="n">
        <f aca="false">O_Staff*U44*LevOpex*$B$8*U41</f>
        <v>29751.2573808915</v>
      </c>
      <c r="V89" s="95" t="n">
        <f aca="false">O_Staff*V44*LevOpex*$B$8*V41</f>
        <v>30643.7951023183</v>
      </c>
      <c r="W89" s="95" t="n">
        <f aca="false">O_Staff*W44*LevOpex*$B$8*W41</f>
        <v>31563.1089553878</v>
      </c>
    </row>
    <row r="90" customFormat="false" ht="15" hidden="false" customHeight="false" outlineLevel="0" collapsed="false">
      <c r="A90" s="11" t="s">
        <v>165</v>
      </c>
      <c r="B90" s="66" t="n">
        <f aca="false">SUM(C90:W90)</f>
        <v>156215.509795498</v>
      </c>
      <c r="C90" s="95" t="n">
        <v>0</v>
      </c>
      <c r="D90" s="95" t="n">
        <f aca="false">S_Rate_Lo!$B$14*O_InsPct*D44*LevOpex*$B$8*D41</f>
        <v>5813.67073464354</v>
      </c>
      <c r="E90" s="95" t="n">
        <f aca="false">S_Rate_Lo!$B$14*O_InsPct*E44*LevOpex*$B$8*E41</f>
        <v>5988.08085668284</v>
      </c>
      <c r="F90" s="95" t="n">
        <f aca="false">S_Rate_Lo!$B$14*O_InsPct*F44*LevOpex*$B$8*F41</f>
        <v>6167.72328238333</v>
      </c>
      <c r="G90" s="95" t="n">
        <f aca="false">S_Rate_Lo!$B$14*O_InsPct*G44*LevOpex*$B$8*G41</f>
        <v>6352.75498085483</v>
      </c>
      <c r="H90" s="95" t="n">
        <f aca="false">S_Rate_Lo!$B$14*O_InsPct*H44*LevOpex*$B$8*H41</f>
        <v>6543.33763028047</v>
      </c>
      <c r="I90" s="95" t="n">
        <f aca="false">S_Rate_Lo!$B$14*O_InsPct*I44*LevOpex*$B$8*I41</f>
        <v>6739.63775918889</v>
      </c>
      <c r="J90" s="95" t="n">
        <f aca="false">S_Rate_Lo!$B$14*O_InsPct*J44*LevOpex*$B$8*J41</f>
        <v>6941.82689196455</v>
      </c>
      <c r="K90" s="95" t="n">
        <f aca="false">S_Rate_Lo!$B$14*O_InsPct*K44*LevOpex*$B$8*K41</f>
        <v>7150.08169872349</v>
      </c>
      <c r="L90" s="95" t="n">
        <f aca="false">S_Rate_Lo!$B$14*O_InsPct*L44*LevOpex*$B$8*L41</f>
        <v>7364.5841496852</v>
      </c>
      <c r="M90" s="95" t="n">
        <f aca="false">S_Rate_Lo!$B$14*O_InsPct*M44*LevOpex*$B$8*M41</f>
        <v>7585.52167417575</v>
      </c>
      <c r="N90" s="95" t="n">
        <f aca="false">S_Rate_Lo!$B$14*O_InsPct*N44*LevOpex*$B$8*N41</f>
        <v>7813.08732440103</v>
      </c>
      <c r="O90" s="95" t="n">
        <f aca="false">S_Rate_Lo!$B$14*O_InsPct*O44*LevOpex*$B$8*O41</f>
        <v>8047.47994413306</v>
      </c>
      <c r="P90" s="95" t="n">
        <f aca="false">S_Rate_Lo!$B$14*O_InsPct*P44*LevOpex*$B$8*P41</f>
        <v>8288.90434245705</v>
      </c>
      <c r="Q90" s="95" t="n">
        <f aca="false">S_Rate_Lo!$B$14*O_InsPct*Q44*LevOpex*$B$8*Q41</f>
        <v>8537.57147273076</v>
      </c>
      <c r="R90" s="95" t="n">
        <f aca="false">S_Rate_Lo!$B$14*O_InsPct*R44*LevOpex*$B$8*R41</f>
        <v>8793.69861691268</v>
      </c>
      <c r="S90" s="95" t="n">
        <f aca="false">S_Rate_Lo!$B$14*O_InsPct*S44*LevOpex*$B$8*S41</f>
        <v>9057.50957542006</v>
      </c>
      <c r="T90" s="95" t="n">
        <f aca="false">S_Rate_Lo!$B$14*O_InsPct*T44*LevOpex*$B$8*T41</f>
        <v>9329.23486268267</v>
      </c>
      <c r="U90" s="95" t="n">
        <f aca="false">S_Rate_Lo!$B$14*O_InsPct*U44*LevOpex*$B$8*U41</f>
        <v>9609.11190856315</v>
      </c>
      <c r="V90" s="95" t="n">
        <f aca="false">S_Rate_Lo!$B$14*O_InsPct*V44*LevOpex*$B$8*V41</f>
        <v>9897.38526582004</v>
      </c>
      <c r="W90" s="95" t="n">
        <f aca="false">S_Rate_Lo!$B$14*O_InsPct*W44*LevOpex*$B$8*W41</f>
        <v>10194.3068237946</v>
      </c>
    </row>
    <row r="91" customFormat="false" ht="15" hidden="false" customHeight="false" outlineLevel="0" collapsed="false">
      <c r="A91" s="11" t="s">
        <v>437</v>
      </c>
      <c r="B91" s="66" t="n">
        <f aca="false">SUM(C91:W91)</f>
        <v>80611.1234669414</v>
      </c>
      <c r="C91" s="95" t="n">
        <v>0</v>
      </c>
      <c r="D91" s="95" t="n">
        <f aca="false">O_Fees*D44*LevOpex*$B$8*D41</f>
        <v>3000</v>
      </c>
      <c r="E91" s="95" t="n">
        <f aca="false">O_Fees*E44*LevOpex*$B$8*E41</f>
        <v>3090</v>
      </c>
      <c r="F91" s="95" t="n">
        <f aca="false">O_Fees*F44*LevOpex*$B$8*F41</f>
        <v>3182.7</v>
      </c>
      <c r="G91" s="95" t="n">
        <f aca="false">O_Fees*G44*LevOpex*$B$8*G41</f>
        <v>3278.181</v>
      </c>
      <c r="H91" s="95" t="n">
        <f aca="false">O_Fees*H44*LevOpex*$B$8*H41</f>
        <v>3376.52643</v>
      </c>
      <c r="I91" s="95" t="n">
        <f aca="false">O_Fees*I44*LevOpex*$B$8*I41</f>
        <v>3477.8222229</v>
      </c>
      <c r="J91" s="95" t="n">
        <f aca="false">O_Fees*J44*LevOpex*$B$8*J41</f>
        <v>3582.156889587</v>
      </c>
      <c r="K91" s="95" t="n">
        <f aca="false">O_Fees*K44*LevOpex*$B$8*K41</f>
        <v>3689.62159627461</v>
      </c>
      <c r="L91" s="95" t="n">
        <f aca="false">O_Fees*L44*LevOpex*$B$8*L41</f>
        <v>3800.31024416285</v>
      </c>
      <c r="M91" s="95" t="n">
        <f aca="false">O_Fees*M44*LevOpex*$B$8*M41</f>
        <v>3914.31955148773</v>
      </c>
      <c r="N91" s="95" t="n">
        <f aca="false">O_Fees*N44*LevOpex*$B$8*N41</f>
        <v>4031.74913803237</v>
      </c>
      <c r="O91" s="95" t="n">
        <f aca="false">O_Fees*O44*LevOpex*$B$8*O41</f>
        <v>4152.70161217334</v>
      </c>
      <c r="P91" s="95" t="n">
        <f aca="false">O_Fees*P44*LevOpex*$B$8*P41</f>
        <v>4277.28266053854</v>
      </c>
      <c r="Q91" s="95" t="n">
        <f aca="false">O_Fees*Q44*LevOpex*$B$8*Q41</f>
        <v>4405.60114035469</v>
      </c>
      <c r="R91" s="95" t="n">
        <f aca="false">O_Fees*R44*LevOpex*$B$8*R41</f>
        <v>4537.76917456534</v>
      </c>
      <c r="S91" s="95" t="n">
        <f aca="false">O_Fees*S44*LevOpex*$B$8*S41</f>
        <v>4673.9022498023</v>
      </c>
      <c r="T91" s="95" t="n">
        <f aca="false">O_Fees*T44*LevOpex*$B$8*T41</f>
        <v>4814.11931729637</v>
      </c>
      <c r="U91" s="95" t="n">
        <f aca="false">O_Fees*U44*LevOpex*$B$8*U41</f>
        <v>4958.54289681526</v>
      </c>
      <c r="V91" s="95" t="n">
        <f aca="false">O_Fees*V44*LevOpex*$B$8*V41</f>
        <v>5107.29918371971</v>
      </c>
      <c r="W91" s="95" t="n">
        <f aca="false">O_Fees*W44*LevOpex*$B$8*W41</f>
        <v>5260.51815923131</v>
      </c>
    </row>
    <row r="92" customFormat="false" ht="15" hidden="false" customHeight="false" outlineLevel="0" collapsed="false">
      <c r="A92" s="11" t="s">
        <v>438</v>
      </c>
      <c r="B92" s="66" t="n">
        <f aca="false">SUM(C92:W92)</f>
        <v>107481.497955922</v>
      </c>
      <c r="C92" s="95" t="n">
        <v>0</v>
      </c>
      <c r="D92" s="95" t="n">
        <f aca="false">O_MRV*D44*LevOpex*$B$8*D41</f>
        <v>4000</v>
      </c>
      <c r="E92" s="95" t="n">
        <f aca="false">O_MRV*E44*LevOpex*$B$8*E41</f>
        <v>4120</v>
      </c>
      <c r="F92" s="95" t="n">
        <f aca="false">O_MRV*F44*LevOpex*$B$8*F41</f>
        <v>4243.6</v>
      </c>
      <c r="G92" s="95" t="n">
        <f aca="false">O_MRV*G44*LevOpex*$B$8*G41</f>
        <v>4370.908</v>
      </c>
      <c r="H92" s="95" t="n">
        <f aca="false">O_MRV*H44*LevOpex*$B$8*H41</f>
        <v>4502.03524</v>
      </c>
      <c r="I92" s="95" t="n">
        <f aca="false">O_MRV*I44*LevOpex*$B$8*I41</f>
        <v>4637.0962972</v>
      </c>
      <c r="J92" s="95" t="n">
        <f aca="false">O_MRV*J44*LevOpex*$B$8*J41</f>
        <v>4776.209186116</v>
      </c>
      <c r="K92" s="95" t="n">
        <f aca="false">O_MRV*K44*LevOpex*$B$8*K41</f>
        <v>4919.49546169948</v>
      </c>
      <c r="L92" s="95" t="n">
        <f aca="false">O_MRV*L44*LevOpex*$B$8*L41</f>
        <v>5067.08032555047</v>
      </c>
      <c r="M92" s="95" t="n">
        <f aca="false">O_MRV*M44*LevOpex*$B$8*M41</f>
        <v>5219.09273531698</v>
      </c>
      <c r="N92" s="95" t="n">
        <f aca="false">O_MRV*N44*LevOpex*$B$8*N41</f>
        <v>5375.66551737649</v>
      </c>
      <c r="O92" s="95" t="n">
        <f aca="false">O_MRV*O44*LevOpex*$B$8*O41</f>
        <v>5536.93548289778</v>
      </c>
      <c r="P92" s="95" t="n">
        <f aca="false">O_MRV*P44*LevOpex*$B$8*P41</f>
        <v>5703.04354738472</v>
      </c>
      <c r="Q92" s="95" t="n">
        <f aca="false">O_MRV*Q44*LevOpex*$B$8*Q41</f>
        <v>5874.13485380626</v>
      </c>
      <c r="R92" s="95" t="n">
        <f aca="false">O_MRV*R44*LevOpex*$B$8*R41</f>
        <v>6050.35889942045</v>
      </c>
      <c r="S92" s="95" t="n">
        <f aca="false">O_MRV*S44*LevOpex*$B$8*S41</f>
        <v>6231.86966640306</v>
      </c>
      <c r="T92" s="95" t="n">
        <f aca="false">O_MRV*T44*LevOpex*$B$8*T41</f>
        <v>6418.82575639515</v>
      </c>
      <c r="U92" s="95" t="n">
        <f aca="false">O_MRV*U44*LevOpex*$B$8*U41</f>
        <v>6611.39052908701</v>
      </c>
      <c r="V92" s="95" t="n">
        <f aca="false">O_MRV*V44*LevOpex*$B$8*V41</f>
        <v>6809.73224495962</v>
      </c>
      <c r="W92" s="95" t="n">
        <f aca="false">O_MRV*W44*LevOpex*$B$8*W41</f>
        <v>7014.02421230841</v>
      </c>
    </row>
    <row r="93" customFormat="false" ht="15" hidden="false" customHeight="false" outlineLevel="0" collapsed="false">
      <c r="A93" s="11" t="s">
        <v>439</v>
      </c>
      <c r="B93" s="66" t="n">
        <f aca="false">SUM(C93:W93)</f>
        <v>135007.186221415</v>
      </c>
      <c r="C93" s="95" t="n">
        <v>0</v>
      </c>
      <c r="D93" s="95" t="n">
        <f aca="false">D85*O_CustPct</f>
        <v>2415.52161792</v>
      </c>
      <c r="E93" s="95" t="n">
        <f aca="false">E85*O_CustPct</f>
        <v>3405.52916130605</v>
      </c>
      <c r="F93" s="95" t="n">
        <f aca="false">F85*O_CustPct</f>
        <v>4194.60089674069</v>
      </c>
      <c r="G93" s="95" t="n">
        <f aca="false">G85*O_CustPct</f>
        <v>4395.1505163522</v>
      </c>
      <c r="H93" s="95" t="n">
        <f aca="false">H85*O_CustPct</f>
        <v>4662.81518279805</v>
      </c>
      <c r="I93" s="95" t="n">
        <f aca="false">I85*O_CustPct</f>
        <v>4946.78062743045</v>
      </c>
      <c r="J93" s="95" t="n">
        <f aca="false">J85*O_CustPct</f>
        <v>5248.03956764096</v>
      </c>
      <c r="K93" s="95" t="n">
        <f aca="false">K85*O_CustPct</f>
        <v>5567.6451773103</v>
      </c>
      <c r="L93" s="95" t="n">
        <f aca="false">L85*O_CustPct</f>
        <v>5906.7147686085</v>
      </c>
      <c r="M93" s="95" t="n">
        <f aca="false">M85*O_CustPct</f>
        <v>6266.43369801675</v>
      </c>
      <c r="N93" s="95" t="n">
        <f aca="false">N85*O_CustPct</f>
        <v>6648.05951022597</v>
      </c>
      <c r="O93" s="95" t="n">
        <f aca="false">O85*O_CustPct</f>
        <v>7052.92633439874</v>
      </c>
      <c r="P93" s="95" t="n">
        <f aca="false">P85*O_CustPct</f>
        <v>7482.44954816362</v>
      </c>
      <c r="Q93" s="95" t="n">
        <f aca="false">Q85*O_CustPct</f>
        <v>7938.13072564678</v>
      </c>
      <c r="R93" s="95" t="n">
        <f aca="false">R85*O_CustPct</f>
        <v>8421.56288683868</v>
      </c>
      <c r="S93" s="95" t="n">
        <f aca="false">S85*O_CustPct</f>
        <v>8934.43606664715</v>
      </c>
      <c r="T93" s="95" t="n">
        <f aca="false">T85*O_CustPct</f>
        <v>9478.54322310596</v>
      </c>
      <c r="U93" s="95" t="n">
        <f aca="false">U85*O_CustPct</f>
        <v>10055.7865053931</v>
      </c>
      <c r="V93" s="95" t="n">
        <f aca="false">V85*O_CustPct</f>
        <v>10668.1839035716</v>
      </c>
      <c r="W93" s="95" t="n">
        <f aca="false">W85*O_CustPct</f>
        <v>11317.8763032991</v>
      </c>
    </row>
    <row r="94" customFormat="false" ht="15" hidden="false" customHeight="false" outlineLevel="0" collapsed="false">
      <c r="A94" s="11" t="s">
        <v>440</v>
      </c>
      <c r="B94" s="66" t="n">
        <f aca="false">SUM(C94:W94)</f>
        <v>117570.051282715</v>
      </c>
      <c r="C94" s="95" t="n">
        <v>0</v>
      </c>
      <c r="D94" s="95" t="n">
        <f aca="false">D72*O_DieselOM*D44*LevOpex*$B$8</f>
        <v>719.794472727272</v>
      </c>
      <c r="E94" s="95" t="n">
        <f aca="false">E72*O_DieselOM*E44*LevOpex*$B$8</f>
        <v>1081.80910449818</v>
      </c>
      <c r="F94" s="95" t="n">
        <f aca="false">F72*O_DieselOM*F44*LevOpex*$B$8</f>
        <v>1350.22503407308</v>
      </c>
      <c r="G94" s="95" t="n">
        <f aca="false">G72*O_DieselOM*G44*LevOpex*$B$8</f>
        <v>1432.45373864813</v>
      </c>
      <c r="H94" s="95" t="n">
        <f aca="false">H72*O_DieselOM*H44*LevOpex*$B$8</f>
        <v>1519.69017133181</v>
      </c>
      <c r="I94" s="95" t="n">
        <f aca="false">I72*O_DieselOM*I44*LevOpex*$B$8</f>
        <v>1612.23930276591</v>
      </c>
      <c r="J94" s="95" t="n">
        <f aca="false">J72*O_DieselOM*J44*LevOpex*$B$8</f>
        <v>1841.45816530084</v>
      </c>
      <c r="K94" s="95" t="n">
        <f aca="false">K72*O_DieselOM*K44*LevOpex*$B$8</f>
        <v>2503.82649651629</v>
      </c>
      <c r="L94" s="95" t="n">
        <f aca="false">L72*O_DieselOM*L44*LevOpex*$B$8</f>
        <v>3220.20611379713</v>
      </c>
      <c r="M94" s="95" t="n">
        <f aca="false">M72*O_DieselOM*M44*LevOpex*$B$8</f>
        <v>3994.2260798739</v>
      </c>
      <c r="N94" s="95" t="n">
        <f aca="false">N72*O_DieselOM*N44*LevOpex*$B$8</f>
        <v>4829.74491081635</v>
      </c>
      <c r="O94" s="95" t="n">
        <f aca="false">O72*O_DieselOM*O44*LevOpex*$B$8</f>
        <v>5730.86475956075</v>
      </c>
      <c r="P94" s="95" t="n">
        <f aca="false">P72*O_DieselOM*P44*LevOpex*$B$8</f>
        <v>6701.94646842802</v>
      </c>
      <c r="Q94" s="95" t="n">
        <f aca="false">Q72*O_DieselOM*Q44*LevOpex*$B$8</f>
        <v>7747.62554368381</v>
      </c>
      <c r="R94" s="95" t="n">
        <f aca="false">R72*O_DieselOM*R44*LevOpex*$B$8</f>
        <v>8872.82910842559</v>
      </c>
      <c r="S94" s="95" t="n">
        <f aca="false">S72*O_DieselOM*S44*LevOpex*$B$8</f>
        <v>10082.7938935131</v>
      </c>
      <c r="T94" s="95" t="n">
        <f aca="false">T72*O_DieselOM*T44*LevOpex*$B$8</f>
        <v>11383.0853298981</v>
      </c>
      <c r="U94" s="95" t="n">
        <f aca="false">U72*O_DieselOM*U44*LevOpex*$B$8</f>
        <v>12779.6178095725</v>
      </c>
      <c r="V94" s="95" t="n">
        <f aca="false">V72*O_DieselOM*V44*LevOpex*$B$8</f>
        <v>14278.6761864487</v>
      </c>
      <c r="W94" s="95" t="n">
        <f aca="false">W72*O_DieselOM*W44*LevOpex*$B$8</f>
        <v>15886.9385928357</v>
      </c>
    </row>
    <row r="95" customFormat="false" ht="15" hidden="false" customHeight="false" outlineLevel="0" collapsed="false">
      <c r="A95" s="11" t="s">
        <v>441</v>
      </c>
      <c r="B95" s="66" t="n">
        <f aca="false">SUM(C95:W95)</f>
        <v>1567600.68376954</v>
      </c>
      <c r="C95" s="95" t="n">
        <v>0</v>
      </c>
      <c r="D95" s="95" t="n">
        <f aca="false">D74*FuelPrice*LevFuel*$B$10*D44</f>
        <v>9597.25963636363</v>
      </c>
      <c r="E95" s="95" t="n">
        <f aca="false">E74*FuelPrice*LevFuel*$B$10*E44</f>
        <v>14424.1213933091</v>
      </c>
      <c r="F95" s="95" t="n">
        <f aca="false">F74*FuelPrice*LevFuel*$B$10*F44</f>
        <v>18003.0004543078</v>
      </c>
      <c r="G95" s="95" t="n">
        <f aca="false">G74*FuelPrice*LevFuel*$B$10*G44</f>
        <v>19099.3831819751</v>
      </c>
      <c r="H95" s="95" t="n">
        <f aca="false">H74*FuelPrice*LevFuel*$B$10*H44</f>
        <v>20262.5356177574</v>
      </c>
      <c r="I95" s="95" t="n">
        <f aca="false">I74*FuelPrice*LevFuel*$B$10*I44</f>
        <v>21496.5240368788</v>
      </c>
      <c r="J95" s="95" t="n">
        <f aca="false">J74*FuelPrice*LevFuel*$B$10*J44</f>
        <v>24552.7755373446</v>
      </c>
      <c r="K95" s="95" t="n">
        <f aca="false">K74*FuelPrice*LevFuel*$B$10*K44</f>
        <v>33384.3532868839</v>
      </c>
      <c r="L95" s="95" t="n">
        <f aca="false">L74*FuelPrice*LevFuel*$B$10*L44</f>
        <v>42936.0815172951</v>
      </c>
      <c r="M95" s="95" t="n">
        <f aca="false">M74*FuelPrice*LevFuel*$B$10*M44</f>
        <v>53256.3477316521</v>
      </c>
      <c r="N95" s="95" t="n">
        <f aca="false">N74*FuelPrice*LevFuel*$B$10*N44</f>
        <v>64396.5988108847</v>
      </c>
      <c r="O95" s="95" t="n">
        <f aca="false">O74*FuelPrice*LevFuel*$B$10*O44</f>
        <v>76411.5301274767</v>
      </c>
      <c r="P95" s="95" t="n">
        <f aca="false">P74*FuelPrice*LevFuel*$B$10*P44</f>
        <v>89359.2862457069</v>
      </c>
      <c r="Q95" s="95" t="n">
        <f aca="false">Q74*FuelPrice*LevFuel*$B$10*Q44</f>
        <v>103301.673915784</v>
      </c>
      <c r="R95" s="95" t="n">
        <f aca="false">R74*FuelPrice*LevFuel*$B$10*R44</f>
        <v>118304.388112341</v>
      </c>
      <c r="S95" s="95" t="n">
        <f aca="false">S74*FuelPrice*LevFuel*$B$10*S44</f>
        <v>134437.251913507</v>
      </c>
      <c r="T95" s="95" t="n">
        <f aca="false">T74*FuelPrice*LevFuel*$B$10*T44</f>
        <v>151774.471065308</v>
      </c>
      <c r="U95" s="95" t="n">
        <f aca="false">U74*FuelPrice*LevFuel*$B$10*U44</f>
        <v>170394.904127634</v>
      </c>
      <c r="V95" s="95" t="n">
        <f aca="false">V74*FuelPrice*LevFuel*$B$10*V44</f>
        <v>190382.34915265</v>
      </c>
      <c r="W95" s="95" t="n">
        <f aca="false">W74*FuelPrice*LevFuel*$B$10*W44</f>
        <v>211825.847904476</v>
      </c>
    </row>
    <row r="96" customFormat="false" ht="15" hidden="false" customHeight="false" outlineLevel="0" collapsed="false">
      <c r="A96" s="16" t="s">
        <v>442</v>
      </c>
      <c r="B96" s="66" t="n">
        <f aca="false">SUM(C96:W96)</f>
        <v>3327350.66196975</v>
      </c>
      <c r="C96" s="31" t="n">
        <f aca="false">C88+C89+C90+C91+C92+C93+C94+C95</f>
        <v>0</v>
      </c>
      <c r="D96" s="31" t="n">
        <f aca="false">D88+D89+D90+D91+D92+D93+D94+D95</f>
        <v>68823.0757427133</v>
      </c>
      <c r="E96" s="31" t="n">
        <f aca="false">E88+E89+E90+E91+E92+E93+E94+E95</f>
        <v>76684.6746752868</v>
      </c>
      <c r="F96" s="31" t="n">
        <f aca="false">F88+F89+F90+F91+F92+F93+F94+F95</f>
        <v>83054.2378517802</v>
      </c>
      <c r="G96" s="31" t="n">
        <f aca="false">G88+G89+G90+G91+G92+G93+G94+G95</f>
        <v>86218.5912476339</v>
      </c>
      <c r="H96" s="31" t="n">
        <f aca="false">H88+H89+H90+H91+H92+H93+H94+H95</f>
        <v>89575.3928968655</v>
      </c>
      <c r="I96" s="31" t="n">
        <f aca="false">I88+I89+I90+I91+I92+I93+I94+I95</f>
        <v>93079.8064498027</v>
      </c>
      <c r="J96" s="31" t="n">
        <f aca="false">J88+J89+J90+J91+J92+J93+J94+J95</f>
        <v>98617.2636274957</v>
      </c>
      <c r="K96" s="31" t="n">
        <f aca="false">K88+K89+K90+K91+K92+K93+K94+K95</f>
        <v>110440.065028636</v>
      </c>
      <c r="L96" s="31" t="n">
        <f aca="false">L88+L89+L90+L91+L92+L93+L94+L95</f>
        <v>123116.769669664</v>
      </c>
      <c r="M96" s="31" t="n">
        <f aca="false">M88+M89+M90+M91+M92+M93+M94+M95</f>
        <v>136702.387797605</v>
      </c>
      <c r="N96" s="31" t="n">
        <f aca="false">N88+N89+N90+N91+N92+N93+N94+N95</f>
        <v>151255.344928631</v>
      </c>
      <c r="O96" s="31" t="n">
        <f aca="false">O88+O89+O90+O91+O92+O93+O94+O95</f>
        <v>166837.691169041</v>
      </c>
      <c r="P96" s="31" t="n">
        <f aca="false">P88+P89+P90+P91+P92+P93+P94+P95</f>
        <v>183515.323308332</v>
      </c>
      <c r="Q96" s="31" t="n">
        <f aca="false">Q88+Q89+Q90+Q91+Q92+Q93+Q94+Q95</f>
        <v>201358.220462529</v>
      </c>
      <c r="R96" s="31" t="n">
        <f aca="false">R88+R89+R90+R91+R92+R93+R94+R95</f>
        <v>220440.694093342</v>
      </c>
      <c r="S96" s="31" t="n">
        <f aca="false">S88+S89+S90+S91+S92+S93+S94+S95</f>
        <v>240841.653278977</v>
      </c>
      <c r="T96" s="31" t="n">
        <f aca="false">T88+T89+T90+T91+T92+T93+T94+T95</f>
        <v>262644.886165781</v>
      </c>
      <c r="U96" s="31" t="n">
        <f aca="false">U88+U89+U90+U91+U92+U93+U94+U95</f>
        <v>285939.358586492</v>
      </c>
      <c r="V96" s="31" t="n">
        <f aca="false">V88+V89+V90+V91+V92+V93+V94+V95</f>
        <v>310819.530890879</v>
      </c>
      <c r="W96" s="31" t="n">
        <f aca="false">W88+W89+W90+W91+W92+W93+W94+W95</f>
        <v>337385.694098266</v>
      </c>
    </row>
    <row r="98" customFormat="false" ht="15" hidden="false" customHeight="false" outlineLevel="0" collapsed="false">
      <c r="A98" s="16" t="s">
        <v>443</v>
      </c>
      <c r="B98" s="66" t="n">
        <f aca="false">SUM(C98:W98)</f>
        <v>1172888.87874407</v>
      </c>
      <c r="C98" s="31" t="n">
        <f aca="false">C85-C96</f>
        <v>0</v>
      </c>
      <c r="D98" s="31" t="n">
        <f aca="false">D85-D96</f>
        <v>11694.3115212867</v>
      </c>
      <c r="E98" s="31" t="n">
        <f aca="false">E85-E96</f>
        <v>36832.9640349148</v>
      </c>
      <c r="F98" s="31" t="n">
        <f aca="false">F85-F96</f>
        <v>56765.7920395761</v>
      </c>
      <c r="G98" s="31" t="n">
        <f aca="false">G85-G96</f>
        <v>60286.425964106</v>
      </c>
      <c r="H98" s="31" t="n">
        <f aca="false">H85-H96</f>
        <v>65851.7798630695</v>
      </c>
      <c r="I98" s="31" t="n">
        <f aca="false">I85-I96</f>
        <v>71812.8811312122</v>
      </c>
      <c r="J98" s="31" t="n">
        <f aca="false">J85-J96</f>
        <v>76317.3886272031</v>
      </c>
      <c r="K98" s="31" t="n">
        <f aca="false">K85-K96</f>
        <v>75148.1075483738</v>
      </c>
      <c r="L98" s="31" t="n">
        <f aca="false">L85-L96</f>
        <v>73773.7226172858</v>
      </c>
      <c r="M98" s="31" t="n">
        <f aca="false">M85-M96</f>
        <v>72178.7354696201</v>
      </c>
      <c r="N98" s="31" t="n">
        <f aca="false">N85-N96</f>
        <v>70346.6387455679</v>
      </c>
      <c r="O98" s="31" t="n">
        <f aca="false">O85-O96</f>
        <v>68259.8533109164</v>
      </c>
      <c r="P98" s="31" t="n">
        <f aca="false">P85-P96</f>
        <v>65899.6616304553</v>
      </c>
      <c r="Q98" s="31" t="n">
        <f aca="false">Q85-Q96</f>
        <v>63246.1370590302</v>
      </c>
      <c r="R98" s="31" t="n">
        <f aca="false">R85-R96</f>
        <v>60278.0688012801</v>
      </c>
      <c r="S98" s="31" t="n">
        <f aca="false">S85-S96</f>
        <v>56972.8822759284</v>
      </c>
      <c r="T98" s="31" t="n">
        <f aca="false">T85-T96</f>
        <v>53306.5546044182</v>
      </c>
      <c r="U98" s="31" t="n">
        <f aca="false">U85-U96</f>
        <v>49253.5249266123</v>
      </c>
      <c r="V98" s="31" t="n">
        <f aca="false">V85-V96</f>
        <v>44786.599228173</v>
      </c>
      <c r="W98" s="31" t="n">
        <f aca="false">W85-W96</f>
        <v>39876.8493450363</v>
      </c>
    </row>
    <row r="99" customFormat="false" ht="15" hidden="false" customHeight="false" outlineLevel="0" collapsed="false">
      <c r="A99" s="11" t="s">
        <v>444</v>
      </c>
      <c r="C99" s="91" t="n">
        <v>0</v>
      </c>
      <c r="D99" s="91" t="n">
        <f aca="false">IFERROR(D98/D85,0)</f>
        <v>0.145239580153582</v>
      </c>
      <c r="E99" s="91" t="n">
        <f aca="false">IFERROR(E98/E85,0)</f>
        <v>0.32446908210402</v>
      </c>
      <c r="F99" s="91" t="n">
        <f aca="false">IFERROR(F98/F85,0)</f>
        <v>0.405991845972888</v>
      </c>
      <c r="G99" s="91" t="n">
        <f aca="false">IFERROR(G98/G85,0)</f>
        <v>0.411497347404667</v>
      </c>
      <c r="H99" s="91" t="n">
        <f aca="false">IFERROR(H98/H85,0)</f>
        <v>0.423682543365701</v>
      </c>
      <c r="I99" s="91" t="n">
        <f aca="false">IFERROR(I98/I85,0)</f>
        <v>0.435512830706511</v>
      </c>
      <c r="J99" s="91" t="n">
        <f aca="false">IFERROR(J98/J85,0)</f>
        <v>0.436262270759755</v>
      </c>
      <c r="K99" s="91" t="n">
        <f aca="false">IFERROR(K98/K85,0)</f>
        <v>0.404918624419296</v>
      </c>
      <c r="L99" s="91" t="n">
        <f aca="false">IFERROR(L98/L85,0)</f>
        <v>0.37469418538386</v>
      </c>
      <c r="M99" s="91" t="n">
        <f aca="false">IFERROR(M98/M85,0)</f>
        <v>0.345549345678693</v>
      </c>
      <c r="N99" s="91" t="n">
        <f aca="false">IFERROR(N98/N85,0)</f>
        <v>0.317445889153195</v>
      </c>
      <c r="O99" s="91" t="n">
        <f aca="false">IFERROR(O98/O85,0)</f>
        <v>0.290346942848378</v>
      </c>
      <c r="P99" s="91" t="n">
        <f aca="false">IFERROR(P98/P85,0)</f>
        <v>0.264216930055861</v>
      </c>
      <c r="Q99" s="91" t="n">
        <f aca="false">IFERROR(Q98/Q85,0)</f>
        <v>0.239021525009757</v>
      </c>
      <c r="R99" s="91" t="n">
        <f aca="false">IFERROR(R98/R85,0)</f>
        <v>0.214727609154888</v>
      </c>
      <c r="S99" s="91" t="n">
        <f aca="false">IFERROR(S98/S85,0)</f>
        <v>0.191303228936671</v>
      </c>
      <c r="T99" s="91" t="n">
        <f aca="false">IFERROR(T98/T85,0)</f>
        <v>0.168717555059955</v>
      </c>
      <c r="U99" s="91" t="n">
        <f aca="false">IFERROR(U98/U85,0)</f>
        <v>0.146940843165863</v>
      </c>
      <c r="V99" s="91" t="n">
        <f aca="false">IFERROR(V98/V85,0)</f>
        <v>0.125944395877481</v>
      </c>
      <c r="W99" s="91" t="n">
        <f aca="false">IFERROR(W98/W85,0)</f>
        <v>0.105700526166943</v>
      </c>
    </row>
    <row r="101" customFormat="false" ht="15" hidden="false" customHeight="false" outlineLevel="0" collapsed="false">
      <c r="A101" s="9" t="s">
        <v>445</v>
      </c>
      <c r="B101" s="10"/>
      <c r="C101" s="10"/>
      <c r="D101" s="10"/>
      <c r="E101" s="10"/>
      <c r="F101" s="10"/>
      <c r="G101" s="10"/>
      <c r="H101" s="10"/>
      <c r="I101" s="10"/>
      <c r="J101" s="10"/>
      <c r="K101" s="10"/>
      <c r="L101" s="10"/>
      <c r="M101" s="10"/>
      <c r="N101" s="10"/>
      <c r="O101" s="10"/>
      <c r="P101" s="10"/>
      <c r="Q101" s="10"/>
      <c r="R101" s="10"/>
      <c r="S101" s="10"/>
      <c r="T101" s="10"/>
      <c r="U101" s="10"/>
      <c r="V101" s="10"/>
      <c r="W101" s="10"/>
    </row>
    <row r="102" customFormat="false" ht="15" hidden="false" customHeight="false" outlineLevel="0" collapsed="false">
      <c r="A102" s="11" t="s">
        <v>446</v>
      </c>
      <c r="B102" s="66" t="n">
        <f aca="false">C102+NPV(Hurdle,D102:W102)</f>
        <v>1162734.14692871</v>
      </c>
      <c r="C102" s="95" t="n">
        <f aca="false">S_Rate_Lo!$B$14</f>
        <v>1162734.14692871</v>
      </c>
      <c r="D102" s="95" t="n">
        <f aca="false">0</f>
        <v>0</v>
      </c>
      <c r="E102" s="95" t="n">
        <f aca="false">0</f>
        <v>0</v>
      </c>
      <c r="F102" s="95" t="n">
        <f aca="false">0</f>
        <v>0</v>
      </c>
      <c r="G102" s="95" t="n">
        <f aca="false">0</f>
        <v>0</v>
      </c>
      <c r="H102" s="95" t="n">
        <f aca="false">0</f>
        <v>0</v>
      </c>
      <c r="I102" s="95" t="n">
        <f aca="false">0</f>
        <v>0</v>
      </c>
      <c r="J102" s="95" t="n">
        <f aca="false">0</f>
        <v>0</v>
      </c>
      <c r="K102" s="95" t="n">
        <f aca="false">0</f>
        <v>0</v>
      </c>
      <c r="L102" s="95" t="n">
        <f aca="false">0</f>
        <v>0</v>
      </c>
      <c r="M102" s="95" t="n">
        <f aca="false">0</f>
        <v>0</v>
      </c>
      <c r="N102" s="95" t="n">
        <f aca="false">0</f>
        <v>0</v>
      </c>
      <c r="O102" s="95" t="n">
        <f aca="false">0</f>
        <v>0</v>
      </c>
      <c r="P102" s="95" t="n">
        <f aca="false">0</f>
        <v>0</v>
      </c>
      <c r="Q102" s="95" t="n">
        <f aca="false">0</f>
        <v>0</v>
      </c>
      <c r="R102" s="95" t="n">
        <f aca="false">0</f>
        <v>0</v>
      </c>
      <c r="S102" s="95" t="n">
        <f aca="false">0</f>
        <v>0</v>
      </c>
      <c r="T102" s="95" t="n">
        <f aca="false">0</f>
        <v>0</v>
      </c>
      <c r="U102" s="95" t="n">
        <f aca="false">0</f>
        <v>0</v>
      </c>
      <c r="V102" s="95" t="n">
        <f aca="false">0</f>
        <v>0</v>
      </c>
      <c r="W102" s="95" t="n">
        <f aca="false">0</f>
        <v>0</v>
      </c>
    </row>
    <row r="103" customFormat="false" ht="15" hidden="false" customHeight="false" outlineLevel="0" collapsed="false">
      <c r="A103" s="11" t="s">
        <v>447</v>
      </c>
      <c r="B103" s="66" t="n">
        <f aca="false">C103+NPV(Hurdle,D103:W103)</f>
        <v>123132.446168426</v>
      </c>
      <c r="C103" s="95" t="n">
        <v>0</v>
      </c>
      <c r="D103" s="95" t="n">
        <f aca="false">IF(AND(D41=1,MOD(D39,BattLife)=0,D39&lt;Life),BESS_kWh*C_BattRepl*LevCapex*$B$7*D44,0)</f>
        <v>0</v>
      </c>
      <c r="E103" s="95" t="n">
        <f aca="false">IF(AND(E41=1,MOD(E39,BattLife)=0,E39&lt;Life),BESS_kWh*C_BattRepl*LevCapex*$B$7*E44,0)</f>
        <v>0</v>
      </c>
      <c r="F103" s="95" t="n">
        <f aca="false">IF(AND(F41=1,MOD(F39,BattLife)=0,F39&lt;Life),BESS_kWh*C_BattRepl*LevCapex*$B$7*F44,0)</f>
        <v>0</v>
      </c>
      <c r="G103" s="95" t="n">
        <f aca="false">IF(AND(G41=1,MOD(G39,BattLife)=0,G39&lt;Life),BESS_kWh*C_BattRepl*LevCapex*$B$7*G44,0)</f>
        <v>0</v>
      </c>
      <c r="H103" s="95" t="n">
        <f aca="false">IF(AND(H41=1,MOD(H39,BattLife)=0,H39&lt;Life),BESS_kWh*C_BattRepl*LevCapex*$B$7*H44,0)</f>
        <v>0</v>
      </c>
      <c r="I103" s="95" t="n">
        <f aca="false">IF(AND(I41=1,MOD(I39,BattLife)=0,I39&lt;Life),BESS_kWh*C_BattRepl*LevCapex*$B$7*I44,0)</f>
        <v>0</v>
      </c>
      <c r="J103" s="95" t="n">
        <f aca="false">IF(AND(J41=1,MOD(J39,BattLife)=0,J39&lt;Life),BESS_kWh*C_BattRepl*LevCapex*$B$7*J44,0)</f>
        <v>0</v>
      </c>
      <c r="K103" s="95" t="n">
        <f aca="false">IF(AND(K41=1,MOD(K39,BattLife)=0,K39&lt;Life),BESS_kWh*C_BattRepl*LevCapex*$B$7*K44,0)</f>
        <v>165903.437704701</v>
      </c>
      <c r="L103" s="95" t="n">
        <f aca="false">IF(AND(L41=1,MOD(L39,BattLife)=0,L39&lt;Life),BESS_kWh*C_BattRepl*LevCapex*$B$7*L44,0)</f>
        <v>0</v>
      </c>
      <c r="M103" s="95" t="n">
        <f aca="false">IF(AND(M41=1,MOD(M39,BattLife)=0,M39&lt;Life),BESS_kWh*C_BattRepl*LevCapex*$B$7*M44,0)</f>
        <v>0</v>
      </c>
      <c r="N103" s="95" t="n">
        <f aca="false">IF(AND(N41=1,MOD(N39,BattLife)=0,N39&lt;Life),BESS_kWh*C_BattRepl*LevCapex*$B$7*N44,0)</f>
        <v>0</v>
      </c>
      <c r="O103" s="95" t="n">
        <f aca="false">IF(AND(O41=1,MOD(O39,BattLife)=0,O39&lt;Life),BESS_kWh*C_BattRepl*LevCapex*$B$7*O44,0)</f>
        <v>0</v>
      </c>
      <c r="P103" s="95" t="n">
        <f aca="false">IF(AND(P41=1,MOD(P39,BattLife)=0,P39&lt;Life),BESS_kWh*C_BattRepl*LevCapex*$B$7*P44,0)</f>
        <v>0</v>
      </c>
      <c r="Q103" s="95" t="n">
        <f aca="false">IF(AND(Q41=1,MOD(Q39,BattLife)=0,Q39&lt;Life),BESS_kWh*C_BattRepl*LevCapex*$B$7*Q44,0)</f>
        <v>0</v>
      </c>
      <c r="R103" s="95" t="n">
        <f aca="false">IF(AND(R41=1,MOD(R39,BattLife)=0,R39&lt;Life),BESS_kWh*C_BattRepl*LevCapex*$B$7*R44,0)</f>
        <v>0</v>
      </c>
      <c r="S103" s="95" t="n">
        <f aca="false">IF(AND(S41=1,MOD(S39,BattLife)=0,S39&lt;Life),BESS_kWh*C_BattRepl*LevCapex*$B$7*S44,0)</f>
        <v>210161.51128367</v>
      </c>
      <c r="T103" s="95" t="n">
        <f aca="false">IF(AND(T41=1,MOD(T39,BattLife)=0,T39&lt;Life),BESS_kWh*C_BattRepl*LevCapex*$B$7*T44,0)</f>
        <v>0</v>
      </c>
      <c r="U103" s="95" t="n">
        <f aca="false">IF(AND(U41=1,MOD(U39,BattLife)=0,U39&lt;Life),BESS_kWh*C_BattRepl*LevCapex*$B$7*U44,0)</f>
        <v>0</v>
      </c>
      <c r="V103" s="95" t="n">
        <f aca="false">IF(AND(V41=1,MOD(V39,BattLife)=0,V39&lt;Life),BESS_kWh*C_BattRepl*LevCapex*$B$7*V44,0)</f>
        <v>0</v>
      </c>
      <c r="W103" s="95" t="n">
        <f aca="false">IF(AND(W41=1,MOD(W39,BattLife)=0,W39&lt;Life),BESS_kWh*C_BattRepl*LevCapex*$B$7*W44,0)</f>
        <v>0</v>
      </c>
    </row>
    <row r="104" customFormat="false" ht="15" hidden="false" customHeight="false" outlineLevel="0" collapsed="false">
      <c r="A104" s="11" t="s">
        <v>448</v>
      </c>
      <c r="B104" s="66" t="n">
        <f aca="false">SUM(C104:W104)</f>
        <v>376064.948988371</v>
      </c>
      <c r="C104" s="95" t="n">
        <v>0</v>
      </c>
      <c r="D104" s="95" t="n">
        <f aca="false">IF(AND(UseMRA=1,D41=1,CEILING(D39,BattLife)&lt;Life),BESS_kWh*C_BattRepl*LevCapex*$B$7*(1+CostEsc)^(CEILING(D39,BattLife)-1)/BattLife,0)</f>
        <v>20737.9297130877</v>
      </c>
      <c r="E104" s="95" t="n">
        <f aca="false">IF(AND(UseMRA=1,E41=1,CEILING(E39,BattLife)&lt;Life),BESS_kWh*C_BattRepl*LevCapex*$B$7*(1+CostEsc)^(CEILING(E39,BattLife)-1)/BattLife,0)</f>
        <v>20737.9297130877</v>
      </c>
      <c r="F104" s="95" t="n">
        <f aca="false">IF(AND(UseMRA=1,F41=1,CEILING(F39,BattLife)&lt;Life),BESS_kWh*C_BattRepl*LevCapex*$B$7*(1+CostEsc)^(CEILING(F39,BattLife)-1)/BattLife,0)</f>
        <v>20737.9297130877</v>
      </c>
      <c r="G104" s="95" t="n">
        <f aca="false">IF(AND(UseMRA=1,G41=1,CEILING(G39,BattLife)&lt;Life),BESS_kWh*C_BattRepl*LevCapex*$B$7*(1+CostEsc)^(CEILING(G39,BattLife)-1)/BattLife,0)</f>
        <v>20737.9297130877</v>
      </c>
      <c r="H104" s="95" t="n">
        <f aca="false">IF(AND(UseMRA=1,H41=1,CEILING(H39,BattLife)&lt;Life),BESS_kWh*C_BattRepl*LevCapex*$B$7*(1+CostEsc)^(CEILING(H39,BattLife)-1)/BattLife,0)</f>
        <v>20737.9297130877</v>
      </c>
      <c r="I104" s="95" t="n">
        <f aca="false">IF(AND(UseMRA=1,I41=1,CEILING(I39,BattLife)&lt;Life),BESS_kWh*C_BattRepl*LevCapex*$B$7*(1+CostEsc)^(CEILING(I39,BattLife)-1)/BattLife,0)</f>
        <v>20737.9297130877</v>
      </c>
      <c r="J104" s="95" t="n">
        <f aca="false">IF(AND(UseMRA=1,J41=1,CEILING(J39,BattLife)&lt;Life),BESS_kWh*C_BattRepl*LevCapex*$B$7*(1+CostEsc)^(CEILING(J39,BattLife)-1)/BattLife,0)</f>
        <v>20737.9297130877</v>
      </c>
      <c r="K104" s="95" t="n">
        <f aca="false">IF(AND(UseMRA=1,K41=1,CEILING(K39,BattLife)&lt;Life),BESS_kWh*C_BattRepl*LevCapex*$B$7*(1+CostEsc)^(CEILING(K39,BattLife)-1)/BattLife,0)</f>
        <v>20737.9297130877</v>
      </c>
      <c r="L104" s="95" t="n">
        <f aca="false">IF(AND(UseMRA=1,L41=1,CEILING(L39,BattLife)&lt;Life),BESS_kWh*C_BattRepl*LevCapex*$B$7*(1+CostEsc)^(CEILING(L39,BattLife)-1)/BattLife,0)</f>
        <v>26270.1889104587</v>
      </c>
      <c r="M104" s="95" t="n">
        <f aca="false">IF(AND(UseMRA=1,M41=1,CEILING(M39,BattLife)&lt;Life),BESS_kWh*C_BattRepl*LevCapex*$B$7*(1+CostEsc)^(CEILING(M39,BattLife)-1)/BattLife,0)</f>
        <v>26270.1889104587</v>
      </c>
      <c r="N104" s="95" t="n">
        <f aca="false">IF(AND(UseMRA=1,N41=1,CEILING(N39,BattLife)&lt;Life),BESS_kWh*C_BattRepl*LevCapex*$B$7*(1+CostEsc)^(CEILING(N39,BattLife)-1)/BattLife,0)</f>
        <v>26270.1889104587</v>
      </c>
      <c r="O104" s="95" t="n">
        <f aca="false">IF(AND(UseMRA=1,O41=1,CEILING(O39,BattLife)&lt;Life),BESS_kWh*C_BattRepl*LevCapex*$B$7*(1+CostEsc)^(CEILING(O39,BattLife)-1)/BattLife,0)</f>
        <v>26270.1889104587</v>
      </c>
      <c r="P104" s="95" t="n">
        <f aca="false">IF(AND(UseMRA=1,P41=1,CEILING(P39,BattLife)&lt;Life),BESS_kWh*C_BattRepl*LevCapex*$B$7*(1+CostEsc)^(CEILING(P39,BattLife)-1)/BattLife,0)</f>
        <v>26270.1889104587</v>
      </c>
      <c r="Q104" s="95" t="n">
        <f aca="false">IF(AND(UseMRA=1,Q41=1,CEILING(Q39,BattLife)&lt;Life),BESS_kWh*C_BattRepl*LevCapex*$B$7*(1+CostEsc)^(CEILING(Q39,BattLife)-1)/BattLife,0)</f>
        <v>26270.1889104587</v>
      </c>
      <c r="R104" s="95" t="n">
        <f aca="false">IF(AND(UseMRA=1,R41=1,CEILING(R39,BattLife)&lt;Life),BESS_kWh*C_BattRepl*LevCapex*$B$7*(1+CostEsc)^(CEILING(R39,BattLife)-1)/BattLife,0)</f>
        <v>26270.1889104587</v>
      </c>
      <c r="S104" s="95" t="n">
        <f aca="false">IF(AND(UseMRA=1,S41=1,CEILING(S39,BattLife)&lt;Life),BESS_kWh*C_BattRepl*LevCapex*$B$7*(1+CostEsc)^(CEILING(S39,BattLife)-1)/BattLife,0)</f>
        <v>26270.1889104587</v>
      </c>
      <c r="T104" s="95" t="n">
        <f aca="false">IF(AND(UseMRA=1,T41=1,CEILING(T39,BattLife)&lt;Life),BESS_kWh*C_BattRepl*LevCapex*$B$7*(1+CostEsc)^(CEILING(T39,BattLife)-1)/BattLife,0)</f>
        <v>0</v>
      </c>
      <c r="U104" s="95" t="n">
        <f aca="false">IF(AND(UseMRA=1,U41=1,CEILING(U39,BattLife)&lt;Life),BESS_kWh*C_BattRepl*LevCapex*$B$7*(1+CostEsc)^(CEILING(U39,BattLife)-1)/BattLife,0)</f>
        <v>0</v>
      </c>
      <c r="V104" s="95" t="n">
        <f aca="false">IF(AND(UseMRA=1,V41=1,CEILING(V39,BattLife)&lt;Life),BESS_kWh*C_BattRepl*LevCapex*$B$7*(1+CostEsc)^(CEILING(V39,BattLife)-1)/BattLife,0)</f>
        <v>0</v>
      </c>
      <c r="W104" s="95" t="n">
        <f aca="false">IF(AND(UseMRA=1,W41=1,CEILING(W39,BattLife)&lt;Life),BESS_kWh*C_BattRepl*LevCapex*$B$7*(1+CostEsc)^(CEILING(W39,BattLife)-1)/BattLife,0)</f>
        <v>0</v>
      </c>
    </row>
    <row r="105" customFormat="false" ht="15" hidden="false" customHeight="false" outlineLevel="0" collapsed="false">
      <c r="A105" s="11" t="s">
        <v>449</v>
      </c>
      <c r="B105" s="66" t="n">
        <f aca="false">SUM(C105:W105)</f>
        <v>376064.948988371</v>
      </c>
      <c r="C105" s="95" t="n">
        <v>0</v>
      </c>
      <c r="D105" s="95" t="n">
        <f aca="false">IF(UseMRA=1,D104,D103)</f>
        <v>20737.9297130877</v>
      </c>
      <c r="E105" s="95" t="n">
        <f aca="false">IF(UseMRA=1,E104,E103)</f>
        <v>20737.9297130877</v>
      </c>
      <c r="F105" s="95" t="n">
        <f aca="false">IF(UseMRA=1,F104,F103)</f>
        <v>20737.9297130877</v>
      </c>
      <c r="G105" s="95" t="n">
        <f aca="false">IF(UseMRA=1,G104,G103)</f>
        <v>20737.9297130877</v>
      </c>
      <c r="H105" s="95" t="n">
        <f aca="false">IF(UseMRA=1,H104,H103)</f>
        <v>20737.9297130877</v>
      </c>
      <c r="I105" s="95" t="n">
        <f aca="false">IF(UseMRA=1,I104,I103)</f>
        <v>20737.9297130877</v>
      </c>
      <c r="J105" s="95" t="n">
        <f aca="false">IF(UseMRA=1,J104,J103)</f>
        <v>20737.9297130877</v>
      </c>
      <c r="K105" s="95" t="n">
        <f aca="false">IF(UseMRA=1,K104,K103)</f>
        <v>20737.9297130877</v>
      </c>
      <c r="L105" s="95" t="n">
        <f aca="false">IF(UseMRA=1,L104,L103)</f>
        <v>26270.1889104587</v>
      </c>
      <c r="M105" s="95" t="n">
        <f aca="false">IF(UseMRA=1,M104,M103)</f>
        <v>26270.1889104587</v>
      </c>
      <c r="N105" s="95" t="n">
        <f aca="false">IF(UseMRA=1,N104,N103)</f>
        <v>26270.1889104587</v>
      </c>
      <c r="O105" s="95" t="n">
        <f aca="false">IF(UseMRA=1,O104,O103)</f>
        <v>26270.1889104587</v>
      </c>
      <c r="P105" s="95" t="n">
        <f aca="false">IF(UseMRA=1,P104,P103)</f>
        <v>26270.1889104587</v>
      </c>
      <c r="Q105" s="95" t="n">
        <f aca="false">IF(UseMRA=1,Q104,Q103)</f>
        <v>26270.1889104587</v>
      </c>
      <c r="R105" s="95" t="n">
        <f aca="false">IF(UseMRA=1,R104,R103)</f>
        <v>26270.1889104587</v>
      </c>
      <c r="S105" s="95" t="n">
        <f aca="false">IF(UseMRA=1,S104,S103)</f>
        <v>26270.1889104587</v>
      </c>
      <c r="T105" s="95" t="n">
        <f aca="false">IF(UseMRA=1,T104,T103)</f>
        <v>0</v>
      </c>
      <c r="U105" s="95" t="n">
        <f aca="false">IF(UseMRA=1,U104,U103)</f>
        <v>0</v>
      </c>
      <c r="V105" s="95" t="n">
        <f aca="false">IF(UseMRA=1,V104,V103)</f>
        <v>0</v>
      </c>
      <c r="W105" s="95" t="n">
        <f aca="false">IF(UseMRA=1,W104,W103)</f>
        <v>0</v>
      </c>
    </row>
    <row r="106" customFormat="false" ht="15" hidden="false" customHeight="false" outlineLevel="0" collapsed="false">
      <c r="A106" s="11" t="s">
        <v>175</v>
      </c>
      <c r="B106" s="66" t="n">
        <f aca="false">SUM(C106:W106)</f>
        <v>600000</v>
      </c>
      <c r="C106" s="95" t="n">
        <f aca="false">Grant</f>
        <v>600000</v>
      </c>
      <c r="D106" s="95" t="n">
        <f aca="false">0</f>
        <v>0</v>
      </c>
      <c r="E106" s="95" t="n">
        <f aca="false">0</f>
        <v>0</v>
      </c>
      <c r="F106" s="95" t="n">
        <f aca="false">0</f>
        <v>0</v>
      </c>
      <c r="G106" s="95" t="n">
        <f aca="false">0</f>
        <v>0</v>
      </c>
      <c r="H106" s="95" t="n">
        <f aca="false">0</f>
        <v>0</v>
      </c>
      <c r="I106" s="95" t="n">
        <f aca="false">0</f>
        <v>0</v>
      </c>
      <c r="J106" s="95" t="n">
        <f aca="false">0</f>
        <v>0</v>
      </c>
      <c r="K106" s="95" t="n">
        <f aca="false">0</f>
        <v>0</v>
      </c>
      <c r="L106" s="95" t="n">
        <f aca="false">0</f>
        <v>0</v>
      </c>
      <c r="M106" s="95" t="n">
        <f aca="false">0</f>
        <v>0</v>
      </c>
      <c r="N106" s="95" t="n">
        <f aca="false">0</f>
        <v>0</v>
      </c>
      <c r="O106" s="95" t="n">
        <f aca="false">0</f>
        <v>0</v>
      </c>
      <c r="P106" s="95" t="n">
        <f aca="false">0</f>
        <v>0</v>
      </c>
      <c r="Q106" s="95" t="n">
        <f aca="false">0</f>
        <v>0</v>
      </c>
      <c r="R106" s="95" t="n">
        <f aca="false">0</f>
        <v>0</v>
      </c>
      <c r="S106" s="95" t="n">
        <f aca="false">0</f>
        <v>0</v>
      </c>
      <c r="T106" s="95" t="n">
        <f aca="false">0</f>
        <v>0</v>
      </c>
      <c r="U106" s="95" t="n">
        <f aca="false">0</f>
        <v>0</v>
      </c>
      <c r="V106" s="95" t="n">
        <f aca="false">0</f>
        <v>0</v>
      </c>
      <c r="W106" s="95" t="n">
        <f aca="false">0</f>
        <v>0</v>
      </c>
    </row>
    <row r="107" customFormat="false" ht="15" hidden="false" customHeight="false" outlineLevel="0" collapsed="false">
      <c r="A107" s="11" t="s">
        <v>450</v>
      </c>
      <c r="B107" s="66" t="n">
        <f aca="false">SUM(C107:W107)</f>
        <v>252000</v>
      </c>
      <c r="C107" s="95" t="n">
        <v>0</v>
      </c>
      <c r="D107" s="95" t="n">
        <f aca="false">D54*Seg1_RBF+D55*Seg2_RBF+D56*Seg3_RBF+D57*Seg4_RBF+D58*Seg5_RBF</f>
        <v>151200</v>
      </c>
      <c r="E107" s="95" t="n">
        <f aca="false">E54*Seg1_RBF+E55*Seg2_RBF+E56*Seg3_RBF+E57*Seg4_RBF+E58*Seg5_RBF</f>
        <v>63000</v>
      </c>
      <c r="F107" s="95" t="n">
        <f aca="false">F54*Seg1_RBF+F55*Seg2_RBF+F56*Seg3_RBF+F57*Seg4_RBF+F58*Seg5_RBF</f>
        <v>37800</v>
      </c>
      <c r="G107" s="95" t="n">
        <f aca="false">G54*Seg1_RBF+G55*Seg2_RBF+G56*Seg3_RBF+G57*Seg4_RBF+G58*Seg5_RBF</f>
        <v>0</v>
      </c>
      <c r="H107" s="95" t="n">
        <f aca="false">H54*Seg1_RBF+H55*Seg2_RBF+H56*Seg3_RBF+H57*Seg4_RBF+H58*Seg5_RBF</f>
        <v>0</v>
      </c>
      <c r="I107" s="95" t="n">
        <f aca="false">I54*Seg1_RBF+I55*Seg2_RBF+I56*Seg3_RBF+I57*Seg4_RBF+I58*Seg5_RBF</f>
        <v>0</v>
      </c>
      <c r="J107" s="95" t="n">
        <f aca="false">J54*Seg1_RBF+J55*Seg2_RBF+J56*Seg3_RBF+J57*Seg4_RBF+J58*Seg5_RBF</f>
        <v>0</v>
      </c>
      <c r="K107" s="95" t="n">
        <f aca="false">K54*Seg1_RBF+K55*Seg2_RBF+K56*Seg3_RBF+K57*Seg4_RBF+K58*Seg5_RBF</f>
        <v>0</v>
      </c>
      <c r="L107" s="95" t="n">
        <f aca="false">L54*Seg1_RBF+L55*Seg2_RBF+L56*Seg3_RBF+L57*Seg4_RBF+L58*Seg5_RBF</f>
        <v>0</v>
      </c>
      <c r="M107" s="95" t="n">
        <f aca="false">M54*Seg1_RBF+M55*Seg2_RBF+M56*Seg3_RBF+M57*Seg4_RBF+M58*Seg5_RBF</f>
        <v>0</v>
      </c>
      <c r="N107" s="95" t="n">
        <f aca="false">N54*Seg1_RBF+N55*Seg2_RBF+N56*Seg3_RBF+N57*Seg4_RBF+N58*Seg5_RBF</f>
        <v>0</v>
      </c>
      <c r="O107" s="95" t="n">
        <f aca="false">O54*Seg1_RBF+O55*Seg2_RBF+O56*Seg3_RBF+O57*Seg4_RBF+O58*Seg5_RBF</f>
        <v>0</v>
      </c>
      <c r="P107" s="95" t="n">
        <f aca="false">P54*Seg1_RBF+P55*Seg2_RBF+P56*Seg3_RBF+P57*Seg4_RBF+P58*Seg5_RBF</f>
        <v>0</v>
      </c>
      <c r="Q107" s="95" t="n">
        <f aca="false">Q54*Seg1_RBF+Q55*Seg2_RBF+Q56*Seg3_RBF+Q57*Seg4_RBF+Q58*Seg5_RBF</f>
        <v>0</v>
      </c>
      <c r="R107" s="95" t="n">
        <f aca="false">R54*Seg1_RBF+R55*Seg2_RBF+R56*Seg3_RBF+R57*Seg4_RBF+R58*Seg5_RBF</f>
        <v>0</v>
      </c>
      <c r="S107" s="95" t="n">
        <f aca="false">S54*Seg1_RBF+S55*Seg2_RBF+S56*Seg3_RBF+S57*Seg4_RBF+S58*Seg5_RBF</f>
        <v>0</v>
      </c>
      <c r="T107" s="95" t="n">
        <f aca="false">T54*Seg1_RBF+T55*Seg2_RBF+T56*Seg3_RBF+T57*Seg4_RBF+T58*Seg5_RBF</f>
        <v>0</v>
      </c>
      <c r="U107" s="95" t="n">
        <f aca="false">U54*Seg1_RBF+U55*Seg2_RBF+U56*Seg3_RBF+U57*Seg4_RBF+U58*Seg5_RBF</f>
        <v>0</v>
      </c>
      <c r="V107" s="95" t="n">
        <f aca="false">V54*Seg1_RBF+V55*Seg2_RBF+V56*Seg3_RBF+V57*Seg4_RBF+V58*Seg5_RBF</f>
        <v>0</v>
      </c>
      <c r="W107" s="95" t="n">
        <f aca="false">W54*Seg1_RBF+W55*Seg2_RBF+W56*Seg3_RBF+W57*Seg4_RBF+W58*Seg5_RBF</f>
        <v>0</v>
      </c>
    </row>
    <row r="108" customFormat="false" ht="15" hidden="false" customHeight="false" outlineLevel="0" collapsed="false">
      <c r="A108" s="11" t="s">
        <v>451</v>
      </c>
      <c r="B108" s="66" t="n">
        <f aca="false">SUM(C108:W108)</f>
        <v>252000</v>
      </c>
      <c r="C108" s="95" t="n">
        <v>0</v>
      </c>
      <c r="D108" s="95" t="n">
        <f aca="false">IF(D39-RBFLag&gt;=1,INDEX($C$107:$W$107,1,D39-RBFLag+1),0)</f>
        <v>151200</v>
      </c>
      <c r="E108" s="95" t="n">
        <f aca="false">IF(E39-RBFLag&gt;=1,INDEX($C$107:$W$107,1,E39-RBFLag+1),0)</f>
        <v>63000</v>
      </c>
      <c r="F108" s="95" t="n">
        <f aca="false">IF(F39-RBFLag&gt;=1,INDEX($C$107:$W$107,1,F39-RBFLag+1),0)</f>
        <v>37800</v>
      </c>
      <c r="G108" s="95" t="n">
        <f aca="false">IF(G39-RBFLag&gt;=1,INDEX($C$107:$W$107,1,G39-RBFLag+1),0)</f>
        <v>0</v>
      </c>
      <c r="H108" s="95" t="n">
        <f aca="false">IF(H39-RBFLag&gt;=1,INDEX($C$107:$W$107,1,H39-RBFLag+1),0)</f>
        <v>0</v>
      </c>
      <c r="I108" s="95" t="n">
        <f aca="false">IF(I39-RBFLag&gt;=1,INDEX($C$107:$W$107,1,I39-RBFLag+1),0)</f>
        <v>0</v>
      </c>
      <c r="J108" s="95" t="n">
        <f aca="false">IF(J39-RBFLag&gt;=1,INDEX($C$107:$W$107,1,J39-RBFLag+1),0)</f>
        <v>0</v>
      </c>
      <c r="K108" s="95" t="n">
        <f aca="false">IF(K39-RBFLag&gt;=1,INDEX($C$107:$W$107,1,K39-RBFLag+1),0)</f>
        <v>0</v>
      </c>
      <c r="L108" s="95" t="n">
        <f aca="false">IF(L39-RBFLag&gt;=1,INDEX($C$107:$W$107,1,L39-RBFLag+1),0)</f>
        <v>0</v>
      </c>
      <c r="M108" s="95" t="n">
        <f aca="false">IF(M39-RBFLag&gt;=1,INDEX($C$107:$W$107,1,M39-RBFLag+1),0)</f>
        <v>0</v>
      </c>
      <c r="N108" s="95" t="n">
        <f aca="false">IF(N39-RBFLag&gt;=1,INDEX($C$107:$W$107,1,N39-RBFLag+1),0)</f>
        <v>0</v>
      </c>
      <c r="O108" s="95" t="n">
        <f aca="false">IF(O39-RBFLag&gt;=1,INDEX($C$107:$W$107,1,O39-RBFLag+1),0)</f>
        <v>0</v>
      </c>
      <c r="P108" s="95" t="n">
        <f aca="false">IF(P39-RBFLag&gt;=1,INDEX($C$107:$W$107,1,P39-RBFLag+1),0)</f>
        <v>0</v>
      </c>
      <c r="Q108" s="95" t="n">
        <f aca="false">IF(Q39-RBFLag&gt;=1,INDEX($C$107:$W$107,1,Q39-RBFLag+1),0)</f>
        <v>0</v>
      </c>
      <c r="R108" s="95" t="n">
        <f aca="false">IF(R39-RBFLag&gt;=1,INDEX($C$107:$W$107,1,R39-RBFLag+1),0)</f>
        <v>0</v>
      </c>
      <c r="S108" s="95" t="n">
        <f aca="false">IF(S39-RBFLag&gt;=1,INDEX($C$107:$W$107,1,S39-RBFLag+1),0)</f>
        <v>0</v>
      </c>
      <c r="T108" s="95" t="n">
        <f aca="false">IF(T39-RBFLag&gt;=1,INDEX($C$107:$W$107,1,T39-RBFLag+1),0)</f>
        <v>0</v>
      </c>
      <c r="U108" s="95" t="n">
        <f aca="false">IF(U39-RBFLag&gt;=1,INDEX($C$107:$W$107,1,U39-RBFLag+1),0)</f>
        <v>0</v>
      </c>
      <c r="V108" s="95" t="n">
        <f aca="false">IF(V39-RBFLag&gt;=1,INDEX($C$107:$W$107,1,V39-RBFLag+1),0)</f>
        <v>0</v>
      </c>
      <c r="W108" s="95" t="n">
        <f aca="false">IF(W39-RBFLag&gt;=1,INDEX($C$107:$W$107,1,W39-RBFLag+1),0)</f>
        <v>0</v>
      </c>
    </row>
    <row r="109" customFormat="false" ht="15" hidden="false" customHeight="false" outlineLevel="0" collapsed="false">
      <c r="A109" s="11" t="s">
        <v>452</v>
      </c>
      <c r="B109" s="76" t="n">
        <f aca="false">SUM(C109:W109)</f>
        <v>970</v>
      </c>
      <c r="C109" s="93" t="n">
        <v>0</v>
      </c>
      <c r="D109" s="93" t="n">
        <f aca="false">IF(D39-RBFLag&gt;=1,INDEX($C$59:$W$59,1,D39-RBFLag+1),0)</f>
        <v>582</v>
      </c>
      <c r="E109" s="93" t="n">
        <f aca="false">IF(E39-RBFLag&gt;=1,INDEX($C$59:$W$59,1,E39-RBFLag+1),0)</f>
        <v>242.5</v>
      </c>
      <c r="F109" s="93" t="n">
        <f aca="false">IF(F39-RBFLag&gt;=1,INDEX($C$59:$W$59,1,F39-RBFLag+1),0)</f>
        <v>145.5</v>
      </c>
      <c r="G109" s="93" t="n">
        <f aca="false">IF(G39-RBFLag&gt;=1,INDEX($C$59:$W$59,1,G39-RBFLag+1),0)</f>
        <v>0</v>
      </c>
      <c r="H109" s="93" t="n">
        <f aca="false">IF(H39-RBFLag&gt;=1,INDEX($C$59:$W$59,1,H39-RBFLag+1),0)</f>
        <v>0</v>
      </c>
      <c r="I109" s="93" t="n">
        <f aca="false">IF(I39-RBFLag&gt;=1,INDEX($C$59:$W$59,1,I39-RBFLag+1),0)</f>
        <v>0</v>
      </c>
      <c r="J109" s="93" t="n">
        <f aca="false">IF(J39-RBFLag&gt;=1,INDEX($C$59:$W$59,1,J39-RBFLag+1),0)</f>
        <v>0</v>
      </c>
      <c r="K109" s="93" t="n">
        <f aca="false">IF(K39-RBFLag&gt;=1,INDEX($C$59:$W$59,1,K39-RBFLag+1),0)</f>
        <v>0</v>
      </c>
      <c r="L109" s="93" t="n">
        <f aca="false">IF(L39-RBFLag&gt;=1,INDEX($C$59:$W$59,1,L39-RBFLag+1),0)</f>
        <v>0</v>
      </c>
      <c r="M109" s="93" t="n">
        <f aca="false">IF(M39-RBFLag&gt;=1,INDEX($C$59:$W$59,1,M39-RBFLag+1),0)</f>
        <v>0</v>
      </c>
      <c r="N109" s="93" t="n">
        <f aca="false">IF(N39-RBFLag&gt;=1,INDEX($C$59:$W$59,1,N39-RBFLag+1),0)</f>
        <v>0</v>
      </c>
      <c r="O109" s="93" t="n">
        <f aca="false">IF(O39-RBFLag&gt;=1,INDEX($C$59:$W$59,1,O39-RBFLag+1),0)</f>
        <v>0</v>
      </c>
      <c r="P109" s="93" t="n">
        <f aca="false">IF(P39-RBFLag&gt;=1,INDEX($C$59:$W$59,1,P39-RBFLag+1),0)</f>
        <v>0</v>
      </c>
      <c r="Q109" s="93" t="n">
        <f aca="false">IF(Q39-RBFLag&gt;=1,INDEX($C$59:$W$59,1,Q39-RBFLag+1),0)</f>
        <v>0</v>
      </c>
      <c r="R109" s="93" t="n">
        <f aca="false">IF(R39-RBFLag&gt;=1,INDEX($C$59:$W$59,1,R39-RBFLag+1),0)</f>
        <v>0</v>
      </c>
      <c r="S109" s="93" t="n">
        <f aca="false">IF(S39-RBFLag&gt;=1,INDEX($C$59:$W$59,1,S39-RBFLag+1),0)</f>
        <v>0</v>
      </c>
      <c r="T109" s="93" t="n">
        <f aca="false">IF(T39-RBFLag&gt;=1,INDEX($C$59:$W$59,1,T39-RBFLag+1),0)</f>
        <v>0</v>
      </c>
      <c r="U109" s="93" t="n">
        <f aca="false">IF(U39-RBFLag&gt;=1,INDEX($C$59:$W$59,1,U39-RBFLag+1),0)</f>
        <v>0</v>
      </c>
      <c r="V109" s="93" t="n">
        <f aca="false">IF(V39-RBFLag&gt;=1,INDEX($C$59:$W$59,1,V39-RBFLag+1),0)</f>
        <v>0</v>
      </c>
      <c r="W109" s="93" t="n">
        <f aca="false">IF(W39-RBFLag&gt;=1,INDEX($C$59:$W$59,1,W39-RBFLag+1),0)</f>
        <v>0</v>
      </c>
    </row>
    <row r="111" customFormat="false" ht="15" hidden="false" customHeight="false" outlineLevel="0" collapsed="false">
      <c r="A111" s="9" t="s">
        <v>453</v>
      </c>
      <c r="B111" s="10"/>
      <c r="C111" s="10"/>
      <c r="D111" s="10"/>
      <c r="E111" s="10"/>
      <c r="F111" s="10"/>
      <c r="G111" s="10"/>
      <c r="H111" s="10"/>
      <c r="I111" s="10"/>
      <c r="J111" s="10"/>
      <c r="K111" s="10"/>
      <c r="L111" s="10"/>
      <c r="M111" s="10"/>
      <c r="N111" s="10"/>
      <c r="O111" s="10"/>
      <c r="P111" s="10"/>
      <c r="Q111" s="10"/>
      <c r="R111" s="10"/>
      <c r="S111" s="10"/>
      <c r="T111" s="10"/>
      <c r="U111" s="10"/>
      <c r="V111" s="10"/>
      <c r="W111" s="10"/>
    </row>
    <row r="112" customFormat="false" ht="15" hidden="false" customHeight="false" outlineLevel="0" collapsed="false">
      <c r="A112" s="11" t="s">
        <v>454</v>
      </c>
      <c r="C112" s="95" t="n">
        <v>0</v>
      </c>
      <c r="D112" s="95" t="n">
        <f aca="false">C116</f>
        <v>112546.829385741</v>
      </c>
      <c r="E112" s="95" t="n">
        <f aca="false">D116</f>
        <v>112546.829385741</v>
      </c>
      <c r="F112" s="95" t="n">
        <f aca="false">E116</f>
        <v>112546.829385741</v>
      </c>
      <c r="G112" s="95" t="n">
        <f aca="false">F116</f>
        <v>101965.766165672</v>
      </c>
      <c r="H112" s="95" t="n">
        <f aca="false">G116</f>
        <v>90538.2178879977</v>
      </c>
      <c r="I112" s="95" t="n">
        <f aca="false">H116</f>
        <v>78196.465748109</v>
      </c>
      <c r="J112" s="95" t="n">
        <f aca="false">I116</f>
        <v>64867.3734370293</v>
      </c>
      <c r="K112" s="95" t="n">
        <f aca="false">J116</f>
        <v>50471.9537410632</v>
      </c>
      <c r="L112" s="95" t="n">
        <f aca="false">K116</f>
        <v>34924.9004694197</v>
      </c>
      <c r="M112" s="95" t="n">
        <f aca="false">L116</f>
        <v>18134.0829360449</v>
      </c>
      <c r="N112" s="95" t="n">
        <f aca="false">M116</f>
        <v>0</v>
      </c>
      <c r="O112" s="95" t="n">
        <f aca="false">N116</f>
        <v>0</v>
      </c>
      <c r="P112" s="95" t="n">
        <f aca="false">O116</f>
        <v>0</v>
      </c>
      <c r="Q112" s="95" t="n">
        <f aca="false">P116</f>
        <v>0</v>
      </c>
      <c r="R112" s="95" t="n">
        <f aca="false">Q116</f>
        <v>0</v>
      </c>
      <c r="S112" s="95" t="n">
        <f aca="false">R116</f>
        <v>0</v>
      </c>
      <c r="T112" s="95" t="n">
        <f aca="false">S116</f>
        <v>0</v>
      </c>
      <c r="U112" s="95" t="n">
        <f aca="false">T116</f>
        <v>0</v>
      </c>
      <c r="V112" s="95" t="n">
        <f aca="false">U116</f>
        <v>0</v>
      </c>
      <c r="W112" s="95" t="n">
        <f aca="false">V116</f>
        <v>0</v>
      </c>
    </row>
    <row r="113" customFormat="false" ht="15" hidden="false" customHeight="false" outlineLevel="0" collapsed="false">
      <c r="A113" s="11" t="s">
        <v>455</v>
      </c>
      <c r="B113" s="66" t="n">
        <f aca="false">SUM(C113:W113)</f>
        <v>112546.829385741</v>
      </c>
      <c r="C113" s="95" t="n">
        <f aca="false">S_Rate_Lo!$B$16</f>
        <v>112546.829385741</v>
      </c>
      <c r="D113" s="95" t="n">
        <f aca="false">0</f>
        <v>0</v>
      </c>
      <c r="E113" s="95" t="n">
        <f aca="false">0</f>
        <v>0</v>
      </c>
      <c r="F113" s="95" t="n">
        <f aca="false">0</f>
        <v>0</v>
      </c>
      <c r="G113" s="95" t="n">
        <f aca="false">0</f>
        <v>0</v>
      </c>
      <c r="H113" s="95" t="n">
        <f aca="false">0</f>
        <v>0</v>
      </c>
      <c r="I113" s="95" t="n">
        <f aca="false">0</f>
        <v>0</v>
      </c>
      <c r="J113" s="95" t="n">
        <f aca="false">0</f>
        <v>0</v>
      </c>
      <c r="K113" s="95" t="n">
        <f aca="false">0</f>
        <v>0</v>
      </c>
      <c r="L113" s="95" t="n">
        <f aca="false">0</f>
        <v>0</v>
      </c>
      <c r="M113" s="95" t="n">
        <f aca="false">0</f>
        <v>0</v>
      </c>
      <c r="N113" s="95" t="n">
        <f aca="false">0</f>
        <v>0</v>
      </c>
      <c r="O113" s="95" t="n">
        <f aca="false">0</f>
        <v>0</v>
      </c>
      <c r="P113" s="95" t="n">
        <f aca="false">0</f>
        <v>0</v>
      </c>
      <c r="Q113" s="95" t="n">
        <f aca="false">0</f>
        <v>0</v>
      </c>
      <c r="R113" s="95" t="n">
        <f aca="false">0</f>
        <v>0</v>
      </c>
      <c r="S113" s="95" t="n">
        <f aca="false">0</f>
        <v>0</v>
      </c>
      <c r="T113" s="95" t="n">
        <f aca="false">0</f>
        <v>0</v>
      </c>
      <c r="U113" s="95" t="n">
        <f aca="false">0</f>
        <v>0</v>
      </c>
      <c r="V113" s="95" t="n">
        <f aca="false">0</f>
        <v>0</v>
      </c>
      <c r="W113" s="95" t="n">
        <f aca="false">0</f>
        <v>0</v>
      </c>
    </row>
    <row r="114" customFormat="false" ht="15" hidden="false" customHeight="false" outlineLevel="0" collapsed="false">
      <c r="A114" s="11" t="s">
        <v>456</v>
      </c>
      <c r="B114" s="66" t="n">
        <f aca="false">SUM(C114:W114)</f>
        <v>62139.1398834048</v>
      </c>
      <c r="C114" s="95" t="n">
        <v>0</v>
      </c>
      <c r="D114" s="95" t="n">
        <f aca="false">D112*SenRate*$B$11</f>
        <v>9003.74635085932</v>
      </c>
      <c r="E114" s="95" t="n">
        <f aca="false">E112*SenRate*$B$11</f>
        <v>9003.74635085932</v>
      </c>
      <c r="F114" s="95" t="n">
        <f aca="false">F112*SenRate*$B$11</f>
        <v>9003.74635085932</v>
      </c>
      <c r="G114" s="95" t="n">
        <f aca="false">G112*SenRate*$B$11</f>
        <v>8157.26129325379</v>
      </c>
      <c r="H114" s="95" t="n">
        <f aca="false">H112*SenRate*$B$11</f>
        <v>7243.05743103981</v>
      </c>
      <c r="I114" s="95" t="n">
        <f aca="false">I112*SenRate*$B$11</f>
        <v>6255.71725984872</v>
      </c>
      <c r="J114" s="95" t="n">
        <f aca="false">J112*SenRate*$B$11</f>
        <v>5189.38987496234</v>
      </c>
      <c r="K114" s="95" t="n">
        <f aca="false">K112*SenRate*$B$11</f>
        <v>4037.75629928505</v>
      </c>
      <c r="L114" s="95" t="n">
        <f aca="false">L112*SenRate*$B$11</f>
        <v>2793.99203755358</v>
      </c>
      <c r="M114" s="95" t="n">
        <f aca="false">M112*SenRate*$B$11</f>
        <v>1450.72663488359</v>
      </c>
      <c r="N114" s="95" t="n">
        <f aca="false">N112*SenRate*$B$11</f>
        <v>0</v>
      </c>
      <c r="O114" s="95" t="n">
        <f aca="false">O112*SenRate*$B$11</f>
        <v>0</v>
      </c>
      <c r="P114" s="95" t="n">
        <f aca="false">P112*SenRate*$B$11</f>
        <v>0</v>
      </c>
      <c r="Q114" s="95" t="n">
        <f aca="false">Q112*SenRate*$B$11</f>
        <v>0</v>
      </c>
      <c r="R114" s="95" t="n">
        <f aca="false">R112*SenRate*$B$11</f>
        <v>0</v>
      </c>
      <c r="S114" s="95" t="n">
        <f aca="false">S112*SenRate*$B$11</f>
        <v>0</v>
      </c>
      <c r="T114" s="95" t="n">
        <f aca="false">T112*SenRate*$B$11</f>
        <v>0</v>
      </c>
      <c r="U114" s="95" t="n">
        <f aca="false">U112*SenRate*$B$11</f>
        <v>0</v>
      </c>
      <c r="V114" s="95" t="n">
        <f aca="false">V112*SenRate*$B$11</f>
        <v>0</v>
      </c>
      <c r="W114" s="95" t="n">
        <f aca="false">W112*SenRate*$B$11</f>
        <v>0</v>
      </c>
    </row>
    <row r="115" customFormat="false" ht="15" hidden="false" customHeight="false" outlineLevel="0" collapsed="false">
      <c r="A115" s="11" t="s">
        <v>457</v>
      </c>
      <c r="B115" s="66" t="n">
        <f aca="false">SUM(C115:W115)</f>
        <v>112546.829385741</v>
      </c>
      <c r="C115" s="95" t="n">
        <v>0</v>
      </c>
      <c r="D115" s="95" t="n">
        <f aca="false">IF(AND(D39&gt;SenGrace,D39&lt;=SenTenor),PMT(SenRate*$B$11,SenTenor-SenGrace,-S_Rate_Lo!$B$16)-D114,0)</f>
        <v>0</v>
      </c>
      <c r="E115" s="95" t="n">
        <f aca="false">IF(AND(E39&gt;SenGrace,E39&lt;=SenTenor),PMT(SenRate*$B$11,SenTenor-SenGrace,-S_Rate_Lo!$B$16)-E114,0)</f>
        <v>0</v>
      </c>
      <c r="F115" s="95" t="n">
        <f aca="false">IF(AND(F39&gt;SenGrace,F39&lt;=SenTenor),PMT(SenRate*$B$11,SenTenor-SenGrace,-S_Rate_Lo!$B$16)-F114,0)</f>
        <v>10581.0632200691</v>
      </c>
      <c r="G115" s="95" t="n">
        <f aca="false">IF(AND(G39&gt;SenGrace,G39&lt;=SenTenor),PMT(SenRate*$B$11,SenTenor-SenGrace,-S_Rate_Lo!$B$16)-G114,0)</f>
        <v>11427.5482776747</v>
      </c>
      <c r="H115" s="95" t="n">
        <f aca="false">IF(AND(H39&gt;SenGrace,H39&lt;=SenTenor),PMT(SenRate*$B$11,SenTenor-SenGrace,-S_Rate_Lo!$B$16)-H114,0)</f>
        <v>12341.7521398887</v>
      </c>
      <c r="I115" s="95" t="n">
        <f aca="false">IF(AND(I39&gt;SenGrace,I39&lt;=SenTenor),PMT(SenRate*$B$11,SenTenor-SenGrace,-S_Rate_Lo!$B$16)-I114,0)</f>
        <v>13329.0923110797</v>
      </c>
      <c r="J115" s="95" t="n">
        <f aca="false">IF(AND(J39&gt;SenGrace,J39&lt;=SenTenor),PMT(SenRate*$B$11,SenTenor-SenGrace,-S_Rate_Lo!$B$16)-J114,0)</f>
        <v>14395.4196959661</v>
      </c>
      <c r="K115" s="95" t="n">
        <f aca="false">IF(AND(K39&gt;SenGrace,K39&lt;=SenTenor),PMT(SenRate*$B$11,SenTenor-SenGrace,-S_Rate_Lo!$B$16)-K114,0)</f>
        <v>15547.0532716434</v>
      </c>
      <c r="L115" s="95" t="n">
        <f aca="false">IF(AND(L39&gt;SenGrace,L39&lt;=SenTenor),PMT(SenRate*$B$11,SenTenor-SenGrace,-S_Rate_Lo!$B$16)-L114,0)</f>
        <v>16790.8175333749</v>
      </c>
      <c r="M115" s="95" t="n">
        <f aca="false">IF(AND(M39&gt;SenGrace,M39&lt;=SenTenor),PMT(SenRate*$B$11,SenTenor-SenGrace,-S_Rate_Lo!$B$16)-M114,0)</f>
        <v>18134.0829360449</v>
      </c>
      <c r="N115" s="95" t="n">
        <f aca="false">IF(AND(N39&gt;SenGrace,N39&lt;=SenTenor),PMT(SenRate*$B$11,SenTenor-SenGrace,-S_Rate_Lo!$B$16)-N114,0)</f>
        <v>0</v>
      </c>
      <c r="O115" s="95" t="n">
        <f aca="false">IF(AND(O39&gt;SenGrace,O39&lt;=SenTenor),PMT(SenRate*$B$11,SenTenor-SenGrace,-S_Rate_Lo!$B$16)-O114,0)</f>
        <v>0</v>
      </c>
      <c r="P115" s="95" t="n">
        <f aca="false">IF(AND(P39&gt;SenGrace,P39&lt;=SenTenor),PMT(SenRate*$B$11,SenTenor-SenGrace,-S_Rate_Lo!$B$16)-P114,0)</f>
        <v>0</v>
      </c>
      <c r="Q115" s="95" t="n">
        <f aca="false">IF(AND(Q39&gt;SenGrace,Q39&lt;=SenTenor),PMT(SenRate*$B$11,SenTenor-SenGrace,-S_Rate_Lo!$B$16)-Q114,0)</f>
        <v>0</v>
      </c>
      <c r="R115" s="95" t="n">
        <f aca="false">IF(AND(R39&gt;SenGrace,R39&lt;=SenTenor),PMT(SenRate*$B$11,SenTenor-SenGrace,-S_Rate_Lo!$B$16)-R114,0)</f>
        <v>0</v>
      </c>
      <c r="S115" s="95" t="n">
        <f aca="false">IF(AND(S39&gt;SenGrace,S39&lt;=SenTenor),PMT(SenRate*$B$11,SenTenor-SenGrace,-S_Rate_Lo!$B$16)-S114,0)</f>
        <v>0</v>
      </c>
      <c r="T115" s="95" t="n">
        <f aca="false">IF(AND(T39&gt;SenGrace,T39&lt;=SenTenor),PMT(SenRate*$B$11,SenTenor-SenGrace,-S_Rate_Lo!$B$16)-T114,0)</f>
        <v>0</v>
      </c>
      <c r="U115" s="95" t="n">
        <f aca="false">IF(AND(U39&gt;SenGrace,U39&lt;=SenTenor),PMT(SenRate*$B$11,SenTenor-SenGrace,-S_Rate_Lo!$B$16)-U114,0)</f>
        <v>0</v>
      </c>
      <c r="V115" s="95" t="n">
        <f aca="false">IF(AND(V39&gt;SenGrace,V39&lt;=SenTenor),PMT(SenRate*$B$11,SenTenor-SenGrace,-S_Rate_Lo!$B$16)-V114,0)</f>
        <v>0</v>
      </c>
      <c r="W115" s="95" t="n">
        <f aca="false">IF(AND(W39&gt;SenGrace,W39&lt;=SenTenor),PMT(SenRate*$B$11,SenTenor-SenGrace,-S_Rate_Lo!$B$16)-W114,0)</f>
        <v>0</v>
      </c>
    </row>
    <row r="116" customFormat="false" ht="15" hidden="false" customHeight="false" outlineLevel="0" collapsed="false">
      <c r="A116" s="11" t="s">
        <v>458</v>
      </c>
      <c r="C116" s="95" t="n">
        <f aca="false">0+C113-0</f>
        <v>112546.829385741</v>
      </c>
      <c r="D116" s="95" t="n">
        <f aca="false">D112+D113-D115</f>
        <v>112546.829385741</v>
      </c>
      <c r="E116" s="95" t="n">
        <f aca="false">E112+E113-E115</f>
        <v>112546.829385741</v>
      </c>
      <c r="F116" s="95" t="n">
        <f aca="false">F112+F113-F115</f>
        <v>101965.766165672</v>
      </c>
      <c r="G116" s="95" t="n">
        <f aca="false">G112+G113-G115</f>
        <v>90538.2178879977</v>
      </c>
      <c r="H116" s="95" t="n">
        <f aca="false">H112+H113-H115</f>
        <v>78196.465748109</v>
      </c>
      <c r="I116" s="95" t="n">
        <f aca="false">I112+I113-I115</f>
        <v>64867.3734370293</v>
      </c>
      <c r="J116" s="95" t="n">
        <f aca="false">J112+J113-J115</f>
        <v>50471.9537410632</v>
      </c>
      <c r="K116" s="95" t="n">
        <f aca="false">K112+K113-K115</f>
        <v>34924.9004694197</v>
      </c>
      <c r="L116" s="95" t="n">
        <f aca="false">L112+L113-L115</f>
        <v>18134.0829360449</v>
      </c>
      <c r="M116" s="95" t="n">
        <f aca="false">M112+M113-M115</f>
        <v>0</v>
      </c>
      <c r="N116" s="95" t="n">
        <f aca="false">N112+N113-N115</f>
        <v>0</v>
      </c>
      <c r="O116" s="95" t="n">
        <f aca="false">O112+O113-O115</f>
        <v>0</v>
      </c>
      <c r="P116" s="95" t="n">
        <f aca="false">P112+P113-P115</f>
        <v>0</v>
      </c>
      <c r="Q116" s="95" t="n">
        <f aca="false">Q112+Q113-Q115</f>
        <v>0</v>
      </c>
      <c r="R116" s="95" t="n">
        <f aca="false">R112+R113-R115</f>
        <v>0</v>
      </c>
      <c r="S116" s="95" t="n">
        <f aca="false">S112+S113-S115</f>
        <v>0</v>
      </c>
      <c r="T116" s="95" t="n">
        <f aca="false">T112+T113-T115</f>
        <v>0</v>
      </c>
      <c r="U116" s="95" t="n">
        <f aca="false">U112+U113-U115</f>
        <v>0</v>
      </c>
      <c r="V116" s="95" t="n">
        <f aca="false">V112+V113-V115</f>
        <v>0</v>
      </c>
      <c r="W116" s="95" t="n">
        <f aca="false">W112+W113-W115</f>
        <v>0</v>
      </c>
    </row>
    <row r="118" customFormat="false" ht="15" hidden="false" customHeight="false" outlineLevel="0" collapsed="false">
      <c r="A118" s="9" t="s">
        <v>459</v>
      </c>
      <c r="B118" s="10"/>
      <c r="C118" s="10"/>
      <c r="D118" s="10"/>
      <c r="E118" s="10"/>
      <c r="F118" s="10"/>
      <c r="G118" s="10"/>
      <c r="H118" s="10"/>
      <c r="I118" s="10"/>
      <c r="J118" s="10"/>
      <c r="K118" s="10"/>
      <c r="L118" s="10"/>
      <c r="M118" s="10"/>
      <c r="N118" s="10"/>
      <c r="O118" s="10"/>
      <c r="P118" s="10"/>
      <c r="Q118" s="10"/>
      <c r="R118" s="10"/>
      <c r="S118" s="10"/>
      <c r="T118" s="10"/>
      <c r="U118" s="10"/>
      <c r="V118" s="10"/>
      <c r="W118" s="10"/>
    </row>
    <row r="119" customFormat="false" ht="15" hidden="false" customHeight="false" outlineLevel="0" collapsed="false">
      <c r="A119" s="11" t="s">
        <v>454</v>
      </c>
      <c r="C119" s="95" t="n">
        <v>0</v>
      </c>
      <c r="D119" s="95" t="n">
        <f aca="false">C123</f>
        <v>112546.829385741</v>
      </c>
      <c r="E119" s="95" t="n">
        <f aca="false">D123</f>
        <v>112546.829385741</v>
      </c>
      <c r="F119" s="95" t="n">
        <f aca="false">E123</f>
        <v>112546.829385741</v>
      </c>
      <c r="G119" s="95" t="n">
        <f aca="false">F123</f>
        <v>112546.829385741</v>
      </c>
      <c r="H119" s="95" t="n">
        <f aca="false">G123</f>
        <v>112546.829385741</v>
      </c>
      <c r="I119" s="95" t="n">
        <f aca="false">H123</f>
        <v>112546.829385741</v>
      </c>
      <c r="J119" s="95" t="n">
        <f aca="false">I123</f>
        <v>102454.851624606</v>
      </c>
      <c r="K119" s="95" t="n">
        <f aca="false">J123</f>
        <v>92120.6663972037</v>
      </c>
      <c r="L119" s="95" t="n">
        <f aca="false">K123</f>
        <v>81538.4607243436</v>
      </c>
      <c r="M119" s="95" t="n">
        <f aca="false">L123</f>
        <v>70702.2821153347</v>
      </c>
      <c r="N119" s="95" t="n">
        <f aca="false">M123</f>
        <v>59606.0352197097</v>
      </c>
      <c r="O119" s="95" t="n">
        <f aca="false">N123</f>
        <v>48243.4783985897</v>
      </c>
      <c r="P119" s="95" t="n">
        <f aca="false">O123</f>
        <v>36608.2202137628</v>
      </c>
      <c r="Q119" s="95" t="n">
        <f aca="false">P123</f>
        <v>24693.7158325</v>
      </c>
      <c r="R119" s="95" t="n">
        <f aca="false">Q123</f>
        <v>12493.263346087</v>
      </c>
      <c r="S119" s="95" t="n">
        <f aca="false">R123</f>
        <v>0</v>
      </c>
      <c r="T119" s="95" t="n">
        <f aca="false">S123</f>
        <v>0</v>
      </c>
      <c r="U119" s="95" t="n">
        <f aca="false">T123</f>
        <v>0</v>
      </c>
      <c r="V119" s="95" t="n">
        <f aca="false">U123</f>
        <v>0</v>
      </c>
      <c r="W119" s="95" t="n">
        <f aca="false">V123</f>
        <v>0</v>
      </c>
    </row>
    <row r="120" customFormat="false" ht="15" hidden="false" customHeight="false" outlineLevel="0" collapsed="false">
      <c r="A120" s="11" t="s">
        <v>455</v>
      </c>
      <c r="B120" s="66" t="n">
        <f aca="false">SUM(C120:W120)</f>
        <v>112546.829385741</v>
      </c>
      <c r="C120" s="95" t="n">
        <f aca="false">S_Rate_Lo!$B$17</f>
        <v>112546.829385741</v>
      </c>
      <c r="D120" s="95" t="n">
        <f aca="false">0</f>
        <v>0</v>
      </c>
      <c r="E120" s="95" t="n">
        <f aca="false">0</f>
        <v>0</v>
      </c>
      <c r="F120" s="95" t="n">
        <f aca="false">0</f>
        <v>0</v>
      </c>
      <c r="G120" s="95" t="n">
        <f aca="false">0</f>
        <v>0</v>
      </c>
      <c r="H120" s="95" t="n">
        <f aca="false">0</f>
        <v>0</v>
      </c>
      <c r="I120" s="95" t="n">
        <f aca="false">0</f>
        <v>0</v>
      </c>
      <c r="J120" s="95" t="n">
        <f aca="false">0</f>
        <v>0</v>
      </c>
      <c r="K120" s="95" t="n">
        <f aca="false">0</f>
        <v>0</v>
      </c>
      <c r="L120" s="95" t="n">
        <f aca="false">0</f>
        <v>0</v>
      </c>
      <c r="M120" s="95" t="n">
        <f aca="false">0</f>
        <v>0</v>
      </c>
      <c r="N120" s="95" t="n">
        <f aca="false">0</f>
        <v>0</v>
      </c>
      <c r="O120" s="95" t="n">
        <f aca="false">0</f>
        <v>0</v>
      </c>
      <c r="P120" s="95" t="n">
        <f aca="false">0</f>
        <v>0</v>
      </c>
      <c r="Q120" s="95" t="n">
        <f aca="false">0</f>
        <v>0</v>
      </c>
      <c r="R120" s="95" t="n">
        <f aca="false">0</f>
        <v>0</v>
      </c>
      <c r="S120" s="95" t="n">
        <f aca="false">0</f>
        <v>0</v>
      </c>
      <c r="T120" s="95" t="n">
        <f aca="false">0</f>
        <v>0</v>
      </c>
      <c r="U120" s="95" t="n">
        <f aca="false">0</f>
        <v>0</v>
      </c>
      <c r="V120" s="95" t="n">
        <f aca="false">0</f>
        <v>0</v>
      </c>
      <c r="W120" s="95" t="n">
        <f aca="false">0</f>
        <v>0</v>
      </c>
    </row>
    <row r="121" customFormat="false" ht="15" hidden="false" customHeight="false" outlineLevel="0" collapsed="false">
      <c r="A121" s="11" t="s">
        <v>456</v>
      </c>
      <c r="B121" s="66" t="n">
        <f aca="false">SUM(C121:W121)</f>
        <v>28889.8068044781</v>
      </c>
      <c r="C121" s="95" t="n">
        <v>0</v>
      </c>
      <c r="D121" s="95" t="n">
        <f aca="false">D119*ConRate*$B$11</f>
        <v>2701.1239052578</v>
      </c>
      <c r="E121" s="95" t="n">
        <f aca="false">E119*ConRate*$B$11</f>
        <v>2701.1239052578</v>
      </c>
      <c r="F121" s="95" t="n">
        <f aca="false">F119*ConRate*$B$11</f>
        <v>2701.1239052578</v>
      </c>
      <c r="G121" s="95" t="n">
        <f aca="false">G119*ConRate*$B$11</f>
        <v>2701.1239052578</v>
      </c>
      <c r="H121" s="95" t="n">
        <f aca="false">H119*ConRate*$B$11</f>
        <v>2701.1239052578</v>
      </c>
      <c r="I121" s="95" t="n">
        <f aca="false">I119*ConRate*$B$11</f>
        <v>2701.1239052578</v>
      </c>
      <c r="J121" s="95" t="n">
        <f aca="false">J119*ConRate*$B$11</f>
        <v>2458.91643899055</v>
      </c>
      <c r="K121" s="95" t="n">
        <f aca="false">K119*ConRate*$B$11</f>
        <v>2210.89599353289</v>
      </c>
      <c r="L121" s="95" t="n">
        <f aca="false">L119*ConRate*$B$11</f>
        <v>1956.92305738425</v>
      </c>
      <c r="M121" s="95" t="n">
        <f aca="false">M119*ConRate*$B$11</f>
        <v>1696.85477076803</v>
      </c>
      <c r="N121" s="95" t="n">
        <f aca="false">N119*ConRate*$B$11</f>
        <v>1430.54484527303</v>
      </c>
      <c r="O121" s="95" t="n">
        <f aca="false">O119*ConRate*$B$11</f>
        <v>1157.84348156615</v>
      </c>
      <c r="P121" s="95" t="n">
        <f aca="false">P119*ConRate*$B$11</f>
        <v>878.597285130307</v>
      </c>
      <c r="Q121" s="95" t="n">
        <f aca="false">Q119*ConRate*$B$11</f>
        <v>592.649179980001</v>
      </c>
      <c r="R121" s="95" t="n">
        <f aca="false">R119*ConRate*$B$11</f>
        <v>299.838320306088</v>
      </c>
      <c r="S121" s="95" t="n">
        <f aca="false">S119*ConRate*$B$11</f>
        <v>0</v>
      </c>
      <c r="T121" s="95" t="n">
        <f aca="false">T119*ConRate*$B$11</f>
        <v>0</v>
      </c>
      <c r="U121" s="95" t="n">
        <f aca="false">U119*ConRate*$B$11</f>
        <v>0</v>
      </c>
      <c r="V121" s="95" t="n">
        <f aca="false">V119*ConRate*$B$11</f>
        <v>0</v>
      </c>
      <c r="W121" s="95" t="n">
        <f aca="false">W119*ConRate*$B$11</f>
        <v>0</v>
      </c>
    </row>
    <row r="122" customFormat="false" ht="15" hidden="false" customHeight="false" outlineLevel="0" collapsed="false">
      <c r="A122" s="11" t="s">
        <v>457</v>
      </c>
      <c r="B122" s="66" t="n">
        <f aca="false">SUM(C122:W122)</f>
        <v>112546.829385741</v>
      </c>
      <c r="C122" s="95" t="n">
        <v>0</v>
      </c>
      <c r="D122" s="95" t="n">
        <f aca="false">IF(AND(D39&gt;ConGrace,D39&lt;=ConTenor),PMT(ConRate*$B$11,ConTenor-ConGrace,-S_Rate_Lo!$B$17)-D121,0)</f>
        <v>0</v>
      </c>
      <c r="E122" s="95" t="n">
        <f aca="false">IF(AND(E39&gt;ConGrace,E39&lt;=ConTenor),PMT(ConRate*$B$11,ConTenor-ConGrace,-S_Rate_Lo!$B$17)-E121,0)</f>
        <v>0</v>
      </c>
      <c r="F122" s="95" t="n">
        <f aca="false">IF(AND(F39&gt;ConGrace,F39&lt;=ConTenor),PMT(ConRate*$B$11,ConTenor-ConGrace,-S_Rate_Lo!$B$17)-F121,0)</f>
        <v>0</v>
      </c>
      <c r="G122" s="95" t="n">
        <f aca="false">IF(AND(G39&gt;ConGrace,G39&lt;=ConTenor),PMT(ConRate*$B$11,ConTenor-ConGrace,-S_Rate_Lo!$B$17)-G121,0)</f>
        <v>0</v>
      </c>
      <c r="H122" s="95" t="n">
        <f aca="false">IF(AND(H39&gt;ConGrace,H39&lt;=ConTenor),PMT(ConRate*$B$11,ConTenor-ConGrace,-S_Rate_Lo!$B$17)-H121,0)</f>
        <v>0</v>
      </c>
      <c r="I122" s="95" t="n">
        <f aca="false">IF(AND(I39&gt;ConGrace,I39&lt;=ConTenor),PMT(ConRate*$B$11,ConTenor-ConGrace,-S_Rate_Lo!$B$17)-I121,0)</f>
        <v>10091.9777611353</v>
      </c>
      <c r="J122" s="95" t="n">
        <f aca="false">IF(AND(J39&gt;ConGrace,J39&lt;=ConTenor),PMT(ConRate*$B$11,ConTenor-ConGrace,-S_Rate_Lo!$B$17)-J121,0)</f>
        <v>10334.1852274025</v>
      </c>
      <c r="K122" s="95" t="n">
        <f aca="false">IF(AND(K39&gt;ConGrace,K39&lt;=ConTenor),PMT(ConRate*$B$11,ConTenor-ConGrace,-S_Rate_Lo!$B$17)-K121,0)</f>
        <v>10582.2056728602</v>
      </c>
      <c r="L122" s="95" t="n">
        <f aca="false">IF(AND(L39&gt;ConGrace,L39&lt;=ConTenor),PMT(ConRate*$B$11,ConTenor-ConGrace,-S_Rate_Lo!$B$17)-L121,0)</f>
        <v>10836.1786090088</v>
      </c>
      <c r="M122" s="95" t="n">
        <f aca="false">IF(AND(M39&gt;ConGrace,M39&lt;=ConTenor),PMT(ConRate*$B$11,ConTenor-ConGrace,-S_Rate_Lo!$B$17)-M121,0)</f>
        <v>11096.246895625</v>
      </c>
      <c r="N122" s="95" t="n">
        <f aca="false">IF(AND(N39&gt;ConGrace,N39&lt;=ConTenor),PMT(ConRate*$B$11,ConTenor-ConGrace,-S_Rate_Lo!$B$17)-N121,0)</f>
        <v>11362.55682112</v>
      </c>
      <c r="O122" s="95" t="n">
        <f aca="false">IF(AND(O39&gt;ConGrace,O39&lt;=ConTenor),PMT(ConRate*$B$11,ConTenor-ConGrace,-S_Rate_Lo!$B$17)-O121,0)</f>
        <v>11635.2581848269</v>
      </c>
      <c r="P122" s="95" t="n">
        <f aca="false">IF(AND(P39&gt;ConGrace,P39&lt;=ConTenor),PMT(ConRate*$B$11,ConTenor-ConGrace,-S_Rate_Lo!$B$17)-P121,0)</f>
        <v>11914.5043812628</v>
      </c>
      <c r="Q122" s="95" t="n">
        <f aca="false">IF(AND(Q39&gt;ConGrace,Q39&lt;=ConTenor),PMT(ConRate*$B$11,ConTenor-ConGrace,-S_Rate_Lo!$B$17)-Q121,0)</f>
        <v>12200.4524864131</v>
      </c>
      <c r="R122" s="95" t="n">
        <f aca="false">IF(AND(R39&gt;ConGrace,R39&lt;=ConTenor),PMT(ConRate*$B$11,ConTenor-ConGrace,-S_Rate_Lo!$B$17)-R121,0)</f>
        <v>12493.263346087</v>
      </c>
      <c r="S122" s="95" t="n">
        <f aca="false">IF(AND(S39&gt;ConGrace,S39&lt;=ConTenor),PMT(ConRate*$B$11,ConTenor-ConGrace,-S_Rate_Lo!$B$17)-S121,0)</f>
        <v>0</v>
      </c>
      <c r="T122" s="95" t="n">
        <f aca="false">IF(AND(T39&gt;ConGrace,T39&lt;=ConTenor),PMT(ConRate*$B$11,ConTenor-ConGrace,-S_Rate_Lo!$B$17)-T121,0)</f>
        <v>0</v>
      </c>
      <c r="U122" s="95" t="n">
        <f aca="false">IF(AND(U39&gt;ConGrace,U39&lt;=ConTenor),PMT(ConRate*$B$11,ConTenor-ConGrace,-S_Rate_Lo!$B$17)-U121,0)</f>
        <v>0</v>
      </c>
      <c r="V122" s="95" t="n">
        <f aca="false">IF(AND(V39&gt;ConGrace,V39&lt;=ConTenor),PMT(ConRate*$B$11,ConTenor-ConGrace,-S_Rate_Lo!$B$17)-V121,0)</f>
        <v>0</v>
      </c>
      <c r="W122" s="95" t="n">
        <f aca="false">IF(AND(W39&gt;ConGrace,W39&lt;=ConTenor),PMT(ConRate*$B$11,ConTenor-ConGrace,-S_Rate_Lo!$B$17)-W121,0)</f>
        <v>0</v>
      </c>
    </row>
    <row r="123" customFormat="false" ht="15" hidden="false" customHeight="false" outlineLevel="0" collapsed="false">
      <c r="A123" s="11" t="s">
        <v>458</v>
      </c>
      <c r="C123" s="95" t="n">
        <f aca="false">0+C120-0</f>
        <v>112546.829385741</v>
      </c>
      <c r="D123" s="95" t="n">
        <f aca="false">D119+D120-D122</f>
        <v>112546.829385741</v>
      </c>
      <c r="E123" s="95" t="n">
        <f aca="false">E119+E120-E122</f>
        <v>112546.829385741</v>
      </c>
      <c r="F123" s="95" t="n">
        <f aca="false">F119+F120-F122</f>
        <v>112546.829385741</v>
      </c>
      <c r="G123" s="95" t="n">
        <f aca="false">G119+G120-G122</f>
        <v>112546.829385741</v>
      </c>
      <c r="H123" s="95" t="n">
        <f aca="false">H119+H120-H122</f>
        <v>112546.829385741</v>
      </c>
      <c r="I123" s="95" t="n">
        <f aca="false">I119+I120-I122</f>
        <v>102454.851624606</v>
      </c>
      <c r="J123" s="95" t="n">
        <f aca="false">J119+J120-J122</f>
        <v>92120.6663972037</v>
      </c>
      <c r="K123" s="95" t="n">
        <f aca="false">K119+K120-K122</f>
        <v>81538.4607243436</v>
      </c>
      <c r="L123" s="95" t="n">
        <f aca="false">L119+L120-L122</f>
        <v>70702.2821153347</v>
      </c>
      <c r="M123" s="95" t="n">
        <f aca="false">M119+M120-M122</f>
        <v>59606.0352197097</v>
      </c>
      <c r="N123" s="95" t="n">
        <f aca="false">N119+N120-N122</f>
        <v>48243.4783985897</v>
      </c>
      <c r="O123" s="95" t="n">
        <f aca="false">O119+O120-O122</f>
        <v>36608.2202137628</v>
      </c>
      <c r="P123" s="95" t="n">
        <f aca="false">P119+P120-P122</f>
        <v>24693.7158325</v>
      </c>
      <c r="Q123" s="95" t="n">
        <f aca="false">Q119+Q120-Q122</f>
        <v>12493.263346087</v>
      </c>
      <c r="R123" s="95" t="n">
        <f aca="false">R119+R120-R122</f>
        <v>0</v>
      </c>
      <c r="S123" s="95" t="n">
        <f aca="false">S119+S120-S122</f>
        <v>0</v>
      </c>
      <c r="T123" s="95" t="n">
        <f aca="false">T119+T120-T122</f>
        <v>0</v>
      </c>
      <c r="U123" s="95" t="n">
        <f aca="false">U119+U120-U122</f>
        <v>0</v>
      </c>
      <c r="V123" s="95" t="n">
        <f aca="false">V119+V120-V122</f>
        <v>0</v>
      </c>
      <c r="W123" s="95" t="n">
        <f aca="false">W119+W120-W122</f>
        <v>0</v>
      </c>
    </row>
    <row r="125" customFormat="false" ht="15" hidden="false" customHeight="false" outlineLevel="0" collapsed="false">
      <c r="A125" s="16" t="s">
        <v>460</v>
      </c>
      <c r="B125" s="66" t="n">
        <f aca="false">SUM(C125:W125)</f>
        <v>316122.605459366</v>
      </c>
      <c r="C125" s="31" t="n">
        <v>0</v>
      </c>
      <c r="D125" s="31" t="n">
        <f aca="false">D114+D115+D121+D122</f>
        <v>11704.8702561171</v>
      </c>
      <c r="E125" s="31" t="n">
        <f aca="false">E114+E115+E121+E122</f>
        <v>11704.8702561171</v>
      </c>
      <c r="F125" s="31" t="n">
        <f aca="false">F114+F115+F121+F122</f>
        <v>22285.9334761863</v>
      </c>
      <c r="G125" s="31" t="n">
        <f aca="false">G114+G115+G121+G122</f>
        <v>22285.9334761863</v>
      </c>
      <c r="H125" s="31" t="n">
        <f aca="false">H114+H115+H121+H122</f>
        <v>22285.9334761863</v>
      </c>
      <c r="I125" s="31" t="n">
        <f aca="false">I114+I115+I121+I122</f>
        <v>32377.9112373215</v>
      </c>
      <c r="J125" s="31" t="n">
        <f aca="false">J114+J115+J121+J122</f>
        <v>32377.9112373215</v>
      </c>
      <c r="K125" s="31" t="n">
        <f aca="false">K114+K115+K121+K122</f>
        <v>32377.9112373215</v>
      </c>
      <c r="L125" s="31" t="n">
        <f aca="false">L114+L115+L121+L122</f>
        <v>32377.9112373215</v>
      </c>
      <c r="M125" s="31" t="n">
        <f aca="false">M114+M115+M121+M122</f>
        <v>32377.9112373215</v>
      </c>
      <c r="N125" s="31" t="n">
        <f aca="false">N114+N115+N121+N122</f>
        <v>12793.1016663931</v>
      </c>
      <c r="O125" s="31" t="n">
        <f aca="false">O114+O115+O121+O122</f>
        <v>12793.1016663931</v>
      </c>
      <c r="P125" s="31" t="n">
        <f aca="false">P114+P115+P121+P122</f>
        <v>12793.1016663931</v>
      </c>
      <c r="Q125" s="31" t="n">
        <f aca="false">Q114+Q115+Q121+Q122</f>
        <v>12793.1016663931</v>
      </c>
      <c r="R125" s="31" t="n">
        <f aca="false">R114+R115+R121+R122</f>
        <v>12793.1016663931</v>
      </c>
      <c r="S125" s="31" t="n">
        <f aca="false">S114+S115+S121+S122</f>
        <v>0</v>
      </c>
      <c r="T125" s="31" t="n">
        <f aca="false">T114+T115+T121+T122</f>
        <v>0</v>
      </c>
      <c r="U125" s="31" t="n">
        <f aca="false">U114+U115+U121+U122</f>
        <v>0</v>
      </c>
      <c r="V125" s="31" t="n">
        <f aca="false">V114+V115+V121+V122</f>
        <v>0</v>
      </c>
      <c r="W125" s="31" t="n">
        <f aca="false">W114+W115+W121+W122</f>
        <v>0</v>
      </c>
    </row>
    <row r="126" customFormat="false" ht="15" hidden="false" customHeight="false" outlineLevel="0" collapsed="false">
      <c r="A126" s="11" t="s">
        <v>461</v>
      </c>
      <c r="C126" s="96" t="n">
        <v>0</v>
      </c>
      <c r="D126" s="96" t="n">
        <f aca="false">IF(D39&lt;=SenGrace,SenRate*$B$11,IF(D39&lt;=SenTenor,PMT(SenRate*$B$11,SenTenor-SenGrace,-1),0))</f>
        <v>0.08</v>
      </c>
      <c r="E126" s="96" t="n">
        <f aca="false">IF(E39&lt;=SenGrace,SenRate*$B$11,IF(E39&lt;=SenTenor,PMT(SenRate*$B$11,SenTenor-SenGrace,-1),0))</f>
        <v>0.08</v>
      </c>
      <c r="F126" s="96" t="n">
        <f aca="false">IF(F39&lt;=SenGrace,SenRate*$B$11,IF(F39&lt;=SenTenor,PMT(SenRate*$B$11,SenTenor-SenGrace,-1),0))</f>
        <v>0.174014760591822</v>
      </c>
      <c r="G126" s="96" t="n">
        <f aca="false">IF(G39&lt;=SenGrace,SenRate*$B$11,IF(G39&lt;=SenTenor,PMT(SenRate*$B$11,SenTenor-SenGrace,-1),0))</f>
        <v>0.174014760591822</v>
      </c>
      <c r="H126" s="96" t="n">
        <f aca="false">IF(H39&lt;=SenGrace,SenRate*$B$11,IF(H39&lt;=SenTenor,PMT(SenRate*$B$11,SenTenor-SenGrace,-1),0))</f>
        <v>0.174014760591822</v>
      </c>
      <c r="I126" s="96" t="n">
        <f aca="false">IF(I39&lt;=SenGrace,SenRate*$B$11,IF(I39&lt;=SenTenor,PMT(SenRate*$B$11,SenTenor-SenGrace,-1),0))</f>
        <v>0.174014760591822</v>
      </c>
      <c r="J126" s="96" t="n">
        <f aca="false">IF(J39&lt;=SenGrace,SenRate*$B$11,IF(J39&lt;=SenTenor,PMT(SenRate*$B$11,SenTenor-SenGrace,-1),0))</f>
        <v>0.174014760591822</v>
      </c>
      <c r="K126" s="96" t="n">
        <f aca="false">IF(K39&lt;=SenGrace,SenRate*$B$11,IF(K39&lt;=SenTenor,PMT(SenRate*$B$11,SenTenor-SenGrace,-1),0))</f>
        <v>0.174014760591822</v>
      </c>
      <c r="L126" s="96" t="n">
        <f aca="false">IF(L39&lt;=SenGrace,SenRate*$B$11,IF(L39&lt;=SenTenor,PMT(SenRate*$B$11,SenTenor-SenGrace,-1),0))</f>
        <v>0.174014760591822</v>
      </c>
      <c r="M126" s="96" t="n">
        <f aca="false">IF(M39&lt;=SenGrace,SenRate*$B$11,IF(M39&lt;=SenTenor,PMT(SenRate*$B$11,SenTenor-SenGrace,-1),0))</f>
        <v>0.174014760591822</v>
      </c>
      <c r="N126" s="96" t="n">
        <f aca="false">IF(N39&lt;=SenGrace,SenRate*$B$11,IF(N39&lt;=SenTenor,PMT(SenRate*$B$11,SenTenor-SenGrace,-1),0))</f>
        <v>0</v>
      </c>
      <c r="O126" s="96" t="n">
        <f aca="false">IF(O39&lt;=SenGrace,SenRate*$B$11,IF(O39&lt;=SenTenor,PMT(SenRate*$B$11,SenTenor-SenGrace,-1),0))</f>
        <v>0</v>
      </c>
      <c r="P126" s="96" t="n">
        <f aca="false">IF(P39&lt;=SenGrace,SenRate*$B$11,IF(P39&lt;=SenTenor,PMT(SenRate*$B$11,SenTenor-SenGrace,-1),0))</f>
        <v>0</v>
      </c>
      <c r="Q126" s="96" t="n">
        <f aca="false">IF(Q39&lt;=SenGrace,SenRate*$B$11,IF(Q39&lt;=SenTenor,PMT(SenRate*$B$11,SenTenor-SenGrace,-1),0))</f>
        <v>0</v>
      </c>
      <c r="R126" s="96" t="n">
        <f aca="false">IF(R39&lt;=SenGrace,SenRate*$B$11,IF(R39&lt;=SenTenor,PMT(SenRate*$B$11,SenTenor-SenGrace,-1),0))</f>
        <v>0</v>
      </c>
      <c r="S126" s="96" t="n">
        <f aca="false">IF(S39&lt;=SenGrace,SenRate*$B$11,IF(S39&lt;=SenTenor,PMT(SenRate*$B$11,SenTenor-SenGrace,-1),0))</f>
        <v>0</v>
      </c>
      <c r="T126" s="96" t="n">
        <f aca="false">IF(T39&lt;=SenGrace,SenRate*$B$11,IF(T39&lt;=SenTenor,PMT(SenRate*$B$11,SenTenor-SenGrace,-1),0))</f>
        <v>0</v>
      </c>
      <c r="U126" s="96" t="n">
        <f aca="false">IF(U39&lt;=SenGrace,SenRate*$B$11,IF(U39&lt;=SenTenor,PMT(SenRate*$B$11,SenTenor-SenGrace,-1),0))</f>
        <v>0</v>
      </c>
      <c r="V126" s="96" t="n">
        <f aca="false">IF(V39&lt;=SenGrace,SenRate*$B$11,IF(V39&lt;=SenTenor,PMT(SenRate*$B$11,SenTenor-SenGrace,-1),0))</f>
        <v>0</v>
      </c>
      <c r="W126" s="96" t="n">
        <f aca="false">IF(W39&lt;=SenGrace,SenRate*$B$11,IF(W39&lt;=SenTenor,PMT(SenRate*$B$11,SenTenor-SenGrace,-1),0))</f>
        <v>0</v>
      </c>
    </row>
    <row r="127" customFormat="false" ht="15" hidden="false" customHeight="false" outlineLevel="0" collapsed="false">
      <c r="A127" s="11" t="s">
        <v>462</v>
      </c>
      <c r="C127" s="95" t="n">
        <v>0</v>
      </c>
      <c r="D127" s="95" t="n">
        <f aca="false">IF(D126&gt;0,(D147/MinDSCR-D121-D122)/D126,1000000000000)</f>
        <v>1333124.23780158</v>
      </c>
      <c r="E127" s="95" t="n">
        <f aca="false">IF(E126&gt;0,(E147/MinDSCR-E121-E122)/E126,1000000000000)</f>
        <v>726765.127355692</v>
      </c>
      <c r="F127" s="95" t="n">
        <f aca="false">IF(F126&gt;0,(F147/MinDSCR-F121-F122)/F126,1000000000000)</f>
        <v>310833.053695286</v>
      </c>
      <c r="G127" s="95" t="n">
        <f aca="false">IF(G126&gt;0,(G147/MinDSCR-G121-G122)/G126,1000000000000)</f>
        <v>159301.407498738</v>
      </c>
      <c r="H127" s="95" t="n">
        <f aca="false">IF(H126&gt;0,(H147/MinDSCR-H121-H122)/H126,1000000000000)</f>
        <v>183903.007076736</v>
      </c>
      <c r="I127" s="95" t="n">
        <f aca="false">IF(I126&gt;0,(I147/MinDSCR-I121-I122)/I126,1000000000000)</f>
        <v>152259.052113078</v>
      </c>
      <c r="J127" s="95" t="n">
        <f aca="false">IF(J126&gt;0,(J147/MinDSCR-J121-J122)/J126,1000000000000)</f>
        <v>172171.18918905</v>
      </c>
      <c r="K127" s="95" t="n">
        <f aca="false">IF(K126&gt;0,(K147/MinDSCR-K121-K122)/K126,1000000000000)</f>
        <v>167002.392124618</v>
      </c>
      <c r="L127" s="95" t="n">
        <f aca="false">IF(L126&gt;0,(L147/MinDSCR-L121-L122)/L126,1000000000000)</f>
        <v>136471.630494576</v>
      </c>
      <c r="M127" s="95" t="n">
        <f aca="false">IF(M126&gt;0,(M147/MinDSCR-M121-M122)/M126,1000000000000)</f>
        <v>129421.003373409</v>
      </c>
      <c r="N127" s="95" t="n">
        <f aca="false">IF(N126&gt;0,(N147/MinDSCR-N121-N122)/N126,1000000000000)</f>
        <v>1000000000000</v>
      </c>
      <c r="O127" s="95" t="n">
        <f aca="false">IF(O126&gt;0,(O147/MinDSCR-O121-O122)/O126,1000000000000)</f>
        <v>1000000000000</v>
      </c>
      <c r="P127" s="95" t="n">
        <f aca="false">IF(P126&gt;0,(P147/MinDSCR-P121-P122)/P126,1000000000000)</f>
        <v>1000000000000</v>
      </c>
      <c r="Q127" s="95" t="n">
        <f aca="false">IF(Q126&gt;0,(Q147/MinDSCR-Q121-Q122)/Q126,1000000000000)</f>
        <v>1000000000000</v>
      </c>
      <c r="R127" s="95" t="n">
        <f aca="false">IF(R126&gt;0,(R147/MinDSCR-R121-R122)/R126,1000000000000)</f>
        <v>1000000000000</v>
      </c>
      <c r="S127" s="95" t="n">
        <f aca="false">IF(S126&gt;0,(S147/MinDSCR-S121-S122)/S126,1000000000000)</f>
        <v>1000000000000</v>
      </c>
      <c r="T127" s="95" t="n">
        <f aca="false">IF(T126&gt;0,(T147/MinDSCR-T121-T122)/T126,1000000000000)</f>
        <v>1000000000000</v>
      </c>
      <c r="U127" s="95" t="n">
        <f aca="false">IF(U126&gt;0,(U147/MinDSCR-U121-U122)/U126,1000000000000)</f>
        <v>1000000000000</v>
      </c>
      <c r="V127" s="95" t="n">
        <f aca="false">IF(V126&gt;0,(V147/MinDSCR-V121-V122)/V126,1000000000000)</f>
        <v>1000000000000</v>
      </c>
      <c r="W127" s="95" t="n">
        <f aca="false">IF(W126&gt;0,(W147/MinDSCR-W121-W122)/W126,1000000000000)</f>
        <v>1000000000000</v>
      </c>
    </row>
    <row r="128" customFormat="false" ht="15" hidden="false" customHeight="false" outlineLevel="0" collapsed="false">
      <c r="A128" s="11" t="s">
        <v>463</v>
      </c>
      <c r="C128" s="95" t="n">
        <f aca="false">DSRAPct*D125</f>
        <v>5852.43512805856</v>
      </c>
      <c r="D128" s="95" t="n">
        <f aca="false">DSRAPct*E125</f>
        <v>5852.43512805856</v>
      </c>
      <c r="E128" s="95" t="n">
        <f aca="false">DSRAPct*F125</f>
        <v>11142.9667380931</v>
      </c>
      <c r="F128" s="95" t="n">
        <f aca="false">DSRAPct*G125</f>
        <v>11142.9667380931</v>
      </c>
      <c r="G128" s="95" t="n">
        <f aca="false">DSRAPct*H125</f>
        <v>11142.9667380931</v>
      </c>
      <c r="H128" s="95" t="n">
        <f aca="false">DSRAPct*I125</f>
        <v>16188.9556186608</v>
      </c>
      <c r="I128" s="95" t="n">
        <f aca="false">DSRAPct*J125</f>
        <v>16188.9556186608</v>
      </c>
      <c r="J128" s="95" t="n">
        <f aca="false">DSRAPct*K125</f>
        <v>16188.9556186608</v>
      </c>
      <c r="K128" s="95" t="n">
        <f aca="false">DSRAPct*L125</f>
        <v>16188.9556186608</v>
      </c>
      <c r="L128" s="95" t="n">
        <f aca="false">DSRAPct*M125</f>
        <v>16188.9556186608</v>
      </c>
      <c r="M128" s="95" t="n">
        <f aca="false">DSRAPct*N125</f>
        <v>6396.55083319653</v>
      </c>
      <c r="N128" s="95" t="n">
        <f aca="false">DSRAPct*O125</f>
        <v>6396.55083319653</v>
      </c>
      <c r="O128" s="95" t="n">
        <f aca="false">DSRAPct*P125</f>
        <v>6396.55083319653</v>
      </c>
      <c r="P128" s="95" t="n">
        <f aca="false">DSRAPct*Q125</f>
        <v>6396.55083319653</v>
      </c>
      <c r="Q128" s="95" t="n">
        <f aca="false">DSRAPct*R125</f>
        <v>6396.55083319653</v>
      </c>
      <c r="R128" s="95" t="n">
        <f aca="false">DSRAPct*S125</f>
        <v>0</v>
      </c>
      <c r="S128" s="95" t="n">
        <f aca="false">DSRAPct*T125</f>
        <v>0</v>
      </c>
      <c r="T128" s="95" t="n">
        <f aca="false">DSRAPct*U125</f>
        <v>0</v>
      </c>
      <c r="U128" s="95" t="n">
        <f aca="false">DSRAPct*V125</f>
        <v>0</v>
      </c>
      <c r="V128" s="95" t="n">
        <f aca="false">DSRAPct*W125</f>
        <v>0</v>
      </c>
      <c r="W128" s="95" t="n">
        <f aca="false">0</f>
        <v>0</v>
      </c>
    </row>
    <row r="129" customFormat="false" ht="15" hidden="false" customHeight="false" outlineLevel="0" collapsed="false">
      <c r="A129" s="11" t="s">
        <v>464</v>
      </c>
      <c r="B129" s="66" t="n">
        <f aca="false">SUM(C129:W129)</f>
        <v>0</v>
      </c>
      <c r="C129" s="95" t="n">
        <f aca="false">C128</f>
        <v>5852.43512805856</v>
      </c>
      <c r="D129" s="95" t="n">
        <f aca="false">D128-C128</f>
        <v>0</v>
      </c>
      <c r="E129" s="95" t="n">
        <f aca="false">E128-D128</f>
        <v>5290.53161003457</v>
      </c>
      <c r="F129" s="95" t="n">
        <f aca="false">F128-E128</f>
        <v>0</v>
      </c>
      <c r="G129" s="95" t="n">
        <f aca="false">G128-F128</f>
        <v>0</v>
      </c>
      <c r="H129" s="95" t="n">
        <f aca="false">H128-G128</f>
        <v>5045.98888056763</v>
      </c>
      <c r="I129" s="95" t="n">
        <f aca="false">I128-H128</f>
        <v>0</v>
      </c>
      <c r="J129" s="95" t="n">
        <f aca="false">J128-I128</f>
        <v>0</v>
      </c>
      <c r="K129" s="95" t="n">
        <f aca="false">K128-J128</f>
        <v>0</v>
      </c>
      <c r="L129" s="95" t="n">
        <f aca="false">L128-K128</f>
        <v>0</v>
      </c>
      <c r="M129" s="95" t="n">
        <f aca="false">M128-L128</f>
        <v>-9792.40478546423</v>
      </c>
      <c r="N129" s="95" t="n">
        <f aca="false">N128-M128</f>
        <v>0</v>
      </c>
      <c r="O129" s="95" t="n">
        <f aca="false">O128-N128</f>
        <v>0</v>
      </c>
      <c r="P129" s="95" t="n">
        <f aca="false">P128-O128</f>
        <v>0</v>
      </c>
      <c r="Q129" s="95" t="n">
        <f aca="false">Q128-P128</f>
        <v>0</v>
      </c>
      <c r="R129" s="95" t="n">
        <f aca="false">R128-Q128</f>
        <v>-6396.55083319653</v>
      </c>
      <c r="S129" s="95" t="n">
        <f aca="false">S128-R128</f>
        <v>0</v>
      </c>
      <c r="T129" s="95" t="n">
        <f aca="false">T128-S128</f>
        <v>0</v>
      </c>
      <c r="U129" s="95" t="n">
        <f aca="false">U128-T128</f>
        <v>0</v>
      </c>
      <c r="V129" s="95" t="n">
        <f aca="false">V128-U128</f>
        <v>0</v>
      </c>
      <c r="W129" s="95" t="n">
        <f aca="false">W128-V128</f>
        <v>0</v>
      </c>
    </row>
    <row r="131" customFormat="false" ht="15" hidden="false" customHeight="false" outlineLevel="0" collapsed="false">
      <c r="A131" s="9" t="s">
        <v>465</v>
      </c>
      <c r="B131" s="10"/>
      <c r="C131" s="10"/>
      <c r="D131" s="10"/>
      <c r="E131" s="10"/>
      <c r="F131" s="10"/>
      <c r="G131" s="10"/>
      <c r="H131" s="10"/>
      <c r="I131" s="10"/>
      <c r="J131" s="10"/>
      <c r="K131" s="10"/>
      <c r="L131" s="10"/>
      <c r="M131" s="10"/>
      <c r="N131" s="10"/>
      <c r="O131" s="10"/>
      <c r="P131" s="10"/>
      <c r="Q131" s="10"/>
      <c r="R131" s="10"/>
      <c r="S131" s="10"/>
      <c r="T131" s="10"/>
      <c r="U131" s="10"/>
      <c r="V131" s="10"/>
      <c r="W131" s="10"/>
    </row>
    <row r="132" customFormat="false" ht="15" hidden="false" customHeight="false" outlineLevel="0" collapsed="false">
      <c r="A132" s="11" t="s">
        <v>466</v>
      </c>
      <c r="B132" s="66" t="n">
        <f aca="false">SUM(C132:W132)</f>
        <v>1162734.14692871</v>
      </c>
      <c r="C132" s="95" t="n">
        <v>0</v>
      </c>
      <c r="D132" s="95" t="n">
        <f aca="false">IF(D39&lt;=MIN(DepYears,Life),S_Rate_Lo!$B$14/DepYears,0)</f>
        <v>77515.6097952472</v>
      </c>
      <c r="E132" s="95" t="n">
        <f aca="false">IF(E39&lt;=MIN(DepYears,Life),S_Rate_Lo!$B$14/DepYears,0)</f>
        <v>77515.6097952472</v>
      </c>
      <c r="F132" s="95" t="n">
        <f aca="false">IF(F39&lt;=MIN(DepYears,Life),S_Rate_Lo!$B$14/DepYears,0)</f>
        <v>77515.6097952472</v>
      </c>
      <c r="G132" s="95" t="n">
        <f aca="false">IF(G39&lt;=MIN(DepYears,Life),S_Rate_Lo!$B$14/DepYears,0)</f>
        <v>77515.6097952472</v>
      </c>
      <c r="H132" s="95" t="n">
        <f aca="false">IF(H39&lt;=MIN(DepYears,Life),S_Rate_Lo!$B$14/DepYears,0)</f>
        <v>77515.6097952472</v>
      </c>
      <c r="I132" s="95" t="n">
        <f aca="false">IF(I39&lt;=MIN(DepYears,Life),S_Rate_Lo!$B$14/DepYears,0)</f>
        <v>77515.6097952472</v>
      </c>
      <c r="J132" s="95" t="n">
        <f aca="false">IF(J39&lt;=MIN(DepYears,Life),S_Rate_Lo!$B$14/DepYears,0)</f>
        <v>77515.6097952472</v>
      </c>
      <c r="K132" s="95" t="n">
        <f aca="false">IF(K39&lt;=MIN(DepYears,Life),S_Rate_Lo!$B$14/DepYears,0)</f>
        <v>77515.6097952472</v>
      </c>
      <c r="L132" s="95" t="n">
        <f aca="false">IF(L39&lt;=MIN(DepYears,Life),S_Rate_Lo!$B$14/DepYears,0)</f>
        <v>77515.6097952472</v>
      </c>
      <c r="M132" s="95" t="n">
        <f aca="false">IF(M39&lt;=MIN(DepYears,Life),S_Rate_Lo!$B$14/DepYears,0)</f>
        <v>77515.6097952472</v>
      </c>
      <c r="N132" s="95" t="n">
        <f aca="false">IF(N39&lt;=MIN(DepYears,Life),S_Rate_Lo!$B$14/DepYears,0)</f>
        <v>77515.6097952472</v>
      </c>
      <c r="O132" s="95" t="n">
        <f aca="false">IF(O39&lt;=MIN(DepYears,Life),S_Rate_Lo!$B$14/DepYears,0)</f>
        <v>77515.6097952472</v>
      </c>
      <c r="P132" s="95" t="n">
        <f aca="false">IF(P39&lt;=MIN(DepYears,Life),S_Rate_Lo!$B$14/DepYears,0)</f>
        <v>77515.6097952472</v>
      </c>
      <c r="Q132" s="95" t="n">
        <f aca="false">IF(Q39&lt;=MIN(DepYears,Life),S_Rate_Lo!$B$14/DepYears,0)</f>
        <v>77515.6097952472</v>
      </c>
      <c r="R132" s="95" t="n">
        <f aca="false">IF(R39&lt;=MIN(DepYears,Life),S_Rate_Lo!$B$14/DepYears,0)</f>
        <v>77515.6097952472</v>
      </c>
      <c r="S132" s="95" t="n">
        <f aca="false">IF(S39&lt;=MIN(DepYears,Life),S_Rate_Lo!$B$14/DepYears,0)</f>
        <v>0</v>
      </c>
      <c r="T132" s="95" t="n">
        <f aca="false">IF(T39&lt;=MIN(DepYears,Life),S_Rate_Lo!$B$14/DepYears,0)</f>
        <v>0</v>
      </c>
      <c r="U132" s="95" t="n">
        <f aca="false">IF(U39&lt;=MIN(DepYears,Life),S_Rate_Lo!$B$14/DepYears,0)</f>
        <v>0</v>
      </c>
      <c r="V132" s="95" t="n">
        <f aca="false">IF(V39&lt;=MIN(DepYears,Life),S_Rate_Lo!$B$14/DepYears,0)</f>
        <v>0</v>
      </c>
      <c r="W132" s="95" t="n">
        <f aca="false">IF(W39&lt;=MIN(DepYears,Life),S_Rate_Lo!$B$14/DepYears,0)</f>
        <v>0</v>
      </c>
    </row>
    <row r="133" customFormat="false" ht="15" hidden="false" customHeight="false" outlineLevel="0" collapsed="false">
      <c r="A133" s="11" t="s">
        <v>467</v>
      </c>
      <c r="B133" s="66" t="n">
        <f aca="false">SUM(C133:W133)</f>
        <v>10154.7318153589</v>
      </c>
      <c r="C133" s="95" t="n">
        <v>0</v>
      </c>
      <c r="D133" s="95" t="n">
        <f aca="false">D98-D132</f>
        <v>-65821.2982739605</v>
      </c>
      <c r="E133" s="95" t="n">
        <f aca="false">E98-E132</f>
        <v>-40682.6457603323</v>
      </c>
      <c r="F133" s="95" t="n">
        <f aca="false">F98-F132</f>
        <v>-20749.817755671</v>
      </c>
      <c r="G133" s="95" t="n">
        <f aca="false">G98-G132</f>
        <v>-17229.1838311411</v>
      </c>
      <c r="H133" s="95" t="n">
        <f aca="false">H98-H132</f>
        <v>-11663.8299321777</v>
      </c>
      <c r="I133" s="95" t="n">
        <f aca="false">I98-I132</f>
        <v>-5702.72866403495</v>
      </c>
      <c r="J133" s="95" t="n">
        <f aca="false">J98-J132</f>
        <v>-1198.2211680441</v>
      </c>
      <c r="K133" s="95" t="n">
        <f aca="false">K98-K132</f>
        <v>-2367.50224687332</v>
      </c>
      <c r="L133" s="95" t="n">
        <f aca="false">L98-L132</f>
        <v>-3741.88717796137</v>
      </c>
      <c r="M133" s="95" t="n">
        <f aca="false">M98-M132</f>
        <v>-5336.87432562704</v>
      </c>
      <c r="N133" s="95" t="n">
        <f aca="false">N98-N132</f>
        <v>-7168.97104967925</v>
      </c>
      <c r="O133" s="95" t="n">
        <f aca="false">O98-O132</f>
        <v>-9255.75648433073</v>
      </c>
      <c r="P133" s="95" t="n">
        <f aca="false">P98-P132</f>
        <v>-11615.9481647919</v>
      </c>
      <c r="Q133" s="95" t="n">
        <f aca="false">Q98-Q132</f>
        <v>-14269.472736217</v>
      </c>
      <c r="R133" s="95" t="n">
        <f aca="false">R98-R132</f>
        <v>-17237.540993967</v>
      </c>
      <c r="S133" s="95" t="n">
        <f aca="false">S98-S132</f>
        <v>56972.8822759284</v>
      </c>
      <c r="T133" s="95" t="n">
        <f aca="false">T98-T132</f>
        <v>53306.5546044182</v>
      </c>
      <c r="U133" s="95" t="n">
        <f aca="false">U98-U132</f>
        <v>49253.5249266123</v>
      </c>
      <c r="V133" s="95" t="n">
        <f aca="false">V98-V132</f>
        <v>44786.599228173</v>
      </c>
      <c r="W133" s="95" t="n">
        <f aca="false">W98-W132</f>
        <v>39876.8493450363</v>
      </c>
    </row>
    <row r="134" customFormat="false" ht="15" hidden="false" customHeight="false" outlineLevel="0" collapsed="false">
      <c r="A134" s="11" t="s">
        <v>468</v>
      </c>
      <c r="C134" s="95" t="n">
        <v>0</v>
      </c>
      <c r="D134" s="95" t="n">
        <f aca="false">0</f>
        <v>0</v>
      </c>
      <c r="E134" s="95" t="n">
        <f aca="false">D136</f>
        <v>65821.2982739605</v>
      </c>
      <c r="F134" s="95" t="n">
        <f aca="false">E136</f>
        <v>106503.944034293</v>
      </c>
      <c r="G134" s="95" t="n">
        <f aca="false">F136</f>
        <v>127253.761789964</v>
      </c>
      <c r="H134" s="95" t="n">
        <f aca="false">G136</f>
        <v>144482.945621105</v>
      </c>
      <c r="I134" s="95" t="n">
        <f aca="false">H136</f>
        <v>156146.775553283</v>
      </c>
      <c r="J134" s="95" t="n">
        <f aca="false">I136</f>
        <v>161849.504217318</v>
      </c>
      <c r="K134" s="95" t="n">
        <f aca="false">J136</f>
        <v>163047.725385362</v>
      </c>
      <c r="L134" s="95" t="n">
        <f aca="false">K136</f>
        <v>165415.227632235</v>
      </c>
      <c r="M134" s="95" t="n">
        <f aca="false">L136</f>
        <v>169157.114810196</v>
      </c>
      <c r="N134" s="95" t="n">
        <f aca="false">M136</f>
        <v>174493.989135823</v>
      </c>
      <c r="O134" s="95" t="n">
        <f aca="false">N136</f>
        <v>181662.960185503</v>
      </c>
      <c r="P134" s="95" t="n">
        <f aca="false">O136</f>
        <v>190918.716669833</v>
      </c>
      <c r="Q134" s="95" t="n">
        <f aca="false">P136</f>
        <v>202534.664834625</v>
      </c>
      <c r="R134" s="95" t="n">
        <f aca="false">Q136</f>
        <v>216804.137570842</v>
      </c>
      <c r="S134" s="95" t="n">
        <f aca="false">R136</f>
        <v>234041.678564809</v>
      </c>
      <c r="T134" s="95" t="n">
        <f aca="false">S136</f>
        <v>177068.796288881</v>
      </c>
      <c r="U134" s="95" t="n">
        <f aca="false">T136</f>
        <v>123762.241684463</v>
      </c>
      <c r="V134" s="95" t="n">
        <f aca="false">U136</f>
        <v>74508.7167578505</v>
      </c>
      <c r="W134" s="95" t="n">
        <f aca="false">V136</f>
        <v>29722.1175296775</v>
      </c>
    </row>
    <row r="135" customFormat="false" ht="15" hidden="false" customHeight="false" outlineLevel="0" collapsed="false">
      <c r="A135" s="11" t="s">
        <v>469</v>
      </c>
      <c r="C135" s="95" t="n">
        <v>0</v>
      </c>
      <c r="D135" s="95" t="n">
        <f aca="false">MIN(D134,MAX(D133,0))</f>
        <v>0</v>
      </c>
      <c r="E135" s="95" t="n">
        <f aca="false">MIN(E134,MAX(E133,0))</f>
        <v>0</v>
      </c>
      <c r="F135" s="95" t="n">
        <f aca="false">MIN(F134,MAX(F133,0))</f>
        <v>0</v>
      </c>
      <c r="G135" s="95" t="n">
        <f aca="false">MIN(G134,MAX(G133,0))</f>
        <v>0</v>
      </c>
      <c r="H135" s="95" t="n">
        <f aca="false">MIN(H134,MAX(H133,0))</f>
        <v>0</v>
      </c>
      <c r="I135" s="95" t="n">
        <f aca="false">MIN(I134,MAX(I133,0))</f>
        <v>0</v>
      </c>
      <c r="J135" s="95" t="n">
        <f aca="false">MIN(J134,MAX(J133,0))</f>
        <v>0</v>
      </c>
      <c r="K135" s="95" t="n">
        <f aca="false">MIN(K134,MAX(K133,0))</f>
        <v>0</v>
      </c>
      <c r="L135" s="95" t="n">
        <f aca="false">MIN(L134,MAX(L133,0))</f>
        <v>0</v>
      </c>
      <c r="M135" s="95" t="n">
        <f aca="false">MIN(M134,MAX(M133,0))</f>
        <v>0</v>
      </c>
      <c r="N135" s="95" t="n">
        <f aca="false">MIN(N134,MAX(N133,0))</f>
        <v>0</v>
      </c>
      <c r="O135" s="95" t="n">
        <f aca="false">MIN(O134,MAX(O133,0))</f>
        <v>0</v>
      </c>
      <c r="P135" s="95" t="n">
        <f aca="false">MIN(P134,MAX(P133,0))</f>
        <v>0</v>
      </c>
      <c r="Q135" s="95" t="n">
        <f aca="false">MIN(Q134,MAX(Q133,0))</f>
        <v>0</v>
      </c>
      <c r="R135" s="95" t="n">
        <f aca="false">MIN(R134,MAX(R133,0))</f>
        <v>0</v>
      </c>
      <c r="S135" s="95" t="n">
        <f aca="false">MIN(S134,MAX(S133,0))</f>
        <v>56972.8822759284</v>
      </c>
      <c r="T135" s="95" t="n">
        <f aca="false">MIN(T134,MAX(T133,0))</f>
        <v>53306.5546044182</v>
      </c>
      <c r="U135" s="95" t="n">
        <f aca="false">MIN(U134,MAX(U133,0))</f>
        <v>49253.5249266123</v>
      </c>
      <c r="V135" s="95" t="n">
        <f aca="false">MIN(V134,MAX(V133,0))</f>
        <v>44786.599228173</v>
      </c>
      <c r="W135" s="95" t="n">
        <f aca="false">MIN(W134,MAX(W133,0))</f>
        <v>29722.1175296775</v>
      </c>
    </row>
    <row r="136" customFormat="false" ht="15" hidden="false" customHeight="false" outlineLevel="0" collapsed="false">
      <c r="A136" s="11" t="s">
        <v>470</v>
      </c>
      <c r="C136" s="95" t="n">
        <v>0</v>
      </c>
      <c r="D136" s="95" t="n">
        <f aca="false">D134-D135+MAX(-D133,0)</f>
        <v>65821.2982739605</v>
      </c>
      <c r="E136" s="95" t="n">
        <f aca="false">E134-E135+MAX(-E133,0)</f>
        <v>106503.944034293</v>
      </c>
      <c r="F136" s="95" t="n">
        <f aca="false">F134-F135+MAX(-F133,0)</f>
        <v>127253.761789964</v>
      </c>
      <c r="G136" s="95" t="n">
        <f aca="false">G134-G135+MAX(-G133,0)</f>
        <v>144482.945621105</v>
      </c>
      <c r="H136" s="95" t="n">
        <f aca="false">H134-H135+MAX(-H133,0)</f>
        <v>156146.775553283</v>
      </c>
      <c r="I136" s="95" t="n">
        <f aca="false">I134-I135+MAX(-I133,0)</f>
        <v>161849.504217318</v>
      </c>
      <c r="J136" s="95" t="n">
        <f aca="false">J134-J135+MAX(-J133,0)</f>
        <v>163047.725385362</v>
      </c>
      <c r="K136" s="95" t="n">
        <f aca="false">K134-K135+MAX(-K133,0)</f>
        <v>165415.227632235</v>
      </c>
      <c r="L136" s="95" t="n">
        <f aca="false">L134-L135+MAX(-L133,0)</f>
        <v>169157.114810196</v>
      </c>
      <c r="M136" s="95" t="n">
        <f aca="false">M134-M135+MAX(-M133,0)</f>
        <v>174493.989135823</v>
      </c>
      <c r="N136" s="95" t="n">
        <f aca="false">N134-N135+MAX(-N133,0)</f>
        <v>181662.960185503</v>
      </c>
      <c r="O136" s="95" t="n">
        <f aca="false">O134-O135+MAX(-O133,0)</f>
        <v>190918.716669833</v>
      </c>
      <c r="P136" s="95" t="n">
        <f aca="false">P134-P135+MAX(-P133,0)</f>
        <v>202534.664834625</v>
      </c>
      <c r="Q136" s="95" t="n">
        <f aca="false">Q134-Q135+MAX(-Q133,0)</f>
        <v>216804.137570842</v>
      </c>
      <c r="R136" s="95" t="n">
        <f aca="false">R134-R135+MAX(-R133,0)</f>
        <v>234041.678564809</v>
      </c>
      <c r="S136" s="95" t="n">
        <f aca="false">S134-S135+MAX(-S133,0)</f>
        <v>177068.796288881</v>
      </c>
      <c r="T136" s="95" t="n">
        <f aca="false">T134-T135+MAX(-T133,0)</f>
        <v>123762.241684463</v>
      </c>
      <c r="U136" s="95" t="n">
        <f aca="false">U134-U135+MAX(-U133,0)</f>
        <v>74508.7167578505</v>
      </c>
      <c r="V136" s="95" t="n">
        <f aca="false">V134-V135+MAX(-V133,0)</f>
        <v>29722.1175296775</v>
      </c>
      <c r="W136" s="95" t="n">
        <f aca="false">W134-W135+MAX(-W133,0)</f>
        <v>0</v>
      </c>
    </row>
    <row r="137" customFormat="false" ht="15" hidden="false" customHeight="false" outlineLevel="0" collapsed="false">
      <c r="A137" s="11" t="s">
        <v>471</v>
      </c>
      <c r="B137" s="66" t="n">
        <f aca="false">SUM(C137:W137)</f>
        <v>2538.6829538397</v>
      </c>
      <c r="C137" s="95" t="n">
        <v>0</v>
      </c>
      <c r="D137" s="95" t="n">
        <f aca="false">(MAX(D133,0)-D135)*TaxRate</f>
        <v>0</v>
      </c>
      <c r="E137" s="95" t="n">
        <f aca="false">(MAX(E133,0)-E135)*TaxRate</f>
        <v>0</v>
      </c>
      <c r="F137" s="95" t="n">
        <f aca="false">(MAX(F133,0)-F135)*TaxRate</f>
        <v>0</v>
      </c>
      <c r="G137" s="95" t="n">
        <f aca="false">(MAX(G133,0)-G135)*TaxRate</f>
        <v>0</v>
      </c>
      <c r="H137" s="95" t="n">
        <f aca="false">(MAX(H133,0)-H135)*TaxRate</f>
        <v>0</v>
      </c>
      <c r="I137" s="95" t="n">
        <f aca="false">(MAX(I133,0)-I135)*TaxRate</f>
        <v>0</v>
      </c>
      <c r="J137" s="95" t="n">
        <f aca="false">(MAX(J133,0)-J135)*TaxRate</f>
        <v>0</v>
      </c>
      <c r="K137" s="95" t="n">
        <f aca="false">(MAX(K133,0)-K135)*TaxRate</f>
        <v>0</v>
      </c>
      <c r="L137" s="95" t="n">
        <f aca="false">(MAX(L133,0)-L135)*TaxRate</f>
        <v>0</v>
      </c>
      <c r="M137" s="95" t="n">
        <f aca="false">(MAX(M133,0)-M135)*TaxRate</f>
        <v>0</v>
      </c>
      <c r="N137" s="95" t="n">
        <f aca="false">(MAX(N133,0)-N135)*TaxRate</f>
        <v>0</v>
      </c>
      <c r="O137" s="95" t="n">
        <f aca="false">(MAX(O133,0)-O135)*TaxRate</f>
        <v>0</v>
      </c>
      <c r="P137" s="95" t="n">
        <f aca="false">(MAX(P133,0)-P135)*TaxRate</f>
        <v>0</v>
      </c>
      <c r="Q137" s="95" t="n">
        <f aca="false">(MAX(Q133,0)-Q135)*TaxRate</f>
        <v>0</v>
      </c>
      <c r="R137" s="95" t="n">
        <f aca="false">(MAX(R133,0)-R135)*TaxRate</f>
        <v>0</v>
      </c>
      <c r="S137" s="95" t="n">
        <f aca="false">(MAX(S133,0)-S135)*TaxRate</f>
        <v>0</v>
      </c>
      <c r="T137" s="95" t="n">
        <f aca="false">(MAX(T133,0)-T135)*TaxRate</f>
        <v>0</v>
      </c>
      <c r="U137" s="95" t="n">
        <f aca="false">(MAX(U133,0)-U135)*TaxRate</f>
        <v>0</v>
      </c>
      <c r="V137" s="95" t="n">
        <f aca="false">(MAX(V133,0)-V135)*TaxRate</f>
        <v>0</v>
      </c>
      <c r="W137" s="95" t="n">
        <f aca="false">(MAX(W133,0)-W135)*TaxRate</f>
        <v>2538.6829538397</v>
      </c>
    </row>
    <row r="138" customFormat="false" ht="15" hidden="false" customHeight="false" outlineLevel="0" collapsed="false">
      <c r="A138" s="11" t="s">
        <v>472</v>
      </c>
      <c r="B138" s="66" t="n">
        <f aca="false">SUM(C138:W138)</f>
        <v>-80874.214872524</v>
      </c>
      <c r="C138" s="95" t="n">
        <v>0</v>
      </c>
      <c r="D138" s="95" t="n">
        <f aca="false">D98-D132-D114-D121</f>
        <v>-77526.1685300776</v>
      </c>
      <c r="E138" s="95" t="n">
        <f aca="false">E98-E132-E114-E121</f>
        <v>-52387.5160164495</v>
      </c>
      <c r="F138" s="95" t="n">
        <f aca="false">F98-F132-F114-F121</f>
        <v>-32454.6880117881</v>
      </c>
      <c r="G138" s="95" t="n">
        <f aca="false">G98-G132-G114-G121</f>
        <v>-28087.5690296527</v>
      </c>
      <c r="H138" s="95" t="n">
        <f aca="false">H98-H132-H114-H121</f>
        <v>-21608.0112684753</v>
      </c>
      <c r="I138" s="95" t="n">
        <f aca="false">I98-I132-I114-I121</f>
        <v>-14659.5698291415</v>
      </c>
      <c r="J138" s="95" t="n">
        <f aca="false">J98-J132-J114-J121</f>
        <v>-8846.52748199699</v>
      </c>
      <c r="K138" s="95" t="n">
        <f aca="false">K98-K132-K114-K121</f>
        <v>-8616.15453969126</v>
      </c>
      <c r="L138" s="95" t="n">
        <f aca="false">L98-L132-L114-L121</f>
        <v>-8492.8022728992</v>
      </c>
      <c r="M138" s="95" t="n">
        <f aca="false">M98-M132-M114-M121</f>
        <v>-8484.45573127866</v>
      </c>
      <c r="N138" s="95" t="n">
        <f aca="false">N98-N132-N114-N121</f>
        <v>-8599.51589495229</v>
      </c>
      <c r="O138" s="95" t="n">
        <f aca="false">O98-O132-O114-O121</f>
        <v>-10413.5999658969</v>
      </c>
      <c r="P138" s="95" t="n">
        <f aca="false">P98-P132-P114-P121</f>
        <v>-12494.5454499222</v>
      </c>
      <c r="Q138" s="95" t="n">
        <f aca="false">Q98-Q132-Q114-Q121</f>
        <v>-14862.121916197</v>
      </c>
      <c r="R138" s="95" t="n">
        <f aca="false">R98-R132-R114-R121</f>
        <v>-17537.3793142731</v>
      </c>
      <c r="S138" s="95" t="n">
        <f aca="false">S98-S132-S114-S121</f>
        <v>56972.8822759284</v>
      </c>
      <c r="T138" s="95" t="n">
        <f aca="false">T98-T132-T114-T121</f>
        <v>53306.5546044182</v>
      </c>
      <c r="U138" s="95" t="n">
        <f aca="false">U98-U132-U114-U121</f>
        <v>49253.5249266123</v>
      </c>
      <c r="V138" s="95" t="n">
        <f aca="false">V98-V132-V114-V121</f>
        <v>44786.599228173</v>
      </c>
      <c r="W138" s="95" t="n">
        <f aca="false">W98-W132-W114-W121</f>
        <v>39876.8493450363</v>
      </c>
    </row>
    <row r="139" customFormat="false" ht="15" hidden="false" customHeight="false" outlineLevel="0" collapsed="false">
      <c r="A139" s="11" t="s">
        <v>468</v>
      </c>
      <c r="C139" s="95" t="n">
        <v>0</v>
      </c>
      <c r="D139" s="95" t="n">
        <f aca="false">0</f>
        <v>0</v>
      </c>
      <c r="E139" s="95" t="n">
        <f aca="false">D141</f>
        <v>77526.1685300776</v>
      </c>
      <c r="F139" s="95" t="n">
        <f aca="false">E141</f>
        <v>129913.684546527</v>
      </c>
      <c r="G139" s="95" t="n">
        <f aca="false">F141</f>
        <v>162368.372558315</v>
      </c>
      <c r="H139" s="95" t="n">
        <f aca="false">G141</f>
        <v>190455.941587968</v>
      </c>
      <c r="I139" s="95" t="n">
        <f aca="false">H141</f>
        <v>212063.952856443</v>
      </c>
      <c r="J139" s="95" t="n">
        <f aca="false">I141</f>
        <v>226723.522685585</v>
      </c>
      <c r="K139" s="95" t="n">
        <f aca="false">J141</f>
        <v>235570.050167582</v>
      </c>
      <c r="L139" s="95" t="n">
        <f aca="false">K141</f>
        <v>244186.204707273</v>
      </c>
      <c r="M139" s="95" t="n">
        <f aca="false">L141</f>
        <v>252679.006980172</v>
      </c>
      <c r="N139" s="95" t="n">
        <f aca="false">M141</f>
        <v>261163.462711451</v>
      </c>
      <c r="O139" s="95" t="n">
        <f aca="false">N141</f>
        <v>269762.978606403</v>
      </c>
      <c r="P139" s="95" t="n">
        <f aca="false">O141</f>
        <v>280176.5785723</v>
      </c>
      <c r="Q139" s="95" t="n">
        <f aca="false">P141</f>
        <v>292671.124022222</v>
      </c>
      <c r="R139" s="95" t="n">
        <f aca="false">Q141</f>
        <v>307533.245938419</v>
      </c>
      <c r="S139" s="95" t="n">
        <f aca="false">R141</f>
        <v>325070.625252692</v>
      </c>
      <c r="T139" s="95" t="n">
        <f aca="false">S141</f>
        <v>268097.742976764</v>
      </c>
      <c r="U139" s="95" t="n">
        <f aca="false">T141</f>
        <v>214791.188372346</v>
      </c>
      <c r="V139" s="95" t="n">
        <f aca="false">U141</f>
        <v>165537.663445733</v>
      </c>
      <c r="W139" s="95" t="n">
        <f aca="false">V141</f>
        <v>120751.06421756</v>
      </c>
    </row>
    <row r="140" customFormat="false" ht="15" hidden="false" customHeight="false" outlineLevel="0" collapsed="false">
      <c r="A140" s="11" t="s">
        <v>469</v>
      </c>
      <c r="C140" s="95" t="n">
        <v>0</v>
      </c>
      <c r="D140" s="95" t="n">
        <f aca="false">MIN(D139,MAX(D138,0))</f>
        <v>0</v>
      </c>
      <c r="E140" s="95" t="n">
        <f aca="false">MIN(E139,MAX(E138,0))</f>
        <v>0</v>
      </c>
      <c r="F140" s="95" t="n">
        <f aca="false">MIN(F139,MAX(F138,0))</f>
        <v>0</v>
      </c>
      <c r="G140" s="95" t="n">
        <f aca="false">MIN(G139,MAX(G138,0))</f>
        <v>0</v>
      </c>
      <c r="H140" s="95" t="n">
        <f aca="false">MIN(H139,MAX(H138,0))</f>
        <v>0</v>
      </c>
      <c r="I140" s="95" t="n">
        <f aca="false">MIN(I139,MAX(I138,0))</f>
        <v>0</v>
      </c>
      <c r="J140" s="95" t="n">
        <f aca="false">MIN(J139,MAX(J138,0))</f>
        <v>0</v>
      </c>
      <c r="K140" s="95" t="n">
        <f aca="false">MIN(K139,MAX(K138,0))</f>
        <v>0</v>
      </c>
      <c r="L140" s="95" t="n">
        <f aca="false">MIN(L139,MAX(L138,0))</f>
        <v>0</v>
      </c>
      <c r="M140" s="95" t="n">
        <f aca="false">MIN(M139,MAX(M138,0))</f>
        <v>0</v>
      </c>
      <c r="N140" s="95" t="n">
        <f aca="false">MIN(N139,MAX(N138,0))</f>
        <v>0</v>
      </c>
      <c r="O140" s="95" t="n">
        <f aca="false">MIN(O139,MAX(O138,0))</f>
        <v>0</v>
      </c>
      <c r="P140" s="95" t="n">
        <f aca="false">MIN(P139,MAX(P138,0))</f>
        <v>0</v>
      </c>
      <c r="Q140" s="95" t="n">
        <f aca="false">MIN(Q139,MAX(Q138,0))</f>
        <v>0</v>
      </c>
      <c r="R140" s="95" t="n">
        <f aca="false">MIN(R139,MAX(R138,0))</f>
        <v>0</v>
      </c>
      <c r="S140" s="95" t="n">
        <f aca="false">MIN(S139,MAX(S138,0))</f>
        <v>56972.8822759284</v>
      </c>
      <c r="T140" s="95" t="n">
        <f aca="false">MIN(T139,MAX(T138,0))</f>
        <v>53306.5546044182</v>
      </c>
      <c r="U140" s="95" t="n">
        <f aca="false">MIN(U139,MAX(U138,0))</f>
        <v>49253.5249266123</v>
      </c>
      <c r="V140" s="95" t="n">
        <f aca="false">MIN(V139,MAX(V138,0))</f>
        <v>44786.599228173</v>
      </c>
      <c r="W140" s="95" t="n">
        <f aca="false">MIN(W139,MAX(W138,0))</f>
        <v>39876.8493450363</v>
      </c>
    </row>
    <row r="141" customFormat="false" ht="15" hidden="false" customHeight="false" outlineLevel="0" collapsed="false">
      <c r="A141" s="11" t="s">
        <v>470</v>
      </c>
      <c r="C141" s="95" t="n">
        <v>0</v>
      </c>
      <c r="D141" s="95" t="n">
        <f aca="false">D139-D140+MAX(-D138,0)</f>
        <v>77526.1685300776</v>
      </c>
      <c r="E141" s="95" t="n">
        <f aca="false">E139-E140+MAX(-E138,0)</f>
        <v>129913.684546527</v>
      </c>
      <c r="F141" s="95" t="n">
        <f aca="false">F139-F140+MAX(-F138,0)</f>
        <v>162368.372558315</v>
      </c>
      <c r="G141" s="95" t="n">
        <f aca="false">G139-G140+MAX(-G138,0)</f>
        <v>190455.941587968</v>
      </c>
      <c r="H141" s="95" t="n">
        <f aca="false">H139-H140+MAX(-H138,0)</f>
        <v>212063.952856443</v>
      </c>
      <c r="I141" s="95" t="n">
        <f aca="false">I139-I140+MAX(-I138,0)</f>
        <v>226723.522685585</v>
      </c>
      <c r="J141" s="95" t="n">
        <f aca="false">J139-J140+MAX(-J138,0)</f>
        <v>235570.050167582</v>
      </c>
      <c r="K141" s="95" t="n">
        <f aca="false">K139-K140+MAX(-K138,0)</f>
        <v>244186.204707273</v>
      </c>
      <c r="L141" s="95" t="n">
        <f aca="false">L139-L140+MAX(-L138,0)</f>
        <v>252679.006980172</v>
      </c>
      <c r="M141" s="95" t="n">
        <f aca="false">M139-M140+MAX(-M138,0)</f>
        <v>261163.462711451</v>
      </c>
      <c r="N141" s="95" t="n">
        <f aca="false">N139-N140+MAX(-N138,0)</f>
        <v>269762.978606403</v>
      </c>
      <c r="O141" s="95" t="n">
        <f aca="false">O139-O140+MAX(-O138,0)</f>
        <v>280176.5785723</v>
      </c>
      <c r="P141" s="95" t="n">
        <f aca="false">P139-P140+MAX(-P138,0)</f>
        <v>292671.124022222</v>
      </c>
      <c r="Q141" s="95" t="n">
        <f aca="false">Q139-Q140+MAX(-Q138,0)</f>
        <v>307533.245938419</v>
      </c>
      <c r="R141" s="95" t="n">
        <f aca="false">R139-R140+MAX(-R138,0)</f>
        <v>325070.625252692</v>
      </c>
      <c r="S141" s="95" t="n">
        <f aca="false">S139-S140+MAX(-S138,0)</f>
        <v>268097.742976764</v>
      </c>
      <c r="T141" s="95" t="n">
        <f aca="false">T139-T140+MAX(-T138,0)</f>
        <v>214791.188372346</v>
      </c>
      <c r="U141" s="95" t="n">
        <f aca="false">U139-U140+MAX(-U138,0)</f>
        <v>165537.663445733</v>
      </c>
      <c r="V141" s="95" t="n">
        <f aca="false">V139-V140+MAX(-V138,0)</f>
        <v>120751.06421756</v>
      </c>
      <c r="W141" s="95" t="n">
        <f aca="false">W139-W140+MAX(-W138,0)</f>
        <v>80874.214872524</v>
      </c>
    </row>
    <row r="142" customFormat="false" ht="15" hidden="false" customHeight="false" outlineLevel="0" collapsed="false">
      <c r="A142" s="11" t="s">
        <v>473</v>
      </c>
      <c r="B142" s="66" t="n">
        <f aca="false">SUM(C142:W142)</f>
        <v>0</v>
      </c>
      <c r="C142" s="95" t="n">
        <v>0</v>
      </c>
      <c r="D142" s="95" t="n">
        <f aca="false">(MAX(D138,0)-D140)*TaxRate</f>
        <v>0</v>
      </c>
      <c r="E142" s="95" t="n">
        <f aca="false">(MAX(E138,0)-E140)*TaxRate</f>
        <v>0</v>
      </c>
      <c r="F142" s="95" t="n">
        <f aca="false">(MAX(F138,0)-F140)*TaxRate</f>
        <v>0</v>
      </c>
      <c r="G142" s="95" t="n">
        <f aca="false">(MAX(G138,0)-G140)*TaxRate</f>
        <v>0</v>
      </c>
      <c r="H142" s="95" t="n">
        <f aca="false">(MAX(H138,0)-H140)*TaxRate</f>
        <v>0</v>
      </c>
      <c r="I142" s="95" t="n">
        <f aca="false">(MAX(I138,0)-I140)*TaxRate</f>
        <v>0</v>
      </c>
      <c r="J142" s="95" t="n">
        <f aca="false">(MAX(J138,0)-J140)*TaxRate</f>
        <v>0</v>
      </c>
      <c r="K142" s="95" t="n">
        <f aca="false">(MAX(K138,0)-K140)*TaxRate</f>
        <v>0</v>
      </c>
      <c r="L142" s="95" t="n">
        <f aca="false">(MAX(L138,0)-L140)*TaxRate</f>
        <v>0</v>
      </c>
      <c r="M142" s="95" t="n">
        <f aca="false">(MAX(M138,0)-M140)*TaxRate</f>
        <v>0</v>
      </c>
      <c r="N142" s="95" t="n">
        <f aca="false">(MAX(N138,0)-N140)*TaxRate</f>
        <v>0</v>
      </c>
      <c r="O142" s="95" t="n">
        <f aca="false">(MAX(O138,0)-O140)*TaxRate</f>
        <v>0</v>
      </c>
      <c r="P142" s="95" t="n">
        <f aca="false">(MAX(P138,0)-P140)*TaxRate</f>
        <v>0</v>
      </c>
      <c r="Q142" s="95" t="n">
        <f aca="false">(MAX(Q138,0)-Q140)*TaxRate</f>
        <v>0</v>
      </c>
      <c r="R142" s="95" t="n">
        <f aca="false">(MAX(R138,0)-R140)*TaxRate</f>
        <v>0</v>
      </c>
      <c r="S142" s="95" t="n">
        <f aca="false">(MAX(S138,0)-S140)*TaxRate</f>
        <v>0</v>
      </c>
      <c r="T142" s="95" t="n">
        <f aca="false">(MAX(T138,0)-T140)*TaxRate</f>
        <v>0</v>
      </c>
      <c r="U142" s="95" t="n">
        <f aca="false">(MAX(U138,0)-U140)*TaxRate</f>
        <v>0</v>
      </c>
      <c r="V142" s="95" t="n">
        <f aca="false">(MAX(V138,0)-V140)*TaxRate</f>
        <v>0</v>
      </c>
      <c r="W142" s="95" t="n">
        <f aca="false">(MAX(W138,0)-W140)*TaxRate</f>
        <v>0</v>
      </c>
    </row>
    <row r="144" customFormat="false" ht="15" hidden="false" customHeight="false" outlineLevel="0" collapsed="false">
      <c r="A144" s="9" t="s">
        <v>474</v>
      </c>
      <c r="B144" s="10"/>
      <c r="C144" s="10"/>
      <c r="D144" s="10"/>
      <c r="E144" s="10"/>
      <c r="F144" s="10"/>
      <c r="G144" s="10"/>
      <c r="H144" s="10"/>
      <c r="I144" s="10"/>
      <c r="J144" s="10"/>
      <c r="K144" s="10"/>
      <c r="L144" s="10"/>
      <c r="M144" s="10"/>
      <c r="N144" s="10"/>
      <c r="O144" s="10"/>
      <c r="P144" s="10"/>
      <c r="Q144" s="10"/>
      <c r="R144" s="10"/>
      <c r="S144" s="10"/>
      <c r="T144" s="10"/>
      <c r="U144" s="10"/>
      <c r="V144" s="10"/>
      <c r="W144" s="10"/>
    </row>
    <row r="145" customFormat="false" ht="15" hidden="false" customHeight="false" outlineLevel="0" collapsed="false">
      <c r="A145" s="16" t="s">
        <v>475</v>
      </c>
      <c r="B145" s="66" t="n">
        <f aca="false">C145+NPV(Hurdle,D145:W145)</f>
        <v>-804952.496026467</v>
      </c>
      <c r="C145" s="31" t="n">
        <f aca="false">-C102+C98-C103-C137</f>
        <v>-1162734.14692871</v>
      </c>
      <c r="D145" s="31" t="n">
        <f aca="false">-D102+D98-D103-D137</f>
        <v>11694.3115212867</v>
      </c>
      <c r="E145" s="31" t="n">
        <f aca="false">-E102+E98-E103-E137</f>
        <v>36832.9640349148</v>
      </c>
      <c r="F145" s="31" t="n">
        <f aca="false">-F102+F98-F103-F137</f>
        <v>56765.7920395761</v>
      </c>
      <c r="G145" s="31" t="n">
        <f aca="false">-G102+G98-G103-G137</f>
        <v>60286.425964106</v>
      </c>
      <c r="H145" s="31" t="n">
        <f aca="false">-H102+H98-H103-H137</f>
        <v>65851.7798630695</v>
      </c>
      <c r="I145" s="31" t="n">
        <f aca="false">-I102+I98-I103-I137</f>
        <v>71812.8811312122</v>
      </c>
      <c r="J145" s="31" t="n">
        <f aca="false">-J102+J98-J103-J137</f>
        <v>76317.3886272031</v>
      </c>
      <c r="K145" s="31" t="n">
        <f aca="false">-K102+K98-K103-K137</f>
        <v>-90755.3301563276</v>
      </c>
      <c r="L145" s="31" t="n">
        <f aca="false">-L102+L98-L103-L137</f>
        <v>73773.7226172858</v>
      </c>
      <c r="M145" s="31" t="n">
        <f aca="false">-M102+M98-M103-M137</f>
        <v>72178.7354696201</v>
      </c>
      <c r="N145" s="31" t="n">
        <f aca="false">-N102+N98-N103-N137</f>
        <v>70346.6387455679</v>
      </c>
      <c r="O145" s="31" t="n">
        <f aca="false">-O102+O98-O103-O137</f>
        <v>68259.8533109164</v>
      </c>
      <c r="P145" s="31" t="n">
        <f aca="false">-P102+P98-P103-P137</f>
        <v>65899.6616304553</v>
      </c>
      <c r="Q145" s="31" t="n">
        <f aca="false">-Q102+Q98-Q103-Q137</f>
        <v>63246.1370590302</v>
      </c>
      <c r="R145" s="31" t="n">
        <f aca="false">-R102+R98-R103-R137</f>
        <v>60278.0688012801</v>
      </c>
      <c r="S145" s="31" t="n">
        <f aca="false">-S102+S98-S103-S137</f>
        <v>-153188.629007742</v>
      </c>
      <c r="T145" s="31" t="n">
        <f aca="false">-T102+T98-T103-T137</f>
        <v>53306.5546044182</v>
      </c>
      <c r="U145" s="31" t="n">
        <f aca="false">-U102+U98-U103-U137</f>
        <v>49253.5249266123</v>
      </c>
      <c r="V145" s="31" t="n">
        <f aca="false">-V102+V98-V103-V137</f>
        <v>44786.599228173</v>
      </c>
      <c r="W145" s="31" t="n">
        <f aca="false">-W102+W98-W103-W137</f>
        <v>37338.1663911966</v>
      </c>
    </row>
    <row r="146" customFormat="false" ht="15" hidden="false" customHeight="false" outlineLevel="0" collapsed="false">
      <c r="A146" s="16" t="s">
        <v>476</v>
      </c>
      <c r="B146" s="66" t="n">
        <f aca="false">C146+NPV(Hurdle,D146:W146)</f>
        <v>12967.8646046378</v>
      </c>
      <c r="C146" s="31" t="n">
        <f aca="false">C145+C106+C108</f>
        <v>-562734.146928707</v>
      </c>
      <c r="D146" s="31" t="n">
        <f aca="false">D145+D106+D108</f>
        <v>162894.311521287</v>
      </c>
      <c r="E146" s="31" t="n">
        <f aca="false">E145+E106+E108</f>
        <v>99832.9640349148</v>
      </c>
      <c r="F146" s="31" t="n">
        <f aca="false">F145+F106+F108</f>
        <v>94565.7920395761</v>
      </c>
      <c r="G146" s="31" t="n">
        <f aca="false">G145+G106+G108</f>
        <v>60286.425964106</v>
      </c>
      <c r="H146" s="31" t="n">
        <f aca="false">H145+H106+H108</f>
        <v>65851.7798630695</v>
      </c>
      <c r="I146" s="31" t="n">
        <f aca="false">I145+I106+I108</f>
        <v>71812.8811312122</v>
      </c>
      <c r="J146" s="31" t="n">
        <f aca="false">J145+J106+J108</f>
        <v>76317.3886272031</v>
      </c>
      <c r="K146" s="31" t="n">
        <f aca="false">K145+K106+K108</f>
        <v>-90755.3301563276</v>
      </c>
      <c r="L146" s="31" t="n">
        <f aca="false">L145+L106+L108</f>
        <v>73773.7226172858</v>
      </c>
      <c r="M146" s="31" t="n">
        <f aca="false">M145+M106+M108</f>
        <v>72178.7354696201</v>
      </c>
      <c r="N146" s="31" t="n">
        <f aca="false">N145+N106+N108</f>
        <v>70346.6387455679</v>
      </c>
      <c r="O146" s="31" t="n">
        <f aca="false">O145+O106+O108</f>
        <v>68259.8533109164</v>
      </c>
      <c r="P146" s="31" t="n">
        <f aca="false">P145+P106+P108</f>
        <v>65899.6616304553</v>
      </c>
      <c r="Q146" s="31" t="n">
        <f aca="false">Q145+Q106+Q108</f>
        <v>63246.1370590302</v>
      </c>
      <c r="R146" s="31" t="n">
        <f aca="false">R145+R106+R108</f>
        <v>60278.0688012801</v>
      </c>
      <c r="S146" s="31" t="n">
        <f aca="false">S145+S106+S108</f>
        <v>-153188.629007742</v>
      </c>
      <c r="T146" s="31" t="n">
        <f aca="false">T145+T106+T108</f>
        <v>53306.5546044182</v>
      </c>
      <c r="U146" s="31" t="n">
        <f aca="false">U145+U106+U108</f>
        <v>49253.5249266123</v>
      </c>
      <c r="V146" s="31" t="n">
        <f aca="false">V145+V106+V108</f>
        <v>44786.599228173</v>
      </c>
      <c r="W146" s="31" t="n">
        <f aca="false">W145+W106+W108</f>
        <v>37338.1663911966</v>
      </c>
    </row>
    <row r="147" customFormat="false" ht="15" hidden="false" customHeight="false" outlineLevel="0" collapsed="false">
      <c r="A147" s="11" t="s">
        <v>243</v>
      </c>
      <c r="B147" s="66" t="n">
        <f aca="false">SUM(C147:W147)</f>
        <v>1048823.9297557</v>
      </c>
      <c r="C147" s="95" t="n">
        <v>0</v>
      </c>
      <c r="D147" s="95" t="n">
        <f aca="false">D98-D105-D142+D108</f>
        <v>142156.381808199</v>
      </c>
      <c r="E147" s="95" t="n">
        <f aca="false">E98-E105-E142+E108</f>
        <v>79095.0343218271</v>
      </c>
      <c r="F147" s="95" t="n">
        <f aca="false">F98-F105-F142+F108</f>
        <v>73827.8623264885</v>
      </c>
      <c r="G147" s="95" t="n">
        <f aca="false">G98-G105-G142+G108</f>
        <v>39548.4962510184</v>
      </c>
      <c r="H147" s="95" t="n">
        <f aca="false">H98-H105-H142+H108</f>
        <v>45113.8501499818</v>
      </c>
      <c r="I147" s="95" t="n">
        <f aca="false">I98-I105-I142+I108</f>
        <v>51074.9514181245</v>
      </c>
      <c r="J147" s="95" t="n">
        <f aca="false">J98-J105-J142+J108</f>
        <v>55579.4589141154</v>
      </c>
      <c r="K147" s="95" t="n">
        <f aca="false">K98-K105-K142+K108</f>
        <v>54410.1778352862</v>
      </c>
      <c r="L147" s="95" t="n">
        <f aca="false">L98-L105-L142+L108</f>
        <v>47503.5337068271</v>
      </c>
      <c r="M147" s="95" t="n">
        <f aca="false">M98-M105-M142+M108</f>
        <v>45908.5465591614</v>
      </c>
      <c r="N147" s="95" t="n">
        <f aca="false">N98-N105-N142+N108</f>
        <v>44076.4498351092</v>
      </c>
      <c r="O147" s="95" t="n">
        <f aca="false">O98-O105-O142+O108</f>
        <v>41989.6644004577</v>
      </c>
      <c r="P147" s="95" t="n">
        <f aca="false">P98-P105-P142+P108</f>
        <v>39629.4727199965</v>
      </c>
      <c r="Q147" s="95" t="n">
        <f aca="false">Q98-Q105-Q142+Q108</f>
        <v>36975.9481485715</v>
      </c>
      <c r="R147" s="95" t="n">
        <f aca="false">R98-R105-R142+R108</f>
        <v>34007.8798908214</v>
      </c>
      <c r="S147" s="95" t="n">
        <f aca="false">S98-S105-S142+S108</f>
        <v>30702.6933654697</v>
      </c>
      <c r="T147" s="95" t="n">
        <f aca="false">T98-T105-T142+T108</f>
        <v>53306.5546044182</v>
      </c>
      <c r="U147" s="95" t="n">
        <f aca="false">U98-U105-U142+U108</f>
        <v>49253.5249266123</v>
      </c>
      <c r="V147" s="95" t="n">
        <f aca="false">V98-V105-V142+V108</f>
        <v>44786.599228173</v>
      </c>
      <c r="W147" s="95" t="n">
        <f aca="false">W98-W105-W142+W108</f>
        <v>39876.8493450363</v>
      </c>
    </row>
    <row r="148" customFormat="false" ht="15" hidden="false" customHeight="false" outlineLevel="0" collapsed="false">
      <c r="A148" s="11" t="s">
        <v>477</v>
      </c>
      <c r="C148" s="97" t="n">
        <v>0</v>
      </c>
      <c r="D148" s="97" t="n">
        <f aca="false">IF(D125&gt;0,D147/D125,"")</f>
        <v>12.1450625848592</v>
      </c>
      <c r="E148" s="97" t="n">
        <f aca="false">IF(E125&gt;0,E147/E125,"")</f>
        <v>6.75744648092029</v>
      </c>
      <c r="F148" s="97" t="n">
        <f aca="false">IF(F125&gt;0,F147/F125,"")</f>
        <v>3.31275611162429</v>
      </c>
      <c r="G148" s="97" t="n">
        <f aca="false">IF(G125&gt;0,G147/G125,"")</f>
        <v>1.7745945572923</v>
      </c>
      <c r="H148" s="97" t="n">
        <f aca="false">IF(H125&gt;0,H147/H125,"")</f>
        <v>2.02431951967318</v>
      </c>
      <c r="I148" s="97" t="n">
        <f aca="false">IF(I125&gt;0,I147/I125,"")</f>
        <v>1.57746282778276</v>
      </c>
      <c r="J148" s="97" t="n">
        <f aca="false">IF(J125&gt;0,J147/J125,"")</f>
        <v>1.71658568419478</v>
      </c>
      <c r="K148" s="97" t="n">
        <f aca="false">IF(K125&gt;0,K147/K125,"")</f>
        <v>1.68047214153112</v>
      </c>
      <c r="L148" s="97" t="n">
        <f aca="false">IF(L125&gt;0,L147/L125,"")</f>
        <v>1.46715868601402</v>
      </c>
      <c r="M148" s="97" t="n">
        <f aca="false">IF(M125&gt;0,M147/M125,"")</f>
        <v>1.41789710345006</v>
      </c>
      <c r="N148" s="97" t="n">
        <f aca="false">IF(N125&gt;0,N147/N125,"")</f>
        <v>3.44532944273367</v>
      </c>
      <c r="O148" s="97" t="n">
        <f aca="false">IF(O125&gt;0,O147/O125,"")</f>
        <v>3.28221142107881</v>
      </c>
      <c r="P148" s="97" t="n">
        <f aca="false">IF(P125&gt;0,P147/P125,"")</f>
        <v>3.09772201874245</v>
      </c>
      <c r="Q148" s="97" t="n">
        <f aca="false">IF(Q125&gt;0,Q147/Q125,"")</f>
        <v>2.89030362712631</v>
      </c>
      <c r="R148" s="97" t="n">
        <f aca="false">IF(R125&gt;0,R147/R125,"")</f>
        <v>2.65829825930006</v>
      </c>
      <c r="S148" s="97" t="str">
        <f aca="false">IF(S125&gt;0,S147/S125,"")</f>
        <v/>
      </c>
      <c r="T148" s="97" t="str">
        <f aca="false">IF(T125&gt;0,T147/T125,"")</f>
        <v/>
      </c>
      <c r="U148" s="97" t="str">
        <f aca="false">IF(U125&gt;0,U147/U125,"")</f>
        <v/>
      </c>
      <c r="V148" s="97" t="str">
        <f aca="false">IF(V125&gt;0,V147/V125,"")</f>
        <v/>
      </c>
      <c r="W148" s="97" t="str">
        <f aca="false">IF(W125&gt;0,W147/W125,"")</f>
        <v/>
      </c>
    </row>
    <row r="149" customFormat="false" ht="15" hidden="false" customHeight="false" outlineLevel="0" collapsed="false">
      <c r="A149" s="16" t="s">
        <v>478</v>
      </c>
      <c r="B149" s="66" t="n">
        <f aca="false">C149+NPV(Hurdle,D149:W149)</f>
        <v>16478.8005135289</v>
      </c>
      <c r="C149" s="31" t="n">
        <f aca="false">-S_Rate_Lo!$B$18-C129</f>
        <v>-343492.923285283</v>
      </c>
      <c r="D149" s="31" t="n">
        <f aca="false">D147-D125-D129</f>
        <v>130451.511552082</v>
      </c>
      <c r="E149" s="31" t="n">
        <f aca="false">E147-E125-E129</f>
        <v>62099.6324556755</v>
      </c>
      <c r="F149" s="31" t="n">
        <f aca="false">F147-F125-F129</f>
        <v>51541.9288503022</v>
      </c>
      <c r="G149" s="31" t="n">
        <f aca="false">G147-G125-G129</f>
        <v>17262.5627748321</v>
      </c>
      <c r="H149" s="31" t="n">
        <f aca="false">H147-H125-H129</f>
        <v>17781.9277932279</v>
      </c>
      <c r="I149" s="31" t="n">
        <f aca="false">I147-I125-I129</f>
        <v>18697.040180803</v>
      </c>
      <c r="J149" s="31" t="n">
        <f aca="false">J147-J125-J129</f>
        <v>23201.5476767939</v>
      </c>
      <c r="K149" s="31" t="n">
        <f aca="false">K147-K125-K129</f>
        <v>22032.2665979646</v>
      </c>
      <c r="L149" s="31" t="n">
        <f aca="false">L147-L125-L129</f>
        <v>15125.6224695055</v>
      </c>
      <c r="M149" s="31" t="n">
        <f aca="false">M147-M125-M129</f>
        <v>23323.0401073041</v>
      </c>
      <c r="N149" s="31" t="n">
        <f aca="false">N147-N125-N129</f>
        <v>31283.3481687161</v>
      </c>
      <c r="O149" s="31" t="n">
        <f aca="false">O147-O125-O129</f>
        <v>29196.5627340646</v>
      </c>
      <c r="P149" s="31" t="n">
        <f aca="false">P147-P125-P129</f>
        <v>26836.3710536035</v>
      </c>
      <c r="Q149" s="31" t="n">
        <f aca="false">Q147-Q125-Q129</f>
        <v>24182.8464821784</v>
      </c>
      <c r="R149" s="31" t="n">
        <f aca="false">R147-R125-R129</f>
        <v>27611.3290576249</v>
      </c>
      <c r="S149" s="31" t="n">
        <f aca="false">S147-S125-S129</f>
        <v>30702.6933654697</v>
      </c>
      <c r="T149" s="31" t="n">
        <f aca="false">T147-T125-T129</f>
        <v>53306.5546044182</v>
      </c>
      <c r="U149" s="31" t="n">
        <f aca="false">U147-U125-U129</f>
        <v>49253.5249266123</v>
      </c>
      <c r="V149" s="31" t="n">
        <f aca="false">V147-V125-V129</f>
        <v>44786.599228173</v>
      </c>
      <c r="W149" s="31" t="n">
        <f aca="false">W147-W125-W129</f>
        <v>39876.8493450363</v>
      </c>
    </row>
    <row r="150" customFormat="false" ht="15" hidden="false" customHeight="false" outlineLevel="0" collapsed="false">
      <c r="A150" s="11" t="s">
        <v>479</v>
      </c>
      <c r="C150" s="95" t="n">
        <f aca="false">C149</f>
        <v>-343492.923285283</v>
      </c>
      <c r="D150" s="95" t="n">
        <f aca="false">C150+D149</f>
        <v>-213041.411733201</v>
      </c>
      <c r="E150" s="95" t="n">
        <f aca="false">D150+E149</f>
        <v>-150941.779277526</v>
      </c>
      <c r="F150" s="95" t="n">
        <f aca="false">E150+F149</f>
        <v>-99399.8504272233</v>
      </c>
      <c r="G150" s="95" t="n">
        <f aca="false">F150+G149</f>
        <v>-82137.2876523912</v>
      </c>
      <c r="H150" s="95" t="n">
        <f aca="false">G150+H149</f>
        <v>-64355.3598591633</v>
      </c>
      <c r="I150" s="95" t="n">
        <f aca="false">H150+I149</f>
        <v>-45658.3196783603</v>
      </c>
      <c r="J150" s="95" t="n">
        <f aca="false">I150+J149</f>
        <v>-22456.7720015664</v>
      </c>
      <c r="K150" s="95" t="n">
        <f aca="false">J150+K149</f>
        <v>-424.505403601754</v>
      </c>
      <c r="L150" s="95" t="n">
        <f aca="false">K150+L149</f>
        <v>14701.1170659038</v>
      </c>
      <c r="M150" s="95" t="n">
        <f aca="false">L150+M149</f>
        <v>38024.1571732079</v>
      </c>
      <c r="N150" s="95" t="n">
        <f aca="false">M150+N149</f>
        <v>69307.505341924</v>
      </c>
      <c r="O150" s="95" t="n">
        <f aca="false">N150+O149</f>
        <v>98504.0680759886</v>
      </c>
      <c r="P150" s="95" t="n">
        <f aca="false">O150+P149</f>
        <v>125340.439129592</v>
      </c>
      <c r="Q150" s="95" t="n">
        <f aca="false">P150+Q149</f>
        <v>149523.285611771</v>
      </c>
      <c r="R150" s="95" t="n">
        <f aca="false">Q150+R149</f>
        <v>177134.614669395</v>
      </c>
      <c r="S150" s="95" t="n">
        <f aca="false">R150+S149</f>
        <v>207837.308034865</v>
      </c>
      <c r="T150" s="95" t="n">
        <f aca="false">S150+T149</f>
        <v>261143.862639283</v>
      </c>
      <c r="U150" s="95" t="n">
        <f aca="false">T150+U149</f>
        <v>310397.387565896</v>
      </c>
      <c r="V150" s="95" t="n">
        <f aca="false">U150+V149</f>
        <v>355183.986794069</v>
      </c>
      <c r="W150" s="95" t="n">
        <f aca="false">V150+W149</f>
        <v>395060.836139105</v>
      </c>
    </row>
    <row r="152" customFormat="false" ht="15" hidden="false" customHeight="false" outlineLevel="0" collapsed="false">
      <c r="A152" s="9" t="s">
        <v>480</v>
      </c>
      <c r="B152" s="10"/>
      <c r="C152" s="10"/>
      <c r="D152" s="10"/>
      <c r="E152" s="10"/>
      <c r="F152" s="10"/>
      <c r="G152" s="10"/>
      <c r="H152" s="10"/>
      <c r="I152" s="10"/>
      <c r="J152" s="10"/>
      <c r="K152" s="10"/>
      <c r="L152" s="10"/>
      <c r="M152" s="10"/>
      <c r="N152" s="10"/>
      <c r="O152" s="10"/>
      <c r="P152" s="10"/>
      <c r="Q152" s="10"/>
      <c r="R152" s="10"/>
      <c r="S152" s="10"/>
      <c r="T152" s="10"/>
      <c r="U152" s="10"/>
      <c r="V152" s="10"/>
      <c r="W152" s="10"/>
    </row>
    <row r="153" customFormat="false" ht="15" hidden="false" customHeight="false" outlineLevel="0" collapsed="false">
      <c r="A153" s="11" t="s">
        <v>481</v>
      </c>
      <c r="B153" s="66" t="n">
        <f aca="false">C153+NPV(Hurdle,D153:W153)</f>
        <v>2323238.80329335</v>
      </c>
      <c r="C153" s="95" t="n">
        <f aca="false">C102+C96-C93+C103</f>
        <v>1162734.14692871</v>
      </c>
      <c r="D153" s="95" t="n">
        <f aca="false">D102+D96-D93+D103</f>
        <v>66407.5541247933</v>
      </c>
      <c r="E153" s="95" t="n">
        <f aca="false">E102+E96-E93+E103</f>
        <v>73279.1455139807</v>
      </c>
      <c r="F153" s="95" t="n">
        <f aca="false">F102+F96-F93+F103</f>
        <v>78859.6369550395</v>
      </c>
      <c r="G153" s="95" t="n">
        <f aca="false">G102+G96-G93+G103</f>
        <v>81823.4407312817</v>
      </c>
      <c r="H153" s="95" t="n">
        <f aca="false">H102+H96-H93+H103</f>
        <v>84912.5777140674</v>
      </c>
      <c r="I153" s="95" t="n">
        <f aca="false">I102+I96-I93+I103</f>
        <v>88133.0258223723</v>
      </c>
      <c r="J153" s="95" t="n">
        <f aca="false">J102+J96-J93+J103</f>
        <v>93369.2240598548</v>
      </c>
      <c r="K153" s="95" t="n">
        <f aca="false">K102+K96-K93+K103</f>
        <v>270775.857556027</v>
      </c>
      <c r="L153" s="95" t="n">
        <f aca="false">L102+L96-L93+L103</f>
        <v>117210.054901056</v>
      </c>
      <c r="M153" s="95" t="n">
        <f aca="false">M102+M96-M93+M103</f>
        <v>130435.954099588</v>
      </c>
      <c r="N153" s="95" t="n">
        <f aca="false">N102+N96-N93+N103</f>
        <v>144607.285418405</v>
      </c>
      <c r="O153" s="95" t="n">
        <f aca="false">O102+O96-O93+O103</f>
        <v>159784.764834643</v>
      </c>
      <c r="P153" s="95" t="n">
        <f aca="false">P102+P96-P93+P103</f>
        <v>176032.873760168</v>
      </c>
      <c r="Q153" s="95" t="n">
        <f aca="false">Q102+Q96-Q93+Q103</f>
        <v>193420.089736882</v>
      </c>
      <c r="R153" s="95" t="n">
        <f aca="false">R102+R96-R93+R103</f>
        <v>212019.131206504</v>
      </c>
      <c r="S153" s="95" t="n">
        <f aca="false">S102+S96-S93+S103</f>
        <v>442068.728495999</v>
      </c>
      <c r="T153" s="95" t="n">
        <f aca="false">T102+T96-T93+T103</f>
        <v>253166.342942675</v>
      </c>
      <c r="U153" s="95" t="n">
        <f aca="false">U102+U96-U93+U103</f>
        <v>275883.572081098</v>
      </c>
      <c r="V153" s="95" t="n">
        <f aca="false">V102+V96-V93+V103</f>
        <v>300151.346987307</v>
      </c>
      <c r="W153" s="95" t="n">
        <f aca="false">W102+W96-W93+W103</f>
        <v>326067.817794967</v>
      </c>
    </row>
    <row r="154" customFormat="false" ht="15" hidden="false" customHeight="false" outlineLevel="0" collapsed="false">
      <c r="A154" s="11" t="s">
        <v>482</v>
      </c>
      <c r="B154" s="76" t="n">
        <f aca="false">C154+NPV(Hurdle,D154:W154)</f>
        <v>3504620.16232003</v>
      </c>
      <c r="C154" s="93" t="n">
        <f aca="false">C66</f>
        <v>0</v>
      </c>
      <c r="D154" s="93" t="n">
        <f aca="false">D66</f>
        <v>211139.712</v>
      </c>
      <c r="E154" s="93" t="n">
        <f aca="false">E66</f>
        <v>308088.02976</v>
      </c>
      <c r="F154" s="93" t="n">
        <f aca="false">F66</f>
        <v>373330.200768</v>
      </c>
      <c r="G154" s="93" t="n">
        <f aca="false">G66</f>
        <v>384530.10679104</v>
      </c>
      <c r="H154" s="93" t="n">
        <f aca="false">H66</f>
        <v>396066.009994771</v>
      </c>
      <c r="I154" s="93" t="n">
        <f aca="false">I66</f>
        <v>407947.990294614</v>
      </c>
      <c r="J154" s="93" t="n">
        <f aca="false">J66</f>
        <v>420186.430003453</v>
      </c>
      <c r="K154" s="93" t="n">
        <f aca="false">K66</f>
        <v>432792.022903556</v>
      </c>
      <c r="L154" s="93" t="n">
        <f aca="false">L66</f>
        <v>445775.783590663</v>
      </c>
      <c r="M154" s="93" t="n">
        <f aca="false">M66</f>
        <v>459149.057098383</v>
      </c>
      <c r="N154" s="93" t="n">
        <f aca="false">N66</f>
        <v>472923.528811335</v>
      </c>
      <c r="O154" s="93" t="n">
        <f aca="false">O66</f>
        <v>487111.234675675</v>
      </c>
      <c r="P154" s="93" t="n">
        <f aca="false">P66</f>
        <v>501724.571715945</v>
      </c>
      <c r="Q154" s="93" t="n">
        <f aca="false">Q66</f>
        <v>516776.308867423</v>
      </c>
      <c r="R154" s="93" t="n">
        <f aca="false">R66</f>
        <v>532279.598133446</v>
      </c>
      <c r="S154" s="93" t="n">
        <f aca="false">S66</f>
        <v>548247.986077449</v>
      </c>
      <c r="T154" s="93" t="n">
        <f aca="false">T66</f>
        <v>564695.425659773</v>
      </c>
      <c r="U154" s="93" t="n">
        <f aca="false">U66</f>
        <v>581636.288429566</v>
      </c>
      <c r="V154" s="93" t="n">
        <f aca="false">V66</f>
        <v>599085.377082453</v>
      </c>
      <c r="W154" s="93" t="n">
        <f aca="false">W66</f>
        <v>617057.938394927</v>
      </c>
    </row>
    <row r="155" customFormat="false" ht="15" hidden="false" customHeight="false" outlineLevel="0" collapsed="false">
      <c r="A155" s="11" t="s">
        <v>483</v>
      </c>
      <c r="B155" s="66" t="n">
        <f aca="false">C155+NPV(Hurdle,D155:W155)</f>
        <v>1555687.86731988</v>
      </c>
      <c r="C155" s="95" t="n">
        <f aca="false">C83</f>
        <v>0</v>
      </c>
      <c r="D155" s="95" t="n">
        <f aca="false">D83</f>
        <v>73617.387264</v>
      </c>
      <c r="E155" s="95" t="n">
        <f aca="false">E83</f>
        <v>110642.638710202</v>
      </c>
      <c r="F155" s="95" t="n">
        <f aca="false">F83</f>
        <v>138095.029891356</v>
      </c>
      <c r="G155" s="95" t="n">
        <f aca="false">G83</f>
        <v>146505.01721174</v>
      </c>
      <c r="H155" s="95" t="n">
        <f aca="false">H83</f>
        <v>155427.172759935</v>
      </c>
      <c r="I155" s="95" t="n">
        <f aca="false">I83</f>
        <v>164892.687581015</v>
      </c>
      <c r="J155" s="95" t="n">
        <f aca="false">J83</f>
        <v>174934.652254699</v>
      </c>
      <c r="K155" s="95" t="n">
        <f aca="false">K83</f>
        <v>185588.17257701</v>
      </c>
      <c r="L155" s="95" t="n">
        <f aca="false">L83</f>
        <v>196890.49228695</v>
      </c>
      <c r="M155" s="95" t="n">
        <f aca="false">M83</f>
        <v>208881.123267225</v>
      </c>
      <c r="N155" s="95" t="n">
        <f aca="false">N83</f>
        <v>221601.983674199</v>
      </c>
      <c r="O155" s="95" t="n">
        <f aca="false">O83</f>
        <v>235097.544479958</v>
      </c>
      <c r="P155" s="95" t="n">
        <f aca="false">P83</f>
        <v>249414.984938787</v>
      </c>
      <c r="Q155" s="95" t="n">
        <f aca="false">Q83</f>
        <v>264604.357521559</v>
      </c>
      <c r="R155" s="95" t="n">
        <f aca="false">R83</f>
        <v>280718.762894623</v>
      </c>
      <c r="S155" s="95" t="n">
        <f aca="false">S83</f>
        <v>297814.535554905</v>
      </c>
      <c r="T155" s="95" t="n">
        <f aca="false">T83</f>
        <v>315951.440770199</v>
      </c>
      <c r="U155" s="95" t="n">
        <f aca="false">U83</f>
        <v>335192.883513104</v>
      </c>
      <c r="V155" s="95" t="n">
        <f aca="false">V83</f>
        <v>355606.130119052</v>
      </c>
      <c r="W155" s="95"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9" topLeftCell="C40" activePane="bottomRight" state="frozen"/>
      <selection pane="topLeft" activeCell="A1" activeCellId="0" sqref="A1"/>
      <selection pane="topRight" activeCell="C1" activeCellId="0" sqref="C1"/>
      <selection pane="bottomLeft" activeCell="A40" activeCellId="0" sqref="A40"/>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5"/>
    <col collapsed="false" customWidth="true" hidden="false" outlineLevel="0" max="23" min="3" style="0" width="11"/>
  </cols>
  <sheetData>
    <row r="1" customFormat="false" ht="19.7" hidden="false" customHeight="false" outlineLevel="0" collapsed="false">
      <c r="A1" s="7" t="s">
        <v>392</v>
      </c>
    </row>
    <row r="2" customFormat="false" ht="15" hidden="false" customHeight="false" outlineLevel="0" collapsed="false">
      <c r="A2" s="8" t="s">
        <v>393</v>
      </c>
    </row>
    <row r="4" customFormat="false" ht="15" hidden="false" customHeight="false" outlineLevel="0" collapsed="false">
      <c r="A4" s="9" t="s">
        <v>394</v>
      </c>
      <c r="B4" s="10"/>
    </row>
    <row r="5" customFormat="false" ht="15" hidden="false" customHeight="false" outlineLevel="0" collapsed="false">
      <c r="A5" s="11" t="s">
        <v>67</v>
      </c>
      <c r="B5" s="67" t="n">
        <v>1</v>
      </c>
    </row>
    <row r="6" customFormat="false" ht="15" hidden="false" customHeight="false" outlineLevel="0" collapsed="false">
      <c r="A6" s="11" t="s">
        <v>333</v>
      </c>
      <c r="B6" s="67" t="n">
        <v>1</v>
      </c>
    </row>
    <row r="7" customFormat="false" ht="15" hidden="false" customHeight="false" outlineLevel="0" collapsed="false">
      <c r="A7" s="11" t="s">
        <v>69</v>
      </c>
      <c r="B7" s="67" t="n">
        <v>1</v>
      </c>
    </row>
    <row r="8" customFormat="false" ht="15" hidden="false" customHeight="false" outlineLevel="0" collapsed="false">
      <c r="A8" s="11" t="s">
        <v>70</v>
      </c>
      <c r="B8" s="67" t="n">
        <v>1</v>
      </c>
    </row>
    <row r="9" customFormat="false" ht="15" hidden="false" customHeight="false" outlineLevel="0" collapsed="false">
      <c r="A9" s="11" t="s">
        <v>395</v>
      </c>
      <c r="B9" s="67" t="n">
        <v>1</v>
      </c>
    </row>
    <row r="10" customFormat="false" ht="15" hidden="false" customHeight="false" outlineLevel="0" collapsed="false">
      <c r="A10" s="11" t="s">
        <v>72</v>
      </c>
      <c r="B10" s="67" t="n">
        <v>1</v>
      </c>
    </row>
    <row r="11" customFormat="false" ht="15" hidden="false" customHeight="false" outlineLevel="0" collapsed="false">
      <c r="A11" s="11" t="s">
        <v>334</v>
      </c>
      <c r="B11" s="67" t="n">
        <f aca="false">1+SensDelta</f>
        <v>1.2</v>
      </c>
    </row>
    <row r="13" customFormat="false" ht="15" hidden="false" customHeight="false" outlineLevel="0" collapsed="false">
      <c r="A13" s="9" t="s">
        <v>396</v>
      </c>
      <c r="B13" s="10"/>
    </row>
    <row r="14" customFormat="false" ht="15" hidden="false" customHeight="false" outlineLevel="0" collapsed="false">
      <c r="A14" s="11" t="s">
        <v>397</v>
      </c>
      <c r="B14" s="66" t="n">
        <f aca="false">TotalCapexBase*LevCapex*$B$7</f>
        <v>1162734.14692871</v>
      </c>
    </row>
    <row r="15" customFormat="false" ht="15" hidden="false" customHeight="false" outlineLevel="0" collapsed="false">
      <c r="A15" s="11" t="s">
        <v>398</v>
      </c>
      <c r="B15" s="66" t="n">
        <f aca="false">HardCapexBase*LevCapex*$B$7</f>
        <v>1011073.17124235</v>
      </c>
    </row>
    <row r="16" customFormat="false" ht="15" hidden="false" customHeight="false" outlineLevel="0" collapsed="false">
      <c r="A16" s="11" t="s">
        <v>252</v>
      </c>
      <c r="B16" s="66" t="n">
        <f aca="false">MAX(0,S_Rate_Hi!$B$14-Grant)*SenPct</f>
        <v>112546.829385741</v>
      </c>
    </row>
    <row r="17" customFormat="false" ht="15" hidden="false" customHeight="false" outlineLevel="0" collapsed="false">
      <c r="A17" s="11" t="s">
        <v>254</v>
      </c>
      <c r="B17" s="66" t="n">
        <f aca="false">MAX(0,S_Rate_Hi!$B$14-Grant)*ConPct</f>
        <v>112546.829385741</v>
      </c>
    </row>
    <row r="18" customFormat="false" ht="15" hidden="false" customHeight="false" outlineLevel="0" collapsed="false">
      <c r="A18" s="11" t="s">
        <v>399</v>
      </c>
      <c r="B18" s="66" t="n">
        <f aca="false">MAX(0,S_Rate_Hi!$B$14-Grant-S_Rate_Hi!$B$16-S_Rate_Hi!$B$17)</f>
        <v>337640.488157224</v>
      </c>
    </row>
    <row r="19" customFormat="false" ht="15" hidden="false" customHeight="false" outlineLevel="0" collapsed="false">
      <c r="A19" s="11" t="s">
        <v>400</v>
      </c>
      <c r="B19" s="66" t="n">
        <f aca="false">C128</f>
        <v>8778.65269208784</v>
      </c>
    </row>
    <row r="20" customFormat="false" ht="15" hidden="false" customHeight="false" outlineLevel="0" collapsed="false">
      <c r="A20" s="11" t="s">
        <v>401</v>
      </c>
      <c r="B20" s="66" t="n">
        <f aca="false">$B$145</f>
        <v>-804952.496026467</v>
      </c>
    </row>
    <row r="21" customFormat="false" ht="15" hidden="false" customHeight="false" outlineLevel="0" collapsed="false">
      <c r="A21" s="11" t="s">
        <v>402</v>
      </c>
      <c r="B21" s="66" t="n">
        <f aca="false">$B$146</f>
        <v>12967.8646046378</v>
      </c>
    </row>
    <row r="22" customFormat="false" ht="15" hidden="false" customHeight="false" outlineLevel="0" collapsed="false">
      <c r="A22" s="11" t="s">
        <v>403</v>
      </c>
      <c r="B22" s="68" t="n">
        <f aca="false">IFERROR(IRR($C$145:$W$145),"n/a")</f>
        <v>-0.036858791966502</v>
      </c>
    </row>
    <row r="23" customFormat="false" ht="15" hidden="false" customHeight="false" outlineLevel="0" collapsed="false">
      <c r="A23" s="11" t="s">
        <v>404</v>
      </c>
      <c r="B23" s="68" t="n">
        <f aca="false">IFERROR(IRR($C$146:$W$146),"n/a")</f>
        <v>0.104999799483308</v>
      </c>
    </row>
    <row r="24" customFormat="false" ht="15" hidden="false" customHeight="false" outlineLevel="0" collapsed="false">
      <c r="A24" s="11" t="s">
        <v>390</v>
      </c>
      <c r="B24" s="66" t="n">
        <f aca="false">MAX(0,-$B$145)</f>
        <v>804952.496026467</v>
      </c>
    </row>
    <row r="25" customFormat="false" ht="15" hidden="false" customHeight="false" outlineLevel="0" collapsed="false">
      <c r="A25" s="11" t="s">
        <v>262</v>
      </c>
      <c r="B25" s="68" t="n">
        <f aca="false">IFERROR(IRR($C$149:$W$149),"n/a")</f>
        <v>0.0920199442116727</v>
      </c>
    </row>
    <row r="26" customFormat="false" ht="15" hidden="false" customHeight="false" outlineLevel="0" collapsed="false">
      <c r="A26" s="11" t="s">
        <v>264</v>
      </c>
      <c r="B26" s="66" t="n">
        <f aca="false">C149+NPV(TargetEqIRR,D149:W149)</f>
        <v>-81379.7632743199</v>
      </c>
    </row>
    <row r="27" customFormat="false" ht="15" hidden="false" customHeight="false" outlineLevel="0" collapsed="false">
      <c r="A27" s="11" t="s">
        <v>258</v>
      </c>
      <c r="B27" s="67" t="n">
        <f aca="false">IF((S_Rate_Hi!$B$16+S_Rate_Hi!$B$17)&gt;0,MIN($D$148:$W$148),"no debt")</f>
        <v>1.26619542614103</v>
      </c>
    </row>
    <row r="28" customFormat="false" ht="15" hidden="false" customHeight="false" outlineLevel="0" collapsed="false">
      <c r="A28" s="11" t="s">
        <v>260</v>
      </c>
      <c r="B28" s="67" t="n">
        <f aca="false">IF((S_Rate_Hi!$B$16+S_Rate_Hi!$B$17)&gt;0,AVERAGE($D$148:$W$148),"no debt")</f>
        <v>2.66767835236338</v>
      </c>
    </row>
    <row r="29" customFormat="false" ht="15" hidden="false" customHeight="false" outlineLevel="0" collapsed="false">
      <c r="A29" s="11" t="s">
        <v>405</v>
      </c>
      <c r="B29" s="87" t="n">
        <f aca="false">IFERROR($B$153/$B$154,0)</f>
        <v>0.662907446653331</v>
      </c>
    </row>
    <row r="30" customFormat="false" ht="15" hidden="false" customHeight="false" outlineLevel="0" collapsed="false">
      <c r="A30" s="11" t="s">
        <v>261</v>
      </c>
      <c r="B30" s="87" t="n">
        <f aca="false">IFERROR($B$155/$B$154,0)</f>
        <v>0.44389628412399</v>
      </c>
    </row>
    <row r="31" customFormat="false" ht="15" hidden="false" customHeight="false" outlineLevel="0" collapsed="false">
      <c r="A31" s="11" t="s">
        <v>406</v>
      </c>
      <c r="B31" s="77" t="n">
        <f aca="false">NPV(Hurdle,D109:W109)</f>
        <v>838.820435762584</v>
      </c>
    </row>
    <row r="32" customFormat="false" ht="15" hidden="false" customHeight="false" outlineLevel="0" collapsed="false">
      <c r="A32" s="11" t="s">
        <v>407</v>
      </c>
      <c r="B32" s="66" t="n">
        <f aca="false">NPV(Hurdle,D108:W108)</f>
        <v>217920.360631104</v>
      </c>
    </row>
    <row r="33" customFormat="false" ht="15" hidden="false" customHeight="false" outlineLevel="0" collapsed="false">
      <c r="A33" s="11" t="s">
        <v>408</v>
      </c>
      <c r="B33" s="77" t="n">
        <f aca="false">NPV(TargetEqIRR,D109:W109)</f>
        <v>785.120407660064</v>
      </c>
    </row>
    <row r="34" customFormat="false" ht="15" hidden="false" customHeight="false" outlineLevel="0" collapsed="false">
      <c r="A34" s="11" t="s">
        <v>409</v>
      </c>
      <c r="B34" s="66" t="n">
        <f aca="false">NPV(TargetEqIRR,D108:W108)</f>
        <v>203969.425495192</v>
      </c>
    </row>
    <row r="35" customFormat="false" ht="15" hidden="false" customHeight="false" outlineLevel="0" collapsed="false">
      <c r="A35" s="11" t="s">
        <v>410</v>
      </c>
      <c r="B35" s="66" t="n">
        <f aca="false">MAX(0,MIN($D$127:$W$127))</f>
        <v>107863.280999222</v>
      </c>
    </row>
    <row r="36" customFormat="false" ht="15" hidden="false" customHeight="false" outlineLevel="0" collapsed="false">
      <c r="A36" s="11" t="s">
        <v>266</v>
      </c>
      <c r="B36" s="88" t="n">
        <f aca="false">IFERROR(MATCH(TRUE(),INDEX($C$150:$W$150&gt;=0,0),0)-1,"&gt; life")</f>
        <v>11</v>
      </c>
    </row>
    <row r="39" customFormat="false" ht="15" hidden="false" customHeight="false" outlineLevel="0" collapsed="false">
      <c r="A39" s="16" t="s">
        <v>411</v>
      </c>
      <c r="B39" s="74" t="s">
        <v>412</v>
      </c>
      <c r="C39" s="89" t="n">
        <v>0</v>
      </c>
      <c r="D39" s="89" t="n">
        <v>1</v>
      </c>
      <c r="E39" s="89" t="n">
        <v>2</v>
      </c>
      <c r="F39" s="89" t="n">
        <v>3</v>
      </c>
      <c r="G39" s="89" t="n">
        <v>4</v>
      </c>
      <c r="H39" s="89" t="n">
        <v>5</v>
      </c>
      <c r="I39" s="89" t="n">
        <v>6</v>
      </c>
      <c r="J39" s="89" t="n">
        <v>7</v>
      </c>
      <c r="K39" s="89" t="n">
        <v>8</v>
      </c>
      <c r="L39" s="89" t="n">
        <v>9</v>
      </c>
      <c r="M39" s="89" t="n">
        <v>10</v>
      </c>
      <c r="N39" s="89" t="n">
        <v>11</v>
      </c>
      <c r="O39" s="89" t="n">
        <v>12</v>
      </c>
      <c r="P39" s="89" t="n">
        <v>13</v>
      </c>
      <c r="Q39" s="89" t="n">
        <v>14</v>
      </c>
      <c r="R39" s="89" t="n">
        <v>15</v>
      </c>
      <c r="S39" s="89" t="n">
        <v>16</v>
      </c>
      <c r="T39" s="89" t="n">
        <v>17</v>
      </c>
      <c r="U39" s="89" t="n">
        <v>18</v>
      </c>
      <c r="V39" s="89" t="n">
        <v>19</v>
      </c>
      <c r="W39" s="89" t="n">
        <v>20</v>
      </c>
    </row>
    <row r="40" customFormat="false" ht="15" hidden="false" customHeight="false" outlineLevel="0" collapsed="false">
      <c r="A40" s="11" t="s">
        <v>413</v>
      </c>
      <c r="C40" s="90" t="n">
        <f aca="false">StartYear-1+C39</f>
        <v>2026</v>
      </c>
      <c r="D40" s="90" t="n">
        <f aca="false">StartYear-1+D39</f>
        <v>2027</v>
      </c>
      <c r="E40" s="90" t="n">
        <f aca="false">StartYear-1+E39</f>
        <v>2028</v>
      </c>
      <c r="F40" s="90" t="n">
        <f aca="false">StartYear-1+F39</f>
        <v>2029</v>
      </c>
      <c r="G40" s="90" t="n">
        <f aca="false">StartYear-1+G39</f>
        <v>2030</v>
      </c>
      <c r="H40" s="90" t="n">
        <f aca="false">StartYear-1+H39</f>
        <v>2031</v>
      </c>
      <c r="I40" s="90" t="n">
        <f aca="false">StartYear-1+I39</f>
        <v>2032</v>
      </c>
      <c r="J40" s="90" t="n">
        <f aca="false">StartYear-1+J39</f>
        <v>2033</v>
      </c>
      <c r="K40" s="90" t="n">
        <f aca="false">StartYear-1+K39</f>
        <v>2034</v>
      </c>
      <c r="L40" s="90" t="n">
        <f aca="false">StartYear-1+L39</f>
        <v>2035</v>
      </c>
      <c r="M40" s="90" t="n">
        <f aca="false">StartYear-1+M39</f>
        <v>2036</v>
      </c>
      <c r="N40" s="90" t="n">
        <f aca="false">StartYear-1+N39</f>
        <v>2037</v>
      </c>
      <c r="O40" s="90" t="n">
        <f aca="false">StartYear-1+O39</f>
        <v>2038</v>
      </c>
      <c r="P40" s="90" t="n">
        <f aca="false">StartYear-1+P39</f>
        <v>2039</v>
      </c>
      <c r="Q40" s="90" t="n">
        <f aca="false">StartYear-1+Q39</f>
        <v>2040</v>
      </c>
      <c r="R40" s="90" t="n">
        <f aca="false">StartYear-1+R39</f>
        <v>2041</v>
      </c>
      <c r="S40" s="90" t="n">
        <f aca="false">StartYear-1+S39</f>
        <v>2042</v>
      </c>
      <c r="T40" s="90" t="n">
        <f aca="false">StartYear-1+T39</f>
        <v>2043</v>
      </c>
      <c r="U40" s="90" t="n">
        <f aca="false">StartYear-1+U39</f>
        <v>2044</v>
      </c>
      <c r="V40" s="90" t="n">
        <f aca="false">StartYear-1+V39</f>
        <v>2045</v>
      </c>
      <c r="W40" s="90" t="n">
        <f aca="false">StartYear-1+W39</f>
        <v>2046</v>
      </c>
    </row>
    <row r="41" customFormat="false" ht="15" hidden="false" customHeight="false" outlineLevel="0" collapsed="false">
      <c r="A41" s="11" t="s">
        <v>414</v>
      </c>
      <c r="C41" s="90" t="n">
        <f aca="false">IF(AND(C39&gt;=1,C39&lt;=Life),1,0)</f>
        <v>0</v>
      </c>
      <c r="D41" s="90" t="n">
        <f aca="false">IF(AND(D39&gt;=1,D39&lt;=Life),1,0)</f>
        <v>1</v>
      </c>
      <c r="E41" s="90" t="n">
        <f aca="false">IF(AND(E39&gt;=1,E39&lt;=Life),1,0)</f>
        <v>1</v>
      </c>
      <c r="F41" s="90" t="n">
        <f aca="false">IF(AND(F39&gt;=1,F39&lt;=Life),1,0)</f>
        <v>1</v>
      </c>
      <c r="G41" s="90" t="n">
        <f aca="false">IF(AND(G39&gt;=1,G39&lt;=Life),1,0)</f>
        <v>1</v>
      </c>
      <c r="H41" s="90" t="n">
        <f aca="false">IF(AND(H39&gt;=1,H39&lt;=Life),1,0)</f>
        <v>1</v>
      </c>
      <c r="I41" s="90" t="n">
        <f aca="false">IF(AND(I39&gt;=1,I39&lt;=Life),1,0)</f>
        <v>1</v>
      </c>
      <c r="J41" s="90" t="n">
        <f aca="false">IF(AND(J39&gt;=1,J39&lt;=Life),1,0)</f>
        <v>1</v>
      </c>
      <c r="K41" s="90" t="n">
        <f aca="false">IF(AND(K39&gt;=1,K39&lt;=Life),1,0)</f>
        <v>1</v>
      </c>
      <c r="L41" s="90" t="n">
        <f aca="false">IF(AND(L39&gt;=1,L39&lt;=Life),1,0)</f>
        <v>1</v>
      </c>
      <c r="M41" s="90" t="n">
        <f aca="false">IF(AND(M39&gt;=1,M39&lt;=Life),1,0)</f>
        <v>1</v>
      </c>
      <c r="N41" s="90" t="n">
        <f aca="false">IF(AND(N39&gt;=1,N39&lt;=Life),1,0)</f>
        <v>1</v>
      </c>
      <c r="O41" s="90" t="n">
        <f aca="false">IF(AND(O39&gt;=1,O39&lt;=Life),1,0)</f>
        <v>1</v>
      </c>
      <c r="P41" s="90" t="n">
        <f aca="false">IF(AND(P39&gt;=1,P39&lt;=Life),1,0)</f>
        <v>1</v>
      </c>
      <c r="Q41" s="90" t="n">
        <f aca="false">IF(AND(Q39&gt;=1,Q39&lt;=Life),1,0)</f>
        <v>1</v>
      </c>
      <c r="R41" s="90" t="n">
        <f aca="false">IF(AND(R39&gt;=1,R39&lt;=Life),1,0)</f>
        <v>1</v>
      </c>
      <c r="S41" s="90" t="n">
        <f aca="false">IF(AND(S39&gt;=1,S39&lt;=Life),1,0)</f>
        <v>1</v>
      </c>
      <c r="T41" s="90" t="n">
        <f aca="false">IF(AND(T39&gt;=1,T39&lt;=Life),1,0)</f>
        <v>1</v>
      </c>
      <c r="U41" s="90" t="n">
        <f aca="false">IF(AND(U39&gt;=1,U39&lt;=Life),1,0)</f>
        <v>1</v>
      </c>
      <c r="V41" s="90" t="n">
        <f aca="false">IF(AND(V39&gt;=1,V39&lt;=Life),1,0)</f>
        <v>1</v>
      </c>
      <c r="W41" s="90" t="n">
        <f aca="false">IF(AND(W39&gt;=1,W39&lt;=Life),1,0)</f>
        <v>1</v>
      </c>
    </row>
    <row r="42" customFormat="false" ht="15" hidden="false" customHeight="false" outlineLevel="0" collapsed="false">
      <c r="A42" s="11" t="s">
        <v>415</v>
      </c>
      <c r="C42" s="91" t="n">
        <v>0</v>
      </c>
      <c r="D42" s="91" t="n">
        <f aca="false">IF(D39=1,Ramp1,IF(D39=2,Ramp2,Ramp3))*D41</f>
        <v>0.6</v>
      </c>
      <c r="E42" s="91" t="n">
        <f aca="false">IF(E39=1,Ramp1,IF(E39=2,Ramp2,Ramp3))*E41</f>
        <v>0.85</v>
      </c>
      <c r="F42" s="91" t="n">
        <f aca="false">IF(F39=1,Ramp1,IF(F39=2,Ramp2,Ramp3))*F41</f>
        <v>1</v>
      </c>
      <c r="G42" s="91" t="n">
        <f aca="false">IF(G39=1,Ramp1,IF(G39=2,Ramp2,Ramp3))*G41</f>
        <v>1</v>
      </c>
      <c r="H42" s="91" t="n">
        <f aca="false">IF(H39=1,Ramp1,IF(H39=2,Ramp2,Ramp3))*H41</f>
        <v>1</v>
      </c>
      <c r="I42" s="91" t="n">
        <f aca="false">IF(I39=1,Ramp1,IF(I39=2,Ramp2,Ramp3))*I41</f>
        <v>1</v>
      </c>
      <c r="J42" s="91" t="n">
        <f aca="false">IF(J39=1,Ramp1,IF(J39=2,Ramp2,Ramp3))*J41</f>
        <v>1</v>
      </c>
      <c r="K42" s="91" t="n">
        <f aca="false">IF(K39=1,Ramp1,IF(K39=2,Ramp2,Ramp3))*K41</f>
        <v>1</v>
      </c>
      <c r="L42" s="91" t="n">
        <f aca="false">IF(L39=1,Ramp1,IF(L39=2,Ramp2,Ramp3))*L41</f>
        <v>1</v>
      </c>
      <c r="M42" s="91" t="n">
        <f aca="false">IF(M39=1,Ramp1,IF(M39=2,Ramp2,Ramp3))*M41</f>
        <v>1</v>
      </c>
      <c r="N42" s="91" t="n">
        <f aca="false">IF(N39=1,Ramp1,IF(N39=2,Ramp2,Ramp3))*N41</f>
        <v>1</v>
      </c>
      <c r="O42" s="91" t="n">
        <f aca="false">IF(O39=1,Ramp1,IF(O39=2,Ramp2,Ramp3))*O41</f>
        <v>1</v>
      </c>
      <c r="P42" s="91" t="n">
        <f aca="false">IF(P39=1,Ramp1,IF(P39=2,Ramp2,Ramp3))*P41</f>
        <v>1</v>
      </c>
      <c r="Q42" s="91" t="n">
        <f aca="false">IF(Q39=1,Ramp1,IF(Q39=2,Ramp2,Ramp3))*Q41</f>
        <v>1</v>
      </c>
      <c r="R42" s="91" t="n">
        <f aca="false">IF(R39=1,Ramp1,IF(R39=2,Ramp2,Ramp3))*R41</f>
        <v>1</v>
      </c>
      <c r="S42" s="91" t="n">
        <f aca="false">IF(S39=1,Ramp1,IF(S39=2,Ramp2,Ramp3))*S41</f>
        <v>1</v>
      </c>
      <c r="T42" s="91" t="n">
        <f aca="false">IF(T39=1,Ramp1,IF(T39=2,Ramp2,Ramp3))*T41</f>
        <v>1</v>
      </c>
      <c r="U42" s="91" t="n">
        <f aca="false">IF(U39=1,Ramp1,IF(U39=2,Ramp2,Ramp3))*U41</f>
        <v>1</v>
      </c>
      <c r="V42" s="91" t="n">
        <f aca="false">IF(V39=1,Ramp1,IF(V39=2,Ramp2,Ramp3))*V41</f>
        <v>1</v>
      </c>
      <c r="W42" s="91" t="n">
        <f aca="false">IF(W39=1,Ramp1,IF(W39=2,Ramp2,Ramp3))*W41</f>
        <v>1</v>
      </c>
    </row>
    <row r="43" customFormat="false" ht="15" hidden="false" customHeight="false" outlineLevel="0" collapsed="false">
      <c r="A43" s="11" t="s">
        <v>416</v>
      </c>
      <c r="C43" s="92" t="n">
        <v>0</v>
      </c>
      <c r="D43" s="92" t="n">
        <f aca="false">(1+TariffEsc)^(D39-1)</f>
        <v>1</v>
      </c>
      <c r="E43" s="92" t="n">
        <f aca="false">(1+TariffEsc)^(E39-1)</f>
        <v>1.03</v>
      </c>
      <c r="F43" s="92" t="n">
        <f aca="false">(1+TariffEsc)^(F39-1)</f>
        <v>1.0609</v>
      </c>
      <c r="G43" s="92" t="n">
        <f aca="false">(1+TariffEsc)^(G39-1)</f>
        <v>1.092727</v>
      </c>
      <c r="H43" s="92" t="n">
        <f aca="false">(1+TariffEsc)^(H39-1)</f>
        <v>1.12550881</v>
      </c>
      <c r="I43" s="92" t="n">
        <f aca="false">(1+TariffEsc)^(I39-1)</f>
        <v>1.1592740743</v>
      </c>
      <c r="J43" s="92" t="n">
        <f aca="false">(1+TariffEsc)^(J39-1)</f>
        <v>1.194052296529</v>
      </c>
      <c r="K43" s="92" t="n">
        <f aca="false">(1+TariffEsc)^(K39-1)</f>
        <v>1.22987386542487</v>
      </c>
      <c r="L43" s="92" t="n">
        <f aca="false">(1+TariffEsc)^(L39-1)</f>
        <v>1.26677008138762</v>
      </c>
      <c r="M43" s="92" t="n">
        <f aca="false">(1+TariffEsc)^(M39-1)</f>
        <v>1.30477318382925</v>
      </c>
      <c r="N43" s="92" t="n">
        <f aca="false">(1+TariffEsc)^(N39-1)</f>
        <v>1.34391637934412</v>
      </c>
      <c r="O43" s="92" t="n">
        <f aca="false">(1+TariffEsc)^(O39-1)</f>
        <v>1.38423387072445</v>
      </c>
      <c r="P43" s="92" t="n">
        <f aca="false">(1+TariffEsc)^(P39-1)</f>
        <v>1.42576088684618</v>
      </c>
      <c r="Q43" s="92" t="n">
        <f aca="false">(1+TariffEsc)^(Q39-1)</f>
        <v>1.46853371345156</v>
      </c>
      <c r="R43" s="92" t="n">
        <f aca="false">(1+TariffEsc)^(R39-1)</f>
        <v>1.51258972485511</v>
      </c>
      <c r="S43" s="92" t="n">
        <f aca="false">(1+TariffEsc)^(S39-1)</f>
        <v>1.55796741660077</v>
      </c>
      <c r="T43" s="92" t="n">
        <f aca="false">(1+TariffEsc)^(T39-1)</f>
        <v>1.60470643909879</v>
      </c>
      <c r="U43" s="92" t="n">
        <f aca="false">(1+TariffEsc)^(U39-1)</f>
        <v>1.65284763227175</v>
      </c>
      <c r="V43" s="92" t="n">
        <f aca="false">(1+TariffEsc)^(V39-1)</f>
        <v>1.7024330612399</v>
      </c>
      <c r="W43" s="92" t="n">
        <f aca="false">(1+TariffEsc)^(W39-1)</f>
        <v>1.7535060530771</v>
      </c>
    </row>
    <row r="44" customFormat="false" ht="15" hidden="false" customHeight="false" outlineLevel="0" collapsed="false">
      <c r="A44" s="11" t="s">
        <v>417</v>
      </c>
      <c r="C44" s="92" t="n">
        <v>0</v>
      </c>
      <c r="D44" s="92" t="n">
        <f aca="false">(1+CostEsc)^(D39-1)</f>
        <v>1</v>
      </c>
      <c r="E44" s="92" t="n">
        <f aca="false">(1+CostEsc)^(E39-1)</f>
        <v>1.03</v>
      </c>
      <c r="F44" s="92" t="n">
        <f aca="false">(1+CostEsc)^(F39-1)</f>
        <v>1.0609</v>
      </c>
      <c r="G44" s="92" t="n">
        <f aca="false">(1+CostEsc)^(G39-1)</f>
        <v>1.092727</v>
      </c>
      <c r="H44" s="92" t="n">
        <f aca="false">(1+CostEsc)^(H39-1)</f>
        <v>1.12550881</v>
      </c>
      <c r="I44" s="92" t="n">
        <f aca="false">(1+CostEsc)^(I39-1)</f>
        <v>1.1592740743</v>
      </c>
      <c r="J44" s="92" t="n">
        <f aca="false">(1+CostEsc)^(J39-1)</f>
        <v>1.194052296529</v>
      </c>
      <c r="K44" s="92" t="n">
        <f aca="false">(1+CostEsc)^(K39-1)</f>
        <v>1.22987386542487</v>
      </c>
      <c r="L44" s="92" t="n">
        <f aca="false">(1+CostEsc)^(L39-1)</f>
        <v>1.26677008138762</v>
      </c>
      <c r="M44" s="92" t="n">
        <f aca="false">(1+CostEsc)^(M39-1)</f>
        <v>1.30477318382925</v>
      </c>
      <c r="N44" s="92" t="n">
        <f aca="false">(1+CostEsc)^(N39-1)</f>
        <v>1.34391637934412</v>
      </c>
      <c r="O44" s="92" t="n">
        <f aca="false">(1+CostEsc)^(O39-1)</f>
        <v>1.38423387072445</v>
      </c>
      <c r="P44" s="92" t="n">
        <f aca="false">(1+CostEsc)^(P39-1)</f>
        <v>1.42576088684618</v>
      </c>
      <c r="Q44" s="92" t="n">
        <f aca="false">(1+CostEsc)^(Q39-1)</f>
        <v>1.46853371345156</v>
      </c>
      <c r="R44" s="92" t="n">
        <f aca="false">(1+CostEsc)^(R39-1)</f>
        <v>1.51258972485511</v>
      </c>
      <c r="S44" s="92" t="n">
        <f aca="false">(1+CostEsc)^(S39-1)</f>
        <v>1.55796741660077</v>
      </c>
      <c r="T44" s="92" t="n">
        <f aca="false">(1+CostEsc)^(T39-1)</f>
        <v>1.60470643909879</v>
      </c>
      <c r="U44" s="92" t="n">
        <f aca="false">(1+CostEsc)^(U39-1)</f>
        <v>1.65284763227175</v>
      </c>
      <c r="V44" s="92" t="n">
        <f aca="false">(1+CostEsc)^(V39-1)</f>
        <v>1.7024330612399</v>
      </c>
      <c r="W44" s="92" t="n">
        <f aca="false">(1+CostEsc)^(W39-1)</f>
        <v>1.7535060530771</v>
      </c>
    </row>
    <row r="45" customFormat="false" ht="15" hidden="false" customHeight="false" outlineLevel="0" collapsed="false">
      <c r="A45" s="11" t="s">
        <v>418</v>
      </c>
      <c r="C45" s="92" t="n">
        <v>0</v>
      </c>
      <c r="D45" s="92" t="n">
        <f aca="false">(1+DemandGrowth)^(D39-1)*LevDemand*$B$6</f>
        <v>1</v>
      </c>
      <c r="E45" s="92" t="n">
        <f aca="false">(1+DemandGrowth)^(E39-1)*LevDemand*$B$6</f>
        <v>1.03</v>
      </c>
      <c r="F45" s="92" t="n">
        <f aca="false">(1+DemandGrowth)^(F39-1)*LevDemand*$B$6</f>
        <v>1.0609</v>
      </c>
      <c r="G45" s="92" t="n">
        <f aca="false">(1+DemandGrowth)^(G39-1)*LevDemand*$B$6</f>
        <v>1.092727</v>
      </c>
      <c r="H45" s="92" t="n">
        <f aca="false">(1+DemandGrowth)^(H39-1)*LevDemand*$B$6</f>
        <v>1.12550881</v>
      </c>
      <c r="I45" s="92" t="n">
        <f aca="false">(1+DemandGrowth)^(I39-1)*LevDemand*$B$6</f>
        <v>1.1592740743</v>
      </c>
      <c r="J45" s="92" t="n">
        <f aca="false">(1+DemandGrowth)^(J39-1)*LevDemand*$B$6</f>
        <v>1.194052296529</v>
      </c>
      <c r="K45" s="92" t="n">
        <f aca="false">(1+DemandGrowth)^(K39-1)*LevDemand*$B$6</f>
        <v>1.22987386542487</v>
      </c>
      <c r="L45" s="92" t="n">
        <f aca="false">(1+DemandGrowth)^(L39-1)*LevDemand*$B$6</f>
        <v>1.26677008138762</v>
      </c>
      <c r="M45" s="92" t="n">
        <f aca="false">(1+DemandGrowth)^(M39-1)*LevDemand*$B$6</f>
        <v>1.30477318382925</v>
      </c>
      <c r="N45" s="92" t="n">
        <f aca="false">(1+DemandGrowth)^(N39-1)*LevDemand*$B$6</f>
        <v>1.34391637934412</v>
      </c>
      <c r="O45" s="92" t="n">
        <f aca="false">(1+DemandGrowth)^(O39-1)*LevDemand*$B$6</f>
        <v>1.38423387072445</v>
      </c>
      <c r="P45" s="92" t="n">
        <f aca="false">(1+DemandGrowth)^(P39-1)*LevDemand*$B$6</f>
        <v>1.42576088684618</v>
      </c>
      <c r="Q45" s="92" t="n">
        <f aca="false">(1+DemandGrowth)^(Q39-1)*LevDemand*$B$6</f>
        <v>1.46853371345156</v>
      </c>
      <c r="R45" s="92" t="n">
        <f aca="false">(1+DemandGrowth)^(R39-1)*LevDemand*$B$6</f>
        <v>1.51258972485511</v>
      </c>
      <c r="S45" s="92" t="n">
        <f aca="false">(1+DemandGrowth)^(S39-1)*LevDemand*$B$6</f>
        <v>1.55796741660077</v>
      </c>
      <c r="T45" s="92" t="n">
        <f aca="false">(1+DemandGrowth)^(T39-1)*LevDemand*$B$6</f>
        <v>1.60470643909879</v>
      </c>
      <c r="U45" s="92" t="n">
        <f aca="false">(1+DemandGrowth)^(U39-1)*LevDemand*$B$6</f>
        <v>1.65284763227175</v>
      </c>
      <c r="V45" s="92" t="n">
        <f aca="false">(1+DemandGrowth)^(V39-1)*LevDemand*$B$6</f>
        <v>1.7024330612399</v>
      </c>
      <c r="W45" s="92" t="n">
        <f aca="false">(1+DemandGrowth)^(W39-1)*LevDemand*$B$6</f>
        <v>1.7535060530771</v>
      </c>
    </row>
    <row r="47" customFormat="false" ht="15" hidden="false" customHeight="false" outlineLevel="0" collapsed="false">
      <c r="A47" s="9" t="s">
        <v>419</v>
      </c>
      <c r="B47" s="10"/>
      <c r="C47" s="10"/>
      <c r="D47" s="10"/>
      <c r="E47" s="10"/>
      <c r="F47" s="10"/>
      <c r="G47" s="10"/>
      <c r="H47" s="10"/>
      <c r="I47" s="10"/>
      <c r="J47" s="10"/>
      <c r="K47" s="10"/>
      <c r="L47" s="10"/>
      <c r="M47" s="10"/>
      <c r="N47" s="10"/>
      <c r="O47" s="10"/>
      <c r="P47" s="10"/>
      <c r="Q47" s="10"/>
      <c r="R47" s="10"/>
      <c r="S47" s="10"/>
      <c r="T47" s="10"/>
      <c r="U47" s="10"/>
      <c r="V47" s="10"/>
      <c r="W47" s="10"/>
    </row>
    <row r="48" customFormat="false" ht="15" hidden="false" customHeight="false" outlineLevel="0" collapsed="false">
      <c r="A48" s="11" t="str">
        <f aca="false">"Connections - "&amp;Seg1_Name</f>
        <v>Connections - Households</v>
      </c>
      <c r="C48" s="93" t="n">
        <v>0</v>
      </c>
      <c r="D48" s="93" t="n">
        <f aca="false">Seg1_N*D42</f>
        <v>480</v>
      </c>
      <c r="E48" s="93" t="n">
        <f aca="false">Seg1_N*E42</f>
        <v>680</v>
      </c>
      <c r="F48" s="93" t="n">
        <f aca="false">Seg1_N*F42</f>
        <v>800</v>
      </c>
      <c r="G48" s="93" t="n">
        <f aca="false">Seg1_N*G42</f>
        <v>800</v>
      </c>
      <c r="H48" s="93" t="n">
        <f aca="false">Seg1_N*H42</f>
        <v>800</v>
      </c>
      <c r="I48" s="93" t="n">
        <f aca="false">Seg1_N*I42</f>
        <v>800</v>
      </c>
      <c r="J48" s="93" t="n">
        <f aca="false">Seg1_N*J42</f>
        <v>800</v>
      </c>
      <c r="K48" s="93" t="n">
        <f aca="false">Seg1_N*K42</f>
        <v>800</v>
      </c>
      <c r="L48" s="93" t="n">
        <f aca="false">Seg1_N*L42</f>
        <v>800</v>
      </c>
      <c r="M48" s="93" t="n">
        <f aca="false">Seg1_N*M42</f>
        <v>800</v>
      </c>
      <c r="N48" s="93" t="n">
        <f aca="false">Seg1_N*N42</f>
        <v>800</v>
      </c>
      <c r="O48" s="93" t="n">
        <f aca="false">Seg1_N*O42</f>
        <v>800</v>
      </c>
      <c r="P48" s="93" t="n">
        <f aca="false">Seg1_N*P42</f>
        <v>800</v>
      </c>
      <c r="Q48" s="93" t="n">
        <f aca="false">Seg1_N*Q42</f>
        <v>800</v>
      </c>
      <c r="R48" s="93" t="n">
        <f aca="false">Seg1_N*R42</f>
        <v>800</v>
      </c>
      <c r="S48" s="93" t="n">
        <f aca="false">Seg1_N*S42</f>
        <v>800</v>
      </c>
      <c r="T48" s="93" t="n">
        <f aca="false">Seg1_N*T42</f>
        <v>800</v>
      </c>
      <c r="U48" s="93" t="n">
        <f aca="false">Seg1_N*U42</f>
        <v>800</v>
      </c>
      <c r="V48" s="93" t="n">
        <f aca="false">Seg1_N*V42</f>
        <v>800</v>
      </c>
      <c r="W48" s="93" t="n">
        <f aca="false">Seg1_N*W42</f>
        <v>800</v>
      </c>
    </row>
    <row r="49" customFormat="false" ht="15" hidden="false" customHeight="false" outlineLevel="0" collapsed="false">
      <c r="A49" s="11" t="str">
        <f aca="false">"Connections - "&amp;Seg2_Name</f>
        <v>Connections - Productive users (mills, welding, cold rooms)</v>
      </c>
      <c r="C49" s="93" t="n">
        <v>0</v>
      </c>
      <c r="D49" s="93" t="n">
        <f aca="false">Seg2_N*D42</f>
        <v>36</v>
      </c>
      <c r="E49" s="93" t="n">
        <f aca="false">Seg2_N*E42</f>
        <v>51</v>
      </c>
      <c r="F49" s="93" t="n">
        <f aca="false">Seg2_N*F42</f>
        <v>60</v>
      </c>
      <c r="G49" s="93" t="n">
        <f aca="false">Seg2_N*G42</f>
        <v>60</v>
      </c>
      <c r="H49" s="93" t="n">
        <f aca="false">Seg2_N*H42</f>
        <v>60</v>
      </c>
      <c r="I49" s="93" t="n">
        <f aca="false">Seg2_N*I42</f>
        <v>60</v>
      </c>
      <c r="J49" s="93" t="n">
        <f aca="false">Seg2_N*J42</f>
        <v>60</v>
      </c>
      <c r="K49" s="93" t="n">
        <f aca="false">Seg2_N*K42</f>
        <v>60</v>
      </c>
      <c r="L49" s="93" t="n">
        <f aca="false">Seg2_N*L42</f>
        <v>60</v>
      </c>
      <c r="M49" s="93" t="n">
        <f aca="false">Seg2_N*M42</f>
        <v>60</v>
      </c>
      <c r="N49" s="93" t="n">
        <f aca="false">Seg2_N*N42</f>
        <v>60</v>
      </c>
      <c r="O49" s="93" t="n">
        <f aca="false">Seg2_N*O42</f>
        <v>60</v>
      </c>
      <c r="P49" s="93" t="n">
        <f aca="false">Seg2_N*P42</f>
        <v>60</v>
      </c>
      <c r="Q49" s="93" t="n">
        <f aca="false">Seg2_N*Q42</f>
        <v>60</v>
      </c>
      <c r="R49" s="93" t="n">
        <f aca="false">Seg2_N*R42</f>
        <v>60</v>
      </c>
      <c r="S49" s="93" t="n">
        <f aca="false">Seg2_N*S42</f>
        <v>60</v>
      </c>
      <c r="T49" s="93" t="n">
        <f aca="false">Seg2_N*T42</f>
        <v>60</v>
      </c>
      <c r="U49" s="93" t="n">
        <f aca="false">Seg2_N*U42</f>
        <v>60</v>
      </c>
      <c r="V49" s="93" t="n">
        <f aca="false">Seg2_N*V42</f>
        <v>60</v>
      </c>
      <c r="W49" s="93" t="n">
        <f aca="false">Seg2_N*W42</f>
        <v>60</v>
      </c>
    </row>
    <row r="50" customFormat="false" ht="15" hidden="false" customHeight="false" outlineLevel="0" collapsed="false">
      <c r="A50" s="11" t="str">
        <f aca="false">"Connections - "&amp;Seg3_Name</f>
        <v>Connections - Commercial (shops, bars, kiosks)</v>
      </c>
      <c r="C50" s="93" t="n">
        <v>0</v>
      </c>
      <c r="D50" s="93" t="n">
        <f aca="false">Seg3_N*D42</f>
        <v>60</v>
      </c>
      <c r="E50" s="93" t="n">
        <f aca="false">Seg3_N*E42</f>
        <v>85</v>
      </c>
      <c r="F50" s="93" t="n">
        <f aca="false">Seg3_N*F42</f>
        <v>100</v>
      </c>
      <c r="G50" s="93" t="n">
        <f aca="false">Seg3_N*G42</f>
        <v>100</v>
      </c>
      <c r="H50" s="93" t="n">
        <f aca="false">Seg3_N*H42</f>
        <v>100</v>
      </c>
      <c r="I50" s="93" t="n">
        <f aca="false">Seg3_N*I42</f>
        <v>100</v>
      </c>
      <c r="J50" s="93" t="n">
        <f aca="false">Seg3_N*J42</f>
        <v>100</v>
      </c>
      <c r="K50" s="93" t="n">
        <f aca="false">Seg3_N*K42</f>
        <v>100</v>
      </c>
      <c r="L50" s="93" t="n">
        <f aca="false">Seg3_N*L42</f>
        <v>100</v>
      </c>
      <c r="M50" s="93" t="n">
        <f aca="false">Seg3_N*M42</f>
        <v>100</v>
      </c>
      <c r="N50" s="93" t="n">
        <f aca="false">Seg3_N*N42</f>
        <v>100</v>
      </c>
      <c r="O50" s="93" t="n">
        <f aca="false">Seg3_N*O42</f>
        <v>100</v>
      </c>
      <c r="P50" s="93" t="n">
        <f aca="false">Seg3_N*P42</f>
        <v>100</v>
      </c>
      <c r="Q50" s="93" t="n">
        <f aca="false">Seg3_N*Q42</f>
        <v>100</v>
      </c>
      <c r="R50" s="93" t="n">
        <f aca="false">Seg3_N*R42</f>
        <v>100</v>
      </c>
      <c r="S50" s="93" t="n">
        <f aca="false">Seg3_N*S42</f>
        <v>100</v>
      </c>
      <c r="T50" s="93" t="n">
        <f aca="false">Seg3_N*T42</f>
        <v>100</v>
      </c>
      <c r="U50" s="93" t="n">
        <f aca="false">Seg3_N*U42</f>
        <v>100</v>
      </c>
      <c r="V50" s="93" t="n">
        <f aca="false">Seg3_N*V42</f>
        <v>100</v>
      </c>
      <c r="W50" s="93" t="n">
        <f aca="false">Seg3_N*W42</f>
        <v>100</v>
      </c>
    </row>
    <row r="51" customFormat="false" ht="15" hidden="false" customHeight="false" outlineLevel="0" collapsed="false">
      <c r="A51" s="11" t="str">
        <f aca="false">"Connections - "&amp;Seg4_Name</f>
        <v>Connections - Institutions (health centre, school, water)</v>
      </c>
      <c r="C51" s="93" t="n">
        <v>0</v>
      </c>
      <c r="D51" s="93" t="n">
        <f aca="false">Seg4_N*D42</f>
        <v>6</v>
      </c>
      <c r="E51" s="93" t="n">
        <f aca="false">Seg4_N*E42</f>
        <v>8.5</v>
      </c>
      <c r="F51" s="93" t="n">
        <f aca="false">Seg4_N*F42</f>
        <v>10</v>
      </c>
      <c r="G51" s="93" t="n">
        <f aca="false">Seg4_N*G42</f>
        <v>10</v>
      </c>
      <c r="H51" s="93" t="n">
        <f aca="false">Seg4_N*H42</f>
        <v>10</v>
      </c>
      <c r="I51" s="93" t="n">
        <f aca="false">Seg4_N*I42</f>
        <v>10</v>
      </c>
      <c r="J51" s="93" t="n">
        <f aca="false">Seg4_N*J42</f>
        <v>10</v>
      </c>
      <c r="K51" s="93" t="n">
        <f aca="false">Seg4_N*K42</f>
        <v>10</v>
      </c>
      <c r="L51" s="93" t="n">
        <f aca="false">Seg4_N*L42</f>
        <v>10</v>
      </c>
      <c r="M51" s="93" t="n">
        <f aca="false">Seg4_N*M42</f>
        <v>10</v>
      </c>
      <c r="N51" s="93" t="n">
        <f aca="false">Seg4_N*N42</f>
        <v>10</v>
      </c>
      <c r="O51" s="93" t="n">
        <f aca="false">Seg4_N*O42</f>
        <v>10</v>
      </c>
      <c r="P51" s="93" t="n">
        <f aca="false">Seg4_N*P42</f>
        <v>10</v>
      </c>
      <c r="Q51" s="93" t="n">
        <f aca="false">Seg4_N*Q42</f>
        <v>10</v>
      </c>
      <c r="R51" s="93" t="n">
        <f aca="false">Seg4_N*R42</f>
        <v>10</v>
      </c>
      <c r="S51" s="93" t="n">
        <f aca="false">Seg4_N*S42</f>
        <v>10</v>
      </c>
      <c r="T51" s="93" t="n">
        <f aca="false">Seg4_N*T42</f>
        <v>10</v>
      </c>
      <c r="U51" s="93" t="n">
        <f aca="false">Seg4_N*U42</f>
        <v>10</v>
      </c>
      <c r="V51" s="93" t="n">
        <f aca="false">Seg4_N*V42</f>
        <v>10</v>
      </c>
      <c r="W51" s="93" t="n">
        <f aca="false">Seg4_N*W42</f>
        <v>10</v>
      </c>
    </row>
    <row r="52" customFormat="false" ht="15" hidden="false" customHeight="false" outlineLevel="0" collapsed="false">
      <c r="A52" s="11" t="str">
        <f aca="false">"Connections - "&amp;Seg5_Name</f>
        <v>Connections - Other / custom</v>
      </c>
      <c r="C52" s="93" t="n">
        <v>0</v>
      </c>
      <c r="D52" s="93" t="n">
        <f aca="false">Seg5_N*D42</f>
        <v>0</v>
      </c>
      <c r="E52" s="93" t="n">
        <f aca="false">Seg5_N*E42</f>
        <v>0</v>
      </c>
      <c r="F52" s="93" t="n">
        <f aca="false">Seg5_N*F42</f>
        <v>0</v>
      </c>
      <c r="G52" s="93" t="n">
        <f aca="false">Seg5_N*G42</f>
        <v>0</v>
      </c>
      <c r="H52" s="93" t="n">
        <f aca="false">Seg5_N*H42</f>
        <v>0</v>
      </c>
      <c r="I52" s="93" t="n">
        <f aca="false">Seg5_N*I42</f>
        <v>0</v>
      </c>
      <c r="J52" s="93" t="n">
        <f aca="false">Seg5_N*J42</f>
        <v>0</v>
      </c>
      <c r="K52" s="93" t="n">
        <f aca="false">Seg5_N*K42</f>
        <v>0</v>
      </c>
      <c r="L52" s="93" t="n">
        <f aca="false">Seg5_N*L42</f>
        <v>0</v>
      </c>
      <c r="M52" s="93" t="n">
        <f aca="false">Seg5_N*M42</f>
        <v>0</v>
      </c>
      <c r="N52" s="93" t="n">
        <f aca="false">Seg5_N*N42</f>
        <v>0</v>
      </c>
      <c r="O52" s="93" t="n">
        <f aca="false">Seg5_N*O42</f>
        <v>0</v>
      </c>
      <c r="P52" s="93" t="n">
        <f aca="false">Seg5_N*P42</f>
        <v>0</v>
      </c>
      <c r="Q52" s="93" t="n">
        <f aca="false">Seg5_N*Q42</f>
        <v>0</v>
      </c>
      <c r="R52" s="93" t="n">
        <f aca="false">Seg5_N*R42</f>
        <v>0</v>
      </c>
      <c r="S52" s="93" t="n">
        <f aca="false">Seg5_N*S42</f>
        <v>0</v>
      </c>
      <c r="T52" s="93" t="n">
        <f aca="false">Seg5_N*T42</f>
        <v>0</v>
      </c>
      <c r="U52" s="93" t="n">
        <f aca="false">Seg5_N*U42</f>
        <v>0</v>
      </c>
      <c r="V52" s="93" t="n">
        <f aca="false">Seg5_N*V42</f>
        <v>0</v>
      </c>
      <c r="W52" s="93" t="n">
        <f aca="false">Seg5_N*W42</f>
        <v>0</v>
      </c>
    </row>
    <row r="53" customFormat="false" ht="15" hidden="false" customHeight="false" outlineLevel="0" collapsed="false">
      <c r="A53" s="16" t="s">
        <v>420</v>
      </c>
      <c r="C53" s="29" t="n">
        <f aca="false">C48+C49+C50+C51+C52</f>
        <v>0</v>
      </c>
      <c r="D53" s="29" t="n">
        <f aca="false">D48+D49+D50+D51+D52</f>
        <v>582</v>
      </c>
      <c r="E53" s="29" t="n">
        <f aca="false">E48+E49+E50+E51+E52</f>
        <v>824.5</v>
      </c>
      <c r="F53" s="29" t="n">
        <f aca="false">F48+F49+F50+F51+F52</f>
        <v>970</v>
      </c>
      <c r="G53" s="29" t="n">
        <f aca="false">G48+G49+G50+G51+G52</f>
        <v>970</v>
      </c>
      <c r="H53" s="29" t="n">
        <f aca="false">H48+H49+H50+H51+H52</f>
        <v>970</v>
      </c>
      <c r="I53" s="29" t="n">
        <f aca="false">I48+I49+I50+I51+I52</f>
        <v>970</v>
      </c>
      <c r="J53" s="29" t="n">
        <f aca="false">J48+J49+J50+J51+J52</f>
        <v>970</v>
      </c>
      <c r="K53" s="29" t="n">
        <f aca="false">K48+K49+K50+K51+K52</f>
        <v>970</v>
      </c>
      <c r="L53" s="29" t="n">
        <f aca="false">L48+L49+L50+L51+L52</f>
        <v>970</v>
      </c>
      <c r="M53" s="29" t="n">
        <f aca="false">M48+M49+M50+M51+M52</f>
        <v>970</v>
      </c>
      <c r="N53" s="29" t="n">
        <f aca="false">N48+N49+N50+N51+N52</f>
        <v>970</v>
      </c>
      <c r="O53" s="29" t="n">
        <f aca="false">O48+O49+O50+O51+O52</f>
        <v>970</v>
      </c>
      <c r="P53" s="29" t="n">
        <f aca="false">P48+P49+P50+P51+P52</f>
        <v>970</v>
      </c>
      <c r="Q53" s="29" t="n">
        <f aca="false">Q48+Q49+Q50+Q51+Q52</f>
        <v>970</v>
      </c>
      <c r="R53" s="29" t="n">
        <f aca="false">R48+R49+R50+R51+R52</f>
        <v>970</v>
      </c>
      <c r="S53" s="29" t="n">
        <f aca="false">S48+S49+S50+S51+S52</f>
        <v>970</v>
      </c>
      <c r="T53" s="29" t="n">
        <f aca="false">T48+T49+T50+T51+T52</f>
        <v>970</v>
      </c>
      <c r="U53" s="29" t="n">
        <f aca="false">U48+U49+U50+U51+U52</f>
        <v>970</v>
      </c>
      <c r="V53" s="29" t="n">
        <f aca="false">V48+V49+V50+V51+V52</f>
        <v>970</v>
      </c>
      <c r="W53" s="29" t="n">
        <f aca="false">W48+W49+W50+W51+W52</f>
        <v>970</v>
      </c>
    </row>
    <row r="54" customFormat="false" ht="15" hidden="false" customHeight="false" outlineLevel="0" collapsed="false">
      <c r="A54" s="11" t="str">
        <f aca="false">"New connections - "&amp;Seg1_Name</f>
        <v>New connections - Households</v>
      </c>
      <c r="B54" s="77" t="n">
        <f aca="false">SUM(C54:W54)</f>
        <v>800</v>
      </c>
      <c r="C54" s="94" t="n">
        <v>0</v>
      </c>
      <c r="D54" s="94" t="n">
        <f aca="false">MAX(0,D48-C48)</f>
        <v>480</v>
      </c>
      <c r="E54" s="94" t="n">
        <f aca="false">MAX(0,E48-D48)</f>
        <v>200</v>
      </c>
      <c r="F54" s="94" t="n">
        <f aca="false">MAX(0,F48-E48)</f>
        <v>120</v>
      </c>
      <c r="G54" s="94" t="n">
        <f aca="false">MAX(0,G48-F48)</f>
        <v>0</v>
      </c>
      <c r="H54" s="94" t="n">
        <f aca="false">MAX(0,H48-G48)</f>
        <v>0</v>
      </c>
      <c r="I54" s="94" t="n">
        <f aca="false">MAX(0,I48-H48)</f>
        <v>0</v>
      </c>
      <c r="J54" s="94" t="n">
        <f aca="false">MAX(0,J48-I48)</f>
        <v>0</v>
      </c>
      <c r="K54" s="94" t="n">
        <f aca="false">MAX(0,K48-J48)</f>
        <v>0</v>
      </c>
      <c r="L54" s="94" t="n">
        <f aca="false">MAX(0,L48-K48)</f>
        <v>0</v>
      </c>
      <c r="M54" s="94" t="n">
        <f aca="false">MAX(0,M48-L48)</f>
        <v>0</v>
      </c>
      <c r="N54" s="94" t="n">
        <f aca="false">MAX(0,N48-M48)</f>
        <v>0</v>
      </c>
      <c r="O54" s="94" t="n">
        <f aca="false">MAX(0,O48-N48)</f>
        <v>0</v>
      </c>
      <c r="P54" s="94" t="n">
        <f aca="false">MAX(0,P48-O48)</f>
        <v>0</v>
      </c>
      <c r="Q54" s="94" t="n">
        <f aca="false">MAX(0,Q48-P48)</f>
        <v>0</v>
      </c>
      <c r="R54" s="94" t="n">
        <f aca="false">MAX(0,R48-Q48)</f>
        <v>0</v>
      </c>
      <c r="S54" s="94" t="n">
        <f aca="false">MAX(0,S48-R48)</f>
        <v>0</v>
      </c>
      <c r="T54" s="94" t="n">
        <f aca="false">MAX(0,T48-S48)</f>
        <v>0</v>
      </c>
      <c r="U54" s="94" t="n">
        <f aca="false">MAX(0,U48-T48)</f>
        <v>0</v>
      </c>
      <c r="V54" s="94" t="n">
        <f aca="false">MAX(0,V48-U48)</f>
        <v>0</v>
      </c>
      <c r="W54" s="94" t="n">
        <f aca="false">MAX(0,W48-V48)</f>
        <v>0</v>
      </c>
    </row>
    <row r="55" customFormat="false" ht="15" hidden="false" customHeight="false" outlineLevel="0" collapsed="false">
      <c r="A55" s="11" t="str">
        <f aca="false">"New connections - "&amp;Seg2_Name</f>
        <v>New connections - Productive users (mills, welding, cold rooms)</v>
      </c>
      <c r="B55" s="77" t="n">
        <f aca="false">SUM(C55:W55)</f>
        <v>60</v>
      </c>
      <c r="C55" s="94" t="n">
        <v>0</v>
      </c>
      <c r="D55" s="94" t="n">
        <f aca="false">MAX(0,D49-C49)</f>
        <v>36</v>
      </c>
      <c r="E55" s="94" t="n">
        <f aca="false">MAX(0,E49-D49)</f>
        <v>15</v>
      </c>
      <c r="F55" s="94" t="n">
        <f aca="false">MAX(0,F49-E49)</f>
        <v>9</v>
      </c>
      <c r="G55" s="94" t="n">
        <f aca="false">MAX(0,G49-F49)</f>
        <v>0</v>
      </c>
      <c r="H55" s="94" t="n">
        <f aca="false">MAX(0,H49-G49)</f>
        <v>0</v>
      </c>
      <c r="I55" s="94" t="n">
        <f aca="false">MAX(0,I49-H49)</f>
        <v>0</v>
      </c>
      <c r="J55" s="94" t="n">
        <f aca="false">MAX(0,J49-I49)</f>
        <v>0</v>
      </c>
      <c r="K55" s="94" t="n">
        <f aca="false">MAX(0,K49-J49)</f>
        <v>0</v>
      </c>
      <c r="L55" s="94" t="n">
        <f aca="false">MAX(0,L49-K49)</f>
        <v>0</v>
      </c>
      <c r="M55" s="94" t="n">
        <f aca="false">MAX(0,M49-L49)</f>
        <v>0</v>
      </c>
      <c r="N55" s="94" t="n">
        <f aca="false">MAX(0,N49-M49)</f>
        <v>0</v>
      </c>
      <c r="O55" s="94" t="n">
        <f aca="false">MAX(0,O49-N49)</f>
        <v>0</v>
      </c>
      <c r="P55" s="94" t="n">
        <f aca="false">MAX(0,P49-O49)</f>
        <v>0</v>
      </c>
      <c r="Q55" s="94" t="n">
        <f aca="false">MAX(0,Q49-P49)</f>
        <v>0</v>
      </c>
      <c r="R55" s="94" t="n">
        <f aca="false">MAX(0,R49-Q49)</f>
        <v>0</v>
      </c>
      <c r="S55" s="94" t="n">
        <f aca="false">MAX(0,S49-R49)</f>
        <v>0</v>
      </c>
      <c r="T55" s="94" t="n">
        <f aca="false">MAX(0,T49-S49)</f>
        <v>0</v>
      </c>
      <c r="U55" s="94" t="n">
        <f aca="false">MAX(0,U49-T49)</f>
        <v>0</v>
      </c>
      <c r="V55" s="94" t="n">
        <f aca="false">MAX(0,V49-U49)</f>
        <v>0</v>
      </c>
      <c r="W55" s="94" t="n">
        <f aca="false">MAX(0,W49-V49)</f>
        <v>0</v>
      </c>
    </row>
    <row r="56" customFormat="false" ht="15" hidden="false" customHeight="false" outlineLevel="0" collapsed="false">
      <c r="A56" s="11" t="str">
        <f aca="false">"New connections - "&amp;Seg3_Name</f>
        <v>New connections - Commercial (shops, bars, kiosks)</v>
      </c>
      <c r="B56" s="77" t="n">
        <f aca="false">SUM(C56:W56)</f>
        <v>100</v>
      </c>
      <c r="C56" s="94" t="n">
        <v>0</v>
      </c>
      <c r="D56" s="94" t="n">
        <f aca="false">MAX(0,D50-C50)</f>
        <v>60</v>
      </c>
      <c r="E56" s="94" t="n">
        <f aca="false">MAX(0,E50-D50)</f>
        <v>25</v>
      </c>
      <c r="F56" s="94" t="n">
        <f aca="false">MAX(0,F50-E50)</f>
        <v>15</v>
      </c>
      <c r="G56" s="94" t="n">
        <f aca="false">MAX(0,G50-F50)</f>
        <v>0</v>
      </c>
      <c r="H56" s="94" t="n">
        <f aca="false">MAX(0,H50-G50)</f>
        <v>0</v>
      </c>
      <c r="I56" s="94" t="n">
        <f aca="false">MAX(0,I50-H50)</f>
        <v>0</v>
      </c>
      <c r="J56" s="94" t="n">
        <f aca="false">MAX(0,J50-I50)</f>
        <v>0</v>
      </c>
      <c r="K56" s="94" t="n">
        <f aca="false">MAX(0,K50-J50)</f>
        <v>0</v>
      </c>
      <c r="L56" s="94" t="n">
        <f aca="false">MAX(0,L50-K50)</f>
        <v>0</v>
      </c>
      <c r="M56" s="94" t="n">
        <f aca="false">MAX(0,M50-L50)</f>
        <v>0</v>
      </c>
      <c r="N56" s="94" t="n">
        <f aca="false">MAX(0,N50-M50)</f>
        <v>0</v>
      </c>
      <c r="O56" s="94" t="n">
        <f aca="false">MAX(0,O50-N50)</f>
        <v>0</v>
      </c>
      <c r="P56" s="94" t="n">
        <f aca="false">MAX(0,P50-O50)</f>
        <v>0</v>
      </c>
      <c r="Q56" s="94" t="n">
        <f aca="false">MAX(0,Q50-P50)</f>
        <v>0</v>
      </c>
      <c r="R56" s="94" t="n">
        <f aca="false">MAX(0,R50-Q50)</f>
        <v>0</v>
      </c>
      <c r="S56" s="94" t="n">
        <f aca="false">MAX(0,S50-R50)</f>
        <v>0</v>
      </c>
      <c r="T56" s="94" t="n">
        <f aca="false">MAX(0,T50-S50)</f>
        <v>0</v>
      </c>
      <c r="U56" s="94" t="n">
        <f aca="false">MAX(0,U50-T50)</f>
        <v>0</v>
      </c>
      <c r="V56" s="94" t="n">
        <f aca="false">MAX(0,V50-U50)</f>
        <v>0</v>
      </c>
      <c r="W56" s="94" t="n">
        <f aca="false">MAX(0,W50-V50)</f>
        <v>0</v>
      </c>
    </row>
    <row r="57" customFormat="false" ht="15" hidden="false" customHeight="false" outlineLevel="0" collapsed="false">
      <c r="A57" s="11" t="str">
        <f aca="false">"New connections - "&amp;Seg4_Name</f>
        <v>New connections - Institutions (health centre, school, water)</v>
      </c>
      <c r="B57" s="77" t="n">
        <f aca="false">SUM(C57:W57)</f>
        <v>10</v>
      </c>
      <c r="C57" s="94" t="n">
        <v>0</v>
      </c>
      <c r="D57" s="94" t="n">
        <f aca="false">MAX(0,D51-C51)</f>
        <v>6</v>
      </c>
      <c r="E57" s="94" t="n">
        <f aca="false">MAX(0,E51-D51)</f>
        <v>2.5</v>
      </c>
      <c r="F57" s="94" t="n">
        <f aca="false">MAX(0,F51-E51)</f>
        <v>1.5</v>
      </c>
      <c r="G57" s="94" t="n">
        <f aca="false">MAX(0,G51-F51)</f>
        <v>0</v>
      </c>
      <c r="H57" s="94" t="n">
        <f aca="false">MAX(0,H51-G51)</f>
        <v>0</v>
      </c>
      <c r="I57" s="94" t="n">
        <f aca="false">MAX(0,I51-H51)</f>
        <v>0</v>
      </c>
      <c r="J57" s="94" t="n">
        <f aca="false">MAX(0,J51-I51)</f>
        <v>0</v>
      </c>
      <c r="K57" s="94" t="n">
        <f aca="false">MAX(0,K51-J51)</f>
        <v>0</v>
      </c>
      <c r="L57" s="94" t="n">
        <f aca="false">MAX(0,L51-K51)</f>
        <v>0</v>
      </c>
      <c r="M57" s="94" t="n">
        <f aca="false">MAX(0,M51-L51)</f>
        <v>0</v>
      </c>
      <c r="N57" s="94" t="n">
        <f aca="false">MAX(0,N51-M51)</f>
        <v>0</v>
      </c>
      <c r="O57" s="94" t="n">
        <f aca="false">MAX(0,O51-N51)</f>
        <v>0</v>
      </c>
      <c r="P57" s="94" t="n">
        <f aca="false">MAX(0,P51-O51)</f>
        <v>0</v>
      </c>
      <c r="Q57" s="94" t="n">
        <f aca="false">MAX(0,Q51-P51)</f>
        <v>0</v>
      </c>
      <c r="R57" s="94" t="n">
        <f aca="false">MAX(0,R51-Q51)</f>
        <v>0</v>
      </c>
      <c r="S57" s="94" t="n">
        <f aca="false">MAX(0,S51-R51)</f>
        <v>0</v>
      </c>
      <c r="T57" s="94" t="n">
        <f aca="false">MAX(0,T51-S51)</f>
        <v>0</v>
      </c>
      <c r="U57" s="94" t="n">
        <f aca="false">MAX(0,U51-T51)</f>
        <v>0</v>
      </c>
      <c r="V57" s="94" t="n">
        <f aca="false">MAX(0,V51-U51)</f>
        <v>0</v>
      </c>
      <c r="W57" s="94" t="n">
        <f aca="false">MAX(0,W51-V51)</f>
        <v>0</v>
      </c>
    </row>
    <row r="58" customFormat="false" ht="15" hidden="false" customHeight="false" outlineLevel="0" collapsed="false">
      <c r="A58" s="11" t="str">
        <f aca="false">"New connections - "&amp;Seg5_Name</f>
        <v>New connections - Other / custom</v>
      </c>
      <c r="B58" s="77" t="n">
        <f aca="false">SUM(C58:W58)</f>
        <v>0</v>
      </c>
      <c r="C58" s="94" t="n">
        <v>0</v>
      </c>
      <c r="D58" s="94" t="n">
        <f aca="false">MAX(0,D52-C52)</f>
        <v>0</v>
      </c>
      <c r="E58" s="94" t="n">
        <f aca="false">MAX(0,E52-D52)</f>
        <v>0</v>
      </c>
      <c r="F58" s="94" t="n">
        <f aca="false">MAX(0,F52-E52)</f>
        <v>0</v>
      </c>
      <c r="G58" s="94" t="n">
        <f aca="false">MAX(0,G52-F52)</f>
        <v>0</v>
      </c>
      <c r="H58" s="94" t="n">
        <f aca="false">MAX(0,H52-G52)</f>
        <v>0</v>
      </c>
      <c r="I58" s="94" t="n">
        <f aca="false">MAX(0,I52-H52)</f>
        <v>0</v>
      </c>
      <c r="J58" s="94" t="n">
        <f aca="false">MAX(0,J52-I52)</f>
        <v>0</v>
      </c>
      <c r="K58" s="94" t="n">
        <f aca="false">MAX(0,K52-J52)</f>
        <v>0</v>
      </c>
      <c r="L58" s="94" t="n">
        <f aca="false">MAX(0,L52-K52)</f>
        <v>0</v>
      </c>
      <c r="M58" s="94" t="n">
        <f aca="false">MAX(0,M52-L52)</f>
        <v>0</v>
      </c>
      <c r="N58" s="94" t="n">
        <f aca="false">MAX(0,N52-M52)</f>
        <v>0</v>
      </c>
      <c r="O58" s="94" t="n">
        <f aca="false">MAX(0,O52-N52)</f>
        <v>0</v>
      </c>
      <c r="P58" s="94" t="n">
        <f aca="false">MAX(0,P52-O52)</f>
        <v>0</v>
      </c>
      <c r="Q58" s="94" t="n">
        <f aca="false">MAX(0,Q52-P52)</f>
        <v>0</v>
      </c>
      <c r="R58" s="94" t="n">
        <f aca="false">MAX(0,R52-Q52)</f>
        <v>0</v>
      </c>
      <c r="S58" s="94" t="n">
        <f aca="false">MAX(0,S52-R52)</f>
        <v>0</v>
      </c>
      <c r="T58" s="94" t="n">
        <f aca="false">MAX(0,T52-S52)</f>
        <v>0</v>
      </c>
      <c r="U58" s="94" t="n">
        <f aca="false">MAX(0,U52-T52)</f>
        <v>0</v>
      </c>
      <c r="V58" s="94" t="n">
        <f aca="false">MAX(0,V52-U52)</f>
        <v>0</v>
      </c>
      <c r="W58" s="94" t="n">
        <f aca="false">MAX(0,W52-V52)</f>
        <v>0</v>
      </c>
    </row>
    <row r="59" customFormat="false" ht="15" hidden="false" customHeight="false" outlineLevel="0" collapsed="false">
      <c r="A59" s="16" t="s">
        <v>421</v>
      </c>
      <c r="B59" s="76" t="n">
        <f aca="false">SUM(C59:W59)</f>
        <v>970</v>
      </c>
      <c r="C59" s="29" t="n">
        <f aca="false">C54+C55+C56+C57+C58</f>
        <v>0</v>
      </c>
      <c r="D59" s="29" t="n">
        <f aca="false">D54+D55+D56+D57+D58</f>
        <v>582</v>
      </c>
      <c r="E59" s="29" t="n">
        <f aca="false">E54+E55+E56+E57+E58</f>
        <v>242.5</v>
      </c>
      <c r="F59" s="29" t="n">
        <f aca="false">F54+F55+F56+F57+F58</f>
        <v>145.5</v>
      </c>
      <c r="G59" s="29" t="n">
        <f aca="false">G54+G55+G56+G57+G58</f>
        <v>0</v>
      </c>
      <c r="H59" s="29" t="n">
        <f aca="false">H54+H55+H56+H57+H58</f>
        <v>0</v>
      </c>
      <c r="I59" s="29" t="n">
        <f aca="false">I54+I55+I56+I57+I58</f>
        <v>0</v>
      </c>
      <c r="J59" s="29" t="n">
        <f aca="false">J54+J55+J56+J57+J58</f>
        <v>0</v>
      </c>
      <c r="K59" s="29" t="n">
        <f aca="false">K54+K55+K56+K57+K58</f>
        <v>0</v>
      </c>
      <c r="L59" s="29" t="n">
        <f aca="false">L54+L55+L56+L57+L58</f>
        <v>0</v>
      </c>
      <c r="M59" s="29" t="n">
        <f aca="false">M54+M55+M56+M57+M58</f>
        <v>0</v>
      </c>
      <c r="N59" s="29" t="n">
        <f aca="false">N54+N55+N56+N57+N58</f>
        <v>0</v>
      </c>
      <c r="O59" s="29" t="n">
        <f aca="false">O54+O55+O56+O57+O58</f>
        <v>0</v>
      </c>
      <c r="P59" s="29" t="n">
        <f aca="false">P54+P55+P56+P57+P58</f>
        <v>0</v>
      </c>
      <c r="Q59" s="29" t="n">
        <f aca="false">Q54+Q55+Q56+Q57+Q58</f>
        <v>0</v>
      </c>
      <c r="R59" s="29" t="n">
        <f aca="false">R54+R55+R56+R57+R58</f>
        <v>0</v>
      </c>
      <c r="S59" s="29" t="n">
        <f aca="false">S54+S55+S56+S57+S58</f>
        <v>0</v>
      </c>
      <c r="T59" s="29" t="n">
        <f aca="false">T54+T55+T56+T57+T58</f>
        <v>0</v>
      </c>
      <c r="U59" s="29" t="n">
        <f aca="false">U54+U55+U56+U57+U58</f>
        <v>0</v>
      </c>
      <c r="V59" s="29" t="n">
        <f aca="false">V54+V55+V56+V57+V58</f>
        <v>0</v>
      </c>
      <c r="W59" s="29" t="n">
        <f aca="false">W54+W55+W56+W57+W58</f>
        <v>0</v>
      </c>
    </row>
    <row r="61" customFormat="false" ht="15" hidden="false" customHeight="false" outlineLevel="0" collapsed="false">
      <c r="A61" s="11" t="str">
        <f aca="false">"Energy sold (kWh) - "&amp;Seg1_Name</f>
        <v>Energy sold (kWh) - Households</v>
      </c>
      <c r="B61" s="76" t="n">
        <f aca="false">SUM(C61:W61)</f>
        <v>3789485.92641319</v>
      </c>
      <c r="C61" s="93" t="n">
        <v>0</v>
      </c>
      <c r="D61" s="93" t="n">
        <f aca="false">D48*Seg1_kWh*12*D45</f>
        <v>86400</v>
      </c>
      <c r="E61" s="93" t="n">
        <f aca="false">E48*Seg1_kWh*12*E45</f>
        <v>126072</v>
      </c>
      <c r="F61" s="93" t="n">
        <f aca="false">F48*Seg1_kWh*12*F45</f>
        <v>152769.6</v>
      </c>
      <c r="G61" s="93" t="n">
        <f aca="false">G48*Seg1_kWh*12*G45</f>
        <v>157352.688</v>
      </c>
      <c r="H61" s="93" t="n">
        <f aca="false">H48*Seg1_kWh*12*H45</f>
        <v>162073.26864</v>
      </c>
      <c r="I61" s="93" t="n">
        <f aca="false">I48*Seg1_kWh*12*I45</f>
        <v>166935.4666992</v>
      </c>
      <c r="J61" s="93" t="n">
        <f aca="false">J48*Seg1_kWh*12*J45</f>
        <v>171943.530700176</v>
      </c>
      <c r="K61" s="93" t="n">
        <f aca="false">K48*Seg1_kWh*12*K45</f>
        <v>177101.836621181</v>
      </c>
      <c r="L61" s="93" t="n">
        <f aca="false">L48*Seg1_kWh*12*L45</f>
        <v>182414.891719817</v>
      </c>
      <c r="M61" s="93" t="n">
        <f aca="false">M48*Seg1_kWh*12*M45</f>
        <v>187887.338471411</v>
      </c>
      <c r="N61" s="93" t="n">
        <f aca="false">N48*Seg1_kWh*12*N45</f>
        <v>193523.958625554</v>
      </c>
      <c r="O61" s="93" t="n">
        <f aca="false">O48*Seg1_kWh*12*O45</f>
        <v>199329.67738432</v>
      </c>
      <c r="P61" s="93" t="n">
        <f aca="false">P48*Seg1_kWh*12*P45</f>
        <v>205309.56770585</v>
      </c>
      <c r="Q61" s="93" t="n">
        <f aca="false">Q48*Seg1_kWh*12*Q45</f>
        <v>211468.854737025</v>
      </c>
      <c r="R61" s="93" t="n">
        <f aca="false">R48*Seg1_kWh*12*R45</f>
        <v>217812.920379136</v>
      </c>
      <c r="S61" s="93" t="n">
        <f aca="false">S48*Seg1_kWh*12*S45</f>
        <v>224347.30799051</v>
      </c>
      <c r="T61" s="93" t="n">
        <f aca="false">T48*Seg1_kWh*12*T45</f>
        <v>231077.727230226</v>
      </c>
      <c r="U61" s="93" t="n">
        <f aca="false">U48*Seg1_kWh*12*U45</f>
        <v>238010.059047132</v>
      </c>
      <c r="V61" s="93" t="n">
        <f aca="false">V48*Seg1_kWh*12*V45</f>
        <v>245150.360818546</v>
      </c>
      <c r="W61" s="93" t="n">
        <f aca="false">W48*Seg1_kWh*12*W45</f>
        <v>252504.871643103</v>
      </c>
    </row>
    <row r="62" customFormat="false" ht="15" hidden="false" customHeight="false" outlineLevel="0" collapsed="false">
      <c r="A62" s="11" t="str">
        <f aca="false">"Energy sold (kWh) - "&amp;Seg2_Name</f>
        <v>Energy sold (kWh) - Productive users (mills, welding, cold rooms)</v>
      </c>
      <c r="B62" s="76" t="n">
        <f aca="false">SUM(C62:W62)</f>
        <v>2944733.72369716</v>
      </c>
      <c r="C62" s="93" t="n">
        <v>0</v>
      </c>
      <c r="D62" s="93" t="n">
        <f aca="false">D49*Seg2_kWh*12*D45</f>
        <v>67139.712</v>
      </c>
      <c r="E62" s="93" t="n">
        <f aca="false">E49*Seg2_kWh*12*E45</f>
        <v>97968.02976</v>
      </c>
      <c r="F62" s="93" t="n">
        <f aca="false">F49*Seg2_kWh*12*F45</f>
        <v>118714.200768</v>
      </c>
      <c r="G62" s="93" t="n">
        <f aca="false">G49*Seg2_kWh*12*G45</f>
        <v>122275.62679104</v>
      </c>
      <c r="H62" s="93" t="n">
        <f aca="false">H49*Seg2_kWh*12*H45</f>
        <v>125943.895594771</v>
      </c>
      <c r="I62" s="93" t="n">
        <f aca="false">I49*Seg2_kWh*12*I45</f>
        <v>129722.212462614</v>
      </c>
      <c r="J62" s="93" t="n">
        <f aca="false">J49*Seg2_kWh*12*J45</f>
        <v>133613.878836493</v>
      </c>
      <c r="K62" s="93" t="n">
        <f aca="false">K49*Seg2_kWh*12*K45</f>
        <v>137622.295201588</v>
      </c>
      <c r="L62" s="93" t="n">
        <f aca="false">L49*Seg2_kWh*12*L45</f>
        <v>141750.964057635</v>
      </c>
      <c r="M62" s="93" t="n">
        <f aca="false">M49*Seg2_kWh*12*M45</f>
        <v>146003.492979364</v>
      </c>
      <c r="N62" s="93" t="n">
        <f aca="false">N49*Seg2_kWh*12*N45</f>
        <v>150383.597768745</v>
      </c>
      <c r="O62" s="93" t="n">
        <f aca="false">O49*Seg2_kWh*12*O45</f>
        <v>154895.105701808</v>
      </c>
      <c r="P62" s="93" t="n">
        <f aca="false">P49*Seg2_kWh*12*P45</f>
        <v>159541.958872862</v>
      </c>
      <c r="Q62" s="93" t="n">
        <f aca="false">Q49*Seg2_kWh*12*Q45</f>
        <v>164328.217639048</v>
      </c>
      <c r="R62" s="93" t="n">
        <f aca="false">R49*Seg2_kWh*12*R45</f>
        <v>169258.064168219</v>
      </c>
      <c r="S62" s="93" t="n">
        <f aca="false">S49*Seg2_kWh*12*S45</f>
        <v>174335.806093266</v>
      </c>
      <c r="T62" s="93" t="n">
        <f aca="false">T49*Seg2_kWh*12*T45</f>
        <v>179565.880276064</v>
      </c>
      <c r="U62" s="93" t="n">
        <f aca="false">U49*Seg2_kWh*12*U45</f>
        <v>184952.856684346</v>
      </c>
      <c r="V62" s="93" t="n">
        <f aca="false">V49*Seg2_kWh*12*V45</f>
        <v>190501.442384876</v>
      </c>
      <c r="W62" s="93" t="n">
        <f aca="false">W49*Seg2_kWh*12*W45</f>
        <v>196216.485656422</v>
      </c>
    </row>
    <row r="63" customFormat="false" ht="15" hidden="false" customHeight="false" outlineLevel="0" collapsed="false">
      <c r="A63" s="11" t="str">
        <f aca="false">"Energy sold (kWh) - "&amp;Seg3_Name</f>
        <v>Energy sold (kWh) - Commercial (shops, bars, kiosks)</v>
      </c>
      <c r="B63" s="76" t="n">
        <f aca="false">SUM(C63:W63)</f>
        <v>1578952.46933883</v>
      </c>
      <c r="C63" s="93" t="n">
        <v>0</v>
      </c>
      <c r="D63" s="93" t="n">
        <f aca="false">D50*Seg3_kWh*12*D45</f>
        <v>36000</v>
      </c>
      <c r="E63" s="93" t="n">
        <f aca="false">E50*Seg3_kWh*12*E45</f>
        <v>52530</v>
      </c>
      <c r="F63" s="93" t="n">
        <f aca="false">F50*Seg3_kWh*12*F45</f>
        <v>63654</v>
      </c>
      <c r="G63" s="93" t="n">
        <f aca="false">G50*Seg3_kWh*12*G45</f>
        <v>65563.62</v>
      </c>
      <c r="H63" s="93" t="n">
        <f aca="false">H50*Seg3_kWh*12*H45</f>
        <v>67530.5286</v>
      </c>
      <c r="I63" s="93" t="n">
        <f aca="false">I50*Seg3_kWh*12*I45</f>
        <v>69556.444458</v>
      </c>
      <c r="J63" s="93" t="n">
        <f aca="false">J50*Seg3_kWh*12*J45</f>
        <v>71643.13779174</v>
      </c>
      <c r="K63" s="93" t="n">
        <f aca="false">K50*Seg3_kWh*12*K45</f>
        <v>73792.4319254922</v>
      </c>
      <c r="L63" s="93" t="n">
        <f aca="false">L50*Seg3_kWh*12*L45</f>
        <v>76006.204883257</v>
      </c>
      <c r="M63" s="93" t="n">
        <f aca="false">M50*Seg3_kWh*12*M45</f>
        <v>78286.3910297547</v>
      </c>
      <c r="N63" s="93" t="n">
        <f aca="false">N50*Seg3_kWh*12*N45</f>
        <v>80634.9827606473</v>
      </c>
      <c r="O63" s="93" t="n">
        <f aca="false">O50*Seg3_kWh*12*O45</f>
        <v>83054.0322434668</v>
      </c>
      <c r="P63" s="93" t="n">
        <f aca="false">P50*Seg3_kWh*12*P45</f>
        <v>85545.6532107708</v>
      </c>
      <c r="Q63" s="93" t="n">
        <f aca="false">Q50*Seg3_kWh*12*Q45</f>
        <v>88112.0228070939</v>
      </c>
      <c r="R63" s="93" t="n">
        <f aca="false">R50*Seg3_kWh*12*R45</f>
        <v>90755.3834913067</v>
      </c>
      <c r="S63" s="93" t="n">
        <f aca="false">S50*Seg3_kWh*12*S45</f>
        <v>93478.0449960459</v>
      </c>
      <c r="T63" s="93" t="n">
        <f aca="false">T50*Seg3_kWh*12*T45</f>
        <v>96282.3863459273</v>
      </c>
      <c r="U63" s="93" t="n">
        <f aca="false">U50*Seg3_kWh*12*U45</f>
        <v>99170.8579363051</v>
      </c>
      <c r="V63" s="93" t="n">
        <f aca="false">V50*Seg3_kWh*12*V45</f>
        <v>102145.983674394</v>
      </c>
      <c r="W63" s="93" t="n">
        <f aca="false">W50*Seg3_kWh*12*W45</f>
        <v>105210.363184626</v>
      </c>
    </row>
    <row r="64" customFormat="false" ht="15" hidden="false" customHeight="false" outlineLevel="0" collapsed="false">
      <c r="A64" s="11" t="str">
        <f aca="false">"Energy sold (kWh) - "&amp;Seg4_Name</f>
        <v>Energy sold (kWh) - Institutions (health centre, school, water)</v>
      </c>
      <c r="B64" s="76" t="n">
        <f aca="false">SUM(C64:W64)</f>
        <v>947371.481603297</v>
      </c>
      <c r="C64" s="93" t="n">
        <v>0</v>
      </c>
      <c r="D64" s="93" t="n">
        <f aca="false">D51*Seg4_kWh*12*D45</f>
        <v>21600</v>
      </c>
      <c r="E64" s="93" t="n">
        <f aca="false">E51*Seg4_kWh*12*E45</f>
        <v>31518</v>
      </c>
      <c r="F64" s="93" t="n">
        <f aca="false">F51*Seg4_kWh*12*F45</f>
        <v>38192.4</v>
      </c>
      <c r="G64" s="93" t="n">
        <f aca="false">G51*Seg4_kWh*12*G45</f>
        <v>39338.172</v>
      </c>
      <c r="H64" s="93" t="n">
        <f aca="false">H51*Seg4_kWh*12*H45</f>
        <v>40518.31716</v>
      </c>
      <c r="I64" s="93" t="n">
        <f aca="false">I51*Seg4_kWh*12*I45</f>
        <v>41733.8666748</v>
      </c>
      <c r="J64" s="93" t="n">
        <f aca="false">J51*Seg4_kWh*12*J45</f>
        <v>42985.882675044</v>
      </c>
      <c r="K64" s="93" t="n">
        <f aca="false">K51*Seg4_kWh*12*K45</f>
        <v>44275.4591552953</v>
      </c>
      <c r="L64" s="93" t="n">
        <f aca="false">L51*Seg4_kWh*12*L45</f>
        <v>45603.7229299542</v>
      </c>
      <c r="M64" s="93" t="n">
        <f aca="false">M51*Seg4_kWh*12*M45</f>
        <v>46971.8346178528</v>
      </c>
      <c r="N64" s="93" t="n">
        <f aca="false">N51*Seg4_kWh*12*N45</f>
        <v>48380.9896563884</v>
      </c>
      <c r="O64" s="93" t="n">
        <f aca="false">O51*Seg4_kWh*12*O45</f>
        <v>49832.4193460801</v>
      </c>
      <c r="P64" s="93" t="n">
        <f aca="false">P51*Seg4_kWh*12*P45</f>
        <v>51327.3919264625</v>
      </c>
      <c r="Q64" s="93" t="n">
        <f aca="false">Q51*Seg4_kWh*12*Q45</f>
        <v>52867.2136842563</v>
      </c>
      <c r="R64" s="93" t="n">
        <f aca="false">R51*Seg4_kWh*12*R45</f>
        <v>54453.230094784</v>
      </c>
      <c r="S64" s="93" t="n">
        <f aca="false">S51*Seg4_kWh*12*S45</f>
        <v>56086.8269976275</v>
      </c>
      <c r="T64" s="93" t="n">
        <f aca="false">T51*Seg4_kWh*12*T45</f>
        <v>57769.4318075564</v>
      </c>
      <c r="U64" s="93" t="n">
        <f aca="false">U51*Seg4_kWh*12*U45</f>
        <v>59502.5147617831</v>
      </c>
      <c r="V64" s="93" t="n">
        <f aca="false">V51*Seg4_kWh*12*V45</f>
        <v>61287.5902046366</v>
      </c>
      <c r="W64" s="93" t="n">
        <f aca="false">W51*Seg4_kWh*12*W45</f>
        <v>63126.2179107757</v>
      </c>
    </row>
    <row r="65" customFormat="false" ht="15" hidden="false" customHeight="false" outlineLevel="0" collapsed="false">
      <c r="A65" s="11" t="str">
        <f aca="false">"Energy sold (kWh) - "&amp;Seg5_Name</f>
        <v>Energy sold (kWh) - Other / custom</v>
      </c>
      <c r="B65" s="76" t="n">
        <f aca="false">SUM(C65:W65)</f>
        <v>0</v>
      </c>
      <c r="C65" s="93" t="n">
        <v>0</v>
      </c>
      <c r="D65" s="93" t="n">
        <f aca="false">D52*Seg5_kWh*12*D45</f>
        <v>0</v>
      </c>
      <c r="E65" s="93" t="n">
        <f aca="false">E52*Seg5_kWh*12*E45</f>
        <v>0</v>
      </c>
      <c r="F65" s="93" t="n">
        <f aca="false">F52*Seg5_kWh*12*F45</f>
        <v>0</v>
      </c>
      <c r="G65" s="93" t="n">
        <f aca="false">G52*Seg5_kWh*12*G45</f>
        <v>0</v>
      </c>
      <c r="H65" s="93" t="n">
        <f aca="false">H52*Seg5_kWh*12*H45</f>
        <v>0</v>
      </c>
      <c r="I65" s="93" t="n">
        <f aca="false">I52*Seg5_kWh*12*I45</f>
        <v>0</v>
      </c>
      <c r="J65" s="93" t="n">
        <f aca="false">J52*Seg5_kWh*12*J45</f>
        <v>0</v>
      </c>
      <c r="K65" s="93" t="n">
        <f aca="false">K52*Seg5_kWh*12*K45</f>
        <v>0</v>
      </c>
      <c r="L65" s="93" t="n">
        <f aca="false">L52*Seg5_kWh*12*L45</f>
        <v>0</v>
      </c>
      <c r="M65" s="93" t="n">
        <f aca="false">M52*Seg5_kWh*12*M45</f>
        <v>0</v>
      </c>
      <c r="N65" s="93" t="n">
        <f aca="false">N52*Seg5_kWh*12*N45</f>
        <v>0</v>
      </c>
      <c r="O65" s="93" t="n">
        <f aca="false">O52*Seg5_kWh*12*O45</f>
        <v>0</v>
      </c>
      <c r="P65" s="93" t="n">
        <f aca="false">P52*Seg5_kWh*12*P45</f>
        <v>0</v>
      </c>
      <c r="Q65" s="93" t="n">
        <f aca="false">Q52*Seg5_kWh*12*Q45</f>
        <v>0</v>
      </c>
      <c r="R65" s="93" t="n">
        <f aca="false">R52*Seg5_kWh*12*R45</f>
        <v>0</v>
      </c>
      <c r="S65" s="93" t="n">
        <f aca="false">S52*Seg5_kWh*12*S45</f>
        <v>0</v>
      </c>
      <c r="T65" s="93" t="n">
        <f aca="false">T52*Seg5_kWh*12*T45</f>
        <v>0</v>
      </c>
      <c r="U65" s="93" t="n">
        <f aca="false">U52*Seg5_kWh*12*U45</f>
        <v>0</v>
      </c>
      <c r="V65" s="93" t="n">
        <f aca="false">V52*Seg5_kWh*12*V45</f>
        <v>0</v>
      </c>
      <c r="W65" s="93" t="n">
        <f aca="false">W52*Seg5_kWh*12*W45</f>
        <v>0</v>
      </c>
    </row>
    <row r="66" customFormat="false" ht="15" hidden="false" customHeight="false" outlineLevel="0" collapsed="false">
      <c r="A66" s="16" t="s">
        <v>422</v>
      </c>
      <c r="B66" s="76" t="n">
        <f aca="false">SUM(C66:W66)</f>
        <v>9260543.60105247</v>
      </c>
      <c r="C66" s="29" t="n">
        <f aca="false">C61+C62+C63+C64+C65</f>
        <v>0</v>
      </c>
      <c r="D66" s="29" t="n">
        <f aca="false">D61+D62+D63+D64+D65</f>
        <v>211139.712</v>
      </c>
      <c r="E66" s="29" t="n">
        <f aca="false">E61+E62+E63+E64+E65</f>
        <v>308088.02976</v>
      </c>
      <c r="F66" s="29" t="n">
        <f aca="false">F61+F62+F63+F64+F65</f>
        <v>373330.200768</v>
      </c>
      <c r="G66" s="29" t="n">
        <f aca="false">G61+G62+G63+G64+G65</f>
        <v>384530.10679104</v>
      </c>
      <c r="H66" s="29" t="n">
        <f aca="false">H61+H62+H63+H64+H65</f>
        <v>396066.009994771</v>
      </c>
      <c r="I66" s="29" t="n">
        <f aca="false">I61+I62+I63+I64+I65</f>
        <v>407947.990294614</v>
      </c>
      <c r="J66" s="29" t="n">
        <f aca="false">J61+J62+J63+J64+J65</f>
        <v>420186.430003453</v>
      </c>
      <c r="K66" s="29" t="n">
        <f aca="false">K61+K62+K63+K64+K65</f>
        <v>432792.022903556</v>
      </c>
      <c r="L66" s="29" t="n">
        <f aca="false">L61+L62+L63+L64+L65</f>
        <v>445775.783590663</v>
      </c>
      <c r="M66" s="29" t="n">
        <f aca="false">M61+M62+M63+M64+M65</f>
        <v>459149.057098383</v>
      </c>
      <c r="N66" s="29" t="n">
        <f aca="false">N61+N62+N63+N64+N65</f>
        <v>472923.528811335</v>
      </c>
      <c r="O66" s="29" t="n">
        <f aca="false">O61+O62+O63+O64+O65</f>
        <v>487111.234675675</v>
      </c>
      <c r="P66" s="29" t="n">
        <f aca="false">P61+P62+P63+P64+P65</f>
        <v>501724.571715945</v>
      </c>
      <c r="Q66" s="29" t="n">
        <f aca="false">Q61+Q62+Q63+Q64+Q65</f>
        <v>516776.308867423</v>
      </c>
      <c r="R66" s="29" t="n">
        <f aca="false">R61+R62+R63+R64+R65</f>
        <v>532279.598133446</v>
      </c>
      <c r="S66" s="29" t="n">
        <f aca="false">S61+S62+S63+S64+S65</f>
        <v>548247.986077449</v>
      </c>
      <c r="T66" s="29" t="n">
        <f aca="false">T61+T62+T63+T64+T65</f>
        <v>564695.425659773</v>
      </c>
      <c r="U66" s="29" t="n">
        <f aca="false">U61+U62+U63+U64+U65</f>
        <v>581636.288429566</v>
      </c>
      <c r="V66" s="29" t="n">
        <f aca="false">V61+V62+V63+V64+V65</f>
        <v>599085.377082453</v>
      </c>
      <c r="W66" s="29" t="n">
        <f aca="false">W61+W62+W63+W64+W65</f>
        <v>617057.938394927</v>
      </c>
    </row>
    <row r="68" customFormat="false" ht="15" hidden="false" customHeight="false" outlineLevel="0" collapsed="false">
      <c r="A68" s="9" t="s">
        <v>423</v>
      </c>
      <c r="B68" s="10"/>
      <c r="C68" s="10"/>
      <c r="D68" s="10"/>
      <c r="E68" s="10"/>
      <c r="F68" s="10"/>
      <c r="G68" s="10"/>
      <c r="H68" s="10"/>
      <c r="I68" s="10"/>
      <c r="J68" s="10"/>
      <c r="K68" s="10"/>
      <c r="L68" s="10"/>
      <c r="M68" s="10"/>
      <c r="N68" s="10"/>
      <c r="O68" s="10"/>
      <c r="P68" s="10"/>
      <c r="Q68" s="10"/>
      <c r="R68" s="10"/>
      <c r="S68" s="10"/>
      <c r="T68" s="10"/>
      <c r="U68" s="10"/>
      <c r="V68" s="10"/>
      <c r="W68" s="10"/>
    </row>
    <row r="69" customFormat="false" ht="15" hidden="false" customHeight="false" outlineLevel="0" collapsed="false">
      <c r="A69" s="11" t="s">
        <v>424</v>
      </c>
      <c r="B69" s="76" t="n">
        <f aca="false">SUM(C69:W69)</f>
        <v>10523345.001196</v>
      </c>
      <c r="C69" s="93" t="n">
        <v>0</v>
      </c>
      <c r="D69" s="93" t="n">
        <f aca="false">D66/(1-Losses)</f>
        <v>239931.490909091</v>
      </c>
      <c r="E69" s="93" t="n">
        <f aca="false">E66/(1-Losses)</f>
        <v>350100.033818182</v>
      </c>
      <c r="F69" s="93" t="n">
        <f aca="false">F66/(1-Losses)</f>
        <v>424238.864509091</v>
      </c>
      <c r="G69" s="93" t="n">
        <f aca="false">G66/(1-Losses)</f>
        <v>436966.030444364</v>
      </c>
      <c r="H69" s="93" t="n">
        <f aca="false">H66/(1-Losses)</f>
        <v>450075.011357695</v>
      </c>
      <c r="I69" s="93" t="n">
        <f aca="false">I66/(1-Losses)</f>
        <v>463577.261698425</v>
      </c>
      <c r="J69" s="93" t="n">
        <f aca="false">J66/(1-Losses)</f>
        <v>477484.579549378</v>
      </c>
      <c r="K69" s="93" t="n">
        <f aca="false">K66/(1-Losses)</f>
        <v>491809.11693586</v>
      </c>
      <c r="L69" s="93" t="n">
        <f aca="false">L66/(1-Losses)</f>
        <v>506563.390443935</v>
      </c>
      <c r="M69" s="93" t="n">
        <f aca="false">M66/(1-Losses)</f>
        <v>521760.292157253</v>
      </c>
      <c r="N69" s="93" t="n">
        <f aca="false">N66/(1-Losses)</f>
        <v>537413.100921971</v>
      </c>
      <c r="O69" s="93" t="n">
        <f aca="false">O66/(1-Losses)</f>
        <v>553535.49394963</v>
      </c>
      <c r="P69" s="93" t="n">
        <f aca="false">P66/(1-Losses)</f>
        <v>570141.558768119</v>
      </c>
      <c r="Q69" s="93" t="n">
        <f aca="false">Q66/(1-Losses)</f>
        <v>587245.805531163</v>
      </c>
      <c r="R69" s="93" t="n">
        <f aca="false">R66/(1-Losses)</f>
        <v>604863.179697098</v>
      </c>
      <c r="S69" s="93" t="n">
        <f aca="false">S66/(1-Losses)</f>
        <v>623009.07508801</v>
      </c>
      <c r="T69" s="93" t="n">
        <f aca="false">T66/(1-Losses)</f>
        <v>641699.347340651</v>
      </c>
      <c r="U69" s="93" t="n">
        <f aca="false">U66/(1-Losses)</f>
        <v>660950.327760871</v>
      </c>
      <c r="V69" s="93" t="n">
        <f aca="false">V66/(1-Losses)</f>
        <v>680778.837593697</v>
      </c>
      <c r="W69" s="93" t="n">
        <f aca="false">W66/(1-Losses)</f>
        <v>701202.202721508</v>
      </c>
    </row>
    <row r="70" customFormat="false" ht="15" hidden="false" customHeight="false" outlineLevel="0" collapsed="false">
      <c r="A70" s="11" t="s">
        <v>425</v>
      </c>
      <c r="B70" s="76" t="n">
        <f aca="false">SUM(C70:W70)</f>
        <v>8722537.45034705</v>
      </c>
      <c r="C70" s="93" t="n">
        <v>0</v>
      </c>
      <c r="D70" s="93" t="n">
        <f aca="false">PV_kWp*SpecYield*(1-Degradation)^(D39-1)*D41</f>
        <v>457206.277768167</v>
      </c>
      <c r="E70" s="93" t="n">
        <f aca="false">PV_kWp*SpecYield*(1-Degradation)^(E39-1)*E41</f>
        <v>454920.246379326</v>
      </c>
      <c r="F70" s="93" t="n">
        <f aca="false">PV_kWp*SpecYield*(1-Degradation)^(F39-1)*F41</f>
        <v>452645.64514743</v>
      </c>
      <c r="G70" s="93" t="n">
        <f aca="false">PV_kWp*SpecYield*(1-Degradation)^(G39-1)*G41</f>
        <v>450382.416921693</v>
      </c>
      <c r="H70" s="93" t="n">
        <f aca="false">PV_kWp*SpecYield*(1-Degradation)^(H39-1)*H41</f>
        <v>448130.504837084</v>
      </c>
      <c r="I70" s="93" t="n">
        <f aca="false">PV_kWp*SpecYield*(1-Degradation)^(I39-1)*I41</f>
        <v>445889.852312899</v>
      </c>
      <c r="J70" s="93" t="n">
        <f aca="false">PV_kWp*SpecYield*(1-Degradation)^(J39-1)*J41</f>
        <v>443660.403051334</v>
      </c>
      <c r="K70" s="93" t="n">
        <f aca="false">PV_kWp*SpecYield*(1-Degradation)^(K39-1)*K41</f>
        <v>441442.101036078</v>
      </c>
      <c r="L70" s="93" t="n">
        <f aca="false">PV_kWp*SpecYield*(1-Degradation)^(L39-1)*L41</f>
        <v>439234.890530897</v>
      </c>
      <c r="M70" s="93" t="n">
        <f aca="false">PV_kWp*SpecYield*(1-Degradation)^(M39-1)*M41</f>
        <v>437038.716078243</v>
      </c>
      <c r="N70" s="93" t="n">
        <f aca="false">PV_kWp*SpecYield*(1-Degradation)^(N39-1)*N41</f>
        <v>434853.522497851</v>
      </c>
      <c r="O70" s="93" t="n">
        <f aca="false">PV_kWp*SpecYield*(1-Degradation)^(O39-1)*O41</f>
        <v>432679.254885362</v>
      </c>
      <c r="P70" s="93" t="n">
        <f aca="false">PV_kWp*SpecYield*(1-Degradation)^(P39-1)*P41</f>
        <v>430515.858610935</v>
      </c>
      <c r="Q70" s="93" t="n">
        <f aca="false">PV_kWp*SpecYield*(1-Degradation)^(Q39-1)*Q41</f>
        <v>428363.279317881</v>
      </c>
      <c r="R70" s="93" t="n">
        <f aca="false">PV_kWp*SpecYield*(1-Degradation)^(R39-1)*R41</f>
        <v>426221.462921291</v>
      </c>
      <c r="S70" s="93" t="n">
        <f aca="false">PV_kWp*SpecYield*(1-Degradation)^(S39-1)*S41</f>
        <v>424090.355606685</v>
      </c>
      <c r="T70" s="93" t="n">
        <f aca="false">PV_kWp*SpecYield*(1-Degradation)^(T39-1)*T41</f>
        <v>421969.903828651</v>
      </c>
      <c r="U70" s="93" t="n">
        <f aca="false">PV_kWp*SpecYield*(1-Degradation)^(U39-1)*U41</f>
        <v>419860.054309508</v>
      </c>
      <c r="V70" s="93" t="n">
        <f aca="false">PV_kWp*SpecYield*(1-Degradation)^(V39-1)*V41</f>
        <v>417760.754037961</v>
      </c>
      <c r="W70" s="93" t="n">
        <f aca="false">PV_kWp*SpecYield*(1-Degradation)^(W39-1)*W41</f>
        <v>415671.950267771</v>
      </c>
    </row>
    <row r="71" customFormat="false" ht="15" hidden="false" customHeight="false" outlineLevel="0" collapsed="false">
      <c r="A71" s="11" t="s">
        <v>426</v>
      </c>
      <c r="B71" s="76" t="n">
        <f aca="false">SUM(C71:W71)</f>
        <v>7903453.19236348</v>
      </c>
      <c r="C71" s="93" t="n">
        <v>0</v>
      </c>
      <c r="D71" s="93" t="n">
        <f aca="false">MIN(D70/StorageFactor,D69*SolarFraction)</f>
        <v>215938.341818182</v>
      </c>
      <c r="E71" s="93" t="n">
        <f aca="false">MIN(E70/StorageFactor,E69*SolarFraction)</f>
        <v>315090.030436364</v>
      </c>
      <c r="F71" s="93" t="n">
        <f aca="false">MIN(F70/StorageFactor,F69*SolarFraction)</f>
        <v>381814.978058182</v>
      </c>
      <c r="G71" s="93" t="n">
        <f aca="false">MIN(G70/StorageFactor,G69*SolarFraction)</f>
        <v>393269.427399927</v>
      </c>
      <c r="H71" s="93" t="n">
        <f aca="false">MIN(H70/StorageFactor,H69*SolarFraction)</f>
        <v>405067.510221925</v>
      </c>
      <c r="I71" s="93" t="n">
        <f aca="false">MIN(I70/StorageFactor,I69*SolarFraction)</f>
        <v>417219.535528583</v>
      </c>
      <c r="J71" s="93" t="n">
        <f aca="false">MIN(J70/StorageFactor,J69*SolarFraction)</f>
        <v>426078.172123344</v>
      </c>
      <c r="K71" s="93" t="n">
        <f aca="false">MIN(K70/StorageFactor,K69*SolarFraction)</f>
        <v>423947.781262727</v>
      </c>
      <c r="L71" s="93" t="n">
        <f aca="false">MIN(L70/StorageFactor,L69*SolarFraction)</f>
        <v>421828.042356414</v>
      </c>
      <c r="M71" s="93" t="n">
        <f aca="false">MIN(M70/StorageFactor,M69*SolarFraction)</f>
        <v>419718.902144632</v>
      </c>
      <c r="N71" s="93" t="n">
        <f aca="false">MIN(N70/StorageFactor,N69*SolarFraction)</f>
        <v>417620.307633909</v>
      </c>
      <c r="O71" s="93" t="n">
        <f aca="false">MIN(O70/StorageFactor,O69*SolarFraction)</f>
        <v>415532.206095739</v>
      </c>
      <c r="P71" s="93" t="n">
        <f aca="false">MIN(P70/StorageFactor,P69*SolarFraction)</f>
        <v>413454.54506526</v>
      </c>
      <c r="Q71" s="93" t="n">
        <f aca="false">MIN(Q70/StorageFactor,Q69*SolarFraction)</f>
        <v>411387.272339934</v>
      </c>
      <c r="R71" s="93" t="n">
        <f aca="false">MIN(R70/StorageFactor,R69*SolarFraction)</f>
        <v>409330.335978234</v>
      </c>
      <c r="S71" s="93" t="n">
        <f aca="false">MIN(S70/StorageFactor,S69*SolarFraction)</f>
        <v>407283.684298343</v>
      </c>
      <c r="T71" s="93" t="n">
        <f aca="false">MIN(T70/StorageFactor,T69*SolarFraction)</f>
        <v>405247.265876851</v>
      </c>
      <c r="U71" s="93" t="n">
        <f aca="false">MIN(U70/StorageFactor,U69*SolarFraction)</f>
        <v>403221.029547467</v>
      </c>
      <c r="V71" s="93" t="n">
        <f aca="false">MIN(V70/StorageFactor,V69*SolarFraction)</f>
        <v>401204.92439973</v>
      </c>
      <c r="W71" s="93" t="n">
        <f aca="false">MIN(W70/StorageFactor,W69*SolarFraction)</f>
        <v>399198.899777731</v>
      </c>
    </row>
    <row r="72" customFormat="false" ht="15" hidden="false" customHeight="false" outlineLevel="0" collapsed="false">
      <c r="A72" s="11" t="s">
        <v>427</v>
      </c>
      <c r="B72" s="76" t="n">
        <f aca="false">SUM(C72:W72)</f>
        <v>2619891.80883251</v>
      </c>
      <c r="C72" s="93" t="n">
        <v>0</v>
      </c>
      <c r="D72" s="93" t="n">
        <f aca="false">D69-D71</f>
        <v>23993.1490909091</v>
      </c>
      <c r="E72" s="93" t="n">
        <f aca="false">E69-E71</f>
        <v>35010.0033818182</v>
      </c>
      <c r="F72" s="93" t="n">
        <f aca="false">F69-F71</f>
        <v>42423.8864509091</v>
      </c>
      <c r="G72" s="93" t="n">
        <f aca="false">G69-G71</f>
        <v>43696.6030444364</v>
      </c>
      <c r="H72" s="93" t="n">
        <f aca="false">H69-H71</f>
        <v>45007.5011357695</v>
      </c>
      <c r="I72" s="93" t="n">
        <f aca="false">I69-I71</f>
        <v>46357.7261698425</v>
      </c>
      <c r="J72" s="93" t="n">
        <f aca="false">J69-J71</f>
        <v>51406.407426034</v>
      </c>
      <c r="K72" s="93" t="n">
        <f aca="false">K69-K71</f>
        <v>67861.3356731322</v>
      </c>
      <c r="L72" s="93" t="n">
        <f aca="false">L69-L71</f>
        <v>84735.3480875216</v>
      </c>
      <c r="M72" s="93" t="n">
        <f aca="false">M69-M71</f>
        <v>102041.390012622</v>
      </c>
      <c r="N72" s="93" t="n">
        <f aca="false">N69-N71</f>
        <v>119792.793288062</v>
      </c>
      <c r="O72" s="93" t="n">
        <f aca="false">O69-O71</f>
        <v>138003.287853891</v>
      </c>
      <c r="P72" s="93" t="n">
        <f aca="false">P69-P71</f>
        <v>156687.013702859</v>
      </c>
      <c r="Q72" s="93" t="n">
        <f aca="false">Q69-Q71</f>
        <v>175858.533191229</v>
      </c>
      <c r="R72" s="93" t="n">
        <f aca="false">R69-R71</f>
        <v>195532.843718863</v>
      </c>
      <c r="S72" s="93" t="n">
        <f aca="false">S69-S71</f>
        <v>215725.390789667</v>
      </c>
      <c r="T72" s="93" t="n">
        <f aca="false">T69-T71</f>
        <v>236452.0814638</v>
      </c>
      <c r="U72" s="93" t="n">
        <f aca="false">U69-U71</f>
        <v>257729.298213403</v>
      </c>
      <c r="V72" s="93" t="n">
        <f aca="false">V69-V71</f>
        <v>279573.913193967</v>
      </c>
      <c r="W72" s="93" t="n">
        <f aca="false">W69-W71</f>
        <v>302003.302943776</v>
      </c>
    </row>
    <row r="73" customFormat="false" ht="15" hidden="false" customHeight="false" outlineLevel="0" collapsed="false">
      <c r="A73" s="11" t="s">
        <v>428</v>
      </c>
      <c r="C73" s="91" t="n">
        <v>0</v>
      </c>
      <c r="D73" s="91" t="n">
        <f aca="false">IFERROR(D71/D69,0)</f>
        <v>0.9</v>
      </c>
      <c r="E73" s="91" t="n">
        <f aca="false">IFERROR(E71/E69,0)</f>
        <v>0.9</v>
      </c>
      <c r="F73" s="91" t="n">
        <f aca="false">IFERROR(F71/F69,0)</f>
        <v>0.9</v>
      </c>
      <c r="G73" s="91" t="n">
        <f aca="false">IFERROR(G71/G69,0)</f>
        <v>0.9</v>
      </c>
      <c r="H73" s="91" t="n">
        <f aca="false">IFERROR(H71/H69,0)</f>
        <v>0.9</v>
      </c>
      <c r="I73" s="91" t="n">
        <f aca="false">IFERROR(I71/I69,0)</f>
        <v>0.9</v>
      </c>
      <c r="J73" s="91" t="n">
        <f aca="false">IFERROR(J71/J69,0)</f>
        <v>0.892339125434065</v>
      </c>
      <c r="K73" s="91" t="n">
        <f aca="false">IFERROR(K71/K69,0)</f>
        <v>0.862016922142616</v>
      </c>
      <c r="L73" s="91" t="n">
        <f aca="false">IFERROR(L71/L69,0)</f>
        <v>0.83272508498243</v>
      </c>
      <c r="M73" s="91" t="n">
        <f aca="false">IFERROR(M71/M69,0)</f>
        <v>0.804428601512153</v>
      </c>
      <c r="N73" s="91" t="n">
        <f aca="false">IFERROR(N71/N69,0)</f>
        <v>0.777093649033585</v>
      </c>
      <c r="O73" s="91" t="n">
        <f aca="false">IFERROR(O71/O69,0)</f>
        <v>0.750687554163511</v>
      </c>
      <c r="P73" s="91" t="n">
        <f aca="false">IFERROR(P71/P69,0)</f>
        <v>0.725178753779314</v>
      </c>
      <c r="Q73" s="91" t="n">
        <f aca="false">IFERROR(Q71/Q69,0)</f>
        <v>0.700536757291668</v>
      </c>
      <c r="R73" s="91" t="n">
        <f aca="false">IFERROR(R71/R69,0)</f>
        <v>0.676732110199232</v>
      </c>
      <c r="S73" s="91" t="n">
        <f aca="false">IFERROR(S71/S69,0)</f>
        <v>0.653736358881783</v>
      </c>
      <c r="T73" s="91" t="n">
        <f aca="false">IFERROR(T71/T69,0)</f>
        <v>0.631522016589683</v>
      </c>
      <c r="U73" s="91" t="n">
        <f aca="false">IFERROR(U71/U69,0)</f>
        <v>0.610062530589063</v>
      </c>
      <c r="V73" s="91" t="n">
        <f aca="false">IFERROR(V71/V69,0)</f>
        <v>0.589332250423415</v>
      </c>
      <c r="W73" s="91" t="n">
        <f aca="false">IFERROR(W71/W69,0)</f>
        <v>0.569306397253687</v>
      </c>
    </row>
    <row r="74" customFormat="false" ht="15" hidden="false" customHeight="false" outlineLevel="0" collapsed="false">
      <c r="A74" s="11" t="s">
        <v>429</v>
      </c>
      <c r="B74" s="76" t="n">
        <f aca="false">SUM(C74:W74)</f>
        <v>873297.269610837</v>
      </c>
      <c r="C74" s="93" t="n">
        <v>0</v>
      </c>
      <c r="D74" s="93" t="n">
        <f aca="false">D72/DieselEff</f>
        <v>7997.71636363636</v>
      </c>
      <c r="E74" s="93" t="n">
        <f aca="false">E72/DieselEff</f>
        <v>11670.0011272727</v>
      </c>
      <c r="F74" s="93" t="n">
        <f aca="false">F72/DieselEff</f>
        <v>14141.2954836364</v>
      </c>
      <c r="G74" s="93" t="n">
        <f aca="false">G72/DieselEff</f>
        <v>14565.5343481455</v>
      </c>
      <c r="H74" s="93" t="n">
        <f aca="false">H72/DieselEff</f>
        <v>15002.5003785898</v>
      </c>
      <c r="I74" s="93" t="n">
        <f aca="false">I72/DieselEff</f>
        <v>15452.5753899475</v>
      </c>
      <c r="J74" s="93" t="n">
        <f aca="false">J72/DieselEff</f>
        <v>17135.4691420114</v>
      </c>
      <c r="K74" s="93" t="n">
        <f aca="false">K72/DieselEff</f>
        <v>22620.4452243774</v>
      </c>
      <c r="L74" s="93" t="n">
        <f aca="false">L72/DieselEff</f>
        <v>28245.1160291739</v>
      </c>
      <c r="M74" s="93" t="n">
        <f aca="false">M72/DieselEff</f>
        <v>34013.7966708739</v>
      </c>
      <c r="N74" s="93" t="n">
        <f aca="false">N72/DieselEff</f>
        <v>39930.9310960208</v>
      </c>
      <c r="O74" s="93" t="n">
        <f aca="false">O72/DieselEff</f>
        <v>46001.0959512971</v>
      </c>
      <c r="P74" s="93" t="n">
        <f aca="false">P72/DieselEff</f>
        <v>52229.0045676196</v>
      </c>
      <c r="Q74" s="93" t="n">
        <f aca="false">Q72/DieselEff</f>
        <v>58619.5110637429</v>
      </c>
      <c r="R74" s="93" t="n">
        <f aca="false">R72/DieselEff</f>
        <v>65177.6145729544</v>
      </c>
      <c r="S74" s="93" t="n">
        <f aca="false">S72/DieselEff</f>
        <v>71908.4635965558</v>
      </c>
      <c r="T74" s="93" t="n">
        <f aca="false">T72/DieselEff</f>
        <v>78817.3604879332</v>
      </c>
      <c r="U74" s="93" t="n">
        <f aca="false">U72/DieselEff</f>
        <v>85909.7660711344</v>
      </c>
      <c r="V74" s="93" t="n">
        <f aca="false">V72/DieselEff</f>
        <v>93191.3043979889</v>
      </c>
      <c r="W74" s="93" t="n">
        <f aca="false">W72/DieselEff</f>
        <v>100667.767647925</v>
      </c>
    </row>
    <row r="76" customFormat="false" ht="15" hidden="false" customHeight="false" outlineLevel="0" collapsed="false">
      <c r="A76" s="9" t="s">
        <v>430</v>
      </c>
      <c r="B76" s="10"/>
      <c r="C76" s="10"/>
      <c r="D76" s="10"/>
      <c r="E76" s="10"/>
      <c r="F76" s="10"/>
      <c r="G76" s="10"/>
      <c r="H76" s="10"/>
      <c r="I76" s="10"/>
      <c r="J76" s="10"/>
      <c r="K76" s="10"/>
      <c r="L76" s="10"/>
      <c r="M76" s="10"/>
      <c r="N76" s="10"/>
      <c r="O76" s="10"/>
      <c r="P76" s="10"/>
      <c r="Q76" s="10"/>
      <c r="R76" s="10"/>
      <c r="S76" s="10"/>
      <c r="T76" s="10"/>
      <c r="U76" s="10"/>
      <c r="V76" s="10"/>
      <c r="W76" s="10"/>
    </row>
    <row r="77" customFormat="false" ht="15" hidden="false" customHeight="false" outlineLevel="0" collapsed="false">
      <c r="A77" s="11" t="str">
        <f aca="false">"Billed revenue - "&amp;Seg1_Name</f>
        <v>Billed revenue - Households</v>
      </c>
      <c r="B77" s="66" t="n">
        <f aca="false">SUM(C77:W77)</f>
        <v>2107258.13958533</v>
      </c>
      <c r="C77" s="95" t="n">
        <v>0</v>
      </c>
      <c r="D77" s="95" t="n">
        <f aca="false">D61*Seg1_Tariff*LevTariff*$B$5*D43</f>
        <v>34560</v>
      </c>
      <c r="E77" s="95" t="n">
        <f aca="false">E61*Seg1_Tariff*LevTariff*$B$5*E43</f>
        <v>51941.664</v>
      </c>
      <c r="F77" s="95" t="n">
        <f aca="false">F61*Seg1_Tariff*LevTariff*$B$5*F43</f>
        <v>64829.307456</v>
      </c>
      <c r="G77" s="95" t="n">
        <f aca="false">G61*Seg1_Tariff*LevTariff*$B$5*G43</f>
        <v>68777.4122800704</v>
      </c>
      <c r="H77" s="95" t="n">
        <f aca="false">H61*Seg1_Tariff*LevTariff*$B$5*H43</f>
        <v>72965.9566879267</v>
      </c>
      <c r="I77" s="95" t="n">
        <f aca="false">I61*Seg1_Tariff*LevTariff*$B$5*I43</f>
        <v>77409.5834502214</v>
      </c>
      <c r="J77" s="95" t="n">
        <f aca="false">J61*Seg1_Tariff*LevTariff*$B$5*J43</f>
        <v>82123.8270823399</v>
      </c>
      <c r="K77" s="95" t="n">
        <f aca="false">K61*Seg1_Tariff*LevTariff*$B$5*K43</f>
        <v>87125.1681516545</v>
      </c>
      <c r="L77" s="95" t="n">
        <f aca="false">L61*Seg1_Tariff*LevTariff*$B$5*L43</f>
        <v>92431.0908920902</v>
      </c>
      <c r="M77" s="95" t="n">
        <f aca="false">M61*Seg1_Tariff*LevTariff*$B$5*M43</f>
        <v>98060.1443274185</v>
      </c>
      <c r="N77" s="95" t="n">
        <f aca="false">N61*Seg1_Tariff*LevTariff*$B$5*N43</f>
        <v>104032.007116958</v>
      </c>
      <c r="O77" s="95" t="n">
        <f aca="false">O61*Seg1_Tariff*LevTariff*$B$5*O43</f>
        <v>110367.556350381</v>
      </c>
      <c r="P77" s="95" t="n">
        <f aca="false">P61*Seg1_Tariff*LevTariff*$B$5*P43</f>
        <v>117088.940532119</v>
      </c>
      <c r="Q77" s="95" t="n">
        <f aca="false">Q61*Seg1_Tariff*LevTariff*$B$5*Q43</f>
        <v>124219.657010525</v>
      </c>
      <c r="R77" s="95" t="n">
        <f aca="false">R61*Seg1_Tariff*LevTariff*$B$5*R43</f>
        <v>131784.634122466</v>
      </c>
      <c r="S77" s="95" t="n">
        <f aca="false">S61*Seg1_Tariff*LevTariff*$B$5*S43</f>
        <v>139810.318340525</v>
      </c>
      <c r="T77" s="95" t="n">
        <f aca="false">T61*Seg1_Tariff*LevTariff*$B$5*T43</f>
        <v>148324.766727463</v>
      </c>
      <c r="U77" s="95" t="n">
        <f aca="false">U61*Seg1_Tariff*LevTariff*$B$5*U43</f>
        <v>157357.745021165</v>
      </c>
      <c r="V77" s="95" t="n">
        <f aca="false">V61*Seg1_Tariff*LevTariff*$B$5*V43</f>
        <v>166940.831692954</v>
      </c>
      <c r="W77" s="95" t="n">
        <f aca="false">W61*Seg1_Tariff*LevTariff*$B$5*W43</f>
        <v>177107.528343055</v>
      </c>
    </row>
    <row r="78" customFormat="false" ht="15" hidden="false" customHeight="false" outlineLevel="0" collapsed="false">
      <c r="A78" s="11" t="str">
        <f aca="false">"Billed revenue - "&amp;Seg2_Name</f>
        <v>Billed revenue - Productive users (mills, welding, cold rooms)</v>
      </c>
      <c r="B78" s="66" t="n">
        <f aca="false">SUM(C78:W78)</f>
        <v>1432819.63572035</v>
      </c>
      <c r="C78" s="95" t="n">
        <v>0</v>
      </c>
      <c r="D78" s="95" t="n">
        <f aca="false">D62*Seg2_Tariff*LevTariff*$B$5*D43</f>
        <v>23498.8992</v>
      </c>
      <c r="E78" s="95" t="n">
        <f aca="false">E62*Seg2_Tariff*LevTariff*$B$5*E43</f>
        <v>35317.47472848</v>
      </c>
      <c r="F78" s="95" t="n">
        <f aca="false">F62*Seg2_Tariff*LevTariff*$B$5*F43</f>
        <v>44080.3634581699</v>
      </c>
      <c r="G78" s="95" t="n">
        <f aca="false">G62*Seg2_Tariff*LevTariff*$B$5*G43</f>
        <v>46764.8575927725</v>
      </c>
      <c r="H78" s="95" t="n">
        <f aca="false">H62*Seg2_Tariff*LevTariff*$B$5*H43</f>
        <v>49612.8374201723</v>
      </c>
      <c r="I78" s="95" t="n">
        <f aca="false">I62*Seg2_Tariff*LevTariff*$B$5*I43</f>
        <v>52634.2592190608</v>
      </c>
      <c r="J78" s="95" t="n">
        <f aca="false">J62*Seg2_Tariff*LevTariff*$B$5*J43</f>
        <v>55839.6856055016</v>
      </c>
      <c r="K78" s="95" t="n">
        <f aca="false">K62*Seg2_Tariff*LevTariff*$B$5*K43</f>
        <v>59240.3224588767</v>
      </c>
      <c r="L78" s="95" t="n">
        <f aca="false">L62*Seg2_Tariff*LevTariff*$B$5*L43</f>
        <v>62848.0580966223</v>
      </c>
      <c r="M78" s="95" t="n">
        <f aca="false">M62*Seg2_Tariff*LevTariff*$B$5*M43</f>
        <v>66675.5048347066</v>
      </c>
      <c r="N78" s="95" t="n">
        <f aca="false">N62*Seg2_Tariff*LevTariff*$B$5*N43</f>
        <v>70736.0430791402</v>
      </c>
      <c r="O78" s="95" t="n">
        <f aca="false">O62*Seg2_Tariff*LevTariff*$B$5*O43</f>
        <v>75043.8681026598</v>
      </c>
      <c r="P78" s="95" t="n">
        <f aca="false">P62*Seg2_Tariff*LevTariff*$B$5*P43</f>
        <v>79614.0396701118</v>
      </c>
      <c r="Q78" s="95" t="n">
        <f aca="false">Q62*Seg2_Tariff*LevTariff*$B$5*Q43</f>
        <v>84462.5346860216</v>
      </c>
      <c r="R78" s="95" t="n">
        <f aca="false">R62*Seg2_Tariff*LevTariff*$B$5*R43</f>
        <v>89606.3030484004</v>
      </c>
      <c r="S78" s="95" t="n">
        <f aca="false">S62*Seg2_Tariff*LevTariff*$B$5*S43</f>
        <v>95063.3269040479</v>
      </c>
      <c r="T78" s="95" t="n">
        <f aca="false">T62*Seg2_Tariff*LevTariff*$B$5*T43</f>
        <v>100852.683512504</v>
      </c>
      <c r="U78" s="95" t="n">
        <f aca="false">U62*Seg2_Tariff*LevTariff*$B$5*U43</f>
        <v>106994.611938416</v>
      </c>
      <c r="V78" s="95" t="n">
        <f aca="false">V62*Seg2_Tariff*LevTariff*$B$5*V43</f>
        <v>113510.583805466</v>
      </c>
      <c r="W78" s="95" t="n">
        <f aca="false">W62*Seg2_Tariff*LevTariff*$B$5*W43</f>
        <v>120423.378359218</v>
      </c>
    </row>
    <row r="79" customFormat="false" ht="15" hidden="false" customHeight="false" outlineLevel="0" collapsed="false">
      <c r="A79" s="11" t="str">
        <f aca="false">"Billed revenue - "&amp;Seg3_Name</f>
        <v>Billed revenue - Commercial (shops, bars, kiosks)</v>
      </c>
      <c r="B79" s="66" t="n">
        <f aca="false">SUM(C79:W79)</f>
        <v>878024.224827222</v>
      </c>
      <c r="C79" s="95" t="n">
        <v>0</v>
      </c>
      <c r="D79" s="95" t="n">
        <f aca="false">D63*Seg3_Tariff*LevTariff*$B$5*D43</f>
        <v>14400</v>
      </c>
      <c r="E79" s="95" t="n">
        <f aca="false">E63*Seg3_Tariff*LevTariff*$B$5*E43</f>
        <v>21642.36</v>
      </c>
      <c r="F79" s="95" t="n">
        <f aca="false">F63*Seg3_Tariff*LevTariff*$B$5*F43</f>
        <v>27012.21144</v>
      </c>
      <c r="G79" s="95" t="n">
        <f aca="false">G63*Seg3_Tariff*LevTariff*$B$5*G43</f>
        <v>28657.255116696</v>
      </c>
      <c r="H79" s="95" t="n">
        <f aca="false">H63*Seg3_Tariff*LevTariff*$B$5*H43</f>
        <v>30402.4819533028</v>
      </c>
      <c r="I79" s="95" t="n">
        <f aca="false">I63*Seg3_Tariff*LevTariff*$B$5*I43</f>
        <v>32253.9931042589</v>
      </c>
      <c r="J79" s="95" t="n">
        <f aca="false">J63*Seg3_Tariff*LevTariff*$B$5*J43</f>
        <v>34218.2612843083</v>
      </c>
      <c r="K79" s="95" t="n">
        <f aca="false">K63*Seg3_Tariff*LevTariff*$B$5*K43</f>
        <v>36302.1533965227</v>
      </c>
      <c r="L79" s="95" t="n">
        <f aca="false">L63*Seg3_Tariff*LevTariff*$B$5*L43</f>
        <v>38512.9545383709</v>
      </c>
      <c r="M79" s="95" t="n">
        <f aca="false">M63*Seg3_Tariff*LevTariff*$B$5*M43</f>
        <v>40858.3934697577</v>
      </c>
      <c r="N79" s="95" t="n">
        <f aca="false">N63*Seg3_Tariff*LevTariff*$B$5*N43</f>
        <v>43346.669632066</v>
      </c>
      <c r="O79" s="95" t="n">
        <f aca="false">O63*Seg3_Tariff*LevTariff*$B$5*O43</f>
        <v>45986.4818126588</v>
      </c>
      <c r="P79" s="95" t="n">
        <f aca="false">P63*Seg3_Tariff*LevTariff*$B$5*P43</f>
        <v>48787.0585550497</v>
      </c>
      <c r="Q79" s="95" t="n">
        <f aca="false">Q63*Seg3_Tariff*LevTariff*$B$5*Q43</f>
        <v>51758.1904210522</v>
      </c>
      <c r="R79" s="95" t="n">
        <f aca="false">R63*Seg3_Tariff*LevTariff*$B$5*R43</f>
        <v>54910.2642176943</v>
      </c>
      <c r="S79" s="95" t="n">
        <f aca="false">S63*Seg3_Tariff*LevTariff*$B$5*S43</f>
        <v>58254.2993085519</v>
      </c>
      <c r="T79" s="95" t="n">
        <f aca="false">T63*Seg3_Tariff*LevTariff*$B$5*T43</f>
        <v>61801.9861364427</v>
      </c>
      <c r="U79" s="95" t="n">
        <f aca="false">U63*Seg3_Tariff*LevTariff*$B$5*U43</f>
        <v>65565.7270921521</v>
      </c>
      <c r="V79" s="95" t="n">
        <f aca="false">V63*Seg3_Tariff*LevTariff*$B$5*V43</f>
        <v>69558.6798720642</v>
      </c>
      <c r="W79" s="95" t="n">
        <f aca="false">W63*Seg3_Tariff*LevTariff*$B$5*W43</f>
        <v>73794.8034762729</v>
      </c>
    </row>
    <row r="80" customFormat="false" ht="15" hidden="false" customHeight="false" outlineLevel="0" collapsed="false">
      <c r="A80" s="11" t="str">
        <f aca="false">"Billed revenue - "&amp;Seg4_Name</f>
        <v>Billed revenue - Institutions (health centre, school, water)</v>
      </c>
      <c r="B80" s="66" t="n">
        <f aca="false">SUM(C80:W80)</f>
        <v>460962.718034292</v>
      </c>
      <c r="C80" s="95" t="n">
        <v>0</v>
      </c>
      <c r="D80" s="95" t="n">
        <f aca="false">D64*Seg4_Tariff*LevTariff*$B$5*D43</f>
        <v>7560</v>
      </c>
      <c r="E80" s="95" t="n">
        <f aca="false">E64*Seg4_Tariff*LevTariff*$B$5*E43</f>
        <v>11362.239</v>
      </c>
      <c r="F80" s="95" t="n">
        <f aca="false">F64*Seg4_Tariff*LevTariff*$B$5*F43</f>
        <v>14181.411006</v>
      </c>
      <c r="G80" s="95" t="n">
        <f aca="false">G64*Seg4_Tariff*LevTariff*$B$5*G43</f>
        <v>15045.0589362654</v>
      </c>
      <c r="H80" s="95" t="n">
        <f aca="false">H64*Seg4_Tariff*LevTariff*$B$5*H43</f>
        <v>15961.303025484</v>
      </c>
      <c r="I80" s="95" t="n">
        <f aca="false">I64*Seg4_Tariff*LevTariff*$B$5*I43</f>
        <v>16933.3463797359</v>
      </c>
      <c r="J80" s="95" t="n">
        <f aca="false">J64*Seg4_Tariff*LevTariff*$B$5*J43</f>
        <v>17964.5871742619</v>
      </c>
      <c r="K80" s="95" t="n">
        <f aca="false">K64*Seg4_Tariff*LevTariff*$B$5*K43</f>
        <v>19058.6305331744</v>
      </c>
      <c r="L80" s="95" t="n">
        <f aca="false">L64*Seg4_Tariff*LevTariff*$B$5*L43</f>
        <v>20219.3011326447</v>
      </c>
      <c r="M80" s="95" t="n">
        <f aca="false">M64*Seg4_Tariff*LevTariff*$B$5*M43</f>
        <v>21450.6565716228</v>
      </c>
      <c r="N80" s="95" t="n">
        <f aca="false">N64*Seg4_Tariff*LevTariff*$B$5*N43</f>
        <v>22757.0015568346</v>
      </c>
      <c r="O80" s="95" t="n">
        <f aca="false">O64*Seg4_Tariff*LevTariff*$B$5*O43</f>
        <v>24142.9029516459</v>
      </c>
      <c r="P80" s="95" t="n">
        <f aca="false">P64*Seg4_Tariff*LevTariff*$B$5*P43</f>
        <v>25613.2057414011</v>
      </c>
      <c r="Q80" s="95" t="n">
        <f aca="false">Q64*Seg4_Tariff*LevTariff*$B$5*Q43</f>
        <v>27173.0499710524</v>
      </c>
      <c r="R80" s="95" t="n">
        <f aca="false">R64*Seg4_Tariff*LevTariff*$B$5*R43</f>
        <v>28827.8887142895</v>
      </c>
      <c r="S80" s="95" t="n">
        <f aca="false">S64*Seg4_Tariff*LevTariff*$B$5*S43</f>
        <v>30583.5071369897</v>
      </c>
      <c r="T80" s="95" t="n">
        <f aca="false">T64*Seg4_Tariff*LevTariff*$B$5*T43</f>
        <v>32446.0427216324</v>
      </c>
      <c r="U80" s="95" t="n">
        <f aca="false">U64*Seg4_Tariff*LevTariff*$B$5*U43</f>
        <v>34422.0067233798</v>
      </c>
      <c r="V80" s="95" t="n">
        <f aca="false">V64*Seg4_Tariff*LevTariff*$B$5*V43</f>
        <v>36518.3069328337</v>
      </c>
      <c r="W80" s="95" t="n">
        <f aca="false">W64*Seg4_Tariff*LevTariff*$B$5*W43</f>
        <v>38742.2718250432</v>
      </c>
    </row>
    <row r="81" customFormat="false" ht="15" hidden="false" customHeight="false" outlineLevel="0" collapsed="false">
      <c r="A81" s="11" t="str">
        <f aca="false">"Billed revenue - "&amp;Seg5_Name</f>
        <v>Billed revenue - Other / custom</v>
      </c>
      <c r="B81" s="66" t="n">
        <f aca="false">SUM(C81:W81)</f>
        <v>0</v>
      </c>
      <c r="C81" s="95" t="n">
        <v>0</v>
      </c>
      <c r="D81" s="95" t="n">
        <f aca="false">D65*Seg5_Tariff*LevTariff*$B$5*D43</f>
        <v>0</v>
      </c>
      <c r="E81" s="95" t="n">
        <f aca="false">E65*Seg5_Tariff*LevTariff*$B$5*E43</f>
        <v>0</v>
      </c>
      <c r="F81" s="95" t="n">
        <f aca="false">F65*Seg5_Tariff*LevTariff*$B$5*F43</f>
        <v>0</v>
      </c>
      <c r="G81" s="95" t="n">
        <f aca="false">G65*Seg5_Tariff*LevTariff*$B$5*G43</f>
        <v>0</v>
      </c>
      <c r="H81" s="95" t="n">
        <f aca="false">H65*Seg5_Tariff*LevTariff*$B$5*H43</f>
        <v>0</v>
      </c>
      <c r="I81" s="95" t="n">
        <f aca="false">I65*Seg5_Tariff*LevTariff*$B$5*I43</f>
        <v>0</v>
      </c>
      <c r="J81" s="95" t="n">
        <f aca="false">J65*Seg5_Tariff*LevTariff*$B$5*J43</f>
        <v>0</v>
      </c>
      <c r="K81" s="95" t="n">
        <f aca="false">K65*Seg5_Tariff*LevTariff*$B$5*K43</f>
        <v>0</v>
      </c>
      <c r="L81" s="95" t="n">
        <f aca="false">L65*Seg5_Tariff*LevTariff*$B$5*L43</f>
        <v>0</v>
      </c>
      <c r="M81" s="95" t="n">
        <f aca="false">M65*Seg5_Tariff*LevTariff*$B$5*M43</f>
        <v>0</v>
      </c>
      <c r="N81" s="95" t="n">
        <f aca="false">N65*Seg5_Tariff*LevTariff*$B$5*N43</f>
        <v>0</v>
      </c>
      <c r="O81" s="95" t="n">
        <f aca="false">O65*Seg5_Tariff*LevTariff*$B$5*O43</f>
        <v>0</v>
      </c>
      <c r="P81" s="95" t="n">
        <f aca="false">P65*Seg5_Tariff*LevTariff*$B$5*P43</f>
        <v>0</v>
      </c>
      <c r="Q81" s="95" t="n">
        <f aca="false">Q65*Seg5_Tariff*LevTariff*$B$5*Q43</f>
        <v>0</v>
      </c>
      <c r="R81" s="95" t="n">
        <f aca="false">R65*Seg5_Tariff*LevTariff*$B$5*R43</f>
        <v>0</v>
      </c>
      <c r="S81" s="95" t="n">
        <f aca="false">S65*Seg5_Tariff*LevTariff*$B$5*S43</f>
        <v>0</v>
      </c>
      <c r="T81" s="95" t="n">
        <f aca="false">T65*Seg5_Tariff*LevTariff*$B$5*T43</f>
        <v>0</v>
      </c>
      <c r="U81" s="95" t="n">
        <f aca="false">U65*Seg5_Tariff*LevTariff*$B$5*U43</f>
        <v>0</v>
      </c>
      <c r="V81" s="95" t="n">
        <f aca="false">V65*Seg5_Tariff*LevTariff*$B$5*V43</f>
        <v>0</v>
      </c>
      <c r="W81" s="95" t="n">
        <f aca="false">W65*Seg5_Tariff*LevTariff*$B$5*W43</f>
        <v>0</v>
      </c>
    </row>
    <row r="82" customFormat="false" ht="15" hidden="false" customHeight="false" outlineLevel="0" collapsed="false">
      <c r="A82" s="16" t="s">
        <v>431</v>
      </c>
      <c r="B82" s="66" t="n">
        <f aca="false">SUM(C82:W82)</f>
        <v>4879064.7181672</v>
      </c>
      <c r="C82" s="31" t="n">
        <f aca="false">C77+C78+C79+C80+C81</f>
        <v>0</v>
      </c>
      <c r="D82" s="31" t="n">
        <f aca="false">D77+D78+D79+D80+D81</f>
        <v>80018.8992</v>
      </c>
      <c r="E82" s="31" t="n">
        <f aca="false">E77+E78+E79+E80+E81</f>
        <v>120263.73772848</v>
      </c>
      <c r="F82" s="31" t="n">
        <f aca="false">F77+F78+F79+F80+F81</f>
        <v>150103.29336017</v>
      </c>
      <c r="G82" s="31" t="n">
        <f aca="false">G77+G78+G79+G80+G81</f>
        <v>159244.583925804</v>
      </c>
      <c r="H82" s="31" t="n">
        <f aca="false">H77+H78+H79+H80+H81</f>
        <v>168942.579086886</v>
      </c>
      <c r="I82" s="31" t="n">
        <f aca="false">I77+I78+I79+I80+I81</f>
        <v>179231.182153277</v>
      </c>
      <c r="J82" s="31" t="n">
        <f aca="false">J77+J78+J79+J80+J81</f>
        <v>190146.361146412</v>
      </c>
      <c r="K82" s="31" t="n">
        <f aca="false">K77+K78+K79+K80+K81</f>
        <v>201726.274540228</v>
      </c>
      <c r="L82" s="31" t="n">
        <f aca="false">L77+L78+L79+L80+L81</f>
        <v>214011.404659728</v>
      </c>
      <c r="M82" s="31" t="n">
        <f aca="false">M77+M78+M79+M80+M81</f>
        <v>227044.699203506</v>
      </c>
      <c r="N82" s="31" t="n">
        <f aca="false">N77+N78+N79+N80+N81</f>
        <v>240871.721384999</v>
      </c>
      <c r="O82" s="31" t="n">
        <f aca="false">O77+O78+O79+O80+O81</f>
        <v>255540.809217346</v>
      </c>
      <c r="P82" s="31" t="n">
        <f aca="false">P77+P78+P79+P80+P81</f>
        <v>271103.244498682</v>
      </c>
      <c r="Q82" s="31" t="n">
        <f aca="false">Q77+Q78+Q79+Q80+Q81</f>
        <v>287613.432088652</v>
      </c>
      <c r="R82" s="31" t="n">
        <f aca="false">R77+R78+R79+R80+R81</f>
        <v>305129.090102851</v>
      </c>
      <c r="S82" s="31" t="n">
        <f aca="false">S77+S78+S79+S80+S81</f>
        <v>323711.451690114</v>
      </c>
      <c r="T82" s="31" t="n">
        <f aca="false">T77+T78+T79+T80+T81</f>
        <v>343425.479098042</v>
      </c>
      <c r="U82" s="31" t="n">
        <f aca="false">U77+U78+U79+U80+U81</f>
        <v>364340.090775113</v>
      </c>
      <c r="V82" s="31" t="n">
        <f aca="false">V77+V78+V79+V80+V81</f>
        <v>386528.402303317</v>
      </c>
      <c r="W82" s="31" t="n">
        <f aca="false">W77+W78+W79+W80+W81</f>
        <v>410067.982003589</v>
      </c>
    </row>
    <row r="83" customFormat="false" ht="15" hidden="false" customHeight="false" outlineLevel="0" collapsed="false">
      <c r="A83" s="11" t="s">
        <v>432</v>
      </c>
      <c r="B83" s="66" t="n">
        <f aca="false">SUM(C83:W83)</f>
        <v>4488739.54071382</v>
      </c>
      <c r="C83" s="95" t="n">
        <v>0</v>
      </c>
      <c r="D83" s="95" t="n">
        <f aca="false">D82*MIN(1,Collection*LevColl*$B$9)</f>
        <v>73617.387264</v>
      </c>
      <c r="E83" s="95" t="n">
        <f aca="false">E82*MIN(1,Collection*LevColl*$B$9)</f>
        <v>110642.638710202</v>
      </c>
      <c r="F83" s="95" t="n">
        <f aca="false">F82*MIN(1,Collection*LevColl*$B$9)</f>
        <v>138095.029891356</v>
      </c>
      <c r="G83" s="95" t="n">
        <f aca="false">G82*MIN(1,Collection*LevColl*$B$9)</f>
        <v>146505.01721174</v>
      </c>
      <c r="H83" s="95" t="n">
        <f aca="false">H82*MIN(1,Collection*LevColl*$B$9)</f>
        <v>155427.172759935</v>
      </c>
      <c r="I83" s="95" t="n">
        <f aca="false">I82*MIN(1,Collection*LevColl*$B$9)</f>
        <v>164892.687581015</v>
      </c>
      <c r="J83" s="95" t="n">
        <f aca="false">J82*MIN(1,Collection*LevColl*$B$9)</f>
        <v>174934.652254699</v>
      </c>
      <c r="K83" s="95" t="n">
        <f aca="false">K82*MIN(1,Collection*LevColl*$B$9)</f>
        <v>185588.17257701</v>
      </c>
      <c r="L83" s="95" t="n">
        <f aca="false">L82*MIN(1,Collection*LevColl*$B$9)</f>
        <v>196890.49228695</v>
      </c>
      <c r="M83" s="95" t="n">
        <f aca="false">M82*MIN(1,Collection*LevColl*$B$9)</f>
        <v>208881.123267225</v>
      </c>
      <c r="N83" s="95" t="n">
        <f aca="false">N82*MIN(1,Collection*LevColl*$B$9)</f>
        <v>221601.983674199</v>
      </c>
      <c r="O83" s="95" t="n">
        <f aca="false">O82*MIN(1,Collection*LevColl*$B$9)</f>
        <v>235097.544479958</v>
      </c>
      <c r="P83" s="95" t="n">
        <f aca="false">P82*MIN(1,Collection*LevColl*$B$9)</f>
        <v>249414.984938787</v>
      </c>
      <c r="Q83" s="95" t="n">
        <f aca="false">Q82*MIN(1,Collection*LevColl*$B$9)</f>
        <v>264604.357521559</v>
      </c>
      <c r="R83" s="95" t="n">
        <f aca="false">R82*MIN(1,Collection*LevColl*$B$9)</f>
        <v>280718.762894623</v>
      </c>
      <c r="S83" s="95" t="n">
        <f aca="false">S82*MIN(1,Collection*LevColl*$B$9)</f>
        <v>297814.535554905</v>
      </c>
      <c r="T83" s="95" t="n">
        <f aca="false">T82*MIN(1,Collection*LevColl*$B$9)</f>
        <v>315951.440770199</v>
      </c>
      <c r="U83" s="95" t="n">
        <f aca="false">U82*MIN(1,Collection*LevColl*$B$9)</f>
        <v>335192.883513104</v>
      </c>
      <c r="V83" s="95" t="n">
        <f aca="false">V82*MIN(1,Collection*LevColl*$B$9)</f>
        <v>355606.130119052</v>
      </c>
      <c r="W83" s="95" t="n">
        <f aca="false">W82*MIN(1,Collection*LevColl*$B$9)</f>
        <v>377262.543443302</v>
      </c>
    </row>
    <row r="84" customFormat="false" ht="15" hidden="false" customHeight="false" outlineLevel="0" collapsed="false">
      <c r="A84" s="11" t="s">
        <v>433</v>
      </c>
      <c r="B84" s="66" t="n">
        <f aca="false">SUM(C84:W84)</f>
        <v>11500</v>
      </c>
      <c r="C84" s="95" t="n">
        <v>0</v>
      </c>
      <c r="D84" s="95" t="n">
        <f aca="false">D54*Seg1_Fee+D55*Seg2_Fee+D56*Seg3_Fee+D57*Seg4_Fee+D58*Seg5_Fee</f>
        <v>6900</v>
      </c>
      <c r="E84" s="95" t="n">
        <f aca="false">E54*Seg1_Fee+E55*Seg2_Fee+E56*Seg3_Fee+E57*Seg4_Fee+E58*Seg5_Fee</f>
        <v>2875</v>
      </c>
      <c r="F84" s="95" t="n">
        <f aca="false">F54*Seg1_Fee+F55*Seg2_Fee+F56*Seg3_Fee+F57*Seg4_Fee+F58*Seg5_Fee</f>
        <v>1725</v>
      </c>
      <c r="G84" s="95" t="n">
        <f aca="false">G54*Seg1_Fee+G55*Seg2_Fee+G56*Seg3_Fee+G57*Seg4_Fee+G58*Seg5_Fee</f>
        <v>0</v>
      </c>
      <c r="H84" s="95" t="n">
        <f aca="false">H54*Seg1_Fee+H55*Seg2_Fee+H56*Seg3_Fee+H57*Seg4_Fee+H58*Seg5_Fee</f>
        <v>0</v>
      </c>
      <c r="I84" s="95" t="n">
        <f aca="false">I54*Seg1_Fee+I55*Seg2_Fee+I56*Seg3_Fee+I57*Seg4_Fee+I58*Seg5_Fee</f>
        <v>0</v>
      </c>
      <c r="J84" s="95" t="n">
        <f aca="false">J54*Seg1_Fee+J55*Seg2_Fee+J56*Seg3_Fee+J57*Seg4_Fee+J58*Seg5_Fee</f>
        <v>0</v>
      </c>
      <c r="K84" s="95" t="n">
        <f aca="false">K54*Seg1_Fee+K55*Seg2_Fee+K56*Seg3_Fee+K57*Seg4_Fee+K58*Seg5_Fee</f>
        <v>0</v>
      </c>
      <c r="L84" s="95" t="n">
        <f aca="false">L54*Seg1_Fee+L55*Seg2_Fee+L56*Seg3_Fee+L57*Seg4_Fee+L58*Seg5_Fee</f>
        <v>0</v>
      </c>
      <c r="M84" s="95" t="n">
        <f aca="false">M54*Seg1_Fee+M55*Seg2_Fee+M56*Seg3_Fee+M57*Seg4_Fee+M58*Seg5_Fee</f>
        <v>0</v>
      </c>
      <c r="N84" s="95" t="n">
        <f aca="false">N54*Seg1_Fee+N55*Seg2_Fee+N56*Seg3_Fee+N57*Seg4_Fee+N58*Seg5_Fee</f>
        <v>0</v>
      </c>
      <c r="O84" s="95" t="n">
        <f aca="false">O54*Seg1_Fee+O55*Seg2_Fee+O56*Seg3_Fee+O57*Seg4_Fee+O58*Seg5_Fee</f>
        <v>0</v>
      </c>
      <c r="P84" s="95" t="n">
        <f aca="false">P54*Seg1_Fee+P55*Seg2_Fee+P56*Seg3_Fee+P57*Seg4_Fee+P58*Seg5_Fee</f>
        <v>0</v>
      </c>
      <c r="Q84" s="95" t="n">
        <f aca="false">Q54*Seg1_Fee+Q55*Seg2_Fee+Q56*Seg3_Fee+Q57*Seg4_Fee+Q58*Seg5_Fee</f>
        <v>0</v>
      </c>
      <c r="R84" s="95" t="n">
        <f aca="false">R54*Seg1_Fee+R55*Seg2_Fee+R56*Seg3_Fee+R57*Seg4_Fee+R58*Seg5_Fee</f>
        <v>0</v>
      </c>
      <c r="S84" s="95" t="n">
        <f aca="false">S54*Seg1_Fee+S55*Seg2_Fee+S56*Seg3_Fee+S57*Seg4_Fee+S58*Seg5_Fee</f>
        <v>0</v>
      </c>
      <c r="T84" s="95" t="n">
        <f aca="false">T54*Seg1_Fee+T55*Seg2_Fee+T56*Seg3_Fee+T57*Seg4_Fee+T58*Seg5_Fee</f>
        <v>0</v>
      </c>
      <c r="U84" s="95" t="n">
        <f aca="false">U54*Seg1_Fee+U55*Seg2_Fee+U56*Seg3_Fee+U57*Seg4_Fee+U58*Seg5_Fee</f>
        <v>0</v>
      </c>
      <c r="V84" s="95" t="n">
        <f aca="false">V54*Seg1_Fee+V55*Seg2_Fee+V56*Seg3_Fee+V57*Seg4_Fee+V58*Seg5_Fee</f>
        <v>0</v>
      </c>
      <c r="W84" s="95" t="n">
        <f aca="false">W54*Seg1_Fee+W55*Seg2_Fee+W56*Seg3_Fee+W57*Seg4_Fee+W58*Seg5_Fee</f>
        <v>0</v>
      </c>
    </row>
    <row r="85" customFormat="false" ht="15" hidden="false" customHeight="false" outlineLevel="0" collapsed="false">
      <c r="A85" s="16" t="s">
        <v>434</v>
      </c>
      <c r="B85" s="66" t="n">
        <f aca="false">SUM(C85:W85)</f>
        <v>4500239.54071382</v>
      </c>
      <c r="C85" s="31" t="n">
        <f aca="false">C83+C84</f>
        <v>0</v>
      </c>
      <c r="D85" s="31" t="n">
        <f aca="false">D83+D84</f>
        <v>80517.387264</v>
      </c>
      <c r="E85" s="31" t="n">
        <f aca="false">E83+E84</f>
        <v>113517.638710202</v>
      </c>
      <c r="F85" s="31" t="n">
        <f aca="false">F83+F84</f>
        <v>139820.029891356</v>
      </c>
      <c r="G85" s="31" t="n">
        <f aca="false">G83+G84</f>
        <v>146505.01721174</v>
      </c>
      <c r="H85" s="31" t="n">
        <f aca="false">H83+H84</f>
        <v>155427.172759935</v>
      </c>
      <c r="I85" s="31" t="n">
        <f aca="false">I83+I84</f>
        <v>164892.687581015</v>
      </c>
      <c r="J85" s="31" t="n">
        <f aca="false">J83+J84</f>
        <v>174934.652254699</v>
      </c>
      <c r="K85" s="31" t="n">
        <f aca="false">K83+K84</f>
        <v>185588.17257701</v>
      </c>
      <c r="L85" s="31" t="n">
        <f aca="false">L83+L84</f>
        <v>196890.49228695</v>
      </c>
      <c r="M85" s="31" t="n">
        <f aca="false">M83+M84</f>
        <v>208881.123267225</v>
      </c>
      <c r="N85" s="31" t="n">
        <f aca="false">N83+N84</f>
        <v>221601.983674199</v>
      </c>
      <c r="O85" s="31" t="n">
        <f aca="false">O83+O84</f>
        <v>235097.544479958</v>
      </c>
      <c r="P85" s="31" t="n">
        <f aca="false">P83+P84</f>
        <v>249414.984938787</v>
      </c>
      <c r="Q85" s="31" t="n">
        <f aca="false">Q83+Q84</f>
        <v>264604.357521559</v>
      </c>
      <c r="R85" s="31" t="n">
        <f aca="false">R83+R84</f>
        <v>280718.762894623</v>
      </c>
      <c r="S85" s="31" t="n">
        <f aca="false">S83+S84</f>
        <v>297814.535554905</v>
      </c>
      <c r="T85" s="31" t="n">
        <f aca="false">T83+T84</f>
        <v>315951.440770199</v>
      </c>
      <c r="U85" s="31" t="n">
        <f aca="false">U83+U84</f>
        <v>335192.883513104</v>
      </c>
      <c r="V85" s="31" t="n">
        <f aca="false">V83+V84</f>
        <v>355606.130119052</v>
      </c>
      <c r="W85" s="31" t="n">
        <f aca="false">W83+W84</f>
        <v>377262.543443302</v>
      </c>
    </row>
    <row r="87" customFormat="false" ht="15" hidden="false" customHeight="false" outlineLevel="0" collapsed="false">
      <c r="A87" s="9" t="s">
        <v>435</v>
      </c>
      <c r="B87" s="10"/>
      <c r="C87" s="10"/>
      <c r="D87" s="10"/>
      <c r="E87" s="10"/>
      <c r="F87" s="10"/>
      <c r="G87" s="10"/>
      <c r="H87" s="10"/>
      <c r="I87" s="10"/>
      <c r="J87" s="10"/>
      <c r="K87" s="10"/>
      <c r="L87" s="10"/>
      <c r="M87" s="10"/>
      <c r="N87" s="10"/>
      <c r="O87" s="10"/>
      <c r="P87" s="10"/>
      <c r="Q87" s="10"/>
      <c r="R87" s="10"/>
      <c r="S87" s="10"/>
      <c r="T87" s="10"/>
      <c r="U87" s="10"/>
      <c r="V87" s="10"/>
      <c r="W87" s="10"/>
    </row>
    <row r="88" customFormat="false" ht="15" hidden="false" customHeight="false" outlineLevel="0" collapsed="false">
      <c r="A88" s="11" t="s">
        <v>162</v>
      </c>
      <c r="B88" s="66" t="n">
        <f aca="false">SUM(C88:W88)</f>
        <v>679197.868676078</v>
      </c>
      <c r="C88" s="95" t="n">
        <v>0</v>
      </c>
      <c r="D88" s="95" t="n">
        <f aca="false">S_Rate_Hi!$B$15*O_FixedPct*D44*LevOpex*$B$8*D41</f>
        <v>25276.8292810589</v>
      </c>
      <c r="E88" s="95" t="n">
        <f aca="false">S_Rate_Hi!$B$15*O_FixedPct*E44*LevOpex*$B$8*E41</f>
        <v>26035.1341594906</v>
      </c>
      <c r="F88" s="95" t="n">
        <f aca="false">S_Rate_Hi!$B$15*O_FixedPct*F44*LevOpex*$B$8*F41</f>
        <v>26816.1881842753</v>
      </c>
      <c r="G88" s="95" t="n">
        <f aca="false">S_Rate_Hi!$B$15*O_FixedPct*G44*LevOpex*$B$8*G41</f>
        <v>27620.6738298036</v>
      </c>
      <c r="H88" s="95" t="n">
        <f aca="false">S_Rate_Hi!$B$15*O_FixedPct*H44*LevOpex*$B$8*H41</f>
        <v>28449.2940446977</v>
      </c>
      <c r="I88" s="95" t="n">
        <f aca="false">S_Rate_Hi!$B$15*O_FixedPct*I44*LevOpex*$B$8*I41</f>
        <v>29302.7728660386</v>
      </c>
      <c r="J88" s="95" t="n">
        <f aca="false">S_Rate_Hi!$B$15*O_FixedPct*J44*LevOpex*$B$8*J41</f>
        <v>30181.8560520198</v>
      </c>
      <c r="K88" s="95" t="n">
        <f aca="false">S_Rate_Hi!$B$15*O_FixedPct*K44*LevOpex*$B$8*K41</f>
        <v>31087.3117335804</v>
      </c>
      <c r="L88" s="95" t="n">
        <f aca="false">S_Rate_Hi!$B$15*O_FixedPct*L44*LevOpex*$B$8*L41</f>
        <v>32019.9310855878</v>
      </c>
      <c r="M88" s="95" t="n">
        <f aca="false">S_Rate_Hi!$B$15*O_FixedPct*M44*LevOpex*$B$8*M41</f>
        <v>32980.5290181554</v>
      </c>
      <c r="N88" s="95" t="n">
        <f aca="false">S_Rate_Hi!$B$15*O_FixedPct*N44*LevOpex*$B$8*N41</f>
        <v>33969.9448887001</v>
      </c>
      <c r="O88" s="95" t="n">
        <f aca="false">S_Rate_Hi!$B$15*O_FixedPct*O44*LevOpex*$B$8*O41</f>
        <v>34989.0432353611</v>
      </c>
      <c r="P88" s="95" t="n">
        <f aca="false">S_Rate_Hi!$B$15*O_FixedPct*P44*LevOpex*$B$8*P41</f>
        <v>36038.7145324219</v>
      </c>
      <c r="Q88" s="95" t="n">
        <f aca="false">S_Rate_Hi!$B$15*O_FixedPct*Q44*LevOpex*$B$8*Q41</f>
        <v>37119.8759683946</v>
      </c>
      <c r="R88" s="95" t="n">
        <f aca="false">S_Rate_Hi!$B$15*O_FixedPct*R44*LevOpex*$B$8*R41</f>
        <v>38233.4722474465</v>
      </c>
      <c r="S88" s="95" t="n">
        <f aca="false">S_Rate_Hi!$B$15*O_FixedPct*S44*LevOpex*$B$8*S41</f>
        <v>39380.4764148698</v>
      </c>
      <c r="T88" s="95" t="n">
        <f aca="false">S_Rate_Hi!$B$15*O_FixedPct*T44*LevOpex*$B$8*T41</f>
        <v>40561.8907073159</v>
      </c>
      <c r="U88" s="95" t="n">
        <f aca="false">S_Rate_Hi!$B$15*O_FixedPct*U44*LevOpex*$B$8*U41</f>
        <v>41778.7474285354</v>
      </c>
      <c r="V88" s="95" t="n">
        <f aca="false">S_Rate_Hi!$B$15*O_FixedPct*V44*LevOpex*$B$8*V41</f>
        <v>43032.1098513915</v>
      </c>
      <c r="W88" s="95" t="n">
        <f aca="false">S_Rate_Hi!$B$15*O_FixedPct*W44*LevOpex*$B$8*W41</f>
        <v>44323.0731469332</v>
      </c>
    </row>
    <row r="89" customFormat="false" ht="15" hidden="false" customHeight="false" outlineLevel="0" collapsed="false">
      <c r="A89" s="11" t="s">
        <v>436</v>
      </c>
      <c r="B89" s="66" t="n">
        <f aca="false">SUM(C89:W89)</f>
        <v>483666.740801648</v>
      </c>
      <c r="C89" s="95" t="n">
        <v>0</v>
      </c>
      <c r="D89" s="95" t="n">
        <f aca="false">O_Staff*D44*LevOpex*$B$8*D41</f>
        <v>18000</v>
      </c>
      <c r="E89" s="95" t="n">
        <f aca="false">O_Staff*E44*LevOpex*$B$8*E41</f>
        <v>18540</v>
      </c>
      <c r="F89" s="95" t="n">
        <f aca="false">O_Staff*F44*LevOpex*$B$8*F41</f>
        <v>19096.2</v>
      </c>
      <c r="G89" s="95" t="n">
        <f aca="false">O_Staff*G44*LevOpex*$B$8*G41</f>
        <v>19669.086</v>
      </c>
      <c r="H89" s="95" t="n">
        <f aca="false">O_Staff*H44*LevOpex*$B$8*H41</f>
        <v>20259.15858</v>
      </c>
      <c r="I89" s="95" t="n">
        <f aca="false">O_Staff*I44*LevOpex*$B$8*I41</f>
        <v>20866.9333374</v>
      </c>
      <c r="J89" s="95" t="n">
        <f aca="false">O_Staff*J44*LevOpex*$B$8*J41</f>
        <v>21492.941337522</v>
      </c>
      <c r="K89" s="95" t="n">
        <f aca="false">O_Staff*K44*LevOpex*$B$8*K41</f>
        <v>22137.7295776477</v>
      </c>
      <c r="L89" s="95" t="n">
        <f aca="false">O_Staff*L44*LevOpex*$B$8*L41</f>
        <v>22801.8614649771</v>
      </c>
      <c r="M89" s="95" t="n">
        <f aca="false">O_Staff*M44*LevOpex*$B$8*M41</f>
        <v>23485.9173089264</v>
      </c>
      <c r="N89" s="95" t="n">
        <f aca="false">O_Staff*N44*LevOpex*$B$8*N41</f>
        <v>24190.4948281942</v>
      </c>
      <c r="O89" s="95" t="n">
        <f aca="false">O_Staff*O44*LevOpex*$B$8*O41</f>
        <v>24916.20967304</v>
      </c>
      <c r="P89" s="95" t="n">
        <f aca="false">O_Staff*P44*LevOpex*$B$8*P41</f>
        <v>25663.6959632312</v>
      </c>
      <c r="Q89" s="95" t="n">
        <f aca="false">O_Staff*Q44*LevOpex*$B$8*Q41</f>
        <v>26433.6068421282</v>
      </c>
      <c r="R89" s="95" t="n">
        <f aca="false">O_Staff*R44*LevOpex*$B$8*R41</f>
        <v>27226.615047392</v>
      </c>
      <c r="S89" s="95" t="n">
        <f aca="false">O_Staff*S44*LevOpex*$B$8*S41</f>
        <v>28043.4134988138</v>
      </c>
      <c r="T89" s="95" t="n">
        <f aca="false">O_Staff*T44*LevOpex*$B$8*T41</f>
        <v>28884.7159037782</v>
      </c>
      <c r="U89" s="95" t="n">
        <f aca="false">O_Staff*U44*LevOpex*$B$8*U41</f>
        <v>29751.2573808915</v>
      </c>
      <c r="V89" s="95" t="n">
        <f aca="false">O_Staff*V44*LevOpex*$B$8*V41</f>
        <v>30643.7951023183</v>
      </c>
      <c r="W89" s="95" t="n">
        <f aca="false">O_Staff*W44*LevOpex*$B$8*W41</f>
        <v>31563.1089553878</v>
      </c>
    </row>
    <row r="90" customFormat="false" ht="15" hidden="false" customHeight="false" outlineLevel="0" collapsed="false">
      <c r="A90" s="11" t="s">
        <v>165</v>
      </c>
      <c r="B90" s="66" t="n">
        <f aca="false">SUM(C90:W90)</f>
        <v>156215.509795498</v>
      </c>
      <c r="C90" s="95" t="n">
        <v>0</v>
      </c>
      <c r="D90" s="95" t="n">
        <f aca="false">S_Rate_Hi!$B$14*O_InsPct*D44*LevOpex*$B$8*D41</f>
        <v>5813.67073464354</v>
      </c>
      <c r="E90" s="95" t="n">
        <f aca="false">S_Rate_Hi!$B$14*O_InsPct*E44*LevOpex*$B$8*E41</f>
        <v>5988.08085668284</v>
      </c>
      <c r="F90" s="95" t="n">
        <f aca="false">S_Rate_Hi!$B$14*O_InsPct*F44*LevOpex*$B$8*F41</f>
        <v>6167.72328238333</v>
      </c>
      <c r="G90" s="95" t="n">
        <f aca="false">S_Rate_Hi!$B$14*O_InsPct*G44*LevOpex*$B$8*G41</f>
        <v>6352.75498085483</v>
      </c>
      <c r="H90" s="95" t="n">
        <f aca="false">S_Rate_Hi!$B$14*O_InsPct*H44*LevOpex*$B$8*H41</f>
        <v>6543.33763028047</v>
      </c>
      <c r="I90" s="95" t="n">
        <f aca="false">S_Rate_Hi!$B$14*O_InsPct*I44*LevOpex*$B$8*I41</f>
        <v>6739.63775918889</v>
      </c>
      <c r="J90" s="95" t="n">
        <f aca="false">S_Rate_Hi!$B$14*O_InsPct*J44*LevOpex*$B$8*J41</f>
        <v>6941.82689196455</v>
      </c>
      <c r="K90" s="95" t="n">
        <f aca="false">S_Rate_Hi!$B$14*O_InsPct*K44*LevOpex*$B$8*K41</f>
        <v>7150.08169872349</v>
      </c>
      <c r="L90" s="95" t="n">
        <f aca="false">S_Rate_Hi!$B$14*O_InsPct*L44*LevOpex*$B$8*L41</f>
        <v>7364.5841496852</v>
      </c>
      <c r="M90" s="95" t="n">
        <f aca="false">S_Rate_Hi!$B$14*O_InsPct*M44*LevOpex*$B$8*M41</f>
        <v>7585.52167417575</v>
      </c>
      <c r="N90" s="95" t="n">
        <f aca="false">S_Rate_Hi!$B$14*O_InsPct*N44*LevOpex*$B$8*N41</f>
        <v>7813.08732440103</v>
      </c>
      <c r="O90" s="95" t="n">
        <f aca="false">S_Rate_Hi!$B$14*O_InsPct*O44*LevOpex*$B$8*O41</f>
        <v>8047.47994413306</v>
      </c>
      <c r="P90" s="95" t="n">
        <f aca="false">S_Rate_Hi!$B$14*O_InsPct*P44*LevOpex*$B$8*P41</f>
        <v>8288.90434245705</v>
      </c>
      <c r="Q90" s="95" t="n">
        <f aca="false">S_Rate_Hi!$B$14*O_InsPct*Q44*LevOpex*$B$8*Q41</f>
        <v>8537.57147273076</v>
      </c>
      <c r="R90" s="95" t="n">
        <f aca="false">S_Rate_Hi!$B$14*O_InsPct*R44*LevOpex*$B$8*R41</f>
        <v>8793.69861691268</v>
      </c>
      <c r="S90" s="95" t="n">
        <f aca="false">S_Rate_Hi!$B$14*O_InsPct*S44*LevOpex*$B$8*S41</f>
        <v>9057.50957542006</v>
      </c>
      <c r="T90" s="95" t="n">
        <f aca="false">S_Rate_Hi!$B$14*O_InsPct*T44*LevOpex*$B$8*T41</f>
        <v>9329.23486268267</v>
      </c>
      <c r="U90" s="95" t="n">
        <f aca="false">S_Rate_Hi!$B$14*O_InsPct*U44*LevOpex*$B$8*U41</f>
        <v>9609.11190856315</v>
      </c>
      <c r="V90" s="95" t="n">
        <f aca="false">S_Rate_Hi!$B$14*O_InsPct*V44*LevOpex*$B$8*V41</f>
        <v>9897.38526582004</v>
      </c>
      <c r="W90" s="95" t="n">
        <f aca="false">S_Rate_Hi!$B$14*O_InsPct*W44*LevOpex*$B$8*W41</f>
        <v>10194.3068237946</v>
      </c>
    </row>
    <row r="91" customFormat="false" ht="15" hidden="false" customHeight="false" outlineLevel="0" collapsed="false">
      <c r="A91" s="11" t="s">
        <v>437</v>
      </c>
      <c r="B91" s="66" t="n">
        <f aca="false">SUM(C91:W91)</f>
        <v>80611.1234669414</v>
      </c>
      <c r="C91" s="95" t="n">
        <v>0</v>
      </c>
      <c r="D91" s="95" t="n">
        <f aca="false">O_Fees*D44*LevOpex*$B$8*D41</f>
        <v>3000</v>
      </c>
      <c r="E91" s="95" t="n">
        <f aca="false">O_Fees*E44*LevOpex*$B$8*E41</f>
        <v>3090</v>
      </c>
      <c r="F91" s="95" t="n">
        <f aca="false">O_Fees*F44*LevOpex*$B$8*F41</f>
        <v>3182.7</v>
      </c>
      <c r="G91" s="95" t="n">
        <f aca="false">O_Fees*G44*LevOpex*$B$8*G41</f>
        <v>3278.181</v>
      </c>
      <c r="H91" s="95" t="n">
        <f aca="false">O_Fees*H44*LevOpex*$B$8*H41</f>
        <v>3376.52643</v>
      </c>
      <c r="I91" s="95" t="n">
        <f aca="false">O_Fees*I44*LevOpex*$B$8*I41</f>
        <v>3477.8222229</v>
      </c>
      <c r="J91" s="95" t="n">
        <f aca="false">O_Fees*J44*LevOpex*$B$8*J41</f>
        <v>3582.156889587</v>
      </c>
      <c r="K91" s="95" t="n">
        <f aca="false">O_Fees*K44*LevOpex*$B$8*K41</f>
        <v>3689.62159627461</v>
      </c>
      <c r="L91" s="95" t="n">
        <f aca="false">O_Fees*L44*LevOpex*$B$8*L41</f>
        <v>3800.31024416285</v>
      </c>
      <c r="M91" s="95" t="n">
        <f aca="false">O_Fees*M44*LevOpex*$B$8*M41</f>
        <v>3914.31955148773</v>
      </c>
      <c r="N91" s="95" t="n">
        <f aca="false">O_Fees*N44*LevOpex*$B$8*N41</f>
        <v>4031.74913803237</v>
      </c>
      <c r="O91" s="95" t="n">
        <f aca="false">O_Fees*O44*LevOpex*$B$8*O41</f>
        <v>4152.70161217334</v>
      </c>
      <c r="P91" s="95" t="n">
        <f aca="false">O_Fees*P44*LevOpex*$B$8*P41</f>
        <v>4277.28266053854</v>
      </c>
      <c r="Q91" s="95" t="n">
        <f aca="false">O_Fees*Q44*LevOpex*$B$8*Q41</f>
        <v>4405.60114035469</v>
      </c>
      <c r="R91" s="95" t="n">
        <f aca="false">O_Fees*R44*LevOpex*$B$8*R41</f>
        <v>4537.76917456534</v>
      </c>
      <c r="S91" s="95" t="n">
        <f aca="false">O_Fees*S44*LevOpex*$B$8*S41</f>
        <v>4673.9022498023</v>
      </c>
      <c r="T91" s="95" t="n">
        <f aca="false">O_Fees*T44*LevOpex*$B$8*T41</f>
        <v>4814.11931729637</v>
      </c>
      <c r="U91" s="95" t="n">
        <f aca="false">O_Fees*U44*LevOpex*$B$8*U41</f>
        <v>4958.54289681526</v>
      </c>
      <c r="V91" s="95" t="n">
        <f aca="false">O_Fees*V44*LevOpex*$B$8*V41</f>
        <v>5107.29918371971</v>
      </c>
      <c r="W91" s="95" t="n">
        <f aca="false">O_Fees*W44*LevOpex*$B$8*W41</f>
        <v>5260.51815923131</v>
      </c>
    </row>
    <row r="92" customFormat="false" ht="15" hidden="false" customHeight="false" outlineLevel="0" collapsed="false">
      <c r="A92" s="11" t="s">
        <v>438</v>
      </c>
      <c r="B92" s="66" t="n">
        <f aca="false">SUM(C92:W92)</f>
        <v>107481.497955922</v>
      </c>
      <c r="C92" s="95" t="n">
        <v>0</v>
      </c>
      <c r="D92" s="95" t="n">
        <f aca="false">O_MRV*D44*LevOpex*$B$8*D41</f>
        <v>4000</v>
      </c>
      <c r="E92" s="95" t="n">
        <f aca="false">O_MRV*E44*LevOpex*$B$8*E41</f>
        <v>4120</v>
      </c>
      <c r="F92" s="95" t="n">
        <f aca="false">O_MRV*F44*LevOpex*$B$8*F41</f>
        <v>4243.6</v>
      </c>
      <c r="G92" s="95" t="n">
        <f aca="false">O_MRV*G44*LevOpex*$B$8*G41</f>
        <v>4370.908</v>
      </c>
      <c r="H92" s="95" t="n">
        <f aca="false">O_MRV*H44*LevOpex*$B$8*H41</f>
        <v>4502.03524</v>
      </c>
      <c r="I92" s="95" t="n">
        <f aca="false">O_MRV*I44*LevOpex*$B$8*I41</f>
        <v>4637.0962972</v>
      </c>
      <c r="J92" s="95" t="n">
        <f aca="false">O_MRV*J44*LevOpex*$B$8*J41</f>
        <v>4776.209186116</v>
      </c>
      <c r="K92" s="95" t="n">
        <f aca="false">O_MRV*K44*LevOpex*$B$8*K41</f>
        <v>4919.49546169948</v>
      </c>
      <c r="L92" s="95" t="n">
        <f aca="false">O_MRV*L44*LevOpex*$B$8*L41</f>
        <v>5067.08032555047</v>
      </c>
      <c r="M92" s="95" t="n">
        <f aca="false">O_MRV*M44*LevOpex*$B$8*M41</f>
        <v>5219.09273531698</v>
      </c>
      <c r="N92" s="95" t="n">
        <f aca="false">O_MRV*N44*LevOpex*$B$8*N41</f>
        <v>5375.66551737649</v>
      </c>
      <c r="O92" s="95" t="n">
        <f aca="false">O_MRV*O44*LevOpex*$B$8*O41</f>
        <v>5536.93548289778</v>
      </c>
      <c r="P92" s="95" t="n">
        <f aca="false">O_MRV*P44*LevOpex*$B$8*P41</f>
        <v>5703.04354738472</v>
      </c>
      <c r="Q92" s="95" t="n">
        <f aca="false">O_MRV*Q44*LevOpex*$B$8*Q41</f>
        <v>5874.13485380626</v>
      </c>
      <c r="R92" s="95" t="n">
        <f aca="false">O_MRV*R44*LevOpex*$B$8*R41</f>
        <v>6050.35889942045</v>
      </c>
      <c r="S92" s="95" t="n">
        <f aca="false">O_MRV*S44*LevOpex*$B$8*S41</f>
        <v>6231.86966640306</v>
      </c>
      <c r="T92" s="95" t="n">
        <f aca="false">O_MRV*T44*LevOpex*$B$8*T41</f>
        <v>6418.82575639515</v>
      </c>
      <c r="U92" s="95" t="n">
        <f aca="false">O_MRV*U44*LevOpex*$B$8*U41</f>
        <v>6611.39052908701</v>
      </c>
      <c r="V92" s="95" t="n">
        <f aca="false">O_MRV*V44*LevOpex*$B$8*V41</f>
        <v>6809.73224495962</v>
      </c>
      <c r="W92" s="95" t="n">
        <f aca="false">O_MRV*W44*LevOpex*$B$8*W41</f>
        <v>7014.02421230841</v>
      </c>
    </row>
    <row r="93" customFormat="false" ht="15" hidden="false" customHeight="false" outlineLevel="0" collapsed="false">
      <c r="A93" s="11" t="s">
        <v>439</v>
      </c>
      <c r="B93" s="66" t="n">
        <f aca="false">SUM(C93:W93)</f>
        <v>135007.186221415</v>
      </c>
      <c r="C93" s="95" t="n">
        <v>0</v>
      </c>
      <c r="D93" s="95" t="n">
        <f aca="false">D85*O_CustPct</f>
        <v>2415.52161792</v>
      </c>
      <c r="E93" s="95" t="n">
        <f aca="false">E85*O_CustPct</f>
        <v>3405.52916130605</v>
      </c>
      <c r="F93" s="95" t="n">
        <f aca="false">F85*O_CustPct</f>
        <v>4194.60089674069</v>
      </c>
      <c r="G93" s="95" t="n">
        <f aca="false">G85*O_CustPct</f>
        <v>4395.1505163522</v>
      </c>
      <c r="H93" s="95" t="n">
        <f aca="false">H85*O_CustPct</f>
        <v>4662.81518279805</v>
      </c>
      <c r="I93" s="95" t="n">
        <f aca="false">I85*O_CustPct</f>
        <v>4946.78062743045</v>
      </c>
      <c r="J93" s="95" t="n">
        <f aca="false">J85*O_CustPct</f>
        <v>5248.03956764096</v>
      </c>
      <c r="K93" s="95" t="n">
        <f aca="false">K85*O_CustPct</f>
        <v>5567.6451773103</v>
      </c>
      <c r="L93" s="95" t="n">
        <f aca="false">L85*O_CustPct</f>
        <v>5906.7147686085</v>
      </c>
      <c r="M93" s="95" t="n">
        <f aca="false">M85*O_CustPct</f>
        <v>6266.43369801675</v>
      </c>
      <c r="N93" s="95" t="n">
        <f aca="false">N85*O_CustPct</f>
        <v>6648.05951022597</v>
      </c>
      <c r="O93" s="95" t="n">
        <f aca="false">O85*O_CustPct</f>
        <v>7052.92633439874</v>
      </c>
      <c r="P93" s="95" t="n">
        <f aca="false">P85*O_CustPct</f>
        <v>7482.44954816362</v>
      </c>
      <c r="Q93" s="95" t="n">
        <f aca="false">Q85*O_CustPct</f>
        <v>7938.13072564678</v>
      </c>
      <c r="R93" s="95" t="n">
        <f aca="false">R85*O_CustPct</f>
        <v>8421.56288683868</v>
      </c>
      <c r="S93" s="95" t="n">
        <f aca="false">S85*O_CustPct</f>
        <v>8934.43606664715</v>
      </c>
      <c r="T93" s="95" t="n">
        <f aca="false">T85*O_CustPct</f>
        <v>9478.54322310596</v>
      </c>
      <c r="U93" s="95" t="n">
        <f aca="false">U85*O_CustPct</f>
        <v>10055.7865053931</v>
      </c>
      <c r="V93" s="95" t="n">
        <f aca="false">V85*O_CustPct</f>
        <v>10668.1839035716</v>
      </c>
      <c r="W93" s="95" t="n">
        <f aca="false">W85*O_CustPct</f>
        <v>11317.8763032991</v>
      </c>
    </row>
    <row r="94" customFormat="false" ht="15" hidden="false" customHeight="false" outlineLevel="0" collapsed="false">
      <c r="A94" s="11" t="s">
        <v>440</v>
      </c>
      <c r="B94" s="66" t="n">
        <f aca="false">SUM(C94:W94)</f>
        <v>117570.051282715</v>
      </c>
      <c r="C94" s="95" t="n">
        <v>0</v>
      </c>
      <c r="D94" s="95" t="n">
        <f aca="false">D72*O_DieselOM*D44*LevOpex*$B$8</f>
        <v>719.794472727272</v>
      </c>
      <c r="E94" s="95" t="n">
        <f aca="false">E72*O_DieselOM*E44*LevOpex*$B$8</f>
        <v>1081.80910449818</v>
      </c>
      <c r="F94" s="95" t="n">
        <f aca="false">F72*O_DieselOM*F44*LevOpex*$B$8</f>
        <v>1350.22503407308</v>
      </c>
      <c r="G94" s="95" t="n">
        <f aca="false">G72*O_DieselOM*G44*LevOpex*$B$8</f>
        <v>1432.45373864813</v>
      </c>
      <c r="H94" s="95" t="n">
        <f aca="false">H72*O_DieselOM*H44*LevOpex*$B$8</f>
        <v>1519.69017133181</v>
      </c>
      <c r="I94" s="95" t="n">
        <f aca="false">I72*O_DieselOM*I44*LevOpex*$B$8</f>
        <v>1612.23930276591</v>
      </c>
      <c r="J94" s="95" t="n">
        <f aca="false">J72*O_DieselOM*J44*LevOpex*$B$8</f>
        <v>1841.45816530084</v>
      </c>
      <c r="K94" s="95" t="n">
        <f aca="false">K72*O_DieselOM*K44*LevOpex*$B$8</f>
        <v>2503.82649651629</v>
      </c>
      <c r="L94" s="95" t="n">
        <f aca="false">L72*O_DieselOM*L44*LevOpex*$B$8</f>
        <v>3220.20611379713</v>
      </c>
      <c r="M94" s="95" t="n">
        <f aca="false">M72*O_DieselOM*M44*LevOpex*$B$8</f>
        <v>3994.2260798739</v>
      </c>
      <c r="N94" s="95" t="n">
        <f aca="false">N72*O_DieselOM*N44*LevOpex*$B$8</f>
        <v>4829.74491081635</v>
      </c>
      <c r="O94" s="95" t="n">
        <f aca="false">O72*O_DieselOM*O44*LevOpex*$B$8</f>
        <v>5730.86475956075</v>
      </c>
      <c r="P94" s="95" t="n">
        <f aca="false">P72*O_DieselOM*P44*LevOpex*$B$8</f>
        <v>6701.94646842802</v>
      </c>
      <c r="Q94" s="95" t="n">
        <f aca="false">Q72*O_DieselOM*Q44*LevOpex*$B$8</f>
        <v>7747.62554368381</v>
      </c>
      <c r="R94" s="95" t="n">
        <f aca="false">R72*O_DieselOM*R44*LevOpex*$B$8</f>
        <v>8872.82910842559</v>
      </c>
      <c r="S94" s="95" t="n">
        <f aca="false">S72*O_DieselOM*S44*LevOpex*$B$8</f>
        <v>10082.7938935131</v>
      </c>
      <c r="T94" s="95" t="n">
        <f aca="false">T72*O_DieselOM*T44*LevOpex*$B$8</f>
        <v>11383.0853298981</v>
      </c>
      <c r="U94" s="95" t="n">
        <f aca="false">U72*O_DieselOM*U44*LevOpex*$B$8</f>
        <v>12779.6178095725</v>
      </c>
      <c r="V94" s="95" t="n">
        <f aca="false">V72*O_DieselOM*V44*LevOpex*$B$8</f>
        <v>14278.6761864487</v>
      </c>
      <c r="W94" s="95" t="n">
        <f aca="false">W72*O_DieselOM*W44*LevOpex*$B$8</f>
        <v>15886.9385928357</v>
      </c>
    </row>
    <row r="95" customFormat="false" ht="15" hidden="false" customHeight="false" outlineLevel="0" collapsed="false">
      <c r="A95" s="11" t="s">
        <v>441</v>
      </c>
      <c r="B95" s="66" t="n">
        <f aca="false">SUM(C95:W95)</f>
        <v>1567600.68376954</v>
      </c>
      <c r="C95" s="95" t="n">
        <v>0</v>
      </c>
      <c r="D95" s="95" t="n">
        <f aca="false">D74*FuelPrice*LevFuel*$B$10*D44</f>
        <v>9597.25963636363</v>
      </c>
      <c r="E95" s="95" t="n">
        <f aca="false">E74*FuelPrice*LevFuel*$B$10*E44</f>
        <v>14424.1213933091</v>
      </c>
      <c r="F95" s="95" t="n">
        <f aca="false">F74*FuelPrice*LevFuel*$B$10*F44</f>
        <v>18003.0004543078</v>
      </c>
      <c r="G95" s="95" t="n">
        <f aca="false">G74*FuelPrice*LevFuel*$B$10*G44</f>
        <v>19099.3831819751</v>
      </c>
      <c r="H95" s="95" t="n">
        <f aca="false">H74*FuelPrice*LevFuel*$B$10*H44</f>
        <v>20262.5356177574</v>
      </c>
      <c r="I95" s="95" t="n">
        <f aca="false">I74*FuelPrice*LevFuel*$B$10*I44</f>
        <v>21496.5240368788</v>
      </c>
      <c r="J95" s="95" t="n">
        <f aca="false">J74*FuelPrice*LevFuel*$B$10*J44</f>
        <v>24552.7755373446</v>
      </c>
      <c r="K95" s="95" t="n">
        <f aca="false">K74*FuelPrice*LevFuel*$B$10*K44</f>
        <v>33384.3532868839</v>
      </c>
      <c r="L95" s="95" t="n">
        <f aca="false">L74*FuelPrice*LevFuel*$B$10*L44</f>
        <v>42936.0815172951</v>
      </c>
      <c r="M95" s="95" t="n">
        <f aca="false">M74*FuelPrice*LevFuel*$B$10*M44</f>
        <v>53256.3477316521</v>
      </c>
      <c r="N95" s="95" t="n">
        <f aca="false">N74*FuelPrice*LevFuel*$B$10*N44</f>
        <v>64396.5988108847</v>
      </c>
      <c r="O95" s="95" t="n">
        <f aca="false">O74*FuelPrice*LevFuel*$B$10*O44</f>
        <v>76411.5301274767</v>
      </c>
      <c r="P95" s="95" t="n">
        <f aca="false">P74*FuelPrice*LevFuel*$B$10*P44</f>
        <v>89359.2862457069</v>
      </c>
      <c r="Q95" s="95" t="n">
        <f aca="false">Q74*FuelPrice*LevFuel*$B$10*Q44</f>
        <v>103301.673915784</v>
      </c>
      <c r="R95" s="95" t="n">
        <f aca="false">R74*FuelPrice*LevFuel*$B$10*R44</f>
        <v>118304.388112341</v>
      </c>
      <c r="S95" s="95" t="n">
        <f aca="false">S74*FuelPrice*LevFuel*$B$10*S44</f>
        <v>134437.251913507</v>
      </c>
      <c r="T95" s="95" t="n">
        <f aca="false">T74*FuelPrice*LevFuel*$B$10*T44</f>
        <v>151774.471065308</v>
      </c>
      <c r="U95" s="95" t="n">
        <f aca="false">U74*FuelPrice*LevFuel*$B$10*U44</f>
        <v>170394.904127634</v>
      </c>
      <c r="V95" s="95" t="n">
        <f aca="false">V74*FuelPrice*LevFuel*$B$10*V44</f>
        <v>190382.34915265</v>
      </c>
      <c r="W95" s="95" t="n">
        <f aca="false">W74*FuelPrice*LevFuel*$B$10*W44</f>
        <v>211825.847904476</v>
      </c>
    </row>
    <row r="96" customFormat="false" ht="15" hidden="false" customHeight="false" outlineLevel="0" collapsed="false">
      <c r="A96" s="16" t="s">
        <v>442</v>
      </c>
      <c r="B96" s="66" t="n">
        <f aca="false">SUM(C96:W96)</f>
        <v>3327350.66196975</v>
      </c>
      <c r="C96" s="31" t="n">
        <f aca="false">C88+C89+C90+C91+C92+C93+C94+C95</f>
        <v>0</v>
      </c>
      <c r="D96" s="31" t="n">
        <f aca="false">D88+D89+D90+D91+D92+D93+D94+D95</f>
        <v>68823.0757427133</v>
      </c>
      <c r="E96" s="31" t="n">
        <f aca="false">E88+E89+E90+E91+E92+E93+E94+E95</f>
        <v>76684.6746752868</v>
      </c>
      <c r="F96" s="31" t="n">
        <f aca="false">F88+F89+F90+F91+F92+F93+F94+F95</f>
        <v>83054.2378517802</v>
      </c>
      <c r="G96" s="31" t="n">
        <f aca="false">G88+G89+G90+G91+G92+G93+G94+G95</f>
        <v>86218.5912476339</v>
      </c>
      <c r="H96" s="31" t="n">
        <f aca="false">H88+H89+H90+H91+H92+H93+H94+H95</f>
        <v>89575.3928968655</v>
      </c>
      <c r="I96" s="31" t="n">
        <f aca="false">I88+I89+I90+I91+I92+I93+I94+I95</f>
        <v>93079.8064498027</v>
      </c>
      <c r="J96" s="31" t="n">
        <f aca="false">J88+J89+J90+J91+J92+J93+J94+J95</f>
        <v>98617.2636274957</v>
      </c>
      <c r="K96" s="31" t="n">
        <f aca="false">K88+K89+K90+K91+K92+K93+K94+K95</f>
        <v>110440.065028636</v>
      </c>
      <c r="L96" s="31" t="n">
        <f aca="false">L88+L89+L90+L91+L92+L93+L94+L95</f>
        <v>123116.769669664</v>
      </c>
      <c r="M96" s="31" t="n">
        <f aca="false">M88+M89+M90+M91+M92+M93+M94+M95</f>
        <v>136702.387797605</v>
      </c>
      <c r="N96" s="31" t="n">
        <f aca="false">N88+N89+N90+N91+N92+N93+N94+N95</f>
        <v>151255.344928631</v>
      </c>
      <c r="O96" s="31" t="n">
        <f aca="false">O88+O89+O90+O91+O92+O93+O94+O95</f>
        <v>166837.691169041</v>
      </c>
      <c r="P96" s="31" t="n">
        <f aca="false">P88+P89+P90+P91+P92+P93+P94+P95</f>
        <v>183515.323308332</v>
      </c>
      <c r="Q96" s="31" t="n">
        <f aca="false">Q88+Q89+Q90+Q91+Q92+Q93+Q94+Q95</f>
        <v>201358.220462529</v>
      </c>
      <c r="R96" s="31" t="n">
        <f aca="false">R88+R89+R90+R91+R92+R93+R94+R95</f>
        <v>220440.694093342</v>
      </c>
      <c r="S96" s="31" t="n">
        <f aca="false">S88+S89+S90+S91+S92+S93+S94+S95</f>
        <v>240841.653278977</v>
      </c>
      <c r="T96" s="31" t="n">
        <f aca="false">T88+T89+T90+T91+T92+T93+T94+T95</f>
        <v>262644.886165781</v>
      </c>
      <c r="U96" s="31" t="n">
        <f aca="false">U88+U89+U90+U91+U92+U93+U94+U95</f>
        <v>285939.358586492</v>
      </c>
      <c r="V96" s="31" t="n">
        <f aca="false">V88+V89+V90+V91+V92+V93+V94+V95</f>
        <v>310819.530890879</v>
      </c>
      <c r="W96" s="31" t="n">
        <f aca="false">W88+W89+W90+W91+W92+W93+W94+W95</f>
        <v>337385.694098266</v>
      </c>
    </row>
    <row r="98" customFormat="false" ht="15" hidden="false" customHeight="false" outlineLevel="0" collapsed="false">
      <c r="A98" s="16" t="s">
        <v>443</v>
      </c>
      <c r="B98" s="66" t="n">
        <f aca="false">SUM(C98:W98)</f>
        <v>1172888.87874407</v>
      </c>
      <c r="C98" s="31" t="n">
        <f aca="false">C85-C96</f>
        <v>0</v>
      </c>
      <c r="D98" s="31" t="n">
        <f aca="false">D85-D96</f>
        <v>11694.3115212867</v>
      </c>
      <c r="E98" s="31" t="n">
        <f aca="false">E85-E96</f>
        <v>36832.9640349148</v>
      </c>
      <c r="F98" s="31" t="n">
        <f aca="false">F85-F96</f>
        <v>56765.7920395761</v>
      </c>
      <c r="G98" s="31" t="n">
        <f aca="false">G85-G96</f>
        <v>60286.425964106</v>
      </c>
      <c r="H98" s="31" t="n">
        <f aca="false">H85-H96</f>
        <v>65851.7798630695</v>
      </c>
      <c r="I98" s="31" t="n">
        <f aca="false">I85-I96</f>
        <v>71812.8811312122</v>
      </c>
      <c r="J98" s="31" t="n">
        <f aca="false">J85-J96</f>
        <v>76317.3886272031</v>
      </c>
      <c r="K98" s="31" t="n">
        <f aca="false">K85-K96</f>
        <v>75148.1075483738</v>
      </c>
      <c r="L98" s="31" t="n">
        <f aca="false">L85-L96</f>
        <v>73773.7226172858</v>
      </c>
      <c r="M98" s="31" t="n">
        <f aca="false">M85-M96</f>
        <v>72178.7354696201</v>
      </c>
      <c r="N98" s="31" t="n">
        <f aca="false">N85-N96</f>
        <v>70346.6387455679</v>
      </c>
      <c r="O98" s="31" t="n">
        <f aca="false">O85-O96</f>
        <v>68259.8533109164</v>
      </c>
      <c r="P98" s="31" t="n">
        <f aca="false">P85-P96</f>
        <v>65899.6616304553</v>
      </c>
      <c r="Q98" s="31" t="n">
        <f aca="false">Q85-Q96</f>
        <v>63246.1370590302</v>
      </c>
      <c r="R98" s="31" t="n">
        <f aca="false">R85-R96</f>
        <v>60278.0688012801</v>
      </c>
      <c r="S98" s="31" t="n">
        <f aca="false">S85-S96</f>
        <v>56972.8822759284</v>
      </c>
      <c r="T98" s="31" t="n">
        <f aca="false">T85-T96</f>
        <v>53306.5546044182</v>
      </c>
      <c r="U98" s="31" t="n">
        <f aca="false">U85-U96</f>
        <v>49253.5249266123</v>
      </c>
      <c r="V98" s="31" t="n">
        <f aca="false">V85-V96</f>
        <v>44786.599228173</v>
      </c>
      <c r="W98" s="31" t="n">
        <f aca="false">W85-W96</f>
        <v>39876.8493450363</v>
      </c>
    </row>
    <row r="99" customFormat="false" ht="15" hidden="false" customHeight="false" outlineLevel="0" collapsed="false">
      <c r="A99" s="11" t="s">
        <v>444</v>
      </c>
      <c r="C99" s="91" t="n">
        <v>0</v>
      </c>
      <c r="D99" s="91" t="n">
        <f aca="false">IFERROR(D98/D85,0)</f>
        <v>0.145239580153582</v>
      </c>
      <c r="E99" s="91" t="n">
        <f aca="false">IFERROR(E98/E85,0)</f>
        <v>0.32446908210402</v>
      </c>
      <c r="F99" s="91" t="n">
        <f aca="false">IFERROR(F98/F85,0)</f>
        <v>0.405991845972888</v>
      </c>
      <c r="G99" s="91" t="n">
        <f aca="false">IFERROR(G98/G85,0)</f>
        <v>0.411497347404667</v>
      </c>
      <c r="H99" s="91" t="n">
        <f aca="false">IFERROR(H98/H85,0)</f>
        <v>0.423682543365701</v>
      </c>
      <c r="I99" s="91" t="n">
        <f aca="false">IFERROR(I98/I85,0)</f>
        <v>0.435512830706511</v>
      </c>
      <c r="J99" s="91" t="n">
        <f aca="false">IFERROR(J98/J85,0)</f>
        <v>0.436262270759755</v>
      </c>
      <c r="K99" s="91" t="n">
        <f aca="false">IFERROR(K98/K85,0)</f>
        <v>0.404918624419296</v>
      </c>
      <c r="L99" s="91" t="n">
        <f aca="false">IFERROR(L98/L85,0)</f>
        <v>0.37469418538386</v>
      </c>
      <c r="M99" s="91" t="n">
        <f aca="false">IFERROR(M98/M85,0)</f>
        <v>0.345549345678693</v>
      </c>
      <c r="N99" s="91" t="n">
        <f aca="false">IFERROR(N98/N85,0)</f>
        <v>0.317445889153195</v>
      </c>
      <c r="O99" s="91" t="n">
        <f aca="false">IFERROR(O98/O85,0)</f>
        <v>0.290346942848378</v>
      </c>
      <c r="P99" s="91" t="n">
        <f aca="false">IFERROR(P98/P85,0)</f>
        <v>0.264216930055861</v>
      </c>
      <c r="Q99" s="91" t="n">
        <f aca="false">IFERROR(Q98/Q85,0)</f>
        <v>0.239021525009757</v>
      </c>
      <c r="R99" s="91" t="n">
        <f aca="false">IFERROR(R98/R85,0)</f>
        <v>0.214727609154888</v>
      </c>
      <c r="S99" s="91" t="n">
        <f aca="false">IFERROR(S98/S85,0)</f>
        <v>0.191303228936671</v>
      </c>
      <c r="T99" s="91" t="n">
        <f aca="false">IFERROR(T98/T85,0)</f>
        <v>0.168717555059955</v>
      </c>
      <c r="U99" s="91" t="n">
        <f aca="false">IFERROR(U98/U85,0)</f>
        <v>0.146940843165863</v>
      </c>
      <c r="V99" s="91" t="n">
        <f aca="false">IFERROR(V98/V85,0)</f>
        <v>0.125944395877481</v>
      </c>
      <c r="W99" s="91" t="n">
        <f aca="false">IFERROR(W98/W85,0)</f>
        <v>0.105700526166943</v>
      </c>
    </row>
    <row r="101" customFormat="false" ht="15" hidden="false" customHeight="false" outlineLevel="0" collapsed="false">
      <c r="A101" s="9" t="s">
        <v>445</v>
      </c>
      <c r="B101" s="10"/>
      <c r="C101" s="10"/>
      <c r="D101" s="10"/>
      <c r="E101" s="10"/>
      <c r="F101" s="10"/>
      <c r="G101" s="10"/>
      <c r="H101" s="10"/>
      <c r="I101" s="10"/>
      <c r="J101" s="10"/>
      <c r="K101" s="10"/>
      <c r="L101" s="10"/>
      <c r="M101" s="10"/>
      <c r="N101" s="10"/>
      <c r="O101" s="10"/>
      <c r="P101" s="10"/>
      <c r="Q101" s="10"/>
      <c r="R101" s="10"/>
      <c r="S101" s="10"/>
      <c r="T101" s="10"/>
      <c r="U101" s="10"/>
      <c r="V101" s="10"/>
      <c r="W101" s="10"/>
    </row>
    <row r="102" customFormat="false" ht="15" hidden="false" customHeight="false" outlineLevel="0" collapsed="false">
      <c r="A102" s="11" t="s">
        <v>446</v>
      </c>
      <c r="B102" s="66" t="n">
        <f aca="false">C102+NPV(Hurdle,D102:W102)</f>
        <v>1162734.14692871</v>
      </c>
      <c r="C102" s="95" t="n">
        <f aca="false">S_Rate_Hi!$B$14</f>
        <v>1162734.14692871</v>
      </c>
      <c r="D102" s="95" t="n">
        <f aca="false">0</f>
        <v>0</v>
      </c>
      <c r="E102" s="95" t="n">
        <f aca="false">0</f>
        <v>0</v>
      </c>
      <c r="F102" s="95" t="n">
        <f aca="false">0</f>
        <v>0</v>
      </c>
      <c r="G102" s="95" t="n">
        <f aca="false">0</f>
        <v>0</v>
      </c>
      <c r="H102" s="95" t="n">
        <f aca="false">0</f>
        <v>0</v>
      </c>
      <c r="I102" s="95" t="n">
        <f aca="false">0</f>
        <v>0</v>
      </c>
      <c r="J102" s="95" t="n">
        <f aca="false">0</f>
        <v>0</v>
      </c>
      <c r="K102" s="95" t="n">
        <f aca="false">0</f>
        <v>0</v>
      </c>
      <c r="L102" s="95" t="n">
        <f aca="false">0</f>
        <v>0</v>
      </c>
      <c r="M102" s="95" t="n">
        <f aca="false">0</f>
        <v>0</v>
      </c>
      <c r="N102" s="95" t="n">
        <f aca="false">0</f>
        <v>0</v>
      </c>
      <c r="O102" s="95" t="n">
        <f aca="false">0</f>
        <v>0</v>
      </c>
      <c r="P102" s="95" t="n">
        <f aca="false">0</f>
        <v>0</v>
      </c>
      <c r="Q102" s="95" t="n">
        <f aca="false">0</f>
        <v>0</v>
      </c>
      <c r="R102" s="95" t="n">
        <f aca="false">0</f>
        <v>0</v>
      </c>
      <c r="S102" s="95" t="n">
        <f aca="false">0</f>
        <v>0</v>
      </c>
      <c r="T102" s="95" t="n">
        <f aca="false">0</f>
        <v>0</v>
      </c>
      <c r="U102" s="95" t="n">
        <f aca="false">0</f>
        <v>0</v>
      </c>
      <c r="V102" s="95" t="n">
        <f aca="false">0</f>
        <v>0</v>
      </c>
      <c r="W102" s="95" t="n">
        <f aca="false">0</f>
        <v>0</v>
      </c>
    </row>
    <row r="103" customFormat="false" ht="15" hidden="false" customHeight="false" outlineLevel="0" collapsed="false">
      <c r="A103" s="11" t="s">
        <v>447</v>
      </c>
      <c r="B103" s="66" t="n">
        <f aca="false">C103+NPV(Hurdle,D103:W103)</f>
        <v>123132.446168426</v>
      </c>
      <c r="C103" s="95" t="n">
        <v>0</v>
      </c>
      <c r="D103" s="95" t="n">
        <f aca="false">IF(AND(D41=1,MOD(D39,BattLife)=0,D39&lt;Life),BESS_kWh*C_BattRepl*LevCapex*$B$7*D44,0)</f>
        <v>0</v>
      </c>
      <c r="E103" s="95" t="n">
        <f aca="false">IF(AND(E41=1,MOD(E39,BattLife)=0,E39&lt;Life),BESS_kWh*C_BattRepl*LevCapex*$B$7*E44,0)</f>
        <v>0</v>
      </c>
      <c r="F103" s="95" t="n">
        <f aca="false">IF(AND(F41=1,MOD(F39,BattLife)=0,F39&lt;Life),BESS_kWh*C_BattRepl*LevCapex*$B$7*F44,0)</f>
        <v>0</v>
      </c>
      <c r="G103" s="95" t="n">
        <f aca="false">IF(AND(G41=1,MOD(G39,BattLife)=0,G39&lt;Life),BESS_kWh*C_BattRepl*LevCapex*$B$7*G44,0)</f>
        <v>0</v>
      </c>
      <c r="H103" s="95" t="n">
        <f aca="false">IF(AND(H41=1,MOD(H39,BattLife)=0,H39&lt;Life),BESS_kWh*C_BattRepl*LevCapex*$B$7*H44,0)</f>
        <v>0</v>
      </c>
      <c r="I103" s="95" t="n">
        <f aca="false">IF(AND(I41=1,MOD(I39,BattLife)=0,I39&lt;Life),BESS_kWh*C_BattRepl*LevCapex*$B$7*I44,0)</f>
        <v>0</v>
      </c>
      <c r="J103" s="95" t="n">
        <f aca="false">IF(AND(J41=1,MOD(J39,BattLife)=0,J39&lt;Life),BESS_kWh*C_BattRepl*LevCapex*$B$7*J44,0)</f>
        <v>0</v>
      </c>
      <c r="K103" s="95" t="n">
        <f aca="false">IF(AND(K41=1,MOD(K39,BattLife)=0,K39&lt;Life),BESS_kWh*C_BattRepl*LevCapex*$B$7*K44,0)</f>
        <v>165903.437704701</v>
      </c>
      <c r="L103" s="95" t="n">
        <f aca="false">IF(AND(L41=1,MOD(L39,BattLife)=0,L39&lt;Life),BESS_kWh*C_BattRepl*LevCapex*$B$7*L44,0)</f>
        <v>0</v>
      </c>
      <c r="M103" s="95" t="n">
        <f aca="false">IF(AND(M41=1,MOD(M39,BattLife)=0,M39&lt;Life),BESS_kWh*C_BattRepl*LevCapex*$B$7*M44,0)</f>
        <v>0</v>
      </c>
      <c r="N103" s="95" t="n">
        <f aca="false">IF(AND(N41=1,MOD(N39,BattLife)=0,N39&lt;Life),BESS_kWh*C_BattRepl*LevCapex*$B$7*N44,0)</f>
        <v>0</v>
      </c>
      <c r="O103" s="95" t="n">
        <f aca="false">IF(AND(O41=1,MOD(O39,BattLife)=0,O39&lt;Life),BESS_kWh*C_BattRepl*LevCapex*$B$7*O44,0)</f>
        <v>0</v>
      </c>
      <c r="P103" s="95" t="n">
        <f aca="false">IF(AND(P41=1,MOD(P39,BattLife)=0,P39&lt;Life),BESS_kWh*C_BattRepl*LevCapex*$B$7*P44,0)</f>
        <v>0</v>
      </c>
      <c r="Q103" s="95" t="n">
        <f aca="false">IF(AND(Q41=1,MOD(Q39,BattLife)=0,Q39&lt;Life),BESS_kWh*C_BattRepl*LevCapex*$B$7*Q44,0)</f>
        <v>0</v>
      </c>
      <c r="R103" s="95" t="n">
        <f aca="false">IF(AND(R41=1,MOD(R39,BattLife)=0,R39&lt;Life),BESS_kWh*C_BattRepl*LevCapex*$B$7*R44,0)</f>
        <v>0</v>
      </c>
      <c r="S103" s="95" t="n">
        <f aca="false">IF(AND(S41=1,MOD(S39,BattLife)=0,S39&lt;Life),BESS_kWh*C_BattRepl*LevCapex*$B$7*S44,0)</f>
        <v>210161.51128367</v>
      </c>
      <c r="T103" s="95" t="n">
        <f aca="false">IF(AND(T41=1,MOD(T39,BattLife)=0,T39&lt;Life),BESS_kWh*C_BattRepl*LevCapex*$B$7*T44,0)</f>
        <v>0</v>
      </c>
      <c r="U103" s="95" t="n">
        <f aca="false">IF(AND(U41=1,MOD(U39,BattLife)=0,U39&lt;Life),BESS_kWh*C_BattRepl*LevCapex*$B$7*U44,0)</f>
        <v>0</v>
      </c>
      <c r="V103" s="95" t="n">
        <f aca="false">IF(AND(V41=1,MOD(V39,BattLife)=0,V39&lt;Life),BESS_kWh*C_BattRepl*LevCapex*$B$7*V44,0)</f>
        <v>0</v>
      </c>
      <c r="W103" s="95" t="n">
        <f aca="false">IF(AND(W41=1,MOD(W39,BattLife)=0,W39&lt;Life),BESS_kWh*C_BattRepl*LevCapex*$B$7*W44,0)</f>
        <v>0</v>
      </c>
    </row>
    <row r="104" customFormat="false" ht="15" hidden="false" customHeight="false" outlineLevel="0" collapsed="false">
      <c r="A104" s="11" t="s">
        <v>448</v>
      </c>
      <c r="B104" s="66" t="n">
        <f aca="false">SUM(C104:W104)</f>
        <v>376064.948988371</v>
      </c>
      <c r="C104" s="95" t="n">
        <v>0</v>
      </c>
      <c r="D104" s="95" t="n">
        <f aca="false">IF(AND(UseMRA=1,D41=1,CEILING(D39,BattLife)&lt;Life),BESS_kWh*C_BattRepl*LevCapex*$B$7*(1+CostEsc)^(CEILING(D39,BattLife)-1)/BattLife,0)</f>
        <v>20737.9297130877</v>
      </c>
      <c r="E104" s="95" t="n">
        <f aca="false">IF(AND(UseMRA=1,E41=1,CEILING(E39,BattLife)&lt;Life),BESS_kWh*C_BattRepl*LevCapex*$B$7*(1+CostEsc)^(CEILING(E39,BattLife)-1)/BattLife,0)</f>
        <v>20737.9297130877</v>
      </c>
      <c r="F104" s="95" t="n">
        <f aca="false">IF(AND(UseMRA=1,F41=1,CEILING(F39,BattLife)&lt;Life),BESS_kWh*C_BattRepl*LevCapex*$B$7*(1+CostEsc)^(CEILING(F39,BattLife)-1)/BattLife,0)</f>
        <v>20737.9297130877</v>
      </c>
      <c r="G104" s="95" t="n">
        <f aca="false">IF(AND(UseMRA=1,G41=1,CEILING(G39,BattLife)&lt;Life),BESS_kWh*C_BattRepl*LevCapex*$B$7*(1+CostEsc)^(CEILING(G39,BattLife)-1)/BattLife,0)</f>
        <v>20737.9297130877</v>
      </c>
      <c r="H104" s="95" t="n">
        <f aca="false">IF(AND(UseMRA=1,H41=1,CEILING(H39,BattLife)&lt;Life),BESS_kWh*C_BattRepl*LevCapex*$B$7*(1+CostEsc)^(CEILING(H39,BattLife)-1)/BattLife,0)</f>
        <v>20737.9297130877</v>
      </c>
      <c r="I104" s="95" t="n">
        <f aca="false">IF(AND(UseMRA=1,I41=1,CEILING(I39,BattLife)&lt;Life),BESS_kWh*C_BattRepl*LevCapex*$B$7*(1+CostEsc)^(CEILING(I39,BattLife)-1)/BattLife,0)</f>
        <v>20737.9297130877</v>
      </c>
      <c r="J104" s="95" t="n">
        <f aca="false">IF(AND(UseMRA=1,J41=1,CEILING(J39,BattLife)&lt;Life),BESS_kWh*C_BattRepl*LevCapex*$B$7*(1+CostEsc)^(CEILING(J39,BattLife)-1)/BattLife,0)</f>
        <v>20737.9297130877</v>
      </c>
      <c r="K104" s="95" t="n">
        <f aca="false">IF(AND(UseMRA=1,K41=1,CEILING(K39,BattLife)&lt;Life),BESS_kWh*C_BattRepl*LevCapex*$B$7*(1+CostEsc)^(CEILING(K39,BattLife)-1)/BattLife,0)</f>
        <v>20737.9297130877</v>
      </c>
      <c r="L104" s="95" t="n">
        <f aca="false">IF(AND(UseMRA=1,L41=1,CEILING(L39,BattLife)&lt;Life),BESS_kWh*C_BattRepl*LevCapex*$B$7*(1+CostEsc)^(CEILING(L39,BattLife)-1)/BattLife,0)</f>
        <v>26270.1889104587</v>
      </c>
      <c r="M104" s="95" t="n">
        <f aca="false">IF(AND(UseMRA=1,M41=1,CEILING(M39,BattLife)&lt;Life),BESS_kWh*C_BattRepl*LevCapex*$B$7*(1+CostEsc)^(CEILING(M39,BattLife)-1)/BattLife,0)</f>
        <v>26270.1889104587</v>
      </c>
      <c r="N104" s="95" t="n">
        <f aca="false">IF(AND(UseMRA=1,N41=1,CEILING(N39,BattLife)&lt;Life),BESS_kWh*C_BattRepl*LevCapex*$B$7*(1+CostEsc)^(CEILING(N39,BattLife)-1)/BattLife,0)</f>
        <v>26270.1889104587</v>
      </c>
      <c r="O104" s="95" t="n">
        <f aca="false">IF(AND(UseMRA=1,O41=1,CEILING(O39,BattLife)&lt;Life),BESS_kWh*C_BattRepl*LevCapex*$B$7*(1+CostEsc)^(CEILING(O39,BattLife)-1)/BattLife,0)</f>
        <v>26270.1889104587</v>
      </c>
      <c r="P104" s="95" t="n">
        <f aca="false">IF(AND(UseMRA=1,P41=1,CEILING(P39,BattLife)&lt;Life),BESS_kWh*C_BattRepl*LevCapex*$B$7*(1+CostEsc)^(CEILING(P39,BattLife)-1)/BattLife,0)</f>
        <v>26270.1889104587</v>
      </c>
      <c r="Q104" s="95" t="n">
        <f aca="false">IF(AND(UseMRA=1,Q41=1,CEILING(Q39,BattLife)&lt;Life),BESS_kWh*C_BattRepl*LevCapex*$B$7*(1+CostEsc)^(CEILING(Q39,BattLife)-1)/BattLife,0)</f>
        <v>26270.1889104587</v>
      </c>
      <c r="R104" s="95" t="n">
        <f aca="false">IF(AND(UseMRA=1,R41=1,CEILING(R39,BattLife)&lt;Life),BESS_kWh*C_BattRepl*LevCapex*$B$7*(1+CostEsc)^(CEILING(R39,BattLife)-1)/BattLife,0)</f>
        <v>26270.1889104587</v>
      </c>
      <c r="S104" s="95" t="n">
        <f aca="false">IF(AND(UseMRA=1,S41=1,CEILING(S39,BattLife)&lt;Life),BESS_kWh*C_BattRepl*LevCapex*$B$7*(1+CostEsc)^(CEILING(S39,BattLife)-1)/BattLife,0)</f>
        <v>26270.1889104587</v>
      </c>
      <c r="T104" s="95" t="n">
        <f aca="false">IF(AND(UseMRA=1,T41=1,CEILING(T39,BattLife)&lt;Life),BESS_kWh*C_BattRepl*LevCapex*$B$7*(1+CostEsc)^(CEILING(T39,BattLife)-1)/BattLife,0)</f>
        <v>0</v>
      </c>
      <c r="U104" s="95" t="n">
        <f aca="false">IF(AND(UseMRA=1,U41=1,CEILING(U39,BattLife)&lt;Life),BESS_kWh*C_BattRepl*LevCapex*$B$7*(1+CostEsc)^(CEILING(U39,BattLife)-1)/BattLife,0)</f>
        <v>0</v>
      </c>
      <c r="V104" s="95" t="n">
        <f aca="false">IF(AND(UseMRA=1,V41=1,CEILING(V39,BattLife)&lt;Life),BESS_kWh*C_BattRepl*LevCapex*$B$7*(1+CostEsc)^(CEILING(V39,BattLife)-1)/BattLife,0)</f>
        <v>0</v>
      </c>
      <c r="W104" s="95" t="n">
        <f aca="false">IF(AND(UseMRA=1,W41=1,CEILING(W39,BattLife)&lt;Life),BESS_kWh*C_BattRepl*LevCapex*$B$7*(1+CostEsc)^(CEILING(W39,BattLife)-1)/BattLife,0)</f>
        <v>0</v>
      </c>
    </row>
    <row r="105" customFormat="false" ht="15" hidden="false" customHeight="false" outlineLevel="0" collapsed="false">
      <c r="A105" s="11" t="s">
        <v>449</v>
      </c>
      <c r="B105" s="66" t="n">
        <f aca="false">SUM(C105:W105)</f>
        <v>376064.948988371</v>
      </c>
      <c r="C105" s="95" t="n">
        <v>0</v>
      </c>
      <c r="D105" s="95" t="n">
        <f aca="false">IF(UseMRA=1,D104,D103)</f>
        <v>20737.9297130877</v>
      </c>
      <c r="E105" s="95" t="n">
        <f aca="false">IF(UseMRA=1,E104,E103)</f>
        <v>20737.9297130877</v>
      </c>
      <c r="F105" s="95" t="n">
        <f aca="false">IF(UseMRA=1,F104,F103)</f>
        <v>20737.9297130877</v>
      </c>
      <c r="G105" s="95" t="n">
        <f aca="false">IF(UseMRA=1,G104,G103)</f>
        <v>20737.9297130877</v>
      </c>
      <c r="H105" s="95" t="n">
        <f aca="false">IF(UseMRA=1,H104,H103)</f>
        <v>20737.9297130877</v>
      </c>
      <c r="I105" s="95" t="n">
        <f aca="false">IF(UseMRA=1,I104,I103)</f>
        <v>20737.9297130877</v>
      </c>
      <c r="J105" s="95" t="n">
        <f aca="false">IF(UseMRA=1,J104,J103)</f>
        <v>20737.9297130877</v>
      </c>
      <c r="K105" s="95" t="n">
        <f aca="false">IF(UseMRA=1,K104,K103)</f>
        <v>20737.9297130877</v>
      </c>
      <c r="L105" s="95" t="n">
        <f aca="false">IF(UseMRA=1,L104,L103)</f>
        <v>26270.1889104587</v>
      </c>
      <c r="M105" s="95" t="n">
        <f aca="false">IF(UseMRA=1,M104,M103)</f>
        <v>26270.1889104587</v>
      </c>
      <c r="N105" s="95" t="n">
        <f aca="false">IF(UseMRA=1,N104,N103)</f>
        <v>26270.1889104587</v>
      </c>
      <c r="O105" s="95" t="n">
        <f aca="false">IF(UseMRA=1,O104,O103)</f>
        <v>26270.1889104587</v>
      </c>
      <c r="P105" s="95" t="n">
        <f aca="false">IF(UseMRA=1,P104,P103)</f>
        <v>26270.1889104587</v>
      </c>
      <c r="Q105" s="95" t="n">
        <f aca="false">IF(UseMRA=1,Q104,Q103)</f>
        <v>26270.1889104587</v>
      </c>
      <c r="R105" s="95" t="n">
        <f aca="false">IF(UseMRA=1,R104,R103)</f>
        <v>26270.1889104587</v>
      </c>
      <c r="S105" s="95" t="n">
        <f aca="false">IF(UseMRA=1,S104,S103)</f>
        <v>26270.1889104587</v>
      </c>
      <c r="T105" s="95" t="n">
        <f aca="false">IF(UseMRA=1,T104,T103)</f>
        <v>0</v>
      </c>
      <c r="U105" s="95" t="n">
        <f aca="false">IF(UseMRA=1,U104,U103)</f>
        <v>0</v>
      </c>
      <c r="V105" s="95" t="n">
        <f aca="false">IF(UseMRA=1,V104,V103)</f>
        <v>0</v>
      </c>
      <c r="W105" s="95" t="n">
        <f aca="false">IF(UseMRA=1,W104,W103)</f>
        <v>0</v>
      </c>
    </row>
    <row r="106" customFormat="false" ht="15" hidden="false" customHeight="false" outlineLevel="0" collapsed="false">
      <c r="A106" s="11" t="s">
        <v>175</v>
      </c>
      <c r="B106" s="66" t="n">
        <f aca="false">SUM(C106:W106)</f>
        <v>600000</v>
      </c>
      <c r="C106" s="95" t="n">
        <f aca="false">Grant</f>
        <v>600000</v>
      </c>
      <c r="D106" s="95" t="n">
        <f aca="false">0</f>
        <v>0</v>
      </c>
      <c r="E106" s="95" t="n">
        <f aca="false">0</f>
        <v>0</v>
      </c>
      <c r="F106" s="95" t="n">
        <f aca="false">0</f>
        <v>0</v>
      </c>
      <c r="G106" s="95" t="n">
        <f aca="false">0</f>
        <v>0</v>
      </c>
      <c r="H106" s="95" t="n">
        <f aca="false">0</f>
        <v>0</v>
      </c>
      <c r="I106" s="95" t="n">
        <f aca="false">0</f>
        <v>0</v>
      </c>
      <c r="J106" s="95" t="n">
        <f aca="false">0</f>
        <v>0</v>
      </c>
      <c r="K106" s="95" t="n">
        <f aca="false">0</f>
        <v>0</v>
      </c>
      <c r="L106" s="95" t="n">
        <f aca="false">0</f>
        <v>0</v>
      </c>
      <c r="M106" s="95" t="n">
        <f aca="false">0</f>
        <v>0</v>
      </c>
      <c r="N106" s="95" t="n">
        <f aca="false">0</f>
        <v>0</v>
      </c>
      <c r="O106" s="95" t="n">
        <f aca="false">0</f>
        <v>0</v>
      </c>
      <c r="P106" s="95" t="n">
        <f aca="false">0</f>
        <v>0</v>
      </c>
      <c r="Q106" s="95" t="n">
        <f aca="false">0</f>
        <v>0</v>
      </c>
      <c r="R106" s="95" t="n">
        <f aca="false">0</f>
        <v>0</v>
      </c>
      <c r="S106" s="95" t="n">
        <f aca="false">0</f>
        <v>0</v>
      </c>
      <c r="T106" s="95" t="n">
        <f aca="false">0</f>
        <v>0</v>
      </c>
      <c r="U106" s="95" t="n">
        <f aca="false">0</f>
        <v>0</v>
      </c>
      <c r="V106" s="95" t="n">
        <f aca="false">0</f>
        <v>0</v>
      </c>
      <c r="W106" s="95" t="n">
        <f aca="false">0</f>
        <v>0</v>
      </c>
    </row>
    <row r="107" customFormat="false" ht="15" hidden="false" customHeight="false" outlineLevel="0" collapsed="false">
      <c r="A107" s="11" t="s">
        <v>450</v>
      </c>
      <c r="B107" s="66" t="n">
        <f aca="false">SUM(C107:W107)</f>
        <v>252000</v>
      </c>
      <c r="C107" s="95" t="n">
        <v>0</v>
      </c>
      <c r="D107" s="95" t="n">
        <f aca="false">D54*Seg1_RBF+D55*Seg2_RBF+D56*Seg3_RBF+D57*Seg4_RBF+D58*Seg5_RBF</f>
        <v>151200</v>
      </c>
      <c r="E107" s="95" t="n">
        <f aca="false">E54*Seg1_RBF+E55*Seg2_RBF+E56*Seg3_RBF+E57*Seg4_RBF+E58*Seg5_RBF</f>
        <v>63000</v>
      </c>
      <c r="F107" s="95" t="n">
        <f aca="false">F54*Seg1_RBF+F55*Seg2_RBF+F56*Seg3_RBF+F57*Seg4_RBF+F58*Seg5_RBF</f>
        <v>37800</v>
      </c>
      <c r="G107" s="95" t="n">
        <f aca="false">G54*Seg1_RBF+G55*Seg2_RBF+G56*Seg3_RBF+G57*Seg4_RBF+G58*Seg5_RBF</f>
        <v>0</v>
      </c>
      <c r="H107" s="95" t="n">
        <f aca="false">H54*Seg1_RBF+H55*Seg2_RBF+H56*Seg3_RBF+H57*Seg4_RBF+H58*Seg5_RBF</f>
        <v>0</v>
      </c>
      <c r="I107" s="95" t="n">
        <f aca="false">I54*Seg1_RBF+I55*Seg2_RBF+I56*Seg3_RBF+I57*Seg4_RBF+I58*Seg5_RBF</f>
        <v>0</v>
      </c>
      <c r="J107" s="95" t="n">
        <f aca="false">J54*Seg1_RBF+J55*Seg2_RBF+J56*Seg3_RBF+J57*Seg4_RBF+J58*Seg5_RBF</f>
        <v>0</v>
      </c>
      <c r="K107" s="95" t="n">
        <f aca="false">K54*Seg1_RBF+K55*Seg2_RBF+K56*Seg3_RBF+K57*Seg4_RBF+K58*Seg5_RBF</f>
        <v>0</v>
      </c>
      <c r="L107" s="95" t="n">
        <f aca="false">L54*Seg1_RBF+L55*Seg2_RBF+L56*Seg3_RBF+L57*Seg4_RBF+L58*Seg5_RBF</f>
        <v>0</v>
      </c>
      <c r="M107" s="95" t="n">
        <f aca="false">M54*Seg1_RBF+M55*Seg2_RBF+M56*Seg3_RBF+M57*Seg4_RBF+M58*Seg5_RBF</f>
        <v>0</v>
      </c>
      <c r="N107" s="95" t="n">
        <f aca="false">N54*Seg1_RBF+N55*Seg2_RBF+N56*Seg3_RBF+N57*Seg4_RBF+N58*Seg5_RBF</f>
        <v>0</v>
      </c>
      <c r="O107" s="95" t="n">
        <f aca="false">O54*Seg1_RBF+O55*Seg2_RBF+O56*Seg3_RBF+O57*Seg4_RBF+O58*Seg5_RBF</f>
        <v>0</v>
      </c>
      <c r="P107" s="95" t="n">
        <f aca="false">P54*Seg1_RBF+P55*Seg2_RBF+P56*Seg3_RBF+P57*Seg4_RBF+P58*Seg5_RBF</f>
        <v>0</v>
      </c>
      <c r="Q107" s="95" t="n">
        <f aca="false">Q54*Seg1_RBF+Q55*Seg2_RBF+Q56*Seg3_RBF+Q57*Seg4_RBF+Q58*Seg5_RBF</f>
        <v>0</v>
      </c>
      <c r="R107" s="95" t="n">
        <f aca="false">R54*Seg1_RBF+R55*Seg2_RBF+R56*Seg3_RBF+R57*Seg4_RBF+R58*Seg5_RBF</f>
        <v>0</v>
      </c>
      <c r="S107" s="95" t="n">
        <f aca="false">S54*Seg1_RBF+S55*Seg2_RBF+S56*Seg3_RBF+S57*Seg4_RBF+S58*Seg5_RBF</f>
        <v>0</v>
      </c>
      <c r="T107" s="95" t="n">
        <f aca="false">T54*Seg1_RBF+T55*Seg2_RBF+T56*Seg3_RBF+T57*Seg4_RBF+T58*Seg5_RBF</f>
        <v>0</v>
      </c>
      <c r="U107" s="95" t="n">
        <f aca="false">U54*Seg1_RBF+U55*Seg2_RBF+U56*Seg3_RBF+U57*Seg4_RBF+U58*Seg5_RBF</f>
        <v>0</v>
      </c>
      <c r="V107" s="95" t="n">
        <f aca="false">V54*Seg1_RBF+V55*Seg2_RBF+V56*Seg3_RBF+V57*Seg4_RBF+V58*Seg5_RBF</f>
        <v>0</v>
      </c>
      <c r="W107" s="95" t="n">
        <f aca="false">W54*Seg1_RBF+W55*Seg2_RBF+W56*Seg3_RBF+W57*Seg4_RBF+W58*Seg5_RBF</f>
        <v>0</v>
      </c>
    </row>
    <row r="108" customFormat="false" ht="15" hidden="false" customHeight="false" outlineLevel="0" collapsed="false">
      <c r="A108" s="11" t="s">
        <v>451</v>
      </c>
      <c r="B108" s="66" t="n">
        <f aca="false">SUM(C108:W108)</f>
        <v>252000</v>
      </c>
      <c r="C108" s="95" t="n">
        <v>0</v>
      </c>
      <c r="D108" s="95" t="n">
        <f aca="false">IF(D39-RBFLag&gt;=1,INDEX($C$107:$W$107,1,D39-RBFLag+1),0)</f>
        <v>151200</v>
      </c>
      <c r="E108" s="95" t="n">
        <f aca="false">IF(E39-RBFLag&gt;=1,INDEX($C$107:$W$107,1,E39-RBFLag+1),0)</f>
        <v>63000</v>
      </c>
      <c r="F108" s="95" t="n">
        <f aca="false">IF(F39-RBFLag&gt;=1,INDEX($C$107:$W$107,1,F39-RBFLag+1),0)</f>
        <v>37800</v>
      </c>
      <c r="G108" s="95" t="n">
        <f aca="false">IF(G39-RBFLag&gt;=1,INDEX($C$107:$W$107,1,G39-RBFLag+1),0)</f>
        <v>0</v>
      </c>
      <c r="H108" s="95" t="n">
        <f aca="false">IF(H39-RBFLag&gt;=1,INDEX($C$107:$W$107,1,H39-RBFLag+1),0)</f>
        <v>0</v>
      </c>
      <c r="I108" s="95" t="n">
        <f aca="false">IF(I39-RBFLag&gt;=1,INDEX($C$107:$W$107,1,I39-RBFLag+1),0)</f>
        <v>0</v>
      </c>
      <c r="J108" s="95" t="n">
        <f aca="false">IF(J39-RBFLag&gt;=1,INDEX($C$107:$W$107,1,J39-RBFLag+1),0)</f>
        <v>0</v>
      </c>
      <c r="K108" s="95" t="n">
        <f aca="false">IF(K39-RBFLag&gt;=1,INDEX($C$107:$W$107,1,K39-RBFLag+1),0)</f>
        <v>0</v>
      </c>
      <c r="L108" s="95" t="n">
        <f aca="false">IF(L39-RBFLag&gt;=1,INDEX($C$107:$W$107,1,L39-RBFLag+1),0)</f>
        <v>0</v>
      </c>
      <c r="M108" s="95" t="n">
        <f aca="false">IF(M39-RBFLag&gt;=1,INDEX($C$107:$W$107,1,M39-RBFLag+1),0)</f>
        <v>0</v>
      </c>
      <c r="N108" s="95" t="n">
        <f aca="false">IF(N39-RBFLag&gt;=1,INDEX($C$107:$W$107,1,N39-RBFLag+1),0)</f>
        <v>0</v>
      </c>
      <c r="O108" s="95" t="n">
        <f aca="false">IF(O39-RBFLag&gt;=1,INDEX($C$107:$W$107,1,O39-RBFLag+1),0)</f>
        <v>0</v>
      </c>
      <c r="P108" s="95" t="n">
        <f aca="false">IF(P39-RBFLag&gt;=1,INDEX($C$107:$W$107,1,P39-RBFLag+1),0)</f>
        <v>0</v>
      </c>
      <c r="Q108" s="95" t="n">
        <f aca="false">IF(Q39-RBFLag&gt;=1,INDEX($C$107:$W$107,1,Q39-RBFLag+1),0)</f>
        <v>0</v>
      </c>
      <c r="R108" s="95" t="n">
        <f aca="false">IF(R39-RBFLag&gt;=1,INDEX($C$107:$W$107,1,R39-RBFLag+1),0)</f>
        <v>0</v>
      </c>
      <c r="S108" s="95" t="n">
        <f aca="false">IF(S39-RBFLag&gt;=1,INDEX($C$107:$W$107,1,S39-RBFLag+1),0)</f>
        <v>0</v>
      </c>
      <c r="T108" s="95" t="n">
        <f aca="false">IF(T39-RBFLag&gt;=1,INDEX($C$107:$W$107,1,T39-RBFLag+1),0)</f>
        <v>0</v>
      </c>
      <c r="U108" s="95" t="n">
        <f aca="false">IF(U39-RBFLag&gt;=1,INDEX($C$107:$W$107,1,U39-RBFLag+1),0)</f>
        <v>0</v>
      </c>
      <c r="V108" s="95" t="n">
        <f aca="false">IF(V39-RBFLag&gt;=1,INDEX($C$107:$W$107,1,V39-RBFLag+1),0)</f>
        <v>0</v>
      </c>
      <c r="W108" s="95" t="n">
        <f aca="false">IF(W39-RBFLag&gt;=1,INDEX($C$107:$W$107,1,W39-RBFLag+1),0)</f>
        <v>0</v>
      </c>
    </row>
    <row r="109" customFormat="false" ht="15" hidden="false" customHeight="false" outlineLevel="0" collapsed="false">
      <c r="A109" s="11" t="s">
        <v>452</v>
      </c>
      <c r="B109" s="76" t="n">
        <f aca="false">SUM(C109:W109)</f>
        <v>970</v>
      </c>
      <c r="C109" s="93" t="n">
        <v>0</v>
      </c>
      <c r="D109" s="93" t="n">
        <f aca="false">IF(D39-RBFLag&gt;=1,INDEX($C$59:$W$59,1,D39-RBFLag+1),0)</f>
        <v>582</v>
      </c>
      <c r="E109" s="93" t="n">
        <f aca="false">IF(E39-RBFLag&gt;=1,INDEX($C$59:$W$59,1,E39-RBFLag+1),0)</f>
        <v>242.5</v>
      </c>
      <c r="F109" s="93" t="n">
        <f aca="false">IF(F39-RBFLag&gt;=1,INDEX($C$59:$W$59,1,F39-RBFLag+1),0)</f>
        <v>145.5</v>
      </c>
      <c r="G109" s="93" t="n">
        <f aca="false">IF(G39-RBFLag&gt;=1,INDEX($C$59:$W$59,1,G39-RBFLag+1),0)</f>
        <v>0</v>
      </c>
      <c r="H109" s="93" t="n">
        <f aca="false">IF(H39-RBFLag&gt;=1,INDEX($C$59:$W$59,1,H39-RBFLag+1),0)</f>
        <v>0</v>
      </c>
      <c r="I109" s="93" t="n">
        <f aca="false">IF(I39-RBFLag&gt;=1,INDEX($C$59:$W$59,1,I39-RBFLag+1),0)</f>
        <v>0</v>
      </c>
      <c r="J109" s="93" t="n">
        <f aca="false">IF(J39-RBFLag&gt;=1,INDEX($C$59:$W$59,1,J39-RBFLag+1),0)</f>
        <v>0</v>
      </c>
      <c r="K109" s="93" t="n">
        <f aca="false">IF(K39-RBFLag&gt;=1,INDEX($C$59:$W$59,1,K39-RBFLag+1),0)</f>
        <v>0</v>
      </c>
      <c r="L109" s="93" t="n">
        <f aca="false">IF(L39-RBFLag&gt;=1,INDEX($C$59:$W$59,1,L39-RBFLag+1),0)</f>
        <v>0</v>
      </c>
      <c r="M109" s="93" t="n">
        <f aca="false">IF(M39-RBFLag&gt;=1,INDEX($C$59:$W$59,1,M39-RBFLag+1),0)</f>
        <v>0</v>
      </c>
      <c r="N109" s="93" t="n">
        <f aca="false">IF(N39-RBFLag&gt;=1,INDEX($C$59:$W$59,1,N39-RBFLag+1),0)</f>
        <v>0</v>
      </c>
      <c r="O109" s="93" t="n">
        <f aca="false">IF(O39-RBFLag&gt;=1,INDEX($C$59:$W$59,1,O39-RBFLag+1),0)</f>
        <v>0</v>
      </c>
      <c r="P109" s="93" t="n">
        <f aca="false">IF(P39-RBFLag&gt;=1,INDEX($C$59:$W$59,1,P39-RBFLag+1),0)</f>
        <v>0</v>
      </c>
      <c r="Q109" s="93" t="n">
        <f aca="false">IF(Q39-RBFLag&gt;=1,INDEX($C$59:$W$59,1,Q39-RBFLag+1),0)</f>
        <v>0</v>
      </c>
      <c r="R109" s="93" t="n">
        <f aca="false">IF(R39-RBFLag&gt;=1,INDEX($C$59:$W$59,1,R39-RBFLag+1),0)</f>
        <v>0</v>
      </c>
      <c r="S109" s="93" t="n">
        <f aca="false">IF(S39-RBFLag&gt;=1,INDEX($C$59:$W$59,1,S39-RBFLag+1),0)</f>
        <v>0</v>
      </c>
      <c r="T109" s="93" t="n">
        <f aca="false">IF(T39-RBFLag&gt;=1,INDEX($C$59:$W$59,1,T39-RBFLag+1),0)</f>
        <v>0</v>
      </c>
      <c r="U109" s="93" t="n">
        <f aca="false">IF(U39-RBFLag&gt;=1,INDEX($C$59:$W$59,1,U39-RBFLag+1),0)</f>
        <v>0</v>
      </c>
      <c r="V109" s="93" t="n">
        <f aca="false">IF(V39-RBFLag&gt;=1,INDEX($C$59:$W$59,1,V39-RBFLag+1),0)</f>
        <v>0</v>
      </c>
      <c r="W109" s="93" t="n">
        <f aca="false">IF(W39-RBFLag&gt;=1,INDEX($C$59:$W$59,1,W39-RBFLag+1),0)</f>
        <v>0</v>
      </c>
    </row>
    <row r="111" customFormat="false" ht="15" hidden="false" customHeight="false" outlineLevel="0" collapsed="false">
      <c r="A111" s="9" t="s">
        <v>453</v>
      </c>
      <c r="B111" s="10"/>
      <c r="C111" s="10"/>
      <c r="D111" s="10"/>
      <c r="E111" s="10"/>
      <c r="F111" s="10"/>
      <c r="G111" s="10"/>
      <c r="H111" s="10"/>
      <c r="I111" s="10"/>
      <c r="J111" s="10"/>
      <c r="K111" s="10"/>
      <c r="L111" s="10"/>
      <c r="M111" s="10"/>
      <c r="N111" s="10"/>
      <c r="O111" s="10"/>
      <c r="P111" s="10"/>
      <c r="Q111" s="10"/>
      <c r="R111" s="10"/>
      <c r="S111" s="10"/>
      <c r="T111" s="10"/>
      <c r="U111" s="10"/>
      <c r="V111" s="10"/>
      <c r="W111" s="10"/>
    </row>
    <row r="112" customFormat="false" ht="15" hidden="false" customHeight="false" outlineLevel="0" collapsed="false">
      <c r="A112" s="11" t="s">
        <v>454</v>
      </c>
      <c r="C112" s="95" t="n">
        <v>0</v>
      </c>
      <c r="D112" s="95" t="n">
        <f aca="false">C116</f>
        <v>112546.829385741</v>
      </c>
      <c r="E112" s="95" t="n">
        <f aca="false">D116</f>
        <v>112546.829385741</v>
      </c>
      <c r="F112" s="95" t="n">
        <f aca="false">E116</f>
        <v>112546.829385741</v>
      </c>
      <c r="G112" s="95" t="n">
        <f aca="false">F116</f>
        <v>103396.452368753</v>
      </c>
      <c r="H112" s="95" t="n">
        <f aca="false">G116</f>
        <v>93148.0301097264</v>
      </c>
      <c r="I112" s="95" t="n">
        <f aca="false">H116</f>
        <v>81669.7971796164</v>
      </c>
      <c r="J112" s="95" t="n">
        <f aca="false">I116</f>
        <v>68814.1762978932</v>
      </c>
      <c r="K112" s="95" t="n">
        <f aca="false">J116</f>
        <v>54415.8809103631</v>
      </c>
      <c r="L112" s="95" t="n">
        <f aca="false">K116</f>
        <v>38289.7900763295</v>
      </c>
      <c r="M112" s="95" t="n">
        <f aca="false">L116</f>
        <v>20228.5683422118</v>
      </c>
      <c r="N112" s="95" t="n">
        <f aca="false">M116</f>
        <v>0</v>
      </c>
      <c r="O112" s="95" t="n">
        <f aca="false">N116</f>
        <v>0</v>
      </c>
      <c r="P112" s="95" t="n">
        <f aca="false">O116</f>
        <v>0</v>
      </c>
      <c r="Q112" s="95" t="n">
        <f aca="false">P116</f>
        <v>0</v>
      </c>
      <c r="R112" s="95" t="n">
        <f aca="false">Q116</f>
        <v>0</v>
      </c>
      <c r="S112" s="95" t="n">
        <f aca="false">R116</f>
        <v>0</v>
      </c>
      <c r="T112" s="95" t="n">
        <f aca="false">S116</f>
        <v>0</v>
      </c>
      <c r="U112" s="95" t="n">
        <f aca="false">T116</f>
        <v>0</v>
      </c>
      <c r="V112" s="95" t="n">
        <f aca="false">U116</f>
        <v>0</v>
      </c>
      <c r="W112" s="95" t="n">
        <f aca="false">V116</f>
        <v>0</v>
      </c>
    </row>
    <row r="113" customFormat="false" ht="15" hidden="false" customHeight="false" outlineLevel="0" collapsed="false">
      <c r="A113" s="11" t="s">
        <v>455</v>
      </c>
      <c r="B113" s="66" t="n">
        <f aca="false">SUM(C113:W113)</f>
        <v>112546.829385741</v>
      </c>
      <c r="C113" s="95" t="n">
        <f aca="false">S_Rate_Hi!$B$16</f>
        <v>112546.829385741</v>
      </c>
      <c r="D113" s="95" t="n">
        <f aca="false">0</f>
        <v>0</v>
      </c>
      <c r="E113" s="95" t="n">
        <f aca="false">0</f>
        <v>0</v>
      </c>
      <c r="F113" s="95" t="n">
        <f aca="false">0</f>
        <v>0</v>
      </c>
      <c r="G113" s="95" t="n">
        <f aca="false">0</f>
        <v>0</v>
      </c>
      <c r="H113" s="95" t="n">
        <f aca="false">0</f>
        <v>0</v>
      </c>
      <c r="I113" s="95" t="n">
        <f aca="false">0</f>
        <v>0</v>
      </c>
      <c r="J113" s="95" t="n">
        <f aca="false">0</f>
        <v>0</v>
      </c>
      <c r="K113" s="95" t="n">
        <f aca="false">0</f>
        <v>0</v>
      </c>
      <c r="L113" s="95" t="n">
        <f aca="false">0</f>
        <v>0</v>
      </c>
      <c r="M113" s="95" t="n">
        <f aca="false">0</f>
        <v>0</v>
      </c>
      <c r="N113" s="95" t="n">
        <f aca="false">0</f>
        <v>0</v>
      </c>
      <c r="O113" s="95" t="n">
        <f aca="false">0</f>
        <v>0</v>
      </c>
      <c r="P113" s="95" t="n">
        <f aca="false">0</f>
        <v>0</v>
      </c>
      <c r="Q113" s="95" t="n">
        <f aca="false">0</f>
        <v>0</v>
      </c>
      <c r="R113" s="95" t="n">
        <f aca="false">0</f>
        <v>0</v>
      </c>
      <c r="S113" s="95" t="n">
        <f aca="false">0</f>
        <v>0</v>
      </c>
      <c r="T113" s="95" t="n">
        <f aca="false">0</f>
        <v>0</v>
      </c>
      <c r="U113" s="95" t="n">
        <f aca="false">0</f>
        <v>0</v>
      </c>
      <c r="V113" s="95" t="n">
        <f aca="false">0</f>
        <v>0</v>
      </c>
      <c r="W113" s="95" t="n">
        <f aca="false">0</f>
        <v>0</v>
      </c>
    </row>
    <row r="114" customFormat="false" ht="15" hidden="false" customHeight="false" outlineLevel="0" collapsed="false">
      <c r="A114" s="11" t="s">
        <v>456</v>
      </c>
      <c r="B114" s="66" t="n">
        <f aca="false">SUM(C114:W114)</f>
        <v>95712.3820130542</v>
      </c>
      <c r="C114" s="95" t="n">
        <v>0</v>
      </c>
      <c r="D114" s="95" t="n">
        <f aca="false">D112*SenRate*$B$11</f>
        <v>13505.619526289</v>
      </c>
      <c r="E114" s="95" t="n">
        <f aca="false">E112*SenRate*$B$11</f>
        <v>13505.619526289</v>
      </c>
      <c r="F114" s="95" t="n">
        <f aca="false">F112*SenRate*$B$11</f>
        <v>13505.619526289</v>
      </c>
      <c r="G114" s="95" t="n">
        <f aca="false">G112*SenRate*$B$11</f>
        <v>12407.5742842504</v>
      </c>
      <c r="H114" s="95" t="n">
        <f aca="false">H112*SenRate*$B$11</f>
        <v>11177.7636131672</v>
      </c>
      <c r="I114" s="95" t="n">
        <f aca="false">I112*SenRate*$B$11</f>
        <v>9800.37566155397</v>
      </c>
      <c r="J114" s="95" t="n">
        <f aca="false">J112*SenRate*$B$11</f>
        <v>8257.70115574718</v>
      </c>
      <c r="K114" s="95" t="n">
        <f aca="false">K112*SenRate*$B$11</f>
        <v>6529.90570924357</v>
      </c>
      <c r="L114" s="95" t="n">
        <f aca="false">L112*SenRate*$B$11</f>
        <v>4594.77480915954</v>
      </c>
      <c r="M114" s="95" t="n">
        <f aca="false">M112*SenRate*$B$11</f>
        <v>2427.42820106542</v>
      </c>
      <c r="N114" s="95" t="n">
        <f aca="false">N112*SenRate*$B$11</f>
        <v>0</v>
      </c>
      <c r="O114" s="95" t="n">
        <f aca="false">O112*SenRate*$B$11</f>
        <v>0</v>
      </c>
      <c r="P114" s="95" t="n">
        <f aca="false">P112*SenRate*$B$11</f>
        <v>0</v>
      </c>
      <c r="Q114" s="95" t="n">
        <f aca="false">Q112*SenRate*$B$11</f>
        <v>0</v>
      </c>
      <c r="R114" s="95" t="n">
        <f aca="false">R112*SenRate*$B$11</f>
        <v>0</v>
      </c>
      <c r="S114" s="95" t="n">
        <f aca="false">S112*SenRate*$B$11</f>
        <v>0</v>
      </c>
      <c r="T114" s="95" t="n">
        <f aca="false">T112*SenRate*$B$11</f>
        <v>0</v>
      </c>
      <c r="U114" s="95" t="n">
        <f aca="false">U112*SenRate*$B$11</f>
        <v>0</v>
      </c>
      <c r="V114" s="95" t="n">
        <f aca="false">V112*SenRate*$B$11</f>
        <v>0</v>
      </c>
      <c r="W114" s="95" t="n">
        <f aca="false">W112*SenRate*$B$11</f>
        <v>0</v>
      </c>
    </row>
    <row r="115" customFormat="false" ht="15" hidden="false" customHeight="false" outlineLevel="0" collapsed="false">
      <c r="A115" s="11" t="s">
        <v>457</v>
      </c>
      <c r="B115" s="66" t="n">
        <f aca="false">SUM(C115:W115)</f>
        <v>112546.829385741</v>
      </c>
      <c r="C115" s="95" t="n">
        <v>0</v>
      </c>
      <c r="D115" s="95" t="n">
        <f aca="false">IF(AND(D39&gt;SenGrace,D39&lt;=SenTenor),PMT(SenRate*$B$11,SenTenor-SenGrace,-S_Rate_Hi!$B$16)-D114,0)</f>
        <v>0</v>
      </c>
      <c r="E115" s="95" t="n">
        <f aca="false">IF(AND(E39&gt;SenGrace,E39&lt;=SenTenor),PMT(SenRate*$B$11,SenTenor-SenGrace,-S_Rate_Hi!$B$16)-E114,0)</f>
        <v>0</v>
      </c>
      <c r="F115" s="95" t="n">
        <f aca="false">IF(AND(F39&gt;SenGrace,F39&lt;=SenTenor),PMT(SenRate*$B$11,SenTenor-SenGrace,-S_Rate_Hi!$B$16)-F114,0)</f>
        <v>9150.37701698823</v>
      </c>
      <c r="G115" s="95" t="n">
        <f aca="false">IF(AND(G39&gt;SenGrace,G39&lt;=SenTenor),PMT(SenRate*$B$11,SenTenor-SenGrace,-S_Rate_Hi!$B$16)-G114,0)</f>
        <v>10248.4222590268</v>
      </c>
      <c r="H115" s="95" t="n">
        <f aca="false">IF(AND(H39&gt;SenGrace,H39&lt;=SenTenor),PMT(SenRate*$B$11,SenTenor-SenGrace,-S_Rate_Hi!$B$16)-H114,0)</f>
        <v>11478.23293011</v>
      </c>
      <c r="I115" s="95" t="n">
        <f aca="false">IF(AND(I39&gt;SenGrace,I39&lt;=SenTenor),PMT(SenRate*$B$11,SenTenor-SenGrace,-S_Rate_Hi!$B$16)-I114,0)</f>
        <v>12855.6208817232</v>
      </c>
      <c r="J115" s="95" t="n">
        <f aca="false">IF(AND(J39&gt;SenGrace,J39&lt;=SenTenor),PMT(SenRate*$B$11,SenTenor-SenGrace,-S_Rate_Hi!$B$16)-J114,0)</f>
        <v>14398.29538753</v>
      </c>
      <c r="K115" s="95" t="n">
        <f aca="false">IF(AND(K39&gt;SenGrace,K39&lt;=SenTenor),PMT(SenRate*$B$11,SenTenor-SenGrace,-S_Rate_Hi!$B$16)-K114,0)</f>
        <v>16126.0908340336</v>
      </c>
      <c r="L115" s="95" t="n">
        <f aca="false">IF(AND(L39&gt;SenGrace,L39&lt;=SenTenor),PMT(SenRate*$B$11,SenTenor-SenGrace,-S_Rate_Hi!$B$16)-L114,0)</f>
        <v>18061.2217341177</v>
      </c>
      <c r="M115" s="95" t="n">
        <f aca="false">IF(AND(M39&gt;SenGrace,M39&lt;=SenTenor),PMT(SenRate*$B$11,SenTenor-SenGrace,-S_Rate_Hi!$B$16)-M114,0)</f>
        <v>20228.5683422118</v>
      </c>
      <c r="N115" s="95" t="n">
        <f aca="false">IF(AND(N39&gt;SenGrace,N39&lt;=SenTenor),PMT(SenRate*$B$11,SenTenor-SenGrace,-S_Rate_Hi!$B$16)-N114,0)</f>
        <v>0</v>
      </c>
      <c r="O115" s="95" t="n">
        <f aca="false">IF(AND(O39&gt;SenGrace,O39&lt;=SenTenor),PMT(SenRate*$B$11,SenTenor-SenGrace,-S_Rate_Hi!$B$16)-O114,0)</f>
        <v>0</v>
      </c>
      <c r="P115" s="95" t="n">
        <f aca="false">IF(AND(P39&gt;SenGrace,P39&lt;=SenTenor),PMT(SenRate*$B$11,SenTenor-SenGrace,-S_Rate_Hi!$B$16)-P114,0)</f>
        <v>0</v>
      </c>
      <c r="Q115" s="95" t="n">
        <f aca="false">IF(AND(Q39&gt;SenGrace,Q39&lt;=SenTenor),PMT(SenRate*$B$11,SenTenor-SenGrace,-S_Rate_Hi!$B$16)-Q114,0)</f>
        <v>0</v>
      </c>
      <c r="R115" s="95" t="n">
        <f aca="false">IF(AND(R39&gt;SenGrace,R39&lt;=SenTenor),PMT(SenRate*$B$11,SenTenor-SenGrace,-S_Rate_Hi!$B$16)-R114,0)</f>
        <v>0</v>
      </c>
      <c r="S115" s="95" t="n">
        <f aca="false">IF(AND(S39&gt;SenGrace,S39&lt;=SenTenor),PMT(SenRate*$B$11,SenTenor-SenGrace,-S_Rate_Hi!$B$16)-S114,0)</f>
        <v>0</v>
      </c>
      <c r="T115" s="95" t="n">
        <f aca="false">IF(AND(T39&gt;SenGrace,T39&lt;=SenTenor),PMT(SenRate*$B$11,SenTenor-SenGrace,-S_Rate_Hi!$B$16)-T114,0)</f>
        <v>0</v>
      </c>
      <c r="U115" s="95" t="n">
        <f aca="false">IF(AND(U39&gt;SenGrace,U39&lt;=SenTenor),PMT(SenRate*$B$11,SenTenor-SenGrace,-S_Rate_Hi!$B$16)-U114,0)</f>
        <v>0</v>
      </c>
      <c r="V115" s="95" t="n">
        <f aca="false">IF(AND(V39&gt;SenGrace,V39&lt;=SenTenor),PMT(SenRate*$B$11,SenTenor-SenGrace,-S_Rate_Hi!$B$16)-V114,0)</f>
        <v>0</v>
      </c>
      <c r="W115" s="95" t="n">
        <f aca="false">IF(AND(W39&gt;SenGrace,W39&lt;=SenTenor),PMT(SenRate*$B$11,SenTenor-SenGrace,-S_Rate_Hi!$B$16)-W114,0)</f>
        <v>0</v>
      </c>
    </row>
    <row r="116" customFormat="false" ht="15" hidden="false" customHeight="false" outlineLevel="0" collapsed="false">
      <c r="A116" s="11" t="s">
        <v>458</v>
      </c>
      <c r="C116" s="95" t="n">
        <f aca="false">0+C113-0</f>
        <v>112546.829385741</v>
      </c>
      <c r="D116" s="95" t="n">
        <f aca="false">D112+D113-D115</f>
        <v>112546.829385741</v>
      </c>
      <c r="E116" s="95" t="n">
        <f aca="false">E112+E113-E115</f>
        <v>112546.829385741</v>
      </c>
      <c r="F116" s="95" t="n">
        <f aca="false">F112+F113-F115</f>
        <v>103396.452368753</v>
      </c>
      <c r="G116" s="95" t="n">
        <f aca="false">G112+G113-G115</f>
        <v>93148.0301097264</v>
      </c>
      <c r="H116" s="95" t="n">
        <f aca="false">H112+H113-H115</f>
        <v>81669.7971796164</v>
      </c>
      <c r="I116" s="95" t="n">
        <f aca="false">I112+I113-I115</f>
        <v>68814.1762978932</v>
      </c>
      <c r="J116" s="95" t="n">
        <f aca="false">J112+J113-J115</f>
        <v>54415.8809103631</v>
      </c>
      <c r="K116" s="95" t="n">
        <f aca="false">K112+K113-K115</f>
        <v>38289.7900763295</v>
      </c>
      <c r="L116" s="95" t="n">
        <f aca="false">L112+L113-L115</f>
        <v>20228.5683422118</v>
      </c>
      <c r="M116" s="95" t="n">
        <f aca="false">M112+M113-M115</f>
        <v>0</v>
      </c>
      <c r="N116" s="95" t="n">
        <f aca="false">N112+N113-N115</f>
        <v>0</v>
      </c>
      <c r="O116" s="95" t="n">
        <f aca="false">O112+O113-O115</f>
        <v>0</v>
      </c>
      <c r="P116" s="95" t="n">
        <f aca="false">P112+P113-P115</f>
        <v>0</v>
      </c>
      <c r="Q116" s="95" t="n">
        <f aca="false">Q112+Q113-Q115</f>
        <v>0</v>
      </c>
      <c r="R116" s="95" t="n">
        <f aca="false">R112+R113-R115</f>
        <v>0</v>
      </c>
      <c r="S116" s="95" t="n">
        <f aca="false">S112+S113-S115</f>
        <v>0</v>
      </c>
      <c r="T116" s="95" t="n">
        <f aca="false">T112+T113-T115</f>
        <v>0</v>
      </c>
      <c r="U116" s="95" t="n">
        <f aca="false">U112+U113-U115</f>
        <v>0</v>
      </c>
      <c r="V116" s="95" t="n">
        <f aca="false">V112+V113-V115</f>
        <v>0</v>
      </c>
      <c r="W116" s="95" t="n">
        <f aca="false">W112+W113-W115</f>
        <v>0</v>
      </c>
    </row>
    <row r="118" customFormat="false" ht="15" hidden="false" customHeight="false" outlineLevel="0" collapsed="false">
      <c r="A118" s="9" t="s">
        <v>459</v>
      </c>
      <c r="B118" s="10"/>
      <c r="C118" s="10"/>
      <c r="D118" s="10"/>
      <c r="E118" s="10"/>
      <c r="F118" s="10"/>
      <c r="G118" s="10"/>
      <c r="H118" s="10"/>
      <c r="I118" s="10"/>
      <c r="J118" s="10"/>
      <c r="K118" s="10"/>
      <c r="L118" s="10"/>
      <c r="M118" s="10"/>
      <c r="N118" s="10"/>
      <c r="O118" s="10"/>
      <c r="P118" s="10"/>
      <c r="Q118" s="10"/>
      <c r="R118" s="10"/>
      <c r="S118" s="10"/>
      <c r="T118" s="10"/>
      <c r="U118" s="10"/>
      <c r="V118" s="10"/>
      <c r="W118" s="10"/>
    </row>
    <row r="119" customFormat="false" ht="15" hidden="false" customHeight="false" outlineLevel="0" collapsed="false">
      <c r="A119" s="11" t="s">
        <v>454</v>
      </c>
      <c r="C119" s="95" t="n">
        <v>0</v>
      </c>
      <c r="D119" s="95" t="n">
        <f aca="false">C123</f>
        <v>112546.829385741</v>
      </c>
      <c r="E119" s="95" t="n">
        <f aca="false">D123</f>
        <v>112546.829385741</v>
      </c>
      <c r="F119" s="95" t="n">
        <f aca="false">E123</f>
        <v>112546.829385741</v>
      </c>
      <c r="G119" s="95" t="n">
        <f aca="false">F123</f>
        <v>112546.829385741</v>
      </c>
      <c r="H119" s="95" t="n">
        <f aca="false">G123</f>
        <v>112546.829385741</v>
      </c>
      <c r="I119" s="95" t="n">
        <f aca="false">H123</f>
        <v>112546.829385741</v>
      </c>
      <c r="J119" s="95" t="n">
        <f aca="false">I123</f>
        <v>102997.433605004</v>
      </c>
      <c r="K119" s="95" t="n">
        <f aca="false">J123</f>
        <v>93104.2595761597</v>
      </c>
      <c r="L119" s="95" t="n">
        <f aca="false">K123</f>
        <v>82854.9312822772</v>
      </c>
      <c r="M119" s="95" t="n">
        <f aca="false">L123</f>
        <v>72236.6271698148</v>
      </c>
      <c r="N119" s="95" t="n">
        <f aca="false">M123</f>
        <v>61236.0641093039</v>
      </c>
      <c r="O119" s="95" t="n">
        <f aca="false">N123</f>
        <v>49839.4807786145</v>
      </c>
      <c r="P119" s="95" t="n">
        <f aca="false">O123</f>
        <v>38032.6204480203</v>
      </c>
      <c r="Q119" s="95" t="n">
        <f aca="false">P123</f>
        <v>25800.7131455247</v>
      </c>
      <c r="R119" s="95" t="n">
        <f aca="false">Q123</f>
        <v>13128.4571801393</v>
      </c>
      <c r="S119" s="95" t="n">
        <f aca="false">R123</f>
        <v>0</v>
      </c>
      <c r="T119" s="95" t="n">
        <f aca="false">S123</f>
        <v>0</v>
      </c>
      <c r="U119" s="95" t="n">
        <f aca="false">T123</f>
        <v>0</v>
      </c>
      <c r="V119" s="95" t="n">
        <f aca="false">U123</f>
        <v>0</v>
      </c>
      <c r="W119" s="95" t="n">
        <f aca="false">V123</f>
        <v>0</v>
      </c>
    </row>
    <row r="120" customFormat="false" ht="15" hidden="false" customHeight="false" outlineLevel="0" collapsed="false">
      <c r="A120" s="11" t="s">
        <v>455</v>
      </c>
      <c r="B120" s="66" t="n">
        <f aca="false">SUM(C120:W120)</f>
        <v>112546.829385741</v>
      </c>
      <c r="C120" s="95" t="n">
        <f aca="false">S_Rate_Hi!$B$17</f>
        <v>112546.829385741</v>
      </c>
      <c r="D120" s="95" t="n">
        <f aca="false">0</f>
        <v>0</v>
      </c>
      <c r="E120" s="95" t="n">
        <f aca="false">0</f>
        <v>0</v>
      </c>
      <c r="F120" s="95" t="n">
        <f aca="false">0</f>
        <v>0</v>
      </c>
      <c r="G120" s="95" t="n">
        <f aca="false">0</f>
        <v>0</v>
      </c>
      <c r="H120" s="95" t="n">
        <f aca="false">0</f>
        <v>0</v>
      </c>
      <c r="I120" s="95" t="n">
        <f aca="false">0</f>
        <v>0</v>
      </c>
      <c r="J120" s="95" t="n">
        <f aca="false">0</f>
        <v>0</v>
      </c>
      <c r="K120" s="95" t="n">
        <f aca="false">0</f>
        <v>0</v>
      </c>
      <c r="L120" s="95" t="n">
        <f aca="false">0</f>
        <v>0</v>
      </c>
      <c r="M120" s="95" t="n">
        <f aca="false">0</f>
        <v>0</v>
      </c>
      <c r="N120" s="95" t="n">
        <f aca="false">0</f>
        <v>0</v>
      </c>
      <c r="O120" s="95" t="n">
        <f aca="false">0</f>
        <v>0</v>
      </c>
      <c r="P120" s="95" t="n">
        <f aca="false">0</f>
        <v>0</v>
      </c>
      <c r="Q120" s="95" t="n">
        <f aca="false">0</f>
        <v>0</v>
      </c>
      <c r="R120" s="95" t="n">
        <f aca="false">0</f>
        <v>0</v>
      </c>
      <c r="S120" s="95" t="n">
        <f aca="false">0</f>
        <v>0</v>
      </c>
      <c r="T120" s="95" t="n">
        <f aca="false">0</f>
        <v>0</v>
      </c>
      <c r="U120" s="95" t="n">
        <f aca="false">0</f>
        <v>0</v>
      </c>
      <c r="V120" s="95" t="n">
        <f aca="false">0</f>
        <v>0</v>
      </c>
      <c r="W120" s="95" t="n">
        <f aca="false">0</f>
        <v>0</v>
      </c>
    </row>
    <row r="121" customFormat="false" ht="15" hidden="false" customHeight="false" outlineLevel="0" collapsed="false">
      <c r="A121" s="11" t="s">
        <v>456</v>
      </c>
      <c r="B121" s="66" t="n">
        <f aca="false">SUM(C121:W121)</f>
        <v>43722.4162899351</v>
      </c>
      <c r="C121" s="95" t="n">
        <v>0</v>
      </c>
      <c r="D121" s="95" t="n">
        <f aca="false">D119*ConRate*$B$11</f>
        <v>4051.68585788669</v>
      </c>
      <c r="E121" s="95" t="n">
        <f aca="false">E119*ConRate*$B$11</f>
        <v>4051.68585788669</v>
      </c>
      <c r="F121" s="95" t="n">
        <f aca="false">F119*ConRate*$B$11</f>
        <v>4051.68585788669</v>
      </c>
      <c r="G121" s="95" t="n">
        <f aca="false">G119*ConRate*$B$11</f>
        <v>4051.68585788669</v>
      </c>
      <c r="H121" s="95" t="n">
        <f aca="false">H119*ConRate*$B$11</f>
        <v>4051.68585788669</v>
      </c>
      <c r="I121" s="95" t="n">
        <f aca="false">I119*ConRate*$B$11</f>
        <v>4051.68585788669</v>
      </c>
      <c r="J121" s="95" t="n">
        <f aca="false">J119*ConRate*$B$11</f>
        <v>3707.90760978014</v>
      </c>
      <c r="K121" s="95" t="n">
        <f aca="false">K119*ConRate*$B$11</f>
        <v>3351.75334474175</v>
      </c>
      <c r="L121" s="95" t="n">
        <f aca="false">L119*ConRate*$B$11</f>
        <v>2982.77752616198</v>
      </c>
      <c r="M121" s="95" t="n">
        <f aca="false">M119*ConRate*$B$11</f>
        <v>2600.51857811333</v>
      </c>
      <c r="N121" s="95" t="n">
        <f aca="false">N119*ConRate*$B$11</f>
        <v>2204.49830793494</v>
      </c>
      <c r="O121" s="95" t="n">
        <f aca="false">O119*ConRate*$B$11</f>
        <v>1794.22130803012</v>
      </c>
      <c r="P121" s="95" t="n">
        <f aca="false">P119*ConRate*$B$11</f>
        <v>1369.17433612873</v>
      </c>
      <c r="Q121" s="95" t="n">
        <f aca="false">Q119*ConRate*$B$11</f>
        <v>928.82567323889</v>
      </c>
      <c r="R121" s="95" t="n">
        <f aca="false">R119*ConRate*$B$11</f>
        <v>472.624458485015</v>
      </c>
      <c r="S121" s="95" t="n">
        <f aca="false">S119*ConRate*$B$11</f>
        <v>0</v>
      </c>
      <c r="T121" s="95" t="n">
        <f aca="false">T119*ConRate*$B$11</f>
        <v>0</v>
      </c>
      <c r="U121" s="95" t="n">
        <f aca="false">U119*ConRate*$B$11</f>
        <v>0</v>
      </c>
      <c r="V121" s="95" t="n">
        <f aca="false">V119*ConRate*$B$11</f>
        <v>0</v>
      </c>
      <c r="W121" s="95" t="n">
        <f aca="false">W119*ConRate*$B$11</f>
        <v>0</v>
      </c>
    </row>
    <row r="122" customFormat="false" ht="15" hidden="false" customHeight="false" outlineLevel="0" collapsed="false">
      <c r="A122" s="11" t="s">
        <v>457</v>
      </c>
      <c r="B122" s="66" t="n">
        <f aca="false">SUM(C122:W122)</f>
        <v>112546.829385741</v>
      </c>
      <c r="C122" s="95" t="n">
        <v>0</v>
      </c>
      <c r="D122" s="95" t="n">
        <f aca="false">IF(AND(D39&gt;ConGrace,D39&lt;=ConTenor),PMT(ConRate*$B$11,ConTenor-ConGrace,-S_Rate_Hi!$B$17)-D121,0)</f>
        <v>0</v>
      </c>
      <c r="E122" s="95" t="n">
        <f aca="false">IF(AND(E39&gt;ConGrace,E39&lt;=ConTenor),PMT(ConRate*$B$11,ConTenor-ConGrace,-S_Rate_Hi!$B$17)-E121,0)</f>
        <v>0</v>
      </c>
      <c r="F122" s="95" t="n">
        <f aca="false">IF(AND(F39&gt;ConGrace,F39&lt;=ConTenor),PMT(ConRate*$B$11,ConTenor-ConGrace,-S_Rate_Hi!$B$17)-F121,0)</f>
        <v>0</v>
      </c>
      <c r="G122" s="95" t="n">
        <f aca="false">IF(AND(G39&gt;ConGrace,G39&lt;=ConTenor),PMT(ConRate*$B$11,ConTenor-ConGrace,-S_Rate_Hi!$B$17)-G121,0)</f>
        <v>0</v>
      </c>
      <c r="H122" s="95" t="n">
        <f aca="false">IF(AND(H39&gt;ConGrace,H39&lt;=ConTenor),PMT(ConRate*$B$11,ConTenor-ConGrace,-S_Rate_Hi!$B$17)-H121,0)</f>
        <v>0</v>
      </c>
      <c r="I122" s="95" t="n">
        <f aca="false">IF(AND(I39&gt;ConGrace,I39&lt;=ConTenor),PMT(ConRate*$B$11,ConTenor-ConGrace,-S_Rate_Hi!$B$17)-I121,0)</f>
        <v>9549.39578073761</v>
      </c>
      <c r="J122" s="95" t="n">
        <f aca="false">IF(AND(J39&gt;ConGrace,J39&lt;=ConTenor),PMT(ConRate*$B$11,ConTenor-ConGrace,-S_Rate_Hi!$B$17)-J121,0)</f>
        <v>9893.17402884417</v>
      </c>
      <c r="K122" s="95" t="n">
        <f aca="false">IF(AND(K39&gt;ConGrace,K39&lt;=ConTenor),PMT(ConRate*$B$11,ConTenor-ConGrace,-S_Rate_Hi!$B$17)-K121,0)</f>
        <v>10249.3282938826</v>
      </c>
      <c r="L122" s="95" t="n">
        <f aca="false">IF(AND(L39&gt;ConGrace,L39&lt;=ConTenor),PMT(ConRate*$B$11,ConTenor-ConGrace,-S_Rate_Hi!$B$17)-L121,0)</f>
        <v>10618.3041124623</v>
      </c>
      <c r="M122" s="95" t="n">
        <f aca="false">IF(AND(M39&gt;ConGrace,M39&lt;=ConTenor),PMT(ConRate*$B$11,ConTenor-ConGrace,-S_Rate_Hi!$B$17)-M121,0)</f>
        <v>11000.563060511</v>
      </c>
      <c r="N122" s="95" t="n">
        <f aca="false">IF(AND(N39&gt;ConGrace,N39&lt;=ConTenor),PMT(ConRate*$B$11,ConTenor-ConGrace,-S_Rate_Hi!$B$17)-N121,0)</f>
        <v>11396.5833306894</v>
      </c>
      <c r="O122" s="95" t="n">
        <f aca="false">IF(AND(O39&gt;ConGrace,O39&lt;=ConTenor),PMT(ConRate*$B$11,ConTenor-ConGrace,-S_Rate_Hi!$B$17)-O121,0)</f>
        <v>11806.8603305942</v>
      </c>
      <c r="P122" s="95" t="n">
        <f aca="false">IF(AND(P39&gt;ConGrace,P39&lt;=ConTenor),PMT(ConRate*$B$11,ConTenor-ConGrace,-S_Rate_Hi!$B$17)-P121,0)</f>
        <v>12231.9073024956</v>
      </c>
      <c r="Q122" s="95" t="n">
        <f aca="false">IF(AND(Q39&gt;ConGrace,Q39&lt;=ConTenor),PMT(ConRate*$B$11,ConTenor-ConGrace,-S_Rate_Hi!$B$17)-Q121,0)</f>
        <v>12672.2559653854</v>
      </c>
      <c r="R122" s="95" t="n">
        <f aca="false">IF(AND(R39&gt;ConGrace,R39&lt;=ConTenor),PMT(ConRate*$B$11,ConTenor-ConGrace,-S_Rate_Hi!$B$17)-R121,0)</f>
        <v>13128.4571801393</v>
      </c>
      <c r="S122" s="95" t="n">
        <f aca="false">IF(AND(S39&gt;ConGrace,S39&lt;=ConTenor),PMT(ConRate*$B$11,ConTenor-ConGrace,-S_Rate_Hi!$B$17)-S121,0)</f>
        <v>0</v>
      </c>
      <c r="T122" s="95" t="n">
        <f aca="false">IF(AND(T39&gt;ConGrace,T39&lt;=ConTenor),PMT(ConRate*$B$11,ConTenor-ConGrace,-S_Rate_Hi!$B$17)-T121,0)</f>
        <v>0</v>
      </c>
      <c r="U122" s="95" t="n">
        <f aca="false">IF(AND(U39&gt;ConGrace,U39&lt;=ConTenor),PMT(ConRate*$B$11,ConTenor-ConGrace,-S_Rate_Hi!$B$17)-U121,0)</f>
        <v>0</v>
      </c>
      <c r="V122" s="95" t="n">
        <f aca="false">IF(AND(V39&gt;ConGrace,V39&lt;=ConTenor),PMT(ConRate*$B$11,ConTenor-ConGrace,-S_Rate_Hi!$B$17)-V121,0)</f>
        <v>0</v>
      </c>
      <c r="W122" s="95" t="n">
        <f aca="false">IF(AND(W39&gt;ConGrace,W39&lt;=ConTenor),PMT(ConRate*$B$11,ConTenor-ConGrace,-S_Rate_Hi!$B$17)-W121,0)</f>
        <v>0</v>
      </c>
    </row>
    <row r="123" customFormat="false" ht="15" hidden="false" customHeight="false" outlineLevel="0" collapsed="false">
      <c r="A123" s="11" t="s">
        <v>458</v>
      </c>
      <c r="C123" s="95" t="n">
        <f aca="false">0+C120-0</f>
        <v>112546.829385741</v>
      </c>
      <c r="D123" s="95" t="n">
        <f aca="false">D119+D120-D122</f>
        <v>112546.829385741</v>
      </c>
      <c r="E123" s="95" t="n">
        <f aca="false">E119+E120-E122</f>
        <v>112546.829385741</v>
      </c>
      <c r="F123" s="95" t="n">
        <f aca="false">F119+F120-F122</f>
        <v>112546.829385741</v>
      </c>
      <c r="G123" s="95" t="n">
        <f aca="false">G119+G120-G122</f>
        <v>112546.829385741</v>
      </c>
      <c r="H123" s="95" t="n">
        <f aca="false">H119+H120-H122</f>
        <v>112546.829385741</v>
      </c>
      <c r="I123" s="95" t="n">
        <f aca="false">I119+I120-I122</f>
        <v>102997.433605004</v>
      </c>
      <c r="J123" s="95" t="n">
        <f aca="false">J119+J120-J122</f>
        <v>93104.2595761597</v>
      </c>
      <c r="K123" s="95" t="n">
        <f aca="false">K119+K120-K122</f>
        <v>82854.9312822772</v>
      </c>
      <c r="L123" s="95" t="n">
        <f aca="false">L119+L120-L122</f>
        <v>72236.6271698148</v>
      </c>
      <c r="M123" s="95" t="n">
        <f aca="false">M119+M120-M122</f>
        <v>61236.0641093039</v>
      </c>
      <c r="N123" s="95" t="n">
        <f aca="false">N119+N120-N122</f>
        <v>49839.4807786145</v>
      </c>
      <c r="O123" s="95" t="n">
        <f aca="false">O119+O120-O122</f>
        <v>38032.6204480203</v>
      </c>
      <c r="P123" s="95" t="n">
        <f aca="false">P119+P120-P122</f>
        <v>25800.7131455247</v>
      </c>
      <c r="Q123" s="95" t="n">
        <f aca="false">Q119+Q120-Q122</f>
        <v>13128.4571801393</v>
      </c>
      <c r="R123" s="95" t="n">
        <f aca="false">R119+R120-R122</f>
        <v>0</v>
      </c>
      <c r="S123" s="95" t="n">
        <f aca="false">S119+S120-S122</f>
        <v>0</v>
      </c>
      <c r="T123" s="95" t="n">
        <f aca="false">T119+T120-T122</f>
        <v>0</v>
      </c>
      <c r="U123" s="95" t="n">
        <f aca="false">U119+U120-U122</f>
        <v>0</v>
      </c>
      <c r="V123" s="95" t="n">
        <f aca="false">V119+V120-V122</f>
        <v>0</v>
      </c>
      <c r="W123" s="95" t="n">
        <f aca="false">W119+W120-W122</f>
        <v>0</v>
      </c>
    </row>
    <row r="125" customFormat="false" ht="15" hidden="false" customHeight="false" outlineLevel="0" collapsed="false">
      <c r="A125" s="16" t="s">
        <v>460</v>
      </c>
      <c r="B125" s="66" t="n">
        <f aca="false">SUM(C125:W125)</f>
        <v>364528.457074472</v>
      </c>
      <c r="C125" s="31" t="n">
        <v>0</v>
      </c>
      <c r="D125" s="31" t="n">
        <f aca="false">D114+D115+D121+D122</f>
        <v>17557.3053841757</v>
      </c>
      <c r="E125" s="31" t="n">
        <f aca="false">E114+E115+E121+E122</f>
        <v>17557.3053841757</v>
      </c>
      <c r="F125" s="31" t="n">
        <f aca="false">F114+F115+F121+F122</f>
        <v>26707.6824011639</v>
      </c>
      <c r="G125" s="31" t="n">
        <f aca="false">G114+G115+G121+G122</f>
        <v>26707.6824011639</v>
      </c>
      <c r="H125" s="31" t="n">
        <f aca="false">H114+H115+H121+H122</f>
        <v>26707.6824011639</v>
      </c>
      <c r="I125" s="31" t="n">
        <f aca="false">I114+I115+I121+I122</f>
        <v>36257.0781819015</v>
      </c>
      <c r="J125" s="31" t="n">
        <f aca="false">J114+J115+J121+J122</f>
        <v>36257.0781819015</v>
      </c>
      <c r="K125" s="31" t="n">
        <f aca="false">K114+K115+K121+K122</f>
        <v>36257.0781819015</v>
      </c>
      <c r="L125" s="31" t="n">
        <f aca="false">L114+L115+L121+L122</f>
        <v>36257.0781819015</v>
      </c>
      <c r="M125" s="31" t="n">
        <f aca="false">M114+M115+M121+M122</f>
        <v>36257.0781819015</v>
      </c>
      <c r="N125" s="31" t="n">
        <f aca="false">N114+N115+N121+N122</f>
        <v>13601.0816386243</v>
      </c>
      <c r="O125" s="31" t="n">
        <f aca="false">O114+O115+O121+O122</f>
        <v>13601.0816386243</v>
      </c>
      <c r="P125" s="31" t="n">
        <f aca="false">P114+P115+P121+P122</f>
        <v>13601.0816386243</v>
      </c>
      <c r="Q125" s="31" t="n">
        <f aca="false">Q114+Q115+Q121+Q122</f>
        <v>13601.0816386243</v>
      </c>
      <c r="R125" s="31" t="n">
        <f aca="false">R114+R115+R121+R122</f>
        <v>13601.0816386243</v>
      </c>
      <c r="S125" s="31" t="n">
        <f aca="false">S114+S115+S121+S122</f>
        <v>0</v>
      </c>
      <c r="T125" s="31" t="n">
        <f aca="false">T114+T115+T121+T122</f>
        <v>0</v>
      </c>
      <c r="U125" s="31" t="n">
        <f aca="false">U114+U115+U121+U122</f>
        <v>0</v>
      </c>
      <c r="V125" s="31" t="n">
        <f aca="false">V114+V115+V121+V122</f>
        <v>0</v>
      </c>
      <c r="W125" s="31" t="n">
        <f aca="false">W114+W115+W121+W122</f>
        <v>0</v>
      </c>
    </row>
    <row r="126" customFormat="false" ht="15" hidden="false" customHeight="false" outlineLevel="0" collapsed="false">
      <c r="A126" s="11" t="s">
        <v>461</v>
      </c>
      <c r="C126" s="96" t="n">
        <v>0</v>
      </c>
      <c r="D126" s="96" t="n">
        <f aca="false">IF(D39&lt;=SenGrace,SenRate*$B$11,IF(D39&lt;=SenTenor,PMT(SenRate*$B$11,SenTenor-SenGrace,-1),0))</f>
        <v>0.12</v>
      </c>
      <c r="E126" s="96" t="n">
        <f aca="false">IF(E39&lt;=SenGrace,SenRate*$B$11,IF(E39&lt;=SenTenor,PMT(SenRate*$B$11,SenTenor-SenGrace,-1),0))</f>
        <v>0.12</v>
      </c>
      <c r="F126" s="96" t="n">
        <f aca="false">IF(F39&lt;=SenGrace,SenRate*$B$11,IF(F39&lt;=SenTenor,PMT(SenRate*$B$11,SenTenor-SenGrace,-1),0))</f>
        <v>0.2013028413766</v>
      </c>
      <c r="G126" s="96" t="n">
        <f aca="false">IF(G39&lt;=SenGrace,SenRate*$B$11,IF(G39&lt;=SenTenor,PMT(SenRate*$B$11,SenTenor-SenGrace,-1),0))</f>
        <v>0.2013028413766</v>
      </c>
      <c r="H126" s="96" t="n">
        <f aca="false">IF(H39&lt;=SenGrace,SenRate*$B$11,IF(H39&lt;=SenTenor,PMT(SenRate*$B$11,SenTenor-SenGrace,-1),0))</f>
        <v>0.2013028413766</v>
      </c>
      <c r="I126" s="96" t="n">
        <f aca="false">IF(I39&lt;=SenGrace,SenRate*$B$11,IF(I39&lt;=SenTenor,PMT(SenRate*$B$11,SenTenor-SenGrace,-1),0))</f>
        <v>0.2013028413766</v>
      </c>
      <c r="J126" s="96" t="n">
        <f aca="false">IF(J39&lt;=SenGrace,SenRate*$B$11,IF(J39&lt;=SenTenor,PMT(SenRate*$B$11,SenTenor-SenGrace,-1),0))</f>
        <v>0.2013028413766</v>
      </c>
      <c r="K126" s="96" t="n">
        <f aca="false">IF(K39&lt;=SenGrace,SenRate*$B$11,IF(K39&lt;=SenTenor,PMT(SenRate*$B$11,SenTenor-SenGrace,-1),0))</f>
        <v>0.2013028413766</v>
      </c>
      <c r="L126" s="96" t="n">
        <f aca="false">IF(L39&lt;=SenGrace,SenRate*$B$11,IF(L39&lt;=SenTenor,PMT(SenRate*$B$11,SenTenor-SenGrace,-1),0))</f>
        <v>0.2013028413766</v>
      </c>
      <c r="M126" s="96" t="n">
        <f aca="false">IF(M39&lt;=SenGrace,SenRate*$B$11,IF(M39&lt;=SenTenor,PMT(SenRate*$B$11,SenTenor-SenGrace,-1),0))</f>
        <v>0.2013028413766</v>
      </c>
      <c r="N126" s="96" t="n">
        <f aca="false">IF(N39&lt;=SenGrace,SenRate*$B$11,IF(N39&lt;=SenTenor,PMT(SenRate*$B$11,SenTenor-SenGrace,-1),0))</f>
        <v>0</v>
      </c>
      <c r="O126" s="96" t="n">
        <f aca="false">IF(O39&lt;=SenGrace,SenRate*$B$11,IF(O39&lt;=SenTenor,PMT(SenRate*$B$11,SenTenor-SenGrace,-1),0))</f>
        <v>0</v>
      </c>
      <c r="P126" s="96" t="n">
        <f aca="false">IF(P39&lt;=SenGrace,SenRate*$B$11,IF(P39&lt;=SenTenor,PMT(SenRate*$B$11,SenTenor-SenGrace,-1),0))</f>
        <v>0</v>
      </c>
      <c r="Q126" s="96" t="n">
        <f aca="false">IF(Q39&lt;=SenGrace,SenRate*$B$11,IF(Q39&lt;=SenTenor,PMT(SenRate*$B$11,SenTenor-SenGrace,-1),0))</f>
        <v>0</v>
      </c>
      <c r="R126" s="96" t="n">
        <f aca="false">IF(R39&lt;=SenGrace,SenRate*$B$11,IF(R39&lt;=SenTenor,PMT(SenRate*$B$11,SenTenor-SenGrace,-1),0))</f>
        <v>0</v>
      </c>
      <c r="S126" s="96" t="n">
        <f aca="false">IF(S39&lt;=SenGrace,SenRate*$B$11,IF(S39&lt;=SenTenor,PMT(SenRate*$B$11,SenTenor-SenGrace,-1),0))</f>
        <v>0</v>
      </c>
      <c r="T126" s="96" t="n">
        <f aca="false">IF(T39&lt;=SenGrace,SenRate*$B$11,IF(T39&lt;=SenTenor,PMT(SenRate*$B$11,SenTenor-SenGrace,-1),0))</f>
        <v>0</v>
      </c>
      <c r="U126" s="96" t="n">
        <f aca="false">IF(U39&lt;=SenGrace,SenRate*$B$11,IF(U39&lt;=SenTenor,PMT(SenRate*$B$11,SenTenor-SenGrace,-1),0))</f>
        <v>0</v>
      </c>
      <c r="V126" s="96" t="n">
        <f aca="false">IF(V39&lt;=SenGrace,SenRate*$B$11,IF(V39&lt;=SenTenor,PMT(SenRate*$B$11,SenTenor-SenGrace,-1),0))</f>
        <v>0</v>
      </c>
      <c r="W126" s="96" t="n">
        <f aca="false">IF(W39&lt;=SenGrace,SenRate*$B$11,IF(W39&lt;=SenTenor,PMT(SenRate*$B$11,SenTenor-SenGrace,-1),0))</f>
        <v>0</v>
      </c>
    </row>
    <row r="127" customFormat="false" ht="15" hidden="false" customHeight="false" outlineLevel="0" collapsed="false">
      <c r="A127" s="11" t="s">
        <v>462</v>
      </c>
      <c r="C127" s="95" t="n">
        <v>0</v>
      </c>
      <c r="D127" s="95" t="n">
        <f aca="false">IF(D126&gt;0,(D147/MinDSCR-D121-D122)/D126,1000000000000)</f>
        <v>877494.808929143</v>
      </c>
      <c r="E127" s="95" t="n">
        <f aca="false">IF(E126&gt;0,(E147/MinDSCR-E121-E122)/E126,1000000000000)</f>
        <v>473255.401965221</v>
      </c>
      <c r="F127" s="95" t="n">
        <f aca="false">IF(F126&gt;0,(F147/MinDSCR-F121-F122)/F126,1000000000000)</f>
        <v>261988.241743277</v>
      </c>
      <c r="G127" s="95" t="n">
        <f aca="false">IF(G126&gt;0,(G147/MinDSCR-G121-G122)/G126,1000000000000)</f>
        <v>130997.824744413</v>
      </c>
      <c r="H127" s="95" t="n">
        <f aca="false">IF(H126&gt;0,(H147/MinDSCR-H121-H122)/H126,1000000000000)</f>
        <v>152264.496548276</v>
      </c>
      <c r="I127" s="95" t="n">
        <f aca="false">IF(I126&gt;0,(I147/MinDSCR-I121-I122)/I126,1000000000000)</f>
        <v>127605.464252278</v>
      </c>
      <c r="J127" s="95" t="n">
        <f aca="false">IF(J126&gt;0,(J147/MinDSCR-J121-J122)/J126,1000000000000)</f>
        <v>144818.364688514</v>
      </c>
      <c r="K127" s="95" t="n">
        <f aca="false">IF(K126&gt;0,(K147/MinDSCR-K121-K122)/K126,1000000000000)</f>
        <v>140350.23608405</v>
      </c>
      <c r="L127" s="95" t="n">
        <f aca="false">IF(L126&gt;0,(L147/MinDSCR-L121-L122)/L126,1000000000000)</f>
        <v>113958.143754868</v>
      </c>
      <c r="M127" s="95" t="n">
        <f aca="false">IF(M126&gt;0,(M147/MinDSCR-M121-M122)/M126,1000000000000)</f>
        <v>107863.280999222</v>
      </c>
      <c r="N127" s="95" t="n">
        <f aca="false">IF(N126&gt;0,(N147/MinDSCR-N121-N122)/N126,1000000000000)</f>
        <v>1000000000000</v>
      </c>
      <c r="O127" s="95" t="n">
        <f aca="false">IF(O126&gt;0,(O147/MinDSCR-O121-O122)/O126,1000000000000)</f>
        <v>1000000000000</v>
      </c>
      <c r="P127" s="95" t="n">
        <f aca="false">IF(P126&gt;0,(P147/MinDSCR-P121-P122)/P126,1000000000000)</f>
        <v>1000000000000</v>
      </c>
      <c r="Q127" s="95" t="n">
        <f aca="false">IF(Q126&gt;0,(Q147/MinDSCR-Q121-Q122)/Q126,1000000000000)</f>
        <v>1000000000000</v>
      </c>
      <c r="R127" s="95" t="n">
        <f aca="false">IF(R126&gt;0,(R147/MinDSCR-R121-R122)/R126,1000000000000)</f>
        <v>1000000000000</v>
      </c>
      <c r="S127" s="95" t="n">
        <f aca="false">IF(S126&gt;0,(S147/MinDSCR-S121-S122)/S126,1000000000000)</f>
        <v>1000000000000</v>
      </c>
      <c r="T127" s="95" t="n">
        <f aca="false">IF(T126&gt;0,(T147/MinDSCR-T121-T122)/T126,1000000000000)</f>
        <v>1000000000000</v>
      </c>
      <c r="U127" s="95" t="n">
        <f aca="false">IF(U126&gt;0,(U147/MinDSCR-U121-U122)/U126,1000000000000)</f>
        <v>1000000000000</v>
      </c>
      <c r="V127" s="95" t="n">
        <f aca="false">IF(V126&gt;0,(V147/MinDSCR-V121-V122)/V126,1000000000000)</f>
        <v>1000000000000</v>
      </c>
      <c r="W127" s="95" t="n">
        <f aca="false">IF(W126&gt;0,(W147/MinDSCR-W121-W122)/W126,1000000000000)</f>
        <v>1000000000000</v>
      </c>
    </row>
    <row r="128" customFormat="false" ht="15" hidden="false" customHeight="false" outlineLevel="0" collapsed="false">
      <c r="A128" s="11" t="s">
        <v>463</v>
      </c>
      <c r="C128" s="95" t="n">
        <f aca="false">DSRAPct*D125</f>
        <v>8778.65269208784</v>
      </c>
      <c r="D128" s="95" t="n">
        <f aca="false">DSRAPct*E125</f>
        <v>8778.65269208784</v>
      </c>
      <c r="E128" s="95" t="n">
        <f aca="false">DSRAPct*F125</f>
        <v>13353.841200582</v>
      </c>
      <c r="F128" s="95" t="n">
        <f aca="false">DSRAPct*G125</f>
        <v>13353.841200582</v>
      </c>
      <c r="G128" s="95" t="n">
        <f aca="false">DSRAPct*H125</f>
        <v>13353.841200582</v>
      </c>
      <c r="H128" s="95" t="n">
        <f aca="false">DSRAPct*I125</f>
        <v>18128.5390909508</v>
      </c>
      <c r="I128" s="95" t="n">
        <f aca="false">DSRAPct*J125</f>
        <v>18128.5390909508</v>
      </c>
      <c r="J128" s="95" t="n">
        <f aca="false">DSRAPct*K125</f>
        <v>18128.5390909508</v>
      </c>
      <c r="K128" s="95" t="n">
        <f aca="false">DSRAPct*L125</f>
        <v>18128.5390909508</v>
      </c>
      <c r="L128" s="95" t="n">
        <f aca="false">DSRAPct*M125</f>
        <v>18128.5390909508</v>
      </c>
      <c r="M128" s="95" t="n">
        <f aca="false">DSRAPct*N125</f>
        <v>6800.54081931215</v>
      </c>
      <c r="N128" s="95" t="n">
        <f aca="false">DSRAPct*O125</f>
        <v>6800.54081931215</v>
      </c>
      <c r="O128" s="95" t="n">
        <f aca="false">DSRAPct*P125</f>
        <v>6800.54081931215</v>
      </c>
      <c r="P128" s="95" t="n">
        <f aca="false">DSRAPct*Q125</f>
        <v>6800.54081931215</v>
      </c>
      <c r="Q128" s="95" t="n">
        <f aca="false">DSRAPct*R125</f>
        <v>6800.54081931215</v>
      </c>
      <c r="R128" s="95" t="n">
        <f aca="false">DSRAPct*S125</f>
        <v>0</v>
      </c>
      <c r="S128" s="95" t="n">
        <f aca="false">DSRAPct*T125</f>
        <v>0</v>
      </c>
      <c r="T128" s="95" t="n">
        <f aca="false">DSRAPct*U125</f>
        <v>0</v>
      </c>
      <c r="U128" s="95" t="n">
        <f aca="false">DSRAPct*V125</f>
        <v>0</v>
      </c>
      <c r="V128" s="95" t="n">
        <f aca="false">DSRAPct*W125</f>
        <v>0</v>
      </c>
      <c r="W128" s="95" t="n">
        <f aca="false">0</f>
        <v>0</v>
      </c>
    </row>
    <row r="129" customFormat="false" ht="15" hidden="false" customHeight="false" outlineLevel="0" collapsed="false">
      <c r="A129" s="11" t="s">
        <v>464</v>
      </c>
      <c r="B129" s="66" t="n">
        <f aca="false">SUM(C129:W129)</f>
        <v>0</v>
      </c>
      <c r="C129" s="95" t="n">
        <f aca="false">C128</f>
        <v>8778.65269208784</v>
      </c>
      <c r="D129" s="95" t="n">
        <f aca="false">D128-C128</f>
        <v>0</v>
      </c>
      <c r="E129" s="95" t="n">
        <f aca="false">E128-D128</f>
        <v>4575.18850849412</v>
      </c>
      <c r="F129" s="95" t="n">
        <f aca="false">F128-E128</f>
        <v>0</v>
      </c>
      <c r="G129" s="95" t="n">
        <f aca="false">G128-F128</f>
        <v>0</v>
      </c>
      <c r="H129" s="95" t="n">
        <f aca="false">H128-G128</f>
        <v>4774.6978903688</v>
      </c>
      <c r="I129" s="95" t="n">
        <f aca="false">I128-H128</f>
        <v>0</v>
      </c>
      <c r="J129" s="95" t="n">
        <f aca="false">J128-I128</f>
        <v>0</v>
      </c>
      <c r="K129" s="95" t="n">
        <f aca="false">K128-J128</f>
        <v>0</v>
      </c>
      <c r="L129" s="95" t="n">
        <f aca="false">L128-K128</f>
        <v>0</v>
      </c>
      <c r="M129" s="95" t="n">
        <f aca="false">M128-L128</f>
        <v>-11327.9982716386</v>
      </c>
      <c r="N129" s="95" t="n">
        <f aca="false">N128-M128</f>
        <v>0</v>
      </c>
      <c r="O129" s="95" t="n">
        <f aca="false">O128-N128</f>
        <v>0</v>
      </c>
      <c r="P129" s="95" t="n">
        <f aca="false">P128-O128</f>
        <v>0</v>
      </c>
      <c r="Q129" s="95" t="n">
        <f aca="false">Q128-P128</f>
        <v>0</v>
      </c>
      <c r="R129" s="95" t="n">
        <f aca="false">R128-Q128</f>
        <v>-6800.54081931215</v>
      </c>
      <c r="S129" s="95" t="n">
        <f aca="false">S128-R128</f>
        <v>0</v>
      </c>
      <c r="T129" s="95" t="n">
        <f aca="false">T128-S128</f>
        <v>0</v>
      </c>
      <c r="U129" s="95" t="n">
        <f aca="false">U128-T128</f>
        <v>0</v>
      </c>
      <c r="V129" s="95" t="n">
        <f aca="false">V128-U128</f>
        <v>0</v>
      </c>
      <c r="W129" s="95" t="n">
        <f aca="false">W128-V128</f>
        <v>0</v>
      </c>
    </row>
    <row r="131" customFormat="false" ht="15" hidden="false" customHeight="false" outlineLevel="0" collapsed="false">
      <c r="A131" s="9" t="s">
        <v>465</v>
      </c>
      <c r="B131" s="10"/>
      <c r="C131" s="10"/>
      <c r="D131" s="10"/>
      <c r="E131" s="10"/>
      <c r="F131" s="10"/>
      <c r="G131" s="10"/>
      <c r="H131" s="10"/>
      <c r="I131" s="10"/>
      <c r="J131" s="10"/>
      <c r="K131" s="10"/>
      <c r="L131" s="10"/>
      <c r="M131" s="10"/>
      <c r="N131" s="10"/>
      <c r="O131" s="10"/>
      <c r="P131" s="10"/>
      <c r="Q131" s="10"/>
      <c r="R131" s="10"/>
      <c r="S131" s="10"/>
      <c r="T131" s="10"/>
      <c r="U131" s="10"/>
      <c r="V131" s="10"/>
      <c r="W131" s="10"/>
    </row>
    <row r="132" customFormat="false" ht="15" hidden="false" customHeight="false" outlineLevel="0" collapsed="false">
      <c r="A132" s="11" t="s">
        <v>466</v>
      </c>
      <c r="B132" s="66" t="n">
        <f aca="false">SUM(C132:W132)</f>
        <v>1162734.14692871</v>
      </c>
      <c r="C132" s="95" t="n">
        <v>0</v>
      </c>
      <c r="D132" s="95" t="n">
        <f aca="false">IF(D39&lt;=MIN(DepYears,Life),S_Rate_Hi!$B$14/DepYears,0)</f>
        <v>77515.6097952472</v>
      </c>
      <c r="E132" s="95" t="n">
        <f aca="false">IF(E39&lt;=MIN(DepYears,Life),S_Rate_Hi!$B$14/DepYears,0)</f>
        <v>77515.6097952472</v>
      </c>
      <c r="F132" s="95" t="n">
        <f aca="false">IF(F39&lt;=MIN(DepYears,Life),S_Rate_Hi!$B$14/DepYears,0)</f>
        <v>77515.6097952472</v>
      </c>
      <c r="G132" s="95" t="n">
        <f aca="false">IF(G39&lt;=MIN(DepYears,Life),S_Rate_Hi!$B$14/DepYears,0)</f>
        <v>77515.6097952472</v>
      </c>
      <c r="H132" s="95" t="n">
        <f aca="false">IF(H39&lt;=MIN(DepYears,Life),S_Rate_Hi!$B$14/DepYears,0)</f>
        <v>77515.6097952472</v>
      </c>
      <c r="I132" s="95" t="n">
        <f aca="false">IF(I39&lt;=MIN(DepYears,Life),S_Rate_Hi!$B$14/DepYears,0)</f>
        <v>77515.6097952472</v>
      </c>
      <c r="J132" s="95" t="n">
        <f aca="false">IF(J39&lt;=MIN(DepYears,Life),S_Rate_Hi!$B$14/DepYears,0)</f>
        <v>77515.6097952472</v>
      </c>
      <c r="K132" s="95" t="n">
        <f aca="false">IF(K39&lt;=MIN(DepYears,Life),S_Rate_Hi!$B$14/DepYears,0)</f>
        <v>77515.6097952472</v>
      </c>
      <c r="L132" s="95" t="n">
        <f aca="false">IF(L39&lt;=MIN(DepYears,Life),S_Rate_Hi!$B$14/DepYears,0)</f>
        <v>77515.6097952472</v>
      </c>
      <c r="M132" s="95" t="n">
        <f aca="false">IF(M39&lt;=MIN(DepYears,Life),S_Rate_Hi!$B$14/DepYears,0)</f>
        <v>77515.6097952472</v>
      </c>
      <c r="N132" s="95" t="n">
        <f aca="false">IF(N39&lt;=MIN(DepYears,Life),S_Rate_Hi!$B$14/DepYears,0)</f>
        <v>77515.6097952472</v>
      </c>
      <c r="O132" s="95" t="n">
        <f aca="false">IF(O39&lt;=MIN(DepYears,Life),S_Rate_Hi!$B$14/DepYears,0)</f>
        <v>77515.6097952472</v>
      </c>
      <c r="P132" s="95" t="n">
        <f aca="false">IF(P39&lt;=MIN(DepYears,Life),S_Rate_Hi!$B$14/DepYears,0)</f>
        <v>77515.6097952472</v>
      </c>
      <c r="Q132" s="95" t="n">
        <f aca="false">IF(Q39&lt;=MIN(DepYears,Life),S_Rate_Hi!$B$14/DepYears,0)</f>
        <v>77515.6097952472</v>
      </c>
      <c r="R132" s="95" t="n">
        <f aca="false">IF(R39&lt;=MIN(DepYears,Life),S_Rate_Hi!$B$14/DepYears,0)</f>
        <v>77515.6097952472</v>
      </c>
      <c r="S132" s="95" t="n">
        <f aca="false">IF(S39&lt;=MIN(DepYears,Life),S_Rate_Hi!$B$14/DepYears,0)</f>
        <v>0</v>
      </c>
      <c r="T132" s="95" t="n">
        <f aca="false">IF(T39&lt;=MIN(DepYears,Life),S_Rate_Hi!$B$14/DepYears,0)</f>
        <v>0</v>
      </c>
      <c r="U132" s="95" t="n">
        <f aca="false">IF(U39&lt;=MIN(DepYears,Life),S_Rate_Hi!$B$14/DepYears,0)</f>
        <v>0</v>
      </c>
      <c r="V132" s="95" t="n">
        <f aca="false">IF(V39&lt;=MIN(DepYears,Life),S_Rate_Hi!$B$14/DepYears,0)</f>
        <v>0</v>
      </c>
      <c r="W132" s="95" t="n">
        <f aca="false">IF(W39&lt;=MIN(DepYears,Life),S_Rate_Hi!$B$14/DepYears,0)</f>
        <v>0</v>
      </c>
    </row>
    <row r="133" customFormat="false" ht="15" hidden="false" customHeight="false" outlineLevel="0" collapsed="false">
      <c r="A133" s="11" t="s">
        <v>467</v>
      </c>
      <c r="B133" s="66" t="n">
        <f aca="false">SUM(C133:W133)</f>
        <v>10154.7318153589</v>
      </c>
      <c r="C133" s="95" t="n">
        <v>0</v>
      </c>
      <c r="D133" s="95" t="n">
        <f aca="false">D98-D132</f>
        <v>-65821.2982739605</v>
      </c>
      <c r="E133" s="95" t="n">
        <f aca="false">E98-E132</f>
        <v>-40682.6457603323</v>
      </c>
      <c r="F133" s="95" t="n">
        <f aca="false">F98-F132</f>
        <v>-20749.817755671</v>
      </c>
      <c r="G133" s="95" t="n">
        <f aca="false">G98-G132</f>
        <v>-17229.1838311411</v>
      </c>
      <c r="H133" s="95" t="n">
        <f aca="false">H98-H132</f>
        <v>-11663.8299321777</v>
      </c>
      <c r="I133" s="95" t="n">
        <f aca="false">I98-I132</f>
        <v>-5702.72866403495</v>
      </c>
      <c r="J133" s="95" t="n">
        <f aca="false">J98-J132</f>
        <v>-1198.2211680441</v>
      </c>
      <c r="K133" s="95" t="n">
        <f aca="false">K98-K132</f>
        <v>-2367.50224687332</v>
      </c>
      <c r="L133" s="95" t="n">
        <f aca="false">L98-L132</f>
        <v>-3741.88717796137</v>
      </c>
      <c r="M133" s="95" t="n">
        <f aca="false">M98-M132</f>
        <v>-5336.87432562704</v>
      </c>
      <c r="N133" s="95" t="n">
        <f aca="false">N98-N132</f>
        <v>-7168.97104967925</v>
      </c>
      <c r="O133" s="95" t="n">
        <f aca="false">O98-O132</f>
        <v>-9255.75648433073</v>
      </c>
      <c r="P133" s="95" t="n">
        <f aca="false">P98-P132</f>
        <v>-11615.9481647919</v>
      </c>
      <c r="Q133" s="95" t="n">
        <f aca="false">Q98-Q132</f>
        <v>-14269.472736217</v>
      </c>
      <c r="R133" s="95" t="n">
        <f aca="false">R98-R132</f>
        <v>-17237.540993967</v>
      </c>
      <c r="S133" s="95" t="n">
        <f aca="false">S98-S132</f>
        <v>56972.8822759284</v>
      </c>
      <c r="T133" s="95" t="n">
        <f aca="false">T98-T132</f>
        <v>53306.5546044182</v>
      </c>
      <c r="U133" s="95" t="n">
        <f aca="false">U98-U132</f>
        <v>49253.5249266123</v>
      </c>
      <c r="V133" s="95" t="n">
        <f aca="false">V98-V132</f>
        <v>44786.599228173</v>
      </c>
      <c r="W133" s="95" t="n">
        <f aca="false">W98-W132</f>
        <v>39876.8493450363</v>
      </c>
    </row>
    <row r="134" customFormat="false" ht="15" hidden="false" customHeight="false" outlineLevel="0" collapsed="false">
      <c r="A134" s="11" t="s">
        <v>468</v>
      </c>
      <c r="C134" s="95" t="n">
        <v>0</v>
      </c>
      <c r="D134" s="95" t="n">
        <f aca="false">0</f>
        <v>0</v>
      </c>
      <c r="E134" s="95" t="n">
        <f aca="false">D136</f>
        <v>65821.2982739605</v>
      </c>
      <c r="F134" s="95" t="n">
        <f aca="false">E136</f>
        <v>106503.944034293</v>
      </c>
      <c r="G134" s="95" t="n">
        <f aca="false">F136</f>
        <v>127253.761789964</v>
      </c>
      <c r="H134" s="95" t="n">
        <f aca="false">G136</f>
        <v>144482.945621105</v>
      </c>
      <c r="I134" s="95" t="n">
        <f aca="false">H136</f>
        <v>156146.775553283</v>
      </c>
      <c r="J134" s="95" t="n">
        <f aca="false">I136</f>
        <v>161849.504217318</v>
      </c>
      <c r="K134" s="95" t="n">
        <f aca="false">J136</f>
        <v>163047.725385362</v>
      </c>
      <c r="L134" s="95" t="n">
        <f aca="false">K136</f>
        <v>165415.227632235</v>
      </c>
      <c r="M134" s="95" t="n">
        <f aca="false">L136</f>
        <v>169157.114810196</v>
      </c>
      <c r="N134" s="95" t="n">
        <f aca="false">M136</f>
        <v>174493.989135823</v>
      </c>
      <c r="O134" s="95" t="n">
        <f aca="false">N136</f>
        <v>181662.960185503</v>
      </c>
      <c r="P134" s="95" t="n">
        <f aca="false">O136</f>
        <v>190918.716669833</v>
      </c>
      <c r="Q134" s="95" t="n">
        <f aca="false">P136</f>
        <v>202534.664834625</v>
      </c>
      <c r="R134" s="95" t="n">
        <f aca="false">Q136</f>
        <v>216804.137570842</v>
      </c>
      <c r="S134" s="95" t="n">
        <f aca="false">R136</f>
        <v>234041.678564809</v>
      </c>
      <c r="T134" s="95" t="n">
        <f aca="false">S136</f>
        <v>177068.796288881</v>
      </c>
      <c r="U134" s="95" t="n">
        <f aca="false">T136</f>
        <v>123762.241684463</v>
      </c>
      <c r="V134" s="95" t="n">
        <f aca="false">U136</f>
        <v>74508.7167578505</v>
      </c>
      <c r="W134" s="95" t="n">
        <f aca="false">V136</f>
        <v>29722.1175296775</v>
      </c>
    </row>
    <row r="135" customFormat="false" ht="15" hidden="false" customHeight="false" outlineLevel="0" collapsed="false">
      <c r="A135" s="11" t="s">
        <v>469</v>
      </c>
      <c r="C135" s="95" t="n">
        <v>0</v>
      </c>
      <c r="D135" s="95" t="n">
        <f aca="false">MIN(D134,MAX(D133,0))</f>
        <v>0</v>
      </c>
      <c r="E135" s="95" t="n">
        <f aca="false">MIN(E134,MAX(E133,0))</f>
        <v>0</v>
      </c>
      <c r="F135" s="95" t="n">
        <f aca="false">MIN(F134,MAX(F133,0))</f>
        <v>0</v>
      </c>
      <c r="G135" s="95" t="n">
        <f aca="false">MIN(G134,MAX(G133,0))</f>
        <v>0</v>
      </c>
      <c r="H135" s="95" t="n">
        <f aca="false">MIN(H134,MAX(H133,0))</f>
        <v>0</v>
      </c>
      <c r="I135" s="95" t="n">
        <f aca="false">MIN(I134,MAX(I133,0))</f>
        <v>0</v>
      </c>
      <c r="J135" s="95" t="n">
        <f aca="false">MIN(J134,MAX(J133,0))</f>
        <v>0</v>
      </c>
      <c r="K135" s="95" t="n">
        <f aca="false">MIN(K134,MAX(K133,0))</f>
        <v>0</v>
      </c>
      <c r="L135" s="95" t="n">
        <f aca="false">MIN(L134,MAX(L133,0))</f>
        <v>0</v>
      </c>
      <c r="M135" s="95" t="n">
        <f aca="false">MIN(M134,MAX(M133,0))</f>
        <v>0</v>
      </c>
      <c r="N135" s="95" t="n">
        <f aca="false">MIN(N134,MAX(N133,0))</f>
        <v>0</v>
      </c>
      <c r="O135" s="95" t="n">
        <f aca="false">MIN(O134,MAX(O133,0))</f>
        <v>0</v>
      </c>
      <c r="P135" s="95" t="n">
        <f aca="false">MIN(P134,MAX(P133,0))</f>
        <v>0</v>
      </c>
      <c r="Q135" s="95" t="n">
        <f aca="false">MIN(Q134,MAX(Q133,0))</f>
        <v>0</v>
      </c>
      <c r="R135" s="95" t="n">
        <f aca="false">MIN(R134,MAX(R133,0))</f>
        <v>0</v>
      </c>
      <c r="S135" s="95" t="n">
        <f aca="false">MIN(S134,MAX(S133,0))</f>
        <v>56972.8822759284</v>
      </c>
      <c r="T135" s="95" t="n">
        <f aca="false">MIN(T134,MAX(T133,0))</f>
        <v>53306.5546044182</v>
      </c>
      <c r="U135" s="95" t="n">
        <f aca="false">MIN(U134,MAX(U133,0))</f>
        <v>49253.5249266123</v>
      </c>
      <c r="V135" s="95" t="n">
        <f aca="false">MIN(V134,MAX(V133,0))</f>
        <v>44786.599228173</v>
      </c>
      <c r="W135" s="95" t="n">
        <f aca="false">MIN(W134,MAX(W133,0))</f>
        <v>29722.1175296775</v>
      </c>
    </row>
    <row r="136" customFormat="false" ht="15" hidden="false" customHeight="false" outlineLevel="0" collapsed="false">
      <c r="A136" s="11" t="s">
        <v>470</v>
      </c>
      <c r="C136" s="95" t="n">
        <v>0</v>
      </c>
      <c r="D136" s="95" t="n">
        <f aca="false">D134-D135+MAX(-D133,0)</f>
        <v>65821.2982739605</v>
      </c>
      <c r="E136" s="95" t="n">
        <f aca="false">E134-E135+MAX(-E133,0)</f>
        <v>106503.944034293</v>
      </c>
      <c r="F136" s="95" t="n">
        <f aca="false">F134-F135+MAX(-F133,0)</f>
        <v>127253.761789964</v>
      </c>
      <c r="G136" s="95" t="n">
        <f aca="false">G134-G135+MAX(-G133,0)</f>
        <v>144482.945621105</v>
      </c>
      <c r="H136" s="95" t="n">
        <f aca="false">H134-H135+MAX(-H133,0)</f>
        <v>156146.775553283</v>
      </c>
      <c r="I136" s="95" t="n">
        <f aca="false">I134-I135+MAX(-I133,0)</f>
        <v>161849.504217318</v>
      </c>
      <c r="J136" s="95" t="n">
        <f aca="false">J134-J135+MAX(-J133,0)</f>
        <v>163047.725385362</v>
      </c>
      <c r="K136" s="95" t="n">
        <f aca="false">K134-K135+MAX(-K133,0)</f>
        <v>165415.227632235</v>
      </c>
      <c r="L136" s="95" t="n">
        <f aca="false">L134-L135+MAX(-L133,0)</f>
        <v>169157.114810196</v>
      </c>
      <c r="M136" s="95" t="n">
        <f aca="false">M134-M135+MAX(-M133,0)</f>
        <v>174493.989135823</v>
      </c>
      <c r="N136" s="95" t="n">
        <f aca="false">N134-N135+MAX(-N133,0)</f>
        <v>181662.960185503</v>
      </c>
      <c r="O136" s="95" t="n">
        <f aca="false">O134-O135+MAX(-O133,0)</f>
        <v>190918.716669833</v>
      </c>
      <c r="P136" s="95" t="n">
        <f aca="false">P134-P135+MAX(-P133,0)</f>
        <v>202534.664834625</v>
      </c>
      <c r="Q136" s="95" t="n">
        <f aca="false">Q134-Q135+MAX(-Q133,0)</f>
        <v>216804.137570842</v>
      </c>
      <c r="R136" s="95" t="n">
        <f aca="false">R134-R135+MAX(-R133,0)</f>
        <v>234041.678564809</v>
      </c>
      <c r="S136" s="95" t="n">
        <f aca="false">S134-S135+MAX(-S133,0)</f>
        <v>177068.796288881</v>
      </c>
      <c r="T136" s="95" t="n">
        <f aca="false">T134-T135+MAX(-T133,0)</f>
        <v>123762.241684463</v>
      </c>
      <c r="U136" s="95" t="n">
        <f aca="false">U134-U135+MAX(-U133,0)</f>
        <v>74508.7167578505</v>
      </c>
      <c r="V136" s="95" t="n">
        <f aca="false">V134-V135+MAX(-V133,0)</f>
        <v>29722.1175296775</v>
      </c>
      <c r="W136" s="95" t="n">
        <f aca="false">W134-W135+MAX(-W133,0)</f>
        <v>0</v>
      </c>
    </row>
    <row r="137" customFormat="false" ht="15" hidden="false" customHeight="false" outlineLevel="0" collapsed="false">
      <c r="A137" s="11" t="s">
        <v>471</v>
      </c>
      <c r="B137" s="66" t="n">
        <f aca="false">SUM(C137:W137)</f>
        <v>2538.6829538397</v>
      </c>
      <c r="C137" s="95" t="n">
        <v>0</v>
      </c>
      <c r="D137" s="95" t="n">
        <f aca="false">(MAX(D133,0)-D135)*TaxRate</f>
        <v>0</v>
      </c>
      <c r="E137" s="95" t="n">
        <f aca="false">(MAX(E133,0)-E135)*TaxRate</f>
        <v>0</v>
      </c>
      <c r="F137" s="95" t="n">
        <f aca="false">(MAX(F133,0)-F135)*TaxRate</f>
        <v>0</v>
      </c>
      <c r="G137" s="95" t="n">
        <f aca="false">(MAX(G133,0)-G135)*TaxRate</f>
        <v>0</v>
      </c>
      <c r="H137" s="95" t="n">
        <f aca="false">(MAX(H133,0)-H135)*TaxRate</f>
        <v>0</v>
      </c>
      <c r="I137" s="95" t="n">
        <f aca="false">(MAX(I133,0)-I135)*TaxRate</f>
        <v>0</v>
      </c>
      <c r="J137" s="95" t="n">
        <f aca="false">(MAX(J133,0)-J135)*TaxRate</f>
        <v>0</v>
      </c>
      <c r="K137" s="95" t="n">
        <f aca="false">(MAX(K133,0)-K135)*TaxRate</f>
        <v>0</v>
      </c>
      <c r="L137" s="95" t="n">
        <f aca="false">(MAX(L133,0)-L135)*TaxRate</f>
        <v>0</v>
      </c>
      <c r="M137" s="95" t="n">
        <f aca="false">(MAX(M133,0)-M135)*TaxRate</f>
        <v>0</v>
      </c>
      <c r="N137" s="95" t="n">
        <f aca="false">(MAX(N133,0)-N135)*TaxRate</f>
        <v>0</v>
      </c>
      <c r="O137" s="95" t="n">
        <f aca="false">(MAX(O133,0)-O135)*TaxRate</f>
        <v>0</v>
      </c>
      <c r="P137" s="95" t="n">
        <f aca="false">(MAX(P133,0)-P135)*TaxRate</f>
        <v>0</v>
      </c>
      <c r="Q137" s="95" t="n">
        <f aca="false">(MAX(Q133,0)-Q135)*TaxRate</f>
        <v>0</v>
      </c>
      <c r="R137" s="95" t="n">
        <f aca="false">(MAX(R133,0)-R135)*TaxRate</f>
        <v>0</v>
      </c>
      <c r="S137" s="95" t="n">
        <f aca="false">(MAX(S133,0)-S135)*TaxRate</f>
        <v>0</v>
      </c>
      <c r="T137" s="95" t="n">
        <f aca="false">(MAX(T133,0)-T135)*TaxRate</f>
        <v>0</v>
      </c>
      <c r="U137" s="95" t="n">
        <f aca="false">(MAX(U133,0)-U135)*TaxRate</f>
        <v>0</v>
      </c>
      <c r="V137" s="95" t="n">
        <f aca="false">(MAX(V133,0)-V135)*TaxRate</f>
        <v>0</v>
      </c>
      <c r="W137" s="95" t="n">
        <f aca="false">(MAX(W133,0)-W135)*TaxRate</f>
        <v>2538.6829538397</v>
      </c>
    </row>
    <row r="138" customFormat="false" ht="15" hidden="false" customHeight="false" outlineLevel="0" collapsed="false">
      <c r="A138" s="11" t="s">
        <v>472</v>
      </c>
      <c r="B138" s="66" t="n">
        <f aca="false">SUM(C138:W138)</f>
        <v>-129280.06648763</v>
      </c>
      <c r="C138" s="95" t="n">
        <v>0</v>
      </c>
      <c r="D138" s="95" t="n">
        <f aca="false">D98-D132-D114-D121</f>
        <v>-83378.6036581361</v>
      </c>
      <c r="E138" s="95" t="n">
        <f aca="false">E98-E132-E114-E121</f>
        <v>-58239.951144508</v>
      </c>
      <c r="F138" s="95" t="n">
        <f aca="false">F98-F132-F114-F121</f>
        <v>-38307.1231398467</v>
      </c>
      <c r="G138" s="95" t="n">
        <f aca="false">G98-G132-G114-G121</f>
        <v>-33688.4439732782</v>
      </c>
      <c r="H138" s="95" t="n">
        <f aca="false">H98-H132-H114-H121</f>
        <v>-26893.2794032316</v>
      </c>
      <c r="I138" s="95" t="n">
        <f aca="false">I98-I132-I114-I121</f>
        <v>-19554.7901834756</v>
      </c>
      <c r="J138" s="95" t="n">
        <f aca="false">J98-J132-J114-J121</f>
        <v>-13163.8299335714</v>
      </c>
      <c r="K138" s="95" t="n">
        <f aca="false">K98-K132-K114-K121</f>
        <v>-12249.1613008586</v>
      </c>
      <c r="L138" s="95" t="n">
        <f aca="false">L98-L132-L114-L121</f>
        <v>-11319.4395132829</v>
      </c>
      <c r="M138" s="95" t="n">
        <f aca="false">M98-M132-M114-M121</f>
        <v>-10364.8211048058</v>
      </c>
      <c r="N138" s="95" t="n">
        <f aca="false">N98-N132-N114-N121</f>
        <v>-9373.46935761419</v>
      </c>
      <c r="O138" s="95" t="n">
        <f aca="false">O98-O132-O114-O121</f>
        <v>-11049.9777923609</v>
      </c>
      <c r="P138" s="95" t="n">
        <f aca="false">P98-P132-P114-P121</f>
        <v>-12985.1225009206</v>
      </c>
      <c r="Q138" s="95" t="n">
        <f aca="false">Q98-Q132-Q114-Q121</f>
        <v>-15198.2984094558</v>
      </c>
      <c r="R138" s="95" t="n">
        <f aca="false">R98-R132-R114-R121</f>
        <v>-17710.165452452</v>
      </c>
      <c r="S138" s="95" t="n">
        <f aca="false">S98-S132-S114-S121</f>
        <v>56972.8822759284</v>
      </c>
      <c r="T138" s="95" t="n">
        <f aca="false">T98-T132-T114-T121</f>
        <v>53306.5546044182</v>
      </c>
      <c r="U138" s="95" t="n">
        <f aca="false">U98-U132-U114-U121</f>
        <v>49253.5249266123</v>
      </c>
      <c r="V138" s="95" t="n">
        <f aca="false">V98-V132-V114-V121</f>
        <v>44786.599228173</v>
      </c>
      <c r="W138" s="95" t="n">
        <f aca="false">W98-W132-W114-W121</f>
        <v>39876.8493450363</v>
      </c>
    </row>
    <row r="139" customFormat="false" ht="15" hidden="false" customHeight="false" outlineLevel="0" collapsed="false">
      <c r="A139" s="11" t="s">
        <v>468</v>
      </c>
      <c r="C139" s="95" t="n">
        <v>0</v>
      </c>
      <c r="D139" s="95" t="n">
        <f aca="false">0</f>
        <v>0</v>
      </c>
      <c r="E139" s="95" t="n">
        <f aca="false">D141</f>
        <v>83378.6036581361</v>
      </c>
      <c r="F139" s="95" t="n">
        <f aca="false">E141</f>
        <v>141618.554802644</v>
      </c>
      <c r="G139" s="95" t="n">
        <f aca="false">F141</f>
        <v>179925.677942491</v>
      </c>
      <c r="H139" s="95" t="n">
        <f aca="false">G141</f>
        <v>213614.121915769</v>
      </c>
      <c r="I139" s="95" t="n">
        <f aca="false">H141</f>
        <v>240507.401319001</v>
      </c>
      <c r="J139" s="95" t="n">
        <f aca="false">I141</f>
        <v>260062.191502476</v>
      </c>
      <c r="K139" s="95" t="n">
        <f aca="false">J141</f>
        <v>273226.021436048</v>
      </c>
      <c r="L139" s="95" t="n">
        <f aca="false">K141</f>
        <v>285475.182736906</v>
      </c>
      <c r="M139" s="95" t="n">
        <f aca="false">L141</f>
        <v>296794.622250189</v>
      </c>
      <c r="N139" s="95" t="n">
        <f aca="false">M141</f>
        <v>307159.443354995</v>
      </c>
      <c r="O139" s="95" t="n">
        <f aca="false">N141</f>
        <v>316532.912712609</v>
      </c>
      <c r="P139" s="95" t="n">
        <f aca="false">O141</f>
        <v>327582.89050497</v>
      </c>
      <c r="Q139" s="95" t="n">
        <f aca="false">P141</f>
        <v>340568.013005891</v>
      </c>
      <c r="R139" s="95" t="n">
        <f aca="false">Q141</f>
        <v>355766.311415347</v>
      </c>
      <c r="S139" s="95" t="n">
        <f aca="false">R141</f>
        <v>373476.476867799</v>
      </c>
      <c r="T139" s="95" t="n">
        <f aca="false">S141</f>
        <v>316503.59459187</v>
      </c>
      <c r="U139" s="95" t="n">
        <f aca="false">T141</f>
        <v>263197.039987452</v>
      </c>
      <c r="V139" s="95" t="n">
        <f aca="false">U141</f>
        <v>213943.51506084</v>
      </c>
      <c r="W139" s="95" t="n">
        <f aca="false">V141</f>
        <v>169156.915832667</v>
      </c>
    </row>
    <row r="140" customFormat="false" ht="15" hidden="false" customHeight="false" outlineLevel="0" collapsed="false">
      <c r="A140" s="11" t="s">
        <v>469</v>
      </c>
      <c r="C140" s="95" t="n">
        <v>0</v>
      </c>
      <c r="D140" s="95" t="n">
        <f aca="false">MIN(D139,MAX(D138,0))</f>
        <v>0</v>
      </c>
      <c r="E140" s="95" t="n">
        <f aca="false">MIN(E139,MAX(E138,0))</f>
        <v>0</v>
      </c>
      <c r="F140" s="95" t="n">
        <f aca="false">MIN(F139,MAX(F138,0))</f>
        <v>0</v>
      </c>
      <c r="G140" s="95" t="n">
        <f aca="false">MIN(G139,MAX(G138,0))</f>
        <v>0</v>
      </c>
      <c r="H140" s="95" t="n">
        <f aca="false">MIN(H139,MAX(H138,0))</f>
        <v>0</v>
      </c>
      <c r="I140" s="95" t="n">
        <f aca="false">MIN(I139,MAX(I138,0))</f>
        <v>0</v>
      </c>
      <c r="J140" s="95" t="n">
        <f aca="false">MIN(J139,MAX(J138,0))</f>
        <v>0</v>
      </c>
      <c r="K140" s="95" t="n">
        <f aca="false">MIN(K139,MAX(K138,0))</f>
        <v>0</v>
      </c>
      <c r="L140" s="95" t="n">
        <f aca="false">MIN(L139,MAX(L138,0))</f>
        <v>0</v>
      </c>
      <c r="M140" s="95" t="n">
        <f aca="false">MIN(M139,MAX(M138,0))</f>
        <v>0</v>
      </c>
      <c r="N140" s="95" t="n">
        <f aca="false">MIN(N139,MAX(N138,0))</f>
        <v>0</v>
      </c>
      <c r="O140" s="95" t="n">
        <f aca="false">MIN(O139,MAX(O138,0))</f>
        <v>0</v>
      </c>
      <c r="P140" s="95" t="n">
        <f aca="false">MIN(P139,MAX(P138,0))</f>
        <v>0</v>
      </c>
      <c r="Q140" s="95" t="n">
        <f aca="false">MIN(Q139,MAX(Q138,0))</f>
        <v>0</v>
      </c>
      <c r="R140" s="95" t="n">
        <f aca="false">MIN(R139,MAX(R138,0))</f>
        <v>0</v>
      </c>
      <c r="S140" s="95" t="n">
        <f aca="false">MIN(S139,MAX(S138,0))</f>
        <v>56972.8822759284</v>
      </c>
      <c r="T140" s="95" t="n">
        <f aca="false">MIN(T139,MAX(T138,0))</f>
        <v>53306.5546044182</v>
      </c>
      <c r="U140" s="95" t="n">
        <f aca="false">MIN(U139,MAX(U138,0))</f>
        <v>49253.5249266123</v>
      </c>
      <c r="V140" s="95" t="n">
        <f aca="false">MIN(V139,MAX(V138,0))</f>
        <v>44786.599228173</v>
      </c>
      <c r="W140" s="95" t="n">
        <f aca="false">MIN(W139,MAX(W138,0))</f>
        <v>39876.8493450363</v>
      </c>
    </row>
    <row r="141" customFormat="false" ht="15" hidden="false" customHeight="false" outlineLevel="0" collapsed="false">
      <c r="A141" s="11" t="s">
        <v>470</v>
      </c>
      <c r="C141" s="95" t="n">
        <v>0</v>
      </c>
      <c r="D141" s="95" t="n">
        <f aca="false">D139-D140+MAX(-D138,0)</f>
        <v>83378.6036581361</v>
      </c>
      <c r="E141" s="95" t="n">
        <f aca="false">E139-E140+MAX(-E138,0)</f>
        <v>141618.554802644</v>
      </c>
      <c r="F141" s="95" t="n">
        <f aca="false">F139-F140+MAX(-F138,0)</f>
        <v>179925.677942491</v>
      </c>
      <c r="G141" s="95" t="n">
        <f aca="false">G139-G140+MAX(-G138,0)</f>
        <v>213614.121915769</v>
      </c>
      <c r="H141" s="95" t="n">
        <f aca="false">H139-H140+MAX(-H138,0)</f>
        <v>240507.401319001</v>
      </c>
      <c r="I141" s="95" t="n">
        <f aca="false">I139-I140+MAX(-I138,0)</f>
        <v>260062.191502476</v>
      </c>
      <c r="J141" s="95" t="n">
        <f aca="false">J139-J140+MAX(-J138,0)</f>
        <v>273226.021436048</v>
      </c>
      <c r="K141" s="95" t="n">
        <f aca="false">K139-K140+MAX(-K138,0)</f>
        <v>285475.182736906</v>
      </c>
      <c r="L141" s="95" t="n">
        <f aca="false">L139-L140+MAX(-L138,0)</f>
        <v>296794.622250189</v>
      </c>
      <c r="M141" s="95" t="n">
        <f aca="false">M139-M140+MAX(-M138,0)</f>
        <v>307159.443354995</v>
      </c>
      <c r="N141" s="95" t="n">
        <f aca="false">N139-N140+MAX(-N138,0)</f>
        <v>316532.912712609</v>
      </c>
      <c r="O141" s="95" t="n">
        <f aca="false">O139-O140+MAX(-O138,0)</f>
        <v>327582.89050497</v>
      </c>
      <c r="P141" s="95" t="n">
        <f aca="false">P139-P140+MAX(-P138,0)</f>
        <v>340568.013005891</v>
      </c>
      <c r="Q141" s="95" t="n">
        <f aca="false">Q139-Q140+MAX(-Q138,0)</f>
        <v>355766.311415347</v>
      </c>
      <c r="R141" s="95" t="n">
        <f aca="false">R139-R140+MAX(-R138,0)</f>
        <v>373476.476867799</v>
      </c>
      <c r="S141" s="95" t="n">
        <f aca="false">S139-S140+MAX(-S138,0)</f>
        <v>316503.59459187</v>
      </c>
      <c r="T141" s="95" t="n">
        <f aca="false">T139-T140+MAX(-T138,0)</f>
        <v>263197.039987452</v>
      </c>
      <c r="U141" s="95" t="n">
        <f aca="false">U139-U140+MAX(-U138,0)</f>
        <v>213943.51506084</v>
      </c>
      <c r="V141" s="95" t="n">
        <f aca="false">V139-V140+MAX(-V138,0)</f>
        <v>169156.915832667</v>
      </c>
      <c r="W141" s="95" t="n">
        <f aca="false">W139-W140+MAX(-W138,0)</f>
        <v>129280.06648763</v>
      </c>
    </row>
    <row r="142" customFormat="false" ht="15" hidden="false" customHeight="false" outlineLevel="0" collapsed="false">
      <c r="A142" s="11" t="s">
        <v>473</v>
      </c>
      <c r="B142" s="66" t="n">
        <f aca="false">SUM(C142:W142)</f>
        <v>0</v>
      </c>
      <c r="C142" s="95" t="n">
        <v>0</v>
      </c>
      <c r="D142" s="95" t="n">
        <f aca="false">(MAX(D138,0)-D140)*TaxRate</f>
        <v>0</v>
      </c>
      <c r="E142" s="95" t="n">
        <f aca="false">(MAX(E138,0)-E140)*TaxRate</f>
        <v>0</v>
      </c>
      <c r="F142" s="95" t="n">
        <f aca="false">(MAX(F138,0)-F140)*TaxRate</f>
        <v>0</v>
      </c>
      <c r="G142" s="95" t="n">
        <f aca="false">(MAX(G138,0)-G140)*TaxRate</f>
        <v>0</v>
      </c>
      <c r="H142" s="95" t="n">
        <f aca="false">(MAX(H138,0)-H140)*TaxRate</f>
        <v>0</v>
      </c>
      <c r="I142" s="95" t="n">
        <f aca="false">(MAX(I138,0)-I140)*TaxRate</f>
        <v>0</v>
      </c>
      <c r="J142" s="95" t="n">
        <f aca="false">(MAX(J138,0)-J140)*TaxRate</f>
        <v>0</v>
      </c>
      <c r="K142" s="95" t="n">
        <f aca="false">(MAX(K138,0)-K140)*TaxRate</f>
        <v>0</v>
      </c>
      <c r="L142" s="95" t="n">
        <f aca="false">(MAX(L138,0)-L140)*TaxRate</f>
        <v>0</v>
      </c>
      <c r="M142" s="95" t="n">
        <f aca="false">(MAX(M138,0)-M140)*TaxRate</f>
        <v>0</v>
      </c>
      <c r="N142" s="95" t="n">
        <f aca="false">(MAX(N138,0)-N140)*TaxRate</f>
        <v>0</v>
      </c>
      <c r="O142" s="95" t="n">
        <f aca="false">(MAX(O138,0)-O140)*TaxRate</f>
        <v>0</v>
      </c>
      <c r="P142" s="95" t="n">
        <f aca="false">(MAX(P138,0)-P140)*TaxRate</f>
        <v>0</v>
      </c>
      <c r="Q142" s="95" t="n">
        <f aca="false">(MAX(Q138,0)-Q140)*TaxRate</f>
        <v>0</v>
      </c>
      <c r="R142" s="95" t="n">
        <f aca="false">(MAX(R138,0)-R140)*TaxRate</f>
        <v>0</v>
      </c>
      <c r="S142" s="95" t="n">
        <f aca="false">(MAX(S138,0)-S140)*TaxRate</f>
        <v>0</v>
      </c>
      <c r="T142" s="95" t="n">
        <f aca="false">(MAX(T138,0)-T140)*TaxRate</f>
        <v>0</v>
      </c>
      <c r="U142" s="95" t="n">
        <f aca="false">(MAX(U138,0)-U140)*TaxRate</f>
        <v>0</v>
      </c>
      <c r="V142" s="95" t="n">
        <f aca="false">(MAX(V138,0)-V140)*TaxRate</f>
        <v>0</v>
      </c>
      <c r="W142" s="95" t="n">
        <f aca="false">(MAX(W138,0)-W140)*TaxRate</f>
        <v>0</v>
      </c>
    </row>
    <row r="144" customFormat="false" ht="15" hidden="false" customHeight="false" outlineLevel="0" collapsed="false">
      <c r="A144" s="9" t="s">
        <v>474</v>
      </c>
      <c r="B144" s="10"/>
      <c r="C144" s="10"/>
      <c r="D144" s="10"/>
      <c r="E144" s="10"/>
      <c r="F144" s="10"/>
      <c r="G144" s="10"/>
      <c r="H144" s="10"/>
      <c r="I144" s="10"/>
      <c r="J144" s="10"/>
      <c r="K144" s="10"/>
      <c r="L144" s="10"/>
      <c r="M144" s="10"/>
      <c r="N144" s="10"/>
      <c r="O144" s="10"/>
      <c r="P144" s="10"/>
      <c r="Q144" s="10"/>
      <c r="R144" s="10"/>
      <c r="S144" s="10"/>
      <c r="T144" s="10"/>
      <c r="U144" s="10"/>
      <c r="V144" s="10"/>
      <c r="W144" s="10"/>
    </row>
    <row r="145" customFormat="false" ht="15" hidden="false" customHeight="false" outlineLevel="0" collapsed="false">
      <c r="A145" s="16" t="s">
        <v>475</v>
      </c>
      <c r="B145" s="66" t="n">
        <f aca="false">C145+NPV(Hurdle,D145:W145)</f>
        <v>-804952.496026467</v>
      </c>
      <c r="C145" s="31" t="n">
        <f aca="false">-C102+C98-C103-C137</f>
        <v>-1162734.14692871</v>
      </c>
      <c r="D145" s="31" t="n">
        <f aca="false">-D102+D98-D103-D137</f>
        <v>11694.3115212867</v>
      </c>
      <c r="E145" s="31" t="n">
        <f aca="false">-E102+E98-E103-E137</f>
        <v>36832.9640349148</v>
      </c>
      <c r="F145" s="31" t="n">
        <f aca="false">-F102+F98-F103-F137</f>
        <v>56765.7920395761</v>
      </c>
      <c r="G145" s="31" t="n">
        <f aca="false">-G102+G98-G103-G137</f>
        <v>60286.425964106</v>
      </c>
      <c r="H145" s="31" t="n">
        <f aca="false">-H102+H98-H103-H137</f>
        <v>65851.7798630695</v>
      </c>
      <c r="I145" s="31" t="n">
        <f aca="false">-I102+I98-I103-I137</f>
        <v>71812.8811312122</v>
      </c>
      <c r="J145" s="31" t="n">
        <f aca="false">-J102+J98-J103-J137</f>
        <v>76317.3886272031</v>
      </c>
      <c r="K145" s="31" t="n">
        <f aca="false">-K102+K98-K103-K137</f>
        <v>-90755.3301563276</v>
      </c>
      <c r="L145" s="31" t="n">
        <f aca="false">-L102+L98-L103-L137</f>
        <v>73773.7226172858</v>
      </c>
      <c r="M145" s="31" t="n">
        <f aca="false">-M102+M98-M103-M137</f>
        <v>72178.7354696201</v>
      </c>
      <c r="N145" s="31" t="n">
        <f aca="false">-N102+N98-N103-N137</f>
        <v>70346.6387455679</v>
      </c>
      <c r="O145" s="31" t="n">
        <f aca="false">-O102+O98-O103-O137</f>
        <v>68259.8533109164</v>
      </c>
      <c r="P145" s="31" t="n">
        <f aca="false">-P102+P98-P103-P137</f>
        <v>65899.6616304553</v>
      </c>
      <c r="Q145" s="31" t="n">
        <f aca="false">-Q102+Q98-Q103-Q137</f>
        <v>63246.1370590302</v>
      </c>
      <c r="R145" s="31" t="n">
        <f aca="false">-R102+R98-R103-R137</f>
        <v>60278.0688012801</v>
      </c>
      <c r="S145" s="31" t="n">
        <f aca="false">-S102+S98-S103-S137</f>
        <v>-153188.629007742</v>
      </c>
      <c r="T145" s="31" t="n">
        <f aca="false">-T102+T98-T103-T137</f>
        <v>53306.5546044182</v>
      </c>
      <c r="U145" s="31" t="n">
        <f aca="false">-U102+U98-U103-U137</f>
        <v>49253.5249266123</v>
      </c>
      <c r="V145" s="31" t="n">
        <f aca="false">-V102+V98-V103-V137</f>
        <v>44786.599228173</v>
      </c>
      <c r="W145" s="31" t="n">
        <f aca="false">-W102+W98-W103-W137</f>
        <v>37338.1663911966</v>
      </c>
    </row>
    <row r="146" customFormat="false" ht="15" hidden="false" customHeight="false" outlineLevel="0" collapsed="false">
      <c r="A146" s="16" t="s">
        <v>476</v>
      </c>
      <c r="B146" s="66" t="n">
        <f aca="false">C146+NPV(Hurdle,D146:W146)</f>
        <v>12967.8646046378</v>
      </c>
      <c r="C146" s="31" t="n">
        <f aca="false">C145+C106+C108</f>
        <v>-562734.146928707</v>
      </c>
      <c r="D146" s="31" t="n">
        <f aca="false">D145+D106+D108</f>
        <v>162894.311521287</v>
      </c>
      <c r="E146" s="31" t="n">
        <f aca="false">E145+E106+E108</f>
        <v>99832.9640349148</v>
      </c>
      <c r="F146" s="31" t="n">
        <f aca="false">F145+F106+F108</f>
        <v>94565.7920395761</v>
      </c>
      <c r="G146" s="31" t="n">
        <f aca="false">G145+G106+G108</f>
        <v>60286.425964106</v>
      </c>
      <c r="H146" s="31" t="n">
        <f aca="false">H145+H106+H108</f>
        <v>65851.7798630695</v>
      </c>
      <c r="I146" s="31" t="n">
        <f aca="false">I145+I106+I108</f>
        <v>71812.8811312122</v>
      </c>
      <c r="J146" s="31" t="n">
        <f aca="false">J145+J106+J108</f>
        <v>76317.3886272031</v>
      </c>
      <c r="K146" s="31" t="n">
        <f aca="false">K145+K106+K108</f>
        <v>-90755.3301563276</v>
      </c>
      <c r="L146" s="31" t="n">
        <f aca="false">L145+L106+L108</f>
        <v>73773.7226172858</v>
      </c>
      <c r="M146" s="31" t="n">
        <f aca="false">M145+M106+M108</f>
        <v>72178.7354696201</v>
      </c>
      <c r="N146" s="31" t="n">
        <f aca="false">N145+N106+N108</f>
        <v>70346.6387455679</v>
      </c>
      <c r="O146" s="31" t="n">
        <f aca="false">O145+O106+O108</f>
        <v>68259.8533109164</v>
      </c>
      <c r="P146" s="31" t="n">
        <f aca="false">P145+P106+P108</f>
        <v>65899.6616304553</v>
      </c>
      <c r="Q146" s="31" t="n">
        <f aca="false">Q145+Q106+Q108</f>
        <v>63246.1370590302</v>
      </c>
      <c r="R146" s="31" t="n">
        <f aca="false">R145+R106+R108</f>
        <v>60278.0688012801</v>
      </c>
      <c r="S146" s="31" t="n">
        <f aca="false">S145+S106+S108</f>
        <v>-153188.629007742</v>
      </c>
      <c r="T146" s="31" t="n">
        <f aca="false">T145+T106+T108</f>
        <v>53306.5546044182</v>
      </c>
      <c r="U146" s="31" t="n">
        <f aca="false">U145+U106+U108</f>
        <v>49253.5249266123</v>
      </c>
      <c r="V146" s="31" t="n">
        <f aca="false">V145+V106+V108</f>
        <v>44786.599228173</v>
      </c>
      <c r="W146" s="31" t="n">
        <f aca="false">W145+W106+W108</f>
        <v>37338.1663911966</v>
      </c>
    </row>
    <row r="147" customFormat="false" ht="15" hidden="false" customHeight="false" outlineLevel="0" collapsed="false">
      <c r="A147" s="11" t="s">
        <v>243</v>
      </c>
      <c r="B147" s="66" t="n">
        <f aca="false">SUM(C147:W147)</f>
        <v>1048823.9297557</v>
      </c>
      <c r="C147" s="95" t="n">
        <v>0</v>
      </c>
      <c r="D147" s="95" t="n">
        <f aca="false">D98-D105-D142+D108</f>
        <v>142156.381808199</v>
      </c>
      <c r="E147" s="95" t="n">
        <f aca="false">E98-E105-E142+E108</f>
        <v>79095.0343218271</v>
      </c>
      <c r="F147" s="95" t="n">
        <f aca="false">F98-F105-F142+F108</f>
        <v>73827.8623264885</v>
      </c>
      <c r="G147" s="95" t="n">
        <f aca="false">G98-G105-G142+G108</f>
        <v>39548.4962510184</v>
      </c>
      <c r="H147" s="95" t="n">
        <f aca="false">H98-H105-H142+H108</f>
        <v>45113.8501499818</v>
      </c>
      <c r="I147" s="95" t="n">
        <f aca="false">I98-I105-I142+I108</f>
        <v>51074.9514181245</v>
      </c>
      <c r="J147" s="95" t="n">
        <f aca="false">J98-J105-J142+J108</f>
        <v>55579.4589141154</v>
      </c>
      <c r="K147" s="95" t="n">
        <f aca="false">K98-K105-K142+K108</f>
        <v>54410.1778352862</v>
      </c>
      <c r="L147" s="95" t="n">
        <f aca="false">L98-L105-L142+L108</f>
        <v>47503.5337068271</v>
      </c>
      <c r="M147" s="95" t="n">
        <f aca="false">M98-M105-M142+M108</f>
        <v>45908.5465591614</v>
      </c>
      <c r="N147" s="95" t="n">
        <f aca="false">N98-N105-N142+N108</f>
        <v>44076.4498351092</v>
      </c>
      <c r="O147" s="95" t="n">
        <f aca="false">O98-O105-O142+O108</f>
        <v>41989.6644004577</v>
      </c>
      <c r="P147" s="95" t="n">
        <f aca="false">P98-P105-P142+P108</f>
        <v>39629.4727199965</v>
      </c>
      <c r="Q147" s="95" t="n">
        <f aca="false">Q98-Q105-Q142+Q108</f>
        <v>36975.9481485715</v>
      </c>
      <c r="R147" s="95" t="n">
        <f aca="false">R98-R105-R142+R108</f>
        <v>34007.8798908214</v>
      </c>
      <c r="S147" s="95" t="n">
        <f aca="false">S98-S105-S142+S108</f>
        <v>30702.6933654697</v>
      </c>
      <c r="T147" s="95" t="n">
        <f aca="false">T98-T105-T142+T108</f>
        <v>53306.5546044182</v>
      </c>
      <c r="U147" s="95" t="n">
        <f aca="false">U98-U105-U142+U108</f>
        <v>49253.5249266123</v>
      </c>
      <c r="V147" s="95" t="n">
        <f aca="false">V98-V105-V142+V108</f>
        <v>44786.599228173</v>
      </c>
      <c r="W147" s="95" t="n">
        <f aca="false">W98-W105-W142+W108</f>
        <v>39876.8493450363</v>
      </c>
    </row>
    <row r="148" customFormat="false" ht="15" hidden="false" customHeight="false" outlineLevel="0" collapsed="false">
      <c r="A148" s="11" t="s">
        <v>477</v>
      </c>
      <c r="C148" s="97" t="n">
        <v>0</v>
      </c>
      <c r="D148" s="97" t="n">
        <f aca="false">IF(D125&gt;0,D147/D125,"")</f>
        <v>8.09670838990612</v>
      </c>
      <c r="E148" s="97" t="n">
        <f aca="false">IF(E125&gt;0,E147/E125,"")</f>
        <v>4.50496432061352</v>
      </c>
      <c r="F148" s="97" t="n">
        <f aca="false">IF(F125&gt;0,F147/F125,"")</f>
        <v>2.76429310553997</v>
      </c>
      <c r="G148" s="97" t="n">
        <f aca="false">IF(G125&gt;0,G147/G125,"")</f>
        <v>1.48079101948939</v>
      </c>
      <c r="H148" s="97" t="n">
        <f aca="false">IF(H125&gt;0,H147/H125,"")</f>
        <v>1.68917128309178</v>
      </c>
      <c r="I148" s="97" t="n">
        <f aca="false">IF(I125&gt;0,I147/I125,"")</f>
        <v>1.4086891161467</v>
      </c>
      <c r="J148" s="97" t="n">
        <f aca="false">IF(J125&gt;0,J147/J125,"")</f>
        <v>1.53292713315931</v>
      </c>
      <c r="K148" s="97" t="n">
        <f aca="false">IF(K125&gt;0,K147/K125,"")</f>
        <v>1.50067740048745</v>
      </c>
      <c r="L148" s="97" t="n">
        <f aca="false">IF(L125&gt;0,L147/L125,"")</f>
        <v>1.31018648189195</v>
      </c>
      <c r="M148" s="97" t="n">
        <f aca="false">IF(M125&gt;0,M147/M125,"")</f>
        <v>1.26619542614103</v>
      </c>
      <c r="N148" s="97" t="n">
        <f aca="false">IF(N125&gt;0,N147/N125,"")</f>
        <v>3.24065769224861</v>
      </c>
      <c r="O148" s="97" t="n">
        <f aca="false">IF(O125&gt;0,O147/O125,"")</f>
        <v>3.08722978922614</v>
      </c>
      <c r="P148" s="97" t="n">
        <f aca="false">IF(P125&gt;0,P147/P125,"")</f>
        <v>2.91370008451805</v>
      </c>
      <c r="Q148" s="97" t="n">
        <f aca="false">IF(Q125&gt;0,Q147/Q125,"")</f>
        <v>2.71860350014864</v>
      </c>
      <c r="R148" s="97" t="n">
        <f aca="false">IF(R125&gt;0,R147/R125,"")</f>
        <v>2.50038054284197</v>
      </c>
      <c r="S148" s="97" t="str">
        <f aca="false">IF(S125&gt;0,S147/S125,"")</f>
        <v/>
      </c>
      <c r="T148" s="97" t="str">
        <f aca="false">IF(T125&gt;0,T147/T125,"")</f>
        <v/>
      </c>
      <c r="U148" s="97" t="str">
        <f aca="false">IF(U125&gt;0,U147/U125,"")</f>
        <v/>
      </c>
      <c r="V148" s="97" t="str">
        <f aca="false">IF(V125&gt;0,V147/V125,"")</f>
        <v/>
      </c>
      <c r="W148" s="97" t="str">
        <f aca="false">IF(W125&gt;0,W147/W125,"")</f>
        <v/>
      </c>
    </row>
    <row r="149" customFormat="false" ht="15" hidden="false" customHeight="false" outlineLevel="0" collapsed="false">
      <c r="A149" s="16" t="s">
        <v>478</v>
      </c>
      <c r="B149" s="66" t="n">
        <f aca="false">C149+NPV(Hurdle,D149:W149)</f>
        <v>-14555.5203488983</v>
      </c>
      <c r="C149" s="31" t="n">
        <f aca="false">-S_Rate_Hi!$B$18-C129</f>
        <v>-346419.140849312</v>
      </c>
      <c r="D149" s="31" t="n">
        <f aca="false">D147-D125-D129</f>
        <v>124599.076424023</v>
      </c>
      <c r="E149" s="31" t="n">
        <f aca="false">E147-E125-E129</f>
        <v>56962.5404291574</v>
      </c>
      <c r="F149" s="31" t="n">
        <f aca="false">F147-F125-F129</f>
        <v>47120.1799253246</v>
      </c>
      <c r="G149" s="31" t="n">
        <f aca="false">G147-G125-G129</f>
        <v>12840.8138498544</v>
      </c>
      <c r="H149" s="31" t="n">
        <f aca="false">H147-H125-H129</f>
        <v>13631.4698584491</v>
      </c>
      <c r="I149" s="31" t="n">
        <f aca="false">I147-I125-I129</f>
        <v>14817.873236223</v>
      </c>
      <c r="J149" s="31" t="n">
        <f aca="false">J147-J125-J129</f>
        <v>19322.3807322139</v>
      </c>
      <c r="K149" s="31" t="n">
        <f aca="false">K147-K125-K129</f>
        <v>18153.0996533847</v>
      </c>
      <c r="L149" s="31" t="n">
        <f aca="false">L147-L125-L129</f>
        <v>11246.4555249255</v>
      </c>
      <c r="M149" s="31" t="n">
        <f aca="false">M147-M125-M129</f>
        <v>20979.4666488985</v>
      </c>
      <c r="N149" s="31" t="n">
        <f aca="false">N147-N125-N129</f>
        <v>30475.3681964849</v>
      </c>
      <c r="O149" s="31" t="n">
        <f aca="false">O147-O125-O129</f>
        <v>28388.5827618334</v>
      </c>
      <c r="P149" s="31" t="n">
        <f aca="false">P147-P125-P129</f>
        <v>26028.3910813722</v>
      </c>
      <c r="Q149" s="31" t="n">
        <f aca="false">Q147-Q125-Q129</f>
        <v>23374.8665099472</v>
      </c>
      <c r="R149" s="31" t="n">
        <f aca="false">R147-R125-R129</f>
        <v>27207.3390715093</v>
      </c>
      <c r="S149" s="31" t="n">
        <f aca="false">S147-S125-S129</f>
        <v>30702.6933654697</v>
      </c>
      <c r="T149" s="31" t="n">
        <f aca="false">T147-T125-T129</f>
        <v>53306.5546044182</v>
      </c>
      <c r="U149" s="31" t="n">
        <f aca="false">U147-U125-U129</f>
        <v>49253.5249266123</v>
      </c>
      <c r="V149" s="31" t="n">
        <f aca="false">V147-V125-V129</f>
        <v>44786.599228173</v>
      </c>
      <c r="W149" s="31" t="n">
        <f aca="false">W147-W125-W129</f>
        <v>39876.8493450363</v>
      </c>
    </row>
    <row r="150" customFormat="false" ht="15" hidden="false" customHeight="false" outlineLevel="0" collapsed="false">
      <c r="A150" s="11" t="s">
        <v>479</v>
      </c>
      <c r="C150" s="95" t="n">
        <f aca="false">C149</f>
        <v>-346419.140849312</v>
      </c>
      <c r="D150" s="95" t="n">
        <f aca="false">C150+D149</f>
        <v>-221820.064425289</v>
      </c>
      <c r="E150" s="95" t="n">
        <f aca="false">D150+E149</f>
        <v>-164857.523996131</v>
      </c>
      <c r="F150" s="95" t="n">
        <f aca="false">E150+F149</f>
        <v>-117737.344070807</v>
      </c>
      <c r="G150" s="95" t="n">
        <f aca="false">F150+G149</f>
        <v>-104896.530220952</v>
      </c>
      <c r="H150" s="95" t="n">
        <f aca="false">G150+H149</f>
        <v>-91265.0603625034</v>
      </c>
      <c r="I150" s="95" t="n">
        <f aca="false">H150+I149</f>
        <v>-76447.1871262804</v>
      </c>
      <c r="J150" s="95" t="n">
        <f aca="false">I150+J149</f>
        <v>-57124.8063940665</v>
      </c>
      <c r="K150" s="95" t="n">
        <f aca="false">J150+K149</f>
        <v>-38971.7067406818</v>
      </c>
      <c r="L150" s="95" t="n">
        <f aca="false">K150+L149</f>
        <v>-27725.2512157563</v>
      </c>
      <c r="M150" s="95" t="n">
        <f aca="false">L150+M149</f>
        <v>-6745.78456685782</v>
      </c>
      <c r="N150" s="95" t="n">
        <f aca="false">M150+N149</f>
        <v>23729.583629627</v>
      </c>
      <c r="O150" s="95" t="n">
        <f aca="false">N150+O149</f>
        <v>52118.1663914604</v>
      </c>
      <c r="P150" s="95" t="n">
        <f aca="false">O150+P149</f>
        <v>78146.5574728327</v>
      </c>
      <c r="Q150" s="95" t="n">
        <f aca="false">P150+Q149</f>
        <v>101521.42398278</v>
      </c>
      <c r="R150" s="95" t="n">
        <f aca="false">Q150+R149</f>
        <v>128728.763054289</v>
      </c>
      <c r="S150" s="95" t="n">
        <f aca="false">R150+S149</f>
        <v>159431.456419759</v>
      </c>
      <c r="T150" s="95" t="n">
        <f aca="false">S150+T149</f>
        <v>212738.011024177</v>
      </c>
      <c r="U150" s="95" t="n">
        <f aca="false">T150+U149</f>
        <v>261991.535950789</v>
      </c>
      <c r="V150" s="95" t="n">
        <f aca="false">U150+V149</f>
        <v>306778.135178962</v>
      </c>
      <c r="W150" s="95" t="n">
        <f aca="false">V150+W149</f>
        <v>346654.984523999</v>
      </c>
    </row>
    <row r="152" customFormat="false" ht="15" hidden="false" customHeight="false" outlineLevel="0" collapsed="false">
      <c r="A152" s="9" t="s">
        <v>480</v>
      </c>
      <c r="B152" s="10"/>
      <c r="C152" s="10"/>
      <c r="D152" s="10"/>
      <c r="E152" s="10"/>
      <c r="F152" s="10"/>
      <c r="G152" s="10"/>
      <c r="H152" s="10"/>
      <c r="I152" s="10"/>
      <c r="J152" s="10"/>
      <c r="K152" s="10"/>
      <c r="L152" s="10"/>
      <c r="M152" s="10"/>
      <c r="N152" s="10"/>
      <c r="O152" s="10"/>
      <c r="P152" s="10"/>
      <c r="Q152" s="10"/>
      <c r="R152" s="10"/>
      <c r="S152" s="10"/>
      <c r="T152" s="10"/>
      <c r="U152" s="10"/>
      <c r="V152" s="10"/>
      <c r="W152" s="10"/>
    </row>
    <row r="153" customFormat="false" ht="15" hidden="false" customHeight="false" outlineLevel="0" collapsed="false">
      <c r="A153" s="11" t="s">
        <v>481</v>
      </c>
      <c r="B153" s="66" t="n">
        <f aca="false">C153+NPV(Hurdle,D153:W153)</f>
        <v>2323238.80329335</v>
      </c>
      <c r="C153" s="95" t="n">
        <f aca="false">C102+C96-C93+C103</f>
        <v>1162734.14692871</v>
      </c>
      <c r="D153" s="95" t="n">
        <f aca="false">D102+D96-D93+D103</f>
        <v>66407.5541247933</v>
      </c>
      <c r="E153" s="95" t="n">
        <f aca="false">E102+E96-E93+E103</f>
        <v>73279.1455139807</v>
      </c>
      <c r="F153" s="95" t="n">
        <f aca="false">F102+F96-F93+F103</f>
        <v>78859.6369550395</v>
      </c>
      <c r="G153" s="95" t="n">
        <f aca="false">G102+G96-G93+G103</f>
        <v>81823.4407312817</v>
      </c>
      <c r="H153" s="95" t="n">
        <f aca="false">H102+H96-H93+H103</f>
        <v>84912.5777140674</v>
      </c>
      <c r="I153" s="95" t="n">
        <f aca="false">I102+I96-I93+I103</f>
        <v>88133.0258223723</v>
      </c>
      <c r="J153" s="95" t="n">
        <f aca="false">J102+J96-J93+J103</f>
        <v>93369.2240598548</v>
      </c>
      <c r="K153" s="95" t="n">
        <f aca="false">K102+K96-K93+K103</f>
        <v>270775.857556027</v>
      </c>
      <c r="L153" s="95" t="n">
        <f aca="false">L102+L96-L93+L103</f>
        <v>117210.054901056</v>
      </c>
      <c r="M153" s="95" t="n">
        <f aca="false">M102+M96-M93+M103</f>
        <v>130435.954099588</v>
      </c>
      <c r="N153" s="95" t="n">
        <f aca="false">N102+N96-N93+N103</f>
        <v>144607.285418405</v>
      </c>
      <c r="O153" s="95" t="n">
        <f aca="false">O102+O96-O93+O103</f>
        <v>159784.764834643</v>
      </c>
      <c r="P153" s="95" t="n">
        <f aca="false">P102+P96-P93+P103</f>
        <v>176032.873760168</v>
      </c>
      <c r="Q153" s="95" t="n">
        <f aca="false">Q102+Q96-Q93+Q103</f>
        <v>193420.089736882</v>
      </c>
      <c r="R153" s="95" t="n">
        <f aca="false">R102+R96-R93+R103</f>
        <v>212019.131206504</v>
      </c>
      <c r="S153" s="95" t="n">
        <f aca="false">S102+S96-S93+S103</f>
        <v>442068.728495999</v>
      </c>
      <c r="T153" s="95" t="n">
        <f aca="false">T102+T96-T93+T103</f>
        <v>253166.342942675</v>
      </c>
      <c r="U153" s="95" t="n">
        <f aca="false">U102+U96-U93+U103</f>
        <v>275883.572081098</v>
      </c>
      <c r="V153" s="95" t="n">
        <f aca="false">V102+V96-V93+V103</f>
        <v>300151.346987307</v>
      </c>
      <c r="W153" s="95" t="n">
        <f aca="false">W102+W96-W93+W103</f>
        <v>326067.817794967</v>
      </c>
    </row>
    <row r="154" customFormat="false" ht="15" hidden="false" customHeight="false" outlineLevel="0" collapsed="false">
      <c r="A154" s="11" t="s">
        <v>482</v>
      </c>
      <c r="B154" s="76" t="n">
        <f aca="false">C154+NPV(Hurdle,D154:W154)</f>
        <v>3504620.16232003</v>
      </c>
      <c r="C154" s="93" t="n">
        <f aca="false">C66</f>
        <v>0</v>
      </c>
      <c r="D154" s="93" t="n">
        <f aca="false">D66</f>
        <v>211139.712</v>
      </c>
      <c r="E154" s="93" t="n">
        <f aca="false">E66</f>
        <v>308088.02976</v>
      </c>
      <c r="F154" s="93" t="n">
        <f aca="false">F66</f>
        <v>373330.200768</v>
      </c>
      <c r="G154" s="93" t="n">
        <f aca="false">G66</f>
        <v>384530.10679104</v>
      </c>
      <c r="H154" s="93" t="n">
        <f aca="false">H66</f>
        <v>396066.009994771</v>
      </c>
      <c r="I154" s="93" t="n">
        <f aca="false">I66</f>
        <v>407947.990294614</v>
      </c>
      <c r="J154" s="93" t="n">
        <f aca="false">J66</f>
        <v>420186.430003453</v>
      </c>
      <c r="K154" s="93" t="n">
        <f aca="false">K66</f>
        <v>432792.022903556</v>
      </c>
      <c r="L154" s="93" t="n">
        <f aca="false">L66</f>
        <v>445775.783590663</v>
      </c>
      <c r="M154" s="93" t="n">
        <f aca="false">M66</f>
        <v>459149.057098383</v>
      </c>
      <c r="N154" s="93" t="n">
        <f aca="false">N66</f>
        <v>472923.528811335</v>
      </c>
      <c r="O154" s="93" t="n">
        <f aca="false">O66</f>
        <v>487111.234675675</v>
      </c>
      <c r="P154" s="93" t="n">
        <f aca="false">P66</f>
        <v>501724.571715945</v>
      </c>
      <c r="Q154" s="93" t="n">
        <f aca="false">Q66</f>
        <v>516776.308867423</v>
      </c>
      <c r="R154" s="93" t="n">
        <f aca="false">R66</f>
        <v>532279.598133446</v>
      </c>
      <c r="S154" s="93" t="n">
        <f aca="false">S66</f>
        <v>548247.986077449</v>
      </c>
      <c r="T154" s="93" t="n">
        <f aca="false">T66</f>
        <v>564695.425659773</v>
      </c>
      <c r="U154" s="93" t="n">
        <f aca="false">U66</f>
        <v>581636.288429566</v>
      </c>
      <c r="V154" s="93" t="n">
        <f aca="false">V66</f>
        <v>599085.377082453</v>
      </c>
      <c r="W154" s="93" t="n">
        <f aca="false">W66</f>
        <v>617057.938394927</v>
      </c>
    </row>
    <row r="155" customFormat="false" ht="15" hidden="false" customHeight="false" outlineLevel="0" collapsed="false">
      <c r="A155" s="11" t="s">
        <v>483</v>
      </c>
      <c r="B155" s="66" t="n">
        <f aca="false">C155+NPV(Hurdle,D155:W155)</f>
        <v>1555687.86731988</v>
      </c>
      <c r="C155" s="95" t="n">
        <f aca="false">C83</f>
        <v>0</v>
      </c>
      <c r="D155" s="95" t="n">
        <f aca="false">D83</f>
        <v>73617.387264</v>
      </c>
      <c r="E155" s="95" t="n">
        <f aca="false">E83</f>
        <v>110642.638710202</v>
      </c>
      <c r="F155" s="95" t="n">
        <f aca="false">F83</f>
        <v>138095.029891356</v>
      </c>
      <c r="G155" s="95" t="n">
        <f aca="false">G83</f>
        <v>146505.01721174</v>
      </c>
      <c r="H155" s="95" t="n">
        <f aca="false">H83</f>
        <v>155427.172759935</v>
      </c>
      <c r="I155" s="95" t="n">
        <f aca="false">I83</f>
        <v>164892.687581015</v>
      </c>
      <c r="J155" s="95" t="n">
        <f aca="false">J83</f>
        <v>174934.652254699</v>
      </c>
      <c r="K155" s="95" t="n">
        <f aca="false">K83</f>
        <v>185588.17257701</v>
      </c>
      <c r="L155" s="95" t="n">
        <f aca="false">L83</f>
        <v>196890.49228695</v>
      </c>
      <c r="M155" s="95" t="n">
        <f aca="false">M83</f>
        <v>208881.123267225</v>
      </c>
      <c r="N155" s="95" t="n">
        <f aca="false">N83</f>
        <v>221601.983674199</v>
      </c>
      <c r="O155" s="95" t="n">
        <f aca="false">O83</f>
        <v>235097.544479958</v>
      </c>
      <c r="P155" s="95" t="n">
        <f aca="false">P83</f>
        <v>249414.984938787</v>
      </c>
      <c r="Q155" s="95" t="n">
        <f aca="false">Q83</f>
        <v>264604.357521559</v>
      </c>
      <c r="R155" s="95" t="n">
        <f aca="false">R83</f>
        <v>280718.762894623</v>
      </c>
      <c r="S155" s="95" t="n">
        <f aca="false">S83</f>
        <v>297814.535554905</v>
      </c>
      <c r="T155" s="95" t="n">
        <f aca="false">T83</f>
        <v>315951.440770199</v>
      </c>
      <c r="U155" s="95" t="n">
        <f aca="false">U83</f>
        <v>335192.883513104</v>
      </c>
      <c r="V155" s="95" t="n">
        <f aca="false">V83</f>
        <v>355606.130119052</v>
      </c>
      <c r="W155" s="95" t="n">
        <f aca="false">W83</f>
        <v>377262.543443302</v>
      </c>
    </row>
  </sheetData>
  <conditionalFormatting sqref="D148:W148">
    <cfRule type="expression" priority="2" aboveAverage="0" equalAverage="0" bottom="0" percent="0" rank="0" text="" dxfId="4">
      <formula>AND(ISNUMBER(D148),D148&lt;MinDSCR)</formula>
    </cfRule>
  </conditionalFormatting>
  <conditionalFormatting sqref="C150:W150">
    <cfRule type="cellIs" priority="3" operator="lessThan" aboveAverage="0" equalAverage="0" bottom="0" percent="0" rank="0" text="" dxfId="5">
      <formula>0</formula>
    </cfRule>
  </conditionalFormatting>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&amp;L&amp;8 Emmanuel Boujieka Kamga&amp;R&amp;8 &amp;P /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2026-10-01T22:38:29Z</dcterms:created>
  <dc:creator>openpyxl</dc:creator>
  <dc:description/>
  <dc:language>en-US</dc:language>
  <cp:lastModifiedBy/>
  <dcterms:modified xsi:type="dcterms:W3CDTF">2026-10-01T22:38:36Z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